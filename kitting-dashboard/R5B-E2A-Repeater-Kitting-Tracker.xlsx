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itting Plan" sheetId="2" state="visible" r:id="rId4"/>
    <sheet name="COOIS Data" sheetId="3" state="visible" r:id="rId5"/>
    <sheet name="How To Use" sheetId="4" state="visible" r:id="rId6"/>
    <sheet name="COOIS Raw" sheetId="5" state="visible" r:id="rId7"/>
  </sheets>
  <definedNames>
    <definedName function="false" hidden="true" localSheetId="2" name="_xlnm._FilterDatabase" vbProcedure="false">'COOIS Data'!$A$5:$O$1505</definedName>
    <definedName function="false" hidden="false" localSheetId="0" name="_xlnm.Print_Area" vbProcedure="false">Dashboard!$A$1:$Q$45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<sst xmlns="http://schemas.openxmlformats.org/spreadsheetml/2006/main" count="61276" uniqueCount="3140">
  <si>
    <t xml:space="preserve">R5B E2A 12FP COLD T5  ·  REPEATER KITTING</t>
  </si>
  <si>
    <t xml:space="preserve">REPEATERS KITTED</t>
  </si>
  <si>
    <t xml:space="preserve">WORK ORDERS KITTED</t>
  </si>
  <si>
    <t xml:space="preserve">ISSUED (GMPS)</t>
  </si>
  <si>
    <t xml:space="preserve">DELIVERED (DLV)</t>
  </si>
  <si>
    <t xml:space="preserve">OPEN WOs</t>
  </si>
  <si>
    <t xml:space="preserve">KITTED BY ASSY CODE</t>
  </si>
  <si>
    <t xml:space="preserve">Kitted = WO released and printed (PRT) in COOIS. Kits = kitted WOs ÷ qty per repeater.</t>
  </si>
  <si>
    <t xml:space="preserve">Sequence</t>
  </si>
  <si>
    <t xml:space="preserve">Assy Code</t>
  </si>
  <si>
    <t xml:space="preserve">Description</t>
  </si>
  <si>
    <t xml:space="preserve">Qty / Rep</t>
  </si>
  <si>
    <t xml:space="preserve">Contract Qty</t>
  </si>
  <si>
    <t xml:space="preserve">WOs Kitted</t>
  </si>
  <si>
    <t xml:space="preserve">Rep Kits</t>
  </si>
  <si>
    <t xml:space="preserve">Surplus WOs</t>
  </si>
  <si>
    <t xml:space="preserve">Issued</t>
  </si>
  <si>
    <t xml:space="preserve">Issued Reps</t>
  </si>
  <si>
    <t xml:space="preserve">Delivered</t>
  </si>
  <si>
    <t xml:space="preserve">Delivered Reps</t>
  </si>
  <si>
    <t xml:space="preserve">Open WOs</t>
  </si>
  <si>
    <t xml:space="preserve">TOTAL / MIN</t>
  </si>
  <si>
    <t xml:space="preserve">Rep kits / reps columns show the MIN — the limiting code</t>
  </si>
  <si>
    <t xml:space="preserve">REPEATER KIT TRACKER</t>
  </si>
  <si>
    <t xml:space="preserve">WOs are assigned to repeaters in release order (oldest first). K = kitted · I = components issued · D = delivered · – = not kitted</t>
  </si>
  <si>
    <t xml:space="preserve">Rep 1</t>
  </si>
  <si>
    <t xml:space="preserve">Rep 2</t>
  </si>
  <si>
    <t xml:space="preserve">Rep 3</t>
  </si>
  <si>
    <t xml:space="preserve">Rep 4</t>
  </si>
  <si>
    <t xml:space="preserve">Rep 5</t>
  </si>
  <si>
    <t xml:space="preserve">Rep 6</t>
  </si>
  <si>
    <t xml:space="preserve">Rep 7</t>
  </si>
  <si>
    <t xml:space="preserve">Rep 8</t>
  </si>
  <si>
    <t xml:space="preserve">Rep 9</t>
  </si>
  <si>
    <t xml:space="preserve">Rep 10</t>
  </si>
  <si>
    <t xml:space="preserve">Rep 11</t>
  </si>
  <si>
    <t xml:space="preserve">Rep 12</t>
  </si>
  <si>
    <t xml:space="preserve">Rep 13</t>
  </si>
  <si>
    <t xml:space="preserve">REPEATER STATUS</t>
  </si>
  <si>
    <t xml:space="preserve">Kitted = all codes kitted · Delivered = all codes delivered</t>
  </si>
  <si>
    <t xml:space="preserve">Surplus WOs (beyond rep 13)</t>
  </si>
  <si>
    <t xml:space="preserve">Not in plan</t>
  </si>
  <si>
    <t xml:space="preserve">KITTING PLAN — QTY TO BUILD ONE REPEATER</t>
  </si>
  <si>
    <t xml:space="preserve">Source: kitting plan supplied by the user. Blue cells are inputs.</t>
  </si>
  <si>
    <t xml:space="preserve">Contract repeaters</t>
  </si>
  <si>
    <t xml:space="preserve">Assy Description</t>
  </si>
  <si>
    <t xml:space="preserve">Qty per Repeater</t>
  </si>
  <si>
    <t xml:space="preserve">LASER ASSY</t>
  </si>
  <si>
    <t xml:space="preserve">92YLS00548BAA</t>
  </si>
  <si>
    <t xml:space="preserve">R5B LASER ASSEMBLY 4P BOAT 1 - E2A</t>
  </si>
  <si>
    <t xml:space="preserve">92YLS00548BBA</t>
  </si>
  <si>
    <t xml:space="preserve">R5B LASER ASSEMBLY 4P BOAT 2/3 - E2A</t>
  </si>
  <si>
    <t xml:space="preserve">PSB ASSY</t>
  </si>
  <si>
    <t xml:space="preserve">91YAF03404AAA</t>
  </si>
  <si>
    <t xml:space="preserve">R5B PSB SUB ASSEMBLY 4P-4FP</t>
  </si>
  <si>
    <t xml:space="preserve">OPF ASSY</t>
  </si>
  <si>
    <t xml:space="preserve">92YFD04548BAA</t>
  </si>
  <si>
    <t xml:space="preserve">R5B OPF ASSEMBLY (4P-4FP) BOAT 1 - E2A</t>
  </si>
  <si>
    <t xml:space="preserve">92YFD04548BBA</t>
  </si>
  <si>
    <t xml:space="preserve">R5B OPF ASSEMBLY (4P-4FP) BOAT 2/3 - E2A</t>
  </si>
  <si>
    <t xml:space="preserve">POB ASSY</t>
  </si>
  <si>
    <t xml:space="preserve">92YWS04548AAA</t>
  </si>
  <si>
    <t xml:space="preserve">R5B 4FP POB LUMENTUM SUB ASSEMBLY - E2A</t>
  </si>
  <si>
    <t xml:space="preserve">ERBIUM ASSY</t>
  </si>
  <si>
    <t xml:space="preserve">92RRA00548AAA</t>
  </si>
  <si>
    <t xml:space="preserve">R5B ERBIUM SPOOL ASSEMBLY - E2A</t>
  </si>
  <si>
    <t xml:space="preserve">92YRA01548AAA</t>
  </si>
  <si>
    <t xml:space="preserve">R5B ERBIUM ASSEMBLY POSITION 1</t>
  </si>
  <si>
    <t xml:space="preserve">92YRA02548AAA</t>
  </si>
  <si>
    <t xml:space="preserve">R5B ERBIUM ASSEMBLY POSITION 2</t>
  </si>
  <si>
    <t xml:space="preserve">92YRA03548AAA</t>
  </si>
  <si>
    <t xml:space="preserve">R5B ERBIUM ASSEMBLY POSITION 3</t>
  </si>
  <si>
    <t xml:space="preserve">92YRA04548AAA</t>
  </si>
  <si>
    <t xml:space="preserve">R5B ERBIUM ASSEMBLY POSITION 4</t>
  </si>
  <si>
    <t xml:space="preserve">BOAT ASSY</t>
  </si>
  <si>
    <t xml:space="preserve">92UAP04548BAA</t>
  </si>
  <si>
    <t xml:space="preserve">R5B BOAT 1 ASSY (4P-4FP)</t>
  </si>
  <si>
    <t xml:space="preserve">92UAP04548BBA</t>
  </si>
  <si>
    <t xml:space="preserve">R5B BOAT 2 ASSY (4P-4FP)</t>
  </si>
  <si>
    <t xml:space="preserve">92UAP04548BCA</t>
  </si>
  <si>
    <t xml:space="preserve">R5B BOAT 3 ASSY (4P-4FP)</t>
  </si>
  <si>
    <t xml:space="preserve">COOIS DATA — READ AUTOMATICALLY FROM 'COOIS Raw'</t>
  </si>
  <si>
    <t xml:space="preserve">Do not type here. Paste the COOIS export into 'COOIS Raw' (cell A1, with headers). Everything below recalculates.</t>
  </si>
  <si>
    <t xml:space="preserve">Column found in COOIS Raw:</t>
  </si>
  <si>
    <t xml:space="preserve">WO (Order)</t>
  </si>
  <si>
    <t xml:space="preserve">Qty</t>
  </si>
  <si>
    <t xml:space="preserve">SAP System Status</t>
  </si>
  <si>
    <t xml:space="preserve">Release Date</t>
  </si>
  <si>
    <t xml:space="preserve">In Plan</t>
  </si>
  <si>
    <t xml:space="preserve">Kitted (PRT)</t>
  </si>
  <si>
    <t xml:space="preserve">Issued (GMPS)</t>
  </si>
  <si>
    <t xml:space="preserve">Delivered (DLV)</t>
  </si>
  <si>
    <t xml:space="preserve">Stage</t>
  </si>
  <si>
    <t xml:space="preserve">Seq # in Code</t>
  </si>
  <si>
    <t xml:space="preserve">Repeater #</t>
  </si>
  <si>
    <t xml:space="preserve">Contract</t>
  </si>
  <si>
    <t xml:space="preserve">HOW THE KITTING COUNT WORKS</t>
  </si>
  <si>
    <t xml:space="preserve">Refresh (weekly)</t>
  </si>
  <si>
    <t xml:space="preserve">1. Run COOIS</t>
  </si>
  <si>
    <t xml:space="preserve">Material = the 14 assy codes (multiple selection). Exclude TECO as usual. Layout must include: Order, Material Number, Material description, Order quantity, System Status, Release date (actual).</t>
  </si>
  <si>
    <t xml:space="preserve">2. Paste</t>
  </si>
  <si>
    <t xml:space="preserve">Export to spreadsheet, select all, copy, and paste into 'COOIS Raw' cell A1 (headers in row 1). Clear old data first. Column order does not matter — headers are matched by name.</t>
  </si>
  <si>
    <t xml:space="preserve">3. Read</t>
  </si>
  <si>
    <t xml:space="preserve">The Dashboard recalculates. Nothing else to type.</t>
  </si>
  <si>
    <t xml:space="preserve">Definitions</t>
  </si>
  <si>
    <t xml:space="preserve">Kitted</t>
  </si>
  <si>
    <t xml:space="preserve">A WO is kitted when COOIS shows it released and printed: status contains PRT (or PPRT). Printing the order papers / pick list is the production controller's kitting step.</t>
  </si>
  <si>
    <t xml:space="preserve">Goods movement posted: components issued to the WO in SAP.</t>
  </si>
  <si>
    <t xml:space="preserve">Finished assembly goods-receipted.</t>
  </si>
  <si>
    <t xml:space="preserve">Repeater kits</t>
  </si>
  <si>
    <t xml:space="preserve">Kitted WOs ÷ qty per repeater (from 'Kitting Plan'), rounded down. REPEATERS KITTED = the lowest value across all 14 codes, because a repeater needs every code.</t>
  </si>
  <si>
    <t xml:space="preserve">Each WO is given a repeater number by release order within its code (oldest first): seq ÷ qty per repeater, rounded up. E.g. spool orders 1–24 = Rep 1, 25–48 = Rep 2.</t>
  </si>
  <si>
    <t xml:space="preserve">Surplus</t>
  </si>
  <si>
    <t xml:space="preserve">WOs numbered beyond the contract repeaters (13). They are extra releases — usually rework / replacement orders whose original was not TECO'd. Review and TECO as needed.</t>
  </si>
  <si>
    <t xml:space="preserve">How to check '13'</t>
  </si>
  <si>
    <t xml:space="preserve">Filter 'COOIS Data' on Assy Code: the count of WOs ÷ qty per repeater gives the repeaters kitted for that code. The Dashboard shows the lowest — that is the answer for the contract.</t>
  </si>
  <si>
    <t xml:space="preserve">Order</t>
  </si>
  <si>
    <t xml:space="preserve">Order Type</t>
  </si>
  <si>
    <t xml:space="preserve">Material Number</t>
  </si>
  <si>
    <t xml:space="preserve">Material description</t>
  </si>
  <si>
    <t xml:space="preserve">Plant</t>
  </si>
  <si>
    <t xml:space="preserve">Batch</t>
  </si>
  <si>
    <t xml:space="preserve">Order quantity (GMEIN)</t>
  </si>
  <si>
    <t xml:space="preserve">Unit of measure (=GMEIN)</t>
  </si>
  <si>
    <t xml:space="preserve">Release date (actual)</t>
  </si>
  <si>
    <t xml:space="preserve">Delivered quantity (GMEIN)</t>
  </si>
  <si>
    <t xml:space="preserve">Created on</t>
  </si>
  <si>
    <t xml:space="preserve">Entered by</t>
  </si>
  <si>
    <t xml:space="preserve">Change date</t>
  </si>
  <si>
    <t xml:space="preserve">Last changed by</t>
  </si>
  <si>
    <t xml:space="preserve">System Status</t>
  </si>
  <si>
    <t xml:space="preserve">Planned opening date</t>
  </si>
  <si>
    <t xml:space="preserve">Basic start date</t>
  </si>
  <si>
    <t xml:space="preserve">Basic finish date</t>
  </si>
  <si>
    <t xml:space="preserve">Firming indicator</t>
  </si>
  <si>
    <t xml:space="preserve">Results Analysis Key</t>
  </si>
  <si>
    <t xml:space="preserve">Processing group</t>
  </si>
  <si>
    <t xml:space="preserve">Requesting co. code</t>
  </si>
  <si>
    <t xml:space="preserve">Address Number</t>
  </si>
  <si>
    <t xml:space="preserve">Change Number</t>
  </si>
  <si>
    <t xml:space="preserve">Changed at</t>
  </si>
  <si>
    <t xml:space="preserve">Request. cost center</t>
  </si>
  <si>
    <t xml:space="preserve">Priority</t>
  </si>
  <si>
    <t xml:space="preserve">User Status</t>
  </si>
  <si>
    <t xml:space="preserve">Request ID</t>
  </si>
  <si>
    <t xml:space="preserve">Reservation/Purc.req</t>
  </si>
  <si>
    <t xml:space="preserve">Expl. date rtg/BOM</t>
  </si>
  <si>
    <t xml:space="preserve">Order category</t>
  </si>
  <si>
    <t xml:space="preserve">Variance Key</t>
  </si>
  <si>
    <t xml:space="preserve">Accounting Indicator</t>
  </si>
  <si>
    <t xml:space="preserve">Exact break times</t>
  </si>
  <si>
    <t xml:space="preserve">Av.chk: committ.diff.</t>
  </si>
  <si>
    <t xml:space="preserve">Av.chk: committ.fact. (PROZENT)</t>
  </si>
  <si>
    <t xml:space="preserve">Company Code</t>
  </si>
  <si>
    <t xml:space="preserve">Cost collector key</t>
  </si>
  <si>
    <t xml:space="preserve">CO processing</t>
  </si>
  <si>
    <t xml:space="preserve">Identical object</t>
  </si>
  <si>
    <t xml:space="preserve">Update costs</t>
  </si>
  <si>
    <t xml:space="preserve">Apportionment Struct</t>
  </si>
  <si>
    <t xml:space="preserve">Sequence number</t>
  </si>
  <si>
    <t xml:space="preserve">MRP controller</t>
  </si>
  <si>
    <t xml:space="preserve">Time created</t>
  </si>
  <si>
    <t xml:space="preserve">Equity type</t>
  </si>
  <si>
    <t xml:space="preserve">Production scheduler</t>
  </si>
  <si>
    <t xml:space="preserve">SchedMargin key</t>
  </si>
  <si>
    <t xml:space="preserve">Release period</t>
  </si>
  <si>
    <t xml:space="preserve">Release date plan.</t>
  </si>
  <si>
    <t xml:space="preserve">Release date (scheduled)</t>
  </si>
  <si>
    <t xml:space="preserve">Prog. release</t>
  </si>
  <si>
    <t xml:space="preserve">Functional Area</t>
  </si>
  <si>
    <t xml:space="preserve">Total scrap (GMEIN)</t>
  </si>
  <si>
    <t xml:space="preserve">Confirmed finish date</t>
  </si>
  <si>
    <t xml:space="preserve">Actual finish</t>
  </si>
  <si>
    <t xml:space="preserve">Expected variance (GMEIN)</t>
  </si>
  <si>
    <t xml:space="preserve">Forecast finish date</t>
  </si>
  <si>
    <t xml:space="preserve">Prog.finish sched.</t>
  </si>
  <si>
    <t xml:space="preserve">Actual finish date</t>
  </si>
  <si>
    <t xml:space="preserve">Scheduled finish date</t>
  </si>
  <si>
    <t xml:space="preserve">Basic finish time</t>
  </si>
  <si>
    <t xml:space="preserve">Scheduled fin. time</t>
  </si>
  <si>
    <t xml:space="preserve">Business Area</t>
  </si>
  <si>
    <t xml:space="preserve">Committed date</t>
  </si>
  <si>
    <t xml:space="preserve">Forecast start date</t>
  </si>
  <si>
    <t xml:space="preserve">Prog.start date</t>
  </si>
  <si>
    <t xml:space="preserve">Actual start time</t>
  </si>
  <si>
    <t xml:space="preserve">Start date (sched)</t>
  </si>
  <si>
    <t xml:space="preserve">ActualStartTime</t>
  </si>
  <si>
    <t xml:space="preserve">Basic start time</t>
  </si>
  <si>
    <t xml:space="preserve">Scheduled start time</t>
  </si>
  <si>
    <t xml:space="preserve">Confirmed scrap (GMEIN)</t>
  </si>
  <si>
    <t xml:space="preserve">Message Type</t>
  </si>
  <si>
    <t xml:space="preserve">Confirmed quantity (GMEIN)</t>
  </si>
  <si>
    <t xml:space="preserve">Investment profile</t>
  </si>
  <si>
    <t xml:space="preserve">Investment reason</t>
  </si>
  <si>
    <t xml:space="preserve">JIB/JIBE Class</t>
  </si>
  <si>
    <t xml:space="preserve">JIB/JIBE Subclass A</t>
  </si>
  <si>
    <t xml:space="preserve">Costing Sheet</t>
  </si>
  <si>
    <t xml:space="preserve">Version</t>
  </si>
  <si>
    <t xml:space="preserve">Sales Order</t>
  </si>
  <si>
    <t xml:space="preserve">Sales Order Item</t>
  </si>
  <si>
    <t xml:space="preserve">Cstg variant actual</t>
  </si>
  <si>
    <t xml:space="preserve">Cstg variant planned</t>
  </si>
  <si>
    <t xml:space="preserve">Controlling Area</t>
  </si>
  <si>
    <t xml:space="preserve">Responsible CCtr</t>
  </si>
  <si>
    <t xml:space="preserve">Settlement cost elem</t>
  </si>
  <si>
    <t xml:space="preserve">Cost collector</t>
  </si>
  <si>
    <t xml:space="preserve">Type avail.chck</t>
  </si>
  <si>
    <t xml:space="preserve">Proj. summ. MastData</t>
  </si>
  <si>
    <t xml:space="preserve">Leading order</t>
  </si>
  <si>
    <t xml:space="preserve">Deletion flag</t>
  </si>
  <si>
    <t xml:space="preserve">Long txt exists</t>
  </si>
  <si>
    <t xml:space="preserve">Superior order</t>
  </si>
  <si>
    <t xml:space="preserve">Production line</t>
  </si>
  <si>
    <t xml:space="preserve">Planning ID 2</t>
  </si>
  <si>
    <t xml:space="preserve">ExpectYieldVariance (GMEIN)</t>
  </si>
  <si>
    <t xml:space="preserve">Av.chk.messages</t>
  </si>
  <si>
    <t xml:space="preserve">No planned costs</t>
  </si>
  <si>
    <t xml:space="preserve">Change indicator</t>
  </si>
  <si>
    <t xml:space="preserve">Joint Venture Object Type</t>
  </si>
  <si>
    <t xml:space="preserve">Routing change number</t>
  </si>
  <si>
    <t xml:space="preserve">Routing valid from</t>
  </si>
  <si>
    <t xml:space="preserve">Cost collector.1</t>
  </si>
  <si>
    <t xml:space="preserve">Explosion date</t>
  </si>
  <si>
    <t xml:space="preserve">Planner group</t>
  </si>
  <si>
    <t xml:space="preserve">Routing group cnt.</t>
  </si>
  <si>
    <t xml:space="preserve">Routing appl.</t>
  </si>
  <si>
    <t xml:space="preserve">Routing material</t>
  </si>
  <si>
    <t xml:space="preserve">Task list unit (=PLNME)</t>
  </si>
  <si>
    <t xml:space="preserve">Routing group</t>
  </si>
  <si>
    <t xml:space="preserve">Task List Type</t>
  </si>
  <si>
    <t xml:space="preserve">Routing lot size to (PLNME)</t>
  </si>
  <si>
    <t xml:space="preserve">Routing lot size frm (PLNME)</t>
  </si>
  <si>
    <t xml:space="preserve">Planning plant</t>
  </si>
  <si>
    <t xml:space="preserve">Outline finish date</t>
  </si>
  <si>
    <t xml:space="preserve">Finish</t>
  </si>
  <si>
    <t xml:space="preserve">Outline start date</t>
  </si>
  <si>
    <t xml:space="preserve">Start</t>
  </si>
  <si>
    <t xml:space="preserve">Item (SD)</t>
  </si>
  <si>
    <t xml:space="preserve">Item (SD).1</t>
  </si>
  <si>
    <t xml:space="preserve">Profit Center</t>
  </si>
  <si>
    <t xml:space="preserve">Max. problem class</t>
  </si>
  <si>
    <t xml:space="preserve">Production Process No</t>
  </si>
  <si>
    <t xml:space="preserve">Collective order</t>
  </si>
  <si>
    <t xml:space="preserve">WBS Element</t>
  </si>
  <si>
    <t xml:space="preserve">Process category</t>
  </si>
  <si>
    <t xml:space="preserve">Percent (=PROZENT)</t>
  </si>
  <si>
    <t xml:space="preserve">Inspection Lot</t>
  </si>
  <si>
    <t xml:space="preserve">Identification</t>
  </si>
  <si>
    <t xml:space="preserve">Recovery Indicator</t>
  </si>
  <si>
    <t xml:space="preserve">Reduction indicator</t>
  </si>
  <si>
    <t xml:space="preserve">Reference order</t>
  </si>
  <si>
    <t xml:space="preserve">Av.chk.result</t>
  </si>
  <si>
    <t xml:space="preserve">Revision Level</t>
  </si>
  <si>
    <t xml:space="preserve">Sales Document</t>
  </si>
  <si>
    <t xml:space="preserve">Rework qty (GMEIN)</t>
  </si>
  <si>
    <t xml:space="preserve">Reservation</t>
  </si>
  <si>
    <t xml:space="preserve">Refurbishment order</t>
  </si>
  <si>
    <t xml:space="preserve">Confirmation number</t>
  </si>
  <si>
    <t xml:space="preserve">BOM change number</t>
  </si>
  <si>
    <t xml:space="preserve">Run schedule header</t>
  </si>
  <si>
    <t xml:space="preserve">Base Unit of Measure (=SBMEH)</t>
  </si>
  <si>
    <t xml:space="preserve">BOM base quantity (SBMEH)</t>
  </si>
  <si>
    <t xml:space="preserve">Controlling area</t>
  </si>
  <si>
    <t xml:space="preserve">BOM valid from</t>
  </si>
  <si>
    <t xml:space="preserve">Prod.Sched.Profile</t>
  </si>
  <si>
    <t xml:space="preserve">Float after prod.</t>
  </si>
  <si>
    <t xml:space="preserve">SchedFloatAfterProd.</t>
  </si>
  <si>
    <t xml:space="preserve">Scale</t>
  </si>
  <si>
    <t xml:space="preserve">BOM lot size to (SBMEH)</t>
  </si>
  <si>
    <t xml:space="preserve">BOM lot size from (SBMEH)</t>
  </si>
  <si>
    <t xml:space="preserve">Special Stock</t>
  </si>
  <si>
    <t xml:space="preserve">Location plant</t>
  </si>
  <si>
    <t xml:space="preserve">Split status</t>
  </si>
  <si>
    <t xml:space="preserve">Status Profile</t>
  </si>
  <si>
    <t xml:space="preserve">BOM alternative</t>
  </si>
  <si>
    <t xml:space="preserve">BOM usage</t>
  </si>
  <si>
    <t xml:space="preserve">BOM material</t>
  </si>
  <si>
    <t xml:space="preserve">BOM number</t>
  </si>
  <si>
    <t xml:space="preserve">BOM status</t>
  </si>
  <si>
    <t xml:space="preserve">BOM category</t>
  </si>
  <si>
    <t xml:space="preserve">Object ID</t>
  </si>
  <si>
    <t xml:space="preserve">Scheduling note</t>
  </si>
  <si>
    <t xml:space="preserve">Scheduling type</t>
  </si>
  <si>
    <t xml:space="preserve">Scheduled on</t>
  </si>
  <si>
    <t xml:space="preserve">Long Text Language</t>
  </si>
  <si>
    <t xml:space="preserve">Envir. investment</t>
  </si>
  <si>
    <t xml:space="preserve">Estimated costs (WAERS)</t>
  </si>
  <si>
    <t xml:space="preserve">Production Version</t>
  </si>
  <si>
    <t xml:space="preserve">Committed qty (GMEIN)</t>
  </si>
  <si>
    <t xml:space="preserve">Joint Venture</t>
  </si>
  <si>
    <t xml:space="preserve">Float before prod.</t>
  </si>
  <si>
    <t xml:space="preserve">SchedFloatBeforeProd.</t>
  </si>
  <si>
    <t xml:space="preserve">Version.1</t>
  </si>
  <si>
    <t xml:space="preserve">Currency</t>
  </si>
  <si>
    <t xml:space="preserve">Overhead key</t>
  </si>
  <si>
    <t xml:space="preserve">REP</t>
  </si>
  <si>
    <t xml:space="preserve">R5B ERBIUM ASSEMBLY 1</t>
  </si>
  <si>
    <t xml:space="preserve">8000.0</t>
  </si>
  <si>
    <t xml:space="preserve">EA</t>
  </si>
  <si>
    <t xml:space="preserve">2026-10-03</t>
  </si>
  <si>
    <t xml:space="preserve">NBAKARE</t>
  </si>
  <si>
    <t xml:space="preserve">REL PRT PCNF PRC GMPS MANC SETC</t>
  </si>
  <si>
    <t xml:space="preserve">ZSUBME</t>
  </si>
  <si>
    <t xml:space="preserve">0.0</t>
  </si>
  <si>
    <t xml:space="preserve">10:35:35</t>
  </si>
  <si>
    <t xml:space="preserve">3.0</t>
  </si>
  <si>
    <t xml:space="preserve">10.0</t>
  </si>
  <si>
    <t xml:space="preserve">PP1</t>
  </si>
  <si>
    <t xml:space="preserve">10:35:32</t>
  </si>
  <si>
    <t xml:space="preserve">7.0</t>
  </si>
  <si>
    <t xml:space="preserve">1.0</t>
  </si>
  <si>
    <t xml:space="preserve">5.0</t>
  </si>
  <si>
    <t xml:space="preserve">0:00:00</t>
  </si>
  <si>
    <t xml:space="preserve">24:00:00</t>
  </si>
  <si>
    <t xml:space="preserve">09:36:37</t>
  </si>
  <si>
    <t xml:space="preserve">PP-PC1</t>
  </si>
  <si>
    <t xml:space="preserve">PPP2</t>
  </si>
  <si>
    <t xml:space="preserve">PPP1</t>
  </si>
  <si>
    <t xml:space="preserve">3000.0</t>
  </si>
  <si>
    <t xml:space="preserve">2013-01-01</t>
  </si>
  <si>
    <t xml:space="preserve">P</t>
  </si>
  <si>
    <t xml:space="preserve">50002992.0</t>
  </si>
  <si>
    <t xml:space="preserve">S</t>
  </si>
  <si>
    <t xml:space="preserve">99999999.0</t>
  </si>
  <si>
    <t xml:space="preserve">%</t>
  </si>
  <si>
    <t xml:space="preserve">2.0</t>
  </si>
  <si>
    <t xml:space="preserve">153475351.0</t>
  </si>
  <si>
    <t xml:space="preserve">S9I00022646</t>
  </si>
  <si>
    <t xml:space="preserve">Production</t>
  </si>
  <si>
    <t xml:space="preserve">2026-03-01</t>
  </si>
  <si>
    <t xml:space="preserve">Z0000001</t>
  </si>
  <si>
    <t xml:space="preserve">107317.0</t>
  </si>
  <si>
    <t xml:space="preserve">M</t>
  </si>
  <si>
    <t xml:space="preserve">GBP</t>
  </si>
  <si>
    <t xml:space="preserve">2026-10-02</t>
  </si>
  <si>
    <t xml:space="preserve">TWRIGHT</t>
  </si>
  <si>
    <t xml:space="preserve">REL PRT PRC MANC SETC</t>
  </si>
  <si>
    <t xml:space="preserve">14:06:23</t>
  </si>
  <si>
    <t xml:space="preserve">14:06:20</t>
  </si>
  <si>
    <t xml:space="preserve">50003000.0</t>
  </si>
  <si>
    <t xml:space="preserve">153458217.0</t>
  </si>
  <si>
    <t xml:space="preserve">S9I00022630</t>
  </si>
  <si>
    <t xml:space="preserve">2026-02-01</t>
  </si>
  <si>
    <t xml:space="preserve">107280.0</t>
  </si>
  <si>
    <t xml:space="preserve">14:07:34</t>
  </si>
  <si>
    <t xml:space="preserve">14:07:31</t>
  </si>
  <si>
    <t xml:space="preserve">50003001.0</t>
  </si>
  <si>
    <t xml:space="preserve">153458240.0</t>
  </si>
  <si>
    <t xml:space="preserve">S9I00022633</t>
  </si>
  <si>
    <t xml:space="preserve">107294.0</t>
  </si>
  <si>
    <t xml:space="preserve">14:07:38</t>
  </si>
  <si>
    <t xml:space="preserve">100880185.0</t>
  </si>
  <si>
    <t xml:space="preserve">153469271.0</t>
  </si>
  <si>
    <t xml:space="preserve">14:09:35</t>
  </si>
  <si>
    <t xml:space="preserve">14:09:32</t>
  </si>
  <si>
    <t xml:space="preserve">50002999.0</t>
  </si>
  <si>
    <t xml:space="preserve">153459989.0</t>
  </si>
  <si>
    <t xml:space="preserve">S9I00020481</t>
  </si>
  <si>
    <t xml:space="preserve">2025-06-23</t>
  </si>
  <si>
    <t xml:space="preserve">104710.0</t>
  </si>
  <si>
    <t xml:space="preserve">14:09:38</t>
  </si>
  <si>
    <t xml:space="preserve">100880187.0</t>
  </si>
  <si>
    <t xml:space="preserve">153469273.0</t>
  </si>
  <si>
    <t xml:space="preserve">14:09:41</t>
  </si>
  <si>
    <t xml:space="preserve">153469274.0</t>
  </si>
  <si>
    <t xml:space="preserve">14:12:03</t>
  </si>
  <si>
    <t xml:space="preserve">14:12:00</t>
  </si>
  <si>
    <t xml:space="preserve">50003002.0</t>
  </si>
  <si>
    <t xml:space="preserve">153455392.0</t>
  </si>
  <si>
    <t xml:space="preserve">S9I00022650</t>
  </si>
  <si>
    <t xml:space="preserve">107321.0</t>
  </si>
  <si>
    <t xml:space="preserve">14:15:21</t>
  </si>
  <si>
    <t xml:space="preserve">14:15:19</t>
  </si>
  <si>
    <t xml:space="preserve">153455416.0</t>
  </si>
  <si>
    <t xml:space="preserve">S9I00022651</t>
  </si>
  <si>
    <t xml:space="preserve">107322.0</t>
  </si>
  <si>
    <t xml:space="preserve">14:17:10</t>
  </si>
  <si>
    <t xml:space="preserve">14:17:08</t>
  </si>
  <si>
    <t xml:space="preserve">153455417.0</t>
  </si>
  <si>
    <t xml:space="preserve">14:19:04</t>
  </si>
  <si>
    <t xml:space="preserve">14:19:01</t>
  </si>
  <si>
    <t xml:space="preserve">50002991.0</t>
  </si>
  <si>
    <t xml:space="preserve">153455694.0</t>
  </si>
  <si>
    <t xml:space="preserve">S9I00022614</t>
  </si>
  <si>
    <t xml:space="preserve">2026-02-13</t>
  </si>
  <si>
    <t xml:space="preserve">107275.0</t>
  </si>
  <si>
    <t xml:space="preserve">14:20:10</t>
  </si>
  <si>
    <t xml:space="preserve">14:20:07</t>
  </si>
  <si>
    <t xml:space="preserve">153455695.0</t>
  </si>
  <si>
    <t xml:space="preserve">14:20:14</t>
  </si>
  <si>
    <t xml:space="preserve">100880194.0</t>
  </si>
  <si>
    <t xml:space="preserve">153469690.0</t>
  </si>
  <si>
    <t xml:space="preserve">14:21:44</t>
  </si>
  <si>
    <t xml:space="preserve">14:21:41</t>
  </si>
  <si>
    <t xml:space="preserve">50002963.0</t>
  </si>
  <si>
    <t xml:space="preserve">153458136.0</t>
  </si>
  <si>
    <t xml:space="preserve">S9I00022645</t>
  </si>
  <si>
    <t xml:space="preserve">107316.0</t>
  </si>
  <si>
    <t xml:space="preserve">14:21:47</t>
  </si>
  <si>
    <t xml:space="preserve">100880196.0</t>
  </si>
  <si>
    <t xml:space="preserve">153469743.0</t>
  </si>
  <si>
    <t xml:space="preserve">14:21:50</t>
  </si>
  <si>
    <t xml:space="preserve">153469744.0</t>
  </si>
  <si>
    <t xml:space="preserve">14:21:53</t>
  </si>
  <si>
    <t xml:space="preserve">153469745.0</t>
  </si>
  <si>
    <t xml:space="preserve">14:21:57</t>
  </si>
  <si>
    <t xml:space="preserve">153469746.0</t>
  </si>
  <si>
    <t xml:space="preserve">14:22:00</t>
  </si>
  <si>
    <t xml:space="preserve">153469747.0</t>
  </si>
  <si>
    <t xml:space="preserve">14:22:03</t>
  </si>
  <si>
    <t xml:space="preserve">153469748.0</t>
  </si>
  <si>
    <t xml:space="preserve">14:22:06</t>
  </si>
  <si>
    <t xml:space="preserve">153469749.0</t>
  </si>
  <si>
    <t xml:space="preserve">14:22:09</t>
  </si>
  <si>
    <t xml:space="preserve">153469750.0</t>
  </si>
  <si>
    <t xml:space="preserve">14:22:12</t>
  </si>
  <si>
    <t xml:space="preserve">153469751.0</t>
  </si>
  <si>
    <t xml:space="preserve">14:22:15</t>
  </si>
  <si>
    <t xml:space="preserve">153469752.0</t>
  </si>
  <si>
    <t xml:space="preserve">14:22:18</t>
  </si>
  <si>
    <t xml:space="preserve">153469753.0</t>
  </si>
  <si>
    <t xml:space="preserve">14:22:21</t>
  </si>
  <si>
    <t xml:space="preserve">153469754.0</t>
  </si>
  <si>
    <t xml:space="preserve">14:22:24</t>
  </si>
  <si>
    <t xml:space="preserve">153469755.0</t>
  </si>
  <si>
    <t xml:space="preserve">14:22:27</t>
  </si>
  <si>
    <t xml:space="preserve">153469756.0</t>
  </si>
  <si>
    <t xml:space="preserve">14:22:30</t>
  </si>
  <si>
    <t xml:space="preserve">153469757.0</t>
  </si>
  <si>
    <t xml:space="preserve">14:22:33</t>
  </si>
  <si>
    <t xml:space="preserve">153469758.0</t>
  </si>
  <si>
    <t xml:space="preserve">14:22:36</t>
  </si>
  <si>
    <t xml:space="preserve">153469759.0</t>
  </si>
  <si>
    <t xml:space="preserve">14:22:39</t>
  </si>
  <si>
    <t xml:space="preserve">153469760.0</t>
  </si>
  <si>
    <t xml:space="preserve">14:22:42</t>
  </si>
  <si>
    <t xml:space="preserve">153469761.0</t>
  </si>
  <si>
    <t xml:space="preserve">14:22:45</t>
  </si>
  <si>
    <t xml:space="preserve">153469762.0</t>
  </si>
  <si>
    <t xml:space="preserve">14:22:48</t>
  </si>
  <si>
    <t xml:space="preserve">153469763.0</t>
  </si>
  <si>
    <t xml:space="preserve">14:22:51</t>
  </si>
  <si>
    <t xml:space="preserve">153469764.0</t>
  </si>
  <si>
    <t xml:space="preserve">14:22:54</t>
  </si>
  <si>
    <t xml:space="preserve">153469766.0</t>
  </si>
  <si>
    <t xml:space="preserve">REL PRT PCNF PRC MANC SETC</t>
  </si>
  <si>
    <t xml:space="preserve">15:03:10</t>
  </si>
  <si>
    <t xml:space="preserve">15:03:07</t>
  </si>
  <si>
    <t xml:space="preserve">07:46:53</t>
  </si>
  <si>
    <t xml:space="preserve">153455604.0</t>
  </si>
  <si>
    <t xml:space="preserve">15:03:13</t>
  </si>
  <si>
    <t xml:space="preserve">07:46:54</t>
  </si>
  <si>
    <t xml:space="preserve">100880222.0</t>
  </si>
  <si>
    <t xml:space="preserve">153469778.0</t>
  </si>
  <si>
    <t xml:space="preserve">15:03:16</t>
  </si>
  <si>
    <t xml:space="preserve">153469779.0</t>
  </si>
  <si>
    <t xml:space="preserve">R5B ERBIUM ASSEMBLY 2</t>
  </si>
  <si>
    <t xml:space="preserve">15:04:59</t>
  </si>
  <si>
    <t xml:space="preserve">15:04:57</t>
  </si>
  <si>
    <t xml:space="preserve">153455626.0</t>
  </si>
  <si>
    <t xml:space="preserve">S9I00022647</t>
  </si>
  <si>
    <t xml:space="preserve">107318.0</t>
  </si>
  <si>
    <t xml:space="preserve">15:05:03</t>
  </si>
  <si>
    <t xml:space="preserve">07:46:55</t>
  </si>
  <si>
    <t xml:space="preserve">100880225.0</t>
  </si>
  <si>
    <t xml:space="preserve">153469781.0</t>
  </si>
  <si>
    <t xml:space="preserve">15:05:07</t>
  </si>
  <si>
    <t xml:space="preserve">153469782.0</t>
  </si>
  <si>
    <t xml:space="preserve">R5B ERBIUM ASSEMBLY 3</t>
  </si>
  <si>
    <t xml:space="preserve">15:07:31</t>
  </si>
  <si>
    <t xml:space="preserve">15:07:28</t>
  </si>
  <si>
    <t xml:space="preserve">153455648.0</t>
  </si>
  <si>
    <t xml:space="preserve">S9I00022648</t>
  </si>
  <si>
    <t xml:space="preserve">107319.0</t>
  </si>
  <si>
    <t xml:space="preserve">15:07:35</t>
  </si>
  <si>
    <t xml:space="preserve">07:46:56</t>
  </si>
  <si>
    <t xml:space="preserve">100880228.0</t>
  </si>
  <si>
    <t xml:space="preserve">153469784.0</t>
  </si>
  <si>
    <t xml:space="preserve">15:07:39</t>
  </si>
  <si>
    <t xml:space="preserve">153469785.0</t>
  </si>
  <si>
    <t xml:space="preserve">R5B ERBIUM ASSEMBLY 4</t>
  </si>
  <si>
    <t xml:space="preserve">15:08:58</t>
  </si>
  <si>
    <t xml:space="preserve">15:08:55</t>
  </si>
  <si>
    <t xml:space="preserve">07:46:57</t>
  </si>
  <si>
    <t xml:space="preserve">153455669.0</t>
  </si>
  <si>
    <t xml:space="preserve">S9I00022649</t>
  </si>
  <si>
    <t xml:space="preserve">107320.0</t>
  </si>
  <si>
    <t xml:space="preserve">15:09:02</t>
  </si>
  <si>
    <t xml:space="preserve">100880231.0</t>
  </si>
  <si>
    <t xml:space="preserve">153469787.0</t>
  </si>
  <si>
    <t xml:space="preserve">15:09:05</t>
  </si>
  <si>
    <t xml:space="preserve">153469788.0</t>
  </si>
  <si>
    <t xml:space="preserve">R5B BOAT 1 ASSY (4P-4FP) L - E2A</t>
  </si>
  <si>
    <t xml:space="preserve">15:16:22</t>
  </si>
  <si>
    <t xml:space="preserve">15:16:19</t>
  </si>
  <si>
    <t xml:space="preserve">50002990.0</t>
  </si>
  <si>
    <t xml:space="preserve">153453354.0</t>
  </si>
  <si>
    <t xml:space="preserve">S9I00022652</t>
  </si>
  <si>
    <t xml:space="preserve">107323.0</t>
  </si>
  <si>
    <t xml:space="preserve">MNT_SU</t>
  </si>
  <si>
    <t xml:space="preserve">R5B BOAT 2 ASSY (4P-4FP) L - E2A</t>
  </si>
  <si>
    <t xml:space="preserve">15:22:13</t>
  </si>
  <si>
    <t xml:space="preserve">15:22:10</t>
  </si>
  <si>
    <t xml:space="preserve">153453379.0</t>
  </si>
  <si>
    <t xml:space="preserve">S9I00022653</t>
  </si>
  <si>
    <t xml:space="preserve">107341.0</t>
  </si>
  <si>
    <t xml:space="preserve">R5B BOAT 3 ASSY (4P-4FP) L - E2A</t>
  </si>
  <si>
    <t xml:space="preserve">15:25:10</t>
  </si>
  <si>
    <t xml:space="preserve">15:25:07</t>
  </si>
  <si>
    <t xml:space="preserve">153453400.0</t>
  </si>
  <si>
    <t xml:space="preserve">S9I00022690</t>
  </si>
  <si>
    <t xml:space="preserve">107349.0</t>
  </si>
  <si>
    <t xml:space="preserve">16:51:22</t>
  </si>
  <si>
    <t xml:space="preserve">16:51:19</t>
  </si>
  <si>
    <t xml:space="preserve">153458218.0</t>
  </si>
  <si>
    <t xml:space="preserve">16:58:32</t>
  </si>
  <si>
    <t xml:space="preserve">16:58:29</t>
  </si>
  <si>
    <t xml:space="preserve">153458241.0</t>
  </si>
  <si>
    <t xml:space="preserve">16:58:35</t>
  </si>
  <si>
    <t xml:space="preserve">100880246.0</t>
  </si>
  <si>
    <t xml:space="preserve">153469803.0</t>
  </si>
  <si>
    <t xml:space="preserve">17:33:18</t>
  </si>
  <si>
    <t xml:space="preserve">17:33:15</t>
  </si>
  <si>
    <t xml:space="preserve">153459990.0</t>
  </si>
  <si>
    <t xml:space="preserve">17:33:21</t>
  </si>
  <si>
    <t xml:space="preserve">100880248.0</t>
  </si>
  <si>
    <t xml:space="preserve">153469805.0</t>
  </si>
  <si>
    <t xml:space="preserve">17:33:25</t>
  </si>
  <si>
    <t xml:space="preserve">153469806.0</t>
  </si>
  <si>
    <t xml:space="preserve">17:37:13</t>
  </si>
  <si>
    <t xml:space="preserve">17:37:10</t>
  </si>
  <si>
    <t xml:space="preserve">153455393.0</t>
  </si>
  <si>
    <t xml:space="preserve">17:39:46</t>
  </si>
  <si>
    <t xml:space="preserve">17:39:44</t>
  </si>
  <si>
    <t xml:space="preserve">153455418.0</t>
  </si>
  <si>
    <t xml:space="preserve">17:39:50</t>
  </si>
  <si>
    <t xml:space="preserve">100880252.0</t>
  </si>
  <si>
    <t xml:space="preserve">153469809.0</t>
  </si>
  <si>
    <t xml:space="preserve">17:43:19</t>
  </si>
  <si>
    <t xml:space="preserve">17:43:16</t>
  </si>
  <si>
    <t xml:space="preserve">153455696.0</t>
  </si>
  <si>
    <t xml:space="preserve">17:43:22</t>
  </si>
  <si>
    <t xml:space="preserve">100880254.0</t>
  </si>
  <si>
    <t xml:space="preserve">153469811.0</t>
  </si>
  <si>
    <t xml:space="preserve">17:43:26</t>
  </si>
  <si>
    <t xml:space="preserve">153469812.0</t>
  </si>
  <si>
    <t xml:space="preserve">17:51:06</t>
  </si>
  <si>
    <t xml:space="preserve">17:51:03</t>
  </si>
  <si>
    <t xml:space="preserve">153458137.0</t>
  </si>
  <si>
    <t xml:space="preserve">17:51:10</t>
  </si>
  <si>
    <t xml:space="preserve">100880257.0</t>
  </si>
  <si>
    <t xml:space="preserve">153469814.0</t>
  </si>
  <si>
    <t xml:space="preserve">17:51:13</t>
  </si>
  <si>
    <t xml:space="preserve">153469815.0</t>
  </si>
  <si>
    <t xml:space="preserve">17:51:16</t>
  </si>
  <si>
    <t xml:space="preserve">153469816.0</t>
  </si>
  <si>
    <t xml:space="preserve">17:51:19</t>
  </si>
  <si>
    <t xml:space="preserve">153469817.0</t>
  </si>
  <si>
    <t xml:space="preserve">17:51:22</t>
  </si>
  <si>
    <t xml:space="preserve">153469818.0</t>
  </si>
  <si>
    <t xml:space="preserve">17:51:25</t>
  </si>
  <si>
    <t xml:space="preserve">153469819.0</t>
  </si>
  <si>
    <t xml:space="preserve">17:51:28</t>
  </si>
  <si>
    <t xml:space="preserve">153469820.0</t>
  </si>
  <si>
    <t xml:space="preserve">17:51:31</t>
  </si>
  <si>
    <t xml:space="preserve">153469821.0</t>
  </si>
  <si>
    <t xml:space="preserve">17:51:34</t>
  </si>
  <si>
    <t xml:space="preserve">153469822.0</t>
  </si>
  <si>
    <t xml:space="preserve">17:51:37</t>
  </si>
  <si>
    <t xml:space="preserve">153469823.0</t>
  </si>
  <si>
    <t xml:space="preserve">17:51:40</t>
  </si>
  <si>
    <t xml:space="preserve">153469824.0</t>
  </si>
  <si>
    <t xml:space="preserve">17:51:43</t>
  </si>
  <si>
    <t xml:space="preserve">153469825.0</t>
  </si>
  <si>
    <t xml:space="preserve">17:51:46</t>
  </si>
  <si>
    <t xml:space="preserve">153469826.0</t>
  </si>
  <si>
    <t xml:space="preserve">17:51:49</t>
  </si>
  <si>
    <t xml:space="preserve">153469827.0</t>
  </si>
  <si>
    <t xml:space="preserve">17:51:52</t>
  </si>
  <si>
    <t xml:space="preserve">153469828.0</t>
  </si>
  <si>
    <t xml:space="preserve">17:51:55</t>
  </si>
  <si>
    <t xml:space="preserve">153469829.0</t>
  </si>
  <si>
    <t xml:space="preserve">17:51:58</t>
  </si>
  <si>
    <t xml:space="preserve">153469830.0</t>
  </si>
  <si>
    <t xml:space="preserve">17:52:01</t>
  </si>
  <si>
    <t xml:space="preserve">153469831.0</t>
  </si>
  <si>
    <t xml:space="preserve">17:52:04</t>
  </si>
  <si>
    <t xml:space="preserve">153469832.0</t>
  </si>
  <si>
    <t xml:space="preserve">17:52:08</t>
  </si>
  <si>
    <t xml:space="preserve">153469833.0</t>
  </si>
  <si>
    <t xml:space="preserve">17:52:11</t>
  </si>
  <si>
    <t xml:space="preserve">153469834.0</t>
  </si>
  <si>
    <t xml:space="preserve">17:52:14</t>
  </si>
  <si>
    <t xml:space="preserve">153469835.0</t>
  </si>
  <si>
    <t xml:space="preserve">17:52:17</t>
  </si>
  <si>
    <t xml:space="preserve">153469836.0</t>
  </si>
  <si>
    <t xml:space="preserve">17:55:41</t>
  </si>
  <si>
    <t xml:space="preserve">17:55:38</t>
  </si>
  <si>
    <t xml:space="preserve">07:46:58</t>
  </si>
  <si>
    <t xml:space="preserve">153455605.0</t>
  </si>
  <si>
    <t xml:space="preserve">17:55:45</t>
  </si>
  <si>
    <t xml:space="preserve">100880281.0</t>
  </si>
  <si>
    <t xml:space="preserve">153469838.0</t>
  </si>
  <si>
    <t xml:space="preserve">17:55:48</t>
  </si>
  <si>
    <t xml:space="preserve">153469839.0</t>
  </si>
  <si>
    <t xml:space="preserve">17:58:25</t>
  </si>
  <si>
    <t xml:space="preserve">17:58:22</t>
  </si>
  <si>
    <t xml:space="preserve">07:46:59</t>
  </si>
  <si>
    <t xml:space="preserve">153455627.0</t>
  </si>
  <si>
    <t xml:space="preserve">17:58:28</t>
  </si>
  <si>
    <t xml:space="preserve">100880284.0</t>
  </si>
  <si>
    <t xml:space="preserve">153469841.0</t>
  </si>
  <si>
    <t xml:space="preserve">17:58:32</t>
  </si>
  <si>
    <t xml:space="preserve">153469842.0</t>
  </si>
  <si>
    <t xml:space="preserve">17:59:50</t>
  </si>
  <si>
    <t xml:space="preserve">17:59:47</t>
  </si>
  <si>
    <t xml:space="preserve">07:47:00</t>
  </si>
  <si>
    <t xml:space="preserve">153455649.0</t>
  </si>
  <si>
    <t xml:space="preserve">17:59:53</t>
  </si>
  <si>
    <t xml:space="preserve">100880287.0</t>
  </si>
  <si>
    <t xml:space="preserve">153469844.0</t>
  </si>
  <si>
    <t xml:space="preserve">17:59:57</t>
  </si>
  <si>
    <t xml:space="preserve">153469845.0</t>
  </si>
  <si>
    <t xml:space="preserve">18:01:05</t>
  </si>
  <si>
    <t xml:space="preserve">18:01:02</t>
  </si>
  <si>
    <t xml:space="preserve">07:47:01</t>
  </si>
  <si>
    <t xml:space="preserve">153455670.0</t>
  </si>
  <si>
    <t xml:space="preserve">18:01:09</t>
  </si>
  <si>
    <t xml:space="preserve">100880290.0</t>
  </si>
  <si>
    <t xml:space="preserve">153469847.0</t>
  </si>
  <si>
    <t xml:space="preserve">18:01:12</t>
  </si>
  <si>
    <t xml:space="preserve">153469848.0</t>
  </si>
  <si>
    <t xml:space="preserve">18:04:54</t>
  </si>
  <si>
    <t xml:space="preserve">18:04:51</t>
  </si>
  <si>
    <t xml:space="preserve">153453355.0</t>
  </si>
  <si>
    <t xml:space="preserve">18:11:53</t>
  </si>
  <si>
    <t xml:space="preserve">18:11:49</t>
  </si>
  <si>
    <t xml:space="preserve">153453380.0</t>
  </si>
  <si>
    <t xml:space="preserve">18:13:56</t>
  </si>
  <si>
    <t xml:space="preserve">18:13:53</t>
  </si>
  <si>
    <t xml:space="preserve">153453401.0</t>
  </si>
  <si>
    <t xml:space="preserve">2026-10-01</t>
  </si>
  <si>
    <t xml:space="preserve">07:35:39</t>
  </si>
  <si>
    <t xml:space="preserve">07:35:35</t>
  </si>
  <si>
    <t xml:space="preserve">07:51:47</t>
  </si>
  <si>
    <t xml:space="preserve">153440154.0</t>
  </si>
  <si>
    <t xml:space="preserve">07:36:52</t>
  </si>
  <si>
    <t xml:space="preserve">07:36:49</t>
  </si>
  <si>
    <t xml:space="preserve">07:51:48</t>
  </si>
  <si>
    <t xml:space="preserve">153440179.0</t>
  </si>
  <si>
    <t xml:space="preserve">07:36:56</t>
  </si>
  <si>
    <t xml:space="preserve">100879968.0</t>
  </si>
  <si>
    <t xml:space="preserve">153448493.0</t>
  </si>
  <si>
    <t xml:space="preserve">07:38:44</t>
  </si>
  <si>
    <t xml:space="preserve">07:38:41</t>
  </si>
  <si>
    <t xml:space="preserve">07:51:49</t>
  </si>
  <si>
    <t xml:space="preserve">153437311.0</t>
  </si>
  <si>
    <t xml:space="preserve">07:39:54</t>
  </si>
  <si>
    <t xml:space="preserve">07:39:51</t>
  </si>
  <si>
    <t xml:space="preserve">153437338.0</t>
  </si>
  <si>
    <t xml:space="preserve">07:39:57</t>
  </si>
  <si>
    <t xml:space="preserve">07:51:50</t>
  </si>
  <si>
    <t xml:space="preserve">100879972.0</t>
  </si>
  <si>
    <t xml:space="preserve">153448497.0</t>
  </si>
  <si>
    <t xml:space="preserve">07:48:51</t>
  </si>
  <si>
    <t xml:space="preserve">07:48:47</t>
  </si>
  <si>
    <t xml:space="preserve">10:11:20</t>
  </si>
  <si>
    <t xml:space="preserve">153437626.0</t>
  </si>
  <si>
    <t xml:space="preserve">07:48:55</t>
  </si>
  <si>
    <t xml:space="preserve">10:11:21</t>
  </si>
  <si>
    <t xml:space="preserve">100879978.0</t>
  </si>
  <si>
    <t xml:space="preserve">153448503.0</t>
  </si>
  <si>
    <t xml:space="preserve">07:48:59</t>
  </si>
  <si>
    <t xml:space="preserve">153448504.0</t>
  </si>
  <si>
    <t xml:space="preserve">07:52:17</t>
  </si>
  <si>
    <t xml:space="preserve">07:52:14</t>
  </si>
  <si>
    <t xml:space="preserve">10:11:22</t>
  </si>
  <si>
    <t xml:space="preserve">153440071.0</t>
  </si>
  <si>
    <t xml:space="preserve">07:52:21</t>
  </si>
  <si>
    <t xml:space="preserve">100879981.0</t>
  </si>
  <si>
    <t xml:space="preserve">153448506.0</t>
  </si>
  <si>
    <t xml:space="preserve">07:52:24</t>
  </si>
  <si>
    <t xml:space="preserve">153448507.0</t>
  </si>
  <si>
    <t xml:space="preserve">07:52:28</t>
  </si>
  <si>
    <t xml:space="preserve">10:11:23</t>
  </si>
  <si>
    <t xml:space="preserve">153448508.0</t>
  </si>
  <si>
    <t xml:space="preserve">07:52:31</t>
  </si>
  <si>
    <t xml:space="preserve">153448509.0</t>
  </si>
  <si>
    <t xml:space="preserve">07:52:34</t>
  </si>
  <si>
    <t xml:space="preserve">153448510.0</t>
  </si>
  <si>
    <t xml:space="preserve">07:52:37</t>
  </si>
  <si>
    <t xml:space="preserve">10:11:24</t>
  </si>
  <si>
    <t xml:space="preserve">153448511.0</t>
  </si>
  <si>
    <t xml:space="preserve">07:52:41</t>
  </si>
  <si>
    <t xml:space="preserve">153448512.0</t>
  </si>
  <si>
    <t xml:space="preserve">07:52:44</t>
  </si>
  <si>
    <t xml:space="preserve">153448513.0</t>
  </si>
  <si>
    <t xml:space="preserve">07:52:47</t>
  </si>
  <si>
    <t xml:space="preserve">10:11:25</t>
  </si>
  <si>
    <t xml:space="preserve">153448514.0</t>
  </si>
  <si>
    <t xml:space="preserve">07:52:51</t>
  </si>
  <si>
    <t xml:space="preserve">153448515.0</t>
  </si>
  <si>
    <t xml:space="preserve">07:52:54</t>
  </si>
  <si>
    <t xml:space="preserve">153448516.0</t>
  </si>
  <si>
    <t xml:space="preserve">07:52:58</t>
  </si>
  <si>
    <t xml:space="preserve">153448517.0</t>
  </si>
  <si>
    <t xml:space="preserve">07:53:01</t>
  </si>
  <si>
    <t xml:space="preserve">10:11:26</t>
  </si>
  <si>
    <t xml:space="preserve">153448518.0</t>
  </si>
  <si>
    <t xml:space="preserve">07:53:04</t>
  </si>
  <si>
    <t xml:space="preserve">153448519.0</t>
  </si>
  <si>
    <t xml:space="preserve">07:53:08</t>
  </si>
  <si>
    <t xml:space="preserve">153448520.0</t>
  </si>
  <si>
    <t xml:space="preserve">07:53:11</t>
  </si>
  <si>
    <t xml:space="preserve">10:11:27</t>
  </si>
  <si>
    <t xml:space="preserve">153448521.0</t>
  </si>
  <si>
    <t xml:space="preserve">07:53:14</t>
  </si>
  <si>
    <t xml:space="preserve">153448522.0</t>
  </si>
  <si>
    <t xml:space="preserve">07:53:17</t>
  </si>
  <si>
    <t xml:space="preserve">153448523.0</t>
  </si>
  <si>
    <t xml:space="preserve">07:53:20</t>
  </si>
  <si>
    <t xml:space="preserve">10:11:28</t>
  </si>
  <si>
    <t xml:space="preserve">153448524.0</t>
  </si>
  <si>
    <t xml:space="preserve">07:53:23</t>
  </si>
  <si>
    <t xml:space="preserve">153448525.0</t>
  </si>
  <si>
    <t xml:space="preserve">07:53:27</t>
  </si>
  <si>
    <t xml:space="preserve">153448526.0</t>
  </si>
  <si>
    <t xml:space="preserve">07:53:30</t>
  </si>
  <si>
    <t xml:space="preserve">153448527.0</t>
  </si>
  <si>
    <t xml:space="preserve">07:53:34</t>
  </si>
  <si>
    <t xml:space="preserve">10:11:29</t>
  </si>
  <si>
    <t xml:space="preserve">153448528.0</t>
  </si>
  <si>
    <t xml:space="preserve">08:21:55</t>
  </si>
  <si>
    <t xml:space="preserve">08:21:52</t>
  </si>
  <si>
    <t xml:space="preserve">10:11:31</t>
  </si>
  <si>
    <t xml:space="preserve">153437527.0</t>
  </si>
  <si>
    <t xml:space="preserve">08:22:00</t>
  </si>
  <si>
    <t xml:space="preserve">10:11:32</t>
  </si>
  <si>
    <t xml:space="preserve">100880010.0</t>
  </si>
  <si>
    <t xml:space="preserve">153448952.0</t>
  </si>
  <si>
    <t xml:space="preserve">08:22:03</t>
  </si>
  <si>
    <t xml:space="preserve">153448953.0</t>
  </si>
  <si>
    <t xml:space="preserve">08:23:24</t>
  </si>
  <si>
    <t xml:space="preserve">08:23:21</t>
  </si>
  <si>
    <t xml:space="preserve">10:11:33</t>
  </si>
  <si>
    <t xml:space="preserve">153437551.0</t>
  </si>
  <si>
    <t xml:space="preserve">08:23:28</t>
  </si>
  <si>
    <t xml:space="preserve">100880013.0</t>
  </si>
  <si>
    <t xml:space="preserve">153448955.0</t>
  </si>
  <si>
    <t xml:space="preserve">08:23:31</t>
  </si>
  <si>
    <t xml:space="preserve">10:11:34</t>
  </si>
  <si>
    <t xml:space="preserve">153448956.0</t>
  </si>
  <si>
    <t xml:space="preserve">08:24:57</t>
  </si>
  <si>
    <t xml:space="preserve">08:24:54</t>
  </si>
  <si>
    <t xml:space="preserve">153437575.0</t>
  </si>
  <si>
    <t xml:space="preserve">08:25:01</t>
  </si>
  <si>
    <t xml:space="preserve">100880016.0</t>
  </si>
  <si>
    <t xml:space="preserve">153448960.0</t>
  </si>
  <si>
    <t xml:space="preserve">08:25:06</t>
  </si>
  <si>
    <t xml:space="preserve">10:11:35</t>
  </si>
  <si>
    <t xml:space="preserve">153448961.0</t>
  </si>
  <si>
    <t xml:space="preserve">08:26:16</t>
  </si>
  <si>
    <t xml:space="preserve">08:26:13</t>
  </si>
  <si>
    <t xml:space="preserve">153437599.0</t>
  </si>
  <si>
    <t xml:space="preserve">08:26:20</t>
  </si>
  <si>
    <t xml:space="preserve">10:11:36</t>
  </si>
  <si>
    <t xml:space="preserve">100880019.0</t>
  </si>
  <si>
    <t xml:space="preserve">153448965.0</t>
  </si>
  <si>
    <t xml:space="preserve">08:26:23</t>
  </si>
  <si>
    <t xml:space="preserve">153448966.0</t>
  </si>
  <si>
    <t xml:space="preserve">08:28:33</t>
  </si>
  <si>
    <t xml:space="preserve">08:28:29</t>
  </si>
  <si>
    <t xml:space="preserve">153435263.0</t>
  </si>
  <si>
    <t xml:space="preserve">08:29:31</t>
  </si>
  <si>
    <t xml:space="preserve">08:29:27</t>
  </si>
  <si>
    <t xml:space="preserve">10:11:30</t>
  </si>
  <si>
    <t xml:space="preserve">153435289.0</t>
  </si>
  <si>
    <t xml:space="preserve">08:30:27</t>
  </si>
  <si>
    <t xml:space="preserve">08:30:23</t>
  </si>
  <si>
    <t xml:space="preserve">153435311.0</t>
  </si>
  <si>
    <t xml:space="preserve">10:10:58</t>
  </si>
  <si>
    <t xml:space="preserve">10:10:55</t>
  </si>
  <si>
    <t xml:space="preserve">153440155.0</t>
  </si>
  <si>
    <t xml:space="preserve">10:13:14</t>
  </si>
  <si>
    <t xml:space="preserve">10:13:11</t>
  </si>
  <si>
    <t xml:space="preserve">153440180.0</t>
  </si>
  <si>
    <t xml:space="preserve">10:13:19</t>
  </si>
  <si>
    <t xml:space="preserve">100880075.0</t>
  </si>
  <si>
    <t xml:space="preserve">153449504.0</t>
  </si>
  <si>
    <t xml:space="preserve">10:16:29</t>
  </si>
  <si>
    <t xml:space="preserve">10:16:27</t>
  </si>
  <si>
    <t xml:space="preserve">153441929.0</t>
  </si>
  <si>
    <t xml:space="preserve">10:16:33</t>
  </si>
  <si>
    <t xml:space="preserve">100880077.0</t>
  </si>
  <si>
    <t xml:space="preserve">153449506.0</t>
  </si>
  <si>
    <t xml:space="preserve">10:16:36</t>
  </si>
  <si>
    <t xml:space="preserve">153449507.0</t>
  </si>
  <si>
    <t xml:space="preserve">10:20:35</t>
  </si>
  <si>
    <t xml:space="preserve">10:20:32</t>
  </si>
  <si>
    <t xml:space="preserve">153437312.0</t>
  </si>
  <si>
    <t xml:space="preserve">10:21:32</t>
  </si>
  <si>
    <t xml:space="preserve">10:21:29</t>
  </si>
  <si>
    <t xml:space="preserve">153437339.0</t>
  </si>
  <si>
    <t xml:space="preserve">10:21:36</t>
  </si>
  <si>
    <t xml:space="preserve">100880081.0</t>
  </si>
  <si>
    <t xml:space="preserve">153449510.0</t>
  </si>
  <si>
    <t xml:space="preserve">10:23:41</t>
  </si>
  <si>
    <t xml:space="preserve">10:23:38</t>
  </si>
  <si>
    <t xml:space="preserve">10:15:21</t>
  </si>
  <si>
    <t xml:space="preserve">153437627.0</t>
  </si>
  <si>
    <t xml:space="preserve">10:23:45</t>
  </si>
  <si>
    <t xml:space="preserve">100880083.0</t>
  </si>
  <si>
    <t xml:space="preserve">153449513.0</t>
  </si>
  <si>
    <t xml:space="preserve">10:23:50</t>
  </si>
  <si>
    <t xml:space="preserve">10:15:22</t>
  </si>
  <si>
    <t xml:space="preserve">153449514.0</t>
  </si>
  <si>
    <t xml:space="preserve">10:28:03</t>
  </si>
  <si>
    <t xml:space="preserve">10:28:00</t>
  </si>
  <si>
    <t xml:space="preserve">153440072.0</t>
  </si>
  <si>
    <t xml:space="preserve">10:28:08</t>
  </si>
  <si>
    <t xml:space="preserve">100880086.0</t>
  </si>
  <si>
    <t xml:space="preserve">153449516.0</t>
  </si>
  <si>
    <t xml:space="preserve">10:28:12</t>
  </si>
  <si>
    <t xml:space="preserve">10:15:23</t>
  </si>
  <si>
    <t xml:space="preserve">153449517.0</t>
  </si>
  <si>
    <t xml:space="preserve">10:28:15</t>
  </si>
  <si>
    <t xml:space="preserve">153449518.0</t>
  </si>
  <si>
    <t xml:space="preserve">10:28:19</t>
  </si>
  <si>
    <t xml:space="preserve">10:15:24</t>
  </si>
  <si>
    <t xml:space="preserve">153449519.0</t>
  </si>
  <si>
    <t xml:space="preserve">10:28:22</t>
  </si>
  <si>
    <t xml:space="preserve">153449520.0</t>
  </si>
  <si>
    <t xml:space="preserve">10:28:25</t>
  </si>
  <si>
    <t xml:space="preserve">153449521.0</t>
  </si>
  <si>
    <t xml:space="preserve">10:28:28</t>
  </si>
  <si>
    <t xml:space="preserve">10:15:25</t>
  </si>
  <si>
    <t xml:space="preserve">153449522.0</t>
  </si>
  <si>
    <t xml:space="preserve">10:28:32</t>
  </si>
  <si>
    <t xml:space="preserve">153449523.0</t>
  </si>
  <si>
    <t xml:space="preserve">10:28:36</t>
  </si>
  <si>
    <t xml:space="preserve">153449524.0</t>
  </si>
  <si>
    <t xml:space="preserve">10:28:39</t>
  </si>
  <si>
    <t xml:space="preserve">10:15:26</t>
  </si>
  <si>
    <t xml:space="preserve">153449525.0</t>
  </si>
  <si>
    <t xml:space="preserve">10:28:42</t>
  </si>
  <si>
    <t xml:space="preserve">153449526.0</t>
  </si>
  <si>
    <t xml:space="preserve">10:28:46</t>
  </si>
  <si>
    <t xml:space="preserve">10:15:27</t>
  </si>
  <si>
    <t xml:space="preserve">153449527.0</t>
  </si>
  <si>
    <t xml:space="preserve">10:28:49</t>
  </si>
  <si>
    <t xml:space="preserve">153449528.0</t>
  </si>
  <si>
    <t xml:space="preserve">10:28:52</t>
  </si>
  <si>
    <t xml:space="preserve">153449529.0</t>
  </si>
  <si>
    <t xml:space="preserve">10:28:55</t>
  </si>
  <si>
    <t xml:space="preserve">10:15:28</t>
  </si>
  <si>
    <t xml:space="preserve">153449530.0</t>
  </si>
  <si>
    <t xml:space="preserve">10:28:58</t>
  </si>
  <si>
    <t xml:space="preserve">153449531.0</t>
  </si>
  <si>
    <t xml:space="preserve">10:29:02</t>
  </si>
  <si>
    <t xml:space="preserve">153449532.0</t>
  </si>
  <si>
    <t xml:space="preserve">10:29:05</t>
  </si>
  <si>
    <t xml:space="preserve">10:15:29</t>
  </si>
  <si>
    <t xml:space="preserve">153449533.0</t>
  </si>
  <si>
    <t xml:space="preserve">10:29:09</t>
  </si>
  <si>
    <t xml:space="preserve">153449534.0</t>
  </si>
  <si>
    <t xml:space="preserve">10:29:12</t>
  </si>
  <si>
    <t xml:space="preserve">153449535.0</t>
  </si>
  <si>
    <t xml:space="preserve">10:29:15</t>
  </si>
  <si>
    <t xml:space="preserve">10:15:30</t>
  </si>
  <si>
    <t xml:space="preserve">153449536.0</t>
  </si>
  <si>
    <t xml:space="preserve">10:29:19</t>
  </si>
  <si>
    <t xml:space="preserve">153449537.0</t>
  </si>
  <si>
    <t xml:space="preserve">10:29:22</t>
  </si>
  <si>
    <t xml:space="preserve">10:15:31</t>
  </si>
  <si>
    <t xml:space="preserve">153449538.0</t>
  </si>
  <si>
    <t xml:space="preserve">10:31:44</t>
  </si>
  <si>
    <t xml:space="preserve">10:31:41</t>
  </si>
  <si>
    <t xml:space="preserve">10:15:33</t>
  </si>
  <si>
    <t xml:space="preserve">153437528.0</t>
  </si>
  <si>
    <t xml:space="preserve">10:31:48</t>
  </si>
  <si>
    <t xml:space="preserve">10:15:34</t>
  </si>
  <si>
    <t xml:space="preserve">100880110.0</t>
  </si>
  <si>
    <t xml:space="preserve">153449540.0</t>
  </si>
  <si>
    <t xml:space="preserve">10:31:52</t>
  </si>
  <si>
    <t xml:space="preserve">153449541.0</t>
  </si>
  <si>
    <t xml:space="preserve">10:32:53</t>
  </si>
  <si>
    <t xml:space="preserve">10:32:49</t>
  </si>
  <si>
    <t xml:space="preserve">153437552.0</t>
  </si>
  <si>
    <t xml:space="preserve">10:32:57</t>
  </si>
  <si>
    <t xml:space="preserve">10:15:35</t>
  </si>
  <si>
    <t xml:space="preserve">100880115.0</t>
  </si>
  <si>
    <t xml:space="preserve">153449545.0</t>
  </si>
  <si>
    <t xml:space="preserve">10:33:01</t>
  </si>
  <si>
    <t xml:space="preserve">153449546.0</t>
  </si>
  <si>
    <t xml:space="preserve">10:34:52</t>
  </si>
  <si>
    <t xml:space="preserve">10:34:49</t>
  </si>
  <si>
    <t xml:space="preserve">10:15:36</t>
  </si>
  <si>
    <t xml:space="preserve">153437576.0</t>
  </si>
  <si>
    <t xml:space="preserve">10:34:56</t>
  </si>
  <si>
    <t xml:space="preserve">100880122.0</t>
  </si>
  <si>
    <t xml:space="preserve">153449552.0</t>
  </si>
  <si>
    <t xml:space="preserve">10:35:01</t>
  </si>
  <si>
    <t xml:space="preserve">153449553.0</t>
  </si>
  <si>
    <t xml:space="preserve">10:36:08</t>
  </si>
  <si>
    <t xml:space="preserve">10:36:05</t>
  </si>
  <si>
    <t xml:space="preserve">10:15:37</t>
  </si>
  <si>
    <t xml:space="preserve">153437600.0</t>
  </si>
  <si>
    <t xml:space="preserve">10:36:13</t>
  </si>
  <si>
    <t xml:space="preserve">100880125.0</t>
  </si>
  <si>
    <t xml:space="preserve">153449555.0</t>
  </si>
  <si>
    <t xml:space="preserve">10:36:17</t>
  </si>
  <si>
    <t xml:space="preserve">10:15:38</t>
  </si>
  <si>
    <t xml:space="preserve">153449556.0</t>
  </si>
  <si>
    <t xml:space="preserve">10:38:16</t>
  </si>
  <si>
    <t xml:space="preserve">10:38:12</t>
  </si>
  <si>
    <t xml:space="preserve">153435264.0</t>
  </si>
  <si>
    <t xml:space="preserve">10:40:00</t>
  </si>
  <si>
    <t xml:space="preserve">10:39:56</t>
  </si>
  <si>
    <t xml:space="preserve">10:15:32</t>
  </si>
  <si>
    <t xml:space="preserve">153435290.0</t>
  </si>
  <si>
    <t xml:space="preserve">10:41:03</t>
  </si>
  <si>
    <t xml:space="preserve">10:41:00</t>
  </si>
  <si>
    <t xml:space="preserve">153435312.0</t>
  </si>
  <si>
    <t xml:space="preserve">2026-09-29</t>
  </si>
  <si>
    <t xml:space="preserve">07:48:46</t>
  </si>
  <si>
    <t xml:space="preserve">07:48:42</t>
  </si>
  <si>
    <t xml:space="preserve">10:49:26</t>
  </si>
  <si>
    <t xml:space="preserve">153390962.0</t>
  </si>
  <si>
    <t xml:space="preserve">07:54:44</t>
  </si>
  <si>
    <t xml:space="preserve">07:54:40</t>
  </si>
  <si>
    <t xml:space="preserve">10:49:27</t>
  </si>
  <si>
    <t xml:space="preserve">153390988.0</t>
  </si>
  <si>
    <t xml:space="preserve">07:56:17</t>
  </si>
  <si>
    <t xml:space="preserve">07:56:14</t>
  </si>
  <si>
    <t xml:space="preserve">10:49:28</t>
  </si>
  <si>
    <t xml:space="preserve">153391010.0</t>
  </si>
  <si>
    <t xml:space="preserve">2026-09-28</t>
  </si>
  <si>
    <t xml:space="preserve">REL PRT PCNF PRC MANC RESA SETC</t>
  </si>
  <si>
    <t xml:space="preserve">08:03:19</t>
  </si>
  <si>
    <t xml:space="preserve">08:03:16</t>
  </si>
  <si>
    <t xml:space="preserve">07:19:50</t>
  </si>
  <si>
    <t xml:space="preserve">153370242.0</t>
  </si>
  <si>
    <t xml:space="preserve">08:03:23</t>
  </si>
  <si>
    <t xml:space="preserve">07:19:51</t>
  </si>
  <si>
    <t xml:space="preserve">100879332.0</t>
  </si>
  <si>
    <t xml:space="preserve">153380738.0</t>
  </si>
  <si>
    <t xml:space="preserve">08:03:27</t>
  </si>
  <si>
    <t xml:space="preserve">153380739.0</t>
  </si>
  <si>
    <t xml:space="preserve">08:07:55</t>
  </si>
  <si>
    <t xml:space="preserve">08:07:52</t>
  </si>
  <si>
    <t xml:space="preserve">153370267.0</t>
  </si>
  <si>
    <t xml:space="preserve">08:07:59</t>
  </si>
  <si>
    <t xml:space="preserve">07:19:52</t>
  </si>
  <si>
    <t xml:space="preserve">100879335.0</t>
  </si>
  <si>
    <t xml:space="preserve">153380742.0</t>
  </si>
  <si>
    <t xml:space="preserve">08:08:03</t>
  </si>
  <si>
    <t xml:space="preserve">153380744.0</t>
  </si>
  <si>
    <t xml:space="preserve">08:11:23</t>
  </si>
  <si>
    <t xml:space="preserve">08:11:20</t>
  </si>
  <si>
    <t xml:space="preserve">07:19:53</t>
  </si>
  <si>
    <t xml:space="preserve">153370292.0</t>
  </si>
  <si>
    <t xml:space="preserve">08:11:27</t>
  </si>
  <si>
    <t xml:space="preserve">100879338.0</t>
  </si>
  <si>
    <t xml:space="preserve">153382268.0</t>
  </si>
  <si>
    <t xml:space="preserve">08:11:31</t>
  </si>
  <si>
    <t xml:space="preserve">153382269.0</t>
  </si>
  <si>
    <t xml:space="preserve">08:13:36</t>
  </si>
  <si>
    <t xml:space="preserve">08:13:33</t>
  </si>
  <si>
    <t xml:space="preserve">07:19:54</t>
  </si>
  <si>
    <t xml:space="preserve">153370317.0</t>
  </si>
  <si>
    <t xml:space="preserve">08:13:40</t>
  </si>
  <si>
    <t xml:space="preserve">100879341.0</t>
  </si>
  <si>
    <t xml:space="preserve">153383030.0</t>
  </si>
  <si>
    <t xml:space="preserve">08:13:44</t>
  </si>
  <si>
    <t xml:space="preserve">07:19:55</t>
  </si>
  <si>
    <t xml:space="preserve">153383031.0</t>
  </si>
  <si>
    <t xml:space="preserve">18:06:37</t>
  </si>
  <si>
    <t xml:space="preserve">18:06:35</t>
  </si>
  <si>
    <t xml:space="preserve">06:59:43</t>
  </si>
  <si>
    <t xml:space="preserve">153372830.0</t>
  </si>
  <si>
    <t xml:space="preserve">18:06:41</t>
  </si>
  <si>
    <t xml:space="preserve">100879409.0</t>
  </si>
  <si>
    <t xml:space="preserve">153387610.0</t>
  </si>
  <si>
    <t xml:space="preserve">18:06:44</t>
  </si>
  <si>
    <t xml:space="preserve">153387611.0</t>
  </si>
  <si>
    <t xml:space="preserve">18:06:47</t>
  </si>
  <si>
    <t xml:space="preserve">06:59:44</t>
  </si>
  <si>
    <t xml:space="preserve">153387612.0</t>
  </si>
  <si>
    <t xml:space="preserve">18:06:50</t>
  </si>
  <si>
    <t xml:space="preserve">153387613.0</t>
  </si>
  <si>
    <t xml:space="preserve">18:06:53</t>
  </si>
  <si>
    <t xml:space="preserve">153387614.0</t>
  </si>
  <si>
    <t xml:space="preserve">18:06:57</t>
  </si>
  <si>
    <t xml:space="preserve">06:59:45</t>
  </si>
  <si>
    <t xml:space="preserve">153387615.0</t>
  </si>
  <si>
    <t xml:space="preserve">18:07:00</t>
  </si>
  <si>
    <t xml:space="preserve">153387616.0</t>
  </si>
  <si>
    <t xml:space="preserve">18:07:03</t>
  </si>
  <si>
    <t xml:space="preserve">153387617.0</t>
  </si>
  <si>
    <t xml:space="preserve">18:07:06</t>
  </si>
  <si>
    <t xml:space="preserve">153387618.0</t>
  </si>
  <si>
    <t xml:space="preserve">18:07:09</t>
  </si>
  <si>
    <t xml:space="preserve">06:59:46</t>
  </si>
  <si>
    <t xml:space="preserve">153387619.0</t>
  </si>
  <si>
    <t xml:space="preserve">18:07:13</t>
  </si>
  <si>
    <t xml:space="preserve">153387620.0</t>
  </si>
  <si>
    <t xml:space="preserve">18:07:16</t>
  </si>
  <si>
    <t xml:space="preserve">153387621.0</t>
  </si>
  <si>
    <t xml:space="preserve">18:07:19</t>
  </si>
  <si>
    <t xml:space="preserve">06:59:47</t>
  </si>
  <si>
    <t xml:space="preserve">153387622.0</t>
  </si>
  <si>
    <t xml:space="preserve">18:07:22</t>
  </si>
  <si>
    <t xml:space="preserve">153387623.0</t>
  </si>
  <si>
    <t xml:space="preserve">18:07:26</t>
  </si>
  <si>
    <t xml:space="preserve">153387624.0</t>
  </si>
  <si>
    <t xml:space="preserve">18:07:29</t>
  </si>
  <si>
    <t xml:space="preserve">06:59:48</t>
  </si>
  <si>
    <t xml:space="preserve">153387625.0</t>
  </si>
  <si>
    <t xml:space="preserve">18:07:32</t>
  </si>
  <si>
    <t xml:space="preserve">153387626.0</t>
  </si>
  <si>
    <t xml:space="preserve">18:07:35</t>
  </si>
  <si>
    <t xml:space="preserve">153387627.0</t>
  </si>
  <si>
    <t xml:space="preserve">18:07:38</t>
  </si>
  <si>
    <t xml:space="preserve">153387628.0</t>
  </si>
  <si>
    <t xml:space="preserve">18:07:41</t>
  </si>
  <si>
    <t xml:space="preserve">06:59:49</t>
  </si>
  <si>
    <t xml:space="preserve">153387629.0</t>
  </si>
  <si>
    <t xml:space="preserve">18:07:45</t>
  </si>
  <si>
    <t xml:space="preserve">153387630.0</t>
  </si>
  <si>
    <t xml:space="preserve">18:07:48</t>
  </si>
  <si>
    <t xml:space="preserve">153387631.0</t>
  </si>
  <si>
    <t xml:space="preserve">18:07:51</t>
  </si>
  <si>
    <t xml:space="preserve">06:59:50</t>
  </si>
  <si>
    <t xml:space="preserve">153387632.0</t>
  </si>
  <si>
    <t xml:space="preserve">2026-09-22</t>
  </si>
  <si>
    <t xml:space="preserve">HMORE</t>
  </si>
  <si>
    <t xml:space="preserve">15:23:46</t>
  </si>
  <si>
    <t xml:space="preserve">15:23:42</t>
  </si>
  <si>
    <t xml:space="preserve">153241877.0</t>
  </si>
  <si>
    <t xml:space="preserve">15:24:20</t>
  </si>
  <si>
    <t xml:space="preserve">15:24:17</t>
  </si>
  <si>
    <t xml:space="preserve">153241904.0</t>
  </si>
  <si>
    <t xml:space="preserve">15:24:24</t>
  </si>
  <si>
    <t xml:space="preserve">100878901.0</t>
  </si>
  <si>
    <t xml:space="preserve">153260837.0</t>
  </si>
  <si>
    <t xml:space="preserve">REL PRT CNF DLV PRC GMPS MANC SETC</t>
  </si>
  <si>
    <t xml:space="preserve">16:53:15</t>
  </si>
  <si>
    <t xml:space="preserve">100.0</t>
  </si>
  <si>
    <t xml:space="preserve">16:53:11</t>
  </si>
  <si>
    <t xml:space="preserve">09:44:03</t>
  </si>
  <si>
    <t xml:space="preserve">07:45:17</t>
  </si>
  <si>
    <t xml:space="preserve">153242207.0</t>
  </si>
  <si>
    <t xml:space="preserve">REL PRT CNF DLV PRC GMPS MANC RESA*</t>
  </si>
  <si>
    <t xml:space="preserve">16:53:19</t>
  </si>
  <si>
    <t xml:space="preserve">13:46:21</t>
  </si>
  <si>
    <t xml:space="preserve">2026-09-30</t>
  </si>
  <si>
    <t xml:space="preserve">10:29:25</t>
  </si>
  <si>
    <t xml:space="preserve">100878919.0</t>
  </si>
  <si>
    <t xml:space="preserve">153260855.0</t>
  </si>
  <si>
    <t xml:space="preserve">16:53:22</t>
  </si>
  <si>
    <t xml:space="preserve">09:19:05</t>
  </si>
  <si>
    <t xml:space="preserve">09:26:41</t>
  </si>
  <si>
    <t xml:space="preserve">153260856.0</t>
  </si>
  <si>
    <t xml:space="preserve">2026-09-21</t>
  </si>
  <si>
    <t xml:space="preserve">MIPADEOL</t>
  </si>
  <si>
    <t xml:space="preserve">REL PPRT PCNF PRC GMPS MANC RESA SETC</t>
  </si>
  <si>
    <t xml:space="preserve">14:28:55</t>
  </si>
  <si>
    <t xml:space="preserve">16:42:10</t>
  </si>
  <si>
    <t xml:space="preserve">15:50:54</t>
  </si>
  <si>
    <t xml:space="preserve">153223985.0</t>
  </si>
  <si>
    <t xml:space="preserve">LLINTONJ</t>
  </si>
  <si>
    <t xml:space="preserve">REL PPRT CNF DLV PRC GMPS MANC SETC</t>
  </si>
  <si>
    <t xml:space="preserve">08:49:25</t>
  </si>
  <si>
    <t xml:space="preserve">16:43:15</t>
  </si>
  <si>
    <t xml:space="preserve">07:50:10</t>
  </si>
  <si>
    <t xml:space="preserve">15:51:24</t>
  </si>
  <si>
    <t xml:space="preserve">153224013.0</t>
  </si>
  <si>
    <t xml:space="preserve">08:39:49</t>
  </si>
  <si>
    <t xml:space="preserve">16:43:23</t>
  </si>
  <si>
    <t xml:space="preserve">15:51:25</t>
  </si>
  <si>
    <t xml:space="preserve">100878377.0</t>
  </si>
  <si>
    <t xml:space="preserve">153234377.0</t>
  </si>
  <si>
    <t xml:space="preserve">2026-09-16</t>
  </si>
  <si>
    <t xml:space="preserve">REL PRT PCNF PRC GMPS MANC RESA SETC</t>
  </si>
  <si>
    <t xml:space="preserve">08:16:21</t>
  </si>
  <si>
    <t xml:space="preserve">08:16:18</t>
  </si>
  <si>
    <t xml:space="preserve">07:59:13</t>
  </si>
  <si>
    <t xml:space="preserve">153112251.0</t>
  </si>
  <si>
    <t xml:space="preserve">08:16:25</t>
  </si>
  <si>
    <t xml:space="preserve">17:09:07</t>
  </si>
  <si>
    <t xml:space="preserve">07:59:14</t>
  </si>
  <si>
    <t xml:space="preserve">100877972.0</t>
  </si>
  <si>
    <t xml:space="preserve">153125623.0</t>
  </si>
  <si>
    <t xml:space="preserve">08:16:28</t>
  </si>
  <si>
    <t xml:space="preserve">12:06:55</t>
  </si>
  <si>
    <t xml:space="preserve">153125624.0</t>
  </si>
  <si>
    <t xml:space="preserve">08:20:55</t>
  </si>
  <si>
    <t xml:space="preserve">08:20:52</t>
  </si>
  <si>
    <t xml:space="preserve">07:59:15</t>
  </si>
  <si>
    <t xml:space="preserve">153112278.0</t>
  </si>
  <si>
    <t xml:space="preserve">08:20:58</t>
  </si>
  <si>
    <t xml:space="preserve">100877976.0</t>
  </si>
  <si>
    <t xml:space="preserve">153125631.0</t>
  </si>
  <si>
    <t xml:space="preserve">08:21:02</t>
  </si>
  <si>
    <t xml:space="preserve">153125632.0</t>
  </si>
  <si>
    <t xml:space="preserve">08:27:32</t>
  </si>
  <si>
    <t xml:space="preserve">08:27:29</t>
  </si>
  <si>
    <t xml:space="preserve">07:59:16</t>
  </si>
  <si>
    <t xml:space="preserve">153112305.0</t>
  </si>
  <si>
    <t xml:space="preserve">08:27:35</t>
  </si>
  <si>
    <t xml:space="preserve">100877979.0</t>
  </si>
  <si>
    <t xml:space="preserve">153125635.0</t>
  </si>
  <si>
    <t xml:space="preserve">08:27:39</t>
  </si>
  <si>
    <t xml:space="preserve">07:59:17</t>
  </si>
  <si>
    <t xml:space="preserve">153125637.0</t>
  </si>
  <si>
    <t xml:space="preserve">08:31:13</t>
  </si>
  <si>
    <t xml:space="preserve">08:31:10</t>
  </si>
  <si>
    <t xml:space="preserve">153112331.0</t>
  </si>
  <si>
    <t xml:space="preserve">08:31:16</t>
  </si>
  <si>
    <t xml:space="preserve">100877983.0</t>
  </si>
  <si>
    <t xml:space="preserve">153125640.0</t>
  </si>
  <si>
    <t xml:space="preserve">08:31:20</t>
  </si>
  <si>
    <t xml:space="preserve">07:59:18</t>
  </si>
  <si>
    <t xml:space="preserve">153125641.0</t>
  </si>
  <si>
    <t xml:space="preserve">12:53:21</t>
  </si>
  <si>
    <t xml:space="preserve">12:53:17</t>
  </si>
  <si>
    <t xml:space="preserve">11:56:33</t>
  </si>
  <si>
    <t xml:space="preserve">153109916.0</t>
  </si>
  <si>
    <t xml:space="preserve">12:54:31</t>
  </si>
  <si>
    <t xml:space="preserve">12:54:27</t>
  </si>
  <si>
    <t xml:space="preserve">153109943.0</t>
  </si>
  <si>
    <t xml:space="preserve">12:55:22</t>
  </si>
  <si>
    <t xml:space="preserve">12:55:19</t>
  </si>
  <si>
    <t xml:space="preserve">11:56:34</t>
  </si>
  <si>
    <t xml:space="preserve">153109964.0</t>
  </si>
  <si>
    <t xml:space="preserve">2026-09-13</t>
  </si>
  <si>
    <t xml:space="preserve">2026-09-23</t>
  </si>
  <si>
    <t xml:space="preserve">15:58:36</t>
  </si>
  <si>
    <t xml:space="preserve">153049464.0</t>
  </si>
  <si>
    <t xml:space="preserve">08:27:12</t>
  </si>
  <si>
    <t xml:space="preserve">08:27:09</t>
  </si>
  <si>
    <t xml:space="preserve">2026-09-27</t>
  </si>
  <si>
    <t xml:space="preserve">17:04:21</t>
  </si>
  <si>
    <t xml:space="preserve">153049491.0</t>
  </si>
  <si>
    <t xml:space="preserve">08:27:15</t>
  </si>
  <si>
    <t xml:space="preserve">09:16:19</t>
  </si>
  <si>
    <t xml:space="preserve">11:05:19</t>
  </si>
  <si>
    <t xml:space="preserve">100877351.0</t>
  </si>
  <si>
    <t xml:space="preserve">153060862.0</t>
  </si>
  <si>
    <t xml:space="preserve">PSTEWART</t>
  </si>
  <si>
    <t xml:space="preserve">15:28:43</t>
  </si>
  <si>
    <t xml:space="preserve">08:39:06</t>
  </si>
  <si>
    <t xml:space="preserve">09:05:23</t>
  </si>
  <si>
    <t xml:space="preserve">2026-09-17</t>
  </si>
  <si>
    <t xml:space="preserve">14:28:07</t>
  </si>
  <si>
    <t xml:space="preserve">153052179.0</t>
  </si>
  <si>
    <t xml:space="preserve">16:57:39</t>
  </si>
  <si>
    <t xml:space="preserve">08:39:11</t>
  </si>
  <si>
    <t xml:space="preserve">09:03:35</t>
  </si>
  <si>
    <t xml:space="preserve">15:53:42</t>
  </si>
  <si>
    <t xml:space="preserve">100877353.0</t>
  </si>
  <si>
    <t xml:space="preserve">153060864.0</t>
  </si>
  <si>
    <t xml:space="preserve">17:23:53</t>
  </si>
  <si>
    <t xml:space="preserve">08:39:14</t>
  </si>
  <si>
    <t xml:space="preserve">09:02:28</t>
  </si>
  <si>
    <t xml:space="preserve">16:22:55</t>
  </si>
  <si>
    <t xml:space="preserve">153060865.0</t>
  </si>
  <si>
    <t xml:space="preserve">08:43:08</t>
  </si>
  <si>
    <t xml:space="preserve">08:39:18</t>
  </si>
  <si>
    <t xml:space="preserve">06:33:27</t>
  </si>
  <si>
    <t xml:space="preserve">07:42:28</t>
  </si>
  <si>
    <t xml:space="preserve">153060866.0</t>
  </si>
  <si>
    <t xml:space="preserve">10:17:08</t>
  </si>
  <si>
    <t xml:space="preserve">08:39:21</t>
  </si>
  <si>
    <t xml:space="preserve">09:14:50</t>
  </si>
  <si>
    <t xml:space="preserve">153060867.0</t>
  </si>
  <si>
    <t xml:space="preserve">11:59:49</t>
  </si>
  <si>
    <t xml:space="preserve">08:39:24</t>
  </si>
  <si>
    <t xml:space="preserve">11:58:27</t>
  </si>
  <si>
    <t xml:space="preserve">10:58:55</t>
  </si>
  <si>
    <t xml:space="preserve">153060868.0</t>
  </si>
  <si>
    <t xml:space="preserve">12:31:33</t>
  </si>
  <si>
    <t xml:space="preserve">08:39:27</t>
  </si>
  <si>
    <t xml:space="preserve">11:58:28</t>
  </si>
  <si>
    <t xml:space="preserve">11:30:48</t>
  </si>
  <si>
    <t xml:space="preserve">153060869.0</t>
  </si>
  <si>
    <t xml:space="preserve">13:05:17</t>
  </si>
  <si>
    <t xml:space="preserve">08:39:30</t>
  </si>
  <si>
    <t xml:space="preserve">06:33:50</t>
  </si>
  <si>
    <t xml:space="preserve">12:04:07</t>
  </si>
  <si>
    <t xml:space="preserve">153060870.0</t>
  </si>
  <si>
    <t xml:space="preserve">15:27:03</t>
  </si>
  <si>
    <t xml:space="preserve">08:39:33</t>
  </si>
  <si>
    <t xml:space="preserve">14:26:30</t>
  </si>
  <si>
    <t xml:space="preserve">153060871.0</t>
  </si>
  <si>
    <t xml:space="preserve">16:27:30</t>
  </si>
  <si>
    <t xml:space="preserve">08:39:36</t>
  </si>
  <si>
    <t xml:space="preserve">06:33:51</t>
  </si>
  <si>
    <t xml:space="preserve">15:26:49</t>
  </si>
  <si>
    <t xml:space="preserve">153060872.0</t>
  </si>
  <si>
    <t xml:space="preserve">17:10:06</t>
  </si>
  <si>
    <t xml:space="preserve">08:39:39</t>
  </si>
  <si>
    <t xml:space="preserve">16:08:11</t>
  </si>
  <si>
    <t xml:space="preserve">153060873.0</t>
  </si>
  <si>
    <t xml:space="preserve">AVARGA</t>
  </si>
  <si>
    <t xml:space="preserve">17:58:02</t>
  </si>
  <si>
    <t xml:space="preserve">08:39:42</t>
  </si>
  <si>
    <t xml:space="preserve">06:56:23</t>
  </si>
  <si>
    <t xml:space="preserve">16:58:41</t>
  </si>
  <si>
    <t xml:space="preserve">153060874.0</t>
  </si>
  <si>
    <t xml:space="preserve">07:41:49</t>
  </si>
  <si>
    <t xml:space="preserve">08:39:45</t>
  </si>
  <si>
    <t xml:space="preserve">14:10:35</t>
  </si>
  <si>
    <t xml:space="preserve">06:40:22</t>
  </si>
  <si>
    <t xml:space="preserve">153060875.0</t>
  </si>
  <si>
    <t xml:space="preserve">09:46:25</t>
  </si>
  <si>
    <t xml:space="preserve">08:39:48</t>
  </si>
  <si>
    <t xml:space="preserve">14:12:10</t>
  </si>
  <si>
    <t xml:space="preserve">08:44:53</t>
  </si>
  <si>
    <t xml:space="preserve">153060876.0</t>
  </si>
  <si>
    <t xml:space="preserve">10:33:12</t>
  </si>
  <si>
    <t xml:space="preserve">08:39:51</t>
  </si>
  <si>
    <t xml:space="preserve">14:13:33</t>
  </si>
  <si>
    <t xml:space="preserve">09:32:39</t>
  </si>
  <si>
    <t xml:space="preserve">153060877.0</t>
  </si>
  <si>
    <t xml:space="preserve">10:49:56</t>
  </si>
  <si>
    <t xml:space="preserve">08:39:54</t>
  </si>
  <si>
    <t xml:space="preserve">14:15:17</t>
  </si>
  <si>
    <t xml:space="preserve">09:49:25</t>
  </si>
  <si>
    <t xml:space="preserve">153060878.0</t>
  </si>
  <si>
    <t xml:space="preserve">12:00:34</t>
  </si>
  <si>
    <t xml:space="preserve">08:39:57</t>
  </si>
  <si>
    <t xml:space="preserve">16:19:28</t>
  </si>
  <si>
    <t xml:space="preserve">10:17:42</t>
  </si>
  <si>
    <t xml:space="preserve">153060879.0</t>
  </si>
  <si>
    <t xml:space="preserve">12:25:55</t>
  </si>
  <si>
    <t xml:space="preserve">08:40:00</t>
  </si>
  <si>
    <t xml:space="preserve">16:21:40</t>
  </si>
  <si>
    <t xml:space="preserve">11:21:00</t>
  </si>
  <si>
    <t xml:space="preserve">153060880.0</t>
  </si>
  <si>
    <t xml:space="preserve">13:20:23</t>
  </si>
  <si>
    <t xml:space="preserve">08:40:03</t>
  </si>
  <si>
    <t xml:space="preserve">16:22:46</t>
  </si>
  <si>
    <t xml:space="preserve">12:05:03</t>
  </si>
  <si>
    <t xml:space="preserve">153060881.0</t>
  </si>
  <si>
    <t xml:space="preserve">14:25:36</t>
  </si>
  <si>
    <t xml:space="preserve">08:40:06</t>
  </si>
  <si>
    <t xml:space="preserve">16:04:29</t>
  </si>
  <si>
    <t xml:space="preserve">13:24:38</t>
  </si>
  <si>
    <t xml:space="preserve">153060882.0</t>
  </si>
  <si>
    <t xml:space="preserve">14:49:15</t>
  </si>
  <si>
    <t xml:space="preserve">08:40:10</t>
  </si>
  <si>
    <t xml:space="preserve">16:17:44</t>
  </si>
  <si>
    <t xml:space="preserve">13:48:39</t>
  </si>
  <si>
    <t xml:space="preserve">153060883.0</t>
  </si>
  <si>
    <t xml:space="preserve">08:40:13</t>
  </si>
  <si>
    <t xml:space="preserve">16:12:20</t>
  </si>
  <si>
    <t xml:space="preserve">15:30:59</t>
  </si>
  <si>
    <t xml:space="preserve">153060884.0</t>
  </si>
  <si>
    <t xml:space="preserve">17:47:09</t>
  </si>
  <si>
    <t xml:space="preserve">08:40:16</t>
  </si>
  <si>
    <t xml:space="preserve">16:20:22</t>
  </si>
  <si>
    <t xml:space="preserve">16:25:34</t>
  </si>
  <si>
    <t xml:space="preserve">153060885.0</t>
  </si>
  <si>
    <t xml:space="preserve">17:51:15</t>
  </si>
  <si>
    <t xml:space="preserve">08:40:19</t>
  </si>
  <si>
    <t xml:space="preserve">16:05:54</t>
  </si>
  <si>
    <t xml:space="preserve">16:49:54</t>
  </si>
  <si>
    <t xml:space="preserve">153060886.0</t>
  </si>
  <si>
    <t xml:space="preserve">12:51:39</t>
  </si>
  <si>
    <t xml:space="preserve">12:51:36</t>
  </si>
  <si>
    <t xml:space="preserve">17:03:43</t>
  </si>
  <si>
    <t xml:space="preserve">2026-09-14</t>
  </si>
  <si>
    <t xml:space="preserve">16:44:34</t>
  </si>
  <si>
    <t xml:space="preserve">153054230.0</t>
  </si>
  <si>
    <t xml:space="preserve">2026-09-11</t>
  </si>
  <si>
    <t xml:space="preserve">10:14:33</t>
  </si>
  <si>
    <t xml:space="preserve">14:00:30</t>
  </si>
  <si>
    <t xml:space="preserve">14:25:47</t>
  </si>
  <si>
    <t xml:space="preserve">13:04:36</t>
  </si>
  <si>
    <t xml:space="preserve">153009766.0</t>
  </si>
  <si>
    <t xml:space="preserve">14:02:15</t>
  </si>
  <si>
    <t xml:space="preserve">16:00:23</t>
  </si>
  <si>
    <t xml:space="preserve">13:04:37</t>
  </si>
  <si>
    <t xml:space="preserve">153009792.0</t>
  </si>
  <si>
    <t xml:space="preserve">07:59:29</t>
  </si>
  <si>
    <t xml:space="preserve">14:02:22</t>
  </si>
  <si>
    <t xml:space="preserve">07:56:03</t>
  </si>
  <si>
    <t xml:space="preserve">100877048.0</t>
  </si>
  <si>
    <t xml:space="preserve">153022497.0</t>
  </si>
  <si>
    <t xml:space="preserve">16:22:16</t>
  </si>
  <si>
    <t xml:space="preserve">16:22:13</t>
  </si>
  <si>
    <t xml:space="preserve">10:43:35</t>
  </si>
  <si>
    <t xml:space="preserve">15:27:41</t>
  </si>
  <si>
    <t xml:space="preserve">153011714.0</t>
  </si>
  <si>
    <t xml:space="preserve">16:22:54</t>
  </si>
  <si>
    <t xml:space="preserve">16:22:51</t>
  </si>
  <si>
    <t xml:space="preserve">07:32:18</t>
  </si>
  <si>
    <t xml:space="preserve">153011715.0</t>
  </si>
  <si>
    <t xml:space="preserve">16:22:57</t>
  </si>
  <si>
    <t xml:space="preserve">17:06:45</t>
  </si>
  <si>
    <t xml:space="preserve">100877053.0</t>
  </si>
  <si>
    <t xml:space="preserve">153023774.0</t>
  </si>
  <si>
    <t xml:space="preserve">16:23:01</t>
  </si>
  <si>
    <t xml:space="preserve">16:34:41</t>
  </si>
  <si>
    <t xml:space="preserve">15:27:42</t>
  </si>
  <si>
    <t xml:space="preserve">153023775.0</t>
  </si>
  <si>
    <t xml:space="preserve">16:23:05</t>
  </si>
  <si>
    <t xml:space="preserve">08:03:35</t>
  </si>
  <si>
    <t xml:space="preserve">153023776.0</t>
  </si>
  <si>
    <t xml:space="preserve">16:23:08</t>
  </si>
  <si>
    <t xml:space="preserve">08:05:30</t>
  </si>
  <si>
    <t xml:space="preserve">153023777.0</t>
  </si>
  <si>
    <t xml:space="preserve">2026-09-10</t>
  </si>
  <si>
    <t xml:space="preserve">15:12:26</t>
  </si>
  <si>
    <t xml:space="preserve">15:12:23</t>
  </si>
  <si>
    <t xml:space="preserve">07:41:18</t>
  </si>
  <si>
    <t xml:space="preserve">10:24:15</t>
  </si>
  <si>
    <t xml:space="preserve">152986513.0</t>
  </si>
  <si>
    <t xml:space="preserve">15:12:31</t>
  </si>
  <si>
    <t xml:space="preserve">13:50:55</t>
  </si>
  <si>
    <t xml:space="preserve">10:24:16</t>
  </si>
  <si>
    <t xml:space="preserve">100877011.0</t>
  </si>
  <si>
    <t xml:space="preserve">153001052.0</t>
  </si>
  <si>
    <t xml:space="preserve">15:12:35</t>
  </si>
  <si>
    <t xml:space="preserve">06:14:15</t>
  </si>
  <si>
    <t xml:space="preserve">153001053.0</t>
  </si>
  <si>
    <t xml:space="preserve">2026-09-09</t>
  </si>
  <si>
    <t xml:space="preserve">07:12:13</t>
  </si>
  <si>
    <t xml:space="preserve">07:12:09</t>
  </si>
  <si>
    <t xml:space="preserve">16:59:06</t>
  </si>
  <si>
    <t xml:space="preserve">11:52:47</t>
  </si>
  <si>
    <t xml:space="preserve">152964869.0</t>
  </si>
  <si>
    <t xml:space="preserve">10:17:17</t>
  </si>
  <si>
    <t xml:space="preserve">15:42:48</t>
  </si>
  <si>
    <t xml:space="preserve">11:53:41</t>
  </si>
  <si>
    <t xml:space="preserve">09:17:49</t>
  </si>
  <si>
    <t xml:space="preserve">152967260.0</t>
  </si>
  <si>
    <t xml:space="preserve">10:41:19</t>
  </si>
  <si>
    <t xml:space="preserve">15:42:54</t>
  </si>
  <si>
    <t xml:space="preserve">12:11:45</t>
  </si>
  <si>
    <t xml:space="preserve">09:41:48</t>
  </si>
  <si>
    <t xml:space="preserve">100876940.0</t>
  </si>
  <si>
    <t xml:space="preserve">152980617.0</t>
  </si>
  <si>
    <t xml:space="preserve">2026-09-08</t>
  </si>
  <si>
    <t xml:space="preserve">12:44:28</t>
  </si>
  <si>
    <t xml:space="preserve">12:44:25</t>
  </si>
  <si>
    <t xml:space="preserve">16:25:08</t>
  </si>
  <si>
    <t xml:space="preserve">13:31:53</t>
  </si>
  <si>
    <t xml:space="preserve">152943985.0</t>
  </si>
  <si>
    <t xml:space="preserve">12:44:31</t>
  </si>
  <si>
    <t xml:space="preserve">16:08:26</t>
  </si>
  <si>
    <t xml:space="preserve">100876655.0</t>
  </si>
  <si>
    <t xml:space="preserve">152952133.0</t>
  </si>
  <si>
    <t xml:space="preserve">12:44:34</t>
  </si>
  <si>
    <t xml:space="preserve">16:23:43</t>
  </si>
  <si>
    <t xml:space="preserve">13:31:54</t>
  </si>
  <si>
    <t xml:space="preserve">152952134.0</t>
  </si>
  <si>
    <t xml:space="preserve">12:56:02</t>
  </si>
  <si>
    <t xml:space="preserve">12:55:59</t>
  </si>
  <si>
    <t xml:space="preserve">11:46:59</t>
  </si>
  <si>
    <t xml:space="preserve">152943986.0</t>
  </si>
  <si>
    <t xml:space="preserve">12:56:06</t>
  </si>
  <si>
    <t xml:space="preserve">100876671.0</t>
  </si>
  <si>
    <t xml:space="preserve">152952149.0</t>
  </si>
  <si>
    <t xml:space="preserve">12:56:09</t>
  </si>
  <si>
    <t xml:space="preserve">11:47:19</t>
  </si>
  <si>
    <t xml:space="preserve">13:31:55</t>
  </si>
  <si>
    <t xml:space="preserve">152952150.0</t>
  </si>
  <si>
    <t xml:space="preserve">12:56:13</t>
  </si>
  <si>
    <t xml:space="preserve">152952151.0</t>
  </si>
  <si>
    <t xml:space="preserve">12:56:16</t>
  </si>
  <si>
    <t xml:space="preserve">13:31:56</t>
  </si>
  <si>
    <t xml:space="preserve">152952152.0</t>
  </si>
  <si>
    <t xml:space="preserve">12:56:19</t>
  </si>
  <si>
    <t xml:space="preserve">152952154.0</t>
  </si>
  <si>
    <t xml:space="preserve">2026-09-07</t>
  </si>
  <si>
    <t xml:space="preserve">09:41:26</t>
  </si>
  <si>
    <t xml:space="preserve">11:07:45</t>
  </si>
  <si>
    <t xml:space="preserve">17:49:00</t>
  </si>
  <si>
    <t xml:space="preserve">11:56:10</t>
  </si>
  <si>
    <t xml:space="preserve">152909891.0</t>
  </si>
  <si>
    <t xml:space="preserve">07:41:36</t>
  </si>
  <si>
    <t xml:space="preserve">11:08:52</t>
  </si>
  <si>
    <t xml:space="preserve">17:54:57</t>
  </si>
  <si>
    <t xml:space="preserve">152922914.0</t>
  </si>
  <si>
    <t xml:space="preserve">14:55:26</t>
  </si>
  <si>
    <t xml:space="preserve">15:32:35</t>
  </si>
  <si>
    <t xml:space="preserve">14:49:00</t>
  </si>
  <si>
    <t xml:space="preserve">152927597.0</t>
  </si>
  <si>
    <t xml:space="preserve">15:32:41</t>
  </si>
  <si>
    <t xml:space="preserve">14:47:20</t>
  </si>
  <si>
    <t xml:space="preserve">11:56:11</t>
  </si>
  <si>
    <t xml:space="preserve">100876479.0</t>
  </si>
  <si>
    <t xml:space="preserve">152927599.0</t>
  </si>
  <si>
    <t xml:space="preserve">15:22:02</t>
  </si>
  <si>
    <t xml:space="preserve">15:32:44</t>
  </si>
  <si>
    <t xml:space="preserve">14:44:50</t>
  </si>
  <si>
    <t xml:space="preserve">152927600.0</t>
  </si>
  <si>
    <t xml:space="preserve">10:50:09</t>
  </si>
  <si>
    <t xml:space="preserve">15:32:47</t>
  </si>
  <si>
    <t xml:space="preserve">14:13:55</t>
  </si>
  <si>
    <t xml:space="preserve">152927601.0</t>
  </si>
  <si>
    <t xml:space="preserve">11:02:05</t>
  </si>
  <si>
    <t xml:space="preserve">15:32:50</t>
  </si>
  <si>
    <t xml:space="preserve">14:08:21</t>
  </si>
  <si>
    <t xml:space="preserve">11:56:12</t>
  </si>
  <si>
    <t xml:space="preserve">152927602.0</t>
  </si>
  <si>
    <t xml:space="preserve">11:40:33</t>
  </si>
  <si>
    <t xml:space="preserve">15:32:53</t>
  </si>
  <si>
    <t xml:space="preserve">14:18:42</t>
  </si>
  <si>
    <t xml:space="preserve">152927603.0</t>
  </si>
  <si>
    <t xml:space="preserve">11:55:11</t>
  </si>
  <si>
    <t xml:space="preserve">15:32:56</t>
  </si>
  <si>
    <t xml:space="preserve">14:11:22</t>
  </si>
  <si>
    <t xml:space="preserve">152927604.0</t>
  </si>
  <si>
    <t xml:space="preserve">12:06:53</t>
  </si>
  <si>
    <t xml:space="preserve">15:32:59</t>
  </si>
  <si>
    <t xml:space="preserve">14:12:46</t>
  </si>
  <si>
    <t xml:space="preserve">11:56:13</t>
  </si>
  <si>
    <t xml:space="preserve">152927605.0</t>
  </si>
  <si>
    <t xml:space="preserve">14:35:00</t>
  </si>
  <si>
    <t xml:space="preserve">15:33:03</t>
  </si>
  <si>
    <t xml:space="preserve">14:55:46</t>
  </si>
  <si>
    <t xml:space="preserve">152927606.0</t>
  </si>
  <si>
    <t xml:space="preserve">14:45:39</t>
  </si>
  <si>
    <t xml:space="preserve">15:33:06</t>
  </si>
  <si>
    <t xml:space="preserve">14:50:08</t>
  </si>
  <si>
    <t xml:space="preserve">152927607.0</t>
  </si>
  <si>
    <t xml:space="preserve">15:04:54</t>
  </si>
  <si>
    <t xml:space="preserve">15:33:09</t>
  </si>
  <si>
    <t xml:space="preserve">14:51:33</t>
  </si>
  <si>
    <t xml:space="preserve">11:56:14</t>
  </si>
  <si>
    <t xml:space="preserve">152927608.0</t>
  </si>
  <si>
    <t xml:space="preserve">15:19:49</t>
  </si>
  <si>
    <t xml:space="preserve">15:33:12</t>
  </si>
  <si>
    <t xml:space="preserve">14:53:24</t>
  </si>
  <si>
    <t xml:space="preserve">152927609.0</t>
  </si>
  <si>
    <t xml:space="preserve">15:32:15</t>
  </si>
  <si>
    <t xml:space="preserve">15:33:15</t>
  </si>
  <si>
    <t xml:space="preserve">14:54:37</t>
  </si>
  <si>
    <t xml:space="preserve">152927610.0</t>
  </si>
  <si>
    <t xml:space="preserve">ISTVANV</t>
  </si>
  <si>
    <t xml:space="preserve">08:53:20</t>
  </si>
  <si>
    <t xml:space="preserve">15:33:18</t>
  </si>
  <si>
    <t xml:space="preserve">07:34:24</t>
  </si>
  <si>
    <t xml:space="preserve">152927611.0</t>
  </si>
  <si>
    <t xml:space="preserve">10:12:00</t>
  </si>
  <si>
    <t xml:space="preserve">15:34:05</t>
  </si>
  <si>
    <t xml:space="preserve">07:32:25</t>
  </si>
  <si>
    <t xml:space="preserve">11:56:15</t>
  </si>
  <si>
    <t xml:space="preserve">152909892.0</t>
  </si>
  <si>
    <t xml:space="preserve">12:03:55</t>
  </si>
  <si>
    <t xml:space="preserve">15:34:11</t>
  </si>
  <si>
    <t xml:space="preserve">07:26:22</t>
  </si>
  <si>
    <t xml:space="preserve">100876493.0</t>
  </si>
  <si>
    <t xml:space="preserve">152927613.0</t>
  </si>
  <si>
    <t xml:space="preserve">12:57:33</t>
  </si>
  <si>
    <t xml:space="preserve">15:34:15</t>
  </si>
  <si>
    <t xml:space="preserve">07:23:38</t>
  </si>
  <si>
    <t xml:space="preserve">152927614.0</t>
  </si>
  <si>
    <t xml:space="preserve">15:27:06</t>
  </si>
  <si>
    <t xml:space="preserve">15:34:18</t>
  </si>
  <si>
    <t xml:space="preserve">07:18:05</t>
  </si>
  <si>
    <t xml:space="preserve">152927615.0</t>
  </si>
  <si>
    <t xml:space="preserve">17:34:26</t>
  </si>
  <si>
    <t xml:space="preserve">15:34:21</t>
  </si>
  <si>
    <t xml:space="preserve">07:20:21</t>
  </si>
  <si>
    <t xml:space="preserve">11:56:16</t>
  </si>
  <si>
    <t xml:space="preserve">152927616.0</t>
  </si>
  <si>
    <t xml:space="preserve">09:19:30</t>
  </si>
  <si>
    <t xml:space="preserve">15:34:24</t>
  </si>
  <si>
    <t xml:space="preserve">09:59:08</t>
  </si>
  <si>
    <t xml:space="preserve">152927617.0</t>
  </si>
  <si>
    <t xml:space="preserve">09:27:04</t>
  </si>
  <si>
    <t xml:space="preserve">15:34:28</t>
  </si>
  <si>
    <t xml:space="preserve">09:57:02</t>
  </si>
  <si>
    <t xml:space="preserve">152927618.0</t>
  </si>
  <si>
    <t xml:space="preserve">10:06:52</t>
  </si>
  <si>
    <t xml:space="preserve">15:34:31</t>
  </si>
  <si>
    <t xml:space="preserve">09:55:35</t>
  </si>
  <si>
    <t xml:space="preserve">11:56:17</t>
  </si>
  <si>
    <t xml:space="preserve">152927619.0</t>
  </si>
  <si>
    <t xml:space="preserve">10:51:41</t>
  </si>
  <si>
    <t xml:space="preserve">15:34:34</t>
  </si>
  <si>
    <t xml:space="preserve">09:48:10</t>
  </si>
  <si>
    <t xml:space="preserve">152927620.0</t>
  </si>
  <si>
    <t xml:space="preserve">12:15:49</t>
  </si>
  <si>
    <t xml:space="preserve">15:34:37</t>
  </si>
  <si>
    <t xml:space="preserve">09:24:44</t>
  </si>
  <si>
    <t xml:space="preserve">152927621.0</t>
  </si>
  <si>
    <t xml:space="preserve">2026-09-05</t>
  </si>
  <si>
    <t xml:space="preserve">17:01:51</t>
  </si>
  <si>
    <t xml:space="preserve">17:01:47</t>
  </si>
  <si>
    <t xml:space="preserve">11:33:21</t>
  </si>
  <si>
    <t xml:space="preserve">152867741.0</t>
  </si>
  <si>
    <t xml:space="preserve">17:04:00</t>
  </si>
  <si>
    <t xml:space="preserve">17:03:57</t>
  </si>
  <si>
    <t xml:space="preserve">12:10:34</t>
  </si>
  <si>
    <t xml:space="preserve">152867770.0</t>
  </si>
  <si>
    <t xml:space="preserve">17:04:35</t>
  </si>
  <si>
    <t xml:space="preserve">17:04:32</t>
  </si>
  <si>
    <t xml:space="preserve">16:32:41</t>
  </si>
  <si>
    <t xml:space="preserve">152867793.0</t>
  </si>
  <si>
    <t xml:space="preserve">2026-09-04</t>
  </si>
  <si>
    <t xml:space="preserve">14:34:11</t>
  </si>
  <si>
    <t xml:space="preserve">14:34:08</t>
  </si>
  <si>
    <t xml:space="preserve">08:05:13</t>
  </si>
  <si>
    <t xml:space="preserve">13:37:25</t>
  </si>
  <si>
    <t xml:space="preserve">152844040.0</t>
  </si>
  <si>
    <t xml:space="preserve">14:35:39</t>
  </si>
  <si>
    <t xml:space="preserve">14:35:36</t>
  </si>
  <si>
    <t xml:space="preserve">11:32:41</t>
  </si>
  <si>
    <t xml:space="preserve">152844041.0</t>
  </si>
  <si>
    <t xml:space="preserve">14:35:43</t>
  </si>
  <si>
    <t xml:space="preserve">08:33:00</t>
  </si>
  <si>
    <t xml:space="preserve">13:37:26</t>
  </si>
  <si>
    <t xml:space="preserve">100876290.0</t>
  </si>
  <si>
    <t xml:space="preserve">152857603.0</t>
  </si>
  <si>
    <t xml:space="preserve">16:33:49</t>
  </si>
  <si>
    <t xml:space="preserve">16:33:46</t>
  </si>
  <si>
    <t xml:space="preserve">16:00:25</t>
  </si>
  <si>
    <t xml:space="preserve">152843923.0</t>
  </si>
  <si>
    <t xml:space="preserve">16:33:53</t>
  </si>
  <si>
    <t xml:space="preserve">23:26:15</t>
  </si>
  <si>
    <t xml:space="preserve">100876294.0</t>
  </si>
  <si>
    <t xml:space="preserve">152862225.0</t>
  </si>
  <si>
    <t xml:space="preserve">16:33:56</t>
  </si>
  <si>
    <t xml:space="preserve">10:28:09</t>
  </si>
  <si>
    <t xml:space="preserve">16:00:26</t>
  </si>
  <si>
    <t xml:space="preserve">152862226.0</t>
  </si>
  <si>
    <t xml:space="preserve">16:34:45</t>
  </si>
  <si>
    <t xml:space="preserve">16:34:42</t>
  </si>
  <si>
    <t xml:space="preserve">13:39:56</t>
  </si>
  <si>
    <t xml:space="preserve">152843951.0</t>
  </si>
  <si>
    <t xml:space="preserve">16:34:49</t>
  </si>
  <si>
    <t xml:space="preserve">100876297.0</t>
  </si>
  <si>
    <t xml:space="preserve">152862228.0</t>
  </si>
  <si>
    <t xml:space="preserve">16:34:52</t>
  </si>
  <si>
    <t xml:space="preserve">13:41:01</t>
  </si>
  <si>
    <t xml:space="preserve">16:00:27</t>
  </si>
  <si>
    <t xml:space="preserve">152862229.0</t>
  </si>
  <si>
    <t xml:space="preserve">16:35:25</t>
  </si>
  <si>
    <t xml:space="preserve">16:35:22</t>
  </si>
  <si>
    <t xml:space="preserve">21:14:20</t>
  </si>
  <si>
    <t xml:space="preserve">152843979.0</t>
  </si>
  <si>
    <t xml:space="preserve">16:35:29</t>
  </si>
  <si>
    <t xml:space="preserve">16:00:28</t>
  </si>
  <si>
    <t xml:space="preserve">100876300.0</t>
  </si>
  <si>
    <t xml:space="preserve">152862231.0</t>
  </si>
  <si>
    <t xml:space="preserve">16:35:32</t>
  </si>
  <si>
    <t xml:space="preserve">00:07:12</t>
  </si>
  <si>
    <t xml:space="preserve">152862232.0</t>
  </si>
  <si>
    <t xml:space="preserve">16:36:04</t>
  </si>
  <si>
    <t xml:space="preserve">16:36:02</t>
  </si>
  <si>
    <t xml:space="preserve">13:42:31</t>
  </si>
  <si>
    <t xml:space="preserve">152844007.0</t>
  </si>
  <si>
    <t xml:space="preserve">16:36:08</t>
  </si>
  <si>
    <t xml:space="preserve">16:00:29</t>
  </si>
  <si>
    <t xml:space="preserve">100876303.0</t>
  </si>
  <si>
    <t xml:space="preserve">152862234.0</t>
  </si>
  <si>
    <t xml:space="preserve">16:36:11</t>
  </si>
  <si>
    <t xml:space="preserve">19:28:31</t>
  </si>
  <si>
    <t xml:space="preserve">152862235.0</t>
  </si>
  <si>
    <t xml:space="preserve">2026-09-01</t>
  </si>
  <si>
    <t xml:space="preserve">17:02:48</t>
  </si>
  <si>
    <t xml:space="preserve">14:53:46</t>
  </si>
  <si>
    <t xml:space="preserve">2026-09-03</t>
  </si>
  <si>
    <t xml:space="preserve">10:53:02</t>
  </si>
  <si>
    <t xml:space="preserve">152774720.0</t>
  </si>
  <si>
    <t xml:space="preserve">16:20:53</t>
  </si>
  <si>
    <t xml:space="preserve">07:19:24</t>
  </si>
  <si>
    <t xml:space="preserve">152774748.0</t>
  </si>
  <si>
    <t xml:space="preserve">JMAHENDR</t>
  </si>
  <si>
    <t xml:space="preserve">11:02:01</t>
  </si>
  <si>
    <t xml:space="preserve">16:21:00</t>
  </si>
  <si>
    <t xml:space="preserve">09:54:24</t>
  </si>
  <si>
    <t xml:space="preserve">09:22:19</t>
  </si>
  <si>
    <t xml:space="preserve">100875890.0</t>
  </si>
  <si>
    <t xml:space="preserve">152792435.0</t>
  </si>
  <si>
    <t xml:space="preserve">16:29:07</t>
  </si>
  <si>
    <t xml:space="preserve">16:29:04</t>
  </si>
  <si>
    <t xml:space="preserve">11:11:29</t>
  </si>
  <si>
    <t xml:space="preserve">10:53:03</t>
  </si>
  <si>
    <t xml:space="preserve">152771930.0</t>
  </si>
  <si>
    <t xml:space="preserve">16:30:05</t>
  </si>
  <si>
    <t xml:space="preserve">16:30:02</t>
  </si>
  <si>
    <t xml:space="preserve">07:22:43</t>
  </si>
  <si>
    <t xml:space="preserve">152771958.0</t>
  </si>
  <si>
    <t xml:space="preserve">16:30:08</t>
  </si>
  <si>
    <t xml:space="preserve">06:45:33</t>
  </si>
  <si>
    <t xml:space="preserve">10:53:04</t>
  </si>
  <si>
    <t xml:space="preserve">100875894.0</t>
  </si>
  <si>
    <t xml:space="preserve">152792830.0</t>
  </si>
  <si>
    <t xml:space="preserve">2026-08-29</t>
  </si>
  <si>
    <t xml:space="preserve">07:47:09</t>
  </si>
  <si>
    <t xml:space="preserve">07:47:05</t>
  </si>
  <si>
    <t xml:space="preserve">13:18:37</t>
  </si>
  <si>
    <t xml:space="preserve">152713269.0</t>
  </si>
  <si>
    <t xml:space="preserve">07:47:54</t>
  </si>
  <si>
    <t xml:space="preserve">07:47:50</t>
  </si>
  <si>
    <t xml:space="preserve">13:18:38</t>
  </si>
  <si>
    <t xml:space="preserve">152713298.0</t>
  </si>
  <si>
    <t xml:space="preserve">07:48:25</t>
  </si>
  <si>
    <t xml:space="preserve">07:48:21</t>
  </si>
  <si>
    <t xml:space="preserve">16:43:55</t>
  </si>
  <si>
    <t xml:space="preserve">13:18:39</t>
  </si>
  <si>
    <t xml:space="preserve">152713321.0</t>
  </si>
  <si>
    <t xml:space="preserve">2026-08-27</t>
  </si>
  <si>
    <t xml:space="preserve">11:14:24</t>
  </si>
  <si>
    <t xml:space="preserve">11:14:21</t>
  </si>
  <si>
    <t xml:space="preserve">03:27:41</t>
  </si>
  <si>
    <t xml:space="preserve">2026-09-26</t>
  </si>
  <si>
    <t xml:space="preserve">10:29:27</t>
  </si>
  <si>
    <t xml:space="preserve">152675121.0</t>
  </si>
  <si>
    <t xml:space="preserve">11:14:28</t>
  </si>
  <si>
    <t xml:space="preserve">08:40:44</t>
  </si>
  <si>
    <t xml:space="preserve">2026-09-20</t>
  </si>
  <si>
    <t xml:space="preserve">07:10:34</t>
  </si>
  <si>
    <t xml:space="preserve">100875704.0</t>
  </si>
  <si>
    <t xml:space="preserve">152688086.0</t>
  </si>
  <si>
    <t xml:space="preserve">11:14:32</t>
  </si>
  <si>
    <t xml:space="preserve">02:12:48</t>
  </si>
  <si>
    <t xml:space="preserve">14:59:00</t>
  </si>
  <si>
    <t xml:space="preserve">152688087.0</t>
  </si>
  <si>
    <t xml:space="preserve">11:16:47</t>
  </si>
  <si>
    <t xml:space="preserve">11:16:44</t>
  </si>
  <si>
    <t xml:space="preserve">09:32:37</t>
  </si>
  <si>
    <t xml:space="preserve">15:42:46</t>
  </si>
  <si>
    <t xml:space="preserve">152675150.0</t>
  </si>
  <si>
    <t xml:space="preserve">BWHITFIE</t>
  </si>
  <si>
    <t xml:space="preserve">17:04:15</t>
  </si>
  <si>
    <t xml:space="preserve">11:16:50</t>
  </si>
  <si>
    <t xml:space="preserve">06:28:53</t>
  </si>
  <si>
    <t xml:space="preserve">2026-09-19</t>
  </si>
  <si>
    <t xml:space="preserve">15:49:21</t>
  </si>
  <si>
    <t xml:space="preserve">100875707.0</t>
  </si>
  <si>
    <t xml:space="preserve">152688089.0</t>
  </si>
  <si>
    <t xml:space="preserve">2026-08-31</t>
  </si>
  <si>
    <t xml:space="preserve">17:03:54</t>
  </si>
  <si>
    <t xml:space="preserve">11:16:54</t>
  </si>
  <si>
    <t xml:space="preserve">22:57:25</t>
  </si>
  <si>
    <t xml:space="preserve">12:22:31</t>
  </si>
  <si>
    <t xml:space="preserve">152688090.0</t>
  </si>
  <si>
    <t xml:space="preserve">11:19:06</t>
  </si>
  <si>
    <t xml:space="preserve">11:19:04</t>
  </si>
  <si>
    <t xml:space="preserve">17:08:44</t>
  </si>
  <si>
    <t xml:space="preserve">152675179.0</t>
  </si>
  <si>
    <t xml:space="preserve">11:19:10</t>
  </si>
  <si>
    <t xml:space="preserve">09:54:05</t>
  </si>
  <si>
    <t xml:space="preserve">08:59:32</t>
  </si>
  <si>
    <t xml:space="preserve">100875710.0</t>
  </si>
  <si>
    <t xml:space="preserve">152688092.0</t>
  </si>
  <si>
    <t xml:space="preserve">11:19:14</t>
  </si>
  <si>
    <t xml:space="preserve">10:58:34</t>
  </si>
  <si>
    <t xml:space="preserve">07:44:23</t>
  </si>
  <si>
    <t xml:space="preserve">152688093.0</t>
  </si>
  <si>
    <t xml:space="preserve">11:20:46</t>
  </si>
  <si>
    <t xml:space="preserve">11:20:44</t>
  </si>
  <si>
    <t xml:space="preserve">15:47:24</t>
  </si>
  <si>
    <t xml:space="preserve">15:52:13</t>
  </si>
  <si>
    <t xml:space="preserve">152675207.0</t>
  </si>
  <si>
    <t xml:space="preserve">11:20:50</t>
  </si>
  <si>
    <t xml:space="preserve">10:52:59</t>
  </si>
  <si>
    <t xml:space="preserve">07:37:44</t>
  </si>
  <si>
    <t xml:space="preserve">100875713.0</t>
  </si>
  <si>
    <t xml:space="preserve">152688095.0</t>
  </si>
  <si>
    <t xml:space="preserve">11:20:54</t>
  </si>
  <si>
    <t xml:space="preserve">09:41:12</t>
  </si>
  <si>
    <t xml:space="preserve">2026-09-24</t>
  </si>
  <si>
    <t xml:space="preserve">07:23:36</t>
  </si>
  <si>
    <t xml:space="preserve">152688096.0</t>
  </si>
  <si>
    <t xml:space="preserve">2026-08-25</t>
  </si>
  <si>
    <t xml:space="preserve">16:53:16</t>
  </si>
  <si>
    <t xml:space="preserve">15:39:08</t>
  </si>
  <si>
    <t xml:space="preserve">16:12:11</t>
  </si>
  <si>
    <t xml:space="preserve">152630652.0</t>
  </si>
  <si>
    <t xml:space="preserve">11:41:45</t>
  </si>
  <si>
    <t xml:space="preserve">16:12:12</t>
  </si>
  <si>
    <t xml:space="preserve">100875463.0</t>
  </si>
  <si>
    <t xml:space="preserve">152644424.0</t>
  </si>
  <si>
    <t xml:space="preserve">16:53:26</t>
  </si>
  <si>
    <t xml:space="preserve">06:16:33</t>
  </si>
  <si>
    <t xml:space="preserve">152644425.0</t>
  </si>
  <si>
    <t xml:space="preserve">2026-08-22</t>
  </si>
  <si>
    <t xml:space="preserve">11:19:38</t>
  </si>
  <si>
    <t xml:space="preserve">11:19:35</t>
  </si>
  <si>
    <t xml:space="preserve">13:22:27</t>
  </si>
  <si>
    <t xml:space="preserve">07:08:42</t>
  </si>
  <si>
    <t xml:space="preserve">152568202.0</t>
  </si>
  <si>
    <t xml:space="preserve">11:20:06</t>
  </si>
  <si>
    <t xml:space="preserve">11:20:03</t>
  </si>
  <si>
    <t xml:space="preserve">15:43:07</t>
  </si>
  <si>
    <t xml:space="preserve">16:34:39</t>
  </si>
  <si>
    <t xml:space="preserve">152568230.0</t>
  </si>
  <si>
    <t xml:space="preserve">11:20:30</t>
  </si>
  <si>
    <t xml:space="preserve">11:20:28</t>
  </si>
  <si>
    <t xml:space="preserve">06:45:47</t>
  </si>
  <si>
    <t xml:space="preserve">16:34:40</t>
  </si>
  <si>
    <t xml:space="preserve">152568231.0</t>
  </si>
  <si>
    <t xml:space="preserve">10:33:24</t>
  </si>
  <si>
    <t xml:space="preserve">12:02:57</t>
  </si>
  <si>
    <t xml:space="preserve">17:50:07</t>
  </si>
  <si>
    <t xml:space="preserve">152570873.0</t>
  </si>
  <si>
    <t xml:space="preserve">10:52:01</t>
  </si>
  <si>
    <t xml:space="preserve">12:03:03</t>
  </si>
  <si>
    <t xml:space="preserve">17:52:59</t>
  </si>
  <si>
    <t xml:space="preserve">100874815.0</t>
  </si>
  <si>
    <t xml:space="preserve">152578052.0</t>
  </si>
  <si>
    <t xml:space="preserve">10:57:42</t>
  </si>
  <si>
    <t xml:space="preserve">12:03:07</t>
  </si>
  <si>
    <t xml:space="preserve">22:36:38</t>
  </si>
  <si>
    <t xml:space="preserve">152578053.0</t>
  </si>
  <si>
    <t xml:space="preserve">11:53:52</t>
  </si>
  <si>
    <t xml:space="preserve">12:03:10</t>
  </si>
  <si>
    <t xml:space="preserve">17:56:55</t>
  </si>
  <si>
    <t xml:space="preserve">152578054.0</t>
  </si>
  <si>
    <t xml:space="preserve">12:52:06</t>
  </si>
  <si>
    <t xml:space="preserve">12:03:13</t>
  </si>
  <si>
    <t xml:space="preserve">17:47:26</t>
  </si>
  <si>
    <t xml:space="preserve">152578055.0</t>
  </si>
  <si>
    <t xml:space="preserve">13:14:51</t>
  </si>
  <si>
    <t xml:space="preserve">12:03:16</t>
  </si>
  <si>
    <t xml:space="preserve">152578057.0</t>
  </si>
  <si>
    <t xml:space="preserve">14:37:24</t>
  </si>
  <si>
    <t xml:space="preserve">12:03:20</t>
  </si>
  <si>
    <t xml:space="preserve">22:35:44</t>
  </si>
  <si>
    <t xml:space="preserve">152578058.0</t>
  </si>
  <si>
    <t xml:space="preserve">14:54:05</t>
  </si>
  <si>
    <t xml:space="preserve">12:03:23</t>
  </si>
  <si>
    <t xml:space="preserve">22:34:44</t>
  </si>
  <si>
    <t xml:space="preserve">152578059.0</t>
  </si>
  <si>
    <t xml:space="preserve">16:33:00</t>
  </si>
  <si>
    <t xml:space="preserve">12:03:27</t>
  </si>
  <si>
    <t xml:space="preserve">22:55:28</t>
  </si>
  <si>
    <t xml:space="preserve">152578060.0</t>
  </si>
  <si>
    <t xml:space="preserve">16:49:53</t>
  </si>
  <si>
    <t xml:space="preserve">12:03:31</t>
  </si>
  <si>
    <t xml:space="preserve">23:27:17</t>
  </si>
  <si>
    <t xml:space="preserve">16:34:43</t>
  </si>
  <si>
    <t xml:space="preserve">152578061.0</t>
  </si>
  <si>
    <t xml:space="preserve">17:09:13</t>
  </si>
  <si>
    <t xml:space="preserve">12:03:34</t>
  </si>
  <si>
    <t xml:space="preserve">23:31:20</t>
  </si>
  <si>
    <t xml:space="preserve">152578062.0</t>
  </si>
  <si>
    <t xml:space="preserve">17:23:28</t>
  </si>
  <si>
    <t xml:space="preserve">12:03:37</t>
  </si>
  <si>
    <t xml:space="preserve">23:28:57</t>
  </si>
  <si>
    <t xml:space="preserve">16:34:44</t>
  </si>
  <si>
    <t xml:space="preserve">152578063.0</t>
  </si>
  <si>
    <t xml:space="preserve">17:40:45</t>
  </si>
  <si>
    <t xml:space="preserve">12:03:40</t>
  </si>
  <si>
    <t xml:space="preserve">23:30:15</t>
  </si>
  <si>
    <t xml:space="preserve">152578064.0</t>
  </si>
  <si>
    <t xml:space="preserve">15:26:13</t>
  </si>
  <si>
    <t xml:space="preserve">12:03:44</t>
  </si>
  <si>
    <t xml:space="preserve">00:04:59</t>
  </si>
  <si>
    <t xml:space="preserve">152578065.0</t>
  </si>
  <si>
    <t xml:space="preserve">15:44:52</t>
  </si>
  <si>
    <t xml:space="preserve">12:03:47</t>
  </si>
  <si>
    <t xml:space="preserve">00:06:54</t>
  </si>
  <si>
    <t xml:space="preserve">16:34:46</t>
  </si>
  <si>
    <t xml:space="preserve">152578066.0</t>
  </si>
  <si>
    <t xml:space="preserve">16:01:58</t>
  </si>
  <si>
    <t xml:space="preserve">12:03:50</t>
  </si>
  <si>
    <t xml:space="preserve">00:10:02</t>
  </si>
  <si>
    <t xml:space="preserve">152578067.0</t>
  </si>
  <si>
    <t xml:space="preserve">16:19:05</t>
  </si>
  <si>
    <t xml:space="preserve">12:03:53</t>
  </si>
  <si>
    <t xml:space="preserve">00:08:43</t>
  </si>
  <si>
    <t xml:space="preserve">152578068.0</t>
  </si>
  <si>
    <t xml:space="preserve">10:57:43</t>
  </si>
  <si>
    <t xml:space="preserve">12:03:56</t>
  </si>
  <si>
    <t xml:space="preserve">14:50:54</t>
  </si>
  <si>
    <t xml:space="preserve">152578069.0</t>
  </si>
  <si>
    <t xml:space="preserve">11:59:10</t>
  </si>
  <si>
    <t xml:space="preserve">12:03:59</t>
  </si>
  <si>
    <t xml:space="preserve">14:53:38</t>
  </si>
  <si>
    <t xml:space="preserve">16:34:47</t>
  </si>
  <si>
    <t xml:space="preserve">152578070.0</t>
  </si>
  <si>
    <t xml:space="preserve">12:10:50</t>
  </si>
  <si>
    <t xml:space="preserve">12:04:03</t>
  </si>
  <si>
    <t xml:space="preserve">14:54:55</t>
  </si>
  <si>
    <t xml:space="preserve">152578071.0</t>
  </si>
  <si>
    <t xml:space="preserve">12:29:28</t>
  </si>
  <si>
    <t xml:space="preserve">12:04:06</t>
  </si>
  <si>
    <t xml:space="preserve">14:35:22</t>
  </si>
  <si>
    <t xml:space="preserve">152578072.0</t>
  </si>
  <si>
    <t xml:space="preserve">12:52:27</t>
  </si>
  <si>
    <t xml:space="preserve">12:04:09</t>
  </si>
  <si>
    <t xml:space="preserve">14:37:38</t>
  </si>
  <si>
    <t xml:space="preserve">16:34:48</t>
  </si>
  <si>
    <t xml:space="preserve">152578073.0</t>
  </si>
  <si>
    <t xml:space="preserve">13:07:51</t>
  </si>
  <si>
    <t xml:space="preserve">12:04:13</t>
  </si>
  <si>
    <t xml:space="preserve">14:39:44</t>
  </si>
  <si>
    <t xml:space="preserve">152578074.0</t>
  </si>
  <si>
    <t xml:space="preserve">14:38:43</t>
  </si>
  <si>
    <t xml:space="preserve">12:04:16</t>
  </si>
  <si>
    <t xml:space="preserve">14:41:38</t>
  </si>
  <si>
    <t xml:space="preserve">152578075.0</t>
  </si>
  <si>
    <t xml:space="preserve">13:55:51</t>
  </si>
  <si>
    <t xml:space="preserve">13:55:48</t>
  </si>
  <si>
    <t xml:space="preserve">12:18:36</t>
  </si>
  <si>
    <t xml:space="preserve">152568553.0</t>
  </si>
  <si>
    <t xml:space="preserve">13:56:24</t>
  </si>
  <si>
    <t xml:space="preserve">13:56:21</t>
  </si>
  <si>
    <t xml:space="preserve">14:02:56</t>
  </si>
  <si>
    <t xml:space="preserve">152568554.0</t>
  </si>
  <si>
    <t xml:space="preserve">13:57:25</t>
  </si>
  <si>
    <t xml:space="preserve">13:57:22</t>
  </si>
  <si>
    <t xml:space="preserve">11:48:47</t>
  </si>
  <si>
    <t xml:space="preserve">152578084.0</t>
  </si>
  <si>
    <t xml:space="preserve">2026-08-19</t>
  </si>
  <si>
    <t xml:space="preserve">14:13:22</t>
  </si>
  <si>
    <t xml:space="preserve">14:13:19</t>
  </si>
  <si>
    <t xml:space="preserve">06:36:04</t>
  </si>
  <si>
    <t xml:space="preserve">2026-08-20</t>
  </si>
  <si>
    <t xml:space="preserve">11:07:05</t>
  </si>
  <si>
    <t xml:space="preserve">152513340.0</t>
  </si>
  <si>
    <t xml:space="preserve">14:13:25</t>
  </si>
  <si>
    <t xml:space="preserve">14:41:32</t>
  </si>
  <si>
    <t xml:space="preserve">15:35:52</t>
  </si>
  <si>
    <t xml:space="preserve">100874670.0</t>
  </si>
  <si>
    <t xml:space="preserve">152525346.0</t>
  </si>
  <si>
    <t xml:space="preserve">14:13:29</t>
  </si>
  <si>
    <t xml:space="preserve">06:14:17</t>
  </si>
  <si>
    <t xml:space="preserve">15:35:53</t>
  </si>
  <si>
    <t xml:space="preserve">152525347.0</t>
  </si>
  <si>
    <t xml:space="preserve">2026-08-18</t>
  </si>
  <si>
    <t xml:space="preserve">SLIKANDO</t>
  </si>
  <si>
    <t xml:space="preserve">11:07:10</t>
  </si>
  <si>
    <t xml:space="preserve">11:07:06</t>
  </si>
  <si>
    <t xml:space="preserve">07:55:06</t>
  </si>
  <si>
    <t xml:space="preserve">2026-08-24</t>
  </si>
  <si>
    <t xml:space="preserve">16:54:45</t>
  </si>
  <si>
    <t xml:space="preserve">152480905.0</t>
  </si>
  <si>
    <t xml:space="preserve">11:07:47</t>
  </si>
  <si>
    <t xml:space="preserve">11:07:44</t>
  </si>
  <si>
    <t xml:space="preserve">07:23:58</t>
  </si>
  <si>
    <t xml:space="preserve">07:37:26</t>
  </si>
  <si>
    <t xml:space="preserve">152480934.0</t>
  </si>
  <si>
    <t xml:space="preserve">11:08:14</t>
  </si>
  <si>
    <t xml:space="preserve">11:08:10</t>
  </si>
  <si>
    <t xml:space="preserve">11:41:44</t>
  </si>
  <si>
    <t xml:space="preserve">152480957.0</t>
  </si>
  <si>
    <t xml:space="preserve">2026-08-17</t>
  </si>
  <si>
    <t xml:space="preserve">REL PPRT CNF DLV PRC GMPS MANC RESA*</t>
  </si>
  <si>
    <t xml:space="preserve">13:25:37</t>
  </si>
  <si>
    <t xml:space="preserve">14:21:26</t>
  </si>
  <si>
    <t xml:space="preserve">12:26:18</t>
  </si>
  <si>
    <t xml:space="preserve">14:35:34</t>
  </si>
  <si>
    <t xml:space="preserve">152476440.0</t>
  </si>
  <si>
    <t xml:space="preserve">WWALTHAM</t>
  </si>
  <si>
    <t xml:space="preserve">07:53:29</t>
  </si>
  <si>
    <t xml:space="preserve">14:23:15</t>
  </si>
  <si>
    <t xml:space="preserve">06:48:28</t>
  </si>
  <si>
    <t xml:space="preserve">14:36:46</t>
  </si>
  <si>
    <t xml:space="preserve">152474424.0</t>
  </si>
  <si>
    <t xml:space="preserve">16:27:28</t>
  </si>
  <si>
    <t xml:space="preserve">14:23:22</t>
  </si>
  <si>
    <t xml:space="preserve">14:50:27</t>
  </si>
  <si>
    <t xml:space="preserve">100874391.0</t>
  </si>
  <si>
    <t xml:space="preserve">152477205.0</t>
  </si>
  <si>
    <t xml:space="preserve">2026-08-12</t>
  </si>
  <si>
    <t xml:space="preserve">15:51:36</t>
  </si>
  <si>
    <t xml:space="preserve">14:36:51</t>
  </si>
  <si>
    <t xml:space="preserve">14:52:04</t>
  </si>
  <si>
    <t xml:space="preserve">2026-08-14</t>
  </si>
  <si>
    <t xml:space="preserve">152329797.0</t>
  </si>
  <si>
    <t xml:space="preserve">12:45:57</t>
  </si>
  <si>
    <t xml:space="preserve">14:36:58</t>
  </si>
  <si>
    <t xml:space="preserve">07:38:33</t>
  </si>
  <si>
    <t xml:space="preserve">15:33:04</t>
  </si>
  <si>
    <t xml:space="preserve">100874141.0</t>
  </si>
  <si>
    <t xml:space="preserve">152368915.0</t>
  </si>
  <si>
    <t xml:space="preserve">17:42:07</t>
  </si>
  <si>
    <t xml:space="preserve">14:37:01</t>
  </si>
  <si>
    <t xml:space="preserve">11:59:42</t>
  </si>
  <si>
    <t xml:space="preserve">152368916.0</t>
  </si>
  <si>
    <t xml:space="preserve">14:37:05</t>
  </si>
  <si>
    <t xml:space="preserve">12:01:11</t>
  </si>
  <si>
    <t xml:space="preserve">152368917.0</t>
  </si>
  <si>
    <t xml:space="preserve">17:57:57</t>
  </si>
  <si>
    <t xml:space="preserve">14:37:08</t>
  </si>
  <si>
    <t xml:space="preserve">12:08:03</t>
  </si>
  <si>
    <t xml:space="preserve">152368918.0</t>
  </si>
  <si>
    <t xml:space="preserve">17:59:17</t>
  </si>
  <si>
    <t xml:space="preserve">14:37:11</t>
  </si>
  <si>
    <t xml:space="preserve">12:09:34</t>
  </si>
  <si>
    <t xml:space="preserve">15:33:05</t>
  </si>
  <si>
    <t xml:space="preserve">152368919.0</t>
  </si>
  <si>
    <t xml:space="preserve">11:42:56</t>
  </si>
  <si>
    <t xml:space="preserve">14:37:14</t>
  </si>
  <si>
    <t xml:space="preserve">152368920.0</t>
  </si>
  <si>
    <t xml:space="preserve">13:12:44</t>
  </si>
  <si>
    <t xml:space="preserve">14:37:17</t>
  </si>
  <si>
    <t xml:space="preserve">07:33:34</t>
  </si>
  <si>
    <t xml:space="preserve">152368921.0</t>
  </si>
  <si>
    <t xml:space="preserve">13:30:03</t>
  </si>
  <si>
    <t xml:space="preserve">14:37:20</t>
  </si>
  <si>
    <t xml:space="preserve">07:46:35</t>
  </si>
  <si>
    <t xml:space="preserve">152368922.0</t>
  </si>
  <si>
    <t xml:space="preserve">15:00:48</t>
  </si>
  <si>
    <t xml:space="preserve">14:37:23</t>
  </si>
  <si>
    <t xml:space="preserve">07:44:55</t>
  </si>
  <si>
    <t xml:space="preserve">152368923.0</t>
  </si>
  <si>
    <t xml:space="preserve">15:15:38</t>
  </si>
  <si>
    <t xml:space="preserve">14:37:26</t>
  </si>
  <si>
    <t xml:space="preserve">12:02:48</t>
  </si>
  <si>
    <t xml:space="preserve">152368924.0</t>
  </si>
  <si>
    <t xml:space="preserve">15:33:40</t>
  </si>
  <si>
    <t xml:space="preserve">14:37:29</t>
  </si>
  <si>
    <t xml:space="preserve">12:15:44</t>
  </si>
  <si>
    <t xml:space="preserve">152368925.0</t>
  </si>
  <si>
    <t xml:space="preserve">15:51:33</t>
  </si>
  <si>
    <t xml:space="preserve">14:37:32</t>
  </si>
  <si>
    <t xml:space="preserve">07:55:50</t>
  </si>
  <si>
    <t xml:space="preserve">15:33:07</t>
  </si>
  <si>
    <t xml:space="preserve">152368926.0</t>
  </si>
  <si>
    <t xml:space="preserve">16:08:20</t>
  </si>
  <si>
    <t xml:space="preserve">14:37:35</t>
  </si>
  <si>
    <t xml:space="preserve">07:54:16</t>
  </si>
  <si>
    <t xml:space="preserve">152368927.0</t>
  </si>
  <si>
    <t xml:space="preserve">16:53:23</t>
  </si>
  <si>
    <t xml:space="preserve">07:20:54</t>
  </si>
  <si>
    <t xml:space="preserve">152368928.0</t>
  </si>
  <si>
    <t xml:space="preserve">17:09:12</t>
  </si>
  <si>
    <t xml:space="preserve">14:37:42</t>
  </si>
  <si>
    <t xml:space="preserve">07:18:57</t>
  </si>
  <si>
    <t xml:space="preserve">15:33:08</t>
  </si>
  <si>
    <t xml:space="preserve">152368929.0</t>
  </si>
  <si>
    <t xml:space="preserve">17:42:30</t>
  </si>
  <si>
    <t xml:space="preserve">14:37:45</t>
  </si>
  <si>
    <t xml:space="preserve">07:37:28</t>
  </si>
  <si>
    <t xml:space="preserve">152368930.0</t>
  </si>
  <si>
    <t xml:space="preserve">17:43:42</t>
  </si>
  <si>
    <t xml:space="preserve">14:37:48</t>
  </si>
  <si>
    <t xml:space="preserve">12:13:56</t>
  </si>
  <si>
    <t xml:space="preserve">152368931.0</t>
  </si>
  <si>
    <t xml:space="preserve">15:43:32</t>
  </si>
  <si>
    <t xml:space="preserve">14:48:41</t>
  </si>
  <si>
    <t xml:space="preserve">17:09:05</t>
  </si>
  <si>
    <t xml:space="preserve">152329798.0</t>
  </si>
  <si>
    <t xml:space="preserve">16:49:03</t>
  </si>
  <si>
    <t xml:space="preserve">14:48:48</t>
  </si>
  <si>
    <t xml:space="preserve">17:05:48</t>
  </si>
  <si>
    <t xml:space="preserve">100874161.0</t>
  </si>
  <si>
    <t xml:space="preserve">152368935.0</t>
  </si>
  <si>
    <t xml:space="preserve">17:14:55</t>
  </si>
  <si>
    <t xml:space="preserve">14:48:51</t>
  </si>
  <si>
    <t xml:space="preserve">17:04:10</t>
  </si>
  <si>
    <t xml:space="preserve">152368936.0</t>
  </si>
  <si>
    <t xml:space="preserve">17:32:51</t>
  </si>
  <si>
    <t xml:space="preserve">14:48:54</t>
  </si>
  <si>
    <t xml:space="preserve">17:10:18</t>
  </si>
  <si>
    <t xml:space="preserve">152368937.0</t>
  </si>
  <si>
    <t xml:space="preserve">17:47:42</t>
  </si>
  <si>
    <t xml:space="preserve">14:48:57</t>
  </si>
  <si>
    <t xml:space="preserve">17:11:47</t>
  </si>
  <si>
    <t xml:space="preserve">152368938.0</t>
  </si>
  <si>
    <t xml:space="preserve">10:04:00</t>
  </si>
  <si>
    <t xml:space="preserve">17:45:58</t>
  </si>
  <si>
    <t xml:space="preserve">15:33:10</t>
  </si>
  <si>
    <t xml:space="preserve">152368939.0</t>
  </si>
  <si>
    <t xml:space="preserve">16:59:40</t>
  </si>
  <si>
    <t xml:space="preserve">16:59:37</t>
  </si>
  <si>
    <t xml:space="preserve">06:49:22</t>
  </si>
  <si>
    <t xml:space="preserve">17:15:42</t>
  </si>
  <si>
    <t xml:space="preserve">152327426.0</t>
  </si>
  <si>
    <t xml:space="preserve">16:59:43</t>
  </si>
  <si>
    <t xml:space="preserve">100874170.0</t>
  </si>
  <si>
    <t xml:space="preserve">152375698.0</t>
  </si>
  <si>
    <t xml:space="preserve">16:59:47</t>
  </si>
  <si>
    <t xml:space="preserve">16:45:28</t>
  </si>
  <si>
    <t xml:space="preserve">17:15:43</t>
  </si>
  <si>
    <t xml:space="preserve">152375699.0</t>
  </si>
  <si>
    <t xml:space="preserve">17:02:33</t>
  </si>
  <si>
    <t xml:space="preserve">17:03:53</t>
  </si>
  <si>
    <t xml:space="preserve">09:31:33</t>
  </si>
  <si>
    <t xml:space="preserve">152327455.0</t>
  </si>
  <si>
    <t xml:space="preserve">17:03:06</t>
  </si>
  <si>
    <t xml:space="preserve">17:03:59</t>
  </si>
  <si>
    <t xml:space="preserve">13:56:43</t>
  </si>
  <si>
    <t xml:space="preserve">100874174.0</t>
  </si>
  <si>
    <t xml:space="preserve">152375702.0</t>
  </si>
  <si>
    <t xml:space="preserve">17:02:50</t>
  </si>
  <si>
    <t xml:space="preserve">17:04:03</t>
  </si>
  <si>
    <t xml:space="preserve">09:51:46</t>
  </si>
  <si>
    <t xml:space="preserve">17:15:44</t>
  </si>
  <si>
    <t xml:space="preserve">152375703.0</t>
  </si>
  <si>
    <t xml:space="preserve">17:06:03</t>
  </si>
  <si>
    <t xml:space="preserve">17:06:00</t>
  </si>
  <si>
    <t xml:space="preserve">16:41:20</t>
  </si>
  <si>
    <t xml:space="preserve">152327484.0</t>
  </si>
  <si>
    <t xml:space="preserve">17:06:08</t>
  </si>
  <si>
    <t xml:space="preserve">13:24:13</t>
  </si>
  <si>
    <t xml:space="preserve">17:15:45</t>
  </si>
  <si>
    <t xml:space="preserve">100874177.0</t>
  </si>
  <si>
    <t xml:space="preserve">152375705.0</t>
  </si>
  <si>
    <t xml:space="preserve">17:06:11</t>
  </si>
  <si>
    <t xml:space="preserve">09:21:26</t>
  </si>
  <si>
    <t xml:space="preserve">152375706.0</t>
  </si>
  <si>
    <t xml:space="preserve">17:08:02</t>
  </si>
  <si>
    <t xml:space="preserve">17:07:59</t>
  </si>
  <si>
    <t xml:space="preserve">08:49:56</t>
  </si>
  <si>
    <t xml:space="preserve">152327513.0</t>
  </si>
  <si>
    <t xml:space="preserve">17:08:06</t>
  </si>
  <si>
    <t xml:space="preserve">07:14:48</t>
  </si>
  <si>
    <t xml:space="preserve">17:15:46</t>
  </si>
  <si>
    <t xml:space="preserve">100874180.0</t>
  </si>
  <si>
    <t xml:space="preserve">152375708.0</t>
  </si>
  <si>
    <t xml:space="preserve">17:08:09</t>
  </si>
  <si>
    <t xml:space="preserve">07:20:32</t>
  </si>
  <si>
    <t xml:space="preserve">152375709.0</t>
  </si>
  <si>
    <t xml:space="preserve">2026-08-10</t>
  </si>
  <si>
    <t xml:space="preserve">15:28:04</t>
  </si>
  <si>
    <t xml:space="preserve">15:28:01</t>
  </si>
  <si>
    <t xml:space="preserve">07:16:44</t>
  </si>
  <si>
    <t xml:space="preserve">10:55:14</t>
  </si>
  <si>
    <t xml:space="preserve">152276501.0</t>
  </si>
  <si>
    <t xml:space="preserve">08:16:56</t>
  </si>
  <si>
    <t xml:space="preserve">15:31:47</t>
  </si>
  <si>
    <t xml:space="preserve">07:09:29</t>
  </si>
  <si>
    <t xml:space="preserve">10:54:32</t>
  </si>
  <si>
    <t xml:space="preserve">152276530.0</t>
  </si>
  <si>
    <t xml:space="preserve">15:31:54</t>
  </si>
  <si>
    <t xml:space="preserve">06:19:38</t>
  </si>
  <si>
    <t xml:space="preserve">100873445.0</t>
  </si>
  <si>
    <t xml:space="preserve">152299944.0</t>
  </si>
  <si>
    <t xml:space="preserve">01:55:22</t>
  </si>
  <si>
    <t xml:space="preserve">15:36:08</t>
  </si>
  <si>
    <t xml:space="preserve">09:42:02</t>
  </si>
  <si>
    <t xml:space="preserve">2026-08-11</t>
  </si>
  <si>
    <t xml:space="preserve">14:31:47</t>
  </si>
  <si>
    <t xml:space="preserve">152276804.0</t>
  </si>
  <si>
    <t xml:space="preserve">01:57:12</t>
  </si>
  <si>
    <t xml:space="preserve">15:36:15</t>
  </si>
  <si>
    <t xml:space="preserve">09:58:15</t>
  </si>
  <si>
    <t xml:space="preserve">14:31:48</t>
  </si>
  <si>
    <t xml:space="preserve">100873447.0</t>
  </si>
  <si>
    <t xml:space="preserve">152299946.0</t>
  </si>
  <si>
    <t xml:space="preserve">01:57:35</t>
  </si>
  <si>
    <t xml:space="preserve">15:36:19</t>
  </si>
  <si>
    <t xml:space="preserve">17:12:01</t>
  </si>
  <si>
    <t xml:space="preserve">152299948.0</t>
  </si>
  <si>
    <t xml:space="preserve">2026-08-09</t>
  </si>
  <si>
    <t xml:space="preserve">RVAS</t>
  </si>
  <si>
    <t xml:space="preserve">09:09:32</t>
  </si>
  <si>
    <t xml:space="preserve">08:49:36</t>
  </si>
  <si>
    <t xml:space="preserve">08:06:57</t>
  </si>
  <si>
    <t xml:space="preserve">14:21:19</t>
  </si>
  <si>
    <t xml:space="preserve">152263215.0</t>
  </si>
  <si>
    <t xml:space="preserve">14:48:08</t>
  </si>
  <si>
    <t xml:space="preserve">08:50:17</t>
  </si>
  <si>
    <t xml:space="preserve">17:29:32</t>
  </si>
  <si>
    <t xml:space="preserve">152263243.0</t>
  </si>
  <si>
    <t xml:space="preserve">2026-09-06</t>
  </si>
  <si>
    <t xml:space="preserve">17:25:21</t>
  </si>
  <si>
    <t xml:space="preserve">08:50:24</t>
  </si>
  <si>
    <t xml:space="preserve">16:27:13</t>
  </si>
  <si>
    <t xml:space="preserve">14:21:20</t>
  </si>
  <si>
    <t xml:space="preserve">100873357.0</t>
  </si>
  <si>
    <t xml:space="preserve">152271114.0</t>
  </si>
  <si>
    <t xml:space="preserve">12:38:15</t>
  </si>
  <si>
    <t xml:space="preserve">12:38:12</t>
  </si>
  <si>
    <t xml:space="preserve">13:41:24</t>
  </si>
  <si>
    <t xml:space="preserve">152265054.0</t>
  </si>
  <si>
    <t xml:space="preserve">12:38:18</t>
  </si>
  <si>
    <t xml:space="preserve">07:07:31</t>
  </si>
  <si>
    <t xml:space="preserve">14:21:21</t>
  </si>
  <si>
    <t xml:space="preserve">100873359.0</t>
  </si>
  <si>
    <t xml:space="preserve">152271270.0</t>
  </si>
  <si>
    <t xml:space="preserve">12:38:22</t>
  </si>
  <si>
    <t xml:space="preserve">07:07:32</t>
  </si>
  <si>
    <t xml:space="preserve">152271271.0</t>
  </si>
  <si>
    <t xml:space="preserve">2026-08-08</t>
  </si>
  <si>
    <t xml:space="preserve">09:24:37</t>
  </si>
  <si>
    <t xml:space="preserve">09:24:34</t>
  </si>
  <si>
    <t xml:space="preserve">10:48:00</t>
  </si>
  <si>
    <t xml:space="preserve">14:27:25</t>
  </si>
  <si>
    <t xml:space="preserve">152245580.0</t>
  </si>
  <si>
    <t xml:space="preserve">SSHETTY</t>
  </si>
  <si>
    <t xml:space="preserve">12:47:51</t>
  </si>
  <si>
    <t xml:space="preserve">11:13:38</t>
  </si>
  <si>
    <t xml:space="preserve">07:14:28</t>
  </si>
  <si>
    <t xml:space="preserve">2026-08-26</t>
  </si>
  <si>
    <t xml:space="preserve">11:09:28</t>
  </si>
  <si>
    <t xml:space="preserve">152239034.0</t>
  </si>
  <si>
    <t xml:space="preserve">TPATIL</t>
  </si>
  <si>
    <t xml:space="preserve">17:45:02</t>
  </si>
  <si>
    <t xml:space="preserve">11:21:31</t>
  </si>
  <si>
    <t xml:space="preserve">15:04:17</t>
  </si>
  <si>
    <t xml:space="preserve">14:44:54</t>
  </si>
  <si>
    <t xml:space="preserve">152239064.0</t>
  </si>
  <si>
    <t xml:space="preserve">16:18:08</t>
  </si>
  <si>
    <t xml:space="preserve">11:24:27</t>
  </si>
  <si>
    <t xml:space="preserve">17:10:10</t>
  </si>
  <si>
    <t xml:space="preserve">11:23:45</t>
  </si>
  <si>
    <t xml:space="preserve">152239088.0</t>
  </si>
  <si>
    <t xml:space="preserve">2026-08-07</t>
  </si>
  <si>
    <t xml:space="preserve">12:58:16</t>
  </si>
  <si>
    <t xml:space="preserve">12:58:13</t>
  </si>
  <si>
    <t xml:space="preserve">17:22:00</t>
  </si>
  <si>
    <t xml:space="preserve">16:35:46</t>
  </si>
  <si>
    <t xml:space="preserve">152214606.0</t>
  </si>
  <si>
    <t xml:space="preserve">12:58:20</t>
  </si>
  <si>
    <t xml:space="preserve">14:28:12</t>
  </si>
  <si>
    <t xml:space="preserve">08:38:39</t>
  </si>
  <si>
    <t xml:space="preserve">100873300.0</t>
  </si>
  <si>
    <t xml:space="preserve">152229072.0</t>
  </si>
  <si>
    <t xml:space="preserve">12:58:23</t>
  </si>
  <si>
    <t xml:space="preserve">17:00:28</t>
  </si>
  <si>
    <t xml:space="preserve">11:22:41</t>
  </si>
  <si>
    <t xml:space="preserve">152229073.0</t>
  </si>
  <si>
    <t xml:space="preserve">17:03:26</t>
  </si>
  <si>
    <t xml:space="preserve">13:27:15</t>
  </si>
  <si>
    <t xml:space="preserve">15:41:23</t>
  </si>
  <si>
    <t xml:space="preserve">2026-09-02</t>
  </si>
  <si>
    <t xml:space="preserve">07:33:28</t>
  </si>
  <si>
    <t xml:space="preserve">152214636.0</t>
  </si>
  <si>
    <t xml:space="preserve">17:04:46</t>
  </si>
  <si>
    <t xml:space="preserve">13:27:21</t>
  </si>
  <si>
    <t xml:space="preserve">17:10:42</t>
  </si>
  <si>
    <t xml:space="preserve">08:38:40</t>
  </si>
  <si>
    <t xml:space="preserve">100873313.0</t>
  </si>
  <si>
    <t xml:space="preserve">152229085.0</t>
  </si>
  <si>
    <t xml:space="preserve">17:05:09</t>
  </si>
  <si>
    <t xml:space="preserve">13:27:25</t>
  </si>
  <si>
    <t xml:space="preserve">09:08:02</t>
  </si>
  <si>
    <t xml:space="preserve">15:56:36</t>
  </si>
  <si>
    <t xml:space="preserve">152229086.0</t>
  </si>
  <si>
    <t xml:space="preserve">13:27:53</t>
  </si>
  <si>
    <t xml:space="preserve">13:27:50</t>
  </si>
  <si>
    <t xml:space="preserve">09:08:49</t>
  </si>
  <si>
    <t xml:space="preserve">15:54:22</t>
  </si>
  <si>
    <t xml:space="preserve">152214666.0</t>
  </si>
  <si>
    <t xml:space="preserve">13:27:57</t>
  </si>
  <si>
    <t xml:space="preserve">08:59:47</t>
  </si>
  <si>
    <t xml:space="preserve">100873316.0</t>
  </si>
  <si>
    <t xml:space="preserve">152229088.0</t>
  </si>
  <si>
    <t xml:space="preserve">13:28:33</t>
  </si>
  <si>
    <t xml:space="preserve">13:28:30</t>
  </si>
  <si>
    <t xml:space="preserve">12:01:44</t>
  </si>
  <si>
    <t xml:space="preserve">07:31:07</t>
  </si>
  <si>
    <t xml:space="preserve">152214695.0</t>
  </si>
  <si>
    <t xml:space="preserve">13:28:37</t>
  </si>
  <si>
    <t xml:space="preserve">09:09:55</t>
  </si>
  <si>
    <t xml:space="preserve">15:48:19</t>
  </si>
  <si>
    <t xml:space="preserve">100873319.0</t>
  </si>
  <si>
    <t xml:space="preserve">152229091.0</t>
  </si>
  <si>
    <t xml:space="preserve">13:28:41</t>
  </si>
  <si>
    <t xml:space="preserve">13:28:21</t>
  </si>
  <si>
    <t xml:space="preserve">08:51:53</t>
  </si>
  <si>
    <t xml:space="preserve">152229092.0</t>
  </si>
  <si>
    <t xml:space="preserve">2026-08-06</t>
  </si>
  <si>
    <t xml:space="preserve">10:55:20</t>
  </si>
  <si>
    <t xml:space="preserve">10:55:17</t>
  </si>
  <si>
    <t xml:space="preserve">09:04:46</t>
  </si>
  <si>
    <t xml:space="preserve">11:23:47</t>
  </si>
  <si>
    <t xml:space="preserve">152157532.0</t>
  </si>
  <si>
    <t xml:space="preserve">2026-08-04</t>
  </si>
  <si>
    <t xml:space="preserve">11:46:16</t>
  </si>
  <si>
    <t xml:space="preserve">11:46:14</t>
  </si>
  <si>
    <t xml:space="preserve">15:42:13</t>
  </si>
  <si>
    <t xml:space="preserve">10:10:03</t>
  </si>
  <si>
    <t xml:space="preserve">152112729.0</t>
  </si>
  <si>
    <t xml:space="preserve">17:33:48</t>
  </si>
  <si>
    <t xml:space="preserve">14:06:21</t>
  </si>
  <si>
    <t xml:space="preserve">15:38:40</t>
  </si>
  <si>
    <t xml:space="preserve">15:45:45</t>
  </si>
  <si>
    <t xml:space="preserve">152112730.0</t>
  </si>
  <si>
    <t xml:space="preserve">12:52:59</t>
  </si>
  <si>
    <t xml:space="preserve">15:29:15</t>
  </si>
  <si>
    <t xml:space="preserve">13:13:45</t>
  </si>
  <si>
    <t xml:space="preserve">14:26:52</t>
  </si>
  <si>
    <t xml:space="preserve">152113227.0</t>
  </si>
  <si>
    <t xml:space="preserve">03:18:20</t>
  </si>
  <si>
    <t xml:space="preserve">15:29:21</t>
  </si>
  <si>
    <t xml:space="preserve">100872715.0</t>
  </si>
  <si>
    <t xml:space="preserve">152113230.0</t>
  </si>
  <si>
    <t xml:space="preserve">03:19:38</t>
  </si>
  <si>
    <t xml:space="preserve">15:29:24</t>
  </si>
  <si>
    <t xml:space="preserve">13:13:46</t>
  </si>
  <si>
    <t xml:space="preserve">14:26:53</t>
  </si>
  <si>
    <t xml:space="preserve">152113231.0</t>
  </si>
  <si>
    <t xml:space="preserve">03:21:31</t>
  </si>
  <si>
    <t xml:space="preserve">15:29:27</t>
  </si>
  <si>
    <t xml:space="preserve">152113232.0</t>
  </si>
  <si>
    <t xml:space="preserve">03:27:43</t>
  </si>
  <si>
    <t xml:space="preserve">15:29:30</t>
  </si>
  <si>
    <t xml:space="preserve">152113233.0</t>
  </si>
  <si>
    <t xml:space="preserve">03:29:08</t>
  </si>
  <si>
    <t xml:space="preserve">15:29:33</t>
  </si>
  <si>
    <t xml:space="preserve">13:19:00</t>
  </si>
  <si>
    <t xml:space="preserve">15:03:12</t>
  </si>
  <si>
    <t xml:space="preserve">152113234.0</t>
  </si>
  <si>
    <t xml:space="preserve">10:02:02</t>
  </si>
  <si>
    <t xml:space="preserve">15:29:36</t>
  </si>
  <si>
    <t xml:space="preserve">13:09:54</t>
  </si>
  <si>
    <t xml:space="preserve">17:15:19</t>
  </si>
  <si>
    <t xml:space="preserve">152113235.0</t>
  </si>
  <si>
    <t xml:space="preserve">12:34:51</t>
  </si>
  <si>
    <t xml:space="preserve">15:29:39</t>
  </si>
  <si>
    <t xml:space="preserve">13:07:41</t>
  </si>
  <si>
    <t xml:space="preserve">11:46:54</t>
  </si>
  <si>
    <t xml:space="preserve">152113236.0</t>
  </si>
  <si>
    <t xml:space="preserve">12:59:35</t>
  </si>
  <si>
    <t xml:space="preserve">15:29:42</t>
  </si>
  <si>
    <t xml:space="preserve">13:05:19</t>
  </si>
  <si>
    <t xml:space="preserve">152113237.0</t>
  </si>
  <si>
    <t xml:space="preserve">13:17:52</t>
  </si>
  <si>
    <t xml:space="preserve">15:29:45</t>
  </si>
  <si>
    <t xml:space="preserve">13:03:12</t>
  </si>
  <si>
    <t xml:space="preserve">12:24:10</t>
  </si>
  <si>
    <t xml:space="preserve">152113238.0</t>
  </si>
  <si>
    <t xml:space="preserve">14:34:13</t>
  </si>
  <si>
    <t xml:space="preserve">15:29:48</t>
  </si>
  <si>
    <t xml:space="preserve">12:52:04</t>
  </si>
  <si>
    <t xml:space="preserve">13:44:08</t>
  </si>
  <si>
    <t xml:space="preserve">152113239.0</t>
  </si>
  <si>
    <t xml:space="preserve">14:49:12</t>
  </si>
  <si>
    <t xml:space="preserve">15:29:51</t>
  </si>
  <si>
    <t xml:space="preserve">12:49:45</t>
  </si>
  <si>
    <t xml:space="preserve">14:04:02</t>
  </si>
  <si>
    <t xml:space="preserve">152113240.0</t>
  </si>
  <si>
    <t xml:space="preserve">15:04:33</t>
  </si>
  <si>
    <t xml:space="preserve">15:29:54</t>
  </si>
  <si>
    <t xml:space="preserve">12:46:13</t>
  </si>
  <si>
    <t xml:space="preserve">14:10:19</t>
  </si>
  <si>
    <t xml:space="preserve">152113241.0</t>
  </si>
  <si>
    <t xml:space="preserve">15:17:23</t>
  </si>
  <si>
    <t xml:space="preserve">15:29:57</t>
  </si>
  <si>
    <t xml:space="preserve">12:43:28</t>
  </si>
  <si>
    <t xml:space="preserve">14:24:45</t>
  </si>
  <si>
    <t xml:space="preserve">152113242.0</t>
  </si>
  <si>
    <t xml:space="preserve">15:35:00</t>
  </si>
  <si>
    <t xml:space="preserve">15:30:01</t>
  </si>
  <si>
    <t xml:space="preserve">12:38:46</t>
  </si>
  <si>
    <t xml:space="preserve">14:41:17</t>
  </si>
  <si>
    <t xml:space="preserve">152113243.0</t>
  </si>
  <si>
    <t xml:space="preserve">15:49:01</t>
  </si>
  <si>
    <t xml:space="preserve">15:30:04</t>
  </si>
  <si>
    <t xml:space="preserve">12:31:05</t>
  </si>
  <si>
    <t xml:space="preserve">14:56:46</t>
  </si>
  <si>
    <t xml:space="preserve">152113244.0</t>
  </si>
  <si>
    <t xml:space="preserve">18:22:07</t>
  </si>
  <si>
    <t xml:space="preserve">15:30:07</t>
  </si>
  <si>
    <t xml:space="preserve">17:23:20</t>
  </si>
  <si>
    <t xml:space="preserve">2026-08-23</t>
  </si>
  <si>
    <t xml:space="preserve">07:01:47</t>
  </si>
  <si>
    <t xml:space="preserve">152113245.0</t>
  </si>
  <si>
    <t xml:space="preserve">10:39:25</t>
  </si>
  <si>
    <t xml:space="preserve">15:30:10</t>
  </si>
  <si>
    <t xml:space="preserve">12:18:54</t>
  </si>
  <si>
    <t xml:space="preserve">09:47:36</t>
  </si>
  <si>
    <t xml:space="preserve">152113246.0</t>
  </si>
  <si>
    <t xml:space="preserve">15:59:49</t>
  </si>
  <si>
    <t xml:space="preserve">15:30:44</t>
  </si>
  <si>
    <t xml:space="preserve">12:16:57</t>
  </si>
  <si>
    <t xml:space="preserve">15:01:06</t>
  </si>
  <si>
    <t xml:space="preserve">152113228.0</t>
  </si>
  <si>
    <t xml:space="preserve">15:59:21</t>
  </si>
  <si>
    <t xml:space="preserve">15:30:50</t>
  </si>
  <si>
    <t xml:space="preserve">12:14:19</t>
  </si>
  <si>
    <t xml:space="preserve">100872733.0</t>
  </si>
  <si>
    <t xml:space="preserve">152113248.0</t>
  </si>
  <si>
    <t xml:space="preserve">15:58:54</t>
  </si>
  <si>
    <t xml:space="preserve">15:30:53</t>
  </si>
  <si>
    <t xml:space="preserve">12:06:28</t>
  </si>
  <si>
    <t xml:space="preserve">15:01:07</t>
  </si>
  <si>
    <t xml:space="preserve">152113249.0</t>
  </si>
  <si>
    <t xml:space="preserve">15:58:27</t>
  </si>
  <si>
    <t xml:space="preserve">15:30:56</t>
  </si>
  <si>
    <t xml:space="preserve">12:02:23</t>
  </si>
  <si>
    <t xml:space="preserve">152113250.0</t>
  </si>
  <si>
    <t xml:space="preserve">15:57:59</t>
  </si>
  <si>
    <t xml:space="preserve">12:08:41</t>
  </si>
  <si>
    <t xml:space="preserve">152113251.0</t>
  </si>
  <si>
    <t xml:space="preserve">15:56:40</t>
  </si>
  <si>
    <t xml:space="preserve">15:31:03</t>
  </si>
  <si>
    <t xml:space="preserve">12:11:35</t>
  </si>
  <si>
    <t xml:space="preserve">152113252.0</t>
  </si>
  <si>
    <t xml:space="preserve">2026-07-31</t>
  </si>
  <si>
    <t xml:space="preserve">09:16:01</t>
  </si>
  <si>
    <t xml:space="preserve">09:15:58</t>
  </si>
  <si>
    <t xml:space="preserve">06:24:26</t>
  </si>
  <si>
    <t xml:space="preserve">2026-08-21</t>
  </si>
  <si>
    <t xml:space="preserve">09:54:11</t>
  </si>
  <si>
    <t xml:space="preserve">152022419.0</t>
  </si>
  <si>
    <t xml:space="preserve">09:16:42</t>
  </si>
  <si>
    <t xml:space="preserve">09:16:39</t>
  </si>
  <si>
    <t xml:space="preserve">15:45:42</t>
  </si>
  <si>
    <t xml:space="preserve">10:22:05</t>
  </si>
  <si>
    <t xml:space="preserve">152022450.0</t>
  </si>
  <si>
    <t xml:space="preserve">09:16:46</t>
  </si>
  <si>
    <t xml:space="preserve">11:18:05</t>
  </si>
  <si>
    <t xml:space="preserve">07:31:37</t>
  </si>
  <si>
    <t xml:space="preserve">100872518.0</t>
  </si>
  <si>
    <t xml:space="preserve">152034259.0</t>
  </si>
  <si>
    <t xml:space="preserve">2026-07-23</t>
  </si>
  <si>
    <t xml:space="preserve">11:15:58</t>
  </si>
  <si>
    <t xml:space="preserve">11:25:02</t>
  </si>
  <si>
    <t xml:space="preserve">10:07:45</t>
  </si>
  <si>
    <t xml:space="preserve">2026-07-29</t>
  </si>
  <si>
    <t xml:space="preserve">11:10:54</t>
  </si>
  <si>
    <t xml:space="preserve">151874671.0</t>
  </si>
  <si>
    <t xml:space="preserve">11:19:03</t>
  </si>
  <si>
    <t xml:space="preserve">11:25:08</t>
  </si>
  <si>
    <t xml:space="preserve">07:49:55</t>
  </si>
  <si>
    <t xml:space="preserve">100871605.0</t>
  </si>
  <si>
    <t xml:space="preserve">151888761.0</t>
  </si>
  <si>
    <t xml:space="preserve">11:17:35</t>
  </si>
  <si>
    <t xml:space="preserve">11:25:12</t>
  </si>
  <si>
    <t xml:space="preserve">14:16:11</t>
  </si>
  <si>
    <t xml:space="preserve">11:10:55</t>
  </si>
  <si>
    <t xml:space="preserve">151888762.0</t>
  </si>
  <si>
    <t xml:space="preserve">2026-07-28</t>
  </si>
  <si>
    <t xml:space="preserve">07:29:18</t>
  </si>
  <si>
    <t xml:space="preserve">09:55:36</t>
  </si>
  <si>
    <t xml:space="preserve">06:15:23</t>
  </si>
  <si>
    <t xml:space="preserve">09:07:07</t>
  </si>
  <si>
    <t xml:space="preserve">151971555.0</t>
  </si>
  <si>
    <t xml:space="preserve">07:26:28</t>
  </si>
  <si>
    <t xml:space="preserve">09:56:21</t>
  </si>
  <si>
    <t xml:space="preserve">06:52:39</t>
  </si>
  <si>
    <t xml:space="preserve">09:07:06</t>
  </si>
  <si>
    <t xml:space="preserve">151971586.0</t>
  </si>
  <si>
    <t xml:space="preserve">16:35:13</t>
  </si>
  <si>
    <t xml:space="preserve">09:56:28</t>
  </si>
  <si>
    <t xml:space="preserve">15:32:14</t>
  </si>
  <si>
    <t xml:space="preserve">100871855.0</t>
  </si>
  <si>
    <t xml:space="preserve">151980110.0</t>
  </si>
  <si>
    <t xml:space="preserve">11:23:22</t>
  </si>
  <si>
    <t xml:space="preserve">11:23:19</t>
  </si>
  <si>
    <t xml:space="preserve">06:17:29</t>
  </si>
  <si>
    <t xml:space="preserve">11:10:50</t>
  </si>
  <si>
    <t xml:space="preserve">151874609.0</t>
  </si>
  <si>
    <t xml:space="preserve">11:23:25</t>
  </si>
  <si>
    <t xml:space="preserve">11:16:28</t>
  </si>
  <si>
    <t xml:space="preserve">11:10:51</t>
  </si>
  <si>
    <t xml:space="preserve">100871599.0</t>
  </si>
  <si>
    <t xml:space="preserve">151888755.0</t>
  </si>
  <si>
    <t xml:space="preserve">07:41:55</t>
  </si>
  <si>
    <t xml:space="preserve">11:23:29</t>
  </si>
  <si>
    <t xml:space="preserve">08:50:59</t>
  </si>
  <si>
    <t xml:space="preserve">151888756.0</t>
  </si>
  <si>
    <t xml:space="preserve">11:24:20</t>
  </si>
  <si>
    <t xml:space="preserve">11:24:17</t>
  </si>
  <si>
    <t xml:space="preserve">06:50:04</t>
  </si>
  <si>
    <t xml:space="preserve">11:10:52</t>
  </si>
  <si>
    <t xml:space="preserve">151874640.0</t>
  </si>
  <si>
    <t xml:space="preserve">11:24:24</t>
  </si>
  <si>
    <t xml:space="preserve">10:48:18</t>
  </si>
  <si>
    <t xml:space="preserve">11:10:53</t>
  </si>
  <si>
    <t xml:space="preserve">100871602.0</t>
  </si>
  <si>
    <t xml:space="preserve">151888758.0</t>
  </si>
  <si>
    <t xml:space="preserve">08:29:50</t>
  </si>
  <si>
    <t xml:space="preserve">151888759.0</t>
  </si>
  <si>
    <t xml:space="preserve">11:25:42</t>
  </si>
  <si>
    <t xml:space="preserve">11:25:39</t>
  </si>
  <si>
    <t xml:space="preserve">10:45:19</t>
  </si>
  <si>
    <t xml:space="preserve">11:10:56</t>
  </si>
  <si>
    <t xml:space="preserve">151874702.0</t>
  </si>
  <si>
    <t xml:space="preserve">11:25:45</t>
  </si>
  <si>
    <t xml:space="preserve">12:19:30</t>
  </si>
  <si>
    <t xml:space="preserve">100871608.0</t>
  </si>
  <si>
    <t xml:space="preserve">151888764.0</t>
  </si>
  <si>
    <t xml:space="preserve">11:25:49</t>
  </si>
  <si>
    <t xml:space="preserve">15:20:00</t>
  </si>
  <si>
    <t xml:space="preserve">11:10:57</t>
  </si>
  <si>
    <t xml:space="preserve">151888765.0</t>
  </si>
  <si>
    <t xml:space="preserve">11:38:03</t>
  </si>
  <si>
    <t xml:space="preserve">11:38:00</t>
  </si>
  <si>
    <t xml:space="preserve">151888770.0</t>
  </si>
  <si>
    <t xml:space="preserve">11:38:06</t>
  </si>
  <si>
    <t xml:space="preserve">100871615.0</t>
  </si>
  <si>
    <t xml:space="preserve">151888773.0</t>
  </si>
  <si>
    <t xml:space="preserve">11:38:09</t>
  </si>
  <si>
    <t xml:space="preserve">151888774.0</t>
  </si>
  <si>
    <t xml:space="preserve">2026-07-22</t>
  </si>
  <si>
    <t xml:space="preserve">10:19:58</t>
  </si>
  <si>
    <t xml:space="preserve">10:19:56</t>
  </si>
  <si>
    <t xml:space="preserve">17:01:17</t>
  </si>
  <si>
    <t xml:space="preserve">2026-07-27</t>
  </si>
  <si>
    <t xml:space="preserve">12:16:37</t>
  </si>
  <si>
    <t xml:space="preserve">151863053.0</t>
  </si>
  <si>
    <t xml:space="preserve">10:20:02</t>
  </si>
  <si>
    <t xml:space="preserve">16:59:50</t>
  </si>
  <si>
    <t xml:space="preserve">12:15:54</t>
  </si>
  <si>
    <t xml:space="preserve">100871244.0</t>
  </si>
  <si>
    <t xml:space="preserve">151868946.0</t>
  </si>
  <si>
    <t xml:space="preserve">10:20:06</t>
  </si>
  <si>
    <t xml:space="preserve">16:58:33</t>
  </si>
  <si>
    <t xml:space="preserve">12:15:09</t>
  </si>
  <si>
    <t xml:space="preserve">151868947.0</t>
  </si>
  <si>
    <t xml:space="preserve">2026-07-21</t>
  </si>
  <si>
    <t xml:space="preserve">17:40:11</t>
  </si>
  <si>
    <t xml:space="preserve">11:34:25</t>
  </si>
  <si>
    <t xml:space="preserve">15:37:23</t>
  </si>
  <si>
    <t xml:space="preserve">12:18:29</t>
  </si>
  <si>
    <t xml:space="preserve">151830956.0</t>
  </si>
  <si>
    <t xml:space="preserve">2026-08-03</t>
  </si>
  <si>
    <t xml:space="preserve">11:50:23</t>
  </si>
  <si>
    <t xml:space="preserve">11:34:32</t>
  </si>
  <si>
    <t xml:space="preserve">07:27:21</t>
  </si>
  <si>
    <t xml:space="preserve">11:45:43</t>
  </si>
  <si>
    <t xml:space="preserve">100870914.0</t>
  </si>
  <si>
    <t xml:space="preserve">151843189.0</t>
  </si>
  <si>
    <t xml:space="preserve">17:40:26</t>
  </si>
  <si>
    <t xml:space="preserve">11:34:36</t>
  </si>
  <si>
    <t xml:space="preserve">10:37:07</t>
  </si>
  <si>
    <t xml:space="preserve">12:19:27</t>
  </si>
  <si>
    <t xml:space="preserve">151843190.0</t>
  </si>
  <si>
    <t xml:space="preserve">2026-07-20</t>
  </si>
  <si>
    <t xml:space="preserve">10:18:21</t>
  </si>
  <si>
    <t xml:space="preserve">16:08:13</t>
  </si>
  <si>
    <t xml:space="preserve">13:20:24</t>
  </si>
  <si>
    <t xml:space="preserve">09:33:17</t>
  </si>
  <si>
    <t xml:space="preserve">151806303.0</t>
  </si>
  <si>
    <t xml:space="preserve">10:48:47</t>
  </si>
  <si>
    <t xml:space="preserve">16:08:19</t>
  </si>
  <si>
    <t xml:space="preserve">13:20:25</t>
  </si>
  <si>
    <t xml:space="preserve">09:49:18</t>
  </si>
  <si>
    <t xml:space="preserve">100870801.0</t>
  </si>
  <si>
    <t xml:space="preserve">151826075.0</t>
  </si>
  <si>
    <t xml:space="preserve">11:04:28</t>
  </si>
  <si>
    <t xml:space="preserve">16:08:22</t>
  </si>
  <si>
    <t xml:space="preserve">10:05:42</t>
  </si>
  <si>
    <t xml:space="preserve">151826076.0</t>
  </si>
  <si>
    <t xml:space="preserve">11:51:44</t>
  </si>
  <si>
    <t xml:space="preserve">16:08:25</t>
  </si>
  <si>
    <t xml:space="preserve">10:56:22</t>
  </si>
  <si>
    <t xml:space="preserve">151826077.0</t>
  </si>
  <si>
    <t xml:space="preserve">12:20:08</t>
  </si>
  <si>
    <t xml:space="preserve">16:08:28</t>
  </si>
  <si>
    <t xml:space="preserve">13:20:26</t>
  </si>
  <si>
    <t xml:space="preserve">11:29:26</t>
  </si>
  <si>
    <t xml:space="preserve">151826078.0</t>
  </si>
  <si>
    <t xml:space="preserve">12:34:43</t>
  </si>
  <si>
    <t xml:space="preserve">16:08:31</t>
  </si>
  <si>
    <t xml:space="preserve">11:47:18</t>
  </si>
  <si>
    <t xml:space="preserve">151826079.0</t>
  </si>
  <si>
    <t xml:space="preserve">12:57:07</t>
  </si>
  <si>
    <t xml:space="preserve">16:08:35</t>
  </si>
  <si>
    <t xml:space="preserve">13:20:27</t>
  </si>
  <si>
    <t xml:space="preserve">12:07:30</t>
  </si>
  <si>
    <t xml:space="preserve">151826080.0</t>
  </si>
  <si>
    <t xml:space="preserve">13:14:52</t>
  </si>
  <si>
    <t xml:space="preserve">16:08:38</t>
  </si>
  <si>
    <t xml:space="preserve">12:25:44</t>
  </si>
  <si>
    <t xml:space="preserve">151826081.0</t>
  </si>
  <si>
    <t xml:space="preserve">08:15:07</t>
  </si>
  <si>
    <t xml:space="preserve">16:08:41</t>
  </si>
  <si>
    <t xml:space="preserve">11:56:07</t>
  </si>
  <si>
    <t xml:space="preserve">07:28:24</t>
  </si>
  <si>
    <t xml:space="preserve">151826082.0</t>
  </si>
  <si>
    <t xml:space="preserve">16:08:44</t>
  </si>
  <si>
    <t xml:space="preserve">11:58:33</t>
  </si>
  <si>
    <t xml:space="preserve">09:28:27</t>
  </si>
  <si>
    <t xml:space="preserve">151826083.0</t>
  </si>
  <si>
    <t xml:space="preserve">10:35:24</t>
  </si>
  <si>
    <t xml:space="preserve">16:08:47</t>
  </si>
  <si>
    <t xml:space="preserve">12:01:12</t>
  </si>
  <si>
    <t xml:space="preserve">09:43:28</t>
  </si>
  <si>
    <t xml:space="preserve">151826084.0</t>
  </si>
  <si>
    <t xml:space="preserve">11:35:54</t>
  </si>
  <si>
    <t xml:space="preserve">16:08:50</t>
  </si>
  <si>
    <t xml:space="preserve">10:41:53</t>
  </si>
  <si>
    <t xml:space="preserve">151826085.0</t>
  </si>
  <si>
    <t xml:space="preserve">11:47:46</t>
  </si>
  <si>
    <t xml:space="preserve">16:08:53</t>
  </si>
  <si>
    <t xml:space="preserve">12:06:17</t>
  </si>
  <si>
    <t xml:space="preserve">10:54:25</t>
  </si>
  <si>
    <t xml:space="preserve">151826086.0</t>
  </si>
  <si>
    <t xml:space="preserve">12:11:32</t>
  </si>
  <si>
    <t xml:space="preserve">16:08:56</t>
  </si>
  <si>
    <t xml:space="preserve">12:10:01</t>
  </si>
  <si>
    <t xml:space="preserve">11:12:01</t>
  </si>
  <si>
    <t xml:space="preserve">151826087.0</t>
  </si>
  <si>
    <t xml:space="preserve">13:10:35</t>
  </si>
  <si>
    <t xml:space="preserve">16:08:59</t>
  </si>
  <si>
    <t xml:space="preserve">06:32:12</t>
  </si>
  <si>
    <t xml:space="preserve">12:21:28</t>
  </si>
  <si>
    <t xml:space="preserve">151826088.0</t>
  </si>
  <si>
    <t xml:space="preserve">16:34:37</t>
  </si>
  <si>
    <t xml:space="preserve">16:09:02</t>
  </si>
  <si>
    <t xml:space="preserve">06:36:15</t>
  </si>
  <si>
    <t xml:space="preserve">15:52:57</t>
  </si>
  <si>
    <t xml:space="preserve">151826089.0</t>
  </si>
  <si>
    <t xml:space="preserve">16:56:57</t>
  </si>
  <si>
    <t xml:space="preserve">16:09:06</t>
  </si>
  <si>
    <t xml:space="preserve">07:20:23</t>
  </si>
  <si>
    <t xml:space="preserve">16:07:30</t>
  </si>
  <si>
    <t xml:space="preserve">151826090.0</t>
  </si>
  <si>
    <t xml:space="preserve">17:12:09</t>
  </si>
  <si>
    <t xml:space="preserve">16:09:09</t>
  </si>
  <si>
    <t xml:space="preserve">06:12:11</t>
  </si>
  <si>
    <t xml:space="preserve">16:21:19</t>
  </si>
  <si>
    <t xml:space="preserve">151826091.0</t>
  </si>
  <si>
    <t xml:space="preserve">17:30:21</t>
  </si>
  <si>
    <t xml:space="preserve">16:09:12</t>
  </si>
  <si>
    <t xml:space="preserve">06:23:21</t>
  </si>
  <si>
    <t xml:space="preserve">16:32:29</t>
  </si>
  <si>
    <t xml:space="preserve">151826092.0</t>
  </si>
  <si>
    <t xml:space="preserve">17:46:40</t>
  </si>
  <si>
    <t xml:space="preserve">16:09:15</t>
  </si>
  <si>
    <t xml:space="preserve">06:26:28</t>
  </si>
  <si>
    <t xml:space="preserve">16:47:19</t>
  </si>
  <si>
    <t xml:space="preserve">151826093.0</t>
  </si>
  <si>
    <t xml:space="preserve">08:20:37</t>
  </si>
  <si>
    <t xml:space="preserve">16:09:18</t>
  </si>
  <si>
    <t xml:space="preserve">11:28:45</t>
  </si>
  <si>
    <t xml:space="preserve">2026-07-30</t>
  </si>
  <si>
    <t xml:space="preserve">07:38:03</t>
  </si>
  <si>
    <t xml:space="preserve">151826094.0</t>
  </si>
  <si>
    <t xml:space="preserve">07:47:57</t>
  </si>
  <si>
    <t xml:space="preserve">16:09:21</t>
  </si>
  <si>
    <t xml:space="preserve">11:38:18</t>
  </si>
  <si>
    <t xml:space="preserve">151826095.0</t>
  </si>
  <si>
    <t xml:space="preserve">08:14:48</t>
  </si>
  <si>
    <t xml:space="preserve">16:09:24</t>
  </si>
  <si>
    <t xml:space="preserve">10:43:37</t>
  </si>
  <si>
    <t xml:space="preserve">151826096.0</t>
  </si>
  <si>
    <t xml:space="preserve">08:19:30</t>
  </si>
  <si>
    <t xml:space="preserve">16:09:27</t>
  </si>
  <si>
    <t xml:space="preserve">11:36:55</t>
  </si>
  <si>
    <t xml:space="preserve">07:38:04</t>
  </si>
  <si>
    <t xml:space="preserve">151826097.0</t>
  </si>
  <si>
    <t xml:space="preserve">2026-07-07</t>
  </si>
  <si>
    <t xml:space="preserve">16:38:24</t>
  </si>
  <si>
    <t xml:space="preserve">16:29:06</t>
  </si>
  <si>
    <t xml:space="preserve">16:59:18</t>
  </si>
  <si>
    <t xml:space="preserve">2026-07-12</t>
  </si>
  <si>
    <t xml:space="preserve">08:37:11</t>
  </si>
  <si>
    <t xml:space="preserve">151537138.0</t>
  </si>
  <si>
    <t xml:space="preserve">17:37:04</t>
  </si>
  <si>
    <t xml:space="preserve">16:29:12</t>
  </si>
  <si>
    <t xml:space="preserve">100869317.0</t>
  </si>
  <si>
    <t xml:space="preserve">151556602.0</t>
  </si>
  <si>
    <t xml:space="preserve">2026-06-17</t>
  </si>
  <si>
    <t xml:space="preserve">13:27:04</t>
  </si>
  <si>
    <t xml:space="preserve">11:32:02</t>
  </si>
  <si>
    <t xml:space="preserve">12:57:52</t>
  </si>
  <si>
    <t xml:space="preserve">2026-06-29</t>
  </si>
  <si>
    <t xml:space="preserve">11:09:35</t>
  </si>
  <si>
    <t xml:space="preserve">151149080.0</t>
  </si>
  <si>
    <t xml:space="preserve">15:52:11</t>
  </si>
  <si>
    <t xml:space="preserve">16:42:16</t>
  </si>
  <si>
    <t xml:space="preserve">11:06:29</t>
  </si>
  <si>
    <t xml:space="preserve">11:09:36</t>
  </si>
  <si>
    <t xml:space="preserve">151149099.0</t>
  </si>
  <si>
    <t xml:space="preserve">08:07:47</t>
  </si>
  <si>
    <t xml:space="preserve">16:43:12</t>
  </si>
  <si>
    <t xml:space="preserve">11:02:26</t>
  </si>
  <si>
    <t xml:space="preserve">11:09:37</t>
  </si>
  <si>
    <t xml:space="preserve">151149118.0</t>
  </si>
  <si>
    <t xml:space="preserve">2026-06-15</t>
  </si>
  <si>
    <t xml:space="preserve">09:55:27</t>
  </si>
  <si>
    <t xml:space="preserve">11:49:42</t>
  </si>
  <si>
    <t xml:space="preserve">10:51:47</t>
  </si>
  <si>
    <t xml:space="preserve">151118545.0</t>
  </si>
  <si>
    <t xml:space="preserve">2026-07-19</t>
  </si>
  <si>
    <t xml:space="preserve">11:49:48</t>
  </si>
  <si>
    <t xml:space="preserve">09:13:35</t>
  </si>
  <si>
    <t xml:space="preserve">10:51:48</t>
  </si>
  <si>
    <t xml:space="preserve">100866605.0</t>
  </si>
  <si>
    <t xml:space="preserve">151125618.0</t>
  </si>
  <si>
    <t xml:space="preserve">2026-06-14</t>
  </si>
  <si>
    <t xml:space="preserve">16:47:25</t>
  </si>
  <si>
    <t xml:space="preserve">12:45:29</t>
  </si>
  <si>
    <t xml:space="preserve">06:11:20</t>
  </si>
  <si>
    <t xml:space="preserve">16:15:57</t>
  </si>
  <si>
    <t xml:space="preserve">151103027.0</t>
  </si>
  <si>
    <t xml:space="preserve">17:28:40</t>
  </si>
  <si>
    <t xml:space="preserve">12:45:35</t>
  </si>
  <si>
    <t xml:space="preserve">06:11:21</t>
  </si>
  <si>
    <t xml:space="preserve">16:55:32</t>
  </si>
  <si>
    <t xml:space="preserve">100866548.0</t>
  </si>
  <si>
    <t xml:space="preserve">151110553.0</t>
  </si>
  <si>
    <t xml:space="preserve">2026-06-09</t>
  </si>
  <si>
    <t xml:space="preserve">08:11:25</t>
  </si>
  <si>
    <t xml:space="preserve">09:32:33</t>
  </si>
  <si>
    <t xml:space="preserve">06:47:11</t>
  </si>
  <si>
    <t xml:space="preserve">13:55:43</t>
  </si>
  <si>
    <t xml:space="preserve">150991381.0</t>
  </si>
  <si>
    <t xml:space="preserve">10:10:51</t>
  </si>
  <si>
    <t xml:space="preserve">10:10:48</t>
  </si>
  <si>
    <t xml:space="preserve">11:32:08</t>
  </si>
  <si>
    <t xml:space="preserve">13:55:44</t>
  </si>
  <si>
    <t xml:space="preserve">150991400.0</t>
  </si>
  <si>
    <t xml:space="preserve">10:10:56</t>
  </si>
  <si>
    <t xml:space="preserve">07:27:13</t>
  </si>
  <si>
    <t xml:space="preserve">100865797.0</t>
  </si>
  <si>
    <t xml:space="preserve">151002668.0</t>
  </si>
  <si>
    <t xml:space="preserve">16:46:26</t>
  </si>
  <si>
    <t xml:space="preserve">16:46:23</t>
  </si>
  <si>
    <t xml:space="preserve">07:24:26</t>
  </si>
  <si>
    <t xml:space="preserve">2026-06-10</t>
  </si>
  <si>
    <t xml:space="preserve">16:14:13</t>
  </si>
  <si>
    <t xml:space="preserve">150991520.0</t>
  </si>
  <si>
    <t xml:space="preserve">16:46:30</t>
  </si>
  <si>
    <t xml:space="preserve">07:01:11</t>
  </si>
  <si>
    <t xml:space="preserve">16:14:58</t>
  </si>
  <si>
    <t xml:space="preserve">100865866.0</t>
  </si>
  <si>
    <t xml:space="preserve">151007460.0</t>
  </si>
  <si>
    <t xml:space="preserve">11:49:34</t>
  </si>
  <si>
    <t xml:space="preserve">16:46:34</t>
  </si>
  <si>
    <t xml:space="preserve">07:02:32</t>
  </si>
  <si>
    <t xml:space="preserve">151007461.0</t>
  </si>
  <si>
    <t xml:space="preserve">2026-06-07</t>
  </si>
  <si>
    <t xml:space="preserve">JRNTI</t>
  </si>
  <si>
    <t xml:space="preserve">09:47:35</t>
  </si>
  <si>
    <t xml:space="preserve">15:55:20</t>
  </si>
  <si>
    <t xml:space="preserve">14:43:20</t>
  </si>
  <si>
    <t xml:space="preserve">14:56:19</t>
  </si>
  <si>
    <t xml:space="preserve">150958467.0</t>
  </si>
  <si>
    <t xml:space="preserve">15:55:26</t>
  </si>
  <si>
    <t xml:space="preserve">07:34:42</t>
  </si>
  <si>
    <t xml:space="preserve">14:56:20</t>
  </si>
  <si>
    <t xml:space="preserve">100865485.0</t>
  </si>
  <si>
    <t xml:space="preserve">150965769.0</t>
  </si>
  <si>
    <t xml:space="preserve">11:09:34</t>
  </si>
  <si>
    <t xml:space="preserve">15:55:29</t>
  </si>
  <si>
    <t xml:space="preserve">14:41:45</t>
  </si>
  <si>
    <t xml:space="preserve">150965770.0</t>
  </si>
  <si>
    <t xml:space="preserve">11:39:27</t>
  </si>
  <si>
    <t xml:space="preserve">15:55:32</t>
  </si>
  <si>
    <t xml:space="preserve">14:41:46</t>
  </si>
  <si>
    <t xml:space="preserve">150965771.0</t>
  </si>
  <si>
    <t xml:space="preserve">11:50:59</t>
  </si>
  <si>
    <t xml:space="preserve">15:55:35</t>
  </si>
  <si>
    <t xml:space="preserve">150965772.0</t>
  </si>
  <si>
    <t xml:space="preserve">2026-06-06</t>
  </si>
  <si>
    <t xml:space="preserve">18:13:11</t>
  </si>
  <si>
    <t xml:space="preserve">08:51:04</t>
  </si>
  <si>
    <t xml:space="preserve">07:33:06</t>
  </si>
  <si>
    <t xml:space="preserve">07:52:04</t>
  </si>
  <si>
    <t xml:space="preserve">150942194.0</t>
  </si>
  <si>
    <t xml:space="preserve">18:04:50</t>
  </si>
  <si>
    <t xml:space="preserve">08:51:10</t>
  </si>
  <si>
    <t xml:space="preserve">100865481.0</t>
  </si>
  <si>
    <t xml:space="preserve">150949157.0</t>
  </si>
  <si>
    <t xml:space="preserve">2026-06-05</t>
  </si>
  <si>
    <t xml:space="preserve">08:36:03</t>
  </si>
  <si>
    <t xml:space="preserve">08:36:00</t>
  </si>
  <si>
    <t xml:space="preserve">11:28:43</t>
  </si>
  <si>
    <t xml:space="preserve">13:58:06</t>
  </si>
  <si>
    <t xml:space="preserve">150923173.0</t>
  </si>
  <si>
    <t xml:space="preserve">12:22:58</t>
  </si>
  <si>
    <t xml:space="preserve">08:36:06</t>
  </si>
  <si>
    <t xml:space="preserve">14:36:23</t>
  </si>
  <si>
    <t xml:space="preserve">100865460.0</t>
  </si>
  <si>
    <t xml:space="preserve">150932048.0</t>
  </si>
  <si>
    <t xml:space="preserve">2026-06-08</t>
  </si>
  <si>
    <t xml:space="preserve">12:22:46</t>
  </si>
  <si>
    <t xml:space="preserve">08:36:10</t>
  </si>
  <si>
    <t xml:space="preserve">06:14:12</t>
  </si>
  <si>
    <t xml:space="preserve">13:58:07</t>
  </si>
  <si>
    <t xml:space="preserve">150932050.0</t>
  </si>
  <si>
    <t xml:space="preserve">2026-06-04</t>
  </si>
  <si>
    <t xml:space="preserve">12:34:06</t>
  </si>
  <si>
    <t xml:space="preserve">12:34:03</t>
  </si>
  <si>
    <t xml:space="preserve">16:46:17</t>
  </si>
  <si>
    <t xml:space="preserve">11:34:50</t>
  </si>
  <si>
    <t xml:space="preserve">150904138.0</t>
  </si>
  <si>
    <t xml:space="preserve">17:35:01</t>
  </si>
  <si>
    <t xml:space="preserve">12:42:13</t>
  </si>
  <si>
    <t xml:space="preserve">07:31:35</t>
  </si>
  <si>
    <t xml:space="preserve">11:43:03</t>
  </si>
  <si>
    <t xml:space="preserve">150906042.0</t>
  </si>
  <si>
    <t xml:space="preserve">15:34:26</t>
  </si>
  <si>
    <t xml:space="preserve">12:42:20</t>
  </si>
  <si>
    <t xml:space="preserve">100865326.0</t>
  </si>
  <si>
    <t xml:space="preserve">150916663.0</t>
  </si>
  <si>
    <t xml:space="preserve">2026-06-03</t>
  </si>
  <si>
    <t xml:space="preserve">09:28:33</t>
  </si>
  <si>
    <t xml:space="preserve">05:56:04</t>
  </si>
  <si>
    <t xml:space="preserve">14:23:31</t>
  </si>
  <si>
    <t xml:space="preserve">150885142.0</t>
  </si>
  <si>
    <t xml:space="preserve">09:55:04</t>
  </si>
  <si>
    <t xml:space="preserve">09:28:41</t>
  </si>
  <si>
    <t xml:space="preserve">05:56:05</t>
  </si>
  <si>
    <t xml:space="preserve">14:23:32</t>
  </si>
  <si>
    <t xml:space="preserve">100865001.0</t>
  </si>
  <si>
    <t xml:space="preserve">150896062.0</t>
  </si>
  <si>
    <t xml:space="preserve">10:16:28</t>
  </si>
  <si>
    <t xml:space="preserve">09:28:44</t>
  </si>
  <si>
    <t xml:space="preserve">150896063.0</t>
  </si>
  <si>
    <t xml:space="preserve">10:36:26</t>
  </si>
  <si>
    <t xml:space="preserve">09:28:47</t>
  </si>
  <si>
    <t xml:space="preserve">150896064.0</t>
  </si>
  <si>
    <t xml:space="preserve">12:39:14</t>
  </si>
  <si>
    <t xml:space="preserve">09:28:50</t>
  </si>
  <si>
    <t xml:space="preserve">05:56:06</t>
  </si>
  <si>
    <t xml:space="preserve">14:23:33</t>
  </si>
  <si>
    <t xml:space="preserve">150896065.0</t>
  </si>
  <si>
    <t xml:space="preserve">13:12:05</t>
  </si>
  <si>
    <t xml:space="preserve">09:28:53</t>
  </si>
  <si>
    <t xml:space="preserve">150896066.0</t>
  </si>
  <si>
    <t xml:space="preserve">15:02:33</t>
  </si>
  <si>
    <t xml:space="preserve">09:28:56</t>
  </si>
  <si>
    <t xml:space="preserve">150896067.0</t>
  </si>
  <si>
    <t xml:space="preserve">15:18:00</t>
  </si>
  <si>
    <t xml:space="preserve">09:28:59</t>
  </si>
  <si>
    <t xml:space="preserve">05:56:07</t>
  </si>
  <si>
    <t xml:space="preserve">14:23:34</t>
  </si>
  <si>
    <t xml:space="preserve">150896068.0</t>
  </si>
  <si>
    <t xml:space="preserve">15:36:38</t>
  </si>
  <si>
    <t xml:space="preserve">09:29:03</t>
  </si>
  <si>
    <t xml:space="preserve">150896069.0</t>
  </si>
  <si>
    <t xml:space="preserve">17:12:44</t>
  </si>
  <si>
    <t xml:space="preserve">09:29:06</t>
  </si>
  <si>
    <t xml:space="preserve">150896070.0</t>
  </si>
  <si>
    <t xml:space="preserve">17:28:33</t>
  </si>
  <si>
    <t xml:space="preserve">09:29:09</t>
  </si>
  <si>
    <t xml:space="preserve">150896071.0</t>
  </si>
  <si>
    <t xml:space="preserve">07:35:38</t>
  </si>
  <si>
    <t xml:space="preserve">09:29:12</t>
  </si>
  <si>
    <t xml:space="preserve">15:35:01</t>
  </si>
  <si>
    <t xml:space="preserve">14:23:35</t>
  </si>
  <si>
    <t xml:space="preserve">150896072.0</t>
  </si>
  <si>
    <t xml:space="preserve">07:58:48</t>
  </si>
  <si>
    <t xml:space="preserve">09:29:15</t>
  </si>
  <si>
    <t xml:space="preserve">15:35:02</t>
  </si>
  <si>
    <t xml:space="preserve">150896073.0</t>
  </si>
  <si>
    <t xml:space="preserve">08:40:47</t>
  </si>
  <si>
    <t xml:space="preserve">09:29:18</t>
  </si>
  <si>
    <t xml:space="preserve">150896074.0</t>
  </si>
  <si>
    <t xml:space="preserve">09:00:29</t>
  </si>
  <si>
    <t xml:space="preserve">09:29:21</t>
  </si>
  <si>
    <t xml:space="preserve">14:23:36</t>
  </si>
  <si>
    <t xml:space="preserve">150896075.0</t>
  </si>
  <si>
    <t xml:space="preserve">10:56:04</t>
  </si>
  <si>
    <t xml:space="preserve">09:29:24</t>
  </si>
  <si>
    <t xml:space="preserve">15:35:03</t>
  </si>
  <si>
    <t xml:space="preserve">150896076.0</t>
  </si>
  <si>
    <t xml:space="preserve">11:42:48</t>
  </si>
  <si>
    <t xml:space="preserve">09:29:27</t>
  </si>
  <si>
    <t xml:space="preserve">150896077.0</t>
  </si>
  <si>
    <t xml:space="preserve">11:53:54</t>
  </si>
  <si>
    <t xml:space="preserve">09:29:30</t>
  </si>
  <si>
    <t xml:space="preserve">150896078.0</t>
  </si>
  <si>
    <t xml:space="preserve">12:11:06</t>
  </si>
  <si>
    <t xml:space="preserve">09:29:33</t>
  </si>
  <si>
    <t xml:space="preserve">15:35:04</t>
  </si>
  <si>
    <t xml:space="preserve">14:23:37</t>
  </si>
  <si>
    <t xml:space="preserve">150896079.0</t>
  </si>
  <si>
    <t xml:space="preserve">14:32:39</t>
  </si>
  <si>
    <t xml:space="preserve">09:29:37</t>
  </si>
  <si>
    <t xml:space="preserve">150896080.0</t>
  </si>
  <si>
    <t xml:space="preserve">14:53:28</t>
  </si>
  <si>
    <t xml:space="preserve">09:29:39</t>
  </si>
  <si>
    <t xml:space="preserve">15:35:05</t>
  </si>
  <si>
    <t xml:space="preserve">150896081.0</t>
  </si>
  <si>
    <t xml:space="preserve">15:19:19</t>
  </si>
  <si>
    <t xml:space="preserve">09:29:43</t>
  </si>
  <si>
    <t xml:space="preserve">150896082.0</t>
  </si>
  <si>
    <t xml:space="preserve">15:58:17</t>
  </si>
  <si>
    <t xml:space="preserve">09:29:46</t>
  </si>
  <si>
    <t xml:space="preserve">14:23:38</t>
  </si>
  <si>
    <t xml:space="preserve">150896083.0</t>
  </si>
  <si>
    <t xml:space="preserve">16:07:27</t>
  </si>
  <si>
    <t xml:space="preserve">09:29:49</t>
  </si>
  <si>
    <t xml:space="preserve">15:35:06</t>
  </si>
  <si>
    <t xml:space="preserve">150896084.0</t>
  </si>
  <si>
    <t xml:space="preserve">09:37:48</t>
  </si>
  <si>
    <t xml:space="preserve">09:37:45</t>
  </si>
  <si>
    <t xml:space="preserve">06:09:54</t>
  </si>
  <si>
    <t xml:space="preserve">150883201.0</t>
  </si>
  <si>
    <t xml:space="preserve">09:37:52</t>
  </si>
  <si>
    <t xml:space="preserve">16:26:49</t>
  </si>
  <si>
    <t xml:space="preserve">14:23:39</t>
  </si>
  <si>
    <t xml:space="preserve">100865026.0</t>
  </si>
  <si>
    <t xml:space="preserve">150896087.0</t>
  </si>
  <si>
    <t xml:space="preserve">09:37:56</t>
  </si>
  <si>
    <t xml:space="preserve">07:23:34</t>
  </si>
  <si>
    <t xml:space="preserve">150896088.0</t>
  </si>
  <si>
    <t xml:space="preserve">09:38:46</t>
  </si>
  <si>
    <t xml:space="preserve">09:38:43</t>
  </si>
  <si>
    <t xml:space="preserve">06:43:57</t>
  </si>
  <si>
    <t xml:space="preserve">150883239.0</t>
  </si>
  <si>
    <t xml:space="preserve">09:38:50</t>
  </si>
  <si>
    <t xml:space="preserve">14:37:39</t>
  </si>
  <si>
    <t xml:space="preserve">14:23:40</t>
  </si>
  <si>
    <t xml:space="preserve">100865030.0</t>
  </si>
  <si>
    <t xml:space="preserve">150896091.0</t>
  </si>
  <si>
    <t xml:space="preserve">09:38:53</t>
  </si>
  <si>
    <t xml:space="preserve">15:58:18</t>
  </si>
  <si>
    <t xml:space="preserve">150896092.0</t>
  </si>
  <si>
    <t xml:space="preserve">09:40:09</t>
  </si>
  <si>
    <t xml:space="preserve">09:40:06</t>
  </si>
  <si>
    <t xml:space="preserve">06:48:02</t>
  </si>
  <si>
    <t xml:space="preserve">14:23:41</t>
  </si>
  <si>
    <t xml:space="preserve">150883258.0</t>
  </si>
  <si>
    <t xml:space="preserve">09:40:13</t>
  </si>
  <si>
    <t xml:space="preserve">17:20:25</t>
  </si>
  <si>
    <t xml:space="preserve">100865033.0</t>
  </si>
  <si>
    <t xml:space="preserve">150896094.0</t>
  </si>
  <si>
    <t xml:space="preserve">09:40:17</t>
  </si>
  <si>
    <t xml:space="preserve">16:24:08</t>
  </si>
  <si>
    <t xml:space="preserve">150896095.0</t>
  </si>
  <si>
    <t xml:space="preserve">2026-06-01</t>
  </si>
  <si>
    <t xml:space="preserve">REL PRT CNF DLV PRC GMPS MANC SETC*</t>
  </si>
  <si>
    <t xml:space="preserve">18:10:21</t>
  </si>
  <si>
    <t xml:space="preserve">18:10:18</t>
  </si>
  <si>
    <t xml:space="preserve">14:36:59</t>
  </si>
  <si>
    <t xml:space="preserve">17:10:55</t>
  </si>
  <si>
    <t xml:space="preserve">150852567.0</t>
  </si>
  <si>
    <t xml:space="preserve">2026-05-29</t>
  </si>
  <si>
    <t xml:space="preserve">GRYDER</t>
  </si>
  <si>
    <t xml:space="preserve">09:54:01</t>
  </si>
  <si>
    <t xml:space="preserve">09:00:11</t>
  </si>
  <si>
    <t xml:space="preserve">17:02:42</t>
  </si>
  <si>
    <t xml:space="preserve">08:02:19</t>
  </si>
  <si>
    <t xml:space="preserve">150805622.0</t>
  </si>
  <si>
    <t xml:space="preserve">07:32:10</t>
  </si>
  <si>
    <t xml:space="preserve">09:00:18</t>
  </si>
  <si>
    <t xml:space="preserve">11:14:02</t>
  </si>
  <si>
    <t xml:space="preserve">08:02:20</t>
  </si>
  <si>
    <t xml:space="preserve">100864269.0</t>
  </si>
  <si>
    <t xml:space="preserve">150814742.0</t>
  </si>
  <si>
    <t xml:space="preserve">2026-05-28</t>
  </si>
  <si>
    <t xml:space="preserve">16:34:54</t>
  </si>
  <si>
    <t xml:space="preserve">08:50:27</t>
  </si>
  <si>
    <t xml:space="preserve">06:28:26</t>
  </si>
  <si>
    <t xml:space="preserve">07:51:54</t>
  </si>
  <si>
    <t xml:space="preserve">150786488.0</t>
  </si>
  <si>
    <t xml:space="preserve">2026-07-24</t>
  </si>
  <si>
    <t xml:space="preserve">16:29:24</t>
  </si>
  <si>
    <t xml:space="preserve">08:55:55</t>
  </si>
  <si>
    <t xml:space="preserve">10:33:33</t>
  </si>
  <si>
    <t xml:space="preserve">07:56:31</t>
  </si>
  <si>
    <t xml:space="preserve">150786508.0</t>
  </si>
  <si>
    <t xml:space="preserve">12:54:49</t>
  </si>
  <si>
    <t xml:space="preserve">10:09:52</t>
  </si>
  <si>
    <t xml:space="preserve">09:53:13</t>
  </si>
  <si>
    <t xml:space="preserve">09:10:29</t>
  </si>
  <si>
    <t xml:space="preserve">150786528.0</t>
  </si>
  <si>
    <t xml:space="preserve">2026-08-05</t>
  </si>
  <si>
    <t xml:space="preserve">11:39:14</t>
  </si>
  <si>
    <t xml:space="preserve">11:39:11</t>
  </si>
  <si>
    <t xml:space="preserve">06:16:45</t>
  </si>
  <si>
    <t xml:space="preserve">10:40:01</t>
  </si>
  <si>
    <t xml:space="preserve">150791634.0</t>
  </si>
  <si>
    <t xml:space="preserve">11:39:18</t>
  </si>
  <si>
    <t xml:space="preserve">10:49:37</t>
  </si>
  <si>
    <t xml:space="preserve">10:40:02</t>
  </si>
  <si>
    <t xml:space="preserve">100864155.0</t>
  </si>
  <si>
    <t xml:space="preserve">150799097.0</t>
  </si>
  <si>
    <t xml:space="preserve">11:39:22</t>
  </si>
  <si>
    <t xml:space="preserve">11:24:23</t>
  </si>
  <si>
    <t xml:space="preserve">150799098.0</t>
  </si>
  <si>
    <t xml:space="preserve">12:26:13</t>
  </si>
  <si>
    <t xml:space="preserve">16:31:38</t>
  </si>
  <si>
    <t xml:space="preserve">11:25:23</t>
  </si>
  <si>
    <t xml:space="preserve">15:32:13</t>
  </si>
  <si>
    <t xml:space="preserve">150789922.0</t>
  </si>
  <si>
    <t xml:space="preserve">2026-05-23</t>
  </si>
  <si>
    <t xml:space="preserve">08:47:53</t>
  </si>
  <si>
    <t xml:space="preserve">16:30:17</t>
  </si>
  <si>
    <t xml:space="preserve">2026-05-26</t>
  </si>
  <si>
    <t xml:space="preserve">16:30:14</t>
  </si>
  <si>
    <t xml:space="preserve">150712245.0</t>
  </si>
  <si>
    <t xml:space="preserve">NTHANAPA</t>
  </si>
  <si>
    <t xml:space="preserve">09:40:30</t>
  </si>
  <si>
    <t xml:space="preserve">14:41:58</t>
  </si>
  <si>
    <t xml:space="preserve">11:03:02</t>
  </si>
  <si>
    <t xml:space="preserve">08:41:12</t>
  </si>
  <si>
    <t xml:space="preserve">100863682.0</t>
  </si>
  <si>
    <t xml:space="preserve">150718803.0</t>
  </si>
  <si>
    <t xml:space="preserve">10:03:32</t>
  </si>
  <si>
    <t xml:space="preserve">14:42:02</t>
  </si>
  <si>
    <t xml:space="preserve">09:02:45</t>
  </si>
  <si>
    <t xml:space="preserve">150718804.0</t>
  </si>
  <si>
    <t xml:space="preserve">10:14:36</t>
  </si>
  <si>
    <t xml:space="preserve">14:42:05</t>
  </si>
  <si>
    <t xml:space="preserve">16:15:36</t>
  </si>
  <si>
    <t xml:space="preserve">10:40:31</t>
  </si>
  <si>
    <t xml:space="preserve">150718805.0</t>
  </si>
  <si>
    <t xml:space="preserve">15:12:14</t>
  </si>
  <si>
    <t xml:space="preserve">14:42:21</t>
  </si>
  <si>
    <t xml:space="preserve">16:16:20</t>
  </si>
  <si>
    <t xml:space="preserve">14:32:31</t>
  </si>
  <si>
    <t xml:space="preserve">150718810.0</t>
  </si>
  <si>
    <t xml:space="preserve">15:48:45</t>
  </si>
  <si>
    <t xml:space="preserve">14:42:24</t>
  </si>
  <si>
    <t xml:space="preserve">15:48:26</t>
  </si>
  <si>
    <t xml:space="preserve">2026-05-30</t>
  </si>
  <si>
    <t xml:space="preserve">14:49:13</t>
  </si>
  <si>
    <t xml:space="preserve">150718811.0</t>
  </si>
  <si>
    <t xml:space="preserve">16:08:48</t>
  </si>
  <si>
    <t xml:space="preserve">14:42:27</t>
  </si>
  <si>
    <t xml:space="preserve">15:48:27</t>
  </si>
  <si>
    <t xml:space="preserve">15:09:38</t>
  </si>
  <si>
    <t xml:space="preserve">150718812.0</t>
  </si>
  <si>
    <t xml:space="preserve">17:44:23</t>
  </si>
  <si>
    <t xml:space="preserve">14:42:30</t>
  </si>
  <si>
    <t xml:space="preserve">15:44:05</t>
  </si>
  <si>
    <t xml:space="preserve">16:44:54</t>
  </si>
  <si>
    <t xml:space="preserve">150718813.0</t>
  </si>
  <si>
    <t xml:space="preserve">18:07:52</t>
  </si>
  <si>
    <t xml:space="preserve">14:42:33</t>
  </si>
  <si>
    <t xml:space="preserve">15:39:16</t>
  </si>
  <si>
    <t xml:space="preserve">17:08:28</t>
  </si>
  <si>
    <t xml:space="preserve">150718814.0</t>
  </si>
  <si>
    <t xml:space="preserve">07:59:50</t>
  </si>
  <si>
    <t xml:space="preserve">14:43:10</t>
  </si>
  <si>
    <t xml:space="preserve">15:44:28</t>
  </si>
  <si>
    <t xml:space="preserve">2026-05-31</t>
  </si>
  <si>
    <t xml:space="preserve">09:17:43</t>
  </si>
  <si>
    <t xml:space="preserve">150712246.0</t>
  </si>
  <si>
    <t xml:space="preserve">10:38:06</t>
  </si>
  <si>
    <t xml:space="preserve">14:43:15</t>
  </si>
  <si>
    <t xml:space="preserve">15:39:40</t>
  </si>
  <si>
    <t xml:space="preserve">09:41:02</t>
  </si>
  <si>
    <t xml:space="preserve">100863698.0</t>
  </si>
  <si>
    <t xml:space="preserve">150718817.0</t>
  </si>
  <si>
    <t xml:space="preserve">12:00:29</t>
  </si>
  <si>
    <t xml:space="preserve">14:43:18</t>
  </si>
  <si>
    <t xml:space="preserve">11:36:50</t>
  </si>
  <si>
    <t xml:space="preserve">11:01:15</t>
  </si>
  <si>
    <t xml:space="preserve">150718818.0</t>
  </si>
  <si>
    <t xml:space="preserve">12:35:16</t>
  </si>
  <si>
    <t xml:space="preserve">14:43:21</t>
  </si>
  <si>
    <t xml:space="preserve">11:37:12</t>
  </si>
  <si>
    <t xml:space="preserve">11:44:43</t>
  </si>
  <si>
    <t xml:space="preserve">150718819.0</t>
  </si>
  <si>
    <t xml:space="preserve">14:55:38</t>
  </si>
  <si>
    <t xml:space="preserve">14:43:24</t>
  </si>
  <si>
    <t xml:space="preserve">15:35:26</t>
  </si>
  <si>
    <t xml:space="preserve">13:56:19</t>
  </si>
  <si>
    <t xml:space="preserve">150718820.0</t>
  </si>
  <si>
    <t xml:space="preserve">16:47:04</t>
  </si>
  <si>
    <t xml:space="preserve">14:43:27</t>
  </si>
  <si>
    <t xml:space="preserve">15:54:00</t>
  </si>
  <si>
    <t xml:space="preserve">150718821.0</t>
  </si>
  <si>
    <t xml:space="preserve">17:18:42</t>
  </si>
  <si>
    <t xml:space="preserve">14:43:30</t>
  </si>
  <si>
    <t xml:space="preserve">06:29:35</t>
  </si>
  <si>
    <t xml:space="preserve">16:19:29</t>
  </si>
  <si>
    <t xml:space="preserve">150718822.0</t>
  </si>
  <si>
    <t xml:space="preserve">17:41:08</t>
  </si>
  <si>
    <t xml:space="preserve">14:43:33</t>
  </si>
  <si>
    <t xml:space="preserve">06:30:36</t>
  </si>
  <si>
    <t xml:space="preserve">16:41:51</t>
  </si>
  <si>
    <t xml:space="preserve">150718823.0</t>
  </si>
  <si>
    <t xml:space="preserve">JPOKALA</t>
  </si>
  <si>
    <t xml:space="preserve">17:15:53</t>
  </si>
  <si>
    <t xml:space="preserve">15:29:55</t>
  </si>
  <si>
    <t xml:space="preserve">14:15:22</t>
  </si>
  <si>
    <t xml:space="preserve">2026-05-27</t>
  </si>
  <si>
    <t xml:space="preserve">06:11:39</t>
  </si>
  <si>
    <t xml:space="preserve">150718827.0</t>
  </si>
  <si>
    <t xml:space="preserve">15:30:02</t>
  </si>
  <si>
    <t xml:space="preserve">13:58:04</t>
  </si>
  <si>
    <t xml:space="preserve">100863709.0</t>
  </si>
  <si>
    <t xml:space="preserve">150718830.0</t>
  </si>
  <si>
    <t xml:space="preserve">14:34:37</t>
  </si>
  <si>
    <t xml:space="preserve">15:30:45</t>
  </si>
  <si>
    <t xml:space="preserve">14:38:29</t>
  </si>
  <si>
    <t xml:space="preserve">09:47:17</t>
  </si>
  <si>
    <t xml:space="preserve">07:25:16</t>
  </si>
  <si>
    <t xml:space="preserve">150710306.0</t>
  </si>
  <si>
    <t xml:space="preserve">12:23:54</t>
  </si>
  <si>
    <t xml:space="preserve">15:38:36</t>
  </si>
  <si>
    <t xml:space="preserve">06:22:47</t>
  </si>
  <si>
    <t xml:space="preserve">07:05:18</t>
  </si>
  <si>
    <t xml:space="preserve">100863712.0</t>
  </si>
  <si>
    <t xml:space="preserve">150718833.0</t>
  </si>
  <si>
    <t xml:space="preserve">12:23:24</t>
  </si>
  <si>
    <t xml:space="preserve">15:42:03</t>
  </si>
  <si>
    <t xml:space="preserve">14:13:16</t>
  </si>
  <si>
    <t xml:space="preserve">11:42:07</t>
  </si>
  <si>
    <t xml:space="preserve">150710327.0</t>
  </si>
  <si>
    <t xml:space="preserve">15:42:42</t>
  </si>
  <si>
    <t xml:space="preserve">15:42:39</t>
  </si>
  <si>
    <t xml:space="preserve">14:11:44</t>
  </si>
  <si>
    <t xml:space="preserve">09:26:54</t>
  </si>
  <si>
    <t xml:space="preserve">150710347.0</t>
  </si>
  <si>
    <t xml:space="preserve">13:55:35</t>
  </si>
  <si>
    <t xml:space="preserve">100863715.0</t>
  </si>
  <si>
    <t xml:space="preserve">150718836.0</t>
  </si>
  <si>
    <t xml:space="preserve">15:43:14</t>
  </si>
  <si>
    <t xml:space="preserve">15:43:11</t>
  </si>
  <si>
    <t xml:space="preserve">11:39:30</t>
  </si>
  <si>
    <t xml:space="preserve">13:58:05</t>
  </si>
  <si>
    <t xml:space="preserve">150710348.0</t>
  </si>
  <si>
    <t xml:space="preserve">15:43:43</t>
  </si>
  <si>
    <t xml:space="preserve">15:43:40</t>
  </si>
  <si>
    <t xml:space="preserve">150710368.0</t>
  </si>
  <si>
    <t xml:space="preserve">15:43:46</t>
  </si>
  <si>
    <t xml:space="preserve">11:25:27</t>
  </si>
  <si>
    <t xml:space="preserve">100863718.0</t>
  </si>
  <si>
    <t xml:space="preserve">150718839.0</t>
  </si>
  <si>
    <t xml:space="preserve">17:13:31</t>
  </si>
  <si>
    <t xml:space="preserve">15:59:12</t>
  </si>
  <si>
    <t xml:space="preserve">14:08:41</t>
  </si>
  <si>
    <t xml:space="preserve">16:12:52</t>
  </si>
  <si>
    <t xml:space="preserve">150710369.0</t>
  </si>
  <si>
    <t xml:space="preserve">2026-05-21</t>
  </si>
  <si>
    <t xml:space="preserve">REL PRT PCNF DLV PRC GMPS MANC RESA*</t>
  </si>
  <si>
    <t xml:space="preserve">09:35:27</t>
  </si>
  <si>
    <t xml:space="preserve">12:07:49</t>
  </si>
  <si>
    <t xml:space="preserve">11:08:46</t>
  </si>
  <si>
    <t xml:space="preserve">150668466.0</t>
  </si>
  <si>
    <t xml:space="preserve">12:07:56</t>
  </si>
  <si>
    <t xml:space="preserve">07:04:17</t>
  </si>
  <si>
    <t xml:space="preserve">11:08:47</t>
  </si>
  <si>
    <t xml:space="preserve">100863154.0</t>
  </si>
  <si>
    <t xml:space="preserve">150686468.0</t>
  </si>
  <si>
    <t xml:space="preserve">17:12:53</t>
  </si>
  <si>
    <t xml:space="preserve">12:17:01</t>
  </si>
  <si>
    <t xml:space="preserve">17:29:15</t>
  </si>
  <si>
    <t xml:space="preserve">11:18:44</t>
  </si>
  <si>
    <t xml:space="preserve">150668446.0</t>
  </si>
  <si>
    <t xml:space="preserve">2026-06-25</t>
  </si>
  <si>
    <t xml:space="preserve">2026-05-20</t>
  </si>
  <si>
    <t xml:space="preserve">00:49:02</t>
  </si>
  <si>
    <t xml:space="preserve">15:54:10</t>
  </si>
  <si>
    <t xml:space="preserve">06:37:15</t>
  </si>
  <si>
    <t xml:space="preserve">150650881.0</t>
  </si>
  <si>
    <t xml:space="preserve">2026-06-21</t>
  </si>
  <si>
    <t xml:space="preserve">15:54:17</t>
  </si>
  <si>
    <t xml:space="preserve">11:05:31</t>
  </si>
  <si>
    <t xml:space="preserve">100863126.0</t>
  </si>
  <si>
    <t xml:space="preserve">150663376.0</t>
  </si>
  <si>
    <t xml:space="preserve">00:49:53</t>
  </si>
  <si>
    <t xml:space="preserve">15:54:21</t>
  </si>
  <si>
    <t xml:space="preserve">13:54:17</t>
  </si>
  <si>
    <t xml:space="preserve">14:55:47</t>
  </si>
  <si>
    <t xml:space="preserve">150663377.0</t>
  </si>
  <si>
    <t xml:space="preserve">2026-05-19</t>
  </si>
  <si>
    <t xml:space="preserve">REL PPRT CNF DLV PRC GMPS MANC SETC*</t>
  </si>
  <si>
    <t xml:space="preserve">18:03:03</t>
  </si>
  <si>
    <t xml:space="preserve">13:25:21</t>
  </si>
  <si>
    <t xml:space="preserve">11:26:42</t>
  </si>
  <si>
    <t xml:space="preserve">12:26:21</t>
  </si>
  <si>
    <t xml:space="preserve">150623713.0</t>
  </si>
  <si>
    <t xml:space="preserve">15:27:18</t>
  </si>
  <si>
    <t xml:space="preserve">13:25:28</t>
  </si>
  <si>
    <t xml:space="preserve">14:27:57</t>
  </si>
  <si>
    <t xml:space="preserve">100862965.0</t>
  </si>
  <si>
    <t xml:space="preserve">150636411.0</t>
  </si>
  <si>
    <t xml:space="preserve">2026-05-18</t>
  </si>
  <si>
    <t xml:space="preserve">15:41:40</t>
  </si>
  <si>
    <t xml:space="preserve">06:41:35</t>
  </si>
  <si>
    <t xml:space="preserve">07:09:43</t>
  </si>
  <si>
    <t xml:space="preserve">14:43:57</t>
  </si>
  <si>
    <t xml:space="preserve">150611335.0</t>
  </si>
  <si>
    <t xml:space="preserve">16:01:37</t>
  </si>
  <si>
    <t xml:space="preserve">16:01:35</t>
  </si>
  <si>
    <t xml:space="preserve">10:59:52</t>
  </si>
  <si>
    <t xml:space="preserve">15:03:09</t>
  </si>
  <si>
    <t xml:space="preserve">150616996.0</t>
  </si>
  <si>
    <t xml:space="preserve">16:01:41</t>
  </si>
  <si>
    <t xml:space="preserve">16:58:07</t>
  </si>
  <si>
    <t xml:space="preserve">100862602.0</t>
  </si>
  <si>
    <t xml:space="preserve">150617593.0</t>
  </si>
  <si>
    <t xml:space="preserve">16:01:44</t>
  </si>
  <si>
    <t xml:space="preserve">150617594.0</t>
  </si>
  <si>
    <t xml:space="preserve">16:14:36</t>
  </si>
  <si>
    <t xml:space="preserve">11:09:29</t>
  </si>
  <si>
    <t xml:space="preserve">15:15:21</t>
  </si>
  <si>
    <t xml:space="preserve">150616786.0</t>
  </si>
  <si>
    <t xml:space="preserve">2026-06-26</t>
  </si>
  <si>
    <t xml:space="preserve">2026-05-16</t>
  </si>
  <si>
    <t xml:space="preserve">ABSALAH</t>
  </si>
  <si>
    <t xml:space="preserve">16:37:38</t>
  </si>
  <si>
    <t xml:space="preserve">12:48:32</t>
  </si>
  <si>
    <t xml:space="preserve">07:00:55</t>
  </si>
  <si>
    <t xml:space="preserve">13:57:57</t>
  </si>
  <si>
    <t xml:space="preserve">2026-05-17</t>
  </si>
  <si>
    <t xml:space="preserve">11:25:38</t>
  </si>
  <si>
    <t xml:space="preserve">150581545.0</t>
  </si>
  <si>
    <t xml:space="preserve">2026-05-14</t>
  </si>
  <si>
    <t xml:space="preserve">10:23:42</t>
  </si>
  <si>
    <t xml:space="preserve">08:41:49</t>
  </si>
  <si>
    <t xml:space="preserve">07:24:08</t>
  </si>
  <si>
    <t xml:space="preserve">07:45:22</t>
  </si>
  <si>
    <t xml:space="preserve">150528819.0</t>
  </si>
  <si>
    <t xml:space="preserve">2026-06-24</t>
  </si>
  <si>
    <t xml:space="preserve">15:05:11</t>
  </si>
  <si>
    <t xml:space="preserve">08:44:21</t>
  </si>
  <si>
    <t xml:space="preserve">16:54:46</t>
  </si>
  <si>
    <t xml:space="preserve">07:45:55</t>
  </si>
  <si>
    <t xml:space="preserve">150528850.0</t>
  </si>
  <si>
    <t xml:space="preserve">08:44:27</t>
  </si>
  <si>
    <t xml:space="preserve">14:27:14</t>
  </si>
  <si>
    <t xml:space="preserve">100861927.0</t>
  </si>
  <si>
    <t xml:space="preserve">150539060.0</t>
  </si>
  <si>
    <t xml:space="preserve">08:29:13</t>
  </si>
  <si>
    <t xml:space="preserve">11:07:22</t>
  </si>
  <si>
    <t xml:space="preserve">16:24:57</t>
  </si>
  <si>
    <t xml:space="preserve">10:35:43</t>
  </si>
  <si>
    <t xml:space="preserve">150527360.0</t>
  </si>
  <si>
    <t xml:space="preserve">2026-05-06</t>
  </si>
  <si>
    <t xml:space="preserve">14:52:06</t>
  </si>
  <si>
    <t xml:space="preserve">09:34:46</t>
  </si>
  <si>
    <t xml:space="preserve">08:36:25</t>
  </si>
  <si>
    <t xml:space="preserve">150371959.0</t>
  </si>
  <si>
    <t xml:space="preserve">09:34:52</t>
  </si>
  <si>
    <t xml:space="preserve">11:40:32</t>
  </si>
  <si>
    <t xml:space="preserve">08:36:26</t>
  </si>
  <si>
    <t xml:space="preserve">100861120.0</t>
  </si>
  <si>
    <t xml:space="preserve">150386010.0</t>
  </si>
  <si>
    <t xml:space="preserve">09:34:56</t>
  </si>
  <si>
    <t xml:space="preserve">08:36:27</t>
  </si>
  <si>
    <t xml:space="preserve">150386012.0</t>
  </si>
  <si>
    <t xml:space="preserve">10:04:05</t>
  </si>
  <si>
    <t xml:space="preserve">09:55:32</t>
  </si>
  <si>
    <t xml:space="preserve">09:04:41</t>
  </si>
  <si>
    <t xml:space="preserve">150374049.0</t>
  </si>
  <si>
    <t xml:space="preserve">2026-06-23</t>
  </si>
  <si>
    <t xml:space="preserve">15:26:26</t>
  </si>
  <si>
    <t xml:space="preserve">17:28:49</t>
  </si>
  <si>
    <t xml:space="preserve">13:53:42</t>
  </si>
  <si>
    <t xml:space="preserve">16:29:43</t>
  </si>
  <si>
    <t xml:space="preserve">150374080.0</t>
  </si>
  <si>
    <t xml:space="preserve">15:26:09</t>
  </si>
  <si>
    <t xml:space="preserve">17:28:56</t>
  </si>
  <si>
    <t xml:space="preserve">11:10:49</t>
  </si>
  <si>
    <t xml:space="preserve">100861300.0</t>
  </si>
  <si>
    <t xml:space="preserve">150391069.0</t>
  </si>
  <si>
    <t xml:space="preserve">2026-04-20</t>
  </si>
  <si>
    <t xml:space="preserve">16:17:53</t>
  </si>
  <si>
    <t xml:space="preserve">09:44:38</t>
  </si>
  <si>
    <t xml:space="preserve">14:32:34</t>
  </si>
  <si>
    <t xml:space="preserve">08:45:59</t>
  </si>
  <si>
    <t xml:space="preserve">150095680.0</t>
  </si>
  <si>
    <t xml:space="preserve">2026-05-04</t>
  </si>
  <si>
    <t xml:space="preserve">16:17:15</t>
  </si>
  <si>
    <t xml:space="preserve">09:44:43</t>
  </si>
  <si>
    <t xml:space="preserve">08:46:00</t>
  </si>
  <si>
    <t xml:space="preserve">100859014.0</t>
  </si>
  <si>
    <t xml:space="preserve">150101700.0</t>
  </si>
  <si>
    <t xml:space="preserve">16:17:33</t>
  </si>
  <si>
    <t xml:space="preserve">09:44:47</t>
  </si>
  <si>
    <t xml:space="preserve">14:32:35</t>
  </si>
  <si>
    <t xml:space="preserve">150101701.0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</si>
</sst>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dd\-mmm\-yy"/>
    <numFmt numFmtId="168" formatCode="dd/mm/yy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11"/>
      <color rgb="FFAEB6C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40"/>
      <color rgb="FFB0245E"/>
      <name val="Arial"/>
      <family val="0"/>
      <charset val="1"/>
    </font>
    <font>
      <b val="true"/>
      <sz val="30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4"/>
      <color rgb="FF141A26"/>
      <name val="Arial"/>
      <family val="0"/>
      <charset val="1"/>
    </font>
    <font>
      <i val="true"/>
      <sz val="9"/>
      <color rgb="FF5D65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E2433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b val="true"/>
      <sz val="12"/>
      <color rgb="FF141A26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A8660B"/>
      <name val="Arial"/>
      <family val="0"/>
      <charset val="1"/>
    </font>
    <font>
      <sz val="10"/>
      <color rgb="FFA8660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5D6576"/>
      <name val="Arial"/>
      <family val="0"/>
      <charset val="1"/>
    </font>
    <font>
      <sz val="9"/>
      <color rgb="FF1E2433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FFFFFF"/>
        <bgColor rgb="FFF3F4F7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/>
      <right/>
      <top style="medium">
        <color rgb="FF141A26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name val="Arial"/>
        <charset val="1"/>
        <family val="0"/>
        <b val="1"/>
        <color rgb="FF1F8A5B"/>
        <sz val="14"/>
      </font>
      <fill>
        <patternFill>
          <bgColor rgb="FFDDF2E7"/>
        </patternFill>
      </fill>
    </dxf>
    <dxf>
      <font>
        <name val="Arial"/>
        <charset val="1"/>
        <family val="0"/>
        <b val="1"/>
        <color rgb="FFC0392B"/>
        <sz val="14"/>
      </font>
      <fill>
        <patternFill>
          <bgColor rgb="FFFBE6E3"/>
        </patternFill>
      </fill>
    </dxf>
    <dxf>
      <font>
        <name val="Arial"/>
        <charset val="1"/>
        <family val="0"/>
        <b val="1"/>
        <color rgb="FFA8660B"/>
      </font>
      <fill>
        <patternFill>
          <bgColor rgb="FFFBF0DC"/>
        </patternFill>
      </fill>
    </dxf>
    <dxf>
      <font>
        <name val="Arial"/>
        <charset val="1"/>
        <family val="0"/>
        <color rgb="FFC3C8D2"/>
      </font>
    </dxf>
    <dxf>
      <font>
        <name val="Arial"/>
        <charset val="1"/>
        <family val="0"/>
        <b val="1"/>
        <color rgb="FF1F8A5B"/>
      </font>
      <fill>
        <patternFill>
          <bgColor rgb="FFDDF2E7"/>
        </patternFill>
      </fill>
    </dxf>
    <dxf>
      <font>
        <name val="Arial"/>
        <charset val="1"/>
        <family val="0"/>
        <b val="1"/>
        <color rgb="FF3558B8"/>
      </font>
      <fill>
        <patternFill>
          <bgColor rgb="FFE3EAFA"/>
        </patternFill>
      </fill>
    </dxf>
    <dxf>
      <font>
        <name val="Arial"/>
        <charset val="1"/>
        <family val="0"/>
        <b val="1"/>
        <color rgb="FF5D6576"/>
      </font>
      <fill>
        <patternFill>
          <bgColor rgb="FFECEEF3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8A5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A8660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558B8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D6576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4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D6576"/>
          <bgColor rgb="FF000000"/>
        </patternFill>
      </fill>
    </dxf>
    <dxf>
      <fill>
        <patternFill patternType="solid">
          <fgColor rgb="FFDDF2E7"/>
          <bgColor rgb="FF000000"/>
        </patternFill>
      </fill>
    </dxf>
    <dxf>
      <fill>
        <patternFill patternType="solid">
          <fgColor rgb="FFE3EAFA"/>
          <bgColor rgb="FF000000"/>
        </patternFill>
      </fill>
    </dxf>
    <dxf>
      <fill>
        <patternFill patternType="solid">
          <fgColor rgb="FFFBF0DC"/>
          <bgColor rgb="FF000000"/>
        </patternFill>
      </fill>
    </dxf>
    <dxf>
      <fill>
        <patternFill patternType="solid">
          <fgColor rgb="FF1F8A5B"/>
          <bgColor rgb="FF000000"/>
        </patternFill>
      </fill>
    </dxf>
    <dxf>
      <fill>
        <patternFill patternType="solid">
          <fgColor rgb="FF3558B8"/>
          <bgColor rgb="FF000000"/>
        </patternFill>
      </fill>
    </dxf>
    <dxf>
      <fill>
        <patternFill patternType="solid">
          <fgColor rgb="FFA8660B"/>
          <bgColor rgb="FF000000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08080"/>
      <rgbColor rgb="FF9999FF"/>
      <rgbColor rgb="FFB0245E"/>
      <rgbColor rgb="FFFBF0DC"/>
      <rgbColor rgb="FFDDF2E7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AFA"/>
      <rgbColor rgb="FFECEEF3"/>
      <rgbColor rgb="FFFBE6E3"/>
      <rgbColor rgb="FFAEB6C6"/>
      <rgbColor rgb="FFFF99CC"/>
      <rgbColor rgb="FFCC99FF"/>
      <rgbColor rgb="FFF3F4F7"/>
      <rgbColor rgb="FF3558B8"/>
      <rgbColor rgb="FF33CCCC"/>
      <rgbColor rgb="FF99CC00"/>
      <rgbColor rgb="FFFFCC00"/>
      <rgbColor rgb="FFFF9900"/>
      <rgbColor rgb="FFFF6600"/>
      <rgbColor rgb="FF5D6576"/>
      <rgbColor rgb="FF969696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45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40"/>
    <col collapsed="false" customWidth="true" hidden="false" outlineLevel="0" max="17" min="5" style="0" width="7.5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9.75" hidden="false" customHeight="true" outlineLevel="0" collapsed="false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B3" s="3" t="str">
        <f aca="false">"Contract R5B  ·  E2A 12FP Cold T5  ·  92ERP12548A++  ·  12FP  ·  Repeaters 1–"&amp;'Kitting Plan'!$C$3&amp;"  ·  "&amp;COUNT('COOIS Data'!$A$6:$A$1505)&amp;" WOs in COOIS  ·  latest release "&amp;TEXT(MAX('COOIS Data'!$F$6:$F$1505),"dd-mmm-yy")</f>
        <v>Contract R5B  ·  E2A 12FP Cold T5  ·  92ERP12548A++  ·  12FP  ·  Repeaters 1–13  ·  691 WOs in COOIS  ·  latest release 03-Oct-26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customFormat="false" ht="19.5" hidden="false" customHeight="true" outlineLevel="0" collapsed="false">
      <c r="B5" s="4" t="s">
        <v>1</v>
      </c>
      <c r="C5" s="4"/>
      <c r="D5" s="4" t="s">
        <v>2</v>
      </c>
      <c r="E5" s="4" t="s">
        <v>3</v>
      </c>
      <c r="F5" s="4"/>
      <c r="G5" s="4"/>
      <c r="H5" s="4"/>
      <c r="I5" s="4" t="s">
        <v>4</v>
      </c>
      <c r="J5" s="4"/>
      <c r="K5" s="4"/>
      <c r="L5" s="4"/>
      <c r="M5" s="4" t="s">
        <v>5</v>
      </c>
      <c r="N5" s="4"/>
      <c r="O5" s="4"/>
      <c r="P5" s="4"/>
      <c r="Q5" s="4"/>
    </row>
    <row r="6" customFormat="false" ht="51.75" hidden="false" customHeight="true" outlineLevel="0" collapsed="false">
      <c r="B6" s="5" t="str">
        <f aca="false">MIN(H11:H24)&amp;" / "&amp;'Kitting Plan'!$C$3</f>
        <v>13 / 13</v>
      </c>
      <c r="C6" s="5"/>
      <c r="D6" s="6" t="n">
        <f aca="false">SUM(G11:G24)</f>
        <v>691</v>
      </c>
      <c r="E6" s="7" t="str">
        <f aca="false">MIN(K11:K24)&amp;" reps"</f>
        <v>7 reps</v>
      </c>
      <c r="F6" s="7"/>
      <c r="G6" s="7"/>
      <c r="H6" s="7"/>
      <c r="I6" s="7" t="str">
        <f aca="false">MIN(M11:M24)&amp;" reps"</f>
        <v>5 reps</v>
      </c>
      <c r="J6" s="7"/>
      <c r="K6" s="7"/>
      <c r="L6" s="7"/>
      <c r="M6" s="6" t="n">
        <f aca="false">SUM(N11:N24)</f>
        <v>277</v>
      </c>
      <c r="N6" s="6"/>
      <c r="O6" s="6"/>
      <c r="P6" s="6"/>
      <c r="Q6" s="6"/>
    </row>
    <row r="7" customFormat="false" ht="30" hidden="false" customHeight="true" outlineLevel="0" collapsed="false">
      <c r="B7" s="8" t="str">
        <f aca="false">"Every code has ≥ "&amp;MIN(H11:H24)&amp;" full repeater kits (WO printed in SAP)"</f>
        <v>Every code has ≥ 13 full repeater kits (WO printed in SAP)</v>
      </c>
      <c r="C7" s="8"/>
      <c r="D7" s="8" t="str">
        <f aca="false">SUM(F11:F24)&amp;" needed for "&amp;'Kitting Plan'!$C$3&amp;" reps · "&amp;SUM(I11:I24)&amp;" surplus to review"</f>
        <v>663 needed for 13 reps · 28 surplus to review</v>
      </c>
      <c r="E7" s="8" t="str">
        <f aca="false">"components issued for all codes"</f>
        <v>components issued for all codes</v>
      </c>
      <c r="F7" s="8"/>
      <c r="G7" s="8"/>
      <c r="H7" s="8"/>
      <c r="I7" s="8" t="str">
        <f aca="false">"all 14 codes goods-receipted"</f>
        <v>all 14 codes goods-receipted</v>
      </c>
      <c r="J7" s="8"/>
      <c r="K7" s="8"/>
      <c r="L7" s="8"/>
      <c r="M7" s="8" t="str">
        <f aca="false">"kitted, not yet delivered"</f>
        <v>kitted, not yet delivered</v>
      </c>
      <c r="N7" s="8"/>
      <c r="O7" s="8"/>
      <c r="P7" s="8"/>
      <c r="Q7" s="8"/>
    </row>
    <row r="9" customFormat="false" ht="17.35" hidden="false" customHeight="false" outlineLevel="0" collapsed="false">
      <c r="B9" s="9" t="s">
        <v>6</v>
      </c>
      <c r="D9" s="10" t="s">
        <v>7</v>
      </c>
    </row>
    <row r="10" customFormat="false" ht="33.75" hidden="false" customHeight="true" outlineLevel="0" collapsed="false">
      <c r="B10" s="11" t="s">
        <v>8</v>
      </c>
      <c r="C10" s="11" t="s">
        <v>9</v>
      </c>
      <c r="D10" s="11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11" t="s">
        <v>15</v>
      </c>
      <c r="J10" s="11" t="s">
        <v>16</v>
      </c>
      <c r="K10" s="11" t="s">
        <v>17</v>
      </c>
      <c r="L10" s="11" t="s">
        <v>18</v>
      </c>
      <c r="M10" s="11" t="s">
        <v>19</v>
      </c>
      <c r="N10" s="11" t="s">
        <v>20</v>
      </c>
      <c r="O10" s="12" t="s">
        <v>20</v>
      </c>
      <c r="P10" s="13"/>
      <c r="Q10" s="13"/>
    </row>
    <row r="11" customFormat="false" ht="21.75" hidden="false" customHeight="true" outlineLevel="0" collapsed="false">
      <c r="B11" s="14" t="str">
        <f aca="false">'Kitting Plan'!A6</f>
        <v>LASER ASSY</v>
      </c>
      <c r="C11" s="15" t="str">
        <f aca="false">'Kitting Plan'!B6</f>
        <v>92YLS00548BAA</v>
      </c>
      <c r="D11" s="16" t="str">
        <f aca="false">'Kitting Plan'!C6</f>
        <v>R5B LASER ASSEMBLY 4P BOAT 1 - E2A</v>
      </c>
      <c r="E11" s="17" t="n">
        <f aca="false">'Kitting Plan'!D6</f>
        <v>1</v>
      </c>
      <c r="F11" s="17" t="n">
        <f aca="false">'Kitting Plan'!E6</f>
        <v>13</v>
      </c>
      <c r="G11" s="17" t="n">
        <f aca="false">SUMIFS('COOIS Data'!$I$6:$I$1505,'COOIS Data'!$B$6:$B$1505,C11)</f>
        <v>14</v>
      </c>
      <c r="H11" s="18" t="n">
        <f aca="false">IF(E11=0,0,INT(G11/E11))</f>
        <v>14</v>
      </c>
      <c r="I11" s="17" t="n">
        <f aca="false">MAX(0,G11-F11)</f>
        <v>1</v>
      </c>
      <c r="J11" s="17" t="n">
        <f aca="false">SUMIFS('COOIS Data'!$J$6:$J$1505,'COOIS Data'!$B$6:$B$1505,C11)</f>
        <v>10</v>
      </c>
      <c r="K11" s="17" t="n">
        <f aca="false">IF(E11=0,0,INT(J11/E11))</f>
        <v>10</v>
      </c>
      <c r="L11" s="17" t="n">
        <f aca="false">SUMIFS('COOIS Data'!$K$6:$K$1505,'COOIS Data'!$B$6:$B$1505,C11)</f>
        <v>9</v>
      </c>
      <c r="M11" s="17" t="n">
        <f aca="false">IF(E11=0,0,INT(L11/E11))</f>
        <v>9</v>
      </c>
      <c r="N11" s="17" t="n">
        <f aca="false">G11-L11</f>
        <v>5</v>
      </c>
    </row>
    <row r="12" customFormat="false" ht="21.75" hidden="false" customHeight="true" outlineLevel="0" collapsed="false">
      <c r="B12" s="14" t="str">
        <f aca="false">'Kitting Plan'!A7</f>
        <v>LASER ASSY</v>
      </c>
      <c r="C12" s="15" t="str">
        <f aca="false">'Kitting Plan'!B7</f>
        <v>92YLS00548BBA</v>
      </c>
      <c r="D12" s="16" t="str">
        <f aca="false">'Kitting Plan'!C7</f>
        <v>R5B LASER ASSEMBLY 4P BOAT 2/3 - E2A</v>
      </c>
      <c r="E12" s="17" t="n">
        <f aca="false">'Kitting Plan'!D7</f>
        <v>2</v>
      </c>
      <c r="F12" s="17" t="n">
        <f aca="false">'Kitting Plan'!E7</f>
        <v>26</v>
      </c>
      <c r="G12" s="17" t="n">
        <f aca="false">SUMIFS('COOIS Data'!$I$6:$I$1505,'COOIS Data'!$B$6:$B$1505,C12)</f>
        <v>26</v>
      </c>
      <c r="H12" s="18" t="n">
        <f aca="false">IF(E12=0,0,INT(G12/E12))</f>
        <v>13</v>
      </c>
      <c r="I12" s="17" t="n">
        <f aca="false">MAX(0,G12-F12)</f>
        <v>0</v>
      </c>
      <c r="J12" s="17" t="n">
        <f aca="false">SUMIFS('COOIS Data'!$J$6:$J$1505,'COOIS Data'!$B$6:$B$1505,C12)</f>
        <v>18</v>
      </c>
      <c r="K12" s="17" t="n">
        <f aca="false">IF(E12=0,0,INT(J12/E12))</f>
        <v>9</v>
      </c>
      <c r="L12" s="17" t="n">
        <f aca="false">SUMIFS('COOIS Data'!$K$6:$K$1505,'COOIS Data'!$B$6:$B$1505,C12)</f>
        <v>17</v>
      </c>
      <c r="M12" s="17" t="n">
        <f aca="false">IF(E12=0,0,INT(L12/E12))</f>
        <v>8</v>
      </c>
      <c r="N12" s="17" t="n">
        <f aca="false">G12-L12</f>
        <v>9</v>
      </c>
    </row>
    <row r="13" customFormat="false" ht="21.75" hidden="false" customHeight="true" outlineLevel="0" collapsed="false">
      <c r="B13" s="14" t="str">
        <f aca="false">'Kitting Plan'!A8</f>
        <v>PSB ASSY</v>
      </c>
      <c r="C13" s="15" t="str">
        <f aca="false">'Kitting Plan'!B8</f>
        <v>91YAF03404AAA</v>
      </c>
      <c r="D13" s="16" t="str">
        <f aca="false">'Kitting Plan'!C8</f>
        <v>R5B PSB SUB ASSEMBLY 4P-4FP</v>
      </c>
      <c r="E13" s="17" t="n">
        <f aca="false">'Kitting Plan'!D8</f>
        <v>3</v>
      </c>
      <c r="F13" s="17" t="n">
        <f aca="false">'Kitting Plan'!E8</f>
        <v>39</v>
      </c>
      <c r="G13" s="17" t="n">
        <f aca="false">SUMIFS('COOIS Data'!$I$6:$I$1505,'COOIS Data'!$B$6:$B$1505,C13)</f>
        <v>51</v>
      </c>
      <c r="H13" s="18" t="n">
        <f aca="false">IF(E13=0,0,INT(G13/E13))</f>
        <v>17</v>
      </c>
      <c r="I13" s="17" t="n">
        <f aca="false">MAX(0,G13-F13)</f>
        <v>12</v>
      </c>
      <c r="J13" s="17" t="n">
        <f aca="false">SUMIFS('COOIS Data'!$J$6:$J$1505,'COOIS Data'!$B$6:$B$1505,C13)</f>
        <v>38</v>
      </c>
      <c r="K13" s="17" t="n">
        <f aca="false">IF(E13=0,0,INT(J13/E13))</f>
        <v>12</v>
      </c>
      <c r="L13" s="17" t="n">
        <f aca="false">SUMIFS('COOIS Data'!$K$6:$K$1505,'COOIS Data'!$B$6:$B$1505,C13)</f>
        <v>38</v>
      </c>
      <c r="M13" s="17" t="n">
        <f aca="false">IF(E13=0,0,INT(L13/E13))</f>
        <v>12</v>
      </c>
      <c r="N13" s="17" t="n">
        <f aca="false">G13-L13</f>
        <v>13</v>
      </c>
    </row>
    <row r="14" customFormat="false" ht="21.75" hidden="false" customHeight="true" outlineLevel="0" collapsed="false">
      <c r="B14" s="14" t="str">
        <f aca="false">'Kitting Plan'!A9</f>
        <v>OPF ASSY</v>
      </c>
      <c r="C14" s="15" t="str">
        <f aca="false">'Kitting Plan'!B9</f>
        <v>92YFD04548BAA</v>
      </c>
      <c r="D14" s="16" t="str">
        <f aca="false">'Kitting Plan'!C9</f>
        <v>R5B OPF ASSEMBLY (4P-4FP) BOAT 1 - E2A</v>
      </c>
      <c r="E14" s="17" t="n">
        <f aca="false">'Kitting Plan'!D9</f>
        <v>1</v>
      </c>
      <c r="F14" s="17" t="n">
        <f aca="false">'Kitting Plan'!E9</f>
        <v>13</v>
      </c>
      <c r="G14" s="17" t="n">
        <f aca="false">SUMIFS('COOIS Data'!$I$6:$I$1505,'COOIS Data'!$B$6:$B$1505,C14)</f>
        <v>14</v>
      </c>
      <c r="H14" s="18" t="n">
        <f aca="false">IF(E14=0,0,INT(G14/E14))</f>
        <v>14</v>
      </c>
      <c r="I14" s="17" t="n">
        <f aca="false">MAX(0,G14-F14)</f>
        <v>1</v>
      </c>
      <c r="J14" s="17" t="n">
        <f aca="false">SUMIFS('COOIS Data'!$J$6:$J$1505,'COOIS Data'!$B$6:$B$1505,C14)</f>
        <v>9</v>
      </c>
      <c r="K14" s="17" t="n">
        <f aca="false">IF(E14=0,0,INT(J14/E14))</f>
        <v>9</v>
      </c>
      <c r="L14" s="17" t="n">
        <f aca="false">SUMIFS('COOIS Data'!$K$6:$K$1505,'COOIS Data'!$B$6:$B$1505,C14)</f>
        <v>8</v>
      </c>
      <c r="M14" s="17" t="n">
        <f aca="false">IF(E14=0,0,INT(L14/E14))</f>
        <v>8</v>
      </c>
      <c r="N14" s="17" t="n">
        <f aca="false">G14-L14</f>
        <v>6</v>
      </c>
    </row>
    <row r="15" customFormat="false" ht="21.75" hidden="false" customHeight="true" outlineLevel="0" collapsed="false">
      <c r="B15" s="14" t="str">
        <f aca="false">'Kitting Plan'!A10</f>
        <v>OPF ASSY</v>
      </c>
      <c r="C15" s="15" t="str">
        <f aca="false">'Kitting Plan'!B10</f>
        <v>92YFD04548BBA</v>
      </c>
      <c r="D15" s="16" t="str">
        <f aca="false">'Kitting Plan'!C10</f>
        <v>R5B OPF ASSEMBLY (4P-4FP) BOAT 2/3 - E2A</v>
      </c>
      <c r="E15" s="17" t="n">
        <f aca="false">'Kitting Plan'!D10</f>
        <v>2</v>
      </c>
      <c r="F15" s="17" t="n">
        <f aca="false">'Kitting Plan'!E10</f>
        <v>26</v>
      </c>
      <c r="G15" s="17" t="n">
        <f aca="false">SUMIFS('COOIS Data'!$I$6:$I$1505,'COOIS Data'!$B$6:$B$1505,C15)</f>
        <v>26</v>
      </c>
      <c r="H15" s="18" t="n">
        <f aca="false">IF(E15=0,0,INT(G15/E15))</f>
        <v>13</v>
      </c>
      <c r="I15" s="17" t="n">
        <f aca="false">MAX(0,G15-F15)</f>
        <v>0</v>
      </c>
      <c r="J15" s="17" t="n">
        <f aca="false">SUMIFS('COOIS Data'!$J$6:$J$1505,'COOIS Data'!$B$6:$B$1505,C15)</f>
        <v>16</v>
      </c>
      <c r="K15" s="17" t="n">
        <f aca="false">IF(E15=0,0,INT(J15/E15))</f>
        <v>8</v>
      </c>
      <c r="L15" s="17" t="n">
        <f aca="false">SUMIFS('COOIS Data'!$K$6:$K$1505,'COOIS Data'!$B$6:$B$1505,C15)</f>
        <v>15</v>
      </c>
      <c r="M15" s="17" t="n">
        <f aca="false">IF(E15=0,0,INT(L15/E15))</f>
        <v>7</v>
      </c>
      <c r="N15" s="17" t="n">
        <f aca="false">G15-L15</f>
        <v>11</v>
      </c>
    </row>
    <row r="16" customFormat="false" ht="21.75" hidden="false" customHeight="true" outlineLevel="0" collapsed="false">
      <c r="B16" s="14" t="str">
        <f aca="false">'Kitting Plan'!A11</f>
        <v>POB ASSY</v>
      </c>
      <c r="C16" s="15" t="str">
        <f aca="false">'Kitting Plan'!B11</f>
        <v>92YWS04548AAA</v>
      </c>
      <c r="D16" s="16" t="str">
        <f aca="false">'Kitting Plan'!C11</f>
        <v>R5B 4FP POB LUMENTUM SUB ASSEMBLY - E2A</v>
      </c>
      <c r="E16" s="17" t="n">
        <f aca="false">'Kitting Plan'!D11</f>
        <v>3</v>
      </c>
      <c r="F16" s="17" t="n">
        <f aca="false">'Kitting Plan'!E11</f>
        <v>39</v>
      </c>
      <c r="G16" s="17" t="n">
        <f aca="false">SUMIFS('COOIS Data'!$I$6:$I$1505,'COOIS Data'!$B$6:$B$1505,C16)</f>
        <v>39</v>
      </c>
      <c r="H16" s="18" t="n">
        <f aca="false">IF(E16=0,0,INT(G16/E16))</f>
        <v>13</v>
      </c>
      <c r="I16" s="17" t="n">
        <f aca="false">MAX(0,G16-F16)</f>
        <v>0</v>
      </c>
      <c r="J16" s="17" t="n">
        <f aca="false">SUMIFS('COOIS Data'!$J$6:$J$1505,'COOIS Data'!$B$6:$B$1505,C16)</f>
        <v>27</v>
      </c>
      <c r="K16" s="17" t="n">
        <f aca="false">IF(E16=0,0,INT(J16/E16))</f>
        <v>9</v>
      </c>
      <c r="L16" s="17" t="n">
        <f aca="false">SUMIFS('COOIS Data'!$K$6:$K$1505,'COOIS Data'!$B$6:$B$1505,C16)</f>
        <v>27</v>
      </c>
      <c r="M16" s="17" t="n">
        <f aca="false">IF(E16=0,0,INT(L16/E16))</f>
        <v>9</v>
      </c>
      <c r="N16" s="17" t="n">
        <f aca="false">G16-L16</f>
        <v>12</v>
      </c>
    </row>
    <row r="17" customFormat="false" ht="21.75" hidden="false" customHeight="true" outlineLevel="0" collapsed="false">
      <c r="B17" s="14" t="str">
        <f aca="false">'Kitting Plan'!A12</f>
        <v>ERBIUM ASSY</v>
      </c>
      <c r="C17" s="15" t="str">
        <f aca="false">'Kitting Plan'!B12</f>
        <v>92RRA00548AAA</v>
      </c>
      <c r="D17" s="16" t="str">
        <f aca="false">'Kitting Plan'!C12</f>
        <v>R5B ERBIUM SPOOL ASSEMBLY - E2A</v>
      </c>
      <c r="E17" s="17" t="n">
        <f aca="false">'Kitting Plan'!D12</f>
        <v>24</v>
      </c>
      <c r="F17" s="17" t="n">
        <f aca="false">'Kitting Plan'!E12</f>
        <v>312</v>
      </c>
      <c r="G17" s="17" t="n">
        <f aca="false">SUMIFS('COOIS Data'!$I$6:$I$1505,'COOIS Data'!$B$6:$B$1505,C17)</f>
        <v>322</v>
      </c>
      <c r="H17" s="18" t="n">
        <f aca="false">IF(E17=0,0,INT(G17/E17))</f>
        <v>13</v>
      </c>
      <c r="I17" s="17" t="n">
        <f aca="false">MAX(0,G17-F17)</f>
        <v>10</v>
      </c>
      <c r="J17" s="17" t="n">
        <f aca="false">SUMIFS('COOIS Data'!$J$6:$J$1505,'COOIS Data'!$B$6:$B$1505,C17)</f>
        <v>202</v>
      </c>
      <c r="K17" s="17" t="n">
        <f aca="false">IF(E17=0,0,INT(J17/E17))</f>
        <v>8</v>
      </c>
      <c r="L17" s="17" t="n">
        <f aca="false">SUMIFS('COOIS Data'!$K$6:$K$1505,'COOIS Data'!$B$6:$B$1505,C17)</f>
        <v>202</v>
      </c>
      <c r="M17" s="17" t="n">
        <f aca="false">IF(E17=0,0,INT(L17/E17))</f>
        <v>8</v>
      </c>
      <c r="N17" s="17" t="n">
        <f aca="false">G17-L17</f>
        <v>120</v>
      </c>
    </row>
    <row r="18" customFormat="false" ht="21.75" hidden="false" customHeight="true" outlineLevel="0" collapsed="false">
      <c r="B18" s="14" t="str">
        <f aca="false">'Kitting Plan'!A13</f>
        <v>ERBIUM ASSY</v>
      </c>
      <c r="C18" s="15" t="str">
        <f aca="false">'Kitting Plan'!B13</f>
        <v>92YRA01548AAA</v>
      </c>
      <c r="D18" s="16" t="str">
        <f aca="false">'Kitting Plan'!C13</f>
        <v>R5B ERBIUM ASSEMBLY POSITION 1</v>
      </c>
      <c r="E18" s="17" t="n">
        <f aca="false">'Kitting Plan'!D13</f>
        <v>3</v>
      </c>
      <c r="F18" s="17" t="n">
        <f aca="false">'Kitting Plan'!E13</f>
        <v>39</v>
      </c>
      <c r="G18" s="17" t="n">
        <f aca="false">SUMIFS('COOIS Data'!$I$6:$I$1505,'COOIS Data'!$B$6:$B$1505,C18)</f>
        <v>40</v>
      </c>
      <c r="H18" s="18" t="n">
        <f aca="false">IF(E18=0,0,INT(G18/E18))</f>
        <v>13</v>
      </c>
      <c r="I18" s="17" t="n">
        <f aca="false">MAX(0,G18-F18)</f>
        <v>1</v>
      </c>
      <c r="J18" s="17" t="n">
        <f aca="false">SUMIFS('COOIS Data'!$J$6:$J$1505,'COOIS Data'!$B$6:$B$1505,C18)</f>
        <v>25</v>
      </c>
      <c r="K18" s="17" t="n">
        <f aca="false">IF(E18=0,0,INT(J18/E18))</f>
        <v>8</v>
      </c>
      <c r="L18" s="17" t="n">
        <f aca="false">SUMIFS('COOIS Data'!$K$6:$K$1505,'COOIS Data'!$B$6:$B$1505,C18)</f>
        <v>22</v>
      </c>
      <c r="M18" s="17" t="n">
        <f aca="false">IF(E18=0,0,INT(L18/E18))</f>
        <v>7</v>
      </c>
      <c r="N18" s="17" t="n">
        <f aca="false">G18-L18</f>
        <v>18</v>
      </c>
    </row>
    <row r="19" customFormat="false" ht="21.75" hidden="false" customHeight="true" outlineLevel="0" collapsed="false">
      <c r="B19" s="14" t="str">
        <f aca="false">'Kitting Plan'!A14</f>
        <v>ERBIUM ASSY</v>
      </c>
      <c r="C19" s="15" t="str">
        <f aca="false">'Kitting Plan'!B14</f>
        <v>92YRA02548AAA</v>
      </c>
      <c r="D19" s="16" t="str">
        <f aca="false">'Kitting Plan'!C14</f>
        <v>R5B ERBIUM ASSEMBLY POSITION 2</v>
      </c>
      <c r="E19" s="17" t="n">
        <f aca="false">'Kitting Plan'!D14</f>
        <v>3</v>
      </c>
      <c r="F19" s="17" t="n">
        <f aca="false">'Kitting Plan'!E14</f>
        <v>39</v>
      </c>
      <c r="G19" s="17" t="n">
        <f aca="false">SUMIFS('COOIS Data'!$I$6:$I$1505,'COOIS Data'!$B$6:$B$1505,C19)</f>
        <v>39</v>
      </c>
      <c r="H19" s="18" t="n">
        <f aca="false">IF(E19=0,0,INT(G19/E19))</f>
        <v>13</v>
      </c>
      <c r="I19" s="17" t="n">
        <f aca="false">MAX(0,G19-F19)</f>
        <v>0</v>
      </c>
      <c r="J19" s="17" t="n">
        <f aca="false">SUMIFS('COOIS Data'!$J$6:$J$1505,'COOIS Data'!$B$6:$B$1505,C19)</f>
        <v>24</v>
      </c>
      <c r="K19" s="17" t="n">
        <f aca="false">IF(E19=0,0,INT(J19/E19))</f>
        <v>8</v>
      </c>
      <c r="L19" s="17" t="n">
        <f aca="false">SUMIFS('COOIS Data'!$K$6:$K$1505,'COOIS Data'!$B$6:$B$1505,C19)</f>
        <v>20</v>
      </c>
      <c r="M19" s="17" t="n">
        <f aca="false">IF(E19=0,0,INT(L19/E19))</f>
        <v>6</v>
      </c>
      <c r="N19" s="17" t="n">
        <f aca="false">G19-L19</f>
        <v>19</v>
      </c>
    </row>
    <row r="20" customFormat="false" ht="21.75" hidden="false" customHeight="true" outlineLevel="0" collapsed="false">
      <c r="B20" s="14" t="str">
        <f aca="false">'Kitting Plan'!A15</f>
        <v>ERBIUM ASSY</v>
      </c>
      <c r="C20" s="15" t="str">
        <f aca="false">'Kitting Plan'!B15</f>
        <v>92YRA03548AAA</v>
      </c>
      <c r="D20" s="16" t="str">
        <f aca="false">'Kitting Plan'!C15</f>
        <v>R5B ERBIUM ASSEMBLY POSITION 3</v>
      </c>
      <c r="E20" s="17" t="n">
        <f aca="false">'Kitting Plan'!D15</f>
        <v>3</v>
      </c>
      <c r="F20" s="17" t="n">
        <f aca="false">'Kitting Plan'!E15</f>
        <v>39</v>
      </c>
      <c r="G20" s="17" t="n">
        <f aca="false">SUMIFS('COOIS Data'!$I$6:$I$1505,'COOIS Data'!$B$6:$B$1505,C20)</f>
        <v>42</v>
      </c>
      <c r="H20" s="18" t="n">
        <f aca="false">IF(E20=0,0,INT(G20/E20))</f>
        <v>14</v>
      </c>
      <c r="I20" s="17" t="n">
        <f aca="false">MAX(0,G20-F20)</f>
        <v>3</v>
      </c>
      <c r="J20" s="17" t="n">
        <f aca="false">SUMIFS('COOIS Data'!$J$6:$J$1505,'COOIS Data'!$B$6:$B$1505,C20)</f>
        <v>24</v>
      </c>
      <c r="K20" s="17" t="n">
        <f aca="false">IF(E20=0,0,INT(J20/E20))</f>
        <v>8</v>
      </c>
      <c r="L20" s="17" t="n">
        <f aca="false">SUMIFS('COOIS Data'!$K$6:$K$1505,'COOIS Data'!$B$6:$B$1505,C20)</f>
        <v>20</v>
      </c>
      <c r="M20" s="17" t="n">
        <f aca="false">IF(E20=0,0,INT(L20/E20))</f>
        <v>6</v>
      </c>
      <c r="N20" s="17" t="n">
        <f aca="false">G20-L20</f>
        <v>22</v>
      </c>
    </row>
    <row r="21" customFormat="false" ht="21.75" hidden="false" customHeight="true" outlineLevel="0" collapsed="false">
      <c r="B21" s="14" t="str">
        <f aca="false">'Kitting Plan'!A16</f>
        <v>ERBIUM ASSY</v>
      </c>
      <c r="C21" s="15" t="str">
        <f aca="false">'Kitting Plan'!B16</f>
        <v>92YRA04548AAA</v>
      </c>
      <c r="D21" s="16" t="str">
        <f aca="false">'Kitting Plan'!C16</f>
        <v>R5B ERBIUM ASSEMBLY POSITION 4</v>
      </c>
      <c r="E21" s="17" t="n">
        <f aca="false">'Kitting Plan'!D16</f>
        <v>3</v>
      </c>
      <c r="F21" s="17" t="n">
        <f aca="false">'Kitting Plan'!E16</f>
        <v>39</v>
      </c>
      <c r="G21" s="17" t="n">
        <f aca="false">SUMIFS('COOIS Data'!$I$6:$I$1505,'COOIS Data'!$B$6:$B$1505,C21)</f>
        <v>39</v>
      </c>
      <c r="H21" s="18" t="n">
        <f aca="false">IF(E21=0,0,INT(G21/E21))</f>
        <v>13</v>
      </c>
      <c r="I21" s="17" t="n">
        <f aca="false">MAX(0,G21-F21)</f>
        <v>0</v>
      </c>
      <c r="J21" s="17" t="n">
        <f aca="false">SUMIFS('COOIS Data'!$J$6:$J$1505,'COOIS Data'!$B$6:$B$1505,C21)</f>
        <v>24</v>
      </c>
      <c r="K21" s="17" t="n">
        <f aca="false">IF(E21=0,0,INT(J21/E21))</f>
        <v>8</v>
      </c>
      <c r="L21" s="17" t="n">
        <f aca="false">SUMIFS('COOIS Data'!$K$6:$K$1505,'COOIS Data'!$B$6:$B$1505,C21)</f>
        <v>20</v>
      </c>
      <c r="M21" s="17" t="n">
        <f aca="false">IF(E21=0,0,INT(L21/E21))</f>
        <v>6</v>
      </c>
      <c r="N21" s="17" t="n">
        <f aca="false">G21-L21</f>
        <v>19</v>
      </c>
    </row>
    <row r="22" customFormat="false" ht="21.75" hidden="false" customHeight="true" outlineLevel="0" collapsed="false">
      <c r="B22" s="14" t="str">
        <f aca="false">'Kitting Plan'!A17</f>
        <v>BOAT ASSY</v>
      </c>
      <c r="C22" s="15" t="str">
        <f aca="false">'Kitting Plan'!B17</f>
        <v>92UAP04548BAA</v>
      </c>
      <c r="D22" s="16" t="str">
        <f aca="false">'Kitting Plan'!C17</f>
        <v>R5B BOAT 1 ASSY (4P-4FP)</v>
      </c>
      <c r="E22" s="17" t="n">
        <f aca="false">'Kitting Plan'!D17</f>
        <v>1</v>
      </c>
      <c r="F22" s="17" t="n">
        <f aca="false">'Kitting Plan'!E17</f>
        <v>13</v>
      </c>
      <c r="G22" s="17" t="n">
        <f aca="false">SUMIFS('COOIS Data'!$I$6:$I$1505,'COOIS Data'!$B$6:$B$1505,C22)</f>
        <v>13</v>
      </c>
      <c r="H22" s="18" t="n">
        <f aca="false">IF(E22=0,0,INT(G22/E22))</f>
        <v>13</v>
      </c>
      <c r="I22" s="17" t="n">
        <f aca="false">MAX(0,G22-F22)</f>
        <v>0</v>
      </c>
      <c r="J22" s="17" t="n">
        <f aca="false">SUMIFS('COOIS Data'!$J$6:$J$1505,'COOIS Data'!$B$6:$B$1505,C22)</f>
        <v>8</v>
      </c>
      <c r="K22" s="17" t="n">
        <f aca="false">IF(E22=0,0,INT(J22/E22))</f>
        <v>8</v>
      </c>
      <c r="L22" s="17" t="n">
        <f aca="false">SUMIFS('COOIS Data'!$K$6:$K$1505,'COOIS Data'!$B$6:$B$1505,C22)</f>
        <v>5</v>
      </c>
      <c r="M22" s="17" t="n">
        <f aca="false">IF(E22=0,0,INT(L22/E22))</f>
        <v>5</v>
      </c>
      <c r="N22" s="17" t="n">
        <f aca="false">G22-L22</f>
        <v>8</v>
      </c>
    </row>
    <row r="23" customFormat="false" ht="21.75" hidden="false" customHeight="true" outlineLevel="0" collapsed="false">
      <c r="B23" s="14" t="str">
        <f aca="false">'Kitting Plan'!A18</f>
        <v>BOAT ASSY</v>
      </c>
      <c r="C23" s="15" t="str">
        <f aca="false">'Kitting Plan'!B18</f>
        <v>92UAP04548BBA</v>
      </c>
      <c r="D23" s="16" t="str">
        <f aca="false">'Kitting Plan'!C18</f>
        <v>R5B BOAT 2 ASSY (4P-4FP)</v>
      </c>
      <c r="E23" s="17" t="n">
        <f aca="false">'Kitting Plan'!D18</f>
        <v>1</v>
      </c>
      <c r="F23" s="17" t="n">
        <f aca="false">'Kitting Plan'!E18</f>
        <v>13</v>
      </c>
      <c r="G23" s="17" t="n">
        <f aca="false">SUMIFS('COOIS Data'!$I$6:$I$1505,'COOIS Data'!$B$6:$B$1505,C23)</f>
        <v>13</v>
      </c>
      <c r="H23" s="18" t="n">
        <f aca="false">IF(E23=0,0,INT(G23/E23))</f>
        <v>13</v>
      </c>
      <c r="I23" s="17" t="n">
        <f aca="false">MAX(0,G23-F23)</f>
        <v>0</v>
      </c>
      <c r="J23" s="17" t="n">
        <f aca="false">SUMIFS('COOIS Data'!$J$6:$J$1505,'COOIS Data'!$B$6:$B$1505,C23)</f>
        <v>8</v>
      </c>
      <c r="K23" s="17" t="n">
        <f aca="false">IF(E23=0,0,INT(J23/E23))</f>
        <v>8</v>
      </c>
      <c r="L23" s="17" t="n">
        <f aca="false">SUMIFS('COOIS Data'!$K$6:$K$1505,'COOIS Data'!$B$6:$B$1505,C23)</f>
        <v>5</v>
      </c>
      <c r="M23" s="17" t="n">
        <f aca="false">IF(E23=0,0,INT(L23/E23))</f>
        <v>5</v>
      </c>
      <c r="N23" s="17" t="n">
        <f aca="false">G23-L23</f>
        <v>8</v>
      </c>
    </row>
    <row r="24" customFormat="false" ht="21.75" hidden="false" customHeight="true" outlineLevel="0" collapsed="false">
      <c r="B24" s="14" t="str">
        <f aca="false">'Kitting Plan'!A19</f>
        <v>BOAT ASSY</v>
      </c>
      <c r="C24" s="15" t="str">
        <f aca="false">'Kitting Plan'!B19</f>
        <v>92UAP04548BCA</v>
      </c>
      <c r="D24" s="16" t="str">
        <f aca="false">'Kitting Plan'!C19</f>
        <v>R5B BOAT 3 ASSY (4P-4FP)</v>
      </c>
      <c r="E24" s="17" t="n">
        <f aca="false">'Kitting Plan'!D19</f>
        <v>1</v>
      </c>
      <c r="F24" s="17" t="n">
        <f aca="false">'Kitting Plan'!E19</f>
        <v>13</v>
      </c>
      <c r="G24" s="17" t="n">
        <f aca="false">SUMIFS('COOIS Data'!$I$6:$I$1505,'COOIS Data'!$B$6:$B$1505,C24)</f>
        <v>13</v>
      </c>
      <c r="H24" s="18" t="n">
        <f aca="false">IF(E24=0,0,INT(G24/E24))</f>
        <v>13</v>
      </c>
      <c r="I24" s="17" t="n">
        <f aca="false">MAX(0,G24-F24)</f>
        <v>0</v>
      </c>
      <c r="J24" s="17" t="n">
        <f aca="false">SUMIFS('COOIS Data'!$J$6:$J$1505,'COOIS Data'!$B$6:$B$1505,C24)</f>
        <v>7</v>
      </c>
      <c r="K24" s="17" t="n">
        <f aca="false">IF(E24=0,0,INT(J24/E24))</f>
        <v>7</v>
      </c>
      <c r="L24" s="17" t="n">
        <f aca="false">SUMIFS('COOIS Data'!$K$6:$K$1505,'COOIS Data'!$B$6:$B$1505,C24)</f>
        <v>6</v>
      </c>
      <c r="M24" s="17" t="n">
        <f aca="false">IF(E24=0,0,INT(L24/E24))</f>
        <v>6</v>
      </c>
      <c r="N24" s="17" t="n">
        <f aca="false">G24-L24</f>
        <v>7</v>
      </c>
    </row>
    <row r="25" customFormat="false" ht="15" hidden="false" customHeight="false" outlineLevel="0" collapsed="false">
      <c r="C25" s="19" t="s">
        <v>21</v>
      </c>
      <c r="D25" s="10" t="s">
        <v>22</v>
      </c>
      <c r="F25" s="20" t="n">
        <f aca="false">SUM(F11:F24)</f>
        <v>663</v>
      </c>
      <c r="G25" s="20" t="n">
        <f aca="false">SUM(G11:G24)</f>
        <v>691</v>
      </c>
      <c r="H25" s="20" t="n">
        <f aca="false">MIN(H11:H24)</f>
        <v>13</v>
      </c>
      <c r="I25" s="20" t="n">
        <f aca="false">SUM(I11:I24)</f>
        <v>28</v>
      </c>
      <c r="J25" s="20" t="n">
        <f aca="false">SUM(J11:J24)</f>
        <v>440</v>
      </c>
      <c r="K25" s="20" t="n">
        <f aca="false">MIN(K11:K24)</f>
        <v>7</v>
      </c>
      <c r="L25" s="20" t="n">
        <f aca="false">SUM(L11:L24)</f>
        <v>414</v>
      </c>
      <c r="M25" s="20" t="n">
        <f aca="false">MIN(M11:M24)</f>
        <v>5</v>
      </c>
      <c r="N25" s="20" t="n">
        <f aca="false">SUM(N11:N24)</f>
        <v>277</v>
      </c>
    </row>
    <row r="27" customFormat="false" ht="17.35" hidden="false" customHeight="false" outlineLevel="0" collapsed="false">
      <c r="B27" s="9" t="s">
        <v>23</v>
      </c>
      <c r="D27" s="10" t="s">
        <v>24</v>
      </c>
    </row>
    <row r="28" customFormat="false" ht="25.5" hidden="false" customHeight="true" outlineLevel="0" collapsed="false">
      <c r="B28" s="11" t="s">
        <v>8</v>
      </c>
      <c r="C28" s="11" t="s">
        <v>9</v>
      </c>
      <c r="D28" s="11" t="s">
        <v>10</v>
      </c>
      <c r="E28" s="21" t="s">
        <v>25</v>
      </c>
      <c r="F28" s="21" t="s">
        <v>26</v>
      </c>
      <c r="G28" s="21" t="s">
        <v>27</v>
      </c>
      <c r="H28" s="21" t="s">
        <v>28</v>
      </c>
      <c r="I28" s="21" t="s">
        <v>29</v>
      </c>
      <c r="J28" s="21" t="s">
        <v>30</v>
      </c>
      <c r="K28" s="21" t="s">
        <v>31</v>
      </c>
      <c r="L28" s="21" t="s">
        <v>32</v>
      </c>
      <c r="M28" s="21" t="s">
        <v>33</v>
      </c>
      <c r="N28" s="21" t="s">
        <v>34</v>
      </c>
      <c r="O28" s="21" t="s">
        <v>35</v>
      </c>
      <c r="P28" s="21" t="s">
        <v>36</v>
      </c>
      <c r="Q28" s="21" t="s">
        <v>37</v>
      </c>
    </row>
    <row r="29" customFormat="false" ht="19.5" hidden="false" customHeight="true" outlineLevel="0" collapsed="false">
      <c r="B29" s="22" t="str">
        <f aca="false">B11</f>
        <v>LASER ASSY</v>
      </c>
      <c r="C29" s="23" t="str">
        <f aca="false">C11</f>
        <v>92YLS00548BAA</v>
      </c>
      <c r="D29" s="24" t="str">
        <f aca="false">D11</f>
        <v>R5B LASER ASSEMBLY 4P BOAT 1 - E2A</v>
      </c>
      <c r="E29" s="25" t="str">
        <f aca="false">IF(COUNTIFS('COOIS Data'!$B$6:$B$1505,$C29,'COOIS Data'!$N$6:$N$1505,1,'COOIS Data'!$I$6:$I$1505,"&gt;0")&lt;$E11,"–",IF(COUNTIFS('COOIS Data'!$B$6:$B$1505,$C29,'COOIS Data'!$N$6:$N$1505,1,'COOIS Data'!$K$6:$K$1505,"&gt;0")&gt;=$E11,"D",IF(COUNTIFS('COOIS Data'!$B$6:$B$1505,$C29,'COOIS Data'!$N$6:$N$1505,1,'COOIS Data'!$J$6:$J$1505,"&gt;0")&gt;=$E11,"I","K")))</f>
        <v>D</v>
      </c>
      <c r="F29" s="25" t="str">
        <f aca="false">IF(COUNTIFS('COOIS Data'!$B$6:$B$1505,$C29,'COOIS Data'!$N$6:$N$1505,2,'COOIS Data'!$I$6:$I$1505,"&gt;0")&lt;$E11,"–",IF(COUNTIFS('COOIS Data'!$B$6:$B$1505,$C29,'COOIS Data'!$N$6:$N$1505,2,'COOIS Data'!$K$6:$K$1505,"&gt;0")&gt;=$E11,"D",IF(COUNTIFS('COOIS Data'!$B$6:$B$1505,$C29,'COOIS Data'!$N$6:$N$1505,2,'COOIS Data'!$J$6:$J$1505,"&gt;0")&gt;=$E11,"I","K")))</f>
        <v>D</v>
      </c>
      <c r="G29" s="25" t="str">
        <f aca="false">IF(COUNTIFS('COOIS Data'!$B$6:$B$1505,$C29,'COOIS Data'!$N$6:$N$1505,3,'COOIS Data'!$I$6:$I$1505,"&gt;0")&lt;$E11,"–",IF(COUNTIFS('COOIS Data'!$B$6:$B$1505,$C29,'COOIS Data'!$N$6:$N$1505,3,'COOIS Data'!$K$6:$K$1505,"&gt;0")&gt;=$E11,"D",IF(COUNTIFS('COOIS Data'!$B$6:$B$1505,$C29,'COOIS Data'!$N$6:$N$1505,3,'COOIS Data'!$J$6:$J$1505,"&gt;0")&gt;=$E11,"I","K")))</f>
        <v>D</v>
      </c>
      <c r="H29" s="25" t="str">
        <f aca="false">IF(COUNTIFS('COOIS Data'!$B$6:$B$1505,$C29,'COOIS Data'!$N$6:$N$1505,4,'COOIS Data'!$I$6:$I$1505,"&gt;0")&lt;$E11,"–",IF(COUNTIFS('COOIS Data'!$B$6:$B$1505,$C29,'COOIS Data'!$N$6:$N$1505,4,'COOIS Data'!$K$6:$K$1505,"&gt;0")&gt;=$E11,"D",IF(COUNTIFS('COOIS Data'!$B$6:$B$1505,$C29,'COOIS Data'!$N$6:$N$1505,4,'COOIS Data'!$J$6:$J$1505,"&gt;0")&gt;=$E11,"I","K")))</f>
        <v>D</v>
      </c>
      <c r="I29" s="25" t="str">
        <f aca="false">IF(COUNTIFS('COOIS Data'!$B$6:$B$1505,$C29,'COOIS Data'!$N$6:$N$1505,5,'COOIS Data'!$I$6:$I$1505,"&gt;0")&lt;$E11,"–",IF(COUNTIFS('COOIS Data'!$B$6:$B$1505,$C29,'COOIS Data'!$N$6:$N$1505,5,'COOIS Data'!$K$6:$K$1505,"&gt;0")&gt;=$E11,"D",IF(COUNTIFS('COOIS Data'!$B$6:$B$1505,$C29,'COOIS Data'!$N$6:$N$1505,5,'COOIS Data'!$J$6:$J$1505,"&gt;0")&gt;=$E11,"I","K")))</f>
        <v>D</v>
      </c>
      <c r="J29" s="25" t="str">
        <f aca="false">IF(COUNTIFS('COOIS Data'!$B$6:$B$1505,$C29,'COOIS Data'!$N$6:$N$1505,6,'COOIS Data'!$I$6:$I$1505,"&gt;0")&lt;$E11,"–",IF(COUNTIFS('COOIS Data'!$B$6:$B$1505,$C29,'COOIS Data'!$N$6:$N$1505,6,'COOIS Data'!$K$6:$K$1505,"&gt;0")&gt;=$E11,"D",IF(COUNTIFS('COOIS Data'!$B$6:$B$1505,$C29,'COOIS Data'!$N$6:$N$1505,6,'COOIS Data'!$J$6:$J$1505,"&gt;0")&gt;=$E11,"I","K")))</f>
        <v>D</v>
      </c>
      <c r="K29" s="25" t="str">
        <f aca="false">IF(COUNTIFS('COOIS Data'!$B$6:$B$1505,$C29,'COOIS Data'!$N$6:$N$1505,7,'COOIS Data'!$I$6:$I$1505,"&gt;0")&lt;$E11,"–",IF(COUNTIFS('COOIS Data'!$B$6:$B$1505,$C29,'COOIS Data'!$N$6:$N$1505,7,'COOIS Data'!$K$6:$K$1505,"&gt;0")&gt;=$E11,"D",IF(COUNTIFS('COOIS Data'!$B$6:$B$1505,$C29,'COOIS Data'!$N$6:$N$1505,7,'COOIS Data'!$J$6:$J$1505,"&gt;0")&gt;=$E11,"I","K")))</f>
        <v>D</v>
      </c>
      <c r="L29" s="25" t="str">
        <f aca="false">IF(COUNTIFS('COOIS Data'!$B$6:$B$1505,$C29,'COOIS Data'!$N$6:$N$1505,8,'COOIS Data'!$I$6:$I$1505,"&gt;0")&lt;$E11,"–",IF(COUNTIFS('COOIS Data'!$B$6:$B$1505,$C29,'COOIS Data'!$N$6:$N$1505,8,'COOIS Data'!$K$6:$K$1505,"&gt;0")&gt;=$E11,"D",IF(COUNTIFS('COOIS Data'!$B$6:$B$1505,$C29,'COOIS Data'!$N$6:$N$1505,8,'COOIS Data'!$J$6:$J$1505,"&gt;0")&gt;=$E11,"I","K")))</f>
        <v>D</v>
      </c>
      <c r="M29" s="25" t="str">
        <f aca="false">IF(COUNTIFS('COOIS Data'!$B$6:$B$1505,$C29,'COOIS Data'!$N$6:$N$1505,9,'COOIS Data'!$I$6:$I$1505,"&gt;0")&lt;$E11,"–",IF(COUNTIFS('COOIS Data'!$B$6:$B$1505,$C29,'COOIS Data'!$N$6:$N$1505,9,'COOIS Data'!$K$6:$K$1505,"&gt;0")&gt;=$E11,"D",IF(COUNTIFS('COOIS Data'!$B$6:$B$1505,$C29,'COOIS Data'!$N$6:$N$1505,9,'COOIS Data'!$J$6:$J$1505,"&gt;0")&gt;=$E11,"I","K")))</f>
        <v>D</v>
      </c>
      <c r="N29" s="25" t="str">
        <f aca="false">IF(COUNTIFS('COOIS Data'!$B$6:$B$1505,$C29,'COOIS Data'!$N$6:$N$1505,10,'COOIS Data'!$I$6:$I$1505,"&gt;0")&lt;$E11,"–",IF(COUNTIFS('COOIS Data'!$B$6:$B$1505,$C29,'COOIS Data'!$N$6:$N$1505,10,'COOIS Data'!$K$6:$K$1505,"&gt;0")&gt;=$E11,"D",IF(COUNTIFS('COOIS Data'!$B$6:$B$1505,$C29,'COOIS Data'!$N$6:$N$1505,10,'COOIS Data'!$J$6:$J$1505,"&gt;0")&gt;=$E11,"I","K")))</f>
        <v>I</v>
      </c>
      <c r="O29" s="25" t="str">
        <f aca="false">IF(COUNTIFS('COOIS Data'!$B$6:$B$1505,$C29,'COOIS Data'!$N$6:$N$1505,11,'COOIS Data'!$I$6:$I$1505,"&gt;0")&lt;$E11,"–",IF(COUNTIFS('COOIS Data'!$B$6:$B$1505,$C29,'COOIS Data'!$N$6:$N$1505,11,'COOIS Data'!$K$6:$K$1505,"&gt;0")&gt;=$E11,"D",IF(COUNTIFS('COOIS Data'!$B$6:$B$1505,$C29,'COOIS Data'!$N$6:$N$1505,11,'COOIS Data'!$J$6:$J$1505,"&gt;0")&gt;=$E11,"I","K")))</f>
        <v>K</v>
      </c>
      <c r="P29" s="25" t="str">
        <f aca="false">IF(COUNTIFS('COOIS Data'!$B$6:$B$1505,$C29,'COOIS Data'!$N$6:$N$1505,12,'COOIS Data'!$I$6:$I$1505,"&gt;0")&lt;$E11,"–",IF(COUNTIFS('COOIS Data'!$B$6:$B$1505,$C29,'COOIS Data'!$N$6:$N$1505,12,'COOIS Data'!$K$6:$K$1505,"&gt;0")&gt;=$E11,"D",IF(COUNTIFS('COOIS Data'!$B$6:$B$1505,$C29,'COOIS Data'!$N$6:$N$1505,12,'COOIS Data'!$J$6:$J$1505,"&gt;0")&gt;=$E11,"I","K")))</f>
        <v>K</v>
      </c>
      <c r="Q29" s="25" t="str">
        <f aca="false">IF(COUNTIFS('COOIS Data'!$B$6:$B$1505,$C29,'COOIS Data'!$N$6:$N$1505,13,'COOIS Data'!$I$6:$I$1505,"&gt;0")&lt;$E11,"–",IF(COUNTIFS('COOIS Data'!$B$6:$B$1505,$C29,'COOIS Data'!$N$6:$N$1505,13,'COOIS Data'!$K$6:$K$1505,"&gt;0")&gt;=$E11,"D",IF(COUNTIFS('COOIS Data'!$B$6:$B$1505,$C29,'COOIS Data'!$N$6:$N$1505,13,'COOIS Data'!$J$6:$J$1505,"&gt;0")&gt;=$E11,"I","K")))</f>
        <v>K</v>
      </c>
    </row>
    <row r="30" customFormat="false" ht="19.5" hidden="false" customHeight="true" outlineLevel="0" collapsed="false">
      <c r="B30" s="22" t="str">
        <f aca="false">B12</f>
        <v>LASER ASSY</v>
      </c>
      <c r="C30" s="23" t="str">
        <f aca="false">C12</f>
        <v>92YLS00548BBA</v>
      </c>
      <c r="D30" s="24" t="str">
        <f aca="false">D12</f>
        <v>R5B LASER ASSEMBLY 4P BOAT 2/3 - E2A</v>
      </c>
      <c r="E30" s="25" t="str">
        <f aca="false">IF(COUNTIFS('COOIS Data'!$B$6:$B$1505,$C30,'COOIS Data'!$N$6:$N$1505,1,'COOIS Data'!$I$6:$I$1505,"&gt;0")&lt;$E12,"–",IF(COUNTIFS('COOIS Data'!$B$6:$B$1505,$C30,'COOIS Data'!$N$6:$N$1505,1,'COOIS Data'!$K$6:$K$1505,"&gt;0")&gt;=$E12,"D",IF(COUNTIFS('COOIS Data'!$B$6:$B$1505,$C30,'COOIS Data'!$N$6:$N$1505,1,'COOIS Data'!$J$6:$J$1505,"&gt;0")&gt;=$E12,"I","K")))</f>
        <v>D</v>
      </c>
      <c r="F30" s="25" t="str">
        <f aca="false">IF(COUNTIFS('COOIS Data'!$B$6:$B$1505,$C30,'COOIS Data'!$N$6:$N$1505,2,'COOIS Data'!$I$6:$I$1505,"&gt;0")&lt;$E12,"–",IF(COUNTIFS('COOIS Data'!$B$6:$B$1505,$C30,'COOIS Data'!$N$6:$N$1505,2,'COOIS Data'!$K$6:$K$1505,"&gt;0")&gt;=$E12,"D",IF(COUNTIFS('COOIS Data'!$B$6:$B$1505,$C30,'COOIS Data'!$N$6:$N$1505,2,'COOIS Data'!$J$6:$J$1505,"&gt;0")&gt;=$E12,"I","K")))</f>
        <v>D</v>
      </c>
      <c r="G30" s="25" t="str">
        <f aca="false">IF(COUNTIFS('COOIS Data'!$B$6:$B$1505,$C30,'COOIS Data'!$N$6:$N$1505,3,'COOIS Data'!$I$6:$I$1505,"&gt;0")&lt;$E12,"–",IF(COUNTIFS('COOIS Data'!$B$6:$B$1505,$C30,'COOIS Data'!$N$6:$N$1505,3,'COOIS Data'!$K$6:$K$1505,"&gt;0")&gt;=$E12,"D",IF(COUNTIFS('COOIS Data'!$B$6:$B$1505,$C30,'COOIS Data'!$N$6:$N$1505,3,'COOIS Data'!$J$6:$J$1505,"&gt;0")&gt;=$E12,"I","K")))</f>
        <v>D</v>
      </c>
      <c r="H30" s="25" t="str">
        <f aca="false">IF(COUNTIFS('COOIS Data'!$B$6:$B$1505,$C30,'COOIS Data'!$N$6:$N$1505,4,'COOIS Data'!$I$6:$I$1505,"&gt;0")&lt;$E12,"–",IF(COUNTIFS('COOIS Data'!$B$6:$B$1505,$C30,'COOIS Data'!$N$6:$N$1505,4,'COOIS Data'!$K$6:$K$1505,"&gt;0")&gt;=$E12,"D",IF(COUNTIFS('COOIS Data'!$B$6:$B$1505,$C30,'COOIS Data'!$N$6:$N$1505,4,'COOIS Data'!$J$6:$J$1505,"&gt;0")&gt;=$E12,"I","K")))</f>
        <v>D</v>
      </c>
      <c r="I30" s="25" t="str">
        <f aca="false">IF(COUNTIFS('COOIS Data'!$B$6:$B$1505,$C30,'COOIS Data'!$N$6:$N$1505,5,'COOIS Data'!$I$6:$I$1505,"&gt;0")&lt;$E12,"–",IF(COUNTIFS('COOIS Data'!$B$6:$B$1505,$C30,'COOIS Data'!$N$6:$N$1505,5,'COOIS Data'!$K$6:$K$1505,"&gt;0")&gt;=$E12,"D",IF(COUNTIFS('COOIS Data'!$B$6:$B$1505,$C30,'COOIS Data'!$N$6:$N$1505,5,'COOIS Data'!$J$6:$J$1505,"&gt;0")&gt;=$E12,"I","K")))</f>
        <v>D</v>
      </c>
      <c r="J30" s="25" t="str">
        <f aca="false">IF(COUNTIFS('COOIS Data'!$B$6:$B$1505,$C30,'COOIS Data'!$N$6:$N$1505,6,'COOIS Data'!$I$6:$I$1505,"&gt;0")&lt;$E12,"–",IF(COUNTIFS('COOIS Data'!$B$6:$B$1505,$C30,'COOIS Data'!$N$6:$N$1505,6,'COOIS Data'!$K$6:$K$1505,"&gt;0")&gt;=$E12,"D",IF(COUNTIFS('COOIS Data'!$B$6:$B$1505,$C30,'COOIS Data'!$N$6:$N$1505,6,'COOIS Data'!$J$6:$J$1505,"&gt;0")&gt;=$E12,"I","K")))</f>
        <v>D</v>
      </c>
      <c r="K30" s="25" t="str">
        <f aca="false">IF(COUNTIFS('COOIS Data'!$B$6:$B$1505,$C30,'COOIS Data'!$N$6:$N$1505,7,'COOIS Data'!$I$6:$I$1505,"&gt;0")&lt;$E12,"–",IF(COUNTIFS('COOIS Data'!$B$6:$B$1505,$C30,'COOIS Data'!$N$6:$N$1505,7,'COOIS Data'!$K$6:$K$1505,"&gt;0")&gt;=$E12,"D",IF(COUNTIFS('COOIS Data'!$B$6:$B$1505,$C30,'COOIS Data'!$N$6:$N$1505,7,'COOIS Data'!$J$6:$J$1505,"&gt;0")&gt;=$E12,"I","K")))</f>
        <v>D</v>
      </c>
      <c r="L30" s="25" t="str">
        <f aca="false">IF(COUNTIFS('COOIS Data'!$B$6:$B$1505,$C30,'COOIS Data'!$N$6:$N$1505,8,'COOIS Data'!$I$6:$I$1505,"&gt;0")&lt;$E12,"–",IF(COUNTIFS('COOIS Data'!$B$6:$B$1505,$C30,'COOIS Data'!$N$6:$N$1505,8,'COOIS Data'!$K$6:$K$1505,"&gt;0")&gt;=$E12,"D",IF(COUNTIFS('COOIS Data'!$B$6:$B$1505,$C30,'COOIS Data'!$N$6:$N$1505,8,'COOIS Data'!$J$6:$J$1505,"&gt;0")&gt;=$E12,"I","K")))</f>
        <v>D</v>
      </c>
      <c r="M30" s="25" t="str">
        <f aca="false">IF(COUNTIFS('COOIS Data'!$B$6:$B$1505,$C30,'COOIS Data'!$N$6:$N$1505,9,'COOIS Data'!$I$6:$I$1505,"&gt;0")&lt;$E12,"–",IF(COUNTIFS('COOIS Data'!$B$6:$B$1505,$C30,'COOIS Data'!$N$6:$N$1505,9,'COOIS Data'!$K$6:$K$1505,"&gt;0")&gt;=$E12,"D",IF(COUNTIFS('COOIS Data'!$B$6:$B$1505,$C30,'COOIS Data'!$N$6:$N$1505,9,'COOIS Data'!$J$6:$J$1505,"&gt;0")&gt;=$E12,"I","K")))</f>
        <v>I</v>
      </c>
      <c r="N30" s="25" t="str">
        <f aca="false">IF(COUNTIFS('COOIS Data'!$B$6:$B$1505,$C30,'COOIS Data'!$N$6:$N$1505,10,'COOIS Data'!$I$6:$I$1505,"&gt;0")&lt;$E12,"–",IF(COUNTIFS('COOIS Data'!$B$6:$B$1505,$C30,'COOIS Data'!$N$6:$N$1505,10,'COOIS Data'!$K$6:$K$1505,"&gt;0")&gt;=$E12,"D",IF(COUNTIFS('COOIS Data'!$B$6:$B$1505,$C30,'COOIS Data'!$N$6:$N$1505,10,'COOIS Data'!$J$6:$J$1505,"&gt;0")&gt;=$E12,"I","K")))</f>
        <v>K</v>
      </c>
      <c r="O30" s="25" t="str">
        <f aca="false">IF(COUNTIFS('COOIS Data'!$B$6:$B$1505,$C30,'COOIS Data'!$N$6:$N$1505,11,'COOIS Data'!$I$6:$I$1505,"&gt;0")&lt;$E12,"–",IF(COUNTIFS('COOIS Data'!$B$6:$B$1505,$C30,'COOIS Data'!$N$6:$N$1505,11,'COOIS Data'!$K$6:$K$1505,"&gt;0")&gt;=$E12,"D",IF(COUNTIFS('COOIS Data'!$B$6:$B$1505,$C30,'COOIS Data'!$N$6:$N$1505,11,'COOIS Data'!$J$6:$J$1505,"&gt;0")&gt;=$E12,"I","K")))</f>
        <v>K</v>
      </c>
      <c r="P30" s="25" t="str">
        <f aca="false">IF(COUNTIFS('COOIS Data'!$B$6:$B$1505,$C30,'COOIS Data'!$N$6:$N$1505,12,'COOIS Data'!$I$6:$I$1505,"&gt;0")&lt;$E12,"–",IF(COUNTIFS('COOIS Data'!$B$6:$B$1505,$C30,'COOIS Data'!$N$6:$N$1505,12,'COOIS Data'!$K$6:$K$1505,"&gt;0")&gt;=$E12,"D",IF(COUNTIFS('COOIS Data'!$B$6:$B$1505,$C30,'COOIS Data'!$N$6:$N$1505,12,'COOIS Data'!$J$6:$J$1505,"&gt;0")&gt;=$E12,"I","K")))</f>
        <v>K</v>
      </c>
      <c r="Q30" s="25" t="str">
        <f aca="false">IF(COUNTIFS('COOIS Data'!$B$6:$B$1505,$C30,'COOIS Data'!$N$6:$N$1505,13,'COOIS Data'!$I$6:$I$1505,"&gt;0")&lt;$E12,"–",IF(COUNTIFS('COOIS Data'!$B$6:$B$1505,$C30,'COOIS Data'!$N$6:$N$1505,13,'COOIS Data'!$K$6:$K$1505,"&gt;0")&gt;=$E12,"D",IF(COUNTIFS('COOIS Data'!$B$6:$B$1505,$C30,'COOIS Data'!$N$6:$N$1505,13,'COOIS Data'!$J$6:$J$1505,"&gt;0")&gt;=$E12,"I","K")))</f>
        <v>K</v>
      </c>
    </row>
    <row r="31" customFormat="false" ht="19.5" hidden="false" customHeight="true" outlineLevel="0" collapsed="false">
      <c r="B31" s="22" t="str">
        <f aca="false">B13</f>
        <v>PSB ASSY</v>
      </c>
      <c r="C31" s="23" t="str">
        <f aca="false">C13</f>
        <v>91YAF03404AAA</v>
      </c>
      <c r="D31" s="24" t="str">
        <f aca="false">D13</f>
        <v>R5B PSB SUB ASSEMBLY 4P-4FP</v>
      </c>
      <c r="E31" s="25" t="str">
        <f aca="false">IF(COUNTIFS('COOIS Data'!$B$6:$B$1505,$C31,'COOIS Data'!$N$6:$N$1505,1,'COOIS Data'!$I$6:$I$1505,"&gt;0")&lt;$E13,"–",IF(COUNTIFS('COOIS Data'!$B$6:$B$1505,$C31,'COOIS Data'!$N$6:$N$1505,1,'COOIS Data'!$K$6:$K$1505,"&gt;0")&gt;=$E13,"D",IF(COUNTIFS('COOIS Data'!$B$6:$B$1505,$C31,'COOIS Data'!$N$6:$N$1505,1,'COOIS Data'!$J$6:$J$1505,"&gt;0")&gt;=$E13,"I","K")))</f>
        <v>D</v>
      </c>
      <c r="F31" s="25" t="str">
        <f aca="false">IF(COUNTIFS('COOIS Data'!$B$6:$B$1505,$C31,'COOIS Data'!$N$6:$N$1505,2,'COOIS Data'!$I$6:$I$1505,"&gt;0")&lt;$E13,"–",IF(COUNTIFS('COOIS Data'!$B$6:$B$1505,$C31,'COOIS Data'!$N$6:$N$1505,2,'COOIS Data'!$K$6:$K$1505,"&gt;0")&gt;=$E13,"D",IF(COUNTIFS('COOIS Data'!$B$6:$B$1505,$C31,'COOIS Data'!$N$6:$N$1505,2,'COOIS Data'!$J$6:$J$1505,"&gt;0")&gt;=$E13,"I","K")))</f>
        <v>D</v>
      </c>
      <c r="G31" s="25" t="str">
        <f aca="false">IF(COUNTIFS('COOIS Data'!$B$6:$B$1505,$C31,'COOIS Data'!$N$6:$N$1505,3,'COOIS Data'!$I$6:$I$1505,"&gt;0")&lt;$E13,"–",IF(COUNTIFS('COOIS Data'!$B$6:$B$1505,$C31,'COOIS Data'!$N$6:$N$1505,3,'COOIS Data'!$K$6:$K$1505,"&gt;0")&gt;=$E13,"D",IF(COUNTIFS('COOIS Data'!$B$6:$B$1505,$C31,'COOIS Data'!$N$6:$N$1505,3,'COOIS Data'!$J$6:$J$1505,"&gt;0")&gt;=$E13,"I","K")))</f>
        <v>D</v>
      </c>
      <c r="H31" s="25" t="str">
        <f aca="false">IF(COUNTIFS('COOIS Data'!$B$6:$B$1505,$C31,'COOIS Data'!$N$6:$N$1505,4,'COOIS Data'!$I$6:$I$1505,"&gt;0")&lt;$E13,"–",IF(COUNTIFS('COOIS Data'!$B$6:$B$1505,$C31,'COOIS Data'!$N$6:$N$1505,4,'COOIS Data'!$K$6:$K$1505,"&gt;0")&gt;=$E13,"D",IF(COUNTIFS('COOIS Data'!$B$6:$B$1505,$C31,'COOIS Data'!$N$6:$N$1505,4,'COOIS Data'!$J$6:$J$1505,"&gt;0")&gt;=$E13,"I","K")))</f>
        <v>D</v>
      </c>
      <c r="I31" s="25" t="str">
        <f aca="false">IF(COUNTIFS('COOIS Data'!$B$6:$B$1505,$C31,'COOIS Data'!$N$6:$N$1505,5,'COOIS Data'!$I$6:$I$1505,"&gt;0")&lt;$E13,"–",IF(COUNTIFS('COOIS Data'!$B$6:$B$1505,$C31,'COOIS Data'!$N$6:$N$1505,5,'COOIS Data'!$K$6:$K$1505,"&gt;0")&gt;=$E13,"D",IF(COUNTIFS('COOIS Data'!$B$6:$B$1505,$C31,'COOIS Data'!$N$6:$N$1505,5,'COOIS Data'!$J$6:$J$1505,"&gt;0")&gt;=$E13,"I","K")))</f>
        <v>D</v>
      </c>
      <c r="J31" s="25" t="str">
        <f aca="false">IF(COUNTIFS('COOIS Data'!$B$6:$B$1505,$C31,'COOIS Data'!$N$6:$N$1505,6,'COOIS Data'!$I$6:$I$1505,"&gt;0")&lt;$E13,"–",IF(COUNTIFS('COOIS Data'!$B$6:$B$1505,$C31,'COOIS Data'!$N$6:$N$1505,6,'COOIS Data'!$K$6:$K$1505,"&gt;0")&gt;=$E13,"D",IF(COUNTIFS('COOIS Data'!$B$6:$B$1505,$C31,'COOIS Data'!$N$6:$N$1505,6,'COOIS Data'!$J$6:$J$1505,"&gt;0")&gt;=$E13,"I","K")))</f>
        <v>D</v>
      </c>
      <c r="K31" s="25" t="str">
        <f aca="false">IF(COUNTIFS('COOIS Data'!$B$6:$B$1505,$C31,'COOIS Data'!$N$6:$N$1505,7,'COOIS Data'!$I$6:$I$1505,"&gt;0")&lt;$E13,"–",IF(COUNTIFS('COOIS Data'!$B$6:$B$1505,$C31,'COOIS Data'!$N$6:$N$1505,7,'COOIS Data'!$K$6:$K$1505,"&gt;0")&gt;=$E13,"D",IF(COUNTIFS('COOIS Data'!$B$6:$B$1505,$C31,'COOIS Data'!$N$6:$N$1505,7,'COOIS Data'!$J$6:$J$1505,"&gt;0")&gt;=$E13,"I","K")))</f>
        <v>D</v>
      </c>
      <c r="L31" s="25" t="str">
        <f aca="false">IF(COUNTIFS('COOIS Data'!$B$6:$B$1505,$C31,'COOIS Data'!$N$6:$N$1505,8,'COOIS Data'!$I$6:$I$1505,"&gt;0")&lt;$E13,"–",IF(COUNTIFS('COOIS Data'!$B$6:$B$1505,$C31,'COOIS Data'!$N$6:$N$1505,8,'COOIS Data'!$K$6:$K$1505,"&gt;0")&gt;=$E13,"D",IF(COUNTIFS('COOIS Data'!$B$6:$B$1505,$C31,'COOIS Data'!$N$6:$N$1505,8,'COOIS Data'!$J$6:$J$1505,"&gt;0")&gt;=$E13,"I","K")))</f>
        <v>D</v>
      </c>
      <c r="M31" s="25" t="str">
        <f aca="false">IF(COUNTIFS('COOIS Data'!$B$6:$B$1505,$C31,'COOIS Data'!$N$6:$N$1505,9,'COOIS Data'!$I$6:$I$1505,"&gt;0")&lt;$E13,"–",IF(COUNTIFS('COOIS Data'!$B$6:$B$1505,$C31,'COOIS Data'!$N$6:$N$1505,9,'COOIS Data'!$K$6:$K$1505,"&gt;0")&gt;=$E13,"D",IF(COUNTIFS('COOIS Data'!$B$6:$B$1505,$C31,'COOIS Data'!$N$6:$N$1505,9,'COOIS Data'!$J$6:$J$1505,"&gt;0")&gt;=$E13,"I","K")))</f>
        <v>D</v>
      </c>
      <c r="N31" s="25" t="str">
        <f aca="false">IF(COUNTIFS('COOIS Data'!$B$6:$B$1505,$C31,'COOIS Data'!$N$6:$N$1505,10,'COOIS Data'!$I$6:$I$1505,"&gt;0")&lt;$E13,"–",IF(COUNTIFS('COOIS Data'!$B$6:$B$1505,$C31,'COOIS Data'!$N$6:$N$1505,10,'COOIS Data'!$K$6:$K$1505,"&gt;0")&gt;=$E13,"D",IF(COUNTIFS('COOIS Data'!$B$6:$B$1505,$C31,'COOIS Data'!$N$6:$N$1505,10,'COOIS Data'!$J$6:$J$1505,"&gt;0")&gt;=$E13,"I","K")))</f>
        <v>D</v>
      </c>
      <c r="O31" s="25" t="str">
        <f aca="false">IF(COUNTIFS('COOIS Data'!$B$6:$B$1505,$C31,'COOIS Data'!$N$6:$N$1505,11,'COOIS Data'!$I$6:$I$1505,"&gt;0")&lt;$E13,"–",IF(COUNTIFS('COOIS Data'!$B$6:$B$1505,$C31,'COOIS Data'!$N$6:$N$1505,11,'COOIS Data'!$K$6:$K$1505,"&gt;0")&gt;=$E13,"D",IF(COUNTIFS('COOIS Data'!$B$6:$B$1505,$C31,'COOIS Data'!$N$6:$N$1505,11,'COOIS Data'!$J$6:$J$1505,"&gt;0")&gt;=$E13,"I","K")))</f>
        <v>K</v>
      </c>
      <c r="P31" s="25" t="str">
        <f aca="false">IF(COUNTIFS('COOIS Data'!$B$6:$B$1505,$C31,'COOIS Data'!$N$6:$N$1505,12,'COOIS Data'!$I$6:$I$1505,"&gt;0")&lt;$E13,"–",IF(COUNTIFS('COOIS Data'!$B$6:$B$1505,$C31,'COOIS Data'!$N$6:$N$1505,12,'COOIS Data'!$K$6:$K$1505,"&gt;0")&gt;=$E13,"D",IF(COUNTIFS('COOIS Data'!$B$6:$B$1505,$C31,'COOIS Data'!$N$6:$N$1505,12,'COOIS Data'!$J$6:$J$1505,"&gt;0")&gt;=$E13,"I","K")))</f>
        <v>K</v>
      </c>
      <c r="Q31" s="25" t="str">
        <f aca="false">IF(COUNTIFS('COOIS Data'!$B$6:$B$1505,$C31,'COOIS Data'!$N$6:$N$1505,13,'COOIS Data'!$I$6:$I$1505,"&gt;0")&lt;$E13,"–",IF(COUNTIFS('COOIS Data'!$B$6:$B$1505,$C31,'COOIS Data'!$N$6:$N$1505,13,'COOIS Data'!$K$6:$K$1505,"&gt;0")&gt;=$E13,"D",IF(COUNTIFS('COOIS Data'!$B$6:$B$1505,$C31,'COOIS Data'!$N$6:$N$1505,13,'COOIS Data'!$J$6:$J$1505,"&gt;0")&gt;=$E13,"I","K")))</f>
        <v>D</v>
      </c>
    </row>
    <row r="32" customFormat="false" ht="19.5" hidden="false" customHeight="true" outlineLevel="0" collapsed="false">
      <c r="B32" s="22" t="str">
        <f aca="false">B14</f>
        <v>OPF ASSY</v>
      </c>
      <c r="C32" s="23" t="str">
        <f aca="false">C14</f>
        <v>92YFD04548BAA</v>
      </c>
      <c r="D32" s="24" t="str">
        <f aca="false">D14</f>
        <v>R5B OPF ASSEMBLY (4P-4FP) BOAT 1 - E2A</v>
      </c>
      <c r="E32" s="25" t="str">
        <f aca="false">IF(COUNTIFS('COOIS Data'!$B$6:$B$1505,$C32,'COOIS Data'!$N$6:$N$1505,1,'COOIS Data'!$I$6:$I$1505,"&gt;0")&lt;$E14,"–",IF(COUNTIFS('COOIS Data'!$B$6:$B$1505,$C32,'COOIS Data'!$N$6:$N$1505,1,'COOIS Data'!$K$6:$K$1505,"&gt;0")&gt;=$E14,"D",IF(COUNTIFS('COOIS Data'!$B$6:$B$1505,$C32,'COOIS Data'!$N$6:$N$1505,1,'COOIS Data'!$J$6:$J$1505,"&gt;0")&gt;=$E14,"I","K")))</f>
        <v>D</v>
      </c>
      <c r="F32" s="25" t="str">
        <f aca="false">IF(COUNTIFS('COOIS Data'!$B$6:$B$1505,$C32,'COOIS Data'!$N$6:$N$1505,2,'COOIS Data'!$I$6:$I$1505,"&gt;0")&lt;$E14,"–",IF(COUNTIFS('COOIS Data'!$B$6:$B$1505,$C32,'COOIS Data'!$N$6:$N$1505,2,'COOIS Data'!$K$6:$K$1505,"&gt;0")&gt;=$E14,"D",IF(COUNTIFS('COOIS Data'!$B$6:$B$1505,$C32,'COOIS Data'!$N$6:$N$1505,2,'COOIS Data'!$J$6:$J$1505,"&gt;0")&gt;=$E14,"I","K")))</f>
        <v>D</v>
      </c>
      <c r="G32" s="25" t="str">
        <f aca="false">IF(COUNTIFS('COOIS Data'!$B$6:$B$1505,$C32,'COOIS Data'!$N$6:$N$1505,3,'COOIS Data'!$I$6:$I$1505,"&gt;0")&lt;$E14,"–",IF(COUNTIFS('COOIS Data'!$B$6:$B$1505,$C32,'COOIS Data'!$N$6:$N$1505,3,'COOIS Data'!$K$6:$K$1505,"&gt;0")&gt;=$E14,"D",IF(COUNTIFS('COOIS Data'!$B$6:$B$1505,$C32,'COOIS Data'!$N$6:$N$1505,3,'COOIS Data'!$J$6:$J$1505,"&gt;0")&gt;=$E14,"I","K")))</f>
        <v>D</v>
      </c>
      <c r="H32" s="25" t="str">
        <f aca="false">IF(COUNTIFS('COOIS Data'!$B$6:$B$1505,$C32,'COOIS Data'!$N$6:$N$1505,4,'COOIS Data'!$I$6:$I$1505,"&gt;0")&lt;$E14,"–",IF(COUNTIFS('COOIS Data'!$B$6:$B$1505,$C32,'COOIS Data'!$N$6:$N$1505,4,'COOIS Data'!$K$6:$K$1505,"&gt;0")&gt;=$E14,"D",IF(COUNTIFS('COOIS Data'!$B$6:$B$1505,$C32,'COOIS Data'!$N$6:$N$1505,4,'COOIS Data'!$J$6:$J$1505,"&gt;0")&gt;=$E14,"I","K")))</f>
        <v>D</v>
      </c>
      <c r="I32" s="25" t="str">
        <f aca="false">IF(COUNTIFS('COOIS Data'!$B$6:$B$1505,$C32,'COOIS Data'!$N$6:$N$1505,5,'COOIS Data'!$I$6:$I$1505,"&gt;0")&lt;$E14,"–",IF(COUNTIFS('COOIS Data'!$B$6:$B$1505,$C32,'COOIS Data'!$N$6:$N$1505,5,'COOIS Data'!$K$6:$K$1505,"&gt;0")&gt;=$E14,"D",IF(COUNTIFS('COOIS Data'!$B$6:$B$1505,$C32,'COOIS Data'!$N$6:$N$1505,5,'COOIS Data'!$J$6:$J$1505,"&gt;0")&gt;=$E14,"I","K")))</f>
        <v>D</v>
      </c>
      <c r="J32" s="25" t="str">
        <f aca="false">IF(COUNTIFS('COOIS Data'!$B$6:$B$1505,$C32,'COOIS Data'!$N$6:$N$1505,6,'COOIS Data'!$I$6:$I$1505,"&gt;0")&lt;$E14,"–",IF(COUNTIFS('COOIS Data'!$B$6:$B$1505,$C32,'COOIS Data'!$N$6:$N$1505,6,'COOIS Data'!$K$6:$K$1505,"&gt;0")&gt;=$E14,"D",IF(COUNTIFS('COOIS Data'!$B$6:$B$1505,$C32,'COOIS Data'!$N$6:$N$1505,6,'COOIS Data'!$J$6:$J$1505,"&gt;0")&gt;=$E14,"I","K")))</f>
        <v>D</v>
      </c>
      <c r="K32" s="25" t="str">
        <f aca="false">IF(COUNTIFS('COOIS Data'!$B$6:$B$1505,$C32,'COOIS Data'!$N$6:$N$1505,7,'COOIS Data'!$I$6:$I$1505,"&gt;0")&lt;$E14,"–",IF(COUNTIFS('COOIS Data'!$B$6:$B$1505,$C32,'COOIS Data'!$N$6:$N$1505,7,'COOIS Data'!$K$6:$K$1505,"&gt;0")&gt;=$E14,"D",IF(COUNTIFS('COOIS Data'!$B$6:$B$1505,$C32,'COOIS Data'!$N$6:$N$1505,7,'COOIS Data'!$J$6:$J$1505,"&gt;0")&gt;=$E14,"I","K")))</f>
        <v>D</v>
      </c>
      <c r="L32" s="25" t="str">
        <f aca="false">IF(COUNTIFS('COOIS Data'!$B$6:$B$1505,$C32,'COOIS Data'!$N$6:$N$1505,8,'COOIS Data'!$I$6:$I$1505,"&gt;0")&lt;$E14,"–",IF(COUNTIFS('COOIS Data'!$B$6:$B$1505,$C32,'COOIS Data'!$N$6:$N$1505,8,'COOIS Data'!$K$6:$K$1505,"&gt;0")&gt;=$E14,"D",IF(COUNTIFS('COOIS Data'!$B$6:$B$1505,$C32,'COOIS Data'!$N$6:$N$1505,8,'COOIS Data'!$J$6:$J$1505,"&gt;0")&gt;=$E14,"I","K")))</f>
        <v>D</v>
      </c>
      <c r="M32" s="25" t="str">
        <f aca="false">IF(COUNTIFS('COOIS Data'!$B$6:$B$1505,$C32,'COOIS Data'!$N$6:$N$1505,9,'COOIS Data'!$I$6:$I$1505,"&gt;0")&lt;$E14,"–",IF(COUNTIFS('COOIS Data'!$B$6:$B$1505,$C32,'COOIS Data'!$N$6:$N$1505,9,'COOIS Data'!$K$6:$K$1505,"&gt;0")&gt;=$E14,"D",IF(COUNTIFS('COOIS Data'!$B$6:$B$1505,$C32,'COOIS Data'!$N$6:$N$1505,9,'COOIS Data'!$J$6:$J$1505,"&gt;0")&gt;=$E14,"I","K")))</f>
        <v>I</v>
      </c>
      <c r="N32" s="25" t="str">
        <f aca="false">IF(COUNTIFS('COOIS Data'!$B$6:$B$1505,$C32,'COOIS Data'!$N$6:$N$1505,10,'COOIS Data'!$I$6:$I$1505,"&gt;0")&lt;$E14,"–",IF(COUNTIFS('COOIS Data'!$B$6:$B$1505,$C32,'COOIS Data'!$N$6:$N$1505,10,'COOIS Data'!$K$6:$K$1505,"&gt;0")&gt;=$E14,"D",IF(COUNTIFS('COOIS Data'!$B$6:$B$1505,$C32,'COOIS Data'!$N$6:$N$1505,10,'COOIS Data'!$J$6:$J$1505,"&gt;0")&gt;=$E14,"I","K")))</f>
        <v>K</v>
      </c>
      <c r="O32" s="25" t="str">
        <f aca="false">IF(COUNTIFS('COOIS Data'!$B$6:$B$1505,$C32,'COOIS Data'!$N$6:$N$1505,11,'COOIS Data'!$I$6:$I$1505,"&gt;0")&lt;$E14,"–",IF(COUNTIFS('COOIS Data'!$B$6:$B$1505,$C32,'COOIS Data'!$N$6:$N$1505,11,'COOIS Data'!$K$6:$K$1505,"&gt;0")&gt;=$E14,"D",IF(COUNTIFS('COOIS Data'!$B$6:$B$1505,$C32,'COOIS Data'!$N$6:$N$1505,11,'COOIS Data'!$J$6:$J$1505,"&gt;0")&gt;=$E14,"I","K")))</f>
        <v>K</v>
      </c>
      <c r="P32" s="25" t="str">
        <f aca="false">IF(COUNTIFS('COOIS Data'!$B$6:$B$1505,$C32,'COOIS Data'!$N$6:$N$1505,12,'COOIS Data'!$I$6:$I$1505,"&gt;0")&lt;$E14,"–",IF(COUNTIFS('COOIS Data'!$B$6:$B$1505,$C32,'COOIS Data'!$N$6:$N$1505,12,'COOIS Data'!$K$6:$K$1505,"&gt;0")&gt;=$E14,"D",IF(COUNTIFS('COOIS Data'!$B$6:$B$1505,$C32,'COOIS Data'!$N$6:$N$1505,12,'COOIS Data'!$J$6:$J$1505,"&gt;0")&gt;=$E14,"I","K")))</f>
        <v>K</v>
      </c>
      <c r="Q32" s="25" t="str">
        <f aca="false">IF(COUNTIFS('COOIS Data'!$B$6:$B$1505,$C32,'COOIS Data'!$N$6:$N$1505,13,'COOIS Data'!$I$6:$I$1505,"&gt;0")&lt;$E14,"–",IF(COUNTIFS('COOIS Data'!$B$6:$B$1505,$C32,'COOIS Data'!$N$6:$N$1505,13,'COOIS Data'!$K$6:$K$1505,"&gt;0")&gt;=$E14,"D",IF(COUNTIFS('COOIS Data'!$B$6:$B$1505,$C32,'COOIS Data'!$N$6:$N$1505,13,'COOIS Data'!$J$6:$J$1505,"&gt;0")&gt;=$E14,"I","K")))</f>
        <v>K</v>
      </c>
    </row>
    <row r="33" customFormat="false" ht="19.5" hidden="false" customHeight="true" outlineLevel="0" collapsed="false">
      <c r="B33" s="22" t="str">
        <f aca="false">B15</f>
        <v>OPF ASSY</v>
      </c>
      <c r="C33" s="23" t="str">
        <f aca="false">C15</f>
        <v>92YFD04548BBA</v>
      </c>
      <c r="D33" s="24" t="str">
        <f aca="false">D15</f>
        <v>R5B OPF ASSEMBLY (4P-4FP) BOAT 2/3 - E2A</v>
      </c>
      <c r="E33" s="25" t="str">
        <f aca="false">IF(COUNTIFS('COOIS Data'!$B$6:$B$1505,$C33,'COOIS Data'!$N$6:$N$1505,1,'COOIS Data'!$I$6:$I$1505,"&gt;0")&lt;$E15,"–",IF(COUNTIFS('COOIS Data'!$B$6:$B$1505,$C33,'COOIS Data'!$N$6:$N$1505,1,'COOIS Data'!$K$6:$K$1505,"&gt;0")&gt;=$E15,"D",IF(COUNTIFS('COOIS Data'!$B$6:$B$1505,$C33,'COOIS Data'!$N$6:$N$1505,1,'COOIS Data'!$J$6:$J$1505,"&gt;0")&gt;=$E15,"I","K")))</f>
        <v>D</v>
      </c>
      <c r="F33" s="25" t="str">
        <f aca="false">IF(COUNTIFS('COOIS Data'!$B$6:$B$1505,$C33,'COOIS Data'!$N$6:$N$1505,2,'COOIS Data'!$I$6:$I$1505,"&gt;0")&lt;$E15,"–",IF(COUNTIFS('COOIS Data'!$B$6:$B$1505,$C33,'COOIS Data'!$N$6:$N$1505,2,'COOIS Data'!$K$6:$K$1505,"&gt;0")&gt;=$E15,"D",IF(COUNTIFS('COOIS Data'!$B$6:$B$1505,$C33,'COOIS Data'!$N$6:$N$1505,2,'COOIS Data'!$J$6:$J$1505,"&gt;0")&gt;=$E15,"I","K")))</f>
        <v>D</v>
      </c>
      <c r="G33" s="25" t="str">
        <f aca="false">IF(COUNTIFS('COOIS Data'!$B$6:$B$1505,$C33,'COOIS Data'!$N$6:$N$1505,3,'COOIS Data'!$I$6:$I$1505,"&gt;0")&lt;$E15,"–",IF(COUNTIFS('COOIS Data'!$B$6:$B$1505,$C33,'COOIS Data'!$N$6:$N$1505,3,'COOIS Data'!$K$6:$K$1505,"&gt;0")&gt;=$E15,"D",IF(COUNTIFS('COOIS Data'!$B$6:$B$1505,$C33,'COOIS Data'!$N$6:$N$1505,3,'COOIS Data'!$J$6:$J$1505,"&gt;0")&gt;=$E15,"I","K")))</f>
        <v>D</v>
      </c>
      <c r="H33" s="25" t="str">
        <f aca="false">IF(COUNTIFS('COOIS Data'!$B$6:$B$1505,$C33,'COOIS Data'!$N$6:$N$1505,4,'COOIS Data'!$I$6:$I$1505,"&gt;0")&lt;$E15,"–",IF(COUNTIFS('COOIS Data'!$B$6:$B$1505,$C33,'COOIS Data'!$N$6:$N$1505,4,'COOIS Data'!$K$6:$K$1505,"&gt;0")&gt;=$E15,"D",IF(COUNTIFS('COOIS Data'!$B$6:$B$1505,$C33,'COOIS Data'!$N$6:$N$1505,4,'COOIS Data'!$J$6:$J$1505,"&gt;0")&gt;=$E15,"I","K")))</f>
        <v>D</v>
      </c>
      <c r="I33" s="25" t="str">
        <f aca="false">IF(COUNTIFS('COOIS Data'!$B$6:$B$1505,$C33,'COOIS Data'!$N$6:$N$1505,5,'COOIS Data'!$I$6:$I$1505,"&gt;0")&lt;$E15,"–",IF(COUNTIFS('COOIS Data'!$B$6:$B$1505,$C33,'COOIS Data'!$N$6:$N$1505,5,'COOIS Data'!$K$6:$K$1505,"&gt;0")&gt;=$E15,"D",IF(COUNTIFS('COOIS Data'!$B$6:$B$1505,$C33,'COOIS Data'!$N$6:$N$1505,5,'COOIS Data'!$J$6:$J$1505,"&gt;0")&gt;=$E15,"I","K")))</f>
        <v>D</v>
      </c>
      <c r="J33" s="25" t="str">
        <f aca="false">IF(COUNTIFS('COOIS Data'!$B$6:$B$1505,$C33,'COOIS Data'!$N$6:$N$1505,6,'COOIS Data'!$I$6:$I$1505,"&gt;0")&lt;$E15,"–",IF(COUNTIFS('COOIS Data'!$B$6:$B$1505,$C33,'COOIS Data'!$N$6:$N$1505,6,'COOIS Data'!$K$6:$K$1505,"&gt;0")&gt;=$E15,"D",IF(COUNTIFS('COOIS Data'!$B$6:$B$1505,$C33,'COOIS Data'!$N$6:$N$1505,6,'COOIS Data'!$J$6:$J$1505,"&gt;0")&gt;=$E15,"I","K")))</f>
        <v>D</v>
      </c>
      <c r="K33" s="25" t="str">
        <f aca="false">IF(COUNTIFS('COOIS Data'!$B$6:$B$1505,$C33,'COOIS Data'!$N$6:$N$1505,7,'COOIS Data'!$I$6:$I$1505,"&gt;0")&lt;$E15,"–",IF(COUNTIFS('COOIS Data'!$B$6:$B$1505,$C33,'COOIS Data'!$N$6:$N$1505,7,'COOIS Data'!$K$6:$K$1505,"&gt;0")&gt;=$E15,"D",IF(COUNTIFS('COOIS Data'!$B$6:$B$1505,$C33,'COOIS Data'!$N$6:$N$1505,7,'COOIS Data'!$J$6:$J$1505,"&gt;0")&gt;=$E15,"I","K")))</f>
        <v>D</v>
      </c>
      <c r="L33" s="25" t="str">
        <f aca="false">IF(COUNTIFS('COOIS Data'!$B$6:$B$1505,$C33,'COOIS Data'!$N$6:$N$1505,8,'COOIS Data'!$I$6:$I$1505,"&gt;0")&lt;$E15,"–",IF(COUNTIFS('COOIS Data'!$B$6:$B$1505,$C33,'COOIS Data'!$N$6:$N$1505,8,'COOIS Data'!$K$6:$K$1505,"&gt;0")&gt;=$E15,"D",IF(COUNTIFS('COOIS Data'!$B$6:$B$1505,$C33,'COOIS Data'!$N$6:$N$1505,8,'COOIS Data'!$J$6:$J$1505,"&gt;0")&gt;=$E15,"I","K")))</f>
        <v>I</v>
      </c>
      <c r="M33" s="25" t="str">
        <f aca="false">IF(COUNTIFS('COOIS Data'!$B$6:$B$1505,$C33,'COOIS Data'!$N$6:$N$1505,9,'COOIS Data'!$I$6:$I$1505,"&gt;0")&lt;$E15,"–",IF(COUNTIFS('COOIS Data'!$B$6:$B$1505,$C33,'COOIS Data'!$N$6:$N$1505,9,'COOIS Data'!$K$6:$K$1505,"&gt;0")&gt;=$E15,"D",IF(COUNTIFS('COOIS Data'!$B$6:$B$1505,$C33,'COOIS Data'!$N$6:$N$1505,9,'COOIS Data'!$J$6:$J$1505,"&gt;0")&gt;=$E15,"I","K")))</f>
        <v>K</v>
      </c>
      <c r="N33" s="25" t="str">
        <f aca="false">IF(COUNTIFS('COOIS Data'!$B$6:$B$1505,$C33,'COOIS Data'!$N$6:$N$1505,10,'COOIS Data'!$I$6:$I$1505,"&gt;0")&lt;$E15,"–",IF(COUNTIFS('COOIS Data'!$B$6:$B$1505,$C33,'COOIS Data'!$N$6:$N$1505,10,'COOIS Data'!$K$6:$K$1505,"&gt;0")&gt;=$E15,"D",IF(COUNTIFS('COOIS Data'!$B$6:$B$1505,$C33,'COOIS Data'!$N$6:$N$1505,10,'COOIS Data'!$J$6:$J$1505,"&gt;0")&gt;=$E15,"I","K")))</f>
        <v>K</v>
      </c>
      <c r="O33" s="25" t="str">
        <f aca="false">IF(COUNTIFS('COOIS Data'!$B$6:$B$1505,$C33,'COOIS Data'!$N$6:$N$1505,11,'COOIS Data'!$I$6:$I$1505,"&gt;0")&lt;$E15,"–",IF(COUNTIFS('COOIS Data'!$B$6:$B$1505,$C33,'COOIS Data'!$N$6:$N$1505,11,'COOIS Data'!$K$6:$K$1505,"&gt;0")&gt;=$E15,"D",IF(COUNTIFS('COOIS Data'!$B$6:$B$1505,$C33,'COOIS Data'!$N$6:$N$1505,11,'COOIS Data'!$J$6:$J$1505,"&gt;0")&gt;=$E15,"I","K")))</f>
        <v>K</v>
      </c>
      <c r="P33" s="25" t="str">
        <f aca="false">IF(COUNTIFS('COOIS Data'!$B$6:$B$1505,$C33,'COOIS Data'!$N$6:$N$1505,12,'COOIS Data'!$I$6:$I$1505,"&gt;0")&lt;$E15,"–",IF(COUNTIFS('COOIS Data'!$B$6:$B$1505,$C33,'COOIS Data'!$N$6:$N$1505,12,'COOIS Data'!$K$6:$K$1505,"&gt;0")&gt;=$E15,"D",IF(COUNTIFS('COOIS Data'!$B$6:$B$1505,$C33,'COOIS Data'!$N$6:$N$1505,12,'COOIS Data'!$J$6:$J$1505,"&gt;0")&gt;=$E15,"I","K")))</f>
        <v>K</v>
      </c>
      <c r="Q33" s="25" t="str">
        <f aca="false">IF(COUNTIFS('COOIS Data'!$B$6:$B$1505,$C33,'COOIS Data'!$N$6:$N$1505,13,'COOIS Data'!$I$6:$I$1505,"&gt;0")&lt;$E15,"–",IF(COUNTIFS('COOIS Data'!$B$6:$B$1505,$C33,'COOIS Data'!$N$6:$N$1505,13,'COOIS Data'!$K$6:$K$1505,"&gt;0")&gt;=$E15,"D",IF(COUNTIFS('COOIS Data'!$B$6:$B$1505,$C33,'COOIS Data'!$N$6:$N$1505,13,'COOIS Data'!$J$6:$J$1505,"&gt;0")&gt;=$E15,"I","K")))</f>
        <v>K</v>
      </c>
    </row>
    <row r="34" customFormat="false" ht="19.5" hidden="false" customHeight="true" outlineLevel="0" collapsed="false">
      <c r="B34" s="22" t="str">
        <f aca="false">B16</f>
        <v>POB ASSY</v>
      </c>
      <c r="C34" s="23" t="str">
        <f aca="false">C16</f>
        <v>92YWS04548AAA</v>
      </c>
      <c r="D34" s="24" t="str">
        <f aca="false">D16</f>
        <v>R5B 4FP POB LUMENTUM SUB ASSEMBLY - E2A</v>
      </c>
      <c r="E34" s="25" t="str">
        <f aca="false">IF(COUNTIFS('COOIS Data'!$B$6:$B$1505,$C34,'COOIS Data'!$N$6:$N$1505,1,'COOIS Data'!$I$6:$I$1505,"&gt;0")&lt;$E16,"–",IF(COUNTIFS('COOIS Data'!$B$6:$B$1505,$C34,'COOIS Data'!$N$6:$N$1505,1,'COOIS Data'!$K$6:$K$1505,"&gt;0")&gt;=$E16,"D",IF(COUNTIFS('COOIS Data'!$B$6:$B$1505,$C34,'COOIS Data'!$N$6:$N$1505,1,'COOIS Data'!$J$6:$J$1505,"&gt;0")&gt;=$E16,"I","K")))</f>
        <v>D</v>
      </c>
      <c r="F34" s="25" t="str">
        <f aca="false">IF(COUNTIFS('COOIS Data'!$B$6:$B$1505,$C34,'COOIS Data'!$N$6:$N$1505,2,'COOIS Data'!$I$6:$I$1505,"&gt;0")&lt;$E16,"–",IF(COUNTIFS('COOIS Data'!$B$6:$B$1505,$C34,'COOIS Data'!$N$6:$N$1505,2,'COOIS Data'!$K$6:$K$1505,"&gt;0")&gt;=$E16,"D",IF(COUNTIFS('COOIS Data'!$B$6:$B$1505,$C34,'COOIS Data'!$N$6:$N$1505,2,'COOIS Data'!$J$6:$J$1505,"&gt;0")&gt;=$E16,"I","K")))</f>
        <v>D</v>
      </c>
      <c r="G34" s="25" t="str">
        <f aca="false">IF(COUNTIFS('COOIS Data'!$B$6:$B$1505,$C34,'COOIS Data'!$N$6:$N$1505,3,'COOIS Data'!$I$6:$I$1505,"&gt;0")&lt;$E16,"–",IF(COUNTIFS('COOIS Data'!$B$6:$B$1505,$C34,'COOIS Data'!$N$6:$N$1505,3,'COOIS Data'!$K$6:$K$1505,"&gt;0")&gt;=$E16,"D",IF(COUNTIFS('COOIS Data'!$B$6:$B$1505,$C34,'COOIS Data'!$N$6:$N$1505,3,'COOIS Data'!$J$6:$J$1505,"&gt;0")&gt;=$E16,"I","K")))</f>
        <v>D</v>
      </c>
      <c r="H34" s="25" t="str">
        <f aca="false">IF(COUNTIFS('COOIS Data'!$B$6:$B$1505,$C34,'COOIS Data'!$N$6:$N$1505,4,'COOIS Data'!$I$6:$I$1505,"&gt;0")&lt;$E16,"–",IF(COUNTIFS('COOIS Data'!$B$6:$B$1505,$C34,'COOIS Data'!$N$6:$N$1505,4,'COOIS Data'!$K$6:$K$1505,"&gt;0")&gt;=$E16,"D",IF(COUNTIFS('COOIS Data'!$B$6:$B$1505,$C34,'COOIS Data'!$N$6:$N$1505,4,'COOIS Data'!$J$6:$J$1505,"&gt;0")&gt;=$E16,"I","K")))</f>
        <v>D</v>
      </c>
      <c r="I34" s="25" t="str">
        <f aca="false">IF(COUNTIFS('COOIS Data'!$B$6:$B$1505,$C34,'COOIS Data'!$N$6:$N$1505,5,'COOIS Data'!$I$6:$I$1505,"&gt;0")&lt;$E16,"–",IF(COUNTIFS('COOIS Data'!$B$6:$B$1505,$C34,'COOIS Data'!$N$6:$N$1505,5,'COOIS Data'!$K$6:$K$1505,"&gt;0")&gt;=$E16,"D",IF(COUNTIFS('COOIS Data'!$B$6:$B$1505,$C34,'COOIS Data'!$N$6:$N$1505,5,'COOIS Data'!$J$6:$J$1505,"&gt;0")&gt;=$E16,"I","K")))</f>
        <v>D</v>
      </c>
      <c r="J34" s="25" t="str">
        <f aca="false">IF(COUNTIFS('COOIS Data'!$B$6:$B$1505,$C34,'COOIS Data'!$N$6:$N$1505,6,'COOIS Data'!$I$6:$I$1505,"&gt;0")&lt;$E16,"–",IF(COUNTIFS('COOIS Data'!$B$6:$B$1505,$C34,'COOIS Data'!$N$6:$N$1505,6,'COOIS Data'!$K$6:$K$1505,"&gt;0")&gt;=$E16,"D",IF(COUNTIFS('COOIS Data'!$B$6:$B$1505,$C34,'COOIS Data'!$N$6:$N$1505,6,'COOIS Data'!$J$6:$J$1505,"&gt;0")&gt;=$E16,"I","K")))</f>
        <v>D</v>
      </c>
      <c r="K34" s="25" t="str">
        <f aca="false">IF(COUNTIFS('COOIS Data'!$B$6:$B$1505,$C34,'COOIS Data'!$N$6:$N$1505,7,'COOIS Data'!$I$6:$I$1505,"&gt;0")&lt;$E16,"–",IF(COUNTIFS('COOIS Data'!$B$6:$B$1505,$C34,'COOIS Data'!$N$6:$N$1505,7,'COOIS Data'!$K$6:$K$1505,"&gt;0")&gt;=$E16,"D",IF(COUNTIFS('COOIS Data'!$B$6:$B$1505,$C34,'COOIS Data'!$N$6:$N$1505,7,'COOIS Data'!$J$6:$J$1505,"&gt;0")&gt;=$E16,"I","K")))</f>
        <v>D</v>
      </c>
      <c r="L34" s="25" t="str">
        <f aca="false">IF(COUNTIFS('COOIS Data'!$B$6:$B$1505,$C34,'COOIS Data'!$N$6:$N$1505,8,'COOIS Data'!$I$6:$I$1505,"&gt;0")&lt;$E16,"–",IF(COUNTIFS('COOIS Data'!$B$6:$B$1505,$C34,'COOIS Data'!$N$6:$N$1505,8,'COOIS Data'!$K$6:$K$1505,"&gt;0")&gt;=$E16,"D",IF(COUNTIFS('COOIS Data'!$B$6:$B$1505,$C34,'COOIS Data'!$N$6:$N$1505,8,'COOIS Data'!$J$6:$J$1505,"&gt;0")&gt;=$E16,"I","K")))</f>
        <v>D</v>
      </c>
      <c r="M34" s="25" t="str">
        <f aca="false">IF(COUNTIFS('COOIS Data'!$B$6:$B$1505,$C34,'COOIS Data'!$N$6:$N$1505,9,'COOIS Data'!$I$6:$I$1505,"&gt;0")&lt;$E16,"–",IF(COUNTIFS('COOIS Data'!$B$6:$B$1505,$C34,'COOIS Data'!$N$6:$N$1505,9,'COOIS Data'!$K$6:$K$1505,"&gt;0")&gt;=$E16,"D",IF(COUNTIFS('COOIS Data'!$B$6:$B$1505,$C34,'COOIS Data'!$N$6:$N$1505,9,'COOIS Data'!$J$6:$J$1505,"&gt;0")&gt;=$E16,"I","K")))</f>
        <v>D</v>
      </c>
      <c r="N34" s="25" t="str">
        <f aca="false">IF(COUNTIFS('COOIS Data'!$B$6:$B$1505,$C34,'COOIS Data'!$N$6:$N$1505,10,'COOIS Data'!$I$6:$I$1505,"&gt;0")&lt;$E16,"–",IF(COUNTIFS('COOIS Data'!$B$6:$B$1505,$C34,'COOIS Data'!$N$6:$N$1505,10,'COOIS Data'!$K$6:$K$1505,"&gt;0")&gt;=$E16,"D",IF(COUNTIFS('COOIS Data'!$B$6:$B$1505,$C34,'COOIS Data'!$N$6:$N$1505,10,'COOIS Data'!$J$6:$J$1505,"&gt;0")&gt;=$E16,"I","K")))</f>
        <v>K</v>
      </c>
      <c r="O34" s="25" t="str">
        <f aca="false">IF(COUNTIFS('COOIS Data'!$B$6:$B$1505,$C34,'COOIS Data'!$N$6:$N$1505,11,'COOIS Data'!$I$6:$I$1505,"&gt;0")&lt;$E16,"–",IF(COUNTIFS('COOIS Data'!$B$6:$B$1505,$C34,'COOIS Data'!$N$6:$N$1505,11,'COOIS Data'!$K$6:$K$1505,"&gt;0")&gt;=$E16,"D",IF(COUNTIFS('COOIS Data'!$B$6:$B$1505,$C34,'COOIS Data'!$N$6:$N$1505,11,'COOIS Data'!$J$6:$J$1505,"&gt;0")&gt;=$E16,"I","K")))</f>
        <v>K</v>
      </c>
      <c r="P34" s="25" t="str">
        <f aca="false">IF(COUNTIFS('COOIS Data'!$B$6:$B$1505,$C34,'COOIS Data'!$N$6:$N$1505,12,'COOIS Data'!$I$6:$I$1505,"&gt;0")&lt;$E16,"–",IF(COUNTIFS('COOIS Data'!$B$6:$B$1505,$C34,'COOIS Data'!$N$6:$N$1505,12,'COOIS Data'!$K$6:$K$1505,"&gt;0")&gt;=$E16,"D",IF(COUNTIFS('COOIS Data'!$B$6:$B$1505,$C34,'COOIS Data'!$N$6:$N$1505,12,'COOIS Data'!$J$6:$J$1505,"&gt;0")&gt;=$E16,"I","K")))</f>
        <v>K</v>
      </c>
      <c r="Q34" s="25" t="str">
        <f aca="false">IF(COUNTIFS('COOIS Data'!$B$6:$B$1505,$C34,'COOIS Data'!$N$6:$N$1505,13,'COOIS Data'!$I$6:$I$1505,"&gt;0")&lt;$E16,"–",IF(COUNTIFS('COOIS Data'!$B$6:$B$1505,$C34,'COOIS Data'!$N$6:$N$1505,13,'COOIS Data'!$K$6:$K$1505,"&gt;0")&gt;=$E16,"D",IF(COUNTIFS('COOIS Data'!$B$6:$B$1505,$C34,'COOIS Data'!$N$6:$N$1505,13,'COOIS Data'!$J$6:$J$1505,"&gt;0")&gt;=$E16,"I","K")))</f>
        <v>K</v>
      </c>
    </row>
    <row r="35" customFormat="false" ht="19.5" hidden="false" customHeight="true" outlineLevel="0" collapsed="false">
      <c r="B35" s="22" t="str">
        <f aca="false">B17</f>
        <v>ERBIUM ASSY</v>
      </c>
      <c r="C35" s="23" t="str">
        <f aca="false">C17</f>
        <v>92RRA00548AAA</v>
      </c>
      <c r="D35" s="24" t="str">
        <f aca="false">D17</f>
        <v>R5B ERBIUM SPOOL ASSEMBLY - E2A</v>
      </c>
      <c r="E35" s="25" t="str">
        <f aca="false">IF(COUNTIFS('COOIS Data'!$B$6:$B$1505,$C35,'COOIS Data'!$N$6:$N$1505,1,'COOIS Data'!$I$6:$I$1505,"&gt;0")&lt;$E17,"–",IF(COUNTIFS('COOIS Data'!$B$6:$B$1505,$C35,'COOIS Data'!$N$6:$N$1505,1,'COOIS Data'!$K$6:$K$1505,"&gt;0")&gt;=$E17,"D",IF(COUNTIFS('COOIS Data'!$B$6:$B$1505,$C35,'COOIS Data'!$N$6:$N$1505,1,'COOIS Data'!$J$6:$J$1505,"&gt;0")&gt;=$E17,"I","K")))</f>
        <v>D</v>
      </c>
      <c r="F35" s="25" t="str">
        <f aca="false">IF(COUNTIFS('COOIS Data'!$B$6:$B$1505,$C35,'COOIS Data'!$N$6:$N$1505,2,'COOIS Data'!$I$6:$I$1505,"&gt;0")&lt;$E17,"–",IF(COUNTIFS('COOIS Data'!$B$6:$B$1505,$C35,'COOIS Data'!$N$6:$N$1505,2,'COOIS Data'!$K$6:$K$1505,"&gt;0")&gt;=$E17,"D",IF(COUNTIFS('COOIS Data'!$B$6:$B$1505,$C35,'COOIS Data'!$N$6:$N$1505,2,'COOIS Data'!$J$6:$J$1505,"&gt;0")&gt;=$E17,"I","K")))</f>
        <v>D</v>
      </c>
      <c r="G35" s="25" t="str">
        <f aca="false">IF(COUNTIFS('COOIS Data'!$B$6:$B$1505,$C35,'COOIS Data'!$N$6:$N$1505,3,'COOIS Data'!$I$6:$I$1505,"&gt;0")&lt;$E17,"–",IF(COUNTIFS('COOIS Data'!$B$6:$B$1505,$C35,'COOIS Data'!$N$6:$N$1505,3,'COOIS Data'!$K$6:$K$1505,"&gt;0")&gt;=$E17,"D",IF(COUNTIFS('COOIS Data'!$B$6:$B$1505,$C35,'COOIS Data'!$N$6:$N$1505,3,'COOIS Data'!$J$6:$J$1505,"&gt;0")&gt;=$E17,"I","K")))</f>
        <v>D</v>
      </c>
      <c r="H35" s="25" t="str">
        <f aca="false">IF(COUNTIFS('COOIS Data'!$B$6:$B$1505,$C35,'COOIS Data'!$N$6:$N$1505,4,'COOIS Data'!$I$6:$I$1505,"&gt;0")&lt;$E17,"–",IF(COUNTIFS('COOIS Data'!$B$6:$B$1505,$C35,'COOIS Data'!$N$6:$N$1505,4,'COOIS Data'!$K$6:$K$1505,"&gt;0")&gt;=$E17,"D",IF(COUNTIFS('COOIS Data'!$B$6:$B$1505,$C35,'COOIS Data'!$N$6:$N$1505,4,'COOIS Data'!$J$6:$J$1505,"&gt;0")&gt;=$E17,"I","K")))</f>
        <v>D</v>
      </c>
      <c r="I35" s="25" t="str">
        <f aca="false">IF(COUNTIFS('COOIS Data'!$B$6:$B$1505,$C35,'COOIS Data'!$N$6:$N$1505,5,'COOIS Data'!$I$6:$I$1505,"&gt;0")&lt;$E17,"–",IF(COUNTIFS('COOIS Data'!$B$6:$B$1505,$C35,'COOIS Data'!$N$6:$N$1505,5,'COOIS Data'!$K$6:$K$1505,"&gt;0")&gt;=$E17,"D",IF(COUNTIFS('COOIS Data'!$B$6:$B$1505,$C35,'COOIS Data'!$N$6:$N$1505,5,'COOIS Data'!$J$6:$J$1505,"&gt;0")&gt;=$E17,"I","K")))</f>
        <v>D</v>
      </c>
      <c r="J35" s="25" t="str">
        <f aca="false">IF(COUNTIFS('COOIS Data'!$B$6:$B$1505,$C35,'COOIS Data'!$N$6:$N$1505,6,'COOIS Data'!$I$6:$I$1505,"&gt;0")&lt;$E17,"–",IF(COUNTIFS('COOIS Data'!$B$6:$B$1505,$C35,'COOIS Data'!$N$6:$N$1505,6,'COOIS Data'!$K$6:$K$1505,"&gt;0")&gt;=$E17,"D",IF(COUNTIFS('COOIS Data'!$B$6:$B$1505,$C35,'COOIS Data'!$N$6:$N$1505,6,'COOIS Data'!$J$6:$J$1505,"&gt;0")&gt;=$E17,"I","K")))</f>
        <v>D</v>
      </c>
      <c r="K35" s="25" t="str">
        <f aca="false">IF(COUNTIFS('COOIS Data'!$B$6:$B$1505,$C35,'COOIS Data'!$N$6:$N$1505,7,'COOIS Data'!$I$6:$I$1505,"&gt;0")&lt;$E17,"–",IF(COUNTIFS('COOIS Data'!$B$6:$B$1505,$C35,'COOIS Data'!$N$6:$N$1505,7,'COOIS Data'!$K$6:$K$1505,"&gt;0")&gt;=$E17,"D",IF(COUNTIFS('COOIS Data'!$B$6:$B$1505,$C35,'COOIS Data'!$N$6:$N$1505,7,'COOIS Data'!$J$6:$J$1505,"&gt;0")&gt;=$E17,"I","K")))</f>
        <v>D</v>
      </c>
      <c r="L35" s="25" t="str">
        <f aca="false">IF(COUNTIFS('COOIS Data'!$B$6:$B$1505,$C35,'COOIS Data'!$N$6:$N$1505,8,'COOIS Data'!$I$6:$I$1505,"&gt;0")&lt;$E17,"–",IF(COUNTIFS('COOIS Data'!$B$6:$B$1505,$C35,'COOIS Data'!$N$6:$N$1505,8,'COOIS Data'!$K$6:$K$1505,"&gt;0")&gt;=$E17,"D",IF(COUNTIFS('COOIS Data'!$B$6:$B$1505,$C35,'COOIS Data'!$N$6:$N$1505,8,'COOIS Data'!$J$6:$J$1505,"&gt;0")&gt;=$E17,"I","K")))</f>
        <v>D</v>
      </c>
      <c r="M35" s="25" t="str">
        <f aca="false">IF(COUNTIFS('COOIS Data'!$B$6:$B$1505,$C35,'COOIS Data'!$N$6:$N$1505,9,'COOIS Data'!$I$6:$I$1505,"&gt;0")&lt;$E17,"–",IF(COUNTIFS('COOIS Data'!$B$6:$B$1505,$C35,'COOIS Data'!$N$6:$N$1505,9,'COOIS Data'!$K$6:$K$1505,"&gt;0")&gt;=$E17,"D",IF(COUNTIFS('COOIS Data'!$B$6:$B$1505,$C35,'COOIS Data'!$N$6:$N$1505,9,'COOIS Data'!$J$6:$J$1505,"&gt;0")&gt;=$E17,"I","K")))</f>
        <v>K</v>
      </c>
      <c r="N35" s="25" t="str">
        <f aca="false">IF(COUNTIFS('COOIS Data'!$B$6:$B$1505,$C35,'COOIS Data'!$N$6:$N$1505,10,'COOIS Data'!$I$6:$I$1505,"&gt;0")&lt;$E17,"–",IF(COUNTIFS('COOIS Data'!$B$6:$B$1505,$C35,'COOIS Data'!$N$6:$N$1505,10,'COOIS Data'!$K$6:$K$1505,"&gt;0")&gt;=$E17,"D",IF(COUNTIFS('COOIS Data'!$B$6:$B$1505,$C35,'COOIS Data'!$N$6:$N$1505,10,'COOIS Data'!$J$6:$J$1505,"&gt;0")&gt;=$E17,"I","K")))</f>
        <v>K</v>
      </c>
      <c r="O35" s="25" t="str">
        <f aca="false">IF(COUNTIFS('COOIS Data'!$B$6:$B$1505,$C35,'COOIS Data'!$N$6:$N$1505,11,'COOIS Data'!$I$6:$I$1505,"&gt;0")&lt;$E17,"–",IF(COUNTIFS('COOIS Data'!$B$6:$B$1505,$C35,'COOIS Data'!$N$6:$N$1505,11,'COOIS Data'!$K$6:$K$1505,"&gt;0")&gt;=$E17,"D",IF(COUNTIFS('COOIS Data'!$B$6:$B$1505,$C35,'COOIS Data'!$N$6:$N$1505,11,'COOIS Data'!$J$6:$J$1505,"&gt;0")&gt;=$E17,"I","K")))</f>
        <v>K</v>
      </c>
      <c r="P35" s="25" t="str">
        <f aca="false">IF(COUNTIFS('COOIS Data'!$B$6:$B$1505,$C35,'COOIS Data'!$N$6:$N$1505,12,'COOIS Data'!$I$6:$I$1505,"&gt;0")&lt;$E17,"–",IF(COUNTIFS('COOIS Data'!$B$6:$B$1505,$C35,'COOIS Data'!$N$6:$N$1505,12,'COOIS Data'!$K$6:$K$1505,"&gt;0")&gt;=$E17,"D",IF(COUNTIFS('COOIS Data'!$B$6:$B$1505,$C35,'COOIS Data'!$N$6:$N$1505,12,'COOIS Data'!$J$6:$J$1505,"&gt;0")&gt;=$E17,"I","K")))</f>
        <v>K</v>
      </c>
      <c r="Q35" s="25" t="str">
        <f aca="false">IF(COUNTIFS('COOIS Data'!$B$6:$B$1505,$C35,'COOIS Data'!$N$6:$N$1505,13,'COOIS Data'!$I$6:$I$1505,"&gt;0")&lt;$E17,"–",IF(COUNTIFS('COOIS Data'!$B$6:$B$1505,$C35,'COOIS Data'!$N$6:$N$1505,13,'COOIS Data'!$K$6:$K$1505,"&gt;0")&gt;=$E17,"D",IF(COUNTIFS('COOIS Data'!$B$6:$B$1505,$C35,'COOIS Data'!$N$6:$N$1505,13,'COOIS Data'!$J$6:$J$1505,"&gt;0")&gt;=$E17,"I","K")))</f>
        <v>K</v>
      </c>
    </row>
    <row r="36" customFormat="false" ht="19.5" hidden="false" customHeight="true" outlineLevel="0" collapsed="false">
      <c r="B36" s="22" t="str">
        <f aca="false">B18</f>
        <v>ERBIUM ASSY</v>
      </c>
      <c r="C36" s="23" t="str">
        <f aca="false">C18</f>
        <v>92YRA01548AAA</v>
      </c>
      <c r="D36" s="24" t="str">
        <f aca="false">D18</f>
        <v>R5B ERBIUM ASSEMBLY POSITION 1</v>
      </c>
      <c r="E36" s="25" t="str">
        <f aca="false">IF(COUNTIFS('COOIS Data'!$B$6:$B$1505,$C36,'COOIS Data'!$N$6:$N$1505,1,'COOIS Data'!$I$6:$I$1505,"&gt;0")&lt;$E18,"–",IF(COUNTIFS('COOIS Data'!$B$6:$B$1505,$C36,'COOIS Data'!$N$6:$N$1505,1,'COOIS Data'!$K$6:$K$1505,"&gt;0")&gt;=$E18,"D",IF(COUNTIFS('COOIS Data'!$B$6:$B$1505,$C36,'COOIS Data'!$N$6:$N$1505,1,'COOIS Data'!$J$6:$J$1505,"&gt;0")&gt;=$E18,"I","K")))</f>
        <v>D</v>
      </c>
      <c r="F36" s="25" t="str">
        <f aca="false">IF(COUNTIFS('COOIS Data'!$B$6:$B$1505,$C36,'COOIS Data'!$N$6:$N$1505,2,'COOIS Data'!$I$6:$I$1505,"&gt;0")&lt;$E18,"–",IF(COUNTIFS('COOIS Data'!$B$6:$B$1505,$C36,'COOIS Data'!$N$6:$N$1505,2,'COOIS Data'!$K$6:$K$1505,"&gt;0")&gt;=$E18,"D",IF(COUNTIFS('COOIS Data'!$B$6:$B$1505,$C36,'COOIS Data'!$N$6:$N$1505,2,'COOIS Data'!$J$6:$J$1505,"&gt;0")&gt;=$E18,"I","K")))</f>
        <v>D</v>
      </c>
      <c r="G36" s="25" t="str">
        <f aca="false">IF(COUNTIFS('COOIS Data'!$B$6:$B$1505,$C36,'COOIS Data'!$N$6:$N$1505,3,'COOIS Data'!$I$6:$I$1505,"&gt;0")&lt;$E18,"–",IF(COUNTIFS('COOIS Data'!$B$6:$B$1505,$C36,'COOIS Data'!$N$6:$N$1505,3,'COOIS Data'!$K$6:$K$1505,"&gt;0")&gt;=$E18,"D",IF(COUNTIFS('COOIS Data'!$B$6:$B$1505,$C36,'COOIS Data'!$N$6:$N$1505,3,'COOIS Data'!$J$6:$J$1505,"&gt;0")&gt;=$E18,"I","K")))</f>
        <v>D</v>
      </c>
      <c r="H36" s="25" t="str">
        <f aca="false">IF(COUNTIFS('COOIS Data'!$B$6:$B$1505,$C36,'COOIS Data'!$N$6:$N$1505,4,'COOIS Data'!$I$6:$I$1505,"&gt;0")&lt;$E18,"–",IF(COUNTIFS('COOIS Data'!$B$6:$B$1505,$C36,'COOIS Data'!$N$6:$N$1505,4,'COOIS Data'!$K$6:$K$1505,"&gt;0")&gt;=$E18,"D",IF(COUNTIFS('COOIS Data'!$B$6:$B$1505,$C36,'COOIS Data'!$N$6:$N$1505,4,'COOIS Data'!$J$6:$J$1505,"&gt;0")&gt;=$E18,"I","K")))</f>
        <v>D</v>
      </c>
      <c r="I36" s="25" t="str">
        <f aca="false">IF(COUNTIFS('COOIS Data'!$B$6:$B$1505,$C36,'COOIS Data'!$N$6:$N$1505,5,'COOIS Data'!$I$6:$I$1505,"&gt;0")&lt;$E18,"–",IF(COUNTIFS('COOIS Data'!$B$6:$B$1505,$C36,'COOIS Data'!$N$6:$N$1505,5,'COOIS Data'!$K$6:$K$1505,"&gt;0")&gt;=$E18,"D",IF(COUNTIFS('COOIS Data'!$B$6:$B$1505,$C36,'COOIS Data'!$N$6:$N$1505,5,'COOIS Data'!$J$6:$J$1505,"&gt;0")&gt;=$E18,"I","K")))</f>
        <v>D</v>
      </c>
      <c r="J36" s="25" t="str">
        <f aca="false">IF(COUNTIFS('COOIS Data'!$B$6:$B$1505,$C36,'COOIS Data'!$N$6:$N$1505,6,'COOIS Data'!$I$6:$I$1505,"&gt;0")&lt;$E18,"–",IF(COUNTIFS('COOIS Data'!$B$6:$B$1505,$C36,'COOIS Data'!$N$6:$N$1505,6,'COOIS Data'!$K$6:$K$1505,"&gt;0")&gt;=$E18,"D",IF(COUNTIFS('COOIS Data'!$B$6:$B$1505,$C36,'COOIS Data'!$N$6:$N$1505,6,'COOIS Data'!$J$6:$J$1505,"&gt;0")&gt;=$E18,"I","K")))</f>
        <v>D</v>
      </c>
      <c r="K36" s="25" t="str">
        <f aca="false">IF(COUNTIFS('COOIS Data'!$B$6:$B$1505,$C36,'COOIS Data'!$N$6:$N$1505,7,'COOIS Data'!$I$6:$I$1505,"&gt;0")&lt;$E18,"–",IF(COUNTIFS('COOIS Data'!$B$6:$B$1505,$C36,'COOIS Data'!$N$6:$N$1505,7,'COOIS Data'!$K$6:$K$1505,"&gt;0")&gt;=$E18,"D",IF(COUNTIFS('COOIS Data'!$B$6:$B$1505,$C36,'COOIS Data'!$N$6:$N$1505,7,'COOIS Data'!$J$6:$J$1505,"&gt;0")&gt;=$E18,"I","K")))</f>
        <v>I</v>
      </c>
      <c r="L36" s="25" t="str">
        <f aca="false">IF(COUNTIFS('COOIS Data'!$B$6:$B$1505,$C36,'COOIS Data'!$N$6:$N$1505,8,'COOIS Data'!$I$6:$I$1505,"&gt;0")&lt;$E18,"–",IF(COUNTIFS('COOIS Data'!$B$6:$B$1505,$C36,'COOIS Data'!$N$6:$N$1505,8,'COOIS Data'!$K$6:$K$1505,"&gt;0")&gt;=$E18,"D",IF(COUNTIFS('COOIS Data'!$B$6:$B$1505,$C36,'COOIS Data'!$N$6:$N$1505,8,'COOIS Data'!$J$6:$J$1505,"&gt;0")&gt;=$E18,"I","K")))</f>
        <v>I</v>
      </c>
      <c r="M36" s="25" t="str">
        <f aca="false">IF(COUNTIFS('COOIS Data'!$B$6:$B$1505,$C36,'COOIS Data'!$N$6:$N$1505,9,'COOIS Data'!$I$6:$I$1505,"&gt;0")&lt;$E18,"–",IF(COUNTIFS('COOIS Data'!$B$6:$B$1505,$C36,'COOIS Data'!$N$6:$N$1505,9,'COOIS Data'!$K$6:$K$1505,"&gt;0")&gt;=$E18,"D",IF(COUNTIFS('COOIS Data'!$B$6:$B$1505,$C36,'COOIS Data'!$N$6:$N$1505,9,'COOIS Data'!$J$6:$J$1505,"&gt;0")&gt;=$E18,"I","K")))</f>
        <v>K</v>
      </c>
      <c r="N36" s="25" t="str">
        <f aca="false">IF(COUNTIFS('COOIS Data'!$B$6:$B$1505,$C36,'COOIS Data'!$N$6:$N$1505,10,'COOIS Data'!$I$6:$I$1505,"&gt;0")&lt;$E18,"–",IF(COUNTIFS('COOIS Data'!$B$6:$B$1505,$C36,'COOIS Data'!$N$6:$N$1505,10,'COOIS Data'!$K$6:$K$1505,"&gt;0")&gt;=$E18,"D",IF(COUNTIFS('COOIS Data'!$B$6:$B$1505,$C36,'COOIS Data'!$N$6:$N$1505,10,'COOIS Data'!$J$6:$J$1505,"&gt;0")&gt;=$E18,"I","K")))</f>
        <v>K</v>
      </c>
      <c r="O36" s="25" t="str">
        <f aca="false">IF(COUNTIFS('COOIS Data'!$B$6:$B$1505,$C36,'COOIS Data'!$N$6:$N$1505,11,'COOIS Data'!$I$6:$I$1505,"&gt;0")&lt;$E18,"–",IF(COUNTIFS('COOIS Data'!$B$6:$B$1505,$C36,'COOIS Data'!$N$6:$N$1505,11,'COOIS Data'!$K$6:$K$1505,"&gt;0")&gt;=$E18,"D",IF(COUNTIFS('COOIS Data'!$B$6:$B$1505,$C36,'COOIS Data'!$N$6:$N$1505,11,'COOIS Data'!$J$6:$J$1505,"&gt;0")&gt;=$E18,"I","K")))</f>
        <v>K</v>
      </c>
      <c r="P36" s="25" t="str">
        <f aca="false">IF(COUNTIFS('COOIS Data'!$B$6:$B$1505,$C36,'COOIS Data'!$N$6:$N$1505,12,'COOIS Data'!$I$6:$I$1505,"&gt;0")&lt;$E18,"–",IF(COUNTIFS('COOIS Data'!$B$6:$B$1505,$C36,'COOIS Data'!$N$6:$N$1505,12,'COOIS Data'!$K$6:$K$1505,"&gt;0")&gt;=$E18,"D",IF(COUNTIFS('COOIS Data'!$B$6:$B$1505,$C36,'COOIS Data'!$N$6:$N$1505,12,'COOIS Data'!$J$6:$J$1505,"&gt;0")&gt;=$E18,"I","K")))</f>
        <v>K</v>
      </c>
      <c r="Q36" s="25" t="str">
        <f aca="false">IF(COUNTIFS('COOIS Data'!$B$6:$B$1505,$C36,'COOIS Data'!$N$6:$N$1505,13,'COOIS Data'!$I$6:$I$1505,"&gt;0")&lt;$E18,"–",IF(COUNTIFS('COOIS Data'!$B$6:$B$1505,$C36,'COOIS Data'!$N$6:$N$1505,13,'COOIS Data'!$K$6:$K$1505,"&gt;0")&gt;=$E18,"D",IF(COUNTIFS('COOIS Data'!$B$6:$B$1505,$C36,'COOIS Data'!$N$6:$N$1505,13,'COOIS Data'!$J$6:$J$1505,"&gt;0")&gt;=$E18,"I","K")))</f>
        <v>K</v>
      </c>
    </row>
    <row r="37" customFormat="false" ht="19.5" hidden="false" customHeight="true" outlineLevel="0" collapsed="false">
      <c r="B37" s="22" t="str">
        <f aca="false">B19</f>
        <v>ERBIUM ASSY</v>
      </c>
      <c r="C37" s="23" t="str">
        <f aca="false">C19</f>
        <v>92YRA02548AAA</v>
      </c>
      <c r="D37" s="24" t="str">
        <f aca="false">D19</f>
        <v>R5B ERBIUM ASSEMBLY POSITION 2</v>
      </c>
      <c r="E37" s="25" t="str">
        <f aca="false">IF(COUNTIFS('COOIS Data'!$B$6:$B$1505,$C37,'COOIS Data'!$N$6:$N$1505,1,'COOIS Data'!$I$6:$I$1505,"&gt;0")&lt;$E19,"–",IF(COUNTIFS('COOIS Data'!$B$6:$B$1505,$C37,'COOIS Data'!$N$6:$N$1505,1,'COOIS Data'!$K$6:$K$1505,"&gt;0")&gt;=$E19,"D",IF(COUNTIFS('COOIS Data'!$B$6:$B$1505,$C37,'COOIS Data'!$N$6:$N$1505,1,'COOIS Data'!$J$6:$J$1505,"&gt;0")&gt;=$E19,"I","K")))</f>
        <v>D</v>
      </c>
      <c r="F37" s="25" t="str">
        <f aca="false">IF(COUNTIFS('COOIS Data'!$B$6:$B$1505,$C37,'COOIS Data'!$N$6:$N$1505,2,'COOIS Data'!$I$6:$I$1505,"&gt;0")&lt;$E19,"–",IF(COUNTIFS('COOIS Data'!$B$6:$B$1505,$C37,'COOIS Data'!$N$6:$N$1505,2,'COOIS Data'!$K$6:$K$1505,"&gt;0")&gt;=$E19,"D",IF(COUNTIFS('COOIS Data'!$B$6:$B$1505,$C37,'COOIS Data'!$N$6:$N$1505,2,'COOIS Data'!$J$6:$J$1505,"&gt;0")&gt;=$E19,"I","K")))</f>
        <v>D</v>
      </c>
      <c r="G37" s="25" t="str">
        <f aca="false">IF(COUNTIFS('COOIS Data'!$B$6:$B$1505,$C37,'COOIS Data'!$N$6:$N$1505,3,'COOIS Data'!$I$6:$I$1505,"&gt;0")&lt;$E19,"–",IF(COUNTIFS('COOIS Data'!$B$6:$B$1505,$C37,'COOIS Data'!$N$6:$N$1505,3,'COOIS Data'!$K$6:$K$1505,"&gt;0")&gt;=$E19,"D",IF(COUNTIFS('COOIS Data'!$B$6:$B$1505,$C37,'COOIS Data'!$N$6:$N$1505,3,'COOIS Data'!$J$6:$J$1505,"&gt;0")&gt;=$E19,"I","K")))</f>
        <v>D</v>
      </c>
      <c r="H37" s="25" t="str">
        <f aca="false">IF(COUNTIFS('COOIS Data'!$B$6:$B$1505,$C37,'COOIS Data'!$N$6:$N$1505,4,'COOIS Data'!$I$6:$I$1505,"&gt;0")&lt;$E19,"–",IF(COUNTIFS('COOIS Data'!$B$6:$B$1505,$C37,'COOIS Data'!$N$6:$N$1505,4,'COOIS Data'!$K$6:$K$1505,"&gt;0")&gt;=$E19,"D",IF(COUNTIFS('COOIS Data'!$B$6:$B$1505,$C37,'COOIS Data'!$N$6:$N$1505,4,'COOIS Data'!$J$6:$J$1505,"&gt;0")&gt;=$E19,"I","K")))</f>
        <v>D</v>
      </c>
      <c r="I37" s="25" t="str">
        <f aca="false">IF(COUNTIFS('COOIS Data'!$B$6:$B$1505,$C37,'COOIS Data'!$N$6:$N$1505,5,'COOIS Data'!$I$6:$I$1505,"&gt;0")&lt;$E19,"–",IF(COUNTIFS('COOIS Data'!$B$6:$B$1505,$C37,'COOIS Data'!$N$6:$N$1505,5,'COOIS Data'!$K$6:$K$1505,"&gt;0")&gt;=$E19,"D",IF(COUNTIFS('COOIS Data'!$B$6:$B$1505,$C37,'COOIS Data'!$N$6:$N$1505,5,'COOIS Data'!$J$6:$J$1505,"&gt;0")&gt;=$E19,"I","K")))</f>
        <v>D</v>
      </c>
      <c r="J37" s="25" t="str">
        <f aca="false">IF(COUNTIFS('COOIS Data'!$B$6:$B$1505,$C37,'COOIS Data'!$N$6:$N$1505,6,'COOIS Data'!$I$6:$I$1505,"&gt;0")&lt;$E19,"–",IF(COUNTIFS('COOIS Data'!$B$6:$B$1505,$C37,'COOIS Data'!$N$6:$N$1505,6,'COOIS Data'!$K$6:$K$1505,"&gt;0")&gt;=$E19,"D",IF(COUNTIFS('COOIS Data'!$B$6:$B$1505,$C37,'COOIS Data'!$N$6:$N$1505,6,'COOIS Data'!$J$6:$J$1505,"&gt;0")&gt;=$E19,"I","K")))</f>
        <v>D</v>
      </c>
      <c r="K37" s="25" t="str">
        <f aca="false">IF(COUNTIFS('COOIS Data'!$B$6:$B$1505,$C37,'COOIS Data'!$N$6:$N$1505,7,'COOIS Data'!$I$6:$I$1505,"&gt;0")&lt;$E19,"–",IF(COUNTIFS('COOIS Data'!$B$6:$B$1505,$C37,'COOIS Data'!$N$6:$N$1505,7,'COOIS Data'!$K$6:$K$1505,"&gt;0")&gt;=$E19,"D",IF(COUNTIFS('COOIS Data'!$B$6:$B$1505,$C37,'COOIS Data'!$N$6:$N$1505,7,'COOIS Data'!$J$6:$J$1505,"&gt;0")&gt;=$E19,"I","K")))</f>
        <v>I</v>
      </c>
      <c r="L37" s="25" t="str">
        <f aca="false">IF(COUNTIFS('COOIS Data'!$B$6:$B$1505,$C37,'COOIS Data'!$N$6:$N$1505,8,'COOIS Data'!$I$6:$I$1505,"&gt;0")&lt;$E19,"–",IF(COUNTIFS('COOIS Data'!$B$6:$B$1505,$C37,'COOIS Data'!$N$6:$N$1505,8,'COOIS Data'!$K$6:$K$1505,"&gt;0")&gt;=$E19,"D",IF(COUNTIFS('COOIS Data'!$B$6:$B$1505,$C37,'COOIS Data'!$N$6:$N$1505,8,'COOIS Data'!$J$6:$J$1505,"&gt;0")&gt;=$E19,"I","K")))</f>
        <v>I</v>
      </c>
      <c r="M37" s="25" t="str">
        <f aca="false">IF(COUNTIFS('COOIS Data'!$B$6:$B$1505,$C37,'COOIS Data'!$N$6:$N$1505,9,'COOIS Data'!$I$6:$I$1505,"&gt;0")&lt;$E19,"–",IF(COUNTIFS('COOIS Data'!$B$6:$B$1505,$C37,'COOIS Data'!$N$6:$N$1505,9,'COOIS Data'!$K$6:$K$1505,"&gt;0")&gt;=$E19,"D",IF(COUNTIFS('COOIS Data'!$B$6:$B$1505,$C37,'COOIS Data'!$N$6:$N$1505,9,'COOIS Data'!$J$6:$J$1505,"&gt;0")&gt;=$E19,"I","K")))</f>
        <v>K</v>
      </c>
      <c r="N37" s="25" t="str">
        <f aca="false">IF(COUNTIFS('COOIS Data'!$B$6:$B$1505,$C37,'COOIS Data'!$N$6:$N$1505,10,'COOIS Data'!$I$6:$I$1505,"&gt;0")&lt;$E19,"–",IF(COUNTIFS('COOIS Data'!$B$6:$B$1505,$C37,'COOIS Data'!$N$6:$N$1505,10,'COOIS Data'!$K$6:$K$1505,"&gt;0")&gt;=$E19,"D",IF(COUNTIFS('COOIS Data'!$B$6:$B$1505,$C37,'COOIS Data'!$N$6:$N$1505,10,'COOIS Data'!$J$6:$J$1505,"&gt;0")&gt;=$E19,"I","K")))</f>
        <v>K</v>
      </c>
      <c r="O37" s="25" t="str">
        <f aca="false">IF(COUNTIFS('COOIS Data'!$B$6:$B$1505,$C37,'COOIS Data'!$N$6:$N$1505,11,'COOIS Data'!$I$6:$I$1505,"&gt;0")&lt;$E19,"–",IF(COUNTIFS('COOIS Data'!$B$6:$B$1505,$C37,'COOIS Data'!$N$6:$N$1505,11,'COOIS Data'!$K$6:$K$1505,"&gt;0")&gt;=$E19,"D",IF(COUNTIFS('COOIS Data'!$B$6:$B$1505,$C37,'COOIS Data'!$N$6:$N$1505,11,'COOIS Data'!$J$6:$J$1505,"&gt;0")&gt;=$E19,"I","K")))</f>
        <v>K</v>
      </c>
      <c r="P37" s="25" t="str">
        <f aca="false">IF(COUNTIFS('COOIS Data'!$B$6:$B$1505,$C37,'COOIS Data'!$N$6:$N$1505,12,'COOIS Data'!$I$6:$I$1505,"&gt;0")&lt;$E19,"–",IF(COUNTIFS('COOIS Data'!$B$6:$B$1505,$C37,'COOIS Data'!$N$6:$N$1505,12,'COOIS Data'!$K$6:$K$1505,"&gt;0")&gt;=$E19,"D",IF(COUNTIFS('COOIS Data'!$B$6:$B$1505,$C37,'COOIS Data'!$N$6:$N$1505,12,'COOIS Data'!$J$6:$J$1505,"&gt;0")&gt;=$E19,"I","K")))</f>
        <v>K</v>
      </c>
      <c r="Q37" s="25" t="str">
        <f aca="false">IF(COUNTIFS('COOIS Data'!$B$6:$B$1505,$C37,'COOIS Data'!$N$6:$N$1505,13,'COOIS Data'!$I$6:$I$1505,"&gt;0")&lt;$E19,"–",IF(COUNTIFS('COOIS Data'!$B$6:$B$1505,$C37,'COOIS Data'!$N$6:$N$1505,13,'COOIS Data'!$K$6:$K$1505,"&gt;0")&gt;=$E19,"D",IF(COUNTIFS('COOIS Data'!$B$6:$B$1505,$C37,'COOIS Data'!$N$6:$N$1505,13,'COOIS Data'!$J$6:$J$1505,"&gt;0")&gt;=$E19,"I","K")))</f>
        <v>K</v>
      </c>
    </row>
    <row r="38" customFormat="false" ht="19.5" hidden="false" customHeight="true" outlineLevel="0" collapsed="false">
      <c r="B38" s="22" t="str">
        <f aca="false">B20</f>
        <v>ERBIUM ASSY</v>
      </c>
      <c r="C38" s="23" t="str">
        <f aca="false">C20</f>
        <v>92YRA03548AAA</v>
      </c>
      <c r="D38" s="24" t="str">
        <f aca="false">D20</f>
        <v>R5B ERBIUM ASSEMBLY POSITION 3</v>
      </c>
      <c r="E38" s="25" t="str">
        <f aca="false">IF(COUNTIFS('COOIS Data'!$B$6:$B$1505,$C38,'COOIS Data'!$N$6:$N$1505,1,'COOIS Data'!$I$6:$I$1505,"&gt;0")&lt;$E20,"–",IF(COUNTIFS('COOIS Data'!$B$6:$B$1505,$C38,'COOIS Data'!$N$6:$N$1505,1,'COOIS Data'!$K$6:$K$1505,"&gt;0")&gt;=$E20,"D",IF(COUNTIFS('COOIS Data'!$B$6:$B$1505,$C38,'COOIS Data'!$N$6:$N$1505,1,'COOIS Data'!$J$6:$J$1505,"&gt;0")&gt;=$E20,"I","K")))</f>
        <v>D</v>
      </c>
      <c r="F38" s="25" t="str">
        <f aca="false">IF(COUNTIFS('COOIS Data'!$B$6:$B$1505,$C38,'COOIS Data'!$N$6:$N$1505,2,'COOIS Data'!$I$6:$I$1505,"&gt;0")&lt;$E20,"–",IF(COUNTIFS('COOIS Data'!$B$6:$B$1505,$C38,'COOIS Data'!$N$6:$N$1505,2,'COOIS Data'!$K$6:$K$1505,"&gt;0")&gt;=$E20,"D",IF(COUNTIFS('COOIS Data'!$B$6:$B$1505,$C38,'COOIS Data'!$N$6:$N$1505,2,'COOIS Data'!$J$6:$J$1505,"&gt;0")&gt;=$E20,"I","K")))</f>
        <v>D</v>
      </c>
      <c r="G38" s="25" t="str">
        <f aca="false">IF(COUNTIFS('COOIS Data'!$B$6:$B$1505,$C38,'COOIS Data'!$N$6:$N$1505,3,'COOIS Data'!$I$6:$I$1505,"&gt;0")&lt;$E20,"–",IF(COUNTIFS('COOIS Data'!$B$6:$B$1505,$C38,'COOIS Data'!$N$6:$N$1505,3,'COOIS Data'!$K$6:$K$1505,"&gt;0")&gt;=$E20,"D",IF(COUNTIFS('COOIS Data'!$B$6:$B$1505,$C38,'COOIS Data'!$N$6:$N$1505,3,'COOIS Data'!$J$6:$J$1505,"&gt;0")&gt;=$E20,"I","K")))</f>
        <v>K</v>
      </c>
      <c r="H38" s="25" t="str">
        <f aca="false">IF(COUNTIFS('COOIS Data'!$B$6:$B$1505,$C38,'COOIS Data'!$N$6:$N$1505,4,'COOIS Data'!$I$6:$I$1505,"&gt;0")&lt;$E20,"–",IF(COUNTIFS('COOIS Data'!$B$6:$B$1505,$C38,'COOIS Data'!$N$6:$N$1505,4,'COOIS Data'!$K$6:$K$1505,"&gt;0")&gt;=$E20,"D",IF(COUNTIFS('COOIS Data'!$B$6:$B$1505,$C38,'COOIS Data'!$N$6:$N$1505,4,'COOIS Data'!$J$6:$J$1505,"&gt;0")&gt;=$E20,"I","K")))</f>
        <v>D</v>
      </c>
      <c r="I38" s="25" t="str">
        <f aca="false">IF(COUNTIFS('COOIS Data'!$B$6:$B$1505,$C38,'COOIS Data'!$N$6:$N$1505,5,'COOIS Data'!$I$6:$I$1505,"&gt;0")&lt;$E20,"–",IF(COUNTIFS('COOIS Data'!$B$6:$B$1505,$C38,'COOIS Data'!$N$6:$N$1505,5,'COOIS Data'!$K$6:$K$1505,"&gt;0")&gt;=$E20,"D",IF(COUNTIFS('COOIS Data'!$B$6:$B$1505,$C38,'COOIS Data'!$N$6:$N$1505,5,'COOIS Data'!$J$6:$J$1505,"&gt;0")&gt;=$E20,"I","K")))</f>
        <v>D</v>
      </c>
      <c r="J38" s="25" t="str">
        <f aca="false">IF(COUNTIFS('COOIS Data'!$B$6:$B$1505,$C38,'COOIS Data'!$N$6:$N$1505,6,'COOIS Data'!$I$6:$I$1505,"&gt;0")&lt;$E20,"–",IF(COUNTIFS('COOIS Data'!$B$6:$B$1505,$C38,'COOIS Data'!$N$6:$N$1505,6,'COOIS Data'!$K$6:$K$1505,"&gt;0")&gt;=$E20,"D",IF(COUNTIFS('COOIS Data'!$B$6:$B$1505,$C38,'COOIS Data'!$N$6:$N$1505,6,'COOIS Data'!$J$6:$J$1505,"&gt;0")&gt;=$E20,"I","K")))</f>
        <v>D</v>
      </c>
      <c r="K38" s="25" t="str">
        <f aca="false">IF(COUNTIFS('COOIS Data'!$B$6:$B$1505,$C38,'COOIS Data'!$N$6:$N$1505,7,'COOIS Data'!$I$6:$I$1505,"&gt;0")&lt;$E20,"–",IF(COUNTIFS('COOIS Data'!$B$6:$B$1505,$C38,'COOIS Data'!$N$6:$N$1505,7,'COOIS Data'!$K$6:$K$1505,"&gt;0")&gt;=$E20,"D",IF(COUNTIFS('COOIS Data'!$B$6:$B$1505,$C38,'COOIS Data'!$N$6:$N$1505,7,'COOIS Data'!$J$6:$J$1505,"&gt;0")&gt;=$E20,"I","K")))</f>
        <v>D</v>
      </c>
      <c r="L38" s="25" t="str">
        <f aca="false">IF(COUNTIFS('COOIS Data'!$B$6:$B$1505,$C38,'COOIS Data'!$N$6:$N$1505,8,'COOIS Data'!$I$6:$I$1505,"&gt;0")&lt;$E20,"–",IF(COUNTIFS('COOIS Data'!$B$6:$B$1505,$C38,'COOIS Data'!$N$6:$N$1505,8,'COOIS Data'!$K$6:$K$1505,"&gt;0")&gt;=$E20,"D",IF(COUNTIFS('COOIS Data'!$B$6:$B$1505,$C38,'COOIS Data'!$N$6:$N$1505,8,'COOIS Data'!$J$6:$J$1505,"&gt;0")&gt;=$E20,"I","K")))</f>
        <v>I</v>
      </c>
      <c r="M38" s="25" t="str">
        <f aca="false">IF(COUNTIFS('COOIS Data'!$B$6:$B$1505,$C38,'COOIS Data'!$N$6:$N$1505,9,'COOIS Data'!$I$6:$I$1505,"&gt;0")&lt;$E20,"–",IF(COUNTIFS('COOIS Data'!$B$6:$B$1505,$C38,'COOIS Data'!$N$6:$N$1505,9,'COOIS Data'!$K$6:$K$1505,"&gt;0")&gt;=$E20,"D",IF(COUNTIFS('COOIS Data'!$B$6:$B$1505,$C38,'COOIS Data'!$N$6:$N$1505,9,'COOIS Data'!$J$6:$J$1505,"&gt;0")&gt;=$E20,"I","K")))</f>
        <v>I</v>
      </c>
      <c r="N38" s="25" t="str">
        <f aca="false">IF(COUNTIFS('COOIS Data'!$B$6:$B$1505,$C38,'COOIS Data'!$N$6:$N$1505,10,'COOIS Data'!$I$6:$I$1505,"&gt;0")&lt;$E20,"–",IF(COUNTIFS('COOIS Data'!$B$6:$B$1505,$C38,'COOIS Data'!$N$6:$N$1505,10,'COOIS Data'!$K$6:$K$1505,"&gt;0")&gt;=$E20,"D",IF(COUNTIFS('COOIS Data'!$B$6:$B$1505,$C38,'COOIS Data'!$N$6:$N$1505,10,'COOIS Data'!$J$6:$J$1505,"&gt;0")&gt;=$E20,"I","K")))</f>
        <v>K</v>
      </c>
      <c r="O38" s="25" t="str">
        <f aca="false">IF(COUNTIFS('COOIS Data'!$B$6:$B$1505,$C38,'COOIS Data'!$N$6:$N$1505,11,'COOIS Data'!$I$6:$I$1505,"&gt;0")&lt;$E20,"–",IF(COUNTIFS('COOIS Data'!$B$6:$B$1505,$C38,'COOIS Data'!$N$6:$N$1505,11,'COOIS Data'!$K$6:$K$1505,"&gt;0")&gt;=$E20,"D",IF(COUNTIFS('COOIS Data'!$B$6:$B$1505,$C38,'COOIS Data'!$N$6:$N$1505,11,'COOIS Data'!$J$6:$J$1505,"&gt;0")&gt;=$E20,"I","K")))</f>
        <v>K</v>
      </c>
      <c r="P38" s="25" t="str">
        <f aca="false">IF(COUNTIFS('COOIS Data'!$B$6:$B$1505,$C38,'COOIS Data'!$N$6:$N$1505,12,'COOIS Data'!$I$6:$I$1505,"&gt;0")&lt;$E20,"–",IF(COUNTIFS('COOIS Data'!$B$6:$B$1505,$C38,'COOIS Data'!$N$6:$N$1505,12,'COOIS Data'!$K$6:$K$1505,"&gt;0")&gt;=$E20,"D",IF(COUNTIFS('COOIS Data'!$B$6:$B$1505,$C38,'COOIS Data'!$N$6:$N$1505,12,'COOIS Data'!$J$6:$J$1505,"&gt;0")&gt;=$E20,"I","K")))</f>
        <v>K</v>
      </c>
      <c r="Q38" s="25" t="str">
        <f aca="false">IF(COUNTIFS('COOIS Data'!$B$6:$B$1505,$C38,'COOIS Data'!$N$6:$N$1505,13,'COOIS Data'!$I$6:$I$1505,"&gt;0")&lt;$E20,"–",IF(COUNTIFS('COOIS Data'!$B$6:$B$1505,$C38,'COOIS Data'!$N$6:$N$1505,13,'COOIS Data'!$K$6:$K$1505,"&gt;0")&gt;=$E20,"D",IF(COUNTIFS('COOIS Data'!$B$6:$B$1505,$C38,'COOIS Data'!$N$6:$N$1505,13,'COOIS Data'!$J$6:$J$1505,"&gt;0")&gt;=$E20,"I","K")))</f>
        <v>K</v>
      </c>
    </row>
    <row r="39" customFormat="false" ht="19.5" hidden="false" customHeight="true" outlineLevel="0" collapsed="false">
      <c r="B39" s="22" t="str">
        <f aca="false">B21</f>
        <v>ERBIUM ASSY</v>
      </c>
      <c r="C39" s="23" t="str">
        <f aca="false">C21</f>
        <v>92YRA04548AAA</v>
      </c>
      <c r="D39" s="24" t="str">
        <f aca="false">D21</f>
        <v>R5B ERBIUM ASSEMBLY POSITION 4</v>
      </c>
      <c r="E39" s="25" t="str">
        <f aca="false">IF(COUNTIFS('COOIS Data'!$B$6:$B$1505,$C39,'COOIS Data'!$N$6:$N$1505,1,'COOIS Data'!$I$6:$I$1505,"&gt;0")&lt;$E21,"–",IF(COUNTIFS('COOIS Data'!$B$6:$B$1505,$C39,'COOIS Data'!$N$6:$N$1505,1,'COOIS Data'!$K$6:$K$1505,"&gt;0")&gt;=$E21,"D",IF(COUNTIFS('COOIS Data'!$B$6:$B$1505,$C39,'COOIS Data'!$N$6:$N$1505,1,'COOIS Data'!$J$6:$J$1505,"&gt;0")&gt;=$E21,"I","K")))</f>
        <v>D</v>
      </c>
      <c r="F39" s="25" t="str">
        <f aca="false">IF(COUNTIFS('COOIS Data'!$B$6:$B$1505,$C39,'COOIS Data'!$N$6:$N$1505,2,'COOIS Data'!$I$6:$I$1505,"&gt;0")&lt;$E21,"–",IF(COUNTIFS('COOIS Data'!$B$6:$B$1505,$C39,'COOIS Data'!$N$6:$N$1505,2,'COOIS Data'!$K$6:$K$1505,"&gt;0")&gt;=$E21,"D",IF(COUNTIFS('COOIS Data'!$B$6:$B$1505,$C39,'COOIS Data'!$N$6:$N$1505,2,'COOIS Data'!$J$6:$J$1505,"&gt;0")&gt;=$E21,"I","K")))</f>
        <v>D</v>
      </c>
      <c r="G39" s="25" t="str">
        <f aca="false">IF(COUNTIFS('COOIS Data'!$B$6:$B$1505,$C39,'COOIS Data'!$N$6:$N$1505,3,'COOIS Data'!$I$6:$I$1505,"&gt;0")&lt;$E21,"–",IF(COUNTIFS('COOIS Data'!$B$6:$B$1505,$C39,'COOIS Data'!$N$6:$N$1505,3,'COOIS Data'!$K$6:$K$1505,"&gt;0")&gt;=$E21,"D",IF(COUNTIFS('COOIS Data'!$B$6:$B$1505,$C39,'COOIS Data'!$N$6:$N$1505,3,'COOIS Data'!$J$6:$J$1505,"&gt;0")&gt;=$E21,"I","K")))</f>
        <v>D</v>
      </c>
      <c r="H39" s="25" t="str">
        <f aca="false">IF(COUNTIFS('COOIS Data'!$B$6:$B$1505,$C39,'COOIS Data'!$N$6:$N$1505,4,'COOIS Data'!$I$6:$I$1505,"&gt;0")&lt;$E21,"–",IF(COUNTIFS('COOIS Data'!$B$6:$B$1505,$C39,'COOIS Data'!$N$6:$N$1505,4,'COOIS Data'!$K$6:$K$1505,"&gt;0")&gt;=$E21,"D",IF(COUNTIFS('COOIS Data'!$B$6:$B$1505,$C39,'COOIS Data'!$N$6:$N$1505,4,'COOIS Data'!$J$6:$J$1505,"&gt;0")&gt;=$E21,"I","K")))</f>
        <v>D</v>
      </c>
      <c r="I39" s="25" t="str">
        <f aca="false">IF(COUNTIFS('COOIS Data'!$B$6:$B$1505,$C39,'COOIS Data'!$N$6:$N$1505,5,'COOIS Data'!$I$6:$I$1505,"&gt;0")&lt;$E21,"–",IF(COUNTIFS('COOIS Data'!$B$6:$B$1505,$C39,'COOIS Data'!$N$6:$N$1505,5,'COOIS Data'!$K$6:$K$1505,"&gt;0")&gt;=$E21,"D",IF(COUNTIFS('COOIS Data'!$B$6:$B$1505,$C39,'COOIS Data'!$N$6:$N$1505,5,'COOIS Data'!$J$6:$J$1505,"&gt;0")&gt;=$E21,"I","K")))</f>
        <v>D</v>
      </c>
      <c r="J39" s="25" t="str">
        <f aca="false">IF(COUNTIFS('COOIS Data'!$B$6:$B$1505,$C39,'COOIS Data'!$N$6:$N$1505,6,'COOIS Data'!$I$6:$I$1505,"&gt;0")&lt;$E21,"–",IF(COUNTIFS('COOIS Data'!$B$6:$B$1505,$C39,'COOIS Data'!$N$6:$N$1505,6,'COOIS Data'!$K$6:$K$1505,"&gt;0")&gt;=$E21,"D",IF(COUNTIFS('COOIS Data'!$B$6:$B$1505,$C39,'COOIS Data'!$N$6:$N$1505,6,'COOIS Data'!$J$6:$J$1505,"&gt;0")&gt;=$E21,"I","K")))</f>
        <v>D</v>
      </c>
      <c r="K39" s="25" t="str">
        <f aca="false">IF(COUNTIFS('COOIS Data'!$B$6:$B$1505,$C39,'COOIS Data'!$N$6:$N$1505,7,'COOIS Data'!$I$6:$I$1505,"&gt;0")&lt;$E21,"–",IF(COUNTIFS('COOIS Data'!$B$6:$B$1505,$C39,'COOIS Data'!$N$6:$N$1505,7,'COOIS Data'!$K$6:$K$1505,"&gt;0")&gt;=$E21,"D",IF(COUNTIFS('COOIS Data'!$B$6:$B$1505,$C39,'COOIS Data'!$N$6:$N$1505,7,'COOIS Data'!$J$6:$J$1505,"&gt;0")&gt;=$E21,"I","K")))</f>
        <v>I</v>
      </c>
      <c r="L39" s="25" t="str">
        <f aca="false">IF(COUNTIFS('COOIS Data'!$B$6:$B$1505,$C39,'COOIS Data'!$N$6:$N$1505,8,'COOIS Data'!$I$6:$I$1505,"&gt;0")&lt;$E21,"–",IF(COUNTIFS('COOIS Data'!$B$6:$B$1505,$C39,'COOIS Data'!$N$6:$N$1505,8,'COOIS Data'!$K$6:$K$1505,"&gt;0")&gt;=$E21,"D",IF(COUNTIFS('COOIS Data'!$B$6:$B$1505,$C39,'COOIS Data'!$N$6:$N$1505,8,'COOIS Data'!$J$6:$J$1505,"&gt;0")&gt;=$E21,"I","K")))</f>
        <v>I</v>
      </c>
      <c r="M39" s="25" t="str">
        <f aca="false">IF(COUNTIFS('COOIS Data'!$B$6:$B$1505,$C39,'COOIS Data'!$N$6:$N$1505,9,'COOIS Data'!$I$6:$I$1505,"&gt;0")&lt;$E21,"–",IF(COUNTIFS('COOIS Data'!$B$6:$B$1505,$C39,'COOIS Data'!$N$6:$N$1505,9,'COOIS Data'!$K$6:$K$1505,"&gt;0")&gt;=$E21,"D",IF(COUNTIFS('COOIS Data'!$B$6:$B$1505,$C39,'COOIS Data'!$N$6:$N$1505,9,'COOIS Data'!$J$6:$J$1505,"&gt;0")&gt;=$E21,"I","K")))</f>
        <v>K</v>
      </c>
      <c r="N39" s="25" t="str">
        <f aca="false">IF(COUNTIFS('COOIS Data'!$B$6:$B$1505,$C39,'COOIS Data'!$N$6:$N$1505,10,'COOIS Data'!$I$6:$I$1505,"&gt;0")&lt;$E21,"–",IF(COUNTIFS('COOIS Data'!$B$6:$B$1505,$C39,'COOIS Data'!$N$6:$N$1505,10,'COOIS Data'!$K$6:$K$1505,"&gt;0")&gt;=$E21,"D",IF(COUNTIFS('COOIS Data'!$B$6:$B$1505,$C39,'COOIS Data'!$N$6:$N$1505,10,'COOIS Data'!$J$6:$J$1505,"&gt;0")&gt;=$E21,"I","K")))</f>
        <v>K</v>
      </c>
      <c r="O39" s="25" t="str">
        <f aca="false">IF(COUNTIFS('COOIS Data'!$B$6:$B$1505,$C39,'COOIS Data'!$N$6:$N$1505,11,'COOIS Data'!$I$6:$I$1505,"&gt;0")&lt;$E21,"–",IF(COUNTIFS('COOIS Data'!$B$6:$B$1505,$C39,'COOIS Data'!$N$6:$N$1505,11,'COOIS Data'!$K$6:$K$1505,"&gt;0")&gt;=$E21,"D",IF(COUNTIFS('COOIS Data'!$B$6:$B$1505,$C39,'COOIS Data'!$N$6:$N$1505,11,'COOIS Data'!$J$6:$J$1505,"&gt;0")&gt;=$E21,"I","K")))</f>
        <v>K</v>
      </c>
      <c r="P39" s="25" t="str">
        <f aca="false">IF(COUNTIFS('COOIS Data'!$B$6:$B$1505,$C39,'COOIS Data'!$N$6:$N$1505,12,'COOIS Data'!$I$6:$I$1505,"&gt;0")&lt;$E21,"–",IF(COUNTIFS('COOIS Data'!$B$6:$B$1505,$C39,'COOIS Data'!$N$6:$N$1505,12,'COOIS Data'!$K$6:$K$1505,"&gt;0")&gt;=$E21,"D",IF(COUNTIFS('COOIS Data'!$B$6:$B$1505,$C39,'COOIS Data'!$N$6:$N$1505,12,'COOIS Data'!$J$6:$J$1505,"&gt;0")&gt;=$E21,"I","K")))</f>
        <v>K</v>
      </c>
      <c r="Q39" s="25" t="str">
        <f aca="false">IF(COUNTIFS('COOIS Data'!$B$6:$B$1505,$C39,'COOIS Data'!$N$6:$N$1505,13,'COOIS Data'!$I$6:$I$1505,"&gt;0")&lt;$E21,"–",IF(COUNTIFS('COOIS Data'!$B$6:$B$1505,$C39,'COOIS Data'!$N$6:$N$1505,13,'COOIS Data'!$K$6:$K$1505,"&gt;0")&gt;=$E21,"D",IF(COUNTIFS('COOIS Data'!$B$6:$B$1505,$C39,'COOIS Data'!$N$6:$N$1505,13,'COOIS Data'!$J$6:$J$1505,"&gt;0")&gt;=$E21,"I","K")))</f>
        <v>K</v>
      </c>
    </row>
    <row r="40" customFormat="false" ht="19.5" hidden="false" customHeight="true" outlineLevel="0" collapsed="false">
      <c r="B40" s="22" t="str">
        <f aca="false">B22</f>
        <v>BOAT ASSY</v>
      </c>
      <c r="C40" s="23" t="str">
        <f aca="false">C22</f>
        <v>92UAP04548BAA</v>
      </c>
      <c r="D40" s="24" t="str">
        <f aca="false">D22</f>
        <v>R5B BOAT 1 ASSY (4P-4FP)</v>
      </c>
      <c r="E40" s="25" t="str">
        <f aca="false">IF(COUNTIFS('COOIS Data'!$B$6:$B$1505,$C40,'COOIS Data'!$N$6:$N$1505,1,'COOIS Data'!$I$6:$I$1505,"&gt;0")&lt;$E22,"–",IF(COUNTIFS('COOIS Data'!$B$6:$B$1505,$C40,'COOIS Data'!$N$6:$N$1505,1,'COOIS Data'!$K$6:$K$1505,"&gt;0")&gt;=$E22,"D",IF(COUNTIFS('COOIS Data'!$B$6:$B$1505,$C40,'COOIS Data'!$N$6:$N$1505,1,'COOIS Data'!$J$6:$J$1505,"&gt;0")&gt;=$E22,"I","K")))</f>
        <v>D</v>
      </c>
      <c r="F40" s="25" t="str">
        <f aca="false">IF(COUNTIFS('COOIS Data'!$B$6:$B$1505,$C40,'COOIS Data'!$N$6:$N$1505,2,'COOIS Data'!$I$6:$I$1505,"&gt;0")&lt;$E22,"–",IF(COUNTIFS('COOIS Data'!$B$6:$B$1505,$C40,'COOIS Data'!$N$6:$N$1505,2,'COOIS Data'!$K$6:$K$1505,"&gt;0")&gt;=$E22,"D",IF(COUNTIFS('COOIS Data'!$B$6:$B$1505,$C40,'COOIS Data'!$N$6:$N$1505,2,'COOIS Data'!$J$6:$J$1505,"&gt;0")&gt;=$E22,"I","K")))</f>
        <v>D</v>
      </c>
      <c r="G40" s="25" t="str">
        <f aca="false">IF(COUNTIFS('COOIS Data'!$B$6:$B$1505,$C40,'COOIS Data'!$N$6:$N$1505,3,'COOIS Data'!$I$6:$I$1505,"&gt;0")&lt;$E22,"–",IF(COUNTIFS('COOIS Data'!$B$6:$B$1505,$C40,'COOIS Data'!$N$6:$N$1505,3,'COOIS Data'!$K$6:$K$1505,"&gt;0")&gt;=$E22,"D",IF(COUNTIFS('COOIS Data'!$B$6:$B$1505,$C40,'COOIS Data'!$N$6:$N$1505,3,'COOIS Data'!$J$6:$J$1505,"&gt;0")&gt;=$E22,"I","K")))</f>
        <v>D</v>
      </c>
      <c r="H40" s="25" t="str">
        <f aca="false">IF(COUNTIFS('COOIS Data'!$B$6:$B$1505,$C40,'COOIS Data'!$N$6:$N$1505,4,'COOIS Data'!$I$6:$I$1505,"&gt;0")&lt;$E22,"–",IF(COUNTIFS('COOIS Data'!$B$6:$B$1505,$C40,'COOIS Data'!$N$6:$N$1505,4,'COOIS Data'!$K$6:$K$1505,"&gt;0")&gt;=$E22,"D",IF(COUNTIFS('COOIS Data'!$B$6:$B$1505,$C40,'COOIS Data'!$N$6:$N$1505,4,'COOIS Data'!$J$6:$J$1505,"&gt;0")&gt;=$E22,"I","K")))</f>
        <v>D</v>
      </c>
      <c r="I40" s="25" t="str">
        <f aca="false">IF(COUNTIFS('COOIS Data'!$B$6:$B$1505,$C40,'COOIS Data'!$N$6:$N$1505,5,'COOIS Data'!$I$6:$I$1505,"&gt;0")&lt;$E22,"–",IF(COUNTIFS('COOIS Data'!$B$6:$B$1505,$C40,'COOIS Data'!$N$6:$N$1505,5,'COOIS Data'!$K$6:$K$1505,"&gt;0")&gt;=$E22,"D",IF(COUNTIFS('COOIS Data'!$B$6:$B$1505,$C40,'COOIS Data'!$N$6:$N$1505,5,'COOIS Data'!$J$6:$J$1505,"&gt;0")&gt;=$E22,"I","K")))</f>
        <v>D</v>
      </c>
      <c r="J40" s="25" t="str">
        <f aca="false">IF(COUNTIFS('COOIS Data'!$B$6:$B$1505,$C40,'COOIS Data'!$N$6:$N$1505,6,'COOIS Data'!$I$6:$I$1505,"&gt;0")&lt;$E22,"–",IF(COUNTIFS('COOIS Data'!$B$6:$B$1505,$C40,'COOIS Data'!$N$6:$N$1505,6,'COOIS Data'!$K$6:$K$1505,"&gt;0")&gt;=$E22,"D",IF(COUNTIFS('COOIS Data'!$B$6:$B$1505,$C40,'COOIS Data'!$N$6:$N$1505,6,'COOIS Data'!$J$6:$J$1505,"&gt;0")&gt;=$E22,"I","K")))</f>
        <v>I</v>
      </c>
      <c r="K40" s="25" t="str">
        <f aca="false">IF(COUNTIFS('COOIS Data'!$B$6:$B$1505,$C40,'COOIS Data'!$N$6:$N$1505,7,'COOIS Data'!$I$6:$I$1505,"&gt;0")&lt;$E22,"–",IF(COUNTIFS('COOIS Data'!$B$6:$B$1505,$C40,'COOIS Data'!$N$6:$N$1505,7,'COOIS Data'!$K$6:$K$1505,"&gt;0")&gt;=$E22,"D",IF(COUNTIFS('COOIS Data'!$B$6:$B$1505,$C40,'COOIS Data'!$N$6:$N$1505,7,'COOIS Data'!$J$6:$J$1505,"&gt;0")&gt;=$E22,"I","K")))</f>
        <v>I</v>
      </c>
      <c r="L40" s="25" t="str">
        <f aca="false">IF(COUNTIFS('COOIS Data'!$B$6:$B$1505,$C40,'COOIS Data'!$N$6:$N$1505,8,'COOIS Data'!$I$6:$I$1505,"&gt;0")&lt;$E22,"–",IF(COUNTIFS('COOIS Data'!$B$6:$B$1505,$C40,'COOIS Data'!$N$6:$N$1505,8,'COOIS Data'!$K$6:$K$1505,"&gt;0")&gt;=$E22,"D",IF(COUNTIFS('COOIS Data'!$B$6:$B$1505,$C40,'COOIS Data'!$N$6:$N$1505,8,'COOIS Data'!$J$6:$J$1505,"&gt;0")&gt;=$E22,"I","K")))</f>
        <v>I</v>
      </c>
      <c r="M40" s="25" t="str">
        <f aca="false">IF(COUNTIFS('COOIS Data'!$B$6:$B$1505,$C40,'COOIS Data'!$N$6:$N$1505,9,'COOIS Data'!$I$6:$I$1505,"&gt;0")&lt;$E22,"–",IF(COUNTIFS('COOIS Data'!$B$6:$B$1505,$C40,'COOIS Data'!$N$6:$N$1505,9,'COOIS Data'!$K$6:$K$1505,"&gt;0")&gt;=$E22,"D",IF(COUNTIFS('COOIS Data'!$B$6:$B$1505,$C40,'COOIS Data'!$N$6:$N$1505,9,'COOIS Data'!$J$6:$J$1505,"&gt;0")&gt;=$E22,"I","K")))</f>
        <v>K</v>
      </c>
      <c r="N40" s="25" t="str">
        <f aca="false">IF(COUNTIFS('COOIS Data'!$B$6:$B$1505,$C40,'COOIS Data'!$N$6:$N$1505,10,'COOIS Data'!$I$6:$I$1505,"&gt;0")&lt;$E22,"–",IF(COUNTIFS('COOIS Data'!$B$6:$B$1505,$C40,'COOIS Data'!$N$6:$N$1505,10,'COOIS Data'!$K$6:$K$1505,"&gt;0")&gt;=$E22,"D",IF(COUNTIFS('COOIS Data'!$B$6:$B$1505,$C40,'COOIS Data'!$N$6:$N$1505,10,'COOIS Data'!$J$6:$J$1505,"&gt;0")&gt;=$E22,"I","K")))</f>
        <v>K</v>
      </c>
      <c r="O40" s="25" t="str">
        <f aca="false">IF(COUNTIFS('COOIS Data'!$B$6:$B$1505,$C40,'COOIS Data'!$N$6:$N$1505,11,'COOIS Data'!$I$6:$I$1505,"&gt;0")&lt;$E22,"–",IF(COUNTIFS('COOIS Data'!$B$6:$B$1505,$C40,'COOIS Data'!$N$6:$N$1505,11,'COOIS Data'!$K$6:$K$1505,"&gt;0")&gt;=$E22,"D",IF(COUNTIFS('COOIS Data'!$B$6:$B$1505,$C40,'COOIS Data'!$N$6:$N$1505,11,'COOIS Data'!$J$6:$J$1505,"&gt;0")&gt;=$E22,"I","K")))</f>
        <v>K</v>
      </c>
      <c r="P40" s="25" t="str">
        <f aca="false">IF(COUNTIFS('COOIS Data'!$B$6:$B$1505,$C40,'COOIS Data'!$N$6:$N$1505,12,'COOIS Data'!$I$6:$I$1505,"&gt;0")&lt;$E22,"–",IF(COUNTIFS('COOIS Data'!$B$6:$B$1505,$C40,'COOIS Data'!$N$6:$N$1505,12,'COOIS Data'!$K$6:$K$1505,"&gt;0")&gt;=$E22,"D",IF(COUNTIFS('COOIS Data'!$B$6:$B$1505,$C40,'COOIS Data'!$N$6:$N$1505,12,'COOIS Data'!$J$6:$J$1505,"&gt;0")&gt;=$E22,"I","K")))</f>
        <v>K</v>
      </c>
      <c r="Q40" s="25" t="str">
        <f aca="false">IF(COUNTIFS('COOIS Data'!$B$6:$B$1505,$C40,'COOIS Data'!$N$6:$N$1505,13,'COOIS Data'!$I$6:$I$1505,"&gt;0")&lt;$E22,"–",IF(COUNTIFS('COOIS Data'!$B$6:$B$1505,$C40,'COOIS Data'!$N$6:$N$1505,13,'COOIS Data'!$K$6:$K$1505,"&gt;0")&gt;=$E22,"D",IF(COUNTIFS('COOIS Data'!$B$6:$B$1505,$C40,'COOIS Data'!$N$6:$N$1505,13,'COOIS Data'!$J$6:$J$1505,"&gt;0")&gt;=$E22,"I","K")))</f>
        <v>K</v>
      </c>
    </row>
    <row r="41" customFormat="false" ht="19.5" hidden="false" customHeight="true" outlineLevel="0" collapsed="false">
      <c r="B41" s="22" t="str">
        <f aca="false">B23</f>
        <v>BOAT ASSY</v>
      </c>
      <c r="C41" s="23" t="str">
        <f aca="false">C23</f>
        <v>92UAP04548BBA</v>
      </c>
      <c r="D41" s="24" t="str">
        <f aca="false">D23</f>
        <v>R5B BOAT 2 ASSY (4P-4FP)</v>
      </c>
      <c r="E41" s="25" t="str">
        <f aca="false">IF(COUNTIFS('COOIS Data'!$B$6:$B$1505,$C41,'COOIS Data'!$N$6:$N$1505,1,'COOIS Data'!$I$6:$I$1505,"&gt;0")&lt;$E23,"–",IF(COUNTIFS('COOIS Data'!$B$6:$B$1505,$C41,'COOIS Data'!$N$6:$N$1505,1,'COOIS Data'!$K$6:$K$1505,"&gt;0")&gt;=$E23,"D",IF(COUNTIFS('COOIS Data'!$B$6:$B$1505,$C41,'COOIS Data'!$N$6:$N$1505,1,'COOIS Data'!$J$6:$J$1505,"&gt;0")&gt;=$E23,"I","K")))</f>
        <v>D</v>
      </c>
      <c r="F41" s="25" t="str">
        <f aca="false">IF(COUNTIFS('COOIS Data'!$B$6:$B$1505,$C41,'COOIS Data'!$N$6:$N$1505,2,'COOIS Data'!$I$6:$I$1505,"&gt;0")&lt;$E23,"–",IF(COUNTIFS('COOIS Data'!$B$6:$B$1505,$C41,'COOIS Data'!$N$6:$N$1505,2,'COOIS Data'!$K$6:$K$1505,"&gt;0")&gt;=$E23,"D",IF(COUNTIFS('COOIS Data'!$B$6:$B$1505,$C41,'COOIS Data'!$N$6:$N$1505,2,'COOIS Data'!$J$6:$J$1505,"&gt;0")&gt;=$E23,"I","K")))</f>
        <v>D</v>
      </c>
      <c r="G41" s="25" t="str">
        <f aca="false">IF(COUNTIFS('COOIS Data'!$B$6:$B$1505,$C41,'COOIS Data'!$N$6:$N$1505,3,'COOIS Data'!$I$6:$I$1505,"&gt;0")&lt;$E23,"–",IF(COUNTIFS('COOIS Data'!$B$6:$B$1505,$C41,'COOIS Data'!$N$6:$N$1505,3,'COOIS Data'!$K$6:$K$1505,"&gt;0")&gt;=$E23,"D",IF(COUNTIFS('COOIS Data'!$B$6:$B$1505,$C41,'COOIS Data'!$N$6:$N$1505,3,'COOIS Data'!$J$6:$J$1505,"&gt;0")&gt;=$E23,"I","K")))</f>
        <v>D</v>
      </c>
      <c r="H41" s="25" t="str">
        <f aca="false">IF(COUNTIFS('COOIS Data'!$B$6:$B$1505,$C41,'COOIS Data'!$N$6:$N$1505,4,'COOIS Data'!$I$6:$I$1505,"&gt;0")&lt;$E23,"–",IF(COUNTIFS('COOIS Data'!$B$6:$B$1505,$C41,'COOIS Data'!$N$6:$N$1505,4,'COOIS Data'!$K$6:$K$1505,"&gt;0")&gt;=$E23,"D",IF(COUNTIFS('COOIS Data'!$B$6:$B$1505,$C41,'COOIS Data'!$N$6:$N$1505,4,'COOIS Data'!$J$6:$J$1505,"&gt;0")&gt;=$E23,"I","K")))</f>
        <v>D</v>
      </c>
      <c r="I41" s="25" t="str">
        <f aca="false">IF(COUNTIFS('COOIS Data'!$B$6:$B$1505,$C41,'COOIS Data'!$N$6:$N$1505,5,'COOIS Data'!$I$6:$I$1505,"&gt;0")&lt;$E23,"–",IF(COUNTIFS('COOIS Data'!$B$6:$B$1505,$C41,'COOIS Data'!$N$6:$N$1505,5,'COOIS Data'!$K$6:$K$1505,"&gt;0")&gt;=$E23,"D",IF(COUNTIFS('COOIS Data'!$B$6:$B$1505,$C41,'COOIS Data'!$N$6:$N$1505,5,'COOIS Data'!$J$6:$J$1505,"&gt;0")&gt;=$E23,"I","K")))</f>
        <v>D</v>
      </c>
      <c r="J41" s="25" t="str">
        <f aca="false">IF(COUNTIFS('COOIS Data'!$B$6:$B$1505,$C41,'COOIS Data'!$N$6:$N$1505,6,'COOIS Data'!$I$6:$I$1505,"&gt;0")&lt;$E23,"–",IF(COUNTIFS('COOIS Data'!$B$6:$B$1505,$C41,'COOIS Data'!$N$6:$N$1505,6,'COOIS Data'!$K$6:$K$1505,"&gt;0")&gt;=$E23,"D",IF(COUNTIFS('COOIS Data'!$B$6:$B$1505,$C41,'COOIS Data'!$N$6:$N$1505,6,'COOIS Data'!$J$6:$J$1505,"&gt;0")&gt;=$E23,"I","K")))</f>
        <v>I</v>
      </c>
      <c r="K41" s="25" t="str">
        <f aca="false">IF(COUNTIFS('COOIS Data'!$B$6:$B$1505,$C41,'COOIS Data'!$N$6:$N$1505,7,'COOIS Data'!$I$6:$I$1505,"&gt;0")&lt;$E23,"–",IF(COUNTIFS('COOIS Data'!$B$6:$B$1505,$C41,'COOIS Data'!$N$6:$N$1505,7,'COOIS Data'!$K$6:$K$1505,"&gt;0")&gt;=$E23,"D",IF(COUNTIFS('COOIS Data'!$B$6:$B$1505,$C41,'COOIS Data'!$N$6:$N$1505,7,'COOIS Data'!$J$6:$J$1505,"&gt;0")&gt;=$E23,"I","K")))</f>
        <v>I</v>
      </c>
      <c r="L41" s="25" t="str">
        <f aca="false">IF(COUNTIFS('COOIS Data'!$B$6:$B$1505,$C41,'COOIS Data'!$N$6:$N$1505,8,'COOIS Data'!$I$6:$I$1505,"&gt;0")&lt;$E23,"–",IF(COUNTIFS('COOIS Data'!$B$6:$B$1505,$C41,'COOIS Data'!$N$6:$N$1505,8,'COOIS Data'!$K$6:$K$1505,"&gt;0")&gt;=$E23,"D",IF(COUNTIFS('COOIS Data'!$B$6:$B$1505,$C41,'COOIS Data'!$N$6:$N$1505,8,'COOIS Data'!$J$6:$J$1505,"&gt;0")&gt;=$E23,"I","K")))</f>
        <v>I</v>
      </c>
      <c r="M41" s="25" t="str">
        <f aca="false">IF(COUNTIFS('COOIS Data'!$B$6:$B$1505,$C41,'COOIS Data'!$N$6:$N$1505,9,'COOIS Data'!$I$6:$I$1505,"&gt;0")&lt;$E23,"–",IF(COUNTIFS('COOIS Data'!$B$6:$B$1505,$C41,'COOIS Data'!$N$6:$N$1505,9,'COOIS Data'!$K$6:$K$1505,"&gt;0")&gt;=$E23,"D",IF(COUNTIFS('COOIS Data'!$B$6:$B$1505,$C41,'COOIS Data'!$N$6:$N$1505,9,'COOIS Data'!$J$6:$J$1505,"&gt;0")&gt;=$E23,"I","K")))</f>
        <v>K</v>
      </c>
      <c r="N41" s="25" t="str">
        <f aca="false">IF(COUNTIFS('COOIS Data'!$B$6:$B$1505,$C41,'COOIS Data'!$N$6:$N$1505,10,'COOIS Data'!$I$6:$I$1505,"&gt;0")&lt;$E23,"–",IF(COUNTIFS('COOIS Data'!$B$6:$B$1505,$C41,'COOIS Data'!$N$6:$N$1505,10,'COOIS Data'!$K$6:$K$1505,"&gt;0")&gt;=$E23,"D",IF(COUNTIFS('COOIS Data'!$B$6:$B$1505,$C41,'COOIS Data'!$N$6:$N$1505,10,'COOIS Data'!$J$6:$J$1505,"&gt;0")&gt;=$E23,"I","K")))</f>
        <v>K</v>
      </c>
      <c r="O41" s="25" t="str">
        <f aca="false">IF(COUNTIFS('COOIS Data'!$B$6:$B$1505,$C41,'COOIS Data'!$N$6:$N$1505,11,'COOIS Data'!$I$6:$I$1505,"&gt;0")&lt;$E23,"–",IF(COUNTIFS('COOIS Data'!$B$6:$B$1505,$C41,'COOIS Data'!$N$6:$N$1505,11,'COOIS Data'!$K$6:$K$1505,"&gt;0")&gt;=$E23,"D",IF(COUNTIFS('COOIS Data'!$B$6:$B$1505,$C41,'COOIS Data'!$N$6:$N$1505,11,'COOIS Data'!$J$6:$J$1505,"&gt;0")&gt;=$E23,"I","K")))</f>
        <v>K</v>
      </c>
      <c r="P41" s="25" t="str">
        <f aca="false">IF(COUNTIFS('COOIS Data'!$B$6:$B$1505,$C41,'COOIS Data'!$N$6:$N$1505,12,'COOIS Data'!$I$6:$I$1505,"&gt;0")&lt;$E23,"–",IF(COUNTIFS('COOIS Data'!$B$6:$B$1505,$C41,'COOIS Data'!$N$6:$N$1505,12,'COOIS Data'!$K$6:$K$1505,"&gt;0")&gt;=$E23,"D",IF(COUNTIFS('COOIS Data'!$B$6:$B$1505,$C41,'COOIS Data'!$N$6:$N$1505,12,'COOIS Data'!$J$6:$J$1505,"&gt;0")&gt;=$E23,"I","K")))</f>
        <v>K</v>
      </c>
      <c r="Q41" s="25" t="str">
        <f aca="false">IF(COUNTIFS('COOIS Data'!$B$6:$B$1505,$C41,'COOIS Data'!$N$6:$N$1505,13,'COOIS Data'!$I$6:$I$1505,"&gt;0")&lt;$E23,"–",IF(COUNTIFS('COOIS Data'!$B$6:$B$1505,$C41,'COOIS Data'!$N$6:$N$1505,13,'COOIS Data'!$K$6:$K$1505,"&gt;0")&gt;=$E23,"D",IF(COUNTIFS('COOIS Data'!$B$6:$B$1505,$C41,'COOIS Data'!$N$6:$N$1505,13,'COOIS Data'!$J$6:$J$1505,"&gt;0")&gt;=$E23,"I","K")))</f>
        <v>K</v>
      </c>
    </row>
    <row r="42" customFormat="false" ht="19.5" hidden="false" customHeight="true" outlineLevel="0" collapsed="false">
      <c r="B42" s="22" t="str">
        <f aca="false">B24</f>
        <v>BOAT ASSY</v>
      </c>
      <c r="C42" s="23" t="str">
        <f aca="false">C24</f>
        <v>92UAP04548BCA</v>
      </c>
      <c r="D42" s="24" t="str">
        <f aca="false">D24</f>
        <v>R5B BOAT 3 ASSY (4P-4FP)</v>
      </c>
      <c r="E42" s="25" t="str">
        <f aca="false">IF(COUNTIFS('COOIS Data'!$B$6:$B$1505,$C42,'COOIS Data'!$N$6:$N$1505,1,'COOIS Data'!$I$6:$I$1505,"&gt;0")&lt;$E24,"–",IF(COUNTIFS('COOIS Data'!$B$6:$B$1505,$C42,'COOIS Data'!$N$6:$N$1505,1,'COOIS Data'!$K$6:$K$1505,"&gt;0")&gt;=$E24,"D",IF(COUNTIFS('COOIS Data'!$B$6:$B$1505,$C42,'COOIS Data'!$N$6:$N$1505,1,'COOIS Data'!$J$6:$J$1505,"&gt;0")&gt;=$E24,"I","K")))</f>
        <v>D</v>
      </c>
      <c r="F42" s="25" t="str">
        <f aca="false">IF(COUNTIFS('COOIS Data'!$B$6:$B$1505,$C42,'COOIS Data'!$N$6:$N$1505,2,'COOIS Data'!$I$6:$I$1505,"&gt;0")&lt;$E24,"–",IF(COUNTIFS('COOIS Data'!$B$6:$B$1505,$C42,'COOIS Data'!$N$6:$N$1505,2,'COOIS Data'!$K$6:$K$1505,"&gt;0")&gt;=$E24,"D",IF(COUNTIFS('COOIS Data'!$B$6:$B$1505,$C42,'COOIS Data'!$N$6:$N$1505,2,'COOIS Data'!$J$6:$J$1505,"&gt;0")&gt;=$E24,"I","K")))</f>
        <v>D</v>
      </c>
      <c r="G42" s="25" t="str">
        <f aca="false">IF(COUNTIFS('COOIS Data'!$B$6:$B$1505,$C42,'COOIS Data'!$N$6:$N$1505,3,'COOIS Data'!$I$6:$I$1505,"&gt;0")&lt;$E24,"–",IF(COUNTIFS('COOIS Data'!$B$6:$B$1505,$C42,'COOIS Data'!$N$6:$N$1505,3,'COOIS Data'!$K$6:$K$1505,"&gt;0")&gt;=$E24,"D",IF(COUNTIFS('COOIS Data'!$B$6:$B$1505,$C42,'COOIS Data'!$N$6:$N$1505,3,'COOIS Data'!$J$6:$J$1505,"&gt;0")&gt;=$E24,"I","K")))</f>
        <v>D</v>
      </c>
      <c r="H42" s="25" t="str">
        <f aca="false">IF(COUNTIFS('COOIS Data'!$B$6:$B$1505,$C42,'COOIS Data'!$N$6:$N$1505,4,'COOIS Data'!$I$6:$I$1505,"&gt;0")&lt;$E24,"–",IF(COUNTIFS('COOIS Data'!$B$6:$B$1505,$C42,'COOIS Data'!$N$6:$N$1505,4,'COOIS Data'!$K$6:$K$1505,"&gt;0")&gt;=$E24,"D",IF(COUNTIFS('COOIS Data'!$B$6:$B$1505,$C42,'COOIS Data'!$N$6:$N$1505,4,'COOIS Data'!$J$6:$J$1505,"&gt;0")&gt;=$E24,"I","K")))</f>
        <v>D</v>
      </c>
      <c r="I42" s="25" t="str">
        <f aca="false">IF(COUNTIFS('COOIS Data'!$B$6:$B$1505,$C42,'COOIS Data'!$N$6:$N$1505,5,'COOIS Data'!$I$6:$I$1505,"&gt;0")&lt;$E24,"–",IF(COUNTIFS('COOIS Data'!$B$6:$B$1505,$C42,'COOIS Data'!$N$6:$N$1505,5,'COOIS Data'!$K$6:$K$1505,"&gt;0")&gt;=$E24,"D",IF(COUNTIFS('COOIS Data'!$B$6:$B$1505,$C42,'COOIS Data'!$N$6:$N$1505,5,'COOIS Data'!$J$6:$J$1505,"&gt;0")&gt;=$E24,"I","K")))</f>
        <v>D</v>
      </c>
      <c r="J42" s="25" t="str">
        <f aca="false">IF(COUNTIFS('COOIS Data'!$B$6:$B$1505,$C42,'COOIS Data'!$N$6:$N$1505,6,'COOIS Data'!$I$6:$I$1505,"&gt;0")&lt;$E24,"–",IF(COUNTIFS('COOIS Data'!$B$6:$B$1505,$C42,'COOIS Data'!$N$6:$N$1505,6,'COOIS Data'!$K$6:$K$1505,"&gt;0")&gt;=$E24,"D",IF(COUNTIFS('COOIS Data'!$B$6:$B$1505,$C42,'COOIS Data'!$N$6:$N$1505,6,'COOIS Data'!$J$6:$J$1505,"&gt;0")&gt;=$E24,"I","K")))</f>
        <v>D</v>
      </c>
      <c r="K42" s="25" t="str">
        <f aca="false">IF(COUNTIFS('COOIS Data'!$B$6:$B$1505,$C42,'COOIS Data'!$N$6:$N$1505,7,'COOIS Data'!$I$6:$I$1505,"&gt;0")&lt;$E24,"–",IF(COUNTIFS('COOIS Data'!$B$6:$B$1505,$C42,'COOIS Data'!$N$6:$N$1505,7,'COOIS Data'!$K$6:$K$1505,"&gt;0")&gt;=$E24,"D",IF(COUNTIFS('COOIS Data'!$B$6:$B$1505,$C42,'COOIS Data'!$N$6:$N$1505,7,'COOIS Data'!$J$6:$J$1505,"&gt;0")&gt;=$E24,"I","K")))</f>
        <v>I</v>
      </c>
      <c r="L42" s="25" t="str">
        <f aca="false">IF(COUNTIFS('COOIS Data'!$B$6:$B$1505,$C42,'COOIS Data'!$N$6:$N$1505,8,'COOIS Data'!$I$6:$I$1505,"&gt;0")&lt;$E24,"–",IF(COUNTIFS('COOIS Data'!$B$6:$B$1505,$C42,'COOIS Data'!$N$6:$N$1505,8,'COOIS Data'!$K$6:$K$1505,"&gt;0")&gt;=$E24,"D",IF(COUNTIFS('COOIS Data'!$B$6:$B$1505,$C42,'COOIS Data'!$N$6:$N$1505,8,'COOIS Data'!$J$6:$J$1505,"&gt;0")&gt;=$E24,"I","K")))</f>
        <v>K</v>
      </c>
      <c r="M42" s="25" t="str">
        <f aca="false">IF(COUNTIFS('COOIS Data'!$B$6:$B$1505,$C42,'COOIS Data'!$N$6:$N$1505,9,'COOIS Data'!$I$6:$I$1505,"&gt;0")&lt;$E24,"–",IF(COUNTIFS('COOIS Data'!$B$6:$B$1505,$C42,'COOIS Data'!$N$6:$N$1505,9,'COOIS Data'!$K$6:$K$1505,"&gt;0")&gt;=$E24,"D",IF(COUNTIFS('COOIS Data'!$B$6:$B$1505,$C42,'COOIS Data'!$N$6:$N$1505,9,'COOIS Data'!$J$6:$J$1505,"&gt;0")&gt;=$E24,"I","K")))</f>
        <v>K</v>
      </c>
      <c r="N42" s="25" t="str">
        <f aca="false">IF(COUNTIFS('COOIS Data'!$B$6:$B$1505,$C42,'COOIS Data'!$N$6:$N$1505,10,'COOIS Data'!$I$6:$I$1505,"&gt;0")&lt;$E24,"–",IF(COUNTIFS('COOIS Data'!$B$6:$B$1505,$C42,'COOIS Data'!$N$6:$N$1505,10,'COOIS Data'!$K$6:$K$1505,"&gt;0")&gt;=$E24,"D",IF(COUNTIFS('COOIS Data'!$B$6:$B$1505,$C42,'COOIS Data'!$N$6:$N$1505,10,'COOIS Data'!$J$6:$J$1505,"&gt;0")&gt;=$E24,"I","K")))</f>
        <v>K</v>
      </c>
      <c r="O42" s="25" t="str">
        <f aca="false">IF(COUNTIFS('COOIS Data'!$B$6:$B$1505,$C42,'COOIS Data'!$N$6:$N$1505,11,'COOIS Data'!$I$6:$I$1505,"&gt;0")&lt;$E24,"–",IF(COUNTIFS('COOIS Data'!$B$6:$B$1505,$C42,'COOIS Data'!$N$6:$N$1505,11,'COOIS Data'!$K$6:$K$1505,"&gt;0")&gt;=$E24,"D",IF(COUNTIFS('COOIS Data'!$B$6:$B$1505,$C42,'COOIS Data'!$N$6:$N$1505,11,'COOIS Data'!$J$6:$J$1505,"&gt;0")&gt;=$E24,"I","K")))</f>
        <v>K</v>
      </c>
      <c r="P42" s="25" t="str">
        <f aca="false">IF(COUNTIFS('COOIS Data'!$B$6:$B$1505,$C42,'COOIS Data'!$N$6:$N$1505,12,'COOIS Data'!$I$6:$I$1505,"&gt;0")&lt;$E24,"–",IF(COUNTIFS('COOIS Data'!$B$6:$B$1505,$C42,'COOIS Data'!$N$6:$N$1505,12,'COOIS Data'!$K$6:$K$1505,"&gt;0")&gt;=$E24,"D",IF(COUNTIFS('COOIS Data'!$B$6:$B$1505,$C42,'COOIS Data'!$N$6:$N$1505,12,'COOIS Data'!$J$6:$J$1505,"&gt;0")&gt;=$E24,"I","K")))</f>
        <v>K</v>
      </c>
      <c r="Q42" s="25" t="str">
        <f aca="false">IF(COUNTIFS('COOIS Data'!$B$6:$B$1505,$C42,'COOIS Data'!$N$6:$N$1505,13,'COOIS Data'!$I$6:$I$1505,"&gt;0")&lt;$E24,"–",IF(COUNTIFS('COOIS Data'!$B$6:$B$1505,$C42,'COOIS Data'!$N$6:$N$1505,13,'COOIS Data'!$K$6:$K$1505,"&gt;0")&gt;=$E24,"D",IF(COUNTIFS('COOIS Data'!$B$6:$B$1505,$C42,'COOIS Data'!$N$6:$N$1505,13,'COOIS Data'!$J$6:$J$1505,"&gt;0")&gt;=$E24,"I","K")))</f>
        <v>K</v>
      </c>
    </row>
    <row r="43" customFormat="false" ht="21.75" hidden="false" customHeight="true" outlineLevel="0" collapsed="false">
      <c r="C43" s="26" t="s">
        <v>38</v>
      </c>
      <c r="D43" s="10" t="s">
        <v>39</v>
      </c>
      <c r="E43" s="27" t="str">
        <f aca="false">IF(COUNTIF(E29:E42,"–")&gt;0,"OPEN",IF(COUNTIF(E29:E42,"D")=14,"DLV",IF(COUNTIF(E29:E42,"K")=0,"ISSUED","KITTED")))</f>
        <v>DLV</v>
      </c>
      <c r="F43" s="27" t="str">
        <f aca="false">IF(COUNTIF(F29:F42,"–")&gt;0,"OPEN",IF(COUNTIF(F29:F42,"D")=14,"DLV",IF(COUNTIF(F29:F42,"K")=0,"ISSUED","KITTED")))</f>
        <v>DLV</v>
      </c>
      <c r="G43" s="27" t="str">
        <f aca="false">IF(COUNTIF(G29:G42,"–")&gt;0,"OPEN",IF(COUNTIF(G29:G42,"D")=14,"DLV",IF(COUNTIF(G29:G42,"K")=0,"ISSUED","KITTED")))</f>
        <v>KITTED</v>
      </c>
      <c r="H43" s="27" t="str">
        <f aca="false">IF(COUNTIF(H29:H42,"–")&gt;0,"OPEN",IF(COUNTIF(H29:H42,"D")=14,"DLV",IF(COUNTIF(H29:H42,"K")=0,"ISSUED","KITTED")))</f>
        <v>DLV</v>
      </c>
      <c r="I43" s="27" t="str">
        <f aca="false">IF(COUNTIF(I29:I42,"–")&gt;0,"OPEN",IF(COUNTIF(I29:I42,"D")=14,"DLV",IF(COUNTIF(I29:I42,"K")=0,"ISSUED","KITTED")))</f>
        <v>DLV</v>
      </c>
      <c r="J43" s="27" t="str">
        <f aca="false">IF(COUNTIF(J29:J42,"–")&gt;0,"OPEN",IF(COUNTIF(J29:J42,"D")=14,"DLV",IF(COUNTIF(J29:J42,"K")=0,"ISSUED","KITTED")))</f>
        <v>ISSUED</v>
      </c>
      <c r="K43" s="27" t="str">
        <f aca="false">IF(COUNTIF(K29:K42,"–")&gt;0,"OPEN",IF(COUNTIF(K29:K42,"D")=14,"DLV",IF(COUNTIF(K29:K42,"K")=0,"ISSUED","KITTED")))</f>
        <v>ISSUED</v>
      </c>
      <c r="L43" s="27" t="str">
        <f aca="false">IF(COUNTIF(L29:L42,"–")&gt;0,"OPEN",IF(COUNTIF(L29:L42,"D")=14,"DLV",IF(COUNTIF(L29:L42,"K")=0,"ISSUED","KITTED")))</f>
        <v>KITTED</v>
      </c>
      <c r="M43" s="27" t="str">
        <f aca="false">IF(COUNTIF(M29:M42,"–")&gt;0,"OPEN",IF(COUNTIF(M29:M42,"D")=14,"DLV",IF(COUNTIF(M29:M42,"K")=0,"ISSUED","KITTED")))</f>
        <v>KITTED</v>
      </c>
      <c r="N43" s="27" t="str">
        <f aca="false">IF(COUNTIF(N29:N42,"–")&gt;0,"OPEN",IF(COUNTIF(N29:N42,"D")=14,"DLV",IF(COUNTIF(N29:N42,"K")=0,"ISSUED","KITTED")))</f>
        <v>KITTED</v>
      </c>
      <c r="O43" s="27" t="str">
        <f aca="false">IF(COUNTIF(O29:O42,"–")&gt;0,"OPEN",IF(COUNTIF(O29:O42,"D")=14,"DLV",IF(COUNTIF(O29:O42,"K")=0,"ISSUED","KITTED")))</f>
        <v>KITTED</v>
      </c>
      <c r="P43" s="27" t="str">
        <f aca="false">IF(COUNTIF(P29:P42,"–")&gt;0,"OPEN",IF(COUNTIF(P29:P42,"D")=14,"DLV",IF(COUNTIF(P29:P42,"K")=0,"ISSUED","KITTED")))</f>
        <v>KITTED</v>
      </c>
      <c r="Q43" s="27" t="str">
        <f aca="false">IF(COUNTIF(Q29:Q42,"–")&gt;0,"OPEN",IF(COUNTIF(Q29:Q42,"D")=14,"DLV",IF(COUNTIF(Q29:Q42,"K")=0,"ISSUED","KITTED")))</f>
        <v>KITTED</v>
      </c>
    </row>
    <row r="44" customFormat="false" ht="15" hidden="false" customHeight="false" outlineLevel="0" collapsed="false">
      <c r="C44" s="28" t="s">
        <v>40</v>
      </c>
      <c r="D44" s="29" t="str">
        <f aca="false">COUNTIF('COOIS Data'!$O$6:$O$1505,"Surplus")&amp;" WOs — filter Contract = Surplus on COOIS Data to see which"</f>
        <v>28 WOs — filter Contract = Surplus on COOIS Data to see which</v>
      </c>
    </row>
    <row r="45" customFormat="false" ht="15" hidden="false" customHeight="false" outlineLevel="0" collapsed="false">
      <c r="C45" s="30" t="s">
        <v>41</v>
      </c>
      <c r="D45" s="31" t="str">
        <f aca="false">COUNTIF('COOIS Data'!$G$6:$G$1505,"Not in plan")&amp;" WOs in COOIS for codes not on the kitting plan"</f>
        <v>0 WOs in COOIS for codes not on the kitting plan</v>
      </c>
    </row>
  </sheetData>
  <mergeCells count="12">
    <mergeCell ref="B5:C5"/>
    <mergeCell ref="E5:H5"/>
    <mergeCell ref="I5:L5"/>
    <mergeCell ref="M5:Q5"/>
    <mergeCell ref="B6:C6"/>
    <mergeCell ref="E6:H6"/>
    <mergeCell ref="I6:L6"/>
    <mergeCell ref="M6:Q6"/>
    <mergeCell ref="B7:C7"/>
    <mergeCell ref="E7:H7"/>
    <mergeCell ref="I7:L7"/>
    <mergeCell ref="M7:Q7"/>
  </mergeCells>
  <conditionalFormatting sqref="H11:H24">
    <cfRule type="expression" priority="2" aboveAverage="0" equalAverage="0" bottom="0" percent="0" rank="0" text="" dxfId="0">
      <formula>$H11&gt;='Kitting Plan'!$C$3</formula>
    </cfRule>
    <cfRule type="expression" priority="3" aboveAverage="0" equalAverage="0" bottom="0" percent="0" rank="0" text="" dxfId="1">
      <formula>$H11&lt;'Kitting Plan'!$C$3</formula>
    </cfRule>
  </conditionalFormatting>
  <conditionalFormatting sqref="I11:I24">
    <cfRule type="cellIs" priority="4" operator="greaterThan" aboveAverage="0" equalAverage="0" bottom="0" percent="0" rank="0" text="" dxfId="2">
      <formula>0</formula>
    </cfRule>
  </conditionalFormatting>
  <conditionalFormatting sqref="B11:B24">
    <cfRule type="expression" priority="5" aboveAverage="0" equalAverage="0" bottom="0" percent="0" rank="0" text="" dxfId="3">
      <formula>$B11=$B10</formula>
    </cfRule>
  </conditionalFormatting>
  <conditionalFormatting sqref="E29:Q42">
    <cfRule type="expression" priority="6" aboveAverage="0" equalAverage="0" bottom="0" percent="0" rank="0" text="" dxfId="4">
      <formula>E29="D"</formula>
    </cfRule>
    <cfRule type="expression" priority="7" aboveAverage="0" equalAverage="0" bottom="0" percent="0" rank="0" text="" dxfId="2">
      <formula>E29="I"</formula>
    </cfRule>
    <cfRule type="expression" priority="8" aboveAverage="0" equalAverage="0" bottom="0" percent="0" rank="0" text="" dxfId="5">
      <formula>E29="K"</formula>
    </cfRule>
    <cfRule type="expression" priority="9" aboveAverage="0" equalAverage="0" bottom="0" percent="0" rank="0" text="" dxfId="6">
      <formula>E29="–"</formula>
    </cfRule>
  </conditionalFormatting>
  <conditionalFormatting sqref="E43:Q43">
    <cfRule type="expression" priority="10" aboveAverage="0" equalAverage="0" bottom="0" percent="0" rank="0" text="" dxfId="7">
      <formula>E43="DLV"</formula>
    </cfRule>
    <cfRule type="expression" priority="11" aboveAverage="0" equalAverage="0" bottom="0" percent="0" rank="0" text="" dxfId="8">
      <formula>E43="ISSUED"</formula>
    </cfRule>
    <cfRule type="expression" priority="12" aboveAverage="0" equalAverage="0" bottom="0" percent="0" rank="0" text="" dxfId="9">
      <formula>E43="KITTED"</formula>
    </cfRule>
    <cfRule type="expression" priority="13" aboveAverage="0" equalAverage="0" bottom="0" percent="0" rank="0" text="" dxfId="10">
      <formula>E43="OPEN"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32" t="s">
        <v>42</v>
      </c>
    </row>
    <row r="2" customFormat="false" ht="15" hidden="false" customHeight="false" outlineLevel="0" collapsed="false">
      <c r="A2" s="33" t="s">
        <v>43</v>
      </c>
    </row>
    <row r="3" customFormat="false" ht="15" hidden="false" customHeight="false" outlineLevel="0" collapsed="false">
      <c r="A3" s="19" t="s">
        <v>44</v>
      </c>
      <c r="C3" s="34" t="n">
        <v>13</v>
      </c>
    </row>
    <row r="5" customFormat="false" ht="15" hidden="false" customHeight="false" outlineLevel="0" collapsed="false">
      <c r="A5" s="21" t="s">
        <v>8</v>
      </c>
      <c r="B5" s="21" t="s">
        <v>9</v>
      </c>
      <c r="C5" s="21" t="s">
        <v>45</v>
      </c>
      <c r="D5" s="21" t="s">
        <v>46</v>
      </c>
      <c r="E5" s="21" t="s">
        <v>12</v>
      </c>
    </row>
    <row r="6" customFormat="false" ht="15" hidden="false" customHeight="false" outlineLevel="0" collapsed="false">
      <c r="A6" s="35" t="s">
        <v>47</v>
      </c>
      <c r="B6" s="35" t="s">
        <v>48</v>
      </c>
      <c r="C6" s="35" t="s">
        <v>49</v>
      </c>
      <c r="D6" s="36" t="n">
        <v>1</v>
      </c>
      <c r="E6" s="37" t="n">
        <f aca="false">D6*$C$3</f>
        <v>13</v>
      </c>
    </row>
    <row r="7" customFormat="false" ht="15" hidden="false" customHeight="false" outlineLevel="0" collapsed="false">
      <c r="A7" s="35" t="s">
        <v>47</v>
      </c>
      <c r="B7" s="35" t="s">
        <v>50</v>
      </c>
      <c r="C7" s="35" t="s">
        <v>51</v>
      </c>
      <c r="D7" s="36" t="n">
        <v>2</v>
      </c>
      <c r="E7" s="37" t="n">
        <f aca="false">D7*$C$3</f>
        <v>26</v>
      </c>
    </row>
    <row r="8" customFormat="false" ht="15" hidden="false" customHeight="false" outlineLevel="0" collapsed="false">
      <c r="A8" s="35" t="s">
        <v>52</v>
      </c>
      <c r="B8" s="35" t="s">
        <v>53</v>
      </c>
      <c r="C8" s="35" t="s">
        <v>54</v>
      </c>
      <c r="D8" s="36" t="n">
        <v>3</v>
      </c>
      <c r="E8" s="37" t="n">
        <f aca="false">D8*$C$3</f>
        <v>39</v>
      </c>
    </row>
    <row r="9" customFormat="false" ht="15" hidden="false" customHeight="false" outlineLevel="0" collapsed="false">
      <c r="A9" s="35" t="s">
        <v>55</v>
      </c>
      <c r="B9" s="35" t="s">
        <v>56</v>
      </c>
      <c r="C9" s="35" t="s">
        <v>57</v>
      </c>
      <c r="D9" s="36" t="n">
        <v>1</v>
      </c>
      <c r="E9" s="37" t="n">
        <f aca="false">D9*$C$3</f>
        <v>13</v>
      </c>
    </row>
    <row r="10" customFormat="false" ht="15" hidden="false" customHeight="false" outlineLevel="0" collapsed="false">
      <c r="A10" s="35" t="s">
        <v>55</v>
      </c>
      <c r="B10" s="35" t="s">
        <v>58</v>
      </c>
      <c r="C10" s="35" t="s">
        <v>59</v>
      </c>
      <c r="D10" s="36" t="n">
        <v>2</v>
      </c>
      <c r="E10" s="37" t="n">
        <f aca="false">D10*$C$3</f>
        <v>26</v>
      </c>
    </row>
    <row r="11" customFormat="false" ht="15" hidden="false" customHeight="false" outlineLevel="0" collapsed="false">
      <c r="A11" s="35" t="s">
        <v>60</v>
      </c>
      <c r="B11" s="35" t="s">
        <v>61</v>
      </c>
      <c r="C11" s="35" t="s">
        <v>62</v>
      </c>
      <c r="D11" s="36" t="n">
        <v>3</v>
      </c>
      <c r="E11" s="37" t="n">
        <f aca="false">D11*$C$3</f>
        <v>39</v>
      </c>
    </row>
    <row r="12" customFormat="false" ht="15" hidden="false" customHeight="false" outlineLevel="0" collapsed="false">
      <c r="A12" s="35" t="s">
        <v>63</v>
      </c>
      <c r="B12" s="35" t="s">
        <v>64</v>
      </c>
      <c r="C12" s="35" t="s">
        <v>65</v>
      </c>
      <c r="D12" s="36" t="n">
        <v>24</v>
      </c>
      <c r="E12" s="37" t="n">
        <f aca="false">D12*$C$3</f>
        <v>312</v>
      </c>
    </row>
    <row r="13" customFormat="false" ht="15" hidden="false" customHeight="false" outlineLevel="0" collapsed="false">
      <c r="A13" s="35" t="s">
        <v>63</v>
      </c>
      <c r="B13" s="35" t="s">
        <v>66</v>
      </c>
      <c r="C13" s="35" t="s">
        <v>67</v>
      </c>
      <c r="D13" s="36" t="n">
        <v>3</v>
      </c>
      <c r="E13" s="37" t="n">
        <f aca="false">D13*$C$3</f>
        <v>39</v>
      </c>
    </row>
    <row r="14" customFormat="false" ht="15" hidden="false" customHeight="false" outlineLevel="0" collapsed="false">
      <c r="A14" s="35" t="s">
        <v>63</v>
      </c>
      <c r="B14" s="35" t="s">
        <v>68</v>
      </c>
      <c r="C14" s="35" t="s">
        <v>69</v>
      </c>
      <c r="D14" s="36" t="n">
        <v>3</v>
      </c>
      <c r="E14" s="37" t="n">
        <f aca="false">D14*$C$3</f>
        <v>39</v>
      </c>
    </row>
    <row r="15" customFormat="false" ht="15" hidden="false" customHeight="false" outlineLevel="0" collapsed="false">
      <c r="A15" s="35" t="s">
        <v>63</v>
      </c>
      <c r="B15" s="35" t="s">
        <v>70</v>
      </c>
      <c r="C15" s="35" t="s">
        <v>71</v>
      </c>
      <c r="D15" s="36" t="n">
        <v>3</v>
      </c>
      <c r="E15" s="37" t="n">
        <f aca="false">D15*$C$3</f>
        <v>39</v>
      </c>
    </row>
    <row r="16" customFormat="false" ht="15" hidden="false" customHeight="false" outlineLevel="0" collapsed="false">
      <c r="A16" s="35" t="s">
        <v>63</v>
      </c>
      <c r="B16" s="35" t="s">
        <v>72</v>
      </c>
      <c r="C16" s="35" t="s">
        <v>73</v>
      </c>
      <c r="D16" s="36" t="n">
        <v>3</v>
      </c>
      <c r="E16" s="37" t="n">
        <f aca="false">D16*$C$3</f>
        <v>39</v>
      </c>
    </row>
    <row r="17" customFormat="false" ht="15" hidden="false" customHeight="false" outlineLevel="0" collapsed="false">
      <c r="A17" s="35" t="s">
        <v>74</v>
      </c>
      <c r="B17" s="35" t="s">
        <v>75</v>
      </c>
      <c r="C17" s="35" t="s">
        <v>76</v>
      </c>
      <c r="D17" s="36" t="n">
        <v>1</v>
      </c>
      <c r="E17" s="37" t="n">
        <f aca="false">D17*$C$3</f>
        <v>13</v>
      </c>
    </row>
    <row r="18" customFormat="false" ht="15" hidden="false" customHeight="false" outlineLevel="0" collapsed="false">
      <c r="A18" s="35" t="s">
        <v>74</v>
      </c>
      <c r="B18" s="35" t="s">
        <v>77</v>
      </c>
      <c r="C18" s="35" t="s">
        <v>78</v>
      </c>
      <c r="D18" s="36" t="n">
        <v>1</v>
      </c>
      <c r="E18" s="37" t="n">
        <f aca="false">D18*$C$3</f>
        <v>13</v>
      </c>
    </row>
    <row r="19" customFormat="false" ht="15" hidden="false" customHeight="false" outlineLevel="0" collapsed="false">
      <c r="A19" s="35" t="s">
        <v>74</v>
      </c>
      <c r="B19" s="35" t="s">
        <v>79</v>
      </c>
      <c r="C19" s="35" t="s">
        <v>80</v>
      </c>
      <c r="D19" s="36" t="n">
        <v>1</v>
      </c>
      <c r="E19" s="37" t="n">
        <f aca="false">D19*$C$3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5" min="14" style="0" width="10"/>
  </cols>
  <sheetData>
    <row r="1" customFormat="false" ht="19.7" hidden="false" customHeight="false" outlineLevel="0" collapsed="false">
      <c r="A1" s="32" t="s">
        <v>81</v>
      </c>
    </row>
    <row r="2" customFormat="false" ht="15" hidden="false" customHeight="false" outlineLevel="0" collapsed="false">
      <c r="A2" s="33" t="s">
        <v>82</v>
      </c>
    </row>
    <row r="3" customFormat="false" ht="15" hidden="false" customHeight="false" outlineLevel="0" collapsed="false">
      <c r="A3" s="38" t="s">
        <v>83</v>
      </c>
    </row>
    <row r="4" customFormat="false" ht="15" hidden="false" customHeight="false" outlineLevel="0" collapsed="false">
      <c r="A4" s="39" t="n">
        <f aca="false">IFERROR(MATCH("Order",'COOIS Raw'!$1:$1,0),0)</f>
        <v>1</v>
      </c>
      <c r="B4" s="39" t="n">
        <f aca="false">IFERROR(MATCH("Material Number",'COOIS Raw'!$1:$1,0),0)</f>
        <v>3</v>
      </c>
      <c r="C4" s="39" t="n">
        <f aca="false">IFERROR(MATCH("Material desc*",'COOIS Raw'!$1:$1,0),0)</f>
        <v>4</v>
      </c>
      <c r="D4" s="39" t="n">
        <f aca="false">IFERROR(MATCH("Order quantity*",'COOIS Raw'!$1:$1,0),0)</f>
        <v>7</v>
      </c>
      <c r="E4" s="39" t="n">
        <f aca="false">IFERROR(MATCH("System Status",'COOIS Raw'!$1:$1,0),0)</f>
        <v>15</v>
      </c>
      <c r="F4" s="39" t="n">
        <f aca="false">IFERROR(MATCH("Release date*",'COOIS Raw'!$1:$1,0),0)</f>
        <v>9</v>
      </c>
    </row>
    <row r="5" customFormat="false" ht="23.85" hidden="false" customHeight="false" outlineLevel="0" collapsed="false">
      <c r="A5" s="21" t="s">
        <v>84</v>
      </c>
      <c r="B5" s="21" t="s">
        <v>9</v>
      </c>
      <c r="C5" s="21" t="s">
        <v>10</v>
      </c>
      <c r="D5" s="21" t="s">
        <v>85</v>
      </c>
      <c r="E5" s="21" t="s">
        <v>86</v>
      </c>
      <c r="F5" s="21" t="s">
        <v>87</v>
      </c>
      <c r="G5" s="21" t="s">
        <v>88</v>
      </c>
      <c r="H5" s="21" t="s">
        <v>11</v>
      </c>
      <c r="I5" s="21" t="s">
        <v>89</v>
      </c>
      <c r="J5" s="21" t="s">
        <v>90</v>
      </c>
      <c r="K5" s="21" t="s">
        <v>91</v>
      </c>
      <c r="L5" s="21" t="s">
        <v>92</v>
      </c>
      <c r="M5" s="21" t="s">
        <v>93</v>
      </c>
      <c r="N5" s="21" t="s">
        <v>94</v>
      </c>
      <c r="O5" s="21" t="s">
        <v>95</v>
      </c>
    </row>
    <row r="6" customFormat="false" ht="15" hidden="false" customHeight="false" outlineLevel="0" collapsed="false">
      <c r="A6" s="40" t="n">
        <f aca="false">IF(OR($A$4=0,INDEX('COOIS Raw'!$A:$GZ,ROW()-4,$A$4)=""),"",IFERROR(--INDEX('COOIS Raw'!$A:$GZ,ROW()-4,$A$4),INDEX('COOIS Raw'!$A:$GZ,ROW()-4,$A$4)))</f>
        <v>100880307</v>
      </c>
      <c r="B6" s="41" t="str">
        <f aca="false">IF(A6="","",TRIM(INDEX('COOIS Raw'!$A:$GZ,ROW()-4,$B$4)))</f>
        <v>92YRA01548AAA</v>
      </c>
      <c r="C6" s="42" t="str">
        <f aca="false">IF(OR(A6="",$C$4=0),"",INDEX('COOIS Raw'!$A:$GZ,ROW()-4,$C$4))</f>
        <v>R5B ERBIUM ASSEMBLY 1</v>
      </c>
      <c r="D6" s="41" t="n">
        <f aca="false">IF(A6="","",IF($D$4=0,1,IFERROR(--INDEX('COOIS Raw'!$A:$GZ,ROW()-4,$D$4),1)))</f>
        <v>1</v>
      </c>
      <c r="E6" s="42" t="str">
        <f aca="false">IF(A6="","",INDEX('COOIS Raw'!$A:$GZ,ROW()-4,$E$4)&amp;"")</f>
        <v>REL PRT PCNF PRC GMPS MANC SETC</v>
      </c>
      <c r="F6" s="43" t="n">
        <f aca="false">IF(A6="","",IFERROR(DATEVALUE(INDEX('COOIS Raw'!$A:$GZ,ROW()-4,$F$4)),INDEX('COOIS Raw'!$A:$GZ,ROW()-4,$F$4)))</f>
        <v>46298</v>
      </c>
      <c r="G6" s="41" t="str">
        <f aca="false">IF(A6="","",IF(ISNA(MATCH(B6,'Kitting Plan'!$B$6:$B$19,0)),"Not in plan","Yes"))</f>
        <v>Yes</v>
      </c>
      <c r="H6" s="41" t="n">
        <f aca="false">IF(G6="Yes",INDEX('Kitting Plan'!$D$6:$D$19,MATCH(B6,'Kitting Plan'!$B$6:$B$19,0)),"")</f>
        <v>3</v>
      </c>
      <c r="I6" s="41" t="n">
        <f aca="false">IF(A6="","",IF(ISNUMBER(SEARCH("PRT",E6)),D6,0))</f>
        <v>1</v>
      </c>
      <c r="J6" s="41" t="n">
        <f aca="false">IF(A6="","",IF(ISNUMBER(SEARCH("GMPS",E6)),D6,0))</f>
        <v>1</v>
      </c>
      <c r="K6" s="41" t="n">
        <f aca="false">IF(A6="","",IF(ISNUMBER(SEARCH("DLV",E6)),D6,0))</f>
        <v>0</v>
      </c>
      <c r="L6" s="41" t="str">
        <f aca="false">IF(A6="","",IF(K6&gt;0,"Delivered",IF(ISNUMBER(SEARCH("CNF",E6)),"In production",IF(J6&gt;0,"Issued",IF(I6&gt;0,"Kitted","Released")))))</f>
        <v>In production</v>
      </c>
      <c r="M6" s="41" t="n">
        <f aca="false">IF(G6&lt;&gt;"Yes","",COUNTIFS($B$6:$B$1505,B6,$F$6:$F$1505,"&lt;"&amp;F6)+COUNTIFS($B$6:$B$1505,B6,$F$6:$F$1505,F6,$A$6:$A$1505,"&lt;="&amp;A6))</f>
        <v>40</v>
      </c>
      <c r="N6" s="41" t="n">
        <f aca="false">IF(M6="","",ROUNDUP(M6/H6,0))</f>
        <v>14</v>
      </c>
      <c r="O6" s="41" t="str">
        <f aca="false">IF(N6="","",IF(N6&lt;='Kitting Plan'!$C$3,"Rep "&amp;N6,"Surplus"))</f>
        <v>Surplus</v>
      </c>
    </row>
    <row r="7" customFormat="false" ht="15" hidden="false" customHeight="false" outlineLevel="0" collapsed="false">
      <c r="A7" s="40" t="n">
        <f aca="false">IF(OR($A$4=0,INDEX('COOIS Raw'!$A:$GZ,ROW()-4,$A$4)=""),"",IFERROR(--INDEX('COOIS Raw'!$A:$GZ,ROW()-4,$A$4),INDEX('COOIS Raw'!$A:$GZ,ROW()-4,$A$4)))</f>
        <v>100880184</v>
      </c>
      <c r="B7" s="41" t="str">
        <f aca="false">IF(A7="","",TRIM(INDEX('COOIS Raw'!$A:$GZ,ROW()-4,$B$4)))</f>
        <v>92YLS00548BAA</v>
      </c>
      <c r="C7" s="42" t="str">
        <f aca="false">IF(OR(A7="",$C$4=0),"",INDEX('COOIS Raw'!$A:$GZ,ROW()-4,$C$4))</f>
        <v>R5B LASER ASSEMBLY 4P BOAT 1 - E2A</v>
      </c>
      <c r="D7" s="41" t="n">
        <f aca="false">IF(A7="","",IF($D$4=0,1,IFERROR(--INDEX('COOIS Raw'!$A:$GZ,ROW()-4,$D$4),1)))</f>
        <v>1</v>
      </c>
      <c r="E7" s="42" t="str">
        <f aca="false">IF(A7="","",INDEX('COOIS Raw'!$A:$GZ,ROW()-4,$E$4)&amp;"")</f>
        <v>REL PRT PRC MANC SETC</v>
      </c>
      <c r="F7" s="43" t="n">
        <f aca="false">IF(A7="","",IFERROR(DATEVALUE(INDEX('COOIS Raw'!$A:$GZ,ROW()-4,$F$4)),INDEX('COOIS Raw'!$A:$GZ,ROW()-4,$F$4)))</f>
        <v>46297</v>
      </c>
      <c r="G7" s="41" t="str">
        <f aca="false">IF(A7="","",IF(ISNA(MATCH(B7,'Kitting Plan'!$B$6:$B$19,0)),"Not in plan","Yes"))</f>
        <v>Yes</v>
      </c>
      <c r="H7" s="41" t="n">
        <f aca="false">IF(G7="Yes",INDEX('Kitting Plan'!$D$6:$D$19,MATCH(B7,'Kitting Plan'!$B$6:$B$19,0)),"")</f>
        <v>1</v>
      </c>
      <c r="I7" s="41" t="n">
        <f aca="false">IF(A7="","",IF(ISNUMBER(SEARCH("PRT",E7)),D7,0))</f>
        <v>1</v>
      </c>
      <c r="J7" s="41" t="n">
        <f aca="false">IF(A7="","",IF(ISNUMBER(SEARCH("GMPS",E7)),D7,0))</f>
        <v>0</v>
      </c>
      <c r="K7" s="41" t="n">
        <f aca="false">IF(A7="","",IF(ISNUMBER(SEARCH("DLV",E7)),D7,0))</f>
        <v>0</v>
      </c>
      <c r="L7" s="41" t="str">
        <f aca="false">IF(A7="","",IF(K7&gt;0,"Delivered",IF(ISNUMBER(SEARCH("CNF",E7)),"In production",IF(J7&gt;0,"Issued",IF(I7&gt;0,"Kitted","Released")))))</f>
        <v>Kitted</v>
      </c>
      <c r="M7" s="41" t="n">
        <f aca="false">IF(G7&lt;&gt;"Yes","",COUNTIFS($B$6:$B$1505,B7,$F$6:$F$1505,"&lt;"&amp;F7)+COUNTIFS($B$6:$B$1505,B7,$F$6:$F$1505,F7,$A$6:$A$1505,"&lt;="&amp;A7))</f>
        <v>13</v>
      </c>
      <c r="N7" s="41" t="n">
        <f aca="false">IF(M7="","",ROUNDUP(M7/H7,0))</f>
        <v>13</v>
      </c>
      <c r="O7" s="41" t="str">
        <f aca="false">IF(N7="","",IF(N7&lt;='Kitting Plan'!$C$3,"Rep "&amp;N7,"Surplus"))</f>
        <v>Rep 13</v>
      </c>
    </row>
    <row r="8" customFormat="false" ht="15" hidden="false" customHeight="false" outlineLevel="0" collapsed="false">
      <c r="A8" s="40" t="n">
        <f aca="false">IF(OR($A$4=0,INDEX('COOIS Raw'!$A:$GZ,ROW()-4,$A$4)=""),"",IFERROR(--INDEX('COOIS Raw'!$A:$GZ,ROW()-4,$A$4),INDEX('COOIS Raw'!$A:$GZ,ROW()-4,$A$4)))</f>
        <v>100880185</v>
      </c>
      <c r="B8" s="41" t="str">
        <f aca="false">IF(A8="","",TRIM(INDEX('COOIS Raw'!$A:$GZ,ROW()-4,$B$4)))</f>
        <v>92YLS00548BBA</v>
      </c>
      <c r="C8" s="42" t="str">
        <f aca="false">IF(OR(A8="",$C$4=0),"",INDEX('COOIS Raw'!$A:$GZ,ROW()-4,$C$4))</f>
        <v>R5B LASER ASSEMBLY 4P BOAT 2/3 - E2A</v>
      </c>
      <c r="D8" s="41" t="n">
        <f aca="false">IF(A8="","",IF($D$4=0,1,IFERROR(--INDEX('COOIS Raw'!$A:$GZ,ROW()-4,$D$4),1)))</f>
        <v>1</v>
      </c>
      <c r="E8" s="42" t="str">
        <f aca="false">IF(A8="","",INDEX('COOIS Raw'!$A:$GZ,ROW()-4,$E$4)&amp;"")</f>
        <v>REL PRT PRC MANC SETC</v>
      </c>
      <c r="F8" s="43" t="n">
        <f aca="false">IF(A8="","",IFERROR(DATEVALUE(INDEX('COOIS Raw'!$A:$GZ,ROW()-4,$F$4)),INDEX('COOIS Raw'!$A:$GZ,ROW()-4,$F$4)))</f>
        <v>46297</v>
      </c>
      <c r="G8" s="41" t="str">
        <f aca="false">IF(A8="","",IF(ISNA(MATCH(B8,'Kitting Plan'!$B$6:$B$19,0)),"Not in plan","Yes"))</f>
        <v>Yes</v>
      </c>
      <c r="H8" s="41" t="n">
        <f aca="false">IF(G8="Yes",INDEX('Kitting Plan'!$D$6:$D$19,MATCH(B8,'Kitting Plan'!$B$6:$B$19,0)),"")</f>
        <v>2</v>
      </c>
      <c r="I8" s="41" t="n">
        <f aca="false">IF(A8="","",IF(ISNUMBER(SEARCH("PRT",E8)),D8,0))</f>
        <v>1</v>
      </c>
      <c r="J8" s="41" t="n">
        <f aca="false">IF(A8="","",IF(ISNUMBER(SEARCH("GMPS",E8)),D8,0))</f>
        <v>0</v>
      </c>
      <c r="K8" s="41" t="n">
        <f aca="false">IF(A8="","",IF(ISNUMBER(SEARCH("DLV",E8)),D8,0))</f>
        <v>0</v>
      </c>
      <c r="L8" s="41" t="str">
        <f aca="false">IF(A8="","",IF(K8&gt;0,"Delivered",IF(ISNUMBER(SEARCH("CNF",E8)),"In production",IF(J8&gt;0,"Issued",IF(I8&gt;0,"Kitted","Released")))))</f>
        <v>Kitted</v>
      </c>
      <c r="M8" s="41" t="n">
        <f aca="false">IF(G8&lt;&gt;"Yes","",COUNTIFS($B$6:$B$1505,B8,$F$6:$F$1505,"&lt;"&amp;F8)+COUNTIFS($B$6:$B$1505,B8,$F$6:$F$1505,F8,$A$6:$A$1505,"&lt;="&amp;A8))</f>
        <v>23</v>
      </c>
      <c r="N8" s="41" t="n">
        <f aca="false">IF(M8="","",ROUNDUP(M8/H8,0))</f>
        <v>12</v>
      </c>
      <c r="O8" s="41" t="str">
        <f aca="false">IF(N8="","",IF(N8&lt;='Kitting Plan'!$C$3,"Rep "&amp;N8,"Surplus"))</f>
        <v>Rep 12</v>
      </c>
    </row>
    <row r="9" customFormat="false" ht="15" hidden="false" customHeight="false" outlineLevel="0" collapsed="false">
      <c r="A9" s="40" t="n">
        <f aca="false">IF(OR($A$4=0,INDEX('COOIS Raw'!$A:$GZ,ROW()-4,$A$4)=""),"",IFERROR(--INDEX('COOIS Raw'!$A:$GZ,ROW()-4,$A$4),INDEX('COOIS Raw'!$A:$GZ,ROW()-4,$A$4)))</f>
        <v>100880186</v>
      </c>
      <c r="B9" s="41" t="str">
        <f aca="false">IF(A9="","",TRIM(INDEX('COOIS Raw'!$A:$GZ,ROW()-4,$B$4)))</f>
        <v>92YLS00548BBA</v>
      </c>
      <c r="C9" s="42" t="str">
        <f aca="false">IF(OR(A9="",$C$4=0),"",INDEX('COOIS Raw'!$A:$GZ,ROW()-4,$C$4))</f>
        <v>R5B LASER ASSEMBLY 4P BOAT 2/3 - E2A</v>
      </c>
      <c r="D9" s="41" t="n">
        <f aca="false">IF(A9="","",IF($D$4=0,1,IFERROR(--INDEX('COOIS Raw'!$A:$GZ,ROW()-4,$D$4),1)))</f>
        <v>1</v>
      </c>
      <c r="E9" s="42" t="str">
        <f aca="false">IF(A9="","",INDEX('COOIS Raw'!$A:$GZ,ROW()-4,$E$4)&amp;"")</f>
        <v>REL PRT PRC MANC SETC</v>
      </c>
      <c r="F9" s="43" t="n">
        <f aca="false">IF(A9="","",IFERROR(DATEVALUE(INDEX('COOIS Raw'!$A:$GZ,ROW()-4,$F$4)),INDEX('COOIS Raw'!$A:$GZ,ROW()-4,$F$4)))</f>
        <v>46297</v>
      </c>
      <c r="G9" s="41" t="str">
        <f aca="false">IF(A9="","",IF(ISNA(MATCH(B9,'Kitting Plan'!$B$6:$B$19,0)),"Not in plan","Yes"))</f>
        <v>Yes</v>
      </c>
      <c r="H9" s="41" t="n">
        <f aca="false">IF(G9="Yes",INDEX('Kitting Plan'!$D$6:$D$19,MATCH(B9,'Kitting Plan'!$B$6:$B$19,0)),"")</f>
        <v>2</v>
      </c>
      <c r="I9" s="41" t="n">
        <f aca="false">IF(A9="","",IF(ISNUMBER(SEARCH("PRT",E9)),D9,0))</f>
        <v>1</v>
      </c>
      <c r="J9" s="41" t="n">
        <f aca="false">IF(A9="","",IF(ISNUMBER(SEARCH("GMPS",E9)),D9,0))</f>
        <v>0</v>
      </c>
      <c r="K9" s="41" t="n">
        <f aca="false">IF(A9="","",IF(ISNUMBER(SEARCH("DLV",E9)),D9,0))</f>
        <v>0</v>
      </c>
      <c r="L9" s="41" t="str">
        <f aca="false">IF(A9="","",IF(K9&gt;0,"Delivered",IF(ISNUMBER(SEARCH("CNF",E9)),"In production",IF(J9&gt;0,"Issued",IF(I9&gt;0,"Kitted","Released")))))</f>
        <v>Kitted</v>
      </c>
      <c r="M9" s="41" t="n">
        <f aca="false">IF(G9&lt;&gt;"Yes","",COUNTIFS($B$6:$B$1505,B9,$F$6:$F$1505,"&lt;"&amp;F9)+COUNTIFS($B$6:$B$1505,B9,$F$6:$F$1505,F9,$A$6:$A$1505,"&lt;="&amp;A9))</f>
        <v>24</v>
      </c>
      <c r="N9" s="41" t="n">
        <f aca="false">IF(M9="","",ROUNDUP(M9/H9,0))</f>
        <v>12</v>
      </c>
      <c r="O9" s="41" t="str">
        <f aca="false">IF(N9="","",IF(N9&lt;='Kitting Plan'!$C$3,"Rep "&amp;N9,"Surplus"))</f>
        <v>Rep 12</v>
      </c>
    </row>
    <row r="10" customFormat="false" ht="15" hidden="false" customHeight="false" outlineLevel="0" collapsed="false">
      <c r="A10" s="40" t="n">
        <f aca="false">IF(OR($A$4=0,INDEX('COOIS Raw'!$A:$GZ,ROW()-4,$A$4)=""),"",IFERROR(--INDEX('COOIS Raw'!$A:$GZ,ROW()-4,$A$4),INDEX('COOIS Raw'!$A:$GZ,ROW()-4,$A$4)))</f>
        <v>100880187</v>
      </c>
      <c r="B10" s="41" t="str">
        <f aca="false">IF(A10="","",TRIM(INDEX('COOIS Raw'!$A:$GZ,ROW()-4,$B$4)))</f>
        <v>91YAF03404AAA</v>
      </c>
      <c r="C10" s="42" t="str">
        <f aca="false">IF(OR(A10="",$C$4=0),"",INDEX('COOIS Raw'!$A:$GZ,ROW()-4,$C$4))</f>
        <v>R5B PSB SUB ASSEMBLY 4P-4FP</v>
      </c>
      <c r="D10" s="41" t="n">
        <f aca="false">IF(A10="","",IF($D$4=0,1,IFERROR(--INDEX('COOIS Raw'!$A:$GZ,ROW()-4,$D$4),1)))</f>
        <v>1</v>
      </c>
      <c r="E10" s="42" t="str">
        <f aca="false">IF(A10="","",INDEX('COOIS Raw'!$A:$GZ,ROW()-4,$E$4)&amp;"")</f>
        <v>REL PRT PRC MANC SETC</v>
      </c>
      <c r="F10" s="43" t="n">
        <f aca="false">IF(A10="","",IFERROR(DATEVALUE(INDEX('COOIS Raw'!$A:$GZ,ROW()-4,$F$4)),INDEX('COOIS Raw'!$A:$GZ,ROW()-4,$F$4)))</f>
        <v>46297</v>
      </c>
      <c r="G10" s="41" t="str">
        <f aca="false">IF(A10="","",IF(ISNA(MATCH(B10,'Kitting Plan'!$B$6:$B$19,0)),"Not in plan","Yes"))</f>
        <v>Yes</v>
      </c>
      <c r="H10" s="41" t="n">
        <f aca="false">IF(G10="Yes",INDEX('Kitting Plan'!$D$6:$D$19,MATCH(B10,'Kitting Plan'!$B$6:$B$19,0)),"")</f>
        <v>3</v>
      </c>
      <c r="I10" s="41" t="n">
        <f aca="false">IF(A10="","",IF(ISNUMBER(SEARCH("PRT",E10)),D10,0))</f>
        <v>1</v>
      </c>
      <c r="J10" s="41" t="n">
        <f aca="false">IF(A10="","",IF(ISNUMBER(SEARCH("GMPS",E10)),D10,0))</f>
        <v>0</v>
      </c>
      <c r="K10" s="41" t="n">
        <f aca="false">IF(A10="","",IF(ISNUMBER(SEARCH("DLV",E10)),D10,0))</f>
        <v>0</v>
      </c>
      <c r="L10" s="41" t="str">
        <f aca="false">IF(A10="","",IF(K10&gt;0,"Delivered",IF(ISNUMBER(SEARCH("CNF",E10)),"In production",IF(J10&gt;0,"Issued",IF(I10&gt;0,"Kitted","Released")))))</f>
        <v>Kitted</v>
      </c>
      <c r="M10" s="41" t="n">
        <f aca="false">IF(G10&lt;&gt;"Yes","",COUNTIFS($B$6:$B$1505,B10,$F$6:$F$1505,"&lt;"&amp;F10)+COUNTIFS($B$6:$B$1505,B10,$F$6:$F$1505,F10,$A$6:$A$1505,"&lt;="&amp;A10))</f>
        <v>46</v>
      </c>
      <c r="N10" s="41" t="n">
        <f aca="false">IF(M10="","",ROUNDUP(M10/H10,0))</f>
        <v>16</v>
      </c>
      <c r="O10" s="41" t="str">
        <f aca="false">IF(N10="","",IF(N10&lt;='Kitting Plan'!$C$3,"Rep "&amp;N10,"Surplus"))</f>
        <v>Surplus</v>
      </c>
    </row>
    <row r="11" customFormat="false" ht="15" hidden="false" customHeight="false" outlineLevel="0" collapsed="false">
      <c r="A11" s="40" t="n">
        <f aca="false">IF(OR($A$4=0,INDEX('COOIS Raw'!$A:$GZ,ROW()-4,$A$4)=""),"",IFERROR(--INDEX('COOIS Raw'!$A:$GZ,ROW()-4,$A$4),INDEX('COOIS Raw'!$A:$GZ,ROW()-4,$A$4)))</f>
        <v>100880188</v>
      </c>
      <c r="B11" s="41" t="str">
        <f aca="false">IF(A11="","",TRIM(INDEX('COOIS Raw'!$A:$GZ,ROW()-4,$B$4)))</f>
        <v>91YAF03404AAA</v>
      </c>
      <c r="C11" s="42" t="str">
        <f aca="false">IF(OR(A11="",$C$4=0),"",INDEX('COOIS Raw'!$A:$GZ,ROW()-4,$C$4))</f>
        <v>R5B PSB SUB ASSEMBLY 4P-4FP</v>
      </c>
      <c r="D11" s="41" t="n">
        <f aca="false">IF(A11="","",IF($D$4=0,1,IFERROR(--INDEX('COOIS Raw'!$A:$GZ,ROW()-4,$D$4),1)))</f>
        <v>1</v>
      </c>
      <c r="E11" s="42" t="str">
        <f aca="false">IF(A11="","",INDEX('COOIS Raw'!$A:$GZ,ROW()-4,$E$4)&amp;"")</f>
        <v>REL PRT PRC MANC SETC</v>
      </c>
      <c r="F11" s="43" t="n">
        <f aca="false">IF(A11="","",IFERROR(DATEVALUE(INDEX('COOIS Raw'!$A:$GZ,ROW()-4,$F$4)),INDEX('COOIS Raw'!$A:$GZ,ROW()-4,$F$4)))</f>
        <v>46297</v>
      </c>
      <c r="G11" s="41" t="str">
        <f aca="false">IF(A11="","",IF(ISNA(MATCH(B11,'Kitting Plan'!$B$6:$B$19,0)),"Not in plan","Yes"))</f>
        <v>Yes</v>
      </c>
      <c r="H11" s="41" t="n">
        <f aca="false">IF(G11="Yes",INDEX('Kitting Plan'!$D$6:$D$19,MATCH(B11,'Kitting Plan'!$B$6:$B$19,0)),"")</f>
        <v>3</v>
      </c>
      <c r="I11" s="41" t="n">
        <f aca="false">IF(A11="","",IF(ISNUMBER(SEARCH("PRT",E11)),D11,0))</f>
        <v>1</v>
      </c>
      <c r="J11" s="41" t="n">
        <f aca="false">IF(A11="","",IF(ISNUMBER(SEARCH("GMPS",E11)),D11,0))</f>
        <v>0</v>
      </c>
      <c r="K11" s="41" t="n">
        <f aca="false">IF(A11="","",IF(ISNUMBER(SEARCH("DLV",E11)),D11,0))</f>
        <v>0</v>
      </c>
      <c r="L11" s="41" t="str">
        <f aca="false">IF(A11="","",IF(K11&gt;0,"Delivered",IF(ISNUMBER(SEARCH("CNF",E11)),"In production",IF(J11&gt;0,"Issued",IF(I11&gt;0,"Kitted","Released")))))</f>
        <v>Kitted</v>
      </c>
      <c r="M11" s="41" t="n">
        <f aca="false">IF(G11&lt;&gt;"Yes","",COUNTIFS($B$6:$B$1505,B11,$F$6:$F$1505,"&lt;"&amp;F11)+COUNTIFS($B$6:$B$1505,B11,$F$6:$F$1505,F11,$A$6:$A$1505,"&lt;="&amp;A11))</f>
        <v>47</v>
      </c>
      <c r="N11" s="41" t="n">
        <f aca="false">IF(M11="","",ROUNDUP(M11/H11,0))</f>
        <v>16</v>
      </c>
      <c r="O11" s="41" t="str">
        <f aca="false">IF(N11="","",IF(N11&lt;='Kitting Plan'!$C$3,"Rep "&amp;N11,"Surplus"))</f>
        <v>Surplus</v>
      </c>
    </row>
    <row r="12" customFormat="false" ht="15" hidden="false" customHeight="false" outlineLevel="0" collapsed="false">
      <c r="A12" s="40" t="n">
        <f aca="false">IF(OR($A$4=0,INDEX('COOIS Raw'!$A:$GZ,ROW()-4,$A$4)=""),"",IFERROR(--INDEX('COOIS Raw'!$A:$GZ,ROW()-4,$A$4),INDEX('COOIS Raw'!$A:$GZ,ROW()-4,$A$4)))</f>
        <v>100880189</v>
      </c>
      <c r="B12" s="41" t="str">
        <f aca="false">IF(A12="","",TRIM(INDEX('COOIS Raw'!$A:$GZ,ROW()-4,$B$4)))</f>
        <v>91YAF03404AAA</v>
      </c>
      <c r="C12" s="42" t="str">
        <f aca="false">IF(OR(A12="",$C$4=0),"",INDEX('COOIS Raw'!$A:$GZ,ROW()-4,$C$4))</f>
        <v>R5B PSB SUB ASSEMBLY 4P-4FP</v>
      </c>
      <c r="D12" s="41" t="n">
        <f aca="false">IF(A12="","",IF($D$4=0,1,IFERROR(--INDEX('COOIS Raw'!$A:$GZ,ROW()-4,$D$4),1)))</f>
        <v>1</v>
      </c>
      <c r="E12" s="42" t="str">
        <f aca="false">IF(A12="","",INDEX('COOIS Raw'!$A:$GZ,ROW()-4,$E$4)&amp;"")</f>
        <v>REL PRT PRC MANC SETC</v>
      </c>
      <c r="F12" s="43" t="n">
        <f aca="false">IF(A12="","",IFERROR(DATEVALUE(INDEX('COOIS Raw'!$A:$GZ,ROW()-4,$F$4)),INDEX('COOIS Raw'!$A:$GZ,ROW()-4,$F$4)))</f>
        <v>46297</v>
      </c>
      <c r="G12" s="41" t="str">
        <f aca="false">IF(A12="","",IF(ISNA(MATCH(B12,'Kitting Plan'!$B$6:$B$19,0)),"Not in plan","Yes"))</f>
        <v>Yes</v>
      </c>
      <c r="H12" s="41" t="n">
        <f aca="false">IF(G12="Yes",INDEX('Kitting Plan'!$D$6:$D$19,MATCH(B12,'Kitting Plan'!$B$6:$B$19,0)),"")</f>
        <v>3</v>
      </c>
      <c r="I12" s="41" t="n">
        <f aca="false">IF(A12="","",IF(ISNUMBER(SEARCH("PRT",E12)),D12,0))</f>
        <v>1</v>
      </c>
      <c r="J12" s="41" t="n">
        <f aca="false">IF(A12="","",IF(ISNUMBER(SEARCH("GMPS",E12)),D12,0))</f>
        <v>0</v>
      </c>
      <c r="K12" s="41" t="n">
        <f aca="false">IF(A12="","",IF(ISNUMBER(SEARCH("DLV",E12)),D12,0))</f>
        <v>0</v>
      </c>
      <c r="L12" s="41" t="str">
        <f aca="false">IF(A12="","",IF(K12&gt;0,"Delivered",IF(ISNUMBER(SEARCH("CNF",E12)),"In production",IF(J12&gt;0,"Issued",IF(I12&gt;0,"Kitted","Released")))))</f>
        <v>Kitted</v>
      </c>
      <c r="M12" s="41" t="n">
        <f aca="false">IF(G12&lt;&gt;"Yes","",COUNTIFS($B$6:$B$1505,B12,$F$6:$F$1505,"&lt;"&amp;F12)+COUNTIFS($B$6:$B$1505,B12,$F$6:$F$1505,F12,$A$6:$A$1505,"&lt;="&amp;A12))</f>
        <v>48</v>
      </c>
      <c r="N12" s="41" t="n">
        <f aca="false">IF(M12="","",ROUNDUP(M12/H12,0))</f>
        <v>16</v>
      </c>
      <c r="O12" s="41" t="str">
        <f aca="false">IF(N12="","",IF(N12&lt;='Kitting Plan'!$C$3,"Rep "&amp;N12,"Surplus"))</f>
        <v>Surplus</v>
      </c>
    </row>
    <row r="13" customFormat="false" ht="15" hidden="false" customHeight="false" outlineLevel="0" collapsed="false">
      <c r="A13" s="40" t="n">
        <f aca="false">IF(OR($A$4=0,INDEX('COOIS Raw'!$A:$GZ,ROW()-4,$A$4)=""),"",IFERROR(--INDEX('COOIS Raw'!$A:$GZ,ROW()-4,$A$4),INDEX('COOIS Raw'!$A:$GZ,ROW()-4,$A$4)))</f>
        <v>100880190</v>
      </c>
      <c r="B13" s="41" t="str">
        <f aca="false">IF(A13="","",TRIM(INDEX('COOIS Raw'!$A:$GZ,ROW()-4,$B$4)))</f>
        <v>92YFD04548BAA</v>
      </c>
      <c r="C13" s="42" t="str">
        <f aca="false">IF(OR(A13="",$C$4=0),"",INDEX('COOIS Raw'!$A:$GZ,ROW()-4,$C$4))</f>
        <v>R5B OPF ASSEMBLY (4P-4FP) BOAT 1 - E2A</v>
      </c>
      <c r="D13" s="41" t="n">
        <f aca="false">IF(A13="","",IF($D$4=0,1,IFERROR(--INDEX('COOIS Raw'!$A:$GZ,ROW()-4,$D$4),1)))</f>
        <v>1</v>
      </c>
      <c r="E13" s="42" t="str">
        <f aca="false">IF(A13="","",INDEX('COOIS Raw'!$A:$GZ,ROW()-4,$E$4)&amp;"")</f>
        <v>REL PRT PRC MANC SETC</v>
      </c>
      <c r="F13" s="43" t="n">
        <f aca="false">IF(A13="","",IFERROR(DATEVALUE(INDEX('COOIS Raw'!$A:$GZ,ROW()-4,$F$4)),INDEX('COOIS Raw'!$A:$GZ,ROW()-4,$F$4)))</f>
        <v>46297</v>
      </c>
      <c r="G13" s="41" t="str">
        <f aca="false">IF(A13="","",IF(ISNA(MATCH(B13,'Kitting Plan'!$B$6:$B$19,0)),"Not in plan","Yes"))</f>
        <v>Yes</v>
      </c>
      <c r="H13" s="41" t="n">
        <f aca="false">IF(G13="Yes",INDEX('Kitting Plan'!$D$6:$D$19,MATCH(B13,'Kitting Plan'!$B$6:$B$19,0)),"")</f>
        <v>1</v>
      </c>
      <c r="I13" s="41" t="n">
        <f aca="false">IF(A13="","",IF(ISNUMBER(SEARCH("PRT",E13)),D13,0))</f>
        <v>1</v>
      </c>
      <c r="J13" s="41" t="n">
        <f aca="false">IF(A13="","",IF(ISNUMBER(SEARCH("GMPS",E13)),D13,0))</f>
        <v>0</v>
      </c>
      <c r="K13" s="41" t="n">
        <f aca="false">IF(A13="","",IF(ISNUMBER(SEARCH("DLV",E13)),D13,0))</f>
        <v>0</v>
      </c>
      <c r="L13" s="41" t="str">
        <f aca="false">IF(A13="","",IF(K13&gt;0,"Delivered",IF(ISNUMBER(SEARCH("CNF",E13)),"In production",IF(J13&gt;0,"Issued",IF(I13&gt;0,"Kitted","Released")))))</f>
        <v>Kitted</v>
      </c>
      <c r="M13" s="41" t="n">
        <f aca="false">IF(G13&lt;&gt;"Yes","",COUNTIFS($B$6:$B$1505,B13,$F$6:$F$1505,"&lt;"&amp;F13)+COUNTIFS($B$6:$B$1505,B13,$F$6:$F$1505,F13,$A$6:$A$1505,"&lt;="&amp;A13))</f>
        <v>13</v>
      </c>
      <c r="N13" s="41" t="n">
        <f aca="false">IF(M13="","",ROUNDUP(M13/H13,0))</f>
        <v>13</v>
      </c>
      <c r="O13" s="41" t="str">
        <f aca="false">IF(N13="","",IF(N13&lt;='Kitting Plan'!$C$3,"Rep "&amp;N13,"Surplus"))</f>
        <v>Rep 13</v>
      </c>
    </row>
    <row r="14" customFormat="false" ht="15" hidden="false" customHeight="false" outlineLevel="0" collapsed="false">
      <c r="A14" s="40" t="n">
        <f aca="false">IF(OR($A$4=0,INDEX('COOIS Raw'!$A:$GZ,ROW()-4,$A$4)=""),"",IFERROR(--INDEX('COOIS Raw'!$A:$GZ,ROW()-4,$A$4),INDEX('COOIS Raw'!$A:$GZ,ROW()-4,$A$4)))</f>
        <v>100880191</v>
      </c>
      <c r="B14" s="41" t="str">
        <f aca="false">IF(A14="","",TRIM(INDEX('COOIS Raw'!$A:$GZ,ROW()-4,$B$4)))</f>
        <v>92YFD04548BBA</v>
      </c>
      <c r="C14" s="42" t="str">
        <f aca="false">IF(OR(A14="",$C$4=0),"",INDEX('COOIS Raw'!$A:$GZ,ROW()-4,$C$4))</f>
        <v>R5B OPF ASSEMBLY (4P-4FP) BOAT 2/3 - E2A</v>
      </c>
      <c r="D14" s="41" t="n">
        <f aca="false">IF(A14="","",IF($D$4=0,1,IFERROR(--INDEX('COOIS Raw'!$A:$GZ,ROW()-4,$D$4),1)))</f>
        <v>1</v>
      </c>
      <c r="E14" s="42" t="str">
        <f aca="false">IF(A14="","",INDEX('COOIS Raw'!$A:$GZ,ROW()-4,$E$4)&amp;"")</f>
        <v>REL PRT PRC MANC SETC</v>
      </c>
      <c r="F14" s="43" t="n">
        <f aca="false">IF(A14="","",IFERROR(DATEVALUE(INDEX('COOIS Raw'!$A:$GZ,ROW()-4,$F$4)),INDEX('COOIS Raw'!$A:$GZ,ROW()-4,$F$4)))</f>
        <v>46297</v>
      </c>
      <c r="G14" s="41" t="str">
        <f aca="false">IF(A14="","",IF(ISNA(MATCH(B14,'Kitting Plan'!$B$6:$B$19,0)),"Not in plan","Yes"))</f>
        <v>Yes</v>
      </c>
      <c r="H14" s="41" t="n">
        <f aca="false">IF(G14="Yes",INDEX('Kitting Plan'!$D$6:$D$19,MATCH(B14,'Kitting Plan'!$B$6:$B$19,0)),"")</f>
        <v>2</v>
      </c>
      <c r="I14" s="41" t="n">
        <f aca="false">IF(A14="","",IF(ISNUMBER(SEARCH("PRT",E14)),D14,0))</f>
        <v>1</v>
      </c>
      <c r="J14" s="41" t="n">
        <f aca="false">IF(A14="","",IF(ISNUMBER(SEARCH("GMPS",E14)),D14,0))</f>
        <v>0</v>
      </c>
      <c r="K14" s="41" t="n">
        <f aca="false">IF(A14="","",IF(ISNUMBER(SEARCH("DLV",E14)),D14,0))</f>
        <v>0</v>
      </c>
      <c r="L14" s="41" t="str">
        <f aca="false">IF(A14="","",IF(K14&gt;0,"Delivered",IF(ISNUMBER(SEARCH("CNF",E14)),"In production",IF(J14&gt;0,"Issued",IF(I14&gt;0,"Kitted","Released")))))</f>
        <v>Kitted</v>
      </c>
      <c r="M14" s="41" t="n">
        <f aca="false">IF(G14&lt;&gt;"Yes","",COUNTIFS($B$6:$B$1505,B14,$F$6:$F$1505,"&lt;"&amp;F14)+COUNTIFS($B$6:$B$1505,B14,$F$6:$F$1505,F14,$A$6:$A$1505,"&lt;="&amp;A14))</f>
        <v>23</v>
      </c>
      <c r="N14" s="41" t="n">
        <f aca="false">IF(M14="","",ROUNDUP(M14/H14,0))</f>
        <v>12</v>
      </c>
      <c r="O14" s="41" t="str">
        <f aca="false">IF(N14="","",IF(N14&lt;='Kitting Plan'!$C$3,"Rep "&amp;N14,"Surplus"))</f>
        <v>Rep 12</v>
      </c>
    </row>
    <row r="15" customFormat="false" ht="15" hidden="false" customHeight="false" outlineLevel="0" collapsed="false">
      <c r="A15" s="40" t="n">
        <f aca="false">IF(OR($A$4=0,INDEX('COOIS Raw'!$A:$GZ,ROW()-4,$A$4)=""),"",IFERROR(--INDEX('COOIS Raw'!$A:$GZ,ROW()-4,$A$4),INDEX('COOIS Raw'!$A:$GZ,ROW()-4,$A$4)))</f>
        <v>100880192</v>
      </c>
      <c r="B15" s="41" t="str">
        <f aca="false">IF(A15="","",TRIM(INDEX('COOIS Raw'!$A:$GZ,ROW()-4,$B$4)))</f>
        <v>92YFD04548BBA</v>
      </c>
      <c r="C15" s="42" t="str">
        <f aca="false">IF(OR(A15="",$C$4=0),"",INDEX('COOIS Raw'!$A:$GZ,ROW()-4,$C$4))</f>
        <v>R5B OPF ASSEMBLY (4P-4FP) BOAT 2/3 - E2A</v>
      </c>
      <c r="D15" s="41" t="n">
        <f aca="false">IF(A15="","",IF($D$4=0,1,IFERROR(--INDEX('COOIS Raw'!$A:$GZ,ROW()-4,$D$4),1)))</f>
        <v>1</v>
      </c>
      <c r="E15" s="42" t="str">
        <f aca="false">IF(A15="","",INDEX('COOIS Raw'!$A:$GZ,ROW()-4,$E$4)&amp;"")</f>
        <v>REL PRT PRC MANC SETC</v>
      </c>
      <c r="F15" s="43" t="n">
        <f aca="false">IF(A15="","",IFERROR(DATEVALUE(INDEX('COOIS Raw'!$A:$GZ,ROW()-4,$F$4)),INDEX('COOIS Raw'!$A:$GZ,ROW()-4,$F$4)))</f>
        <v>46297</v>
      </c>
      <c r="G15" s="41" t="str">
        <f aca="false">IF(A15="","",IF(ISNA(MATCH(B15,'Kitting Plan'!$B$6:$B$19,0)),"Not in plan","Yes"))</f>
        <v>Yes</v>
      </c>
      <c r="H15" s="41" t="n">
        <f aca="false">IF(G15="Yes",INDEX('Kitting Plan'!$D$6:$D$19,MATCH(B15,'Kitting Plan'!$B$6:$B$19,0)),"")</f>
        <v>2</v>
      </c>
      <c r="I15" s="41" t="n">
        <f aca="false">IF(A15="","",IF(ISNUMBER(SEARCH("PRT",E15)),D15,0))</f>
        <v>1</v>
      </c>
      <c r="J15" s="41" t="n">
        <f aca="false">IF(A15="","",IF(ISNUMBER(SEARCH("GMPS",E15)),D15,0))</f>
        <v>0</v>
      </c>
      <c r="K15" s="41" t="n">
        <f aca="false">IF(A15="","",IF(ISNUMBER(SEARCH("DLV",E15)),D15,0))</f>
        <v>0</v>
      </c>
      <c r="L15" s="41" t="str">
        <f aca="false">IF(A15="","",IF(K15&gt;0,"Delivered",IF(ISNUMBER(SEARCH("CNF",E15)),"In production",IF(J15&gt;0,"Issued",IF(I15&gt;0,"Kitted","Released")))))</f>
        <v>Kitted</v>
      </c>
      <c r="M15" s="41" t="n">
        <f aca="false">IF(G15&lt;&gt;"Yes","",COUNTIFS($B$6:$B$1505,B15,$F$6:$F$1505,"&lt;"&amp;F15)+COUNTIFS($B$6:$B$1505,B15,$F$6:$F$1505,F15,$A$6:$A$1505,"&lt;="&amp;A15))</f>
        <v>24</v>
      </c>
      <c r="N15" s="41" t="n">
        <f aca="false">IF(M15="","",ROUNDUP(M15/H15,0))</f>
        <v>12</v>
      </c>
      <c r="O15" s="41" t="str">
        <f aca="false">IF(N15="","",IF(N15&lt;='Kitting Plan'!$C$3,"Rep "&amp;N15,"Surplus"))</f>
        <v>Rep 12</v>
      </c>
    </row>
    <row r="16" customFormat="false" ht="15" hidden="false" customHeight="false" outlineLevel="0" collapsed="false">
      <c r="A16" s="40" t="n">
        <f aca="false">IF(OR($A$4=0,INDEX('COOIS Raw'!$A:$GZ,ROW()-4,$A$4)=""),"",IFERROR(--INDEX('COOIS Raw'!$A:$GZ,ROW()-4,$A$4),INDEX('COOIS Raw'!$A:$GZ,ROW()-4,$A$4)))</f>
        <v>100880193</v>
      </c>
      <c r="B16" s="41" t="str">
        <f aca="false">IF(A16="","",TRIM(INDEX('COOIS Raw'!$A:$GZ,ROW()-4,$B$4)))</f>
        <v>92YWS04548AAA</v>
      </c>
      <c r="C16" s="42" t="str">
        <f aca="false">IF(OR(A16="",$C$4=0),"",INDEX('COOIS Raw'!$A:$GZ,ROW()-4,$C$4))</f>
        <v>R5B 4FP POB LUMENTUM SUB ASSEMBLY - E2A</v>
      </c>
      <c r="D16" s="41" t="n">
        <f aca="false">IF(A16="","",IF($D$4=0,1,IFERROR(--INDEX('COOIS Raw'!$A:$GZ,ROW()-4,$D$4),1)))</f>
        <v>1</v>
      </c>
      <c r="E16" s="42" t="str">
        <f aca="false">IF(A16="","",INDEX('COOIS Raw'!$A:$GZ,ROW()-4,$E$4)&amp;"")</f>
        <v>REL PRT PRC MANC SETC</v>
      </c>
      <c r="F16" s="43" t="n">
        <f aca="false">IF(A16="","",IFERROR(DATEVALUE(INDEX('COOIS Raw'!$A:$GZ,ROW()-4,$F$4)),INDEX('COOIS Raw'!$A:$GZ,ROW()-4,$F$4)))</f>
        <v>46297</v>
      </c>
      <c r="G16" s="41" t="str">
        <f aca="false">IF(A16="","",IF(ISNA(MATCH(B16,'Kitting Plan'!$B$6:$B$19,0)),"Not in plan","Yes"))</f>
        <v>Yes</v>
      </c>
      <c r="H16" s="41" t="n">
        <f aca="false">IF(G16="Yes",INDEX('Kitting Plan'!$D$6:$D$19,MATCH(B16,'Kitting Plan'!$B$6:$B$19,0)),"")</f>
        <v>3</v>
      </c>
      <c r="I16" s="41" t="n">
        <f aca="false">IF(A16="","",IF(ISNUMBER(SEARCH("PRT",E16)),D16,0))</f>
        <v>1</v>
      </c>
      <c r="J16" s="41" t="n">
        <f aca="false">IF(A16="","",IF(ISNUMBER(SEARCH("GMPS",E16)),D16,0))</f>
        <v>0</v>
      </c>
      <c r="K16" s="41" t="n">
        <f aca="false">IF(A16="","",IF(ISNUMBER(SEARCH("DLV",E16)),D16,0))</f>
        <v>0</v>
      </c>
      <c r="L16" s="41" t="str">
        <f aca="false">IF(A16="","",IF(K16&gt;0,"Delivered",IF(ISNUMBER(SEARCH("CNF",E16)),"In production",IF(J16&gt;0,"Issued",IF(I16&gt;0,"Kitted","Released")))))</f>
        <v>Kitted</v>
      </c>
      <c r="M16" s="41" t="n">
        <f aca="false">IF(G16&lt;&gt;"Yes","",COUNTIFS($B$6:$B$1505,B16,$F$6:$F$1505,"&lt;"&amp;F16)+COUNTIFS($B$6:$B$1505,B16,$F$6:$F$1505,F16,$A$6:$A$1505,"&lt;="&amp;A16))</f>
        <v>34</v>
      </c>
      <c r="N16" s="41" t="n">
        <f aca="false">IF(M16="","",ROUNDUP(M16/H16,0))</f>
        <v>12</v>
      </c>
      <c r="O16" s="41" t="str">
        <f aca="false">IF(N16="","",IF(N16&lt;='Kitting Plan'!$C$3,"Rep "&amp;N16,"Surplus"))</f>
        <v>Rep 12</v>
      </c>
    </row>
    <row r="17" customFormat="false" ht="15" hidden="false" customHeight="false" outlineLevel="0" collapsed="false">
      <c r="A17" s="40" t="n">
        <f aca="false">IF(OR($A$4=0,INDEX('COOIS Raw'!$A:$GZ,ROW()-4,$A$4)=""),"",IFERROR(--INDEX('COOIS Raw'!$A:$GZ,ROW()-4,$A$4),INDEX('COOIS Raw'!$A:$GZ,ROW()-4,$A$4)))</f>
        <v>100880194</v>
      </c>
      <c r="B17" s="41" t="str">
        <f aca="false">IF(A17="","",TRIM(INDEX('COOIS Raw'!$A:$GZ,ROW()-4,$B$4)))</f>
        <v>92YWS04548AAA</v>
      </c>
      <c r="C17" s="42" t="str">
        <f aca="false">IF(OR(A17="",$C$4=0),"",INDEX('COOIS Raw'!$A:$GZ,ROW()-4,$C$4))</f>
        <v>R5B 4FP POB LUMENTUM SUB ASSEMBLY - E2A</v>
      </c>
      <c r="D17" s="41" t="n">
        <f aca="false">IF(A17="","",IF($D$4=0,1,IFERROR(--INDEX('COOIS Raw'!$A:$GZ,ROW()-4,$D$4),1)))</f>
        <v>1</v>
      </c>
      <c r="E17" s="42" t="str">
        <f aca="false">IF(A17="","",INDEX('COOIS Raw'!$A:$GZ,ROW()-4,$E$4)&amp;"")</f>
        <v>REL PRT PRC MANC SETC</v>
      </c>
      <c r="F17" s="43" t="n">
        <f aca="false">IF(A17="","",IFERROR(DATEVALUE(INDEX('COOIS Raw'!$A:$GZ,ROW()-4,$F$4)),INDEX('COOIS Raw'!$A:$GZ,ROW()-4,$F$4)))</f>
        <v>46297</v>
      </c>
      <c r="G17" s="41" t="str">
        <f aca="false">IF(A17="","",IF(ISNA(MATCH(B17,'Kitting Plan'!$B$6:$B$19,0)),"Not in plan","Yes"))</f>
        <v>Yes</v>
      </c>
      <c r="H17" s="41" t="n">
        <f aca="false">IF(G17="Yes",INDEX('Kitting Plan'!$D$6:$D$19,MATCH(B17,'Kitting Plan'!$B$6:$B$19,0)),"")</f>
        <v>3</v>
      </c>
      <c r="I17" s="41" t="n">
        <f aca="false">IF(A17="","",IF(ISNUMBER(SEARCH("PRT",E17)),D17,0))</f>
        <v>1</v>
      </c>
      <c r="J17" s="41" t="n">
        <f aca="false">IF(A17="","",IF(ISNUMBER(SEARCH("GMPS",E17)),D17,0))</f>
        <v>0</v>
      </c>
      <c r="K17" s="41" t="n">
        <f aca="false">IF(A17="","",IF(ISNUMBER(SEARCH("DLV",E17)),D17,0))</f>
        <v>0</v>
      </c>
      <c r="L17" s="41" t="str">
        <f aca="false">IF(A17="","",IF(K17&gt;0,"Delivered",IF(ISNUMBER(SEARCH("CNF",E17)),"In production",IF(J17&gt;0,"Issued",IF(I17&gt;0,"Kitted","Released")))))</f>
        <v>Kitted</v>
      </c>
      <c r="M17" s="41" t="n">
        <f aca="false">IF(G17&lt;&gt;"Yes","",COUNTIFS($B$6:$B$1505,B17,$F$6:$F$1505,"&lt;"&amp;F17)+COUNTIFS($B$6:$B$1505,B17,$F$6:$F$1505,F17,$A$6:$A$1505,"&lt;="&amp;A17))</f>
        <v>35</v>
      </c>
      <c r="N17" s="41" t="n">
        <f aca="false">IF(M17="","",ROUNDUP(M17/H17,0))</f>
        <v>12</v>
      </c>
      <c r="O17" s="41" t="str">
        <f aca="false">IF(N17="","",IF(N17&lt;='Kitting Plan'!$C$3,"Rep "&amp;N17,"Surplus"))</f>
        <v>Rep 12</v>
      </c>
    </row>
    <row r="18" customFormat="false" ht="15" hidden="false" customHeight="false" outlineLevel="0" collapsed="false">
      <c r="A18" s="40" t="n">
        <f aca="false">IF(OR($A$4=0,INDEX('COOIS Raw'!$A:$GZ,ROW()-4,$A$4)=""),"",IFERROR(--INDEX('COOIS Raw'!$A:$GZ,ROW()-4,$A$4),INDEX('COOIS Raw'!$A:$GZ,ROW()-4,$A$4)))</f>
        <v>100880195</v>
      </c>
      <c r="B18" s="41" t="str">
        <f aca="false">IF(A18="","",TRIM(INDEX('COOIS Raw'!$A:$GZ,ROW()-4,$B$4)))</f>
        <v>92YWS04548AAA</v>
      </c>
      <c r="C18" s="42" t="str">
        <f aca="false">IF(OR(A18="",$C$4=0),"",INDEX('COOIS Raw'!$A:$GZ,ROW()-4,$C$4))</f>
        <v>R5B 4FP POB LUMENTUM SUB ASSEMBLY - E2A</v>
      </c>
      <c r="D18" s="41" t="n">
        <f aca="false">IF(A18="","",IF($D$4=0,1,IFERROR(--INDEX('COOIS Raw'!$A:$GZ,ROW()-4,$D$4),1)))</f>
        <v>1</v>
      </c>
      <c r="E18" s="42" t="str">
        <f aca="false">IF(A18="","",INDEX('COOIS Raw'!$A:$GZ,ROW()-4,$E$4)&amp;"")</f>
        <v>REL PRT PRC MANC SETC</v>
      </c>
      <c r="F18" s="43" t="n">
        <f aca="false">IF(A18="","",IFERROR(DATEVALUE(INDEX('COOIS Raw'!$A:$GZ,ROW()-4,$F$4)),INDEX('COOIS Raw'!$A:$GZ,ROW()-4,$F$4)))</f>
        <v>46297</v>
      </c>
      <c r="G18" s="41" t="str">
        <f aca="false">IF(A18="","",IF(ISNA(MATCH(B18,'Kitting Plan'!$B$6:$B$19,0)),"Not in plan","Yes"))</f>
        <v>Yes</v>
      </c>
      <c r="H18" s="41" t="n">
        <f aca="false">IF(G18="Yes",INDEX('Kitting Plan'!$D$6:$D$19,MATCH(B18,'Kitting Plan'!$B$6:$B$19,0)),"")</f>
        <v>3</v>
      </c>
      <c r="I18" s="41" t="n">
        <f aca="false">IF(A18="","",IF(ISNUMBER(SEARCH("PRT",E18)),D18,0))</f>
        <v>1</v>
      </c>
      <c r="J18" s="41" t="n">
        <f aca="false">IF(A18="","",IF(ISNUMBER(SEARCH("GMPS",E18)),D18,0))</f>
        <v>0</v>
      </c>
      <c r="K18" s="41" t="n">
        <f aca="false">IF(A18="","",IF(ISNUMBER(SEARCH("DLV",E18)),D18,0))</f>
        <v>0</v>
      </c>
      <c r="L18" s="41" t="str">
        <f aca="false">IF(A18="","",IF(K18&gt;0,"Delivered",IF(ISNUMBER(SEARCH("CNF",E18)),"In production",IF(J18&gt;0,"Issued",IF(I18&gt;0,"Kitted","Released")))))</f>
        <v>Kitted</v>
      </c>
      <c r="M18" s="41" t="n">
        <f aca="false">IF(G18&lt;&gt;"Yes","",COUNTIFS($B$6:$B$1505,B18,$F$6:$F$1505,"&lt;"&amp;F18)+COUNTIFS($B$6:$B$1505,B18,$F$6:$F$1505,F18,$A$6:$A$1505,"&lt;="&amp;A18))</f>
        <v>36</v>
      </c>
      <c r="N18" s="41" t="n">
        <f aca="false">IF(M18="","",ROUNDUP(M18/H18,0))</f>
        <v>12</v>
      </c>
      <c r="O18" s="41" t="str">
        <f aca="false">IF(N18="","",IF(N18&lt;='Kitting Plan'!$C$3,"Rep "&amp;N18,"Surplus"))</f>
        <v>Rep 12</v>
      </c>
    </row>
    <row r="19" customFormat="false" ht="15" hidden="false" customHeight="false" outlineLevel="0" collapsed="false">
      <c r="A19" s="40" t="n">
        <f aca="false">IF(OR($A$4=0,INDEX('COOIS Raw'!$A:$GZ,ROW()-4,$A$4)=""),"",IFERROR(--INDEX('COOIS Raw'!$A:$GZ,ROW()-4,$A$4),INDEX('COOIS Raw'!$A:$GZ,ROW()-4,$A$4)))</f>
        <v>100880196</v>
      </c>
      <c r="B19" s="41" t="str">
        <f aca="false">IF(A19="","",TRIM(INDEX('COOIS Raw'!$A:$GZ,ROW()-4,$B$4)))</f>
        <v>92RRA00548AAA</v>
      </c>
      <c r="C19" s="42" t="str">
        <f aca="false">IF(OR(A19="",$C$4=0),"",INDEX('COOIS Raw'!$A:$GZ,ROW()-4,$C$4))</f>
        <v>R5B ERBIUM SPOOL ASSEMBLY - E2A</v>
      </c>
      <c r="D19" s="41" t="n">
        <f aca="false">IF(A19="","",IF($D$4=0,1,IFERROR(--INDEX('COOIS Raw'!$A:$GZ,ROW()-4,$D$4),1)))</f>
        <v>1</v>
      </c>
      <c r="E19" s="42" t="str">
        <f aca="false">IF(A19="","",INDEX('COOIS Raw'!$A:$GZ,ROW()-4,$E$4)&amp;"")</f>
        <v>REL PRT PRC MANC SETC</v>
      </c>
      <c r="F19" s="43" t="n">
        <f aca="false">IF(A19="","",IFERROR(DATEVALUE(INDEX('COOIS Raw'!$A:$GZ,ROW()-4,$F$4)),INDEX('COOIS Raw'!$A:$GZ,ROW()-4,$F$4)))</f>
        <v>46297</v>
      </c>
      <c r="G19" s="41" t="str">
        <f aca="false">IF(A19="","",IF(ISNA(MATCH(B19,'Kitting Plan'!$B$6:$B$19,0)),"Not in plan","Yes"))</f>
        <v>Yes</v>
      </c>
      <c r="H19" s="41" t="n">
        <f aca="false">IF(G19="Yes",INDEX('Kitting Plan'!$D$6:$D$19,MATCH(B19,'Kitting Plan'!$B$6:$B$19,0)),"")</f>
        <v>24</v>
      </c>
      <c r="I19" s="41" t="n">
        <f aca="false">IF(A19="","",IF(ISNUMBER(SEARCH("PRT",E19)),D19,0))</f>
        <v>1</v>
      </c>
      <c r="J19" s="41" t="n">
        <f aca="false">IF(A19="","",IF(ISNUMBER(SEARCH("GMPS",E19)),D19,0))</f>
        <v>0</v>
      </c>
      <c r="K19" s="41" t="n">
        <f aca="false">IF(A19="","",IF(ISNUMBER(SEARCH("DLV",E19)),D19,0))</f>
        <v>0</v>
      </c>
      <c r="L19" s="41" t="str">
        <f aca="false">IF(A19="","",IF(K19&gt;0,"Delivered",IF(ISNUMBER(SEARCH("CNF",E19)),"In production",IF(J19&gt;0,"Issued",IF(I19&gt;0,"Kitted","Released")))))</f>
        <v>Kitted</v>
      </c>
      <c r="M19" s="41" t="n">
        <f aca="false">IF(G19&lt;&gt;"Yes","",COUNTIFS($B$6:$B$1505,B19,$F$6:$F$1505,"&lt;"&amp;F19)+COUNTIFS($B$6:$B$1505,B19,$F$6:$F$1505,F19,$A$6:$A$1505,"&lt;="&amp;A19))</f>
        <v>275</v>
      </c>
      <c r="N19" s="41" t="n">
        <f aca="false">IF(M19="","",ROUNDUP(M19/H19,0))</f>
        <v>12</v>
      </c>
      <c r="O19" s="41" t="str">
        <f aca="false">IF(N19="","",IF(N19&lt;='Kitting Plan'!$C$3,"Rep "&amp;N19,"Surplus"))</f>
        <v>Rep 12</v>
      </c>
    </row>
    <row r="20" customFormat="false" ht="15" hidden="false" customHeight="false" outlineLevel="0" collapsed="false">
      <c r="A20" s="40" t="n">
        <f aca="false">IF(OR($A$4=0,INDEX('COOIS Raw'!$A:$GZ,ROW()-4,$A$4)=""),"",IFERROR(--INDEX('COOIS Raw'!$A:$GZ,ROW()-4,$A$4),INDEX('COOIS Raw'!$A:$GZ,ROW()-4,$A$4)))</f>
        <v>100880197</v>
      </c>
      <c r="B20" s="41" t="str">
        <f aca="false">IF(A20="","",TRIM(INDEX('COOIS Raw'!$A:$GZ,ROW()-4,$B$4)))</f>
        <v>92RRA00548AAA</v>
      </c>
      <c r="C20" s="42" t="str">
        <f aca="false">IF(OR(A20="",$C$4=0),"",INDEX('COOIS Raw'!$A:$GZ,ROW()-4,$C$4))</f>
        <v>R5B ERBIUM SPOOL ASSEMBLY - E2A</v>
      </c>
      <c r="D20" s="41" t="n">
        <f aca="false">IF(A20="","",IF($D$4=0,1,IFERROR(--INDEX('COOIS Raw'!$A:$GZ,ROW()-4,$D$4),1)))</f>
        <v>1</v>
      </c>
      <c r="E20" s="42" t="str">
        <f aca="false">IF(A20="","",INDEX('COOIS Raw'!$A:$GZ,ROW()-4,$E$4)&amp;"")</f>
        <v>REL PRT PRC MANC SETC</v>
      </c>
      <c r="F20" s="43" t="n">
        <f aca="false">IF(A20="","",IFERROR(DATEVALUE(INDEX('COOIS Raw'!$A:$GZ,ROW()-4,$F$4)),INDEX('COOIS Raw'!$A:$GZ,ROW()-4,$F$4)))</f>
        <v>46297</v>
      </c>
      <c r="G20" s="41" t="str">
        <f aca="false">IF(A20="","",IF(ISNA(MATCH(B20,'Kitting Plan'!$B$6:$B$19,0)),"Not in plan","Yes"))</f>
        <v>Yes</v>
      </c>
      <c r="H20" s="41" t="n">
        <f aca="false">IF(G20="Yes",INDEX('Kitting Plan'!$D$6:$D$19,MATCH(B20,'Kitting Plan'!$B$6:$B$19,0)),"")</f>
        <v>24</v>
      </c>
      <c r="I20" s="41" t="n">
        <f aca="false">IF(A20="","",IF(ISNUMBER(SEARCH("PRT",E20)),D20,0))</f>
        <v>1</v>
      </c>
      <c r="J20" s="41" t="n">
        <f aca="false">IF(A20="","",IF(ISNUMBER(SEARCH("GMPS",E20)),D20,0))</f>
        <v>0</v>
      </c>
      <c r="K20" s="41" t="n">
        <f aca="false">IF(A20="","",IF(ISNUMBER(SEARCH("DLV",E20)),D20,0))</f>
        <v>0</v>
      </c>
      <c r="L20" s="41" t="str">
        <f aca="false">IF(A20="","",IF(K20&gt;0,"Delivered",IF(ISNUMBER(SEARCH("CNF",E20)),"In production",IF(J20&gt;0,"Issued",IF(I20&gt;0,"Kitted","Released")))))</f>
        <v>Kitted</v>
      </c>
      <c r="M20" s="41" t="n">
        <f aca="false">IF(G20&lt;&gt;"Yes","",COUNTIFS($B$6:$B$1505,B20,$F$6:$F$1505,"&lt;"&amp;F20)+COUNTIFS($B$6:$B$1505,B20,$F$6:$F$1505,F20,$A$6:$A$1505,"&lt;="&amp;A20))</f>
        <v>276</v>
      </c>
      <c r="N20" s="41" t="n">
        <f aca="false">IF(M20="","",ROUNDUP(M20/H20,0))</f>
        <v>12</v>
      </c>
      <c r="O20" s="41" t="str">
        <f aca="false">IF(N20="","",IF(N20&lt;='Kitting Plan'!$C$3,"Rep "&amp;N20,"Surplus"))</f>
        <v>Rep 12</v>
      </c>
    </row>
    <row r="21" customFormat="false" ht="15" hidden="false" customHeight="false" outlineLevel="0" collapsed="false">
      <c r="A21" s="40" t="n">
        <f aca="false">IF(OR($A$4=0,INDEX('COOIS Raw'!$A:$GZ,ROW()-4,$A$4)=""),"",IFERROR(--INDEX('COOIS Raw'!$A:$GZ,ROW()-4,$A$4),INDEX('COOIS Raw'!$A:$GZ,ROW()-4,$A$4)))</f>
        <v>100880198</v>
      </c>
      <c r="B21" s="41" t="str">
        <f aca="false">IF(A21="","",TRIM(INDEX('COOIS Raw'!$A:$GZ,ROW()-4,$B$4)))</f>
        <v>92RRA00548AAA</v>
      </c>
      <c r="C21" s="42" t="str">
        <f aca="false">IF(OR(A21="",$C$4=0),"",INDEX('COOIS Raw'!$A:$GZ,ROW()-4,$C$4))</f>
        <v>R5B ERBIUM SPOOL ASSEMBLY - E2A</v>
      </c>
      <c r="D21" s="41" t="n">
        <f aca="false">IF(A21="","",IF($D$4=0,1,IFERROR(--INDEX('COOIS Raw'!$A:$GZ,ROW()-4,$D$4),1)))</f>
        <v>1</v>
      </c>
      <c r="E21" s="42" t="str">
        <f aca="false">IF(A21="","",INDEX('COOIS Raw'!$A:$GZ,ROW()-4,$E$4)&amp;"")</f>
        <v>REL PRT PRC MANC SETC</v>
      </c>
      <c r="F21" s="43" t="n">
        <f aca="false">IF(A21="","",IFERROR(DATEVALUE(INDEX('COOIS Raw'!$A:$GZ,ROW()-4,$F$4)),INDEX('COOIS Raw'!$A:$GZ,ROW()-4,$F$4)))</f>
        <v>46297</v>
      </c>
      <c r="G21" s="41" t="str">
        <f aca="false">IF(A21="","",IF(ISNA(MATCH(B21,'Kitting Plan'!$B$6:$B$19,0)),"Not in plan","Yes"))</f>
        <v>Yes</v>
      </c>
      <c r="H21" s="41" t="n">
        <f aca="false">IF(G21="Yes",INDEX('Kitting Plan'!$D$6:$D$19,MATCH(B21,'Kitting Plan'!$B$6:$B$19,0)),"")</f>
        <v>24</v>
      </c>
      <c r="I21" s="41" t="n">
        <f aca="false">IF(A21="","",IF(ISNUMBER(SEARCH("PRT",E21)),D21,0))</f>
        <v>1</v>
      </c>
      <c r="J21" s="41" t="n">
        <f aca="false">IF(A21="","",IF(ISNUMBER(SEARCH("GMPS",E21)),D21,0))</f>
        <v>0</v>
      </c>
      <c r="K21" s="41" t="n">
        <f aca="false">IF(A21="","",IF(ISNUMBER(SEARCH("DLV",E21)),D21,0))</f>
        <v>0</v>
      </c>
      <c r="L21" s="41" t="str">
        <f aca="false">IF(A21="","",IF(K21&gt;0,"Delivered",IF(ISNUMBER(SEARCH("CNF",E21)),"In production",IF(J21&gt;0,"Issued",IF(I21&gt;0,"Kitted","Released")))))</f>
        <v>Kitted</v>
      </c>
      <c r="M21" s="41" t="n">
        <f aca="false">IF(G21&lt;&gt;"Yes","",COUNTIFS($B$6:$B$1505,B21,$F$6:$F$1505,"&lt;"&amp;F21)+COUNTIFS($B$6:$B$1505,B21,$F$6:$F$1505,F21,$A$6:$A$1505,"&lt;="&amp;A21))</f>
        <v>277</v>
      </c>
      <c r="N21" s="41" t="n">
        <f aca="false">IF(M21="","",ROUNDUP(M21/H21,0))</f>
        <v>12</v>
      </c>
      <c r="O21" s="41" t="str">
        <f aca="false">IF(N21="","",IF(N21&lt;='Kitting Plan'!$C$3,"Rep "&amp;N21,"Surplus"))</f>
        <v>Rep 12</v>
      </c>
    </row>
    <row r="22" customFormat="false" ht="15" hidden="false" customHeight="false" outlineLevel="0" collapsed="false">
      <c r="A22" s="40" t="n">
        <f aca="false">IF(OR($A$4=0,INDEX('COOIS Raw'!$A:$GZ,ROW()-4,$A$4)=""),"",IFERROR(--INDEX('COOIS Raw'!$A:$GZ,ROW()-4,$A$4),INDEX('COOIS Raw'!$A:$GZ,ROW()-4,$A$4)))</f>
        <v>100880199</v>
      </c>
      <c r="B22" s="41" t="str">
        <f aca="false">IF(A22="","",TRIM(INDEX('COOIS Raw'!$A:$GZ,ROW()-4,$B$4)))</f>
        <v>92RRA00548AAA</v>
      </c>
      <c r="C22" s="42" t="str">
        <f aca="false">IF(OR(A22="",$C$4=0),"",INDEX('COOIS Raw'!$A:$GZ,ROW()-4,$C$4))</f>
        <v>R5B ERBIUM SPOOL ASSEMBLY - E2A</v>
      </c>
      <c r="D22" s="41" t="n">
        <f aca="false">IF(A22="","",IF($D$4=0,1,IFERROR(--INDEX('COOIS Raw'!$A:$GZ,ROW()-4,$D$4),1)))</f>
        <v>1</v>
      </c>
      <c r="E22" s="42" t="str">
        <f aca="false">IF(A22="","",INDEX('COOIS Raw'!$A:$GZ,ROW()-4,$E$4)&amp;"")</f>
        <v>REL PRT PRC MANC SETC</v>
      </c>
      <c r="F22" s="43" t="n">
        <f aca="false">IF(A22="","",IFERROR(DATEVALUE(INDEX('COOIS Raw'!$A:$GZ,ROW()-4,$F$4)),INDEX('COOIS Raw'!$A:$GZ,ROW()-4,$F$4)))</f>
        <v>46297</v>
      </c>
      <c r="G22" s="41" t="str">
        <f aca="false">IF(A22="","",IF(ISNA(MATCH(B22,'Kitting Plan'!$B$6:$B$19,0)),"Not in plan","Yes"))</f>
        <v>Yes</v>
      </c>
      <c r="H22" s="41" t="n">
        <f aca="false">IF(G22="Yes",INDEX('Kitting Plan'!$D$6:$D$19,MATCH(B22,'Kitting Plan'!$B$6:$B$19,0)),"")</f>
        <v>24</v>
      </c>
      <c r="I22" s="41" t="n">
        <f aca="false">IF(A22="","",IF(ISNUMBER(SEARCH("PRT",E22)),D22,0))</f>
        <v>1</v>
      </c>
      <c r="J22" s="41" t="n">
        <f aca="false">IF(A22="","",IF(ISNUMBER(SEARCH("GMPS",E22)),D22,0))</f>
        <v>0</v>
      </c>
      <c r="K22" s="41" t="n">
        <f aca="false">IF(A22="","",IF(ISNUMBER(SEARCH("DLV",E22)),D22,0))</f>
        <v>0</v>
      </c>
      <c r="L22" s="41" t="str">
        <f aca="false">IF(A22="","",IF(K22&gt;0,"Delivered",IF(ISNUMBER(SEARCH("CNF",E22)),"In production",IF(J22&gt;0,"Issued",IF(I22&gt;0,"Kitted","Released")))))</f>
        <v>Kitted</v>
      </c>
      <c r="M22" s="41" t="n">
        <f aca="false">IF(G22&lt;&gt;"Yes","",COUNTIFS($B$6:$B$1505,B22,$F$6:$F$1505,"&lt;"&amp;F22)+COUNTIFS($B$6:$B$1505,B22,$F$6:$F$1505,F22,$A$6:$A$1505,"&lt;="&amp;A22))</f>
        <v>278</v>
      </c>
      <c r="N22" s="41" t="n">
        <f aca="false">IF(M22="","",ROUNDUP(M22/H22,0))</f>
        <v>12</v>
      </c>
      <c r="O22" s="41" t="str">
        <f aca="false">IF(N22="","",IF(N22&lt;='Kitting Plan'!$C$3,"Rep "&amp;N22,"Surplus"))</f>
        <v>Rep 12</v>
      </c>
    </row>
    <row r="23" customFormat="false" ht="15" hidden="false" customHeight="false" outlineLevel="0" collapsed="false">
      <c r="A23" s="40" t="n">
        <f aca="false">IF(OR($A$4=0,INDEX('COOIS Raw'!$A:$GZ,ROW()-4,$A$4)=""),"",IFERROR(--INDEX('COOIS Raw'!$A:$GZ,ROW()-4,$A$4),INDEX('COOIS Raw'!$A:$GZ,ROW()-4,$A$4)))</f>
        <v>100880200</v>
      </c>
      <c r="B23" s="41" t="str">
        <f aca="false">IF(A23="","",TRIM(INDEX('COOIS Raw'!$A:$GZ,ROW()-4,$B$4)))</f>
        <v>92RRA00548AAA</v>
      </c>
      <c r="C23" s="42" t="str">
        <f aca="false">IF(OR(A23="",$C$4=0),"",INDEX('COOIS Raw'!$A:$GZ,ROW()-4,$C$4))</f>
        <v>R5B ERBIUM SPOOL ASSEMBLY - E2A</v>
      </c>
      <c r="D23" s="41" t="n">
        <f aca="false">IF(A23="","",IF($D$4=0,1,IFERROR(--INDEX('COOIS Raw'!$A:$GZ,ROW()-4,$D$4),1)))</f>
        <v>1</v>
      </c>
      <c r="E23" s="42" t="str">
        <f aca="false">IF(A23="","",INDEX('COOIS Raw'!$A:$GZ,ROW()-4,$E$4)&amp;"")</f>
        <v>REL PRT PRC MANC SETC</v>
      </c>
      <c r="F23" s="43" t="n">
        <f aca="false">IF(A23="","",IFERROR(DATEVALUE(INDEX('COOIS Raw'!$A:$GZ,ROW()-4,$F$4)),INDEX('COOIS Raw'!$A:$GZ,ROW()-4,$F$4)))</f>
        <v>46297</v>
      </c>
      <c r="G23" s="41" t="str">
        <f aca="false">IF(A23="","",IF(ISNA(MATCH(B23,'Kitting Plan'!$B$6:$B$19,0)),"Not in plan","Yes"))</f>
        <v>Yes</v>
      </c>
      <c r="H23" s="41" t="n">
        <f aca="false">IF(G23="Yes",INDEX('Kitting Plan'!$D$6:$D$19,MATCH(B23,'Kitting Plan'!$B$6:$B$19,0)),"")</f>
        <v>24</v>
      </c>
      <c r="I23" s="41" t="n">
        <f aca="false">IF(A23="","",IF(ISNUMBER(SEARCH("PRT",E23)),D23,0))</f>
        <v>1</v>
      </c>
      <c r="J23" s="41" t="n">
        <f aca="false">IF(A23="","",IF(ISNUMBER(SEARCH("GMPS",E23)),D23,0))</f>
        <v>0</v>
      </c>
      <c r="K23" s="41" t="n">
        <f aca="false">IF(A23="","",IF(ISNUMBER(SEARCH("DLV",E23)),D23,0))</f>
        <v>0</v>
      </c>
      <c r="L23" s="41" t="str">
        <f aca="false">IF(A23="","",IF(K23&gt;0,"Delivered",IF(ISNUMBER(SEARCH("CNF",E23)),"In production",IF(J23&gt;0,"Issued",IF(I23&gt;0,"Kitted","Released")))))</f>
        <v>Kitted</v>
      </c>
      <c r="M23" s="41" t="n">
        <f aca="false">IF(G23&lt;&gt;"Yes","",COUNTIFS($B$6:$B$1505,B23,$F$6:$F$1505,"&lt;"&amp;F23)+COUNTIFS($B$6:$B$1505,B23,$F$6:$F$1505,F23,$A$6:$A$1505,"&lt;="&amp;A23))</f>
        <v>279</v>
      </c>
      <c r="N23" s="41" t="n">
        <f aca="false">IF(M23="","",ROUNDUP(M23/H23,0))</f>
        <v>12</v>
      </c>
      <c r="O23" s="41" t="str">
        <f aca="false">IF(N23="","",IF(N23&lt;='Kitting Plan'!$C$3,"Rep "&amp;N23,"Surplus"))</f>
        <v>Rep 12</v>
      </c>
    </row>
    <row r="24" customFormat="false" ht="15" hidden="false" customHeight="false" outlineLevel="0" collapsed="false">
      <c r="A24" s="40" t="n">
        <f aca="false">IF(OR($A$4=0,INDEX('COOIS Raw'!$A:$GZ,ROW()-4,$A$4)=""),"",IFERROR(--INDEX('COOIS Raw'!$A:$GZ,ROW()-4,$A$4),INDEX('COOIS Raw'!$A:$GZ,ROW()-4,$A$4)))</f>
        <v>100880201</v>
      </c>
      <c r="B24" s="41" t="str">
        <f aca="false">IF(A24="","",TRIM(INDEX('COOIS Raw'!$A:$GZ,ROW()-4,$B$4)))</f>
        <v>92RRA00548AAA</v>
      </c>
      <c r="C24" s="42" t="str">
        <f aca="false">IF(OR(A24="",$C$4=0),"",INDEX('COOIS Raw'!$A:$GZ,ROW()-4,$C$4))</f>
        <v>R5B ERBIUM SPOOL ASSEMBLY - E2A</v>
      </c>
      <c r="D24" s="41" t="n">
        <f aca="false">IF(A24="","",IF($D$4=0,1,IFERROR(--INDEX('COOIS Raw'!$A:$GZ,ROW()-4,$D$4),1)))</f>
        <v>1</v>
      </c>
      <c r="E24" s="42" t="str">
        <f aca="false">IF(A24="","",INDEX('COOIS Raw'!$A:$GZ,ROW()-4,$E$4)&amp;"")</f>
        <v>REL PRT PRC MANC SETC</v>
      </c>
      <c r="F24" s="43" t="n">
        <f aca="false">IF(A24="","",IFERROR(DATEVALUE(INDEX('COOIS Raw'!$A:$GZ,ROW()-4,$F$4)),INDEX('COOIS Raw'!$A:$GZ,ROW()-4,$F$4)))</f>
        <v>46297</v>
      </c>
      <c r="G24" s="41" t="str">
        <f aca="false">IF(A24="","",IF(ISNA(MATCH(B24,'Kitting Plan'!$B$6:$B$19,0)),"Not in plan","Yes"))</f>
        <v>Yes</v>
      </c>
      <c r="H24" s="41" t="n">
        <f aca="false">IF(G24="Yes",INDEX('Kitting Plan'!$D$6:$D$19,MATCH(B24,'Kitting Plan'!$B$6:$B$19,0)),"")</f>
        <v>24</v>
      </c>
      <c r="I24" s="41" t="n">
        <f aca="false">IF(A24="","",IF(ISNUMBER(SEARCH("PRT",E24)),D24,0))</f>
        <v>1</v>
      </c>
      <c r="J24" s="41" t="n">
        <f aca="false">IF(A24="","",IF(ISNUMBER(SEARCH("GMPS",E24)),D24,0))</f>
        <v>0</v>
      </c>
      <c r="K24" s="41" t="n">
        <f aca="false">IF(A24="","",IF(ISNUMBER(SEARCH("DLV",E24)),D24,0))</f>
        <v>0</v>
      </c>
      <c r="L24" s="41" t="str">
        <f aca="false">IF(A24="","",IF(K24&gt;0,"Delivered",IF(ISNUMBER(SEARCH("CNF",E24)),"In production",IF(J24&gt;0,"Issued",IF(I24&gt;0,"Kitted","Released")))))</f>
        <v>Kitted</v>
      </c>
      <c r="M24" s="41" t="n">
        <f aca="false">IF(G24&lt;&gt;"Yes","",COUNTIFS($B$6:$B$1505,B24,$F$6:$F$1505,"&lt;"&amp;F24)+COUNTIFS($B$6:$B$1505,B24,$F$6:$F$1505,F24,$A$6:$A$1505,"&lt;="&amp;A24))</f>
        <v>280</v>
      </c>
      <c r="N24" s="41" t="n">
        <f aca="false">IF(M24="","",ROUNDUP(M24/H24,0))</f>
        <v>12</v>
      </c>
      <c r="O24" s="41" t="str">
        <f aca="false">IF(N24="","",IF(N24&lt;='Kitting Plan'!$C$3,"Rep "&amp;N24,"Surplus"))</f>
        <v>Rep 12</v>
      </c>
    </row>
    <row r="25" customFormat="false" ht="15" hidden="false" customHeight="false" outlineLevel="0" collapsed="false">
      <c r="A25" s="40" t="n">
        <f aca="false">IF(OR($A$4=0,INDEX('COOIS Raw'!$A:$GZ,ROW()-4,$A$4)=""),"",IFERROR(--INDEX('COOIS Raw'!$A:$GZ,ROW()-4,$A$4),INDEX('COOIS Raw'!$A:$GZ,ROW()-4,$A$4)))</f>
        <v>100880202</v>
      </c>
      <c r="B25" s="41" t="str">
        <f aca="false">IF(A25="","",TRIM(INDEX('COOIS Raw'!$A:$GZ,ROW()-4,$B$4)))</f>
        <v>92RRA00548AAA</v>
      </c>
      <c r="C25" s="42" t="str">
        <f aca="false">IF(OR(A25="",$C$4=0),"",INDEX('COOIS Raw'!$A:$GZ,ROW()-4,$C$4))</f>
        <v>R5B ERBIUM SPOOL ASSEMBLY - E2A</v>
      </c>
      <c r="D25" s="41" t="n">
        <f aca="false">IF(A25="","",IF($D$4=0,1,IFERROR(--INDEX('COOIS Raw'!$A:$GZ,ROW()-4,$D$4),1)))</f>
        <v>1</v>
      </c>
      <c r="E25" s="42" t="str">
        <f aca="false">IF(A25="","",INDEX('COOIS Raw'!$A:$GZ,ROW()-4,$E$4)&amp;"")</f>
        <v>REL PRT PRC MANC SETC</v>
      </c>
      <c r="F25" s="43" t="n">
        <f aca="false">IF(A25="","",IFERROR(DATEVALUE(INDEX('COOIS Raw'!$A:$GZ,ROW()-4,$F$4)),INDEX('COOIS Raw'!$A:$GZ,ROW()-4,$F$4)))</f>
        <v>46297</v>
      </c>
      <c r="G25" s="41" t="str">
        <f aca="false">IF(A25="","",IF(ISNA(MATCH(B25,'Kitting Plan'!$B$6:$B$19,0)),"Not in plan","Yes"))</f>
        <v>Yes</v>
      </c>
      <c r="H25" s="41" t="n">
        <f aca="false">IF(G25="Yes",INDEX('Kitting Plan'!$D$6:$D$19,MATCH(B25,'Kitting Plan'!$B$6:$B$19,0)),"")</f>
        <v>24</v>
      </c>
      <c r="I25" s="41" t="n">
        <f aca="false">IF(A25="","",IF(ISNUMBER(SEARCH("PRT",E25)),D25,0))</f>
        <v>1</v>
      </c>
      <c r="J25" s="41" t="n">
        <f aca="false">IF(A25="","",IF(ISNUMBER(SEARCH("GMPS",E25)),D25,0))</f>
        <v>0</v>
      </c>
      <c r="K25" s="41" t="n">
        <f aca="false">IF(A25="","",IF(ISNUMBER(SEARCH("DLV",E25)),D25,0))</f>
        <v>0</v>
      </c>
      <c r="L25" s="41" t="str">
        <f aca="false">IF(A25="","",IF(K25&gt;0,"Delivered",IF(ISNUMBER(SEARCH("CNF",E25)),"In production",IF(J25&gt;0,"Issued",IF(I25&gt;0,"Kitted","Released")))))</f>
        <v>Kitted</v>
      </c>
      <c r="M25" s="41" t="n">
        <f aca="false">IF(G25&lt;&gt;"Yes","",COUNTIFS($B$6:$B$1505,B25,$F$6:$F$1505,"&lt;"&amp;F25)+COUNTIFS($B$6:$B$1505,B25,$F$6:$F$1505,F25,$A$6:$A$1505,"&lt;="&amp;A25))</f>
        <v>281</v>
      </c>
      <c r="N25" s="41" t="n">
        <f aca="false">IF(M25="","",ROUNDUP(M25/H25,0))</f>
        <v>12</v>
      </c>
      <c r="O25" s="41" t="str">
        <f aca="false">IF(N25="","",IF(N25&lt;='Kitting Plan'!$C$3,"Rep "&amp;N25,"Surplus"))</f>
        <v>Rep 12</v>
      </c>
    </row>
    <row r="26" customFormat="false" ht="15" hidden="false" customHeight="false" outlineLevel="0" collapsed="false">
      <c r="A26" s="40" t="n">
        <f aca="false">IF(OR($A$4=0,INDEX('COOIS Raw'!$A:$GZ,ROW()-4,$A$4)=""),"",IFERROR(--INDEX('COOIS Raw'!$A:$GZ,ROW()-4,$A$4),INDEX('COOIS Raw'!$A:$GZ,ROW()-4,$A$4)))</f>
        <v>100880203</v>
      </c>
      <c r="B26" s="41" t="str">
        <f aca="false">IF(A26="","",TRIM(INDEX('COOIS Raw'!$A:$GZ,ROW()-4,$B$4)))</f>
        <v>92RRA00548AAA</v>
      </c>
      <c r="C26" s="42" t="str">
        <f aca="false">IF(OR(A26="",$C$4=0),"",INDEX('COOIS Raw'!$A:$GZ,ROW()-4,$C$4))</f>
        <v>R5B ERBIUM SPOOL ASSEMBLY - E2A</v>
      </c>
      <c r="D26" s="41" t="n">
        <f aca="false">IF(A26="","",IF($D$4=0,1,IFERROR(--INDEX('COOIS Raw'!$A:$GZ,ROW()-4,$D$4),1)))</f>
        <v>1</v>
      </c>
      <c r="E26" s="42" t="str">
        <f aca="false">IF(A26="","",INDEX('COOIS Raw'!$A:$GZ,ROW()-4,$E$4)&amp;"")</f>
        <v>REL PRT PRC MANC SETC</v>
      </c>
      <c r="F26" s="43" t="n">
        <f aca="false">IF(A26="","",IFERROR(DATEVALUE(INDEX('COOIS Raw'!$A:$GZ,ROW()-4,$F$4)),INDEX('COOIS Raw'!$A:$GZ,ROW()-4,$F$4)))</f>
        <v>46297</v>
      </c>
      <c r="G26" s="41" t="str">
        <f aca="false">IF(A26="","",IF(ISNA(MATCH(B26,'Kitting Plan'!$B$6:$B$19,0)),"Not in plan","Yes"))</f>
        <v>Yes</v>
      </c>
      <c r="H26" s="41" t="n">
        <f aca="false">IF(G26="Yes",INDEX('Kitting Plan'!$D$6:$D$19,MATCH(B26,'Kitting Plan'!$B$6:$B$19,0)),"")</f>
        <v>24</v>
      </c>
      <c r="I26" s="41" t="n">
        <f aca="false">IF(A26="","",IF(ISNUMBER(SEARCH("PRT",E26)),D26,0))</f>
        <v>1</v>
      </c>
      <c r="J26" s="41" t="n">
        <f aca="false">IF(A26="","",IF(ISNUMBER(SEARCH("GMPS",E26)),D26,0))</f>
        <v>0</v>
      </c>
      <c r="K26" s="41" t="n">
        <f aca="false">IF(A26="","",IF(ISNUMBER(SEARCH("DLV",E26)),D26,0))</f>
        <v>0</v>
      </c>
      <c r="L26" s="41" t="str">
        <f aca="false">IF(A26="","",IF(K26&gt;0,"Delivered",IF(ISNUMBER(SEARCH("CNF",E26)),"In production",IF(J26&gt;0,"Issued",IF(I26&gt;0,"Kitted","Released")))))</f>
        <v>Kitted</v>
      </c>
      <c r="M26" s="41" t="n">
        <f aca="false">IF(G26&lt;&gt;"Yes","",COUNTIFS($B$6:$B$1505,B26,$F$6:$F$1505,"&lt;"&amp;F26)+COUNTIFS($B$6:$B$1505,B26,$F$6:$F$1505,F26,$A$6:$A$1505,"&lt;="&amp;A26))</f>
        <v>282</v>
      </c>
      <c r="N26" s="41" t="n">
        <f aca="false">IF(M26="","",ROUNDUP(M26/H26,0))</f>
        <v>12</v>
      </c>
      <c r="O26" s="41" t="str">
        <f aca="false">IF(N26="","",IF(N26&lt;='Kitting Plan'!$C$3,"Rep "&amp;N26,"Surplus"))</f>
        <v>Rep 12</v>
      </c>
    </row>
    <row r="27" customFormat="false" ht="15" hidden="false" customHeight="false" outlineLevel="0" collapsed="false">
      <c r="A27" s="40" t="n">
        <f aca="false">IF(OR($A$4=0,INDEX('COOIS Raw'!$A:$GZ,ROW()-4,$A$4)=""),"",IFERROR(--INDEX('COOIS Raw'!$A:$GZ,ROW()-4,$A$4),INDEX('COOIS Raw'!$A:$GZ,ROW()-4,$A$4)))</f>
        <v>100880204</v>
      </c>
      <c r="B27" s="41" t="str">
        <f aca="false">IF(A27="","",TRIM(INDEX('COOIS Raw'!$A:$GZ,ROW()-4,$B$4)))</f>
        <v>92RRA00548AAA</v>
      </c>
      <c r="C27" s="42" t="str">
        <f aca="false">IF(OR(A27="",$C$4=0),"",INDEX('COOIS Raw'!$A:$GZ,ROW()-4,$C$4))</f>
        <v>R5B ERBIUM SPOOL ASSEMBLY - E2A</v>
      </c>
      <c r="D27" s="41" t="n">
        <f aca="false">IF(A27="","",IF($D$4=0,1,IFERROR(--INDEX('COOIS Raw'!$A:$GZ,ROW()-4,$D$4),1)))</f>
        <v>1</v>
      </c>
      <c r="E27" s="42" t="str">
        <f aca="false">IF(A27="","",INDEX('COOIS Raw'!$A:$GZ,ROW()-4,$E$4)&amp;"")</f>
        <v>REL PRT PRC MANC SETC</v>
      </c>
      <c r="F27" s="43" t="n">
        <f aca="false">IF(A27="","",IFERROR(DATEVALUE(INDEX('COOIS Raw'!$A:$GZ,ROW()-4,$F$4)),INDEX('COOIS Raw'!$A:$GZ,ROW()-4,$F$4)))</f>
        <v>46297</v>
      </c>
      <c r="G27" s="41" t="str">
        <f aca="false">IF(A27="","",IF(ISNA(MATCH(B27,'Kitting Plan'!$B$6:$B$19,0)),"Not in plan","Yes"))</f>
        <v>Yes</v>
      </c>
      <c r="H27" s="41" t="n">
        <f aca="false">IF(G27="Yes",INDEX('Kitting Plan'!$D$6:$D$19,MATCH(B27,'Kitting Plan'!$B$6:$B$19,0)),"")</f>
        <v>24</v>
      </c>
      <c r="I27" s="41" t="n">
        <f aca="false">IF(A27="","",IF(ISNUMBER(SEARCH("PRT",E27)),D27,0))</f>
        <v>1</v>
      </c>
      <c r="J27" s="41" t="n">
        <f aca="false">IF(A27="","",IF(ISNUMBER(SEARCH("GMPS",E27)),D27,0))</f>
        <v>0</v>
      </c>
      <c r="K27" s="41" t="n">
        <f aca="false">IF(A27="","",IF(ISNUMBER(SEARCH("DLV",E27)),D27,0))</f>
        <v>0</v>
      </c>
      <c r="L27" s="41" t="str">
        <f aca="false">IF(A27="","",IF(K27&gt;0,"Delivered",IF(ISNUMBER(SEARCH("CNF",E27)),"In production",IF(J27&gt;0,"Issued",IF(I27&gt;0,"Kitted","Released")))))</f>
        <v>Kitted</v>
      </c>
      <c r="M27" s="41" t="n">
        <f aca="false">IF(G27&lt;&gt;"Yes","",COUNTIFS($B$6:$B$1505,B27,$F$6:$F$1505,"&lt;"&amp;F27)+COUNTIFS($B$6:$B$1505,B27,$F$6:$F$1505,F27,$A$6:$A$1505,"&lt;="&amp;A27))</f>
        <v>283</v>
      </c>
      <c r="N27" s="41" t="n">
        <f aca="false">IF(M27="","",ROUNDUP(M27/H27,0))</f>
        <v>12</v>
      </c>
      <c r="O27" s="41" t="str">
        <f aca="false">IF(N27="","",IF(N27&lt;='Kitting Plan'!$C$3,"Rep "&amp;N27,"Surplus"))</f>
        <v>Rep 12</v>
      </c>
    </row>
    <row r="28" customFormat="false" ht="15" hidden="false" customHeight="false" outlineLevel="0" collapsed="false">
      <c r="A28" s="40" t="n">
        <f aca="false">IF(OR($A$4=0,INDEX('COOIS Raw'!$A:$GZ,ROW()-4,$A$4)=""),"",IFERROR(--INDEX('COOIS Raw'!$A:$GZ,ROW()-4,$A$4),INDEX('COOIS Raw'!$A:$GZ,ROW()-4,$A$4)))</f>
        <v>100880205</v>
      </c>
      <c r="B28" s="41" t="str">
        <f aca="false">IF(A28="","",TRIM(INDEX('COOIS Raw'!$A:$GZ,ROW()-4,$B$4)))</f>
        <v>92RRA00548AAA</v>
      </c>
      <c r="C28" s="42" t="str">
        <f aca="false">IF(OR(A28="",$C$4=0),"",INDEX('COOIS Raw'!$A:$GZ,ROW()-4,$C$4))</f>
        <v>R5B ERBIUM SPOOL ASSEMBLY - E2A</v>
      </c>
      <c r="D28" s="41" t="n">
        <f aca="false">IF(A28="","",IF($D$4=0,1,IFERROR(--INDEX('COOIS Raw'!$A:$GZ,ROW()-4,$D$4),1)))</f>
        <v>1</v>
      </c>
      <c r="E28" s="42" t="str">
        <f aca="false">IF(A28="","",INDEX('COOIS Raw'!$A:$GZ,ROW()-4,$E$4)&amp;"")</f>
        <v>REL PRT PRC MANC SETC</v>
      </c>
      <c r="F28" s="43" t="n">
        <f aca="false">IF(A28="","",IFERROR(DATEVALUE(INDEX('COOIS Raw'!$A:$GZ,ROW()-4,$F$4)),INDEX('COOIS Raw'!$A:$GZ,ROW()-4,$F$4)))</f>
        <v>46297</v>
      </c>
      <c r="G28" s="41" t="str">
        <f aca="false">IF(A28="","",IF(ISNA(MATCH(B28,'Kitting Plan'!$B$6:$B$19,0)),"Not in plan","Yes"))</f>
        <v>Yes</v>
      </c>
      <c r="H28" s="41" t="n">
        <f aca="false">IF(G28="Yes",INDEX('Kitting Plan'!$D$6:$D$19,MATCH(B28,'Kitting Plan'!$B$6:$B$19,0)),"")</f>
        <v>24</v>
      </c>
      <c r="I28" s="41" t="n">
        <f aca="false">IF(A28="","",IF(ISNUMBER(SEARCH("PRT",E28)),D28,0))</f>
        <v>1</v>
      </c>
      <c r="J28" s="41" t="n">
        <f aca="false">IF(A28="","",IF(ISNUMBER(SEARCH("GMPS",E28)),D28,0))</f>
        <v>0</v>
      </c>
      <c r="K28" s="41" t="n">
        <f aca="false">IF(A28="","",IF(ISNUMBER(SEARCH("DLV",E28)),D28,0))</f>
        <v>0</v>
      </c>
      <c r="L28" s="41" t="str">
        <f aca="false">IF(A28="","",IF(K28&gt;0,"Delivered",IF(ISNUMBER(SEARCH("CNF",E28)),"In production",IF(J28&gt;0,"Issued",IF(I28&gt;0,"Kitted","Released")))))</f>
        <v>Kitted</v>
      </c>
      <c r="M28" s="41" t="n">
        <f aca="false">IF(G28&lt;&gt;"Yes","",COUNTIFS($B$6:$B$1505,B28,$F$6:$F$1505,"&lt;"&amp;F28)+COUNTIFS($B$6:$B$1505,B28,$F$6:$F$1505,F28,$A$6:$A$1505,"&lt;="&amp;A28))</f>
        <v>284</v>
      </c>
      <c r="N28" s="41" t="n">
        <f aca="false">IF(M28="","",ROUNDUP(M28/H28,0))</f>
        <v>12</v>
      </c>
      <c r="O28" s="41" t="str">
        <f aca="false">IF(N28="","",IF(N28&lt;='Kitting Plan'!$C$3,"Rep "&amp;N28,"Surplus"))</f>
        <v>Rep 12</v>
      </c>
    </row>
    <row r="29" customFormat="false" ht="15" hidden="false" customHeight="false" outlineLevel="0" collapsed="false">
      <c r="A29" s="40" t="n">
        <f aca="false">IF(OR($A$4=0,INDEX('COOIS Raw'!$A:$GZ,ROW()-4,$A$4)=""),"",IFERROR(--INDEX('COOIS Raw'!$A:$GZ,ROW()-4,$A$4),INDEX('COOIS Raw'!$A:$GZ,ROW()-4,$A$4)))</f>
        <v>100880206</v>
      </c>
      <c r="B29" s="41" t="str">
        <f aca="false">IF(A29="","",TRIM(INDEX('COOIS Raw'!$A:$GZ,ROW()-4,$B$4)))</f>
        <v>92RRA00548AAA</v>
      </c>
      <c r="C29" s="42" t="str">
        <f aca="false">IF(OR(A29="",$C$4=0),"",INDEX('COOIS Raw'!$A:$GZ,ROW()-4,$C$4))</f>
        <v>R5B ERBIUM SPOOL ASSEMBLY - E2A</v>
      </c>
      <c r="D29" s="41" t="n">
        <f aca="false">IF(A29="","",IF($D$4=0,1,IFERROR(--INDEX('COOIS Raw'!$A:$GZ,ROW()-4,$D$4),1)))</f>
        <v>1</v>
      </c>
      <c r="E29" s="42" t="str">
        <f aca="false">IF(A29="","",INDEX('COOIS Raw'!$A:$GZ,ROW()-4,$E$4)&amp;"")</f>
        <v>REL PRT PRC MANC SETC</v>
      </c>
      <c r="F29" s="43" t="n">
        <f aca="false">IF(A29="","",IFERROR(DATEVALUE(INDEX('COOIS Raw'!$A:$GZ,ROW()-4,$F$4)),INDEX('COOIS Raw'!$A:$GZ,ROW()-4,$F$4)))</f>
        <v>46297</v>
      </c>
      <c r="G29" s="41" t="str">
        <f aca="false">IF(A29="","",IF(ISNA(MATCH(B29,'Kitting Plan'!$B$6:$B$19,0)),"Not in plan","Yes"))</f>
        <v>Yes</v>
      </c>
      <c r="H29" s="41" t="n">
        <f aca="false">IF(G29="Yes",INDEX('Kitting Plan'!$D$6:$D$19,MATCH(B29,'Kitting Plan'!$B$6:$B$19,0)),"")</f>
        <v>24</v>
      </c>
      <c r="I29" s="41" t="n">
        <f aca="false">IF(A29="","",IF(ISNUMBER(SEARCH("PRT",E29)),D29,0))</f>
        <v>1</v>
      </c>
      <c r="J29" s="41" t="n">
        <f aca="false">IF(A29="","",IF(ISNUMBER(SEARCH("GMPS",E29)),D29,0))</f>
        <v>0</v>
      </c>
      <c r="K29" s="41" t="n">
        <f aca="false">IF(A29="","",IF(ISNUMBER(SEARCH("DLV",E29)),D29,0))</f>
        <v>0</v>
      </c>
      <c r="L29" s="41" t="str">
        <f aca="false">IF(A29="","",IF(K29&gt;0,"Delivered",IF(ISNUMBER(SEARCH("CNF",E29)),"In production",IF(J29&gt;0,"Issued",IF(I29&gt;0,"Kitted","Released")))))</f>
        <v>Kitted</v>
      </c>
      <c r="M29" s="41" t="n">
        <f aca="false">IF(G29&lt;&gt;"Yes","",COUNTIFS($B$6:$B$1505,B29,$F$6:$F$1505,"&lt;"&amp;F29)+COUNTIFS($B$6:$B$1505,B29,$F$6:$F$1505,F29,$A$6:$A$1505,"&lt;="&amp;A29))</f>
        <v>285</v>
      </c>
      <c r="N29" s="41" t="n">
        <f aca="false">IF(M29="","",ROUNDUP(M29/H29,0))</f>
        <v>12</v>
      </c>
      <c r="O29" s="41" t="str">
        <f aca="false">IF(N29="","",IF(N29&lt;='Kitting Plan'!$C$3,"Rep "&amp;N29,"Surplus"))</f>
        <v>Rep 12</v>
      </c>
    </row>
    <row r="30" customFormat="false" ht="15" hidden="false" customHeight="false" outlineLevel="0" collapsed="false">
      <c r="A30" s="40" t="n">
        <f aca="false">IF(OR($A$4=0,INDEX('COOIS Raw'!$A:$GZ,ROW()-4,$A$4)=""),"",IFERROR(--INDEX('COOIS Raw'!$A:$GZ,ROW()-4,$A$4),INDEX('COOIS Raw'!$A:$GZ,ROW()-4,$A$4)))</f>
        <v>100880207</v>
      </c>
      <c r="B30" s="41" t="str">
        <f aca="false">IF(A30="","",TRIM(INDEX('COOIS Raw'!$A:$GZ,ROW()-4,$B$4)))</f>
        <v>92RRA00548AAA</v>
      </c>
      <c r="C30" s="42" t="str">
        <f aca="false">IF(OR(A30="",$C$4=0),"",INDEX('COOIS Raw'!$A:$GZ,ROW()-4,$C$4))</f>
        <v>R5B ERBIUM SPOOL ASSEMBLY - E2A</v>
      </c>
      <c r="D30" s="41" t="n">
        <f aca="false">IF(A30="","",IF($D$4=0,1,IFERROR(--INDEX('COOIS Raw'!$A:$GZ,ROW()-4,$D$4),1)))</f>
        <v>1</v>
      </c>
      <c r="E30" s="42" t="str">
        <f aca="false">IF(A30="","",INDEX('COOIS Raw'!$A:$GZ,ROW()-4,$E$4)&amp;"")</f>
        <v>REL PRT PRC MANC SETC</v>
      </c>
      <c r="F30" s="43" t="n">
        <f aca="false">IF(A30="","",IFERROR(DATEVALUE(INDEX('COOIS Raw'!$A:$GZ,ROW()-4,$F$4)),INDEX('COOIS Raw'!$A:$GZ,ROW()-4,$F$4)))</f>
        <v>46297</v>
      </c>
      <c r="G30" s="41" t="str">
        <f aca="false">IF(A30="","",IF(ISNA(MATCH(B30,'Kitting Plan'!$B$6:$B$19,0)),"Not in plan","Yes"))</f>
        <v>Yes</v>
      </c>
      <c r="H30" s="41" t="n">
        <f aca="false">IF(G30="Yes",INDEX('Kitting Plan'!$D$6:$D$19,MATCH(B30,'Kitting Plan'!$B$6:$B$19,0)),"")</f>
        <v>24</v>
      </c>
      <c r="I30" s="41" t="n">
        <f aca="false">IF(A30="","",IF(ISNUMBER(SEARCH("PRT",E30)),D30,0))</f>
        <v>1</v>
      </c>
      <c r="J30" s="41" t="n">
        <f aca="false">IF(A30="","",IF(ISNUMBER(SEARCH("GMPS",E30)),D30,0))</f>
        <v>0</v>
      </c>
      <c r="K30" s="41" t="n">
        <f aca="false">IF(A30="","",IF(ISNUMBER(SEARCH("DLV",E30)),D30,0))</f>
        <v>0</v>
      </c>
      <c r="L30" s="41" t="str">
        <f aca="false">IF(A30="","",IF(K30&gt;0,"Delivered",IF(ISNUMBER(SEARCH("CNF",E30)),"In production",IF(J30&gt;0,"Issued",IF(I30&gt;0,"Kitted","Released")))))</f>
        <v>Kitted</v>
      </c>
      <c r="M30" s="41" t="n">
        <f aca="false">IF(G30&lt;&gt;"Yes","",COUNTIFS($B$6:$B$1505,B30,$F$6:$F$1505,"&lt;"&amp;F30)+COUNTIFS($B$6:$B$1505,B30,$F$6:$F$1505,F30,$A$6:$A$1505,"&lt;="&amp;A30))</f>
        <v>286</v>
      </c>
      <c r="N30" s="41" t="n">
        <f aca="false">IF(M30="","",ROUNDUP(M30/H30,0))</f>
        <v>12</v>
      </c>
      <c r="O30" s="41" t="str">
        <f aca="false">IF(N30="","",IF(N30&lt;='Kitting Plan'!$C$3,"Rep "&amp;N30,"Surplus"))</f>
        <v>Rep 12</v>
      </c>
    </row>
    <row r="31" customFormat="false" ht="15" hidden="false" customHeight="false" outlineLevel="0" collapsed="false">
      <c r="A31" s="40" t="n">
        <f aca="false">IF(OR($A$4=0,INDEX('COOIS Raw'!$A:$GZ,ROW()-4,$A$4)=""),"",IFERROR(--INDEX('COOIS Raw'!$A:$GZ,ROW()-4,$A$4),INDEX('COOIS Raw'!$A:$GZ,ROW()-4,$A$4)))</f>
        <v>100880208</v>
      </c>
      <c r="B31" s="41" t="str">
        <f aca="false">IF(A31="","",TRIM(INDEX('COOIS Raw'!$A:$GZ,ROW()-4,$B$4)))</f>
        <v>92RRA00548AAA</v>
      </c>
      <c r="C31" s="42" t="str">
        <f aca="false">IF(OR(A31="",$C$4=0),"",INDEX('COOIS Raw'!$A:$GZ,ROW()-4,$C$4))</f>
        <v>R5B ERBIUM SPOOL ASSEMBLY - E2A</v>
      </c>
      <c r="D31" s="41" t="n">
        <f aca="false">IF(A31="","",IF($D$4=0,1,IFERROR(--INDEX('COOIS Raw'!$A:$GZ,ROW()-4,$D$4),1)))</f>
        <v>1</v>
      </c>
      <c r="E31" s="42" t="str">
        <f aca="false">IF(A31="","",INDEX('COOIS Raw'!$A:$GZ,ROW()-4,$E$4)&amp;"")</f>
        <v>REL PRT PRC MANC SETC</v>
      </c>
      <c r="F31" s="43" t="n">
        <f aca="false">IF(A31="","",IFERROR(DATEVALUE(INDEX('COOIS Raw'!$A:$GZ,ROW()-4,$F$4)),INDEX('COOIS Raw'!$A:$GZ,ROW()-4,$F$4)))</f>
        <v>46297</v>
      </c>
      <c r="G31" s="41" t="str">
        <f aca="false">IF(A31="","",IF(ISNA(MATCH(B31,'Kitting Plan'!$B$6:$B$19,0)),"Not in plan","Yes"))</f>
        <v>Yes</v>
      </c>
      <c r="H31" s="41" t="n">
        <f aca="false">IF(G31="Yes",INDEX('Kitting Plan'!$D$6:$D$19,MATCH(B31,'Kitting Plan'!$B$6:$B$19,0)),"")</f>
        <v>24</v>
      </c>
      <c r="I31" s="41" t="n">
        <f aca="false">IF(A31="","",IF(ISNUMBER(SEARCH("PRT",E31)),D31,0))</f>
        <v>1</v>
      </c>
      <c r="J31" s="41" t="n">
        <f aca="false">IF(A31="","",IF(ISNUMBER(SEARCH("GMPS",E31)),D31,0))</f>
        <v>0</v>
      </c>
      <c r="K31" s="41" t="n">
        <f aca="false">IF(A31="","",IF(ISNUMBER(SEARCH("DLV",E31)),D31,0))</f>
        <v>0</v>
      </c>
      <c r="L31" s="41" t="str">
        <f aca="false">IF(A31="","",IF(K31&gt;0,"Delivered",IF(ISNUMBER(SEARCH("CNF",E31)),"In production",IF(J31&gt;0,"Issued",IF(I31&gt;0,"Kitted","Released")))))</f>
        <v>Kitted</v>
      </c>
      <c r="M31" s="41" t="n">
        <f aca="false">IF(G31&lt;&gt;"Yes","",COUNTIFS($B$6:$B$1505,B31,$F$6:$F$1505,"&lt;"&amp;F31)+COUNTIFS($B$6:$B$1505,B31,$F$6:$F$1505,F31,$A$6:$A$1505,"&lt;="&amp;A31))</f>
        <v>287</v>
      </c>
      <c r="N31" s="41" t="n">
        <f aca="false">IF(M31="","",ROUNDUP(M31/H31,0))</f>
        <v>12</v>
      </c>
      <c r="O31" s="41" t="str">
        <f aca="false">IF(N31="","",IF(N31&lt;='Kitting Plan'!$C$3,"Rep "&amp;N31,"Surplus"))</f>
        <v>Rep 12</v>
      </c>
    </row>
    <row r="32" customFormat="false" ht="15" hidden="false" customHeight="false" outlineLevel="0" collapsed="false">
      <c r="A32" s="40" t="n">
        <f aca="false">IF(OR($A$4=0,INDEX('COOIS Raw'!$A:$GZ,ROW()-4,$A$4)=""),"",IFERROR(--INDEX('COOIS Raw'!$A:$GZ,ROW()-4,$A$4),INDEX('COOIS Raw'!$A:$GZ,ROW()-4,$A$4)))</f>
        <v>100880209</v>
      </c>
      <c r="B32" s="41" t="str">
        <f aca="false">IF(A32="","",TRIM(INDEX('COOIS Raw'!$A:$GZ,ROW()-4,$B$4)))</f>
        <v>92RRA00548AAA</v>
      </c>
      <c r="C32" s="42" t="str">
        <f aca="false">IF(OR(A32="",$C$4=0),"",INDEX('COOIS Raw'!$A:$GZ,ROW()-4,$C$4))</f>
        <v>R5B ERBIUM SPOOL ASSEMBLY - E2A</v>
      </c>
      <c r="D32" s="41" t="n">
        <f aca="false">IF(A32="","",IF($D$4=0,1,IFERROR(--INDEX('COOIS Raw'!$A:$GZ,ROW()-4,$D$4),1)))</f>
        <v>1</v>
      </c>
      <c r="E32" s="42" t="str">
        <f aca="false">IF(A32="","",INDEX('COOIS Raw'!$A:$GZ,ROW()-4,$E$4)&amp;"")</f>
        <v>REL PRT PRC MANC SETC</v>
      </c>
      <c r="F32" s="43" t="n">
        <f aca="false">IF(A32="","",IFERROR(DATEVALUE(INDEX('COOIS Raw'!$A:$GZ,ROW()-4,$F$4)),INDEX('COOIS Raw'!$A:$GZ,ROW()-4,$F$4)))</f>
        <v>46297</v>
      </c>
      <c r="G32" s="41" t="str">
        <f aca="false">IF(A32="","",IF(ISNA(MATCH(B32,'Kitting Plan'!$B$6:$B$19,0)),"Not in plan","Yes"))</f>
        <v>Yes</v>
      </c>
      <c r="H32" s="41" t="n">
        <f aca="false">IF(G32="Yes",INDEX('Kitting Plan'!$D$6:$D$19,MATCH(B32,'Kitting Plan'!$B$6:$B$19,0)),"")</f>
        <v>24</v>
      </c>
      <c r="I32" s="41" t="n">
        <f aca="false">IF(A32="","",IF(ISNUMBER(SEARCH("PRT",E32)),D32,0))</f>
        <v>1</v>
      </c>
      <c r="J32" s="41" t="n">
        <f aca="false">IF(A32="","",IF(ISNUMBER(SEARCH("GMPS",E32)),D32,0))</f>
        <v>0</v>
      </c>
      <c r="K32" s="41" t="n">
        <f aca="false">IF(A32="","",IF(ISNUMBER(SEARCH("DLV",E32)),D32,0))</f>
        <v>0</v>
      </c>
      <c r="L32" s="41" t="str">
        <f aca="false">IF(A32="","",IF(K32&gt;0,"Delivered",IF(ISNUMBER(SEARCH("CNF",E32)),"In production",IF(J32&gt;0,"Issued",IF(I32&gt;0,"Kitted","Released")))))</f>
        <v>Kitted</v>
      </c>
      <c r="M32" s="41" t="n">
        <f aca="false">IF(G32&lt;&gt;"Yes","",COUNTIFS($B$6:$B$1505,B32,$F$6:$F$1505,"&lt;"&amp;F32)+COUNTIFS($B$6:$B$1505,B32,$F$6:$F$1505,F32,$A$6:$A$1505,"&lt;="&amp;A32))</f>
        <v>288</v>
      </c>
      <c r="N32" s="41" t="n">
        <f aca="false">IF(M32="","",ROUNDUP(M32/H32,0))</f>
        <v>12</v>
      </c>
      <c r="O32" s="41" t="str">
        <f aca="false">IF(N32="","",IF(N32&lt;='Kitting Plan'!$C$3,"Rep "&amp;N32,"Surplus"))</f>
        <v>Rep 12</v>
      </c>
    </row>
    <row r="33" customFormat="false" ht="15" hidden="false" customHeight="false" outlineLevel="0" collapsed="false">
      <c r="A33" s="40" t="n">
        <f aca="false">IF(OR($A$4=0,INDEX('COOIS Raw'!$A:$GZ,ROW()-4,$A$4)=""),"",IFERROR(--INDEX('COOIS Raw'!$A:$GZ,ROW()-4,$A$4),INDEX('COOIS Raw'!$A:$GZ,ROW()-4,$A$4)))</f>
        <v>100880210</v>
      </c>
      <c r="B33" s="41" t="str">
        <f aca="false">IF(A33="","",TRIM(INDEX('COOIS Raw'!$A:$GZ,ROW()-4,$B$4)))</f>
        <v>92RRA00548AAA</v>
      </c>
      <c r="C33" s="42" t="str">
        <f aca="false">IF(OR(A33="",$C$4=0),"",INDEX('COOIS Raw'!$A:$GZ,ROW()-4,$C$4))</f>
        <v>R5B ERBIUM SPOOL ASSEMBLY - E2A</v>
      </c>
      <c r="D33" s="41" t="n">
        <f aca="false">IF(A33="","",IF($D$4=0,1,IFERROR(--INDEX('COOIS Raw'!$A:$GZ,ROW()-4,$D$4),1)))</f>
        <v>1</v>
      </c>
      <c r="E33" s="42" t="str">
        <f aca="false">IF(A33="","",INDEX('COOIS Raw'!$A:$GZ,ROW()-4,$E$4)&amp;"")</f>
        <v>REL PRT PRC MANC SETC</v>
      </c>
      <c r="F33" s="43" t="n">
        <f aca="false">IF(A33="","",IFERROR(DATEVALUE(INDEX('COOIS Raw'!$A:$GZ,ROW()-4,$F$4)),INDEX('COOIS Raw'!$A:$GZ,ROW()-4,$F$4)))</f>
        <v>46297</v>
      </c>
      <c r="G33" s="41" t="str">
        <f aca="false">IF(A33="","",IF(ISNA(MATCH(B33,'Kitting Plan'!$B$6:$B$19,0)),"Not in plan","Yes"))</f>
        <v>Yes</v>
      </c>
      <c r="H33" s="41" t="n">
        <f aca="false">IF(G33="Yes",INDEX('Kitting Plan'!$D$6:$D$19,MATCH(B33,'Kitting Plan'!$B$6:$B$19,0)),"")</f>
        <v>24</v>
      </c>
      <c r="I33" s="41" t="n">
        <f aca="false">IF(A33="","",IF(ISNUMBER(SEARCH("PRT",E33)),D33,0))</f>
        <v>1</v>
      </c>
      <c r="J33" s="41" t="n">
        <f aca="false">IF(A33="","",IF(ISNUMBER(SEARCH("GMPS",E33)),D33,0))</f>
        <v>0</v>
      </c>
      <c r="K33" s="41" t="n">
        <f aca="false">IF(A33="","",IF(ISNUMBER(SEARCH("DLV",E33)),D33,0))</f>
        <v>0</v>
      </c>
      <c r="L33" s="41" t="str">
        <f aca="false">IF(A33="","",IF(K33&gt;0,"Delivered",IF(ISNUMBER(SEARCH("CNF",E33)),"In production",IF(J33&gt;0,"Issued",IF(I33&gt;0,"Kitted","Released")))))</f>
        <v>Kitted</v>
      </c>
      <c r="M33" s="41" t="n">
        <f aca="false">IF(G33&lt;&gt;"Yes","",COUNTIFS($B$6:$B$1505,B33,$F$6:$F$1505,"&lt;"&amp;F33)+COUNTIFS($B$6:$B$1505,B33,$F$6:$F$1505,F33,$A$6:$A$1505,"&lt;="&amp;A33))</f>
        <v>289</v>
      </c>
      <c r="N33" s="41" t="n">
        <f aca="false">IF(M33="","",ROUNDUP(M33/H33,0))</f>
        <v>13</v>
      </c>
      <c r="O33" s="41" t="str">
        <f aca="false">IF(N33="","",IF(N33&lt;='Kitting Plan'!$C$3,"Rep "&amp;N33,"Surplus"))</f>
        <v>Rep 13</v>
      </c>
    </row>
    <row r="34" customFormat="false" ht="15" hidden="false" customHeight="false" outlineLevel="0" collapsed="false">
      <c r="A34" s="40" t="n">
        <f aca="false">IF(OR($A$4=0,INDEX('COOIS Raw'!$A:$GZ,ROW()-4,$A$4)=""),"",IFERROR(--INDEX('COOIS Raw'!$A:$GZ,ROW()-4,$A$4),INDEX('COOIS Raw'!$A:$GZ,ROW()-4,$A$4)))</f>
        <v>100880211</v>
      </c>
      <c r="B34" s="41" t="str">
        <f aca="false">IF(A34="","",TRIM(INDEX('COOIS Raw'!$A:$GZ,ROW()-4,$B$4)))</f>
        <v>92RRA00548AAA</v>
      </c>
      <c r="C34" s="42" t="str">
        <f aca="false">IF(OR(A34="",$C$4=0),"",INDEX('COOIS Raw'!$A:$GZ,ROW()-4,$C$4))</f>
        <v>R5B ERBIUM SPOOL ASSEMBLY - E2A</v>
      </c>
      <c r="D34" s="41" t="n">
        <f aca="false">IF(A34="","",IF($D$4=0,1,IFERROR(--INDEX('COOIS Raw'!$A:$GZ,ROW()-4,$D$4),1)))</f>
        <v>1</v>
      </c>
      <c r="E34" s="42" t="str">
        <f aca="false">IF(A34="","",INDEX('COOIS Raw'!$A:$GZ,ROW()-4,$E$4)&amp;"")</f>
        <v>REL PRT PRC MANC SETC</v>
      </c>
      <c r="F34" s="43" t="n">
        <f aca="false">IF(A34="","",IFERROR(DATEVALUE(INDEX('COOIS Raw'!$A:$GZ,ROW()-4,$F$4)),INDEX('COOIS Raw'!$A:$GZ,ROW()-4,$F$4)))</f>
        <v>46297</v>
      </c>
      <c r="G34" s="41" t="str">
        <f aca="false">IF(A34="","",IF(ISNA(MATCH(B34,'Kitting Plan'!$B$6:$B$19,0)),"Not in plan","Yes"))</f>
        <v>Yes</v>
      </c>
      <c r="H34" s="41" t="n">
        <f aca="false">IF(G34="Yes",INDEX('Kitting Plan'!$D$6:$D$19,MATCH(B34,'Kitting Plan'!$B$6:$B$19,0)),"")</f>
        <v>24</v>
      </c>
      <c r="I34" s="41" t="n">
        <f aca="false">IF(A34="","",IF(ISNUMBER(SEARCH("PRT",E34)),D34,0))</f>
        <v>1</v>
      </c>
      <c r="J34" s="41" t="n">
        <f aca="false">IF(A34="","",IF(ISNUMBER(SEARCH("GMPS",E34)),D34,0))</f>
        <v>0</v>
      </c>
      <c r="K34" s="41" t="n">
        <f aca="false">IF(A34="","",IF(ISNUMBER(SEARCH("DLV",E34)),D34,0))</f>
        <v>0</v>
      </c>
      <c r="L34" s="41" t="str">
        <f aca="false">IF(A34="","",IF(K34&gt;0,"Delivered",IF(ISNUMBER(SEARCH("CNF",E34)),"In production",IF(J34&gt;0,"Issued",IF(I34&gt;0,"Kitted","Released")))))</f>
        <v>Kitted</v>
      </c>
      <c r="M34" s="41" t="n">
        <f aca="false">IF(G34&lt;&gt;"Yes","",COUNTIFS($B$6:$B$1505,B34,$F$6:$F$1505,"&lt;"&amp;F34)+COUNTIFS($B$6:$B$1505,B34,$F$6:$F$1505,F34,$A$6:$A$1505,"&lt;="&amp;A34))</f>
        <v>290</v>
      </c>
      <c r="N34" s="41" t="n">
        <f aca="false">IF(M34="","",ROUNDUP(M34/H34,0))</f>
        <v>13</v>
      </c>
      <c r="O34" s="41" t="str">
        <f aca="false">IF(N34="","",IF(N34&lt;='Kitting Plan'!$C$3,"Rep "&amp;N34,"Surplus"))</f>
        <v>Rep 13</v>
      </c>
    </row>
    <row r="35" customFormat="false" ht="15" hidden="false" customHeight="false" outlineLevel="0" collapsed="false">
      <c r="A35" s="40" t="n">
        <f aca="false">IF(OR($A$4=0,INDEX('COOIS Raw'!$A:$GZ,ROW()-4,$A$4)=""),"",IFERROR(--INDEX('COOIS Raw'!$A:$GZ,ROW()-4,$A$4),INDEX('COOIS Raw'!$A:$GZ,ROW()-4,$A$4)))</f>
        <v>100880212</v>
      </c>
      <c r="B35" s="41" t="str">
        <f aca="false">IF(A35="","",TRIM(INDEX('COOIS Raw'!$A:$GZ,ROW()-4,$B$4)))</f>
        <v>92RRA00548AAA</v>
      </c>
      <c r="C35" s="42" t="str">
        <f aca="false">IF(OR(A35="",$C$4=0),"",INDEX('COOIS Raw'!$A:$GZ,ROW()-4,$C$4))</f>
        <v>R5B ERBIUM SPOOL ASSEMBLY - E2A</v>
      </c>
      <c r="D35" s="41" t="n">
        <f aca="false">IF(A35="","",IF($D$4=0,1,IFERROR(--INDEX('COOIS Raw'!$A:$GZ,ROW()-4,$D$4),1)))</f>
        <v>1</v>
      </c>
      <c r="E35" s="42" t="str">
        <f aca="false">IF(A35="","",INDEX('COOIS Raw'!$A:$GZ,ROW()-4,$E$4)&amp;"")</f>
        <v>REL PRT PRC MANC SETC</v>
      </c>
      <c r="F35" s="43" t="n">
        <f aca="false">IF(A35="","",IFERROR(DATEVALUE(INDEX('COOIS Raw'!$A:$GZ,ROW()-4,$F$4)),INDEX('COOIS Raw'!$A:$GZ,ROW()-4,$F$4)))</f>
        <v>46297</v>
      </c>
      <c r="G35" s="41" t="str">
        <f aca="false">IF(A35="","",IF(ISNA(MATCH(B35,'Kitting Plan'!$B$6:$B$19,0)),"Not in plan","Yes"))</f>
        <v>Yes</v>
      </c>
      <c r="H35" s="41" t="n">
        <f aca="false">IF(G35="Yes",INDEX('Kitting Plan'!$D$6:$D$19,MATCH(B35,'Kitting Plan'!$B$6:$B$19,0)),"")</f>
        <v>24</v>
      </c>
      <c r="I35" s="41" t="n">
        <f aca="false">IF(A35="","",IF(ISNUMBER(SEARCH("PRT",E35)),D35,0))</f>
        <v>1</v>
      </c>
      <c r="J35" s="41" t="n">
        <f aca="false">IF(A35="","",IF(ISNUMBER(SEARCH("GMPS",E35)),D35,0))</f>
        <v>0</v>
      </c>
      <c r="K35" s="41" t="n">
        <f aca="false">IF(A35="","",IF(ISNUMBER(SEARCH("DLV",E35)),D35,0))</f>
        <v>0</v>
      </c>
      <c r="L35" s="41" t="str">
        <f aca="false">IF(A35="","",IF(K35&gt;0,"Delivered",IF(ISNUMBER(SEARCH("CNF",E35)),"In production",IF(J35&gt;0,"Issued",IF(I35&gt;0,"Kitted","Released")))))</f>
        <v>Kitted</v>
      </c>
      <c r="M35" s="41" t="n">
        <f aca="false">IF(G35&lt;&gt;"Yes","",COUNTIFS($B$6:$B$1505,B35,$F$6:$F$1505,"&lt;"&amp;F35)+COUNTIFS($B$6:$B$1505,B35,$F$6:$F$1505,F35,$A$6:$A$1505,"&lt;="&amp;A35))</f>
        <v>291</v>
      </c>
      <c r="N35" s="41" t="n">
        <f aca="false">IF(M35="","",ROUNDUP(M35/H35,0))</f>
        <v>13</v>
      </c>
      <c r="O35" s="41" t="str">
        <f aca="false">IF(N35="","",IF(N35&lt;='Kitting Plan'!$C$3,"Rep "&amp;N35,"Surplus"))</f>
        <v>Rep 13</v>
      </c>
    </row>
    <row r="36" customFormat="false" ht="15" hidden="false" customHeight="false" outlineLevel="0" collapsed="false">
      <c r="A36" s="40" t="n">
        <f aca="false">IF(OR($A$4=0,INDEX('COOIS Raw'!$A:$GZ,ROW()-4,$A$4)=""),"",IFERROR(--INDEX('COOIS Raw'!$A:$GZ,ROW()-4,$A$4),INDEX('COOIS Raw'!$A:$GZ,ROW()-4,$A$4)))</f>
        <v>100880213</v>
      </c>
      <c r="B36" s="41" t="str">
        <f aca="false">IF(A36="","",TRIM(INDEX('COOIS Raw'!$A:$GZ,ROW()-4,$B$4)))</f>
        <v>92RRA00548AAA</v>
      </c>
      <c r="C36" s="42" t="str">
        <f aca="false">IF(OR(A36="",$C$4=0),"",INDEX('COOIS Raw'!$A:$GZ,ROW()-4,$C$4))</f>
        <v>R5B ERBIUM SPOOL ASSEMBLY - E2A</v>
      </c>
      <c r="D36" s="41" t="n">
        <f aca="false">IF(A36="","",IF($D$4=0,1,IFERROR(--INDEX('COOIS Raw'!$A:$GZ,ROW()-4,$D$4),1)))</f>
        <v>1</v>
      </c>
      <c r="E36" s="42" t="str">
        <f aca="false">IF(A36="","",INDEX('COOIS Raw'!$A:$GZ,ROW()-4,$E$4)&amp;"")</f>
        <v>REL PRT PRC MANC SETC</v>
      </c>
      <c r="F36" s="43" t="n">
        <f aca="false">IF(A36="","",IFERROR(DATEVALUE(INDEX('COOIS Raw'!$A:$GZ,ROW()-4,$F$4)),INDEX('COOIS Raw'!$A:$GZ,ROW()-4,$F$4)))</f>
        <v>46297</v>
      </c>
      <c r="G36" s="41" t="str">
        <f aca="false">IF(A36="","",IF(ISNA(MATCH(B36,'Kitting Plan'!$B$6:$B$19,0)),"Not in plan","Yes"))</f>
        <v>Yes</v>
      </c>
      <c r="H36" s="41" t="n">
        <f aca="false">IF(G36="Yes",INDEX('Kitting Plan'!$D$6:$D$19,MATCH(B36,'Kitting Plan'!$B$6:$B$19,0)),"")</f>
        <v>24</v>
      </c>
      <c r="I36" s="41" t="n">
        <f aca="false">IF(A36="","",IF(ISNUMBER(SEARCH("PRT",E36)),D36,0))</f>
        <v>1</v>
      </c>
      <c r="J36" s="41" t="n">
        <f aca="false">IF(A36="","",IF(ISNUMBER(SEARCH("GMPS",E36)),D36,0))</f>
        <v>0</v>
      </c>
      <c r="K36" s="41" t="n">
        <f aca="false">IF(A36="","",IF(ISNUMBER(SEARCH("DLV",E36)),D36,0))</f>
        <v>0</v>
      </c>
      <c r="L36" s="41" t="str">
        <f aca="false">IF(A36="","",IF(K36&gt;0,"Delivered",IF(ISNUMBER(SEARCH("CNF",E36)),"In production",IF(J36&gt;0,"Issued",IF(I36&gt;0,"Kitted","Released")))))</f>
        <v>Kitted</v>
      </c>
      <c r="M36" s="41" t="n">
        <f aca="false">IF(G36&lt;&gt;"Yes","",COUNTIFS($B$6:$B$1505,B36,$F$6:$F$1505,"&lt;"&amp;F36)+COUNTIFS($B$6:$B$1505,B36,$F$6:$F$1505,F36,$A$6:$A$1505,"&lt;="&amp;A36))</f>
        <v>292</v>
      </c>
      <c r="N36" s="41" t="n">
        <f aca="false">IF(M36="","",ROUNDUP(M36/H36,0))</f>
        <v>13</v>
      </c>
      <c r="O36" s="41" t="str">
        <f aca="false">IF(N36="","",IF(N36&lt;='Kitting Plan'!$C$3,"Rep "&amp;N36,"Surplus"))</f>
        <v>Rep 13</v>
      </c>
    </row>
    <row r="37" customFormat="false" ht="15" hidden="false" customHeight="false" outlineLevel="0" collapsed="false">
      <c r="A37" s="40" t="n">
        <f aca="false">IF(OR($A$4=0,INDEX('COOIS Raw'!$A:$GZ,ROW()-4,$A$4)=""),"",IFERROR(--INDEX('COOIS Raw'!$A:$GZ,ROW()-4,$A$4),INDEX('COOIS Raw'!$A:$GZ,ROW()-4,$A$4)))</f>
        <v>100880214</v>
      </c>
      <c r="B37" s="41" t="str">
        <f aca="false">IF(A37="","",TRIM(INDEX('COOIS Raw'!$A:$GZ,ROW()-4,$B$4)))</f>
        <v>92RRA00548AAA</v>
      </c>
      <c r="C37" s="42" t="str">
        <f aca="false">IF(OR(A37="",$C$4=0),"",INDEX('COOIS Raw'!$A:$GZ,ROW()-4,$C$4))</f>
        <v>R5B ERBIUM SPOOL ASSEMBLY - E2A</v>
      </c>
      <c r="D37" s="41" t="n">
        <f aca="false">IF(A37="","",IF($D$4=0,1,IFERROR(--INDEX('COOIS Raw'!$A:$GZ,ROW()-4,$D$4),1)))</f>
        <v>1</v>
      </c>
      <c r="E37" s="42" t="str">
        <f aca="false">IF(A37="","",INDEX('COOIS Raw'!$A:$GZ,ROW()-4,$E$4)&amp;"")</f>
        <v>REL PRT PRC MANC SETC</v>
      </c>
      <c r="F37" s="43" t="n">
        <f aca="false">IF(A37="","",IFERROR(DATEVALUE(INDEX('COOIS Raw'!$A:$GZ,ROW()-4,$F$4)),INDEX('COOIS Raw'!$A:$GZ,ROW()-4,$F$4)))</f>
        <v>46297</v>
      </c>
      <c r="G37" s="41" t="str">
        <f aca="false">IF(A37="","",IF(ISNA(MATCH(B37,'Kitting Plan'!$B$6:$B$19,0)),"Not in plan","Yes"))</f>
        <v>Yes</v>
      </c>
      <c r="H37" s="41" t="n">
        <f aca="false">IF(G37="Yes",INDEX('Kitting Plan'!$D$6:$D$19,MATCH(B37,'Kitting Plan'!$B$6:$B$19,0)),"")</f>
        <v>24</v>
      </c>
      <c r="I37" s="41" t="n">
        <f aca="false">IF(A37="","",IF(ISNUMBER(SEARCH("PRT",E37)),D37,0))</f>
        <v>1</v>
      </c>
      <c r="J37" s="41" t="n">
        <f aca="false">IF(A37="","",IF(ISNUMBER(SEARCH("GMPS",E37)),D37,0))</f>
        <v>0</v>
      </c>
      <c r="K37" s="41" t="n">
        <f aca="false">IF(A37="","",IF(ISNUMBER(SEARCH("DLV",E37)),D37,0))</f>
        <v>0</v>
      </c>
      <c r="L37" s="41" t="str">
        <f aca="false">IF(A37="","",IF(K37&gt;0,"Delivered",IF(ISNUMBER(SEARCH("CNF",E37)),"In production",IF(J37&gt;0,"Issued",IF(I37&gt;0,"Kitted","Released")))))</f>
        <v>Kitted</v>
      </c>
      <c r="M37" s="41" t="n">
        <f aca="false">IF(G37&lt;&gt;"Yes","",COUNTIFS($B$6:$B$1505,B37,$F$6:$F$1505,"&lt;"&amp;F37)+COUNTIFS($B$6:$B$1505,B37,$F$6:$F$1505,F37,$A$6:$A$1505,"&lt;="&amp;A37))</f>
        <v>293</v>
      </c>
      <c r="N37" s="41" t="n">
        <f aca="false">IF(M37="","",ROUNDUP(M37/H37,0))</f>
        <v>13</v>
      </c>
      <c r="O37" s="41" t="str">
        <f aca="false">IF(N37="","",IF(N37&lt;='Kitting Plan'!$C$3,"Rep "&amp;N37,"Surplus"))</f>
        <v>Rep 13</v>
      </c>
    </row>
    <row r="38" customFormat="false" ht="15" hidden="false" customHeight="false" outlineLevel="0" collapsed="false">
      <c r="A38" s="40" t="n">
        <f aca="false">IF(OR($A$4=0,INDEX('COOIS Raw'!$A:$GZ,ROW()-4,$A$4)=""),"",IFERROR(--INDEX('COOIS Raw'!$A:$GZ,ROW()-4,$A$4),INDEX('COOIS Raw'!$A:$GZ,ROW()-4,$A$4)))</f>
        <v>100880215</v>
      </c>
      <c r="B38" s="41" t="str">
        <f aca="false">IF(A38="","",TRIM(INDEX('COOIS Raw'!$A:$GZ,ROW()-4,$B$4)))</f>
        <v>92RRA00548AAA</v>
      </c>
      <c r="C38" s="42" t="str">
        <f aca="false">IF(OR(A38="",$C$4=0),"",INDEX('COOIS Raw'!$A:$GZ,ROW()-4,$C$4))</f>
        <v>R5B ERBIUM SPOOL ASSEMBLY - E2A</v>
      </c>
      <c r="D38" s="41" t="n">
        <f aca="false">IF(A38="","",IF($D$4=0,1,IFERROR(--INDEX('COOIS Raw'!$A:$GZ,ROW()-4,$D$4),1)))</f>
        <v>1</v>
      </c>
      <c r="E38" s="42" t="str">
        <f aca="false">IF(A38="","",INDEX('COOIS Raw'!$A:$GZ,ROW()-4,$E$4)&amp;"")</f>
        <v>REL PRT PRC MANC SETC</v>
      </c>
      <c r="F38" s="43" t="n">
        <f aca="false">IF(A38="","",IFERROR(DATEVALUE(INDEX('COOIS Raw'!$A:$GZ,ROW()-4,$F$4)),INDEX('COOIS Raw'!$A:$GZ,ROW()-4,$F$4)))</f>
        <v>46297</v>
      </c>
      <c r="G38" s="41" t="str">
        <f aca="false">IF(A38="","",IF(ISNA(MATCH(B38,'Kitting Plan'!$B$6:$B$19,0)),"Not in plan","Yes"))</f>
        <v>Yes</v>
      </c>
      <c r="H38" s="41" t="n">
        <f aca="false">IF(G38="Yes",INDEX('Kitting Plan'!$D$6:$D$19,MATCH(B38,'Kitting Plan'!$B$6:$B$19,0)),"")</f>
        <v>24</v>
      </c>
      <c r="I38" s="41" t="n">
        <f aca="false">IF(A38="","",IF(ISNUMBER(SEARCH("PRT",E38)),D38,0))</f>
        <v>1</v>
      </c>
      <c r="J38" s="41" t="n">
        <f aca="false">IF(A38="","",IF(ISNUMBER(SEARCH("GMPS",E38)),D38,0))</f>
        <v>0</v>
      </c>
      <c r="K38" s="41" t="n">
        <f aca="false">IF(A38="","",IF(ISNUMBER(SEARCH("DLV",E38)),D38,0))</f>
        <v>0</v>
      </c>
      <c r="L38" s="41" t="str">
        <f aca="false">IF(A38="","",IF(K38&gt;0,"Delivered",IF(ISNUMBER(SEARCH("CNF",E38)),"In production",IF(J38&gt;0,"Issued",IF(I38&gt;0,"Kitted","Released")))))</f>
        <v>Kitted</v>
      </c>
      <c r="M38" s="41" t="n">
        <f aca="false">IF(G38&lt;&gt;"Yes","",COUNTIFS($B$6:$B$1505,B38,$F$6:$F$1505,"&lt;"&amp;F38)+COUNTIFS($B$6:$B$1505,B38,$F$6:$F$1505,F38,$A$6:$A$1505,"&lt;="&amp;A38))</f>
        <v>294</v>
      </c>
      <c r="N38" s="41" t="n">
        <f aca="false">IF(M38="","",ROUNDUP(M38/H38,0))</f>
        <v>13</v>
      </c>
      <c r="O38" s="41" t="str">
        <f aca="false">IF(N38="","",IF(N38&lt;='Kitting Plan'!$C$3,"Rep "&amp;N38,"Surplus"))</f>
        <v>Rep 13</v>
      </c>
    </row>
    <row r="39" customFormat="false" ht="15" hidden="false" customHeight="false" outlineLevel="0" collapsed="false">
      <c r="A39" s="40" t="n">
        <f aca="false">IF(OR($A$4=0,INDEX('COOIS Raw'!$A:$GZ,ROW()-4,$A$4)=""),"",IFERROR(--INDEX('COOIS Raw'!$A:$GZ,ROW()-4,$A$4),INDEX('COOIS Raw'!$A:$GZ,ROW()-4,$A$4)))</f>
        <v>100880216</v>
      </c>
      <c r="B39" s="41" t="str">
        <f aca="false">IF(A39="","",TRIM(INDEX('COOIS Raw'!$A:$GZ,ROW()-4,$B$4)))</f>
        <v>92RRA00548AAA</v>
      </c>
      <c r="C39" s="42" t="str">
        <f aca="false">IF(OR(A39="",$C$4=0),"",INDEX('COOIS Raw'!$A:$GZ,ROW()-4,$C$4))</f>
        <v>R5B ERBIUM SPOOL ASSEMBLY - E2A</v>
      </c>
      <c r="D39" s="41" t="n">
        <f aca="false">IF(A39="","",IF($D$4=0,1,IFERROR(--INDEX('COOIS Raw'!$A:$GZ,ROW()-4,$D$4),1)))</f>
        <v>1</v>
      </c>
      <c r="E39" s="42" t="str">
        <f aca="false">IF(A39="","",INDEX('COOIS Raw'!$A:$GZ,ROW()-4,$E$4)&amp;"")</f>
        <v>REL PRT PRC MANC SETC</v>
      </c>
      <c r="F39" s="43" t="n">
        <f aca="false">IF(A39="","",IFERROR(DATEVALUE(INDEX('COOIS Raw'!$A:$GZ,ROW()-4,$F$4)),INDEX('COOIS Raw'!$A:$GZ,ROW()-4,$F$4)))</f>
        <v>46297</v>
      </c>
      <c r="G39" s="41" t="str">
        <f aca="false">IF(A39="","",IF(ISNA(MATCH(B39,'Kitting Plan'!$B$6:$B$19,0)),"Not in plan","Yes"))</f>
        <v>Yes</v>
      </c>
      <c r="H39" s="41" t="n">
        <f aca="false">IF(G39="Yes",INDEX('Kitting Plan'!$D$6:$D$19,MATCH(B39,'Kitting Plan'!$B$6:$B$19,0)),"")</f>
        <v>24</v>
      </c>
      <c r="I39" s="41" t="n">
        <f aca="false">IF(A39="","",IF(ISNUMBER(SEARCH("PRT",E39)),D39,0))</f>
        <v>1</v>
      </c>
      <c r="J39" s="41" t="n">
        <f aca="false">IF(A39="","",IF(ISNUMBER(SEARCH("GMPS",E39)),D39,0))</f>
        <v>0</v>
      </c>
      <c r="K39" s="41" t="n">
        <f aca="false">IF(A39="","",IF(ISNUMBER(SEARCH("DLV",E39)),D39,0))</f>
        <v>0</v>
      </c>
      <c r="L39" s="41" t="str">
        <f aca="false">IF(A39="","",IF(K39&gt;0,"Delivered",IF(ISNUMBER(SEARCH("CNF",E39)),"In production",IF(J39&gt;0,"Issued",IF(I39&gt;0,"Kitted","Released")))))</f>
        <v>Kitted</v>
      </c>
      <c r="M39" s="41" t="n">
        <f aca="false">IF(G39&lt;&gt;"Yes","",COUNTIFS($B$6:$B$1505,B39,$F$6:$F$1505,"&lt;"&amp;F39)+COUNTIFS($B$6:$B$1505,B39,$F$6:$F$1505,F39,$A$6:$A$1505,"&lt;="&amp;A39))</f>
        <v>295</v>
      </c>
      <c r="N39" s="41" t="n">
        <f aca="false">IF(M39="","",ROUNDUP(M39/H39,0))</f>
        <v>13</v>
      </c>
      <c r="O39" s="41" t="str">
        <f aca="false">IF(N39="","",IF(N39&lt;='Kitting Plan'!$C$3,"Rep "&amp;N39,"Surplus"))</f>
        <v>Rep 13</v>
      </c>
    </row>
    <row r="40" customFormat="false" ht="15" hidden="false" customHeight="false" outlineLevel="0" collapsed="false">
      <c r="A40" s="40" t="n">
        <f aca="false">IF(OR($A$4=0,INDEX('COOIS Raw'!$A:$GZ,ROW()-4,$A$4)=""),"",IFERROR(--INDEX('COOIS Raw'!$A:$GZ,ROW()-4,$A$4),INDEX('COOIS Raw'!$A:$GZ,ROW()-4,$A$4)))</f>
        <v>100880217</v>
      </c>
      <c r="B40" s="41" t="str">
        <f aca="false">IF(A40="","",TRIM(INDEX('COOIS Raw'!$A:$GZ,ROW()-4,$B$4)))</f>
        <v>92RRA00548AAA</v>
      </c>
      <c r="C40" s="42" t="str">
        <f aca="false">IF(OR(A40="",$C$4=0),"",INDEX('COOIS Raw'!$A:$GZ,ROW()-4,$C$4))</f>
        <v>R5B ERBIUM SPOOL ASSEMBLY - E2A</v>
      </c>
      <c r="D40" s="41" t="n">
        <f aca="false">IF(A40="","",IF($D$4=0,1,IFERROR(--INDEX('COOIS Raw'!$A:$GZ,ROW()-4,$D$4),1)))</f>
        <v>1</v>
      </c>
      <c r="E40" s="42" t="str">
        <f aca="false">IF(A40="","",INDEX('COOIS Raw'!$A:$GZ,ROW()-4,$E$4)&amp;"")</f>
        <v>REL PRT PRC MANC SETC</v>
      </c>
      <c r="F40" s="43" t="n">
        <f aca="false">IF(A40="","",IFERROR(DATEVALUE(INDEX('COOIS Raw'!$A:$GZ,ROW()-4,$F$4)),INDEX('COOIS Raw'!$A:$GZ,ROW()-4,$F$4)))</f>
        <v>46297</v>
      </c>
      <c r="G40" s="41" t="str">
        <f aca="false">IF(A40="","",IF(ISNA(MATCH(B40,'Kitting Plan'!$B$6:$B$19,0)),"Not in plan","Yes"))</f>
        <v>Yes</v>
      </c>
      <c r="H40" s="41" t="n">
        <f aca="false">IF(G40="Yes",INDEX('Kitting Plan'!$D$6:$D$19,MATCH(B40,'Kitting Plan'!$B$6:$B$19,0)),"")</f>
        <v>24</v>
      </c>
      <c r="I40" s="41" t="n">
        <f aca="false">IF(A40="","",IF(ISNUMBER(SEARCH("PRT",E40)),D40,0))</f>
        <v>1</v>
      </c>
      <c r="J40" s="41" t="n">
        <f aca="false">IF(A40="","",IF(ISNUMBER(SEARCH("GMPS",E40)),D40,0))</f>
        <v>0</v>
      </c>
      <c r="K40" s="41" t="n">
        <f aca="false">IF(A40="","",IF(ISNUMBER(SEARCH("DLV",E40)),D40,0))</f>
        <v>0</v>
      </c>
      <c r="L40" s="41" t="str">
        <f aca="false">IF(A40="","",IF(K40&gt;0,"Delivered",IF(ISNUMBER(SEARCH("CNF",E40)),"In production",IF(J40&gt;0,"Issued",IF(I40&gt;0,"Kitted","Released")))))</f>
        <v>Kitted</v>
      </c>
      <c r="M40" s="41" t="n">
        <f aca="false">IF(G40&lt;&gt;"Yes","",COUNTIFS($B$6:$B$1505,B40,$F$6:$F$1505,"&lt;"&amp;F40)+COUNTIFS($B$6:$B$1505,B40,$F$6:$F$1505,F40,$A$6:$A$1505,"&lt;="&amp;A40))</f>
        <v>296</v>
      </c>
      <c r="N40" s="41" t="n">
        <f aca="false">IF(M40="","",ROUNDUP(M40/H40,0))</f>
        <v>13</v>
      </c>
      <c r="O40" s="41" t="str">
        <f aca="false">IF(N40="","",IF(N40&lt;='Kitting Plan'!$C$3,"Rep "&amp;N40,"Surplus"))</f>
        <v>Rep 13</v>
      </c>
    </row>
    <row r="41" customFormat="false" ht="15" hidden="false" customHeight="false" outlineLevel="0" collapsed="false">
      <c r="A41" s="40" t="n">
        <f aca="false">IF(OR($A$4=0,INDEX('COOIS Raw'!$A:$GZ,ROW()-4,$A$4)=""),"",IFERROR(--INDEX('COOIS Raw'!$A:$GZ,ROW()-4,$A$4),INDEX('COOIS Raw'!$A:$GZ,ROW()-4,$A$4)))</f>
        <v>100880218</v>
      </c>
      <c r="B41" s="41" t="str">
        <f aca="false">IF(A41="","",TRIM(INDEX('COOIS Raw'!$A:$GZ,ROW()-4,$B$4)))</f>
        <v>92RRA00548AAA</v>
      </c>
      <c r="C41" s="42" t="str">
        <f aca="false">IF(OR(A41="",$C$4=0),"",INDEX('COOIS Raw'!$A:$GZ,ROW()-4,$C$4))</f>
        <v>R5B ERBIUM SPOOL ASSEMBLY - E2A</v>
      </c>
      <c r="D41" s="41" t="n">
        <f aca="false">IF(A41="","",IF($D$4=0,1,IFERROR(--INDEX('COOIS Raw'!$A:$GZ,ROW()-4,$D$4),1)))</f>
        <v>1</v>
      </c>
      <c r="E41" s="42" t="str">
        <f aca="false">IF(A41="","",INDEX('COOIS Raw'!$A:$GZ,ROW()-4,$E$4)&amp;"")</f>
        <v>REL PRT PRC MANC SETC</v>
      </c>
      <c r="F41" s="43" t="n">
        <f aca="false">IF(A41="","",IFERROR(DATEVALUE(INDEX('COOIS Raw'!$A:$GZ,ROW()-4,$F$4)),INDEX('COOIS Raw'!$A:$GZ,ROW()-4,$F$4)))</f>
        <v>46297</v>
      </c>
      <c r="G41" s="41" t="str">
        <f aca="false">IF(A41="","",IF(ISNA(MATCH(B41,'Kitting Plan'!$B$6:$B$19,0)),"Not in plan","Yes"))</f>
        <v>Yes</v>
      </c>
      <c r="H41" s="41" t="n">
        <f aca="false">IF(G41="Yes",INDEX('Kitting Plan'!$D$6:$D$19,MATCH(B41,'Kitting Plan'!$B$6:$B$19,0)),"")</f>
        <v>24</v>
      </c>
      <c r="I41" s="41" t="n">
        <f aca="false">IF(A41="","",IF(ISNUMBER(SEARCH("PRT",E41)),D41,0))</f>
        <v>1</v>
      </c>
      <c r="J41" s="41" t="n">
        <f aca="false">IF(A41="","",IF(ISNUMBER(SEARCH("GMPS",E41)),D41,0))</f>
        <v>0</v>
      </c>
      <c r="K41" s="41" t="n">
        <f aca="false">IF(A41="","",IF(ISNUMBER(SEARCH("DLV",E41)),D41,0))</f>
        <v>0</v>
      </c>
      <c r="L41" s="41" t="str">
        <f aca="false">IF(A41="","",IF(K41&gt;0,"Delivered",IF(ISNUMBER(SEARCH("CNF",E41)),"In production",IF(J41&gt;0,"Issued",IF(I41&gt;0,"Kitted","Released")))))</f>
        <v>Kitted</v>
      </c>
      <c r="M41" s="41" t="n">
        <f aca="false">IF(G41&lt;&gt;"Yes","",COUNTIFS($B$6:$B$1505,B41,$F$6:$F$1505,"&lt;"&amp;F41)+COUNTIFS($B$6:$B$1505,B41,$F$6:$F$1505,F41,$A$6:$A$1505,"&lt;="&amp;A41))</f>
        <v>297</v>
      </c>
      <c r="N41" s="41" t="n">
        <f aca="false">IF(M41="","",ROUNDUP(M41/H41,0))</f>
        <v>13</v>
      </c>
      <c r="O41" s="41" t="str">
        <f aca="false">IF(N41="","",IF(N41&lt;='Kitting Plan'!$C$3,"Rep "&amp;N41,"Surplus"))</f>
        <v>Rep 13</v>
      </c>
    </row>
    <row r="42" customFormat="false" ht="15" hidden="false" customHeight="false" outlineLevel="0" collapsed="false">
      <c r="A42" s="40" t="n">
        <f aca="false">IF(OR($A$4=0,INDEX('COOIS Raw'!$A:$GZ,ROW()-4,$A$4)=""),"",IFERROR(--INDEX('COOIS Raw'!$A:$GZ,ROW()-4,$A$4),INDEX('COOIS Raw'!$A:$GZ,ROW()-4,$A$4)))</f>
        <v>100880219</v>
      </c>
      <c r="B42" s="41" t="str">
        <f aca="false">IF(A42="","",TRIM(INDEX('COOIS Raw'!$A:$GZ,ROW()-4,$B$4)))</f>
        <v>92RRA00548AAA</v>
      </c>
      <c r="C42" s="42" t="str">
        <f aca="false">IF(OR(A42="",$C$4=0),"",INDEX('COOIS Raw'!$A:$GZ,ROW()-4,$C$4))</f>
        <v>R5B ERBIUM SPOOL ASSEMBLY - E2A</v>
      </c>
      <c r="D42" s="41" t="n">
        <f aca="false">IF(A42="","",IF($D$4=0,1,IFERROR(--INDEX('COOIS Raw'!$A:$GZ,ROW()-4,$D$4),1)))</f>
        <v>1</v>
      </c>
      <c r="E42" s="42" t="str">
        <f aca="false">IF(A42="","",INDEX('COOIS Raw'!$A:$GZ,ROW()-4,$E$4)&amp;"")</f>
        <v>REL PRT PRC MANC SETC</v>
      </c>
      <c r="F42" s="43" t="n">
        <f aca="false">IF(A42="","",IFERROR(DATEVALUE(INDEX('COOIS Raw'!$A:$GZ,ROW()-4,$F$4)),INDEX('COOIS Raw'!$A:$GZ,ROW()-4,$F$4)))</f>
        <v>46297</v>
      </c>
      <c r="G42" s="41" t="str">
        <f aca="false">IF(A42="","",IF(ISNA(MATCH(B42,'Kitting Plan'!$B$6:$B$19,0)),"Not in plan","Yes"))</f>
        <v>Yes</v>
      </c>
      <c r="H42" s="41" t="n">
        <f aca="false">IF(G42="Yes",INDEX('Kitting Plan'!$D$6:$D$19,MATCH(B42,'Kitting Plan'!$B$6:$B$19,0)),"")</f>
        <v>24</v>
      </c>
      <c r="I42" s="41" t="n">
        <f aca="false">IF(A42="","",IF(ISNUMBER(SEARCH("PRT",E42)),D42,0))</f>
        <v>1</v>
      </c>
      <c r="J42" s="41" t="n">
        <f aca="false">IF(A42="","",IF(ISNUMBER(SEARCH("GMPS",E42)),D42,0))</f>
        <v>0</v>
      </c>
      <c r="K42" s="41" t="n">
        <f aca="false">IF(A42="","",IF(ISNUMBER(SEARCH("DLV",E42)),D42,0))</f>
        <v>0</v>
      </c>
      <c r="L42" s="41" t="str">
        <f aca="false">IF(A42="","",IF(K42&gt;0,"Delivered",IF(ISNUMBER(SEARCH("CNF",E42)),"In production",IF(J42&gt;0,"Issued",IF(I42&gt;0,"Kitted","Released")))))</f>
        <v>Kitted</v>
      </c>
      <c r="M42" s="41" t="n">
        <f aca="false">IF(G42&lt;&gt;"Yes","",COUNTIFS($B$6:$B$1505,B42,$F$6:$F$1505,"&lt;"&amp;F42)+COUNTIFS($B$6:$B$1505,B42,$F$6:$F$1505,F42,$A$6:$A$1505,"&lt;="&amp;A42))</f>
        <v>298</v>
      </c>
      <c r="N42" s="41" t="n">
        <f aca="false">IF(M42="","",ROUNDUP(M42/H42,0))</f>
        <v>13</v>
      </c>
      <c r="O42" s="41" t="str">
        <f aca="false">IF(N42="","",IF(N42&lt;='Kitting Plan'!$C$3,"Rep "&amp;N42,"Surplus"))</f>
        <v>Rep 13</v>
      </c>
    </row>
    <row r="43" customFormat="false" ht="15" hidden="false" customHeight="false" outlineLevel="0" collapsed="false">
      <c r="A43" s="40" t="n">
        <f aca="false">IF(OR($A$4=0,INDEX('COOIS Raw'!$A:$GZ,ROW()-4,$A$4)=""),"",IFERROR(--INDEX('COOIS Raw'!$A:$GZ,ROW()-4,$A$4),INDEX('COOIS Raw'!$A:$GZ,ROW()-4,$A$4)))</f>
        <v>100880222</v>
      </c>
      <c r="B43" s="41" t="str">
        <f aca="false">IF(A43="","",TRIM(INDEX('COOIS Raw'!$A:$GZ,ROW()-4,$B$4)))</f>
        <v>92YRA01548AAA</v>
      </c>
      <c r="C43" s="42" t="str">
        <f aca="false">IF(OR(A43="",$C$4=0),"",INDEX('COOIS Raw'!$A:$GZ,ROW()-4,$C$4))</f>
        <v>R5B ERBIUM ASSEMBLY 1</v>
      </c>
      <c r="D43" s="41" t="n">
        <f aca="false">IF(A43="","",IF($D$4=0,1,IFERROR(--INDEX('COOIS Raw'!$A:$GZ,ROW()-4,$D$4),1)))</f>
        <v>1</v>
      </c>
      <c r="E43" s="42" t="str">
        <f aca="false">IF(A43="","",INDEX('COOIS Raw'!$A:$GZ,ROW()-4,$E$4)&amp;"")</f>
        <v>REL PRT PCNF PRC MANC SETC</v>
      </c>
      <c r="F43" s="43" t="n">
        <f aca="false">IF(A43="","",IFERROR(DATEVALUE(INDEX('COOIS Raw'!$A:$GZ,ROW()-4,$F$4)),INDEX('COOIS Raw'!$A:$GZ,ROW()-4,$F$4)))</f>
        <v>46297</v>
      </c>
      <c r="G43" s="41" t="str">
        <f aca="false">IF(A43="","",IF(ISNA(MATCH(B43,'Kitting Plan'!$B$6:$B$19,0)),"Not in plan","Yes"))</f>
        <v>Yes</v>
      </c>
      <c r="H43" s="41" t="n">
        <f aca="false">IF(G43="Yes",INDEX('Kitting Plan'!$D$6:$D$19,MATCH(B43,'Kitting Plan'!$B$6:$B$19,0)),"")</f>
        <v>3</v>
      </c>
      <c r="I43" s="41" t="n">
        <f aca="false">IF(A43="","",IF(ISNUMBER(SEARCH("PRT",E43)),D43,0))</f>
        <v>1</v>
      </c>
      <c r="J43" s="41" t="n">
        <f aca="false">IF(A43="","",IF(ISNUMBER(SEARCH("GMPS",E43)),D43,0))</f>
        <v>0</v>
      </c>
      <c r="K43" s="41" t="n">
        <f aca="false">IF(A43="","",IF(ISNUMBER(SEARCH("DLV",E43)),D43,0))</f>
        <v>0</v>
      </c>
      <c r="L43" s="41" t="str">
        <f aca="false">IF(A43="","",IF(K43&gt;0,"Delivered",IF(ISNUMBER(SEARCH("CNF",E43)),"In production",IF(J43&gt;0,"Issued",IF(I43&gt;0,"Kitted","Released")))))</f>
        <v>In production</v>
      </c>
      <c r="M43" s="41" t="n">
        <f aca="false">IF(G43&lt;&gt;"Yes","",COUNTIFS($B$6:$B$1505,B43,$F$6:$F$1505,"&lt;"&amp;F43)+COUNTIFS($B$6:$B$1505,B43,$F$6:$F$1505,F43,$A$6:$A$1505,"&lt;="&amp;A43))</f>
        <v>34</v>
      </c>
      <c r="N43" s="41" t="n">
        <f aca="false">IF(M43="","",ROUNDUP(M43/H43,0))</f>
        <v>12</v>
      </c>
      <c r="O43" s="41" t="str">
        <f aca="false">IF(N43="","",IF(N43&lt;='Kitting Plan'!$C$3,"Rep "&amp;N43,"Surplus"))</f>
        <v>Rep 12</v>
      </c>
    </row>
    <row r="44" customFormat="false" ht="15" hidden="false" customHeight="false" outlineLevel="0" collapsed="false">
      <c r="A44" s="40" t="n">
        <f aca="false">IF(OR($A$4=0,INDEX('COOIS Raw'!$A:$GZ,ROW()-4,$A$4)=""),"",IFERROR(--INDEX('COOIS Raw'!$A:$GZ,ROW()-4,$A$4),INDEX('COOIS Raw'!$A:$GZ,ROW()-4,$A$4)))</f>
        <v>100880223</v>
      </c>
      <c r="B44" s="41" t="str">
        <f aca="false">IF(A44="","",TRIM(INDEX('COOIS Raw'!$A:$GZ,ROW()-4,$B$4)))</f>
        <v>92YRA01548AAA</v>
      </c>
      <c r="C44" s="42" t="str">
        <f aca="false">IF(OR(A44="",$C$4=0),"",INDEX('COOIS Raw'!$A:$GZ,ROW()-4,$C$4))</f>
        <v>R5B ERBIUM ASSEMBLY 1</v>
      </c>
      <c r="D44" s="41" t="n">
        <f aca="false">IF(A44="","",IF($D$4=0,1,IFERROR(--INDEX('COOIS Raw'!$A:$GZ,ROW()-4,$D$4),1)))</f>
        <v>1</v>
      </c>
      <c r="E44" s="42" t="str">
        <f aca="false">IF(A44="","",INDEX('COOIS Raw'!$A:$GZ,ROW()-4,$E$4)&amp;"")</f>
        <v>REL PRT PCNF PRC MANC SETC</v>
      </c>
      <c r="F44" s="43" t="n">
        <f aca="false">IF(A44="","",IFERROR(DATEVALUE(INDEX('COOIS Raw'!$A:$GZ,ROW()-4,$F$4)),INDEX('COOIS Raw'!$A:$GZ,ROW()-4,$F$4)))</f>
        <v>46297</v>
      </c>
      <c r="G44" s="41" t="str">
        <f aca="false">IF(A44="","",IF(ISNA(MATCH(B44,'Kitting Plan'!$B$6:$B$19,0)),"Not in plan","Yes"))</f>
        <v>Yes</v>
      </c>
      <c r="H44" s="41" t="n">
        <f aca="false">IF(G44="Yes",INDEX('Kitting Plan'!$D$6:$D$19,MATCH(B44,'Kitting Plan'!$B$6:$B$19,0)),"")</f>
        <v>3</v>
      </c>
      <c r="I44" s="41" t="n">
        <f aca="false">IF(A44="","",IF(ISNUMBER(SEARCH("PRT",E44)),D44,0))</f>
        <v>1</v>
      </c>
      <c r="J44" s="41" t="n">
        <f aca="false">IF(A44="","",IF(ISNUMBER(SEARCH("GMPS",E44)),D44,0))</f>
        <v>0</v>
      </c>
      <c r="K44" s="41" t="n">
        <f aca="false">IF(A44="","",IF(ISNUMBER(SEARCH("DLV",E44)),D44,0))</f>
        <v>0</v>
      </c>
      <c r="L44" s="41" t="str">
        <f aca="false">IF(A44="","",IF(K44&gt;0,"Delivered",IF(ISNUMBER(SEARCH("CNF",E44)),"In production",IF(J44&gt;0,"Issued",IF(I44&gt;0,"Kitted","Released")))))</f>
        <v>In production</v>
      </c>
      <c r="M44" s="41" t="n">
        <f aca="false">IF(G44&lt;&gt;"Yes","",COUNTIFS($B$6:$B$1505,B44,$F$6:$F$1505,"&lt;"&amp;F44)+COUNTIFS($B$6:$B$1505,B44,$F$6:$F$1505,F44,$A$6:$A$1505,"&lt;="&amp;A44))</f>
        <v>35</v>
      </c>
      <c r="N44" s="41" t="n">
        <f aca="false">IF(M44="","",ROUNDUP(M44/H44,0))</f>
        <v>12</v>
      </c>
      <c r="O44" s="41" t="str">
        <f aca="false">IF(N44="","",IF(N44&lt;='Kitting Plan'!$C$3,"Rep "&amp;N44,"Surplus"))</f>
        <v>Rep 12</v>
      </c>
    </row>
    <row r="45" customFormat="false" ht="15" hidden="false" customHeight="false" outlineLevel="0" collapsed="false">
      <c r="A45" s="40" t="n">
        <f aca="false">IF(OR($A$4=0,INDEX('COOIS Raw'!$A:$GZ,ROW()-4,$A$4)=""),"",IFERROR(--INDEX('COOIS Raw'!$A:$GZ,ROW()-4,$A$4),INDEX('COOIS Raw'!$A:$GZ,ROW()-4,$A$4)))</f>
        <v>100880224</v>
      </c>
      <c r="B45" s="41" t="str">
        <f aca="false">IF(A45="","",TRIM(INDEX('COOIS Raw'!$A:$GZ,ROW()-4,$B$4)))</f>
        <v>92YRA01548AAA</v>
      </c>
      <c r="C45" s="42" t="str">
        <f aca="false">IF(OR(A45="",$C$4=0),"",INDEX('COOIS Raw'!$A:$GZ,ROW()-4,$C$4))</f>
        <v>R5B ERBIUM ASSEMBLY 1</v>
      </c>
      <c r="D45" s="41" t="n">
        <f aca="false">IF(A45="","",IF($D$4=0,1,IFERROR(--INDEX('COOIS Raw'!$A:$GZ,ROW()-4,$D$4),1)))</f>
        <v>1</v>
      </c>
      <c r="E45" s="42" t="str">
        <f aca="false">IF(A45="","",INDEX('COOIS Raw'!$A:$GZ,ROW()-4,$E$4)&amp;"")</f>
        <v>REL PRT PCNF PRC MANC SETC</v>
      </c>
      <c r="F45" s="43" t="n">
        <f aca="false">IF(A45="","",IFERROR(DATEVALUE(INDEX('COOIS Raw'!$A:$GZ,ROW()-4,$F$4)),INDEX('COOIS Raw'!$A:$GZ,ROW()-4,$F$4)))</f>
        <v>46297</v>
      </c>
      <c r="G45" s="41" t="str">
        <f aca="false">IF(A45="","",IF(ISNA(MATCH(B45,'Kitting Plan'!$B$6:$B$19,0)),"Not in plan","Yes"))</f>
        <v>Yes</v>
      </c>
      <c r="H45" s="41" t="n">
        <f aca="false">IF(G45="Yes",INDEX('Kitting Plan'!$D$6:$D$19,MATCH(B45,'Kitting Plan'!$B$6:$B$19,0)),"")</f>
        <v>3</v>
      </c>
      <c r="I45" s="41" t="n">
        <f aca="false">IF(A45="","",IF(ISNUMBER(SEARCH("PRT",E45)),D45,0))</f>
        <v>1</v>
      </c>
      <c r="J45" s="41" t="n">
        <f aca="false">IF(A45="","",IF(ISNUMBER(SEARCH("GMPS",E45)),D45,0))</f>
        <v>0</v>
      </c>
      <c r="K45" s="41" t="n">
        <f aca="false">IF(A45="","",IF(ISNUMBER(SEARCH("DLV",E45)),D45,0))</f>
        <v>0</v>
      </c>
      <c r="L45" s="41" t="str">
        <f aca="false">IF(A45="","",IF(K45&gt;0,"Delivered",IF(ISNUMBER(SEARCH("CNF",E45)),"In production",IF(J45&gt;0,"Issued",IF(I45&gt;0,"Kitted","Released")))))</f>
        <v>In production</v>
      </c>
      <c r="M45" s="41" t="n">
        <f aca="false">IF(G45&lt;&gt;"Yes","",COUNTIFS($B$6:$B$1505,B45,$F$6:$F$1505,"&lt;"&amp;F45)+COUNTIFS($B$6:$B$1505,B45,$F$6:$F$1505,F45,$A$6:$A$1505,"&lt;="&amp;A45))</f>
        <v>36</v>
      </c>
      <c r="N45" s="41" t="n">
        <f aca="false">IF(M45="","",ROUNDUP(M45/H45,0))</f>
        <v>12</v>
      </c>
      <c r="O45" s="41" t="str">
        <f aca="false">IF(N45="","",IF(N45&lt;='Kitting Plan'!$C$3,"Rep "&amp;N45,"Surplus"))</f>
        <v>Rep 12</v>
      </c>
    </row>
    <row r="46" customFormat="false" ht="15" hidden="false" customHeight="false" outlineLevel="0" collapsed="false">
      <c r="A46" s="40" t="n">
        <f aca="false">IF(OR($A$4=0,INDEX('COOIS Raw'!$A:$GZ,ROW()-4,$A$4)=""),"",IFERROR(--INDEX('COOIS Raw'!$A:$GZ,ROW()-4,$A$4),INDEX('COOIS Raw'!$A:$GZ,ROW()-4,$A$4)))</f>
        <v>100880225</v>
      </c>
      <c r="B46" s="41" t="str">
        <f aca="false">IF(A46="","",TRIM(INDEX('COOIS Raw'!$A:$GZ,ROW()-4,$B$4)))</f>
        <v>92YRA02548AAA</v>
      </c>
      <c r="C46" s="42" t="str">
        <f aca="false">IF(OR(A46="",$C$4=0),"",INDEX('COOIS Raw'!$A:$GZ,ROW()-4,$C$4))</f>
        <v>R5B ERBIUM ASSEMBLY 2</v>
      </c>
      <c r="D46" s="41" t="n">
        <f aca="false">IF(A46="","",IF($D$4=0,1,IFERROR(--INDEX('COOIS Raw'!$A:$GZ,ROW()-4,$D$4),1)))</f>
        <v>1</v>
      </c>
      <c r="E46" s="42" t="str">
        <f aca="false">IF(A46="","",INDEX('COOIS Raw'!$A:$GZ,ROW()-4,$E$4)&amp;"")</f>
        <v>REL PRT PCNF PRC MANC SETC</v>
      </c>
      <c r="F46" s="43" t="n">
        <f aca="false">IF(A46="","",IFERROR(DATEVALUE(INDEX('COOIS Raw'!$A:$GZ,ROW()-4,$F$4)),INDEX('COOIS Raw'!$A:$GZ,ROW()-4,$F$4)))</f>
        <v>46297</v>
      </c>
      <c r="G46" s="41" t="str">
        <f aca="false">IF(A46="","",IF(ISNA(MATCH(B46,'Kitting Plan'!$B$6:$B$19,0)),"Not in plan","Yes"))</f>
        <v>Yes</v>
      </c>
      <c r="H46" s="41" t="n">
        <f aca="false">IF(G46="Yes",INDEX('Kitting Plan'!$D$6:$D$19,MATCH(B46,'Kitting Plan'!$B$6:$B$19,0)),"")</f>
        <v>3</v>
      </c>
      <c r="I46" s="41" t="n">
        <f aca="false">IF(A46="","",IF(ISNUMBER(SEARCH("PRT",E46)),D46,0))</f>
        <v>1</v>
      </c>
      <c r="J46" s="41" t="n">
        <f aca="false">IF(A46="","",IF(ISNUMBER(SEARCH("GMPS",E46)),D46,0))</f>
        <v>0</v>
      </c>
      <c r="K46" s="41" t="n">
        <f aca="false">IF(A46="","",IF(ISNUMBER(SEARCH("DLV",E46)),D46,0))</f>
        <v>0</v>
      </c>
      <c r="L46" s="41" t="str">
        <f aca="false">IF(A46="","",IF(K46&gt;0,"Delivered",IF(ISNUMBER(SEARCH("CNF",E46)),"In production",IF(J46&gt;0,"Issued",IF(I46&gt;0,"Kitted","Released")))))</f>
        <v>In production</v>
      </c>
      <c r="M46" s="41" t="n">
        <f aca="false">IF(G46&lt;&gt;"Yes","",COUNTIFS($B$6:$B$1505,B46,$F$6:$F$1505,"&lt;"&amp;F46)+COUNTIFS($B$6:$B$1505,B46,$F$6:$F$1505,F46,$A$6:$A$1505,"&lt;="&amp;A46))</f>
        <v>34</v>
      </c>
      <c r="N46" s="41" t="n">
        <f aca="false">IF(M46="","",ROUNDUP(M46/H46,0))</f>
        <v>12</v>
      </c>
      <c r="O46" s="41" t="str">
        <f aca="false">IF(N46="","",IF(N46&lt;='Kitting Plan'!$C$3,"Rep "&amp;N46,"Surplus"))</f>
        <v>Rep 12</v>
      </c>
    </row>
    <row r="47" customFormat="false" ht="15" hidden="false" customHeight="false" outlineLevel="0" collapsed="false">
      <c r="A47" s="40" t="n">
        <f aca="false">IF(OR($A$4=0,INDEX('COOIS Raw'!$A:$GZ,ROW()-4,$A$4)=""),"",IFERROR(--INDEX('COOIS Raw'!$A:$GZ,ROW()-4,$A$4),INDEX('COOIS Raw'!$A:$GZ,ROW()-4,$A$4)))</f>
        <v>100880226</v>
      </c>
      <c r="B47" s="41" t="str">
        <f aca="false">IF(A47="","",TRIM(INDEX('COOIS Raw'!$A:$GZ,ROW()-4,$B$4)))</f>
        <v>92YRA02548AAA</v>
      </c>
      <c r="C47" s="42" t="str">
        <f aca="false">IF(OR(A47="",$C$4=0),"",INDEX('COOIS Raw'!$A:$GZ,ROW()-4,$C$4))</f>
        <v>R5B ERBIUM ASSEMBLY 2</v>
      </c>
      <c r="D47" s="41" t="n">
        <f aca="false">IF(A47="","",IF($D$4=0,1,IFERROR(--INDEX('COOIS Raw'!$A:$GZ,ROW()-4,$D$4),1)))</f>
        <v>1</v>
      </c>
      <c r="E47" s="42" t="str">
        <f aca="false">IF(A47="","",INDEX('COOIS Raw'!$A:$GZ,ROW()-4,$E$4)&amp;"")</f>
        <v>REL PRT PCNF PRC MANC SETC</v>
      </c>
      <c r="F47" s="43" t="n">
        <f aca="false">IF(A47="","",IFERROR(DATEVALUE(INDEX('COOIS Raw'!$A:$GZ,ROW()-4,$F$4)),INDEX('COOIS Raw'!$A:$GZ,ROW()-4,$F$4)))</f>
        <v>46297</v>
      </c>
      <c r="G47" s="41" t="str">
        <f aca="false">IF(A47="","",IF(ISNA(MATCH(B47,'Kitting Plan'!$B$6:$B$19,0)),"Not in plan","Yes"))</f>
        <v>Yes</v>
      </c>
      <c r="H47" s="41" t="n">
        <f aca="false">IF(G47="Yes",INDEX('Kitting Plan'!$D$6:$D$19,MATCH(B47,'Kitting Plan'!$B$6:$B$19,0)),"")</f>
        <v>3</v>
      </c>
      <c r="I47" s="41" t="n">
        <f aca="false">IF(A47="","",IF(ISNUMBER(SEARCH("PRT",E47)),D47,0))</f>
        <v>1</v>
      </c>
      <c r="J47" s="41" t="n">
        <f aca="false">IF(A47="","",IF(ISNUMBER(SEARCH("GMPS",E47)),D47,0))</f>
        <v>0</v>
      </c>
      <c r="K47" s="41" t="n">
        <f aca="false">IF(A47="","",IF(ISNUMBER(SEARCH("DLV",E47)),D47,0))</f>
        <v>0</v>
      </c>
      <c r="L47" s="41" t="str">
        <f aca="false">IF(A47="","",IF(K47&gt;0,"Delivered",IF(ISNUMBER(SEARCH("CNF",E47)),"In production",IF(J47&gt;0,"Issued",IF(I47&gt;0,"Kitted","Released")))))</f>
        <v>In production</v>
      </c>
      <c r="M47" s="41" t="n">
        <f aca="false">IF(G47&lt;&gt;"Yes","",COUNTIFS($B$6:$B$1505,B47,$F$6:$F$1505,"&lt;"&amp;F47)+COUNTIFS($B$6:$B$1505,B47,$F$6:$F$1505,F47,$A$6:$A$1505,"&lt;="&amp;A47))</f>
        <v>35</v>
      </c>
      <c r="N47" s="41" t="n">
        <f aca="false">IF(M47="","",ROUNDUP(M47/H47,0))</f>
        <v>12</v>
      </c>
      <c r="O47" s="41" t="str">
        <f aca="false">IF(N47="","",IF(N47&lt;='Kitting Plan'!$C$3,"Rep "&amp;N47,"Surplus"))</f>
        <v>Rep 12</v>
      </c>
    </row>
    <row r="48" customFormat="false" ht="15" hidden="false" customHeight="false" outlineLevel="0" collapsed="false">
      <c r="A48" s="40" t="n">
        <f aca="false">IF(OR($A$4=0,INDEX('COOIS Raw'!$A:$GZ,ROW()-4,$A$4)=""),"",IFERROR(--INDEX('COOIS Raw'!$A:$GZ,ROW()-4,$A$4),INDEX('COOIS Raw'!$A:$GZ,ROW()-4,$A$4)))</f>
        <v>100880227</v>
      </c>
      <c r="B48" s="41" t="str">
        <f aca="false">IF(A48="","",TRIM(INDEX('COOIS Raw'!$A:$GZ,ROW()-4,$B$4)))</f>
        <v>92YRA02548AAA</v>
      </c>
      <c r="C48" s="42" t="str">
        <f aca="false">IF(OR(A48="",$C$4=0),"",INDEX('COOIS Raw'!$A:$GZ,ROW()-4,$C$4))</f>
        <v>R5B ERBIUM ASSEMBLY 2</v>
      </c>
      <c r="D48" s="41" t="n">
        <f aca="false">IF(A48="","",IF($D$4=0,1,IFERROR(--INDEX('COOIS Raw'!$A:$GZ,ROW()-4,$D$4),1)))</f>
        <v>1</v>
      </c>
      <c r="E48" s="42" t="str">
        <f aca="false">IF(A48="","",INDEX('COOIS Raw'!$A:$GZ,ROW()-4,$E$4)&amp;"")</f>
        <v>REL PRT PCNF PRC MANC SETC</v>
      </c>
      <c r="F48" s="43" t="n">
        <f aca="false">IF(A48="","",IFERROR(DATEVALUE(INDEX('COOIS Raw'!$A:$GZ,ROW()-4,$F$4)),INDEX('COOIS Raw'!$A:$GZ,ROW()-4,$F$4)))</f>
        <v>46297</v>
      </c>
      <c r="G48" s="41" t="str">
        <f aca="false">IF(A48="","",IF(ISNA(MATCH(B48,'Kitting Plan'!$B$6:$B$19,0)),"Not in plan","Yes"))</f>
        <v>Yes</v>
      </c>
      <c r="H48" s="41" t="n">
        <f aca="false">IF(G48="Yes",INDEX('Kitting Plan'!$D$6:$D$19,MATCH(B48,'Kitting Plan'!$B$6:$B$19,0)),"")</f>
        <v>3</v>
      </c>
      <c r="I48" s="41" t="n">
        <f aca="false">IF(A48="","",IF(ISNUMBER(SEARCH("PRT",E48)),D48,0))</f>
        <v>1</v>
      </c>
      <c r="J48" s="41" t="n">
        <f aca="false">IF(A48="","",IF(ISNUMBER(SEARCH("GMPS",E48)),D48,0))</f>
        <v>0</v>
      </c>
      <c r="K48" s="41" t="n">
        <f aca="false">IF(A48="","",IF(ISNUMBER(SEARCH("DLV",E48)),D48,0))</f>
        <v>0</v>
      </c>
      <c r="L48" s="41" t="str">
        <f aca="false">IF(A48="","",IF(K48&gt;0,"Delivered",IF(ISNUMBER(SEARCH("CNF",E48)),"In production",IF(J48&gt;0,"Issued",IF(I48&gt;0,"Kitted","Released")))))</f>
        <v>In production</v>
      </c>
      <c r="M48" s="41" t="n">
        <f aca="false">IF(G48&lt;&gt;"Yes","",COUNTIFS($B$6:$B$1505,B48,$F$6:$F$1505,"&lt;"&amp;F48)+COUNTIFS($B$6:$B$1505,B48,$F$6:$F$1505,F48,$A$6:$A$1505,"&lt;="&amp;A48))</f>
        <v>36</v>
      </c>
      <c r="N48" s="41" t="n">
        <f aca="false">IF(M48="","",ROUNDUP(M48/H48,0))</f>
        <v>12</v>
      </c>
      <c r="O48" s="41" t="str">
        <f aca="false">IF(N48="","",IF(N48&lt;='Kitting Plan'!$C$3,"Rep "&amp;N48,"Surplus"))</f>
        <v>Rep 12</v>
      </c>
    </row>
    <row r="49" customFormat="false" ht="15" hidden="false" customHeight="false" outlineLevel="0" collapsed="false">
      <c r="A49" s="40" t="n">
        <f aca="false">IF(OR($A$4=0,INDEX('COOIS Raw'!$A:$GZ,ROW()-4,$A$4)=""),"",IFERROR(--INDEX('COOIS Raw'!$A:$GZ,ROW()-4,$A$4),INDEX('COOIS Raw'!$A:$GZ,ROW()-4,$A$4)))</f>
        <v>100880228</v>
      </c>
      <c r="B49" s="41" t="str">
        <f aca="false">IF(A49="","",TRIM(INDEX('COOIS Raw'!$A:$GZ,ROW()-4,$B$4)))</f>
        <v>92YRA03548AAA</v>
      </c>
      <c r="C49" s="42" t="str">
        <f aca="false">IF(OR(A49="",$C$4=0),"",INDEX('COOIS Raw'!$A:$GZ,ROW()-4,$C$4))</f>
        <v>R5B ERBIUM ASSEMBLY 3</v>
      </c>
      <c r="D49" s="41" t="n">
        <f aca="false">IF(A49="","",IF($D$4=0,1,IFERROR(--INDEX('COOIS Raw'!$A:$GZ,ROW()-4,$D$4),1)))</f>
        <v>1</v>
      </c>
      <c r="E49" s="42" t="str">
        <f aca="false">IF(A49="","",INDEX('COOIS Raw'!$A:$GZ,ROW()-4,$E$4)&amp;"")</f>
        <v>REL PRT PCNF PRC MANC SETC</v>
      </c>
      <c r="F49" s="43" t="n">
        <f aca="false">IF(A49="","",IFERROR(DATEVALUE(INDEX('COOIS Raw'!$A:$GZ,ROW()-4,$F$4)),INDEX('COOIS Raw'!$A:$GZ,ROW()-4,$F$4)))</f>
        <v>46297</v>
      </c>
      <c r="G49" s="41" t="str">
        <f aca="false">IF(A49="","",IF(ISNA(MATCH(B49,'Kitting Plan'!$B$6:$B$19,0)),"Not in plan","Yes"))</f>
        <v>Yes</v>
      </c>
      <c r="H49" s="41" t="n">
        <f aca="false">IF(G49="Yes",INDEX('Kitting Plan'!$D$6:$D$19,MATCH(B49,'Kitting Plan'!$B$6:$B$19,0)),"")</f>
        <v>3</v>
      </c>
      <c r="I49" s="41" t="n">
        <f aca="false">IF(A49="","",IF(ISNUMBER(SEARCH("PRT",E49)),D49,0))</f>
        <v>1</v>
      </c>
      <c r="J49" s="41" t="n">
        <f aca="false">IF(A49="","",IF(ISNUMBER(SEARCH("GMPS",E49)),D49,0))</f>
        <v>0</v>
      </c>
      <c r="K49" s="41" t="n">
        <f aca="false">IF(A49="","",IF(ISNUMBER(SEARCH("DLV",E49)),D49,0))</f>
        <v>0</v>
      </c>
      <c r="L49" s="41" t="str">
        <f aca="false">IF(A49="","",IF(K49&gt;0,"Delivered",IF(ISNUMBER(SEARCH("CNF",E49)),"In production",IF(J49&gt;0,"Issued",IF(I49&gt;0,"Kitted","Released")))))</f>
        <v>In production</v>
      </c>
      <c r="M49" s="41" t="n">
        <f aca="false">IF(G49&lt;&gt;"Yes","",COUNTIFS($B$6:$B$1505,B49,$F$6:$F$1505,"&lt;"&amp;F49)+COUNTIFS($B$6:$B$1505,B49,$F$6:$F$1505,F49,$A$6:$A$1505,"&lt;="&amp;A49))</f>
        <v>37</v>
      </c>
      <c r="N49" s="41" t="n">
        <f aca="false">IF(M49="","",ROUNDUP(M49/H49,0))</f>
        <v>13</v>
      </c>
      <c r="O49" s="41" t="str">
        <f aca="false">IF(N49="","",IF(N49&lt;='Kitting Plan'!$C$3,"Rep "&amp;N49,"Surplus"))</f>
        <v>Rep 13</v>
      </c>
    </row>
    <row r="50" customFormat="false" ht="15" hidden="false" customHeight="false" outlineLevel="0" collapsed="false">
      <c r="A50" s="40" t="n">
        <f aca="false">IF(OR($A$4=0,INDEX('COOIS Raw'!$A:$GZ,ROW()-4,$A$4)=""),"",IFERROR(--INDEX('COOIS Raw'!$A:$GZ,ROW()-4,$A$4),INDEX('COOIS Raw'!$A:$GZ,ROW()-4,$A$4)))</f>
        <v>100880229</v>
      </c>
      <c r="B50" s="41" t="str">
        <f aca="false">IF(A50="","",TRIM(INDEX('COOIS Raw'!$A:$GZ,ROW()-4,$B$4)))</f>
        <v>92YRA03548AAA</v>
      </c>
      <c r="C50" s="42" t="str">
        <f aca="false">IF(OR(A50="",$C$4=0),"",INDEX('COOIS Raw'!$A:$GZ,ROW()-4,$C$4))</f>
        <v>R5B ERBIUM ASSEMBLY 3</v>
      </c>
      <c r="D50" s="41" t="n">
        <f aca="false">IF(A50="","",IF($D$4=0,1,IFERROR(--INDEX('COOIS Raw'!$A:$GZ,ROW()-4,$D$4),1)))</f>
        <v>1</v>
      </c>
      <c r="E50" s="42" t="str">
        <f aca="false">IF(A50="","",INDEX('COOIS Raw'!$A:$GZ,ROW()-4,$E$4)&amp;"")</f>
        <v>REL PRT PCNF PRC MANC SETC</v>
      </c>
      <c r="F50" s="43" t="n">
        <f aca="false">IF(A50="","",IFERROR(DATEVALUE(INDEX('COOIS Raw'!$A:$GZ,ROW()-4,$F$4)),INDEX('COOIS Raw'!$A:$GZ,ROW()-4,$F$4)))</f>
        <v>46297</v>
      </c>
      <c r="G50" s="41" t="str">
        <f aca="false">IF(A50="","",IF(ISNA(MATCH(B50,'Kitting Plan'!$B$6:$B$19,0)),"Not in plan","Yes"))</f>
        <v>Yes</v>
      </c>
      <c r="H50" s="41" t="n">
        <f aca="false">IF(G50="Yes",INDEX('Kitting Plan'!$D$6:$D$19,MATCH(B50,'Kitting Plan'!$B$6:$B$19,0)),"")</f>
        <v>3</v>
      </c>
      <c r="I50" s="41" t="n">
        <f aca="false">IF(A50="","",IF(ISNUMBER(SEARCH("PRT",E50)),D50,0))</f>
        <v>1</v>
      </c>
      <c r="J50" s="41" t="n">
        <f aca="false">IF(A50="","",IF(ISNUMBER(SEARCH("GMPS",E50)),D50,0))</f>
        <v>0</v>
      </c>
      <c r="K50" s="41" t="n">
        <f aca="false">IF(A50="","",IF(ISNUMBER(SEARCH("DLV",E50)),D50,0))</f>
        <v>0</v>
      </c>
      <c r="L50" s="41" t="str">
        <f aca="false">IF(A50="","",IF(K50&gt;0,"Delivered",IF(ISNUMBER(SEARCH("CNF",E50)),"In production",IF(J50&gt;0,"Issued",IF(I50&gt;0,"Kitted","Released")))))</f>
        <v>In production</v>
      </c>
      <c r="M50" s="41" t="n">
        <f aca="false">IF(G50&lt;&gt;"Yes","",COUNTIFS($B$6:$B$1505,B50,$F$6:$F$1505,"&lt;"&amp;F50)+COUNTIFS($B$6:$B$1505,B50,$F$6:$F$1505,F50,$A$6:$A$1505,"&lt;="&amp;A50))</f>
        <v>38</v>
      </c>
      <c r="N50" s="41" t="n">
        <f aca="false">IF(M50="","",ROUNDUP(M50/H50,0))</f>
        <v>13</v>
      </c>
      <c r="O50" s="41" t="str">
        <f aca="false">IF(N50="","",IF(N50&lt;='Kitting Plan'!$C$3,"Rep "&amp;N50,"Surplus"))</f>
        <v>Rep 13</v>
      </c>
    </row>
    <row r="51" customFormat="false" ht="15" hidden="false" customHeight="false" outlineLevel="0" collapsed="false">
      <c r="A51" s="40" t="n">
        <f aca="false">IF(OR($A$4=0,INDEX('COOIS Raw'!$A:$GZ,ROW()-4,$A$4)=""),"",IFERROR(--INDEX('COOIS Raw'!$A:$GZ,ROW()-4,$A$4),INDEX('COOIS Raw'!$A:$GZ,ROW()-4,$A$4)))</f>
        <v>100880230</v>
      </c>
      <c r="B51" s="41" t="str">
        <f aca="false">IF(A51="","",TRIM(INDEX('COOIS Raw'!$A:$GZ,ROW()-4,$B$4)))</f>
        <v>92YRA03548AAA</v>
      </c>
      <c r="C51" s="42" t="str">
        <f aca="false">IF(OR(A51="",$C$4=0),"",INDEX('COOIS Raw'!$A:$GZ,ROW()-4,$C$4))</f>
        <v>R5B ERBIUM ASSEMBLY 3</v>
      </c>
      <c r="D51" s="41" t="n">
        <f aca="false">IF(A51="","",IF($D$4=0,1,IFERROR(--INDEX('COOIS Raw'!$A:$GZ,ROW()-4,$D$4),1)))</f>
        <v>1</v>
      </c>
      <c r="E51" s="42" t="str">
        <f aca="false">IF(A51="","",INDEX('COOIS Raw'!$A:$GZ,ROW()-4,$E$4)&amp;"")</f>
        <v>REL PRT PCNF PRC MANC SETC</v>
      </c>
      <c r="F51" s="43" t="n">
        <f aca="false">IF(A51="","",IFERROR(DATEVALUE(INDEX('COOIS Raw'!$A:$GZ,ROW()-4,$F$4)),INDEX('COOIS Raw'!$A:$GZ,ROW()-4,$F$4)))</f>
        <v>46297</v>
      </c>
      <c r="G51" s="41" t="str">
        <f aca="false">IF(A51="","",IF(ISNA(MATCH(B51,'Kitting Plan'!$B$6:$B$19,0)),"Not in plan","Yes"))</f>
        <v>Yes</v>
      </c>
      <c r="H51" s="41" t="n">
        <f aca="false">IF(G51="Yes",INDEX('Kitting Plan'!$D$6:$D$19,MATCH(B51,'Kitting Plan'!$B$6:$B$19,0)),"")</f>
        <v>3</v>
      </c>
      <c r="I51" s="41" t="n">
        <f aca="false">IF(A51="","",IF(ISNUMBER(SEARCH("PRT",E51)),D51,0))</f>
        <v>1</v>
      </c>
      <c r="J51" s="41" t="n">
        <f aca="false">IF(A51="","",IF(ISNUMBER(SEARCH("GMPS",E51)),D51,0))</f>
        <v>0</v>
      </c>
      <c r="K51" s="41" t="n">
        <f aca="false">IF(A51="","",IF(ISNUMBER(SEARCH("DLV",E51)),D51,0))</f>
        <v>0</v>
      </c>
      <c r="L51" s="41" t="str">
        <f aca="false">IF(A51="","",IF(K51&gt;0,"Delivered",IF(ISNUMBER(SEARCH("CNF",E51)),"In production",IF(J51&gt;0,"Issued",IF(I51&gt;0,"Kitted","Released")))))</f>
        <v>In production</v>
      </c>
      <c r="M51" s="41" t="n">
        <f aca="false">IF(G51&lt;&gt;"Yes","",COUNTIFS($B$6:$B$1505,B51,$F$6:$F$1505,"&lt;"&amp;F51)+COUNTIFS($B$6:$B$1505,B51,$F$6:$F$1505,F51,$A$6:$A$1505,"&lt;="&amp;A51))</f>
        <v>39</v>
      </c>
      <c r="N51" s="41" t="n">
        <f aca="false">IF(M51="","",ROUNDUP(M51/H51,0))</f>
        <v>13</v>
      </c>
      <c r="O51" s="41" t="str">
        <f aca="false">IF(N51="","",IF(N51&lt;='Kitting Plan'!$C$3,"Rep "&amp;N51,"Surplus"))</f>
        <v>Rep 13</v>
      </c>
    </row>
    <row r="52" customFormat="false" ht="15" hidden="false" customHeight="false" outlineLevel="0" collapsed="false">
      <c r="A52" s="40" t="n">
        <f aca="false">IF(OR($A$4=0,INDEX('COOIS Raw'!$A:$GZ,ROW()-4,$A$4)=""),"",IFERROR(--INDEX('COOIS Raw'!$A:$GZ,ROW()-4,$A$4),INDEX('COOIS Raw'!$A:$GZ,ROW()-4,$A$4)))</f>
        <v>100880231</v>
      </c>
      <c r="B52" s="41" t="str">
        <f aca="false">IF(A52="","",TRIM(INDEX('COOIS Raw'!$A:$GZ,ROW()-4,$B$4)))</f>
        <v>92YRA04548AAA</v>
      </c>
      <c r="C52" s="42" t="str">
        <f aca="false">IF(OR(A52="",$C$4=0),"",INDEX('COOIS Raw'!$A:$GZ,ROW()-4,$C$4))</f>
        <v>R5B ERBIUM ASSEMBLY 4</v>
      </c>
      <c r="D52" s="41" t="n">
        <f aca="false">IF(A52="","",IF($D$4=0,1,IFERROR(--INDEX('COOIS Raw'!$A:$GZ,ROW()-4,$D$4),1)))</f>
        <v>1</v>
      </c>
      <c r="E52" s="42" t="str">
        <f aca="false">IF(A52="","",INDEX('COOIS Raw'!$A:$GZ,ROW()-4,$E$4)&amp;"")</f>
        <v>REL PRT PCNF PRC MANC SETC</v>
      </c>
      <c r="F52" s="43" t="n">
        <f aca="false">IF(A52="","",IFERROR(DATEVALUE(INDEX('COOIS Raw'!$A:$GZ,ROW()-4,$F$4)),INDEX('COOIS Raw'!$A:$GZ,ROW()-4,$F$4)))</f>
        <v>46297</v>
      </c>
      <c r="G52" s="41" t="str">
        <f aca="false">IF(A52="","",IF(ISNA(MATCH(B52,'Kitting Plan'!$B$6:$B$19,0)),"Not in plan","Yes"))</f>
        <v>Yes</v>
      </c>
      <c r="H52" s="41" t="n">
        <f aca="false">IF(G52="Yes",INDEX('Kitting Plan'!$D$6:$D$19,MATCH(B52,'Kitting Plan'!$B$6:$B$19,0)),"")</f>
        <v>3</v>
      </c>
      <c r="I52" s="41" t="n">
        <f aca="false">IF(A52="","",IF(ISNUMBER(SEARCH("PRT",E52)),D52,0))</f>
        <v>1</v>
      </c>
      <c r="J52" s="41" t="n">
        <f aca="false">IF(A52="","",IF(ISNUMBER(SEARCH("GMPS",E52)),D52,0))</f>
        <v>0</v>
      </c>
      <c r="K52" s="41" t="n">
        <f aca="false">IF(A52="","",IF(ISNUMBER(SEARCH("DLV",E52)),D52,0))</f>
        <v>0</v>
      </c>
      <c r="L52" s="41" t="str">
        <f aca="false">IF(A52="","",IF(K52&gt;0,"Delivered",IF(ISNUMBER(SEARCH("CNF",E52)),"In production",IF(J52&gt;0,"Issued",IF(I52&gt;0,"Kitted","Released")))))</f>
        <v>In production</v>
      </c>
      <c r="M52" s="41" t="n">
        <f aca="false">IF(G52&lt;&gt;"Yes","",COUNTIFS($B$6:$B$1505,B52,$F$6:$F$1505,"&lt;"&amp;F52)+COUNTIFS($B$6:$B$1505,B52,$F$6:$F$1505,F52,$A$6:$A$1505,"&lt;="&amp;A52))</f>
        <v>34</v>
      </c>
      <c r="N52" s="41" t="n">
        <f aca="false">IF(M52="","",ROUNDUP(M52/H52,0))</f>
        <v>12</v>
      </c>
      <c r="O52" s="41" t="str">
        <f aca="false">IF(N52="","",IF(N52&lt;='Kitting Plan'!$C$3,"Rep "&amp;N52,"Surplus"))</f>
        <v>Rep 12</v>
      </c>
    </row>
    <row r="53" customFormat="false" ht="15" hidden="false" customHeight="false" outlineLevel="0" collapsed="false">
      <c r="A53" s="40" t="n">
        <f aca="false">IF(OR($A$4=0,INDEX('COOIS Raw'!$A:$GZ,ROW()-4,$A$4)=""),"",IFERROR(--INDEX('COOIS Raw'!$A:$GZ,ROW()-4,$A$4),INDEX('COOIS Raw'!$A:$GZ,ROW()-4,$A$4)))</f>
        <v>100880232</v>
      </c>
      <c r="B53" s="41" t="str">
        <f aca="false">IF(A53="","",TRIM(INDEX('COOIS Raw'!$A:$GZ,ROW()-4,$B$4)))</f>
        <v>92YRA04548AAA</v>
      </c>
      <c r="C53" s="42" t="str">
        <f aca="false">IF(OR(A53="",$C$4=0),"",INDEX('COOIS Raw'!$A:$GZ,ROW()-4,$C$4))</f>
        <v>R5B ERBIUM ASSEMBLY 4</v>
      </c>
      <c r="D53" s="41" t="n">
        <f aca="false">IF(A53="","",IF($D$4=0,1,IFERROR(--INDEX('COOIS Raw'!$A:$GZ,ROW()-4,$D$4),1)))</f>
        <v>1</v>
      </c>
      <c r="E53" s="42" t="str">
        <f aca="false">IF(A53="","",INDEX('COOIS Raw'!$A:$GZ,ROW()-4,$E$4)&amp;"")</f>
        <v>REL PRT PCNF PRC MANC SETC</v>
      </c>
      <c r="F53" s="43" t="n">
        <f aca="false">IF(A53="","",IFERROR(DATEVALUE(INDEX('COOIS Raw'!$A:$GZ,ROW()-4,$F$4)),INDEX('COOIS Raw'!$A:$GZ,ROW()-4,$F$4)))</f>
        <v>46297</v>
      </c>
      <c r="G53" s="41" t="str">
        <f aca="false">IF(A53="","",IF(ISNA(MATCH(B53,'Kitting Plan'!$B$6:$B$19,0)),"Not in plan","Yes"))</f>
        <v>Yes</v>
      </c>
      <c r="H53" s="41" t="n">
        <f aca="false">IF(G53="Yes",INDEX('Kitting Plan'!$D$6:$D$19,MATCH(B53,'Kitting Plan'!$B$6:$B$19,0)),"")</f>
        <v>3</v>
      </c>
      <c r="I53" s="41" t="n">
        <f aca="false">IF(A53="","",IF(ISNUMBER(SEARCH("PRT",E53)),D53,0))</f>
        <v>1</v>
      </c>
      <c r="J53" s="41" t="n">
        <f aca="false">IF(A53="","",IF(ISNUMBER(SEARCH("GMPS",E53)),D53,0))</f>
        <v>0</v>
      </c>
      <c r="K53" s="41" t="n">
        <f aca="false">IF(A53="","",IF(ISNUMBER(SEARCH("DLV",E53)),D53,0))</f>
        <v>0</v>
      </c>
      <c r="L53" s="41" t="str">
        <f aca="false">IF(A53="","",IF(K53&gt;0,"Delivered",IF(ISNUMBER(SEARCH("CNF",E53)),"In production",IF(J53&gt;0,"Issued",IF(I53&gt;0,"Kitted","Released")))))</f>
        <v>In production</v>
      </c>
      <c r="M53" s="41" t="n">
        <f aca="false">IF(G53&lt;&gt;"Yes","",COUNTIFS($B$6:$B$1505,B53,$F$6:$F$1505,"&lt;"&amp;F53)+COUNTIFS($B$6:$B$1505,B53,$F$6:$F$1505,F53,$A$6:$A$1505,"&lt;="&amp;A53))</f>
        <v>35</v>
      </c>
      <c r="N53" s="41" t="n">
        <f aca="false">IF(M53="","",ROUNDUP(M53/H53,0))</f>
        <v>12</v>
      </c>
      <c r="O53" s="41" t="str">
        <f aca="false">IF(N53="","",IF(N53&lt;='Kitting Plan'!$C$3,"Rep "&amp;N53,"Surplus"))</f>
        <v>Rep 12</v>
      </c>
    </row>
    <row r="54" customFormat="false" ht="15" hidden="false" customHeight="false" outlineLevel="0" collapsed="false">
      <c r="A54" s="40" t="n">
        <f aca="false">IF(OR($A$4=0,INDEX('COOIS Raw'!$A:$GZ,ROW()-4,$A$4)=""),"",IFERROR(--INDEX('COOIS Raw'!$A:$GZ,ROW()-4,$A$4),INDEX('COOIS Raw'!$A:$GZ,ROW()-4,$A$4)))</f>
        <v>100880233</v>
      </c>
      <c r="B54" s="41" t="str">
        <f aca="false">IF(A54="","",TRIM(INDEX('COOIS Raw'!$A:$GZ,ROW()-4,$B$4)))</f>
        <v>92YRA04548AAA</v>
      </c>
      <c r="C54" s="42" t="str">
        <f aca="false">IF(OR(A54="",$C$4=0),"",INDEX('COOIS Raw'!$A:$GZ,ROW()-4,$C$4))</f>
        <v>R5B ERBIUM ASSEMBLY 4</v>
      </c>
      <c r="D54" s="41" t="n">
        <f aca="false">IF(A54="","",IF($D$4=0,1,IFERROR(--INDEX('COOIS Raw'!$A:$GZ,ROW()-4,$D$4),1)))</f>
        <v>1</v>
      </c>
      <c r="E54" s="42" t="str">
        <f aca="false">IF(A54="","",INDEX('COOIS Raw'!$A:$GZ,ROW()-4,$E$4)&amp;"")</f>
        <v>REL PRT PCNF PRC MANC SETC</v>
      </c>
      <c r="F54" s="43" t="n">
        <f aca="false">IF(A54="","",IFERROR(DATEVALUE(INDEX('COOIS Raw'!$A:$GZ,ROW()-4,$F$4)),INDEX('COOIS Raw'!$A:$GZ,ROW()-4,$F$4)))</f>
        <v>46297</v>
      </c>
      <c r="G54" s="41" t="str">
        <f aca="false">IF(A54="","",IF(ISNA(MATCH(B54,'Kitting Plan'!$B$6:$B$19,0)),"Not in plan","Yes"))</f>
        <v>Yes</v>
      </c>
      <c r="H54" s="41" t="n">
        <f aca="false">IF(G54="Yes",INDEX('Kitting Plan'!$D$6:$D$19,MATCH(B54,'Kitting Plan'!$B$6:$B$19,0)),"")</f>
        <v>3</v>
      </c>
      <c r="I54" s="41" t="n">
        <f aca="false">IF(A54="","",IF(ISNUMBER(SEARCH("PRT",E54)),D54,0))</f>
        <v>1</v>
      </c>
      <c r="J54" s="41" t="n">
        <f aca="false">IF(A54="","",IF(ISNUMBER(SEARCH("GMPS",E54)),D54,0))</f>
        <v>0</v>
      </c>
      <c r="K54" s="41" t="n">
        <f aca="false">IF(A54="","",IF(ISNUMBER(SEARCH("DLV",E54)),D54,0))</f>
        <v>0</v>
      </c>
      <c r="L54" s="41" t="str">
        <f aca="false">IF(A54="","",IF(K54&gt;0,"Delivered",IF(ISNUMBER(SEARCH("CNF",E54)),"In production",IF(J54&gt;0,"Issued",IF(I54&gt;0,"Kitted","Released")))))</f>
        <v>In production</v>
      </c>
      <c r="M54" s="41" t="n">
        <f aca="false">IF(G54&lt;&gt;"Yes","",COUNTIFS($B$6:$B$1505,B54,$F$6:$F$1505,"&lt;"&amp;F54)+COUNTIFS($B$6:$B$1505,B54,$F$6:$F$1505,F54,$A$6:$A$1505,"&lt;="&amp;A54))</f>
        <v>36</v>
      </c>
      <c r="N54" s="41" t="n">
        <f aca="false">IF(M54="","",ROUNDUP(M54/H54,0))</f>
        <v>12</v>
      </c>
      <c r="O54" s="41" t="str">
        <f aca="false">IF(N54="","",IF(N54&lt;='Kitting Plan'!$C$3,"Rep "&amp;N54,"Surplus"))</f>
        <v>Rep 12</v>
      </c>
    </row>
    <row r="55" customFormat="false" ht="15" hidden="false" customHeight="false" outlineLevel="0" collapsed="false">
      <c r="A55" s="40" t="n">
        <f aca="false">IF(OR($A$4=0,INDEX('COOIS Raw'!$A:$GZ,ROW()-4,$A$4)=""),"",IFERROR(--INDEX('COOIS Raw'!$A:$GZ,ROW()-4,$A$4),INDEX('COOIS Raw'!$A:$GZ,ROW()-4,$A$4)))</f>
        <v>100880234</v>
      </c>
      <c r="B55" s="41" t="str">
        <f aca="false">IF(A55="","",TRIM(INDEX('COOIS Raw'!$A:$GZ,ROW()-4,$B$4)))</f>
        <v>92UAP04548BAA</v>
      </c>
      <c r="C55" s="42" t="str">
        <f aca="false">IF(OR(A55="",$C$4=0),"",INDEX('COOIS Raw'!$A:$GZ,ROW()-4,$C$4))</f>
        <v>R5B BOAT 1 ASSY (4P-4FP) L - E2A</v>
      </c>
      <c r="D55" s="41" t="n">
        <f aca="false">IF(A55="","",IF($D$4=0,1,IFERROR(--INDEX('COOIS Raw'!$A:$GZ,ROW()-4,$D$4),1)))</f>
        <v>1</v>
      </c>
      <c r="E55" s="42" t="str">
        <f aca="false">IF(A55="","",INDEX('COOIS Raw'!$A:$GZ,ROW()-4,$E$4)&amp;"")</f>
        <v>REL PRT PRC MANC SETC</v>
      </c>
      <c r="F55" s="43" t="n">
        <f aca="false">IF(A55="","",IFERROR(DATEVALUE(INDEX('COOIS Raw'!$A:$GZ,ROW()-4,$F$4)),INDEX('COOIS Raw'!$A:$GZ,ROW()-4,$F$4)))</f>
        <v>46297</v>
      </c>
      <c r="G55" s="41" t="str">
        <f aca="false">IF(A55="","",IF(ISNA(MATCH(B55,'Kitting Plan'!$B$6:$B$19,0)),"Not in plan","Yes"))</f>
        <v>Yes</v>
      </c>
      <c r="H55" s="41" t="n">
        <f aca="false">IF(G55="Yes",INDEX('Kitting Plan'!$D$6:$D$19,MATCH(B55,'Kitting Plan'!$B$6:$B$19,0)),"")</f>
        <v>1</v>
      </c>
      <c r="I55" s="41" t="n">
        <f aca="false">IF(A55="","",IF(ISNUMBER(SEARCH("PRT",E55)),D55,0))</f>
        <v>1</v>
      </c>
      <c r="J55" s="41" t="n">
        <f aca="false">IF(A55="","",IF(ISNUMBER(SEARCH("GMPS",E55)),D55,0))</f>
        <v>0</v>
      </c>
      <c r="K55" s="41" t="n">
        <f aca="false">IF(A55="","",IF(ISNUMBER(SEARCH("DLV",E55)),D55,0))</f>
        <v>0</v>
      </c>
      <c r="L55" s="41" t="str">
        <f aca="false">IF(A55="","",IF(K55&gt;0,"Delivered",IF(ISNUMBER(SEARCH("CNF",E55)),"In production",IF(J55&gt;0,"Issued",IF(I55&gt;0,"Kitted","Released")))))</f>
        <v>Kitted</v>
      </c>
      <c r="M55" s="41" t="n">
        <f aca="false">IF(G55&lt;&gt;"Yes","",COUNTIFS($B$6:$B$1505,B55,$F$6:$F$1505,"&lt;"&amp;F55)+COUNTIFS($B$6:$B$1505,B55,$F$6:$F$1505,F55,$A$6:$A$1505,"&lt;="&amp;A55))</f>
        <v>12</v>
      </c>
      <c r="N55" s="41" t="n">
        <f aca="false">IF(M55="","",ROUNDUP(M55/H55,0))</f>
        <v>12</v>
      </c>
      <c r="O55" s="41" t="str">
        <f aca="false">IF(N55="","",IF(N55&lt;='Kitting Plan'!$C$3,"Rep "&amp;N55,"Surplus"))</f>
        <v>Rep 12</v>
      </c>
    </row>
    <row r="56" customFormat="false" ht="15" hidden="false" customHeight="false" outlineLevel="0" collapsed="false">
      <c r="A56" s="40" t="n">
        <f aca="false">IF(OR($A$4=0,INDEX('COOIS Raw'!$A:$GZ,ROW()-4,$A$4)=""),"",IFERROR(--INDEX('COOIS Raw'!$A:$GZ,ROW()-4,$A$4),INDEX('COOIS Raw'!$A:$GZ,ROW()-4,$A$4)))</f>
        <v>100880235</v>
      </c>
      <c r="B56" s="41" t="str">
        <f aca="false">IF(A56="","",TRIM(INDEX('COOIS Raw'!$A:$GZ,ROW()-4,$B$4)))</f>
        <v>92UAP04548BBA</v>
      </c>
      <c r="C56" s="42" t="str">
        <f aca="false">IF(OR(A56="",$C$4=0),"",INDEX('COOIS Raw'!$A:$GZ,ROW()-4,$C$4))</f>
        <v>R5B BOAT 2 ASSY (4P-4FP) L - E2A</v>
      </c>
      <c r="D56" s="41" t="n">
        <f aca="false">IF(A56="","",IF($D$4=0,1,IFERROR(--INDEX('COOIS Raw'!$A:$GZ,ROW()-4,$D$4),1)))</f>
        <v>1</v>
      </c>
      <c r="E56" s="42" t="str">
        <f aca="false">IF(A56="","",INDEX('COOIS Raw'!$A:$GZ,ROW()-4,$E$4)&amp;"")</f>
        <v>REL PRT PRC MANC SETC</v>
      </c>
      <c r="F56" s="43" t="n">
        <f aca="false">IF(A56="","",IFERROR(DATEVALUE(INDEX('COOIS Raw'!$A:$GZ,ROW()-4,$F$4)),INDEX('COOIS Raw'!$A:$GZ,ROW()-4,$F$4)))</f>
        <v>46297</v>
      </c>
      <c r="G56" s="41" t="str">
        <f aca="false">IF(A56="","",IF(ISNA(MATCH(B56,'Kitting Plan'!$B$6:$B$19,0)),"Not in plan","Yes"))</f>
        <v>Yes</v>
      </c>
      <c r="H56" s="41" t="n">
        <f aca="false">IF(G56="Yes",INDEX('Kitting Plan'!$D$6:$D$19,MATCH(B56,'Kitting Plan'!$B$6:$B$19,0)),"")</f>
        <v>1</v>
      </c>
      <c r="I56" s="41" t="n">
        <f aca="false">IF(A56="","",IF(ISNUMBER(SEARCH("PRT",E56)),D56,0))</f>
        <v>1</v>
      </c>
      <c r="J56" s="41" t="n">
        <f aca="false">IF(A56="","",IF(ISNUMBER(SEARCH("GMPS",E56)),D56,0))</f>
        <v>0</v>
      </c>
      <c r="K56" s="41" t="n">
        <f aca="false">IF(A56="","",IF(ISNUMBER(SEARCH("DLV",E56)),D56,0))</f>
        <v>0</v>
      </c>
      <c r="L56" s="41" t="str">
        <f aca="false">IF(A56="","",IF(K56&gt;0,"Delivered",IF(ISNUMBER(SEARCH("CNF",E56)),"In production",IF(J56&gt;0,"Issued",IF(I56&gt;0,"Kitted","Released")))))</f>
        <v>Kitted</v>
      </c>
      <c r="M56" s="41" t="n">
        <f aca="false">IF(G56&lt;&gt;"Yes","",COUNTIFS($B$6:$B$1505,B56,$F$6:$F$1505,"&lt;"&amp;F56)+COUNTIFS($B$6:$B$1505,B56,$F$6:$F$1505,F56,$A$6:$A$1505,"&lt;="&amp;A56))</f>
        <v>12</v>
      </c>
      <c r="N56" s="41" t="n">
        <f aca="false">IF(M56="","",ROUNDUP(M56/H56,0))</f>
        <v>12</v>
      </c>
      <c r="O56" s="41" t="str">
        <f aca="false">IF(N56="","",IF(N56&lt;='Kitting Plan'!$C$3,"Rep "&amp;N56,"Surplus"))</f>
        <v>Rep 12</v>
      </c>
    </row>
    <row r="57" customFormat="false" ht="15" hidden="false" customHeight="false" outlineLevel="0" collapsed="false">
      <c r="A57" s="40" t="n">
        <f aca="false">IF(OR($A$4=0,INDEX('COOIS Raw'!$A:$GZ,ROW()-4,$A$4)=""),"",IFERROR(--INDEX('COOIS Raw'!$A:$GZ,ROW()-4,$A$4),INDEX('COOIS Raw'!$A:$GZ,ROW()-4,$A$4)))</f>
        <v>100880236</v>
      </c>
      <c r="B57" s="41" t="str">
        <f aca="false">IF(A57="","",TRIM(INDEX('COOIS Raw'!$A:$GZ,ROW()-4,$B$4)))</f>
        <v>92UAP04548BCA</v>
      </c>
      <c r="C57" s="42" t="str">
        <f aca="false">IF(OR(A57="",$C$4=0),"",INDEX('COOIS Raw'!$A:$GZ,ROW()-4,$C$4))</f>
        <v>R5B BOAT 3 ASSY (4P-4FP) L - E2A</v>
      </c>
      <c r="D57" s="41" t="n">
        <f aca="false">IF(A57="","",IF($D$4=0,1,IFERROR(--INDEX('COOIS Raw'!$A:$GZ,ROW()-4,$D$4),1)))</f>
        <v>1</v>
      </c>
      <c r="E57" s="42" t="str">
        <f aca="false">IF(A57="","",INDEX('COOIS Raw'!$A:$GZ,ROW()-4,$E$4)&amp;"")</f>
        <v>REL PRT PRC MANC SETC</v>
      </c>
      <c r="F57" s="43" t="n">
        <f aca="false">IF(A57="","",IFERROR(DATEVALUE(INDEX('COOIS Raw'!$A:$GZ,ROW()-4,$F$4)),INDEX('COOIS Raw'!$A:$GZ,ROW()-4,$F$4)))</f>
        <v>46297</v>
      </c>
      <c r="G57" s="41" t="str">
        <f aca="false">IF(A57="","",IF(ISNA(MATCH(B57,'Kitting Plan'!$B$6:$B$19,0)),"Not in plan","Yes"))</f>
        <v>Yes</v>
      </c>
      <c r="H57" s="41" t="n">
        <f aca="false">IF(G57="Yes",INDEX('Kitting Plan'!$D$6:$D$19,MATCH(B57,'Kitting Plan'!$B$6:$B$19,0)),"")</f>
        <v>1</v>
      </c>
      <c r="I57" s="41" t="n">
        <f aca="false">IF(A57="","",IF(ISNUMBER(SEARCH("PRT",E57)),D57,0))</f>
        <v>1</v>
      </c>
      <c r="J57" s="41" t="n">
        <f aca="false">IF(A57="","",IF(ISNUMBER(SEARCH("GMPS",E57)),D57,0))</f>
        <v>0</v>
      </c>
      <c r="K57" s="41" t="n">
        <f aca="false">IF(A57="","",IF(ISNUMBER(SEARCH("DLV",E57)),D57,0))</f>
        <v>0</v>
      </c>
      <c r="L57" s="41" t="str">
        <f aca="false">IF(A57="","",IF(K57&gt;0,"Delivered",IF(ISNUMBER(SEARCH("CNF",E57)),"In production",IF(J57&gt;0,"Issued",IF(I57&gt;0,"Kitted","Released")))))</f>
        <v>Kitted</v>
      </c>
      <c r="M57" s="41" t="n">
        <f aca="false">IF(G57&lt;&gt;"Yes","",COUNTIFS($B$6:$B$1505,B57,$F$6:$F$1505,"&lt;"&amp;F57)+COUNTIFS($B$6:$B$1505,B57,$F$6:$F$1505,F57,$A$6:$A$1505,"&lt;="&amp;A57))</f>
        <v>12</v>
      </c>
      <c r="N57" s="41" t="n">
        <f aca="false">IF(M57="","",ROUNDUP(M57/H57,0))</f>
        <v>12</v>
      </c>
      <c r="O57" s="41" t="str">
        <f aca="false">IF(N57="","",IF(N57&lt;='Kitting Plan'!$C$3,"Rep "&amp;N57,"Surplus"))</f>
        <v>Rep 12</v>
      </c>
    </row>
    <row r="58" customFormat="false" ht="15" hidden="false" customHeight="false" outlineLevel="0" collapsed="false">
      <c r="A58" s="40" t="n">
        <f aca="false">IF(OR($A$4=0,INDEX('COOIS Raw'!$A:$GZ,ROW()-4,$A$4)=""),"",IFERROR(--INDEX('COOIS Raw'!$A:$GZ,ROW()-4,$A$4),INDEX('COOIS Raw'!$A:$GZ,ROW()-4,$A$4)))</f>
        <v>100880245</v>
      </c>
      <c r="B58" s="41" t="str">
        <f aca="false">IF(A58="","",TRIM(INDEX('COOIS Raw'!$A:$GZ,ROW()-4,$B$4)))</f>
        <v>92YLS00548BAA</v>
      </c>
      <c r="C58" s="42" t="str">
        <f aca="false">IF(OR(A58="",$C$4=0),"",INDEX('COOIS Raw'!$A:$GZ,ROW()-4,$C$4))</f>
        <v>R5B LASER ASSEMBLY 4P BOAT 1 - E2A</v>
      </c>
      <c r="D58" s="41" t="n">
        <f aca="false">IF(A58="","",IF($D$4=0,1,IFERROR(--INDEX('COOIS Raw'!$A:$GZ,ROW()-4,$D$4),1)))</f>
        <v>1</v>
      </c>
      <c r="E58" s="42" t="str">
        <f aca="false">IF(A58="","",INDEX('COOIS Raw'!$A:$GZ,ROW()-4,$E$4)&amp;"")</f>
        <v>REL PRT PRC MANC SETC</v>
      </c>
      <c r="F58" s="43" t="n">
        <f aca="false">IF(A58="","",IFERROR(DATEVALUE(INDEX('COOIS Raw'!$A:$GZ,ROW()-4,$F$4)),INDEX('COOIS Raw'!$A:$GZ,ROW()-4,$F$4)))</f>
        <v>46297</v>
      </c>
      <c r="G58" s="41" t="str">
        <f aca="false">IF(A58="","",IF(ISNA(MATCH(B58,'Kitting Plan'!$B$6:$B$19,0)),"Not in plan","Yes"))</f>
        <v>Yes</v>
      </c>
      <c r="H58" s="41" t="n">
        <f aca="false">IF(G58="Yes",INDEX('Kitting Plan'!$D$6:$D$19,MATCH(B58,'Kitting Plan'!$B$6:$B$19,0)),"")</f>
        <v>1</v>
      </c>
      <c r="I58" s="41" t="n">
        <f aca="false">IF(A58="","",IF(ISNUMBER(SEARCH("PRT",E58)),D58,0))</f>
        <v>1</v>
      </c>
      <c r="J58" s="41" t="n">
        <f aca="false">IF(A58="","",IF(ISNUMBER(SEARCH("GMPS",E58)),D58,0))</f>
        <v>0</v>
      </c>
      <c r="K58" s="41" t="n">
        <f aca="false">IF(A58="","",IF(ISNUMBER(SEARCH("DLV",E58)),D58,0))</f>
        <v>0</v>
      </c>
      <c r="L58" s="41" t="str">
        <f aca="false">IF(A58="","",IF(K58&gt;0,"Delivered",IF(ISNUMBER(SEARCH("CNF",E58)),"In production",IF(J58&gt;0,"Issued",IF(I58&gt;0,"Kitted","Released")))))</f>
        <v>Kitted</v>
      </c>
      <c r="M58" s="41" t="n">
        <f aca="false">IF(G58&lt;&gt;"Yes","",COUNTIFS($B$6:$B$1505,B58,$F$6:$F$1505,"&lt;"&amp;F58)+COUNTIFS($B$6:$B$1505,B58,$F$6:$F$1505,F58,$A$6:$A$1505,"&lt;="&amp;A58))</f>
        <v>14</v>
      </c>
      <c r="N58" s="41" t="n">
        <f aca="false">IF(M58="","",ROUNDUP(M58/H58,0))</f>
        <v>14</v>
      </c>
      <c r="O58" s="41" t="str">
        <f aca="false">IF(N58="","",IF(N58&lt;='Kitting Plan'!$C$3,"Rep "&amp;N58,"Surplus"))</f>
        <v>Surplus</v>
      </c>
    </row>
    <row r="59" customFormat="false" ht="15" hidden="false" customHeight="false" outlineLevel="0" collapsed="false">
      <c r="A59" s="40" t="n">
        <f aca="false">IF(OR($A$4=0,INDEX('COOIS Raw'!$A:$GZ,ROW()-4,$A$4)=""),"",IFERROR(--INDEX('COOIS Raw'!$A:$GZ,ROW()-4,$A$4),INDEX('COOIS Raw'!$A:$GZ,ROW()-4,$A$4)))</f>
        <v>100880246</v>
      </c>
      <c r="B59" s="41" t="str">
        <f aca="false">IF(A59="","",TRIM(INDEX('COOIS Raw'!$A:$GZ,ROW()-4,$B$4)))</f>
        <v>92YLS00548BBA</v>
      </c>
      <c r="C59" s="42" t="str">
        <f aca="false">IF(OR(A59="",$C$4=0),"",INDEX('COOIS Raw'!$A:$GZ,ROW()-4,$C$4))</f>
        <v>R5B LASER ASSEMBLY 4P BOAT 2/3 - E2A</v>
      </c>
      <c r="D59" s="41" t="n">
        <f aca="false">IF(A59="","",IF($D$4=0,1,IFERROR(--INDEX('COOIS Raw'!$A:$GZ,ROW()-4,$D$4),1)))</f>
        <v>1</v>
      </c>
      <c r="E59" s="42" t="str">
        <f aca="false">IF(A59="","",INDEX('COOIS Raw'!$A:$GZ,ROW()-4,$E$4)&amp;"")</f>
        <v>REL PRT PRC MANC SETC</v>
      </c>
      <c r="F59" s="43" t="n">
        <f aca="false">IF(A59="","",IFERROR(DATEVALUE(INDEX('COOIS Raw'!$A:$GZ,ROW()-4,$F$4)),INDEX('COOIS Raw'!$A:$GZ,ROW()-4,$F$4)))</f>
        <v>46297</v>
      </c>
      <c r="G59" s="41" t="str">
        <f aca="false">IF(A59="","",IF(ISNA(MATCH(B59,'Kitting Plan'!$B$6:$B$19,0)),"Not in plan","Yes"))</f>
        <v>Yes</v>
      </c>
      <c r="H59" s="41" t="n">
        <f aca="false">IF(G59="Yes",INDEX('Kitting Plan'!$D$6:$D$19,MATCH(B59,'Kitting Plan'!$B$6:$B$19,0)),"")</f>
        <v>2</v>
      </c>
      <c r="I59" s="41" t="n">
        <f aca="false">IF(A59="","",IF(ISNUMBER(SEARCH("PRT",E59)),D59,0))</f>
        <v>1</v>
      </c>
      <c r="J59" s="41" t="n">
        <f aca="false">IF(A59="","",IF(ISNUMBER(SEARCH("GMPS",E59)),D59,0))</f>
        <v>0</v>
      </c>
      <c r="K59" s="41" t="n">
        <f aca="false">IF(A59="","",IF(ISNUMBER(SEARCH("DLV",E59)),D59,0))</f>
        <v>0</v>
      </c>
      <c r="L59" s="41" t="str">
        <f aca="false">IF(A59="","",IF(K59&gt;0,"Delivered",IF(ISNUMBER(SEARCH("CNF",E59)),"In production",IF(J59&gt;0,"Issued",IF(I59&gt;0,"Kitted","Released")))))</f>
        <v>Kitted</v>
      </c>
      <c r="M59" s="41" t="n">
        <f aca="false">IF(G59&lt;&gt;"Yes","",COUNTIFS($B$6:$B$1505,B59,$F$6:$F$1505,"&lt;"&amp;F59)+COUNTIFS($B$6:$B$1505,B59,$F$6:$F$1505,F59,$A$6:$A$1505,"&lt;="&amp;A59))</f>
        <v>25</v>
      </c>
      <c r="N59" s="41" t="n">
        <f aca="false">IF(M59="","",ROUNDUP(M59/H59,0))</f>
        <v>13</v>
      </c>
      <c r="O59" s="41" t="str">
        <f aca="false">IF(N59="","",IF(N59&lt;='Kitting Plan'!$C$3,"Rep "&amp;N59,"Surplus"))</f>
        <v>Rep 13</v>
      </c>
    </row>
    <row r="60" customFormat="false" ht="15" hidden="false" customHeight="false" outlineLevel="0" collapsed="false">
      <c r="A60" s="40" t="n">
        <f aca="false">IF(OR($A$4=0,INDEX('COOIS Raw'!$A:$GZ,ROW()-4,$A$4)=""),"",IFERROR(--INDEX('COOIS Raw'!$A:$GZ,ROW()-4,$A$4),INDEX('COOIS Raw'!$A:$GZ,ROW()-4,$A$4)))</f>
        <v>100880247</v>
      </c>
      <c r="B60" s="41" t="str">
        <f aca="false">IF(A60="","",TRIM(INDEX('COOIS Raw'!$A:$GZ,ROW()-4,$B$4)))</f>
        <v>92YLS00548BBA</v>
      </c>
      <c r="C60" s="42" t="str">
        <f aca="false">IF(OR(A60="",$C$4=0),"",INDEX('COOIS Raw'!$A:$GZ,ROW()-4,$C$4))</f>
        <v>R5B LASER ASSEMBLY 4P BOAT 2/3 - E2A</v>
      </c>
      <c r="D60" s="41" t="n">
        <f aca="false">IF(A60="","",IF($D$4=0,1,IFERROR(--INDEX('COOIS Raw'!$A:$GZ,ROW()-4,$D$4),1)))</f>
        <v>1</v>
      </c>
      <c r="E60" s="42" t="str">
        <f aca="false">IF(A60="","",INDEX('COOIS Raw'!$A:$GZ,ROW()-4,$E$4)&amp;"")</f>
        <v>REL PRT PRC MANC SETC</v>
      </c>
      <c r="F60" s="43" t="n">
        <f aca="false">IF(A60="","",IFERROR(DATEVALUE(INDEX('COOIS Raw'!$A:$GZ,ROW()-4,$F$4)),INDEX('COOIS Raw'!$A:$GZ,ROW()-4,$F$4)))</f>
        <v>46297</v>
      </c>
      <c r="G60" s="41" t="str">
        <f aca="false">IF(A60="","",IF(ISNA(MATCH(B60,'Kitting Plan'!$B$6:$B$19,0)),"Not in plan","Yes"))</f>
        <v>Yes</v>
      </c>
      <c r="H60" s="41" t="n">
        <f aca="false">IF(G60="Yes",INDEX('Kitting Plan'!$D$6:$D$19,MATCH(B60,'Kitting Plan'!$B$6:$B$19,0)),"")</f>
        <v>2</v>
      </c>
      <c r="I60" s="41" t="n">
        <f aca="false">IF(A60="","",IF(ISNUMBER(SEARCH("PRT",E60)),D60,0))</f>
        <v>1</v>
      </c>
      <c r="J60" s="41" t="n">
        <f aca="false">IF(A60="","",IF(ISNUMBER(SEARCH("GMPS",E60)),D60,0))</f>
        <v>0</v>
      </c>
      <c r="K60" s="41" t="n">
        <f aca="false">IF(A60="","",IF(ISNUMBER(SEARCH("DLV",E60)),D60,0))</f>
        <v>0</v>
      </c>
      <c r="L60" s="41" t="str">
        <f aca="false">IF(A60="","",IF(K60&gt;0,"Delivered",IF(ISNUMBER(SEARCH("CNF",E60)),"In production",IF(J60&gt;0,"Issued",IF(I60&gt;0,"Kitted","Released")))))</f>
        <v>Kitted</v>
      </c>
      <c r="M60" s="41" t="n">
        <f aca="false">IF(G60&lt;&gt;"Yes","",COUNTIFS($B$6:$B$1505,B60,$F$6:$F$1505,"&lt;"&amp;F60)+COUNTIFS($B$6:$B$1505,B60,$F$6:$F$1505,F60,$A$6:$A$1505,"&lt;="&amp;A60))</f>
        <v>26</v>
      </c>
      <c r="N60" s="41" t="n">
        <f aca="false">IF(M60="","",ROUNDUP(M60/H60,0))</f>
        <v>13</v>
      </c>
      <c r="O60" s="41" t="str">
        <f aca="false">IF(N60="","",IF(N60&lt;='Kitting Plan'!$C$3,"Rep "&amp;N60,"Surplus"))</f>
        <v>Rep 13</v>
      </c>
    </row>
    <row r="61" customFormat="false" ht="15" hidden="false" customHeight="false" outlineLevel="0" collapsed="false">
      <c r="A61" s="40" t="n">
        <f aca="false">IF(OR($A$4=0,INDEX('COOIS Raw'!$A:$GZ,ROW()-4,$A$4)=""),"",IFERROR(--INDEX('COOIS Raw'!$A:$GZ,ROW()-4,$A$4),INDEX('COOIS Raw'!$A:$GZ,ROW()-4,$A$4)))</f>
        <v>100880248</v>
      </c>
      <c r="B61" s="41" t="str">
        <f aca="false">IF(A61="","",TRIM(INDEX('COOIS Raw'!$A:$GZ,ROW()-4,$B$4)))</f>
        <v>91YAF03404AAA</v>
      </c>
      <c r="C61" s="42" t="str">
        <f aca="false">IF(OR(A61="",$C$4=0),"",INDEX('COOIS Raw'!$A:$GZ,ROW()-4,$C$4))</f>
        <v>R5B PSB SUB ASSEMBLY 4P-4FP</v>
      </c>
      <c r="D61" s="41" t="n">
        <f aca="false">IF(A61="","",IF($D$4=0,1,IFERROR(--INDEX('COOIS Raw'!$A:$GZ,ROW()-4,$D$4),1)))</f>
        <v>1</v>
      </c>
      <c r="E61" s="42" t="str">
        <f aca="false">IF(A61="","",INDEX('COOIS Raw'!$A:$GZ,ROW()-4,$E$4)&amp;"")</f>
        <v>REL PRT PRC MANC SETC</v>
      </c>
      <c r="F61" s="43" t="n">
        <f aca="false">IF(A61="","",IFERROR(DATEVALUE(INDEX('COOIS Raw'!$A:$GZ,ROW()-4,$F$4)),INDEX('COOIS Raw'!$A:$GZ,ROW()-4,$F$4)))</f>
        <v>46297</v>
      </c>
      <c r="G61" s="41" t="str">
        <f aca="false">IF(A61="","",IF(ISNA(MATCH(B61,'Kitting Plan'!$B$6:$B$19,0)),"Not in plan","Yes"))</f>
        <v>Yes</v>
      </c>
      <c r="H61" s="41" t="n">
        <f aca="false">IF(G61="Yes",INDEX('Kitting Plan'!$D$6:$D$19,MATCH(B61,'Kitting Plan'!$B$6:$B$19,0)),"")</f>
        <v>3</v>
      </c>
      <c r="I61" s="41" t="n">
        <f aca="false">IF(A61="","",IF(ISNUMBER(SEARCH("PRT",E61)),D61,0))</f>
        <v>1</v>
      </c>
      <c r="J61" s="41" t="n">
        <f aca="false">IF(A61="","",IF(ISNUMBER(SEARCH("GMPS",E61)),D61,0))</f>
        <v>0</v>
      </c>
      <c r="K61" s="41" t="n">
        <f aca="false">IF(A61="","",IF(ISNUMBER(SEARCH("DLV",E61)),D61,0))</f>
        <v>0</v>
      </c>
      <c r="L61" s="41" t="str">
        <f aca="false">IF(A61="","",IF(K61&gt;0,"Delivered",IF(ISNUMBER(SEARCH("CNF",E61)),"In production",IF(J61&gt;0,"Issued",IF(I61&gt;0,"Kitted","Released")))))</f>
        <v>Kitted</v>
      </c>
      <c r="M61" s="41" t="n">
        <f aca="false">IF(G61&lt;&gt;"Yes","",COUNTIFS($B$6:$B$1505,B61,$F$6:$F$1505,"&lt;"&amp;F61)+COUNTIFS($B$6:$B$1505,B61,$F$6:$F$1505,F61,$A$6:$A$1505,"&lt;="&amp;A61))</f>
        <v>49</v>
      </c>
      <c r="N61" s="41" t="n">
        <f aca="false">IF(M61="","",ROUNDUP(M61/H61,0))</f>
        <v>17</v>
      </c>
      <c r="O61" s="41" t="str">
        <f aca="false">IF(N61="","",IF(N61&lt;='Kitting Plan'!$C$3,"Rep "&amp;N61,"Surplus"))</f>
        <v>Surplus</v>
      </c>
    </row>
    <row r="62" customFormat="false" ht="15" hidden="false" customHeight="false" outlineLevel="0" collapsed="false">
      <c r="A62" s="40" t="n">
        <f aca="false">IF(OR($A$4=0,INDEX('COOIS Raw'!$A:$GZ,ROW()-4,$A$4)=""),"",IFERROR(--INDEX('COOIS Raw'!$A:$GZ,ROW()-4,$A$4),INDEX('COOIS Raw'!$A:$GZ,ROW()-4,$A$4)))</f>
        <v>100880249</v>
      </c>
      <c r="B62" s="41" t="str">
        <f aca="false">IF(A62="","",TRIM(INDEX('COOIS Raw'!$A:$GZ,ROW()-4,$B$4)))</f>
        <v>91YAF03404AAA</v>
      </c>
      <c r="C62" s="42" t="str">
        <f aca="false">IF(OR(A62="",$C$4=0),"",INDEX('COOIS Raw'!$A:$GZ,ROW()-4,$C$4))</f>
        <v>R5B PSB SUB ASSEMBLY 4P-4FP</v>
      </c>
      <c r="D62" s="41" t="n">
        <f aca="false">IF(A62="","",IF($D$4=0,1,IFERROR(--INDEX('COOIS Raw'!$A:$GZ,ROW()-4,$D$4),1)))</f>
        <v>1</v>
      </c>
      <c r="E62" s="42" t="str">
        <f aca="false">IF(A62="","",INDEX('COOIS Raw'!$A:$GZ,ROW()-4,$E$4)&amp;"")</f>
        <v>REL PRT PRC MANC SETC</v>
      </c>
      <c r="F62" s="43" t="n">
        <f aca="false">IF(A62="","",IFERROR(DATEVALUE(INDEX('COOIS Raw'!$A:$GZ,ROW()-4,$F$4)),INDEX('COOIS Raw'!$A:$GZ,ROW()-4,$F$4)))</f>
        <v>46297</v>
      </c>
      <c r="G62" s="41" t="str">
        <f aca="false">IF(A62="","",IF(ISNA(MATCH(B62,'Kitting Plan'!$B$6:$B$19,0)),"Not in plan","Yes"))</f>
        <v>Yes</v>
      </c>
      <c r="H62" s="41" t="n">
        <f aca="false">IF(G62="Yes",INDEX('Kitting Plan'!$D$6:$D$19,MATCH(B62,'Kitting Plan'!$B$6:$B$19,0)),"")</f>
        <v>3</v>
      </c>
      <c r="I62" s="41" t="n">
        <f aca="false">IF(A62="","",IF(ISNUMBER(SEARCH("PRT",E62)),D62,0))</f>
        <v>1</v>
      </c>
      <c r="J62" s="41" t="n">
        <f aca="false">IF(A62="","",IF(ISNUMBER(SEARCH("GMPS",E62)),D62,0))</f>
        <v>0</v>
      </c>
      <c r="K62" s="41" t="n">
        <f aca="false">IF(A62="","",IF(ISNUMBER(SEARCH("DLV",E62)),D62,0))</f>
        <v>0</v>
      </c>
      <c r="L62" s="41" t="str">
        <f aca="false">IF(A62="","",IF(K62&gt;0,"Delivered",IF(ISNUMBER(SEARCH("CNF",E62)),"In production",IF(J62&gt;0,"Issued",IF(I62&gt;0,"Kitted","Released")))))</f>
        <v>Kitted</v>
      </c>
      <c r="M62" s="41" t="n">
        <f aca="false">IF(G62&lt;&gt;"Yes","",COUNTIFS($B$6:$B$1505,B62,$F$6:$F$1505,"&lt;"&amp;F62)+COUNTIFS($B$6:$B$1505,B62,$F$6:$F$1505,F62,$A$6:$A$1505,"&lt;="&amp;A62))</f>
        <v>50</v>
      </c>
      <c r="N62" s="41" t="n">
        <f aca="false">IF(M62="","",ROUNDUP(M62/H62,0))</f>
        <v>17</v>
      </c>
      <c r="O62" s="41" t="str">
        <f aca="false">IF(N62="","",IF(N62&lt;='Kitting Plan'!$C$3,"Rep "&amp;N62,"Surplus"))</f>
        <v>Surplus</v>
      </c>
    </row>
    <row r="63" customFormat="false" ht="15" hidden="false" customHeight="false" outlineLevel="0" collapsed="false">
      <c r="A63" s="40" t="n">
        <f aca="false">IF(OR($A$4=0,INDEX('COOIS Raw'!$A:$GZ,ROW()-4,$A$4)=""),"",IFERROR(--INDEX('COOIS Raw'!$A:$GZ,ROW()-4,$A$4),INDEX('COOIS Raw'!$A:$GZ,ROW()-4,$A$4)))</f>
        <v>100880250</v>
      </c>
      <c r="B63" s="41" t="str">
        <f aca="false">IF(A63="","",TRIM(INDEX('COOIS Raw'!$A:$GZ,ROW()-4,$B$4)))</f>
        <v>91YAF03404AAA</v>
      </c>
      <c r="C63" s="42" t="str">
        <f aca="false">IF(OR(A63="",$C$4=0),"",INDEX('COOIS Raw'!$A:$GZ,ROW()-4,$C$4))</f>
        <v>R5B PSB SUB ASSEMBLY 4P-4FP</v>
      </c>
      <c r="D63" s="41" t="n">
        <f aca="false">IF(A63="","",IF($D$4=0,1,IFERROR(--INDEX('COOIS Raw'!$A:$GZ,ROW()-4,$D$4),1)))</f>
        <v>1</v>
      </c>
      <c r="E63" s="42" t="str">
        <f aca="false">IF(A63="","",INDEX('COOIS Raw'!$A:$GZ,ROW()-4,$E$4)&amp;"")</f>
        <v>REL PRT PRC MANC SETC</v>
      </c>
      <c r="F63" s="43" t="n">
        <f aca="false">IF(A63="","",IFERROR(DATEVALUE(INDEX('COOIS Raw'!$A:$GZ,ROW()-4,$F$4)),INDEX('COOIS Raw'!$A:$GZ,ROW()-4,$F$4)))</f>
        <v>46297</v>
      </c>
      <c r="G63" s="41" t="str">
        <f aca="false">IF(A63="","",IF(ISNA(MATCH(B63,'Kitting Plan'!$B$6:$B$19,0)),"Not in plan","Yes"))</f>
        <v>Yes</v>
      </c>
      <c r="H63" s="41" t="n">
        <f aca="false">IF(G63="Yes",INDEX('Kitting Plan'!$D$6:$D$19,MATCH(B63,'Kitting Plan'!$B$6:$B$19,0)),"")</f>
        <v>3</v>
      </c>
      <c r="I63" s="41" t="n">
        <f aca="false">IF(A63="","",IF(ISNUMBER(SEARCH("PRT",E63)),D63,0))</f>
        <v>1</v>
      </c>
      <c r="J63" s="41" t="n">
        <f aca="false">IF(A63="","",IF(ISNUMBER(SEARCH("GMPS",E63)),D63,0))</f>
        <v>0</v>
      </c>
      <c r="K63" s="41" t="n">
        <f aca="false">IF(A63="","",IF(ISNUMBER(SEARCH("DLV",E63)),D63,0))</f>
        <v>0</v>
      </c>
      <c r="L63" s="41" t="str">
        <f aca="false">IF(A63="","",IF(K63&gt;0,"Delivered",IF(ISNUMBER(SEARCH("CNF",E63)),"In production",IF(J63&gt;0,"Issued",IF(I63&gt;0,"Kitted","Released")))))</f>
        <v>Kitted</v>
      </c>
      <c r="M63" s="41" t="n">
        <f aca="false">IF(G63&lt;&gt;"Yes","",COUNTIFS($B$6:$B$1505,B63,$F$6:$F$1505,"&lt;"&amp;F63)+COUNTIFS($B$6:$B$1505,B63,$F$6:$F$1505,F63,$A$6:$A$1505,"&lt;="&amp;A63))</f>
        <v>51</v>
      </c>
      <c r="N63" s="41" t="n">
        <f aca="false">IF(M63="","",ROUNDUP(M63/H63,0))</f>
        <v>17</v>
      </c>
      <c r="O63" s="41" t="str">
        <f aca="false">IF(N63="","",IF(N63&lt;='Kitting Plan'!$C$3,"Rep "&amp;N63,"Surplus"))</f>
        <v>Surplus</v>
      </c>
    </row>
    <row r="64" customFormat="false" ht="15" hidden="false" customHeight="false" outlineLevel="0" collapsed="false">
      <c r="A64" s="40" t="n">
        <f aca="false">IF(OR($A$4=0,INDEX('COOIS Raw'!$A:$GZ,ROW()-4,$A$4)=""),"",IFERROR(--INDEX('COOIS Raw'!$A:$GZ,ROW()-4,$A$4),INDEX('COOIS Raw'!$A:$GZ,ROW()-4,$A$4)))</f>
        <v>100880251</v>
      </c>
      <c r="B64" s="41" t="str">
        <f aca="false">IF(A64="","",TRIM(INDEX('COOIS Raw'!$A:$GZ,ROW()-4,$B$4)))</f>
        <v>92YFD04548BAA</v>
      </c>
      <c r="C64" s="42" t="str">
        <f aca="false">IF(OR(A64="",$C$4=0),"",INDEX('COOIS Raw'!$A:$GZ,ROW()-4,$C$4))</f>
        <v>R5B OPF ASSEMBLY (4P-4FP) BOAT 1 - E2A</v>
      </c>
      <c r="D64" s="41" t="n">
        <f aca="false">IF(A64="","",IF($D$4=0,1,IFERROR(--INDEX('COOIS Raw'!$A:$GZ,ROW()-4,$D$4),1)))</f>
        <v>1</v>
      </c>
      <c r="E64" s="42" t="str">
        <f aca="false">IF(A64="","",INDEX('COOIS Raw'!$A:$GZ,ROW()-4,$E$4)&amp;"")</f>
        <v>REL PRT PRC MANC SETC</v>
      </c>
      <c r="F64" s="43" t="n">
        <f aca="false">IF(A64="","",IFERROR(DATEVALUE(INDEX('COOIS Raw'!$A:$GZ,ROW()-4,$F$4)),INDEX('COOIS Raw'!$A:$GZ,ROW()-4,$F$4)))</f>
        <v>46297</v>
      </c>
      <c r="G64" s="41" t="str">
        <f aca="false">IF(A64="","",IF(ISNA(MATCH(B64,'Kitting Plan'!$B$6:$B$19,0)),"Not in plan","Yes"))</f>
        <v>Yes</v>
      </c>
      <c r="H64" s="41" t="n">
        <f aca="false">IF(G64="Yes",INDEX('Kitting Plan'!$D$6:$D$19,MATCH(B64,'Kitting Plan'!$B$6:$B$19,0)),"")</f>
        <v>1</v>
      </c>
      <c r="I64" s="41" t="n">
        <f aca="false">IF(A64="","",IF(ISNUMBER(SEARCH("PRT",E64)),D64,0))</f>
        <v>1</v>
      </c>
      <c r="J64" s="41" t="n">
        <f aca="false">IF(A64="","",IF(ISNUMBER(SEARCH("GMPS",E64)),D64,0))</f>
        <v>0</v>
      </c>
      <c r="K64" s="41" t="n">
        <f aca="false">IF(A64="","",IF(ISNUMBER(SEARCH("DLV",E64)),D64,0))</f>
        <v>0</v>
      </c>
      <c r="L64" s="41" t="str">
        <f aca="false">IF(A64="","",IF(K64&gt;0,"Delivered",IF(ISNUMBER(SEARCH("CNF",E64)),"In production",IF(J64&gt;0,"Issued",IF(I64&gt;0,"Kitted","Released")))))</f>
        <v>Kitted</v>
      </c>
      <c r="M64" s="41" t="n">
        <f aca="false">IF(G64&lt;&gt;"Yes","",COUNTIFS($B$6:$B$1505,B64,$F$6:$F$1505,"&lt;"&amp;F64)+COUNTIFS($B$6:$B$1505,B64,$F$6:$F$1505,F64,$A$6:$A$1505,"&lt;="&amp;A64))</f>
        <v>14</v>
      </c>
      <c r="N64" s="41" t="n">
        <f aca="false">IF(M64="","",ROUNDUP(M64/H64,0))</f>
        <v>14</v>
      </c>
      <c r="O64" s="41" t="str">
        <f aca="false">IF(N64="","",IF(N64&lt;='Kitting Plan'!$C$3,"Rep "&amp;N64,"Surplus"))</f>
        <v>Surplus</v>
      </c>
    </row>
    <row r="65" customFormat="false" ht="15" hidden="false" customHeight="false" outlineLevel="0" collapsed="false">
      <c r="A65" s="40" t="n">
        <f aca="false">IF(OR($A$4=0,INDEX('COOIS Raw'!$A:$GZ,ROW()-4,$A$4)=""),"",IFERROR(--INDEX('COOIS Raw'!$A:$GZ,ROW()-4,$A$4),INDEX('COOIS Raw'!$A:$GZ,ROW()-4,$A$4)))</f>
        <v>100880252</v>
      </c>
      <c r="B65" s="41" t="str">
        <f aca="false">IF(A65="","",TRIM(INDEX('COOIS Raw'!$A:$GZ,ROW()-4,$B$4)))</f>
        <v>92YFD04548BBA</v>
      </c>
      <c r="C65" s="42" t="str">
        <f aca="false">IF(OR(A65="",$C$4=0),"",INDEX('COOIS Raw'!$A:$GZ,ROW()-4,$C$4))</f>
        <v>R5B OPF ASSEMBLY (4P-4FP) BOAT 2/3 - E2A</v>
      </c>
      <c r="D65" s="41" t="n">
        <f aca="false">IF(A65="","",IF($D$4=0,1,IFERROR(--INDEX('COOIS Raw'!$A:$GZ,ROW()-4,$D$4),1)))</f>
        <v>1</v>
      </c>
      <c r="E65" s="42" t="str">
        <f aca="false">IF(A65="","",INDEX('COOIS Raw'!$A:$GZ,ROW()-4,$E$4)&amp;"")</f>
        <v>REL PRT PRC MANC SETC</v>
      </c>
      <c r="F65" s="43" t="n">
        <f aca="false">IF(A65="","",IFERROR(DATEVALUE(INDEX('COOIS Raw'!$A:$GZ,ROW()-4,$F$4)),INDEX('COOIS Raw'!$A:$GZ,ROW()-4,$F$4)))</f>
        <v>46297</v>
      </c>
      <c r="G65" s="41" t="str">
        <f aca="false">IF(A65="","",IF(ISNA(MATCH(B65,'Kitting Plan'!$B$6:$B$19,0)),"Not in plan","Yes"))</f>
        <v>Yes</v>
      </c>
      <c r="H65" s="41" t="n">
        <f aca="false">IF(G65="Yes",INDEX('Kitting Plan'!$D$6:$D$19,MATCH(B65,'Kitting Plan'!$B$6:$B$19,0)),"")</f>
        <v>2</v>
      </c>
      <c r="I65" s="41" t="n">
        <f aca="false">IF(A65="","",IF(ISNUMBER(SEARCH("PRT",E65)),D65,0))</f>
        <v>1</v>
      </c>
      <c r="J65" s="41" t="n">
        <f aca="false">IF(A65="","",IF(ISNUMBER(SEARCH("GMPS",E65)),D65,0))</f>
        <v>0</v>
      </c>
      <c r="K65" s="41" t="n">
        <f aca="false">IF(A65="","",IF(ISNUMBER(SEARCH("DLV",E65)),D65,0))</f>
        <v>0</v>
      </c>
      <c r="L65" s="41" t="str">
        <f aca="false">IF(A65="","",IF(K65&gt;0,"Delivered",IF(ISNUMBER(SEARCH("CNF",E65)),"In production",IF(J65&gt;0,"Issued",IF(I65&gt;0,"Kitted","Released")))))</f>
        <v>Kitted</v>
      </c>
      <c r="M65" s="41" t="n">
        <f aca="false">IF(G65&lt;&gt;"Yes","",COUNTIFS($B$6:$B$1505,B65,$F$6:$F$1505,"&lt;"&amp;F65)+COUNTIFS($B$6:$B$1505,B65,$F$6:$F$1505,F65,$A$6:$A$1505,"&lt;="&amp;A65))</f>
        <v>25</v>
      </c>
      <c r="N65" s="41" t="n">
        <f aca="false">IF(M65="","",ROUNDUP(M65/H65,0))</f>
        <v>13</v>
      </c>
      <c r="O65" s="41" t="str">
        <f aca="false">IF(N65="","",IF(N65&lt;='Kitting Plan'!$C$3,"Rep "&amp;N65,"Surplus"))</f>
        <v>Rep 13</v>
      </c>
    </row>
    <row r="66" customFormat="false" ht="15" hidden="false" customHeight="false" outlineLevel="0" collapsed="false">
      <c r="A66" s="40" t="n">
        <f aca="false">IF(OR($A$4=0,INDEX('COOIS Raw'!$A:$GZ,ROW()-4,$A$4)=""),"",IFERROR(--INDEX('COOIS Raw'!$A:$GZ,ROW()-4,$A$4),INDEX('COOIS Raw'!$A:$GZ,ROW()-4,$A$4)))</f>
        <v>100880253</v>
      </c>
      <c r="B66" s="41" t="str">
        <f aca="false">IF(A66="","",TRIM(INDEX('COOIS Raw'!$A:$GZ,ROW()-4,$B$4)))</f>
        <v>92YFD04548BBA</v>
      </c>
      <c r="C66" s="42" t="str">
        <f aca="false">IF(OR(A66="",$C$4=0),"",INDEX('COOIS Raw'!$A:$GZ,ROW()-4,$C$4))</f>
        <v>R5B OPF ASSEMBLY (4P-4FP) BOAT 2/3 - E2A</v>
      </c>
      <c r="D66" s="41" t="n">
        <f aca="false">IF(A66="","",IF($D$4=0,1,IFERROR(--INDEX('COOIS Raw'!$A:$GZ,ROW()-4,$D$4),1)))</f>
        <v>1</v>
      </c>
      <c r="E66" s="42" t="str">
        <f aca="false">IF(A66="","",INDEX('COOIS Raw'!$A:$GZ,ROW()-4,$E$4)&amp;"")</f>
        <v>REL PRT PRC MANC SETC</v>
      </c>
      <c r="F66" s="43" t="n">
        <f aca="false">IF(A66="","",IFERROR(DATEVALUE(INDEX('COOIS Raw'!$A:$GZ,ROW()-4,$F$4)),INDEX('COOIS Raw'!$A:$GZ,ROW()-4,$F$4)))</f>
        <v>46297</v>
      </c>
      <c r="G66" s="41" t="str">
        <f aca="false">IF(A66="","",IF(ISNA(MATCH(B66,'Kitting Plan'!$B$6:$B$19,0)),"Not in plan","Yes"))</f>
        <v>Yes</v>
      </c>
      <c r="H66" s="41" t="n">
        <f aca="false">IF(G66="Yes",INDEX('Kitting Plan'!$D$6:$D$19,MATCH(B66,'Kitting Plan'!$B$6:$B$19,0)),"")</f>
        <v>2</v>
      </c>
      <c r="I66" s="41" t="n">
        <f aca="false">IF(A66="","",IF(ISNUMBER(SEARCH("PRT",E66)),D66,0))</f>
        <v>1</v>
      </c>
      <c r="J66" s="41" t="n">
        <f aca="false">IF(A66="","",IF(ISNUMBER(SEARCH("GMPS",E66)),D66,0))</f>
        <v>0</v>
      </c>
      <c r="K66" s="41" t="n">
        <f aca="false">IF(A66="","",IF(ISNUMBER(SEARCH("DLV",E66)),D66,0))</f>
        <v>0</v>
      </c>
      <c r="L66" s="41" t="str">
        <f aca="false">IF(A66="","",IF(K66&gt;0,"Delivered",IF(ISNUMBER(SEARCH("CNF",E66)),"In production",IF(J66&gt;0,"Issued",IF(I66&gt;0,"Kitted","Released")))))</f>
        <v>Kitted</v>
      </c>
      <c r="M66" s="41" t="n">
        <f aca="false">IF(G66&lt;&gt;"Yes","",COUNTIFS($B$6:$B$1505,B66,$F$6:$F$1505,"&lt;"&amp;F66)+COUNTIFS($B$6:$B$1505,B66,$F$6:$F$1505,F66,$A$6:$A$1505,"&lt;="&amp;A66))</f>
        <v>26</v>
      </c>
      <c r="N66" s="41" t="n">
        <f aca="false">IF(M66="","",ROUNDUP(M66/H66,0))</f>
        <v>13</v>
      </c>
      <c r="O66" s="41" t="str">
        <f aca="false">IF(N66="","",IF(N66&lt;='Kitting Plan'!$C$3,"Rep "&amp;N66,"Surplus"))</f>
        <v>Rep 13</v>
      </c>
    </row>
    <row r="67" customFormat="false" ht="15" hidden="false" customHeight="false" outlineLevel="0" collapsed="false">
      <c r="A67" s="40" t="n">
        <f aca="false">IF(OR($A$4=0,INDEX('COOIS Raw'!$A:$GZ,ROW()-4,$A$4)=""),"",IFERROR(--INDEX('COOIS Raw'!$A:$GZ,ROW()-4,$A$4),INDEX('COOIS Raw'!$A:$GZ,ROW()-4,$A$4)))</f>
        <v>100880254</v>
      </c>
      <c r="B67" s="41" t="str">
        <f aca="false">IF(A67="","",TRIM(INDEX('COOIS Raw'!$A:$GZ,ROW()-4,$B$4)))</f>
        <v>92YWS04548AAA</v>
      </c>
      <c r="C67" s="42" t="str">
        <f aca="false">IF(OR(A67="",$C$4=0),"",INDEX('COOIS Raw'!$A:$GZ,ROW()-4,$C$4))</f>
        <v>R5B 4FP POB LUMENTUM SUB ASSEMBLY - E2A</v>
      </c>
      <c r="D67" s="41" t="n">
        <f aca="false">IF(A67="","",IF($D$4=0,1,IFERROR(--INDEX('COOIS Raw'!$A:$GZ,ROW()-4,$D$4),1)))</f>
        <v>1</v>
      </c>
      <c r="E67" s="42" t="str">
        <f aca="false">IF(A67="","",INDEX('COOIS Raw'!$A:$GZ,ROW()-4,$E$4)&amp;"")</f>
        <v>REL PRT PRC MANC SETC</v>
      </c>
      <c r="F67" s="43" t="n">
        <f aca="false">IF(A67="","",IFERROR(DATEVALUE(INDEX('COOIS Raw'!$A:$GZ,ROW()-4,$F$4)),INDEX('COOIS Raw'!$A:$GZ,ROW()-4,$F$4)))</f>
        <v>46297</v>
      </c>
      <c r="G67" s="41" t="str">
        <f aca="false">IF(A67="","",IF(ISNA(MATCH(B67,'Kitting Plan'!$B$6:$B$19,0)),"Not in plan","Yes"))</f>
        <v>Yes</v>
      </c>
      <c r="H67" s="41" t="n">
        <f aca="false">IF(G67="Yes",INDEX('Kitting Plan'!$D$6:$D$19,MATCH(B67,'Kitting Plan'!$B$6:$B$19,0)),"")</f>
        <v>3</v>
      </c>
      <c r="I67" s="41" t="n">
        <f aca="false">IF(A67="","",IF(ISNUMBER(SEARCH("PRT",E67)),D67,0))</f>
        <v>1</v>
      </c>
      <c r="J67" s="41" t="n">
        <f aca="false">IF(A67="","",IF(ISNUMBER(SEARCH("GMPS",E67)),D67,0))</f>
        <v>0</v>
      </c>
      <c r="K67" s="41" t="n">
        <f aca="false">IF(A67="","",IF(ISNUMBER(SEARCH("DLV",E67)),D67,0))</f>
        <v>0</v>
      </c>
      <c r="L67" s="41" t="str">
        <f aca="false">IF(A67="","",IF(K67&gt;0,"Delivered",IF(ISNUMBER(SEARCH("CNF",E67)),"In production",IF(J67&gt;0,"Issued",IF(I67&gt;0,"Kitted","Released")))))</f>
        <v>Kitted</v>
      </c>
      <c r="M67" s="41" t="n">
        <f aca="false">IF(G67&lt;&gt;"Yes","",COUNTIFS($B$6:$B$1505,B67,$F$6:$F$1505,"&lt;"&amp;F67)+COUNTIFS($B$6:$B$1505,B67,$F$6:$F$1505,F67,$A$6:$A$1505,"&lt;="&amp;A67))</f>
        <v>37</v>
      </c>
      <c r="N67" s="41" t="n">
        <f aca="false">IF(M67="","",ROUNDUP(M67/H67,0))</f>
        <v>13</v>
      </c>
      <c r="O67" s="41" t="str">
        <f aca="false">IF(N67="","",IF(N67&lt;='Kitting Plan'!$C$3,"Rep "&amp;N67,"Surplus"))</f>
        <v>Rep 13</v>
      </c>
    </row>
    <row r="68" customFormat="false" ht="15" hidden="false" customHeight="false" outlineLevel="0" collapsed="false">
      <c r="A68" s="40" t="n">
        <f aca="false">IF(OR($A$4=0,INDEX('COOIS Raw'!$A:$GZ,ROW()-4,$A$4)=""),"",IFERROR(--INDEX('COOIS Raw'!$A:$GZ,ROW()-4,$A$4),INDEX('COOIS Raw'!$A:$GZ,ROW()-4,$A$4)))</f>
        <v>100880255</v>
      </c>
      <c r="B68" s="41" t="str">
        <f aca="false">IF(A68="","",TRIM(INDEX('COOIS Raw'!$A:$GZ,ROW()-4,$B$4)))</f>
        <v>92YWS04548AAA</v>
      </c>
      <c r="C68" s="42" t="str">
        <f aca="false">IF(OR(A68="",$C$4=0),"",INDEX('COOIS Raw'!$A:$GZ,ROW()-4,$C$4))</f>
        <v>R5B 4FP POB LUMENTUM SUB ASSEMBLY - E2A</v>
      </c>
      <c r="D68" s="41" t="n">
        <f aca="false">IF(A68="","",IF($D$4=0,1,IFERROR(--INDEX('COOIS Raw'!$A:$GZ,ROW()-4,$D$4),1)))</f>
        <v>1</v>
      </c>
      <c r="E68" s="42" t="str">
        <f aca="false">IF(A68="","",INDEX('COOIS Raw'!$A:$GZ,ROW()-4,$E$4)&amp;"")</f>
        <v>REL PRT PRC MANC SETC</v>
      </c>
      <c r="F68" s="43" t="n">
        <f aca="false">IF(A68="","",IFERROR(DATEVALUE(INDEX('COOIS Raw'!$A:$GZ,ROW()-4,$F$4)),INDEX('COOIS Raw'!$A:$GZ,ROW()-4,$F$4)))</f>
        <v>46297</v>
      </c>
      <c r="G68" s="41" t="str">
        <f aca="false">IF(A68="","",IF(ISNA(MATCH(B68,'Kitting Plan'!$B$6:$B$19,0)),"Not in plan","Yes"))</f>
        <v>Yes</v>
      </c>
      <c r="H68" s="41" t="n">
        <f aca="false">IF(G68="Yes",INDEX('Kitting Plan'!$D$6:$D$19,MATCH(B68,'Kitting Plan'!$B$6:$B$19,0)),"")</f>
        <v>3</v>
      </c>
      <c r="I68" s="41" t="n">
        <f aca="false">IF(A68="","",IF(ISNUMBER(SEARCH("PRT",E68)),D68,0))</f>
        <v>1</v>
      </c>
      <c r="J68" s="41" t="n">
        <f aca="false">IF(A68="","",IF(ISNUMBER(SEARCH("GMPS",E68)),D68,0))</f>
        <v>0</v>
      </c>
      <c r="K68" s="41" t="n">
        <f aca="false">IF(A68="","",IF(ISNUMBER(SEARCH("DLV",E68)),D68,0))</f>
        <v>0</v>
      </c>
      <c r="L68" s="41" t="str">
        <f aca="false">IF(A68="","",IF(K68&gt;0,"Delivered",IF(ISNUMBER(SEARCH("CNF",E68)),"In production",IF(J68&gt;0,"Issued",IF(I68&gt;0,"Kitted","Released")))))</f>
        <v>Kitted</v>
      </c>
      <c r="M68" s="41" t="n">
        <f aca="false">IF(G68&lt;&gt;"Yes","",COUNTIFS($B$6:$B$1505,B68,$F$6:$F$1505,"&lt;"&amp;F68)+COUNTIFS($B$6:$B$1505,B68,$F$6:$F$1505,F68,$A$6:$A$1505,"&lt;="&amp;A68))</f>
        <v>38</v>
      </c>
      <c r="N68" s="41" t="n">
        <f aca="false">IF(M68="","",ROUNDUP(M68/H68,0))</f>
        <v>13</v>
      </c>
      <c r="O68" s="41" t="str">
        <f aca="false">IF(N68="","",IF(N68&lt;='Kitting Plan'!$C$3,"Rep "&amp;N68,"Surplus"))</f>
        <v>Rep 13</v>
      </c>
    </row>
    <row r="69" customFormat="false" ht="15" hidden="false" customHeight="false" outlineLevel="0" collapsed="false">
      <c r="A69" s="40" t="n">
        <f aca="false">IF(OR($A$4=0,INDEX('COOIS Raw'!$A:$GZ,ROW()-4,$A$4)=""),"",IFERROR(--INDEX('COOIS Raw'!$A:$GZ,ROW()-4,$A$4),INDEX('COOIS Raw'!$A:$GZ,ROW()-4,$A$4)))</f>
        <v>100880256</v>
      </c>
      <c r="B69" s="41" t="str">
        <f aca="false">IF(A69="","",TRIM(INDEX('COOIS Raw'!$A:$GZ,ROW()-4,$B$4)))</f>
        <v>92YWS04548AAA</v>
      </c>
      <c r="C69" s="42" t="str">
        <f aca="false">IF(OR(A69="",$C$4=0),"",INDEX('COOIS Raw'!$A:$GZ,ROW()-4,$C$4))</f>
        <v>R5B 4FP POB LUMENTUM SUB ASSEMBLY - E2A</v>
      </c>
      <c r="D69" s="41" t="n">
        <f aca="false">IF(A69="","",IF($D$4=0,1,IFERROR(--INDEX('COOIS Raw'!$A:$GZ,ROW()-4,$D$4),1)))</f>
        <v>1</v>
      </c>
      <c r="E69" s="42" t="str">
        <f aca="false">IF(A69="","",INDEX('COOIS Raw'!$A:$GZ,ROW()-4,$E$4)&amp;"")</f>
        <v>REL PRT PRC MANC SETC</v>
      </c>
      <c r="F69" s="43" t="n">
        <f aca="false">IF(A69="","",IFERROR(DATEVALUE(INDEX('COOIS Raw'!$A:$GZ,ROW()-4,$F$4)),INDEX('COOIS Raw'!$A:$GZ,ROW()-4,$F$4)))</f>
        <v>46297</v>
      </c>
      <c r="G69" s="41" t="str">
        <f aca="false">IF(A69="","",IF(ISNA(MATCH(B69,'Kitting Plan'!$B$6:$B$19,0)),"Not in plan","Yes"))</f>
        <v>Yes</v>
      </c>
      <c r="H69" s="41" t="n">
        <f aca="false">IF(G69="Yes",INDEX('Kitting Plan'!$D$6:$D$19,MATCH(B69,'Kitting Plan'!$B$6:$B$19,0)),"")</f>
        <v>3</v>
      </c>
      <c r="I69" s="41" t="n">
        <f aca="false">IF(A69="","",IF(ISNUMBER(SEARCH("PRT",E69)),D69,0))</f>
        <v>1</v>
      </c>
      <c r="J69" s="41" t="n">
        <f aca="false">IF(A69="","",IF(ISNUMBER(SEARCH("GMPS",E69)),D69,0))</f>
        <v>0</v>
      </c>
      <c r="K69" s="41" t="n">
        <f aca="false">IF(A69="","",IF(ISNUMBER(SEARCH("DLV",E69)),D69,0))</f>
        <v>0</v>
      </c>
      <c r="L69" s="41" t="str">
        <f aca="false">IF(A69="","",IF(K69&gt;0,"Delivered",IF(ISNUMBER(SEARCH("CNF",E69)),"In production",IF(J69&gt;0,"Issued",IF(I69&gt;0,"Kitted","Released")))))</f>
        <v>Kitted</v>
      </c>
      <c r="M69" s="41" t="n">
        <f aca="false">IF(G69&lt;&gt;"Yes","",COUNTIFS($B$6:$B$1505,B69,$F$6:$F$1505,"&lt;"&amp;F69)+COUNTIFS($B$6:$B$1505,B69,$F$6:$F$1505,F69,$A$6:$A$1505,"&lt;="&amp;A69))</f>
        <v>39</v>
      </c>
      <c r="N69" s="41" t="n">
        <f aca="false">IF(M69="","",ROUNDUP(M69/H69,0))</f>
        <v>13</v>
      </c>
      <c r="O69" s="41" t="str">
        <f aca="false">IF(N69="","",IF(N69&lt;='Kitting Plan'!$C$3,"Rep "&amp;N69,"Surplus"))</f>
        <v>Rep 13</v>
      </c>
    </row>
    <row r="70" customFormat="false" ht="15" hidden="false" customHeight="false" outlineLevel="0" collapsed="false">
      <c r="A70" s="40" t="n">
        <f aca="false">IF(OR($A$4=0,INDEX('COOIS Raw'!$A:$GZ,ROW()-4,$A$4)=""),"",IFERROR(--INDEX('COOIS Raw'!$A:$GZ,ROW()-4,$A$4),INDEX('COOIS Raw'!$A:$GZ,ROW()-4,$A$4)))</f>
        <v>100880257</v>
      </c>
      <c r="B70" s="41" t="str">
        <f aca="false">IF(A70="","",TRIM(INDEX('COOIS Raw'!$A:$GZ,ROW()-4,$B$4)))</f>
        <v>92RRA00548AAA</v>
      </c>
      <c r="C70" s="42" t="str">
        <f aca="false">IF(OR(A70="",$C$4=0),"",INDEX('COOIS Raw'!$A:$GZ,ROW()-4,$C$4))</f>
        <v>R5B ERBIUM SPOOL ASSEMBLY - E2A</v>
      </c>
      <c r="D70" s="41" t="n">
        <f aca="false">IF(A70="","",IF($D$4=0,1,IFERROR(--INDEX('COOIS Raw'!$A:$GZ,ROW()-4,$D$4),1)))</f>
        <v>1</v>
      </c>
      <c r="E70" s="42" t="str">
        <f aca="false">IF(A70="","",INDEX('COOIS Raw'!$A:$GZ,ROW()-4,$E$4)&amp;"")</f>
        <v>REL PRT PRC MANC SETC</v>
      </c>
      <c r="F70" s="43" t="n">
        <f aca="false">IF(A70="","",IFERROR(DATEVALUE(INDEX('COOIS Raw'!$A:$GZ,ROW()-4,$F$4)),INDEX('COOIS Raw'!$A:$GZ,ROW()-4,$F$4)))</f>
        <v>46297</v>
      </c>
      <c r="G70" s="41" t="str">
        <f aca="false">IF(A70="","",IF(ISNA(MATCH(B70,'Kitting Plan'!$B$6:$B$19,0)),"Not in plan","Yes"))</f>
        <v>Yes</v>
      </c>
      <c r="H70" s="41" t="n">
        <f aca="false">IF(G70="Yes",INDEX('Kitting Plan'!$D$6:$D$19,MATCH(B70,'Kitting Plan'!$B$6:$B$19,0)),"")</f>
        <v>24</v>
      </c>
      <c r="I70" s="41" t="n">
        <f aca="false">IF(A70="","",IF(ISNUMBER(SEARCH("PRT",E70)),D70,0))</f>
        <v>1</v>
      </c>
      <c r="J70" s="41" t="n">
        <f aca="false">IF(A70="","",IF(ISNUMBER(SEARCH("GMPS",E70)),D70,0))</f>
        <v>0</v>
      </c>
      <c r="K70" s="41" t="n">
        <f aca="false">IF(A70="","",IF(ISNUMBER(SEARCH("DLV",E70)),D70,0))</f>
        <v>0</v>
      </c>
      <c r="L70" s="41" t="str">
        <f aca="false">IF(A70="","",IF(K70&gt;0,"Delivered",IF(ISNUMBER(SEARCH("CNF",E70)),"In production",IF(J70&gt;0,"Issued",IF(I70&gt;0,"Kitted","Released")))))</f>
        <v>Kitted</v>
      </c>
      <c r="M70" s="41" t="n">
        <f aca="false">IF(G70&lt;&gt;"Yes","",COUNTIFS($B$6:$B$1505,B70,$F$6:$F$1505,"&lt;"&amp;F70)+COUNTIFS($B$6:$B$1505,B70,$F$6:$F$1505,F70,$A$6:$A$1505,"&lt;="&amp;A70))</f>
        <v>299</v>
      </c>
      <c r="N70" s="41" t="n">
        <f aca="false">IF(M70="","",ROUNDUP(M70/H70,0))</f>
        <v>13</v>
      </c>
      <c r="O70" s="41" t="str">
        <f aca="false">IF(N70="","",IF(N70&lt;='Kitting Plan'!$C$3,"Rep "&amp;N70,"Surplus"))</f>
        <v>Rep 13</v>
      </c>
    </row>
    <row r="71" customFormat="false" ht="15" hidden="false" customHeight="false" outlineLevel="0" collapsed="false">
      <c r="A71" s="40" t="n">
        <f aca="false">IF(OR($A$4=0,INDEX('COOIS Raw'!$A:$GZ,ROW()-4,$A$4)=""),"",IFERROR(--INDEX('COOIS Raw'!$A:$GZ,ROW()-4,$A$4),INDEX('COOIS Raw'!$A:$GZ,ROW()-4,$A$4)))</f>
        <v>100880258</v>
      </c>
      <c r="B71" s="41" t="str">
        <f aca="false">IF(A71="","",TRIM(INDEX('COOIS Raw'!$A:$GZ,ROW()-4,$B$4)))</f>
        <v>92RRA00548AAA</v>
      </c>
      <c r="C71" s="42" t="str">
        <f aca="false">IF(OR(A71="",$C$4=0),"",INDEX('COOIS Raw'!$A:$GZ,ROW()-4,$C$4))</f>
        <v>R5B ERBIUM SPOOL ASSEMBLY - E2A</v>
      </c>
      <c r="D71" s="41" t="n">
        <f aca="false">IF(A71="","",IF($D$4=0,1,IFERROR(--INDEX('COOIS Raw'!$A:$GZ,ROW()-4,$D$4),1)))</f>
        <v>1</v>
      </c>
      <c r="E71" s="42" t="str">
        <f aca="false">IF(A71="","",INDEX('COOIS Raw'!$A:$GZ,ROW()-4,$E$4)&amp;"")</f>
        <v>REL PRT PRC MANC SETC</v>
      </c>
      <c r="F71" s="43" t="n">
        <f aca="false">IF(A71="","",IFERROR(DATEVALUE(INDEX('COOIS Raw'!$A:$GZ,ROW()-4,$F$4)),INDEX('COOIS Raw'!$A:$GZ,ROW()-4,$F$4)))</f>
        <v>46297</v>
      </c>
      <c r="G71" s="41" t="str">
        <f aca="false">IF(A71="","",IF(ISNA(MATCH(B71,'Kitting Plan'!$B$6:$B$19,0)),"Not in plan","Yes"))</f>
        <v>Yes</v>
      </c>
      <c r="H71" s="41" t="n">
        <f aca="false">IF(G71="Yes",INDEX('Kitting Plan'!$D$6:$D$19,MATCH(B71,'Kitting Plan'!$B$6:$B$19,0)),"")</f>
        <v>24</v>
      </c>
      <c r="I71" s="41" t="n">
        <f aca="false">IF(A71="","",IF(ISNUMBER(SEARCH("PRT",E71)),D71,0))</f>
        <v>1</v>
      </c>
      <c r="J71" s="41" t="n">
        <f aca="false">IF(A71="","",IF(ISNUMBER(SEARCH("GMPS",E71)),D71,0))</f>
        <v>0</v>
      </c>
      <c r="K71" s="41" t="n">
        <f aca="false">IF(A71="","",IF(ISNUMBER(SEARCH("DLV",E71)),D71,0))</f>
        <v>0</v>
      </c>
      <c r="L71" s="41" t="str">
        <f aca="false">IF(A71="","",IF(K71&gt;0,"Delivered",IF(ISNUMBER(SEARCH("CNF",E71)),"In production",IF(J71&gt;0,"Issued",IF(I71&gt;0,"Kitted","Released")))))</f>
        <v>Kitted</v>
      </c>
      <c r="M71" s="41" t="n">
        <f aca="false">IF(G71&lt;&gt;"Yes","",COUNTIFS($B$6:$B$1505,B71,$F$6:$F$1505,"&lt;"&amp;F71)+COUNTIFS($B$6:$B$1505,B71,$F$6:$F$1505,F71,$A$6:$A$1505,"&lt;="&amp;A71))</f>
        <v>300</v>
      </c>
      <c r="N71" s="41" t="n">
        <f aca="false">IF(M71="","",ROUNDUP(M71/H71,0))</f>
        <v>13</v>
      </c>
      <c r="O71" s="41" t="str">
        <f aca="false">IF(N71="","",IF(N71&lt;='Kitting Plan'!$C$3,"Rep "&amp;N71,"Surplus"))</f>
        <v>Rep 13</v>
      </c>
    </row>
    <row r="72" customFormat="false" ht="15" hidden="false" customHeight="false" outlineLevel="0" collapsed="false">
      <c r="A72" s="40" t="n">
        <f aca="false">IF(OR($A$4=0,INDEX('COOIS Raw'!$A:$GZ,ROW()-4,$A$4)=""),"",IFERROR(--INDEX('COOIS Raw'!$A:$GZ,ROW()-4,$A$4),INDEX('COOIS Raw'!$A:$GZ,ROW()-4,$A$4)))</f>
        <v>100880259</v>
      </c>
      <c r="B72" s="41" t="str">
        <f aca="false">IF(A72="","",TRIM(INDEX('COOIS Raw'!$A:$GZ,ROW()-4,$B$4)))</f>
        <v>92RRA00548AAA</v>
      </c>
      <c r="C72" s="42" t="str">
        <f aca="false">IF(OR(A72="",$C$4=0),"",INDEX('COOIS Raw'!$A:$GZ,ROW()-4,$C$4))</f>
        <v>R5B ERBIUM SPOOL ASSEMBLY - E2A</v>
      </c>
      <c r="D72" s="41" t="n">
        <f aca="false">IF(A72="","",IF($D$4=0,1,IFERROR(--INDEX('COOIS Raw'!$A:$GZ,ROW()-4,$D$4),1)))</f>
        <v>1</v>
      </c>
      <c r="E72" s="42" t="str">
        <f aca="false">IF(A72="","",INDEX('COOIS Raw'!$A:$GZ,ROW()-4,$E$4)&amp;"")</f>
        <v>REL PRT PRC MANC SETC</v>
      </c>
      <c r="F72" s="43" t="n">
        <f aca="false">IF(A72="","",IFERROR(DATEVALUE(INDEX('COOIS Raw'!$A:$GZ,ROW()-4,$F$4)),INDEX('COOIS Raw'!$A:$GZ,ROW()-4,$F$4)))</f>
        <v>46297</v>
      </c>
      <c r="G72" s="41" t="str">
        <f aca="false">IF(A72="","",IF(ISNA(MATCH(B72,'Kitting Plan'!$B$6:$B$19,0)),"Not in plan","Yes"))</f>
        <v>Yes</v>
      </c>
      <c r="H72" s="41" t="n">
        <f aca="false">IF(G72="Yes",INDEX('Kitting Plan'!$D$6:$D$19,MATCH(B72,'Kitting Plan'!$B$6:$B$19,0)),"")</f>
        <v>24</v>
      </c>
      <c r="I72" s="41" t="n">
        <f aca="false">IF(A72="","",IF(ISNUMBER(SEARCH("PRT",E72)),D72,0))</f>
        <v>1</v>
      </c>
      <c r="J72" s="41" t="n">
        <f aca="false">IF(A72="","",IF(ISNUMBER(SEARCH("GMPS",E72)),D72,0))</f>
        <v>0</v>
      </c>
      <c r="K72" s="41" t="n">
        <f aca="false">IF(A72="","",IF(ISNUMBER(SEARCH("DLV",E72)),D72,0))</f>
        <v>0</v>
      </c>
      <c r="L72" s="41" t="str">
        <f aca="false">IF(A72="","",IF(K72&gt;0,"Delivered",IF(ISNUMBER(SEARCH("CNF",E72)),"In production",IF(J72&gt;0,"Issued",IF(I72&gt;0,"Kitted","Released")))))</f>
        <v>Kitted</v>
      </c>
      <c r="M72" s="41" t="n">
        <f aca="false">IF(G72&lt;&gt;"Yes","",COUNTIFS($B$6:$B$1505,B72,$F$6:$F$1505,"&lt;"&amp;F72)+COUNTIFS($B$6:$B$1505,B72,$F$6:$F$1505,F72,$A$6:$A$1505,"&lt;="&amp;A72))</f>
        <v>301</v>
      </c>
      <c r="N72" s="41" t="n">
        <f aca="false">IF(M72="","",ROUNDUP(M72/H72,0))</f>
        <v>13</v>
      </c>
      <c r="O72" s="41" t="str">
        <f aca="false">IF(N72="","",IF(N72&lt;='Kitting Plan'!$C$3,"Rep "&amp;N72,"Surplus"))</f>
        <v>Rep 13</v>
      </c>
    </row>
    <row r="73" customFormat="false" ht="15" hidden="false" customHeight="false" outlineLevel="0" collapsed="false">
      <c r="A73" s="40" t="n">
        <f aca="false">IF(OR($A$4=0,INDEX('COOIS Raw'!$A:$GZ,ROW()-4,$A$4)=""),"",IFERROR(--INDEX('COOIS Raw'!$A:$GZ,ROW()-4,$A$4),INDEX('COOIS Raw'!$A:$GZ,ROW()-4,$A$4)))</f>
        <v>100880260</v>
      </c>
      <c r="B73" s="41" t="str">
        <f aca="false">IF(A73="","",TRIM(INDEX('COOIS Raw'!$A:$GZ,ROW()-4,$B$4)))</f>
        <v>92RRA00548AAA</v>
      </c>
      <c r="C73" s="42" t="str">
        <f aca="false">IF(OR(A73="",$C$4=0),"",INDEX('COOIS Raw'!$A:$GZ,ROW()-4,$C$4))</f>
        <v>R5B ERBIUM SPOOL ASSEMBLY - E2A</v>
      </c>
      <c r="D73" s="41" t="n">
        <f aca="false">IF(A73="","",IF($D$4=0,1,IFERROR(--INDEX('COOIS Raw'!$A:$GZ,ROW()-4,$D$4),1)))</f>
        <v>1</v>
      </c>
      <c r="E73" s="42" t="str">
        <f aca="false">IF(A73="","",INDEX('COOIS Raw'!$A:$GZ,ROW()-4,$E$4)&amp;"")</f>
        <v>REL PRT PRC MANC SETC</v>
      </c>
      <c r="F73" s="43" t="n">
        <f aca="false">IF(A73="","",IFERROR(DATEVALUE(INDEX('COOIS Raw'!$A:$GZ,ROW()-4,$F$4)),INDEX('COOIS Raw'!$A:$GZ,ROW()-4,$F$4)))</f>
        <v>46297</v>
      </c>
      <c r="G73" s="41" t="str">
        <f aca="false">IF(A73="","",IF(ISNA(MATCH(B73,'Kitting Plan'!$B$6:$B$19,0)),"Not in plan","Yes"))</f>
        <v>Yes</v>
      </c>
      <c r="H73" s="41" t="n">
        <f aca="false">IF(G73="Yes",INDEX('Kitting Plan'!$D$6:$D$19,MATCH(B73,'Kitting Plan'!$B$6:$B$19,0)),"")</f>
        <v>24</v>
      </c>
      <c r="I73" s="41" t="n">
        <f aca="false">IF(A73="","",IF(ISNUMBER(SEARCH("PRT",E73)),D73,0))</f>
        <v>1</v>
      </c>
      <c r="J73" s="41" t="n">
        <f aca="false">IF(A73="","",IF(ISNUMBER(SEARCH("GMPS",E73)),D73,0))</f>
        <v>0</v>
      </c>
      <c r="K73" s="41" t="n">
        <f aca="false">IF(A73="","",IF(ISNUMBER(SEARCH("DLV",E73)),D73,0))</f>
        <v>0</v>
      </c>
      <c r="L73" s="41" t="str">
        <f aca="false">IF(A73="","",IF(K73&gt;0,"Delivered",IF(ISNUMBER(SEARCH("CNF",E73)),"In production",IF(J73&gt;0,"Issued",IF(I73&gt;0,"Kitted","Released")))))</f>
        <v>Kitted</v>
      </c>
      <c r="M73" s="41" t="n">
        <f aca="false">IF(G73&lt;&gt;"Yes","",COUNTIFS($B$6:$B$1505,B73,$F$6:$F$1505,"&lt;"&amp;F73)+COUNTIFS($B$6:$B$1505,B73,$F$6:$F$1505,F73,$A$6:$A$1505,"&lt;="&amp;A73))</f>
        <v>302</v>
      </c>
      <c r="N73" s="41" t="n">
        <f aca="false">IF(M73="","",ROUNDUP(M73/H73,0))</f>
        <v>13</v>
      </c>
      <c r="O73" s="41" t="str">
        <f aca="false">IF(N73="","",IF(N73&lt;='Kitting Plan'!$C$3,"Rep "&amp;N73,"Surplus"))</f>
        <v>Rep 13</v>
      </c>
    </row>
    <row r="74" customFormat="false" ht="15" hidden="false" customHeight="false" outlineLevel="0" collapsed="false">
      <c r="A74" s="40" t="n">
        <f aca="false">IF(OR($A$4=0,INDEX('COOIS Raw'!$A:$GZ,ROW()-4,$A$4)=""),"",IFERROR(--INDEX('COOIS Raw'!$A:$GZ,ROW()-4,$A$4),INDEX('COOIS Raw'!$A:$GZ,ROW()-4,$A$4)))</f>
        <v>100880261</v>
      </c>
      <c r="B74" s="41" t="str">
        <f aca="false">IF(A74="","",TRIM(INDEX('COOIS Raw'!$A:$GZ,ROW()-4,$B$4)))</f>
        <v>92RRA00548AAA</v>
      </c>
      <c r="C74" s="42" t="str">
        <f aca="false">IF(OR(A74="",$C$4=0),"",INDEX('COOIS Raw'!$A:$GZ,ROW()-4,$C$4))</f>
        <v>R5B ERBIUM SPOOL ASSEMBLY - E2A</v>
      </c>
      <c r="D74" s="41" t="n">
        <f aca="false">IF(A74="","",IF($D$4=0,1,IFERROR(--INDEX('COOIS Raw'!$A:$GZ,ROW()-4,$D$4),1)))</f>
        <v>1</v>
      </c>
      <c r="E74" s="42" t="str">
        <f aca="false">IF(A74="","",INDEX('COOIS Raw'!$A:$GZ,ROW()-4,$E$4)&amp;"")</f>
        <v>REL PRT PRC MANC SETC</v>
      </c>
      <c r="F74" s="43" t="n">
        <f aca="false">IF(A74="","",IFERROR(DATEVALUE(INDEX('COOIS Raw'!$A:$GZ,ROW()-4,$F$4)),INDEX('COOIS Raw'!$A:$GZ,ROW()-4,$F$4)))</f>
        <v>46297</v>
      </c>
      <c r="G74" s="41" t="str">
        <f aca="false">IF(A74="","",IF(ISNA(MATCH(B74,'Kitting Plan'!$B$6:$B$19,0)),"Not in plan","Yes"))</f>
        <v>Yes</v>
      </c>
      <c r="H74" s="41" t="n">
        <f aca="false">IF(G74="Yes",INDEX('Kitting Plan'!$D$6:$D$19,MATCH(B74,'Kitting Plan'!$B$6:$B$19,0)),"")</f>
        <v>24</v>
      </c>
      <c r="I74" s="41" t="n">
        <f aca="false">IF(A74="","",IF(ISNUMBER(SEARCH("PRT",E74)),D74,0))</f>
        <v>1</v>
      </c>
      <c r="J74" s="41" t="n">
        <f aca="false">IF(A74="","",IF(ISNUMBER(SEARCH("GMPS",E74)),D74,0))</f>
        <v>0</v>
      </c>
      <c r="K74" s="41" t="n">
        <f aca="false">IF(A74="","",IF(ISNUMBER(SEARCH("DLV",E74)),D74,0))</f>
        <v>0</v>
      </c>
      <c r="L74" s="41" t="str">
        <f aca="false">IF(A74="","",IF(K74&gt;0,"Delivered",IF(ISNUMBER(SEARCH("CNF",E74)),"In production",IF(J74&gt;0,"Issued",IF(I74&gt;0,"Kitted","Released")))))</f>
        <v>Kitted</v>
      </c>
      <c r="M74" s="41" t="n">
        <f aca="false">IF(G74&lt;&gt;"Yes","",COUNTIFS($B$6:$B$1505,B74,$F$6:$F$1505,"&lt;"&amp;F74)+COUNTIFS($B$6:$B$1505,B74,$F$6:$F$1505,F74,$A$6:$A$1505,"&lt;="&amp;A74))</f>
        <v>303</v>
      </c>
      <c r="N74" s="41" t="n">
        <f aca="false">IF(M74="","",ROUNDUP(M74/H74,0))</f>
        <v>13</v>
      </c>
      <c r="O74" s="41" t="str">
        <f aca="false">IF(N74="","",IF(N74&lt;='Kitting Plan'!$C$3,"Rep "&amp;N74,"Surplus"))</f>
        <v>Rep 13</v>
      </c>
    </row>
    <row r="75" customFormat="false" ht="15" hidden="false" customHeight="false" outlineLevel="0" collapsed="false">
      <c r="A75" s="40" t="n">
        <f aca="false">IF(OR($A$4=0,INDEX('COOIS Raw'!$A:$GZ,ROW()-4,$A$4)=""),"",IFERROR(--INDEX('COOIS Raw'!$A:$GZ,ROW()-4,$A$4),INDEX('COOIS Raw'!$A:$GZ,ROW()-4,$A$4)))</f>
        <v>100880262</v>
      </c>
      <c r="B75" s="41" t="str">
        <f aca="false">IF(A75="","",TRIM(INDEX('COOIS Raw'!$A:$GZ,ROW()-4,$B$4)))</f>
        <v>92RRA00548AAA</v>
      </c>
      <c r="C75" s="42" t="str">
        <f aca="false">IF(OR(A75="",$C$4=0),"",INDEX('COOIS Raw'!$A:$GZ,ROW()-4,$C$4))</f>
        <v>R5B ERBIUM SPOOL ASSEMBLY - E2A</v>
      </c>
      <c r="D75" s="41" t="n">
        <f aca="false">IF(A75="","",IF($D$4=0,1,IFERROR(--INDEX('COOIS Raw'!$A:$GZ,ROW()-4,$D$4),1)))</f>
        <v>1</v>
      </c>
      <c r="E75" s="42" t="str">
        <f aca="false">IF(A75="","",INDEX('COOIS Raw'!$A:$GZ,ROW()-4,$E$4)&amp;"")</f>
        <v>REL PRT PRC MANC SETC</v>
      </c>
      <c r="F75" s="43" t="n">
        <f aca="false">IF(A75="","",IFERROR(DATEVALUE(INDEX('COOIS Raw'!$A:$GZ,ROW()-4,$F$4)),INDEX('COOIS Raw'!$A:$GZ,ROW()-4,$F$4)))</f>
        <v>46297</v>
      </c>
      <c r="G75" s="41" t="str">
        <f aca="false">IF(A75="","",IF(ISNA(MATCH(B75,'Kitting Plan'!$B$6:$B$19,0)),"Not in plan","Yes"))</f>
        <v>Yes</v>
      </c>
      <c r="H75" s="41" t="n">
        <f aca="false">IF(G75="Yes",INDEX('Kitting Plan'!$D$6:$D$19,MATCH(B75,'Kitting Plan'!$B$6:$B$19,0)),"")</f>
        <v>24</v>
      </c>
      <c r="I75" s="41" t="n">
        <f aca="false">IF(A75="","",IF(ISNUMBER(SEARCH("PRT",E75)),D75,0))</f>
        <v>1</v>
      </c>
      <c r="J75" s="41" t="n">
        <f aca="false">IF(A75="","",IF(ISNUMBER(SEARCH("GMPS",E75)),D75,0))</f>
        <v>0</v>
      </c>
      <c r="K75" s="41" t="n">
        <f aca="false">IF(A75="","",IF(ISNUMBER(SEARCH("DLV",E75)),D75,0))</f>
        <v>0</v>
      </c>
      <c r="L75" s="41" t="str">
        <f aca="false">IF(A75="","",IF(K75&gt;0,"Delivered",IF(ISNUMBER(SEARCH("CNF",E75)),"In production",IF(J75&gt;0,"Issued",IF(I75&gt;0,"Kitted","Released")))))</f>
        <v>Kitted</v>
      </c>
      <c r="M75" s="41" t="n">
        <f aca="false">IF(G75&lt;&gt;"Yes","",COUNTIFS($B$6:$B$1505,B75,$F$6:$F$1505,"&lt;"&amp;F75)+COUNTIFS($B$6:$B$1505,B75,$F$6:$F$1505,F75,$A$6:$A$1505,"&lt;="&amp;A75))</f>
        <v>304</v>
      </c>
      <c r="N75" s="41" t="n">
        <f aca="false">IF(M75="","",ROUNDUP(M75/H75,0))</f>
        <v>13</v>
      </c>
      <c r="O75" s="41" t="str">
        <f aca="false">IF(N75="","",IF(N75&lt;='Kitting Plan'!$C$3,"Rep "&amp;N75,"Surplus"))</f>
        <v>Rep 13</v>
      </c>
    </row>
    <row r="76" customFormat="false" ht="15" hidden="false" customHeight="false" outlineLevel="0" collapsed="false">
      <c r="A76" s="40" t="n">
        <f aca="false">IF(OR($A$4=0,INDEX('COOIS Raw'!$A:$GZ,ROW()-4,$A$4)=""),"",IFERROR(--INDEX('COOIS Raw'!$A:$GZ,ROW()-4,$A$4),INDEX('COOIS Raw'!$A:$GZ,ROW()-4,$A$4)))</f>
        <v>100880263</v>
      </c>
      <c r="B76" s="41" t="str">
        <f aca="false">IF(A76="","",TRIM(INDEX('COOIS Raw'!$A:$GZ,ROW()-4,$B$4)))</f>
        <v>92RRA00548AAA</v>
      </c>
      <c r="C76" s="42" t="str">
        <f aca="false">IF(OR(A76="",$C$4=0),"",INDEX('COOIS Raw'!$A:$GZ,ROW()-4,$C$4))</f>
        <v>R5B ERBIUM SPOOL ASSEMBLY - E2A</v>
      </c>
      <c r="D76" s="41" t="n">
        <f aca="false">IF(A76="","",IF($D$4=0,1,IFERROR(--INDEX('COOIS Raw'!$A:$GZ,ROW()-4,$D$4),1)))</f>
        <v>1</v>
      </c>
      <c r="E76" s="42" t="str">
        <f aca="false">IF(A76="","",INDEX('COOIS Raw'!$A:$GZ,ROW()-4,$E$4)&amp;"")</f>
        <v>REL PRT PRC MANC SETC</v>
      </c>
      <c r="F76" s="43" t="n">
        <f aca="false">IF(A76="","",IFERROR(DATEVALUE(INDEX('COOIS Raw'!$A:$GZ,ROW()-4,$F$4)),INDEX('COOIS Raw'!$A:$GZ,ROW()-4,$F$4)))</f>
        <v>46297</v>
      </c>
      <c r="G76" s="41" t="str">
        <f aca="false">IF(A76="","",IF(ISNA(MATCH(B76,'Kitting Plan'!$B$6:$B$19,0)),"Not in plan","Yes"))</f>
        <v>Yes</v>
      </c>
      <c r="H76" s="41" t="n">
        <f aca="false">IF(G76="Yes",INDEX('Kitting Plan'!$D$6:$D$19,MATCH(B76,'Kitting Plan'!$B$6:$B$19,0)),"")</f>
        <v>24</v>
      </c>
      <c r="I76" s="41" t="n">
        <f aca="false">IF(A76="","",IF(ISNUMBER(SEARCH("PRT",E76)),D76,0))</f>
        <v>1</v>
      </c>
      <c r="J76" s="41" t="n">
        <f aca="false">IF(A76="","",IF(ISNUMBER(SEARCH("GMPS",E76)),D76,0))</f>
        <v>0</v>
      </c>
      <c r="K76" s="41" t="n">
        <f aca="false">IF(A76="","",IF(ISNUMBER(SEARCH("DLV",E76)),D76,0))</f>
        <v>0</v>
      </c>
      <c r="L76" s="41" t="str">
        <f aca="false">IF(A76="","",IF(K76&gt;0,"Delivered",IF(ISNUMBER(SEARCH("CNF",E76)),"In production",IF(J76&gt;0,"Issued",IF(I76&gt;0,"Kitted","Released")))))</f>
        <v>Kitted</v>
      </c>
      <c r="M76" s="41" t="n">
        <f aca="false">IF(G76&lt;&gt;"Yes","",COUNTIFS($B$6:$B$1505,B76,$F$6:$F$1505,"&lt;"&amp;F76)+COUNTIFS($B$6:$B$1505,B76,$F$6:$F$1505,F76,$A$6:$A$1505,"&lt;="&amp;A76))</f>
        <v>305</v>
      </c>
      <c r="N76" s="41" t="n">
        <f aca="false">IF(M76="","",ROUNDUP(M76/H76,0))</f>
        <v>13</v>
      </c>
      <c r="O76" s="41" t="str">
        <f aca="false">IF(N76="","",IF(N76&lt;='Kitting Plan'!$C$3,"Rep "&amp;N76,"Surplus"))</f>
        <v>Rep 13</v>
      </c>
    </row>
    <row r="77" customFormat="false" ht="15" hidden="false" customHeight="false" outlineLevel="0" collapsed="false">
      <c r="A77" s="40" t="n">
        <f aca="false">IF(OR($A$4=0,INDEX('COOIS Raw'!$A:$GZ,ROW()-4,$A$4)=""),"",IFERROR(--INDEX('COOIS Raw'!$A:$GZ,ROW()-4,$A$4),INDEX('COOIS Raw'!$A:$GZ,ROW()-4,$A$4)))</f>
        <v>100880264</v>
      </c>
      <c r="B77" s="41" t="str">
        <f aca="false">IF(A77="","",TRIM(INDEX('COOIS Raw'!$A:$GZ,ROW()-4,$B$4)))</f>
        <v>92RRA00548AAA</v>
      </c>
      <c r="C77" s="42" t="str">
        <f aca="false">IF(OR(A77="",$C$4=0),"",INDEX('COOIS Raw'!$A:$GZ,ROW()-4,$C$4))</f>
        <v>R5B ERBIUM SPOOL ASSEMBLY - E2A</v>
      </c>
      <c r="D77" s="41" t="n">
        <f aca="false">IF(A77="","",IF($D$4=0,1,IFERROR(--INDEX('COOIS Raw'!$A:$GZ,ROW()-4,$D$4),1)))</f>
        <v>1</v>
      </c>
      <c r="E77" s="42" t="str">
        <f aca="false">IF(A77="","",INDEX('COOIS Raw'!$A:$GZ,ROW()-4,$E$4)&amp;"")</f>
        <v>REL PRT PRC MANC SETC</v>
      </c>
      <c r="F77" s="43" t="n">
        <f aca="false">IF(A77="","",IFERROR(DATEVALUE(INDEX('COOIS Raw'!$A:$GZ,ROW()-4,$F$4)),INDEX('COOIS Raw'!$A:$GZ,ROW()-4,$F$4)))</f>
        <v>46297</v>
      </c>
      <c r="G77" s="41" t="str">
        <f aca="false">IF(A77="","",IF(ISNA(MATCH(B77,'Kitting Plan'!$B$6:$B$19,0)),"Not in plan","Yes"))</f>
        <v>Yes</v>
      </c>
      <c r="H77" s="41" t="n">
        <f aca="false">IF(G77="Yes",INDEX('Kitting Plan'!$D$6:$D$19,MATCH(B77,'Kitting Plan'!$B$6:$B$19,0)),"")</f>
        <v>24</v>
      </c>
      <c r="I77" s="41" t="n">
        <f aca="false">IF(A77="","",IF(ISNUMBER(SEARCH("PRT",E77)),D77,0))</f>
        <v>1</v>
      </c>
      <c r="J77" s="41" t="n">
        <f aca="false">IF(A77="","",IF(ISNUMBER(SEARCH("GMPS",E77)),D77,0))</f>
        <v>0</v>
      </c>
      <c r="K77" s="41" t="n">
        <f aca="false">IF(A77="","",IF(ISNUMBER(SEARCH("DLV",E77)),D77,0))</f>
        <v>0</v>
      </c>
      <c r="L77" s="41" t="str">
        <f aca="false">IF(A77="","",IF(K77&gt;0,"Delivered",IF(ISNUMBER(SEARCH("CNF",E77)),"In production",IF(J77&gt;0,"Issued",IF(I77&gt;0,"Kitted","Released")))))</f>
        <v>Kitted</v>
      </c>
      <c r="M77" s="41" t="n">
        <f aca="false">IF(G77&lt;&gt;"Yes","",COUNTIFS($B$6:$B$1505,B77,$F$6:$F$1505,"&lt;"&amp;F77)+COUNTIFS($B$6:$B$1505,B77,$F$6:$F$1505,F77,$A$6:$A$1505,"&lt;="&amp;A77))</f>
        <v>306</v>
      </c>
      <c r="N77" s="41" t="n">
        <f aca="false">IF(M77="","",ROUNDUP(M77/H77,0))</f>
        <v>13</v>
      </c>
      <c r="O77" s="41" t="str">
        <f aca="false">IF(N77="","",IF(N77&lt;='Kitting Plan'!$C$3,"Rep "&amp;N77,"Surplus"))</f>
        <v>Rep 13</v>
      </c>
    </row>
    <row r="78" customFormat="false" ht="15" hidden="false" customHeight="false" outlineLevel="0" collapsed="false">
      <c r="A78" s="40" t="n">
        <f aca="false">IF(OR($A$4=0,INDEX('COOIS Raw'!$A:$GZ,ROW()-4,$A$4)=""),"",IFERROR(--INDEX('COOIS Raw'!$A:$GZ,ROW()-4,$A$4),INDEX('COOIS Raw'!$A:$GZ,ROW()-4,$A$4)))</f>
        <v>100880265</v>
      </c>
      <c r="B78" s="41" t="str">
        <f aca="false">IF(A78="","",TRIM(INDEX('COOIS Raw'!$A:$GZ,ROW()-4,$B$4)))</f>
        <v>92RRA00548AAA</v>
      </c>
      <c r="C78" s="42" t="str">
        <f aca="false">IF(OR(A78="",$C$4=0),"",INDEX('COOIS Raw'!$A:$GZ,ROW()-4,$C$4))</f>
        <v>R5B ERBIUM SPOOL ASSEMBLY - E2A</v>
      </c>
      <c r="D78" s="41" t="n">
        <f aca="false">IF(A78="","",IF($D$4=0,1,IFERROR(--INDEX('COOIS Raw'!$A:$GZ,ROW()-4,$D$4),1)))</f>
        <v>1</v>
      </c>
      <c r="E78" s="42" t="str">
        <f aca="false">IF(A78="","",INDEX('COOIS Raw'!$A:$GZ,ROW()-4,$E$4)&amp;"")</f>
        <v>REL PRT PRC MANC SETC</v>
      </c>
      <c r="F78" s="43" t="n">
        <f aca="false">IF(A78="","",IFERROR(DATEVALUE(INDEX('COOIS Raw'!$A:$GZ,ROW()-4,$F$4)),INDEX('COOIS Raw'!$A:$GZ,ROW()-4,$F$4)))</f>
        <v>46297</v>
      </c>
      <c r="G78" s="41" t="str">
        <f aca="false">IF(A78="","",IF(ISNA(MATCH(B78,'Kitting Plan'!$B$6:$B$19,0)),"Not in plan","Yes"))</f>
        <v>Yes</v>
      </c>
      <c r="H78" s="41" t="n">
        <f aca="false">IF(G78="Yes",INDEX('Kitting Plan'!$D$6:$D$19,MATCH(B78,'Kitting Plan'!$B$6:$B$19,0)),"")</f>
        <v>24</v>
      </c>
      <c r="I78" s="41" t="n">
        <f aca="false">IF(A78="","",IF(ISNUMBER(SEARCH("PRT",E78)),D78,0))</f>
        <v>1</v>
      </c>
      <c r="J78" s="41" t="n">
        <f aca="false">IF(A78="","",IF(ISNUMBER(SEARCH("GMPS",E78)),D78,0))</f>
        <v>0</v>
      </c>
      <c r="K78" s="41" t="n">
        <f aca="false">IF(A78="","",IF(ISNUMBER(SEARCH("DLV",E78)),D78,0))</f>
        <v>0</v>
      </c>
      <c r="L78" s="41" t="str">
        <f aca="false">IF(A78="","",IF(K78&gt;0,"Delivered",IF(ISNUMBER(SEARCH("CNF",E78)),"In production",IF(J78&gt;0,"Issued",IF(I78&gt;0,"Kitted","Released")))))</f>
        <v>Kitted</v>
      </c>
      <c r="M78" s="41" t="n">
        <f aca="false">IF(G78&lt;&gt;"Yes","",COUNTIFS($B$6:$B$1505,B78,$F$6:$F$1505,"&lt;"&amp;F78)+COUNTIFS($B$6:$B$1505,B78,$F$6:$F$1505,F78,$A$6:$A$1505,"&lt;="&amp;A78))</f>
        <v>307</v>
      </c>
      <c r="N78" s="41" t="n">
        <f aca="false">IF(M78="","",ROUNDUP(M78/H78,0))</f>
        <v>13</v>
      </c>
      <c r="O78" s="41" t="str">
        <f aca="false">IF(N78="","",IF(N78&lt;='Kitting Plan'!$C$3,"Rep "&amp;N78,"Surplus"))</f>
        <v>Rep 13</v>
      </c>
    </row>
    <row r="79" customFormat="false" ht="15" hidden="false" customHeight="false" outlineLevel="0" collapsed="false">
      <c r="A79" s="40" t="n">
        <f aca="false">IF(OR($A$4=0,INDEX('COOIS Raw'!$A:$GZ,ROW()-4,$A$4)=""),"",IFERROR(--INDEX('COOIS Raw'!$A:$GZ,ROW()-4,$A$4),INDEX('COOIS Raw'!$A:$GZ,ROW()-4,$A$4)))</f>
        <v>100880266</v>
      </c>
      <c r="B79" s="41" t="str">
        <f aca="false">IF(A79="","",TRIM(INDEX('COOIS Raw'!$A:$GZ,ROW()-4,$B$4)))</f>
        <v>92RRA00548AAA</v>
      </c>
      <c r="C79" s="42" t="str">
        <f aca="false">IF(OR(A79="",$C$4=0),"",INDEX('COOIS Raw'!$A:$GZ,ROW()-4,$C$4))</f>
        <v>R5B ERBIUM SPOOL ASSEMBLY - E2A</v>
      </c>
      <c r="D79" s="41" t="n">
        <f aca="false">IF(A79="","",IF($D$4=0,1,IFERROR(--INDEX('COOIS Raw'!$A:$GZ,ROW()-4,$D$4),1)))</f>
        <v>1</v>
      </c>
      <c r="E79" s="42" t="str">
        <f aca="false">IF(A79="","",INDEX('COOIS Raw'!$A:$GZ,ROW()-4,$E$4)&amp;"")</f>
        <v>REL PRT PRC MANC SETC</v>
      </c>
      <c r="F79" s="43" t="n">
        <f aca="false">IF(A79="","",IFERROR(DATEVALUE(INDEX('COOIS Raw'!$A:$GZ,ROW()-4,$F$4)),INDEX('COOIS Raw'!$A:$GZ,ROW()-4,$F$4)))</f>
        <v>46297</v>
      </c>
      <c r="G79" s="41" t="str">
        <f aca="false">IF(A79="","",IF(ISNA(MATCH(B79,'Kitting Plan'!$B$6:$B$19,0)),"Not in plan","Yes"))</f>
        <v>Yes</v>
      </c>
      <c r="H79" s="41" t="n">
        <f aca="false">IF(G79="Yes",INDEX('Kitting Plan'!$D$6:$D$19,MATCH(B79,'Kitting Plan'!$B$6:$B$19,0)),"")</f>
        <v>24</v>
      </c>
      <c r="I79" s="41" t="n">
        <f aca="false">IF(A79="","",IF(ISNUMBER(SEARCH("PRT",E79)),D79,0))</f>
        <v>1</v>
      </c>
      <c r="J79" s="41" t="n">
        <f aca="false">IF(A79="","",IF(ISNUMBER(SEARCH("GMPS",E79)),D79,0))</f>
        <v>0</v>
      </c>
      <c r="K79" s="41" t="n">
        <f aca="false">IF(A79="","",IF(ISNUMBER(SEARCH("DLV",E79)),D79,0))</f>
        <v>0</v>
      </c>
      <c r="L79" s="41" t="str">
        <f aca="false">IF(A79="","",IF(K79&gt;0,"Delivered",IF(ISNUMBER(SEARCH("CNF",E79)),"In production",IF(J79&gt;0,"Issued",IF(I79&gt;0,"Kitted","Released")))))</f>
        <v>Kitted</v>
      </c>
      <c r="M79" s="41" t="n">
        <f aca="false">IF(G79&lt;&gt;"Yes","",COUNTIFS($B$6:$B$1505,B79,$F$6:$F$1505,"&lt;"&amp;F79)+COUNTIFS($B$6:$B$1505,B79,$F$6:$F$1505,F79,$A$6:$A$1505,"&lt;="&amp;A79))</f>
        <v>308</v>
      </c>
      <c r="N79" s="41" t="n">
        <f aca="false">IF(M79="","",ROUNDUP(M79/H79,0))</f>
        <v>13</v>
      </c>
      <c r="O79" s="41" t="str">
        <f aca="false">IF(N79="","",IF(N79&lt;='Kitting Plan'!$C$3,"Rep "&amp;N79,"Surplus"))</f>
        <v>Rep 13</v>
      </c>
    </row>
    <row r="80" customFormat="false" ht="15" hidden="false" customHeight="false" outlineLevel="0" collapsed="false">
      <c r="A80" s="40" t="n">
        <f aca="false">IF(OR($A$4=0,INDEX('COOIS Raw'!$A:$GZ,ROW()-4,$A$4)=""),"",IFERROR(--INDEX('COOIS Raw'!$A:$GZ,ROW()-4,$A$4),INDEX('COOIS Raw'!$A:$GZ,ROW()-4,$A$4)))</f>
        <v>100880267</v>
      </c>
      <c r="B80" s="41" t="str">
        <f aca="false">IF(A80="","",TRIM(INDEX('COOIS Raw'!$A:$GZ,ROW()-4,$B$4)))</f>
        <v>92RRA00548AAA</v>
      </c>
      <c r="C80" s="42" t="str">
        <f aca="false">IF(OR(A80="",$C$4=0),"",INDEX('COOIS Raw'!$A:$GZ,ROW()-4,$C$4))</f>
        <v>R5B ERBIUM SPOOL ASSEMBLY - E2A</v>
      </c>
      <c r="D80" s="41" t="n">
        <f aca="false">IF(A80="","",IF($D$4=0,1,IFERROR(--INDEX('COOIS Raw'!$A:$GZ,ROW()-4,$D$4),1)))</f>
        <v>1</v>
      </c>
      <c r="E80" s="42" t="str">
        <f aca="false">IF(A80="","",INDEX('COOIS Raw'!$A:$GZ,ROW()-4,$E$4)&amp;"")</f>
        <v>REL PRT PRC MANC SETC</v>
      </c>
      <c r="F80" s="43" t="n">
        <f aca="false">IF(A80="","",IFERROR(DATEVALUE(INDEX('COOIS Raw'!$A:$GZ,ROW()-4,$F$4)),INDEX('COOIS Raw'!$A:$GZ,ROW()-4,$F$4)))</f>
        <v>46297</v>
      </c>
      <c r="G80" s="41" t="str">
        <f aca="false">IF(A80="","",IF(ISNA(MATCH(B80,'Kitting Plan'!$B$6:$B$19,0)),"Not in plan","Yes"))</f>
        <v>Yes</v>
      </c>
      <c r="H80" s="41" t="n">
        <f aca="false">IF(G80="Yes",INDEX('Kitting Plan'!$D$6:$D$19,MATCH(B80,'Kitting Plan'!$B$6:$B$19,0)),"")</f>
        <v>24</v>
      </c>
      <c r="I80" s="41" t="n">
        <f aca="false">IF(A80="","",IF(ISNUMBER(SEARCH("PRT",E80)),D80,0))</f>
        <v>1</v>
      </c>
      <c r="J80" s="41" t="n">
        <f aca="false">IF(A80="","",IF(ISNUMBER(SEARCH("GMPS",E80)),D80,0))</f>
        <v>0</v>
      </c>
      <c r="K80" s="41" t="n">
        <f aca="false">IF(A80="","",IF(ISNUMBER(SEARCH("DLV",E80)),D80,0))</f>
        <v>0</v>
      </c>
      <c r="L80" s="41" t="str">
        <f aca="false">IF(A80="","",IF(K80&gt;0,"Delivered",IF(ISNUMBER(SEARCH("CNF",E80)),"In production",IF(J80&gt;0,"Issued",IF(I80&gt;0,"Kitted","Released")))))</f>
        <v>Kitted</v>
      </c>
      <c r="M80" s="41" t="n">
        <f aca="false">IF(G80&lt;&gt;"Yes","",COUNTIFS($B$6:$B$1505,B80,$F$6:$F$1505,"&lt;"&amp;F80)+COUNTIFS($B$6:$B$1505,B80,$F$6:$F$1505,F80,$A$6:$A$1505,"&lt;="&amp;A80))</f>
        <v>309</v>
      </c>
      <c r="N80" s="41" t="n">
        <f aca="false">IF(M80="","",ROUNDUP(M80/H80,0))</f>
        <v>13</v>
      </c>
      <c r="O80" s="41" t="str">
        <f aca="false">IF(N80="","",IF(N80&lt;='Kitting Plan'!$C$3,"Rep "&amp;N80,"Surplus"))</f>
        <v>Rep 13</v>
      </c>
    </row>
    <row r="81" customFormat="false" ht="15" hidden="false" customHeight="false" outlineLevel="0" collapsed="false">
      <c r="A81" s="40" t="n">
        <f aca="false">IF(OR($A$4=0,INDEX('COOIS Raw'!$A:$GZ,ROW()-4,$A$4)=""),"",IFERROR(--INDEX('COOIS Raw'!$A:$GZ,ROW()-4,$A$4),INDEX('COOIS Raw'!$A:$GZ,ROW()-4,$A$4)))</f>
        <v>100880268</v>
      </c>
      <c r="B81" s="41" t="str">
        <f aca="false">IF(A81="","",TRIM(INDEX('COOIS Raw'!$A:$GZ,ROW()-4,$B$4)))</f>
        <v>92RRA00548AAA</v>
      </c>
      <c r="C81" s="42" t="str">
        <f aca="false">IF(OR(A81="",$C$4=0),"",INDEX('COOIS Raw'!$A:$GZ,ROW()-4,$C$4))</f>
        <v>R5B ERBIUM SPOOL ASSEMBLY - E2A</v>
      </c>
      <c r="D81" s="41" t="n">
        <f aca="false">IF(A81="","",IF($D$4=0,1,IFERROR(--INDEX('COOIS Raw'!$A:$GZ,ROW()-4,$D$4),1)))</f>
        <v>1</v>
      </c>
      <c r="E81" s="42" t="str">
        <f aca="false">IF(A81="","",INDEX('COOIS Raw'!$A:$GZ,ROW()-4,$E$4)&amp;"")</f>
        <v>REL PRT PRC MANC SETC</v>
      </c>
      <c r="F81" s="43" t="n">
        <f aca="false">IF(A81="","",IFERROR(DATEVALUE(INDEX('COOIS Raw'!$A:$GZ,ROW()-4,$F$4)),INDEX('COOIS Raw'!$A:$GZ,ROW()-4,$F$4)))</f>
        <v>46297</v>
      </c>
      <c r="G81" s="41" t="str">
        <f aca="false">IF(A81="","",IF(ISNA(MATCH(B81,'Kitting Plan'!$B$6:$B$19,0)),"Not in plan","Yes"))</f>
        <v>Yes</v>
      </c>
      <c r="H81" s="41" t="n">
        <f aca="false">IF(G81="Yes",INDEX('Kitting Plan'!$D$6:$D$19,MATCH(B81,'Kitting Plan'!$B$6:$B$19,0)),"")</f>
        <v>24</v>
      </c>
      <c r="I81" s="41" t="n">
        <f aca="false">IF(A81="","",IF(ISNUMBER(SEARCH("PRT",E81)),D81,0))</f>
        <v>1</v>
      </c>
      <c r="J81" s="41" t="n">
        <f aca="false">IF(A81="","",IF(ISNUMBER(SEARCH("GMPS",E81)),D81,0))</f>
        <v>0</v>
      </c>
      <c r="K81" s="41" t="n">
        <f aca="false">IF(A81="","",IF(ISNUMBER(SEARCH("DLV",E81)),D81,0))</f>
        <v>0</v>
      </c>
      <c r="L81" s="41" t="str">
        <f aca="false">IF(A81="","",IF(K81&gt;0,"Delivered",IF(ISNUMBER(SEARCH("CNF",E81)),"In production",IF(J81&gt;0,"Issued",IF(I81&gt;0,"Kitted","Released")))))</f>
        <v>Kitted</v>
      </c>
      <c r="M81" s="41" t="n">
        <f aca="false">IF(G81&lt;&gt;"Yes","",COUNTIFS($B$6:$B$1505,B81,$F$6:$F$1505,"&lt;"&amp;F81)+COUNTIFS($B$6:$B$1505,B81,$F$6:$F$1505,F81,$A$6:$A$1505,"&lt;="&amp;A81))</f>
        <v>310</v>
      </c>
      <c r="N81" s="41" t="n">
        <f aca="false">IF(M81="","",ROUNDUP(M81/H81,0))</f>
        <v>13</v>
      </c>
      <c r="O81" s="41" t="str">
        <f aca="false">IF(N81="","",IF(N81&lt;='Kitting Plan'!$C$3,"Rep "&amp;N81,"Surplus"))</f>
        <v>Rep 13</v>
      </c>
    </row>
    <row r="82" customFormat="false" ht="15" hidden="false" customHeight="false" outlineLevel="0" collapsed="false">
      <c r="A82" s="40" t="n">
        <f aca="false">IF(OR($A$4=0,INDEX('COOIS Raw'!$A:$GZ,ROW()-4,$A$4)=""),"",IFERROR(--INDEX('COOIS Raw'!$A:$GZ,ROW()-4,$A$4),INDEX('COOIS Raw'!$A:$GZ,ROW()-4,$A$4)))</f>
        <v>100880269</v>
      </c>
      <c r="B82" s="41" t="str">
        <f aca="false">IF(A82="","",TRIM(INDEX('COOIS Raw'!$A:$GZ,ROW()-4,$B$4)))</f>
        <v>92RRA00548AAA</v>
      </c>
      <c r="C82" s="42" t="str">
        <f aca="false">IF(OR(A82="",$C$4=0),"",INDEX('COOIS Raw'!$A:$GZ,ROW()-4,$C$4))</f>
        <v>R5B ERBIUM SPOOL ASSEMBLY - E2A</v>
      </c>
      <c r="D82" s="41" t="n">
        <f aca="false">IF(A82="","",IF($D$4=0,1,IFERROR(--INDEX('COOIS Raw'!$A:$GZ,ROW()-4,$D$4),1)))</f>
        <v>1</v>
      </c>
      <c r="E82" s="42" t="str">
        <f aca="false">IF(A82="","",INDEX('COOIS Raw'!$A:$GZ,ROW()-4,$E$4)&amp;"")</f>
        <v>REL PRT PRC MANC SETC</v>
      </c>
      <c r="F82" s="43" t="n">
        <f aca="false">IF(A82="","",IFERROR(DATEVALUE(INDEX('COOIS Raw'!$A:$GZ,ROW()-4,$F$4)),INDEX('COOIS Raw'!$A:$GZ,ROW()-4,$F$4)))</f>
        <v>46297</v>
      </c>
      <c r="G82" s="41" t="str">
        <f aca="false">IF(A82="","",IF(ISNA(MATCH(B82,'Kitting Plan'!$B$6:$B$19,0)),"Not in plan","Yes"))</f>
        <v>Yes</v>
      </c>
      <c r="H82" s="41" t="n">
        <f aca="false">IF(G82="Yes",INDEX('Kitting Plan'!$D$6:$D$19,MATCH(B82,'Kitting Plan'!$B$6:$B$19,0)),"")</f>
        <v>24</v>
      </c>
      <c r="I82" s="41" t="n">
        <f aca="false">IF(A82="","",IF(ISNUMBER(SEARCH("PRT",E82)),D82,0))</f>
        <v>1</v>
      </c>
      <c r="J82" s="41" t="n">
        <f aca="false">IF(A82="","",IF(ISNUMBER(SEARCH("GMPS",E82)),D82,0))</f>
        <v>0</v>
      </c>
      <c r="K82" s="41" t="n">
        <f aca="false">IF(A82="","",IF(ISNUMBER(SEARCH("DLV",E82)),D82,0))</f>
        <v>0</v>
      </c>
      <c r="L82" s="41" t="str">
        <f aca="false">IF(A82="","",IF(K82&gt;0,"Delivered",IF(ISNUMBER(SEARCH("CNF",E82)),"In production",IF(J82&gt;0,"Issued",IF(I82&gt;0,"Kitted","Released")))))</f>
        <v>Kitted</v>
      </c>
      <c r="M82" s="41" t="n">
        <f aca="false">IF(G82&lt;&gt;"Yes","",COUNTIFS($B$6:$B$1505,B82,$F$6:$F$1505,"&lt;"&amp;F82)+COUNTIFS($B$6:$B$1505,B82,$F$6:$F$1505,F82,$A$6:$A$1505,"&lt;="&amp;A82))</f>
        <v>311</v>
      </c>
      <c r="N82" s="41" t="n">
        <f aca="false">IF(M82="","",ROUNDUP(M82/H82,0))</f>
        <v>13</v>
      </c>
      <c r="O82" s="41" t="str">
        <f aca="false">IF(N82="","",IF(N82&lt;='Kitting Plan'!$C$3,"Rep "&amp;N82,"Surplus"))</f>
        <v>Rep 13</v>
      </c>
    </row>
    <row r="83" customFormat="false" ht="15" hidden="false" customHeight="false" outlineLevel="0" collapsed="false">
      <c r="A83" s="40" t="n">
        <f aca="false">IF(OR($A$4=0,INDEX('COOIS Raw'!$A:$GZ,ROW()-4,$A$4)=""),"",IFERROR(--INDEX('COOIS Raw'!$A:$GZ,ROW()-4,$A$4),INDEX('COOIS Raw'!$A:$GZ,ROW()-4,$A$4)))</f>
        <v>100880270</v>
      </c>
      <c r="B83" s="41" t="str">
        <f aca="false">IF(A83="","",TRIM(INDEX('COOIS Raw'!$A:$GZ,ROW()-4,$B$4)))</f>
        <v>92RRA00548AAA</v>
      </c>
      <c r="C83" s="42" t="str">
        <f aca="false">IF(OR(A83="",$C$4=0),"",INDEX('COOIS Raw'!$A:$GZ,ROW()-4,$C$4))</f>
        <v>R5B ERBIUM SPOOL ASSEMBLY - E2A</v>
      </c>
      <c r="D83" s="41" t="n">
        <f aca="false">IF(A83="","",IF($D$4=0,1,IFERROR(--INDEX('COOIS Raw'!$A:$GZ,ROW()-4,$D$4),1)))</f>
        <v>1</v>
      </c>
      <c r="E83" s="42" t="str">
        <f aca="false">IF(A83="","",INDEX('COOIS Raw'!$A:$GZ,ROW()-4,$E$4)&amp;"")</f>
        <v>REL PRT PRC MANC SETC</v>
      </c>
      <c r="F83" s="43" t="n">
        <f aca="false">IF(A83="","",IFERROR(DATEVALUE(INDEX('COOIS Raw'!$A:$GZ,ROW()-4,$F$4)),INDEX('COOIS Raw'!$A:$GZ,ROW()-4,$F$4)))</f>
        <v>46297</v>
      </c>
      <c r="G83" s="41" t="str">
        <f aca="false">IF(A83="","",IF(ISNA(MATCH(B83,'Kitting Plan'!$B$6:$B$19,0)),"Not in plan","Yes"))</f>
        <v>Yes</v>
      </c>
      <c r="H83" s="41" t="n">
        <f aca="false">IF(G83="Yes",INDEX('Kitting Plan'!$D$6:$D$19,MATCH(B83,'Kitting Plan'!$B$6:$B$19,0)),"")</f>
        <v>24</v>
      </c>
      <c r="I83" s="41" t="n">
        <f aca="false">IF(A83="","",IF(ISNUMBER(SEARCH("PRT",E83)),D83,0))</f>
        <v>1</v>
      </c>
      <c r="J83" s="41" t="n">
        <f aca="false">IF(A83="","",IF(ISNUMBER(SEARCH("GMPS",E83)),D83,0))</f>
        <v>0</v>
      </c>
      <c r="K83" s="41" t="n">
        <f aca="false">IF(A83="","",IF(ISNUMBER(SEARCH("DLV",E83)),D83,0))</f>
        <v>0</v>
      </c>
      <c r="L83" s="41" t="str">
        <f aca="false">IF(A83="","",IF(K83&gt;0,"Delivered",IF(ISNUMBER(SEARCH("CNF",E83)),"In production",IF(J83&gt;0,"Issued",IF(I83&gt;0,"Kitted","Released")))))</f>
        <v>Kitted</v>
      </c>
      <c r="M83" s="41" t="n">
        <f aca="false">IF(G83&lt;&gt;"Yes","",COUNTIFS($B$6:$B$1505,B83,$F$6:$F$1505,"&lt;"&amp;F83)+COUNTIFS($B$6:$B$1505,B83,$F$6:$F$1505,F83,$A$6:$A$1505,"&lt;="&amp;A83))</f>
        <v>312</v>
      </c>
      <c r="N83" s="41" t="n">
        <f aca="false">IF(M83="","",ROUNDUP(M83/H83,0))</f>
        <v>13</v>
      </c>
      <c r="O83" s="41" t="str">
        <f aca="false">IF(N83="","",IF(N83&lt;='Kitting Plan'!$C$3,"Rep "&amp;N83,"Surplus"))</f>
        <v>Rep 13</v>
      </c>
    </row>
    <row r="84" customFormat="false" ht="15" hidden="false" customHeight="false" outlineLevel="0" collapsed="false">
      <c r="A84" s="40" t="n">
        <f aca="false">IF(OR($A$4=0,INDEX('COOIS Raw'!$A:$GZ,ROW()-4,$A$4)=""),"",IFERROR(--INDEX('COOIS Raw'!$A:$GZ,ROW()-4,$A$4),INDEX('COOIS Raw'!$A:$GZ,ROW()-4,$A$4)))</f>
        <v>100880271</v>
      </c>
      <c r="B84" s="41" t="str">
        <f aca="false">IF(A84="","",TRIM(INDEX('COOIS Raw'!$A:$GZ,ROW()-4,$B$4)))</f>
        <v>92RRA00548AAA</v>
      </c>
      <c r="C84" s="42" t="str">
        <f aca="false">IF(OR(A84="",$C$4=0),"",INDEX('COOIS Raw'!$A:$GZ,ROW()-4,$C$4))</f>
        <v>R5B ERBIUM SPOOL ASSEMBLY - E2A</v>
      </c>
      <c r="D84" s="41" t="n">
        <f aca="false">IF(A84="","",IF($D$4=0,1,IFERROR(--INDEX('COOIS Raw'!$A:$GZ,ROW()-4,$D$4),1)))</f>
        <v>1</v>
      </c>
      <c r="E84" s="42" t="str">
        <f aca="false">IF(A84="","",INDEX('COOIS Raw'!$A:$GZ,ROW()-4,$E$4)&amp;"")</f>
        <v>REL PRT PRC MANC SETC</v>
      </c>
      <c r="F84" s="43" t="n">
        <f aca="false">IF(A84="","",IFERROR(DATEVALUE(INDEX('COOIS Raw'!$A:$GZ,ROW()-4,$F$4)),INDEX('COOIS Raw'!$A:$GZ,ROW()-4,$F$4)))</f>
        <v>46297</v>
      </c>
      <c r="G84" s="41" t="str">
        <f aca="false">IF(A84="","",IF(ISNA(MATCH(B84,'Kitting Plan'!$B$6:$B$19,0)),"Not in plan","Yes"))</f>
        <v>Yes</v>
      </c>
      <c r="H84" s="41" t="n">
        <f aca="false">IF(G84="Yes",INDEX('Kitting Plan'!$D$6:$D$19,MATCH(B84,'Kitting Plan'!$B$6:$B$19,0)),"")</f>
        <v>24</v>
      </c>
      <c r="I84" s="41" t="n">
        <f aca="false">IF(A84="","",IF(ISNUMBER(SEARCH("PRT",E84)),D84,0))</f>
        <v>1</v>
      </c>
      <c r="J84" s="41" t="n">
        <f aca="false">IF(A84="","",IF(ISNUMBER(SEARCH("GMPS",E84)),D84,0))</f>
        <v>0</v>
      </c>
      <c r="K84" s="41" t="n">
        <f aca="false">IF(A84="","",IF(ISNUMBER(SEARCH("DLV",E84)),D84,0))</f>
        <v>0</v>
      </c>
      <c r="L84" s="41" t="str">
        <f aca="false">IF(A84="","",IF(K84&gt;0,"Delivered",IF(ISNUMBER(SEARCH("CNF",E84)),"In production",IF(J84&gt;0,"Issued",IF(I84&gt;0,"Kitted","Released")))))</f>
        <v>Kitted</v>
      </c>
      <c r="M84" s="41" t="n">
        <f aca="false">IF(G84&lt;&gt;"Yes","",COUNTIFS($B$6:$B$1505,B84,$F$6:$F$1505,"&lt;"&amp;F84)+COUNTIFS($B$6:$B$1505,B84,$F$6:$F$1505,F84,$A$6:$A$1505,"&lt;="&amp;A84))</f>
        <v>313</v>
      </c>
      <c r="N84" s="41" t="n">
        <f aca="false">IF(M84="","",ROUNDUP(M84/H84,0))</f>
        <v>14</v>
      </c>
      <c r="O84" s="41" t="str">
        <f aca="false">IF(N84="","",IF(N84&lt;='Kitting Plan'!$C$3,"Rep "&amp;N84,"Surplus"))</f>
        <v>Surplus</v>
      </c>
    </row>
    <row r="85" customFormat="false" ht="15" hidden="false" customHeight="false" outlineLevel="0" collapsed="false">
      <c r="A85" s="40" t="n">
        <f aca="false">IF(OR($A$4=0,INDEX('COOIS Raw'!$A:$GZ,ROW()-4,$A$4)=""),"",IFERROR(--INDEX('COOIS Raw'!$A:$GZ,ROW()-4,$A$4),INDEX('COOIS Raw'!$A:$GZ,ROW()-4,$A$4)))</f>
        <v>100880272</v>
      </c>
      <c r="B85" s="41" t="str">
        <f aca="false">IF(A85="","",TRIM(INDEX('COOIS Raw'!$A:$GZ,ROW()-4,$B$4)))</f>
        <v>92RRA00548AAA</v>
      </c>
      <c r="C85" s="42" t="str">
        <f aca="false">IF(OR(A85="",$C$4=0),"",INDEX('COOIS Raw'!$A:$GZ,ROW()-4,$C$4))</f>
        <v>R5B ERBIUM SPOOL ASSEMBLY - E2A</v>
      </c>
      <c r="D85" s="41" t="n">
        <f aca="false">IF(A85="","",IF($D$4=0,1,IFERROR(--INDEX('COOIS Raw'!$A:$GZ,ROW()-4,$D$4),1)))</f>
        <v>1</v>
      </c>
      <c r="E85" s="42" t="str">
        <f aca="false">IF(A85="","",INDEX('COOIS Raw'!$A:$GZ,ROW()-4,$E$4)&amp;"")</f>
        <v>REL PRT PRC MANC SETC</v>
      </c>
      <c r="F85" s="43" t="n">
        <f aca="false">IF(A85="","",IFERROR(DATEVALUE(INDEX('COOIS Raw'!$A:$GZ,ROW()-4,$F$4)),INDEX('COOIS Raw'!$A:$GZ,ROW()-4,$F$4)))</f>
        <v>46297</v>
      </c>
      <c r="G85" s="41" t="str">
        <f aca="false">IF(A85="","",IF(ISNA(MATCH(B85,'Kitting Plan'!$B$6:$B$19,0)),"Not in plan","Yes"))</f>
        <v>Yes</v>
      </c>
      <c r="H85" s="41" t="n">
        <f aca="false">IF(G85="Yes",INDEX('Kitting Plan'!$D$6:$D$19,MATCH(B85,'Kitting Plan'!$B$6:$B$19,0)),"")</f>
        <v>24</v>
      </c>
      <c r="I85" s="41" t="n">
        <f aca="false">IF(A85="","",IF(ISNUMBER(SEARCH("PRT",E85)),D85,0))</f>
        <v>1</v>
      </c>
      <c r="J85" s="41" t="n">
        <f aca="false">IF(A85="","",IF(ISNUMBER(SEARCH("GMPS",E85)),D85,0))</f>
        <v>0</v>
      </c>
      <c r="K85" s="41" t="n">
        <f aca="false">IF(A85="","",IF(ISNUMBER(SEARCH("DLV",E85)),D85,0))</f>
        <v>0</v>
      </c>
      <c r="L85" s="41" t="str">
        <f aca="false">IF(A85="","",IF(K85&gt;0,"Delivered",IF(ISNUMBER(SEARCH("CNF",E85)),"In production",IF(J85&gt;0,"Issued",IF(I85&gt;0,"Kitted","Released")))))</f>
        <v>Kitted</v>
      </c>
      <c r="M85" s="41" t="n">
        <f aca="false">IF(G85&lt;&gt;"Yes","",COUNTIFS($B$6:$B$1505,B85,$F$6:$F$1505,"&lt;"&amp;F85)+COUNTIFS($B$6:$B$1505,B85,$F$6:$F$1505,F85,$A$6:$A$1505,"&lt;="&amp;A85))</f>
        <v>314</v>
      </c>
      <c r="N85" s="41" t="n">
        <f aca="false">IF(M85="","",ROUNDUP(M85/H85,0))</f>
        <v>14</v>
      </c>
      <c r="O85" s="41" t="str">
        <f aca="false">IF(N85="","",IF(N85&lt;='Kitting Plan'!$C$3,"Rep "&amp;N85,"Surplus"))</f>
        <v>Surplus</v>
      </c>
    </row>
    <row r="86" customFormat="false" ht="15" hidden="false" customHeight="false" outlineLevel="0" collapsed="false">
      <c r="A86" s="40" t="n">
        <f aca="false">IF(OR($A$4=0,INDEX('COOIS Raw'!$A:$GZ,ROW()-4,$A$4)=""),"",IFERROR(--INDEX('COOIS Raw'!$A:$GZ,ROW()-4,$A$4),INDEX('COOIS Raw'!$A:$GZ,ROW()-4,$A$4)))</f>
        <v>100880273</v>
      </c>
      <c r="B86" s="41" t="str">
        <f aca="false">IF(A86="","",TRIM(INDEX('COOIS Raw'!$A:$GZ,ROW()-4,$B$4)))</f>
        <v>92RRA00548AAA</v>
      </c>
      <c r="C86" s="42" t="str">
        <f aca="false">IF(OR(A86="",$C$4=0),"",INDEX('COOIS Raw'!$A:$GZ,ROW()-4,$C$4))</f>
        <v>R5B ERBIUM SPOOL ASSEMBLY - E2A</v>
      </c>
      <c r="D86" s="41" t="n">
        <f aca="false">IF(A86="","",IF($D$4=0,1,IFERROR(--INDEX('COOIS Raw'!$A:$GZ,ROW()-4,$D$4),1)))</f>
        <v>1</v>
      </c>
      <c r="E86" s="42" t="str">
        <f aca="false">IF(A86="","",INDEX('COOIS Raw'!$A:$GZ,ROW()-4,$E$4)&amp;"")</f>
        <v>REL PRT PRC MANC SETC</v>
      </c>
      <c r="F86" s="43" t="n">
        <f aca="false">IF(A86="","",IFERROR(DATEVALUE(INDEX('COOIS Raw'!$A:$GZ,ROW()-4,$F$4)),INDEX('COOIS Raw'!$A:$GZ,ROW()-4,$F$4)))</f>
        <v>46297</v>
      </c>
      <c r="G86" s="41" t="str">
        <f aca="false">IF(A86="","",IF(ISNA(MATCH(B86,'Kitting Plan'!$B$6:$B$19,0)),"Not in plan","Yes"))</f>
        <v>Yes</v>
      </c>
      <c r="H86" s="41" t="n">
        <f aca="false">IF(G86="Yes",INDEX('Kitting Plan'!$D$6:$D$19,MATCH(B86,'Kitting Plan'!$B$6:$B$19,0)),"")</f>
        <v>24</v>
      </c>
      <c r="I86" s="41" t="n">
        <f aca="false">IF(A86="","",IF(ISNUMBER(SEARCH("PRT",E86)),D86,0))</f>
        <v>1</v>
      </c>
      <c r="J86" s="41" t="n">
        <f aca="false">IF(A86="","",IF(ISNUMBER(SEARCH("GMPS",E86)),D86,0))</f>
        <v>0</v>
      </c>
      <c r="K86" s="41" t="n">
        <f aca="false">IF(A86="","",IF(ISNUMBER(SEARCH("DLV",E86)),D86,0))</f>
        <v>0</v>
      </c>
      <c r="L86" s="41" t="str">
        <f aca="false">IF(A86="","",IF(K86&gt;0,"Delivered",IF(ISNUMBER(SEARCH("CNF",E86)),"In production",IF(J86&gt;0,"Issued",IF(I86&gt;0,"Kitted","Released")))))</f>
        <v>Kitted</v>
      </c>
      <c r="M86" s="41" t="n">
        <f aca="false">IF(G86&lt;&gt;"Yes","",COUNTIFS($B$6:$B$1505,B86,$F$6:$F$1505,"&lt;"&amp;F86)+COUNTIFS($B$6:$B$1505,B86,$F$6:$F$1505,F86,$A$6:$A$1505,"&lt;="&amp;A86))</f>
        <v>315</v>
      </c>
      <c r="N86" s="41" t="n">
        <f aca="false">IF(M86="","",ROUNDUP(M86/H86,0))</f>
        <v>14</v>
      </c>
      <c r="O86" s="41" t="str">
        <f aca="false">IF(N86="","",IF(N86&lt;='Kitting Plan'!$C$3,"Rep "&amp;N86,"Surplus"))</f>
        <v>Surplus</v>
      </c>
    </row>
    <row r="87" customFormat="false" ht="15" hidden="false" customHeight="false" outlineLevel="0" collapsed="false">
      <c r="A87" s="40" t="n">
        <f aca="false">IF(OR($A$4=0,INDEX('COOIS Raw'!$A:$GZ,ROW()-4,$A$4)=""),"",IFERROR(--INDEX('COOIS Raw'!$A:$GZ,ROW()-4,$A$4),INDEX('COOIS Raw'!$A:$GZ,ROW()-4,$A$4)))</f>
        <v>100880274</v>
      </c>
      <c r="B87" s="41" t="str">
        <f aca="false">IF(A87="","",TRIM(INDEX('COOIS Raw'!$A:$GZ,ROW()-4,$B$4)))</f>
        <v>92RRA00548AAA</v>
      </c>
      <c r="C87" s="42" t="str">
        <f aca="false">IF(OR(A87="",$C$4=0),"",INDEX('COOIS Raw'!$A:$GZ,ROW()-4,$C$4))</f>
        <v>R5B ERBIUM SPOOL ASSEMBLY - E2A</v>
      </c>
      <c r="D87" s="41" t="n">
        <f aca="false">IF(A87="","",IF($D$4=0,1,IFERROR(--INDEX('COOIS Raw'!$A:$GZ,ROW()-4,$D$4),1)))</f>
        <v>1</v>
      </c>
      <c r="E87" s="42" t="str">
        <f aca="false">IF(A87="","",INDEX('COOIS Raw'!$A:$GZ,ROW()-4,$E$4)&amp;"")</f>
        <v>REL PRT PRC MANC SETC</v>
      </c>
      <c r="F87" s="43" t="n">
        <f aca="false">IF(A87="","",IFERROR(DATEVALUE(INDEX('COOIS Raw'!$A:$GZ,ROW()-4,$F$4)),INDEX('COOIS Raw'!$A:$GZ,ROW()-4,$F$4)))</f>
        <v>46297</v>
      </c>
      <c r="G87" s="41" t="str">
        <f aca="false">IF(A87="","",IF(ISNA(MATCH(B87,'Kitting Plan'!$B$6:$B$19,0)),"Not in plan","Yes"))</f>
        <v>Yes</v>
      </c>
      <c r="H87" s="41" t="n">
        <f aca="false">IF(G87="Yes",INDEX('Kitting Plan'!$D$6:$D$19,MATCH(B87,'Kitting Plan'!$B$6:$B$19,0)),"")</f>
        <v>24</v>
      </c>
      <c r="I87" s="41" t="n">
        <f aca="false">IF(A87="","",IF(ISNUMBER(SEARCH("PRT",E87)),D87,0))</f>
        <v>1</v>
      </c>
      <c r="J87" s="41" t="n">
        <f aca="false">IF(A87="","",IF(ISNUMBER(SEARCH("GMPS",E87)),D87,0))</f>
        <v>0</v>
      </c>
      <c r="K87" s="41" t="n">
        <f aca="false">IF(A87="","",IF(ISNUMBER(SEARCH("DLV",E87)),D87,0))</f>
        <v>0</v>
      </c>
      <c r="L87" s="41" t="str">
        <f aca="false">IF(A87="","",IF(K87&gt;0,"Delivered",IF(ISNUMBER(SEARCH("CNF",E87)),"In production",IF(J87&gt;0,"Issued",IF(I87&gt;0,"Kitted","Released")))))</f>
        <v>Kitted</v>
      </c>
      <c r="M87" s="41" t="n">
        <f aca="false">IF(G87&lt;&gt;"Yes","",COUNTIFS($B$6:$B$1505,B87,$F$6:$F$1505,"&lt;"&amp;F87)+COUNTIFS($B$6:$B$1505,B87,$F$6:$F$1505,F87,$A$6:$A$1505,"&lt;="&amp;A87))</f>
        <v>316</v>
      </c>
      <c r="N87" s="41" t="n">
        <f aca="false">IF(M87="","",ROUNDUP(M87/H87,0))</f>
        <v>14</v>
      </c>
      <c r="O87" s="41" t="str">
        <f aca="false">IF(N87="","",IF(N87&lt;='Kitting Plan'!$C$3,"Rep "&amp;N87,"Surplus"))</f>
        <v>Surplus</v>
      </c>
    </row>
    <row r="88" customFormat="false" ht="15" hidden="false" customHeight="false" outlineLevel="0" collapsed="false">
      <c r="A88" s="40" t="n">
        <f aca="false">IF(OR($A$4=0,INDEX('COOIS Raw'!$A:$GZ,ROW()-4,$A$4)=""),"",IFERROR(--INDEX('COOIS Raw'!$A:$GZ,ROW()-4,$A$4),INDEX('COOIS Raw'!$A:$GZ,ROW()-4,$A$4)))</f>
        <v>100880275</v>
      </c>
      <c r="B88" s="41" t="str">
        <f aca="false">IF(A88="","",TRIM(INDEX('COOIS Raw'!$A:$GZ,ROW()-4,$B$4)))</f>
        <v>92RRA00548AAA</v>
      </c>
      <c r="C88" s="42" t="str">
        <f aca="false">IF(OR(A88="",$C$4=0),"",INDEX('COOIS Raw'!$A:$GZ,ROW()-4,$C$4))</f>
        <v>R5B ERBIUM SPOOL ASSEMBLY - E2A</v>
      </c>
      <c r="D88" s="41" t="n">
        <f aca="false">IF(A88="","",IF($D$4=0,1,IFERROR(--INDEX('COOIS Raw'!$A:$GZ,ROW()-4,$D$4),1)))</f>
        <v>1</v>
      </c>
      <c r="E88" s="42" t="str">
        <f aca="false">IF(A88="","",INDEX('COOIS Raw'!$A:$GZ,ROW()-4,$E$4)&amp;"")</f>
        <v>REL PRT PRC MANC SETC</v>
      </c>
      <c r="F88" s="43" t="n">
        <f aca="false">IF(A88="","",IFERROR(DATEVALUE(INDEX('COOIS Raw'!$A:$GZ,ROW()-4,$F$4)),INDEX('COOIS Raw'!$A:$GZ,ROW()-4,$F$4)))</f>
        <v>46297</v>
      </c>
      <c r="G88" s="41" t="str">
        <f aca="false">IF(A88="","",IF(ISNA(MATCH(B88,'Kitting Plan'!$B$6:$B$19,0)),"Not in plan","Yes"))</f>
        <v>Yes</v>
      </c>
      <c r="H88" s="41" t="n">
        <f aca="false">IF(G88="Yes",INDEX('Kitting Plan'!$D$6:$D$19,MATCH(B88,'Kitting Plan'!$B$6:$B$19,0)),"")</f>
        <v>24</v>
      </c>
      <c r="I88" s="41" t="n">
        <f aca="false">IF(A88="","",IF(ISNUMBER(SEARCH("PRT",E88)),D88,0))</f>
        <v>1</v>
      </c>
      <c r="J88" s="41" t="n">
        <f aca="false">IF(A88="","",IF(ISNUMBER(SEARCH("GMPS",E88)),D88,0))</f>
        <v>0</v>
      </c>
      <c r="K88" s="41" t="n">
        <f aca="false">IF(A88="","",IF(ISNUMBER(SEARCH("DLV",E88)),D88,0))</f>
        <v>0</v>
      </c>
      <c r="L88" s="41" t="str">
        <f aca="false">IF(A88="","",IF(K88&gt;0,"Delivered",IF(ISNUMBER(SEARCH("CNF",E88)),"In production",IF(J88&gt;0,"Issued",IF(I88&gt;0,"Kitted","Released")))))</f>
        <v>Kitted</v>
      </c>
      <c r="M88" s="41" t="n">
        <f aca="false">IF(G88&lt;&gt;"Yes","",COUNTIFS($B$6:$B$1505,B88,$F$6:$F$1505,"&lt;"&amp;F88)+COUNTIFS($B$6:$B$1505,B88,$F$6:$F$1505,F88,$A$6:$A$1505,"&lt;="&amp;A88))</f>
        <v>317</v>
      </c>
      <c r="N88" s="41" t="n">
        <f aca="false">IF(M88="","",ROUNDUP(M88/H88,0))</f>
        <v>14</v>
      </c>
      <c r="O88" s="41" t="str">
        <f aca="false">IF(N88="","",IF(N88&lt;='Kitting Plan'!$C$3,"Rep "&amp;N88,"Surplus"))</f>
        <v>Surplus</v>
      </c>
    </row>
    <row r="89" customFormat="false" ht="15" hidden="false" customHeight="false" outlineLevel="0" collapsed="false">
      <c r="A89" s="40" t="n">
        <f aca="false">IF(OR($A$4=0,INDEX('COOIS Raw'!$A:$GZ,ROW()-4,$A$4)=""),"",IFERROR(--INDEX('COOIS Raw'!$A:$GZ,ROW()-4,$A$4),INDEX('COOIS Raw'!$A:$GZ,ROW()-4,$A$4)))</f>
        <v>100880276</v>
      </c>
      <c r="B89" s="41" t="str">
        <f aca="false">IF(A89="","",TRIM(INDEX('COOIS Raw'!$A:$GZ,ROW()-4,$B$4)))</f>
        <v>92RRA00548AAA</v>
      </c>
      <c r="C89" s="42" t="str">
        <f aca="false">IF(OR(A89="",$C$4=0),"",INDEX('COOIS Raw'!$A:$GZ,ROW()-4,$C$4))</f>
        <v>R5B ERBIUM SPOOL ASSEMBLY - E2A</v>
      </c>
      <c r="D89" s="41" t="n">
        <f aca="false">IF(A89="","",IF($D$4=0,1,IFERROR(--INDEX('COOIS Raw'!$A:$GZ,ROW()-4,$D$4),1)))</f>
        <v>1</v>
      </c>
      <c r="E89" s="42" t="str">
        <f aca="false">IF(A89="","",INDEX('COOIS Raw'!$A:$GZ,ROW()-4,$E$4)&amp;"")</f>
        <v>REL PRT PRC MANC SETC</v>
      </c>
      <c r="F89" s="43" t="n">
        <f aca="false">IF(A89="","",IFERROR(DATEVALUE(INDEX('COOIS Raw'!$A:$GZ,ROW()-4,$F$4)),INDEX('COOIS Raw'!$A:$GZ,ROW()-4,$F$4)))</f>
        <v>46297</v>
      </c>
      <c r="G89" s="41" t="str">
        <f aca="false">IF(A89="","",IF(ISNA(MATCH(B89,'Kitting Plan'!$B$6:$B$19,0)),"Not in plan","Yes"))</f>
        <v>Yes</v>
      </c>
      <c r="H89" s="41" t="n">
        <f aca="false">IF(G89="Yes",INDEX('Kitting Plan'!$D$6:$D$19,MATCH(B89,'Kitting Plan'!$B$6:$B$19,0)),"")</f>
        <v>24</v>
      </c>
      <c r="I89" s="41" t="n">
        <f aca="false">IF(A89="","",IF(ISNUMBER(SEARCH("PRT",E89)),D89,0))</f>
        <v>1</v>
      </c>
      <c r="J89" s="41" t="n">
        <f aca="false">IF(A89="","",IF(ISNUMBER(SEARCH("GMPS",E89)),D89,0))</f>
        <v>0</v>
      </c>
      <c r="K89" s="41" t="n">
        <f aca="false">IF(A89="","",IF(ISNUMBER(SEARCH("DLV",E89)),D89,0))</f>
        <v>0</v>
      </c>
      <c r="L89" s="41" t="str">
        <f aca="false">IF(A89="","",IF(K89&gt;0,"Delivered",IF(ISNUMBER(SEARCH("CNF",E89)),"In production",IF(J89&gt;0,"Issued",IF(I89&gt;0,"Kitted","Released")))))</f>
        <v>Kitted</v>
      </c>
      <c r="M89" s="41" t="n">
        <f aca="false">IF(G89&lt;&gt;"Yes","",COUNTIFS($B$6:$B$1505,B89,$F$6:$F$1505,"&lt;"&amp;F89)+COUNTIFS($B$6:$B$1505,B89,$F$6:$F$1505,F89,$A$6:$A$1505,"&lt;="&amp;A89))</f>
        <v>318</v>
      </c>
      <c r="N89" s="41" t="n">
        <f aca="false">IF(M89="","",ROUNDUP(M89/H89,0))</f>
        <v>14</v>
      </c>
      <c r="O89" s="41" t="str">
        <f aca="false">IF(N89="","",IF(N89&lt;='Kitting Plan'!$C$3,"Rep "&amp;N89,"Surplus"))</f>
        <v>Surplus</v>
      </c>
    </row>
    <row r="90" customFormat="false" ht="15" hidden="false" customHeight="false" outlineLevel="0" collapsed="false">
      <c r="A90" s="40" t="n">
        <f aca="false">IF(OR($A$4=0,INDEX('COOIS Raw'!$A:$GZ,ROW()-4,$A$4)=""),"",IFERROR(--INDEX('COOIS Raw'!$A:$GZ,ROW()-4,$A$4),INDEX('COOIS Raw'!$A:$GZ,ROW()-4,$A$4)))</f>
        <v>100880277</v>
      </c>
      <c r="B90" s="41" t="str">
        <f aca="false">IF(A90="","",TRIM(INDEX('COOIS Raw'!$A:$GZ,ROW()-4,$B$4)))</f>
        <v>92RRA00548AAA</v>
      </c>
      <c r="C90" s="42" t="str">
        <f aca="false">IF(OR(A90="",$C$4=0),"",INDEX('COOIS Raw'!$A:$GZ,ROW()-4,$C$4))</f>
        <v>R5B ERBIUM SPOOL ASSEMBLY - E2A</v>
      </c>
      <c r="D90" s="41" t="n">
        <f aca="false">IF(A90="","",IF($D$4=0,1,IFERROR(--INDEX('COOIS Raw'!$A:$GZ,ROW()-4,$D$4),1)))</f>
        <v>1</v>
      </c>
      <c r="E90" s="42" t="str">
        <f aca="false">IF(A90="","",INDEX('COOIS Raw'!$A:$GZ,ROW()-4,$E$4)&amp;"")</f>
        <v>REL PRT PRC MANC SETC</v>
      </c>
      <c r="F90" s="43" t="n">
        <f aca="false">IF(A90="","",IFERROR(DATEVALUE(INDEX('COOIS Raw'!$A:$GZ,ROW()-4,$F$4)),INDEX('COOIS Raw'!$A:$GZ,ROW()-4,$F$4)))</f>
        <v>46297</v>
      </c>
      <c r="G90" s="41" t="str">
        <f aca="false">IF(A90="","",IF(ISNA(MATCH(B90,'Kitting Plan'!$B$6:$B$19,0)),"Not in plan","Yes"))</f>
        <v>Yes</v>
      </c>
      <c r="H90" s="41" t="n">
        <f aca="false">IF(G90="Yes",INDEX('Kitting Plan'!$D$6:$D$19,MATCH(B90,'Kitting Plan'!$B$6:$B$19,0)),"")</f>
        <v>24</v>
      </c>
      <c r="I90" s="41" t="n">
        <f aca="false">IF(A90="","",IF(ISNUMBER(SEARCH("PRT",E90)),D90,0))</f>
        <v>1</v>
      </c>
      <c r="J90" s="41" t="n">
        <f aca="false">IF(A90="","",IF(ISNUMBER(SEARCH("GMPS",E90)),D90,0))</f>
        <v>0</v>
      </c>
      <c r="K90" s="41" t="n">
        <f aca="false">IF(A90="","",IF(ISNUMBER(SEARCH("DLV",E90)),D90,0))</f>
        <v>0</v>
      </c>
      <c r="L90" s="41" t="str">
        <f aca="false">IF(A90="","",IF(K90&gt;0,"Delivered",IF(ISNUMBER(SEARCH("CNF",E90)),"In production",IF(J90&gt;0,"Issued",IF(I90&gt;0,"Kitted","Released")))))</f>
        <v>Kitted</v>
      </c>
      <c r="M90" s="41" t="n">
        <f aca="false">IF(G90&lt;&gt;"Yes","",COUNTIFS($B$6:$B$1505,B90,$F$6:$F$1505,"&lt;"&amp;F90)+COUNTIFS($B$6:$B$1505,B90,$F$6:$F$1505,F90,$A$6:$A$1505,"&lt;="&amp;A90))</f>
        <v>319</v>
      </c>
      <c r="N90" s="41" t="n">
        <f aca="false">IF(M90="","",ROUNDUP(M90/H90,0))</f>
        <v>14</v>
      </c>
      <c r="O90" s="41" t="str">
        <f aca="false">IF(N90="","",IF(N90&lt;='Kitting Plan'!$C$3,"Rep "&amp;N90,"Surplus"))</f>
        <v>Surplus</v>
      </c>
    </row>
    <row r="91" customFormat="false" ht="15" hidden="false" customHeight="false" outlineLevel="0" collapsed="false">
      <c r="A91" s="40" t="n">
        <f aca="false">IF(OR($A$4=0,INDEX('COOIS Raw'!$A:$GZ,ROW()-4,$A$4)=""),"",IFERROR(--INDEX('COOIS Raw'!$A:$GZ,ROW()-4,$A$4),INDEX('COOIS Raw'!$A:$GZ,ROW()-4,$A$4)))</f>
        <v>100880278</v>
      </c>
      <c r="B91" s="41" t="str">
        <f aca="false">IF(A91="","",TRIM(INDEX('COOIS Raw'!$A:$GZ,ROW()-4,$B$4)))</f>
        <v>92RRA00548AAA</v>
      </c>
      <c r="C91" s="42" t="str">
        <f aca="false">IF(OR(A91="",$C$4=0),"",INDEX('COOIS Raw'!$A:$GZ,ROW()-4,$C$4))</f>
        <v>R5B ERBIUM SPOOL ASSEMBLY - E2A</v>
      </c>
      <c r="D91" s="41" t="n">
        <f aca="false">IF(A91="","",IF($D$4=0,1,IFERROR(--INDEX('COOIS Raw'!$A:$GZ,ROW()-4,$D$4),1)))</f>
        <v>1</v>
      </c>
      <c r="E91" s="42" t="str">
        <f aca="false">IF(A91="","",INDEX('COOIS Raw'!$A:$GZ,ROW()-4,$E$4)&amp;"")</f>
        <v>REL PRT PRC MANC SETC</v>
      </c>
      <c r="F91" s="43" t="n">
        <f aca="false">IF(A91="","",IFERROR(DATEVALUE(INDEX('COOIS Raw'!$A:$GZ,ROW()-4,$F$4)),INDEX('COOIS Raw'!$A:$GZ,ROW()-4,$F$4)))</f>
        <v>46297</v>
      </c>
      <c r="G91" s="41" t="str">
        <f aca="false">IF(A91="","",IF(ISNA(MATCH(B91,'Kitting Plan'!$B$6:$B$19,0)),"Not in plan","Yes"))</f>
        <v>Yes</v>
      </c>
      <c r="H91" s="41" t="n">
        <f aca="false">IF(G91="Yes",INDEX('Kitting Plan'!$D$6:$D$19,MATCH(B91,'Kitting Plan'!$B$6:$B$19,0)),"")</f>
        <v>24</v>
      </c>
      <c r="I91" s="41" t="n">
        <f aca="false">IF(A91="","",IF(ISNUMBER(SEARCH("PRT",E91)),D91,0))</f>
        <v>1</v>
      </c>
      <c r="J91" s="41" t="n">
        <f aca="false">IF(A91="","",IF(ISNUMBER(SEARCH("GMPS",E91)),D91,0))</f>
        <v>0</v>
      </c>
      <c r="K91" s="41" t="n">
        <f aca="false">IF(A91="","",IF(ISNUMBER(SEARCH("DLV",E91)),D91,0))</f>
        <v>0</v>
      </c>
      <c r="L91" s="41" t="str">
        <f aca="false">IF(A91="","",IF(K91&gt;0,"Delivered",IF(ISNUMBER(SEARCH("CNF",E91)),"In production",IF(J91&gt;0,"Issued",IF(I91&gt;0,"Kitted","Released")))))</f>
        <v>Kitted</v>
      </c>
      <c r="M91" s="41" t="n">
        <f aca="false">IF(G91&lt;&gt;"Yes","",COUNTIFS($B$6:$B$1505,B91,$F$6:$F$1505,"&lt;"&amp;F91)+COUNTIFS($B$6:$B$1505,B91,$F$6:$F$1505,F91,$A$6:$A$1505,"&lt;="&amp;A91))</f>
        <v>320</v>
      </c>
      <c r="N91" s="41" t="n">
        <f aca="false">IF(M91="","",ROUNDUP(M91/H91,0))</f>
        <v>14</v>
      </c>
      <c r="O91" s="41" t="str">
        <f aca="false">IF(N91="","",IF(N91&lt;='Kitting Plan'!$C$3,"Rep "&amp;N91,"Surplus"))</f>
        <v>Surplus</v>
      </c>
    </row>
    <row r="92" customFormat="false" ht="15" hidden="false" customHeight="false" outlineLevel="0" collapsed="false">
      <c r="A92" s="40" t="n">
        <f aca="false">IF(OR($A$4=0,INDEX('COOIS Raw'!$A:$GZ,ROW()-4,$A$4)=""),"",IFERROR(--INDEX('COOIS Raw'!$A:$GZ,ROW()-4,$A$4),INDEX('COOIS Raw'!$A:$GZ,ROW()-4,$A$4)))</f>
        <v>100880279</v>
      </c>
      <c r="B92" s="41" t="str">
        <f aca="false">IF(A92="","",TRIM(INDEX('COOIS Raw'!$A:$GZ,ROW()-4,$B$4)))</f>
        <v>92RRA00548AAA</v>
      </c>
      <c r="C92" s="42" t="str">
        <f aca="false">IF(OR(A92="",$C$4=0),"",INDEX('COOIS Raw'!$A:$GZ,ROW()-4,$C$4))</f>
        <v>R5B ERBIUM SPOOL ASSEMBLY - E2A</v>
      </c>
      <c r="D92" s="41" t="n">
        <f aca="false">IF(A92="","",IF($D$4=0,1,IFERROR(--INDEX('COOIS Raw'!$A:$GZ,ROW()-4,$D$4),1)))</f>
        <v>1</v>
      </c>
      <c r="E92" s="42" t="str">
        <f aca="false">IF(A92="","",INDEX('COOIS Raw'!$A:$GZ,ROW()-4,$E$4)&amp;"")</f>
        <v>REL PRT PRC MANC SETC</v>
      </c>
      <c r="F92" s="43" t="n">
        <f aca="false">IF(A92="","",IFERROR(DATEVALUE(INDEX('COOIS Raw'!$A:$GZ,ROW()-4,$F$4)),INDEX('COOIS Raw'!$A:$GZ,ROW()-4,$F$4)))</f>
        <v>46297</v>
      </c>
      <c r="G92" s="41" t="str">
        <f aca="false">IF(A92="","",IF(ISNA(MATCH(B92,'Kitting Plan'!$B$6:$B$19,0)),"Not in plan","Yes"))</f>
        <v>Yes</v>
      </c>
      <c r="H92" s="41" t="n">
        <f aca="false">IF(G92="Yes",INDEX('Kitting Plan'!$D$6:$D$19,MATCH(B92,'Kitting Plan'!$B$6:$B$19,0)),"")</f>
        <v>24</v>
      </c>
      <c r="I92" s="41" t="n">
        <f aca="false">IF(A92="","",IF(ISNUMBER(SEARCH("PRT",E92)),D92,0))</f>
        <v>1</v>
      </c>
      <c r="J92" s="41" t="n">
        <f aca="false">IF(A92="","",IF(ISNUMBER(SEARCH("GMPS",E92)),D92,0))</f>
        <v>0</v>
      </c>
      <c r="K92" s="41" t="n">
        <f aca="false">IF(A92="","",IF(ISNUMBER(SEARCH("DLV",E92)),D92,0))</f>
        <v>0</v>
      </c>
      <c r="L92" s="41" t="str">
        <f aca="false">IF(A92="","",IF(K92&gt;0,"Delivered",IF(ISNUMBER(SEARCH("CNF",E92)),"In production",IF(J92&gt;0,"Issued",IF(I92&gt;0,"Kitted","Released")))))</f>
        <v>Kitted</v>
      </c>
      <c r="M92" s="41" t="n">
        <f aca="false">IF(G92&lt;&gt;"Yes","",COUNTIFS($B$6:$B$1505,B92,$F$6:$F$1505,"&lt;"&amp;F92)+COUNTIFS($B$6:$B$1505,B92,$F$6:$F$1505,F92,$A$6:$A$1505,"&lt;="&amp;A92))</f>
        <v>321</v>
      </c>
      <c r="N92" s="41" t="n">
        <f aca="false">IF(M92="","",ROUNDUP(M92/H92,0))</f>
        <v>14</v>
      </c>
      <c r="O92" s="41" t="str">
        <f aca="false">IF(N92="","",IF(N92&lt;='Kitting Plan'!$C$3,"Rep "&amp;N92,"Surplus"))</f>
        <v>Surplus</v>
      </c>
    </row>
    <row r="93" customFormat="false" ht="15" hidden="false" customHeight="false" outlineLevel="0" collapsed="false">
      <c r="A93" s="40" t="n">
        <f aca="false">IF(OR($A$4=0,INDEX('COOIS Raw'!$A:$GZ,ROW()-4,$A$4)=""),"",IFERROR(--INDEX('COOIS Raw'!$A:$GZ,ROW()-4,$A$4),INDEX('COOIS Raw'!$A:$GZ,ROW()-4,$A$4)))</f>
        <v>100880280</v>
      </c>
      <c r="B93" s="41" t="str">
        <f aca="false">IF(A93="","",TRIM(INDEX('COOIS Raw'!$A:$GZ,ROW()-4,$B$4)))</f>
        <v>92RRA00548AAA</v>
      </c>
      <c r="C93" s="42" t="str">
        <f aca="false">IF(OR(A93="",$C$4=0),"",INDEX('COOIS Raw'!$A:$GZ,ROW()-4,$C$4))</f>
        <v>R5B ERBIUM SPOOL ASSEMBLY - E2A</v>
      </c>
      <c r="D93" s="41" t="n">
        <f aca="false">IF(A93="","",IF($D$4=0,1,IFERROR(--INDEX('COOIS Raw'!$A:$GZ,ROW()-4,$D$4),1)))</f>
        <v>1</v>
      </c>
      <c r="E93" s="42" t="str">
        <f aca="false">IF(A93="","",INDEX('COOIS Raw'!$A:$GZ,ROW()-4,$E$4)&amp;"")</f>
        <v>REL PRT PRC MANC SETC</v>
      </c>
      <c r="F93" s="43" t="n">
        <f aca="false">IF(A93="","",IFERROR(DATEVALUE(INDEX('COOIS Raw'!$A:$GZ,ROW()-4,$F$4)),INDEX('COOIS Raw'!$A:$GZ,ROW()-4,$F$4)))</f>
        <v>46297</v>
      </c>
      <c r="G93" s="41" t="str">
        <f aca="false">IF(A93="","",IF(ISNA(MATCH(B93,'Kitting Plan'!$B$6:$B$19,0)),"Not in plan","Yes"))</f>
        <v>Yes</v>
      </c>
      <c r="H93" s="41" t="n">
        <f aca="false">IF(G93="Yes",INDEX('Kitting Plan'!$D$6:$D$19,MATCH(B93,'Kitting Plan'!$B$6:$B$19,0)),"")</f>
        <v>24</v>
      </c>
      <c r="I93" s="41" t="n">
        <f aca="false">IF(A93="","",IF(ISNUMBER(SEARCH("PRT",E93)),D93,0))</f>
        <v>1</v>
      </c>
      <c r="J93" s="41" t="n">
        <f aca="false">IF(A93="","",IF(ISNUMBER(SEARCH("GMPS",E93)),D93,0))</f>
        <v>0</v>
      </c>
      <c r="K93" s="41" t="n">
        <f aca="false">IF(A93="","",IF(ISNUMBER(SEARCH("DLV",E93)),D93,0))</f>
        <v>0</v>
      </c>
      <c r="L93" s="41" t="str">
        <f aca="false">IF(A93="","",IF(K93&gt;0,"Delivered",IF(ISNUMBER(SEARCH("CNF",E93)),"In production",IF(J93&gt;0,"Issued",IF(I93&gt;0,"Kitted","Released")))))</f>
        <v>Kitted</v>
      </c>
      <c r="M93" s="41" t="n">
        <f aca="false">IF(G93&lt;&gt;"Yes","",COUNTIFS($B$6:$B$1505,B93,$F$6:$F$1505,"&lt;"&amp;F93)+COUNTIFS($B$6:$B$1505,B93,$F$6:$F$1505,F93,$A$6:$A$1505,"&lt;="&amp;A93))</f>
        <v>322</v>
      </c>
      <c r="N93" s="41" t="n">
        <f aca="false">IF(M93="","",ROUNDUP(M93/H93,0))</f>
        <v>14</v>
      </c>
      <c r="O93" s="41" t="str">
        <f aca="false">IF(N93="","",IF(N93&lt;='Kitting Plan'!$C$3,"Rep "&amp;N93,"Surplus"))</f>
        <v>Surplus</v>
      </c>
    </row>
    <row r="94" customFormat="false" ht="15" hidden="false" customHeight="false" outlineLevel="0" collapsed="false">
      <c r="A94" s="40" t="n">
        <f aca="false">IF(OR($A$4=0,INDEX('COOIS Raw'!$A:$GZ,ROW()-4,$A$4)=""),"",IFERROR(--INDEX('COOIS Raw'!$A:$GZ,ROW()-4,$A$4),INDEX('COOIS Raw'!$A:$GZ,ROW()-4,$A$4)))</f>
        <v>100880281</v>
      </c>
      <c r="B94" s="41" t="str">
        <f aca="false">IF(A94="","",TRIM(INDEX('COOIS Raw'!$A:$GZ,ROW()-4,$B$4)))</f>
        <v>92YRA01548AAA</v>
      </c>
      <c r="C94" s="42" t="str">
        <f aca="false">IF(OR(A94="",$C$4=0),"",INDEX('COOIS Raw'!$A:$GZ,ROW()-4,$C$4))</f>
        <v>R5B ERBIUM ASSEMBLY 1</v>
      </c>
      <c r="D94" s="41" t="n">
        <f aca="false">IF(A94="","",IF($D$4=0,1,IFERROR(--INDEX('COOIS Raw'!$A:$GZ,ROW()-4,$D$4),1)))</f>
        <v>1</v>
      </c>
      <c r="E94" s="42" t="str">
        <f aca="false">IF(A94="","",INDEX('COOIS Raw'!$A:$GZ,ROW()-4,$E$4)&amp;"")</f>
        <v>REL PRT PCNF PRC MANC SETC</v>
      </c>
      <c r="F94" s="43" t="n">
        <f aca="false">IF(A94="","",IFERROR(DATEVALUE(INDEX('COOIS Raw'!$A:$GZ,ROW()-4,$F$4)),INDEX('COOIS Raw'!$A:$GZ,ROW()-4,$F$4)))</f>
        <v>46297</v>
      </c>
      <c r="G94" s="41" t="str">
        <f aca="false">IF(A94="","",IF(ISNA(MATCH(B94,'Kitting Plan'!$B$6:$B$19,0)),"Not in plan","Yes"))</f>
        <v>Yes</v>
      </c>
      <c r="H94" s="41" t="n">
        <f aca="false">IF(G94="Yes",INDEX('Kitting Plan'!$D$6:$D$19,MATCH(B94,'Kitting Plan'!$B$6:$B$19,0)),"")</f>
        <v>3</v>
      </c>
      <c r="I94" s="41" t="n">
        <f aca="false">IF(A94="","",IF(ISNUMBER(SEARCH("PRT",E94)),D94,0))</f>
        <v>1</v>
      </c>
      <c r="J94" s="41" t="n">
        <f aca="false">IF(A94="","",IF(ISNUMBER(SEARCH("GMPS",E94)),D94,0))</f>
        <v>0</v>
      </c>
      <c r="K94" s="41" t="n">
        <f aca="false">IF(A94="","",IF(ISNUMBER(SEARCH("DLV",E94)),D94,0))</f>
        <v>0</v>
      </c>
      <c r="L94" s="41" t="str">
        <f aca="false">IF(A94="","",IF(K94&gt;0,"Delivered",IF(ISNUMBER(SEARCH("CNF",E94)),"In production",IF(J94&gt;0,"Issued",IF(I94&gt;0,"Kitted","Released")))))</f>
        <v>In production</v>
      </c>
      <c r="M94" s="41" t="n">
        <f aca="false">IF(G94&lt;&gt;"Yes","",COUNTIFS($B$6:$B$1505,B94,$F$6:$F$1505,"&lt;"&amp;F94)+COUNTIFS($B$6:$B$1505,B94,$F$6:$F$1505,F94,$A$6:$A$1505,"&lt;="&amp;A94))</f>
        <v>37</v>
      </c>
      <c r="N94" s="41" t="n">
        <f aca="false">IF(M94="","",ROUNDUP(M94/H94,0))</f>
        <v>13</v>
      </c>
      <c r="O94" s="41" t="str">
        <f aca="false">IF(N94="","",IF(N94&lt;='Kitting Plan'!$C$3,"Rep "&amp;N94,"Surplus"))</f>
        <v>Rep 13</v>
      </c>
    </row>
    <row r="95" customFormat="false" ht="15" hidden="false" customHeight="false" outlineLevel="0" collapsed="false">
      <c r="A95" s="40" t="n">
        <f aca="false">IF(OR($A$4=0,INDEX('COOIS Raw'!$A:$GZ,ROW()-4,$A$4)=""),"",IFERROR(--INDEX('COOIS Raw'!$A:$GZ,ROW()-4,$A$4),INDEX('COOIS Raw'!$A:$GZ,ROW()-4,$A$4)))</f>
        <v>100880282</v>
      </c>
      <c r="B95" s="41" t="str">
        <f aca="false">IF(A95="","",TRIM(INDEX('COOIS Raw'!$A:$GZ,ROW()-4,$B$4)))</f>
        <v>92YRA01548AAA</v>
      </c>
      <c r="C95" s="42" t="str">
        <f aca="false">IF(OR(A95="",$C$4=0),"",INDEX('COOIS Raw'!$A:$GZ,ROW()-4,$C$4))</f>
        <v>R5B ERBIUM ASSEMBLY 1</v>
      </c>
      <c r="D95" s="41" t="n">
        <f aca="false">IF(A95="","",IF($D$4=0,1,IFERROR(--INDEX('COOIS Raw'!$A:$GZ,ROW()-4,$D$4),1)))</f>
        <v>1</v>
      </c>
      <c r="E95" s="42" t="str">
        <f aca="false">IF(A95="","",INDEX('COOIS Raw'!$A:$GZ,ROW()-4,$E$4)&amp;"")</f>
        <v>REL PRT PCNF PRC MANC SETC</v>
      </c>
      <c r="F95" s="43" t="n">
        <f aca="false">IF(A95="","",IFERROR(DATEVALUE(INDEX('COOIS Raw'!$A:$GZ,ROW()-4,$F$4)),INDEX('COOIS Raw'!$A:$GZ,ROW()-4,$F$4)))</f>
        <v>46297</v>
      </c>
      <c r="G95" s="41" t="str">
        <f aca="false">IF(A95="","",IF(ISNA(MATCH(B95,'Kitting Plan'!$B$6:$B$19,0)),"Not in plan","Yes"))</f>
        <v>Yes</v>
      </c>
      <c r="H95" s="41" t="n">
        <f aca="false">IF(G95="Yes",INDEX('Kitting Plan'!$D$6:$D$19,MATCH(B95,'Kitting Plan'!$B$6:$B$19,0)),"")</f>
        <v>3</v>
      </c>
      <c r="I95" s="41" t="n">
        <f aca="false">IF(A95="","",IF(ISNUMBER(SEARCH("PRT",E95)),D95,0))</f>
        <v>1</v>
      </c>
      <c r="J95" s="41" t="n">
        <f aca="false">IF(A95="","",IF(ISNUMBER(SEARCH("GMPS",E95)),D95,0))</f>
        <v>0</v>
      </c>
      <c r="K95" s="41" t="n">
        <f aca="false">IF(A95="","",IF(ISNUMBER(SEARCH("DLV",E95)),D95,0))</f>
        <v>0</v>
      </c>
      <c r="L95" s="41" t="str">
        <f aca="false">IF(A95="","",IF(K95&gt;0,"Delivered",IF(ISNUMBER(SEARCH("CNF",E95)),"In production",IF(J95&gt;0,"Issued",IF(I95&gt;0,"Kitted","Released")))))</f>
        <v>In production</v>
      </c>
      <c r="M95" s="41" t="n">
        <f aca="false">IF(G95&lt;&gt;"Yes","",COUNTIFS($B$6:$B$1505,B95,$F$6:$F$1505,"&lt;"&amp;F95)+COUNTIFS($B$6:$B$1505,B95,$F$6:$F$1505,F95,$A$6:$A$1505,"&lt;="&amp;A95))</f>
        <v>38</v>
      </c>
      <c r="N95" s="41" t="n">
        <f aca="false">IF(M95="","",ROUNDUP(M95/H95,0))</f>
        <v>13</v>
      </c>
      <c r="O95" s="41" t="str">
        <f aca="false">IF(N95="","",IF(N95&lt;='Kitting Plan'!$C$3,"Rep "&amp;N95,"Surplus"))</f>
        <v>Rep 13</v>
      </c>
    </row>
    <row r="96" customFormat="false" ht="15" hidden="false" customHeight="false" outlineLevel="0" collapsed="false">
      <c r="A96" s="40" t="n">
        <f aca="false">IF(OR($A$4=0,INDEX('COOIS Raw'!$A:$GZ,ROW()-4,$A$4)=""),"",IFERROR(--INDEX('COOIS Raw'!$A:$GZ,ROW()-4,$A$4),INDEX('COOIS Raw'!$A:$GZ,ROW()-4,$A$4)))</f>
        <v>100880283</v>
      </c>
      <c r="B96" s="41" t="str">
        <f aca="false">IF(A96="","",TRIM(INDEX('COOIS Raw'!$A:$GZ,ROW()-4,$B$4)))</f>
        <v>92YRA01548AAA</v>
      </c>
      <c r="C96" s="42" t="str">
        <f aca="false">IF(OR(A96="",$C$4=0),"",INDEX('COOIS Raw'!$A:$GZ,ROW()-4,$C$4))</f>
        <v>R5B ERBIUM ASSEMBLY 1</v>
      </c>
      <c r="D96" s="41" t="n">
        <f aca="false">IF(A96="","",IF($D$4=0,1,IFERROR(--INDEX('COOIS Raw'!$A:$GZ,ROW()-4,$D$4),1)))</f>
        <v>1</v>
      </c>
      <c r="E96" s="42" t="str">
        <f aca="false">IF(A96="","",INDEX('COOIS Raw'!$A:$GZ,ROW()-4,$E$4)&amp;"")</f>
        <v>REL PRT PCNF PRC MANC SETC</v>
      </c>
      <c r="F96" s="43" t="n">
        <f aca="false">IF(A96="","",IFERROR(DATEVALUE(INDEX('COOIS Raw'!$A:$GZ,ROW()-4,$F$4)),INDEX('COOIS Raw'!$A:$GZ,ROW()-4,$F$4)))</f>
        <v>46297</v>
      </c>
      <c r="G96" s="41" t="str">
        <f aca="false">IF(A96="","",IF(ISNA(MATCH(B96,'Kitting Plan'!$B$6:$B$19,0)),"Not in plan","Yes"))</f>
        <v>Yes</v>
      </c>
      <c r="H96" s="41" t="n">
        <f aca="false">IF(G96="Yes",INDEX('Kitting Plan'!$D$6:$D$19,MATCH(B96,'Kitting Plan'!$B$6:$B$19,0)),"")</f>
        <v>3</v>
      </c>
      <c r="I96" s="41" t="n">
        <f aca="false">IF(A96="","",IF(ISNUMBER(SEARCH("PRT",E96)),D96,0))</f>
        <v>1</v>
      </c>
      <c r="J96" s="41" t="n">
        <f aca="false">IF(A96="","",IF(ISNUMBER(SEARCH("GMPS",E96)),D96,0))</f>
        <v>0</v>
      </c>
      <c r="K96" s="41" t="n">
        <f aca="false">IF(A96="","",IF(ISNUMBER(SEARCH("DLV",E96)),D96,0))</f>
        <v>0</v>
      </c>
      <c r="L96" s="41" t="str">
        <f aca="false">IF(A96="","",IF(K96&gt;0,"Delivered",IF(ISNUMBER(SEARCH("CNF",E96)),"In production",IF(J96&gt;0,"Issued",IF(I96&gt;0,"Kitted","Released")))))</f>
        <v>In production</v>
      </c>
      <c r="M96" s="41" t="n">
        <f aca="false">IF(G96&lt;&gt;"Yes","",COUNTIFS($B$6:$B$1505,B96,$F$6:$F$1505,"&lt;"&amp;F96)+COUNTIFS($B$6:$B$1505,B96,$F$6:$F$1505,F96,$A$6:$A$1505,"&lt;="&amp;A96))</f>
        <v>39</v>
      </c>
      <c r="N96" s="41" t="n">
        <f aca="false">IF(M96="","",ROUNDUP(M96/H96,0))</f>
        <v>13</v>
      </c>
      <c r="O96" s="41" t="str">
        <f aca="false">IF(N96="","",IF(N96&lt;='Kitting Plan'!$C$3,"Rep "&amp;N96,"Surplus"))</f>
        <v>Rep 13</v>
      </c>
    </row>
    <row r="97" customFormat="false" ht="15" hidden="false" customHeight="false" outlineLevel="0" collapsed="false">
      <c r="A97" s="40" t="n">
        <f aca="false">IF(OR($A$4=0,INDEX('COOIS Raw'!$A:$GZ,ROW()-4,$A$4)=""),"",IFERROR(--INDEX('COOIS Raw'!$A:$GZ,ROW()-4,$A$4),INDEX('COOIS Raw'!$A:$GZ,ROW()-4,$A$4)))</f>
        <v>100880284</v>
      </c>
      <c r="B97" s="41" t="str">
        <f aca="false">IF(A97="","",TRIM(INDEX('COOIS Raw'!$A:$GZ,ROW()-4,$B$4)))</f>
        <v>92YRA02548AAA</v>
      </c>
      <c r="C97" s="42" t="str">
        <f aca="false">IF(OR(A97="",$C$4=0),"",INDEX('COOIS Raw'!$A:$GZ,ROW()-4,$C$4))</f>
        <v>R5B ERBIUM ASSEMBLY 2</v>
      </c>
      <c r="D97" s="41" t="n">
        <f aca="false">IF(A97="","",IF($D$4=0,1,IFERROR(--INDEX('COOIS Raw'!$A:$GZ,ROW()-4,$D$4),1)))</f>
        <v>1</v>
      </c>
      <c r="E97" s="42" t="str">
        <f aca="false">IF(A97="","",INDEX('COOIS Raw'!$A:$GZ,ROW()-4,$E$4)&amp;"")</f>
        <v>REL PRT PCNF PRC MANC SETC</v>
      </c>
      <c r="F97" s="43" t="n">
        <f aca="false">IF(A97="","",IFERROR(DATEVALUE(INDEX('COOIS Raw'!$A:$GZ,ROW()-4,$F$4)),INDEX('COOIS Raw'!$A:$GZ,ROW()-4,$F$4)))</f>
        <v>46297</v>
      </c>
      <c r="G97" s="41" t="str">
        <f aca="false">IF(A97="","",IF(ISNA(MATCH(B97,'Kitting Plan'!$B$6:$B$19,0)),"Not in plan","Yes"))</f>
        <v>Yes</v>
      </c>
      <c r="H97" s="41" t="n">
        <f aca="false">IF(G97="Yes",INDEX('Kitting Plan'!$D$6:$D$19,MATCH(B97,'Kitting Plan'!$B$6:$B$19,0)),"")</f>
        <v>3</v>
      </c>
      <c r="I97" s="41" t="n">
        <f aca="false">IF(A97="","",IF(ISNUMBER(SEARCH("PRT",E97)),D97,0))</f>
        <v>1</v>
      </c>
      <c r="J97" s="41" t="n">
        <f aca="false">IF(A97="","",IF(ISNUMBER(SEARCH("GMPS",E97)),D97,0))</f>
        <v>0</v>
      </c>
      <c r="K97" s="41" t="n">
        <f aca="false">IF(A97="","",IF(ISNUMBER(SEARCH("DLV",E97)),D97,0))</f>
        <v>0</v>
      </c>
      <c r="L97" s="41" t="str">
        <f aca="false">IF(A97="","",IF(K97&gt;0,"Delivered",IF(ISNUMBER(SEARCH("CNF",E97)),"In production",IF(J97&gt;0,"Issued",IF(I97&gt;0,"Kitted","Released")))))</f>
        <v>In production</v>
      </c>
      <c r="M97" s="41" t="n">
        <f aca="false">IF(G97&lt;&gt;"Yes","",COUNTIFS($B$6:$B$1505,B97,$F$6:$F$1505,"&lt;"&amp;F97)+COUNTIFS($B$6:$B$1505,B97,$F$6:$F$1505,F97,$A$6:$A$1505,"&lt;="&amp;A97))</f>
        <v>37</v>
      </c>
      <c r="N97" s="41" t="n">
        <f aca="false">IF(M97="","",ROUNDUP(M97/H97,0))</f>
        <v>13</v>
      </c>
      <c r="O97" s="41" t="str">
        <f aca="false">IF(N97="","",IF(N97&lt;='Kitting Plan'!$C$3,"Rep "&amp;N97,"Surplus"))</f>
        <v>Rep 13</v>
      </c>
    </row>
    <row r="98" customFormat="false" ht="15" hidden="false" customHeight="false" outlineLevel="0" collapsed="false">
      <c r="A98" s="40" t="n">
        <f aca="false">IF(OR($A$4=0,INDEX('COOIS Raw'!$A:$GZ,ROW()-4,$A$4)=""),"",IFERROR(--INDEX('COOIS Raw'!$A:$GZ,ROW()-4,$A$4),INDEX('COOIS Raw'!$A:$GZ,ROW()-4,$A$4)))</f>
        <v>100880285</v>
      </c>
      <c r="B98" s="41" t="str">
        <f aca="false">IF(A98="","",TRIM(INDEX('COOIS Raw'!$A:$GZ,ROW()-4,$B$4)))</f>
        <v>92YRA02548AAA</v>
      </c>
      <c r="C98" s="42" t="str">
        <f aca="false">IF(OR(A98="",$C$4=0),"",INDEX('COOIS Raw'!$A:$GZ,ROW()-4,$C$4))</f>
        <v>R5B ERBIUM ASSEMBLY 2</v>
      </c>
      <c r="D98" s="41" t="n">
        <f aca="false">IF(A98="","",IF($D$4=0,1,IFERROR(--INDEX('COOIS Raw'!$A:$GZ,ROW()-4,$D$4),1)))</f>
        <v>1</v>
      </c>
      <c r="E98" s="42" t="str">
        <f aca="false">IF(A98="","",INDEX('COOIS Raw'!$A:$GZ,ROW()-4,$E$4)&amp;"")</f>
        <v>REL PRT PCNF PRC MANC SETC</v>
      </c>
      <c r="F98" s="43" t="n">
        <f aca="false">IF(A98="","",IFERROR(DATEVALUE(INDEX('COOIS Raw'!$A:$GZ,ROW()-4,$F$4)),INDEX('COOIS Raw'!$A:$GZ,ROW()-4,$F$4)))</f>
        <v>46297</v>
      </c>
      <c r="G98" s="41" t="str">
        <f aca="false">IF(A98="","",IF(ISNA(MATCH(B98,'Kitting Plan'!$B$6:$B$19,0)),"Not in plan","Yes"))</f>
        <v>Yes</v>
      </c>
      <c r="H98" s="41" t="n">
        <f aca="false">IF(G98="Yes",INDEX('Kitting Plan'!$D$6:$D$19,MATCH(B98,'Kitting Plan'!$B$6:$B$19,0)),"")</f>
        <v>3</v>
      </c>
      <c r="I98" s="41" t="n">
        <f aca="false">IF(A98="","",IF(ISNUMBER(SEARCH("PRT",E98)),D98,0))</f>
        <v>1</v>
      </c>
      <c r="J98" s="41" t="n">
        <f aca="false">IF(A98="","",IF(ISNUMBER(SEARCH("GMPS",E98)),D98,0))</f>
        <v>0</v>
      </c>
      <c r="K98" s="41" t="n">
        <f aca="false">IF(A98="","",IF(ISNUMBER(SEARCH("DLV",E98)),D98,0))</f>
        <v>0</v>
      </c>
      <c r="L98" s="41" t="str">
        <f aca="false">IF(A98="","",IF(K98&gt;0,"Delivered",IF(ISNUMBER(SEARCH("CNF",E98)),"In production",IF(J98&gt;0,"Issued",IF(I98&gt;0,"Kitted","Released")))))</f>
        <v>In production</v>
      </c>
      <c r="M98" s="41" t="n">
        <f aca="false">IF(G98&lt;&gt;"Yes","",COUNTIFS($B$6:$B$1505,B98,$F$6:$F$1505,"&lt;"&amp;F98)+COUNTIFS($B$6:$B$1505,B98,$F$6:$F$1505,F98,$A$6:$A$1505,"&lt;="&amp;A98))</f>
        <v>38</v>
      </c>
      <c r="N98" s="41" t="n">
        <f aca="false">IF(M98="","",ROUNDUP(M98/H98,0))</f>
        <v>13</v>
      </c>
      <c r="O98" s="41" t="str">
        <f aca="false">IF(N98="","",IF(N98&lt;='Kitting Plan'!$C$3,"Rep "&amp;N98,"Surplus"))</f>
        <v>Rep 13</v>
      </c>
    </row>
    <row r="99" customFormat="false" ht="15" hidden="false" customHeight="false" outlineLevel="0" collapsed="false">
      <c r="A99" s="40" t="n">
        <f aca="false">IF(OR($A$4=0,INDEX('COOIS Raw'!$A:$GZ,ROW()-4,$A$4)=""),"",IFERROR(--INDEX('COOIS Raw'!$A:$GZ,ROW()-4,$A$4),INDEX('COOIS Raw'!$A:$GZ,ROW()-4,$A$4)))</f>
        <v>100880286</v>
      </c>
      <c r="B99" s="41" t="str">
        <f aca="false">IF(A99="","",TRIM(INDEX('COOIS Raw'!$A:$GZ,ROW()-4,$B$4)))</f>
        <v>92YRA02548AAA</v>
      </c>
      <c r="C99" s="42" t="str">
        <f aca="false">IF(OR(A99="",$C$4=0),"",INDEX('COOIS Raw'!$A:$GZ,ROW()-4,$C$4))</f>
        <v>R5B ERBIUM ASSEMBLY 2</v>
      </c>
      <c r="D99" s="41" t="n">
        <f aca="false">IF(A99="","",IF($D$4=0,1,IFERROR(--INDEX('COOIS Raw'!$A:$GZ,ROW()-4,$D$4),1)))</f>
        <v>1</v>
      </c>
      <c r="E99" s="42" t="str">
        <f aca="false">IF(A99="","",INDEX('COOIS Raw'!$A:$GZ,ROW()-4,$E$4)&amp;"")</f>
        <v>REL PRT PCNF PRC MANC SETC</v>
      </c>
      <c r="F99" s="43" t="n">
        <f aca="false">IF(A99="","",IFERROR(DATEVALUE(INDEX('COOIS Raw'!$A:$GZ,ROW()-4,$F$4)),INDEX('COOIS Raw'!$A:$GZ,ROW()-4,$F$4)))</f>
        <v>46297</v>
      </c>
      <c r="G99" s="41" t="str">
        <f aca="false">IF(A99="","",IF(ISNA(MATCH(B99,'Kitting Plan'!$B$6:$B$19,0)),"Not in plan","Yes"))</f>
        <v>Yes</v>
      </c>
      <c r="H99" s="41" t="n">
        <f aca="false">IF(G99="Yes",INDEX('Kitting Plan'!$D$6:$D$19,MATCH(B99,'Kitting Plan'!$B$6:$B$19,0)),"")</f>
        <v>3</v>
      </c>
      <c r="I99" s="41" t="n">
        <f aca="false">IF(A99="","",IF(ISNUMBER(SEARCH("PRT",E99)),D99,0))</f>
        <v>1</v>
      </c>
      <c r="J99" s="41" t="n">
        <f aca="false">IF(A99="","",IF(ISNUMBER(SEARCH("GMPS",E99)),D99,0))</f>
        <v>0</v>
      </c>
      <c r="K99" s="41" t="n">
        <f aca="false">IF(A99="","",IF(ISNUMBER(SEARCH("DLV",E99)),D99,0))</f>
        <v>0</v>
      </c>
      <c r="L99" s="41" t="str">
        <f aca="false">IF(A99="","",IF(K99&gt;0,"Delivered",IF(ISNUMBER(SEARCH("CNF",E99)),"In production",IF(J99&gt;0,"Issued",IF(I99&gt;0,"Kitted","Released")))))</f>
        <v>In production</v>
      </c>
      <c r="M99" s="41" t="n">
        <f aca="false">IF(G99&lt;&gt;"Yes","",COUNTIFS($B$6:$B$1505,B99,$F$6:$F$1505,"&lt;"&amp;F99)+COUNTIFS($B$6:$B$1505,B99,$F$6:$F$1505,F99,$A$6:$A$1505,"&lt;="&amp;A99))</f>
        <v>39</v>
      </c>
      <c r="N99" s="41" t="n">
        <f aca="false">IF(M99="","",ROUNDUP(M99/H99,0))</f>
        <v>13</v>
      </c>
      <c r="O99" s="41" t="str">
        <f aca="false">IF(N99="","",IF(N99&lt;='Kitting Plan'!$C$3,"Rep "&amp;N99,"Surplus"))</f>
        <v>Rep 13</v>
      </c>
    </row>
    <row r="100" customFormat="false" ht="15" hidden="false" customHeight="false" outlineLevel="0" collapsed="false">
      <c r="A100" s="40" t="n">
        <f aca="false">IF(OR($A$4=0,INDEX('COOIS Raw'!$A:$GZ,ROW()-4,$A$4)=""),"",IFERROR(--INDEX('COOIS Raw'!$A:$GZ,ROW()-4,$A$4),INDEX('COOIS Raw'!$A:$GZ,ROW()-4,$A$4)))</f>
        <v>100880287</v>
      </c>
      <c r="B100" s="41" t="str">
        <f aca="false">IF(A100="","",TRIM(INDEX('COOIS Raw'!$A:$GZ,ROW()-4,$B$4)))</f>
        <v>92YRA03548AAA</v>
      </c>
      <c r="C100" s="42" t="str">
        <f aca="false">IF(OR(A100="",$C$4=0),"",INDEX('COOIS Raw'!$A:$GZ,ROW()-4,$C$4))</f>
        <v>R5B ERBIUM ASSEMBLY 3</v>
      </c>
      <c r="D100" s="41" t="n">
        <f aca="false">IF(A100="","",IF($D$4=0,1,IFERROR(--INDEX('COOIS Raw'!$A:$GZ,ROW()-4,$D$4),1)))</f>
        <v>1</v>
      </c>
      <c r="E100" s="42" t="str">
        <f aca="false">IF(A100="","",INDEX('COOIS Raw'!$A:$GZ,ROW()-4,$E$4)&amp;"")</f>
        <v>REL PRT PCNF PRC MANC SETC</v>
      </c>
      <c r="F100" s="43" t="n">
        <f aca="false">IF(A100="","",IFERROR(DATEVALUE(INDEX('COOIS Raw'!$A:$GZ,ROW()-4,$F$4)),INDEX('COOIS Raw'!$A:$GZ,ROW()-4,$F$4)))</f>
        <v>46297</v>
      </c>
      <c r="G100" s="41" t="str">
        <f aca="false">IF(A100="","",IF(ISNA(MATCH(B100,'Kitting Plan'!$B$6:$B$19,0)),"Not in plan","Yes"))</f>
        <v>Yes</v>
      </c>
      <c r="H100" s="41" t="n">
        <f aca="false">IF(G100="Yes",INDEX('Kitting Plan'!$D$6:$D$19,MATCH(B100,'Kitting Plan'!$B$6:$B$19,0)),"")</f>
        <v>3</v>
      </c>
      <c r="I100" s="41" t="n">
        <f aca="false">IF(A100="","",IF(ISNUMBER(SEARCH("PRT",E100)),D100,0))</f>
        <v>1</v>
      </c>
      <c r="J100" s="41" t="n">
        <f aca="false">IF(A100="","",IF(ISNUMBER(SEARCH("GMPS",E100)),D100,0))</f>
        <v>0</v>
      </c>
      <c r="K100" s="41" t="n">
        <f aca="false">IF(A100="","",IF(ISNUMBER(SEARCH("DLV",E100)),D100,0))</f>
        <v>0</v>
      </c>
      <c r="L100" s="41" t="str">
        <f aca="false">IF(A100="","",IF(K100&gt;0,"Delivered",IF(ISNUMBER(SEARCH("CNF",E100)),"In production",IF(J100&gt;0,"Issued",IF(I100&gt;0,"Kitted","Released")))))</f>
        <v>In production</v>
      </c>
      <c r="M100" s="41" t="n">
        <f aca="false">IF(G100&lt;&gt;"Yes","",COUNTIFS($B$6:$B$1505,B100,$F$6:$F$1505,"&lt;"&amp;F100)+COUNTIFS($B$6:$B$1505,B100,$F$6:$F$1505,F100,$A$6:$A$1505,"&lt;="&amp;A100))</f>
        <v>40</v>
      </c>
      <c r="N100" s="41" t="n">
        <f aca="false">IF(M100="","",ROUNDUP(M100/H100,0))</f>
        <v>14</v>
      </c>
      <c r="O100" s="41" t="str">
        <f aca="false">IF(N100="","",IF(N100&lt;='Kitting Plan'!$C$3,"Rep "&amp;N100,"Surplus"))</f>
        <v>Surplus</v>
      </c>
    </row>
    <row r="101" customFormat="false" ht="15" hidden="false" customHeight="false" outlineLevel="0" collapsed="false">
      <c r="A101" s="40" t="n">
        <f aca="false">IF(OR($A$4=0,INDEX('COOIS Raw'!$A:$GZ,ROW()-4,$A$4)=""),"",IFERROR(--INDEX('COOIS Raw'!$A:$GZ,ROW()-4,$A$4),INDEX('COOIS Raw'!$A:$GZ,ROW()-4,$A$4)))</f>
        <v>100880288</v>
      </c>
      <c r="B101" s="41" t="str">
        <f aca="false">IF(A101="","",TRIM(INDEX('COOIS Raw'!$A:$GZ,ROW()-4,$B$4)))</f>
        <v>92YRA03548AAA</v>
      </c>
      <c r="C101" s="42" t="str">
        <f aca="false">IF(OR(A101="",$C$4=0),"",INDEX('COOIS Raw'!$A:$GZ,ROW()-4,$C$4))</f>
        <v>R5B ERBIUM ASSEMBLY 3</v>
      </c>
      <c r="D101" s="41" t="n">
        <f aca="false">IF(A101="","",IF($D$4=0,1,IFERROR(--INDEX('COOIS Raw'!$A:$GZ,ROW()-4,$D$4),1)))</f>
        <v>1</v>
      </c>
      <c r="E101" s="42" t="str">
        <f aca="false">IF(A101="","",INDEX('COOIS Raw'!$A:$GZ,ROW()-4,$E$4)&amp;"")</f>
        <v>REL PRT PCNF PRC MANC SETC</v>
      </c>
      <c r="F101" s="43" t="n">
        <f aca="false">IF(A101="","",IFERROR(DATEVALUE(INDEX('COOIS Raw'!$A:$GZ,ROW()-4,$F$4)),INDEX('COOIS Raw'!$A:$GZ,ROW()-4,$F$4)))</f>
        <v>46297</v>
      </c>
      <c r="G101" s="41" t="str">
        <f aca="false">IF(A101="","",IF(ISNA(MATCH(B101,'Kitting Plan'!$B$6:$B$19,0)),"Not in plan","Yes"))</f>
        <v>Yes</v>
      </c>
      <c r="H101" s="41" t="n">
        <f aca="false">IF(G101="Yes",INDEX('Kitting Plan'!$D$6:$D$19,MATCH(B101,'Kitting Plan'!$B$6:$B$19,0)),"")</f>
        <v>3</v>
      </c>
      <c r="I101" s="41" t="n">
        <f aca="false">IF(A101="","",IF(ISNUMBER(SEARCH("PRT",E101)),D101,0))</f>
        <v>1</v>
      </c>
      <c r="J101" s="41" t="n">
        <f aca="false">IF(A101="","",IF(ISNUMBER(SEARCH("GMPS",E101)),D101,0))</f>
        <v>0</v>
      </c>
      <c r="K101" s="41" t="n">
        <f aca="false">IF(A101="","",IF(ISNUMBER(SEARCH("DLV",E101)),D101,0))</f>
        <v>0</v>
      </c>
      <c r="L101" s="41" t="str">
        <f aca="false">IF(A101="","",IF(K101&gt;0,"Delivered",IF(ISNUMBER(SEARCH("CNF",E101)),"In production",IF(J101&gt;0,"Issued",IF(I101&gt;0,"Kitted","Released")))))</f>
        <v>In production</v>
      </c>
      <c r="M101" s="41" t="n">
        <f aca="false">IF(G101&lt;&gt;"Yes","",COUNTIFS($B$6:$B$1505,B101,$F$6:$F$1505,"&lt;"&amp;F101)+COUNTIFS($B$6:$B$1505,B101,$F$6:$F$1505,F101,$A$6:$A$1505,"&lt;="&amp;A101))</f>
        <v>41</v>
      </c>
      <c r="N101" s="41" t="n">
        <f aca="false">IF(M101="","",ROUNDUP(M101/H101,0))</f>
        <v>14</v>
      </c>
      <c r="O101" s="41" t="str">
        <f aca="false">IF(N101="","",IF(N101&lt;='Kitting Plan'!$C$3,"Rep "&amp;N101,"Surplus"))</f>
        <v>Surplus</v>
      </c>
    </row>
    <row r="102" customFormat="false" ht="15" hidden="false" customHeight="false" outlineLevel="0" collapsed="false">
      <c r="A102" s="40" t="n">
        <f aca="false">IF(OR($A$4=0,INDEX('COOIS Raw'!$A:$GZ,ROW()-4,$A$4)=""),"",IFERROR(--INDEX('COOIS Raw'!$A:$GZ,ROW()-4,$A$4),INDEX('COOIS Raw'!$A:$GZ,ROW()-4,$A$4)))</f>
        <v>100880289</v>
      </c>
      <c r="B102" s="41" t="str">
        <f aca="false">IF(A102="","",TRIM(INDEX('COOIS Raw'!$A:$GZ,ROW()-4,$B$4)))</f>
        <v>92YRA03548AAA</v>
      </c>
      <c r="C102" s="42" t="str">
        <f aca="false">IF(OR(A102="",$C$4=0),"",INDEX('COOIS Raw'!$A:$GZ,ROW()-4,$C$4))</f>
        <v>R5B ERBIUM ASSEMBLY 3</v>
      </c>
      <c r="D102" s="41" t="n">
        <f aca="false">IF(A102="","",IF($D$4=0,1,IFERROR(--INDEX('COOIS Raw'!$A:$GZ,ROW()-4,$D$4),1)))</f>
        <v>1</v>
      </c>
      <c r="E102" s="42" t="str">
        <f aca="false">IF(A102="","",INDEX('COOIS Raw'!$A:$GZ,ROW()-4,$E$4)&amp;"")</f>
        <v>REL PRT PCNF PRC MANC SETC</v>
      </c>
      <c r="F102" s="43" t="n">
        <f aca="false">IF(A102="","",IFERROR(DATEVALUE(INDEX('COOIS Raw'!$A:$GZ,ROW()-4,$F$4)),INDEX('COOIS Raw'!$A:$GZ,ROW()-4,$F$4)))</f>
        <v>46297</v>
      </c>
      <c r="G102" s="41" t="str">
        <f aca="false">IF(A102="","",IF(ISNA(MATCH(B102,'Kitting Plan'!$B$6:$B$19,0)),"Not in plan","Yes"))</f>
        <v>Yes</v>
      </c>
      <c r="H102" s="41" t="n">
        <f aca="false">IF(G102="Yes",INDEX('Kitting Plan'!$D$6:$D$19,MATCH(B102,'Kitting Plan'!$B$6:$B$19,0)),"")</f>
        <v>3</v>
      </c>
      <c r="I102" s="41" t="n">
        <f aca="false">IF(A102="","",IF(ISNUMBER(SEARCH("PRT",E102)),D102,0))</f>
        <v>1</v>
      </c>
      <c r="J102" s="41" t="n">
        <f aca="false">IF(A102="","",IF(ISNUMBER(SEARCH("GMPS",E102)),D102,0))</f>
        <v>0</v>
      </c>
      <c r="K102" s="41" t="n">
        <f aca="false">IF(A102="","",IF(ISNUMBER(SEARCH("DLV",E102)),D102,0))</f>
        <v>0</v>
      </c>
      <c r="L102" s="41" t="str">
        <f aca="false">IF(A102="","",IF(K102&gt;0,"Delivered",IF(ISNUMBER(SEARCH("CNF",E102)),"In production",IF(J102&gt;0,"Issued",IF(I102&gt;0,"Kitted","Released")))))</f>
        <v>In production</v>
      </c>
      <c r="M102" s="41" t="n">
        <f aca="false">IF(G102&lt;&gt;"Yes","",COUNTIFS($B$6:$B$1505,B102,$F$6:$F$1505,"&lt;"&amp;F102)+COUNTIFS($B$6:$B$1505,B102,$F$6:$F$1505,F102,$A$6:$A$1505,"&lt;="&amp;A102))</f>
        <v>42</v>
      </c>
      <c r="N102" s="41" t="n">
        <f aca="false">IF(M102="","",ROUNDUP(M102/H102,0))</f>
        <v>14</v>
      </c>
      <c r="O102" s="41" t="str">
        <f aca="false">IF(N102="","",IF(N102&lt;='Kitting Plan'!$C$3,"Rep "&amp;N102,"Surplus"))</f>
        <v>Surplus</v>
      </c>
    </row>
    <row r="103" customFormat="false" ht="15" hidden="false" customHeight="false" outlineLevel="0" collapsed="false">
      <c r="A103" s="40" t="n">
        <f aca="false">IF(OR($A$4=0,INDEX('COOIS Raw'!$A:$GZ,ROW()-4,$A$4)=""),"",IFERROR(--INDEX('COOIS Raw'!$A:$GZ,ROW()-4,$A$4),INDEX('COOIS Raw'!$A:$GZ,ROW()-4,$A$4)))</f>
        <v>100880290</v>
      </c>
      <c r="B103" s="41" t="str">
        <f aca="false">IF(A103="","",TRIM(INDEX('COOIS Raw'!$A:$GZ,ROW()-4,$B$4)))</f>
        <v>92YRA04548AAA</v>
      </c>
      <c r="C103" s="42" t="str">
        <f aca="false">IF(OR(A103="",$C$4=0),"",INDEX('COOIS Raw'!$A:$GZ,ROW()-4,$C$4))</f>
        <v>R5B ERBIUM ASSEMBLY 4</v>
      </c>
      <c r="D103" s="41" t="n">
        <f aca="false">IF(A103="","",IF($D$4=0,1,IFERROR(--INDEX('COOIS Raw'!$A:$GZ,ROW()-4,$D$4),1)))</f>
        <v>1</v>
      </c>
      <c r="E103" s="42" t="str">
        <f aca="false">IF(A103="","",INDEX('COOIS Raw'!$A:$GZ,ROW()-4,$E$4)&amp;"")</f>
        <v>REL PRT PCNF PRC MANC SETC</v>
      </c>
      <c r="F103" s="43" t="n">
        <f aca="false">IF(A103="","",IFERROR(DATEVALUE(INDEX('COOIS Raw'!$A:$GZ,ROW()-4,$F$4)),INDEX('COOIS Raw'!$A:$GZ,ROW()-4,$F$4)))</f>
        <v>46297</v>
      </c>
      <c r="G103" s="41" t="str">
        <f aca="false">IF(A103="","",IF(ISNA(MATCH(B103,'Kitting Plan'!$B$6:$B$19,0)),"Not in plan","Yes"))</f>
        <v>Yes</v>
      </c>
      <c r="H103" s="41" t="n">
        <f aca="false">IF(G103="Yes",INDEX('Kitting Plan'!$D$6:$D$19,MATCH(B103,'Kitting Plan'!$B$6:$B$19,0)),"")</f>
        <v>3</v>
      </c>
      <c r="I103" s="41" t="n">
        <f aca="false">IF(A103="","",IF(ISNUMBER(SEARCH("PRT",E103)),D103,0))</f>
        <v>1</v>
      </c>
      <c r="J103" s="41" t="n">
        <f aca="false">IF(A103="","",IF(ISNUMBER(SEARCH("GMPS",E103)),D103,0))</f>
        <v>0</v>
      </c>
      <c r="K103" s="41" t="n">
        <f aca="false">IF(A103="","",IF(ISNUMBER(SEARCH("DLV",E103)),D103,0))</f>
        <v>0</v>
      </c>
      <c r="L103" s="41" t="str">
        <f aca="false">IF(A103="","",IF(K103&gt;0,"Delivered",IF(ISNUMBER(SEARCH("CNF",E103)),"In production",IF(J103&gt;0,"Issued",IF(I103&gt;0,"Kitted","Released")))))</f>
        <v>In production</v>
      </c>
      <c r="M103" s="41" t="n">
        <f aca="false">IF(G103&lt;&gt;"Yes","",COUNTIFS($B$6:$B$1505,B103,$F$6:$F$1505,"&lt;"&amp;F103)+COUNTIFS($B$6:$B$1505,B103,$F$6:$F$1505,F103,$A$6:$A$1505,"&lt;="&amp;A103))</f>
        <v>37</v>
      </c>
      <c r="N103" s="41" t="n">
        <f aca="false">IF(M103="","",ROUNDUP(M103/H103,0))</f>
        <v>13</v>
      </c>
      <c r="O103" s="41" t="str">
        <f aca="false">IF(N103="","",IF(N103&lt;='Kitting Plan'!$C$3,"Rep "&amp;N103,"Surplus"))</f>
        <v>Rep 13</v>
      </c>
    </row>
    <row r="104" customFormat="false" ht="15" hidden="false" customHeight="false" outlineLevel="0" collapsed="false">
      <c r="A104" s="40" t="n">
        <f aca="false">IF(OR($A$4=0,INDEX('COOIS Raw'!$A:$GZ,ROW()-4,$A$4)=""),"",IFERROR(--INDEX('COOIS Raw'!$A:$GZ,ROW()-4,$A$4),INDEX('COOIS Raw'!$A:$GZ,ROW()-4,$A$4)))</f>
        <v>100880291</v>
      </c>
      <c r="B104" s="41" t="str">
        <f aca="false">IF(A104="","",TRIM(INDEX('COOIS Raw'!$A:$GZ,ROW()-4,$B$4)))</f>
        <v>92YRA04548AAA</v>
      </c>
      <c r="C104" s="42" t="str">
        <f aca="false">IF(OR(A104="",$C$4=0),"",INDEX('COOIS Raw'!$A:$GZ,ROW()-4,$C$4))</f>
        <v>R5B ERBIUM ASSEMBLY 4</v>
      </c>
      <c r="D104" s="41" t="n">
        <f aca="false">IF(A104="","",IF($D$4=0,1,IFERROR(--INDEX('COOIS Raw'!$A:$GZ,ROW()-4,$D$4),1)))</f>
        <v>1</v>
      </c>
      <c r="E104" s="42" t="str">
        <f aca="false">IF(A104="","",INDEX('COOIS Raw'!$A:$GZ,ROW()-4,$E$4)&amp;"")</f>
        <v>REL PRT PCNF PRC MANC SETC</v>
      </c>
      <c r="F104" s="43" t="n">
        <f aca="false">IF(A104="","",IFERROR(DATEVALUE(INDEX('COOIS Raw'!$A:$GZ,ROW()-4,$F$4)),INDEX('COOIS Raw'!$A:$GZ,ROW()-4,$F$4)))</f>
        <v>46297</v>
      </c>
      <c r="G104" s="41" t="str">
        <f aca="false">IF(A104="","",IF(ISNA(MATCH(B104,'Kitting Plan'!$B$6:$B$19,0)),"Not in plan","Yes"))</f>
        <v>Yes</v>
      </c>
      <c r="H104" s="41" t="n">
        <f aca="false">IF(G104="Yes",INDEX('Kitting Plan'!$D$6:$D$19,MATCH(B104,'Kitting Plan'!$B$6:$B$19,0)),"")</f>
        <v>3</v>
      </c>
      <c r="I104" s="41" t="n">
        <f aca="false">IF(A104="","",IF(ISNUMBER(SEARCH("PRT",E104)),D104,0))</f>
        <v>1</v>
      </c>
      <c r="J104" s="41" t="n">
        <f aca="false">IF(A104="","",IF(ISNUMBER(SEARCH("GMPS",E104)),D104,0))</f>
        <v>0</v>
      </c>
      <c r="K104" s="41" t="n">
        <f aca="false">IF(A104="","",IF(ISNUMBER(SEARCH("DLV",E104)),D104,0))</f>
        <v>0</v>
      </c>
      <c r="L104" s="41" t="str">
        <f aca="false">IF(A104="","",IF(K104&gt;0,"Delivered",IF(ISNUMBER(SEARCH("CNF",E104)),"In production",IF(J104&gt;0,"Issued",IF(I104&gt;0,"Kitted","Released")))))</f>
        <v>In production</v>
      </c>
      <c r="M104" s="41" t="n">
        <f aca="false">IF(G104&lt;&gt;"Yes","",COUNTIFS($B$6:$B$1505,B104,$F$6:$F$1505,"&lt;"&amp;F104)+COUNTIFS($B$6:$B$1505,B104,$F$6:$F$1505,F104,$A$6:$A$1505,"&lt;="&amp;A104))</f>
        <v>38</v>
      </c>
      <c r="N104" s="41" t="n">
        <f aca="false">IF(M104="","",ROUNDUP(M104/H104,0))</f>
        <v>13</v>
      </c>
      <c r="O104" s="41" t="str">
        <f aca="false">IF(N104="","",IF(N104&lt;='Kitting Plan'!$C$3,"Rep "&amp;N104,"Surplus"))</f>
        <v>Rep 13</v>
      </c>
    </row>
    <row r="105" customFormat="false" ht="15" hidden="false" customHeight="false" outlineLevel="0" collapsed="false">
      <c r="A105" s="40" t="n">
        <f aca="false">IF(OR($A$4=0,INDEX('COOIS Raw'!$A:$GZ,ROW()-4,$A$4)=""),"",IFERROR(--INDEX('COOIS Raw'!$A:$GZ,ROW()-4,$A$4),INDEX('COOIS Raw'!$A:$GZ,ROW()-4,$A$4)))</f>
        <v>100880292</v>
      </c>
      <c r="B105" s="41" t="str">
        <f aca="false">IF(A105="","",TRIM(INDEX('COOIS Raw'!$A:$GZ,ROW()-4,$B$4)))</f>
        <v>92YRA04548AAA</v>
      </c>
      <c r="C105" s="42" t="str">
        <f aca="false">IF(OR(A105="",$C$4=0),"",INDEX('COOIS Raw'!$A:$GZ,ROW()-4,$C$4))</f>
        <v>R5B ERBIUM ASSEMBLY 4</v>
      </c>
      <c r="D105" s="41" t="n">
        <f aca="false">IF(A105="","",IF($D$4=0,1,IFERROR(--INDEX('COOIS Raw'!$A:$GZ,ROW()-4,$D$4),1)))</f>
        <v>1</v>
      </c>
      <c r="E105" s="42" t="str">
        <f aca="false">IF(A105="","",INDEX('COOIS Raw'!$A:$GZ,ROW()-4,$E$4)&amp;"")</f>
        <v>REL PRT PCNF PRC MANC SETC</v>
      </c>
      <c r="F105" s="43" t="n">
        <f aca="false">IF(A105="","",IFERROR(DATEVALUE(INDEX('COOIS Raw'!$A:$GZ,ROW()-4,$F$4)),INDEX('COOIS Raw'!$A:$GZ,ROW()-4,$F$4)))</f>
        <v>46297</v>
      </c>
      <c r="G105" s="41" t="str">
        <f aca="false">IF(A105="","",IF(ISNA(MATCH(B105,'Kitting Plan'!$B$6:$B$19,0)),"Not in plan","Yes"))</f>
        <v>Yes</v>
      </c>
      <c r="H105" s="41" t="n">
        <f aca="false">IF(G105="Yes",INDEX('Kitting Plan'!$D$6:$D$19,MATCH(B105,'Kitting Plan'!$B$6:$B$19,0)),"")</f>
        <v>3</v>
      </c>
      <c r="I105" s="41" t="n">
        <f aca="false">IF(A105="","",IF(ISNUMBER(SEARCH("PRT",E105)),D105,0))</f>
        <v>1</v>
      </c>
      <c r="J105" s="41" t="n">
        <f aca="false">IF(A105="","",IF(ISNUMBER(SEARCH("GMPS",E105)),D105,0))</f>
        <v>0</v>
      </c>
      <c r="K105" s="41" t="n">
        <f aca="false">IF(A105="","",IF(ISNUMBER(SEARCH("DLV",E105)),D105,0))</f>
        <v>0</v>
      </c>
      <c r="L105" s="41" t="str">
        <f aca="false">IF(A105="","",IF(K105&gt;0,"Delivered",IF(ISNUMBER(SEARCH("CNF",E105)),"In production",IF(J105&gt;0,"Issued",IF(I105&gt;0,"Kitted","Released")))))</f>
        <v>In production</v>
      </c>
      <c r="M105" s="41" t="n">
        <f aca="false">IF(G105&lt;&gt;"Yes","",COUNTIFS($B$6:$B$1505,B105,$F$6:$F$1505,"&lt;"&amp;F105)+COUNTIFS($B$6:$B$1505,B105,$F$6:$F$1505,F105,$A$6:$A$1505,"&lt;="&amp;A105))</f>
        <v>39</v>
      </c>
      <c r="N105" s="41" t="n">
        <f aca="false">IF(M105="","",ROUNDUP(M105/H105,0))</f>
        <v>13</v>
      </c>
      <c r="O105" s="41" t="str">
        <f aca="false">IF(N105="","",IF(N105&lt;='Kitting Plan'!$C$3,"Rep "&amp;N105,"Surplus"))</f>
        <v>Rep 13</v>
      </c>
    </row>
    <row r="106" customFormat="false" ht="15" hidden="false" customHeight="false" outlineLevel="0" collapsed="false">
      <c r="A106" s="40" t="n">
        <f aca="false">IF(OR($A$4=0,INDEX('COOIS Raw'!$A:$GZ,ROW()-4,$A$4)=""),"",IFERROR(--INDEX('COOIS Raw'!$A:$GZ,ROW()-4,$A$4),INDEX('COOIS Raw'!$A:$GZ,ROW()-4,$A$4)))</f>
        <v>100880293</v>
      </c>
      <c r="B106" s="41" t="str">
        <f aca="false">IF(A106="","",TRIM(INDEX('COOIS Raw'!$A:$GZ,ROW()-4,$B$4)))</f>
        <v>92UAP04548BAA</v>
      </c>
      <c r="C106" s="42" t="str">
        <f aca="false">IF(OR(A106="",$C$4=0),"",INDEX('COOIS Raw'!$A:$GZ,ROW()-4,$C$4))</f>
        <v>R5B BOAT 1 ASSY (4P-4FP) L - E2A</v>
      </c>
      <c r="D106" s="41" t="n">
        <f aca="false">IF(A106="","",IF($D$4=0,1,IFERROR(--INDEX('COOIS Raw'!$A:$GZ,ROW()-4,$D$4),1)))</f>
        <v>1</v>
      </c>
      <c r="E106" s="42" t="str">
        <f aca="false">IF(A106="","",INDEX('COOIS Raw'!$A:$GZ,ROW()-4,$E$4)&amp;"")</f>
        <v>REL PRT PRC MANC SETC</v>
      </c>
      <c r="F106" s="43" t="n">
        <f aca="false">IF(A106="","",IFERROR(DATEVALUE(INDEX('COOIS Raw'!$A:$GZ,ROW()-4,$F$4)),INDEX('COOIS Raw'!$A:$GZ,ROW()-4,$F$4)))</f>
        <v>46297</v>
      </c>
      <c r="G106" s="41" t="str">
        <f aca="false">IF(A106="","",IF(ISNA(MATCH(B106,'Kitting Plan'!$B$6:$B$19,0)),"Not in plan","Yes"))</f>
        <v>Yes</v>
      </c>
      <c r="H106" s="41" t="n">
        <f aca="false">IF(G106="Yes",INDEX('Kitting Plan'!$D$6:$D$19,MATCH(B106,'Kitting Plan'!$B$6:$B$19,0)),"")</f>
        <v>1</v>
      </c>
      <c r="I106" s="41" t="n">
        <f aca="false">IF(A106="","",IF(ISNUMBER(SEARCH("PRT",E106)),D106,0))</f>
        <v>1</v>
      </c>
      <c r="J106" s="41" t="n">
        <f aca="false">IF(A106="","",IF(ISNUMBER(SEARCH("GMPS",E106)),D106,0))</f>
        <v>0</v>
      </c>
      <c r="K106" s="41" t="n">
        <f aca="false">IF(A106="","",IF(ISNUMBER(SEARCH("DLV",E106)),D106,0))</f>
        <v>0</v>
      </c>
      <c r="L106" s="41" t="str">
        <f aca="false">IF(A106="","",IF(K106&gt;0,"Delivered",IF(ISNUMBER(SEARCH("CNF",E106)),"In production",IF(J106&gt;0,"Issued",IF(I106&gt;0,"Kitted","Released")))))</f>
        <v>Kitted</v>
      </c>
      <c r="M106" s="41" t="n">
        <f aca="false">IF(G106&lt;&gt;"Yes","",COUNTIFS($B$6:$B$1505,B106,$F$6:$F$1505,"&lt;"&amp;F106)+COUNTIFS($B$6:$B$1505,B106,$F$6:$F$1505,F106,$A$6:$A$1505,"&lt;="&amp;A106))</f>
        <v>13</v>
      </c>
      <c r="N106" s="41" t="n">
        <f aca="false">IF(M106="","",ROUNDUP(M106/H106,0))</f>
        <v>13</v>
      </c>
      <c r="O106" s="41" t="str">
        <f aca="false">IF(N106="","",IF(N106&lt;='Kitting Plan'!$C$3,"Rep "&amp;N106,"Surplus"))</f>
        <v>Rep 13</v>
      </c>
    </row>
    <row r="107" customFormat="false" ht="15" hidden="false" customHeight="false" outlineLevel="0" collapsed="false">
      <c r="A107" s="40" t="n">
        <f aca="false">IF(OR($A$4=0,INDEX('COOIS Raw'!$A:$GZ,ROW()-4,$A$4)=""),"",IFERROR(--INDEX('COOIS Raw'!$A:$GZ,ROW()-4,$A$4),INDEX('COOIS Raw'!$A:$GZ,ROW()-4,$A$4)))</f>
        <v>100880294</v>
      </c>
      <c r="B107" s="41" t="str">
        <f aca="false">IF(A107="","",TRIM(INDEX('COOIS Raw'!$A:$GZ,ROW()-4,$B$4)))</f>
        <v>92UAP04548BBA</v>
      </c>
      <c r="C107" s="42" t="str">
        <f aca="false">IF(OR(A107="",$C$4=0),"",INDEX('COOIS Raw'!$A:$GZ,ROW()-4,$C$4))</f>
        <v>R5B BOAT 2 ASSY (4P-4FP) L - E2A</v>
      </c>
      <c r="D107" s="41" t="n">
        <f aca="false">IF(A107="","",IF($D$4=0,1,IFERROR(--INDEX('COOIS Raw'!$A:$GZ,ROW()-4,$D$4),1)))</f>
        <v>1</v>
      </c>
      <c r="E107" s="42" t="str">
        <f aca="false">IF(A107="","",INDEX('COOIS Raw'!$A:$GZ,ROW()-4,$E$4)&amp;"")</f>
        <v>REL PRT PRC MANC SETC</v>
      </c>
      <c r="F107" s="43" t="n">
        <f aca="false">IF(A107="","",IFERROR(DATEVALUE(INDEX('COOIS Raw'!$A:$GZ,ROW()-4,$F$4)),INDEX('COOIS Raw'!$A:$GZ,ROW()-4,$F$4)))</f>
        <v>46297</v>
      </c>
      <c r="G107" s="41" t="str">
        <f aca="false">IF(A107="","",IF(ISNA(MATCH(B107,'Kitting Plan'!$B$6:$B$19,0)),"Not in plan","Yes"))</f>
        <v>Yes</v>
      </c>
      <c r="H107" s="41" t="n">
        <f aca="false">IF(G107="Yes",INDEX('Kitting Plan'!$D$6:$D$19,MATCH(B107,'Kitting Plan'!$B$6:$B$19,0)),"")</f>
        <v>1</v>
      </c>
      <c r="I107" s="41" t="n">
        <f aca="false">IF(A107="","",IF(ISNUMBER(SEARCH("PRT",E107)),D107,0))</f>
        <v>1</v>
      </c>
      <c r="J107" s="41" t="n">
        <f aca="false">IF(A107="","",IF(ISNUMBER(SEARCH("GMPS",E107)),D107,0))</f>
        <v>0</v>
      </c>
      <c r="K107" s="41" t="n">
        <f aca="false">IF(A107="","",IF(ISNUMBER(SEARCH("DLV",E107)),D107,0))</f>
        <v>0</v>
      </c>
      <c r="L107" s="41" t="str">
        <f aca="false">IF(A107="","",IF(K107&gt;0,"Delivered",IF(ISNUMBER(SEARCH("CNF",E107)),"In production",IF(J107&gt;0,"Issued",IF(I107&gt;0,"Kitted","Released")))))</f>
        <v>Kitted</v>
      </c>
      <c r="M107" s="41" t="n">
        <f aca="false">IF(G107&lt;&gt;"Yes","",COUNTIFS($B$6:$B$1505,B107,$F$6:$F$1505,"&lt;"&amp;F107)+COUNTIFS($B$6:$B$1505,B107,$F$6:$F$1505,F107,$A$6:$A$1505,"&lt;="&amp;A107))</f>
        <v>13</v>
      </c>
      <c r="N107" s="41" t="n">
        <f aca="false">IF(M107="","",ROUNDUP(M107/H107,0))</f>
        <v>13</v>
      </c>
      <c r="O107" s="41" t="str">
        <f aca="false">IF(N107="","",IF(N107&lt;='Kitting Plan'!$C$3,"Rep "&amp;N107,"Surplus"))</f>
        <v>Rep 13</v>
      </c>
    </row>
    <row r="108" customFormat="false" ht="15" hidden="false" customHeight="false" outlineLevel="0" collapsed="false">
      <c r="A108" s="40" t="n">
        <f aca="false">IF(OR($A$4=0,INDEX('COOIS Raw'!$A:$GZ,ROW()-4,$A$4)=""),"",IFERROR(--INDEX('COOIS Raw'!$A:$GZ,ROW()-4,$A$4),INDEX('COOIS Raw'!$A:$GZ,ROW()-4,$A$4)))</f>
        <v>100880295</v>
      </c>
      <c r="B108" s="41" t="str">
        <f aca="false">IF(A108="","",TRIM(INDEX('COOIS Raw'!$A:$GZ,ROW()-4,$B$4)))</f>
        <v>92UAP04548BCA</v>
      </c>
      <c r="C108" s="42" t="str">
        <f aca="false">IF(OR(A108="",$C$4=0),"",INDEX('COOIS Raw'!$A:$GZ,ROW()-4,$C$4))</f>
        <v>R5B BOAT 3 ASSY (4P-4FP) L - E2A</v>
      </c>
      <c r="D108" s="41" t="n">
        <f aca="false">IF(A108="","",IF($D$4=0,1,IFERROR(--INDEX('COOIS Raw'!$A:$GZ,ROW()-4,$D$4),1)))</f>
        <v>1</v>
      </c>
      <c r="E108" s="42" t="str">
        <f aca="false">IF(A108="","",INDEX('COOIS Raw'!$A:$GZ,ROW()-4,$E$4)&amp;"")</f>
        <v>REL PRT PRC MANC SETC</v>
      </c>
      <c r="F108" s="43" t="n">
        <f aca="false">IF(A108="","",IFERROR(DATEVALUE(INDEX('COOIS Raw'!$A:$GZ,ROW()-4,$F$4)),INDEX('COOIS Raw'!$A:$GZ,ROW()-4,$F$4)))</f>
        <v>46297</v>
      </c>
      <c r="G108" s="41" t="str">
        <f aca="false">IF(A108="","",IF(ISNA(MATCH(B108,'Kitting Plan'!$B$6:$B$19,0)),"Not in plan","Yes"))</f>
        <v>Yes</v>
      </c>
      <c r="H108" s="41" t="n">
        <f aca="false">IF(G108="Yes",INDEX('Kitting Plan'!$D$6:$D$19,MATCH(B108,'Kitting Plan'!$B$6:$B$19,0)),"")</f>
        <v>1</v>
      </c>
      <c r="I108" s="41" t="n">
        <f aca="false">IF(A108="","",IF(ISNUMBER(SEARCH("PRT",E108)),D108,0))</f>
        <v>1</v>
      </c>
      <c r="J108" s="41" t="n">
        <f aca="false">IF(A108="","",IF(ISNUMBER(SEARCH("GMPS",E108)),D108,0))</f>
        <v>0</v>
      </c>
      <c r="K108" s="41" t="n">
        <f aca="false">IF(A108="","",IF(ISNUMBER(SEARCH("DLV",E108)),D108,0))</f>
        <v>0</v>
      </c>
      <c r="L108" s="41" t="str">
        <f aca="false">IF(A108="","",IF(K108&gt;0,"Delivered",IF(ISNUMBER(SEARCH("CNF",E108)),"In production",IF(J108&gt;0,"Issued",IF(I108&gt;0,"Kitted","Released")))))</f>
        <v>Kitted</v>
      </c>
      <c r="M108" s="41" t="n">
        <f aca="false">IF(G108&lt;&gt;"Yes","",COUNTIFS($B$6:$B$1505,B108,$F$6:$F$1505,"&lt;"&amp;F108)+COUNTIFS($B$6:$B$1505,B108,$F$6:$F$1505,F108,$A$6:$A$1505,"&lt;="&amp;A108))</f>
        <v>13</v>
      </c>
      <c r="N108" s="41" t="n">
        <f aca="false">IF(M108="","",ROUNDUP(M108/H108,0))</f>
        <v>13</v>
      </c>
      <c r="O108" s="41" t="str">
        <f aca="false">IF(N108="","",IF(N108&lt;='Kitting Plan'!$C$3,"Rep "&amp;N108,"Surplus"))</f>
        <v>Rep 13</v>
      </c>
    </row>
    <row r="109" customFormat="false" ht="15" hidden="false" customHeight="false" outlineLevel="0" collapsed="false">
      <c r="A109" s="40" t="n">
        <f aca="false">IF(OR($A$4=0,INDEX('COOIS Raw'!$A:$GZ,ROW()-4,$A$4)=""),"",IFERROR(--INDEX('COOIS Raw'!$A:$GZ,ROW()-4,$A$4),INDEX('COOIS Raw'!$A:$GZ,ROW()-4,$A$4)))</f>
        <v>100879967</v>
      </c>
      <c r="B109" s="41" t="str">
        <f aca="false">IF(A109="","",TRIM(INDEX('COOIS Raw'!$A:$GZ,ROW()-4,$B$4)))</f>
        <v>92YLS00548BAA</v>
      </c>
      <c r="C109" s="42" t="str">
        <f aca="false">IF(OR(A109="",$C$4=0),"",INDEX('COOIS Raw'!$A:$GZ,ROW()-4,$C$4))</f>
        <v>R5B LASER ASSEMBLY 4P BOAT 1 - E2A</v>
      </c>
      <c r="D109" s="41" t="n">
        <f aca="false">IF(A109="","",IF($D$4=0,1,IFERROR(--INDEX('COOIS Raw'!$A:$GZ,ROW()-4,$D$4),1)))</f>
        <v>1</v>
      </c>
      <c r="E109" s="42" t="str">
        <f aca="false">IF(A109="","",INDEX('COOIS Raw'!$A:$GZ,ROW()-4,$E$4)&amp;"")</f>
        <v>REL PRT PCNF PRC MANC SETC</v>
      </c>
      <c r="F109" s="43" t="n">
        <f aca="false">IF(A109="","",IFERROR(DATEVALUE(INDEX('COOIS Raw'!$A:$GZ,ROW()-4,$F$4)),INDEX('COOIS Raw'!$A:$GZ,ROW()-4,$F$4)))</f>
        <v>46296</v>
      </c>
      <c r="G109" s="41" t="str">
        <f aca="false">IF(A109="","",IF(ISNA(MATCH(B109,'Kitting Plan'!$B$6:$B$19,0)),"Not in plan","Yes"))</f>
        <v>Yes</v>
      </c>
      <c r="H109" s="41" t="n">
        <f aca="false">IF(G109="Yes",INDEX('Kitting Plan'!$D$6:$D$19,MATCH(B109,'Kitting Plan'!$B$6:$B$19,0)),"")</f>
        <v>1</v>
      </c>
      <c r="I109" s="41" t="n">
        <f aca="false">IF(A109="","",IF(ISNUMBER(SEARCH("PRT",E109)),D109,0))</f>
        <v>1</v>
      </c>
      <c r="J109" s="41" t="n">
        <f aca="false">IF(A109="","",IF(ISNUMBER(SEARCH("GMPS",E109)),D109,0))</f>
        <v>0</v>
      </c>
      <c r="K109" s="41" t="n">
        <f aca="false">IF(A109="","",IF(ISNUMBER(SEARCH("DLV",E109)),D109,0))</f>
        <v>0</v>
      </c>
      <c r="L109" s="41" t="str">
        <f aca="false">IF(A109="","",IF(K109&gt;0,"Delivered",IF(ISNUMBER(SEARCH("CNF",E109)),"In production",IF(J109&gt;0,"Issued",IF(I109&gt;0,"Kitted","Released")))))</f>
        <v>In production</v>
      </c>
      <c r="M109" s="41" t="n">
        <f aca="false">IF(G109&lt;&gt;"Yes","",COUNTIFS($B$6:$B$1505,B109,$F$6:$F$1505,"&lt;"&amp;F109)+COUNTIFS($B$6:$B$1505,B109,$F$6:$F$1505,F109,$A$6:$A$1505,"&lt;="&amp;A109))</f>
        <v>11</v>
      </c>
      <c r="N109" s="41" t="n">
        <f aca="false">IF(M109="","",ROUNDUP(M109/H109,0))</f>
        <v>11</v>
      </c>
      <c r="O109" s="41" t="str">
        <f aca="false">IF(N109="","",IF(N109&lt;='Kitting Plan'!$C$3,"Rep "&amp;N109,"Surplus"))</f>
        <v>Rep 11</v>
      </c>
    </row>
    <row r="110" customFormat="false" ht="15" hidden="false" customHeight="false" outlineLevel="0" collapsed="false">
      <c r="A110" s="40" t="n">
        <f aca="false">IF(OR($A$4=0,INDEX('COOIS Raw'!$A:$GZ,ROW()-4,$A$4)=""),"",IFERROR(--INDEX('COOIS Raw'!$A:$GZ,ROW()-4,$A$4),INDEX('COOIS Raw'!$A:$GZ,ROW()-4,$A$4)))</f>
        <v>100879968</v>
      </c>
      <c r="B110" s="41" t="str">
        <f aca="false">IF(A110="","",TRIM(INDEX('COOIS Raw'!$A:$GZ,ROW()-4,$B$4)))</f>
        <v>92YLS00548BBA</v>
      </c>
      <c r="C110" s="42" t="str">
        <f aca="false">IF(OR(A110="",$C$4=0),"",INDEX('COOIS Raw'!$A:$GZ,ROW()-4,$C$4))</f>
        <v>R5B LASER ASSEMBLY 4P BOAT 2/3 - E2A</v>
      </c>
      <c r="D110" s="41" t="n">
        <f aca="false">IF(A110="","",IF($D$4=0,1,IFERROR(--INDEX('COOIS Raw'!$A:$GZ,ROW()-4,$D$4),1)))</f>
        <v>1</v>
      </c>
      <c r="E110" s="42" t="str">
        <f aca="false">IF(A110="","",INDEX('COOIS Raw'!$A:$GZ,ROW()-4,$E$4)&amp;"")</f>
        <v>REL PRT PCNF PRC MANC SETC</v>
      </c>
      <c r="F110" s="43" t="n">
        <f aca="false">IF(A110="","",IFERROR(DATEVALUE(INDEX('COOIS Raw'!$A:$GZ,ROW()-4,$F$4)),INDEX('COOIS Raw'!$A:$GZ,ROW()-4,$F$4)))</f>
        <v>46296</v>
      </c>
      <c r="G110" s="41" t="str">
        <f aca="false">IF(A110="","",IF(ISNA(MATCH(B110,'Kitting Plan'!$B$6:$B$19,0)),"Not in plan","Yes"))</f>
        <v>Yes</v>
      </c>
      <c r="H110" s="41" t="n">
        <f aca="false">IF(G110="Yes",INDEX('Kitting Plan'!$D$6:$D$19,MATCH(B110,'Kitting Plan'!$B$6:$B$19,0)),"")</f>
        <v>2</v>
      </c>
      <c r="I110" s="41" t="n">
        <f aca="false">IF(A110="","",IF(ISNUMBER(SEARCH("PRT",E110)),D110,0))</f>
        <v>1</v>
      </c>
      <c r="J110" s="41" t="n">
        <f aca="false">IF(A110="","",IF(ISNUMBER(SEARCH("GMPS",E110)),D110,0))</f>
        <v>0</v>
      </c>
      <c r="K110" s="41" t="n">
        <f aca="false">IF(A110="","",IF(ISNUMBER(SEARCH("DLV",E110)),D110,0))</f>
        <v>0</v>
      </c>
      <c r="L110" s="41" t="str">
        <f aca="false">IF(A110="","",IF(K110&gt;0,"Delivered",IF(ISNUMBER(SEARCH("CNF",E110)),"In production",IF(J110&gt;0,"Issued",IF(I110&gt;0,"Kitted","Released")))))</f>
        <v>In production</v>
      </c>
      <c r="M110" s="41" t="n">
        <f aca="false">IF(G110&lt;&gt;"Yes","",COUNTIFS($B$6:$B$1505,B110,$F$6:$F$1505,"&lt;"&amp;F110)+COUNTIFS($B$6:$B$1505,B110,$F$6:$F$1505,F110,$A$6:$A$1505,"&lt;="&amp;A110))</f>
        <v>19</v>
      </c>
      <c r="N110" s="41" t="n">
        <f aca="false">IF(M110="","",ROUNDUP(M110/H110,0))</f>
        <v>10</v>
      </c>
      <c r="O110" s="41" t="str">
        <f aca="false">IF(N110="","",IF(N110&lt;='Kitting Plan'!$C$3,"Rep "&amp;N110,"Surplus"))</f>
        <v>Rep 10</v>
      </c>
    </row>
    <row r="111" customFormat="false" ht="15" hidden="false" customHeight="false" outlineLevel="0" collapsed="false">
      <c r="A111" s="40" t="n">
        <f aca="false">IF(OR($A$4=0,INDEX('COOIS Raw'!$A:$GZ,ROW()-4,$A$4)=""),"",IFERROR(--INDEX('COOIS Raw'!$A:$GZ,ROW()-4,$A$4),INDEX('COOIS Raw'!$A:$GZ,ROW()-4,$A$4)))</f>
        <v>100879969</v>
      </c>
      <c r="B111" s="41" t="str">
        <f aca="false">IF(A111="","",TRIM(INDEX('COOIS Raw'!$A:$GZ,ROW()-4,$B$4)))</f>
        <v>92YLS00548BBA</v>
      </c>
      <c r="C111" s="42" t="str">
        <f aca="false">IF(OR(A111="",$C$4=0),"",INDEX('COOIS Raw'!$A:$GZ,ROW()-4,$C$4))</f>
        <v>R5B LASER ASSEMBLY 4P BOAT 2/3 - E2A</v>
      </c>
      <c r="D111" s="41" t="n">
        <f aca="false">IF(A111="","",IF($D$4=0,1,IFERROR(--INDEX('COOIS Raw'!$A:$GZ,ROW()-4,$D$4),1)))</f>
        <v>1</v>
      </c>
      <c r="E111" s="42" t="str">
        <f aca="false">IF(A111="","",INDEX('COOIS Raw'!$A:$GZ,ROW()-4,$E$4)&amp;"")</f>
        <v>REL PRT PCNF PRC MANC SETC</v>
      </c>
      <c r="F111" s="43" t="n">
        <f aca="false">IF(A111="","",IFERROR(DATEVALUE(INDEX('COOIS Raw'!$A:$GZ,ROW()-4,$F$4)),INDEX('COOIS Raw'!$A:$GZ,ROW()-4,$F$4)))</f>
        <v>46296</v>
      </c>
      <c r="G111" s="41" t="str">
        <f aca="false">IF(A111="","",IF(ISNA(MATCH(B111,'Kitting Plan'!$B$6:$B$19,0)),"Not in plan","Yes"))</f>
        <v>Yes</v>
      </c>
      <c r="H111" s="41" t="n">
        <f aca="false">IF(G111="Yes",INDEX('Kitting Plan'!$D$6:$D$19,MATCH(B111,'Kitting Plan'!$B$6:$B$19,0)),"")</f>
        <v>2</v>
      </c>
      <c r="I111" s="41" t="n">
        <f aca="false">IF(A111="","",IF(ISNUMBER(SEARCH("PRT",E111)),D111,0))</f>
        <v>1</v>
      </c>
      <c r="J111" s="41" t="n">
        <f aca="false">IF(A111="","",IF(ISNUMBER(SEARCH("GMPS",E111)),D111,0))</f>
        <v>0</v>
      </c>
      <c r="K111" s="41" t="n">
        <f aca="false">IF(A111="","",IF(ISNUMBER(SEARCH("DLV",E111)),D111,0))</f>
        <v>0</v>
      </c>
      <c r="L111" s="41" t="str">
        <f aca="false">IF(A111="","",IF(K111&gt;0,"Delivered",IF(ISNUMBER(SEARCH("CNF",E111)),"In production",IF(J111&gt;0,"Issued",IF(I111&gt;0,"Kitted","Released")))))</f>
        <v>In production</v>
      </c>
      <c r="M111" s="41" t="n">
        <f aca="false">IF(G111&lt;&gt;"Yes","",COUNTIFS($B$6:$B$1505,B111,$F$6:$F$1505,"&lt;"&amp;F111)+COUNTIFS($B$6:$B$1505,B111,$F$6:$F$1505,F111,$A$6:$A$1505,"&lt;="&amp;A111))</f>
        <v>20</v>
      </c>
      <c r="N111" s="41" t="n">
        <f aca="false">IF(M111="","",ROUNDUP(M111/H111,0))</f>
        <v>10</v>
      </c>
      <c r="O111" s="41" t="str">
        <f aca="false">IF(N111="","",IF(N111&lt;='Kitting Plan'!$C$3,"Rep "&amp;N111,"Surplus"))</f>
        <v>Rep 10</v>
      </c>
    </row>
    <row r="112" customFormat="false" ht="15" hidden="false" customHeight="false" outlineLevel="0" collapsed="false">
      <c r="A112" s="40" t="n">
        <f aca="false">IF(OR($A$4=0,INDEX('COOIS Raw'!$A:$GZ,ROW()-4,$A$4)=""),"",IFERROR(--INDEX('COOIS Raw'!$A:$GZ,ROW()-4,$A$4),INDEX('COOIS Raw'!$A:$GZ,ROW()-4,$A$4)))</f>
        <v>100879971</v>
      </c>
      <c r="B112" s="41" t="str">
        <f aca="false">IF(A112="","",TRIM(INDEX('COOIS Raw'!$A:$GZ,ROW()-4,$B$4)))</f>
        <v>92YFD04548BAA</v>
      </c>
      <c r="C112" s="42" t="str">
        <f aca="false">IF(OR(A112="",$C$4=0),"",INDEX('COOIS Raw'!$A:$GZ,ROW()-4,$C$4))</f>
        <v>R5B OPF ASSEMBLY (4P-4FP) BOAT 1 - E2A</v>
      </c>
      <c r="D112" s="41" t="n">
        <f aca="false">IF(A112="","",IF($D$4=0,1,IFERROR(--INDEX('COOIS Raw'!$A:$GZ,ROW()-4,$D$4),1)))</f>
        <v>1</v>
      </c>
      <c r="E112" s="42" t="str">
        <f aca="false">IF(A112="","",INDEX('COOIS Raw'!$A:$GZ,ROW()-4,$E$4)&amp;"")</f>
        <v>REL PRT PCNF PRC MANC SETC</v>
      </c>
      <c r="F112" s="43" t="n">
        <f aca="false">IF(A112="","",IFERROR(DATEVALUE(INDEX('COOIS Raw'!$A:$GZ,ROW()-4,$F$4)),INDEX('COOIS Raw'!$A:$GZ,ROW()-4,$F$4)))</f>
        <v>46296</v>
      </c>
      <c r="G112" s="41" t="str">
        <f aca="false">IF(A112="","",IF(ISNA(MATCH(B112,'Kitting Plan'!$B$6:$B$19,0)),"Not in plan","Yes"))</f>
        <v>Yes</v>
      </c>
      <c r="H112" s="41" t="n">
        <f aca="false">IF(G112="Yes",INDEX('Kitting Plan'!$D$6:$D$19,MATCH(B112,'Kitting Plan'!$B$6:$B$19,0)),"")</f>
        <v>1</v>
      </c>
      <c r="I112" s="41" t="n">
        <f aca="false">IF(A112="","",IF(ISNUMBER(SEARCH("PRT",E112)),D112,0))</f>
        <v>1</v>
      </c>
      <c r="J112" s="41" t="n">
        <f aca="false">IF(A112="","",IF(ISNUMBER(SEARCH("GMPS",E112)),D112,0))</f>
        <v>0</v>
      </c>
      <c r="K112" s="41" t="n">
        <f aca="false">IF(A112="","",IF(ISNUMBER(SEARCH("DLV",E112)),D112,0))</f>
        <v>0</v>
      </c>
      <c r="L112" s="41" t="str">
        <f aca="false">IF(A112="","",IF(K112&gt;0,"Delivered",IF(ISNUMBER(SEARCH("CNF",E112)),"In production",IF(J112&gt;0,"Issued",IF(I112&gt;0,"Kitted","Released")))))</f>
        <v>In production</v>
      </c>
      <c r="M112" s="41" t="n">
        <f aca="false">IF(G112&lt;&gt;"Yes","",COUNTIFS($B$6:$B$1505,B112,$F$6:$F$1505,"&lt;"&amp;F112)+COUNTIFS($B$6:$B$1505,B112,$F$6:$F$1505,F112,$A$6:$A$1505,"&lt;="&amp;A112))</f>
        <v>11</v>
      </c>
      <c r="N112" s="41" t="n">
        <f aca="false">IF(M112="","",ROUNDUP(M112/H112,0))</f>
        <v>11</v>
      </c>
      <c r="O112" s="41" t="str">
        <f aca="false">IF(N112="","",IF(N112&lt;='Kitting Plan'!$C$3,"Rep "&amp;N112,"Surplus"))</f>
        <v>Rep 11</v>
      </c>
    </row>
    <row r="113" customFormat="false" ht="15" hidden="false" customHeight="false" outlineLevel="0" collapsed="false">
      <c r="A113" s="40" t="n">
        <f aca="false">IF(OR($A$4=0,INDEX('COOIS Raw'!$A:$GZ,ROW()-4,$A$4)=""),"",IFERROR(--INDEX('COOIS Raw'!$A:$GZ,ROW()-4,$A$4),INDEX('COOIS Raw'!$A:$GZ,ROW()-4,$A$4)))</f>
        <v>100879972</v>
      </c>
      <c r="B113" s="41" t="str">
        <f aca="false">IF(A113="","",TRIM(INDEX('COOIS Raw'!$A:$GZ,ROW()-4,$B$4)))</f>
        <v>92YFD04548BBA</v>
      </c>
      <c r="C113" s="42" t="str">
        <f aca="false">IF(OR(A113="",$C$4=0),"",INDEX('COOIS Raw'!$A:$GZ,ROW()-4,$C$4))</f>
        <v>R5B OPF ASSEMBLY (4P-4FP) BOAT 2/3 - E2A</v>
      </c>
      <c r="D113" s="41" t="n">
        <f aca="false">IF(A113="","",IF($D$4=0,1,IFERROR(--INDEX('COOIS Raw'!$A:$GZ,ROW()-4,$D$4),1)))</f>
        <v>1</v>
      </c>
      <c r="E113" s="42" t="str">
        <f aca="false">IF(A113="","",INDEX('COOIS Raw'!$A:$GZ,ROW()-4,$E$4)&amp;"")</f>
        <v>REL PRT PCNF PRC MANC SETC</v>
      </c>
      <c r="F113" s="43" t="n">
        <f aca="false">IF(A113="","",IFERROR(DATEVALUE(INDEX('COOIS Raw'!$A:$GZ,ROW()-4,$F$4)),INDEX('COOIS Raw'!$A:$GZ,ROW()-4,$F$4)))</f>
        <v>46296</v>
      </c>
      <c r="G113" s="41" t="str">
        <f aca="false">IF(A113="","",IF(ISNA(MATCH(B113,'Kitting Plan'!$B$6:$B$19,0)),"Not in plan","Yes"))</f>
        <v>Yes</v>
      </c>
      <c r="H113" s="41" t="n">
        <f aca="false">IF(G113="Yes",INDEX('Kitting Plan'!$D$6:$D$19,MATCH(B113,'Kitting Plan'!$B$6:$B$19,0)),"")</f>
        <v>2</v>
      </c>
      <c r="I113" s="41" t="n">
        <f aca="false">IF(A113="","",IF(ISNUMBER(SEARCH("PRT",E113)),D113,0))</f>
        <v>1</v>
      </c>
      <c r="J113" s="41" t="n">
        <f aca="false">IF(A113="","",IF(ISNUMBER(SEARCH("GMPS",E113)),D113,0))</f>
        <v>0</v>
      </c>
      <c r="K113" s="41" t="n">
        <f aca="false">IF(A113="","",IF(ISNUMBER(SEARCH("DLV",E113)),D113,0))</f>
        <v>0</v>
      </c>
      <c r="L113" s="41" t="str">
        <f aca="false">IF(A113="","",IF(K113&gt;0,"Delivered",IF(ISNUMBER(SEARCH("CNF",E113)),"In production",IF(J113&gt;0,"Issued",IF(I113&gt;0,"Kitted","Released")))))</f>
        <v>In production</v>
      </c>
      <c r="M113" s="41" t="n">
        <f aca="false">IF(G113&lt;&gt;"Yes","",COUNTIFS($B$6:$B$1505,B113,$F$6:$F$1505,"&lt;"&amp;F113)+COUNTIFS($B$6:$B$1505,B113,$F$6:$F$1505,F113,$A$6:$A$1505,"&lt;="&amp;A113))</f>
        <v>19</v>
      </c>
      <c r="N113" s="41" t="n">
        <f aca="false">IF(M113="","",ROUNDUP(M113/H113,0))</f>
        <v>10</v>
      </c>
      <c r="O113" s="41" t="str">
        <f aca="false">IF(N113="","",IF(N113&lt;='Kitting Plan'!$C$3,"Rep "&amp;N113,"Surplus"))</f>
        <v>Rep 10</v>
      </c>
    </row>
    <row r="114" customFormat="false" ht="15" hidden="false" customHeight="false" outlineLevel="0" collapsed="false">
      <c r="A114" s="40" t="n">
        <f aca="false">IF(OR($A$4=0,INDEX('COOIS Raw'!$A:$GZ,ROW()-4,$A$4)=""),"",IFERROR(--INDEX('COOIS Raw'!$A:$GZ,ROW()-4,$A$4),INDEX('COOIS Raw'!$A:$GZ,ROW()-4,$A$4)))</f>
        <v>100879973</v>
      </c>
      <c r="B114" s="41" t="str">
        <f aca="false">IF(A114="","",TRIM(INDEX('COOIS Raw'!$A:$GZ,ROW()-4,$B$4)))</f>
        <v>92YFD04548BBA</v>
      </c>
      <c r="C114" s="42" t="str">
        <f aca="false">IF(OR(A114="",$C$4=0),"",INDEX('COOIS Raw'!$A:$GZ,ROW()-4,$C$4))</f>
        <v>R5B OPF ASSEMBLY (4P-4FP) BOAT 2/3 - E2A</v>
      </c>
      <c r="D114" s="41" t="n">
        <f aca="false">IF(A114="","",IF($D$4=0,1,IFERROR(--INDEX('COOIS Raw'!$A:$GZ,ROW()-4,$D$4),1)))</f>
        <v>1</v>
      </c>
      <c r="E114" s="42" t="str">
        <f aca="false">IF(A114="","",INDEX('COOIS Raw'!$A:$GZ,ROW()-4,$E$4)&amp;"")</f>
        <v>REL PRT PCNF PRC MANC SETC</v>
      </c>
      <c r="F114" s="43" t="n">
        <f aca="false">IF(A114="","",IFERROR(DATEVALUE(INDEX('COOIS Raw'!$A:$GZ,ROW()-4,$F$4)),INDEX('COOIS Raw'!$A:$GZ,ROW()-4,$F$4)))</f>
        <v>46296</v>
      </c>
      <c r="G114" s="41" t="str">
        <f aca="false">IF(A114="","",IF(ISNA(MATCH(B114,'Kitting Plan'!$B$6:$B$19,0)),"Not in plan","Yes"))</f>
        <v>Yes</v>
      </c>
      <c r="H114" s="41" t="n">
        <f aca="false">IF(G114="Yes",INDEX('Kitting Plan'!$D$6:$D$19,MATCH(B114,'Kitting Plan'!$B$6:$B$19,0)),"")</f>
        <v>2</v>
      </c>
      <c r="I114" s="41" t="n">
        <f aca="false">IF(A114="","",IF(ISNUMBER(SEARCH("PRT",E114)),D114,0))</f>
        <v>1</v>
      </c>
      <c r="J114" s="41" t="n">
        <f aca="false">IF(A114="","",IF(ISNUMBER(SEARCH("GMPS",E114)),D114,0))</f>
        <v>0</v>
      </c>
      <c r="K114" s="41" t="n">
        <f aca="false">IF(A114="","",IF(ISNUMBER(SEARCH("DLV",E114)),D114,0))</f>
        <v>0</v>
      </c>
      <c r="L114" s="41" t="str">
        <f aca="false">IF(A114="","",IF(K114&gt;0,"Delivered",IF(ISNUMBER(SEARCH("CNF",E114)),"In production",IF(J114&gt;0,"Issued",IF(I114&gt;0,"Kitted","Released")))))</f>
        <v>In production</v>
      </c>
      <c r="M114" s="41" t="n">
        <f aca="false">IF(G114&lt;&gt;"Yes","",COUNTIFS($B$6:$B$1505,B114,$F$6:$F$1505,"&lt;"&amp;F114)+COUNTIFS($B$6:$B$1505,B114,$F$6:$F$1505,F114,$A$6:$A$1505,"&lt;="&amp;A114))</f>
        <v>20</v>
      </c>
      <c r="N114" s="41" t="n">
        <f aca="false">IF(M114="","",ROUNDUP(M114/H114,0))</f>
        <v>10</v>
      </c>
      <c r="O114" s="41" t="str">
        <f aca="false">IF(N114="","",IF(N114&lt;='Kitting Plan'!$C$3,"Rep "&amp;N114,"Surplus"))</f>
        <v>Rep 10</v>
      </c>
    </row>
    <row r="115" customFormat="false" ht="15" hidden="false" customHeight="false" outlineLevel="0" collapsed="false">
      <c r="A115" s="40" t="n">
        <f aca="false">IF(OR($A$4=0,INDEX('COOIS Raw'!$A:$GZ,ROW()-4,$A$4)=""),"",IFERROR(--INDEX('COOIS Raw'!$A:$GZ,ROW()-4,$A$4),INDEX('COOIS Raw'!$A:$GZ,ROW()-4,$A$4)))</f>
        <v>100879978</v>
      </c>
      <c r="B115" s="41" t="str">
        <f aca="false">IF(A115="","",TRIM(INDEX('COOIS Raw'!$A:$GZ,ROW()-4,$B$4)))</f>
        <v>92YWS04548AAA</v>
      </c>
      <c r="C115" s="42" t="str">
        <f aca="false">IF(OR(A115="",$C$4=0),"",INDEX('COOIS Raw'!$A:$GZ,ROW()-4,$C$4))</f>
        <v>R5B 4FP POB LUMENTUM SUB ASSEMBLY - E2A</v>
      </c>
      <c r="D115" s="41" t="n">
        <f aca="false">IF(A115="","",IF($D$4=0,1,IFERROR(--INDEX('COOIS Raw'!$A:$GZ,ROW()-4,$D$4),1)))</f>
        <v>1</v>
      </c>
      <c r="E115" s="42" t="str">
        <f aca="false">IF(A115="","",INDEX('COOIS Raw'!$A:$GZ,ROW()-4,$E$4)&amp;"")</f>
        <v>REL PRT PCNF PRC MANC SETC</v>
      </c>
      <c r="F115" s="43" t="n">
        <f aca="false">IF(A115="","",IFERROR(DATEVALUE(INDEX('COOIS Raw'!$A:$GZ,ROW()-4,$F$4)),INDEX('COOIS Raw'!$A:$GZ,ROW()-4,$F$4)))</f>
        <v>46296</v>
      </c>
      <c r="G115" s="41" t="str">
        <f aca="false">IF(A115="","",IF(ISNA(MATCH(B115,'Kitting Plan'!$B$6:$B$19,0)),"Not in plan","Yes"))</f>
        <v>Yes</v>
      </c>
      <c r="H115" s="41" t="n">
        <f aca="false">IF(G115="Yes",INDEX('Kitting Plan'!$D$6:$D$19,MATCH(B115,'Kitting Plan'!$B$6:$B$19,0)),"")</f>
        <v>3</v>
      </c>
      <c r="I115" s="41" t="n">
        <f aca="false">IF(A115="","",IF(ISNUMBER(SEARCH("PRT",E115)),D115,0))</f>
        <v>1</v>
      </c>
      <c r="J115" s="41" t="n">
        <f aca="false">IF(A115="","",IF(ISNUMBER(SEARCH("GMPS",E115)),D115,0))</f>
        <v>0</v>
      </c>
      <c r="K115" s="41" t="n">
        <f aca="false">IF(A115="","",IF(ISNUMBER(SEARCH("DLV",E115)),D115,0))</f>
        <v>0</v>
      </c>
      <c r="L115" s="41" t="str">
        <f aca="false">IF(A115="","",IF(K115&gt;0,"Delivered",IF(ISNUMBER(SEARCH("CNF",E115)),"In production",IF(J115&gt;0,"Issued",IF(I115&gt;0,"Kitted","Released")))))</f>
        <v>In production</v>
      </c>
      <c r="M115" s="41" t="n">
        <f aca="false">IF(G115&lt;&gt;"Yes","",COUNTIFS($B$6:$B$1505,B115,$F$6:$F$1505,"&lt;"&amp;F115)+COUNTIFS($B$6:$B$1505,B115,$F$6:$F$1505,F115,$A$6:$A$1505,"&lt;="&amp;A115))</f>
        <v>28</v>
      </c>
      <c r="N115" s="41" t="n">
        <f aca="false">IF(M115="","",ROUNDUP(M115/H115,0))</f>
        <v>10</v>
      </c>
      <c r="O115" s="41" t="str">
        <f aca="false">IF(N115="","",IF(N115&lt;='Kitting Plan'!$C$3,"Rep "&amp;N115,"Surplus"))</f>
        <v>Rep 10</v>
      </c>
    </row>
    <row r="116" customFormat="false" ht="15" hidden="false" customHeight="false" outlineLevel="0" collapsed="false">
      <c r="A116" s="40" t="n">
        <f aca="false">IF(OR($A$4=0,INDEX('COOIS Raw'!$A:$GZ,ROW()-4,$A$4)=""),"",IFERROR(--INDEX('COOIS Raw'!$A:$GZ,ROW()-4,$A$4),INDEX('COOIS Raw'!$A:$GZ,ROW()-4,$A$4)))</f>
        <v>100879979</v>
      </c>
      <c r="B116" s="41" t="str">
        <f aca="false">IF(A116="","",TRIM(INDEX('COOIS Raw'!$A:$GZ,ROW()-4,$B$4)))</f>
        <v>92YWS04548AAA</v>
      </c>
      <c r="C116" s="42" t="str">
        <f aca="false">IF(OR(A116="",$C$4=0),"",INDEX('COOIS Raw'!$A:$GZ,ROW()-4,$C$4))</f>
        <v>R5B 4FP POB LUMENTUM SUB ASSEMBLY - E2A</v>
      </c>
      <c r="D116" s="41" t="n">
        <f aca="false">IF(A116="","",IF($D$4=0,1,IFERROR(--INDEX('COOIS Raw'!$A:$GZ,ROW()-4,$D$4),1)))</f>
        <v>1</v>
      </c>
      <c r="E116" s="42" t="str">
        <f aca="false">IF(A116="","",INDEX('COOIS Raw'!$A:$GZ,ROW()-4,$E$4)&amp;"")</f>
        <v>REL PRT PCNF PRC MANC SETC</v>
      </c>
      <c r="F116" s="43" t="n">
        <f aca="false">IF(A116="","",IFERROR(DATEVALUE(INDEX('COOIS Raw'!$A:$GZ,ROW()-4,$F$4)),INDEX('COOIS Raw'!$A:$GZ,ROW()-4,$F$4)))</f>
        <v>46296</v>
      </c>
      <c r="G116" s="41" t="str">
        <f aca="false">IF(A116="","",IF(ISNA(MATCH(B116,'Kitting Plan'!$B$6:$B$19,0)),"Not in plan","Yes"))</f>
        <v>Yes</v>
      </c>
      <c r="H116" s="41" t="n">
        <f aca="false">IF(G116="Yes",INDEX('Kitting Plan'!$D$6:$D$19,MATCH(B116,'Kitting Plan'!$B$6:$B$19,0)),"")</f>
        <v>3</v>
      </c>
      <c r="I116" s="41" t="n">
        <f aca="false">IF(A116="","",IF(ISNUMBER(SEARCH("PRT",E116)),D116,0))</f>
        <v>1</v>
      </c>
      <c r="J116" s="41" t="n">
        <f aca="false">IF(A116="","",IF(ISNUMBER(SEARCH("GMPS",E116)),D116,0))</f>
        <v>0</v>
      </c>
      <c r="K116" s="41" t="n">
        <f aca="false">IF(A116="","",IF(ISNUMBER(SEARCH("DLV",E116)),D116,0))</f>
        <v>0</v>
      </c>
      <c r="L116" s="41" t="str">
        <f aca="false">IF(A116="","",IF(K116&gt;0,"Delivered",IF(ISNUMBER(SEARCH("CNF",E116)),"In production",IF(J116&gt;0,"Issued",IF(I116&gt;0,"Kitted","Released")))))</f>
        <v>In production</v>
      </c>
      <c r="M116" s="41" t="n">
        <f aca="false">IF(G116&lt;&gt;"Yes","",COUNTIFS($B$6:$B$1505,B116,$F$6:$F$1505,"&lt;"&amp;F116)+COUNTIFS($B$6:$B$1505,B116,$F$6:$F$1505,F116,$A$6:$A$1505,"&lt;="&amp;A116))</f>
        <v>29</v>
      </c>
      <c r="N116" s="41" t="n">
        <f aca="false">IF(M116="","",ROUNDUP(M116/H116,0))</f>
        <v>10</v>
      </c>
      <c r="O116" s="41" t="str">
        <f aca="false">IF(N116="","",IF(N116&lt;='Kitting Plan'!$C$3,"Rep "&amp;N116,"Surplus"))</f>
        <v>Rep 10</v>
      </c>
    </row>
    <row r="117" customFormat="false" ht="15" hidden="false" customHeight="false" outlineLevel="0" collapsed="false">
      <c r="A117" s="40" t="n">
        <f aca="false">IF(OR($A$4=0,INDEX('COOIS Raw'!$A:$GZ,ROW()-4,$A$4)=""),"",IFERROR(--INDEX('COOIS Raw'!$A:$GZ,ROW()-4,$A$4),INDEX('COOIS Raw'!$A:$GZ,ROW()-4,$A$4)))</f>
        <v>100879980</v>
      </c>
      <c r="B117" s="41" t="str">
        <f aca="false">IF(A117="","",TRIM(INDEX('COOIS Raw'!$A:$GZ,ROW()-4,$B$4)))</f>
        <v>92YWS04548AAA</v>
      </c>
      <c r="C117" s="42" t="str">
        <f aca="false">IF(OR(A117="",$C$4=0),"",INDEX('COOIS Raw'!$A:$GZ,ROW()-4,$C$4))</f>
        <v>R5B 4FP POB LUMENTUM SUB ASSEMBLY - E2A</v>
      </c>
      <c r="D117" s="41" t="n">
        <f aca="false">IF(A117="","",IF($D$4=0,1,IFERROR(--INDEX('COOIS Raw'!$A:$GZ,ROW()-4,$D$4),1)))</f>
        <v>1</v>
      </c>
      <c r="E117" s="42" t="str">
        <f aca="false">IF(A117="","",INDEX('COOIS Raw'!$A:$GZ,ROW()-4,$E$4)&amp;"")</f>
        <v>REL PRT PCNF PRC MANC SETC</v>
      </c>
      <c r="F117" s="43" t="n">
        <f aca="false">IF(A117="","",IFERROR(DATEVALUE(INDEX('COOIS Raw'!$A:$GZ,ROW()-4,$F$4)),INDEX('COOIS Raw'!$A:$GZ,ROW()-4,$F$4)))</f>
        <v>46296</v>
      </c>
      <c r="G117" s="41" t="str">
        <f aca="false">IF(A117="","",IF(ISNA(MATCH(B117,'Kitting Plan'!$B$6:$B$19,0)),"Not in plan","Yes"))</f>
        <v>Yes</v>
      </c>
      <c r="H117" s="41" t="n">
        <f aca="false">IF(G117="Yes",INDEX('Kitting Plan'!$D$6:$D$19,MATCH(B117,'Kitting Plan'!$B$6:$B$19,0)),"")</f>
        <v>3</v>
      </c>
      <c r="I117" s="41" t="n">
        <f aca="false">IF(A117="","",IF(ISNUMBER(SEARCH("PRT",E117)),D117,0))</f>
        <v>1</v>
      </c>
      <c r="J117" s="41" t="n">
        <f aca="false">IF(A117="","",IF(ISNUMBER(SEARCH("GMPS",E117)),D117,0))</f>
        <v>0</v>
      </c>
      <c r="K117" s="41" t="n">
        <f aca="false">IF(A117="","",IF(ISNUMBER(SEARCH("DLV",E117)),D117,0))</f>
        <v>0</v>
      </c>
      <c r="L117" s="41" t="str">
        <f aca="false">IF(A117="","",IF(K117&gt;0,"Delivered",IF(ISNUMBER(SEARCH("CNF",E117)),"In production",IF(J117&gt;0,"Issued",IF(I117&gt;0,"Kitted","Released")))))</f>
        <v>In production</v>
      </c>
      <c r="M117" s="41" t="n">
        <f aca="false">IF(G117&lt;&gt;"Yes","",COUNTIFS($B$6:$B$1505,B117,$F$6:$F$1505,"&lt;"&amp;F117)+COUNTIFS($B$6:$B$1505,B117,$F$6:$F$1505,F117,$A$6:$A$1505,"&lt;="&amp;A117))</f>
        <v>30</v>
      </c>
      <c r="N117" s="41" t="n">
        <f aca="false">IF(M117="","",ROUNDUP(M117/H117,0))</f>
        <v>10</v>
      </c>
      <c r="O117" s="41" t="str">
        <f aca="false">IF(N117="","",IF(N117&lt;='Kitting Plan'!$C$3,"Rep "&amp;N117,"Surplus"))</f>
        <v>Rep 10</v>
      </c>
    </row>
    <row r="118" customFormat="false" ht="15" hidden="false" customHeight="false" outlineLevel="0" collapsed="false">
      <c r="A118" s="40" t="n">
        <f aca="false">IF(OR($A$4=0,INDEX('COOIS Raw'!$A:$GZ,ROW()-4,$A$4)=""),"",IFERROR(--INDEX('COOIS Raw'!$A:$GZ,ROW()-4,$A$4),INDEX('COOIS Raw'!$A:$GZ,ROW()-4,$A$4)))</f>
        <v>100879981</v>
      </c>
      <c r="B118" s="41" t="str">
        <f aca="false">IF(A118="","",TRIM(INDEX('COOIS Raw'!$A:$GZ,ROW()-4,$B$4)))</f>
        <v>92RRA00548AAA</v>
      </c>
      <c r="C118" s="42" t="str">
        <f aca="false">IF(OR(A118="",$C$4=0),"",INDEX('COOIS Raw'!$A:$GZ,ROW()-4,$C$4))</f>
        <v>R5B ERBIUM SPOOL ASSEMBLY - E2A</v>
      </c>
      <c r="D118" s="41" t="n">
        <f aca="false">IF(A118="","",IF($D$4=0,1,IFERROR(--INDEX('COOIS Raw'!$A:$GZ,ROW()-4,$D$4),1)))</f>
        <v>1</v>
      </c>
      <c r="E118" s="42" t="str">
        <f aca="false">IF(A118="","",INDEX('COOIS Raw'!$A:$GZ,ROW()-4,$E$4)&amp;"")</f>
        <v>REL PRT PCNF PRC MANC SETC</v>
      </c>
      <c r="F118" s="43" t="n">
        <f aca="false">IF(A118="","",IFERROR(DATEVALUE(INDEX('COOIS Raw'!$A:$GZ,ROW()-4,$F$4)),INDEX('COOIS Raw'!$A:$GZ,ROW()-4,$F$4)))</f>
        <v>46296</v>
      </c>
      <c r="G118" s="41" t="str">
        <f aca="false">IF(A118="","",IF(ISNA(MATCH(B118,'Kitting Plan'!$B$6:$B$19,0)),"Not in plan","Yes"))</f>
        <v>Yes</v>
      </c>
      <c r="H118" s="41" t="n">
        <f aca="false">IF(G118="Yes",INDEX('Kitting Plan'!$D$6:$D$19,MATCH(B118,'Kitting Plan'!$B$6:$B$19,0)),"")</f>
        <v>24</v>
      </c>
      <c r="I118" s="41" t="n">
        <f aca="false">IF(A118="","",IF(ISNUMBER(SEARCH("PRT",E118)),D118,0))</f>
        <v>1</v>
      </c>
      <c r="J118" s="41" t="n">
        <f aca="false">IF(A118="","",IF(ISNUMBER(SEARCH("GMPS",E118)),D118,0))</f>
        <v>0</v>
      </c>
      <c r="K118" s="41" t="n">
        <f aca="false">IF(A118="","",IF(ISNUMBER(SEARCH("DLV",E118)),D118,0))</f>
        <v>0</v>
      </c>
      <c r="L118" s="41" t="str">
        <f aca="false">IF(A118="","",IF(K118&gt;0,"Delivered",IF(ISNUMBER(SEARCH("CNF",E118)),"In production",IF(J118&gt;0,"Issued",IF(I118&gt;0,"Kitted","Released")))))</f>
        <v>In production</v>
      </c>
      <c r="M118" s="41" t="n">
        <f aca="false">IF(G118&lt;&gt;"Yes","",COUNTIFS($B$6:$B$1505,B118,$F$6:$F$1505,"&lt;"&amp;F118)+COUNTIFS($B$6:$B$1505,B118,$F$6:$F$1505,F118,$A$6:$A$1505,"&lt;="&amp;A118))</f>
        <v>227</v>
      </c>
      <c r="N118" s="41" t="n">
        <f aca="false">IF(M118="","",ROUNDUP(M118/H118,0))</f>
        <v>10</v>
      </c>
      <c r="O118" s="41" t="str">
        <f aca="false">IF(N118="","",IF(N118&lt;='Kitting Plan'!$C$3,"Rep "&amp;N118,"Surplus"))</f>
        <v>Rep 10</v>
      </c>
    </row>
    <row r="119" customFormat="false" ht="15" hidden="false" customHeight="false" outlineLevel="0" collapsed="false">
      <c r="A119" s="40" t="n">
        <f aca="false">IF(OR($A$4=0,INDEX('COOIS Raw'!$A:$GZ,ROW()-4,$A$4)=""),"",IFERROR(--INDEX('COOIS Raw'!$A:$GZ,ROW()-4,$A$4),INDEX('COOIS Raw'!$A:$GZ,ROW()-4,$A$4)))</f>
        <v>100879982</v>
      </c>
      <c r="B119" s="41" t="str">
        <f aca="false">IF(A119="","",TRIM(INDEX('COOIS Raw'!$A:$GZ,ROW()-4,$B$4)))</f>
        <v>92RRA00548AAA</v>
      </c>
      <c r="C119" s="42" t="str">
        <f aca="false">IF(OR(A119="",$C$4=0),"",INDEX('COOIS Raw'!$A:$GZ,ROW()-4,$C$4))</f>
        <v>R5B ERBIUM SPOOL ASSEMBLY - E2A</v>
      </c>
      <c r="D119" s="41" t="n">
        <f aca="false">IF(A119="","",IF($D$4=0,1,IFERROR(--INDEX('COOIS Raw'!$A:$GZ,ROW()-4,$D$4),1)))</f>
        <v>1</v>
      </c>
      <c r="E119" s="42" t="str">
        <f aca="false">IF(A119="","",INDEX('COOIS Raw'!$A:$GZ,ROW()-4,$E$4)&amp;"")</f>
        <v>REL PRT PCNF PRC MANC SETC</v>
      </c>
      <c r="F119" s="43" t="n">
        <f aca="false">IF(A119="","",IFERROR(DATEVALUE(INDEX('COOIS Raw'!$A:$GZ,ROW()-4,$F$4)),INDEX('COOIS Raw'!$A:$GZ,ROW()-4,$F$4)))</f>
        <v>46296</v>
      </c>
      <c r="G119" s="41" t="str">
        <f aca="false">IF(A119="","",IF(ISNA(MATCH(B119,'Kitting Plan'!$B$6:$B$19,0)),"Not in plan","Yes"))</f>
        <v>Yes</v>
      </c>
      <c r="H119" s="41" t="n">
        <f aca="false">IF(G119="Yes",INDEX('Kitting Plan'!$D$6:$D$19,MATCH(B119,'Kitting Plan'!$B$6:$B$19,0)),"")</f>
        <v>24</v>
      </c>
      <c r="I119" s="41" t="n">
        <f aca="false">IF(A119="","",IF(ISNUMBER(SEARCH("PRT",E119)),D119,0))</f>
        <v>1</v>
      </c>
      <c r="J119" s="41" t="n">
        <f aca="false">IF(A119="","",IF(ISNUMBER(SEARCH("GMPS",E119)),D119,0))</f>
        <v>0</v>
      </c>
      <c r="K119" s="41" t="n">
        <f aca="false">IF(A119="","",IF(ISNUMBER(SEARCH("DLV",E119)),D119,0))</f>
        <v>0</v>
      </c>
      <c r="L119" s="41" t="str">
        <f aca="false">IF(A119="","",IF(K119&gt;0,"Delivered",IF(ISNUMBER(SEARCH("CNF",E119)),"In production",IF(J119&gt;0,"Issued",IF(I119&gt;0,"Kitted","Released")))))</f>
        <v>In production</v>
      </c>
      <c r="M119" s="41" t="n">
        <f aca="false">IF(G119&lt;&gt;"Yes","",COUNTIFS($B$6:$B$1505,B119,$F$6:$F$1505,"&lt;"&amp;F119)+COUNTIFS($B$6:$B$1505,B119,$F$6:$F$1505,F119,$A$6:$A$1505,"&lt;="&amp;A119))</f>
        <v>228</v>
      </c>
      <c r="N119" s="41" t="n">
        <f aca="false">IF(M119="","",ROUNDUP(M119/H119,0))</f>
        <v>10</v>
      </c>
      <c r="O119" s="41" t="str">
        <f aca="false">IF(N119="","",IF(N119&lt;='Kitting Plan'!$C$3,"Rep "&amp;N119,"Surplus"))</f>
        <v>Rep 10</v>
      </c>
    </row>
    <row r="120" customFormat="false" ht="15" hidden="false" customHeight="false" outlineLevel="0" collapsed="false">
      <c r="A120" s="40" t="n">
        <f aca="false">IF(OR($A$4=0,INDEX('COOIS Raw'!$A:$GZ,ROW()-4,$A$4)=""),"",IFERROR(--INDEX('COOIS Raw'!$A:$GZ,ROW()-4,$A$4),INDEX('COOIS Raw'!$A:$GZ,ROW()-4,$A$4)))</f>
        <v>100879983</v>
      </c>
      <c r="B120" s="41" t="str">
        <f aca="false">IF(A120="","",TRIM(INDEX('COOIS Raw'!$A:$GZ,ROW()-4,$B$4)))</f>
        <v>92RRA00548AAA</v>
      </c>
      <c r="C120" s="42" t="str">
        <f aca="false">IF(OR(A120="",$C$4=0),"",INDEX('COOIS Raw'!$A:$GZ,ROW()-4,$C$4))</f>
        <v>R5B ERBIUM SPOOL ASSEMBLY - E2A</v>
      </c>
      <c r="D120" s="41" t="n">
        <f aca="false">IF(A120="","",IF($D$4=0,1,IFERROR(--INDEX('COOIS Raw'!$A:$GZ,ROW()-4,$D$4),1)))</f>
        <v>1</v>
      </c>
      <c r="E120" s="42" t="str">
        <f aca="false">IF(A120="","",INDEX('COOIS Raw'!$A:$GZ,ROW()-4,$E$4)&amp;"")</f>
        <v>REL PRT PCNF PRC MANC SETC</v>
      </c>
      <c r="F120" s="43" t="n">
        <f aca="false">IF(A120="","",IFERROR(DATEVALUE(INDEX('COOIS Raw'!$A:$GZ,ROW()-4,$F$4)),INDEX('COOIS Raw'!$A:$GZ,ROW()-4,$F$4)))</f>
        <v>46296</v>
      </c>
      <c r="G120" s="41" t="str">
        <f aca="false">IF(A120="","",IF(ISNA(MATCH(B120,'Kitting Plan'!$B$6:$B$19,0)),"Not in plan","Yes"))</f>
        <v>Yes</v>
      </c>
      <c r="H120" s="41" t="n">
        <f aca="false">IF(G120="Yes",INDEX('Kitting Plan'!$D$6:$D$19,MATCH(B120,'Kitting Plan'!$B$6:$B$19,0)),"")</f>
        <v>24</v>
      </c>
      <c r="I120" s="41" t="n">
        <f aca="false">IF(A120="","",IF(ISNUMBER(SEARCH("PRT",E120)),D120,0))</f>
        <v>1</v>
      </c>
      <c r="J120" s="41" t="n">
        <f aca="false">IF(A120="","",IF(ISNUMBER(SEARCH("GMPS",E120)),D120,0))</f>
        <v>0</v>
      </c>
      <c r="K120" s="41" t="n">
        <f aca="false">IF(A120="","",IF(ISNUMBER(SEARCH("DLV",E120)),D120,0))</f>
        <v>0</v>
      </c>
      <c r="L120" s="41" t="str">
        <f aca="false">IF(A120="","",IF(K120&gt;0,"Delivered",IF(ISNUMBER(SEARCH("CNF",E120)),"In production",IF(J120&gt;0,"Issued",IF(I120&gt;0,"Kitted","Released")))))</f>
        <v>In production</v>
      </c>
      <c r="M120" s="41" t="n">
        <f aca="false">IF(G120&lt;&gt;"Yes","",COUNTIFS($B$6:$B$1505,B120,$F$6:$F$1505,"&lt;"&amp;F120)+COUNTIFS($B$6:$B$1505,B120,$F$6:$F$1505,F120,$A$6:$A$1505,"&lt;="&amp;A120))</f>
        <v>229</v>
      </c>
      <c r="N120" s="41" t="n">
        <f aca="false">IF(M120="","",ROUNDUP(M120/H120,0))</f>
        <v>10</v>
      </c>
      <c r="O120" s="41" t="str">
        <f aca="false">IF(N120="","",IF(N120&lt;='Kitting Plan'!$C$3,"Rep "&amp;N120,"Surplus"))</f>
        <v>Rep 10</v>
      </c>
    </row>
    <row r="121" customFormat="false" ht="15" hidden="false" customHeight="false" outlineLevel="0" collapsed="false">
      <c r="A121" s="40" t="n">
        <f aca="false">IF(OR($A$4=0,INDEX('COOIS Raw'!$A:$GZ,ROW()-4,$A$4)=""),"",IFERROR(--INDEX('COOIS Raw'!$A:$GZ,ROW()-4,$A$4),INDEX('COOIS Raw'!$A:$GZ,ROW()-4,$A$4)))</f>
        <v>100879984</v>
      </c>
      <c r="B121" s="41" t="str">
        <f aca="false">IF(A121="","",TRIM(INDEX('COOIS Raw'!$A:$GZ,ROW()-4,$B$4)))</f>
        <v>92RRA00548AAA</v>
      </c>
      <c r="C121" s="42" t="str">
        <f aca="false">IF(OR(A121="",$C$4=0),"",INDEX('COOIS Raw'!$A:$GZ,ROW()-4,$C$4))</f>
        <v>R5B ERBIUM SPOOL ASSEMBLY - E2A</v>
      </c>
      <c r="D121" s="41" t="n">
        <f aca="false">IF(A121="","",IF($D$4=0,1,IFERROR(--INDEX('COOIS Raw'!$A:$GZ,ROW()-4,$D$4),1)))</f>
        <v>1</v>
      </c>
      <c r="E121" s="42" t="str">
        <f aca="false">IF(A121="","",INDEX('COOIS Raw'!$A:$GZ,ROW()-4,$E$4)&amp;"")</f>
        <v>REL PRT PCNF PRC MANC SETC</v>
      </c>
      <c r="F121" s="43" t="n">
        <f aca="false">IF(A121="","",IFERROR(DATEVALUE(INDEX('COOIS Raw'!$A:$GZ,ROW()-4,$F$4)),INDEX('COOIS Raw'!$A:$GZ,ROW()-4,$F$4)))</f>
        <v>46296</v>
      </c>
      <c r="G121" s="41" t="str">
        <f aca="false">IF(A121="","",IF(ISNA(MATCH(B121,'Kitting Plan'!$B$6:$B$19,0)),"Not in plan","Yes"))</f>
        <v>Yes</v>
      </c>
      <c r="H121" s="41" t="n">
        <f aca="false">IF(G121="Yes",INDEX('Kitting Plan'!$D$6:$D$19,MATCH(B121,'Kitting Plan'!$B$6:$B$19,0)),"")</f>
        <v>24</v>
      </c>
      <c r="I121" s="41" t="n">
        <f aca="false">IF(A121="","",IF(ISNUMBER(SEARCH("PRT",E121)),D121,0))</f>
        <v>1</v>
      </c>
      <c r="J121" s="41" t="n">
        <f aca="false">IF(A121="","",IF(ISNUMBER(SEARCH("GMPS",E121)),D121,0))</f>
        <v>0</v>
      </c>
      <c r="K121" s="41" t="n">
        <f aca="false">IF(A121="","",IF(ISNUMBER(SEARCH("DLV",E121)),D121,0))</f>
        <v>0</v>
      </c>
      <c r="L121" s="41" t="str">
        <f aca="false">IF(A121="","",IF(K121&gt;0,"Delivered",IF(ISNUMBER(SEARCH("CNF",E121)),"In production",IF(J121&gt;0,"Issued",IF(I121&gt;0,"Kitted","Released")))))</f>
        <v>In production</v>
      </c>
      <c r="M121" s="41" t="n">
        <f aca="false">IF(G121&lt;&gt;"Yes","",COUNTIFS($B$6:$B$1505,B121,$F$6:$F$1505,"&lt;"&amp;F121)+COUNTIFS($B$6:$B$1505,B121,$F$6:$F$1505,F121,$A$6:$A$1505,"&lt;="&amp;A121))</f>
        <v>230</v>
      </c>
      <c r="N121" s="41" t="n">
        <f aca="false">IF(M121="","",ROUNDUP(M121/H121,0))</f>
        <v>10</v>
      </c>
      <c r="O121" s="41" t="str">
        <f aca="false">IF(N121="","",IF(N121&lt;='Kitting Plan'!$C$3,"Rep "&amp;N121,"Surplus"))</f>
        <v>Rep 10</v>
      </c>
    </row>
    <row r="122" customFormat="false" ht="15" hidden="false" customHeight="false" outlineLevel="0" collapsed="false">
      <c r="A122" s="40" t="n">
        <f aca="false">IF(OR($A$4=0,INDEX('COOIS Raw'!$A:$GZ,ROW()-4,$A$4)=""),"",IFERROR(--INDEX('COOIS Raw'!$A:$GZ,ROW()-4,$A$4),INDEX('COOIS Raw'!$A:$GZ,ROW()-4,$A$4)))</f>
        <v>100879985</v>
      </c>
      <c r="B122" s="41" t="str">
        <f aca="false">IF(A122="","",TRIM(INDEX('COOIS Raw'!$A:$GZ,ROW()-4,$B$4)))</f>
        <v>92RRA00548AAA</v>
      </c>
      <c r="C122" s="42" t="str">
        <f aca="false">IF(OR(A122="",$C$4=0),"",INDEX('COOIS Raw'!$A:$GZ,ROW()-4,$C$4))</f>
        <v>R5B ERBIUM SPOOL ASSEMBLY - E2A</v>
      </c>
      <c r="D122" s="41" t="n">
        <f aca="false">IF(A122="","",IF($D$4=0,1,IFERROR(--INDEX('COOIS Raw'!$A:$GZ,ROW()-4,$D$4),1)))</f>
        <v>1</v>
      </c>
      <c r="E122" s="42" t="str">
        <f aca="false">IF(A122="","",INDEX('COOIS Raw'!$A:$GZ,ROW()-4,$E$4)&amp;"")</f>
        <v>REL PRT PCNF PRC MANC SETC</v>
      </c>
      <c r="F122" s="43" t="n">
        <f aca="false">IF(A122="","",IFERROR(DATEVALUE(INDEX('COOIS Raw'!$A:$GZ,ROW()-4,$F$4)),INDEX('COOIS Raw'!$A:$GZ,ROW()-4,$F$4)))</f>
        <v>46296</v>
      </c>
      <c r="G122" s="41" t="str">
        <f aca="false">IF(A122="","",IF(ISNA(MATCH(B122,'Kitting Plan'!$B$6:$B$19,0)),"Not in plan","Yes"))</f>
        <v>Yes</v>
      </c>
      <c r="H122" s="41" t="n">
        <f aca="false">IF(G122="Yes",INDEX('Kitting Plan'!$D$6:$D$19,MATCH(B122,'Kitting Plan'!$B$6:$B$19,0)),"")</f>
        <v>24</v>
      </c>
      <c r="I122" s="41" t="n">
        <f aca="false">IF(A122="","",IF(ISNUMBER(SEARCH("PRT",E122)),D122,0))</f>
        <v>1</v>
      </c>
      <c r="J122" s="41" t="n">
        <f aca="false">IF(A122="","",IF(ISNUMBER(SEARCH("GMPS",E122)),D122,0))</f>
        <v>0</v>
      </c>
      <c r="K122" s="41" t="n">
        <f aca="false">IF(A122="","",IF(ISNUMBER(SEARCH("DLV",E122)),D122,0))</f>
        <v>0</v>
      </c>
      <c r="L122" s="41" t="str">
        <f aca="false">IF(A122="","",IF(K122&gt;0,"Delivered",IF(ISNUMBER(SEARCH("CNF",E122)),"In production",IF(J122&gt;0,"Issued",IF(I122&gt;0,"Kitted","Released")))))</f>
        <v>In production</v>
      </c>
      <c r="M122" s="41" t="n">
        <f aca="false">IF(G122&lt;&gt;"Yes","",COUNTIFS($B$6:$B$1505,B122,$F$6:$F$1505,"&lt;"&amp;F122)+COUNTIFS($B$6:$B$1505,B122,$F$6:$F$1505,F122,$A$6:$A$1505,"&lt;="&amp;A122))</f>
        <v>231</v>
      </c>
      <c r="N122" s="41" t="n">
        <f aca="false">IF(M122="","",ROUNDUP(M122/H122,0))</f>
        <v>10</v>
      </c>
      <c r="O122" s="41" t="str">
        <f aca="false">IF(N122="","",IF(N122&lt;='Kitting Plan'!$C$3,"Rep "&amp;N122,"Surplus"))</f>
        <v>Rep 10</v>
      </c>
    </row>
    <row r="123" customFormat="false" ht="15" hidden="false" customHeight="false" outlineLevel="0" collapsed="false">
      <c r="A123" s="40" t="n">
        <f aca="false">IF(OR($A$4=0,INDEX('COOIS Raw'!$A:$GZ,ROW()-4,$A$4)=""),"",IFERROR(--INDEX('COOIS Raw'!$A:$GZ,ROW()-4,$A$4),INDEX('COOIS Raw'!$A:$GZ,ROW()-4,$A$4)))</f>
        <v>100879986</v>
      </c>
      <c r="B123" s="41" t="str">
        <f aca="false">IF(A123="","",TRIM(INDEX('COOIS Raw'!$A:$GZ,ROW()-4,$B$4)))</f>
        <v>92RRA00548AAA</v>
      </c>
      <c r="C123" s="42" t="str">
        <f aca="false">IF(OR(A123="",$C$4=0),"",INDEX('COOIS Raw'!$A:$GZ,ROW()-4,$C$4))</f>
        <v>R5B ERBIUM SPOOL ASSEMBLY - E2A</v>
      </c>
      <c r="D123" s="41" t="n">
        <f aca="false">IF(A123="","",IF($D$4=0,1,IFERROR(--INDEX('COOIS Raw'!$A:$GZ,ROW()-4,$D$4),1)))</f>
        <v>1</v>
      </c>
      <c r="E123" s="42" t="str">
        <f aca="false">IF(A123="","",INDEX('COOIS Raw'!$A:$GZ,ROW()-4,$E$4)&amp;"")</f>
        <v>REL PRT PCNF PRC MANC SETC</v>
      </c>
      <c r="F123" s="43" t="n">
        <f aca="false">IF(A123="","",IFERROR(DATEVALUE(INDEX('COOIS Raw'!$A:$GZ,ROW()-4,$F$4)),INDEX('COOIS Raw'!$A:$GZ,ROW()-4,$F$4)))</f>
        <v>46296</v>
      </c>
      <c r="G123" s="41" t="str">
        <f aca="false">IF(A123="","",IF(ISNA(MATCH(B123,'Kitting Plan'!$B$6:$B$19,0)),"Not in plan","Yes"))</f>
        <v>Yes</v>
      </c>
      <c r="H123" s="41" t="n">
        <f aca="false">IF(G123="Yes",INDEX('Kitting Plan'!$D$6:$D$19,MATCH(B123,'Kitting Plan'!$B$6:$B$19,0)),"")</f>
        <v>24</v>
      </c>
      <c r="I123" s="41" t="n">
        <f aca="false">IF(A123="","",IF(ISNUMBER(SEARCH("PRT",E123)),D123,0))</f>
        <v>1</v>
      </c>
      <c r="J123" s="41" t="n">
        <f aca="false">IF(A123="","",IF(ISNUMBER(SEARCH("GMPS",E123)),D123,0))</f>
        <v>0</v>
      </c>
      <c r="K123" s="41" t="n">
        <f aca="false">IF(A123="","",IF(ISNUMBER(SEARCH("DLV",E123)),D123,0))</f>
        <v>0</v>
      </c>
      <c r="L123" s="41" t="str">
        <f aca="false">IF(A123="","",IF(K123&gt;0,"Delivered",IF(ISNUMBER(SEARCH("CNF",E123)),"In production",IF(J123&gt;0,"Issued",IF(I123&gt;0,"Kitted","Released")))))</f>
        <v>In production</v>
      </c>
      <c r="M123" s="41" t="n">
        <f aca="false">IF(G123&lt;&gt;"Yes","",COUNTIFS($B$6:$B$1505,B123,$F$6:$F$1505,"&lt;"&amp;F123)+COUNTIFS($B$6:$B$1505,B123,$F$6:$F$1505,F123,$A$6:$A$1505,"&lt;="&amp;A123))</f>
        <v>232</v>
      </c>
      <c r="N123" s="41" t="n">
        <f aca="false">IF(M123="","",ROUNDUP(M123/H123,0))</f>
        <v>10</v>
      </c>
      <c r="O123" s="41" t="str">
        <f aca="false">IF(N123="","",IF(N123&lt;='Kitting Plan'!$C$3,"Rep "&amp;N123,"Surplus"))</f>
        <v>Rep 10</v>
      </c>
    </row>
    <row r="124" customFormat="false" ht="15" hidden="false" customHeight="false" outlineLevel="0" collapsed="false">
      <c r="A124" s="40" t="n">
        <f aca="false">IF(OR($A$4=0,INDEX('COOIS Raw'!$A:$GZ,ROW()-4,$A$4)=""),"",IFERROR(--INDEX('COOIS Raw'!$A:$GZ,ROW()-4,$A$4),INDEX('COOIS Raw'!$A:$GZ,ROW()-4,$A$4)))</f>
        <v>100879987</v>
      </c>
      <c r="B124" s="41" t="str">
        <f aca="false">IF(A124="","",TRIM(INDEX('COOIS Raw'!$A:$GZ,ROW()-4,$B$4)))</f>
        <v>92RRA00548AAA</v>
      </c>
      <c r="C124" s="42" t="str">
        <f aca="false">IF(OR(A124="",$C$4=0),"",INDEX('COOIS Raw'!$A:$GZ,ROW()-4,$C$4))</f>
        <v>R5B ERBIUM SPOOL ASSEMBLY - E2A</v>
      </c>
      <c r="D124" s="41" t="n">
        <f aca="false">IF(A124="","",IF($D$4=0,1,IFERROR(--INDEX('COOIS Raw'!$A:$GZ,ROW()-4,$D$4),1)))</f>
        <v>1</v>
      </c>
      <c r="E124" s="42" t="str">
        <f aca="false">IF(A124="","",INDEX('COOIS Raw'!$A:$GZ,ROW()-4,$E$4)&amp;"")</f>
        <v>REL PRT PCNF PRC MANC SETC</v>
      </c>
      <c r="F124" s="43" t="n">
        <f aca="false">IF(A124="","",IFERROR(DATEVALUE(INDEX('COOIS Raw'!$A:$GZ,ROW()-4,$F$4)),INDEX('COOIS Raw'!$A:$GZ,ROW()-4,$F$4)))</f>
        <v>46296</v>
      </c>
      <c r="G124" s="41" t="str">
        <f aca="false">IF(A124="","",IF(ISNA(MATCH(B124,'Kitting Plan'!$B$6:$B$19,0)),"Not in plan","Yes"))</f>
        <v>Yes</v>
      </c>
      <c r="H124" s="41" t="n">
        <f aca="false">IF(G124="Yes",INDEX('Kitting Plan'!$D$6:$D$19,MATCH(B124,'Kitting Plan'!$B$6:$B$19,0)),"")</f>
        <v>24</v>
      </c>
      <c r="I124" s="41" t="n">
        <f aca="false">IF(A124="","",IF(ISNUMBER(SEARCH("PRT",E124)),D124,0))</f>
        <v>1</v>
      </c>
      <c r="J124" s="41" t="n">
        <f aca="false">IF(A124="","",IF(ISNUMBER(SEARCH("GMPS",E124)),D124,0))</f>
        <v>0</v>
      </c>
      <c r="K124" s="41" t="n">
        <f aca="false">IF(A124="","",IF(ISNUMBER(SEARCH("DLV",E124)),D124,0))</f>
        <v>0</v>
      </c>
      <c r="L124" s="41" t="str">
        <f aca="false">IF(A124="","",IF(K124&gt;0,"Delivered",IF(ISNUMBER(SEARCH("CNF",E124)),"In production",IF(J124&gt;0,"Issued",IF(I124&gt;0,"Kitted","Released")))))</f>
        <v>In production</v>
      </c>
      <c r="M124" s="41" t="n">
        <f aca="false">IF(G124&lt;&gt;"Yes","",COUNTIFS($B$6:$B$1505,B124,$F$6:$F$1505,"&lt;"&amp;F124)+COUNTIFS($B$6:$B$1505,B124,$F$6:$F$1505,F124,$A$6:$A$1505,"&lt;="&amp;A124))</f>
        <v>233</v>
      </c>
      <c r="N124" s="41" t="n">
        <f aca="false">IF(M124="","",ROUNDUP(M124/H124,0))</f>
        <v>10</v>
      </c>
      <c r="O124" s="41" t="str">
        <f aca="false">IF(N124="","",IF(N124&lt;='Kitting Plan'!$C$3,"Rep "&amp;N124,"Surplus"))</f>
        <v>Rep 10</v>
      </c>
    </row>
    <row r="125" customFormat="false" ht="15" hidden="false" customHeight="false" outlineLevel="0" collapsed="false">
      <c r="A125" s="40" t="n">
        <f aca="false">IF(OR($A$4=0,INDEX('COOIS Raw'!$A:$GZ,ROW()-4,$A$4)=""),"",IFERROR(--INDEX('COOIS Raw'!$A:$GZ,ROW()-4,$A$4),INDEX('COOIS Raw'!$A:$GZ,ROW()-4,$A$4)))</f>
        <v>100879988</v>
      </c>
      <c r="B125" s="41" t="str">
        <f aca="false">IF(A125="","",TRIM(INDEX('COOIS Raw'!$A:$GZ,ROW()-4,$B$4)))</f>
        <v>92RRA00548AAA</v>
      </c>
      <c r="C125" s="42" t="str">
        <f aca="false">IF(OR(A125="",$C$4=0),"",INDEX('COOIS Raw'!$A:$GZ,ROW()-4,$C$4))</f>
        <v>R5B ERBIUM SPOOL ASSEMBLY - E2A</v>
      </c>
      <c r="D125" s="41" t="n">
        <f aca="false">IF(A125="","",IF($D$4=0,1,IFERROR(--INDEX('COOIS Raw'!$A:$GZ,ROW()-4,$D$4),1)))</f>
        <v>1</v>
      </c>
      <c r="E125" s="42" t="str">
        <f aca="false">IF(A125="","",INDEX('COOIS Raw'!$A:$GZ,ROW()-4,$E$4)&amp;"")</f>
        <v>REL PRT PCNF PRC MANC SETC</v>
      </c>
      <c r="F125" s="43" t="n">
        <f aca="false">IF(A125="","",IFERROR(DATEVALUE(INDEX('COOIS Raw'!$A:$GZ,ROW()-4,$F$4)),INDEX('COOIS Raw'!$A:$GZ,ROW()-4,$F$4)))</f>
        <v>46296</v>
      </c>
      <c r="G125" s="41" t="str">
        <f aca="false">IF(A125="","",IF(ISNA(MATCH(B125,'Kitting Plan'!$B$6:$B$19,0)),"Not in plan","Yes"))</f>
        <v>Yes</v>
      </c>
      <c r="H125" s="41" t="n">
        <f aca="false">IF(G125="Yes",INDEX('Kitting Plan'!$D$6:$D$19,MATCH(B125,'Kitting Plan'!$B$6:$B$19,0)),"")</f>
        <v>24</v>
      </c>
      <c r="I125" s="41" t="n">
        <f aca="false">IF(A125="","",IF(ISNUMBER(SEARCH("PRT",E125)),D125,0))</f>
        <v>1</v>
      </c>
      <c r="J125" s="41" t="n">
        <f aca="false">IF(A125="","",IF(ISNUMBER(SEARCH("GMPS",E125)),D125,0))</f>
        <v>0</v>
      </c>
      <c r="K125" s="41" t="n">
        <f aca="false">IF(A125="","",IF(ISNUMBER(SEARCH("DLV",E125)),D125,0))</f>
        <v>0</v>
      </c>
      <c r="L125" s="41" t="str">
        <f aca="false">IF(A125="","",IF(K125&gt;0,"Delivered",IF(ISNUMBER(SEARCH("CNF",E125)),"In production",IF(J125&gt;0,"Issued",IF(I125&gt;0,"Kitted","Released")))))</f>
        <v>In production</v>
      </c>
      <c r="M125" s="41" t="n">
        <f aca="false">IF(G125&lt;&gt;"Yes","",COUNTIFS($B$6:$B$1505,B125,$F$6:$F$1505,"&lt;"&amp;F125)+COUNTIFS($B$6:$B$1505,B125,$F$6:$F$1505,F125,$A$6:$A$1505,"&lt;="&amp;A125))</f>
        <v>234</v>
      </c>
      <c r="N125" s="41" t="n">
        <f aca="false">IF(M125="","",ROUNDUP(M125/H125,0))</f>
        <v>10</v>
      </c>
      <c r="O125" s="41" t="str">
        <f aca="false">IF(N125="","",IF(N125&lt;='Kitting Plan'!$C$3,"Rep "&amp;N125,"Surplus"))</f>
        <v>Rep 10</v>
      </c>
    </row>
    <row r="126" customFormat="false" ht="15" hidden="false" customHeight="false" outlineLevel="0" collapsed="false">
      <c r="A126" s="40" t="n">
        <f aca="false">IF(OR($A$4=0,INDEX('COOIS Raw'!$A:$GZ,ROW()-4,$A$4)=""),"",IFERROR(--INDEX('COOIS Raw'!$A:$GZ,ROW()-4,$A$4),INDEX('COOIS Raw'!$A:$GZ,ROW()-4,$A$4)))</f>
        <v>100879989</v>
      </c>
      <c r="B126" s="41" t="str">
        <f aca="false">IF(A126="","",TRIM(INDEX('COOIS Raw'!$A:$GZ,ROW()-4,$B$4)))</f>
        <v>92RRA00548AAA</v>
      </c>
      <c r="C126" s="42" t="str">
        <f aca="false">IF(OR(A126="",$C$4=0),"",INDEX('COOIS Raw'!$A:$GZ,ROW()-4,$C$4))</f>
        <v>R5B ERBIUM SPOOL ASSEMBLY - E2A</v>
      </c>
      <c r="D126" s="41" t="n">
        <f aca="false">IF(A126="","",IF($D$4=0,1,IFERROR(--INDEX('COOIS Raw'!$A:$GZ,ROW()-4,$D$4),1)))</f>
        <v>1</v>
      </c>
      <c r="E126" s="42" t="str">
        <f aca="false">IF(A126="","",INDEX('COOIS Raw'!$A:$GZ,ROW()-4,$E$4)&amp;"")</f>
        <v>REL PRT PCNF PRC MANC SETC</v>
      </c>
      <c r="F126" s="43" t="n">
        <f aca="false">IF(A126="","",IFERROR(DATEVALUE(INDEX('COOIS Raw'!$A:$GZ,ROW()-4,$F$4)),INDEX('COOIS Raw'!$A:$GZ,ROW()-4,$F$4)))</f>
        <v>46296</v>
      </c>
      <c r="G126" s="41" t="str">
        <f aca="false">IF(A126="","",IF(ISNA(MATCH(B126,'Kitting Plan'!$B$6:$B$19,0)),"Not in plan","Yes"))</f>
        <v>Yes</v>
      </c>
      <c r="H126" s="41" t="n">
        <f aca="false">IF(G126="Yes",INDEX('Kitting Plan'!$D$6:$D$19,MATCH(B126,'Kitting Plan'!$B$6:$B$19,0)),"")</f>
        <v>24</v>
      </c>
      <c r="I126" s="41" t="n">
        <f aca="false">IF(A126="","",IF(ISNUMBER(SEARCH("PRT",E126)),D126,0))</f>
        <v>1</v>
      </c>
      <c r="J126" s="41" t="n">
        <f aca="false">IF(A126="","",IF(ISNUMBER(SEARCH("GMPS",E126)),D126,0))</f>
        <v>0</v>
      </c>
      <c r="K126" s="41" t="n">
        <f aca="false">IF(A126="","",IF(ISNUMBER(SEARCH("DLV",E126)),D126,0))</f>
        <v>0</v>
      </c>
      <c r="L126" s="41" t="str">
        <f aca="false">IF(A126="","",IF(K126&gt;0,"Delivered",IF(ISNUMBER(SEARCH("CNF",E126)),"In production",IF(J126&gt;0,"Issued",IF(I126&gt;0,"Kitted","Released")))))</f>
        <v>In production</v>
      </c>
      <c r="M126" s="41" t="n">
        <f aca="false">IF(G126&lt;&gt;"Yes","",COUNTIFS($B$6:$B$1505,B126,$F$6:$F$1505,"&lt;"&amp;F126)+COUNTIFS($B$6:$B$1505,B126,$F$6:$F$1505,F126,$A$6:$A$1505,"&lt;="&amp;A126))</f>
        <v>235</v>
      </c>
      <c r="N126" s="41" t="n">
        <f aca="false">IF(M126="","",ROUNDUP(M126/H126,0))</f>
        <v>10</v>
      </c>
      <c r="O126" s="41" t="str">
        <f aca="false">IF(N126="","",IF(N126&lt;='Kitting Plan'!$C$3,"Rep "&amp;N126,"Surplus"))</f>
        <v>Rep 10</v>
      </c>
    </row>
    <row r="127" customFormat="false" ht="15" hidden="false" customHeight="false" outlineLevel="0" collapsed="false">
      <c r="A127" s="40" t="n">
        <f aca="false">IF(OR($A$4=0,INDEX('COOIS Raw'!$A:$GZ,ROW()-4,$A$4)=""),"",IFERROR(--INDEX('COOIS Raw'!$A:$GZ,ROW()-4,$A$4),INDEX('COOIS Raw'!$A:$GZ,ROW()-4,$A$4)))</f>
        <v>100879990</v>
      </c>
      <c r="B127" s="41" t="str">
        <f aca="false">IF(A127="","",TRIM(INDEX('COOIS Raw'!$A:$GZ,ROW()-4,$B$4)))</f>
        <v>92RRA00548AAA</v>
      </c>
      <c r="C127" s="42" t="str">
        <f aca="false">IF(OR(A127="",$C$4=0),"",INDEX('COOIS Raw'!$A:$GZ,ROW()-4,$C$4))</f>
        <v>R5B ERBIUM SPOOL ASSEMBLY - E2A</v>
      </c>
      <c r="D127" s="41" t="n">
        <f aca="false">IF(A127="","",IF($D$4=0,1,IFERROR(--INDEX('COOIS Raw'!$A:$GZ,ROW()-4,$D$4),1)))</f>
        <v>1</v>
      </c>
      <c r="E127" s="42" t="str">
        <f aca="false">IF(A127="","",INDEX('COOIS Raw'!$A:$GZ,ROW()-4,$E$4)&amp;"")</f>
        <v>REL PRT PCNF PRC MANC SETC</v>
      </c>
      <c r="F127" s="43" t="n">
        <f aca="false">IF(A127="","",IFERROR(DATEVALUE(INDEX('COOIS Raw'!$A:$GZ,ROW()-4,$F$4)),INDEX('COOIS Raw'!$A:$GZ,ROW()-4,$F$4)))</f>
        <v>46296</v>
      </c>
      <c r="G127" s="41" t="str">
        <f aca="false">IF(A127="","",IF(ISNA(MATCH(B127,'Kitting Plan'!$B$6:$B$19,0)),"Not in plan","Yes"))</f>
        <v>Yes</v>
      </c>
      <c r="H127" s="41" t="n">
        <f aca="false">IF(G127="Yes",INDEX('Kitting Plan'!$D$6:$D$19,MATCH(B127,'Kitting Plan'!$B$6:$B$19,0)),"")</f>
        <v>24</v>
      </c>
      <c r="I127" s="41" t="n">
        <f aca="false">IF(A127="","",IF(ISNUMBER(SEARCH("PRT",E127)),D127,0))</f>
        <v>1</v>
      </c>
      <c r="J127" s="41" t="n">
        <f aca="false">IF(A127="","",IF(ISNUMBER(SEARCH("GMPS",E127)),D127,0))</f>
        <v>0</v>
      </c>
      <c r="K127" s="41" t="n">
        <f aca="false">IF(A127="","",IF(ISNUMBER(SEARCH("DLV",E127)),D127,0))</f>
        <v>0</v>
      </c>
      <c r="L127" s="41" t="str">
        <f aca="false">IF(A127="","",IF(K127&gt;0,"Delivered",IF(ISNUMBER(SEARCH("CNF",E127)),"In production",IF(J127&gt;0,"Issued",IF(I127&gt;0,"Kitted","Released")))))</f>
        <v>In production</v>
      </c>
      <c r="M127" s="41" t="n">
        <f aca="false">IF(G127&lt;&gt;"Yes","",COUNTIFS($B$6:$B$1505,B127,$F$6:$F$1505,"&lt;"&amp;F127)+COUNTIFS($B$6:$B$1505,B127,$F$6:$F$1505,F127,$A$6:$A$1505,"&lt;="&amp;A127))</f>
        <v>236</v>
      </c>
      <c r="N127" s="41" t="n">
        <f aca="false">IF(M127="","",ROUNDUP(M127/H127,0))</f>
        <v>10</v>
      </c>
      <c r="O127" s="41" t="str">
        <f aca="false">IF(N127="","",IF(N127&lt;='Kitting Plan'!$C$3,"Rep "&amp;N127,"Surplus"))</f>
        <v>Rep 10</v>
      </c>
    </row>
    <row r="128" customFormat="false" ht="15" hidden="false" customHeight="false" outlineLevel="0" collapsed="false">
      <c r="A128" s="40" t="n">
        <f aca="false">IF(OR($A$4=0,INDEX('COOIS Raw'!$A:$GZ,ROW()-4,$A$4)=""),"",IFERROR(--INDEX('COOIS Raw'!$A:$GZ,ROW()-4,$A$4),INDEX('COOIS Raw'!$A:$GZ,ROW()-4,$A$4)))</f>
        <v>100879991</v>
      </c>
      <c r="B128" s="41" t="str">
        <f aca="false">IF(A128="","",TRIM(INDEX('COOIS Raw'!$A:$GZ,ROW()-4,$B$4)))</f>
        <v>92RRA00548AAA</v>
      </c>
      <c r="C128" s="42" t="str">
        <f aca="false">IF(OR(A128="",$C$4=0),"",INDEX('COOIS Raw'!$A:$GZ,ROW()-4,$C$4))</f>
        <v>R5B ERBIUM SPOOL ASSEMBLY - E2A</v>
      </c>
      <c r="D128" s="41" t="n">
        <f aca="false">IF(A128="","",IF($D$4=0,1,IFERROR(--INDEX('COOIS Raw'!$A:$GZ,ROW()-4,$D$4),1)))</f>
        <v>1</v>
      </c>
      <c r="E128" s="42" t="str">
        <f aca="false">IF(A128="","",INDEX('COOIS Raw'!$A:$GZ,ROW()-4,$E$4)&amp;"")</f>
        <v>REL PRT PCNF PRC MANC SETC</v>
      </c>
      <c r="F128" s="43" t="n">
        <f aca="false">IF(A128="","",IFERROR(DATEVALUE(INDEX('COOIS Raw'!$A:$GZ,ROW()-4,$F$4)),INDEX('COOIS Raw'!$A:$GZ,ROW()-4,$F$4)))</f>
        <v>46296</v>
      </c>
      <c r="G128" s="41" t="str">
        <f aca="false">IF(A128="","",IF(ISNA(MATCH(B128,'Kitting Plan'!$B$6:$B$19,0)),"Not in plan","Yes"))</f>
        <v>Yes</v>
      </c>
      <c r="H128" s="41" t="n">
        <f aca="false">IF(G128="Yes",INDEX('Kitting Plan'!$D$6:$D$19,MATCH(B128,'Kitting Plan'!$B$6:$B$19,0)),"")</f>
        <v>24</v>
      </c>
      <c r="I128" s="41" t="n">
        <f aca="false">IF(A128="","",IF(ISNUMBER(SEARCH("PRT",E128)),D128,0))</f>
        <v>1</v>
      </c>
      <c r="J128" s="41" t="n">
        <f aca="false">IF(A128="","",IF(ISNUMBER(SEARCH("GMPS",E128)),D128,0))</f>
        <v>0</v>
      </c>
      <c r="K128" s="41" t="n">
        <f aca="false">IF(A128="","",IF(ISNUMBER(SEARCH("DLV",E128)),D128,0))</f>
        <v>0</v>
      </c>
      <c r="L128" s="41" t="str">
        <f aca="false">IF(A128="","",IF(K128&gt;0,"Delivered",IF(ISNUMBER(SEARCH("CNF",E128)),"In production",IF(J128&gt;0,"Issued",IF(I128&gt;0,"Kitted","Released")))))</f>
        <v>In production</v>
      </c>
      <c r="M128" s="41" t="n">
        <f aca="false">IF(G128&lt;&gt;"Yes","",COUNTIFS($B$6:$B$1505,B128,$F$6:$F$1505,"&lt;"&amp;F128)+COUNTIFS($B$6:$B$1505,B128,$F$6:$F$1505,F128,$A$6:$A$1505,"&lt;="&amp;A128))</f>
        <v>237</v>
      </c>
      <c r="N128" s="41" t="n">
        <f aca="false">IF(M128="","",ROUNDUP(M128/H128,0))</f>
        <v>10</v>
      </c>
      <c r="O128" s="41" t="str">
        <f aca="false">IF(N128="","",IF(N128&lt;='Kitting Plan'!$C$3,"Rep "&amp;N128,"Surplus"))</f>
        <v>Rep 10</v>
      </c>
    </row>
    <row r="129" customFormat="false" ht="15" hidden="false" customHeight="false" outlineLevel="0" collapsed="false">
      <c r="A129" s="40" t="n">
        <f aca="false">IF(OR($A$4=0,INDEX('COOIS Raw'!$A:$GZ,ROW()-4,$A$4)=""),"",IFERROR(--INDEX('COOIS Raw'!$A:$GZ,ROW()-4,$A$4),INDEX('COOIS Raw'!$A:$GZ,ROW()-4,$A$4)))</f>
        <v>100879992</v>
      </c>
      <c r="B129" s="41" t="str">
        <f aca="false">IF(A129="","",TRIM(INDEX('COOIS Raw'!$A:$GZ,ROW()-4,$B$4)))</f>
        <v>92RRA00548AAA</v>
      </c>
      <c r="C129" s="42" t="str">
        <f aca="false">IF(OR(A129="",$C$4=0),"",INDEX('COOIS Raw'!$A:$GZ,ROW()-4,$C$4))</f>
        <v>R5B ERBIUM SPOOL ASSEMBLY - E2A</v>
      </c>
      <c r="D129" s="41" t="n">
        <f aca="false">IF(A129="","",IF($D$4=0,1,IFERROR(--INDEX('COOIS Raw'!$A:$GZ,ROW()-4,$D$4),1)))</f>
        <v>1</v>
      </c>
      <c r="E129" s="42" t="str">
        <f aca="false">IF(A129="","",INDEX('COOIS Raw'!$A:$GZ,ROW()-4,$E$4)&amp;"")</f>
        <v>REL PRT PCNF PRC MANC SETC</v>
      </c>
      <c r="F129" s="43" t="n">
        <f aca="false">IF(A129="","",IFERROR(DATEVALUE(INDEX('COOIS Raw'!$A:$GZ,ROW()-4,$F$4)),INDEX('COOIS Raw'!$A:$GZ,ROW()-4,$F$4)))</f>
        <v>46296</v>
      </c>
      <c r="G129" s="41" t="str">
        <f aca="false">IF(A129="","",IF(ISNA(MATCH(B129,'Kitting Plan'!$B$6:$B$19,0)),"Not in plan","Yes"))</f>
        <v>Yes</v>
      </c>
      <c r="H129" s="41" t="n">
        <f aca="false">IF(G129="Yes",INDEX('Kitting Plan'!$D$6:$D$19,MATCH(B129,'Kitting Plan'!$B$6:$B$19,0)),"")</f>
        <v>24</v>
      </c>
      <c r="I129" s="41" t="n">
        <f aca="false">IF(A129="","",IF(ISNUMBER(SEARCH("PRT",E129)),D129,0))</f>
        <v>1</v>
      </c>
      <c r="J129" s="41" t="n">
        <f aca="false">IF(A129="","",IF(ISNUMBER(SEARCH("GMPS",E129)),D129,0))</f>
        <v>0</v>
      </c>
      <c r="K129" s="41" t="n">
        <f aca="false">IF(A129="","",IF(ISNUMBER(SEARCH("DLV",E129)),D129,0))</f>
        <v>0</v>
      </c>
      <c r="L129" s="41" t="str">
        <f aca="false">IF(A129="","",IF(K129&gt;0,"Delivered",IF(ISNUMBER(SEARCH("CNF",E129)),"In production",IF(J129&gt;0,"Issued",IF(I129&gt;0,"Kitted","Released")))))</f>
        <v>In production</v>
      </c>
      <c r="M129" s="41" t="n">
        <f aca="false">IF(G129&lt;&gt;"Yes","",COUNTIFS($B$6:$B$1505,B129,$F$6:$F$1505,"&lt;"&amp;F129)+COUNTIFS($B$6:$B$1505,B129,$F$6:$F$1505,F129,$A$6:$A$1505,"&lt;="&amp;A129))</f>
        <v>238</v>
      </c>
      <c r="N129" s="41" t="n">
        <f aca="false">IF(M129="","",ROUNDUP(M129/H129,0))</f>
        <v>10</v>
      </c>
      <c r="O129" s="41" t="str">
        <f aca="false">IF(N129="","",IF(N129&lt;='Kitting Plan'!$C$3,"Rep "&amp;N129,"Surplus"))</f>
        <v>Rep 10</v>
      </c>
    </row>
    <row r="130" customFormat="false" ht="15" hidden="false" customHeight="false" outlineLevel="0" collapsed="false">
      <c r="A130" s="40" t="n">
        <f aca="false">IF(OR($A$4=0,INDEX('COOIS Raw'!$A:$GZ,ROW()-4,$A$4)=""),"",IFERROR(--INDEX('COOIS Raw'!$A:$GZ,ROW()-4,$A$4),INDEX('COOIS Raw'!$A:$GZ,ROW()-4,$A$4)))</f>
        <v>100879993</v>
      </c>
      <c r="B130" s="41" t="str">
        <f aca="false">IF(A130="","",TRIM(INDEX('COOIS Raw'!$A:$GZ,ROW()-4,$B$4)))</f>
        <v>92RRA00548AAA</v>
      </c>
      <c r="C130" s="42" t="str">
        <f aca="false">IF(OR(A130="",$C$4=0),"",INDEX('COOIS Raw'!$A:$GZ,ROW()-4,$C$4))</f>
        <v>R5B ERBIUM SPOOL ASSEMBLY - E2A</v>
      </c>
      <c r="D130" s="41" t="n">
        <f aca="false">IF(A130="","",IF($D$4=0,1,IFERROR(--INDEX('COOIS Raw'!$A:$GZ,ROW()-4,$D$4),1)))</f>
        <v>1</v>
      </c>
      <c r="E130" s="42" t="str">
        <f aca="false">IF(A130="","",INDEX('COOIS Raw'!$A:$GZ,ROW()-4,$E$4)&amp;"")</f>
        <v>REL PRT PCNF PRC MANC SETC</v>
      </c>
      <c r="F130" s="43" t="n">
        <f aca="false">IF(A130="","",IFERROR(DATEVALUE(INDEX('COOIS Raw'!$A:$GZ,ROW()-4,$F$4)),INDEX('COOIS Raw'!$A:$GZ,ROW()-4,$F$4)))</f>
        <v>46296</v>
      </c>
      <c r="G130" s="41" t="str">
        <f aca="false">IF(A130="","",IF(ISNA(MATCH(B130,'Kitting Plan'!$B$6:$B$19,0)),"Not in plan","Yes"))</f>
        <v>Yes</v>
      </c>
      <c r="H130" s="41" t="n">
        <f aca="false">IF(G130="Yes",INDEX('Kitting Plan'!$D$6:$D$19,MATCH(B130,'Kitting Plan'!$B$6:$B$19,0)),"")</f>
        <v>24</v>
      </c>
      <c r="I130" s="41" t="n">
        <f aca="false">IF(A130="","",IF(ISNUMBER(SEARCH("PRT",E130)),D130,0))</f>
        <v>1</v>
      </c>
      <c r="J130" s="41" t="n">
        <f aca="false">IF(A130="","",IF(ISNUMBER(SEARCH("GMPS",E130)),D130,0))</f>
        <v>0</v>
      </c>
      <c r="K130" s="41" t="n">
        <f aca="false">IF(A130="","",IF(ISNUMBER(SEARCH("DLV",E130)),D130,0))</f>
        <v>0</v>
      </c>
      <c r="L130" s="41" t="str">
        <f aca="false">IF(A130="","",IF(K130&gt;0,"Delivered",IF(ISNUMBER(SEARCH("CNF",E130)),"In production",IF(J130&gt;0,"Issued",IF(I130&gt;0,"Kitted","Released")))))</f>
        <v>In production</v>
      </c>
      <c r="M130" s="41" t="n">
        <f aca="false">IF(G130&lt;&gt;"Yes","",COUNTIFS($B$6:$B$1505,B130,$F$6:$F$1505,"&lt;"&amp;F130)+COUNTIFS($B$6:$B$1505,B130,$F$6:$F$1505,F130,$A$6:$A$1505,"&lt;="&amp;A130))</f>
        <v>239</v>
      </c>
      <c r="N130" s="41" t="n">
        <f aca="false">IF(M130="","",ROUNDUP(M130/H130,0))</f>
        <v>10</v>
      </c>
      <c r="O130" s="41" t="str">
        <f aca="false">IF(N130="","",IF(N130&lt;='Kitting Plan'!$C$3,"Rep "&amp;N130,"Surplus"))</f>
        <v>Rep 10</v>
      </c>
    </row>
    <row r="131" customFormat="false" ht="15" hidden="false" customHeight="false" outlineLevel="0" collapsed="false">
      <c r="A131" s="40" t="n">
        <f aca="false">IF(OR($A$4=0,INDEX('COOIS Raw'!$A:$GZ,ROW()-4,$A$4)=""),"",IFERROR(--INDEX('COOIS Raw'!$A:$GZ,ROW()-4,$A$4),INDEX('COOIS Raw'!$A:$GZ,ROW()-4,$A$4)))</f>
        <v>100879994</v>
      </c>
      <c r="B131" s="41" t="str">
        <f aca="false">IF(A131="","",TRIM(INDEX('COOIS Raw'!$A:$GZ,ROW()-4,$B$4)))</f>
        <v>92RRA00548AAA</v>
      </c>
      <c r="C131" s="42" t="str">
        <f aca="false">IF(OR(A131="",$C$4=0),"",INDEX('COOIS Raw'!$A:$GZ,ROW()-4,$C$4))</f>
        <v>R5B ERBIUM SPOOL ASSEMBLY - E2A</v>
      </c>
      <c r="D131" s="41" t="n">
        <f aca="false">IF(A131="","",IF($D$4=0,1,IFERROR(--INDEX('COOIS Raw'!$A:$GZ,ROW()-4,$D$4),1)))</f>
        <v>1</v>
      </c>
      <c r="E131" s="42" t="str">
        <f aca="false">IF(A131="","",INDEX('COOIS Raw'!$A:$GZ,ROW()-4,$E$4)&amp;"")</f>
        <v>REL PRT PCNF PRC MANC SETC</v>
      </c>
      <c r="F131" s="43" t="n">
        <f aca="false">IF(A131="","",IFERROR(DATEVALUE(INDEX('COOIS Raw'!$A:$GZ,ROW()-4,$F$4)),INDEX('COOIS Raw'!$A:$GZ,ROW()-4,$F$4)))</f>
        <v>46296</v>
      </c>
      <c r="G131" s="41" t="str">
        <f aca="false">IF(A131="","",IF(ISNA(MATCH(B131,'Kitting Plan'!$B$6:$B$19,0)),"Not in plan","Yes"))</f>
        <v>Yes</v>
      </c>
      <c r="H131" s="41" t="n">
        <f aca="false">IF(G131="Yes",INDEX('Kitting Plan'!$D$6:$D$19,MATCH(B131,'Kitting Plan'!$B$6:$B$19,0)),"")</f>
        <v>24</v>
      </c>
      <c r="I131" s="41" t="n">
        <f aca="false">IF(A131="","",IF(ISNUMBER(SEARCH("PRT",E131)),D131,0))</f>
        <v>1</v>
      </c>
      <c r="J131" s="41" t="n">
        <f aca="false">IF(A131="","",IF(ISNUMBER(SEARCH("GMPS",E131)),D131,0))</f>
        <v>0</v>
      </c>
      <c r="K131" s="41" t="n">
        <f aca="false">IF(A131="","",IF(ISNUMBER(SEARCH("DLV",E131)),D131,0))</f>
        <v>0</v>
      </c>
      <c r="L131" s="41" t="str">
        <f aca="false">IF(A131="","",IF(K131&gt;0,"Delivered",IF(ISNUMBER(SEARCH("CNF",E131)),"In production",IF(J131&gt;0,"Issued",IF(I131&gt;0,"Kitted","Released")))))</f>
        <v>In production</v>
      </c>
      <c r="M131" s="41" t="n">
        <f aca="false">IF(G131&lt;&gt;"Yes","",COUNTIFS($B$6:$B$1505,B131,$F$6:$F$1505,"&lt;"&amp;F131)+COUNTIFS($B$6:$B$1505,B131,$F$6:$F$1505,F131,$A$6:$A$1505,"&lt;="&amp;A131))</f>
        <v>240</v>
      </c>
      <c r="N131" s="41" t="n">
        <f aca="false">IF(M131="","",ROUNDUP(M131/H131,0))</f>
        <v>10</v>
      </c>
      <c r="O131" s="41" t="str">
        <f aca="false">IF(N131="","",IF(N131&lt;='Kitting Plan'!$C$3,"Rep "&amp;N131,"Surplus"))</f>
        <v>Rep 10</v>
      </c>
    </row>
    <row r="132" customFormat="false" ht="15" hidden="false" customHeight="false" outlineLevel="0" collapsed="false">
      <c r="A132" s="40" t="n">
        <f aca="false">IF(OR($A$4=0,INDEX('COOIS Raw'!$A:$GZ,ROW()-4,$A$4)=""),"",IFERROR(--INDEX('COOIS Raw'!$A:$GZ,ROW()-4,$A$4),INDEX('COOIS Raw'!$A:$GZ,ROW()-4,$A$4)))</f>
        <v>100879995</v>
      </c>
      <c r="B132" s="41" t="str">
        <f aca="false">IF(A132="","",TRIM(INDEX('COOIS Raw'!$A:$GZ,ROW()-4,$B$4)))</f>
        <v>92RRA00548AAA</v>
      </c>
      <c r="C132" s="42" t="str">
        <f aca="false">IF(OR(A132="",$C$4=0),"",INDEX('COOIS Raw'!$A:$GZ,ROW()-4,$C$4))</f>
        <v>R5B ERBIUM SPOOL ASSEMBLY - E2A</v>
      </c>
      <c r="D132" s="41" t="n">
        <f aca="false">IF(A132="","",IF($D$4=0,1,IFERROR(--INDEX('COOIS Raw'!$A:$GZ,ROW()-4,$D$4),1)))</f>
        <v>1</v>
      </c>
      <c r="E132" s="42" t="str">
        <f aca="false">IF(A132="","",INDEX('COOIS Raw'!$A:$GZ,ROW()-4,$E$4)&amp;"")</f>
        <v>REL PRT PCNF PRC MANC SETC</v>
      </c>
      <c r="F132" s="43" t="n">
        <f aca="false">IF(A132="","",IFERROR(DATEVALUE(INDEX('COOIS Raw'!$A:$GZ,ROW()-4,$F$4)),INDEX('COOIS Raw'!$A:$GZ,ROW()-4,$F$4)))</f>
        <v>46296</v>
      </c>
      <c r="G132" s="41" t="str">
        <f aca="false">IF(A132="","",IF(ISNA(MATCH(B132,'Kitting Plan'!$B$6:$B$19,0)),"Not in plan","Yes"))</f>
        <v>Yes</v>
      </c>
      <c r="H132" s="41" t="n">
        <f aca="false">IF(G132="Yes",INDEX('Kitting Plan'!$D$6:$D$19,MATCH(B132,'Kitting Plan'!$B$6:$B$19,0)),"")</f>
        <v>24</v>
      </c>
      <c r="I132" s="41" t="n">
        <f aca="false">IF(A132="","",IF(ISNUMBER(SEARCH("PRT",E132)),D132,0))</f>
        <v>1</v>
      </c>
      <c r="J132" s="41" t="n">
        <f aca="false">IF(A132="","",IF(ISNUMBER(SEARCH("GMPS",E132)),D132,0))</f>
        <v>0</v>
      </c>
      <c r="K132" s="41" t="n">
        <f aca="false">IF(A132="","",IF(ISNUMBER(SEARCH("DLV",E132)),D132,0))</f>
        <v>0</v>
      </c>
      <c r="L132" s="41" t="str">
        <f aca="false">IF(A132="","",IF(K132&gt;0,"Delivered",IF(ISNUMBER(SEARCH("CNF",E132)),"In production",IF(J132&gt;0,"Issued",IF(I132&gt;0,"Kitted","Released")))))</f>
        <v>In production</v>
      </c>
      <c r="M132" s="41" t="n">
        <f aca="false">IF(G132&lt;&gt;"Yes","",COUNTIFS($B$6:$B$1505,B132,$F$6:$F$1505,"&lt;"&amp;F132)+COUNTIFS($B$6:$B$1505,B132,$F$6:$F$1505,F132,$A$6:$A$1505,"&lt;="&amp;A132))</f>
        <v>241</v>
      </c>
      <c r="N132" s="41" t="n">
        <f aca="false">IF(M132="","",ROUNDUP(M132/H132,0))</f>
        <v>11</v>
      </c>
      <c r="O132" s="41" t="str">
        <f aca="false">IF(N132="","",IF(N132&lt;='Kitting Plan'!$C$3,"Rep "&amp;N132,"Surplus"))</f>
        <v>Rep 11</v>
      </c>
    </row>
    <row r="133" customFormat="false" ht="15" hidden="false" customHeight="false" outlineLevel="0" collapsed="false">
      <c r="A133" s="40" t="n">
        <f aca="false">IF(OR($A$4=0,INDEX('COOIS Raw'!$A:$GZ,ROW()-4,$A$4)=""),"",IFERROR(--INDEX('COOIS Raw'!$A:$GZ,ROW()-4,$A$4),INDEX('COOIS Raw'!$A:$GZ,ROW()-4,$A$4)))</f>
        <v>100879996</v>
      </c>
      <c r="B133" s="41" t="str">
        <f aca="false">IF(A133="","",TRIM(INDEX('COOIS Raw'!$A:$GZ,ROW()-4,$B$4)))</f>
        <v>92RRA00548AAA</v>
      </c>
      <c r="C133" s="42" t="str">
        <f aca="false">IF(OR(A133="",$C$4=0),"",INDEX('COOIS Raw'!$A:$GZ,ROW()-4,$C$4))</f>
        <v>R5B ERBIUM SPOOL ASSEMBLY - E2A</v>
      </c>
      <c r="D133" s="41" t="n">
        <f aca="false">IF(A133="","",IF($D$4=0,1,IFERROR(--INDEX('COOIS Raw'!$A:$GZ,ROW()-4,$D$4),1)))</f>
        <v>1</v>
      </c>
      <c r="E133" s="42" t="str">
        <f aca="false">IF(A133="","",INDEX('COOIS Raw'!$A:$GZ,ROW()-4,$E$4)&amp;"")</f>
        <v>REL PRT PCNF PRC MANC SETC</v>
      </c>
      <c r="F133" s="43" t="n">
        <f aca="false">IF(A133="","",IFERROR(DATEVALUE(INDEX('COOIS Raw'!$A:$GZ,ROW()-4,$F$4)),INDEX('COOIS Raw'!$A:$GZ,ROW()-4,$F$4)))</f>
        <v>46296</v>
      </c>
      <c r="G133" s="41" t="str">
        <f aca="false">IF(A133="","",IF(ISNA(MATCH(B133,'Kitting Plan'!$B$6:$B$19,0)),"Not in plan","Yes"))</f>
        <v>Yes</v>
      </c>
      <c r="H133" s="41" t="n">
        <f aca="false">IF(G133="Yes",INDEX('Kitting Plan'!$D$6:$D$19,MATCH(B133,'Kitting Plan'!$B$6:$B$19,0)),"")</f>
        <v>24</v>
      </c>
      <c r="I133" s="41" t="n">
        <f aca="false">IF(A133="","",IF(ISNUMBER(SEARCH("PRT",E133)),D133,0))</f>
        <v>1</v>
      </c>
      <c r="J133" s="41" t="n">
        <f aca="false">IF(A133="","",IF(ISNUMBER(SEARCH("GMPS",E133)),D133,0))</f>
        <v>0</v>
      </c>
      <c r="K133" s="41" t="n">
        <f aca="false">IF(A133="","",IF(ISNUMBER(SEARCH("DLV",E133)),D133,0))</f>
        <v>0</v>
      </c>
      <c r="L133" s="41" t="str">
        <f aca="false">IF(A133="","",IF(K133&gt;0,"Delivered",IF(ISNUMBER(SEARCH("CNF",E133)),"In production",IF(J133&gt;0,"Issued",IF(I133&gt;0,"Kitted","Released")))))</f>
        <v>In production</v>
      </c>
      <c r="M133" s="41" t="n">
        <f aca="false">IF(G133&lt;&gt;"Yes","",COUNTIFS($B$6:$B$1505,B133,$F$6:$F$1505,"&lt;"&amp;F133)+COUNTIFS($B$6:$B$1505,B133,$F$6:$F$1505,F133,$A$6:$A$1505,"&lt;="&amp;A133))</f>
        <v>242</v>
      </c>
      <c r="N133" s="41" t="n">
        <f aca="false">IF(M133="","",ROUNDUP(M133/H133,0))</f>
        <v>11</v>
      </c>
      <c r="O133" s="41" t="str">
        <f aca="false">IF(N133="","",IF(N133&lt;='Kitting Plan'!$C$3,"Rep "&amp;N133,"Surplus"))</f>
        <v>Rep 11</v>
      </c>
    </row>
    <row r="134" customFormat="false" ht="15" hidden="false" customHeight="false" outlineLevel="0" collapsed="false">
      <c r="A134" s="40" t="n">
        <f aca="false">IF(OR($A$4=0,INDEX('COOIS Raw'!$A:$GZ,ROW()-4,$A$4)=""),"",IFERROR(--INDEX('COOIS Raw'!$A:$GZ,ROW()-4,$A$4),INDEX('COOIS Raw'!$A:$GZ,ROW()-4,$A$4)))</f>
        <v>100879997</v>
      </c>
      <c r="B134" s="41" t="str">
        <f aca="false">IF(A134="","",TRIM(INDEX('COOIS Raw'!$A:$GZ,ROW()-4,$B$4)))</f>
        <v>92RRA00548AAA</v>
      </c>
      <c r="C134" s="42" t="str">
        <f aca="false">IF(OR(A134="",$C$4=0),"",INDEX('COOIS Raw'!$A:$GZ,ROW()-4,$C$4))</f>
        <v>R5B ERBIUM SPOOL ASSEMBLY - E2A</v>
      </c>
      <c r="D134" s="41" t="n">
        <f aca="false">IF(A134="","",IF($D$4=0,1,IFERROR(--INDEX('COOIS Raw'!$A:$GZ,ROW()-4,$D$4),1)))</f>
        <v>1</v>
      </c>
      <c r="E134" s="42" t="str">
        <f aca="false">IF(A134="","",INDEX('COOIS Raw'!$A:$GZ,ROW()-4,$E$4)&amp;"")</f>
        <v>REL PRT PCNF PRC MANC SETC</v>
      </c>
      <c r="F134" s="43" t="n">
        <f aca="false">IF(A134="","",IFERROR(DATEVALUE(INDEX('COOIS Raw'!$A:$GZ,ROW()-4,$F$4)),INDEX('COOIS Raw'!$A:$GZ,ROW()-4,$F$4)))</f>
        <v>46296</v>
      </c>
      <c r="G134" s="41" t="str">
        <f aca="false">IF(A134="","",IF(ISNA(MATCH(B134,'Kitting Plan'!$B$6:$B$19,0)),"Not in plan","Yes"))</f>
        <v>Yes</v>
      </c>
      <c r="H134" s="41" t="n">
        <f aca="false">IF(G134="Yes",INDEX('Kitting Plan'!$D$6:$D$19,MATCH(B134,'Kitting Plan'!$B$6:$B$19,0)),"")</f>
        <v>24</v>
      </c>
      <c r="I134" s="41" t="n">
        <f aca="false">IF(A134="","",IF(ISNUMBER(SEARCH("PRT",E134)),D134,0))</f>
        <v>1</v>
      </c>
      <c r="J134" s="41" t="n">
        <f aca="false">IF(A134="","",IF(ISNUMBER(SEARCH("GMPS",E134)),D134,0))</f>
        <v>0</v>
      </c>
      <c r="K134" s="41" t="n">
        <f aca="false">IF(A134="","",IF(ISNUMBER(SEARCH("DLV",E134)),D134,0))</f>
        <v>0</v>
      </c>
      <c r="L134" s="41" t="str">
        <f aca="false">IF(A134="","",IF(K134&gt;0,"Delivered",IF(ISNUMBER(SEARCH("CNF",E134)),"In production",IF(J134&gt;0,"Issued",IF(I134&gt;0,"Kitted","Released")))))</f>
        <v>In production</v>
      </c>
      <c r="M134" s="41" t="n">
        <f aca="false">IF(G134&lt;&gt;"Yes","",COUNTIFS($B$6:$B$1505,B134,$F$6:$F$1505,"&lt;"&amp;F134)+COUNTIFS($B$6:$B$1505,B134,$F$6:$F$1505,F134,$A$6:$A$1505,"&lt;="&amp;A134))</f>
        <v>243</v>
      </c>
      <c r="N134" s="41" t="n">
        <f aca="false">IF(M134="","",ROUNDUP(M134/H134,0))</f>
        <v>11</v>
      </c>
      <c r="O134" s="41" t="str">
        <f aca="false">IF(N134="","",IF(N134&lt;='Kitting Plan'!$C$3,"Rep "&amp;N134,"Surplus"))</f>
        <v>Rep 11</v>
      </c>
    </row>
    <row r="135" customFormat="false" ht="15" hidden="false" customHeight="false" outlineLevel="0" collapsed="false">
      <c r="A135" s="40" t="n">
        <f aca="false">IF(OR($A$4=0,INDEX('COOIS Raw'!$A:$GZ,ROW()-4,$A$4)=""),"",IFERROR(--INDEX('COOIS Raw'!$A:$GZ,ROW()-4,$A$4),INDEX('COOIS Raw'!$A:$GZ,ROW()-4,$A$4)))</f>
        <v>100879998</v>
      </c>
      <c r="B135" s="41" t="str">
        <f aca="false">IF(A135="","",TRIM(INDEX('COOIS Raw'!$A:$GZ,ROW()-4,$B$4)))</f>
        <v>92RRA00548AAA</v>
      </c>
      <c r="C135" s="42" t="str">
        <f aca="false">IF(OR(A135="",$C$4=0),"",INDEX('COOIS Raw'!$A:$GZ,ROW()-4,$C$4))</f>
        <v>R5B ERBIUM SPOOL ASSEMBLY - E2A</v>
      </c>
      <c r="D135" s="41" t="n">
        <f aca="false">IF(A135="","",IF($D$4=0,1,IFERROR(--INDEX('COOIS Raw'!$A:$GZ,ROW()-4,$D$4),1)))</f>
        <v>1</v>
      </c>
      <c r="E135" s="42" t="str">
        <f aca="false">IF(A135="","",INDEX('COOIS Raw'!$A:$GZ,ROW()-4,$E$4)&amp;"")</f>
        <v>REL PRT PCNF PRC MANC SETC</v>
      </c>
      <c r="F135" s="43" t="n">
        <f aca="false">IF(A135="","",IFERROR(DATEVALUE(INDEX('COOIS Raw'!$A:$GZ,ROW()-4,$F$4)),INDEX('COOIS Raw'!$A:$GZ,ROW()-4,$F$4)))</f>
        <v>46296</v>
      </c>
      <c r="G135" s="41" t="str">
        <f aca="false">IF(A135="","",IF(ISNA(MATCH(B135,'Kitting Plan'!$B$6:$B$19,0)),"Not in plan","Yes"))</f>
        <v>Yes</v>
      </c>
      <c r="H135" s="41" t="n">
        <f aca="false">IF(G135="Yes",INDEX('Kitting Plan'!$D$6:$D$19,MATCH(B135,'Kitting Plan'!$B$6:$B$19,0)),"")</f>
        <v>24</v>
      </c>
      <c r="I135" s="41" t="n">
        <f aca="false">IF(A135="","",IF(ISNUMBER(SEARCH("PRT",E135)),D135,0))</f>
        <v>1</v>
      </c>
      <c r="J135" s="41" t="n">
        <f aca="false">IF(A135="","",IF(ISNUMBER(SEARCH("GMPS",E135)),D135,0))</f>
        <v>0</v>
      </c>
      <c r="K135" s="41" t="n">
        <f aca="false">IF(A135="","",IF(ISNUMBER(SEARCH("DLV",E135)),D135,0))</f>
        <v>0</v>
      </c>
      <c r="L135" s="41" t="str">
        <f aca="false">IF(A135="","",IF(K135&gt;0,"Delivered",IF(ISNUMBER(SEARCH("CNF",E135)),"In production",IF(J135&gt;0,"Issued",IF(I135&gt;0,"Kitted","Released")))))</f>
        <v>In production</v>
      </c>
      <c r="M135" s="41" t="n">
        <f aca="false">IF(G135&lt;&gt;"Yes","",COUNTIFS($B$6:$B$1505,B135,$F$6:$F$1505,"&lt;"&amp;F135)+COUNTIFS($B$6:$B$1505,B135,$F$6:$F$1505,F135,$A$6:$A$1505,"&lt;="&amp;A135))</f>
        <v>244</v>
      </c>
      <c r="N135" s="41" t="n">
        <f aca="false">IF(M135="","",ROUNDUP(M135/H135,0))</f>
        <v>11</v>
      </c>
      <c r="O135" s="41" t="str">
        <f aca="false">IF(N135="","",IF(N135&lt;='Kitting Plan'!$C$3,"Rep "&amp;N135,"Surplus"))</f>
        <v>Rep 11</v>
      </c>
    </row>
    <row r="136" customFormat="false" ht="15" hidden="false" customHeight="false" outlineLevel="0" collapsed="false">
      <c r="A136" s="40" t="n">
        <f aca="false">IF(OR($A$4=0,INDEX('COOIS Raw'!$A:$GZ,ROW()-4,$A$4)=""),"",IFERROR(--INDEX('COOIS Raw'!$A:$GZ,ROW()-4,$A$4),INDEX('COOIS Raw'!$A:$GZ,ROW()-4,$A$4)))</f>
        <v>100879999</v>
      </c>
      <c r="B136" s="41" t="str">
        <f aca="false">IF(A136="","",TRIM(INDEX('COOIS Raw'!$A:$GZ,ROW()-4,$B$4)))</f>
        <v>92RRA00548AAA</v>
      </c>
      <c r="C136" s="42" t="str">
        <f aca="false">IF(OR(A136="",$C$4=0),"",INDEX('COOIS Raw'!$A:$GZ,ROW()-4,$C$4))</f>
        <v>R5B ERBIUM SPOOL ASSEMBLY - E2A</v>
      </c>
      <c r="D136" s="41" t="n">
        <f aca="false">IF(A136="","",IF($D$4=0,1,IFERROR(--INDEX('COOIS Raw'!$A:$GZ,ROW()-4,$D$4),1)))</f>
        <v>1</v>
      </c>
      <c r="E136" s="42" t="str">
        <f aca="false">IF(A136="","",INDEX('COOIS Raw'!$A:$GZ,ROW()-4,$E$4)&amp;"")</f>
        <v>REL PRT PCNF PRC MANC SETC</v>
      </c>
      <c r="F136" s="43" t="n">
        <f aca="false">IF(A136="","",IFERROR(DATEVALUE(INDEX('COOIS Raw'!$A:$GZ,ROW()-4,$F$4)),INDEX('COOIS Raw'!$A:$GZ,ROW()-4,$F$4)))</f>
        <v>46296</v>
      </c>
      <c r="G136" s="41" t="str">
        <f aca="false">IF(A136="","",IF(ISNA(MATCH(B136,'Kitting Plan'!$B$6:$B$19,0)),"Not in plan","Yes"))</f>
        <v>Yes</v>
      </c>
      <c r="H136" s="41" t="n">
        <f aca="false">IF(G136="Yes",INDEX('Kitting Plan'!$D$6:$D$19,MATCH(B136,'Kitting Plan'!$B$6:$B$19,0)),"")</f>
        <v>24</v>
      </c>
      <c r="I136" s="41" t="n">
        <f aca="false">IF(A136="","",IF(ISNUMBER(SEARCH("PRT",E136)),D136,0))</f>
        <v>1</v>
      </c>
      <c r="J136" s="41" t="n">
        <f aca="false">IF(A136="","",IF(ISNUMBER(SEARCH("GMPS",E136)),D136,0))</f>
        <v>0</v>
      </c>
      <c r="K136" s="41" t="n">
        <f aca="false">IF(A136="","",IF(ISNUMBER(SEARCH("DLV",E136)),D136,0))</f>
        <v>0</v>
      </c>
      <c r="L136" s="41" t="str">
        <f aca="false">IF(A136="","",IF(K136&gt;0,"Delivered",IF(ISNUMBER(SEARCH("CNF",E136)),"In production",IF(J136&gt;0,"Issued",IF(I136&gt;0,"Kitted","Released")))))</f>
        <v>In production</v>
      </c>
      <c r="M136" s="41" t="n">
        <f aca="false">IF(G136&lt;&gt;"Yes","",COUNTIFS($B$6:$B$1505,B136,$F$6:$F$1505,"&lt;"&amp;F136)+COUNTIFS($B$6:$B$1505,B136,$F$6:$F$1505,F136,$A$6:$A$1505,"&lt;="&amp;A136))</f>
        <v>245</v>
      </c>
      <c r="N136" s="41" t="n">
        <f aca="false">IF(M136="","",ROUNDUP(M136/H136,0))</f>
        <v>11</v>
      </c>
      <c r="O136" s="41" t="str">
        <f aca="false">IF(N136="","",IF(N136&lt;='Kitting Plan'!$C$3,"Rep "&amp;N136,"Surplus"))</f>
        <v>Rep 11</v>
      </c>
    </row>
    <row r="137" customFormat="false" ht="15" hidden="false" customHeight="false" outlineLevel="0" collapsed="false">
      <c r="A137" s="40" t="n">
        <f aca="false">IF(OR($A$4=0,INDEX('COOIS Raw'!$A:$GZ,ROW()-4,$A$4)=""),"",IFERROR(--INDEX('COOIS Raw'!$A:$GZ,ROW()-4,$A$4),INDEX('COOIS Raw'!$A:$GZ,ROW()-4,$A$4)))</f>
        <v>100880000</v>
      </c>
      <c r="B137" s="41" t="str">
        <f aca="false">IF(A137="","",TRIM(INDEX('COOIS Raw'!$A:$GZ,ROW()-4,$B$4)))</f>
        <v>92RRA00548AAA</v>
      </c>
      <c r="C137" s="42" t="str">
        <f aca="false">IF(OR(A137="",$C$4=0),"",INDEX('COOIS Raw'!$A:$GZ,ROW()-4,$C$4))</f>
        <v>R5B ERBIUM SPOOL ASSEMBLY - E2A</v>
      </c>
      <c r="D137" s="41" t="n">
        <f aca="false">IF(A137="","",IF($D$4=0,1,IFERROR(--INDEX('COOIS Raw'!$A:$GZ,ROW()-4,$D$4),1)))</f>
        <v>1</v>
      </c>
      <c r="E137" s="42" t="str">
        <f aca="false">IF(A137="","",INDEX('COOIS Raw'!$A:$GZ,ROW()-4,$E$4)&amp;"")</f>
        <v>REL PRT PCNF PRC MANC SETC</v>
      </c>
      <c r="F137" s="43" t="n">
        <f aca="false">IF(A137="","",IFERROR(DATEVALUE(INDEX('COOIS Raw'!$A:$GZ,ROW()-4,$F$4)),INDEX('COOIS Raw'!$A:$GZ,ROW()-4,$F$4)))</f>
        <v>46296</v>
      </c>
      <c r="G137" s="41" t="str">
        <f aca="false">IF(A137="","",IF(ISNA(MATCH(B137,'Kitting Plan'!$B$6:$B$19,0)),"Not in plan","Yes"))</f>
        <v>Yes</v>
      </c>
      <c r="H137" s="41" t="n">
        <f aca="false">IF(G137="Yes",INDEX('Kitting Plan'!$D$6:$D$19,MATCH(B137,'Kitting Plan'!$B$6:$B$19,0)),"")</f>
        <v>24</v>
      </c>
      <c r="I137" s="41" t="n">
        <f aca="false">IF(A137="","",IF(ISNUMBER(SEARCH("PRT",E137)),D137,0))</f>
        <v>1</v>
      </c>
      <c r="J137" s="41" t="n">
        <f aca="false">IF(A137="","",IF(ISNUMBER(SEARCH("GMPS",E137)),D137,0))</f>
        <v>0</v>
      </c>
      <c r="K137" s="41" t="n">
        <f aca="false">IF(A137="","",IF(ISNUMBER(SEARCH("DLV",E137)),D137,0))</f>
        <v>0</v>
      </c>
      <c r="L137" s="41" t="str">
        <f aca="false">IF(A137="","",IF(K137&gt;0,"Delivered",IF(ISNUMBER(SEARCH("CNF",E137)),"In production",IF(J137&gt;0,"Issued",IF(I137&gt;0,"Kitted","Released")))))</f>
        <v>In production</v>
      </c>
      <c r="M137" s="41" t="n">
        <f aca="false">IF(G137&lt;&gt;"Yes","",COUNTIFS($B$6:$B$1505,B137,$F$6:$F$1505,"&lt;"&amp;F137)+COUNTIFS($B$6:$B$1505,B137,$F$6:$F$1505,F137,$A$6:$A$1505,"&lt;="&amp;A137))</f>
        <v>246</v>
      </c>
      <c r="N137" s="41" t="n">
        <f aca="false">IF(M137="","",ROUNDUP(M137/H137,0))</f>
        <v>11</v>
      </c>
      <c r="O137" s="41" t="str">
        <f aca="false">IF(N137="","",IF(N137&lt;='Kitting Plan'!$C$3,"Rep "&amp;N137,"Surplus"))</f>
        <v>Rep 11</v>
      </c>
    </row>
    <row r="138" customFormat="false" ht="15" hidden="false" customHeight="false" outlineLevel="0" collapsed="false">
      <c r="A138" s="40" t="n">
        <f aca="false">IF(OR($A$4=0,INDEX('COOIS Raw'!$A:$GZ,ROW()-4,$A$4)=""),"",IFERROR(--INDEX('COOIS Raw'!$A:$GZ,ROW()-4,$A$4),INDEX('COOIS Raw'!$A:$GZ,ROW()-4,$A$4)))</f>
        <v>100880001</v>
      </c>
      <c r="B138" s="41" t="str">
        <f aca="false">IF(A138="","",TRIM(INDEX('COOIS Raw'!$A:$GZ,ROW()-4,$B$4)))</f>
        <v>92RRA00548AAA</v>
      </c>
      <c r="C138" s="42" t="str">
        <f aca="false">IF(OR(A138="",$C$4=0),"",INDEX('COOIS Raw'!$A:$GZ,ROW()-4,$C$4))</f>
        <v>R5B ERBIUM SPOOL ASSEMBLY - E2A</v>
      </c>
      <c r="D138" s="41" t="n">
        <f aca="false">IF(A138="","",IF($D$4=0,1,IFERROR(--INDEX('COOIS Raw'!$A:$GZ,ROW()-4,$D$4),1)))</f>
        <v>1</v>
      </c>
      <c r="E138" s="42" t="str">
        <f aca="false">IF(A138="","",INDEX('COOIS Raw'!$A:$GZ,ROW()-4,$E$4)&amp;"")</f>
        <v>REL PRT PCNF PRC MANC SETC</v>
      </c>
      <c r="F138" s="43" t="n">
        <f aca="false">IF(A138="","",IFERROR(DATEVALUE(INDEX('COOIS Raw'!$A:$GZ,ROW()-4,$F$4)),INDEX('COOIS Raw'!$A:$GZ,ROW()-4,$F$4)))</f>
        <v>46296</v>
      </c>
      <c r="G138" s="41" t="str">
        <f aca="false">IF(A138="","",IF(ISNA(MATCH(B138,'Kitting Plan'!$B$6:$B$19,0)),"Not in plan","Yes"))</f>
        <v>Yes</v>
      </c>
      <c r="H138" s="41" t="n">
        <f aca="false">IF(G138="Yes",INDEX('Kitting Plan'!$D$6:$D$19,MATCH(B138,'Kitting Plan'!$B$6:$B$19,0)),"")</f>
        <v>24</v>
      </c>
      <c r="I138" s="41" t="n">
        <f aca="false">IF(A138="","",IF(ISNUMBER(SEARCH("PRT",E138)),D138,0))</f>
        <v>1</v>
      </c>
      <c r="J138" s="41" t="n">
        <f aca="false">IF(A138="","",IF(ISNUMBER(SEARCH("GMPS",E138)),D138,0))</f>
        <v>0</v>
      </c>
      <c r="K138" s="41" t="n">
        <f aca="false">IF(A138="","",IF(ISNUMBER(SEARCH("DLV",E138)),D138,0))</f>
        <v>0</v>
      </c>
      <c r="L138" s="41" t="str">
        <f aca="false">IF(A138="","",IF(K138&gt;0,"Delivered",IF(ISNUMBER(SEARCH("CNF",E138)),"In production",IF(J138&gt;0,"Issued",IF(I138&gt;0,"Kitted","Released")))))</f>
        <v>In production</v>
      </c>
      <c r="M138" s="41" t="n">
        <f aca="false">IF(G138&lt;&gt;"Yes","",COUNTIFS($B$6:$B$1505,B138,$F$6:$F$1505,"&lt;"&amp;F138)+COUNTIFS($B$6:$B$1505,B138,$F$6:$F$1505,F138,$A$6:$A$1505,"&lt;="&amp;A138))</f>
        <v>247</v>
      </c>
      <c r="N138" s="41" t="n">
        <f aca="false">IF(M138="","",ROUNDUP(M138/H138,0))</f>
        <v>11</v>
      </c>
      <c r="O138" s="41" t="str">
        <f aca="false">IF(N138="","",IF(N138&lt;='Kitting Plan'!$C$3,"Rep "&amp;N138,"Surplus"))</f>
        <v>Rep 11</v>
      </c>
    </row>
    <row r="139" customFormat="false" ht="15" hidden="false" customHeight="false" outlineLevel="0" collapsed="false">
      <c r="A139" s="40" t="n">
        <f aca="false">IF(OR($A$4=0,INDEX('COOIS Raw'!$A:$GZ,ROW()-4,$A$4)=""),"",IFERROR(--INDEX('COOIS Raw'!$A:$GZ,ROW()-4,$A$4),INDEX('COOIS Raw'!$A:$GZ,ROW()-4,$A$4)))</f>
        <v>100880002</v>
      </c>
      <c r="B139" s="41" t="str">
        <f aca="false">IF(A139="","",TRIM(INDEX('COOIS Raw'!$A:$GZ,ROW()-4,$B$4)))</f>
        <v>92RRA00548AAA</v>
      </c>
      <c r="C139" s="42" t="str">
        <f aca="false">IF(OR(A139="",$C$4=0),"",INDEX('COOIS Raw'!$A:$GZ,ROW()-4,$C$4))</f>
        <v>R5B ERBIUM SPOOL ASSEMBLY - E2A</v>
      </c>
      <c r="D139" s="41" t="n">
        <f aca="false">IF(A139="","",IF($D$4=0,1,IFERROR(--INDEX('COOIS Raw'!$A:$GZ,ROW()-4,$D$4),1)))</f>
        <v>1</v>
      </c>
      <c r="E139" s="42" t="str">
        <f aca="false">IF(A139="","",INDEX('COOIS Raw'!$A:$GZ,ROW()-4,$E$4)&amp;"")</f>
        <v>REL PRT PCNF PRC MANC SETC</v>
      </c>
      <c r="F139" s="43" t="n">
        <f aca="false">IF(A139="","",IFERROR(DATEVALUE(INDEX('COOIS Raw'!$A:$GZ,ROW()-4,$F$4)),INDEX('COOIS Raw'!$A:$GZ,ROW()-4,$F$4)))</f>
        <v>46296</v>
      </c>
      <c r="G139" s="41" t="str">
        <f aca="false">IF(A139="","",IF(ISNA(MATCH(B139,'Kitting Plan'!$B$6:$B$19,0)),"Not in plan","Yes"))</f>
        <v>Yes</v>
      </c>
      <c r="H139" s="41" t="n">
        <f aca="false">IF(G139="Yes",INDEX('Kitting Plan'!$D$6:$D$19,MATCH(B139,'Kitting Plan'!$B$6:$B$19,0)),"")</f>
        <v>24</v>
      </c>
      <c r="I139" s="41" t="n">
        <f aca="false">IF(A139="","",IF(ISNUMBER(SEARCH("PRT",E139)),D139,0))</f>
        <v>1</v>
      </c>
      <c r="J139" s="41" t="n">
        <f aca="false">IF(A139="","",IF(ISNUMBER(SEARCH("GMPS",E139)),D139,0))</f>
        <v>0</v>
      </c>
      <c r="K139" s="41" t="n">
        <f aca="false">IF(A139="","",IF(ISNUMBER(SEARCH("DLV",E139)),D139,0))</f>
        <v>0</v>
      </c>
      <c r="L139" s="41" t="str">
        <f aca="false">IF(A139="","",IF(K139&gt;0,"Delivered",IF(ISNUMBER(SEARCH("CNF",E139)),"In production",IF(J139&gt;0,"Issued",IF(I139&gt;0,"Kitted","Released")))))</f>
        <v>In production</v>
      </c>
      <c r="M139" s="41" t="n">
        <f aca="false">IF(G139&lt;&gt;"Yes","",COUNTIFS($B$6:$B$1505,B139,$F$6:$F$1505,"&lt;"&amp;F139)+COUNTIFS($B$6:$B$1505,B139,$F$6:$F$1505,F139,$A$6:$A$1505,"&lt;="&amp;A139))</f>
        <v>248</v>
      </c>
      <c r="N139" s="41" t="n">
        <f aca="false">IF(M139="","",ROUNDUP(M139/H139,0))</f>
        <v>11</v>
      </c>
      <c r="O139" s="41" t="str">
        <f aca="false">IF(N139="","",IF(N139&lt;='Kitting Plan'!$C$3,"Rep "&amp;N139,"Surplus"))</f>
        <v>Rep 11</v>
      </c>
    </row>
    <row r="140" customFormat="false" ht="15" hidden="false" customHeight="false" outlineLevel="0" collapsed="false">
      <c r="A140" s="40" t="n">
        <f aca="false">IF(OR($A$4=0,INDEX('COOIS Raw'!$A:$GZ,ROW()-4,$A$4)=""),"",IFERROR(--INDEX('COOIS Raw'!$A:$GZ,ROW()-4,$A$4),INDEX('COOIS Raw'!$A:$GZ,ROW()-4,$A$4)))</f>
        <v>100880003</v>
      </c>
      <c r="B140" s="41" t="str">
        <f aca="false">IF(A140="","",TRIM(INDEX('COOIS Raw'!$A:$GZ,ROW()-4,$B$4)))</f>
        <v>92RRA00548AAA</v>
      </c>
      <c r="C140" s="42" t="str">
        <f aca="false">IF(OR(A140="",$C$4=0),"",INDEX('COOIS Raw'!$A:$GZ,ROW()-4,$C$4))</f>
        <v>R5B ERBIUM SPOOL ASSEMBLY - E2A</v>
      </c>
      <c r="D140" s="41" t="n">
        <f aca="false">IF(A140="","",IF($D$4=0,1,IFERROR(--INDEX('COOIS Raw'!$A:$GZ,ROW()-4,$D$4),1)))</f>
        <v>1</v>
      </c>
      <c r="E140" s="42" t="str">
        <f aca="false">IF(A140="","",INDEX('COOIS Raw'!$A:$GZ,ROW()-4,$E$4)&amp;"")</f>
        <v>REL PRT PCNF PRC MANC SETC</v>
      </c>
      <c r="F140" s="43" t="n">
        <f aca="false">IF(A140="","",IFERROR(DATEVALUE(INDEX('COOIS Raw'!$A:$GZ,ROW()-4,$F$4)),INDEX('COOIS Raw'!$A:$GZ,ROW()-4,$F$4)))</f>
        <v>46296</v>
      </c>
      <c r="G140" s="41" t="str">
        <f aca="false">IF(A140="","",IF(ISNA(MATCH(B140,'Kitting Plan'!$B$6:$B$19,0)),"Not in plan","Yes"))</f>
        <v>Yes</v>
      </c>
      <c r="H140" s="41" t="n">
        <f aca="false">IF(G140="Yes",INDEX('Kitting Plan'!$D$6:$D$19,MATCH(B140,'Kitting Plan'!$B$6:$B$19,0)),"")</f>
        <v>24</v>
      </c>
      <c r="I140" s="41" t="n">
        <f aca="false">IF(A140="","",IF(ISNUMBER(SEARCH("PRT",E140)),D140,0))</f>
        <v>1</v>
      </c>
      <c r="J140" s="41" t="n">
        <f aca="false">IF(A140="","",IF(ISNUMBER(SEARCH("GMPS",E140)),D140,0))</f>
        <v>0</v>
      </c>
      <c r="K140" s="41" t="n">
        <f aca="false">IF(A140="","",IF(ISNUMBER(SEARCH("DLV",E140)),D140,0))</f>
        <v>0</v>
      </c>
      <c r="L140" s="41" t="str">
        <f aca="false">IF(A140="","",IF(K140&gt;0,"Delivered",IF(ISNUMBER(SEARCH("CNF",E140)),"In production",IF(J140&gt;0,"Issued",IF(I140&gt;0,"Kitted","Released")))))</f>
        <v>In production</v>
      </c>
      <c r="M140" s="41" t="n">
        <f aca="false">IF(G140&lt;&gt;"Yes","",COUNTIFS($B$6:$B$1505,B140,$F$6:$F$1505,"&lt;"&amp;F140)+COUNTIFS($B$6:$B$1505,B140,$F$6:$F$1505,F140,$A$6:$A$1505,"&lt;="&amp;A140))</f>
        <v>249</v>
      </c>
      <c r="N140" s="41" t="n">
        <f aca="false">IF(M140="","",ROUNDUP(M140/H140,0))</f>
        <v>11</v>
      </c>
      <c r="O140" s="41" t="str">
        <f aca="false">IF(N140="","",IF(N140&lt;='Kitting Plan'!$C$3,"Rep "&amp;N140,"Surplus"))</f>
        <v>Rep 11</v>
      </c>
    </row>
    <row r="141" customFormat="false" ht="15" hidden="false" customHeight="false" outlineLevel="0" collapsed="false">
      <c r="A141" s="40" t="n">
        <f aca="false">IF(OR($A$4=0,INDEX('COOIS Raw'!$A:$GZ,ROW()-4,$A$4)=""),"",IFERROR(--INDEX('COOIS Raw'!$A:$GZ,ROW()-4,$A$4),INDEX('COOIS Raw'!$A:$GZ,ROW()-4,$A$4)))</f>
        <v>100880004</v>
      </c>
      <c r="B141" s="41" t="str">
        <f aca="false">IF(A141="","",TRIM(INDEX('COOIS Raw'!$A:$GZ,ROW()-4,$B$4)))</f>
        <v>92RRA00548AAA</v>
      </c>
      <c r="C141" s="42" t="str">
        <f aca="false">IF(OR(A141="",$C$4=0),"",INDEX('COOIS Raw'!$A:$GZ,ROW()-4,$C$4))</f>
        <v>R5B ERBIUM SPOOL ASSEMBLY - E2A</v>
      </c>
      <c r="D141" s="41" t="n">
        <f aca="false">IF(A141="","",IF($D$4=0,1,IFERROR(--INDEX('COOIS Raw'!$A:$GZ,ROW()-4,$D$4),1)))</f>
        <v>1</v>
      </c>
      <c r="E141" s="42" t="str">
        <f aca="false">IF(A141="","",INDEX('COOIS Raw'!$A:$GZ,ROW()-4,$E$4)&amp;"")</f>
        <v>REL PRT PCNF PRC MANC SETC</v>
      </c>
      <c r="F141" s="43" t="n">
        <f aca="false">IF(A141="","",IFERROR(DATEVALUE(INDEX('COOIS Raw'!$A:$GZ,ROW()-4,$F$4)),INDEX('COOIS Raw'!$A:$GZ,ROW()-4,$F$4)))</f>
        <v>46296</v>
      </c>
      <c r="G141" s="41" t="str">
        <f aca="false">IF(A141="","",IF(ISNA(MATCH(B141,'Kitting Plan'!$B$6:$B$19,0)),"Not in plan","Yes"))</f>
        <v>Yes</v>
      </c>
      <c r="H141" s="41" t="n">
        <f aca="false">IF(G141="Yes",INDEX('Kitting Plan'!$D$6:$D$19,MATCH(B141,'Kitting Plan'!$B$6:$B$19,0)),"")</f>
        <v>24</v>
      </c>
      <c r="I141" s="41" t="n">
        <f aca="false">IF(A141="","",IF(ISNUMBER(SEARCH("PRT",E141)),D141,0))</f>
        <v>1</v>
      </c>
      <c r="J141" s="41" t="n">
        <f aca="false">IF(A141="","",IF(ISNUMBER(SEARCH("GMPS",E141)),D141,0))</f>
        <v>0</v>
      </c>
      <c r="K141" s="41" t="n">
        <f aca="false">IF(A141="","",IF(ISNUMBER(SEARCH("DLV",E141)),D141,0))</f>
        <v>0</v>
      </c>
      <c r="L141" s="41" t="str">
        <f aca="false">IF(A141="","",IF(K141&gt;0,"Delivered",IF(ISNUMBER(SEARCH("CNF",E141)),"In production",IF(J141&gt;0,"Issued",IF(I141&gt;0,"Kitted","Released")))))</f>
        <v>In production</v>
      </c>
      <c r="M141" s="41" t="n">
        <f aca="false">IF(G141&lt;&gt;"Yes","",COUNTIFS($B$6:$B$1505,B141,$F$6:$F$1505,"&lt;"&amp;F141)+COUNTIFS($B$6:$B$1505,B141,$F$6:$F$1505,F141,$A$6:$A$1505,"&lt;="&amp;A141))</f>
        <v>250</v>
      </c>
      <c r="N141" s="41" t="n">
        <f aca="false">IF(M141="","",ROUNDUP(M141/H141,0))</f>
        <v>11</v>
      </c>
      <c r="O141" s="41" t="str">
        <f aca="false">IF(N141="","",IF(N141&lt;='Kitting Plan'!$C$3,"Rep "&amp;N141,"Surplus"))</f>
        <v>Rep 11</v>
      </c>
    </row>
    <row r="142" customFormat="false" ht="15" hidden="false" customHeight="false" outlineLevel="0" collapsed="false">
      <c r="A142" s="40" t="n">
        <f aca="false">IF(OR($A$4=0,INDEX('COOIS Raw'!$A:$GZ,ROW()-4,$A$4)=""),"",IFERROR(--INDEX('COOIS Raw'!$A:$GZ,ROW()-4,$A$4),INDEX('COOIS Raw'!$A:$GZ,ROW()-4,$A$4)))</f>
        <v>100880010</v>
      </c>
      <c r="B142" s="41" t="str">
        <f aca="false">IF(A142="","",TRIM(INDEX('COOIS Raw'!$A:$GZ,ROW()-4,$B$4)))</f>
        <v>92YRA01548AAA</v>
      </c>
      <c r="C142" s="42" t="str">
        <f aca="false">IF(OR(A142="",$C$4=0),"",INDEX('COOIS Raw'!$A:$GZ,ROW()-4,$C$4))</f>
        <v>R5B ERBIUM ASSEMBLY 1</v>
      </c>
      <c r="D142" s="41" t="n">
        <f aca="false">IF(A142="","",IF($D$4=0,1,IFERROR(--INDEX('COOIS Raw'!$A:$GZ,ROW()-4,$D$4),1)))</f>
        <v>1</v>
      </c>
      <c r="E142" s="42" t="str">
        <f aca="false">IF(A142="","",INDEX('COOIS Raw'!$A:$GZ,ROW()-4,$E$4)&amp;"")</f>
        <v>REL PRT PCNF PRC MANC SETC</v>
      </c>
      <c r="F142" s="43" t="n">
        <f aca="false">IF(A142="","",IFERROR(DATEVALUE(INDEX('COOIS Raw'!$A:$GZ,ROW()-4,$F$4)),INDEX('COOIS Raw'!$A:$GZ,ROW()-4,$F$4)))</f>
        <v>46296</v>
      </c>
      <c r="G142" s="41" t="str">
        <f aca="false">IF(A142="","",IF(ISNA(MATCH(B142,'Kitting Plan'!$B$6:$B$19,0)),"Not in plan","Yes"))</f>
        <v>Yes</v>
      </c>
      <c r="H142" s="41" t="n">
        <f aca="false">IF(G142="Yes",INDEX('Kitting Plan'!$D$6:$D$19,MATCH(B142,'Kitting Plan'!$B$6:$B$19,0)),"")</f>
        <v>3</v>
      </c>
      <c r="I142" s="41" t="n">
        <f aca="false">IF(A142="","",IF(ISNUMBER(SEARCH("PRT",E142)),D142,0))</f>
        <v>1</v>
      </c>
      <c r="J142" s="41" t="n">
        <f aca="false">IF(A142="","",IF(ISNUMBER(SEARCH("GMPS",E142)),D142,0))</f>
        <v>0</v>
      </c>
      <c r="K142" s="41" t="n">
        <f aca="false">IF(A142="","",IF(ISNUMBER(SEARCH("DLV",E142)),D142,0))</f>
        <v>0</v>
      </c>
      <c r="L142" s="41" t="str">
        <f aca="false">IF(A142="","",IF(K142&gt;0,"Delivered",IF(ISNUMBER(SEARCH("CNF",E142)),"In production",IF(J142&gt;0,"Issued",IF(I142&gt;0,"Kitted","Released")))))</f>
        <v>In production</v>
      </c>
      <c r="M142" s="41" t="n">
        <f aca="false">IF(G142&lt;&gt;"Yes","",COUNTIFS($B$6:$B$1505,B142,$F$6:$F$1505,"&lt;"&amp;F142)+COUNTIFS($B$6:$B$1505,B142,$F$6:$F$1505,F142,$A$6:$A$1505,"&lt;="&amp;A142))</f>
        <v>28</v>
      </c>
      <c r="N142" s="41" t="n">
        <f aca="false">IF(M142="","",ROUNDUP(M142/H142,0))</f>
        <v>10</v>
      </c>
      <c r="O142" s="41" t="str">
        <f aca="false">IF(N142="","",IF(N142&lt;='Kitting Plan'!$C$3,"Rep "&amp;N142,"Surplus"))</f>
        <v>Rep 10</v>
      </c>
    </row>
    <row r="143" customFormat="false" ht="15" hidden="false" customHeight="false" outlineLevel="0" collapsed="false">
      <c r="A143" s="40" t="n">
        <f aca="false">IF(OR($A$4=0,INDEX('COOIS Raw'!$A:$GZ,ROW()-4,$A$4)=""),"",IFERROR(--INDEX('COOIS Raw'!$A:$GZ,ROW()-4,$A$4),INDEX('COOIS Raw'!$A:$GZ,ROW()-4,$A$4)))</f>
        <v>100880011</v>
      </c>
      <c r="B143" s="41" t="str">
        <f aca="false">IF(A143="","",TRIM(INDEX('COOIS Raw'!$A:$GZ,ROW()-4,$B$4)))</f>
        <v>92YRA01548AAA</v>
      </c>
      <c r="C143" s="42" t="str">
        <f aca="false">IF(OR(A143="",$C$4=0),"",INDEX('COOIS Raw'!$A:$GZ,ROW()-4,$C$4))</f>
        <v>R5B ERBIUM ASSEMBLY 1</v>
      </c>
      <c r="D143" s="41" t="n">
        <f aca="false">IF(A143="","",IF($D$4=0,1,IFERROR(--INDEX('COOIS Raw'!$A:$GZ,ROW()-4,$D$4),1)))</f>
        <v>1</v>
      </c>
      <c r="E143" s="42" t="str">
        <f aca="false">IF(A143="","",INDEX('COOIS Raw'!$A:$GZ,ROW()-4,$E$4)&amp;"")</f>
        <v>REL PRT PCNF PRC MANC SETC</v>
      </c>
      <c r="F143" s="43" t="n">
        <f aca="false">IF(A143="","",IFERROR(DATEVALUE(INDEX('COOIS Raw'!$A:$GZ,ROW()-4,$F$4)),INDEX('COOIS Raw'!$A:$GZ,ROW()-4,$F$4)))</f>
        <v>46296</v>
      </c>
      <c r="G143" s="41" t="str">
        <f aca="false">IF(A143="","",IF(ISNA(MATCH(B143,'Kitting Plan'!$B$6:$B$19,0)),"Not in plan","Yes"))</f>
        <v>Yes</v>
      </c>
      <c r="H143" s="41" t="n">
        <f aca="false">IF(G143="Yes",INDEX('Kitting Plan'!$D$6:$D$19,MATCH(B143,'Kitting Plan'!$B$6:$B$19,0)),"")</f>
        <v>3</v>
      </c>
      <c r="I143" s="41" t="n">
        <f aca="false">IF(A143="","",IF(ISNUMBER(SEARCH("PRT",E143)),D143,0))</f>
        <v>1</v>
      </c>
      <c r="J143" s="41" t="n">
        <f aca="false">IF(A143="","",IF(ISNUMBER(SEARCH("GMPS",E143)),D143,0))</f>
        <v>0</v>
      </c>
      <c r="K143" s="41" t="n">
        <f aca="false">IF(A143="","",IF(ISNUMBER(SEARCH("DLV",E143)),D143,0))</f>
        <v>0</v>
      </c>
      <c r="L143" s="41" t="str">
        <f aca="false">IF(A143="","",IF(K143&gt;0,"Delivered",IF(ISNUMBER(SEARCH("CNF",E143)),"In production",IF(J143&gt;0,"Issued",IF(I143&gt;0,"Kitted","Released")))))</f>
        <v>In production</v>
      </c>
      <c r="M143" s="41" t="n">
        <f aca="false">IF(G143&lt;&gt;"Yes","",COUNTIFS($B$6:$B$1505,B143,$F$6:$F$1505,"&lt;"&amp;F143)+COUNTIFS($B$6:$B$1505,B143,$F$6:$F$1505,F143,$A$6:$A$1505,"&lt;="&amp;A143))</f>
        <v>29</v>
      </c>
      <c r="N143" s="41" t="n">
        <f aca="false">IF(M143="","",ROUNDUP(M143/H143,0))</f>
        <v>10</v>
      </c>
      <c r="O143" s="41" t="str">
        <f aca="false">IF(N143="","",IF(N143&lt;='Kitting Plan'!$C$3,"Rep "&amp;N143,"Surplus"))</f>
        <v>Rep 10</v>
      </c>
    </row>
    <row r="144" customFormat="false" ht="15" hidden="false" customHeight="false" outlineLevel="0" collapsed="false">
      <c r="A144" s="40" t="n">
        <f aca="false">IF(OR($A$4=0,INDEX('COOIS Raw'!$A:$GZ,ROW()-4,$A$4)=""),"",IFERROR(--INDEX('COOIS Raw'!$A:$GZ,ROW()-4,$A$4),INDEX('COOIS Raw'!$A:$GZ,ROW()-4,$A$4)))</f>
        <v>100880012</v>
      </c>
      <c r="B144" s="41" t="str">
        <f aca="false">IF(A144="","",TRIM(INDEX('COOIS Raw'!$A:$GZ,ROW()-4,$B$4)))</f>
        <v>92YRA01548AAA</v>
      </c>
      <c r="C144" s="42" t="str">
        <f aca="false">IF(OR(A144="",$C$4=0),"",INDEX('COOIS Raw'!$A:$GZ,ROW()-4,$C$4))</f>
        <v>R5B ERBIUM ASSEMBLY 1</v>
      </c>
      <c r="D144" s="41" t="n">
        <f aca="false">IF(A144="","",IF($D$4=0,1,IFERROR(--INDEX('COOIS Raw'!$A:$GZ,ROW()-4,$D$4),1)))</f>
        <v>1</v>
      </c>
      <c r="E144" s="42" t="str">
        <f aca="false">IF(A144="","",INDEX('COOIS Raw'!$A:$GZ,ROW()-4,$E$4)&amp;"")</f>
        <v>REL PRT PCNF PRC MANC SETC</v>
      </c>
      <c r="F144" s="43" t="n">
        <f aca="false">IF(A144="","",IFERROR(DATEVALUE(INDEX('COOIS Raw'!$A:$GZ,ROW()-4,$F$4)),INDEX('COOIS Raw'!$A:$GZ,ROW()-4,$F$4)))</f>
        <v>46296</v>
      </c>
      <c r="G144" s="41" t="str">
        <f aca="false">IF(A144="","",IF(ISNA(MATCH(B144,'Kitting Plan'!$B$6:$B$19,0)),"Not in plan","Yes"))</f>
        <v>Yes</v>
      </c>
      <c r="H144" s="41" t="n">
        <f aca="false">IF(G144="Yes",INDEX('Kitting Plan'!$D$6:$D$19,MATCH(B144,'Kitting Plan'!$B$6:$B$19,0)),"")</f>
        <v>3</v>
      </c>
      <c r="I144" s="41" t="n">
        <f aca="false">IF(A144="","",IF(ISNUMBER(SEARCH("PRT",E144)),D144,0))</f>
        <v>1</v>
      </c>
      <c r="J144" s="41" t="n">
        <f aca="false">IF(A144="","",IF(ISNUMBER(SEARCH("GMPS",E144)),D144,0))</f>
        <v>0</v>
      </c>
      <c r="K144" s="41" t="n">
        <f aca="false">IF(A144="","",IF(ISNUMBER(SEARCH("DLV",E144)),D144,0))</f>
        <v>0</v>
      </c>
      <c r="L144" s="41" t="str">
        <f aca="false">IF(A144="","",IF(K144&gt;0,"Delivered",IF(ISNUMBER(SEARCH("CNF",E144)),"In production",IF(J144&gt;0,"Issued",IF(I144&gt;0,"Kitted","Released")))))</f>
        <v>In production</v>
      </c>
      <c r="M144" s="41" t="n">
        <f aca="false">IF(G144&lt;&gt;"Yes","",COUNTIFS($B$6:$B$1505,B144,$F$6:$F$1505,"&lt;"&amp;F144)+COUNTIFS($B$6:$B$1505,B144,$F$6:$F$1505,F144,$A$6:$A$1505,"&lt;="&amp;A144))</f>
        <v>30</v>
      </c>
      <c r="N144" s="41" t="n">
        <f aca="false">IF(M144="","",ROUNDUP(M144/H144,0))</f>
        <v>10</v>
      </c>
      <c r="O144" s="41" t="str">
        <f aca="false">IF(N144="","",IF(N144&lt;='Kitting Plan'!$C$3,"Rep "&amp;N144,"Surplus"))</f>
        <v>Rep 10</v>
      </c>
    </row>
    <row r="145" customFormat="false" ht="15" hidden="false" customHeight="false" outlineLevel="0" collapsed="false">
      <c r="A145" s="40" t="n">
        <f aca="false">IF(OR($A$4=0,INDEX('COOIS Raw'!$A:$GZ,ROW()-4,$A$4)=""),"",IFERROR(--INDEX('COOIS Raw'!$A:$GZ,ROW()-4,$A$4),INDEX('COOIS Raw'!$A:$GZ,ROW()-4,$A$4)))</f>
        <v>100880013</v>
      </c>
      <c r="B145" s="41" t="str">
        <f aca="false">IF(A145="","",TRIM(INDEX('COOIS Raw'!$A:$GZ,ROW()-4,$B$4)))</f>
        <v>92YRA02548AAA</v>
      </c>
      <c r="C145" s="42" t="str">
        <f aca="false">IF(OR(A145="",$C$4=0),"",INDEX('COOIS Raw'!$A:$GZ,ROW()-4,$C$4))</f>
        <v>R5B ERBIUM ASSEMBLY 2</v>
      </c>
      <c r="D145" s="41" t="n">
        <f aca="false">IF(A145="","",IF($D$4=0,1,IFERROR(--INDEX('COOIS Raw'!$A:$GZ,ROW()-4,$D$4),1)))</f>
        <v>1</v>
      </c>
      <c r="E145" s="42" t="str">
        <f aca="false">IF(A145="","",INDEX('COOIS Raw'!$A:$GZ,ROW()-4,$E$4)&amp;"")</f>
        <v>REL PRT PCNF PRC MANC SETC</v>
      </c>
      <c r="F145" s="43" t="n">
        <f aca="false">IF(A145="","",IFERROR(DATEVALUE(INDEX('COOIS Raw'!$A:$GZ,ROW()-4,$F$4)),INDEX('COOIS Raw'!$A:$GZ,ROW()-4,$F$4)))</f>
        <v>46296</v>
      </c>
      <c r="G145" s="41" t="str">
        <f aca="false">IF(A145="","",IF(ISNA(MATCH(B145,'Kitting Plan'!$B$6:$B$19,0)),"Not in plan","Yes"))</f>
        <v>Yes</v>
      </c>
      <c r="H145" s="41" t="n">
        <f aca="false">IF(G145="Yes",INDEX('Kitting Plan'!$D$6:$D$19,MATCH(B145,'Kitting Plan'!$B$6:$B$19,0)),"")</f>
        <v>3</v>
      </c>
      <c r="I145" s="41" t="n">
        <f aca="false">IF(A145="","",IF(ISNUMBER(SEARCH("PRT",E145)),D145,0))</f>
        <v>1</v>
      </c>
      <c r="J145" s="41" t="n">
        <f aca="false">IF(A145="","",IF(ISNUMBER(SEARCH("GMPS",E145)),D145,0))</f>
        <v>0</v>
      </c>
      <c r="K145" s="41" t="n">
        <f aca="false">IF(A145="","",IF(ISNUMBER(SEARCH("DLV",E145)),D145,0))</f>
        <v>0</v>
      </c>
      <c r="L145" s="41" t="str">
        <f aca="false">IF(A145="","",IF(K145&gt;0,"Delivered",IF(ISNUMBER(SEARCH("CNF",E145)),"In production",IF(J145&gt;0,"Issued",IF(I145&gt;0,"Kitted","Released")))))</f>
        <v>In production</v>
      </c>
      <c r="M145" s="41" t="n">
        <f aca="false">IF(G145&lt;&gt;"Yes","",COUNTIFS($B$6:$B$1505,B145,$F$6:$F$1505,"&lt;"&amp;F145)+COUNTIFS($B$6:$B$1505,B145,$F$6:$F$1505,F145,$A$6:$A$1505,"&lt;="&amp;A145))</f>
        <v>28</v>
      </c>
      <c r="N145" s="41" t="n">
        <f aca="false">IF(M145="","",ROUNDUP(M145/H145,0))</f>
        <v>10</v>
      </c>
      <c r="O145" s="41" t="str">
        <f aca="false">IF(N145="","",IF(N145&lt;='Kitting Plan'!$C$3,"Rep "&amp;N145,"Surplus"))</f>
        <v>Rep 10</v>
      </c>
    </row>
    <row r="146" customFormat="false" ht="15" hidden="false" customHeight="false" outlineLevel="0" collapsed="false">
      <c r="A146" s="40" t="n">
        <f aca="false">IF(OR($A$4=0,INDEX('COOIS Raw'!$A:$GZ,ROW()-4,$A$4)=""),"",IFERROR(--INDEX('COOIS Raw'!$A:$GZ,ROW()-4,$A$4),INDEX('COOIS Raw'!$A:$GZ,ROW()-4,$A$4)))</f>
        <v>100880014</v>
      </c>
      <c r="B146" s="41" t="str">
        <f aca="false">IF(A146="","",TRIM(INDEX('COOIS Raw'!$A:$GZ,ROW()-4,$B$4)))</f>
        <v>92YRA02548AAA</v>
      </c>
      <c r="C146" s="42" t="str">
        <f aca="false">IF(OR(A146="",$C$4=0),"",INDEX('COOIS Raw'!$A:$GZ,ROW()-4,$C$4))</f>
        <v>R5B ERBIUM ASSEMBLY 2</v>
      </c>
      <c r="D146" s="41" t="n">
        <f aca="false">IF(A146="","",IF($D$4=0,1,IFERROR(--INDEX('COOIS Raw'!$A:$GZ,ROW()-4,$D$4),1)))</f>
        <v>1</v>
      </c>
      <c r="E146" s="42" t="str">
        <f aca="false">IF(A146="","",INDEX('COOIS Raw'!$A:$GZ,ROW()-4,$E$4)&amp;"")</f>
        <v>REL PRT PCNF PRC MANC SETC</v>
      </c>
      <c r="F146" s="43" t="n">
        <f aca="false">IF(A146="","",IFERROR(DATEVALUE(INDEX('COOIS Raw'!$A:$GZ,ROW()-4,$F$4)),INDEX('COOIS Raw'!$A:$GZ,ROW()-4,$F$4)))</f>
        <v>46296</v>
      </c>
      <c r="G146" s="41" t="str">
        <f aca="false">IF(A146="","",IF(ISNA(MATCH(B146,'Kitting Plan'!$B$6:$B$19,0)),"Not in plan","Yes"))</f>
        <v>Yes</v>
      </c>
      <c r="H146" s="41" t="n">
        <f aca="false">IF(G146="Yes",INDEX('Kitting Plan'!$D$6:$D$19,MATCH(B146,'Kitting Plan'!$B$6:$B$19,0)),"")</f>
        <v>3</v>
      </c>
      <c r="I146" s="41" t="n">
        <f aca="false">IF(A146="","",IF(ISNUMBER(SEARCH("PRT",E146)),D146,0))</f>
        <v>1</v>
      </c>
      <c r="J146" s="41" t="n">
        <f aca="false">IF(A146="","",IF(ISNUMBER(SEARCH("GMPS",E146)),D146,0))</f>
        <v>0</v>
      </c>
      <c r="K146" s="41" t="n">
        <f aca="false">IF(A146="","",IF(ISNUMBER(SEARCH("DLV",E146)),D146,0))</f>
        <v>0</v>
      </c>
      <c r="L146" s="41" t="str">
        <f aca="false">IF(A146="","",IF(K146&gt;0,"Delivered",IF(ISNUMBER(SEARCH("CNF",E146)),"In production",IF(J146&gt;0,"Issued",IF(I146&gt;0,"Kitted","Released")))))</f>
        <v>In production</v>
      </c>
      <c r="M146" s="41" t="n">
        <f aca="false">IF(G146&lt;&gt;"Yes","",COUNTIFS($B$6:$B$1505,B146,$F$6:$F$1505,"&lt;"&amp;F146)+COUNTIFS($B$6:$B$1505,B146,$F$6:$F$1505,F146,$A$6:$A$1505,"&lt;="&amp;A146))</f>
        <v>29</v>
      </c>
      <c r="N146" s="41" t="n">
        <f aca="false">IF(M146="","",ROUNDUP(M146/H146,0))</f>
        <v>10</v>
      </c>
      <c r="O146" s="41" t="str">
        <f aca="false">IF(N146="","",IF(N146&lt;='Kitting Plan'!$C$3,"Rep "&amp;N146,"Surplus"))</f>
        <v>Rep 10</v>
      </c>
    </row>
    <row r="147" customFormat="false" ht="15" hidden="false" customHeight="false" outlineLevel="0" collapsed="false">
      <c r="A147" s="40" t="n">
        <f aca="false">IF(OR($A$4=0,INDEX('COOIS Raw'!$A:$GZ,ROW()-4,$A$4)=""),"",IFERROR(--INDEX('COOIS Raw'!$A:$GZ,ROW()-4,$A$4),INDEX('COOIS Raw'!$A:$GZ,ROW()-4,$A$4)))</f>
        <v>100880015</v>
      </c>
      <c r="B147" s="41" t="str">
        <f aca="false">IF(A147="","",TRIM(INDEX('COOIS Raw'!$A:$GZ,ROW()-4,$B$4)))</f>
        <v>92YRA02548AAA</v>
      </c>
      <c r="C147" s="42" t="str">
        <f aca="false">IF(OR(A147="",$C$4=0),"",INDEX('COOIS Raw'!$A:$GZ,ROW()-4,$C$4))</f>
        <v>R5B ERBIUM ASSEMBLY 2</v>
      </c>
      <c r="D147" s="41" t="n">
        <f aca="false">IF(A147="","",IF($D$4=0,1,IFERROR(--INDEX('COOIS Raw'!$A:$GZ,ROW()-4,$D$4),1)))</f>
        <v>1</v>
      </c>
      <c r="E147" s="42" t="str">
        <f aca="false">IF(A147="","",INDEX('COOIS Raw'!$A:$GZ,ROW()-4,$E$4)&amp;"")</f>
        <v>REL PRT PCNF PRC MANC SETC</v>
      </c>
      <c r="F147" s="43" t="n">
        <f aca="false">IF(A147="","",IFERROR(DATEVALUE(INDEX('COOIS Raw'!$A:$GZ,ROW()-4,$F$4)),INDEX('COOIS Raw'!$A:$GZ,ROW()-4,$F$4)))</f>
        <v>46296</v>
      </c>
      <c r="G147" s="41" t="str">
        <f aca="false">IF(A147="","",IF(ISNA(MATCH(B147,'Kitting Plan'!$B$6:$B$19,0)),"Not in plan","Yes"))</f>
        <v>Yes</v>
      </c>
      <c r="H147" s="41" t="n">
        <f aca="false">IF(G147="Yes",INDEX('Kitting Plan'!$D$6:$D$19,MATCH(B147,'Kitting Plan'!$B$6:$B$19,0)),"")</f>
        <v>3</v>
      </c>
      <c r="I147" s="41" t="n">
        <f aca="false">IF(A147="","",IF(ISNUMBER(SEARCH("PRT",E147)),D147,0))</f>
        <v>1</v>
      </c>
      <c r="J147" s="41" t="n">
        <f aca="false">IF(A147="","",IF(ISNUMBER(SEARCH("GMPS",E147)),D147,0))</f>
        <v>0</v>
      </c>
      <c r="K147" s="41" t="n">
        <f aca="false">IF(A147="","",IF(ISNUMBER(SEARCH("DLV",E147)),D147,0))</f>
        <v>0</v>
      </c>
      <c r="L147" s="41" t="str">
        <f aca="false">IF(A147="","",IF(K147&gt;0,"Delivered",IF(ISNUMBER(SEARCH("CNF",E147)),"In production",IF(J147&gt;0,"Issued",IF(I147&gt;0,"Kitted","Released")))))</f>
        <v>In production</v>
      </c>
      <c r="M147" s="41" t="n">
        <f aca="false">IF(G147&lt;&gt;"Yes","",COUNTIFS($B$6:$B$1505,B147,$F$6:$F$1505,"&lt;"&amp;F147)+COUNTIFS($B$6:$B$1505,B147,$F$6:$F$1505,F147,$A$6:$A$1505,"&lt;="&amp;A147))</f>
        <v>30</v>
      </c>
      <c r="N147" s="41" t="n">
        <f aca="false">IF(M147="","",ROUNDUP(M147/H147,0))</f>
        <v>10</v>
      </c>
      <c r="O147" s="41" t="str">
        <f aca="false">IF(N147="","",IF(N147&lt;='Kitting Plan'!$C$3,"Rep "&amp;N147,"Surplus"))</f>
        <v>Rep 10</v>
      </c>
    </row>
    <row r="148" customFormat="false" ht="15" hidden="false" customHeight="false" outlineLevel="0" collapsed="false">
      <c r="A148" s="40" t="n">
        <f aca="false">IF(OR($A$4=0,INDEX('COOIS Raw'!$A:$GZ,ROW()-4,$A$4)=""),"",IFERROR(--INDEX('COOIS Raw'!$A:$GZ,ROW()-4,$A$4),INDEX('COOIS Raw'!$A:$GZ,ROW()-4,$A$4)))</f>
        <v>100880016</v>
      </c>
      <c r="B148" s="41" t="str">
        <f aca="false">IF(A148="","",TRIM(INDEX('COOIS Raw'!$A:$GZ,ROW()-4,$B$4)))</f>
        <v>92YRA03548AAA</v>
      </c>
      <c r="C148" s="42" t="str">
        <f aca="false">IF(OR(A148="",$C$4=0),"",INDEX('COOIS Raw'!$A:$GZ,ROW()-4,$C$4))</f>
        <v>R5B ERBIUM ASSEMBLY 3</v>
      </c>
      <c r="D148" s="41" t="n">
        <f aca="false">IF(A148="","",IF($D$4=0,1,IFERROR(--INDEX('COOIS Raw'!$A:$GZ,ROW()-4,$D$4),1)))</f>
        <v>1</v>
      </c>
      <c r="E148" s="42" t="str">
        <f aca="false">IF(A148="","",INDEX('COOIS Raw'!$A:$GZ,ROW()-4,$E$4)&amp;"")</f>
        <v>REL PRT PCNF PRC MANC SETC</v>
      </c>
      <c r="F148" s="43" t="n">
        <f aca="false">IF(A148="","",IFERROR(DATEVALUE(INDEX('COOIS Raw'!$A:$GZ,ROW()-4,$F$4)),INDEX('COOIS Raw'!$A:$GZ,ROW()-4,$F$4)))</f>
        <v>46296</v>
      </c>
      <c r="G148" s="41" t="str">
        <f aca="false">IF(A148="","",IF(ISNA(MATCH(B148,'Kitting Plan'!$B$6:$B$19,0)),"Not in plan","Yes"))</f>
        <v>Yes</v>
      </c>
      <c r="H148" s="41" t="n">
        <f aca="false">IF(G148="Yes",INDEX('Kitting Plan'!$D$6:$D$19,MATCH(B148,'Kitting Plan'!$B$6:$B$19,0)),"")</f>
        <v>3</v>
      </c>
      <c r="I148" s="41" t="n">
        <f aca="false">IF(A148="","",IF(ISNUMBER(SEARCH("PRT",E148)),D148,0))</f>
        <v>1</v>
      </c>
      <c r="J148" s="41" t="n">
        <f aca="false">IF(A148="","",IF(ISNUMBER(SEARCH("GMPS",E148)),D148,0))</f>
        <v>0</v>
      </c>
      <c r="K148" s="41" t="n">
        <f aca="false">IF(A148="","",IF(ISNUMBER(SEARCH("DLV",E148)),D148,0))</f>
        <v>0</v>
      </c>
      <c r="L148" s="41" t="str">
        <f aca="false">IF(A148="","",IF(K148&gt;0,"Delivered",IF(ISNUMBER(SEARCH("CNF",E148)),"In production",IF(J148&gt;0,"Issued",IF(I148&gt;0,"Kitted","Released")))))</f>
        <v>In production</v>
      </c>
      <c r="M148" s="41" t="n">
        <f aca="false">IF(G148&lt;&gt;"Yes","",COUNTIFS($B$6:$B$1505,B148,$F$6:$F$1505,"&lt;"&amp;F148)+COUNTIFS($B$6:$B$1505,B148,$F$6:$F$1505,F148,$A$6:$A$1505,"&lt;="&amp;A148))</f>
        <v>31</v>
      </c>
      <c r="N148" s="41" t="n">
        <f aca="false">IF(M148="","",ROUNDUP(M148/H148,0))</f>
        <v>11</v>
      </c>
      <c r="O148" s="41" t="str">
        <f aca="false">IF(N148="","",IF(N148&lt;='Kitting Plan'!$C$3,"Rep "&amp;N148,"Surplus"))</f>
        <v>Rep 11</v>
      </c>
    </row>
    <row r="149" customFormat="false" ht="15" hidden="false" customHeight="false" outlineLevel="0" collapsed="false">
      <c r="A149" s="40" t="n">
        <f aca="false">IF(OR($A$4=0,INDEX('COOIS Raw'!$A:$GZ,ROW()-4,$A$4)=""),"",IFERROR(--INDEX('COOIS Raw'!$A:$GZ,ROW()-4,$A$4),INDEX('COOIS Raw'!$A:$GZ,ROW()-4,$A$4)))</f>
        <v>100880017</v>
      </c>
      <c r="B149" s="41" t="str">
        <f aca="false">IF(A149="","",TRIM(INDEX('COOIS Raw'!$A:$GZ,ROW()-4,$B$4)))</f>
        <v>92YRA03548AAA</v>
      </c>
      <c r="C149" s="42" t="str">
        <f aca="false">IF(OR(A149="",$C$4=0),"",INDEX('COOIS Raw'!$A:$GZ,ROW()-4,$C$4))</f>
        <v>R5B ERBIUM ASSEMBLY 3</v>
      </c>
      <c r="D149" s="41" t="n">
        <f aca="false">IF(A149="","",IF($D$4=0,1,IFERROR(--INDEX('COOIS Raw'!$A:$GZ,ROW()-4,$D$4),1)))</f>
        <v>1</v>
      </c>
      <c r="E149" s="42" t="str">
        <f aca="false">IF(A149="","",INDEX('COOIS Raw'!$A:$GZ,ROW()-4,$E$4)&amp;"")</f>
        <v>REL PRT PCNF PRC MANC SETC</v>
      </c>
      <c r="F149" s="43" t="n">
        <f aca="false">IF(A149="","",IFERROR(DATEVALUE(INDEX('COOIS Raw'!$A:$GZ,ROW()-4,$F$4)),INDEX('COOIS Raw'!$A:$GZ,ROW()-4,$F$4)))</f>
        <v>46296</v>
      </c>
      <c r="G149" s="41" t="str">
        <f aca="false">IF(A149="","",IF(ISNA(MATCH(B149,'Kitting Plan'!$B$6:$B$19,0)),"Not in plan","Yes"))</f>
        <v>Yes</v>
      </c>
      <c r="H149" s="41" t="n">
        <f aca="false">IF(G149="Yes",INDEX('Kitting Plan'!$D$6:$D$19,MATCH(B149,'Kitting Plan'!$B$6:$B$19,0)),"")</f>
        <v>3</v>
      </c>
      <c r="I149" s="41" t="n">
        <f aca="false">IF(A149="","",IF(ISNUMBER(SEARCH("PRT",E149)),D149,0))</f>
        <v>1</v>
      </c>
      <c r="J149" s="41" t="n">
        <f aca="false">IF(A149="","",IF(ISNUMBER(SEARCH("GMPS",E149)),D149,0))</f>
        <v>0</v>
      </c>
      <c r="K149" s="41" t="n">
        <f aca="false">IF(A149="","",IF(ISNUMBER(SEARCH("DLV",E149)),D149,0))</f>
        <v>0</v>
      </c>
      <c r="L149" s="41" t="str">
        <f aca="false">IF(A149="","",IF(K149&gt;0,"Delivered",IF(ISNUMBER(SEARCH("CNF",E149)),"In production",IF(J149&gt;0,"Issued",IF(I149&gt;0,"Kitted","Released")))))</f>
        <v>In production</v>
      </c>
      <c r="M149" s="41" t="n">
        <f aca="false">IF(G149&lt;&gt;"Yes","",COUNTIFS($B$6:$B$1505,B149,$F$6:$F$1505,"&lt;"&amp;F149)+COUNTIFS($B$6:$B$1505,B149,$F$6:$F$1505,F149,$A$6:$A$1505,"&lt;="&amp;A149))</f>
        <v>32</v>
      </c>
      <c r="N149" s="41" t="n">
        <f aca="false">IF(M149="","",ROUNDUP(M149/H149,0))</f>
        <v>11</v>
      </c>
      <c r="O149" s="41" t="str">
        <f aca="false">IF(N149="","",IF(N149&lt;='Kitting Plan'!$C$3,"Rep "&amp;N149,"Surplus"))</f>
        <v>Rep 11</v>
      </c>
    </row>
    <row r="150" customFormat="false" ht="15" hidden="false" customHeight="false" outlineLevel="0" collapsed="false">
      <c r="A150" s="40" t="n">
        <f aca="false">IF(OR($A$4=0,INDEX('COOIS Raw'!$A:$GZ,ROW()-4,$A$4)=""),"",IFERROR(--INDEX('COOIS Raw'!$A:$GZ,ROW()-4,$A$4),INDEX('COOIS Raw'!$A:$GZ,ROW()-4,$A$4)))</f>
        <v>100880018</v>
      </c>
      <c r="B150" s="41" t="str">
        <f aca="false">IF(A150="","",TRIM(INDEX('COOIS Raw'!$A:$GZ,ROW()-4,$B$4)))</f>
        <v>92YRA03548AAA</v>
      </c>
      <c r="C150" s="42" t="str">
        <f aca="false">IF(OR(A150="",$C$4=0),"",INDEX('COOIS Raw'!$A:$GZ,ROW()-4,$C$4))</f>
        <v>R5B ERBIUM ASSEMBLY 3</v>
      </c>
      <c r="D150" s="41" t="n">
        <f aca="false">IF(A150="","",IF($D$4=0,1,IFERROR(--INDEX('COOIS Raw'!$A:$GZ,ROW()-4,$D$4),1)))</f>
        <v>1</v>
      </c>
      <c r="E150" s="42" t="str">
        <f aca="false">IF(A150="","",INDEX('COOIS Raw'!$A:$GZ,ROW()-4,$E$4)&amp;"")</f>
        <v>REL PRT PCNF PRC MANC SETC</v>
      </c>
      <c r="F150" s="43" t="n">
        <f aca="false">IF(A150="","",IFERROR(DATEVALUE(INDEX('COOIS Raw'!$A:$GZ,ROW()-4,$F$4)),INDEX('COOIS Raw'!$A:$GZ,ROW()-4,$F$4)))</f>
        <v>46296</v>
      </c>
      <c r="G150" s="41" t="str">
        <f aca="false">IF(A150="","",IF(ISNA(MATCH(B150,'Kitting Plan'!$B$6:$B$19,0)),"Not in plan","Yes"))</f>
        <v>Yes</v>
      </c>
      <c r="H150" s="41" t="n">
        <f aca="false">IF(G150="Yes",INDEX('Kitting Plan'!$D$6:$D$19,MATCH(B150,'Kitting Plan'!$B$6:$B$19,0)),"")</f>
        <v>3</v>
      </c>
      <c r="I150" s="41" t="n">
        <f aca="false">IF(A150="","",IF(ISNUMBER(SEARCH("PRT",E150)),D150,0))</f>
        <v>1</v>
      </c>
      <c r="J150" s="41" t="n">
        <f aca="false">IF(A150="","",IF(ISNUMBER(SEARCH("GMPS",E150)),D150,0))</f>
        <v>0</v>
      </c>
      <c r="K150" s="41" t="n">
        <f aca="false">IF(A150="","",IF(ISNUMBER(SEARCH("DLV",E150)),D150,0))</f>
        <v>0</v>
      </c>
      <c r="L150" s="41" t="str">
        <f aca="false">IF(A150="","",IF(K150&gt;0,"Delivered",IF(ISNUMBER(SEARCH("CNF",E150)),"In production",IF(J150&gt;0,"Issued",IF(I150&gt;0,"Kitted","Released")))))</f>
        <v>In production</v>
      </c>
      <c r="M150" s="41" t="n">
        <f aca="false">IF(G150&lt;&gt;"Yes","",COUNTIFS($B$6:$B$1505,B150,$F$6:$F$1505,"&lt;"&amp;F150)+COUNTIFS($B$6:$B$1505,B150,$F$6:$F$1505,F150,$A$6:$A$1505,"&lt;="&amp;A150))</f>
        <v>33</v>
      </c>
      <c r="N150" s="41" t="n">
        <f aca="false">IF(M150="","",ROUNDUP(M150/H150,0))</f>
        <v>11</v>
      </c>
      <c r="O150" s="41" t="str">
        <f aca="false">IF(N150="","",IF(N150&lt;='Kitting Plan'!$C$3,"Rep "&amp;N150,"Surplus"))</f>
        <v>Rep 11</v>
      </c>
    </row>
    <row r="151" customFormat="false" ht="15" hidden="false" customHeight="false" outlineLevel="0" collapsed="false">
      <c r="A151" s="40" t="n">
        <f aca="false">IF(OR($A$4=0,INDEX('COOIS Raw'!$A:$GZ,ROW()-4,$A$4)=""),"",IFERROR(--INDEX('COOIS Raw'!$A:$GZ,ROW()-4,$A$4),INDEX('COOIS Raw'!$A:$GZ,ROW()-4,$A$4)))</f>
        <v>100880019</v>
      </c>
      <c r="B151" s="41" t="str">
        <f aca="false">IF(A151="","",TRIM(INDEX('COOIS Raw'!$A:$GZ,ROW()-4,$B$4)))</f>
        <v>92YRA04548AAA</v>
      </c>
      <c r="C151" s="42" t="str">
        <f aca="false">IF(OR(A151="",$C$4=0),"",INDEX('COOIS Raw'!$A:$GZ,ROW()-4,$C$4))</f>
        <v>R5B ERBIUM ASSEMBLY 4</v>
      </c>
      <c r="D151" s="41" t="n">
        <f aca="false">IF(A151="","",IF($D$4=0,1,IFERROR(--INDEX('COOIS Raw'!$A:$GZ,ROW()-4,$D$4),1)))</f>
        <v>1</v>
      </c>
      <c r="E151" s="42" t="str">
        <f aca="false">IF(A151="","",INDEX('COOIS Raw'!$A:$GZ,ROW()-4,$E$4)&amp;"")</f>
        <v>REL PRT PCNF PRC MANC SETC</v>
      </c>
      <c r="F151" s="43" t="n">
        <f aca="false">IF(A151="","",IFERROR(DATEVALUE(INDEX('COOIS Raw'!$A:$GZ,ROW()-4,$F$4)),INDEX('COOIS Raw'!$A:$GZ,ROW()-4,$F$4)))</f>
        <v>46296</v>
      </c>
      <c r="G151" s="41" t="str">
        <f aca="false">IF(A151="","",IF(ISNA(MATCH(B151,'Kitting Plan'!$B$6:$B$19,0)),"Not in plan","Yes"))</f>
        <v>Yes</v>
      </c>
      <c r="H151" s="41" t="n">
        <f aca="false">IF(G151="Yes",INDEX('Kitting Plan'!$D$6:$D$19,MATCH(B151,'Kitting Plan'!$B$6:$B$19,0)),"")</f>
        <v>3</v>
      </c>
      <c r="I151" s="41" t="n">
        <f aca="false">IF(A151="","",IF(ISNUMBER(SEARCH("PRT",E151)),D151,0))</f>
        <v>1</v>
      </c>
      <c r="J151" s="41" t="n">
        <f aca="false">IF(A151="","",IF(ISNUMBER(SEARCH("GMPS",E151)),D151,0))</f>
        <v>0</v>
      </c>
      <c r="K151" s="41" t="n">
        <f aca="false">IF(A151="","",IF(ISNUMBER(SEARCH("DLV",E151)),D151,0))</f>
        <v>0</v>
      </c>
      <c r="L151" s="41" t="str">
        <f aca="false">IF(A151="","",IF(K151&gt;0,"Delivered",IF(ISNUMBER(SEARCH("CNF",E151)),"In production",IF(J151&gt;0,"Issued",IF(I151&gt;0,"Kitted","Released")))))</f>
        <v>In production</v>
      </c>
      <c r="M151" s="41" t="n">
        <f aca="false">IF(G151&lt;&gt;"Yes","",COUNTIFS($B$6:$B$1505,B151,$F$6:$F$1505,"&lt;"&amp;F151)+COUNTIFS($B$6:$B$1505,B151,$F$6:$F$1505,F151,$A$6:$A$1505,"&lt;="&amp;A151))</f>
        <v>28</v>
      </c>
      <c r="N151" s="41" t="n">
        <f aca="false">IF(M151="","",ROUNDUP(M151/H151,0))</f>
        <v>10</v>
      </c>
      <c r="O151" s="41" t="str">
        <f aca="false">IF(N151="","",IF(N151&lt;='Kitting Plan'!$C$3,"Rep "&amp;N151,"Surplus"))</f>
        <v>Rep 10</v>
      </c>
    </row>
    <row r="152" customFormat="false" ht="15" hidden="false" customHeight="false" outlineLevel="0" collapsed="false">
      <c r="A152" s="40" t="n">
        <f aca="false">IF(OR($A$4=0,INDEX('COOIS Raw'!$A:$GZ,ROW()-4,$A$4)=""),"",IFERROR(--INDEX('COOIS Raw'!$A:$GZ,ROW()-4,$A$4),INDEX('COOIS Raw'!$A:$GZ,ROW()-4,$A$4)))</f>
        <v>100880020</v>
      </c>
      <c r="B152" s="41" t="str">
        <f aca="false">IF(A152="","",TRIM(INDEX('COOIS Raw'!$A:$GZ,ROW()-4,$B$4)))</f>
        <v>92YRA04548AAA</v>
      </c>
      <c r="C152" s="42" t="str">
        <f aca="false">IF(OR(A152="",$C$4=0),"",INDEX('COOIS Raw'!$A:$GZ,ROW()-4,$C$4))</f>
        <v>R5B ERBIUM ASSEMBLY 4</v>
      </c>
      <c r="D152" s="41" t="n">
        <f aca="false">IF(A152="","",IF($D$4=0,1,IFERROR(--INDEX('COOIS Raw'!$A:$GZ,ROW()-4,$D$4),1)))</f>
        <v>1</v>
      </c>
      <c r="E152" s="42" t="str">
        <f aca="false">IF(A152="","",INDEX('COOIS Raw'!$A:$GZ,ROW()-4,$E$4)&amp;"")</f>
        <v>REL PRT PCNF PRC MANC SETC</v>
      </c>
      <c r="F152" s="43" t="n">
        <f aca="false">IF(A152="","",IFERROR(DATEVALUE(INDEX('COOIS Raw'!$A:$GZ,ROW()-4,$F$4)),INDEX('COOIS Raw'!$A:$GZ,ROW()-4,$F$4)))</f>
        <v>46296</v>
      </c>
      <c r="G152" s="41" t="str">
        <f aca="false">IF(A152="","",IF(ISNA(MATCH(B152,'Kitting Plan'!$B$6:$B$19,0)),"Not in plan","Yes"))</f>
        <v>Yes</v>
      </c>
      <c r="H152" s="41" t="n">
        <f aca="false">IF(G152="Yes",INDEX('Kitting Plan'!$D$6:$D$19,MATCH(B152,'Kitting Plan'!$B$6:$B$19,0)),"")</f>
        <v>3</v>
      </c>
      <c r="I152" s="41" t="n">
        <f aca="false">IF(A152="","",IF(ISNUMBER(SEARCH("PRT",E152)),D152,0))</f>
        <v>1</v>
      </c>
      <c r="J152" s="41" t="n">
        <f aca="false">IF(A152="","",IF(ISNUMBER(SEARCH("GMPS",E152)),D152,0))</f>
        <v>0</v>
      </c>
      <c r="K152" s="41" t="n">
        <f aca="false">IF(A152="","",IF(ISNUMBER(SEARCH("DLV",E152)),D152,0))</f>
        <v>0</v>
      </c>
      <c r="L152" s="41" t="str">
        <f aca="false">IF(A152="","",IF(K152&gt;0,"Delivered",IF(ISNUMBER(SEARCH("CNF",E152)),"In production",IF(J152&gt;0,"Issued",IF(I152&gt;0,"Kitted","Released")))))</f>
        <v>In production</v>
      </c>
      <c r="M152" s="41" t="n">
        <f aca="false">IF(G152&lt;&gt;"Yes","",COUNTIFS($B$6:$B$1505,B152,$F$6:$F$1505,"&lt;"&amp;F152)+COUNTIFS($B$6:$B$1505,B152,$F$6:$F$1505,F152,$A$6:$A$1505,"&lt;="&amp;A152))</f>
        <v>29</v>
      </c>
      <c r="N152" s="41" t="n">
        <f aca="false">IF(M152="","",ROUNDUP(M152/H152,0))</f>
        <v>10</v>
      </c>
      <c r="O152" s="41" t="str">
        <f aca="false">IF(N152="","",IF(N152&lt;='Kitting Plan'!$C$3,"Rep "&amp;N152,"Surplus"))</f>
        <v>Rep 10</v>
      </c>
    </row>
    <row r="153" customFormat="false" ht="15" hidden="false" customHeight="false" outlineLevel="0" collapsed="false">
      <c r="A153" s="40" t="n">
        <f aca="false">IF(OR($A$4=0,INDEX('COOIS Raw'!$A:$GZ,ROW()-4,$A$4)=""),"",IFERROR(--INDEX('COOIS Raw'!$A:$GZ,ROW()-4,$A$4),INDEX('COOIS Raw'!$A:$GZ,ROW()-4,$A$4)))</f>
        <v>100880021</v>
      </c>
      <c r="B153" s="41" t="str">
        <f aca="false">IF(A153="","",TRIM(INDEX('COOIS Raw'!$A:$GZ,ROW()-4,$B$4)))</f>
        <v>92YRA04548AAA</v>
      </c>
      <c r="C153" s="42" t="str">
        <f aca="false">IF(OR(A153="",$C$4=0),"",INDEX('COOIS Raw'!$A:$GZ,ROW()-4,$C$4))</f>
        <v>R5B ERBIUM ASSEMBLY 4</v>
      </c>
      <c r="D153" s="41" t="n">
        <f aca="false">IF(A153="","",IF($D$4=0,1,IFERROR(--INDEX('COOIS Raw'!$A:$GZ,ROW()-4,$D$4),1)))</f>
        <v>1</v>
      </c>
      <c r="E153" s="42" t="str">
        <f aca="false">IF(A153="","",INDEX('COOIS Raw'!$A:$GZ,ROW()-4,$E$4)&amp;"")</f>
        <v>REL PRT PCNF PRC MANC SETC</v>
      </c>
      <c r="F153" s="43" t="n">
        <f aca="false">IF(A153="","",IFERROR(DATEVALUE(INDEX('COOIS Raw'!$A:$GZ,ROW()-4,$F$4)),INDEX('COOIS Raw'!$A:$GZ,ROW()-4,$F$4)))</f>
        <v>46296</v>
      </c>
      <c r="G153" s="41" t="str">
        <f aca="false">IF(A153="","",IF(ISNA(MATCH(B153,'Kitting Plan'!$B$6:$B$19,0)),"Not in plan","Yes"))</f>
        <v>Yes</v>
      </c>
      <c r="H153" s="41" t="n">
        <f aca="false">IF(G153="Yes",INDEX('Kitting Plan'!$D$6:$D$19,MATCH(B153,'Kitting Plan'!$B$6:$B$19,0)),"")</f>
        <v>3</v>
      </c>
      <c r="I153" s="41" t="n">
        <f aca="false">IF(A153="","",IF(ISNUMBER(SEARCH("PRT",E153)),D153,0))</f>
        <v>1</v>
      </c>
      <c r="J153" s="41" t="n">
        <f aca="false">IF(A153="","",IF(ISNUMBER(SEARCH("GMPS",E153)),D153,0))</f>
        <v>0</v>
      </c>
      <c r="K153" s="41" t="n">
        <f aca="false">IF(A153="","",IF(ISNUMBER(SEARCH("DLV",E153)),D153,0))</f>
        <v>0</v>
      </c>
      <c r="L153" s="41" t="str">
        <f aca="false">IF(A153="","",IF(K153&gt;0,"Delivered",IF(ISNUMBER(SEARCH("CNF",E153)),"In production",IF(J153&gt;0,"Issued",IF(I153&gt;0,"Kitted","Released")))))</f>
        <v>In production</v>
      </c>
      <c r="M153" s="41" t="n">
        <f aca="false">IF(G153&lt;&gt;"Yes","",COUNTIFS($B$6:$B$1505,B153,$F$6:$F$1505,"&lt;"&amp;F153)+COUNTIFS($B$6:$B$1505,B153,$F$6:$F$1505,F153,$A$6:$A$1505,"&lt;="&amp;A153))</f>
        <v>30</v>
      </c>
      <c r="N153" s="41" t="n">
        <f aca="false">IF(M153="","",ROUNDUP(M153/H153,0))</f>
        <v>10</v>
      </c>
      <c r="O153" s="41" t="str">
        <f aca="false">IF(N153="","",IF(N153&lt;='Kitting Plan'!$C$3,"Rep "&amp;N153,"Surplus"))</f>
        <v>Rep 10</v>
      </c>
    </row>
    <row r="154" customFormat="false" ht="15" hidden="false" customHeight="false" outlineLevel="0" collapsed="false">
      <c r="A154" s="40" t="n">
        <f aca="false">IF(OR($A$4=0,INDEX('COOIS Raw'!$A:$GZ,ROW()-4,$A$4)=""),"",IFERROR(--INDEX('COOIS Raw'!$A:$GZ,ROW()-4,$A$4),INDEX('COOIS Raw'!$A:$GZ,ROW()-4,$A$4)))</f>
        <v>100880022</v>
      </c>
      <c r="B154" s="41" t="str">
        <f aca="false">IF(A154="","",TRIM(INDEX('COOIS Raw'!$A:$GZ,ROW()-4,$B$4)))</f>
        <v>92UAP04548BAA</v>
      </c>
      <c r="C154" s="42" t="str">
        <f aca="false">IF(OR(A154="",$C$4=0),"",INDEX('COOIS Raw'!$A:$GZ,ROW()-4,$C$4))</f>
        <v>R5B BOAT 1 ASSY (4P-4FP) L - E2A</v>
      </c>
      <c r="D154" s="41" t="n">
        <f aca="false">IF(A154="","",IF($D$4=0,1,IFERROR(--INDEX('COOIS Raw'!$A:$GZ,ROW()-4,$D$4),1)))</f>
        <v>1</v>
      </c>
      <c r="E154" s="42" t="str">
        <f aca="false">IF(A154="","",INDEX('COOIS Raw'!$A:$GZ,ROW()-4,$E$4)&amp;"")</f>
        <v>REL PRT PCNF PRC MANC SETC</v>
      </c>
      <c r="F154" s="43" t="n">
        <f aca="false">IF(A154="","",IFERROR(DATEVALUE(INDEX('COOIS Raw'!$A:$GZ,ROW()-4,$F$4)),INDEX('COOIS Raw'!$A:$GZ,ROW()-4,$F$4)))</f>
        <v>46296</v>
      </c>
      <c r="G154" s="41" t="str">
        <f aca="false">IF(A154="","",IF(ISNA(MATCH(B154,'Kitting Plan'!$B$6:$B$19,0)),"Not in plan","Yes"))</f>
        <v>Yes</v>
      </c>
      <c r="H154" s="41" t="n">
        <f aca="false">IF(G154="Yes",INDEX('Kitting Plan'!$D$6:$D$19,MATCH(B154,'Kitting Plan'!$B$6:$B$19,0)),"")</f>
        <v>1</v>
      </c>
      <c r="I154" s="41" t="n">
        <f aca="false">IF(A154="","",IF(ISNUMBER(SEARCH("PRT",E154)),D154,0))</f>
        <v>1</v>
      </c>
      <c r="J154" s="41" t="n">
        <f aca="false">IF(A154="","",IF(ISNUMBER(SEARCH("GMPS",E154)),D154,0))</f>
        <v>0</v>
      </c>
      <c r="K154" s="41" t="n">
        <f aca="false">IF(A154="","",IF(ISNUMBER(SEARCH("DLV",E154)),D154,0))</f>
        <v>0</v>
      </c>
      <c r="L154" s="41" t="str">
        <f aca="false">IF(A154="","",IF(K154&gt;0,"Delivered",IF(ISNUMBER(SEARCH("CNF",E154)),"In production",IF(J154&gt;0,"Issued",IF(I154&gt;0,"Kitted","Released")))))</f>
        <v>In production</v>
      </c>
      <c r="M154" s="41" t="n">
        <f aca="false">IF(G154&lt;&gt;"Yes","",COUNTIFS($B$6:$B$1505,B154,$F$6:$F$1505,"&lt;"&amp;F154)+COUNTIFS($B$6:$B$1505,B154,$F$6:$F$1505,F154,$A$6:$A$1505,"&lt;="&amp;A154))</f>
        <v>10</v>
      </c>
      <c r="N154" s="41" t="n">
        <f aca="false">IF(M154="","",ROUNDUP(M154/H154,0))</f>
        <v>10</v>
      </c>
      <c r="O154" s="41" t="str">
        <f aca="false">IF(N154="","",IF(N154&lt;='Kitting Plan'!$C$3,"Rep "&amp;N154,"Surplus"))</f>
        <v>Rep 10</v>
      </c>
    </row>
    <row r="155" customFormat="false" ht="15" hidden="false" customHeight="false" outlineLevel="0" collapsed="false">
      <c r="A155" s="40" t="n">
        <f aca="false">IF(OR($A$4=0,INDEX('COOIS Raw'!$A:$GZ,ROW()-4,$A$4)=""),"",IFERROR(--INDEX('COOIS Raw'!$A:$GZ,ROW()-4,$A$4),INDEX('COOIS Raw'!$A:$GZ,ROW()-4,$A$4)))</f>
        <v>100880023</v>
      </c>
      <c r="B155" s="41" t="str">
        <f aca="false">IF(A155="","",TRIM(INDEX('COOIS Raw'!$A:$GZ,ROW()-4,$B$4)))</f>
        <v>92UAP04548BBA</v>
      </c>
      <c r="C155" s="42" t="str">
        <f aca="false">IF(OR(A155="",$C$4=0),"",INDEX('COOIS Raw'!$A:$GZ,ROW()-4,$C$4))</f>
        <v>R5B BOAT 2 ASSY (4P-4FP) L - E2A</v>
      </c>
      <c r="D155" s="41" t="n">
        <f aca="false">IF(A155="","",IF($D$4=0,1,IFERROR(--INDEX('COOIS Raw'!$A:$GZ,ROW()-4,$D$4),1)))</f>
        <v>1</v>
      </c>
      <c r="E155" s="42" t="str">
        <f aca="false">IF(A155="","",INDEX('COOIS Raw'!$A:$GZ,ROW()-4,$E$4)&amp;"")</f>
        <v>REL PRT PCNF PRC MANC SETC</v>
      </c>
      <c r="F155" s="43" t="n">
        <f aca="false">IF(A155="","",IFERROR(DATEVALUE(INDEX('COOIS Raw'!$A:$GZ,ROW()-4,$F$4)),INDEX('COOIS Raw'!$A:$GZ,ROW()-4,$F$4)))</f>
        <v>46296</v>
      </c>
      <c r="G155" s="41" t="str">
        <f aca="false">IF(A155="","",IF(ISNA(MATCH(B155,'Kitting Plan'!$B$6:$B$19,0)),"Not in plan","Yes"))</f>
        <v>Yes</v>
      </c>
      <c r="H155" s="41" t="n">
        <f aca="false">IF(G155="Yes",INDEX('Kitting Plan'!$D$6:$D$19,MATCH(B155,'Kitting Plan'!$B$6:$B$19,0)),"")</f>
        <v>1</v>
      </c>
      <c r="I155" s="41" t="n">
        <f aca="false">IF(A155="","",IF(ISNUMBER(SEARCH("PRT",E155)),D155,0))</f>
        <v>1</v>
      </c>
      <c r="J155" s="41" t="n">
        <f aca="false">IF(A155="","",IF(ISNUMBER(SEARCH("GMPS",E155)),D155,0))</f>
        <v>0</v>
      </c>
      <c r="K155" s="41" t="n">
        <f aca="false">IF(A155="","",IF(ISNUMBER(SEARCH("DLV",E155)),D155,0))</f>
        <v>0</v>
      </c>
      <c r="L155" s="41" t="str">
        <f aca="false">IF(A155="","",IF(K155&gt;0,"Delivered",IF(ISNUMBER(SEARCH("CNF",E155)),"In production",IF(J155&gt;0,"Issued",IF(I155&gt;0,"Kitted","Released")))))</f>
        <v>In production</v>
      </c>
      <c r="M155" s="41" t="n">
        <f aca="false">IF(G155&lt;&gt;"Yes","",COUNTIFS($B$6:$B$1505,B155,$F$6:$F$1505,"&lt;"&amp;F155)+COUNTIFS($B$6:$B$1505,B155,$F$6:$F$1505,F155,$A$6:$A$1505,"&lt;="&amp;A155))</f>
        <v>10</v>
      </c>
      <c r="N155" s="41" t="n">
        <f aca="false">IF(M155="","",ROUNDUP(M155/H155,0))</f>
        <v>10</v>
      </c>
      <c r="O155" s="41" t="str">
        <f aca="false">IF(N155="","",IF(N155&lt;='Kitting Plan'!$C$3,"Rep "&amp;N155,"Surplus"))</f>
        <v>Rep 10</v>
      </c>
    </row>
    <row r="156" customFormat="false" ht="15" hidden="false" customHeight="false" outlineLevel="0" collapsed="false">
      <c r="A156" s="40" t="n">
        <f aca="false">IF(OR($A$4=0,INDEX('COOIS Raw'!$A:$GZ,ROW()-4,$A$4)=""),"",IFERROR(--INDEX('COOIS Raw'!$A:$GZ,ROW()-4,$A$4),INDEX('COOIS Raw'!$A:$GZ,ROW()-4,$A$4)))</f>
        <v>100880024</v>
      </c>
      <c r="B156" s="41" t="str">
        <f aca="false">IF(A156="","",TRIM(INDEX('COOIS Raw'!$A:$GZ,ROW()-4,$B$4)))</f>
        <v>92UAP04548BCA</v>
      </c>
      <c r="C156" s="42" t="str">
        <f aca="false">IF(OR(A156="",$C$4=0),"",INDEX('COOIS Raw'!$A:$GZ,ROW()-4,$C$4))</f>
        <v>R5B BOAT 3 ASSY (4P-4FP) L - E2A</v>
      </c>
      <c r="D156" s="41" t="n">
        <f aca="false">IF(A156="","",IF($D$4=0,1,IFERROR(--INDEX('COOIS Raw'!$A:$GZ,ROW()-4,$D$4),1)))</f>
        <v>1</v>
      </c>
      <c r="E156" s="42" t="str">
        <f aca="false">IF(A156="","",INDEX('COOIS Raw'!$A:$GZ,ROW()-4,$E$4)&amp;"")</f>
        <v>REL PRT PCNF PRC MANC SETC</v>
      </c>
      <c r="F156" s="43" t="n">
        <f aca="false">IF(A156="","",IFERROR(DATEVALUE(INDEX('COOIS Raw'!$A:$GZ,ROW()-4,$F$4)),INDEX('COOIS Raw'!$A:$GZ,ROW()-4,$F$4)))</f>
        <v>46296</v>
      </c>
      <c r="G156" s="41" t="str">
        <f aca="false">IF(A156="","",IF(ISNA(MATCH(B156,'Kitting Plan'!$B$6:$B$19,0)),"Not in plan","Yes"))</f>
        <v>Yes</v>
      </c>
      <c r="H156" s="41" t="n">
        <f aca="false">IF(G156="Yes",INDEX('Kitting Plan'!$D$6:$D$19,MATCH(B156,'Kitting Plan'!$B$6:$B$19,0)),"")</f>
        <v>1</v>
      </c>
      <c r="I156" s="41" t="n">
        <f aca="false">IF(A156="","",IF(ISNUMBER(SEARCH("PRT",E156)),D156,0))</f>
        <v>1</v>
      </c>
      <c r="J156" s="41" t="n">
        <f aca="false">IF(A156="","",IF(ISNUMBER(SEARCH("GMPS",E156)),D156,0))</f>
        <v>0</v>
      </c>
      <c r="K156" s="41" t="n">
        <f aca="false">IF(A156="","",IF(ISNUMBER(SEARCH("DLV",E156)),D156,0))</f>
        <v>0</v>
      </c>
      <c r="L156" s="41" t="str">
        <f aca="false">IF(A156="","",IF(K156&gt;0,"Delivered",IF(ISNUMBER(SEARCH("CNF",E156)),"In production",IF(J156&gt;0,"Issued",IF(I156&gt;0,"Kitted","Released")))))</f>
        <v>In production</v>
      </c>
      <c r="M156" s="41" t="n">
        <f aca="false">IF(G156&lt;&gt;"Yes","",COUNTIFS($B$6:$B$1505,B156,$F$6:$F$1505,"&lt;"&amp;F156)+COUNTIFS($B$6:$B$1505,B156,$F$6:$F$1505,F156,$A$6:$A$1505,"&lt;="&amp;A156))</f>
        <v>10</v>
      </c>
      <c r="N156" s="41" t="n">
        <f aca="false">IF(M156="","",ROUNDUP(M156/H156,0))</f>
        <v>10</v>
      </c>
      <c r="O156" s="41" t="str">
        <f aca="false">IF(N156="","",IF(N156&lt;='Kitting Plan'!$C$3,"Rep "&amp;N156,"Surplus"))</f>
        <v>Rep 10</v>
      </c>
    </row>
    <row r="157" customFormat="false" ht="15" hidden="false" customHeight="false" outlineLevel="0" collapsed="false">
      <c r="A157" s="40" t="n">
        <f aca="false">IF(OR($A$4=0,INDEX('COOIS Raw'!$A:$GZ,ROW()-4,$A$4)=""),"",IFERROR(--INDEX('COOIS Raw'!$A:$GZ,ROW()-4,$A$4),INDEX('COOIS Raw'!$A:$GZ,ROW()-4,$A$4)))</f>
        <v>100880067</v>
      </c>
      <c r="B157" s="41" t="str">
        <f aca="false">IF(A157="","",TRIM(INDEX('COOIS Raw'!$A:$GZ,ROW()-4,$B$4)))</f>
        <v>92YLS00548BAA</v>
      </c>
      <c r="C157" s="42" t="str">
        <f aca="false">IF(OR(A157="",$C$4=0),"",INDEX('COOIS Raw'!$A:$GZ,ROW()-4,$C$4))</f>
        <v>R5B LASER ASSEMBLY 4P BOAT 1 - E2A</v>
      </c>
      <c r="D157" s="41" t="n">
        <f aca="false">IF(A157="","",IF($D$4=0,1,IFERROR(--INDEX('COOIS Raw'!$A:$GZ,ROW()-4,$D$4),1)))</f>
        <v>1</v>
      </c>
      <c r="E157" s="42" t="str">
        <f aca="false">IF(A157="","",INDEX('COOIS Raw'!$A:$GZ,ROW()-4,$E$4)&amp;"")</f>
        <v>REL PRT PRC MANC SETC</v>
      </c>
      <c r="F157" s="43" t="n">
        <f aca="false">IF(A157="","",IFERROR(DATEVALUE(INDEX('COOIS Raw'!$A:$GZ,ROW()-4,$F$4)),INDEX('COOIS Raw'!$A:$GZ,ROW()-4,$F$4)))</f>
        <v>46296</v>
      </c>
      <c r="G157" s="41" t="str">
        <f aca="false">IF(A157="","",IF(ISNA(MATCH(B157,'Kitting Plan'!$B$6:$B$19,0)),"Not in plan","Yes"))</f>
        <v>Yes</v>
      </c>
      <c r="H157" s="41" t="n">
        <f aca="false">IF(G157="Yes",INDEX('Kitting Plan'!$D$6:$D$19,MATCH(B157,'Kitting Plan'!$B$6:$B$19,0)),"")</f>
        <v>1</v>
      </c>
      <c r="I157" s="41" t="n">
        <f aca="false">IF(A157="","",IF(ISNUMBER(SEARCH("PRT",E157)),D157,0))</f>
        <v>1</v>
      </c>
      <c r="J157" s="41" t="n">
        <f aca="false">IF(A157="","",IF(ISNUMBER(SEARCH("GMPS",E157)),D157,0))</f>
        <v>0</v>
      </c>
      <c r="K157" s="41" t="n">
        <f aca="false">IF(A157="","",IF(ISNUMBER(SEARCH("DLV",E157)),D157,0))</f>
        <v>0</v>
      </c>
      <c r="L157" s="41" t="str">
        <f aca="false">IF(A157="","",IF(K157&gt;0,"Delivered",IF(ISNUMBER(SEARCH("CNF",E157)),"In production",IF(J157&gt;0,"Issued",IF(I157&gt;0,"Kitted","Released")))))</f>
        <v>Kitted</v>
      </c>
      <c r="M157" s="41" t="n">
        <f aca="false">IF(G157&lt;&gt;"Yes","",COUNTIFS($B$6:$B$1505,B157,$F$6:$F$1505,"&lt;"&amp;F157)+COUNTIFS($B$6:$B$1505,B157,$F$6:$F$1505,F157,$A$6:$A$1505,"&lt;="&amp;A157))</f>
        <v>12</v>
      </c>
      <c r="N157" s="41" t="n">
        <f aca="false">IF(M157="","",ROUNDUP(M157/H157,0))</f>
        <v>12</v>
      </c>
      <c r="O157" s="41" t="str">
        <f aca="false">IF(N157="","",IF(N157&lt;='Kitting Plan'!$C$3,"Rep "&amp;N157,"Surplus"))</f>
        <v>Rep 12</v>
      </c>
    </row>
    <row r="158" customFormat="false" ht="15" hidden="false" customHeight="false" outlineLevel="0" collapsed="false">
      <c r="A158" s="40" t="n">
        <f aca="false">IF(OR($A$4=0,INDEX('COOIS Raw'!$A:$GZ,ROW()-4,$A$4)=""),"",IFERROR(--INDEX('COOIS Raw'!$A:$GZ,ROW()-4,$A$4),INDEX('COOIS Raw'!$A:$GZ,ROW()-4,$A$4)))</f>
        <v>100880075</v>
      </c>
      <c r="B158" s="41" t="str">
        <f aca="false">IF(A158="","",TRIM(INDEX('COOIS Raw'!$A:$GZ,ROW()-4,$B$4)))</f>
        <v>92YLS00548BBA</v>
      </c>
      <c r="C158" s="42" t="str">
        <f aca="false">IF(OR(A158="",$C$4=0),"",INDEX('COOIS Raw'!$A:$GZ,ROW()-4,$C$4))</f>
        <v>R5B LASER ASSEMBLY 4P BOAT 2/3 - E2A</v>
      </c>
      <c r="D158" s="41" t="n">
        <f aca="false">IF(A158="","",IF($D$4=0,1,IFERROR(--INDEX('COOIS Raw'!$A:$GZ,ROW()-4,$D$4),1)))</f>
        <v>1</v>
      </c>
      <c r="E158" s="42" t="str">
        <f aca="false">IF(A158="","",INDEX('COOIS Raw'!$A:$GZ,ROW()-4,$E$4)&amp;"")</f>
        <v>REL PRT PRC MANC SETC</v>
      </c>
      <c r="F158" s="43" t="n">
        <f aca="false">IF(A158="","",IFERROR(DATEVALUE(INDEX('COOIS Raw'!$A:$GZ,ROW()-4,$F$4)),INDEX('COOIS Raw'!$A:$GZ,ROW()-4,$F$4)))</f>
        <v>46296</v>
      </c>
      <c r="G158" s="41" t="str">
        <f aca="false">IF(A158="","",IF(ISNA(MATCH(B158,'Kitting Plan'!$B$6:$B$19,0)),"Not in plan","Yes"))</f>
        <v>Yes</v>
      </c>
      <c r="H158" s="41" t="n">
        <f aca="false">IF(G158="Yes",INDEX('Kitting Plan'!$D$6:$D$19,MATCH(B158,'Kitting Plan'!$B$6:$B$19,0)),"")</f>
        <v>2</v>
      </c>
      <c r="I158" s="41" t="n">
        <f aca="false">IF(A158="","",IF(ISNUMBER(SEARCH("PRT",E158)),D158,0))</f>
        <v>1</v>
      </c>
      <c r="J158" s="41" t="n">
        <f aca="false">IF(A158="","",IF(ISNUMBER(SEARCH("GMPS",E158)),D158,0))</f>
        <v>0</v>
      </c>
      <c r="K158" s="41" t="n">
        <f aca="false">IF(A158="","",IF(ISNUMBER(SEARCH("DLV",E158)),D158,0))</f>
        <v>0</v>
      </c>
      <c r="L158" s="41" t="str">
        <f aca="false">IF(A158="","",IF(K158&gt;0,"Delivered",IF(ISNUMBER(SEARCH("CNF",E158)),"In production",IF(J158&gt;0,"Issued",IF(I158&gt;0,"Kitted","Released")))))</f>
        <v>Kitted</v>
      </c>
      <c r="M158" s="41" t="n">
        <f aca="false">IF(G158&lt;&gt;"Yes","",COUNTIFS($B$6:$B$1505,B158,$F$6:$F$1505,"&lt;"&amp;F158)+COUNTIFS($B$6:$B$1505,B158,$F$6:$F$1505,F158,$A$6:$A$1505,"&lt;="&amp;A158))</f>
        <v>21</v>
      </c>
      <c r="N158" s="41" t="n">
        <f aca="false">IF(M158="","",ROUNDUP(M158/H158,0))</f>
        <v>11</v>
      </c>
      <c r="O158" s="41" t="str">
        <f aca="false">IF(N158="","",IF(N158&lt;='Kitting Plan'!$C$3,"Rep "&amp;N158,"Surplus"))</f>
        <v>Rep 11</v>
      </c>
    </row>
    <row r="159" customFormat="false" ht="15" hidden="false" customHeight="false" outlineLevel="0" collapsed="false">
      <c r="A159" s="40" t="n">
        <f aca="false">IF(OR($A$4=0,INDEX('COOIS Raw'!$A:$GZ,ROW()-4,$A$4)=""),"",IFERROR(--INDEX('COOIS Raw'!$A:$GZ,ROW()-4,$A$4),INDEX('COOIS Raw'!$A:$GZ,ROW()-4,$A$4)))</f>
        <v>100880076</v>
      </c>
      <c r="B159" s="41" t="str">
        <f aca="false">IF(A159="","",TRIM(INDEX('COOIS Raw'!$A:$GZ,ROW()-4,$B$4)))</f>
        <v>92YLS00548BBA</v>
      </c>
      <c r="C159" s="42" t="str">
        <f aca="false">IF(OR(A159="",$C$4=0),"",INDEX('COOIS Raw'!$A:$GZ,ROW()-4,$C$4))</f>
        <v>R5B LASER ASSEMBLY 4P BOAT 2/3 - E2A</v>
      </c>
      <c r="D159" s="41" t="n">
        <f aca="false">IF(A159="","",IF($D$4=0,1,IFERROR(--INDEX('COOIS Raw'!$A:$GZ,ROW()-4,$D$4),1)))</f>
        <v>1</v>
      </c>
      <c r="E159" s="42" t="str">
        <f aca="false">IF(A159="","",INDEX('COOIS Raw'!$A:$GZ,ROW()-4,$E$4)&amp;"")</f>
        <v>REL PRT PRC MANC SETC</v>
      </c>
      <c r="F159" s="43" t="n">
        <f aca="false">IF(A159="","",IFERROR(DATEVALUE(INDEX('COOIS Raw'!$A:$GZ,ROW()-4,$F$4)),INDEX('COOIS Raw'!$A:$GZ,ROW()-4,$F$4)))</f>
        <v>46296</v>
      </c>
      <c r="G159" s="41" t="str">
        <f aca="false">IF(A159="","",IF(ISNA(MATCH(B159,'Kitting Plan'!$B$6:$B$19,0)),"Not in plan","Yes"))</f>
        <v>Yes</v>
      </c>
      <c r="H159" s="41" t="n">
        <f aca="false">IF(G159="Yes",INDEX('Kitting Plan'!$D$6:$D$19,MATCH(B159,'Kitting Plan'!$B$6:$B$19,0)),"")</f>
        <v>2</v>
      </c>
      <c r="I159" s="41" t="n">
        <f aca="false">IF(A159="","",IF(ISNUMBER(SEARCH("PRT",E159)),D159,0))</f>
        <v>1</v>
      </c>
      <c r="J159" s="41" t="n">
        <f aca="false">IF(A159="","",IF(ISNUMBER(SEARCH("GMPS",E159)),D159,0))</f>
        <v>0</v>
      </c>
      <c r="K159" s="41" t="n">
        <f aca="false">IF(A159="","",IF(ISNUMBER(SEARCH("DLV",E159)),D159,0))</f>
        <v>0</v>
      </c>
      <c r="L159" s="41" t="str">
        <f aca="false">IF(A159="","",IF(K159&gt;0,"Delivered",IF(ISNUMBER(SEARCH("CNF",E159)),"In production",IF(J159&gt;0,"Issued",IF(I159&gt;0,"Kitted","Released")))))</f>
        <v>Kitted</v>
      </c>
      <c r="M159" s="41" t="n">
        <f aca="false">IF(G159&lt;&gt;"Yes","",COUNTIFS($B$6:$B$1505,B159,$F$6:$F$1505,"&lt;"&amp;F159)+COUNTIFS($B$6:$B$1505,B159,$F$6:$F$1505,F159,$A$6:$A$1505,"&lt;="&amp;A159))</f>
        <v>22</v>
      </c>
      <c r="N159" s="41" t="n">
        <f aca="false">IF(M159="","",ROUNDUP(M159/H159,0))</f>
        <v>11</v>
      </c>
      <c r="O159" s="41" t="str">
        <f aca="false">IF(N159="","",IF(N159&lt;='Kitting Plan'!$C$3,"Rep "&amp;N159,"Surplus"))</f>
        <v>Rep 11</v>
      </c>
    </row>
    <row r="160" customFormat="false" ht="15" hidden="false" customHeight="false" outlineLevel="0" collapsed="false">
      <c r="A160" s="40" t="n">
        <f aca="false">IF(OR($A$4=0,INDEX('COOIS Raw'!$A:$GZ,ROW()-4,$A$4)=""),"",IFERROR(--INDEX('COOIS Raw'!$A:$GZ,ROW()-4,$A$4),INDEX('COOIS Raw'!$A:$GZ,ROW()-4,$A$4)))</f>
        <v>100880077</v>
      </c>
      <c r="B160" s="41" t="str">
        <f aca="false">IF(A160="","",TRIM(INDEX('COOIS Raw'!$A:$GZ,ROW()-4,$B$4)))</f>
        <v>91YAF03404AAA</v>
      </c>
      <c r="C160" s="42" t="str">
        <f aca="false">IF(OR(A160="",$C$4=0),"",INDEX('COOIS Raw'!$A:$GZ,ROW()-4,$C$4))</f>
        <v>R5B PSB SUB ASSEMBLY 4P-4FP</v>
      </c>
      <c r="D160" s="41" t="n">
        <f aca="false">IF(A160="","",IF($D$4=0,1,IFERROR(--INDEX('COOIS Raw'!$A:$GZ,ROW()-4,$D$4),1)))</f>
        <v>1</v>
      </c>
      <c r="E160" s="42" t="str">
        <f aca="false">IF(A160="","",INDEX('COOIS Raw'!$A:$GZ,ROW()-4,$E$4)&amp;"")</f>
        <v>REL PRT PRC MANC SETC</v>
      </c>
      <c r="F160" s="43" t="n">
        <f aca="false">IF(A160="","",IFERROR(DATEVALUE(INDEX('COOIS Raw'!$A:$GZ,ROW()-4,$F$4)),INDEX('COOIS Raw'!$A:$GZ,ROW()-4,$F$4)))</f>
        <v>46296</v>
      </c>
      <c r="G160" s="41" t="str">
        <f aca="false">IF(A160="","",IF(ISNA(MATCH(B160,'Kitting Plan'!$B$6:$B$19,0)),"Not in plan","Yes"))</f>
        <v>Yes</v>
      </c>
      <c r="H160" s="41" t="n">
        <f aca="false">IF(G160="Yes",INDEX('Kitting Plan'!$D$6:$D$19,MATCH(B160,'Kitting Plan'!$B$6:$B$19,0)),"")</f>
        <v>3</v>
      </c>
      <c r="I160" s="41" t="n">
        <f aca="false">IF(A160="","",IF(ISNUMBER(SEARCH("PRT",E160)),D160,0))</f>
        <v>1</v>
      </c>
      <c r="J160" s="41" t="n">
        <f aca="false">IF(A160="","",IF(ISNUMBER(SEARCH("GMPS",E160)),D160,0))</f>
        <v>0</v>
      </c>
      <c r="K160" s="41" t="n">
        <f aca="false">IF(A160="","",IF(ISNUMBER(SEARCH("DLV",E160)),D160,0))</f>
        <v>0</v>
      </c>
      <c r="L160" s="41" t="str">
        <f aca="false">IF(A160="","",IF(K160&gt;0,"Delivered",IF(ISNUMBER(SEARCH("CNF",E160)),"In production",IF(J160&gt;0,"Issued",IF(I160&gt;0,"Kitted","Released")))))</f>
        <v>Kitted</v>
      </c>
      <c r="M160" s="41" t="n">
        <f aca="false">IF(G160&lt;&gt;"Yes","",COUNTIFS($B$6:$B$1505,B160,$F$6:$F$1505,"&lt;"&amp;F160)+COUNTIFS($B$6:$B$1505,B160,$F$6:$F$1505,F160,$A$6:$A$1505,"&lt;="&amp;A160))</f>
        <v>43</v>
      </c>
      <c r="N160" s="41" t="n">
        <f aca="false">IF(M160="","",ROUNDUP(M160/H160,0))</f>
        <v>15</v>
      </c>
      <c r="O160" s="41" t="str">
        <f aca="false">IF(N160="","",IF(N160&lt;='Kitting Plan'!$C$3,"Rep "&amp;N160,"Surplus"))</f>
        <v>Surplus</v>
      </c>
    </row>
    <row r="161" customFormat="false" ht="15" hidden="false" customHeight="false" outlineLevel="0" collapsed="false">
      <c r="A161" s="40" t="n">
        <f aca="false">IF(OR($A$4=0,INDEX('COOIS Raw'!$A:$GZ,ROW()-4,$A$4)=""),"",IFERROR(--INDEX('COOIS Raw'!$A:$GZ,ROW()-4,$A$4),INDEX('COOIS Raw'!$A:$GZ,ROW()-4,$A$4)))</f>
        <v>100880078</v>
      </c>
      <c r="B161" s="41" t="str">
        <f aca="false">IF(A161="","",TRIM(INDEX('COOIS Raw'!$A:$GZ,ROW()-4,$B$4)))</f>
        <v>91YAF03404AAA</v>
      </c>
      <c r="C161" s="42" t="str">
        <f aca="false">IF(OR(A161="",$C$4=0),"",INDEX('COOIS Raw'!$A:$GZ,ROW()-4,$C$4))</f>
        <v>R5B PSB SUB ASSEMBLY 4P-4FP</v>
      </c>
      <c r="D161" s="41" t="n">
        <f aca="false">IF(A161="","",IF($D$4=0,1,IFERROR(--INDEX('COOIS Raw'!$A:$GZ,ROW()-4,$D$4),1)))</f>
        <v>1</v>
      </c>
      <c r="E161" s="42" t="str">
        <f aca="false">IF(A161="","",INDEX('COOIS Raw'!$A:$GZ,ROW()-4,$E$4)&amp;"")</f>
        <v>REL PRT PRC MANC SETC</v>
      </c>
      <c r="F161" s="43" t="n">
        <f aca="false">IF(A161="","",IFERROR(DATEVALUE(INDEX('COOIS Raw'!$A:$GZ,ROW()-4,$F$4)),INDEX('COOIS Raw'!$A:$GZ,ROW()-4,$F$4)))</f>
        <v>46296</v>
      </c>
      <c r="G161" s="41" t="str">
        <f aca="false">IF(A161="","",IF(ISNA(MATCH(B161,'Kitting Plan'!$B$6:$B$19,0)),"Not in plan","Yes"))</f>
        <v>Yes</v>
      </c>
      <c r="H161" s="41" t="n">
        <f aca="false">IF(G161="Yes",INDEX('Kitting Plan'!$D$6:$D$19,MATCH(B161,'Kitting Plan'!$B$6:$B$19,0)),"")</f>
        <v>3</v>
      </c>
      <c r="I161" s="41" t="n">
        <f aca="false">IF(A161="","",IF(ISNUMBER(SEARCH("PRT",E161)),D161,0))</f>
        <v>1</v>
      </c>
      <c r="J161" s="41" t="n">
        <f aca="false">IF(A161="","",IF(ISNUMBER(SEARCH("GMPS",E161)),D161,0))</f>
        <v>0</v>
      </c>
      <c r="K161" s="41" t="n">
        <f aca="false">IF(A161="","",IF(ISNUMBER(SEARCH("DLV",E161)),D161,0))</f>
        <v>0</v>
      </c>
      <c r="L161" s="41" t="str">
        <f aca="false">IF(A161="","",IF(K161&gt;0,"Delivered",IF(ISNUMBER(SEARCH("CNF",E161)),"In production",IF(J161&gt;0,"Issued",IF(I161&gt;0,"Kitted","Released")))))</f>
        <v>Kitted</v>
      </c>
      <c r="M161" s="41" t="n">
        <f aca="false">IF(G161&lt;&gt;"Yes","",COUNTIFS($B$6:$B$1505,B161,$F$6:$F$1505,"&lt;"&amp;F161)+COUNTIFS($B$6:$B$1505,B161,$F$6:$F$1505,F161,$A$6:$A$1505,"&lt;="&amp;A161))</f>
        <v>44</v>
      </c>
      <c r="N161" s="41" t="n">
        <f aca="false">IF(M161="","",ROUNDUP(M161/H161,0))</f>
        <v>15</v>
      </c>
      <c r="O161" s="41" t="str">
        <f aca="false">IF(N161="","",IF(N161&lt;='Kitting Plan'!$C$3,"Rep "&amp;N161,"Surplus"))</f>
        <v>Surplus</v>
      </c>
    </row>
    <row r="162" customFormat="false" ht="15" hidden="false" customHeight="false" outlineLevel="0" collapsed="false">
      <c r="A162" s="40" t="n">
        <f aca="false">IF(OR($A$4=0,INDEX('COOIS Raw'!$A:$GZ,ROW()-4,$A$4)=""),"",IFERROR(--INDEX('COOIS Raw'!$A:$GZ,ROW()-4,$A$4),INDEX('COOIS Raw'!$A:$GZ,ROW()-4,$A$4)))</f>
        <v>100880079</v>
      </c>
      <c r="B162" s="41" t="str">
        <f aca="false">IF(A162="","",TRIM(INDEX('COOIS Raw'!$A:$GZ,ROW()-4,$B$4)))</f>
        <v>91YAF03404AAA</v>
      </c>
      <c r="C162" s="42" t="str">
        <f aca="false">IF(OR(A162="",$C$4=0),"",INDEX('COOIS Raw'!$A:$GZ,ROW()-4,$C$4))</f>
        <v>R5B PSB SUB ASSEMBLY 4P-4FP</v>
      </c>
      <c r="D162" s="41" t="n">
        <f aca="false">IF(A162="","",IF($D$4=0,1,IFERROR(--INDEX('COOIS Raw'!$A:$GZ,ROW()-4,$D$4),1)))</f>
        <v>1</v>
      </c>
      <c r="E162" s="42" t="str">
        <f aca="false">IF(A162="","",INDEX('COOIS Raw'!$A:$GZ,ROW()-4,$E$4)&amp;"")</f>
        <v>REL PRT PRC MANC SETC</v>
      </c>
      <c r="F162" s="43" t="n">
        <f aca="false">IF(A162="","",IFERROR(DATEVALUE(INDEX('COOIS Raw'!$A:$GZ,ROW()-4,$F$4)),INDEX('COOIS Raw'!$A:$GZ,ROW()-4,$F$4)))</f>
        <v>46296</v>
      </c>
      <c r="G162" s="41" t="str">
        <f aca="false">IF(A162="","",IF(ISNA(MATCH(B162,'Kitting Plan'!$B$6:$B$19,0)),"Not in plan","Yes"))</f>
        <v>Yes</v>
      </c>
      <c r="H162" s="41" t="n">
        <f aca="false">IF(G162="Yes",INDEX('Kitting Plan'!$D$6:$D$19,MATCH(B162,'Kitting Plan'!$B$6:$B$19,0)),"")</f>
        <v>3</v>
      </c>
      <c r="I162" s="41" t="n">
        <f aca="false">IF(A162="","",IF(ISNUMBER(SEARCH("PRT",E162)),D162,0))</f>
        <v>1</v>
      </c>
      <c r="J162" s="41" t="n">
        <f aca="false">IF(A162="","",IF(ISNUMBER(SEARCH("GMPS",E162)),D162,0))</f>
        <v>0</v>
      </c>
      <c r="K162" s="41" t="n">
        <f aca="false">IF(A162="","",IF(ISNUMBER(SEARCH("DLV",E162)),D162,0))</f>
        <v>0</v>
      </c>
      <c r="L162" s="41" t="str">
        <f aca="false">IF(A162="","",IF(K162&gt;0,"Delivered",IF(ISNUMBER(SEARCH("CNF",E162)),"In production",IF(J162&gt;0,"Issued",IF(I162&gt;0,"Kitted","Released")))))</f>
        <v>Kitted</v>
      </c>
      <c r="M162" s="41" t="n">
        <f aca="false">IF(G162&lt;&gt;"Yes","",COUNTIFS($B$6:$B$1505,B162,$F$6:$F$1505,"&lt;"&amp;F162)+COUNTIFS($B$6:$B$1505,B162,$F$6:$F$1505,F162,$A$6:$A$1505,"&lt;="&amp;A162))</f>
        <v>45</v>
      </c>
      <c r="N162" s="41" t="n">
        <f aca="false">IF(M162="","",ROUNDUP(M162/H162,0))</f>
        <v>15</v>
      </c>
      <c r="O162" s="41" t="str">
        <f aca="false">IF(N162="","",IF(N162&lt;='Kitting Plan'!$C$3,"Rep "&amp;N162,"Surplus"))</f>
        <v>Surplus</v>
      </c>
    </row>
    <row r="163" customFormat="false" ht="15" hidden="false" customHeight="false" outlineLevel="0" collapsed="false">
      <c r="A163" s="40" t="n">
        <f aca="false">IF(OR($A$4=0,INDEX('COOIS Raw'!$A:$GZ,ROW()-4,$A$4)=""),"",IFERROR(--INDEX('COOIS Raw'!$A:$GZ,ROW()-4,$A$4),INDEX('COOIS Raw'!$A:$GZ,ROW()-4,$A$4)))</f>
        <v>100880080</v>
      </c>
      <c r="B163" s="41" t="str">
        <f aca="false">IF(A163="","",TRIM(INDEX('COOIS Raw'!$A:$GZ,ROW()-4,$B$4)))</f>
        <v>92YFD04548BAA</v>
      </c>
      <c r="C163" s="42" t="str">
        <f aca="false">IF(OR(A163="",$C$4=0),"",INDEX('COOIS Raw'!$A:$GZ,ROW()-4,$C$4))</f>
        <v>R5B OPF ASSEMBLY (4P-4FP) BOAT 1 - E2A</v>
      </c>
      <c r="D163" s="41" t="n">
        <f aca="false">IF(A163="","",IF($D$4=0,1,IFERROR(--INDEX('COOIS Raw'!$A:$GZ,ROW()-4,$D$4),1)))</f>
        <v>1</v>
      </c>
      <c r="E163" s="42" t="str">
        <f aca="false">IF(A163="","",INDEX('COOIS Raw'!$A:$GZ,ROW()-4,$E$4)&amp;"")</f>
        <v>REL PRT PRC MANC SETC</v>
      </c>
      <c r="F163" s="43" t="n">
        <f aca="false">IF(A163="","",IFERROR(DATEVALUE(INDEX('COOIS Raw'!$A:$GZ,ROW()-4,$F$4)),INDEX('COOIS Raw'!$A:$GZ,ROW()-4,$F$4)))</f>
        <v>46296</v>
      </c>
      <c r="G163" s="41" t="str">
        <f aca="false">IF(A163="","",IF(ISNA(MATCH(B163,'Kitting Plan'!$B$6:$B$19,0)),"Not in plan","Yes"))</f>
        <v>Yes</v>
      </c>
      <c r="H163" s="41" t="n">
        <f aca="false">IF(G163="Yes",INDEX('Kitting Plan'!$D$6:$D$19,MATCH(B163,'Kitting Plan'!$B$6:$B$19,0)),"")</f>
        <v>1</v>
      </c>
      <c r="I163" s="41" t="n">
        <f aca="false">IF(A163="","",IF(ISNUMBER(SEARCH("PRT",E163)),D163,0))</f>
        <v>1</v>
      </c>
      <c r="J163" s="41" t="n">
        <f aca="false">IF(A163="","",IF(ISNUMBER(SEARCH("GMPS",E163)),D163,0))</f>
        <v>0</v>
      </c>
      <c r="K163" s="41" t="n">
        <f aca="false">IF(A163="","",IF(ISNUMBER(SEARCH("DLV",E163)),D163,0))</f>
        <v>0</v>
      </c>
      <c r="L163" s="41" t="str">
        <f aca="false">IF(A163="","",IF(K163&gt;0,"Delivered",IF(ISNUMBER(SEARCH("CNF",E163)),"In production",IF(J163&gt;0,"Issued",IF(I163&gt;0,"Kitted","Released")))))</f>
        <v>Kitted</v>
      </c>
      <c r="M163" s="41" t="n">
        <f aca="false">IF(G163&lt;&gt;"Yes","",COUNTIFS($B$6:$B$1505,B163,$F$6:$F$1505,"&lt;"&amp;F163)+COUNTIFS($B$6:$B$1505,B163,$F$6:$F$1505,F163,$A$6:$A$1505,"&lt;="&amp;A163))</f>
        <v>12</v>
      </c>
      <c r="N163" s="41" t="n">
        <f aca="false">IF(M163="","",ROUNDUP(M163/H163,0))</f>
        <v>12</v>
      </c>
      <c r="O163" s="41" t="str">
        <f aca="false">IF(N163="","",IF(N163&lt;='Kitting Plan'!$C$3,"Rep "&amp;N163,"Surplus"))</f>
        <v>Rep 12</v>
      </c>
    </row>
    <row r="164" customFormat="false" ht="15" hidden="false" customHeight="false" outlineLevel="0" collapsed="false">
      <c r="A164" s="40" t="n">
        <f aca="false">IF(OR($A$4=0,INDEX('COOIS Raw'!$A:$GZ,ROW()-4,$A$4)=""),"",IFERROR(--INDEX('COOIS Raw'!$A:$GZ,ROW()-4,$A$4),INDEX('COOIS Raw'!$A:$GZ,ROW()-4,$A$4)))</f>
        <v>100880081</v>
      </c>
      <c r="B164" s="41" t="str">
        <f aca="false">IF(A164="","",TRIM(INDEX('COOIS Raw'!$A:$GZ,ROW()-4,$B$4)))</f>
        <v>92YFD04548BBA</v>
      </c>
      <c r="C164" s="42" t="str">
        <f aca="false">IF(OR(A164="",$C$4=0),"",INDEX('COOIS Raw'!$A:$GZ,ROW()-4,$C$4))</f>
        <v>R5B OPF ASSEMBLY (4P-4FP) BOAT 2/3 - E2A</v>
      </c>
      <c r="D164" s="41" t="n">
        <f aca="false">IF(A164="","",IF($D$4=0,1,IFERROR(--INDEX('COOIS Raw'!$A:$GZ,ROW()-4,$D$4),1)))</f>
        <v>1</v>
      </c>
      <c r="E164" s="42" t="str">
        <f aca="false">IF(A164="","",INDEX('COOIS Raw'!$A:$GZ,ROW()-4,$E$4)&amp;"")</f>
        <v>REL PRT PRC MANC SETC</v>
      </c>
      <c r="F164" s="43" t="n">
        <f aca="false">IF(A164="","",IFERROR(DATEVALUE(INDEX('COOIS Raw'!$A:$GZ,ROW()-4,$F$4)),INDEX('COOIS Raw'!$A:$GZ,ROW()-4,$F$4)))</f>
        <v>46296</v>
      </c>
      <c r="G164" s="41" t="str">
        <f aca="false">IF(A164="","",IF(ISNA(MATCH(B164,'Kitting Plan'!$B$6:$B$19,0)),"Not in plan","Yes"))</f>
        <v>Yes</v>
      </c>
      <c r="H164" s="41" t="n">
        <f aca="false">IF(G164="Yes",INDEX('Kitting Plan'!$D$6:$D$19,MATCH(B164,'Kitting Plan'!$B$6:$B$19,0)),"")</f>
        <v>2</v>
      </c>
      <c r="I164" s="41" t="n">
        <f aca="false">IF(A164="","",IF(ISNUMBER(SEARCH("PRT",E164)),D164,0))</f>
        <v>1</v>
      </c>
      <c r="J164" s="41" t="n">
        <f aca="false">IF(A164="","",IF(ISNUMBER(SEARCH("GMPS",E164)),D164,0))</f>
        <v>0</v>
      </c>
      <c r="K164" s="41" t="n">
        <f aca="false">IF(A164="","",IF(ISNUMBER(SEARCH("DLV",E164)),D164,0))</f>
        <v>0</v>
      </c>
      <c r="L164" s="41" t="str">
        <f aca="false">IF(A164="","",IF(K164&gt;0,"Delivered",IF(ISNUMBER(SEARCH("CNF",E164)),"In production",IF(J164&gt;0,"Issued",IF(I164&gt;0,"Kitted","Released")))))</f>
        <v>Kitted</v>
      </c>
      <c r="M164" s="41" t="n">
        <f aca="false">IF(G164&lt;&gt;"Yes","",COUNTIFS($B$6:$B$1505,B164,$F$6:$F$1505,"&lt;"&amp;F164)+COUNTIFS($B$6:$B$1505,B164,$F$6:$F$1505,F164,$A$6:$A$1505,"&lt;="&amp;A164))</f>
        <v>21</v>
      </c>
      <c r="N164" s="41" t="n">
        <f aca="false">IF(M164="","",ROUNDUP(M164/H164,0))</f>
        <v>11</v>
      </c>
      <c r="O164" s="41" t="str">
        <f aca="false">IF(N164="","",IF(N164&lt;='Kitting Plan'!$C$3,"Rep "&amp;N164,"Surplus"))</f>
        <v>Rep 11</v>
      </c>
    </row>
    <row r="165" customFormat="false" ht="15" hidden="false" customHeight="false" outlineLevel="0" collapsed="false">
      <c r="A165" s="40" t="n">
        <f aca="false">IF(OR($A$4=0,INDEX('COOIS Raw'!$A:$GZ,ROW()-4,$A$4)=""),"",IFERROR(--INDEX('COOIS Raw'!$A:$GZ,ROW()-4,$A$4),INDEX('COOIS Raw'!$A:$GZ,ROW()-4,$A$4)))</f>
        <v>100880082</v>
      </c>
      <c r="B165" s="41" t="str">
        <f aca="false">IF(A165="","",TRIM(INDEX('COOIS Raw'!$A:$GZ,ROW()-4,$B$4)))</f>
        <v>92YFD04548BBA</v>
      </c>
      <c r="C165" s="42" t="str">
        <f aca="false">IF(OR(A165="",$C$4=0),"",INDEX('COOIS Raw'!$A:$GZ,ROW()-4,$C$4))</f>
        <v>R5B OPF ASSEMBLY (4P-4FP) BOAT 2/3 - E2A</v>
      </c>
      <c r="D165" s="41" t="n">
        <f aca="false">IF(A165="","",IF($D$4=0,1,IFERROR(--INDEX('COOIS Raw'!$A:$GZ,ROW()-4,$D$4),1)))</f>
        <v>1</v>
      </c>
      <c r="E165" s="42" t="str">
        <f aca="false">IF(A165="","",INDEX('COOIS Raw'!$A:$GZ,ROW()-4,$E$4)&amp;"")</f>
        <v>REL PRT PRC MANC SETC</v>
      </c>
      <c r="F165" s="43" t="n">
        <f aca="false">IF(A165="","",IFERROR(DATEVALUE(INDEX('COOIS Raw'!$A:$GZ,ROW()-4,$F$4)),INDEX('COOIS Raw'!$A:$GZ,ROW()-4,$F$4)))</f>
        <v>46296</v>
      </c>
      <c r="G165" s="41" t="str">
        <f aca="false">IF(A165="","",IF(ISNA(MATCH(B165,'Kitting Plan'!$B$6:$B$19,0)),"Not in plan","Yes"))</f>
        <v>Yes</v>
      </c>
      <c r="H165" s="41" t="n">
        <f aca="false">IF(G165="Yes",INDEX('Kitting Plan'!$D$6:$D$19,MATCH(B165,'Kitting Plan'!$B$6:$B$19,0)),"")</f>
        <v>2</v>
      </c>
      <c r="I165" s="41" t="n">
        <f aca="false">IF(A165="","",IF(ISNUMBER(SEARCH("PRT",E165)),D165,0))</f>
        <v>1</v>
      </c>
      <c r="J165" s="41" t="n">
        <f aca="false">IF(A165="","",IF(ISNUMBER(SEARCH("GMPS",E165)),D165,0))</f>
        <v>0</v>
      </c>
      <c r="K165" s="41" t="n">
        <f aca="false">IF(A165="","",IF(ISNUMBER(SEARCH("DLV",E165)),D165,0))</f>
        <v>0</v>
      </c>
      <c r="L165" s="41" t="str">
        <f aca="false">IF(A165="","",IF(K165&gt;0,"Delivered",IF(ISNUMBER(SEARCH("CNF",E165)),"In production",IF(J165&gt;0,"Issued",IF(I165&gt;0,"Kitted","Released")))))</f>
        <v>Kitted</v>
      </c>
      <c r="M165" s="41" t="n">
        <f aca="false">IF(G165&lt;&gt;"Yes","",COUNTIFS($B$6:$B$1505,B165,$F$6:$F$1505,"&lt;"&amp;F165)+COUNTIFS($B$6:$B$1505,B165,$F$6:$F$1505,F165,$A$6:$A$1505,"&lt;="&amp;A165))</f>
        <v>22</v>
      </c>
      <c r="N165" s="41" t="n">
        <f aca="false">IF(M165="","",ROUNDUP(M165/H165,0))</f>
        <v>11</v>
      </c>
      <c r="O165" s="41" t="str">
        <f aca="false">IF(N165="","",IF(N165&lt;='Kitting Plan'!$C$3,"Rep "&amp;N165,"Surplus"))</f>
        <v>Rep 11</v>
      </c>
    </row>
    <row r="166" customFormat="false" ht="15" hidden="false" customHeight="false" outlineLevel="0" collapsed="false">
      <c r="A166" s="40" t="n">
        <f aca="false">IF(OR($A$4=0,INDEX('COOIS Raw'!$A:$GZ,ROW()-4,$A$4)=""),"",IFERROR(--INDEX('COOIS Raw'!$A:$GZ,ROW()-4,$A$4),INDEX('COOIS Raw'!$A:$GZ,ROW()-4,$A$4)))</f>
        <v>100880083</v>
      </c>
      <c r="B166" s="41" t="str">
        <f aca="false">IF(A166="","",TRIM(INDEX('COOIS Raw'!$A:$GZ,ROW()-4,$B$4)))</f>
        <v>92YWS04548AAA</v>
      </c>
      <c r="C166" s="42" t="str">
        <f aca="false">IF(OR(A166="",$C$4=0),"",INDEX('COOIS Raw'!$A:$GZ,ROW()-4,$C$4))</f>
        <v>R5B 4FP POB LUMENTUM SUB ASSEMBLY - E2A</v>
      </c>
      <c r="D166" s="41" t="n">
        <f aca="false">IF(A166="","",IF($D$4=0,1,IFERROR(--INDEX('COOIS Raw'!$A:$GZ,ROW()-4,$D$4),1)))</f>
        <v>1</v>
      </c>
      <c r="E166" s="42" t="str">
        <f aca="false">IF(A166="","",INDEX('COOIS Raw'!$A:$GZ,ROW()-4,$E$4)&amp;"")</f>
        <v>REL PRT PCNF PRC MANC SETC</v>
      </c>
      <c r="F166" s="43" t="n">
        <f aca="false">IF(A166="","",IFERROR(DATEVALUE(INDEX('COOIS Raw'!$A:$GZ,ROW()-4,$F$4)),INDEX('COOIS Raw'!$A:$GZ,ROW()-4,$F$4)))</f>
        <v>46296</v>
      </c>
      <c r="G166" s="41" t="str">
        <f aca="false">IF(A166="","",IF(ISNA(MATCH(B166,'Kitting Plan'!$B$6:$B$19,0)),"Not in plan","Yes"))</f>
        <v>Yes</v>
      </c>
      <c r="H166" s="41" t="n">
        <f aca="false">IF(G166="Yes",INDEX('Kitting Plan'!$D$6:$D$19,MATCH(B166,'Kitting Plan'!$B$6:$B$19,0)),"")</f>
        <v>3</v>
      </c>
      <c r="I166" s="41" t="n">
        <f aca="false">IF(A166="","",IF(ISNUMBER(SEARCH("PRT",E166)),D166,0))</f>
        <v>1</v>
      </c>
      <c r="J166" s="41" t="n">
        <f aca="false">IF(A166="","",IF(ISNUMBER(SEARCH("GMPS",E166)),D166,0))</f>
        <v>0</v>
      </c>
      <c r="K166" s="41" t="n">
        <f aca="false">IF(A166="","",IF(ISNUMBER(SEARCH("DLV",E166)),D166,0))</f>
        <v>0</v>
      </c>
      <c r="L166" s="41" t="str">
        <f aca="false">IF(A166="","",IF(K166&gt;0,"Delivered",IF(ISNUMBER(SEARCH("CNF",E166)),"In production",IF(J166&gt;0,"Issued",IF(I166&gt;0,"Kitted","Released")))))</f>
        <v>In production</v>
      </c>
      <c r="M166" s="41" t="n">
        <f aca="false">IF(G166&lt;&gt;"Yes","",COUNTIFS($B$6:$B$1505,B166,$F$6:$F$1505,"&lt;"&amp;F166)+COUNTIFS($B$6:$B$1505,B166,$F$6:$F$1505,F166,$A$6:$A$1505,"&lt;="&amp;A166))</f>
        <v>31</v>
      </c>
      <c r="N166" s="41" t="n">
        <f aca="false">IF(M166="","",ROUNDUP(M166/H166,0))</f>
        <v>11</v>
      </c>
      <c r="O166" s="41" t="str">
        <f aca="false">IF(N166="","",IF(N166&lt;='Kitting Plan'!$C$3,"Rep "&amp;N166,"Surplus"))</f>
        <v>Rep 11</v>
      </c>
    </row>
    <row r="167" customFormat="false" ht="15" hidden="false" customHeight="false" outlineLevel="0" collapsed="false">
      <c r="A167" s="40" t="n">
        <f aca="false">IF(OR($A$4=0,INDEX('COOIS Raw'!$A:$GZ,ROW()-4,$A$4)=""),"",IFERROR(--INDEX('COOIS Raw'!$A:$GZ,ROW()-4,$A$4),INDEX('COOIS Raw'!$A:$GZ,ROW()-4,$A$4)))</f>
        <v>100880084</v>
      </c>
      <c r="B167" s="41" t="str">
        <f aca="false">IF(A167="","",TRIM(INDEX('COOIS Raw'!$A:$GZ,ROW()-4,$B$4)))</f>
        <v>92YWS04548AAA</v>
      </c>
      <c r="C167" s="42" t="str">
        <f aca="false">IF(OR(A167="",$C$4=0),"",INDEX('COOIS Raw'!$A:$GZ,ROW()-4,$C$4))</f>
        <v>R5B 4FP POB LUMENTUM SUB ASSEMBLY - E2A</v>
      </c>
      <c r="D167" s="41" t="n">
        <f aca="false">IF(A167="","",IF($D$4=0,1,IFERROR(--INDEX('COOIS Raw'!$A:$GZ,ROW()-4,$D$4),1)))</f>
        <v>1</v>
      </c>
      <c r="E167" s="42" t="str">
        <f aca="false">IF(A167="","",INDEX('COOIS Raw'!$A:$GZ,ROW()-4,$E$4)&amp;"")</f>
        <v>REL PRT PCNF PRC MANC SETC</v>
      </c>
      <c r="F167" s="43" t="n">
        <f aca="false">IF(A167="","",IFERROR(DATEVALUE(INDEX('COOIS Raw'!$A:$GZ,ROW()-4,$F$4)),INDEX('COOIS Raw'!$A:$GZ,ROW()-4,$F$4)))</f>
        <v>46296</v>
      </c>
      <c r="G167" s="41" t="str">
        <f aca="false">IF(A167="","",IF(ISNA(MATCH(B167,'Kitting Plan'!$B$6:$B$19,0)),"Not in plan","Yes"))</f>
        <v>Yes</v>
      </c>
      <c r="H167" s="41" t="n">
        <f aca="false">IF(G167="Yes",INDEX('Kitting Plan'!$D$6:$D$19,MATCH(B167,'Kitting Plan'!$B$6:$B$19,0)),"")</f>
        <v>3</v>
      </c>
      <c r="I167" s="41" t="n">
        <f aca="false">IF(A167="","",IF(ISNUMBER(SEARCH("PRT",E167)),D167,0))</f>
        <v>1</v>
      </c>
      <c r="J167" s="41" t="n">
        <f aca="false">IF(A167="","",IF(ISNUMBER(SEARCH("GMPS",E167)),D167,0))</f>
        <v>0</v>
      </c>
      <c r="K167" s="41" t="n">
        <f aca="false">IF(A167="","",IF(ISNUMBER(SEARCH("DLV",E167)),D167,0))</f>
        <v>0</v>
      </c>
      <c r="L167" s="41" t="str">
        <f aca="false">IF(A167="","",IF(K167&gt;0,"Delivered",IF(ISNUMBER(SEARCH("CNF",E167)),"In production",IF(J167&gt;0,"Issued",IF(I167&gt;0,"Kitted","Released")))))</f>
        <v>In production</v>
      </c>
      <c r="M167" s="41" t="n">
        <f aca="false">IF(G167&lt;&gt;"Yes","",COUNTIFS($B$6:$B$1505,B167,$F$6:$F$1505,"&lt;"&amp;F167)+COUNTIFS($B$6:$B$1505,B167,$F$6:$F$1505,F167,$A$6:$A$1505,"&lt;="&amp;A167))</f>
        <v>32</v>
      </c>
      <c r="N167" s="41" t="n">
        <f aca="false">IF(M167="","",ROUNDUP(M167/H167,0))</f>
        <v>11</v>
      </c>
      <c r="O167" s="41" t="str">
        <f aca="false">IF(N167="","",IF(N167&lt;='Kitting Plan'!$C$3,"Rep "&amp;N167,"Surplus"))</f>
        <v>Rep 11</v>
      </c>
    </row>
    <row r="168" customFormat="false" ht="15" hidden="false" customHeight="false" outlineLevel="0" collapsed="false">
      <c r="A168" s="40" t="n">
        <f aca="false">IF(OR($A$4=0,INDEX('COOIS Raw'!$A:$GZ,ROW()-4,$A$4)=""),"",IFERROR(--INDEX('COOIS Raw'!$A:$GZ,ROW()-4,$A$4),INDEX('COOIS Raw'!$A:$GZ,ROW()-4,$A$4)))</f>
        <v>100880085</v>
      </c>
      <c r="B168" s="41" t="str">
        <f aca="false">IF(A168="","",TRIM(INDEX('COOIS Raw'!$A:$GZ,ROW()-4,$B$4)))</f>
        <v>92YWS04548AAA</v>
      </c>
      <c r="C168" s="42" t="str">
        <f aca="false">IF(OR(A168="",$C$4=0),"",INDEX('COOIS Raw'!$A:$GZ,ROW()-4,$C$4))</f>
        <v>R5B 4FP POB LUMENTUM SUB ASSEMBLY - E2A</v>
      </c>
      <c r="D168" s="41" t="n">
        <f aca="false">IF(A168="","",IF($D$4=0,1,IFERROR(--INDEX('COOIS Raw'!$A:$GZ,ROW()-4,$D$4),1)))</f>
        <v>1</v>
      </c>
      <c r="E168" s="42" t="str">
        <f aca="false">IF(A168="","",INDEX('COOIS Raw'!$A:$GZ,ROW()-4,$E$4)&amp;"")</f>
        <v>REL PRT PCNF PRC MANC SETC</v>
      </c>
      <c r="F168" s="43" t="n">
        <f aca="false">IF(A168="","",IFERROR(DATEVALUE(INDEX('COOIS Raw'!$A:$GZ,ROW()-4,$F$4)),INDEX('COOIS Raw'!$A:$GZ,ROW()-4,$F$4)))</f>
        <v>46296</v>
      </c>
      <c r="G168" s="41" t="str">
        <f aca="false">IF(A168="","",IF(ISNA(MATCH(B168,'Kitting Plan'!$B$6:$B$19,0)),"Not in plan","Yes"))</f>
        <v>Yes</v>
      </c>
      <c r="H168" s="41" t="n">
        <f aca="false">IF(G168="Yes",INDEX('Kitting Plan'!$D$6:$D$19,MATCH(B168,'Kitting Plan'!$B$6:$B$19,0)),"")</f>
        <v>3</v>
      </c>
      <c r="I168" s="41" t="n">
        <f aca="false">IF(A168="","",IF(ISNUMBER(SEARCH("PRT",E168)),D168,0))</f>
        <v>1</v>
      </c>
      <c r="J168" s="41" t="n">
        <f aca="false">IF(A168="","",IF(ISNUMBER(SEARCH("GMPS",E168)),D168,0))</f>
        <v>0</v>
      </c>
      <c r="K168" s="41" t="n">
        <f aca="false">IF(A168="","",IF(ISNUMBER(SEARCH("DLV",E168)),D168,0))</f>
        <v>0</v>
      </c>
      <c r="L168" s="41" t="str">
        <f aca="false">IF(A168="","",IF(K168&gt;0,"Delivered",IF(ISNUMBER(SEARCH("CNF",E168)),"In production",IF(J168&gt;0,"Issued",IF(I168&gt;0,"Kitted","Released")))))</f>
        <v>In production</v>
      </c>
      <c r="M168" s="41" t="n">
        <f aca="false">IF(G168&lt;&gt;"Yes","",COUNTIFS($B$6:$B$1505,B168,$F$6:$F$1505,"&lt;"&amp;F168)+COUNTIFS($B$6:$B$1505,B168,$F$6:$F$1505,F168,$A$6:$A$1505,"&lt;="&amp;A168))</f>
        <v>33</v>
      </c>
      <c r="N168" s="41" t="n">
        <f aca="false">IF(M168="","",ROUNDUP(M168/H168,0))</f>
        <v>11</v>
      </c>
      <c r="O168" s="41" t="str">
        <f aca="false">IF(N168="","",IF(N168&lt;='Kitting Plan'!$C$3,"Rep "&amp;N168,"Surplus"))</f>
        <v>Rep 11</v>
      </c>
    </row>
    <row r="169" customFormat="false" ht="15" hidden="false" customHeight="false" outlineLevel="0" collapsed="false">
      <c r="A169" s="40" t="n">
        <f aca="false">IF(OR($A$4=0,INDEX('COOIS Raw'!$A:$GZ,ROW()-4,$A$4)=""),"",IFERROR(--INDEX('COOIS Raw'!$A:$GZ,ROW()-4,$A$4),INDEX('COOIS Raw'!$A:$GZ,ROW()-4,$A$4)))</f>
        <v>100880086</v>
      </c>
      <c r="B169" s="41" t="str">
        <f aca="false">IF(A169="","",TRIM(INDEX('COOIS Raw'!$A:$GZ,ROW()-4,$B$4)))</f>
        <v>92RRA00548AAA</v>
      </c>
      <c r="C169" s="42" t="str">
        <f aca="false">IF(OR(A169="",$C$4=0),"",INDEX('COOIS Raw'!$A:$GZ,ROW()-4,$C$4))</f>
        <v>R5B ERBIUM SPOOL ASSEMBLY - E2A</v>
      </c>
      <c r="D169" s="41" t="n">
        <f aca="false">IF(A169="","",IF($D$4=0,1,IFERROR(--INDEX('COOIS Raw'!$A:$GZ,ROW()-4,$D$4),1)))</f>
        <v>1</v>
      </c>
      <c r="E169" s="42" t="str">
        <f aca="false">IF(A169="","",INDEX('COOIS Raw'!$A:$GZ,ROW()-4,$E$4)&amp;"")</f>
        <v>REL PRT PCNF PRC MANC SETC</v>
      </c>
      <c r="F169" s="43" t="n">
        <f aca="false">IF(A169="","",IFERROR(DATEVALUE(INDEX('COOIS Raw'!$A:$GZ,ROW()-4,$F$4)),INDEX('COOIS Raw'!$A:$GZ,ROW()-4,$F$4)))</f>
        <v>46296</v>
      </c>
      <c r="G169" s="41" t="str">
        <f aca="false">IF(A169="","",IF(ISNA(MATCH(B169,'Kitting Plan'!$B$6:$B$19,0)),"Not in plan","Yes"))</f>
        <v>Yes</v>
      </c>
      <c r="H169" s="41" t="n">
        <f aca="false">IF(G169="Yes",INDEX('Kitting Plan'!$D$6:$D$19,MATCH(B169,'Kitting Plan'!$B$6:$B$19,0)),"")</f>
        <v>24</v>
      </c>
      <c r="I169" s="41" t="n">
        <f aca="false">IF(A169="","",IF(ISNUMBER(SEARCH("PRT",E169)),D169,0))</f>
        <v>1</v>
      </c>
      <c r="J169" s="41" t="n">
        <f aca="false">IF(A169="","",IF(ISNUMBER(SEARCH("GMPS",E169)),D169,0))</f>
        <v>0</v>
      </c>
      <c r="K169" s="41" t="n">
        <f aca="false">IF(A169="","",IF(ISNUMBER(SEARCH("DLV",E169)),D169,0))</f>
        <v>0</v>
      </c>
      <c r="L169" s="41" t="str">
        <f aca="false">IF(A169="","",IF(K169&gt;0,"Delivered",IF(ISNUMBER(SEARCH("CNF",E169)),"In production",IF(J169&gt;0,"Issued",IF(I169&gt;0,"Kitted","Released")))))</f>
        <v>In production</v>
      </c>
      <c r="M169" s="41" t="n">
        <f aca="false">IF(G169&lt;&gt;"Yes","",COUNTIFS($B$6:$B$1505,B169,$F$6:$F$1505,"&lt;"&amp;F169)+COUNTIFS($B$6:$B$1505,B169,$F$6:$F$1505,F169,$A$6:$A$1505,"&lt;="&amp;A169))</f>
        <v>251</v>
      </c>
      <c r="N169" s="41" t="n">
        <f aca="false">IF(M169="","",ROUNDUP(M169/H169,0))</f>
        <v>11</v>
      </c>
      <c r="O169" s="41" t="str">
        <f aca="false">IF(N169="","",IF(N169&lt;='Kitting Plan'!$C$3,"Rep "&amp;N169,"Surplus"))</f>
        <v>Rep 11</v>
      </c>
    </row>
    <row r="170" customFormat="false" ht="15" hidden="false" customHeight="false" outlineLevel="0" collapsed="false">
      <c r="A170" s="40" t="n">
        <f aca="false">IF(OR($A$4=0,INDEX('COOIS Raw'!$A:$GZ,ROW()-4,$A$4)=""),"",IFERROR(--INDEX('COOIS Raw'!$A:$GZ,ROW()-4,$A$4),INDEX('COOIS Raw'!$A:$GZ,ROW()-4,$A$4)))</f>
        <v>100880087</v>
      </c>
      <c r="B170" s="41" t="str">
        <f aca="false">IF(A170="","",TRIM(INDEX('COOIS Raw'!$A:$GZ,ROW()-4,$B$4)))</f>
        <v>92RRA00548AAA</v>
      </c>
      <c r="C170" s="42" t="str">
        <f aca="false">IF(OR(A170="",$C$4=0),"",INDEX('COOIS Raw'!$A:$GZ,ROW()-4,$C$4))</f>
        <v>R5B ERBIUM SPOOL ASSEMBLY - E2A</v>
      </c>
      <c r="D170" s="41" t="n">
        <f aca="false">IF(A170="","",IF($D$4=0,1,IFERROR(--INDEX('COOIS Raw'!$A:$GZ,ROW()-4,$D$4),1)))</f>
        <v>1</v>
      </c>
      <c r="E170" s="42" t="str">
        <f aca="false">IF(A170="","",INDEX('COOIS Raw'!$A:$GZ,ROW()-4,$E$4)&amp;"")</f>
        <v>REL PRT PCNF PRC MANC SETC</v>
      </c>
      <c r="F170" s="43" t="n">
        <f aca="false">IF(A170="","",IFERROR(DATEVALUE(INDEX('COOIS Raw'!$A:$GZ,ROW()-4,$F$4)),INDEX('COOIS Raw'!$A:$GZ,ROW()-4,$F$4)))</f>
        <v>46296</v>
      </c>
      <c r="G170" s="41" t="str">
        <f aca="false">IF(A170="","",IF(ISNA(MATCH(B170,'Kitting Plan'!$B$6:$B$19,0)),"Not in plan","Yes"))</f>
        <v>Yes</v>
      </c>
      <c r="H170" s="41" t="n">
        <f aca="false">IF(G170="Yes",INDEX('Kitting Plan'!$D$6:$D$19,MATCH(B170,'Kitting Plan'!$B$6:$B$19,0)),"")</f>
        <v>24</v>
      </c>
      <c r="I170" s="41" t="n">
        <f aca="false">IF(A170="","",IF(ISNUMBER(SEARCH("PRT",E170)),D170,0))</f>
        <v>1</v>
      </c>
      <c r="J170" s="41" t="n">
        <f aca="false">IF(A170="","",IF(ISNUMBER(SEARCH("GMPS",E170)),D170,0))</f>
        <v>0</v>
      </c>
      <c r="K170" s="41" t="n">
        <f aca="false">IF(A170="","",IF(ISNUMBER(SEARCH("DLV",E170)),D170,0))</f>
        <v>0</v>
      </c>
      <c r="L170" s="41" t="str">
        <f aca="false">IF(A170="","",IF(K170&gt;0,"Delivered",IF(ISNUMBER(SEARCH("CNF",E170)),"In production",IF(J170&gt;0,"Issued",IF(I170&gt;0,"Kitted","Released")))))</f>
        <v>In production</v>
      </c>
      <c r="M170" s="41" t="n">
        <f aca="false">IF(G170&lt;&gt;"Yes","",COUNTIFS($B$6:$B$1505,B170,$F$6:$F$1505,"&lt;"&amp;F170)+COUNTIFS($B$6:$B$1505,B170,$F$6:$F$1505,F170,$A$6:$A$1505,"&lt;="&amp;A170))</f>
        <v>252</v>
      </c>
      <c r="N170" s="41" t="n">
        <f aca="false">IF(M170="","",ROUNDUP(M170/H170,0))</f>
        <v>11</v>
      </c>
      <c r="O170" s="41" t="str">
        <f aca="false">IF(N170="","",IF(N170&lt;='Kitting Plan'!$C$3,"Rep "&amp;N170,"Surplus"))</f>
        <v>Rep 11</v>
      </c>
    </row>
    <row r="171" customFormat="false" ht="15" hidden="false" customHeight="false" outlineLevel="0" collapsed="false">
      <c r="A171" s="40" t="n">
        <f aca="false">IF(OR($A$4=0,INDEX('COOIS Raw'!$A:$GZ,ROW()-4,$A$4)=""),"",IFERROR(--INDEX('COOIS Raw'!$A:$GZ,ROW()-4,$A$4),INDEX('COOIS Raw'!$A:$GZ,ROW()-4,$A$4)))</f>
        <v>100880088</v>
      </c>
      <c r="B171" s="41" t="str">
        <f aca="false">IF(A171="","",TRIM(INDEX('COOIS Raw'!$A:$GZ,ROW()-4,$B$4)))</f>
        <v>92RRA00548AAA</v>
      </c>
      <c r="C171" s="42" t="str">
        <f aca="false">IF(OR(A171="",$C$4=0),"",INDEX('COOIS Raw'!$A:$GZ,ROW()-4,$C$4))</f>
        <v>R5B ERBIUM SPOOL ASSEMBLY - E2A</v>
      </c>
      <c r="D171" s="41" t="n">
        <f aca="false">IF(A171="","",IF($D$4=0,1,IFERROR(--INDEX('COOIS Raw'!$A:$GZ,ROW()-4,$D$4),1)))</f>
        <v>1</v>
      </c>
      <c r="E171" s="42" t="str">
        <f aca="false">IF(A171="","",INDEX('COOIS Raw'!$A:$GZ,ROW()-4,$E$4)&amp;"")</f>
        <v>REL PRT PCNF PRC MANC SETC</v>
      </c>
      <c r="F171" s="43" t="n">
        <f aca="false">IF(A171="","",IFERROR(DATEVALUE(INDEX('COOIS Raw'!$A:$GZ,ROW()-4,$F$4)),INDEX('COOIS Raw'!$A:$GZ,ROW()-4,$F$4)))</f>
        <v>46296</v>
      </c>
      <c r="G171" s="41" t="str">
        <f aca="false">IF(A171="","",IF(ISNA(MATCH(B171,'Kitting Plan'!$B$6:$B$19,0)),"Not in plan","Yes"))</f>
        <v>Yes</v>
      </c>
      <c r="H171" s="41" t="n">
        <f aca="false">IF(G171="Yes",INDEX('Kitting Plan'!$D$6:$D$19,MATCH(B171,'Kitting Plan'!$B$6:$B$19,0)),"")</f>
        <v>24</v>
      </c>
      <c r="I171" s="41" t="n">
        <f aca="false">IF(A171="","",IF(ISNUMBER(SEARCH("PRT",E171)),D171,0))</f>
        <v>1</v>
      </c>
      <c r="J171" s="41" t="n">
        <f aca="false">IF(A171="","",IF(ISNUMBER(SEARCH("GMPS",E171)),D171,0))</f>
        <v>0</v>
      </c>
      <c r="K171" s="41" t="n">
        <f aca="false">IF(A171="","",IF(ISNUMBER(SEARCH("DLV",E171)),D171,0))</f>
        <v>0</v>
      </c>
      <c r="L171" s="41" t="str">
        <f aca="false">IF(A171="","",IF(K171&gt;0,"Delivered",IF(ISNUMBER(SEARCH("CNF",E171)),"In production",IF(J171&gt;0,"Issued",IF(I171&gt;0,"Kitted","Released")))))</f>
        <v>In production</v>
      </c>
      <c r="M171" s="41" t="n">
        <f aca="false">IF(G171&lt;&gt;"Yes","",COUNTIFS($B$6:$B$1505,B171,$F$6:$F$1505,"&lt;"&amp;F171)+COUNTIFS($B$6:$B$1505,B171,$F$6:$F$1505,F171,$A$6:$A$1505,"&lt;="&amp;A171))</f>
        <v>253</v>
      </c>
      <c r="N171" s="41" t="n">
        <f aca="false">IF(M171="","",ROUNDUP(M171/H171,0))</f>
        <v>11</v>
      </c>
      <c r="O171" s="41" t="str">
        <f aca="false">IF(N171="","",IF(N171&lt;='Kitting Plan'!$C$3,"Rep "&amp;N171,"Surplus"))</f>
        <v>Rep 11</v>
      </c>
    </row>
    <row r="172" customFormat="false" ht="15" hidden="false" customHeight="false" outlineLevel="0" collapsed="false">
      <c r="A172" s="40" t="n">
        <f aca="false">IF(OR($A$4=0,INDEX('COOIS Raw'!$A:$GZ,ROW()-4,$A$4)=""),"",IFERROR(--INDEX('COOIS Raw'!$A:$GZ,ROW()-4,$A$4),INDEX('COOIS Raw'!$A:$GZ,ROW()-4,$A$4)))</f>
        <v>100880089</v>
      </c>
      <c r="B172" s="41" t="str">
        <f aca="false">IF(A172="","",TRIM(INDEX('COOIS Raw'!$A:$GZ,ROW()-4,$B$4)))</f>
        <v>92RRA00548AAA</v>
      </c>
      <c r="C172" s="42" t="str">
        <f aca="false">IF(OR(A172="",$C$4=0),"",INDEX('COOIS Raw'!$A:$GZ,ROW()-4,$C$4))</f>
        <v>R5B ERBIUM SPOOL ASSEMBLY - E2A</v>
      </c>
      <c r="D172" s="41" t="n">
        <f aca="false">IF(A172="","",IF($D$4=0,1,IFERROR(--INDEX('COOIS Raw'!$A:$GZ,ROW()-4,$D$4),1)))</f>
        <v>1</v>
      </c>
      <c r="E172" s="42" t="str">
        <f aca="false">IF(A172="","",INDEX('COOIS Raw'!$A:$GZ,ROW()-4,$E$4)&amp;"")</f>
        <v>REL PRT PCNF PRC MANC SETC</v>
      </c>
      <c r="F172" s="43" t="n">
        <f aca="false">IF(A172="","",IFERROR(DATEVALUE(INDEX('COOIS Raw'!$A:$GZ,ROW()-4,$F$4)),INDEX('COOIS Raw'!$A:$GZ,ROW()-4,$F$4)))</f>
        <v>46296</v>
      </c>
      <c r="G172" s="41" t="str">
        <f aca="false">IF(A172="","",IF(ISNA(MATCH(B172,'Kitting Plan'!$B$6:$B$19,0)),"Not in plan","Yes"))</f>
        <v>Yes</v>
      </c>
      <c r="H172" s="41" t="n">
        <f aca="false">IF(G172="Yes",INDEX('Kitting Plan'!$D$6:$D$19,MATCH(B172,'Kitting Plan'!$B$6:$B$19,0)),"")</f>
        <v>24</v>
      </c>
      <c r="I172" s="41" t="n">
        <f aca="false">IF(A172="","",IF(ISNUMBER(SEARCH("PRT",E172)),D172,0))</f>
        <v>1</v>
      </c>
      <c r="J172" s="41" t="n">
        <f aca="false">IF(A172="","",IF(ISNUMBER(SEARCH("GMPS",E172)),D172,0))</f>
        <v>0</v>
      </c>
      <c r="K172" s="41" t="n">
        <f aca="false">IF(A172="","",IF(ISNUMBER(SEARCH("DLV",E172)),D172,0))</f>
        <v>0</v>
      </c>
      <c r="L172" s="41" t="str">
        <f aca="false">IF(A172="","",IF(K172&gt;0,"Delivered",IF(ISNUMBER(SEARCH("CNF",E172)),"In production",IF(J172&gt;0,"Issued",IF(I172&gt;0,"Kitted","Released")))))</f>
        <v>In production</v>
      </c>
      <c r="M172" s="41" t="n">
        <f aca="false">IF(G172&lt;&gt;"Yes","",COUNTIFS($B$6:$B$1505,B172,$F$6:$F$1505,"&lt;"&amp;F172)+COUNTIFS($B$6:$B$1505,B172,$F$6:$F$1505,F172,$A$6:$A$1505,"&lt;="&amp;A172))</f>
        <v>254</v>
      </c>
      <c r="N172" s="41" t="n">
        <f aca="false">IF(M172="","",ROUNDUP(M172/H172,0))</f>
        <v>11</v>
      </c>
      <c r="O172" s="41" t="str">
        <f aca="false">IF(N172="","",IF(N172&lt;='Kitting Plan'!$C$3,"Rep "&amp;N172,"Surplus"))</f>
        <v>Rep 11</v>
      </c>
    </row>
    <row r="173" customFormat="false" ht="15" hidden="false" customHeight="false" outlineLevel="0" collapsed="false">
      <c r="A173" s="40" t="n">
        <f aca="false">IF(OR($A$4=0,INDEX('COOIS Raw'!$A:$GZ,ROW()-4,$A$4)=""),"",IFERROR(--INDEX('COOIS Raw'!$A:$GZ,ROW()-4,$A$4),INDEX('COOIS Raw'!$A:$GZ,ROW()-4,$A$4)))</f>
        <v>100880090</v>
      </c>
      <c r="B173" s="41" t="str">
        <f aca="false">IF(A173="","",TRIM(INDEX('COOIS Raw'!$A:$GZ,ROW()-4,$B$4)))</f>
        <v>92RRA00548AAA</v>
      </c>
      <c r="C173" s="42" t="str">
        <f aca="false">IF(OR(A173="",$C$4=0),"",INDEX('COOIS Raw'!$A:$GZ,ROW()-4,$C$4))</f>
        <v>R5B ERBIUM SPOOL ASSEMBLY - E2A</v>
      </c>
      <c r="D173" s="41" t="n">
        <f aca="false">IF(A173="","",IF($D$4=0,1,IFERROR(--INDEX('COOIS Raw'!$A:$GZ,ROW()-4,$D$4),1)))</f>
        <v>1</v>
      </c>
      <c r="E173" s="42" t="str">
        <f aca="false">IF(A173="","",INDEX('COOIS Raw'!$A:$GZ,ROW()-4,$E$4)&amp;"")</f>
        <v>REL PRT PCNF PRC MANC SETC</v>
      </c>
      <c r="F173" s="43" t="n">
        <f aca="false">IF(A173="","",IFERROR(DATEVALUE(INDEX('COOIS Raw'!$A:$GZ,ROW()-4,$F$4)),INDEX('COOIS Raw'!$A:$GZ,ROW()-4,$F$4)))</f>
        <v>46296</v>
      </c>
      <c r="G173" s="41" t="str">
        <f aca="false">IF(A173="","",IF(ISNA(MATCH(B173,'Kitting Plan'!$B$6:$B$19,0)),"Not in plan","Yes"))</f>
        <v>Yes</v>
      </c>
      <c r="H173" s="41" t="n">
        <f aca="false">IF(G173="Yes",INDEX('Kitting Plan'!$D$6:$D$19,MATCH(B173,'Kitting Plan'!$B$6:$B$19,0)),"")</f>
        <v>24</v>
      </c>
      <c r="I173" s="41" t="n">
        <f aca="false">IF(A173="","",IF(ISNUMBER(SEARCH("PRT",E173)),D173,0))</f>
        <v>1</v>
      </c>
      <c r="J173" s="41" t="n">
        <f aca="false">IF(A173="","",IF(ISNUMBER(SEARCH("GMPS",E173)),D173,0))</f>
        <v>0</v>
      </c>
      <c r="K173" s="41" t="n">
        <f aca="false">IF(A173="","",IF(ISNUMBER(SEARCH("DLV",E173)),D173,0))</f>
        <v>0</v>
      </c>
      <c r="L173" s="41" t="str">
        <f aca="false">IF(A173="","",IF(K173&gt;0,"Delivered",IF(ISNUMBER(SEARCH("CNF",E173)),"In production",IF(J173&gt;0,"Issued",IF(I173&gt;0,"Kitted","Released")))))</f>
        <v>In production</v>
      </c>
      <c r="M173" s="41" t="n">
        <f aca="false">IF(G173&lt;&gt;"Yes","",COUNTIFS($B$6:$B$1505,B173,$F$6:$F$1505,"&lt;"&amp;F173)+COUNTIFS($B$6:$B$1505,B173,$F$6:$F$1505,F173,$A$6:$A$1505,"&lt;="&amp;A173))</f>
        <v>255</v>
      </c>
      <c r="N173" s="41" t="n">
        <f aca="false">IF(M173="","",ROUNDUP(M173/H173,0))</f>
        <v>11</v>
      </c>
      <c r="O173" s="41" t="str">
        <f aca="false">IF(N173="","",IF(N173&lt;='Kitting Plan'!$C$3,"Rep "&amp;N173,"Surplus"))</f>
        <v>Rep 11</v>
      </c>
    </row>
    <row r="174" customFormat="false" ht="15" hidden="false" customHeight="false" outlineLevel="0" collapsed="false">
      <c r="A174" s="40" t="n">
        <f aca="false">IF(OR($A$4=0,INDEX('COOIS Raw'!$A:$GZ,ROW()-4,$A$4)=""),"",IFERROR(--INDEX('COOIS Raw'!$A:$GZ,ROW()-4,$A$4),INDEX('COOIS Raw'!$A:$GZ,ROW()-4,$A$4)))</f>
        <v>100880091</v>
      </c>
      <c r="B174" s="41" t="str">
        <f aca="false">IF(A174="","",TRIM(INDEX('COOIS Raw'!$A:$GZ,ROW()-4,$B$4)))</f>
        <v>92RRA00548AAA</v>
      </c>
      <c r="C174" s="42" t="str">
        <f aca="false">IF(OR(A174="",$C$4=0),"",INDEX('COOIS Raw'!$A:$GZ,ROW()-4,$C$4))</f>
        <v>R5B ERBIUM SPOOL ASSEMBLY - E2A</v>
      </c>
      <c r="D174" s="41" t="n">
        <f aca="false">IF(A174="","",IF($D$4=0,1,IFERROR(--INDEX('COOIS Raw'!$A:$GZ,ROW()-4,$D$4),1)))</f>
        <v>1</v>
      </c>
      <c r="E174" s="42" t="str">
        <f aca="false">IF(A174="","",INDEX('COOIS Raw'!$A:$GZ,ROW()-4,$E$4)&amp;"")</f>
        <v>REL PRT PCNF PRC MANC SETC</v>
      </c>
      <c r="F174" s="43" t="n">
        <f aca="false">IF(A174="","",IFERROR(DATEVALUE(INDEX('COOIS Raw'!$A:$GZ,ROW()-4,$F$4)),INDEX('COOIS Raw'!$A:$GZ,ROW()-4,$F$4)))</f>
        <v>46296</v>
      </c>
      <c r="G174" s="41" t="str">
        <f aca="false">IF(A174="","",IF(ISNA(MATCH(B174,'Kitting Plan'!$B$6:$B$19,0)),"Not in plan","Yes"))</f>
        <v>Yes</v>
      </c>
      <c r="H174" s="41" t="n">
        <f aca="false">IF(G174="Yes",INDEX('Kitting Plan'!$D$6:$D$19,MATCH(B174,'Kitting Plan'!$B$6:$B$19,0)),"")</f>
        <v>24</v>
      </c>
      <c r="I174" s="41" t="n">
        <f aca="false">IF(A174="","",IF(ISNUMBER(SEARCH("PRT",E174)),D174,0))</f>
        <v>1</v>
      </c>
      <c r="J174" s="41" t="n">
        <f aca="false">IF(A174="","",IF(ISNUMBER(SEARCH("GMPS",E174)),D174,0))</f>
        <v>0</v>
      </c>
      <c r="K174" s="41" t="n">
        <f aca="false">IF(A174="","",IF(ISNUMBER(SEARCH("DLV",E174)),D174,0))</f>
        <v>0</v>
      </c>
      <c r="L174" s="41" t="str">
        <f aca="false">IF(A174="","",IF(K174&gt;0,"Delivered",IF(ISNUMBER(SEARCH("CNF",E174)),"In production",IF(J174&gt;0,"Issued",IF(I174&gt;0,"Kitted","Released")))))</f>
        <v>In production</v>
      </c>
      <c r="M174" s="41" t="n">
        <f aca="false">IF(G174&lt;&gt;"Yes","",COUNTIFS($B$6:$B$1505,B174,$F$6:$F$1505,"&lt;"&amp;F174)+COUNTIFS($B$6:$B$1505,B174,$F$6:$F$1505,F174,$A$6:$A$1505,"&lt;="&amp;A174))</f>
        <v>256</v>
      </c>
      <c r="N174" s="41" t="n">
        <f aca="false">IF(M174="","",ROUNDUP(M174/H174,0))</f>
        <v>11</v>
      </c>
      <c r="O174" s="41" t="str">
        <f aca="false">IF(N174="","",IF(N174&lt;='Kitting Plan'!$C$3,"Rep "&amp;N174,"Surplus"))</f>
        <v>Rep 11</v>
      </c>
    </row>
    <row r="175" customFormat="false" ht="15" hidden="false" customHeight="false" outlineLevel="0" collapsed="false">
      <c r="A175" s="40" t="n">
        <f aca="false">IF(OR($A$4=0,INDEX('COOIS Raw'!$A:$GZ,ROW()-4,$A$4)=""),"",IFERROR(--INDEX('COOIS Raw'!$A:$GZ,ROW()-4,$A$4),INDEX('COOIS Raw'!$A:$GZ,ROW()-4,$A$4)))</f>
        <v>100880092</v>
      </c>
      <c r="B175" s="41" t="str">
        <f aca="false">IF(A175="","",TRIM(INDEX('COOIS Raw'!$A:$GZ,ROW()-4,$B$4)))</f>
        <v>92RRA00548AAA</v>
      </c>
      <c r="C175" s="42" t="str">
        <f aca="false">IF(OR(A175="",$C$4=0),"",INDEX('COOIS Raw'!$A:$GZ,ROW()-4,$C$4))</f>
        <v>R5B ERBIUM SPOOL ASSEMBLY - E2A</v>
      </c>
      <c r="D175" s="41" t="n">
        <f aca="false">IF(A175="","",IF($D$4=0,1,IFERROR(--INDEX('COOIS Raw'!$A:$GZ,ROW()-4,$D$4),1)))</f>
        <v>1</v>
      </c>
      <c r="E175" s="42" t="str">
        <f aca="false">IF(A175="","",INDEX('COOIS Raw'!$A:$GZ,ROW()-4,$E$4)&amp;"")</f>
        <v>REL PRT PCNF PRC MANC SETC</v>
      </c>
      <c r="F175" s="43" t="n">
        <f aca="false">IF(A175="","",IFERROR(DATEVALUE(INDEX('COOIS Raw'!$A:$GZ,ROW()-4,$F$4)),INDEX('COOIS Raw'!$A:$GZ,ROW()-4,$F$4)))</f>
        <v>46296</v>
      </c>
      <c r="G175" s="41" t="str">
        <f aca="false">IF(A175="","",IF(ISNA(MATCH(B175,'Kitting Plan'!$B$6:$B$19,0)),"Not in plan","Yes"))</f>
        <v>Yes</v>
      </c>
      <c r="H175" s="41" t="n">
        <f aca="false">IF(G175="Yes",INDEX('Kitting Plan'!$D$6:$D$19,MATCH(B175,'Kitting Plan'!$B$6:$B$19,0)),"")</f>
        <v>24</v>
      </c>
      <c r="I175" s="41" t="n">
        <f aca="false">IF(A175="","",IF(ISNUMBER(SEARCH("PRT",E175)),D175,0))</f>
        <v>1</v>
      </c>
      <c r="J175" s="41" t="n">
        <f aca="false">IF(A175="","",IF(ISNUMBER(SEARCH("GMPS",E175)),D175,0))</f>
        <v>0</v>
      </c>
      <c r="K175" s="41" t="n">
        <f aca="false">IF(A175="","",IF(ISNUMBER(SEARCH("DLV",E175)),D175,0))</f>
        <v>0</v>
      </c>
      <c r="L175" s="41" t="str">
        <f aca="false">IF(A175="","",IF(K175&gt;0,"Delivered",IF(ISNUMBER(SEARCH("CNF",E175)),"In production",IF(J175&gt;0,"Issued",IF(I175&gt;0,"Kitted","Released")))))</f>
        <v>In production</v>
      </c>
      <c r="M175" s="41" t="n">
        <f aca="false">IF(G175&lt;&gt;"Yes","",COUNTIFS($B$6:$B$1505,B175,$F$6:$F$1505,"&lt;"&amp;F175)+COUNTIFS($B$6:$B$1505,B175,$F$6:$F$1505,F175,$A$6:$A$1505,"&lt;="&amp;A175))</f>
        <v>257</v>
      </c>
      <c r="N175" s="41" t="n">
        <f aca="false">IF(M175="","",ROUNDUP(M175/H175,0))</f>
        <v>11</v>
      </c>
      <c r="O175" s="41" t="str">
        <f aca="false">IF(N175="","",IF(N175&lt;='Kitting Plan'!$C$3,"Rep "&amp;N175,"Surplus"))</f>
        <v>Rep 11</v>
      </c>
    </row>
    <row r="176" customFormat="false" ht="15" hidden="false" customHeight="false" outlineLevel="0" collapsed="false">
      <c r="A176" s="40" t="n">
        <f aca="false">IF(OR($A$4=0,INDEX('COOIS Raw'!$A:$GZ,ROW()-4,$A$4)=""),"",IFERROR(--INDEX('COOIS Raw'!$A:$GZ,ROW()-4,$A$4),INDEX('COOIS Raw'!$A:$GZ,ROW()-4,$A$4)))</f>
        <v>100880093</v>
      </c>
      <c r="B176" s="41" t="str">
        <f aca="false">IF(A176="","",TRIM(INDEX('COOIS Raw'!$A:$GZ,ROW()-4,$B$4)))</f>
        <v>92RRA00548AAA</v>
      </c>
      <c r="C176" s="42" t="str">
        <f aca="false">IF(OR(A176="",$C$4=0),"",INDEX('COOIS Raw'!$A:$GZ,ROW()-4,$C$4))</f>
        <v>R5B ERBIUM SPOOL ASSEMBLY - E2A</v>
      </c>
      <c r="D176" s="41" t="n">
        <f aca="false">IF(A176="","",IF($D$4=0,1,IFERROR(--INDEX('COOIS Raw'!$A:$GZ,ROW()-4,$D$4),1)))</f>
        <v>1</v>
      </c>
      <c r="E176" s="42" t="str">
        <f aca="false">IF(A176="","",INDEX('COOIS Raw'!$A:$GZ,ROW()-4,$E$4)&amp;"")</f>
        <v>REL PRT PCNF PRC MANC SETC</v>
      </c>
      <c r="F176" s="43" t="n">
        <f aca="false">IF(A176="","",IFERROR(DATEVALUE(INDEX('COOIS Raw'!$A:$GZ,ROW()-4,$F$4)),INDEX('COOIS Raw'!$A:$GZ,ROW()-4,$F$4)))</f>
        <v>46296</v>
      </c>
      <c r="G176" s="41" t="str">
        <f aca="false">IF(A176="","",IF(ISNA(MATCH(B176,'Kitting Plan'!$B$6:$B$19,0)),"Not in plan","Yes"))</f>
        <v>Yes</v>
      </c>
      <c r="H176" s="41" t="n">
        <f aca="false">IF(G176="Yes",INDEX('Kitting Plan'!$D$6:$D$19,MATCH(B176,'Kitting Plan'!$B$6:$B$19,0)),"")</f>
        <v>24</v>
      </c>
      <c r="I176" s="41" t="n">
        <f aca="false">IF(A176="","",IF(ISNUMBER(SEARCH("PRT",E176)),D176,0))</f>
        <v>1</v>
      </c>
      <c r="J176" s="41" t="n">
        <f aca="false">IF(A176="","",IF(ISNUMBER(SEARCH("GMPS",E176)),D176,0))</f>
        <v>0</v>
      </c>
      <c r="K176" s="41" t="n">
        <f aca="false">IF(A176="","",IF(ISNUMBER(SEARCH("DLV",E176)),D176,0))</f>
        <v>0</v>
      </c>
      <c r="L176" s="41" t="str">
        <f aca="false">IF(A176="","",IF(K176&gt;0,"Delivered",IF(ISNUMBER(SEARCH("CNF",E176)),"In production",IF(J176&gt;0,"Issued",IF(I176&gt;0,"Kitted","Released")))))</f>
        <v>In production</v>
      </c>
      <c r="M176" s="41" t="n">
        <f aca="false">IF(G176&lt;&gt;"Yes","",COUNTIFS($B$6:$B$1505,B176,$F$6:$F$1505,"&lt;"&amp;F176)+COUNTIFS($B$6:$B$1505,B176,$F$6:$F$1505,F176,$A$6:$A$1505,"&lt;="&amp;A176))</f>
        <v>258</v>
      </c>
      <c r="N176" s="41" t="n">
        <f aca="false">IF(M176="","",ROUNDUP(M176/H176,0))</f>
        <v>11</v>
      </c>
      <c r="O176" s="41" t="str">
        <f aca="false">IF(N176="","",IF(N176&lt;='Kitting Plan'!$C$3,"Rep "&amp;N176,"Surplus"))</f>
        <v>Rep 11</v>
      </c>
    </row>
    <row r="177" customFormat="false" ht="15" hidden="false" customHeight="false" outlineLevel="0" collapsed="false">
      <c r="A177" s="40" t="n">
        <f aca="false">IF(OR($A$4=0,INDEX('COOIS Raw'!$A:$GZ,ROW()-4,$A$4)=""),"",IFERROR(--INDEX('COOIS Raw'!$A:$GZ,ROW()-4,$A$4),INDEX('COOIS Raw'!$A:$GZ,ROW()-4,$A$4)))</f>
        <v>100880094</v>
      </c>
      <c r="B177" s="41" t="str">
        <f aca="false">IF(A177="","",TRIM(INDEX('COOIS Raw'!$A:$GZ,ROW()-4,$B$4)))</f>
        <v>92RRA00548AAA</v>
      </c>
      <c r="C177" s="42" t="str">
        <f aca="false">IF(OR(A177="",$C$4=0),"",INDEX('COOIS Raw'!$A:$GZ,ROW()-4,$C$4))</f>
        <v>R5B ERBIUM SPOOL ASSEMBLY - E2A</v>
      </c>
      <c r="D177" s="41" t="n">
        <f aca="false">IF(A177="","",IF($D$4=0,1,IFERROR(--INDEX('COOIS Raw'!$A:$GZ,ROW()-4,$D$4),1)))</f>
        <v>1</v>
      </c>
      <c r="E177" s="42" t="str">
        <f aca="false">IF(A177="","",INDEX('COOIS Raw'!$A:$GZ,ROW()-4,$E$4)&amp;"")</f>
        <v>REL PRT PCNF PRC MANC SETC</v>
      </c>
      <c r="F177" s="43" t="n">
        <f aca="false">IF(A177="","",IFERROR(DATEVALUE(INDEX('COOIS Raw'!$A:$GZ,ROW()-4,$F$4)),INDEX('COOIS Raw'!$A:$GZ,ROW()-4,$F$4)))</f>
        <v>46296</v>
      </c>
      <c r="G177" s="41" t="str">
        <f aca="false">IF(A177="","",IF(ISNA(MATCH(B177,'Kitting Plan'!$B$6:$B$19,0)),"Not in plan","Yes"))</f>
        <v>Yes</v>
      </c>
      <c r="H177" s="41" t="n">
        <f aca="false">IF(G177="Yes",INDEX('Kitting Plan'!$D$6:$D$19,MATCH(B177,'Kitting Plan'!$B$6:$B$19,0)),"")</f>
        <v>24</v>
      </c>
      <c r="I177" s="41" t="n">
        <f aca="false">IF(A177="","",IF(ISNUMBER(SEARCH("PRT",E177)),D177,0))</f>
        <v>1</v>
      </c>
      <c r="J177" s="41" t="n">
        <f aca="false">IF(A177="","",IF(ISNUMBER(SEARCH("GMPS",E177)),D177,0))</f>
        <v>0</v>
      </c>
      <c r="K177" s="41" t="n">
        <f aca="false">IF(A177="","",IF(ISNUMBER(SEARCH("DLV",E177)),D177,0))</f>
        <v>0</v>
      </c>
      <c r="L177" s="41" t="str">
        <f aca="false">IF(A177="","",IF(K177&gt;0,"Delivered",IF(ISNUMBER(SEARCH("CNF",E177)),"In production",IF(J177&gt;0,"Issued",IF(I177&gt;0,"Kitted","Released")))))</f>
        <v>In production</v>
      </c>
      <c r="M177" s="41" t="n">
        <f aca="false">IF(G177&lt;&gt;"Yes","",COUNTIFS($B$6:$B$1505,B177,$F$6:$F$1505,"&lt;"&amp;F177)+COUNTIFS($B$6:$B$1505,B177,$F$6:$F$1505,F177,$A$6:$A$1505,"&lt;="&amp;A177))</f>
        <v>259</v>
      </c>
      <c r="N177" s="41" t="n">
        <f aca="false">IF(M177="","",ROUNDUP(M177/H177,0))</f>
        <v>11</v>
      </c>
      <c r="O177" s="41" t="str">
        <f aca="false">IF(N177="","",IF(N177&lt;='Kitting Plan'!$C$3,"Rep "&amp;N177,"Surplus"))</f>
        <v>Rep 11</v>
      </c>
    </row>
    <row r="178" customFormat="false" ht="15" hidden="false" customHeight="false" outlineLevel="0" collapsed="false">
      <c r="A178" s="40" t="n">
        <f aca="false">IF(OR($A$4=0,INDEX('COOIS Raw'!$A:$GZ,ROW()-4,$A$4)=""),"",IFERROR(--INDEX('COOIS Raw'!$A:$GZ,ROW()-4,$A$4),INDEX('COOIS Raw'!$A:$GZ,ROW()-4,$A$4)))</f>
        <v>100880095</v>
      </c>
      <c r="B178" s="41" t="str">
        <f aca="false">IF(A178="","",TRIM(INDEX('COOIS Raw'!$A:$GZ,ROW()-4,$B$4)))</f>
        <v>92RRA00548AAA</v>
      </c>
      <c r="C178" s="42" t="str">
        <f aca="false">IF(OR(A178="",$C$4=0),"",INDEX('COOIS Raw'!$A:$GZ,ROW()-4,$C$4))</f>
        <v>R5B ERBIUM SPOOL ASSEMBLY - E2A</v>
      </c>
      <c r="D178" s="41" t="n">
        <f aca="false">IF(A178="","",IF($D$4=0,1,IFERROR(--INDEX('COOIS Raw'!$A:$GZ,ROW()-4,$D$4),1)))</f>
        <v>1</v>
      </c>
      <c r="E178" s="42" t="str">
        <f aca="false">IF(A178="","",INDEX('COOIS Raw'!$A:$GZ,ROW()-4,$E$4)&amp;"")</f>
        <v>REL PRT PCNF PRC MANC SETC</v>
      </c>
      <c r="F178" s="43" t="n">
        <f aca="false">IF(A178="","",IFERROR(DATEVALUE(INDEX('COOIS Raw'!$A:$GZ,ROW()-4,$F$4)),INDEX('COOIS Raw'!$A:$GZ,ROW()-4,$F$4)))</f>
        <v>46296</v>
      </c>
      <c r="G178" s="41" t="str">
        <f aca="false">IF(A178="","",IF(ISNA(MATCH(B178,'Kitting Plan'!$B$6:$B$19,0)),"Not in plan","Yes"))</f>
        <v>Yes</v>
      </c>
      <c r="H178" s="41" t="n">
        <f aca="false">IF(G178="Yes",INDEX('Kitting Plan'!$D$6:$D$19,MATCH(B178,'Kitting Plan'!$B$6:$B$19,0)),"")</f>
        <v>24</v>
      </c>
      <c r="I178" s="41" t="n">
        <f aca="false">IF(A178="","",IF(ISNUMBER(SEARCH("PRT",E178)),D178,0))</f>
        <v>1</v>
      </c>
      <c r="J178" s="41" t="n">
        <f aca="false">IF(A178="","",IF(ISNUMBER(SEARCH("GMPS",E178)),D178,0))</f>
        <v>0</v>
      </c>
      <c r="K178" s="41" t="n">
        <f aca="false">IF(A178="","",IF(ISNUMBER(SEARCH("DLV",E178)),D178,0))</f>
        <v>0</v>
      </c>
      <c r="L178" s="41" t="str">
        <f aca="false">IF(A178="","",IF(K178&gt;0,"Delivered",IF(ISNUMBER(SEARCH("CNF",E178)),"In production",IF(J178&gt;0,"Issued",IF(I178&gt;0,"Kitted","Released")))))</f>
        <v>In production</v>
      </c>
      <c r="M178" s="41" t="n">
        <f aca="false">IF(G178&lt;&gt;"Yes","",COUNTIFS($B$6:$B$1505,B178,$F$6:$F$1505,"&lt;"&amp;F178)+COUNTIFS($B$6:$B$1505,B178,$F$6:$F$1505,F178,$A$6:$A$1505,"&lt;="&amp;A178))</f>
        <v>260</v>
      </c>
      <c r="N178" s="41" t="n">
        <f aca="false">IF(M178="","",ROUNDUP(M178/H178,0))</f>
        <v>11</v>
      </c>
      <c r="O178" s="41" t="str">
        <f aca="false">IF(N178="","",IF(N178&lt;='Kitting Plan'!$C$3,"Rep "&amp;N178,"Surplus"))</f>
        <v>Rep 11</v>
      </c>
    </row>
    <row r="179" customFormat="false" ht="15" hidden="false" customHeight="false" outlineLevel="0" collapsed="false">
      <c r="A179" s="40" t="n">
        <f aca="false">IF(OR($A$4=0,INDEX('COOIS Raw'!$A:$GZ,ROW()-4,$A$4)=""),"",IFERROR(--INDEX('COOIS Raw'!$A:$GZ,ROW()-4,$A$4),INDEX('COOIS Raw'!$A:$GZ,ROW()-4,$A$4)))</f>
        <v>100880096</v>
      </c>
      <c r="B179" s="41" t="str">
        <f aca="false">IF(A179="","",TRIM(INDEX('COOIS Raw'!$A:$GZ,ROW()-4,$B$4)))</f>
        <v>92RRA00548AAA</v>
      </c>
      <c r="C179" s="42" t="str">
        <f aca="false">IF(OR(A179="",$C$4=0),"",INDEX('COOIS Raw'!$A:$GZ,ROW()-4,$C$4))</f>
        <v>R5B ERBIUM SPOOL ASSEMBLY - E2A</v>
      </c>
      <c r="D179" s="41" t="n">
        <f aca="false">IF(A179="","",IF($D$4=0,1,IFERROR(--INDEX('COOIS Raw'!$A:$GZ,ROW()-4,$D$4),1)))</f>
        <v>1</v>
      </c>
      <c r="E179" s="42" t="str">
        <f aca="false">IF(A179="","",INDEX('COOIS Raw'!$A:$GZ,ROW()-4,$E$4)&amp;"")</f>
        <v>REL PRT PCNF PRC MANC SETC</v>
      </c>
      <c r="F179" s="43" t="n">
        <f aca="false">IF(A179="","",IFERROR(DATEVALUE(INDEX('COOIS Raw'!$A:$GZ,ROW()-4,$F$4)),INDEX('COOIS Raw'!$A:$GZ,ROW()-4,$F$4)))</f>
        <v>46296</v>
      </c>
      <c r="G179" s="41" t="str">
        <f aca="false">IF(A179="","",IF(ISNA(MATCH(B179,'Kitting Plan'!$B$6:$B$19,0)),"Not in plan","Yes"))</f>
        <v>Yes</v>
      </c>
      <c r="H179" s="41" t="n">
        <f aca="false">IF(G179="Yes",INDEX('Kitting Plan'!$D$6:$D$19,MATCH(B179,'Kitting Plan'!$B$6:$B$19,0)),"")</f>
        <v>24</v>
      </c>
      <c r="I179" s="41" t="n">
        <f aca="false">IF(A179="","",IF(ISNUMBER(SEARCH("PRT",E179)),D179,0))</f>
        <v>1</v>
      </c>
      <c r="J179" s="41" t="n">
        <f aca="false">IF(A179="","",IF(ISNUMBER(SEARCH("GMPS",E179)),D179,0))</f>
        <v>0</v>
      </c>
      <c r="K179" s="41" t="n">
        <f aca="false">IF(A179="","",IF(ISNUMBER(SEARCH("DLV",E179)),D179,0))</f>
        <v>0</v>
      </c>
      <c r="L179" s="41" t="str">
        <f aca="false">IF(A179="","",IF(K179&gt;0,"Delivered",IF(ISNUMBER(SEARCH("CNF",E179)),"In production",IF(J179&gt;0,"Issued",IF(I179&gt;0,"Kitted","Released")))))</f>
        <v>In production</v>
      </c>
      <c r="M179" s="41" t="n">
        <f aca="false">IF(G179&lt;&gt;"Yes","",COUNTIFS($B$6:$B$1505,B179,$F$6:$F$1505,"&lt;"&amp;F179)+COUNTIFS($B$6:$B$1505,B179,$F$6:$F$1505,F179,$A$6:$A$1505,"&lt;="&amp;A179))</f>
        <v>261</v>
      </c>
      <c r="N179" s="41" t="n">
        <f aca="false">IF(M179="","",ROUNDUP(M179/H179,0))</f>
        <v>11</v>
      </c>
      <c r="O179" s="41" t="str">
        <f aca="false">IF(N179="","",IF(N179&lt;='Kitting Plan'!$C$3,"Rep "&amp;N179,"Surplus"))</f>
        <v>Rep 11</v>
      </c>
    </row>
    <row r="180" customFormat="false" ht="15" hidden="false" customHeight="false" outlineLevel="0" collapsed="false">
      <c r="A180" s="40" t="n">
        <f aca="false">IF(OR($A$4=0,INDEX('COOIS Raw'!$A:$GZ,ROW()-4,$A$4)=""),"",IFERROR(--INDEX('COOIS Raw'!$A:$GZ,ROW()-4,$A$4),INDEX('COOIS Raw'!$A:$GZ,ROW()-4,$A$4)))</f>
        <v>100880097</v>
      </c>
      <c r="B180" s="41" t="str">
        <f aca="false">IF(A180="","",TRIM(INDEX('COOIS Raw'!$A:$GZ,ROW()-4,$B$4)))</f>
        <v>92RRA00548AAA</v>
      </c>
      <c r="C180" s="42" t="str">
        <f aca="false">IF(OR(A180="",$C$4=0),"",INDEX('COOIS Raw'!$A:$GZ,ROW()-4,$C$4))</f>
        <v>R5B ERBIUM SPOOL ASSEMBLY - E2A</v>
      </c>
      <c r="D180" s="41" t="n">
        <f aca="false">IF(A180="","",IF($D$4=0,1,IFERROR(--INDEX('COOIS Raw'!$A:$GZ,ROW()-4,$D$4),1)))</f>
        <v>1</v>
      </c>
      <c r="E180" s="42" t="str">
        <f aca="false">IF(A180="","",INDEX('COOIS Raw'!$A:$GZ,ROW()-4,$E$4)&amp;"")</f>
        <v>REL PRT PCNF PRC MANC SETC</v>
      </c>
      <c r="F180" s="43" t="n">
        <f aca="false">IF(A180="","",IFERROR(DATEVALUE(INDEX('COOIS Raw'!$A:$GZ,ROW()-4,$F$4)),INDEX('COOIS Raw'!$A:$GZ,ROW()-4,$F$4)))</f>
        <v>46296</v>
      </c>
      <c r="G180" s="41" t="str">
        <f aca="false">IF(A180="","",IF(ISNA(MATCH(B180,'Kitting Plan'!$B$6:$B$19,0)),"Not in plan","Yes"))</f>
        <v>Yes</v>
      </c>
      <c r="H180" s="41" t="n">
        <f aca="false">IF(G180="Yes",INDEX('Kitting Plan'!$D$6:$D$19,MATCH(B180,'Kitting Plan'!$B$6:$B$19,0)),"")</f>
        <v>24</v>
      </c>
      <c r="I180" s="41" t="n">
        <f aca="false">IF(A180="","",IF(ISNUMBER(SEARCH("PRT",E180)),D180,0))</f>
        <v>1</v>
      </c>
      <c r="J180" s="41" t="n">
        <f aca="false">IF(A180="","",IF(ISNUMBER(SEARCH("GMPS",E180)),D180,0))</f>
        <v>0</v>
      </c>
      <c r="K180" s="41" t="n">
        <f aca="false">IF(A180="","",IF(ISNUMBER(SEARCH("DLV",E180)),D180,0))</f>
        <v>0</v>
      </c>
      <c r="L180" s="41" t="str">
        <f aca="false">IF(A180="","",IF(K180&gt;0,"Delivered",IF(ISNUMBER(SEARCH("CNF",E180)),"In production",IF(J180&gt;0,"Issued",IF(I180&gt;0,"Kitted","Released")))))</f>
        <v>In production</v>
      </c>
      <c r="M180" s="41" t="n">
        <f aca="false">IF(G180&lt;&gt;"Yes","",COUNTIFS($B$6:$B$1505,B180,$F$6:$F$1505,"&lt;"&amp;F180)+COUNTIFS($B$6:$B$1505,B180,$F$6:$F$1505,F180,$A$6:$A$1505,"&lt;="&amp;A180))</f>
        <v>262</v>
      </c>
      <c r="N180" s="41" t="n">
        <f aca="false">IF(M180="","",ROUNDUP(M180/H180,0))</f>
        <v>11</v>
      </c>
      <c r="O180" s="41" t="str">
        <f aca="false">IF(N180="","",IF(N180&lt;='Kitting Plan'!$C$3,"Rep "&amp;N180,"Surplus"))</f>
        <v>Rep 11</v>
      </c>
    </row>
    <row r="181" customFormat="false" ht="15" hidden="false" customHeight="false" outlineLevel="0" collapsed="false">
      <c r="A181" s="40" t="n">
        <f aca="false">IF(OR($A$4=0,INDEX('COOIS Raw'!$A:$GZ,ROW()-4,$A$4)=""),"",IFERROR(--INDEX('COOIS Raw'!$A:$GZ,ROW()-4,$A$4),INDEX('COOIS Raw'!$A:$GZ,ROW()-4,$A$4)))</f>
        <v>100880098</v>
      </c>
      <c r="B181" s="41" t="str">
        <f aca="false">IF(A181="","",TRIM(INDEX('COOIS Raw'!$A:$GZ,ROW()-4,$B$4)))</f>
        <v>92RRA00548AAA</v>
      </c>
      <c r="C181" s="42" t="str">
        <f aca="false">IF(OR(A181="",$C$4=0),"",INDEX('COOIS Raw'!$A:$GZ,ROW()-4,$C$4))</f>
        <v>R5B ERBIUM SPOOL ASSEMBLY - E2A</v>
      </c>
      <c r="D181" s="41" t="n">
        <f aca="false">IF(A181="","",IF($D$4=0,1,IFERROR(--INDEX('COOIS Raw'!$A:$GZ,ROW()-4,$D$4),1)))</f>
        <v>1</v>
      </c>
      <c r="E181" s="42" t="str">
        <f aca="false">IF(A181="","",INDEX('COOIS Raw'!$A:$GZ,ROW()-4,$E$4)&amp;"")</f>
        <v>REL PRT PCNF PRC MANC SETC</v>
      </c>
      <c r="F181" s="43" t="n">
        <f aca="false">IF(A181="","",IFERROR(DATEVALUE(INDEX('COOIS Raw'!$A:$GZ,ROW()-4,$F$4)),INDEX('COOIS Raw'!$A:$GZ,ROW()-4,$F$4)))</f>
        <v>46296</v>
      </c>
      <c r="G181" s="41" t="str">
        <f aca="false">IF(A181="","",IF(ISNA(MATCH(B181,'Kitting Plan'!$B$6:$B$19,0)),"Not in plan","Yes"))</f>
        <v>Yes</v>
      </c>
      <c r="H181" s="41" t="n">
        <f aca="false">IF(G181="Yes",INDEX('Kitting Plan'!$D$6:$D$19,MATCH(B181,'Kitting Plan'!$B$6:$B$19,0)),"")</f>
        <v>24</v>
      </c>
      <c r="I181" s="41" t="n">
        <f aca="false">IF(A181="","",IF(ISNUMBER(SEARCH("PRT",E181)),D181,0))</f>
        <v>1</v>
      </c>
      <c r="J181" s="41" t="n">
        <f aca="false">IF(A181="","",IF(ISNUMBER(SEARCH("GMPS",E181)),D181,0))</f>
        <v>0</v>
      </c>
      <c r="K181" s="41" t="n">
        <f aca="false">IF(A181="","",IF(ISNUMBER(SEARCH("DLV",E181)),D181,0))</f>
        <v>0</v>
      </c>
      <c r="L181" s="41" t="str">
        <f aca="false">IF(A181="","",IF(K181&gt;0,"Delivered",IF(ISNUMBER(SEARCH("CNF",E181)),"In production",IF(J181&gt;0,"Issued",IF(I181&gt;0,"Kitted","Released")))))</f>
        <v>In production</v>
      </c>
      <c r="M181" s="41" t="n">
        <f aca="false">IF(G181&lt;&gt;"Yes","",COUNTIFS($B$6:$B$1505,B181,$F$6:$F$1505,"&lt;"&amp;F181)+COUNTIFS($B$6:$B$1505,B181,$F$6:$F$1505,F181,$A$6:$A$1505,"&lt;="&amp;A181))</f>
        <v>263</v>
      </c>
      <c r="N181" s="41" t="n">
        <f aca="false">IF(M181="","",ROUNDUP(M181/H181,0))</f>
        <v>11</v>
      </c>
      <c r="O181" s="41" t="str">
        <f aca="false">IF(N181="","",IF(N181&lt;='Kitting Plan'!$C$3,"Rep "&amp;N181,"Surplus"))</f>
        <v>Rep 11</v>
      </c>
    </row>
    <row r="182" customFormat="false" ht="15" hidden="false" customHeight="false" outlineLevel="0" collapsed="false">
      <c r="A182" s="40" t="n">
        <f aca="false">IF(OR($A$4=0,INDEX('COOIS Raw'!$A:$GZ,ROW()-4,$A$4)=""),"",IFERROR(--INDEX('COOIS Raw'!$A:$GZ,ROW()-4,$A$4),INDEX('COOIS Raw'!$A:$GZ,ROW()-4,$A$4)))</f>
        <v>100880099</v>
      </c>
      <c r="B182" s="41" t="str">
        <f aca="false">IF(A182="","",TRIM(INDEX('COOIS Raw'!$A:$GZ,ROW()-4,$B$4)))</f>
        <v>92RRA00548AAA</v>
      </c>
      <c r="C182" s="42" t="str">
        <f aca="false">IF(OR(A182="",$C$4=0),"",INDEX('COOIS Raw'!$A:$GZ,ROW()-4,$C$4))</f>
        <v>R5B ERBIUM SPOOL ASSEMBLY - E2A</v>
      </c>
      <c r="D182" s="41" t="n">
        <f aca="false">IF(A182="","",IF($D$4=0,1,IFERROR(--INDEX('COOIS Raw'!$A:$GZ,ROW()-4,$D$4),1)))</f>
        <v>1</v>
      </c>
      <c r="E182" s="42" t="str">
        <f aca="false">IF(A182="","",INDEX('COOIS Raw'!$A:$GZ,ROW()-4,$E$4)&amp;"")</f>
        <v>REL PRT PCNF PRC MANC SETC</v>
      </c>
      <c r="F182" s="43" t="n">
        <f aca="false">IF(A182="","",IFERROR(DATEVALUE(INDEX('COOIS Raw'!$A:$GZ,ROW()-4,$F$4)),INDEX('COOIS Raw'!$A:$GZ,ROW()-4,$F$4)))</f>
        <v>46296</v>
      </c>
      <c r="G182" s="41" t="str">
        <f aca="false">IF(A182="","",IF(ISNA(MATCH(B182,'Kitting Plan'!$B$6:$B$19,0)),"Not in plan","Yes"))</f>
        <v>Yes</v>
      </c>
      <c r="H182" s="41" t="n">
        <f aca="false">IF(G182="Yes",INDEX('Kitting Plan'!$D$6:$D$19,MATCH(B182,'Kitting Plan'!$B$6:$B$19,0)),"")</f>
        <v>24</v>
      </c>
      <c r="I182" s="41" t="n">
        <f aca="false">IF(A182="","",IF(ISNUMBER(SEARCH("PRT",E182)),D182,0))</f>
        <v>1</v>
      </c>
      <c r="J182" s="41" t="n">
        <f aca="false">IF(A182="","",IF(ISNUMBER(SEARCH("GMPS",E182)),D182,0))</f>
        <v>0</v>
      </c>
      <c r="K182" s="41" t="n">
        <f aca="false">IF(A182="","",IF(ISNUMBER(SEARCH("DLV",E182)),D182,0))</f>
        <v>0</v>
      </c>
      <c r="L182" s="41" t="str">
        <f aca="false">IF(A182="","",IF(K182&gt;0,"Delivered",IF(ISNUMBER(SEARCH("CNF",E182)),"In production",IF(J182&gt;0,"Issued",IF(I182&gt;0,"Kitted","Released")))))</f>
        <v>In production</v>
      </c>
      <c r="M182" s="41" t="n">
        <f aca="false">IF(G182&lt;&gt;"Yes","",COUNTIFS($B$6:$B$1505,B182,$F$6:$F$1505,"&lt;"&amp;F182)+COUNTIFS($B$6:$B$1505,B182,$F$6:$F$1505,F182,$A$6:$A$1505,"&lt;="&amp;A182))</f>
        <v>264</v>
      </c>
      <c r="N182" s="41" t="n">
        <f aca="false">IF(M182="","",ROUNDUP(M182/H182,0))</f>
        <v>11</v>
      </c>
      <c r="O182" s="41" t="str">
        <f aca="false">IF(N182="","",IF(N182&lt;='Kitting Plan'!$C$3,"Rep "&amp;N182,"Surplus"))</f>
        <v>Rep 11</v>
      </c>
    </row>
    <row r="183" customFormat="false" ht="15" hidden="false" customHeight="false" outlineLevel="0" collapsed="false">
      <c r="A183" s="40" t="n">
        <f aca="false">IF(OR($A$4=0,INDEX('COOIS Raw'!$A:$GZ,ROW()-4,$A$4)=""),"",IFERROR(--INDEX('COOIS Raw'!$A:$GZ,ROW()-4,$A$4),INDEX('COOIS Raw'!$A:$GZ,ROW()-4,$A$4)))</f>
        <v>100880100</v>
      </c>
      <c r="B183" s="41" t="str">
        <f aca="false">IF(A183="","",TRIM(INDEX('COOIS Raw'!$A:$GZ,ROW()-4,$B$4)))</f>
        <v>92RRA00548AAA</v>
      </c>
      <c r="C183" s="42" t="str">
        <f aca="false">IF(OR(A183="",$C$4=0),"",INDEX('COOIS Raw'!$A:$GZ,ROW()-4,$C$4))</f>
        <v>R5B ERBIUM SPOOL ASSEMBLY - E2A</v>
      </c>
      <c r="D183" s="41" t="n">
        <f aca="false">IF(A183="","",IF($D$4=0,1,IFERROR(--INDEX('COOIS Raw'!$A:$GZ,ROW()-4,$D$4),1)))</f>
        <v>1</v>
      </c>
      <c r="E183" s="42" t="str">
        <f aca="false">IF(A183="","",INDEX('COOIS Raw'!$A:$GZ,ROW()-4,$E$4)&amp;"")</f>
        <v>REL PRT PCNF PRC MANC SETC</v>
      </c>
      <c r="F183" s="43" t="n">
        <f aca="false">IF(A183="","",IFERROR(DATEVALUE(INDEX('COOIS Raw'!$A:$GZ,ROW()-4,$F$4)),INDEX('COOIS Raw'!$A:$GZ,ROW()-4,$F$4)))</f>
        <v>46296</v>
      </c>
      <c r="G183" s="41" t="str">
        <f aca="false">IF(A183="","",IF(ISNA(MATCH(B183,'Kitting Plan'!$B$6:$B$19,0)),"Not in plan","Yes"))</f>
        <v>Yes</v>
      </c>
      <c r="H183" s="41" t="n">
        <f aca="false">IF(G183="Yes",INDEX('Kitting Plan'!$D$6:$D$19,MATCH(B183,'Kitting Plan'!$B$6:$B$19,0)),"")</f>
        <v>24</v>
      </c>
      <c r="I183" s="41" t="n">
        <f aca="false">IF(A183="","",IF(ISNUMBER(SEARCH("PRT",E183)),D183,0))</f>
        <v>1</v>
      </c>
      <c r="J183" s="41" t="n">
        <f aca="false">IF(A183="","",IF(ISNUMBER(SEARCH("GMPS",E183)),D183,0))</f>
        <v>0</v>
      </c>
      <c r="K183" s="41" t="n">
        <f aca="false">IF(A183="","",IF(ISNUMBER(SEARCH("DLV",E183)),D183,0))</f>
        <v>0</v>
      </c>
      <c r="L183" s="41" t="str">
        <f aca="false">IF(A183="","",IF(K183&gt;0,"Delivered",IF(ISNUMBER(SEARCH("CNF",E183)),"In production",IF(J183&gt;0,"Issued",IF(I183&gt;0,"Kitted","Released")))))</f>
        <v>In production</v>
      </c>
      <c r="M183" s="41" t="n">
        <f aca="false">IF(G183&lt;&gt;"Yes","",COUNTIFS($B$6:$B$1505,B183,$F$6:$F$1505,"&lt;"&amp;F183)+COUNTIFS($B$6:$B$1505,B183,$F$6:$F$1505,F183,$A$6:$A$1505,"&lt;="&amp;A183))</f>
        <v>265</v>
      </c>
      <c r="N183" s="41" t="n">
        <f aca="false">IF(M183="","",ROUNDUP(M183/H183,0))</f>
        <v>12</v>
      </c>
      <c r="O183" s="41" t="str">
        <f aca="false">IF(N183="","",IF(N183&lt;='Kitting Plan'!$C$3,"Rep "&amp;N183,"Surplus"))</f>
        <v>Rep 12</v>
      </c>
    </row>
    <row r="184" customFormat="false" ht="15" hidden="false" customHeight="false" outlineLevel="0" collapsed="false">
      <c r="A184" s="40" t="n">
        <f aca="false">IF(OR($A$4=0,INDEX('COOIS Raw'!$A:$GZ,ROW()-4,$A$4)=""),"",IFERROR(--INDEX('COOIS Raw'!$A:$GZ,ROW()-4,$A$4),INDEX('COOIS Raw'!$A:$GZ,ROW()-4,$A$4)))</f>
        <v>100880101</v>
      </c>
      <c r="B184" s="41" t="str">
        <f aca="false">IF(A184="","",TRIM(INDEX('COOIS Raw'!$A:$GZ,ROW()-4,$B$4)))</f>
        <v>92RRA00548AAA</v>
      </c>
      <c r="C184" s="42" t="str">
        <f aca="false">IF(OR(A184="",$C$4=0),"",INDEX('COOIS Raw'!$A:$GZ,ROW()-4,$C$4))</f>
        <v>R5B ERBIUM SPOOL ASSEMBLY - E2A</v>
      </c>
      <c r="D184" s="41" t="n">
        <f aca="false">IF(A184="","",IF($D$4=0,1,IFERROR(--INDEX('COOIS Raw'!$A:$GZ,ROW()-4,$D$4),1)))</f>
        <v>1</v>
      </c>
      <c r="E184" s="42" t="str">
        <f aca="false">IF(A184="","",INDEX('COOIS Raw'!$A:$GZ,ROW()-4,$E$4)&amp;"")</f>
        <v>REL PRT PCNF PRC MANC SETC</v>
      </c>
      <c r="F184" s="43" t="n">
        <f aca="false">IF(A184="","",IFERROR(DATEVALUE(INDEX('COOIS Raw'!$A:$GZ,ROW()-4,$F$4)),INDEX('COOIS Raw'!$A:$GZ,ROW()-4,$F$4)))</f>
        <v>46296</v>
      </c>
      <c r="G184" s="41" t="str">
        <f aca="false">IF(A184="","",IF(ISNA(MATCH(B184,'Kitting Plan'!$B$6:$B$19,0)),"Not in plan","Yes"))</f>
        <v>Yes</v>
      </c>
      <c r="H184" s="41" t="n">
        <f aca="false">IF(G184="Yes",INDEX('Kitting Plan'!$D$6:$D$19,MATCH(B184,'Kitting Plan'!$B$6:$B$19,0)),"")</f>
        <v>24</v>
      </c>
      <c r="I184" s="41" t="n">
        <f aca="false">IF(A184="","",IF(ISNUMBER(SEARCH("PRT",E184)),D184,0))</f>
        <v>1</v>
      </c>
      <c r="J184" s="41" t="n">
        <f aca="false">IF(A184="","",IF(ISNUMBER(SEARCH("GMPS",E184)),D184,0))</f>
        <v>0</v>
      </c>
      <c r="K184" s="41" t="n">
        <f aca="false">IF(A184="","",IF(ISNUMBER(SEARCH("DLV",E184)),D184,0))</f>
        <v>0</v>
      </c>
      <c r="L184" s="41" t="str">
        <f aca="false">IF(A184="","",IF(K184&gt;0,"Delivered",IF(ISNUMBER(SEARCH("CNF",E184)),"In production",IF(J184&gt;0,"Issued",IF(I184&gt;0,"Kitted","Released")))))</f>
        <v>In production</v>
      </c>
      <c r="M184" s="41" t="n">
        <f aca="false">IF(G184&lt;&gt;"Yes","",COUNTIFS($B$6:$B$1505,B184,$F$6:$F$1505,"&lt;"&amp;F184)+COUNTIFS($B$6:$B$1505,B184,$F$6:$F$1505,F184,$A$6:$A$1505,"&lt;="&amp;A184))</f>
        <v>266</v>
      </c>
      <c r="N184" s="41" t="n">
        <f aca="false">IF(M184="","",ROUNDUP(M184/H184,0))</f>
        <v>12</v>
      </c>
      <c r="O184" s="41" t="str">
        <f aca="false">IF(N184="","",IF(N184&lt;='Kitting Plan'!$C$3,"Rep "&amp;N184,"Surplus"))</f>
        <v>Rep 12</v>
      </c>
    </row>
    <row r="185" customFormat="false" ht="15" hidden="false" customHeight="false" outlineLevel="0" collapsed="false">
      <c r="A185" s="40" t="n">
        <f aca="false">IF(OR($A$4=0,INDEX('COOIS Raw'!$A:$GZ,ROW()-4,$A$4)=""),"",IFERROR(--INDEX('COOIS Raw'!$A:$GZ,ROW()-4,$A$4),INDEX('COOIS Raw'!$A:$GZ,ROW()-4,$A$4)))</f>
        <v>100880102</v>
      </c>
      <c r="B185" s="41" t="str">
        <f aca="false">IF(A185="","",TRIM(INDEX('COOIS Raw'!$A:$GZ,ROW()-4,$B$4)))</f>
        <v>92RRA00548AAA</v>
      </c>
      <c r="C185" s="42" t="str">
        <f aca="false">IF(OR(A185="",$C$4=0),"",INDEX('COOIS Raw'!$A:$GZ,ROW()-4,$C$4))</f>
        <v>R5B ERBIUM SPOOL ASSEMBLY - E2A</v>
      </c>
      <c r="D185" s="41" t="n">
        <f aca="false">IF(A185="","",IF($D$4=0,1,IFERROR(--INDEX('COOIS Raw'!$A:$GZ,ROW()-4,$D$4),1)))</f>
        <v>1</v>
      </c>
      <c r="E185" s="42" t="str">
        <f aca="false">IF(A185="","",INDEX('COOIS Raw'!$A:$GZ,ROW()-4,$E$4)&amp;"")</f>
        <v>REL PRT PCNF PRC MANC SETC</v>
      </c>
      <c r="F185" s="43" t="n">
        <f aca="false">IF(A185="","",IFERROR(DATEVALUE(INDEX('COOIS Raw'!$A:$GZ,ROW()-4,$F$4)),INDEX('COOIS Raw'!$A:$GZ,ROW()-4,$F$4)))</f>
        <v>46296</v>
      </c>
      <c r="G185" s="41" t="str">
        <f aca="false">IF(A185="","",IF(ISNA(MATCH(B185,'Kitting Plan'!$B$6:$B$19,0)),"Not in plan","Yes"))</f>
        <v>Yes</v>
      </c>
      <c r="H185" s="41" t="n">
        <f aca="false">IF(G185="Yes",INDEX('Kitting Plan'!$D$6:$D$19,MATCH(B185,'Kitting Plan'!$B$6:$B$19,0)),"")</f>
        <v>24</v>
      </c>
      <c r="I185" s="41" t="n">
        <f aca="false">IF(A185="","",IF(ISNUMBER(SEARCH("PRT",E185)),D185,0))</f>
        <v>1</v>
      </c>
      <c r="J185" s="41" t="n">
        <f aca="false">IF(A185="","",IF(ISNUMBER(SEARCH("GMPS",E185)),D185,0))</f>
        <v>0</v>
      </c>
      <c r="K185" s="41" t="n">
        <f aca="false">IF(A185="","",IF(ISNUMBER(SEARCH("DLV",E185)),D185,0))</f>
        <v>0</v>
      </c>
      <c r="L185" s="41" t="str">
        <f aca="false">IF(A185="","",IF(K185&gt;0,"Delivered",IF(ISNUMBER(SEARCH("CNF",E185)),"In production",IF(J185&gt;0,"Issued",IF(I185&gt;0,"Kitted","Released")))))</f>
        <v>In production</v>
      </c>
      <c r="M185" s="41" t="n">
        <f aca="false">IF(G185&lt;&gt;"Yes","",COUNTIFS($B$6:$B$1505,B185,$F$6:$F$1505,"&lt;"&amp;F185)+COUNTIFS($B$6:$B$1505,B185,$F$6:$F$1505,F185,$A$6:$A$1505,"&lt;="&amp;A185))</f>
        <v>267</v>
      </c>
      <c r="N185" s="41" t="n">
        <f aca="false">IF(M185="","",ROUNDUP(M185/H185,0))</f>
        <v>12</v>
      </c>
      <c r="O185" s="41" t="str">
        <f aca="false">IF(N185="","",IF(N185&lt;='Kitting Plan'!$C$3,"Rep "&amp;N185,"Surplus"))</f>
        <v>Rep 12</v>
      </c>
    </row>
    <row r="186" customFormat="false" ht="15" hidden="false" customHeight="false" outlineLevel="0" collapsed="false">
      <c r="A186" s="40" t="n">
        <f aca="false">IF(OR($A$4=0,INDEX('COOIS Raw'!$A:$GZ,ROW()-4,$A$4)=""),"",IFERROR(--INDEX('COOIS Raw'!$A:$GZ,ROW()-4,$A$4),INDEX('COOIS Raw'!$A:$GZ,ROW()-4,$A$4)))</f>
        <v>100880103</v>
      </c>
      <c r="B186" s="41" t="str">
        <f aca="false">IF(A186="","",TRIM(INDEX('COOIS Raw'!$A:$GZ,ROW()-4,$B$4)))</f>
        <v>92RRA00548AAA</v>
      </c>
      <c r="C186" s="42" t="str">
        <f aca="false">IF(OR(A186="",$C$4=0),"",INDEX('COOIS Raw'!$A:$GZ,ROW()-4,$C$4))</f>
        <v>R5B ERBIUM SPOOL ASSEMBLY - E2A</v>
      </c>
      <c r="D186" s="41" t="n">
        <f aca="false">IF(A186="","",IF($D$4=0,1,IFERROR(--INDEX('COOIS Raw'!$A:$GZ,ROW()-4,$D$4),1)))</f>
        <v>1</v>
      </c>
      <c r="E186" s="42" t="str">
        <f aca="false">IF(A186="","",INDEX('COOIS Raw'!$A:$GZ,ROW()-4,$E$4)&amp;"")</f>
        <v>REL PRT PCNF PRC MANC SETC</v>
      </c>
      <c r="F186" s="43" t="n">
        <f aca="false">IF(A186="","",IFERROR(DATEVALUE(INDEX('COOIS Raw'!$A:$GZ,ROW()-4,$F$4)),INDEX('COOIS Raw'!$A:$GZ,ROW()-4,$F$4)))</f>
        <v>46296</v>
      </c>
      <c r="G186" s="41" t="str">
        <f aca="false">IF(A186="","",IF(ISNA(MATCH(B186,'Kitting Plan'!$B$6:$B$19,0)),"Not in plan","Yes"))</f>
        <v>Yes</v>
      </c>
      <c r="H186" s="41" t="n">
        <f aca="false">IF(G186="Yes",INDEX('Kitting Plan'!$D$6:$D$19,MATCH(B186,'Kitting Plan'!$B$6:$B$19,0)),"")</f>
        <v>24</v>
      </c>
      <c r="I186" s="41" t="n">
        <f aca="false">IF(A186="","",IF(ISNUMBER(SEARCH("PRT",E186)),D186,0))</f>
        <v>1</v>
      </c>
      <c r="J186" s="41" t="n">
        <f aca="false">IF(A186="","",IF(ISNUMBER(SEARCH("GMPS",E186)),D186,0))</f>
        <v>0</v>
      </c>
      <c r="K186" s="41" t="n">
        <f aca="false">IF(A186="","",IF(ISNUMBER(SEARCH("DLV",E186)),D186,0))</f>
        <v>0</v>
      </c>
      <c r="L186" s="41" t="str">
        <f aca="false">IF(A186="","",IF(K186&gt;0,"Delivered",IF(ISNUMBER(SEARCH("CNF",E186)),"In production",IF(J186&gt;0,"Issued",IF(I186&gt;0,"Kitted","Released")))))</f>
        <v>In production</v>
      </c>
      <c r="M186" s="41" t="n">
        <f aca="false">IF(G186&lt;&gt;"Yes","",COUNTIFS($B$6:$B$1505,B186,$F$6:$F$1505,"&lt;"&amp;F186)+COUNTIFS($B$6:$B$1505,B186,$F$6:$F$1505,F186,$A$6:$A$1505,"&lt;="&amp;A186))</f>
        <v>268</v>
      </c>
      <c r="N186" s="41" t="n">
        <f aca="false">IF(M186="","",ROUNDUP(M186/H186,0))</f>
        <v>12</v>
      </c>
      <c r="O186" s="41" t="str">
        <f aca="false">IF(N186="","",IF(N186&lt;='Kitting Plan'!$C$3,"Rep "&amp;N186,"Surplus"))</f>
        <v>Rep 12</v>
      </c>
    </row>
    <row r="187" customFormat="false" ht="15" hidden="false" customHeight="false" outlineLevel="0" collapsed="false">
      <c r="A187" s="40" t="n">
        <f aca="false">IF(OR($A$4=0,INDEX('COOIS Raw'!$A:$GZ,ROW()-4,$A$4)=""),"",IFERROR(--INDEX('COOIS Raw'!$A:$GZ,ROW()-4,$A$4),INDEX('COOIS Raw'!$A:$GZ,ROW()-4,$A$4)))</f>
        <v>100880104</v>
      </c>
      <c r="B187" s="41" t="str">
        <f aca="false">IF(A187="","",TRIM(INDEX('COOIS Raw'!$A:$GZ,ROW()-4,$B$4)))</f>
        <v>92RRA00548AAA</v>
      </c>
      <c r="C187" s="42" t="str">
        <f aca="false">IF(OR(A187="",$C$4=0),"",INDEX('COOIS Raw'!$A:$GZ,ROW()-4,$C$4))</f>
        <v>R5B ERBIUM SPOOL ASSEMBLY - E2A</v>
      </c>
      <c r="D187" s="41" t="n">
        <f aca="false">IF(A187="","",IF($D$4=0,1,IFERROR(--INDEX('COOIS Raw'!$A:$GZ,ROW()-4,$D$4),1)))</f>
        <v>1</v>
      </c>
      <c r="E187" s="42" t="str">
        <f aca="false">IF(A187="","",INDEX('COOIS Raw'!$A:$GZ,ROW()-4,$E$4)&amp;"")</f>
        <v>REL PRT PCNF PRC MANC SETC</v>
      </c>
      <c r="F187" s="43" t="n">
        <f aca="false">IF(A187="","",IFERROR(DATEVALUE(INDEX('COOIS Raw'!$A:$GZ,ROW()-4,$F$4)),INDEX('COOIS Raw'!$A:$GZ,ROW()-4,$F$4)))</f>
        <v>46296</v>
      </c>
      <c r="G187" s="41" t="str">
        <f aca="false">IF(A187="","",IF(ISNA(MATCH(B187,'Kitting Plan'!$B$6:$B$19,0)),"Not in plan","Yes"))</f>
        <v>Yes</v>
      </c>
      <c r="H187" s="41" t="n">
        <f aca="false">IF(G187="Yes",INDEX('Kitting Plan'!$D$6:$D$19,MATCH(B187,'Kitting Plan'!$B$6:$B$19,0)),"")</f>
        <v>24</v>
      </c>
      <c r="I187" s="41" t="n">
        <f aca="false">IF(A187="","",IF(ISNUMBER(SEARCH("PRT",E187)),D187,0))</f>
        <v>1</v>
      </c>
      <c r="J187" s="41" t="n">
        <f aca="false">IF(A187="","",IF(ISNUMBER(SEARCH("GMPS",E187)),D187,0))</f>
        <v>0</v>
      </c>
      <c r="K187" s="41" t="n">
        <f aca="false">IF(A187="","",IF(ISNUMBER(SEARCH("DLV",E187)),D187,0))</f>
        <v>0</v>
      </c>
      <c r="L187" s="41" t="str">
        <f aca="false">IF(A187="","",IF(K187&gt;0,"Delivered",IF(ISNUMBER(SEARCH("CNF",E187)),"In production",IF(J187&gt;0,"Issued",IF(I187&gt;0,"Kitted","Released")))))</f>
        <v>In production</v>
      </c>
      <c r="M187" s="41" t="n">
        <f aca="false">IF(G187&lt;&gt;"Yes","",COUNTIFS($B$6:$B$1505,B187,$F$6:$F$1505,"&lt;"&amp;F187)+COUNTIFS($B$6:$B$1505,B187,$F$6:$F$1505,F187,$A$6:$A$1505,"&lt;="&amp;A187))</f>
        <v>269</v>
      </c>
      <c r="N187" s="41" t="n">
        <f aca="false">IF(M187="","",ROUNDUP(M187/H187,0))</f>
        <v>12</v>
      </c>
      <c r="O187" s="41" t="str">
        <f aca="false">IF(N187="","",IF(N187&lt;='Kitting Plan'!$C$3,"Rep "&amp;N187,"Surplus"))</f>
        <v>Rep 12</v>
      </c>
    </row>
    <row r="188" customFormat="false" ht="15" hidden="false" customHeight="false" outlineLevel="0" collapsed="false">
      <c r="A188" s="40" t="n">
        <f aca="false">IF(OR($A$4=0,INDEX('COOIS Raw'!$A:$GZ,ROW()-4,$A$4)=""),"",IFERROR(--INDEX('COOIS Raw'!$A:$GZ,ROW()-4,$A$4),INDEX('COOIS Raw'!$A:$GZ,ROW()-4,$A$4)))</f>
        <v>100880105</v>
      </c>
      <c r="B188" s="41" t="str">
        <f aca="false">IF(A188="","",TRIM(INDEX('COOIS Raw'!$A:$GZ,ROW()-4,$B$4)))</f>
        <v>92RRA00548AAA</v>
      </c>
      <c r="C188" s="42" t="str">
        <f aca="false">IF(OR(A188="",$C$4=0),"",INDEX('COOIS Raw'!$A:$GZ,ROW()-4,$C$4))</f>
        <v>R5B ERBIUM SPOOL ASSEMBLY - E2A</v>
      </c>
      <c r="D188" s="41" t="n">
        <f aca="false">IF(A188="","",IF($D$4=0,1,IFERROR(--INDEX('COOIS Raw'!$A:$GZ,ROW()-4,$D$4),1)))</f>
        <v>1</v>
      </c>
      <c r="E188" s="42" t="str">
        <f aca="false">IF(A188="","",INDEX('COOIS Raw'!$A:$GZ,ROW()-4,$E$4)&amp;"")</f>
        <v>REL PRT PCNF PRC MANC SETC</v>
      </c>
      <c r="F188" s="43" t="n">
        <f aca="false">IF(A188="","",IFERROR(DATEVALUE(INDEX('COOIS Raw'!$A:$GZ,ROW()-4,$F$4)),INDEX('COOIS Raw'!$A:$GZ,ROW()-4,$F$4)))</f>
        <v>46296</v>
      </c>
      <c r="G188" s="41" t="str">
        <f aca="false">IF(A188="","",IF(ISNA(MATCH(B188,'Kitting Plan'!$B$6:$B$19,0)),"Not in plan","Yes"))</f>
        <v>Yes</v>
      </c>
      <c r="H188" s="41" t="n">
        <f aca="false">IF(G188="Yes",INDEX('Kitting Plan'!$D$6:$D$19,MATCH(B188,'Kitting Plan'!$B$6:$B$19,0)),"")</f>
        <v>24</v>
      </c>
      <c r="I188" s="41" t="n">
        <f aca="false">IF(A188="","",IF(ISNUMBER(SEARCH("PRT",E188)),D188,0))</f>
        <v>1</v>
      </c>
      <c r="J188" s="41" t="n">
        <f aca="false">IF(A188="","",IF(ISNUMBER(SEARCH("GMPS",E188)),D188,0))</f>
        <v>0</v>
      </c>
      <c r="K188" s="41" t="n">
        <f aca="false">IF(A188="","",IF(ISNUMBER(SEARCH("DLV",E188)),D188,0))</f>
        <v>0</v>
      </c>
      <c r="L188" s="41" t="str">
        <f aca="false">IF(A188="","",IF(K188&gt;0,"Delivered",IF(ISNUMBER(SEARCH("CNF",E188)),"In production",IF(J188&gt;0,"Issued",IF(I188&gt;0,"Kitted","Released")))))</f>
        <v>In production</v>
      </c>
      <c r="M188" s="41" t="n">
        <f aca="false">IF(G188&lt;&gt;"Yes","",COUNTIFS($B$6:$B$1505,B188,$F$6:$F$1505,"&lt;"&amp;F188)+COUNTIFS($B$6:$B$1505,B188,$F$6:$F$1505,F188,$A$6:$A$1505,"&lt;="&amp;A188))</f>
        <v>270</v>
      </c>
      <c r="N188" s="41" t="n">
        <f aca="false">IF(M188="","",ROUNDUP(M188/H188,0))</f>
        <v>12</v>
      </c>
      <c r="O188" s="41" t="str">
        <f aca="false">IF(N188="","",IF(N188&lt;='Kitting Plan'!$C$3,"Rep "&amp;N188,"Surplus"))</f>
        <v>Rep 12</v>
      </c>
    </row>
    <row r="189" customFormat="false" ht="15" hidden="false" customHeight="false" outlineLevel="0" collapsed="false">
      <c r="A189" s="40" t="n">
        <f aca="false">IF(OR($A$4=0,INDEX('COOIS Raw'!$A:$GZ,ROW()-4,$A$4)=""),"",IFERROR(--INDEX('COOIS Raw'!$A:$GZ,ROW()-4,$A$4),INDEX('COOIS Raw'!$A:$GZ,ROW()-4,$A$4)))</f>
        <v>100880106</v>
      </c>
      <c r="B189" s="41" t="str">
        <f aca="false">IF(A189="","",TRIM(INDEX('COOIS Raw'!$A:$GZ,ROW()-4,$B$4)))</f>
        <v>92RRA00548AAA</v>
      </c>
      <c r="C189" s="42" t="str">
        <f aca="false">IF(OR(A189="",$C$4=0),"",INDEX('COOIS Raw'!$A:$GZ,ROW()-4,$C$4))</f>
        <v>R5B ERBIUM SPOOL ASSEMBLY - E2A</v>
      </c>
      <c r="D189" s="41" t="n">
        <f aca="false">IF(A189="","",IF($D$4=0,1,IFERROR(--INDEX('COOIS Raw'!$A:$GZ,ROW()-4,$D$4),1)))</f>
        <v>1</v>
      </c>
      <c r="E189" s="42" t="str">
        <f aca="false">IF(A189="","",INDEX('COOIS Raw'!$A:$GZ,ROW()-4,$E$4)&amp;"")</f>
        <v>REL PRT PCNF PRC MANC SETC</v>
      </c>
      <c r="F189" s="43" t="n">
        <f aca="false">IF(A189="","",IFERROR(DATEVALUE(INDEX('COOIS Raw'!$A:$GZ,ROW()-4,$F$4)),INDEX('COOIS Raw'!$A:$GZ,ROW()-4,$F$4)))</f>
        <v>46296</v>
      </c>
      <c r="G189" s="41" t="str">
        <f aca="false">IF(A189="","",IF(ISNA(MATCH(B189,'Kitting Plan'!$B$6:$B$19,0)),"Not in plan","Yes"))</f>
        <v>Yes</v>
      </c>
      <c r="H189" s="41" t="n">
        <f aca="false">IF(G189="Yes",INDEX('Kitting Plan'!$D$6:$D$19,MATCH(B189,'Kitting Plan'!$B$6:$B$19,0)),"")</f>
        <v>24</v>
      </c>
      <c r="I189" s="41" t="n">
        <f aca="false">IF(A189="","",IF(ISNUMBER(SEARCH("PRT",E189)),D189,0))</f>
        <v>1</v>
      </c>
      <c r="J189" s="41" t="n">
        <f aca="false">IF(A189="","",IF(ISNUMBER(SEARCH("GMPS",E189)),D189,0))</f>
        <v>0</v>
      </c>
      <c r="K189" s="41" t="n">
        <f aca="false">IF(A189="","",IF(ISNUMBER(SEARCH("DLV",E189)),D189,0))</f>
        <v>0</v>
      </c>
      <c r="L189" s="41" t="str">
        <f aca="false">IF(A189="","",IF(K189&gt;0,"Delivered",IF(ISNUMBER(SEARCH("CNF",E189)),"In production",IF(J189&gt;0,"Issued",IF(I189&gt;0,"Kitted","Released")))))</f>
        <v>In production</v>
      </c>
      <c r="M189" s="41" t="n">
        <f aca="false">IF(G189&lt;&gt;"Yes","",COUNTIFS($B$6:$B$1505,B189,$F$6:$F$1505,"&lt;"&amp;F189)+COUNTIFS($B$6:$B$1505,B189,$F$6:$F$1505,F189,$A$6:$A$1505,"&lt;="&amp;A189))</f>
        <v>271</v>
      </c>
      <c r="N189" s="41" t="n">
        <f aca="false">IF(M189="","",ROUNDUP(M189/H189,0))</f>
        <v>12</v>
      </c>
      <c r="O189" s="41" t="str">
        <f aca="false">IF(N189="","",IF(N189&lt;='Kitting Plan'!$C$3,"Rep "&amp;N189,"Surplus"))</f>
        <v>Rep 12</v>
      </c>
    </row>
    <row r="190" customFormat="false" ht="15" hidden="false" customHeight="false" outlineLevel="0" collapsed="false">
      <c r="A190" s="40" t="n">
        <f aca="false">IF(OR($A$4=0,INDEX('COOIS Raw'!$A:$GZ,ROW()-4,$A$4)=""),"",IFERROR(--INDEX('COOIS Raw'!$A:$GZ,ROW()-4,$A$4),INDEX('COOIS Raw'!$A:$GZ,ROW()-4,$A$4)))</f>
        <v>100880107</v>
      </c>
      <c r="B190" s="41" t="str">
        <f aca="false">IF(A190="","",TRIM(INDEX('COOIS Raw'!$A:$GZ,ROW()-4,$B$4)))</f>
        <v>92RRA00548AAA</v>
      </c>
      <c r="C190" s="42" t="str">
        <f aca="false">IF(OR(A190="",$C$4=0),"",INDEX('COOIS Raw'!$A:$GZ,ROW()-4,$C$4))</f>
        <v>R5B ERBIUM SPOOL ASSEMBLY - E2A</v>
      </c>
      <c r="D190" s="41" t="n">
        <f aca="false">IF(A190="","",IF($D$4=0,1,IFERROR(--INDEX('COOIS Raw'!$A:$GZ,ROW()-4,$D$4),1)))</f>
        <v>1</v>
      </c>
      <c r="E190" s="42" t="str">
        <f aca="false">IF(A190="","",INDEX('COOIS Raw'!$A:$GZ,ROW()-4,$E$4)&amp;"")</f>
        <v>REL PRT PCNF PRC MANC SETC</v>
      </c>
      <c r="F190" s="43" t="n">
        <f aca="false">IF(A190="","",IFERROR(DATEVALUE(INDEX('COOIS Raw'!$A:$GZ,ROW()-4,$F$4)),INDEX('COOIS Raw'!$A:$GZ,ROW()-4,$F$4)))</f>
        <v>46296</v>
      </c>
      <c r="G190" s="41" t="str">
        <f aca="false">IF(A190="","",IF(ISNA(MATCH(B190,'Kitting Plan'!$B$6:$B$19,0)),"Not in plan","Yes"))</f>
        <v>Yes</v>
      </c>
      <c r="H190" s="41" t="n">
        <f aca="false">IF(G190="Yes",INDEX('Kitting Plan'!$D$6:$D$19,MATCH(B190,'Kitting Plan'!$B$6:$B$19,0)),"")</f>
        <v>24</v>
      </c>
      <c r="I190" s="41" t="n">
        <f aca="false">IF(A190="","",IF(ISNUMBER(SEARCH("PRT",E190)),D190,0))</f>
        <v>1</v>
      </c>
      <c r="J190" s="41" t="n">
        <f aca="false">IF(A190="","",IF(ISNUMBER(SEARCH("GMPS",E190)),D190,0))</f>
        <v>0</v>
      </c>
      <c r="K190" s="41" t="n">
        <f aca="false">IF(A190="","",IF(ISNUMBER(SEARCH("DLV",E190)),D190,0))</f>
        <v>0</v>
      </c>
      <c r="L190" s="41" t="str">
        <f aca="false">IF(A190="","",IF(K190&gt;0,"Delivered",IF(ISNUMBER(SEARCH("CNF",E190)),"In production",IF(J190&gt;0,"Issued",IF(I190&gt;0,"Kitted","Released")))))</f>
        <v>In production</v>
      </c>
      <c r="M190" s="41" t="n">
        <f aca="false">IF(G190&lt;&gt;"Yes","",COUNTIFS($B$6:$B$1505,B190,$F$6:$F$1505,"&lt;"&amp;F190)+COUNTIFS($B$6:$B$1505,B190,$F$6:$F$1505,F190,$A$6:$A$1505,"&lt;="&amp;A190))</f>
        <v>272</v>
      </c>
      <c r="N190" s="41" t="n">
        <f aca="false">IF(M190="","",ROUNDUP(M190/H190,0))</f>
        <v>12</v>
      </c>
      <c r="O190" s="41" t="str">
        <f aca="false">IF(N190="","",IF(N190&lt;='Kitting Plan'!$C$3,"Rep "&amp;N190,"Surplus"))</f>
        <v>Rep 12</v>
      </c>
    </row>
    <row r="191" customFormat="false" ht="15" hidden="false" customHeight="false" outlineLevel="0" collapsed="false">
      <c r="A191" s="40" t="n">
        <f aca="false">IF(OR($A$4=0,INDEX('COOIS Raw'!$A:$GZ,ROW()-4,$A$4)=""),"",IFERROR(--INDEX('COOIS Raw'!$A:$GZ,ROW()-4,$A$4),INDEX('COOIS Raw'!$A:$GZ,ROW()-4,$A$4)))</f>
        <v>100880108</v>
      </c>
      <c r="B191" s="41" t="str">
        <f aca="false">IF(A191="","",TRIM(INDEX('COOIS Raw'!$A:$GZ,ROW()-4,$B$4)))</f>
        <v>92RRA00548AAA</v>
      </c>
      <c r="C191" s="42" t="str">
        <f aca="false">IF(OR(A191="",$C$4=0),"",INDEX('COOIS Raw'!$A:$GZ,ROW()-4,$C$4))</f>
        <v>R5B ERBIUM SPOOL ASSEMBLY - E2A</v>
      </c>
      <c r="D191" s="41" t="n">
        <f aca="false">IF(A191="","",IF($D$4=0,1,IFERROR(--INDEX('COOIS Raw'!$A:$GZ,ROW()-4,$D$4),1)))</f>
        <v>1</v>
      </c>
      <c r="E191" s="42" t="str">
        <f aca="false">IF(A191="","",INDEX('COOIS Raw'!$A:$GZ,ROW()-4,$E$4)&amp;"")</f>
        <v>REL PRT PCNF PRC MANC SETC</v>
      </c>
      <c r="F191" s="43" t="n">
        <f aca="false">IF(A191="","",IFERROR(DATEVALUE(INDEX('COOIS Raw'!$A:$GZ,ROW()-4,$F$4)),INDEX('COOIS Raw'!$A:$GZ,ROW()-4,$F$4)))</f>
        <v>46296</v>
      </c>
      <c r="G191" s="41" t="str">
        <f aca="false">IF(A191="","",IF(ISNA(MATCH(B191,'Kitting Plan'!$B$6:$B$19,0)),"Not in plan","Yes"))</f>
        <v>Yes</v>
      </c>
      <c r="H191" s="41" t="n">
        <f aca="false">IF(G191="Yes",INDEX('Kitting Plan'!$D$6:$D$19,MATCH(B191,'Kitting Plan'!$B$6:$B$19,0)),"")</f>
        <v>24</v>
      </c>
      <c r="I191" s="41" t="n">
        <f aca="false">IF(A191="","",IF(ISNUMBER(SEARCH("PRT",E191)),D191,0))</f>
        <v>1</v>
      </c>
      <c r="J191" s="41" t="n">
        <f aca="false">IF(A191="","",IF(ISNUMBER(SEARCH("GMPS",E191)),D191,0))</f>
        <v>0</v>
      </c>
      <c r="K191" s="41" t="n">
        <f aca="false">IF(A191="","",IF(ISNUMBER(SEARCH("DLV",E191)),D191,0))</f>
        <v>0</v>
      </c>
      <c r="L191" s="41" t="str">
        <f aca="false">IF(A191="","",IF(K191&gt;0,"Delivered",IF(ISNUMBER(SEARCH("CNF",E191)),"In production",IF(J191&gt;0,"Issued",IF(I191&gt;0,"Kitted","Released")))))</f>
        <v>In production</v>
      </c>
      <c r="M191" s="41" t="n">
        <f aca="false">IF(G191&lt;&gt;"Yes","",COUNTIFS($B$6:$B$1505,B191,$F$6:$F$1505,"&lt;"&amp;F191)+COUNTIFS($B$6:$B$1505,B191,$F$6:$F$1505,F191,$A$6:$A$1505,"&lt;="&amp;A191))</f>
        <v>273</v>
      </c>
      <c r="N191" s="41" t="n">
        <f aca="false">IF(M191="","",ROUNDUP(M191/H191,0))</f>
        <v>12</v>
      </c>
      <c r="O191" s="41" t="str">
        <f aca="false">IF(N191="","",IF(N191&lt;='Kitting Plan'!$C$3,"Rep "&amp;N191,"Surplus"))</f>
        <v>Rep 12</v>
      </c>
    </row>
    <row r="192" customFormat="false" ht="15" hidden="false" customHeight="false" outlineLevel="0" collapsed="false">
      <c r="A192" s="40" t="n">
        <f aca="false">IF(OR($A$4=0,INDEX('COOIS Raw'!$A:$GZ,ROW()-4,$A$4)=""),"",IFERROR(--INDEX('COOIS Raw'!$A:$GZ,ROW()-4,$A$4),INDEX('COOIS Raw'!$A:$GZ,ROW()-4,$A$4)))</f>
        <v>100880109</v>
      </c>
      <c r="B192" s="41" t="str">
        <f aca="false">IF(A192="","",TRIM(INDEX('COOIS Raw'!$A:$GZ,ROW()-4,$B$4)))</f>
        <v>92RRA00548AAA</v>
      </c>
      <c r="C192" s="42" t="str">
        <f aca="false">IF(OR(A192="",$C$4=0),"",INDEX('COOIS Raw'!$A:$GZ,ROW()-4,$C$4))</f>
        <v>R5B ERBIUM SPOOL ASSEMBLY - E2A</v>
      </c>
      <c r="D192" s="41" t="n">
        <f aca="false">IF(A192="","",IF($D$4=0,1,IFERROR(--INDEX('COOIS Raw'!$A:$GZ,ROW()-4,$D$4),1)))</f>
        <v>1</v>
      </c>
      <c r="E192" s="42" t="str">
        <f aca="false">IF(A192="","",INDEX('COOIS Raw'!$A:$GZ,ROW()-4,$E$4)&amp;"")</f>
        <v>REL PRT PCNF PRC MANC SETC</v>
      </c>
      <c r="F192" s="43" t="n">
        <f aca="false">IF(A192="","",IFERROR(DATEVALUE(INDEX('COOIS Raw'!$A:$GZ,ROW()-4,$F$4)),INDEX('COOIS Raw'!$A:$GZ,ROW()-4,$F$4)))</f>
        <v>46296</v>
      </c>
      <c r="G192" s="41" t="str">
        <f aca="false">IF(A192="","",IF(ISNA(MATCH(B192,'Kitting Plan'!$B$6:$B$19,0)),"Not in plan","Yes"))</f>
        <v>Yes</v>
      </c>
      <c r="H192" s="41" t="n">
        <f aca="false">IF(G192="Yes",INDEX('Kitting Plan'!$D$6:$D$19,MATCH(B192,'Kitting Plan'!$B$6:$B$19,0)),"")</f>
        <v>24</v>
      </c>
      <c r="I192" s="41" t="n">
        <f aca="false">IF(A192="","",IF(ISNUMBER(SEARCH("PRT",E192)),D192,0))</f>
        <v>1</v>
      </c>
      <c r="J192" s="41" t="n">
        <f aca="false">IF(A192="","",IF(ISNUMBER(SEARCH("GMPS",E192)),D192,0))</f>
        <v>0</v>
      </c>
      <c r="K192" s="41" t="n">
        <f aca="false">IF(A192="","",IF(ISNUMBER(SEARCH("DLV",E192)),D192,0))</f>
        <v>0</v>
      </c>
      <c r="L192" s="41" t="str">
        <f aca="false">IF(A192="","",IF(K192&gt;0,"Delivered",IF(ISNUMBER(SEARCH("CNF",E192)),"In production",IF(J192&gt;0,"Issued",IF(I192&gt;0,"Kitted","Released")))))</f>
        <v>In production</v>
      </c>
      <c r="M192" s="41" t="n">
        <f aca="false">IF(G192&lt;&gt;"Yes","",COUNTIFS($B$6:$B$1505,B192,$F$6:$F$1505,"&lt;"&amp;F192)+COUNTIFS($B$6:$B$1505,B192,$F$6:$F$1505,F192,$A$6:$A$1505,"&lt;="&amp;A192))</f>
        <v>274</v>
      </c>
      <c r="N192" s="41" t="n">
        <f aca="false">IF(M192="","",ROUNDUP(M192/H192,0))</f>
        <v>12</v>
      </c>
      <c r="O192" s="41" t="str">
        <f aca="false">IF(N192="","",IF(N192&lt;='Kitting Plan'!$C$3,"Rep "&amp;N192,"Surplus"))</f>
        <v>Rep 12</v>
      </c>
    </row>
    <row r="193" customFormat="false" ht="15" hidden="false" customHeight="false" outlineLevel="0" collapsed="false">
      <c r="A193" s="40" t="n">
        <f aca="false">IF(OR($A$4=0,INDEX('COOIS Raw'!$A:$GZ,ROW()-4,$A$4)=""),"",IFERROR(--INDEX('COOIS Raw'!$A:$GZ,ROW()-4,$A$4),INDEX('COOIS Raw'!$A:$GZ,ROW()-4,$A$4)))</f>
        <v>100880110</v>
      </c>
      <c r="B193" s="41" t="str">
        <f aca="false">IF(A193="","",TRIM(INDEX('COOIS Raw'!$A:$GZ,ROW()-4,$B$4)))</f>
        <v>92YRA01548AAA</v>
      </c>
      <c r="C193" s="42" t="str">
        <f aca="false">IF(OR(A193="",$C$4=0),"",INDEX('COOIS Raw'!$A:$GZ,ROW()-4,$C$4))</f>
        <v>R5B ERBIUM ASSEMBLY 1</v>
      </c>
      <c r="D193" s="41" t="n">
        <f aca="false">IF(A193="","",IF($D$4=0,1,IFERROR(--INDEX('COOIS Raw'!$A:$GZ,ROW()-4,$D$4),1)))</f>
        <v>1</v>
      </c>
      <c r="E193" s="42" t="str">
        <f aca="false">IF(A193="","",INDEX('COOIS Raw'!$A:$GZ,ROW()-4,$E$4)&amp;"")</f>
        <v>REL PRT PCNF PRC MANC SETC</v>
      </c>
      <c r="F193" s="43" t="n">
        <f aca="false">IF(A193="","",IFERROR(DATEVALUE(INDEX('COOIS Raw'!$A:$GZ,ROW()-4,$F$4)),INDEX('COOIS Raw'!$A:$GZ,ROW()-4,$F$4)))</f>
        <v>46296</v>
      </c>
      <c r="G193" s="41" t="str">
        <f aca="false">IF(A193="","",IF(ISNA(MATCH(B193,'Kitting Plan'!$B$6:$B$19,0)),"Not in plan","Yes"))</f>
        <v>Yes</v>
      </c>
      <c r="H193" s="41" t="n">
        <f aca="false">IF(G193="Yes",INDEX('Kitting Plan'!$D$6:$D$19,MATCH(B193,'Kitting Plan'!$B$6:$B$19,0)),"")</f>
        <v>3</v>
      </c>
      <c r="I193" s="41" t="n">
        <f aca="false">IF(A193="","",IF(ISNUMBER(SEARCH("PRT",E193)),D193,0))</f>
        <v>1</v>
      </c>
      <c r="J193" s="41" t="n">
        <f aca="false">IF(A193="","",IF(ISNUMBER(SEARCH("GMPS",E193)),D193,0))</f>
        <v>0</v>
      </c>
      <c r="K193" s="41" t="n">
        <f aca="false">IF(A193="","",IF(ISNUMBER(SEARCH("DLV",E193)),D193,0))</f>
        <v>0</v>
      </c>
      <c r="L193" s="41" t="str">
        <f aca="false">IF(A193="","",IF(K193&gt;0,"Delivered",IF(ISNUMBER(SEARCH("CNF",E193)),"In production",IF(J193&gt;0,"Issued",IF(I193&gt;0,"Kitted","Released")))))</f>
        <v>In production</v>
      </c>
      <c r="M193" s="41" t="n">
        <f aca="false">IF(G193&lt;&gt;"Yes","",COUNTIFS($B$6:$B$1505,B193,$F$6:$F$1505,"&lt;"&amp;F193)+COUNTIFS($B$6:$B$1505,B193,$F$6:$F$1505,F193,$A$6:$A$1505,"&lt;="&amp;A193))</f>
        <v>31</v>
      </c>
      <c r="N193" s="41" t="n">
        <f aca="false">IF(M193="","",ROUNDUP(M193/H193,0))</f>
        <v>11</v>
      </c>
      <c r="O193" s="41" t="str">
        <f aca="false">IF(N193="","",IF(N193&lt;='Kitting Plan'!$C$3,"Rep "&amp;N193,"Surplus"))</f>
        <v>Rep 11</v>
      </c>
    </row>
    <row r="194" customFormat="false" ht="15" hidden="false" customHeight="false" outlineLevel="0" collapsed="false">
      <c r="A194" s="40" t="n">
        <f aca="false">IF(OR($A$4=0,INDEX('COOIS Raw'!$A:$GZ,ROW()-4,$A$4)=""),"",IFERROR(--INDEX('COOIS Raw'!$A:$GZ,ROW()-4,$A$4),INDEX('COOIS Raw'!$A:$GZ,ROW()-4,$A$4)))</f>
        <v>100880111</v>
      </c>
      <c r="B194" s="41" t="str">
        <f aca="false">IF(A194="","",TRIM(INDEX('COOIS Raw'!$A:$GZ,ROW()-4,$B$4)))</f>
        <v>92YRA01548AAA</v>
      </c>
      <c r="C194" s="42" t="str">
        <f aca="false">IF(OR(A194="",$C$4=0),"",INDEX('COOIS Raw'!$A:$GZ,ROW()-4,$C$4))</f>
        <v>R5B ERBIUM ASSEMBLY 1</v>
      </c>
      <c r="D194" s="41" t="n">
        <f aca="false">IF(A194="","",IF($D$4=0,1,IFERROR(--INDEX('COOIS Raw'!$A:$GZ,ROW()-4,$D$4),1)))</f>
        <v>1</v>
      </c>
      <c r="E194" s="42" t="str">
        <f aca="false">IF(A194="","",INDEX('COOIS Raw'!$A:$GZ,ROW()-4,$E$4)&amp;"")</f>
        <v>REL PRT PCNF PRC MANC SETC</v>
      </c>
      <c r="F194" s="43" t="n">
        <f aca="false">IF(A194="","",IFERROR(DATEVALUE(INDEX('COOIS Raw'!$A:$GZ,ROW()-4,$F$4)),INDEX('COOIS Raw'!$A:$GZ,ROW()-4,$F$4)))</f>
        <v>46296</v>
      </c>
      <c r="G194" s="41" t="str">
        <f aca="false">IF(A194="","",IF(ISNA(MATCH(B194,'Kitting Plan'!$B$6:$B$19,0)),"Not in plan","Yes"))</f>
        <v>Yes</v>
      </c>
      <c r="H194" s="41" t="n">
        <f aca="false">IF(G194="Yes",INDEX('Kitting Plan'!$D$6:$D$19,MATCH(B194,'Kitting Plan'!$B$6:$B$19,0)),"")</f>
        <v>3</v>
      </c>
      <c r="I194" s="41" t="n">
        <f aca="false">IF(A194="","",IF(ISNUMBER(SEARCH("PRT",E194)),D194,0))</f>
        <v>1</v>
      </c>
      <c r="J194" s="41" t="n">
        <f aca="false">IF(A194="","",IF(ISNUMBER(SEARCH("GMPS",E194)),D194,0))</f>
        <v>0</v>
      </c>
      <c r="K194" s="41" t="n">
        <f aca="false">IF(A194="","",IF(ISNUMBER(SEARCH("DLV",E194)),D194,0))</f>
        <v>0</v>
      </c>
      <c r="L194" s="41" t="str">
        <f aca="false">IF(A194="","",IF(K194&gt;0,"Delivered",IF(ISNUMBER(SEARCH("CNF",E194)),"In production",IF(J194&gt;0,"Issued",IF(I194&gt;0,"Kitted","Released")))))</f>
        <v>In production</v>
      </c>
      <c r="M194" s="41" t="n">
        <f aca="false">IF(G194&lt;&gt;"Yes","",COUNTIFS($B$6:$B$1505,B194,$F$6:$F$1505,"&lt;"&amp;F194)+COUNTIFS($B$6:$B$1505,B194,$F$6:$F$1505,F194,$A$6:$A$1505,"&lt;="&amp;A194))</f>
        <v>32</v>
      </c>
      <c r="N194" s="41" t="n">
        <f aca="false">IF(M194="","",ROUNDUP(M194/H194,0))</f>
        <v>11</v>
      </c>
      <c r="O194" s="41" t="str">
        <f aca="false">IF(N194="","",IF(N194&lt;='Kitting Plan'!$C$3,"Rep "&amp;N194,"Surplus"))</f>
        <v>Rep 11</v>
      </c>
    </row>
    <row r="195" customFormat="false" ht="15" hidden="false" customHeight="false" outlineLevel="0" collapsed="false">
      <c r="A195" s="40" t="n">
        <f aca="false">IF(OR($A$4=0,INDEX('COOIS Raw'!$A:$GZ,ROW()-4,$A$4)=""),"",IFERROR(--INDEX('COOIS Raw'!$A:$GZ,ROW()-4,$A$4),INDEX('COOIS Raw'!$A:$GZ,ROW()-4,$A$4)))</f>
        <v>100880112</v>
      </c>
      <c r="B195" s="41" t="str">
        <f aca="false">IF(A195="","",TRIM(INDEX('COOIS Raw'!$A:$GZ,ROW()-4,$B$4)))</f>
        <v>92YRA01548AAA</v>
      </c>
      <c r="C195" s="42" t="str">
        <f aca="false">IF(OR(A195="",$C$4=0),"",INDEX('COOIS Raw'!$A:$GZ,ROW()-4,$C$4))</f>
        <v>R5B ERBIUM ASSEMBLY 1</v>
      </c>
      <c r="D195" s="41" t="n">
        <f aca="false">IF(A195="","",IF($D$4=0,1,IFERROR(--INDEX('COOIS Raw'!$A:$GZ,ROW()-4,$D$4),1)))</f>
        <v>1</v>
      </c>
      <c r="E195" s="42" t="str">
        <f aca="false">IF(A195="","",INDEX('COOIS Raw'!$A:$GZ,ROW()-4,$E$4)&amp;"")</f>
        <v>REL PRT PCNF PRC MANC SETC</v>
      </c>
      <c r="F195" s="43" t="n">
        <f aca="false">IF(A195="","",IFERROR(DATEVALUE(INDEX('COOIS Raw'!$A:$GZ,ROW()-4,$F$4)),INDEX('COOIS Raw'!$A:$GZ,ROW()-4,$F$4)))</f>
        <v>46296</v>
      </c>
      <c r="G195" s="41" t="str">
        <f aca="false">IF(A195="","",IF(ISNA(MATCH(B195,'Kitting Plan'!$B$6:$B$19,0)),"Not in plan","Yes"))</f>
        <v>Yes</v>
      </c>
      <c r="H195" s="41" t="n">
        <f aca="false">IF(G195="Yes",INDEX('Kitting Plan'!$D$6:$D$19,MATCH(B195,'Kitting Plan'!$B$6:$B$19,0)),"")</f>
        <v>3</v>
      </c>
      <c r="I195" s="41" t="n">
        <f aca="false">IF(A195="","",IF(ISNUMBER(SEARCH("PRT",E195)),D195,0))</f>
        <v>1</v>
      </c>
      <c r="J195" s="41" t="n">
        <f aca="false">IF(A195="","",IF(ISNUMBER(SEARCH("GMPS",E195)),D195,0))</f>
        <v>0</v>
      </c>
      <c r="K195" s="41" t="n">
        <f aca="false">IF(A195="","",IF(ISNUMBER(SEARCH("DLV",E195)),D195,0))</f>
        <v>0</v>
      </c>
      <c r="L195" s="41" t="str">
        <f aca="false">IF(A195="","",IF(K195&gt;0,"Delivered",IF(ISNUMBER(SEARCH("CNF",E195)),"In production",IF(J195&gt;0,"Issued",IF(I195&gt;0,"Kitted","Released")))))</f>
        <v>In production</v>
      </c>
      <c r="M195" s="41" t="n">
        <f aca="false">IF(G195&lt;&gt;"Yes","",COUNTIFS($B$6:$B$1505,B195,$F$6:$F$1505,"&lt;"&amp;F195)+COUNTIFS($B$6:$B$1505,B195,$F$6:$F$1505,F195,$A$6:$A$1505,"&lt;="&amp;A195))</f>
        <v>33</v>
      </c>
      <c r="N195" s="41" t="n">
        <f aca="false">IF(M195="","",ROUNDUP(M195/H195,0))</f>
        <v>11</v>
      </c>
      <c r="O195" s="41" t="str">
        <f aca="false">IF(N195="","",IF(N195&lt;='Kitting Plan'!$C$3,"Rep "&amp;N195,"Surplus"))</f>
        <v>Rep 11</v>
      </c>
    </row>
    <row r="196" customFormat="false" ht="15" hidden="false" customHeight="false" outlineLevel="0" collapsed="false">
      <c r="A196" s="40" t="n">
        <f aca="false">IF(OR($A$4=0,INDEX('COOIS Raw'!$A:$GZ,ROW()-4,$A$4)=""),"",IFERROR(--INDEX('COOIS Raw'!$A:$GZ,ROW()-4,$A$4),INDEX('COOIS Raw'!$A:$GZ,ROW()-4,$A$4)))</f>
        <v>100880115</v>
      </c>
      <c r="B196" s="41" t="str">
        <f aca="false">IF(A196="","",TRIM(INDEX('COOIS Raw'!$A:$GZ,ROW()-4,$B$4)))</f>
        <v>92YRA02548AAA</v>
      </c>
      <c r="C196" s="42" t="str">
        <f aca="false">IF(OR(A196="",$C$4=0),"",INDEX('COOIS Raw'!$A:$GZ,ROW()-4,$C$4))</f>
        <v>R5B ERBIUM ASSEMBLY 2</v>
      </c>
      <c r="D196" s="41" t="n">
        <f aca="false">IF(A196="","",IF($D$4=0,1,IFERROR(--INDEX('COOIS Raw'!$A:$GZ,ROW()-4,$D$4),1)))</f>
        <v>1</v>
      </c>
      <c r="E196" s="42" t="str">
        <f aca="false">IF(A196="","",INDEX('COOIS Raw'!$A:$GZ,ROW()-4,$E$4)&amp;"")</f>
        <v>REL PRT PCNF PRC MANC SETC</v>
      </c>
      <c r="F196" s="43" t="n">
        <f aca="false">IF(A196="","",IFERROR(DATEVALUE(INDEX('COOIS Raw'!$A:$GZ,ROW()-4,$F$4)),INDEX('COOIS Raw'!$A:$GZ,ROW()-4,$F$4)))</f>
        <v>46296</v>
      </c>
      <c r="G196" s="41" t="str">
        <f aca="false">IF(A196="","",IF(ISNA(MATCH(B196,'Kitting Plan'!$B$6:$B$19,0)),"Not in plan","Yes"))</f>
        <v>Yes</v>
      </c>
      <c r="H196" s="41" t="n">
        <f aca="false">IF(G196="Yes",INDEX('Kitting Plan'!$D$6:$D$19,MATCH(B196,'Kitting Plan'!$B$6:$B$19,0)),"")</f>
        <v>3</v>
      </c>
      <c r="I196" s="41" t="n">
        <f aca="false">IF(A196="","",IF(ISNUMBER(SEARCH("PRT",E196)),D196,0))</f>
        <v>1</v>
      </c>
      <c r="J196" s="41" t="n">
        <f aca="false">IF(A196="","",IF(ISNUMBER(SEARCH("GMPS",E196)),D196,0))</f>
        <v>0</v>
      </c>
      <c r="K196" s="41" t="n">
        <f aca="false">IF(A196="","",IF(ISNUMBER(SEARCH("DLV",E196)),D196,0))</f>
        <v>0</v>
      </c>
      <c r="L196" s="41" t="str">
        <f aca="false">IF(A196="","",IF(K196&gt;0,"Delivered",IF(ISNUMBER(SEARCH("CNF",E196)),"In production",IF(J196&gt;0,"Issued",IF(I196&gt;0,"Kitted","Released")))))</f>
        <v>In production</v>
      </c>
      <c r="M196" s="41" t="n">
        <f aca="false">IF(G196&lt;&gt;"Yes","",COUNTIFS($B$6:$B$1505,B196,$F$6:$F$1505,"&lt;"&amp;F196)+COUNTIFS($B$6:$B$1505,B196,$F$6:$F$1505,F196,$A$6:$A$1505,"&lt;="&amp;A196))</f>
        <v>31</v>
      </c>
      <c r="N196" s="41" t="n">
        <f aca="false">IF(M196="","",ROUNDUP(M196/H196,0))</f>
        <v>11</v>
      </c>
      <c r="O196" s="41" t="str">
        <f aca="false">IF(N196="","",IF(N196&lt;='Kitting Plan'!$C$3,"Rep "&amp;N196,"Surplus"))</f>
        <v>Rep 11</v>
      </c>
    </row>
    <row r="197" customFormat="false" ht="15" hidden="false" customHeight="false" outlineLevel="0" collapsed="false">
      <c r="A197" s="40" t="n">
        <f aca="false">IF(OR($A$4=0,INDEX('COOIS Raw'!$A:$GZ,ROW()-4,$A$4)=""),"",IFERROR(--INDEX('COOIS Raw'!$A:$GZ,ROW()-4,$A$4),INDEX('COOIS Raw'!$A:$GZ,ROW()-4,$A$4)))</f>
        <v>100880116</v>
      </c>
      <c r="B197" s="41" t="str">
        <f aca="false">IF(A197="","",TRIM(INDEX('COOIS Raw'!$A:$GZ,ROW()-4,$B$4)))</f>
        <v>92YRA02548AAA</v>
      </c>
      <c r="C197" s="42" t="str">
        <f aca="false">IF(OR(A197="",$C$4=0),"",INDEX('COOIS Raw'!$A:$GZ,ROW()-4,$C$4))</f>
        <v>R5B ERBIUM ASSEMBLY 2</v>
      </c>
      <c r="D197" s="41" t="n">
        <f aca="false">IF(A197="","",IF($D$4=0,1,IFERROR(--INDEX('COOIS Raw'!$A:$GZ,ROW()-4,$D$4),1)))</f>
        <v>1</v>
      </c>
      <c r="E197" s="42" t="str">
        <f aca="false">IF(A197="","",INDEX('COOIS Raw'!$A:$GZ,ROW()-4,$E$4)&amp;"")</f>
        <v>REL PRT PCNF PRC MANC SETC</v>
      </c>
      <c r="F197" s="43" t="n">
        <f aca="false">IF(A197="","",IFERROR(DATEVALUE(INDEX('COOIS Raw'!$A:$GZ,ROW()-4,$F$4)),INDEX('COOIS Raw'!$A:$GZ,ROW()-4,$F$4)))</f>
        <v>46296</v>
      </c>
      <c r="G197" s="41" t="str">
        <f aca="false">IF(A197="","",IF(ISNA(MATCH(B197,'Kitting Plan'!$B$6:$B$19,0)),"Not in plan","Yes"))</f>
        <v>Yes</v>
      </c>
      <c r="H197" s="41" t="n">
        <f aca="false">IF(G197="Yes",INDEX('Kitting Plan'!$D$6:$D$19,MATCH(B197,'Kitting Plan'!$B$6:$B$19,0)),"")</f>
        <v>3</v>
      </c>
      <c r="I197" s="41" t="n">
        <f aca="false">IF(A197="","",IF(ISNUMBER(SEARCH("PRT",E197)),D197,0))</f>
        <v>1</v>
      </c>
      <c r="J197" s="41" t="n">
        <f aca="false">IF(A197="","",IF(ISNUMBER(SEARCH("GMPS",E197)),D197,0))</f>
        <v>0</v>
      </c>
      <c r="K197" s="41" t="n">
        <f aca="false">IF(A197="","",IF(ISNUMBER(SEARCH("DLV",E197)),D197,0))</f>
        <v>0</v>
      </c>
      <c r="L197" s="41" t="str">
        <f aca="false">IF(A197="","",IF(K197&gt;0,"Delivered",IF(ISNUMBER(SEARCH("CNF",E197)),"In production",IF(J197&gt;0,"Issued",IF(I197&gt;0,"Kitted","Released")))))</f>
        <v>In production</v>
      </c>
      <c r="M197" s="41" t="n">
        <f aca="false">IF(G197&lt;&gt;"Yes","",COUNTIFS($B$6:$B$1505,B197,$F$6:$F$1505,"&lt;"&amp;F197)+COUNTIFS($B$6:$B$1505,B197,$F$6:$F$1505,F197,$A$6:$A$1505,"&lt;="&amp;A197))</f>
        <v>32</v>
      </c>
      <c r="N197" s="41" t="n">
        <f aca="false">IF(M197="","",ROUNDUP(M197/H197,0))</f>
        <v>11</v>
      </c>
      <c r="O197" s="41" t="str">
        <f aca="false">IF(N197="","",IF(N197&lt;='Kitting Plan'!$C$3,"Rep "&amp;N197,"Surplus"))</f>
        <v>Rep 11</v>
      </c>
    </row>
    <row r="198" customFormat="false" ht="15" hidden="false" customHeight="false" outlineLevel="0" collapsed="false">
      <c r="A198" s="40" t="n">
        <f aca="false">IF(OR($A$4=0,INDEX('COOIS Raw'!$A:$GZ,ROW()-4,$A$4)=""),"",IFERROR(--INDEX('COOIS Raw'!$A:$GZ,ROW()-4,$A$4),INDEX('COOIS Raw'!$A:$GZ,ROW()-4,$A$4)))</f>
        <v>100880117</v>
      </c>
      <c r="B198" s="41" t="str">
        <f aca="false">IF(A198="","",TRIM(INDEX('COOIS Raw'!$A:$GZ,ROW()-4,$B$4)))</f>
        <v>92YRA02548AAA</v>
      </c>
      <c r="C198" s="42" t="str">
        <f aca="false">IF(OR(A198="",$C$4=0),"",INDEX('COOIS Raw'!$A:$GZ,ROW()-4,$C$4))</f>
        <v>R5B ERBIUM ASSEMBLY 2</v>
      </c>
      <c r="D198" s="41" t="n">
        <f aca="false">IF(A198="","",IF($D$4=0,1,IFERROR(--INDEX('COOIS Raw'!$A:$GZ,ROW()-4,$D$4),1)))</f>
        <v>1</v>
      </c>
      <c r="E198" s="42" t="str">
        <f aca="false">IF(A198="","",INDEX('COOIS Raw'!$A:$GZ,ROW()-4,$E$4)&amp;"")</f>
        <v>REL PRT PCNF PRC MANC SETC</v>
      </c>
      <c r="F198" s="43" t="n">
        <f aca="false">IF(A198="","",IFERROR(DATEVALUE(INDEX('COOIS Raw'!$A:$GZ,ROW()-4,$F$4)),INDEX('COOIS Raw'!$A:$GZ,ROW()-4,$F$4)))</f>
        <v>46296</v>
      </c>
      <c r="G198" s="41" t="str">
        <f aca="false">IF(A198="","",IF(ISNA(MATCH(B198,'Kitting Plan'!$B$6:$B$19,0)),"Not in plan","Yes"))</f>
        <v>Yes</v>
      </c>
      <c r="H198" s="41" t="n">
        <f aca="false">IF(G198="Yes",INDEX('Kitting Plan'!$D$6:$D$19,MATCH(B198,'Kitting Plan'!$B$6:$B$19,0)),"")</f>
        <v>3</v>
      </c>
      <c r="I198" s="41" t="n">
        <f aca="false">IF(A198="","",IF(ISNUMBER(SEARCH("PRT",E198)),D198,0))</f>
        <v>1</v>
      </c>
      <c r="J198" s="41" t="n">
        <f aca="false">IF(A198="","",IF(ISNUMBER(SEARCH("GMPS",E198)),D198,0))</f>
        <v>0</v>
      </c>
      <c r="K198" s="41" t="n">
        <f aca="false">IF(A198="","",IF(ISNUMBER(SEARCH("DLV",E198)),D198,0))</f>
        <v>0</v>
      </c>
      <c r="L198" s="41" t="str">
        <f aca="false">IF(A198="","",IF(K198&gt;0,"Delivered",IF(ISNUMBER(SEARCH("CNF",E198)),"In production",IF(J198&gt;0,"Issued",IF(I198&gt;0,"Kitted","Released")))))</f>
        <v>In production</v>
      </c>
      <c r="M198" s="41" t="n">
        <f aca="false">IF(G198&lt;&gt;"Yes","",COUNTIFS($B$6:$B$1505,B198,$F$6:$F$1505,"&lt;"&amp;F198)+COUNTIFS($B$6:$B$1505,B198,$F$6:$F$1505,F198,$A$6:$A$1505,"&lt;="&amp;A198))</f>
        <v>33</v>
      </c>
      <c r="N198" s="41" t="n">
        <f aca="false">IF(M198="","",ROUNDUP(M198/H198,0))</f>
        <v>11</v>
      </c>
      <c r="O198" s="41" t="str">
        <f aca="false">IF(N198="","",IF(N198&lt;='Kitting Plan'!$C$3,"Rep "&amp;N198,"Surplus"))</f>
        <v>Rep 11</v>
      </c>
    </row>
    <row r="199" customFormat="false" ht="15" hidden="false" customHeight="false" outlineLevel="0" collapsed="false">
      <c r="A199" s="40" t="n">
        <f aca="false">IF(OR($A$4=0,INDEX('COOIS Raw'!$A:$GZ,ROW()-4,$A$4)=""),"",IFERROR(--INDEX('COOIS Raw'!$A:$GZ,ROW()-4,$A$4),INDEX('COOIS Raw'!$A:$GZ,ROW()-4,$A$4)))</f>
        <v>100880122</v>
      </c>
      <c r="B199" s="41" t="str">
        <f aca="false">IF(A199="","",TRIM(INDEX('COOIS Raw'!$A:$GZ,ROW()-4,$B$4)))</f>
        <v>92YRA03548AAA</v>
      </c>
      <c r="C199" s="42" t="str">
        <f aca="false">IF(OR(A199="",$C$4=0),"",INDEX('COOIS Raw'!$A:$GZ,ROW()-4,$C$4))</f>
        <v>R5B ERBIUM ASSEMBLY 3</v>
      </c>
      <c r="D199" s="41" t="n">
        <f aca="false">IF(A199="","",IF($D$4=0,1,IFERROR(--INDEX('COOIS Raw'!$A:$GZ,ROW()-4,$D$4),1)))</f>
        <v>1</v>
      </c>
      <c r="E199" s="42" t="str">
        <f aca="false">IF(A199="","",INDEX('COOIS Raw'!$A:$GZ,ROW()-4,$E$4)&amp;"")</f>
        <v>REL PRT PCNF PRC MANC SETC</v>
      </c>
      <c r="F199" s="43" t="n">
        <f aca="false">IF(A199="","",IFERROR(DATEVALUE(INDEX('COOIS Raw'!$A:$GZ,ROW()-4,$F$4)),INDEX('COOIS Raw'!$A:$GZ,ROW()-4,$F$4)))</f>
        <v>46296</v>
      </c>
      <c r="G199" s="41" t="str">
        <f aca="false">IF(A199="","",IF(ISNA(MATCH(B199,'Kitting Plan'!$B$6:$B$19,0)),"Not in plan","Yes"))</f>
        <v>Yes</v>
      </c>
      <c r="H199" s="41" t="n">
        <f aca="false">IF(G199="Yes",INDEX('Kitting Plan'!$D$6:$D$19,MATCH(B199,'Kitting Plan'!$B$6:$B$19,0)),"")</f>
        <v>3</v>
      </c>
      <c r="I199" s="41" t="n">
        <f aca="false">IF(A199="","",IF(ISNUMBER(SEARCH("PRT",E199)),D199,0))</f>
        <v>1</v>
      </c>
      <c r="J199" s="41" t="n">
        <f aca="false">IF(A199="","",IF(ISNUMBER(SEARCH("GMPS",E199)),D199,0))</f>
        <v>0</v>
      </c>
      <c r="K199" s="41" t="n">
        <f aca="false">IF(A199="","",IF(ISNUMBER(SEARCH("DLV",E199)),D199,0))</f>
        <v>0</v>
      </c>
      <c r="L199" s="41" t="str">
        <f aca="false">IF(A199="","",IF(K199&gt;0,"Delivered",IF(ISNUMBER(SEARCH("CNF",E199)),"In production",IF(J199&gt;0,"Issued",IF(I199&gt;0,"Kitted","Released")))))</f>
        <v>In production</v>
      </c>
      <c r="M199" s="41" t="n">
        <f aca="false">IF(G199&lt;&gt;"Yes","",COUNTIFS($B$6:$B$1505,B199,$F$6:$F$1505,"&lt;"&amp;F199)+COUNTIFS($B$6:$B$1505,B199,$F$6:$F$1505,F199,$A$6:$A$1505,"&lt;="&amp;A199))</f>
        <v>34</v>
      </c>
      <c r="N199" s="41" t="n">
        <f aca="false">IF(M199="","",ROUNDUP(M199/H199,0))</f>
        <v>12</v>
      </c>
      <c r="O199" s="41" t="str">
        <f aca="false">IF(N199="","",IF(N199&lt;='Kitting Plan'!$C$3,"Rep "&amp;N199,"Surplus"))</f>
        <v>Rep 12</v>
      </c>
    </row>
    <row r="200" customFormat="false" ht="15" hidden="false" customHeight="false" outlineLevel="0" collapsed="false">
      <c r="A200" s="40" t="n">
        <f aca="false">IF(OR($A$4=0,INDEX('COOIS Raw'!$A:$GZ,ROW()-4,$A$4)=""),"",IFERROR(--INDEX('COOIS Raw'!$A:$GZ,ROW()-4,$A$4),INDEX('COOIS Raw'!$A:$GZ,ROW()-4,$A$4)))</f>
        <v>100880123</v>
      </c>
      <c r="B200" s="41" t="str">
        <f aca="false">IF(A200="","",TRIM(INDEX('COOIS Raw'!$A:$GZ,ROW()-4,$B$4)))</f>
        <v>92YRA03548AAA</v>
      </c>
      <c r="C200" s="42" t="str">
        <f aca="false">IF(OR(A200="",$C$4=0),"",INDEX('COOIS Raw'!$A:$GZ,ROW()-4,$C$4))</f>
        <v>R5B ERBIUM ASSEMBLY 3</v>
      </c>
      <c r="D200" s="41" t="n">
        <f aca="false">IF(A200="","",IF($D$4=0,1,IFERROR(--INDEX('COOIS Raw'!$A:$GZ,ROW()-4,$D$4),1)))</f>
        <v>1</v>
      </c>
      <c r="E200" s="42" t="str">
        <f aca="false">IF(A200="","",INDEX('COOIS Raw'!$A:$GZ,ROW()-4,$E$4)&amp;"")</f>
        <v>REL PRT PCNF PRC MANC SETC</v>
      </c>
      <c r="F200" s="43" t="n">
        <f aca="false">IF(A200="","",IFERROR(DATEVALUE(INDEX('COOIS Raw'!$A:$GZ,ROW()-4,$F$4)),INDEX('COOIS Raw'!$A:$GZ,ROW()-4,$F$4)))</f>
        <v>46296</v>
      </c>
      <c r="G200" s="41" t="str">
        <f aca="false">IF(A200="","",IF(ISNA(MATCH(B200,'Kitting Plan'!$B$6:$B$19,0)),"Not in plan","Yes"))</f>
        <v>Yes</v>
      </c>
      <c r="H200" s="41" t="n">
        <f aca="false">IF(G200="Yes",INDEX('Kitting Plan'!$D$6:$D$19,MATCH(B200,'Kitting Plan'!$B$6:$B$19,0)),"")</f>
        <v>3</v>
      </c>
      <c r="I200" s="41" t="n">
        <f aca="false">IF(A200="","",IF(ISNUMBER(SEARCH("PRT",E200)),D200,0))</f>
        <v>1</v>
      </c>
      <c r="J200" s="41" t="n">
        <f aca="false">IF(A200="","",IF(ISNUMBER(SEARCH("GMPS",E200)),D200,0))</f>
        <v>0</v>
      </c>
      <c r="K200" s="41" t="n">
        <f aca="false">IF(A200="","",IF(ISNUMBER(SEARCH("DLV",E200)),D200,0))</f>
        <v>0</v>
      </c>
      <c r="L200" s="41" t="str">
        <f aca="false">IF(A200="","",IF(K200&gt;0,"Delivered",IF(ISNUMBER(SEARCH("CNF",E200)),"In production",IF(J200&gt;0,"Issued",IF(I200&gt;0,"Kitted","Released")))))</f>
        <v>In production</v>
      </c>
      <c r="M200" s="41" t="n">
        <f aca="false">IF(G200&lt;&gt;"Yes","",COUNTIFS($B$6:$B$1505,B200,$F$6:$F$1505,"&lt;"&amp;F200)+COUNTIFS($B$6:$B$1505,B200,$F$6:$F$1505,F200,$A$6:$A$1505,"&lt;="&amp;A200))</f>
        <v>35</v>
      </c>
      <c r="N200" s="41" t="n">
        <f aca="false">IF(M200="","",ROUNDUP(M200/H200,0))</f>
        <v>12</v>
      </c>
      <c r="O200" s="41" t="str">
        <f aca="false">IF(N200="","",IF(N200&lt;='Kitting Plan'!$C$3,"Rep "&amp;N200,"Surplus"))</f>
        <v>Rep 12</v>
      </c>
    </row>
    <row r="201" customFormat="false" ht="15" hidden="false" customHeight="false" outlineLevel="0" collapsed="false">
      <c r="A201" s="40" t="n">
        <f aca="false">IF(OR($A$4=0,INDEX('COOIS Raw'!$A:$GZ,ROW()-4,$A$4)=""),"",IFERROR(--INDEX('COOIS Raw'!$A:$GZ,ROW()-4,$A$4),INDEX('COOIS Raw'!$A:$GZ,ROW()-4,$A$4)))</f>
        <v>100880124</v>
      </c>
      <c r="B201" s="41" t="str">
        <f aca="false">IF(A201="","",TRIM(INDEX('COOIS Raw'!$A:$GZ,ROW()-4,$B$4)))</f>
        <v>92YRA03548AAA</v>
      </c>
      <c r="C201" s="42" t="str">
        <f aca="false">IF(OR(A201="",$C$4=0),"",INDEX('COOIS Raw'!$A:$GZ,ROW()-4,$C$4))</f>
        <v>R5B ERBIUM ASSEMBLY 3</v>
      </c>
      <c r="D201" s="41" t="n">
        <f aca="false">IF(A201="","",IF($D$4=0,1,IFERROR(--INDEX('COOIS Raw'!$A:$GZ,ROW()-4,$D$4),1)))</f>
        <v>1</v>
      </c>
      <c r="E201" s="42" t="str">
        <f aca="false">IF(A201="","",INDEX('COOIS Raw'!$A:$GZ,ROW()-4,$E$4)&amp;"")</f>
        <v>REL PRT PCNF PRC MANC SETC</v>
      </c>
      <c r="F201" s="43" t="n">
        <f aca="false">IF(A201="","",IFERROR(DATEVALUE(INDEX('COOIS Raw'!$A:$GZ,ROW()-4,$F$4)),INDEX('COOIS Raw'!$A:$GZ,ROW()-4,$F$4)))</f>
        <v>46296</v>
      </c>
      <c r="G201" s="41" t="str">
        <f aca="false">IF(A201="","",IF(ISNA(MATCH(B201,'Kitting Plan'!$B$6:$B$19,0)),"Not in plan","Yes"))</f>
        <v>Yes</v>
      </c>
      <c r="H201" s="41" t="n">
        <f aca="false">IF(G201="Yes",INDEX('Kitting Plan'!$D$6:$D$19,MATCH(B201,'Kitting Plan'!$B$6:$B$19,0)),"")</f>
        <v>3</v>
      </c>
      <c r="I201" s="41" t="n">
        <f aca="false">IF(A201="","",IF(ISNUMBER(SEARCH("PRT",E201)),D201,0))</f>
        <v>1</v>
      </c>
      <c r="J201" s="41" t="n">
        <f aca="false">IF(A201="","",IF(ISNUMBER(SEARCH("GMPS",E201)),D201,0))</f>
        <v>0</v>
      </c>
      <c r="K201" s="41" t="n">
        <f aca="false">IF(A201="","",IF(ISNUMBER(SEARCH("DLV",E201)),D201,0))</f>
        <v>0</v>
      </c>
      <c r="L201" s="41" t="str">
        <f aca="false">IF(A201="","",IF(K201&gt;0,"Delivered",IF(ISNUMBER(SEARCH("CNF",E201)),"In production",IF(J201&gt;0,"Issued",IF(I201&gt;0,"Kitted","Released")))))</f>
        <v>In production</v>
      </c>
      <c r="M201" s="41" t="n">
        <f aca="false">IF(G201&lt;&gt;"Yes","",COUNTIFS($B$6:$B$1505,B201,$F$6:$F$1505,"&lt;"&amp;F201)+COUNTIFS($B$6:$B$1505,B201,$F$6:$F$1505,F201,$A$6:$A$1505,"&lt;="&amp;A201))</f>
        <v>36</v>
      </c>
      <c r="N201" s="41" t="n">
        <f aca="false">IF(M201="","",ROUNDUP(M201/H201,0))</f>
        <v>12</v>
      </c>
      <c r="O201" s="41" t="str">
        <f aca="false">IF(N201="","",IF(N201&lt;='Kitting Plan'!$C$3,"Rep "&amp;N201,"Surplus"))</f>
        <v>Rep 12</v>
      </c>
    </row>
    <row r="202" customFormat="false" ht="15" hidden="false" customHeight="false" outlineLevel="0" collapsed="false">
      <c r="A202" s="40" t="n">
        <f aca="false">IF(OR($A$4=0,INDEX('COOIS Raw'!$A:$GZ,ROW()-4,$A$4)=""),"",IFERROR(--INDEX('COOIS Raw'!$A:$GZ,ROW()-4,$A$4),INDEX('COOIS Raw'!$A:$GZ,ROW()-4,$A$4)))</f>
        <v>100880125</v>
      </c>
      <c r="B202" s="41" t="str">
        <f aca="false">IF(A202="","",TRIM(INDEX('COOIS Raw'!$A:$GZ,ROW()-4,$B$4)))</f>
        <v>92YRA04548AAA</v>
      </c>
      <c r="C202" s="42" t="str">
        <f aca="false">IF(OR(A202="",$C$4=0),"",INDEX('COOIS Raw'!$A:$GZ,ROW()-4,$C$4))</f>
        <v>R5B ERBIUM ASSEMBLY 4</v>
      </c>
      <c r="D202" s="41" t="n">
        <f aca="false">IF(A202="","",IF($D$4=0,1,IFERROR(--INDEX('COOIS Raw'!$A:$GZ,ROW()-4,$D$4),1)))</f>
        <v>1</v>
      </c>
      <c r="E202" s="42" t="str">
        <f aca="false">IF(A202="","",INDEX('COOIS Raw'!$A:$GZ,ROW()-4,$E$4)&amp;"")</f>
        <v>REL PRT PCNF PRC MANC SETC</v>
      </c>
      <c r="F202" s="43" t="n">
        <f aca="false">IF(A202="","",IFERROR(DATEVALUE(INDEX('COOIS Raw'!$A:$GZ,ROW()-4,$F$4)),INDEX('COOIS Raw'!$A:$GZ,ROW()-4,$F$4)))</f>
        <v>46296</v>
      </c>
      <c r="G202" s="41" t="str">
        <f aca="false">IF(A202="","",IF(ISNA(MATCH(B202,'Kitting Plan'!$B$6:$B$19,0)),"Not in plan","Yes"))</f>
        <v>Yes</v>
      </c>
      <c r="H202" s="41" t="n">
        <f aca="false">IF(G202="Yes",INDEX('Kitting Plan'!$D$6:$D$19,MATCH(B202,'Kitting Plan'!$B$6:$B$19,0)),"")</f>
        <v>3</v>
      </c>
      <c r="I202" s="41" t="n">
        <f aca="false">IF(A202="","",IF(ISNUMBER(SEARCH("PRT",E202)),D202,0))</f>
        <v>1</v>
      </c>
      <c r="J202" s="41" t="n">
        <f aca="false">IF(A202="","",IF(ISNUMBER(SEARCH("GMPS",E202)),D202,0))</f>
        <v>0</v>
      </c>
      <c r="K202" s="41" t="n">
        <f aca="false">IF(A202="","",IF(ISNUMBER(SEARCH("DLV",E202)),D202,0))</f>
        <v>0</v>
      </c>
      <c r="L202" s="41" t="str">
        <f aca="false">IF(A202="","",IF(K202&gt;0,"Delivered",IF(ISNUMBER(SEARCH("CNF",E202)),"In production",IF(J202&gt;0,"Issued",IF(I202&gt;0,"Kitted","Released")))))</f>
        <v>In production</v>
      </c>
      <c r="M202" s="41" t="n">
        <f aca="false">IF(G202&lt;&gt;"Yes","",COUNTIFS($B$6:$B$1505,B202,$F$6:$F$1505,"&lt;"&amp;F202)+COUNTIFS($B$6:$B$1505,B202,$F$6:$F$1505,F202,$A$6:$A$1505,"&lt;="&amp;A202))</f>
        <v>31</v>
      </c>
      <c r="N202" s="41" t="n">
        <f aca="false">IF(M202="","",ROUNDUP(M202/H202,0))</f>
        <v>11</v>
      </c>
      <c r="O202" s="41" t="str">
        <f aca="false">IF(N202="","",IF(N202&lt;='Kitting Plan'!$C$3,"Rep "&amp;N202,"Surplus"))</f>
        <v>Rep 11</v>
      </c>
    </row>
    <row r="203" customFormat="false" ht="15" hidden="false" customHeight="false" outlineLevel="0" collapsed="false">
      <c r="A203" s="40" t="n">
        <f aca="false">IF(OR($A$4=0,INDEX('COOIS Raw'!$A:$GZ,ROW()-4,$A$4)=""),"",IFERROR(--INDEX('COOIS Raw'!$A:$GZ,ROW()-4,$A$4),INDEX('COOIS Raw'!$A:$GZ,ROW()-4,$A$4)))</f>
        <v>100880126</v>
      </c>
      <c r="B203" s="41" t="str">
        <f aca="false">IF(A203="","",TRIM(INDEX('COOIS Raw'!$A:$GZ,ROW()-4,$B$4)))</f>
        <v>92YRA04548AAA</v>
      </c>
      <c r="C203" s="42" t="str">
        <f aca="false">IF(OR(A203="",$C$4=0),"",INDEX('COOIS Raw'!$A:$GZ,ROW()-4,$C$4))</f>
        <v>R5B ERBIUM ASSEMBLY 4</v>
      </c>
      <c r="D203" s="41" t="n">
        <f aca="false">IF(A203="","",IF($D$4=0,1,IFERROR(--INDEX('COOIS Raw'!$A:$GZ,ROW()-4,$D$4),1)))</f>
        <v>1</v>
      </c>
      <c r="E203" s="42" t="str">
        <f aca="false">IF(A203="","",INDEX('COOIS Raw'!$A:$GZ,ROW()-4,$E$4)&amp;"")</f>
        <v>REL PRT PCNF PRC MANC SETC</v>
      </c>
      <c r="F203" s="43" t="n">
        <f aca="false">IF(A203="","",IFERROR(DATEVALUE(INDEX('COOIS Raw'!$A:$GZ,ROW()-4,$F$4)),INDEX('COOIS Raw'!$A:$GZ,ROW()-4,$F$4)))</f>
        <v>46296</v>
      </c>
      <c r="G203" s="41" t="str">
        <f aca="false">IF(A203="","",IF(ISNA(MATCH(B203,'Kitting Plan'!$B$6:$B$19,0)),"Not in plan","Yes"))</f>
        <v>Yes</v>
      </c>
      <c r="H203" s="41" t="n">
        <f aca="false">IF(G203="Yes",INDEX('Kitting Plan'!$D$6:$D$19,MATCH(B203,'Kitting Plan'!$B$6:$B$19,0)),"")</f>
        <v>3</v>
      </c>
      <c r="I203" s="41" t="n">
        <f aca="false">IF(A203="","",IF(ISNUMBER(SEARCH("PRT",E203)),D203,0))</f>
        <v>1</v>
      </c>
      <c r="J203" s="41" t="n">
        <f aca="false">IF(A203="","",IF(ISNUMBER(SEARCH("GMPS",E203)),D203,0))</f>
        <v>0</v>
      </c>
      <c r="K203" s="41" t="n">
        <f aca="false">IF(A203="","",IF(ISNUMBER(SEARCH("DLV",E203)),D203,0))</f>
        <v>0</v>
      </c>
      <c r="L203" s="41" t="str">
        <f aca="false">IF(A203="","",IF(K203&gt;0,"Delivered",IF(ISNUMBER(SEARCH("CNF",E203)),"In production",IF(J203&gt;0,"Issued",IF(I203&gt;0,"Kitted","Released")))))</f>
        <v>In production</v>
      </c>
      <c r="M203" s="41" t="n">
        <f aca="false">IF(G203&lt;&gt;"Yes","",COUNTIFS($B$6:$B$1505,B203,$F$6:$F$1505,"&lt;"&amp;F203)+COUNTIFS($B$6:$B$1505,B203,$F$6:$F$1505,F203,$A$6:$A$1505,"&lt;="&amp;A203))</f>
        <v>32</v>
      </c>
      <c r="N203" s="41" t="n">
        <f aca="false">IF(M203="","",ROUNDUP(M203/H203,0))</f>
        <v>11</v>
      </c>
      <c r="O203" s="41" t="str">
        <f aca="false">IF(N203="","",IF(N203&lt;='Kitting Plan'!$C$3,"Rep "&amp;N203,"Surplus"))</f>
        <v>Rep 11</v>
      </c>
    </row>
    <row r="204" customFormat="false" ht="15" hidden="false" customHeight="false" outlineLevel="0" collapsed="false">
      <c r="A204" s="40" t="n">
        <f aca="false">IF(OR($A$4=0,INDEX('COOIS Raw'!$A:$GZ,ROW()-4,$A$4)=""),"",IFERROR(--INDEX('COOIS Raw'!$A:$GZ,ROW()-4,$A$4),INDEX('COOIS Raw'!$A:$GZ,ROW()-4,$A$4)))</f>
        <v>100880127</v>
      </c>
      <c r="B204" s="41" t="str">
        <f aca="false">IF(A204="","",TRIM(INDEX('COOIS Raw'!$A:$GZ,ROW()-4,$B$4)))</f>
        <v>92YRA04548AAA</v>
      </c>
      <c r="C204" s="42" t="str">
        <f aca="false">IF(OR(A204="",$C$4=0),"",INDEX('COOIS Raw'!$A:$GZ,ROW()-4,$C$4))</f>
        <v>R5B ERBIUM ASSEMBLY 4</v>
      </c>
      <c r="D204" s="41" t="n">
        <f aca="false">IF(A204="","",IF($D$4=0,1,IFERROR(--INDEX('COOIS Raw'!$A:$GZ,ROW()-4,$D$4),1)))</f>
        <v>1</v>
      </c>
      <c r="E204" s="42" t="str">
        <f aca="false">IF(A204="","",INDEX('COOIS Raw'!$A:$GZ,ROW()-4,$E$4)&amp;"")</f>
        <v>REL PRT PCNF PRC MANC SETC</v>
      </c>
      <c r="F204" s="43" t="n">
        <f aca="false">IF(A204="","",IFERROR(DATEVALUE(INDEX('COOIS Raw'!$A:$GZ,ROW()-4,$F$4)),INDEX('COOIS Raw'!$A:$GZ,ROW()-4,$F$4)))</f>
        <v>46296</v>
      </c>
      <c r="G204" s="41" t="str">
        <f aca="false">IF(A204="","",IF(ISNA(MATCH(B204,'Kitting Plan'!$B$6:$B$19,0)),"Not in plan","Yes"))</f>
        <v>Yes</v>
      </c>
      <c r="H204" s="41" t="n">
        <f aca="false">IF(G204="Yes",INDEX('Kitting Plan'!$D$6:$D$19,MATCH(B204,'Kitting Plan'!$B$6:$B$19,0)),"")</f>
        <v>3</v>
      </c>
      <c r="I204" s="41" t="n">
        <f aca="false">IF(A204="","",IF(ISNUMBER(SEARCH("PRT",E204)),D204,0))</f>
        <v>1</v>
      </c>
      <c r="J204" s="41" t="n">
        <f aca="false">IF(A204="","",IF(ISNUMBER(SEARCH("GMPS",E204)),D204,0))</f>
        <v>0</v>
      </c>
      <c r="K204" s="41" t="n">
        <f aca="false">IF(A204="","",IF(ISNUMBER(SEARCH("DLV",E204)),D204,0))</f>
        <v>0</v>
      </c>
      <c r="L204" s="41" t="str">
        <f aca="false">IF(A204="","",IF(K204&gt;0,"Delivered",IF(ISNUMBER(SEARCH("CNF",E204)),"In production",IF(J204&gt;0,"Issued",IF(I204&gt;0,"Kitted","Released")))))</f>
        <v>In production</v>
      </c>
      <c r="M204" s="41" t="n">
        <f aca="false">IF(G204&lt;&gt;"Yes","",COUNTIFS($B$6:$B$1505,B204,$F$6:$F$1505,"&lt;"&amp;F204)+COUNTIFS($B$6:$B$1505,B204,$F$6:$F$1505,F204,$A$6:$A$1505,"&lt;="&amp;A204))</f>
        <v>33</v>
      </c>
      <c r="N204" s="41" t="n">
        <f aca="false">IF(M204="","",ROUNDUP(M204/H204,0))</f>
        <v>11</v>
      </c>
      <c r="O204" s="41" t="str">
        <f aca="false">IF(N204="","",IF(N204&lt;='Kitting Plan'!$C$3,"Rep "&amp;N204,"Surplus"))</f>
        <v>Rep 11</v>
      </c>
    </row>
    <row r="205" customFormat="false" ht="15" hidden="false" customHeight="false" outlineLevel="0" collapsed="false">
      <c r="A205" s="40" t="n">
        <f aca="false">IF(OR($A$4=0,INDEX('COOIS Raw'!$A:$GZ,ROW()-4,$A$4)=""),"",IFERROR(--INDEX('COOIS Raw'!$A:$GZ,ROW()-4,$A$4),INDEX('COOIS Raw'!$A:$GZ,ROW()-4,$A$4)))</f>
        <v>100880128</v>
      </c>
      <c r="B205" s="41" t="str">
        <f aca="false">IF(A205="","",TRIM(INDEX('COOIS Raw'!$A:$GZ,ROW()-4,$B$4)))</f>
        <v>92UAP04548BAA</v>
      </c>
      <c r="C205" s="42" t="str">
        <f aca="false">IF(OR(A205="",$C$4=0),"",INDEX('COOIS Raw'!$A:$GZ,ROW()-4,$C$4))</f>
        <v>R5B BOAT 1 ASSY (4P-4FP) L - E2A</v>
      </c>
      <c r="D205" s="41" t="n">
        <f aca="false">IF(A205="","",IF($D$4=0,1,IFERROR(--INDEX('COOIS Raw'!$A:$GZ,ROW()-4,$D$4),1)))</f>
        <v>1</v>
      </c>
      <c r="E205" s="42" t="str">
        <f aca="false">IF(A205="","",INDEX('COOIS Raw'!$A:$GZ,ROW()-4,$E$4)&amp;"")</f>
        <v>REL PRT PCNF PRC MANC SETC</v>
      </c>
      <c r="F205" s="43" t="n">
        <f aca="false">IF(A205="","",IFERROR(DATEVALUE(INDEX('COOIS Raw'!$A:$GZ,ROW()-4,$F$4)),INDEX('COOIS Raw'!$A:$GZ,ROW()-4,$F$4)))</f>
        <v>46296</v>
      </c>
      <c r="G205" s="41" t="str">
        <f aca="false">IF(A205="","",IF(ISNA(MATCH(B205,'Kitting Plan'!$B$6:$B$19,0)),"Not in plan","Yes"))</f>
        <v>Yes</v>
      </c>
      <c r="H205" s="41" t="n">
        <f aca="false">IF(G205="Yes",INDEX('Kitting Plan'!$D$6:$D$19,MATCH(B205,'Kitting Plan'!$B$6:$B$19,0)),"")</f>
        <v>1</v>
      </c>
      <c r="I205" s="41" t="n">
        <f aca="false">IF(A205="","",IF(ISNUMBER(SEARCH("PRT",E205)),D205,0))</f>
        <v>1</v>
      </c>
      <c r="J205" s="41" t="n">
        <f aca="false">IF(A205="","",IF(ISNUMBER(SEARCH("GMPS",E205)),D205,0))</f>
        <v>0</v>
      </c>
      <c r="K205" s="41" t="n">
        <f aca="false">IF(A205="","",IF(ISNUMBER(SEARCH("DLV",E205)),D205,0))</f>
        <v>0</v>
      </c>
      <c r="L205" s="41" t="str">
        <f aca="false">IF(A205="","",IF(K205&gt;0,"Delivered",IF(ISNUMBER(SEARCH("CNF",E205)),"In production",IF(J205&gt;0,"Issued",IF(I205&gt;0,"Kitted","Released")))))</f>
        <v>In production</v>
      </c>
      <c r="M205" s="41" t="n">
        <f aca="false">IF(G205&lt;&gt;"Yes","",COUNTIFS($B$6:$B$1505,B205,$F$6:$F$1505,"&lt;"&amp;F205)+COUNTIFS($B$6:$B$1505,B205,$F$6:$F$1505,F205,$A$6:$A$1505,"&lt;="&amp;A205))</f>
        <v>11</v>
      </c>
      <c r="N205" s="41" t="n">
        <f aca="false">IF(M205="","",ROUNDUP(M205/H205,0))</f>
        <v>11</v>
      </c>
      <c r="O205" s="41" t="str">
        <f aca="false">IF(N205="","",IF(N205&lt;='Kitting Plan'!$C$3,"Rep "&amp;N205,"Surplus"))</f>
        <v>Rep 11</v>
      </c>
    </row>
    <row r="206" customFormat="false" ht="15" hidden="false" customHeight="false" outlineLevel="0" collapsed="false">
      <c r="A206" s="40" t="n">
        <f aca="false">IF(OR($A$4=0,INDEX('COOIS Raw'!$A:$GZ,ROW()-4,$A$4)=""),"",IFERROR(--INDEX('COOIS Raw'!$A:$GZ,ROW()-4,$A$4),INDEX('COOIS Raw'!$A:$GZ,ROW()-4,$A$4)))</f>
        <v>100880129</v>
      </c>
      <c r="B206" s="41" t="str">
        <f aca="false">IF(A206="","",TRIM(INDEX('COOIS Raw'!$A:$GZ,ROW()-4,$B$4)))</f>
        <v>92UAP04548BBA</v>
      </c>
      <c r="C206" s="42" t="str">
        <f aca="false">IF(OR(A206="",$C$4=0),"",INDEX('COOIS Raw'!$A:$GZ,ROW()-4,$C$4))</f>
        <v>R5B BOAT 2 ASSY (4P-4FP) L - E2A</v>
      </c>
      <c r="D206" s="41" t="n">
        <f aca="false">IF(A206="","",IF($D$4=0,1,IFERROR(--INDEX('COOIS Raw'!$A:$GZ,ROW()-4,$D$4),1)))</f>
        <v>1</v>
      </c>
      <c r="E206" s="42" t="str">
        <f aca="false">IF(A206="","",INDEX('COOIS Raw'!$A:$GZ,ROW()-4,$E$4)&amp;"")</f>
        <v>REL PRT PCNF PRC MANC SETC</v>
      </c>
      <c r="F206" s="43" t="n">
        <f aca="false">IF(A206="","",IFERROR(DATEVALUE(INDEX('COOIS Raw'!$A:$GZ,ROW()-4,$F$4)),INDEX('COOIS Raw'!$A:$GZ,ROW()-4,$F$4)))</f>
        <v>46296</v>
      </c>
      <c r="G206" s="41" t="str">
        <f aca="false">IF(A206="","",IF(ISNA(MATCH(B206,'Kitting Plan'!$B$6:$B$19,0)),"Not in plan","Yes"))</f>
        <v>Yes</v>
      </c>
      <c r="H206" s="41" t="n">
        <f aca="false">IF(G206="Yes",INDEX('Kitting Plan'!$D$6:$D$19,MATCH(B206,'Kitting Plan'!$B$6:$B$19,0)),"")</f>
        <v>1</v>
      </c>
      <c r="I206" s="41" t="n">
        <f aca="false">IF(A206="","",IF(ISNUMBER(SEARCH("PRT",E206)),D206,0))</f>
        <v>1</v>
      </c>
      <c r="J206" s="41" t="n">
        <f aca="false">IF(A206="","",IF(ISNUMBER(SEARCH("GMPS",E206)),D206,0))</f>
        <v>0</v>
      </c>
      <c r="K206" s="41" t="n">
        <f aca="false">IF(A206="","",IF(ISNUMBER(SEARCH("DLV",E206)),D206,0))</f>
        <v>0</v>
      </c>
      <c r="L206" s="41" t="str">
        <f aca="false">IF(A206="","",IF(K206&gt;0,"Delivered",IF(ISNUMBER(SEARCH("CNF",E206)),"In production",IF(J206&gt;0,"Issued",IF(I206&gt;0,"Kitted","Released")))))</f>
        <v>In production</v>
      </c>
      <c r="M206" s="41" t="n">
        <f aca="false">IF(G206&lt;&gt;"Yes","",COUNTIFS($B$6:$B$1505,B206,$F$6:$F$1505,"&lt;"&amp;F206)+COUNTIFS($B$6:$B$1505,B206,$F$6:$F$1505,F206,$A$6:$A$1505,"&lt;="&amp;A206))</f>
        <v>11</v>
      </c>
      <c r="N206" s="41" t="n">
        <f aca="false">IF(M206="","",ROUNDUP(M206/H206,0))</f>
        <v>11</v>
      </c>
      <c r="O206" s="41" t="str">
        <f aca="false">IF(N206="","",IF(N206&lt;='Kitting Plan'!$C$3,"Rep "&amp;N206,"Surplus"))</f>
        <v>Rep 11</v>
      </c>
    </row>
    <row r="207" customFormat="false" ht="15" hidden="false" customHeight="false" outlineLevel="0" collapsed="false">
      <c r="A207" s="40" t="n">
        <f aca="false">IF(OR($A$4=0,INDEX('COOIS Raw'!$A:$GZ,ROW()-4,$A$4)=""),"",IFERROR(--INDEX('COOIS Raw'!$A:$GZ,ROW()-4,$A$4),INDEX('COOIS Raw'!$A:$GZ,ROW()-4,$A$4)))</f>
        <v>100880130</v>
      </c>
      <c r="B207" s="41" t="str">
        <f aca="false">IF(A207="","",TRIM(INDEX('COOIS Raw'!$A:$GZ,ROW()-4,$B$4)))</f>
        <v>92UAP04548BCA</v>
      </c>
      <c r="C207" s="42" t="str">
        <f aca="false">IF(OR(A207="",$C$4=0),"",INDEX('COOIS Raw'!$A:$GZ,ROW()-4,$C$4))</f>
        <v>R5B BOAT 3 ASSY (4P-4FP) L - E2A</v>
      </c>
      <c r="D207" s="41" t="n">
        <f aca="false">IF(A207="","",IF($D$4=0,1,IFERROR(--INDEX('COOIS Raw'!$A:$GZ,ROW()-4,$D$4),1)))</f>
        <v>1</v>
      </c>
      <c r="E207" s="42" t="str">
        <f aca="false">IF(A207="","",INDEX('COOIS Raw'!$A:$GZ,ROW()-4,$E$4)&amp;"")</f>
        <v>REL PRT PCNF PRC MANC SETC</v>
      </c>
      <c r="F207" s="43" t="n">
        <f aca="false">IF(A207="","",IFERROR(DATEVALUE(INDEX('COOIS Raw'!$A:$GZ,ROW()-4,$F$4)),INDEX('COOIS Raw'!$A:$GZ,ROW()-4,$F$4)))</f>
        <v>46296</v>
      </c>
      <c r="G207" s="41" t="str">
        <f aca="false">IF(A207="","",IF(ISNA(MATCH(B207,'Kitting Plan'!$B$6:$B$19,0)),"Not in plan","Yes"))</f>
        <v>Yes</v>
      </c>
      <c r="H207" s="41" t="n">
        <f aca="false">IF(G207="Yes",INDEX('Kitting Plan'!$D$6:$D$19,MATCH(B207,'Kitting Plan'!$B$6:$B$19,0)),"")</f>
        <v>1</v>
      </c>
      <c r="I207" s="41" t="n">
        <f aca="false">IF(A207="","",IF(ISNUMBER(SEARCH("PRT",E207)),D207,0))</f>
        <v>1</v>
      </c>
      <c r="J207" s="41" t="n">
        <f aca="false">IF(A207="","",IF(ISNUMBER(SEARCH("GMPS",E207)),D207,0))</f>
        <v>0</v>
      </c>
      <c r="K207" s="41" t="n">
        <f aca="false">IF(A207="","",IF(ISNUMBER(SEARCH("DLV",E207)),D207,0))</f>
        <v>0</v>
      </c>
      <c r="L207" s="41" t="str">
        <f aca="false">IF(A207="","",IF(K207&gt;0,"Delivered",IF(ISNUMBER(SEARCH("CNF",E207)),"In production",IF(J207&gt;0,"Issued",IF(I207&gt;0,"Kitted","Released")))))</f>
        <v>In production</v>
      </c>
      <c r="M207" s="41" t="n">
        <f aca="false">IF(G207&lt;&gt;"Yes","",COUNTIFS($B$6:$B$1505,B207,$F$6:$F$1505,"&lt;"&amp;F207)+COUNTIFS($B$6:$B$1505,B207,$F$6:$F$1505,F207,$A$6:$A$1505,"&lt;="&amp;A207))</f>
        <v>11</v>
      </c>
      <c r="N207" s="41" t="n">
        <f aca="false">IF(M207="","",ROUNDUP(M207/H207,0))</f>
        <v>11</v>
      </c>
      <c r="O207" s="41" t="str">
        <f aca="false">IF(N207="","",IF(N207&lt;='Kitting Plan'!$C$3,"Rep "&amp;N207,"Surplus"))</f>
        <v>Rep 11</v>
      </c>
    </row>
    <row r="208" customFormat="false" ht="15" hidden="false" customHeight="false" outlineLevel="0" collapsed="false">
      <c r="A208" s="40" t="n">
        <f aca="false">IF(OR($A$4=0,INDEX('COOIS Raw'!$A:$GZ,ROW()-4,$A$4)=""),"",IFERROR(--INDEX('COOIS Raw'!$A:$GZ,ROW()-4,$A$4),INDEX('COOIS Raw'!$A:$GZ,ROW()-4,$A$4)))</f>
        <v>100879436</v>
      </c>
      <c r="B208" s="41" t="str">
        <f aca="false">IF(A208="","",TRIM(INDEX('COOIS Raw'!$A:$GZ,ROW()-4,$B$4)))</f>
        <v>92UAP04548BAA</v>
      </c>
      <c r="C208" s="42" t="str">
        <f aca="false">IF(OR(A208="",$C$4=0),"",INDEX('COOIS Raw'!$A:$GZ,ROW()-4,$C$4))</f>
        <v>R5B BOAT 1 ASSY (4P-4FP) L - E2A</v>
      </c>
      <c r="D208" s="41" t="n">
        <f aca="false">IF(A208="","",IF($D$4=0,1,IFERROR(--INDEX('COOIS Raw'!$A:$GZ,ROW()-4,$D$4),1)))</f>
        <v>1</v>
      </c>
      <c r="E208" s="42" t="str">
        <f aca="false">IF(A208="","",INDEX('COOIS Raw'!$A:$GZ,ROW()-4,$E$4)&amp;"")</f>
        <v>REL PRT PCNF PRC MANC SETC</v>
      </c>
      <c r="F208" s="43" t="n">
        <f aca="false">IF(A208="","",IFERROR(DATEVALUE(INDEX('COOIS Raw'!$A:$GZ,ROW()-4,$F$4)),INDEX('COOIS Raw'!$A:$GZ,ROW()-4,$F$4)))</f>
        <v>46294</v>
      </c>
      <c r="G208" s="41" t="str">
        <f aca="false">IF(A208="","",IF(ISNA(MATCH(B208,'Kitting Plan'!$B$6:$B$19,0)),"Not in plan","Yes"))</f>
        <v>Yes</v>
      </c>
      <c r="H208" s="41" t="n">
        <f aca="false">IF(G208="Yes",INDEX('Kitting Plan'!$D$6:$D$19,MATCH(B208,'Kitting Plan'!$B$6:$B$19,0)),"")</f>
        <v>1</v>
      </c>
      <c r="I208" s="41" t="n">
        <f aca="false">IF(A208="","",IF(ISNUMBER(SEARCH("PRT",E208)),D208,0))</f>
        <v>1</v>
      </c>
      <c r="J208" s="41" t="n">
        <f aca="false">IF(A208="","",IF(ISNUMBER(SEARCH("GMPS",E208)),D208,0))</f>
        <v>0</v>
      </c>
      <c r="K208" s="41" t="n">
        <f aca="false">IF(A208="","",IF(ISNUMBER(SEARCH("DLV",E208)),D208,0))</f>
        <v>0</v>
      </c>
      <c r="L208" s="41" t="str">
        <f aca="false">IF(A208="","",IF(K208&gt;0,"Delivered",IF(ISNUMBER(SEARCH("CNF",E208)),"In production",IF(J208&gt;0,"Issued",IF(I208&gt;0,"Kitted","Released")))))</f>
        <v>In production</v>
      </c>
      <c r="M208" s="41" t="n">
        <f aca="false">IF(G208&lt;&gt;"Yes","",COUNTIFS($B$6:$B$1505,B208,$F$6:$F$1505,"&lt;"&amp;F208)+COUNTIFS($B$6:$B$1505,B208,$F$6:$F$1505,F208,$A$6:$A$1505,"&lt;="&amp;A208))</f>
        <v>9</v>
      </c>
      <c r="N208" s="41" t="n">
        <f aca="false">IF(M208="","",ROUNDUP(M208/H208,0))</f>
        <v>9</v>
      </c>
      <c r="O208" s="41" t="str">
        <f aca="false">IF(N208="","",IF(N208&lt;='Kitting Plan'!$C$3,"Rep "&amp;N208,"Surplus"))</f>
        <v>Rep 9</v>
      </c>
    </row>
    <row r="209" customFormat="false" ht="15" hidden="false" customHeight="false" outlineLevel="0" collapsed="false">
      <c r="A209" s="40" t="n">
        <f aca="false">IF(OR($A$4=0,INDEX('COOIS Raw'!$A:$GZ,ROW()-4,$A$4)=""),"",IFERROR(--INDEX('COOIS Raw'!$A:$GZ,ROW()-4,$A$4),INDEX('COOIS Raw'!$A:$GZ,ROW()-4,$A$4)))</f>
        <v>100879437</v>
      </c>
      <c r="B209" s="41" t="str">
        <f aca="false">IF(A209="","",TRIM(INDEX('COOIS Raw'!$A:$GZ,ROW()-4,$B$4)))</f>
        <v>92UAP04548BBA</v>
      </c>
      <c r="C209" s="42" t="str">
        <f aca="false">IF(OR(A209="",$C$4=0),"",INDEX('COOIS Raw'!$A:$GZ,ROW()-4,$C$4))</f>
        <v>R5B BOAT 2 ASSY (4P-4FP) L - E2A</v>
      </c>
      <c r="D209" s="41" t="n">
        <f aca="false">IF(A209="","",IF($D$4=0,1,IFERROR(--INDEX('COOIS Raw'!$A:$GZ,ROW()-4,$D$4),1)))</f>
        <v>1</v>
      </c>
      <c r="E209" s="42" t="str">
        <f aca="false">IF(A209="","",INDEX('COOIS Raw'!$A:$GZ,ROW()-4,$E$4)&amp;"")</f>
        <v>REL PRT PCNF PRC MANC SETC</v>
      </c>
      <c r="F209" s="43" t="n">
        <f aca="false">IF(A209="","",IFERROR(DATEVALUE(INDEX('COOIS Raw'!$A:$GZ,ROW()-4,$F$4)),INDEX('COOIS Raw'!$A:$GZ,ROW()-4,$F$4)))</f>
        <v>46294</v>
      </c>
      <c r="G209" s="41" t="str">
        <f aca="false">IF(A209="","",IF(ISNA(MATCH(B209,'Kitting Plan'!$B$6:$B$19,0)),"Not in plan","Yes"))</f>
        <v>Yes</v>
      </c>
      <c r="H209" s="41" t="n">
        <f aca="false">IF(G209="Yes",INDEX('Kitting Plan'!$D$6:$D$19,MATCH(B209,'Kitting Plan'!$B$6:$B$19,0)),"")</f>
        <v>1</v>
      </c>
      <c r="I209" s="41" t="n">
        <f aca="false">IF(A209="","",IF(ISNUMBER(SEARCH("PRT",E209)),D209,0))</f>
        <v>1</v>
      </c>
      <c r="J209" s="41" t="n">
        <f aca="false">IF(A209="","",IF(ISNUMBER(SEARCH("GMPS",E209)),D209,0))</f>
        <v>0</v>
      </c>
      <c r="K209" s="41" t="n">
        <f aca="false">IF(A209="","",IF(ISNUMBER(SEARCH("DLV",E209)),D209,0))</f>
        <v>0</v>
      </c>
      <c r="L209" s="41" t="str">
        <f aca="false">IF(A209="","",IF(K209&gt;0,"Delivered",IF(ISNUMBER(SEARCH("CNF",E209)),"In production",IF(J209&gt;0,"Issued",IF(I209&gt;0,"Kitted","Released")))))</f>
        <v>In production</v>
      </c>
      <c r="M209" s="41" t="n">
        <f aca="false">IF(G209&lt;&gt;"Yes","",COUNTIFS($B$6:$B$1505,B209,$F$6:$F$1505,"&lt;"&amp;F209)+COUNTIFS($B$6:$B$1505,B209,$F$6:$F$1505,F209,$A$6:$A$1505,"&lt;="&amp;A209))</f>
        <v>9</v>
      </c>
      <c r="N209" s="41" t="n">
        <f aca="false">IF(M209="","",ROUNDUP(M209/H209,0))</f>
        <v>9</v>
      </c>
      <c r="O209" s="41" t="str">
        <f aca="false">IF(N209="","",IF(N209&lt;='Kitting Plan'!$C$3,"Rep "&amp;N209,"Surplus"))</f>
        <v>Rep 9</v>
      </c>
    </row>
    <row r="210" customFormat="false" ht="15" hidden="false" customHeight="false" outlineLevel="0" collapsed="false">
      <c r="A210" s="40" t="n">
        <f aca="false">IF(OR($A$4=0,INDEX('COOIS Raw'!$A:$GZ,ROW()-4,$A$4)=""),"",IFERROR(--INDEX('COOIS Raw'!$A:$GZ,ROW()-4,$A$4),INDEX('COOIS Raw'!$A:$GZ,ROW()-4,$A$4)))</f>
        <v>100879439</v>
      </c>
      <c r="B210" s="41" t="str">
        <f aca="false">IF(A210="","",TRIM(INDEX('COOIS Raw'!$A:$GZ,ROW()-4,$B$4)))</f>
        <v>92UAP04548BCA</v>
      </c>
      <c r="C210" s="42" t="str">
        <f aca="false">IF(OR(A210="",$C$4=0),"",INDEX('COOIS Raw'!$A:$GZ,ROW()-4,$C$4))</f>
        <v>R5B BOAT 3 ASSY (4P-4FP) L - E2A</v>
      </c>
      <c r="D210" s="41" t="n">
        <f aca="false">IF(A210="","",IF($D$4=0,1,IFERROR(--INDEX('COOIS Raw'!$A:$GZ,ROW()-4,$D$4),1)))</f>
        <v>1</v>
      </c>
      <c r="E210" s="42" t="str">
        <f aca="false">IF(A210="","",INDEX('COOIS Raw'!$A:$GZ,ROW()-4,$E$4)&amp;"")</f>
        <v>REL PRT PCNF PRC MANC SETC</v>
      </c>
      <c r="F210" s="43" t="n">
        <f aca="false">IF(A210="","",IFERROR(DATEVALUE(INDEX('COOIS Raw'!$A:$GZ,ROW()-4,$F$4)),INDEX('COOIS Raw'!$A:$GZ,ROW()-4,$F$4)))</f>
        <v>46294</v>
      </c>
      <c r="G210" s="41" t="str">
        <f aca="false">IF(A210="","",IF(ISNA(MATCH(B210,'Kitting Plan'!$B$6:$B$19,0)),"Not in plan","Yes"))</f>
        <v>Yes</v>
      </c>
      <c r="H210" s="41" t="n">
        <f aca="false">IF(G210="Yes",INDEX('Kitting Plan'!$D$6:$D$19,MATCH(B210,'Kitting Plan'!$B$6:$B$19,0)),"")</f>
        <v>1</v>
      </c>
      <c r="I210" s="41" t="n">
        <f aca="false">IF(A210="","",IF(ISNUMBER(SEARCH("PRT",E210)),D210,0))</f>
        <v>1</v>
      </c>
      <c r="J210" s="41" t="n">
        <f aca="false">IF(A210="","",IF(ISNUMBER(SEARCH("GMPS",E210)),D210,0))</f>
        <v>0</v>
      </c>
      <c r="K210" s="41" t="n">
        <f aca="false">IF(A210="","",IF(ISNUMBER(SEARCH("DLV",E210)),D210,0))</f>
        <v>0</v>
      </c>
      <c r="L210" s="41" t="str">
        <f aca="false">IF(A210="","",IF(K210&gt;0,"Delivered",IF(ISNUMBER(SEARCH("CNF",E210)),"In production",IF(J210&gt;0,"Issued",IF(I210&gt;0,"Kitted","Released")))))</f>
        <v>In production</v>
      </c>
      <c r="M210" s="41" t="n">
        <f aca="false">IF(G210&lt;&gt;"Yes","",COUNTIFS($B$6:$B$1505,B210,$F$6:$F$1505,"&lt;"&amp;F210)+COUNTIFS($B$6:$B$1505,B210,$F$6:$F$1505,F210,$A$6:$A$1505,"&lt;="&amp;A210))</f>
        <v>9</v>
      </c>
      <c r="N210" s="41" t="n">
        <f aca="false">IF(M210="","",ROUNDUP(M210/H210,0))</f>
        <v>9</v>
      </c>
      <c r="O210" s="41" t="str">
        <f aca="false">IF(N210="","",IF(N210&lt;='Kitting Plan'!$C$3,"Rep "&amp;N210,"Surplus"))</f>
        <v>Rep 9</v>
      </c>
    </row>
    <row r="211" customFormat="false" ht="15" hidden="false" customHeight="false" outlineLevel="0" collapsed="false">
      <c r="A211" s="40" t="n">
        <f aca="false">IF(OR($A$4=0,INDEX('COOIS Raw'!$A:$GZ,ROW()-4,$A$4)=""),"",IFERROR(--INDEX('COOIS Raw'!$A:$GZ,ROW()-4,$A$4),INDEX('COOIS Raw'!$A:$GZ,ROW()-4,$A$4)))</f>
        <v>100879332</v>
      </c>
      <c r="B211" s="41" t="str">
        <f aca="false">IF(A211="","",TRIM(INDEX('COOIS Raw'!$A:$GZ,ROW()-4,$B$4)))</f>
        <v>92YRA01548AAA</v>
      </c>
      <c r="C211" s="42" t="str">
        <f aca="false">IF(OR(A211="",$C$4=0),"",INDEX('COOIS Raw'!$A:$GZ,ROW()-4,$C$4))</f>
        <v>R5B ERBIUM ASSEMBLY 1</v>
      </c>
      <c r="D211" s="41" t="n">
        <f aca="false">IF(A211="","",IF($D$4=0,1,IFERROR(--INDEX('COOIS Raw'!$A:$GZ,ROW()-4,$D$4),1)))</f>
        <v>1</v>
      </c>
      <c r="E211" s="42" t="str">
        <f aca="false">IF(A211="","",INDEX('COOIS Raw'!$A:$GZ,ROW()-4,$E$4)&amp;"")</f>
        <v>REL PRT PCNF PRC MANC RESA SETC</v>
      </c>
      <c r="F211" s="43" t="n">
        <f aca="false">IF(A211="","",IFERROR(DATEVALUE(INDEX('COOIS Raw'!$A:$GZ,ROW()-4,$F$4)),INDEX('COOIS Raw'!$A:$GZ,ROW()-4,$F$4)))</f>
        <v>46293</v>
      </c>
      <c r="G211" s="41" t="str">
        <f aca="false">IF(A211="","",IF(ISNA(MATCH(B211,'Kitting Plan'!$B$6:$B$19,0)),"Not in plan","Yes"))</f>
        <v>Yes</v>
      </c>
      <c r="H211" s="41" t="n">
        <f aca="false">IF(G211="Yes",INDEX('Kitting Plan'!$D$6:$D$19,MATCH(B211,'Kitting Plan'!$B$6:$B$19,0)),"")</f>
        <v>3</v>
      </c>
      <c r="I211" s="41" t="n">
        <f aca="false">IF(A211="","",IF(ISNUMBER(SEARCH("PRT",E211)),D211,0))</f>
        <v>1</v>
      </c>
      <c r="J211" s="41" t="n">
        <f aca="false">IF(A211="","",IF(ISNUMBER(SEARCH("GMPS",E211)),D211,0))</f>
        <v>0</v>
      </c>
      <c r="K211" s="41" t="n">
        <f aca="false">IF(A211="","",IF(ISNUMBER(SEARCH("DLV",E211)),D211,0))</f>
        <v>0</v>
      </c>
      <c r="L211" s="41" t="str">
        <f aca="false">IF(A211="","",IF(K211&gt;0,"Delivered",IF(ISNUMBER(SEARCH("CNF",E211)),"In production",IF(J211&gt;0,"Issued",IF(I211&gt;0,"Kitted","Released")))))</f>
        <v>In production</v>
      </c>
      <c r="M211" s="41" t="n">
        <f aca="false">IF(G211&lt;&gt;"Yes","",COUNTIFS($B$6:$B$1505,B211,$F$6:$F$1505,"&lt;"&amp;F211)+COUNTIFS($B$6:$B$1505,B211,$F$6:$F$1505,F211,$A$6:$A$1505,"&lt;="&amp;A211))</f>
        <v>25</v>
      </c>
      <c r="N211" s="41" t="n">
        <f aca="false">IF(M211="","",ROUNDUP(M211/H211,0))</f>
        <v>9</v>
      </c>
      <c r="O211" s="41" t="str">
        <f aca="false">IF(N211="","",IF(N211&lt;='Kitting Plan'!$C$3,"Rep "&amp;N211,"Surplus"))</f>
        <v>Rep 9</v>
      </c>
    </row>
    <row r="212" customFormat="false" ht="15" hidden="false" customHeight="false" outlineLevel="0" collapsed="false">
      <c r="A212" s="40" t="n">
        <f aca="false">IF(OR($A$4=0,INDEX('COOIS Raw'!$A:$GZ,ROW()-4,$A$4)=""),"",IFERROR(--INDEX('COOIS Raw'!$A:$GZ,ROW()-4,$A$4),INDEX('COOIS Raw'!$A:$GZ,ROW()-4,$A$4)))</f>
        <v>100879333</v>
      </c>
      <c r="B212" s="41" t="str">
        <f aca="false">IF(A212="","",TRIM(INDEX('COOIS Raw'!$A:$GZ,ROW()-4,$B$4)))</f>
        <v>92YRA01548AAA</v>
      </c>
      <c r="C212" s="42" t="str">
        <f aca="false">IF(OR(A212="",$C$4=0),"",INDEX('COOIS Raw'!$A:$GZ,ROW()-4,$C$4))</f>
        <v>R5B ERBIUM ASSEMBLY 1</v>
      </c>
      <c r="D212" s="41" t="n">
        <f aca="false">IF(A212="","",IF($D$4=0,1,IFERROR(--INDEX('COOIS Raw'!$A:$GZ,ROW()-4,$D$4),1)))</f>
        <v>1</v>
      </c>
      <c r="E212" s="42" t="str">
        <f aca="false">IF(A212="","",INDEX('COOIS Raw'!$A:$GZ,ROW()-4,$E$4)&amp;"")</f>
        <v>REL PRT PCNF PRC MANC RESA SETC</v>
      </c>
      <c r="F212" s="43" t="n">
        <f aca="false">IF(A212="","",IFERROR(DATEVALUE(INDEX('COOIS Raw'!$A:$GZ,ROW()-4,$F$4)),INDEX('COOIS Raw'!$A:$GZ,ROW()-4,$F$4)))</f>
        <v>46293</v>
      </c>
      <c r="G212" s="41" t="str">
        <f aca="false">IF(A212="","",IF(ISNA(MATCH(B212,'Kitting Plan'!$B$6:$B$19,0)),"Not in plan","Yes"))</f>
        <v>Yes</v>
      </c>
      <c r="H212" s="41" t="n">
        <f aca="false">IF(G212="Yes",INDEX('Kitting Plan'!$D$6:$D$19,MATCH(B212,'Kitting Plan'!$B$6:$B$19,0)),"")</f>
        <v>3</v>
      </c>
      <c r="I212" s="41" t="n">
        <f aca="false">IF(A212="","",IF(ISNUMBER(SEARCH("PRT",E212)),D212,0))</f>
        <v>1</v>
      </c>
      <c r="J212" s="41" t="n">
        <f aca="false">IF(A212="","",IF(ISNUMBER(SEARCH("GMPS",E212)),D212,0))</f>
        <v>0</v>
      </c>
      <c r="K212" s="41" t="n">
        <f aca="false">IF(A212="","",IF(ISNUMBER(SEARCH("DLV",E212)),D212,0))</f>
        <v>0</v>
      </c>
      <c r="L212" s="41" t="str">
        <f aca="false">IF(A212="","",IF(K212&gt;0,"Delivered",IF(ISNUMBER(SEARCH("CNF",E212)),"In production",IF(J212&gt;0,"Issued",IF(I212&gt;0,"Kitted","Released")))))</f>
        <v>In production</v>
      </c>
      <c r="M212" s="41" t="n">
        <f aca="false">IF(G212&lt;&gt;"Yes","",COUNTIFS($B$6:$B$1505,B212,$F$6:$F$1505,"&lt;"&amp;F212)+COUNTIFS($B$6:$B$1505,B212,$F$6:$F$1505,F212,$A$6:$A$1505,"&lt;="&amp;A212))</f>
        <v>26</v>
      </c>
      <c r="N212" s="41" t="n">
        <f aca="false">IF(M212="","",ROUNDUP(M212/H212,0))</f>
        <v>9</v>
      </c>
      <c r="O212" s="41" t="str">
        <f aca="false">IF(N212="","",IF(N212&lt;='Kitting Plan'!$C$3,"Rep "&amp;N212,"Surplus"))</f>
        <v>Rep 9</v>
      </c>
    </row>
    <row r="213" customFormat="false" ht="15" hidden="false" customHeight="false" outlineLevel="0" collapsed="false">
      <c r="A213" s="40" t="n">
        <f aca="false">IF(OR($A$4=0,INDEX('COOIS Raw'!$A:$GZ,ROW()-4,$A$4)=""),"",IFERROR(--INDEX('COOIS Raw'!$A:$GZ,ROW()-4,$A$4),INDEX('COOIS Raw'!$A:$GZ,ROW()-4,$A$4)))</f>
        <v>100879334</v>
      </c>
      <c r="B213" s="41" t="str">
        <f aca="false">IF(A213="","",TRIM(INDEX('COOIS Raw'!$A:$GZ,ROW()-4,$B$4)))</f>
        <v>92YRA01548AAA</v>
      </c>
      <c r="C213" s="42" t="str">
        <f aca="false">IF(OR(A213="",$C$4=0),"",INDEX('COOIS Raw'!$A:$GZ,ROW()-4,$C$4))</f>
        <v>R5B ERBIUM ASSEMBLY 1</v>
      </c>
      <c r="D213" s="41" t="n">
        <f aca="false">IF(A213="","",IF($D$4=0,1,IFERROR(--INDEX('COOIS Raw'!$A:$GZ,ROW()-4,$D$4),1)))</f>
        <v>1</v>
      </c>
      <c r="E213" s="42" t="str">
        <f aca="false">IF(A213="","",INDEX('COOIS Raw'!$A:$GZ,ROW()-4,$E$4)&amp;"")</f>
        <v>REL PRT PCNF PRC MANC RESA SETC</v>
      </c>
      <c r="F213" s="43" t="n">
        <f aca="false">IF(A213="","",IFERROR(DATEVALUE(INDEX('COOIS Raw'!$A:$GZ,ROW()-4,$F$4)),INDEX('COOIS Raw'!$A:$GZ,ROW()-4,$F$4)))</f>
        <v>46293</v>
      </c>
      <c r="G213" s="41" t="str">
        <f aca="false">IF(A213="","",IF(ISNA(MATCH(B213,'Kitting Plan'!$B$6:$B$19,0)),"Not in plan","Yes"))</f>
        <v>Yes</v>
      </c>
      <c r="H213" s="41" t="n">
        <f aca="false">IF(G213="Yes",INDEX('Kitting Plan'!$D$6:$D$19,MATCH(B213,'Kitting Plan'!$B$6:$B$19,0)),"")</f>
        <v>3</v>
      </c>
      <c r="I213" s="41" t="n">
        <f aca="false">IF(A213="","",IF(ISNUMBER(SEARCH("PRT",E213)),D213,0))</f>
        <v>1</v>
      </c>
      <c r="J213" s="41" t="n">
        <f aca="false">IF(A213="","",IF(ISNUMBER(SEARCH("GMPS",E213)),D213,0))</f>
        <v>0</v>
      </c>
      <c r="K213" s="41" t="n">
        <f aca="false">IF(A213="","",IF(ISNUMBER(SEARCH("DLV",E213)),D213,0))</f>
        <v>0</v>
      </c>
      <c r="L213" s="41" t="str">
        <f aca="false">IF(A213="","",IF(K213&gt;0,"Delivered",IF(ISNUMBER(SEARCH("CNF",E213)),"In production",IF(J213&gt;0,"Issued",IF(I213&gt;0,"Kitted","Released")))))</f>
        <v>In production</v>
      </c>
      <c r="M213" s="41" t="n">
        <f aca="false">IF(G213&lt;&gt;"Yes","",COUNTIFS($B$6:$B$1505,B213,$F$6:$F$1505,"&lt;"&amp;F213)+COUNTIFS($B$6:$B$1505,B213,$F$6:$F$1505,F213,$A$6:$A$1505,"&lt;="&amp;A213))</f>
        <v>27</v>
      </c>
      <c r="N213" s="41" t="n">
        <f aca="false">IF(M213="","",ROUNDUP(M213/H213,0))</f>
        <v>9</v>
      </c>
      <c r="O213" s="41" t="str">
        <f aca="false">IF(N213="","",IF(N213&lt;='Kitting Plan'!$C$3,"Rep "&amp;N213,"Surplus"))</f>
        <v>Rep 9</v>
      </c>
    </row>
    <row r="214" customFormat="false" ht="15" hidden="false" customHeight="false" outlineLevel="0" collapsed="false">
      <c r="A214" s="40" t="n">
        <f aca="false">IF(OR($A$4=0,INDEX('COOIS Raw'!$A:$GZ,ROW()-4,$A$4)=""),"",IFERROR(--INDEX('COOIS Raw'!$A:$GZ,ROW()-4,$A$4),INDEX('COOIS Raw'!$A:$GZ,ROW()-4,$A$4)))</f>
        <v>100879335</v>
      </c>
      <c r="B214" s="41" t="str">
        <f aca="false">IF(A214="","",TRIM(INDEX('COOIS Raw'!$A:$GZ,ROW()-4,$B$4)))</f>
        <v>92YRA02548AAA</v>
      </c>
      <c r="C214" s="42" t="str">
        <f aca="false">IF(OR(A214="",$C$4=0),"",INDEX('COOIS Raw'!$A:$GZ,ROW()-4,$C$4))</f>
        <v>R5B ERBIUM ASSEMBLY 2</v>
      </c>
      <c r="D214" s="41" t="n">
        <f aca="false">IF(A214="","",IF($D$4=0,1,IFERROR(--INDEX('COOIS Raw'!$A:$GZ,ROW()-4,$D$4),1)))</f>
        <v>1</v>
      </c>
      <c r="E214" s="42" t="str">
        <f aca="false">IF(A214="","",INDEX('COOIS Raw'!$A:$GZ,ROW()-4,$E$4)&amp;"")</f>
        <v>REL PRT PCNF PRC MANC RESA SETC</v>
      </c>
      <c r="F214" s="43" t="n">
        <f aca="false">IF(A214="","",IFERROR(DATEVALUE(INDEX('COOIS Raw'!$A:$GZ,ROW()-4,$F$4)),INDEX('COOIS Raw'!$A:$GZ,ROW()-4,$F$4)))</f>
        <v>46293</v>
      </c>
      <c r="G214" s="41" t="str">
        <f aca="false">IF(A214="","",IF(ISNA(MATCH(B214,'Kitting Plan'!$B$6:$B$19,0)),"Not in plan","Yes"))</f>
        <v>Yes</v>
      </c>
      <c r="H214" s="41" t="n">
        <f aca="false">IF(G214="Yes",INDEX('Kitting Plan'!$D$6:$D$19,MATCH(B214,'Kitting Plan'!$B$6:$B$19,0)),"")</f>
        <v>3</v>
      </c>
      <c r="I214" s="41" t="n">
        <f aca="false">IF(A214="","",IF(ISNUMBER(SEARCH("PRT",E214)),D214,0))</f>
        <v>1</v>
      </c>
      <c r="J214" s="41" t="n">
        <f aca="false">IF(A214="","",IF(ISNUMBER(SEARCH("GMPS",E214)),D214,0))</f>
        <v>0</v>
      </c>
      <c r="K214" s="41" t="n">
        <f aca="false">IF(A214="","",IF(ISNUMBER(SEARCH("DLV",E214)),D214,0))</f>
        <v>0</v>
      </c>
      <c r="L214" s="41" t="str">
        <f aca="false">IF(A214="","",IF(K214&gt;0,"Delivered",IF(ISNUMBER(SEARCH("CNF",E214)),"In production",IF(J214&gt;0,"Issued",IF(I214&gt;0,"Kitted","Released")))))</f>
        <v>In production</v>
      </c>
      <c r="M214" s="41" t="n">
        <f aca="false">IF(G214&lt;&gt;"Yes","",COUNTIFS($B$6:$B$1505,B214,$F$6:$F$1505,"&lt;"&amp;F214)+COUNTIFS($B$6:$B$1505,B214,$F$6:$F$1505,F214,$A$6:$A$1505,"&lt;="&amp;A214))</f>
        <v>25</v>
      </c>
      <c r="N214" s="41" t="n">
        <f aca="false">IF(M214="","",ROUNDUP(M214/H214,0))</f>
        <v>9</v>
      </c>
      <c r="O214" s="41" t="str">
        <f aca="false">IF(N214="","",IF(N214&lt;='Kitting Plan'!$C$3,"Rep "&amp;N214,"Surplus"))</f>
        <v>Rep 9</v>
      </c>
    </row>
    <row r="215" customFormat="false" ht="15" hidden="false" customHeight="false" outlineLevel="0" collapsed="false">
      <c r="A215" s="40" t="n">
        <f aca="false">IF(OR($A$4=0,INDEX('COOIS Raw'!$A:$GZ,ROW()-4,$A$4)=""),"",IFERROR(--INDEX('COOIS Raw'!$A:$GZ,ROW()-4,$A$4),INDEX('COOIS Raw'!$A:$GZ,ROW()-4,$A$4)))</f>
        <v>100879336</v>
      </c>
      <c r="B215" s="41" t="str">
        <f aca="false">IF(A215="","",TRIM(INDEX('COOIS Raw'!$A:$GZ,ROW()-4,$B$4)))</f>
        <v>92YRA02548AAA</v>
      </c>
      <c r="C215" s="42" t="str">
        <f aca="false">IF(OR(A215="",$C$4=0),"",INDEX('COOIS Raw'!$A:$GZ,ROW()-4,$C$4))</f>
        <v>R5B ERBIUM ASSEMBLY 2</v>
      </c>
      <c r="D215" s="41" t="n">
        <f aca="false">IF(A215="","",IF($D$4=0,1,IFERROR(--INDEX('COOIS Raw'!$A:$GZ,ROW()-4,$D$4),1)))</f>
        <v>1</v>
      </c>
      <c r="E215" s="42" t="str">
        <f aca="false">IF(A215="","",INDEX('COOIS Raw'!$A:$GZ,ROW()-4,$E$4)&amp;"")</f>
        <v>REL PRT PCNF PRC MANC RESA SETC</v>
      </c>
      <c r="F215" s="43" t="n">
        <f aca="false">IF(A215="","",IFERROR(DATEVALUE(INDEX('COOIS Raw'!$A:$GZ,ROW()-4,$F$4)),INDEX('COOIS Raw'!$A:$GZ,ROW()-4,$F$4)))</f>
        <v>46293</v>
      </c>
      <c r="G215" s="41" t="str">
        <f aca="false">IF(A215="","",IF(ISNA(MATCH(B215,'Kitting Plan'!$B$6:$B$19,0)),"Not in plan","Yes"))</f>
        <v>Yes</v>
      </c>
      <c r="H215" s="41" t="n">
        <f aca="false">IF(G215="Yes",INDEX('Kitting Plan'!$D$6:$D$19,MATCH(B215,'Kitting Plan'!$B$6:$B$19,0)),"")</f>
        <v>3</v>
      </c>
      <c r="I215" s="41" t="n">
        <f aca="false">IF(A215="","",IF(ISNUMBER(SEARCH("PRT",E215)),D215,0))</f>
        <v>1</v>
      </c>
      <c r="J215" s="41" t="n">
        <f aca="false">IF(A215="","",IF(ISNUMBER(SEARCH("GMPS",E215)),D215,0))</f>
        <v>0</v>
      </c>
      <c r="K215" s="41" t="n">
        <f aca="false">IF(A215="","",IF(ISNUMBER(SEARCH("DLV",E215)),D215,0))</f>
        <v>0</v>
      </c>
      <c r="L215" s="41" t="str">
        <f aca="false">IF(A215="","",IF(K215&gt;0,"Delivered",IF(ISNUMBER(SEARCH("CNF",E215)),"In production",IF(J215&gt;0,"Issued",IF(I215&gt;0,"Kitted","Released")))))</f>
        <v>In production</v>
      </c>
      <c r="M215" s="41" t="n">
        <f aca="false">IF(G215&lt;&gt;"Yes","",COUNTIFS($B$6:$B$1505,B215,$F$6:$F$1505,"&lt;"&amp;F215)+COUNTIFS($B$6:$B$1505,B215,$F$6:$F$1505,F215,$A$6:$A$1505,"&lt;="&amp;A215))</f>
        <v>26</v>
      </c>
      <c r="N215" s="41" t="n">
        <f aca="false">IF(M215="","",ROUNDUP(M215/H215,0))</f>
        <v>9</v>
      </c>
      <c r="O215" s="41" t="str">
        <f aca="false">IF(N215="","",IF(N215&lt;='Kitting Plan'!$C$3,"Rep "&amp;N215,"Surplus"))</f>
        <v>Rep 9</v>
      </c>
    </row>
    <row r="216" customFormat="false" ht="15" hidden="false" customHeight="false" outlineLevel="0" collapsed="false">
      <c r="A216" s="40" t="n">
        <f aca="false">IF(OR($A$4=0,INDEX('COOIS Raw'!$A:$GZ,ROW()-4,$A$4)=""),"",IFERROR(--INDEX('COOIS Raw'!$A:$GZ,ROW()-4,$A$4),INDEX('COOIS Raw'!$A:$GZ,ROW()-4,$A$4)))</f>
        <v>100879337</v>
      </c>
      <c r="B216" s="41" t="str">
        <f aca="false">IF(A216="","",TRIM(INDEX('COOIS Raw'!$A:$GZ,ROW()-4,$B$4)))</f>
        <v>92YRA02548AAA</v>
      </c>
      <c r="C216" s="42" t="str">
        <f aca="false">IF(OR(A216="",$C$4=0),"",INDEX('COOIS Raw'!$A:$GZ,ROW()-4,$C$4))</f>
        <v>R5B ERBIUM ASSEMBLY 2</v>
      </c>
      <c r="D216" s="41" t="n">
        <f aca="false">IF(A216="","",IF($D$4=0,1,IFERROR(--INDEX('COOIS Raw'!$A:$GZ,ROW()-4,$D$4),1)))</f>
        <v>1</v>
      </c>
      <c r="E216" s="42" t="str">
        <f aca="false">IF(A216="","",INDEX('COOIS Raw'!$A:$GZ,ROW()-4,$E$4)&amp;"")</f>
        <v>REL PRT PCNF PRC MANC RESA SETC</v>
      </c>
      <c r="F216" s="43" t="n">
        <f aca="false">IF(A216="","",IFERROR(DATEVALUE(INDEX('COOIS Raw'!$A:$GZ,ROW()-4,$F$4)),INDEX('COOIS Raw'!$A:$GZ,ROW()-4,$F$4)))</f>
        <v>46293</v>
      </c>
      <c r="G216" s="41" t="str">
        <f aca="false">IF(A216="","",IF(ISNA(MATCH(B216,'Kitting Plan'!$B$6:$B$19,0)),"Not in plan","Yes"))</f>
        <v>Yes</v>
      </c>
      <c r="H216" s="41" t="n">
        <f aca="false">IF(G216="Yes",INDEX('Kitting Plan'!$D$6:$D$19,MATCH(B216,'Kitting Plan'!$B$6:$B$19,0)),"")</f>
        <v>3</v>
      </c>
      <c r="I216" s="41" t="n">
        <f aca="false">IF(A216="","",IF(ISNUMBER(SEARCH("PRT",E216)),D216,0))</f>
        <v>1</v>
      </c>
      <c r="J216" s="41" t="n">
        <f aca="false">IF(A216="","",IF(ISNUMBER(SEARCH("GMPS",E216)),D216,0))</f>
        <v>0</v>
      </c>
      <c r="K216" s="41" t="n">
        <f aca="false">IF(A216="","",IF(ISNUMBER(SEARCH("DLV",E216)),D216,0))</f>
        <v>0</v>
      </c>
      <c r="L216" s="41" t="str">
        <f aca="false">IF(A216="","",IF(K216&gt;0,"Delivered",IF(ISNUMBER(SEARCH("CNF",E216)),"In production",IF(J216&gt;0,"Issued",IF(I216&gt;0,"Kitted","Released")))))</f>
        <v>In production</v>
      </c>
      <c r="M216" s="41" t="n">
        <f aca="false">IF(G216&lt;&gt;"Yes","",COUNTIFS($B$6:$B$1505,B216,$F$6:$F$1505,"&lt;"&amp;F216)+COUNTIFS($B$6:$B$1505,B216,$F$6:$F$1505,F216,$A$6:$A$1505,"&lt;="&amp;A216))</f>
        <v>27</v>
      </c>
      <c r="N216" s="41" t="n">
        <f aca="false">IF(M216="","",ROUNDUP(M216/H216,0))</f>
        <v>9</v>
      </c>
      <c r="O216" s="41" t="str">
        <f aca="false">IF(N216="","",IF(N216&lt;='Kitting Plan'!$C$3,"Rep "&amp;N216,"Surplus"))</f>
        <v>Rep 9</v>
      </c>
    </row>
    <row r="217" customFormat="false" ht="15" hidden="false" customHeight="false" outlineLevel="0" collapsed="false">
      <c r="A217" s="40" t="n">
        <f aca="false">IF(OR($A$4=0,INDEX('COOIS Raw'!$A:$GZ,ROW()-4,$A$4)=""),"",IFERROR(--INDEX('COOIS Raw'!$A:$GZ,ROW()-4,$A$4),INDEX('COOIS Raw'!$A:$GZ,ROW()-4,$A$4)))</f>
        <v>100879338</v>
      </c>
      <c r="B217" s="41" t="str">
        <f aca="false">IF(A217="","",TRIM(INDEX('COOIS Raw'!$A:$GZ,ROW()-4,$B$4)))</f>
        <v>92YRA03548AAA</v>
      </c>
      <c r="C217" s="42" t="str">
        <f aca="false">IF(OR(A217="",$C$4=0),"",INDEX('COOIS Raw'!$A:$GZ,ROW()-4,$C$4))</f>
        <v>R5B ERBIUM ASSEMBLY 3</v>
      </c>
      <c r="D217" s="41" t="n">
        <f aca="false">IF(A217="","",IF($D$4=0,1,IFERROR(--INDEX('COOIS Raw'!$A:$GZ,ROW()-4,$D$4),1)))</f>
        <v>1</v>
      </c>
      <c r="E217" s="42" t="str">
        <f aca="false">IF(A217="","",INDEX('COOIS Raw'!$A:$GZ,ROW()-4,$E$4)&amp;"")</f>
        <v>REL PRT PCNF PRC MANC RESA SETC</v>
      </c>
      <c r="F217" s="43" t="n">
        <f aca="false">IF(A217="","",IFERROR(DATEVALUE(INDEX('COOIS Raw'!$A:$GZ,ROW()-4,$F$4)),INDEX('COOIS Raw'!$A:$GZ,ROW()-4,$F$4)))</f>
        <v>46293</v>
      </c>
      <c r="G217" s="41" t="str">
        <f aca="false">IF(A217="","",IF(ISNA(MATCH(B217,'Kitting Plan'!$B$6:$B$19,0)),"Not in plan","Yes"))</f>
        <v>Yes</v>
      </c>
      <c r="H217" s="41" t="n">
        <f aca="false">IF(G217="Yes",INDEX('Kitting Plan'!$D$6:$D$19,MATCH(B217,'Kitting Plan'!$B$6:$B$19,0)),"")</f>
        <v>3</v>
      </c>
      <c r="I217" s="41" t="n">
        <f aca="false">IF(A217="","",IF(ISNUMBER(SEARCH("PRT",E217)),D217,0))</f>
        <v>1</v>
      </c>
      <c r="J217" s="41" t="n">
        <f aca="false">IF(A217="","",IF(ISNUMBER(SEARCH("GMPS",E217)),D217,0))</f>
        <v>0</v>
      </c>
      <c r="K217" s="41" t="n">
        <f aca="false">IF(A217="","",IF(ISNUMBER(SEARCH("DLV",E217)),D217,0))</f>
        <v>0</v>
      </c>
      <c r="L217" s="41" t="str">
        <f aca="false">IF(A217="","",IF(K217&gt;0,"Delivered",IF(ISNUMBER(SEARCH("CNF",E217)),"In production",IF(J217&gt;0,"Issued",IF(I217&gt;0,"Kitted","Released")))))</f>
        <v>In production</v>
      </c>
      <c r="M217" s="41" t="n">
        <f aca="false">IF(G217&lt;&gt;"Yes","",COUNTIFS($B$6:$B$1505,B217,$F$6:$F$1505,"&lt;"&amp;F217)+COUNTIFS($B$6:$B$1505,B217,$F$6:$F$1505,F217,$A$6:$A$1505,"&lt;="&amp;A217))</f>
        <v>28</v>
      </c>
      <c r="N217" s="41" t="n">
        <f aca="false">IF(M217="","",ROUNDUP(M217/H217,0))</f>
        <v>10</v>
      </c>
      <c r="O217" s="41" t="str">
        <f aca="false">IF(N217="","",IF(N217&lt;='Kitting Plan'!$C$3,"Rep "&amp;N217,"Surplus"))</f>
        <v>Rep 10</v>
      </c>
    </row>
    <row r="218" customFormat="false" ht="15" hidden="false" customHeight="false" outlineLevel="0" collapsed="false">
      <c r="A218" s="40" t="n">
        <f aca="false">IF(OR($A$4=0,INDEX('COOIS Raw'!$A:$GZ,ROW()-4,$A$4)=""),"",IFERROR(--INDEX('COOIS Raw'!$A:$GZ,ROW()-4,$A$4),INDEX('COOIS Raw'!$A:$GZ,ROW()-4,$A$4)))</f>
        <v>100879339</v>
      </c>
      <c r="B218" s="41" t="str">
        <f aca="false">IF(A218="","",TRIM(INDEX('COOIS Raw'!$A:$GZ,ROW()-4,$B$4)))</f>
        <v>92YRA03548AAA</v>
      </c>
      <c r="C218" s="42" t="str">
        <f aca="false">IF(OR(A218="",$C$4=0),"",INDEX('COOIS Raw'!$A:$GZ,ROW()-4,$C$4))</f>
        <v>R5B ERBIUM ASSEMBLY 3</v>
      </c>
      <c r="D218" s="41" t="n">
        <f aca="false">IF(A218="","",IF($D$4=0,1,IFERROR(--INDEX('COOIS Raw'!$A:$GZ,ROW()-4,$D$4),1)))</f>
        <v>1</v>
      </c>
      <c r="E218" s="42" t="str">
        <f aca="false">IF(A218="","",INDEX('COOIS Raw'!$A:$GZ,ROW()-4,$E$4)&amp;"")</f>
        <v>REL PRT PCNF PRC MANC RESA SETC</v>
      </c>
      <c r="F218" s="43" t="n">
        <f aca="false">IF(A218="","",IFERROR(DATEVALUE(INDEX('COOIS Raw'!$A:$GZ,ROW()-4,$F$4)),INDEX('COOIS Raw'!$A:$GZ,ROW()-4,$F$4)))</f>
        <v>46293</v>
      </c>
      <c r="G218" s="41" t="str">
        <f aca="false">IF(A218="","",IF(ISNA(MATCH(B218,'Kitting Plan'!$B$6:$B$19,0)),"Not in plan","Yes"))</f>
        <v>Yes</v>
      </c>
      <c r="H218" s="41" t="n">
        <f aca="false">IF(G218="Yes",INDEX('Kitting Plan'!$D$6:$D$19,MATCH(B218,'Kitting Plan'!$B$6:$B$19,0)),"")</f>
        <v>3</v>
      </c>
      <c r="I218" s="41" t="n">
        <f aca="false">IF(A218="","",IF(ISNUMBER(SEARCH("PRT",E218)),D218,0))</f>
        <v>1</v>
      </c>
      <c r="J218" s="41" t="n">
        <f aca="false">IF(A218="","",IF(ISNUMBER(SEARCH("GMPS",E218)),D218,0))</f>
        <v>0</v>
      </c>
      <c r="K218" s="41" t="n">
        <f aca="false">IF(A218="","",IF(ISNUMBER(SEARCH("DLV",E218)),D218,0))</f>
        <v>0</v>
      </c>
      <c r="L218" s="41" t="str">
        <f aca="false">IF(A218="","",IF(K218&gt;0,"Delivered",IF(ISNUMBER(SEARCH("CNF",E218)),"In production",IF(J218&gt;0,"Issued",IF(I218&gt;0,"Kitted","Released")))))</f>
        <v>In production</v>
      </c>
      <c r="M218" s="41" t="n">
        <f aca="false">IF(G218&lt;&gt;"Yes","",COUNTIFS($B$6:$B$1505,B218,$F$6:$F$1505,"&lt;"&amp;F218)+COUNTIFS($B$6:$B$1505,B218,$F$6:$F$1505,F218,$A$6:$A$1505,"&lt;="&amp;A218))</f>
        <v>29</v>
      </c>
      <c r="N218" s="41" t="n">
        <f aca="false">IF(M218="","",ROUNDUP(M218/H218,0))</f>
        <v>10</v>
      </c>
      <c r="O218" s="41" t="str">
        <f aca="false">IF(N218="","",IF(N218&lt;='Kitting Plan'!$C$3,"Rep "&amp;N218,"Surplus"))</f>
        <v>Rep 10</v>
      </c>
    </row>
    <row r="219" customFormat="false" ht="15" hidden="false" customHeight="false" outlineLevel="0" collapsed="false">
      <c r="A219" s="40" t="n">
        <f aca="false">IF(OR($A$4=0,INDEX('COOIS Raw'!$A:$GZ,ROW()-4,$A$4)=""),"",IFERROR(--INDEX('COOIS Raw'!$A:$GZ,ROW()-4,$A$4),INDEX('COOIS Raw'!$A:$GZ,ROW()-4,$A$4)))</f>
        <v>100879340</v>
      </c>
      <c r="B219" s="41" t="str">
        <f aca="false">IF(A219="","",TRIM(INDEX('COOIS Raw'!$A:$GZ,ROW()-4,$B$4)))</f>
        <v>92YRA03548AAA</v>
      </c>
      <c r="C219" s="42" t="str">
        <f aca="false">IF(OR(A219="",$C$4=0),"",INDEX('COOIS Raw'!$A:$GZ,ROW()-4,$C$4))</f>
        <v>R5B ERBIUM ASSEMBLY 3</v>
      </c>
      <c r="D219" s="41" t="n">
        <f aca="false">IF(A219="","",IF($D$4=0,1,IFERROR(--INDEX('COOIS Raw'!$A:$GZ,ROW()-4,$D$4),1)))</f>
        <v>1</v>
      </c>
      <c r="E219" s="42" t="str">
        <f aca="false">IF(A219="","",INDEX('COOIS Raw'!$A:$GZ,ROW()-4,$E$4)&amp;"")</f>
        <v>REL PRT PCNF PRC MANC RESA SETC</v>
      </c>
      <c r="F219" s="43" t="n">
        <f aca="false">IF(A219="","",IFERROR(DATEVALUE(INDEX('COOIS Raw'!$A:$GZ,ROW()-4,$F$4)),INDEX('COOIS Raw'!$A:$GZ,ROW()-4,$F$4)))</f>
        <v>46293</v>
      </c>
      <c r="G219" s="41" t="str">
        <f aca="false">IF(A219="","",IF(ISNA(MATCH(B219,'Kitting Plan'!$B$6:$B$19,0)),"Not in plan","Yes"))</f>
        <v>Yes</v>
      </c>
      <c r="H219" s="41" t="n">
        <f aca="false">IF(G219="Yes",INDEX('Kitting Plan'!$D$6:$D$19,MATCH(B219,'Kitting Plan'!$B$6:$B$19,0)),"")</f>
        <v>3</v>
      </c>
      <c r="I219" s="41" t="n">
        <f aca="false">IF(A219="","",IF(ISNUMBER(SEARCH("PRT",E219)),D219,0))</f>
        <v>1</v>
      </c>
      <c r="J219" s="41" t="n">
        <f aca="false">IF(A219="","",IF(ISNUMBER(SEARCH("GMPS",E219)),D219,0))</f>
        <v>0</v>
      </c>
      <c r="K219" s="41" t="n">
        <f aca="false">IF(A219="","",IF(ISNUMBER(SEARCH("DLV",E219)),D219,0))</f>
        <v>0</v>
      </c>
      <c r="L219" s="41" t="str">
        <f aca="false">IF(A219="","",IF(K219&gt;0,"Delivered",IF(ISNUMBER(SEARCH("CNF",E219)),"In production",IF(J219&gt;0,"Issued",IF(I219&gt;0,"Kitted","Released")))))</f>
        <v>In production</v>
      </c>
      <c r="M219" s="41" t="n">
        <f aca="false">IF(G219&lt;&gt;"Yes","",COUNTIFS($B$6:$B$1505,B219,$F$6:$F$1505,"&lt;"&amp;F219)+COUNTIFS($B$6:$B$1505,B219,$F$6:$F$1505,F219,$A$6:$A$1505,"&lt;="&amp;A219))</f>
        <v>30</v>
      </c>
      <c r="N219" s="41" t="n">
        <f aca="false">IF(M219="","",ROUNDUP(M219/H219,0))</f>
        <v>10</v>
      </c>
      <c r="O219" s="41" t="str">
        <f aca="false">IF(N219="","",IF(N219&lt;='Kitting Plan'!$C$3,"Rep "&amp;N219,"Surplus"))</f>
        <v>Rep 10</v>
      </c>
    </row>
    <row r="220" customFormat="false" ht="15" hidden="false" customHeight="false" outlineLevel="0" collapsed="false">
      <c r="A220" s="40" t="n">
        <f aca="false">IF(OR($A$4=0,INDEX('COOIS Raw'!$A:$GZ,ROW()-4,$A$4)=""),"",IFERROR(--INDEX('COOIS Raw'!$A:$GZ,ROW()-4,$A$4),INDEX('COOIS Raw'!$A:$GZ,ROW()-4,$A$4)))</f>
        <v>100879341</v>
      </c>
      <c r="B220" s="41" t="str">
        <f aca="false">IF(A220="","",TRIM(INDEX('COOIS Raw'!$A:$GZ,ROW()-4,$B$4)))</f>
        <v>92YRA04548AAA</v>
      </c>
      <c r="C220" s="42" t="str">
        <f aca="false">IF(OR(A220="",$C$4=0),"",INDEX('COOIS Raw'!$A:$GZ,ROW()-4,$C$4))</f>
        <v>R5B ERBIUM ASSEMBLY 4</v>
      </c>
      <c r="D220" s="41" t="n">
        <f aca="false">IF(A220="","",IF($D$4=0,1,IFERROR(--INDEX('COOIS Raw'!$A:$GZ,ROW()-4,$D$4),1)))</f>
        <v>1</v>
      </c>
      <c r="E220" s="42" t="str">
        <f aca="false">IF(A220="","",INDEX('COOIS Raw'!$A:$GZ,ROW()-4,$E$4)&amp;"")</f>
        <v>REL PRT PCNF PRC MANC RESA SETC</v>
      </c>
      <c r="F220" s="43" t="n">
        <f aca="false">IF(A220="","",IFERROR(DATEVALUE(INDEX('COOIS Raw'!$A:$GZ,ROW()-4,$F$4)),INDEX('COOIS Raw'!$A:$GZ,ROW()-4,$F$4)))</f>
        <v>46293</v>
      </c>
      <c r="G220" s="41" t="str">
        <f aca="false">IF(A220="","",IF(ISNA(MATCH(B220,'Kitting Plan'!$B$6:$B$19,0)),"Not in plan","Yes"))</f>
        <v>Yes</v>
      </c>
      <c r="H220" s="41" t="n">
        <f aca="false">IF(G220="Yes",INDEX('Kitting Plan'!$D$6:$D$19,MATCH(B220,'Kitting Plan'!$B$6:$B$19,0)),"")</f>
        <v>3</v>
      </c>
      <c r="I220" s="41" t="n">
        <f aca="false">IF(A220="","",IF(ISNUMBER(SEARCH("PRT",E220)),D220,0))</f>
        <v>1</v>
      </c>
      <c r="J220" s="41" t="n">
        <f aca="false">IF(A220="","",IF(ISNUMBER(SEARCH("GMPS",E220)),D220,0))</f>
        <v>0</v>
      </c>
      <c r="K220" s="41" t="n">
        <f aca="false">IF(A220="","",IF(ISNUMBER(SEARCH("DLV",E220)),D220,0))</f>
        <v>0</v>
      </c>
      <c r="L220" s="41" t="str">
        <f aca="false">IF(A220="","",IF(K220&gt;0,"Delivered",IF(ISNUMBER(SEARCH("CNF",E220)),"In production",IF(J220&gt;0,"Issued",IF(I220&gt;0,"Kitted","Released")))))</f>
        <v>In production</v>
      </c>
      <c r="M220" s="41" t="n">
        <f aca="false">IF(G220&lt;&gt;"Yes","",COUNTIFS($B$6:$B$1505,B220,$F$6:$F$1505,"&lt;"&amp;F220)+COUNTIFS($B$6:$B$1505,B220,$F$6:$F$1505,F220,$A$6:$A$1505,"&lt;="&amp;A220))</f>
        <v>25</v>
      </c>
      <c r="N220" s="41" t="n">
        <f aca="false">IF(M220="","",ROUNDUP(M220/H220,0))</f>
        <v>9</v>
      </c>
      <c r="O220" s="41" t="str">
        <f aca="false">IF(N220="","",IF(N220&lt;='Kitting Plan'!$C$3,"Rep "&amp;N220,"Surplus"))</f>
        <v>Rep 9</v>
      </c>
    </row>
    <row r="221" customFormat="false" ht="15" hidden="false" customHeight="false" outlineLevel="0" collapsed="false">
      <c r="A221" s="40" t="n">
        <f aca="false">IF(OR($A$4=0,INDEX('COOIS Raw'!$A:$GZ,ROW()-4,$A$4)=""),"",IFERROR(--INDEX('COOIS Raw'!$A:$GZ,ROW()-4,$A$4),INDEX('COOIS Raw'!$A:$GZ,ROW()-4,$A$4)))</f>
        <v>100879342</v>
      </c>
      <c r="B221" s="41" t="str">
        <f aca="false">IF(A221="","",TRIM(INDEX('COOIS Raw'!$A:$GZ,ROW()-4,$B$4)))</f>
        <v>92YRA04548AAA</v>
      </c>
      <c r="C221" s="42" t="str">
        <f aca="false">IF(OR(A221="",$C$4=0),"",INDEX('COOIS Raw'!$A:$GZ,ROW()-4,$C$4))</f>
        <v>R5B ERBIUM ASSEMBLY 4</v>
      </c>
      <c r="D221" s="41" t="n">
        <f aca="false">IF(A221="","",IF($D$4=0,1,IFERROR(--INDEX('COOIS Raw'!$A:$GZ,ROW()-4,$D$4),1)))</f>
        <v>1</v>
      </c>
      <c r="E221" s="42" t="str">
        <f aca="false">IF(A221="","",INDEX('COOIS Raw'!$A:$GZ,ROW()-4,$E$4)&amp;"")</f>
        <v>REL PRT PCNF PRC MANC RESA SETC</v>
      </c>
      <c r="F221" s="43" t="n">
        <f aca="false">IF(A221="","",IFERROR(DATEVALUE(INDEX('COOIS Raw'!$A:$GZ,ROW()-4,$F$4)),INDEX('COOIS Raw'!$A:$GZ,ROW()-4,$F$4)))</f>
        <v>46293</v>
      </c>
      <c r="G221" s="41" t="str">
        <f aca="false">IF(A221="","",IF(ISNA(MATCH(B221,'Kitting Plan'!$B$6:$B$19,0)),"Not in plan","Yes"))</f>
        <v>Yes</v>
      </c>
      <c r="H221" s="41" t="n">
        <f aca="false">IF(G221="Yes",INDEX('Kitting Plan'!$D$6:$D$19,MATCH(B221,'Kitting Plan'!$B$6:$B$19,0)),"")</f>
        <v>3</v>
      </c>
      <c r="I221" s="41" t="n">
        <f aca="false">IF(A221="","",IF(ISNUMBER(SEARCH("PRT",E221)),D221,0))</f>
        <v>1</v>
      </c>
      <c r="J221" s="41" t="n">
        <f aca="false">IF(A221="","",IF(ISNUMBER(SEARCH("GMPS",E221)),D221,0))</f>
        <v>0</v>
      </c>
      <c r="K221" s="41" t="n">
        <f aca="false">IF(A221="","",IF(ISNUMBER(SEARCH("DLV",E221)),D221,0))</f>
        <v>0</v>
      </c>
      <c r="L221" s="41" t="str">
        <f aca="false">IF(A221="","",IF(K221&gt;0,"Delivered",IF(ISNUMBER(SEARCH("CNF",E221)),"In production",IF(J221&gt;0,"Issued",IF(I221&gt;0,"Kitted","Released")))))</f>
        <v>In production</v>
      </c>
      <c r="M221" s="41" t="n">
        <f aca="false">IF(G221&lt;&gt;"Yes","",COUNTIFS($B$6:$B$1505,B221,$F$6:$F$1505,"&lt;"&amp;F221)+COUNTIFS($B$6:$B$1505,B221,$F$6:$F$1505,F221,$A$6:$A$1505,"&lt;="&amp;A221))</f>
        <v>26</v>
      </c>
      <c r="N221" s="41" t="n">
        <f aca="false">IF(M221="","",ROUNDUP(M221/H221,0))</f>
        <v>9</v>
      </c>
      <c r="O221" s="41" t="str">
        <f aca="false">IF(N221="","",IF(N221&lt;='Kitting Plan'!$C$3,"Rep "&amp;N221,"Surplus"))</f>
        <v>Rep 9</v>
      </c>
    </row>
    <row r="222" customFormat="false" ht="15" hidden="false" customHeight="false" outlineLevel="0" collapsed="false">
      <c r="A222" s="40" t="n">
        <f aca="false">IF(OR($A$4=0,INDEX('COOIS Raw'!$A:$GZ,ROW()-4,$A$4)=""),"",IFERROR(--INDEX('COOIS Raw'!$A:$GZ,ROW()-4,$A$4),INDEX('COOIS Raw'!$A:$GZ,ROW()-4,$A$4)))</f>
        <v>100879343</v>
      </c>
      <c r="B222" s="41" t="str">
        <f aca="false">IF(A222="","",TRIM(INDEX('COOIS Raw'!$A:$GZ,ROW()-4,$B$4)))</f>
        <v>92YRA04548AAA</v>
      </c>
      <c r="C222" s="42" t="str">
        <f aca="false">IF(OR(A222="",$C$4=0),"",INDEX('COOIS Raw'!$A:$GZ,ROW()-4,$C$4))</f>
        <v>R5B ERBIUM ASSEMBLY 4</v>
      </c>
      <c r="D222" s="41" t="n">
        <f aca="false">IF(A222="","",IF($D$4=0,1,IFERROR(--INDEX('COOIS Raw'!$A:$GZ,ROW()-4,$D$4),1)))</f>
        <v>1</v>
      </c>
      <c r="E222" s="42" t="str">
        <f aca="false">IF(A222="","",INDEX('COOIS Raw'!$A:$GZ,ROW()-4,$E$4)&amp;"")</f>
        <v>REL PRT PCNF PRC MANC RESA SETC</v>
      </c>
      <c r="F222" s="43" t="n">
        <f aca="false">IF(A222="","",IFERROR(DATEVALUE(INDEX('COOIS Raw'!$A:$GZ,ROW()-4,$F$4)),INDEX('COOIS Raw'!$A:$GZ,ROW()-4,$F$4)))</f>
        <v>46293</v>
      </c>
      <c r="G222" s="41" t="str">
        <f aca="false">IF(A222="","",IF(ISNA(MATCH(B222,'Kitting Plan'!$B$6:$B$19,0)),"Not in plan","Yes"))</f>
        <v>Yes</v>
      </c>
      <c r="H222" s="41" t="n">
        <f aca="false">IF(G222="Yes",INDEX('Kitting Plan'!$D$6:$D$19,MATCH(B222,'Kitting Plan'!$B$6:$B$19,0)),"")</f>
        <v>3</v>
      </c>
      <c r="I222" s="41" t="n">
        <f aca="false">IF(A222="","",IF(ISNUMBER(SEARCH("PRT",E222)),D222,0))</f>
        <v>1</v>
      </c>
      <c r="J222" s="41" t="n">
        <f aca="false">IF(A222="","",IF(ISNUMBER(SEARCH("GMPS",E222)),D222,0))</f>
        <v>0</v>
      </c>
      <c r="K222" s="41" t="n">
        <f aca="false">IF(A222="","",IF(ISNUMBER(SEARCH("DLV",E222)),D222,0))</f>
        <v>0</v>
      </c>
      <c r="L222" s="41" t="str">
        <f aca="false">IF(A222="","",IF(K222&gt;0,"Delivered",IF(ISNUMBER(SEARCH("CNF",E222)),"In production",IF(J222&gt;0,"Issued",IF(I222&gt;0,"Kitted","Released")))))</f>
        <v>In production</v>
      </c>
      <c r="M222" s="41" t="n">
        <f aca="false">IF(G222&lt;&gt;"Yes","",COUNTIFS($B$6:$B$1505,B222,$F$6:$F$1505,"&lt;"&amp;F222)+COUNTIFS($B$6:$B$1505,B222,$F$6:$F$1505,F222,$A$6:$A$1505,"&lt;="&amp;A222))</f>
        <v>27</v>
      </c>
      <c r="N222" s="41" t="n">
        <f aca="false">IF(M222="","",ROUNDUP(M222/H222,0))</f>
        <v>9</v>
      </c>
      <c r="O222" s="41" t="str">
        <f aca="false">IF(N222="","",IF(N222&lt;='Kitting Plan'!$C$3,"Rep "&amp;N222,"Surplus"))</f>
        <v>Rep 9</v>
      </c>
    </row>
    <row r="223" customFormat="false" ht="15" hidden="false" customHeight="false" outlineLevel="0" collapsed="false">
      <c r="A223" s="40" t="n">
        <f aca="false">IF(OR($A$4=0,INDEX('COOIS Raw'!$A:$GZ,ROW()-4,$A$4)=""),"",IFERROR(--INDEX('COOIS Raw'!$A:$GZ,ROW()-4,$A$4),INDEX('COOIS Raw'!$A:$GZ,ROW()-4,$A$4)))</f>
        <v>100879409</v>
      </c>
      <c r="B223" s="41" t="str">
        <f aca="false">IF(A223="","",TRIM(INDEX('COOIS Raw'!$A:$GZ,ROW()-4,$B$4)))</f>
        <v>92RRA00548AAA</v>
      </c>
      <c r="C223" s="42" t="str">
        <f aca="false">IF(OR(A223="",$C$4=0),"",INDEX('COOIS Raw'!$A:$GZ,ROW()-4,$C$4))</f>
        <v>R5B ERBIUM SPOOL ASSEMBLY - E2A</v>
      </c>
      <c r="D223" s="41" t="n">
        <f aca="false">IF(A223="","",IF($D$4=0,1,IFERROR(--INDEX('COOIS Raw'!$A:$GZ,ROW()-4,$D$4),1)))</f>
        <v>1</v>
      </c>
      <c r="E223" s="42" t="str">
        <f aca="false">IF(A223="","",INDEX('COOIS Raw'!$A:$GZ,ROW()-4,$E$4)&amp;"")</f>
        <v>REL PRT PCNF PRC MANC RESA SETC</v>
      </c>
      <c r="F223" s="43" t="n">
        <f aca="false">IF(A223="","",IFERROR(DATEVALUE(INDEX('COOIS Raw'!$A:$GZ,ROW()-4,$F$4)),INDEX('COOIS Raw'!$A:$GZ,ROW()-4,$F$4)))</f>
        <v>46293</v>
      </c>
      <c r="G223" s="41" t="str">
        <f aca="false">IF(A223="","",IF(ISNA(MATCH(B223,'Kitting Plan'!$B$6:$B$19,0)),"Not in plan","Yes"))</f>
        <v>Yes</v>
      </c>
      <c r="H223" s="41" t="n">
        <f aca="false">IF(G223="Yes",INDEX('Kitting Plan'!$D$6:$D$19,MATCH(B223,'Kitting Plan'!$B$6:$B$19,0)),"")</f>
        <v>24</v>
      </c>
      <c r="I223" s="41" t="n">
        <f aca="false">IF(A223="","",IF(ISNUMBER(SEARCH("PRT",E223)),D223,0))</f>
        <v>1</v>
      </c>
      <c r="J223" s="41" t="n">
        <f aca="false">IF(A223="","",IF(ISNUMBER(SEARCH("GMPS",E223)),D223,0))</f>
        <v>0</v>
      </c>
      <c r="K223" s="41" t="n">
        <f aca="false">IF(A223="","",IF(ISNUMBER(SEARCH("DLV",E223)),D223,0))</f>
        <v>0</v>
      </c>
      <c r="L223" s="41" t="str">
        <f aca="false">IF(A223="","",IF(K223&gt;0,"Delivered",IF(ISNUMBER(SEARCH("CNF",E223)),"In production",IF(J223&gt;0,"Issued",IF(I223&gt;0,"Kitted","Released")))))</f>
        <v>In production</v>
      </c>
      <c r="M223" s="41" t="n">
        <f aca="false">IF(G223&lt;&gt;"Yes","",COUNTIFS($B$6:$B$1505,B223,$F$6:$F$1505,"&lt;"&amp;F223)+COUNTIFS($B$6:$B$1505,B223,$F$6:$F$1505,F223,$A$6:$A$1505,"&lt;="&amp;A223))</f>
        <v>203</v>
      </c>
      <c r="N223" s="41" t="n">
        <f aca="false">IF(M223="","",ROUNDUP(M223/H223,0))</f>
        <v>9</v>
      </c>
      <c r="O223" s="41" t="str">
        <f aca="false">IF(N223="","",IF(N223&lt;='Kitting Plan'!$C$3,"Rep "&amp;N223,"Surplus"))</f>
        <v>Rep 9</v>
      </c>
    </row>
    <row r="224" customFormat="false" ht="15" hidden="false" customHeight="false" outlineLevel="0" collapsed="false">
      <c r="A224" s="40" t="n">
        <f aca="false">IF(OR($A$4=0,INDEX('COOIS Raw'!$A:$GZ,ROW()-4,$A$4)=""),"",IFERROR(--INDEX('COOIS Raw'!$A:$GZ,ROW()-4,$A$4),INDEX('COOIS Raw'!$A:$GZ,ROW()-4,$A$4)))</f>
        <v>100879410</v>
      </c>
      <c r="B224" s="41" t="str">
        <f aca="false">IF(A224="","",TRIM(INDEX('COOIS Raw'!$A:$GZ,ROW()-4,$B$4)))</f>
        <v>92RRA00548AAA</v>
      </c>
      <c r="C224" s="42" t="str">
        <f aca="false">IF(OR(A224="",$C$4=0),"",INDEX('COOIS Raw'!$A:$GZ,ROW()-4,$C$4))</f>
        <v>R5B ERBIUM SPOOL ASSEMBLY - E2A</v>
      </c>
      <c r="D224" s="41" t="n">
        <f aca="false">IF(A224="","",IF($D$4=0,1,IFERROR(--INDEX('COOIS Raw'!$A:$GZ,ROW()-4,$D$4),1)))</f>
        <v>1</v>
      </c>
      <c r="E224" s="42" t="str">
        <f aca="false">IF(A224="","",INDEX('COOIS Raw'!$A:$GZ,ROW()-4,$E$4)&amp;"")</f>
        <v>REL PRT PCNF PRC MANC RESA SETC</v>
      </c>
      <c r="F224" s="43" t="n">
        <f aca="false">IF(A224="","",IFERROR(DATEVALUE(INDEX('COOIS Raw'!$A:$GZ,ROW()-4,$F$4)),INDEX('COOIS Raw'!$A:$GZ,ROW()-4,$F$4)))</f>
        <v>46293</v>
      </c>
      <c r="G224" s="41" t="str">
        <f aca="false">IF(A224="","",IF(ISNA(MATCH(B224,'Kitting Plan'!$B$6:$B$19,0)),"Not in plan","Yes"))</f>
        <v>Yes</v>
      </c>
      <c r="H224" s="41" t="n">
        <f aca="false">IF(G224="Yes",INDEX('Kitting Plan'!$D$6:$D$19,MATCH(B224,'Kitting Plan'!$B$6:$B$19,0)),"")</f>
        <v>24</v>
      </c>
      <c r="I224" s="41" t="n">
        <f aca="false">IF(A224="","",IF(ISNUMBER(SEARCH("PRT",E224)),D224,0))</f>
        <v>1</v>
      </c>
      <c r="J224" s="41" t="n">
        <f aca="false">IF(A224="","",IF(ISNUMBER(SEARCH("GMPS",E224)),D224,0))</f>
        <v>0</v>
      </c>
      <c r="K224" s="41" t="n">
        <f aca="false">IF(A224="","",IF(ISNUMBER(SEARCH("DLV",E224)),D224,0))</f>
        <v>0</v>
      </c>
      <c r="L224" s="41" t="str">
        <f aca="false">IF(A224="","",IF(K224&gt;0,"Delivered",IF(ISNUMBER(SEARCH("CNF",E224)),"In production",IF(J224&gt;0,"Issued",IF(I224&gt;0,"Kitted","Released")))))</f>
        <v>In production</v>
      </c>
      <c r="M224" s="41" t="n">
        <f aca="false">IF(G224&lt;&gt;"Yes","",COUNTIFS($B$6:$B$1505,B224,$F$6:$F$1505,"&lt;"&amp;F224)+COUNTIFS($B$6:$B$1505,B224,$F$6:$F$1505,F224,$A$6:$A$1505,"&lt;="&amp;A224))</f>
        <v>204</v>
      </c>
      <c r="N224" s="41" t="n">
        <f aca="false">IF(M224="","",ROUNDUP(M224/H224,0))</f>
        <v>9</v>
      </c>
      <c r="O224" s="41" t="str">
        <f aca="false">IF(N224="","",IF(N224&lt;='Kitting Plan'!$C$3,"Rep "&amp;N224,"Surplus"))</f>
        <v>Rep 9</v>
      </c>
    </row>
    <row r="225" customFormat="false" ht="15" hidden="false" customHeight="false" outlineLevel="0" collapsed="false">
      <c r="A225" s="40" t="n">
        <f aca="false">IF(OR($A$4=0,INDEX('COOIS Raw'!$A:$GZ,ROW()-4,$A$4)=""),"",IFERROR(--INDEX('COOIS Raw'!$A:$GZ,ROW()-4,$A$4),INDEX('COOIS Raw'!$A:$GZ,ROW()-4,$A$4)))</f>
        <v>100879411</v>
      </c>
      <c r="B225" s="41" t="str">
        <f aca="false">IF(A225="","",TRIM(INDEX('COOIS Raw'!$A:$GZ,ROW()-4,$B$4)))</f>
        <v>92RRA00548AAA</v>
      </c>
      <c r="C225" s="42" t="str">
        <f aca="false">IF(OR(A225="",$C$4=0),"",INDEX('COOIS Raw'!$A:$GZ,ROW()-4,$C$4))</f>
        <v>R5B ERBIUM SPOOL ASSEMBLY - E2A</v>
      </c>
      <c r="D225" s="41" t="n">
        <f aca="false">IF(A225="","",IF($D$4=0,1,IFERROR(--INDEX('COOIS Raw'!$A:$GZ,ROW()-4,$D$4),1)))</f>
        <v>1</v>
      </c>
      <c r="E225" s="42" t="str">
        <f aca="false">IF(A225="","",INDEX('COOIS Raw'!$A:$GZ,ROW()-4,$E$4)&amp;"")</f>
        <v>REL PRT PCNF PRC MANC RESA SETC</v>
      </c>
      <c r="F225" s="43" t="n">
        <f aca="false">IF(A225="","",IFERROR(DATEVALUE(INDEX('COOIS Raw'!$A:$GZ,ROW()-4,$F$4)),INDEX('COOIS Raw'!$A:$GZ,ROW()-4,$F$4)))</f>
        <v>46293</v>
      </c>
      <c r="G225" s="41" t="str">
        <f aca="false">IF(A225="","",IF(ISNA(MATCH(B225,'Kitting Plan'!$B$6:$B$19,0)),"Not in plan","Yes"))</f>
        <v>Yes</v>
      </c>
      <c r="H225" s="41" t="n">
        <f aca="false">IF(G225="Yes",INDEX('Kitting Plan'!$D$6:$D$19,MATCH(B225,'Kitting Plan'!$B$6:$B$19,0)),"")</f>
        <v>24</v>
      </c>
      <c r="I225" s="41" t="n">
        <f aca="false">IF(A225="","",IF(ISNUMBER(SEARCH("PRT",E225)),D225,0))</f>
        <v>1</v>
      </c>
      <c r="J225" s="41" t="n">
        <f aca="false">IF(A225="","",IF(ISNUMBER(SEARCH("GMPS",E225)),D225,0))</f>
        <v>0</v>
      </c>
      <c r="K225" s="41" t="n">
        <f aca="false">IF(A225="","",IF(ISNUMBER(SEARCH("DLV",E225)),D225,0))</f>
        <v>0</v>
      </c>
      <c r="L225" s="41" t="str">
        <f aca="false">IF(A225="","",IF(K225&gt;0,"Delivered",IF(ISNUMBER(SEARCH("CNF",E225)),"In production",IF(J225&gt;0,"Issued",IF(I225&gt;0,"Kitted","Released")))))</f>
        <v>In production</v>
      </c>
      <c r="M225" s="41" t="n">
        <f aca="false">IF(G225&lt;&gt;"Yes","",COUNTIFS($B$6:$B$1505,B225,$F$6:$F$1505,"&lt;"&amp;F225)+COUNTIFS($B$6:$B$1505,B225,$F$6:$F$1505,F225,$A$6:$A$1505,"&lt;="&amp;A225))</f>
        <v>205</v>
      </c>
      <c r="N225" s="41" t="n">
        <f aca="false">IF(M225="","",ROUNDUP(M225/H225,0))</f>
        <v>9</v>
      </c>
      <c r="O225" s="41" t="str">
        <f aca="false">IF(N225="","",IF(N225&lt;='Kitting Plan'!$C$3,"Rep "&amp;N225,"Surplus"))</f>
        <v>Rep 9</v>
      </c>
    </row>
    <row r="226" customFormat="false" ht="15" hidden="false" customHeight="false" outlineLevel="0" collapsed="false">
      <c r="A226" s="40" t="n">
        <f aca="false">IF(OR($A$4=0,INDEX('COOIS Raw'!$A:$GZ,ROW()-4,$A$4)=""),"",IFERROR(--INDEX('COOIS Raw'!$A:$GZ,ROW()-4,$A$4),INDEX('COOIS Raw'!$A:$GZ,ROW()-4,$A$4)))</f>
        <v>100879412</v>
      </c>
      <c r="B226" s="41" t="str">
        <f aca="false">IF(A226="","",TRIM(INDEX('COOIS Raw'!$A:$GZ,ROW()-4,$B$4)))</f>
        <v>92RRA00548AAA</v>
      </c>
      <c r="C226" s="42" t="str">
        <f aca="false">IF(OR(A226="",$C$4=0),"",INDEX('COOIS Raw'!$A:$GZ,ROW()-4,$C$4))</f>
        <v>R5B ERBIUM SPOOL ASSEMBLY - E2A</v>
      </c>
      <c r="D226" s="41" t="n">
        <f aca="false">IF(A226="","",IF($D$4=0,1,IFERROR(--INDEX('COOIS Raw'!$A:$GZ,ROW()-4,$D$4),1)))</f>
        <v>1</v>
      </c>
      <c r="E226" s="42" t="str">
        <f aca="false">IF(A226="","",INDEX('COOIS Raw'!$A:$GZ,ROW()-4,$E$4)&amp;"")</f>
        <v>REL PRT PCNF PRC MANC RESA SETC</v>
      </c>
      <c r="F226" s="43" t="n">
        <f aca="false">IF(A226="","",IFERROR(DATEVALUE(INDEX('COOIS Raw'!$A:$GZ,ROW()-4,$F$4)),INDEX('COOIS Raw'!$A:$GZ,ROW()-4,$F$4)))</f>
        <v>46293</v>
      </c>
      <c r="G226" s="41" t="str">
        <f aca="false">IF(A226="","",IF(ISNA(MATCH(B226,'Kitting Plan'!$B$6:$B$19,0)),"Not in plan","Yes"))</f>
        <v>Yes</v>
      </c>
      <c r="H226" s="41" t="n">
        <f aca="false">IF(G226="Yes",INDEX('Kitting Plan'!$D$6:$D$19,MATCH(B226,'Kitting Plan'!$B$6:$B$19,0)),"")</f>
        <v>24</v>
      </c>
      <c r="I226" s="41" t="n">
        <f aca="false">IF(A226="","",IF(ISNUMBER(SEARCH("PRT",E226)),D226,0))</f>
        <v>1</v>
      </c>
      <c r="J226" s="41" t="n">
        <f aca="false">IF(A226="","",IF(ISNUMBER(SEARCH("GMPS",E226)),D226,0))</f>
        <v>0</v>
      </c>
      <c r="K226" s="41" t="n">
        <f aca="false">IF(A226="","",IF(ISNUMBER(SEARCH("DLV",E226)),D226,0))</f>
        <v>0</v>
      </c>
      <c r="L226" s="41" t="str">
        <f aca="false">IF(A226="","",IF(K226&gt;0,"Delivered",IF(ISNUMBER(SEARCH("CNF",E226)),"In production",IF(J226&gt;0,"Issued",IF(I226&gt;0,"Kitted","Released")))))</f>
        <v>In production</v>
      </c>
      <c r="M226" s="41" t="n">
        <f aca="false">IF(G226&lt;&gt;"Yes","",COUNTIFS($B$6:$B$1505,B226,$F$6:$F$1505,"&lt;"&amp;F226)+COUNTIFS($B$6:$B$1505,B226,$F$6:$F$1505,F226,$A$6:$A$1505,"&lt;="&amp;A226))</f>
        <v>206</v>
      </c>
      <c r="N226" s="41" t="n">
        <f aca="false">IF(M226="","",ROUNDUP(M226/H226,0))</f>
        <v>9</v>
      </c>
      <c r="O226" s="41" t="str">
        <f aca="false">IF(N226="","",IF(N226&lt;='Kitting Plan'!$C$3,"Rep "&amp;N226,"Surplus"))</f>
        <v>Rep 9</v>
      </c>
    </row>
    <row r="227" customFormat="false" ht="15" hidden="false" customHeight="false" outlineLevel="0" collapsed="false">
      <c r="A227" s="40" t="n">
        <f aca="false">IF(OR($A$4=0,INDEX('COOIS Raw'!$A:$GZ,ROW()-4,$A$4)=""),"",IFERROR(--INDEX('COOIS Raw'!$A:$GZ,ROW()-4,$A$4),INDEX('COOIS Raw'!$A:$GZ,ROW()-4,$A$4)))</f>
        <v>100879413</v>
      </c>
      <c r="B227" s="41" t="str">
        <f aca="false">IF(A227="","",TRIM(INDEX('COOIS Raw'!$A:$GZ,ROW()-4,$B$4)))</f>
        <v>92RRA00548AAA</v>
      </c>
      <c r="C227" s="42" t="str">
        <f aca="false">IF(OR(A227="",$C$4=0),"",INDEX('COOIS Raw'!$A:$GZ,ROW()-4,$C$4))</f>
        <v>R5B ERBIUM SPOOL ASSEMBLY - E2A</v>
      </c>
      <c r="D227" s="41" t="n">
        <f aca="false">IF(A227="","",IF($D$4=0,1,IFERROR(--INDEX('COOIS Raw'!$A:$GZ,ROW()-4,$D$4),1)))</f>
        <v>1</v>
      </c>
      <c r="E227" s="42" t="str">
        <f aca="false">IF(A227="","",INDEX('COOIS Raw'!$A:$GZ,ROW()-4,$E$4)&amp;"")</f>
        <v>REL PRT PCNF PRC MANC RESA SETC</v>
      </c>
      <c r="F227" s="43" t="n">
        <f aca="false">IF(A227="","",IFERROR(DATEVALUE(INDEX('COOIS Raw'!$A:$GZ,ROW()-4,$F$4)),INDEX('COOIS Raw'!$A:$GZ,ROW()-4,$F$4)))</f>
        <v>46293</v>
      </c>
      <c r="G227" s="41" t="str">
        <f aca="false">IF(A227="","",IF(ISNA(MATCH(B227,'Kitting Plan'!$B$6:$B$19,0)),"Not in plan","Yes"))</f>
        <v>Yes</v>
      </c>
      <c r="H227" s="41" t="n">
        <f aca="false">IF(G227="Yes",INDEX('Kitting Plan'!$D$6:$D$19,MATCH(B227,'Kitting Plan'!$B$6:$B$19,0)),"")</f>
        <v>24</v>
      </c>
      <c r="I227" s="41" t="n">
        <f aca="false">IF(A227="","",IF(ISNUMBER(SEARCH("PRT",E227)),D227,0))</f>
        <v>1</v>
      </c>
      <c r="J227" s="41" t="n">
        <f aca="false">IF(A227="","",IF(ISNUMBER(SEARCH("GMPS",E227)),D227,0))</f>
        <v>0</v>
      </c>
      <c r="K227" s="41" t="n">
        <f aca="false">IF(A227="","",IF(ISNUMBER(SEARCH("DLV",E227)),D227,0))</f>
        <v>0</v>
      </c>
      <c r="L227" s="41" t="str">
        <f aca="false">IF(A227="","",IF(K227&gt;0,"Delivered",IF(ISNUMBER(SEARCH("CNF",E227)),"In production",IF(J227&gt;0,"Issued",IF(I227&gt;0,"Kitted","Released")))))</f>
        <v>In production</v>
      </c>
      <c r="M227" s="41" t="n">
        <f aca="false">IF(G227&lt;&gt;"Yes","",COUNTIFS($B$6:$B$1505,B227,$F$6:$F$1505,"&lt;"&amp;F227)+COUNTIFS($B$6:$B$1505,B227,$F$6:$F$1505,F227,$A$6:$A$1505,"&lt;="&amp;A227))</f>
        <v>207</v>
      </c>
      <c r="N227" s="41" t="n">
        <f aca="false">IF(M227="","",ROUNDUP(M227/H227,0))</f>
        <v>9</v>
      </c>
      <c r="O227" s="41" t="str">
        <f aca="false">IF(N227="","",IF(N227&lt;='Kitting Plan'!$C$3,"Rep "&amp;N227,"Surplus"))</f>
        <v>Rep 9</v>
      </c>
    </row>
    <row r="228" customFormat="false" ht="15" hidden="false" customHeight="false" outlineLevel="0" collapsed="false">
      <c r="A228" s="40" t="n">
        <f aca="false">IF(OR($A$4=0,INDEX('COOIS Raw'!$A:$GZ,ROW()-4,$A$4)=""),"",IFERROR(--INDEX('COOIS Raw'!$A:$GZ,ROW()-4,$A$4),INDEX('COOIS Raw'!$A:$GZ,ROW()-4,$A$4)))</f>
        <v>100879414</v>
      </c>
      <c r="B228" s="41" t="str">
        <f aca="false">IF(A228="","",TRIM(INDEX('COOIS Raw'!$A:$GZ,ROW()-4,$B$4)))</f>
        <v>92RRA00548AAA</v>
      </c>
      <c r="C228" s="42" t="str">
        <f aca="false">IF(OR(A228="",$C$4=0),"",INDEX('COOIS Raw'!$A:$GZ,ROW()-4,$C$4))</f>
        <v>R5B ERBIUM SPOOL ASSEMBLY - E2A</v>
      </c>
      <c r="D228" s="41" t="n">
        <f aca="false">IF(A228="","",IF($D$4=0,1,IFERROR(--INDEX('COOIS Raw'!$A:$GZ,ROW()-4,$D$4),1)))</f>
        <v>1</v>
      </c>
      <c r="E228" s="42" t="str">
        <f aca="false">IF(A228="","",INDEX('COOIS Raw'!$A:$GZ,ROW()-4,$E$4)&amp;"")</f>
        <v>REL PRT PCNF PRC MANC RESA SETC</v>
      </c>
      <c r="F228" s="43" t="n">
        <f aca="false">IF(A228="","",IFERROR(DATEVALUE(INDEX('COOIS Raw'!$A:$GZ,ROW()-4,$F$4)),INDEX('COOIS Raw'!$A:$GZ,ROW()-4,$F$4)))</f>
        <v>46293</v>
      </c>
      <c r="G228" s="41" t="str">
        <f aca="false">IF(A228="","",IF(ISNA(MATCH(B228,'Kitting Plan'!$B$6:$B$19,0)),"Not in plan","Yes"))</f>
        <v>Yes</v>
      </c>
      <c r="H228" s="41" t="n">
        <f aca="false">IF(G228="Yes",INDEX('Kitting Plan'!$D$6:$D$19,MATCH(B228,'Kitting Plan'!$B$6:$B$19,0)),"")</f>
        <v>24</v>
      </c>
      <c r="I228" s="41" t="n">
        <f aca="false">IF(A228="","",IF(ISNUMBER(SEARCH("PRT",E228)),D228,0))</f>
        <v>1</v>
      </c>
      <c r="J228" s="41" t="n">
        <f aca="false">IF(A228="","",IF(ISNUMBER(SEARCH("GMPS",E228)),D228,0))</f>
        <v>0</v>
      </c>
      <c r="K228" s="41" t="n">
        <f aca="false">IF(A228="","",IF(ISNUMBER(SEARCH("DLV",E228)),D228,0))</f>
        <v>0</v>
      </c>
      <c r="L228" s="41" t="str">
        <f aca="false">IF(A228="","",IF(K228&gt;0,"Delivered",IF(ISNUMBER(SEARCH("CNF",E228)),"In production",IF(J228&gt;0,"Issued",IF(I228&gt;0,"Kitted","Released")))))</f>
        <v>In production</v>
      </c>
      <c r="M228" s="41" t="n">
        <f aca="false">IF(G228&lt;&gt;"Yes","",COUNTIFS($B$6:$B$1505,B228,$F$6:$F$1505,"&lt;"&amp;F228)+COUNTIFS($B$6:$B$1505,B228,$F$6:$F$1505,F228,$A$6:$A$1505,"&lt;="&amp;A228))</f>
        <v>208</v>
      </c>
      <c r="N228" s="41" t="n">
        <f aca="false">IF(M228="","",ROUNDUP(M228/H228,0))</f>
        <v>9</v>
      </c>
      <c r="O228" s="41" t="str">
        <f aca="false">IF(N228="","",IF(N228&lt;='Kitting Plan'!$C$3,"Rep "&amp;N228,"Surplus"))</f>
        <v>Rep 9</v>
      </c>
    </row>
    <row r="229" customFormat="false" ht="15" hidden="false" customHeight="false" outlineLevel="0" collapsed="false">
      <c r="A229" s="40" t="n">
        <f aca="false">IF(OR($A$4=0,INDEX('COOIS Raw'!$A:$GZ,ROW()-4,$A$4)=""),"",IFERROR(--INDEX('COOIS Raw'!$A:$GZ,ROW()-4,$A$4),INDEX('COOIS Raw'!$A:$GZ,ROW()-4,$A$4)))</f>
        <v>100879415</v>
      </c>
      <c r="B229" s="41" t="str">
        <f aca="false">IF(A229="","",TRIM(INDEX('COOIS Raw'!$A:$GZ,ROW()-4,$B$4)))</f>
        <v>92RRA00548AAA</v>
      </c>
      <c r="C229" s="42" t="str">
        <f aca="false">IF(OR(A229="",$C$4=0),"",INDEX('COOIS Raw'!$A:$GZ,ROW()-4,$C$4))</f>
        <v>R5B ERBIUM SPOOL ASSEMBLY - E2A</v>
      </c>
      <c r="D229" s="41" t="n">
        <f aca="false">IF(A229="","",IF($D$4=0,1,IFERROR(--INDEX('COOIS Raw'!$A:$GZ,ROW()-4,$D$4),1)))</f>
        <v>1</v>
      </c>
      <c r="E229" s="42" t="str">
        <f aca="false">IF(A229="","",INDEX('COOIS Raw'!$A:$GZ,ROW()-4,$E$4)&amp;"")</f>
        <v>REL PRT PCNF PRC MANC RESA SETC</v>
      </c>
      <c r="F229" s="43" t="n">
        <f aca="false">IF(A229="","",IFERROR(DATEVALUE(INDEX('COOIS Raw'!$A:$GZ,ROW()-4,$F$4)),INDEX('COOIS Raw'!$A:$GZ,ROW()-4,$F$4)))</f>
        <v>46293</v>
      </c>
      <c r="G229" s="41" t="str">
        <f aca="false">IF(A229="","",IF(ISNA(MATCH(B229,'Kitting Plan'!$B$6:$B$19,0)),"Not in plan","Yes"))</f>
        <v>Yes</v>
      </c>
      <c r="H229" s="41" t="n">
        <f aca="false">IF(G229="Yes",INDEX('Kitting Plan'!$D$6:$D$19,MATCH(B229,'Kitting Plan'!$B$6:$B$19,0)),"")</f>
        <v>24</v>
      </c>
      <c r="I229" s="41" t="n">
        <f aca="false">IF(A229="","",IF(ISNUMBER(SEARCH("PRT",E229)),D229,0))</f>
        <v>1</v>
      </c>
      <c r="J229" s="41" t="n">
        <f aca="false">IF(A229="","",IF(ISNUMBER(SEARCH("GMPS",E229)),D229,0))</f>
        <v>0</v>
      </c>
      <c r="K229" s="41" t="n">
        <f aca="false">IF(A229="","",IF(ISNUMBER(SEARCH("DLV",E229)),D229,0))</f>
        <v>0</v>
      </c>
      <c r="L229" s="41" t="str">
        <f aca="false">IF(A229="","",IF(K229&gt;0,"Delivered",IF(ISNUMBER(SEARCH("CNF",E229)),"In production",IF(J229&gt;0,"Issued",IF(I229&gt;0,"Kitted","Released")))))</f>
        <v>In production</v>
      </c>
      <c r="M229" s="41" t="n">
        <f aca="false">IF(G229&lt;&gt;"Yes","",COUNTIFS($B$6:$B$1505,B229,$F$6:$F$1505,"&lt;"&amp;F229)+COUNTIFS($B$6:$B$1505,B229,$F$6:$F$1505,F229,$A$6:$A$1505,"&lt;="&amp;A229))</f>
        <v>209</v>
      </c>
      <c r="N229" s="41" t="n">
        <f aca="false">IF(M229="","",ROUNDUP(M229/H229,0))</f>
        <v>9</v>
      </c>
      <c r="O229" s="41" t="str">
        <f aca="false">IF(N229="","",IF(N229&lt;='Kitting Plan'!$C$3,"Rep "&amp;N229,"Surplus"))</f>
        <v>Rep 9</v>
      </c>
    </row>
    <row r="230" customFormat="false" ht="15" hidden="false" customHeight="false" outlineLevel="0" collapsed="false">
      <c r="A230" s="40" t="n">
        <f aca="false">IF(OR($A$4=0,INDEX('COOIS Raw'!$A:$GZ,ROW()-4,$A$4)=""),"",IFERROR(--INDEX('COOIS Raw'!$A:$GZ,ROW()-4,$A$4),INDEX('COOIS Raw'!$A:$GZ,ROW()-4,$A$4)))</f>
        <v>100879416</v>
      </c>
      <c r="B230" s="41" t="str">
        <f aca="false">IF(A230="","",TRIM(INDEX('COOIS Raw'!$A:$GZ,ROW()-4,$B$4)))</f>
        <v>92RRA00548AAA</v>
      </c>
      <c r="C230" s="42" t="str">
        <f aca="false">IF(OR(A230="",$C$4=0),"",INDEX('COOIS Raw'!$A:$GZ,ROW()-4,$C$4))</f>
        <v>R5B ERBIUM SPOOL ASSEMBLY - E2A</v>
      </c>
      <c r="D230" s="41" t="n">
        <f aca="false">IF(A230="","",IF($D$4=0,1,IFERROR(--INDEX('COOIS Raw'!$A:$GZ,ROW()-4,$D$4),1)))</f>
        <v>1</v>
      </c>
      <c r="E230" s="42" t="str">
        <f aca="false">IF(A230="","",INDEX('COOIS Raw'!$A:$GZ,ROW()-4,$E$4)&amp;"")</f>
        <v>REL PRT PCNF PRC MANC RESA SETC</v>
      </c>
      <c r="F230" s="43" t="n">
        <f aca="false">IF(A230="","",IFERROR(DATEVALUE(INDEX('COOIS Raw'!$A:$GZ,ROW()-4,$F$4)),INDEX('COOIS Raw'!$A:$GZ,ROW()-4,$F$4)))</f>
        <v>46293</v>
      </c>
      <c r="G230" s="41" t="str">
        <f aca="false">IF(A230="","",IF(ISNA(MATCH(B230,'Kitting Plan'!$B$6:$B$19,0)),"Not in plan","Yes"))</f>
        <v>Yes</v>
      </c>
      <c r="H230" s="41" t="n">
        <f aca="false">IF(G230="Yes",INDEX('Kitting Plan'!$D$6:$D$19,MATCH(B230,'Kitting Plan'!$B$6:$B$19,0)),"")</f>
        <v>24</v>
      </c>
      <c r="I230" s="41" t="n">
        <f aca="false">IF(A230="","",IF(ISNUMBER(SEARCH("PRT",E230)),D230,0))</f>
        <v>1</v>
      </c>
      <c r="J230" s="41" t="n">
        <f aca="false">IF(A230="","",IF(ISNUMBER(SEARCH("GMPS",E230)),D230,0))</f>
        <v>0</v>
      </c>
      <c r="K230" s="41" t="n">
        <f aca="false">IF(A230="","",IF(ISNUMBER(SEARCH("DLV",E230)),D230,0))</f>
        <v>0</v>
      </c>
      <c r="L230" s="41" t="str">
        <f aca="false">IF(A230="","",IF(K230&gt;0,"Delivered",IF(ISNUMBER(SEARCH("CNF",E230)),"In production",IF(J230&gt;0,"Issued",IF(I230&gt;0,"Kitted","Released")))))</f>
        <v>In production</v>
      </c>
      <c r="M230" s="41" t="n">
        <f aca="false">IF(G230&lt;&gt;"Yes","",COUNTIFS($B$6:$B$1505,B230,$F$6:$F$1505,"&lt;"&amp;F230)+COUNTIFS($B$6:$B$1505,B230,$F$6:$F$1505,F230,$A$6:$A$1505,"&lt;="&amp;A230))</f>
        <v>210</v>
      </c>
      <c r="N230" s="41" t="n">
        <f aca="false">IF(M230="","",ROUNDUP(M230/H230,0))</f>
        <v>9</v>
      </c>
      <c r="O230" s="41" t="str">
        <f aca="false">IF(N230="","",IF(N230&lt;='Kitting Plan'!$C$3,"Rep "&amp;N230,"Surplus"))</f>
        <v>Rep 9</v>
      </c>
    </row>
    <row r="231" customFormat="false" ht="15" hidden="false" customHeight="false" outlineLevel="0" collapsed="false">
      <c r="A231" s="40" t="n">
        <f aca="false">IF(OR($A$4=0,INDEX('COOIS Raw'!$A:$GZ,ROW()-4,$A$4)=""),"",IFERROR(--INDEX('COOIS Raw'!$A:$GZ,ROW()-4,$A$4),INDEX('COOIS Raw'!$A:$GZ,ROW()-4,$A$4)))</f>
        <v>100879417</v>
      </c>
      <c r="B231" s="41" t="str">
        <f aca="false">IF(A231="","",TRIM(INDEX('COOIS Raw'!$A:$GZ,ROW()-4,$B$4)))</f>
        <v>92RRA00548AAA</v>
      </c>
      <c r="C231" s="42" t="str">
        <f aca="false">IF(OR(A231="",$C$4=0),"",INDEX('COOIS Raw'!$A:$GZ,ROW()-4,$C$4))</f>
        <v>R5B ERBIUM SPOOL ASSEMBLY - E2A</v>
      </c>
      <c r="D231" s="41" t="n">
        <f aca="false">IF(A231="","",IF($D$4=0,1,IFERROR(--INDEX('COOIS Raw'!$A:$GZ,ROW()-4,$D$4),1)))</f>
        <v>1</v>
      </c>
      <c r="E231" s="42" t="str">
        <f aca="false">IF(A231="","",INDEX('COOIS Raw'!$A:$GZ,ROW()-4,$E$4)&amp;"")</f>
        <v>REL PRT PCNF PRC MANC RESA SETC</v>
      </c>
      <c r="F231" s="43" t="n">
        <f aca="false">IF(A231="","",IFERROR(DATEVALUE(INDEX('COOIS Raw'!$A:$GZ,ROW()-4,$F$4)),INDEX('COOIS Raw'!$A:$GZ,ROW()-4,$F$4)))</f>
        <v>46293</v>
      </c>
      <c r="G231" s="41" t="str">
        <f aca="false">IF(A231="","",IF(ISNA(MATCH(B231,'Kitting Plan'!$B$6:$B$19,0)),"Not in plan","Yes"))</f>
        <v>Yes</v>
      </c>
      <c r="H231" s="41" t="n">
        <f aca="false">IF(G231="Yes",INDEX('Kitting Plan'!$D$6:$D$19,MATCH(B231,'Kitting Plan'!$B$6:$B$19,0)),"")</f>
        <v>24</v>
      </c>
      <c r="I231" s="41" t="n">
        <f aca="false">IF(A231="","",IF(ISNUMBER(SEARCH("PRT",E231)),D231,0))</f>
        <v>1</v>
      </c>
      <c r="J231" s="41" t="n">
        <f aca="false">IF(A231="","",IF(ISNUMBER(SEARCH("GMPS",E231)),D231,0))</f>
        <v>0</v>
      </c>
      <c r="K231" s="41" t="n">
        <f aca="false">IF(A231="","",IF(ISNUMBER(SEARCH("DLV",E231)),D231,0))</f>
        <v>0</v>
      </c>
      <c r="L231" s="41" t="str">
        <f aca="false">IF(A231="","",IF(K231&gt;0,"Delivered",IF(ISNUMBER(SEARCH("CNF",E231)),"In production",IF(J231&gt;0,"Issued",IF(I231&gt;0,"Kitted","Released")))))</f>
        <v>In production</v>
      </c>
      <c r="M231" s="41" t="n">
        <f aca="false">IF(G231&lt;&gt;"Yes","",COUNTIFS($B$6:$B$1505,B231,$F$6:$F$1505,"&lt;"&amp;F231)+COUNTIFS($B$6:$B$1505,B231,$F$6:$F$1505,F231,$A$6:$A$1505,"&lt;="&amp;A231))</f>
        <v>211</v>
      </c>
      <c r="N231" s="41" t="n">
        <f aca="false">IF(M231="","",ROUNDUP(M231/H231,0))</f>
        <v>9</v>
      </c>
      <c r="O231" s="41" t="str">
        <f aca="false">IF(N231="","",IF(N231&lt;='Kitting Plan'!$C$3,"Rep "&amp;N231,"Surplus"))</f>
        <v>Rep 9</v>
      </c>
    </row>
    <row r="232" customFormat="false" ht="15" hidden="false" customHeight="false" outlineLevel="0" collapsed="false">
      <c r="A232" s="40" t="n">
        <f aca="false">IF(OR($A$4=0,INDEX('COOIS Raw'!$A:$GZ,ROW()-4,$A$4)=""),"",IFERROR(--INDEX('COOIS Raw'!$A:$GZ,ROW()-4,$A$4),INDEX('COOIS Raw'!$A:$GZ,ROW()-4,$A$4)))</f>
        <v>100879418</v>
      </c>
      <c r="B232" s="41" t="str">
        <f aca="false">IF(A232="","",TRIM(INDEX('COOIS Raw'!$A:$GZ,ROW()-4,$B$4)))</f>
        <v>92RRA00548AAA</v>
      </c>
      <c r="C232" s="42" t="str">
        <f aca="false">IF(OR(A232="",$C$4=0),"",INDEX('COOIS Raw'!$A:$GZ,ROW()-4,$C$4))</f>
        <v>R5B ERBIUM SPOOL ASSEMBLY - E2A</v>
      </c>
      <c r="D232" s="41" t="n">
        <f aca="false">IF(A232="","",IF($D$4=0,1,IFERROR(--INDEX('COOIS Raw'!$A:$GZ,ROW()-4,$D$4),1)))</f>
        <v>1</v>
      </c>
      <c r="E232" s="42" t="str">
        <f aca="false">IF(A232="","",INDEX('COOIS Raw'!$A:$GZ,ROW()-4,$E$4)&amp;"")</f>
        <v>REL PRT PCNF PRC MANC RESA SETC</v>
      </c>
      <c r="F232" s="43" t="n">
        <f aca="false">IF(A232="","",IFERROR(DATEVALUE(INDEX('COOIS Raw'!$A:$GZ,ROW()-4,$F$4)),INDEX('COOIS Raw'!$A:$GZ,ROW()-4,$F$4)))</f>
        <v>46293</v>
      </c>
      <c r="G232" s="41" t="str">
        <f aca="false">IF(A232="","",IF(ISNA(MATCH(B232,'Kitting Plan'!$B$6:$B$19,0)),"Not in plan","Yes"))</f>
        <v>Yes</v>
      </c>
      <c r="H232" s="41" t="n">
        <f aca="false">IF(G232="Yes",INDEX('Kitting Plan'!$D$6:$D$19,MATCH(B232,'Kitting Plan'!$B$6:$B$19,0)),"")</f>
        <v>24</v>
      </c>
      <c r="I232" s="41" t="n">
        <f aca="false">IF(A232="","",IF(ISNUMBER(SEARCH("PRT",E232)),D232,0))</f>
        <v>1</v>
      </c>
      <c r="J232" s="41" t="n">
        <f aca="false">IF(A232="","",IF(ISNUMBER(SEARCH("GMPS",E232)),D232,0))</f>
        <v>0</v>
      </c>
      <c r="K232" s="41" t="n">
        <f aca="false">IF(A232="","",IF(ISNUMBER(SEARCH("DLV",E232)),D232,0))</f>
        <v>0</v>
      </c>
      <c r="L232" s="41" t="str">
        <f aca="false">IF(A232="","",IF(K232&gt;0,"Delivered",IF(ISNUMBER(SEARCH("CNF",E232)),"In production",IF(J232&gt;0,"Issued",IF(I232&gt;0,"Kitted","Released")))))</f>
        <v>In production</v>
      </c>
      <c r="M232" s="41" t="n">
        <f aca="false">IF(G232&lt;&gt;"Yes","",COUNTIFS($B$6:$B$1505,B232,$F$6:$F$1505,"&lt;"&amp;F232)+COUNTIFS($B$6:$B$1505,B232,$F$6:$F$1505,F232,$A$6:$A$1505,"&lt;="&amp;A232))</f>
        <v>212</v>
      </c>
      <c r="N232" s="41" t="n">
        <f aca="false">IF(M232="","",ROUNDUP(M232/H232,0))</f>
        <v>9</v>
      </c>
      <c r="O232" s="41" t="str">
        <f aca="false">IF(N232="","",IF(N232&lt;='Kitting Plan'!$C$3,"Rep "&amp;N232,"Surplus"))</f>
        <v>Rep 9</v>
      </c>
    </row>
    <row r="233" customFormat="false" ht="15" hidden="false" customHeight="false" outlineLevel="0" collapsed="false">
      <c r="A233" s="40" t="n">
        <f aca="false">IF(OR($A$4=0,INDEX('COOIS Raw'!$A:$GZ,ROW()-4,$A$4)=""),"",IFERROR(--INDEX('COOIS Raw'!$A:$GZ,ROW()-4,$A$4),INDEX('COOIS Raw'!$A:$GZ,ROW()-4,$A$4)))</f>
        <v>100879419</v>
      </c>
      <c r="B233" s="41" t="str">
        <f aca="false">IF(A233="","",TRIM(INDEX('COOIS Raw'!$A:$GZ,ROW()-4,$B$4)))</f>
        <v>92RRA00548AAA</v>
      </c>
      <c r="C233" s="42" t="str">
        <f aca="false">IF(OR(A233="",$C$4=0),"",INDEX('COOIS Raw'!$A:$GZ,ROW()-4,$C$4))</f>
        <v>R5B ERBIUM SPOOL ASSEMBLY - E2A</v>
      </c>
      <c r="D233" s="41" t="n">
        <f aca="false">IF(A233="","",IF($D$4=0,1,IFERROR(--INDEX('COOIS Raw'!$A:$GZ,ROW()-4,$D$4),1)))</f>
        <v>1</v>
      </c>
      <c r="E233" s="42" t="str">
        <f aca="false">IF(A233="","",INDEX('COOIS Raw'!$A:$GZ,ROW()-4,$E$4)&amp;"")</f>
        <v>REL PRT PCNF PRC MANC RESA SETC</v>
      </c>
      <c r="F233" s="43" t="n">
        <f aca="false">IF(A233="","",IFERROR(DATEVALUE(INDEX('COOIS Raw'!$A:$GZ,ROW()-4,$F$4)),INDEX('COOIS Raw'!$A:$GZ,ROW()-4,$F$4)))</f>
        <v>46293</v>
      </c>
      <c r="G233" s="41" t="str">
        <f aca="false">IF(A233="","",IF(ISNA(MATCH(B233,'Kitting Plan'!$B$6:$B$19,0)),"Not in plan","Yes"))</f>
        <v>Yes</v>
      </c>
      <c r="H233" s="41" t="n">
        <f aca="false">IF(G233="Yes",INDEX('Kitting Plan'!$D$6:$D$19,MATCH(B233,'Kitting Plan'!$B$6:$B$19,0)),"")</f>
        <v>24</v>
      </c>
      <c r="I233" s="41" t="n">
        <f aca="false">IF(A233="","",IF(ISNUMBER(SEARCH("PRT",E233)),D233,0))</f>
        <v>1</v>
      </c>
      <c r="J233" s="41" t="n">
        <f aca="false">IF(A233="","",IF(ISNUMBER(SEARCH("GMPS",E233)),D233,0))</f>
        <v>0</v>
      </c>
      <c r="K233" s="41" t="n">
        <f aca="false">IF(A233="","",IF(ISNUMBER(SEARCH("DLV",E233)),D233,0))</f>
        <v>0</v>
      </c>
      <c r="L233" s="41" t="str">
        <f aca="false">IF(A233="","",IF(K233&gt;0,"Delivered",IF(ISNUMBER(SEARCH("CNF",E233)),"In production",IF(J233&gt;0,"Issued",IF(I233&gt;0,"Kitted","Released")))))</f>
        <v>In production</v>
      </c>
      <c r="M233" s="41" t="n">
        <f aca="false">IF(G233&lt;&gt;"Yes","",COUNTIFS($B$6:$B$1505,B233,$F$6:$F$1505,"&lt;"&amp;F233)+COUNTIFS($B$6:$B$1505,B233,$F$6:$F$1505,F233,$A$6:$A$1505,"&lt;="&amp;A233))</f>
        <v>213</v>
      </c>
      <c r="N233" s="41" t="n">
        <f aca="false">IF(M233="","",ROUNDUP(M233/H233,0))</f>
        <v>9</v>
      </c>
      <c r="O233" s="41" t="str">
        <f aca="false">IF(N233="","",IF(N233&lt;='Kitting Plan'!$C$3,"Rep "&amp;N233,"Surplus"))</f>
        <v>Rep 9</v>
      </c>
    </row>
    <row r="234" customFormat="false" ht="15" hidden="false" customHeight="false" outlineLevel="0" collapsed="false">
      <c r="A234" s="40" t="n">
        <f aca="false">IF(OR($A$4=0,INDEX('COOIS Raw'!$A:$GZ,ROW()-4,$A$4)=""),"",IFERROR(--INDEX('COOIS Raw'!$A:$GZ,ROW()-4,$A$4),INDEX('COOIS Raw'!$A:$GZ,ROW()-4,$A$4)))</f>
        <v>100879420</v>
      </c>
      <c r="B234" s="41" t="str">
        <f aca="false">IF(A234="","",TRIM(INDEX('COOIS Raw'!$A:$GZ,ROW()-4,$B$4)))</f>
        <v>92RRA00548AAA</v>
      </c>
      <c r="C234" s="42" t="str">
        <f aca="false">IF(OR(A234="",$C$4=0),"",INDEX('COOIS Raw'!$A:$GZ,ROW()-4,$C$4))</f>
        <v>R5B ERBIUM SPOOL ASSEMBLY - E2A</v>
      </c>
      <c r="D234" s="41" t="n">
        <f aca="false">IF(A234="","",IF($D$4=0,1,IFERROR(--INDEX('COOIS Raw'!$A:$GZ,ROW()-4,$D$4),1)))</f>
        <v>1</v>
      </c>
      <c r="E234" s="42" t="str">
        <f aca="false">IF(A234="","",INDEX('COOIS Raw'!$A:$GZ,ROW()-4,$E$4)&amp;"")</f>
        <v>REL PRT PCNF PRC MANC RESA SETC</v>
      </c>
      <c r="F234" s="43" t="n">
        <f aca="false">IF(A234="","",IFERROR(DATEVALUE(INDEX('COOIS Raw'!$A:$GZ,ROW()-4,$F$4)),INDEX('COOIS Raw'!$A:$GZ,ROW()-4,$F$4)))</f>
        <v>46293</v>
      </c>
      <c r="G234" s="41" t="str">
        <f aca="false">IF(A234="","",IF(ISNA(MATCH(B234,'Kitting Plan'!$B$6:$B$19,0)),"Not in plan","Yes"))</f>
        <v>Yes</v>
      </c>
      <c r="H234" s="41" t="n">
        <f aca="false">IF(G234="Yes",INDEX('Kitting Plan'!$D$6:$D$19,MATCH(B234,'Kitting Plan'!$B$6:$B$19,0)),"")</f>
        <v>24</v>
      </c>
      <c r="I234" s="41" t="n">
        <f aca="false">IF(A234="","",IF(ISNUMBER(SEARCH("PRT",E234)),D234,0))</f>
        <v>1</v>
      </c>
      <c r="J234" s="41" t="n">
        <f aca="false">IF(A234="","",IF(ISNUMBER(SEARCH("GMPS",E234)),D234,0))</f>
        <v>0</v>
      </c>
      <c r="K234" s="41" t="n">
        <f aca="false">IF(A234="","",IF(ISNUMBER(SEARCH("DLV",E234)),D234,0))</f>
        <v>0</v>
      </c>
      <c r="L234" s="41" t="str">
        <f aca="false">IF(A234="","",IF(K234&gt;0,"Delivered",IF(ISNUMBER(SEARCH("CNF",E234)),"In production",IF(J234&gt;0,"Issued",IF(I234&gt;0,"Kitted","Released")))))</f>
        <v>In production</v>
      </c>
      <c r="M234" s="41" t="n">
        <f aca="false">IF(G234&lt;&gt;"Yes","",COUNTIFS($B$6:$B$1505,B234,$F$6:$F$1505,"&lt;"&amp;F234)+COUNTIFS($B$6:$B$1505,B234,$F$6:$F$1505,F234,$A$6:$A$1505,"&lt;="&amp;A234))</f>
        <v>214</v>
      </c>
      <c r="N234" s="41" t="n">
        <f aca="false">IF(M234="","",ROUNDUP(M234/H234,0))</f>
        <v>9</v>
      </c>
      <c r="O234" s="41" t="str">
        <f aca="false">IF(N234="","",IF(N234&lt;='Kitting Plan'!$C$3,"Rep "&amp;N234,"Surplus"))</f>
        <v>Rep 9</v>
      </c>
    </row>
    <row r="235" customFormat="false" ht="15" hidden="false" customHeight="false" outlineLevel="0" collapsed="false">
      <c r="A235" s="40" t="n">
        <f aca="false">IF(OR($A$4=0,INDEX('COOIS Raw'!$A:$GZ,ROW()-4,$A$4)=""),"",IFERROR(--INDEX('COOIS Raw'!$A:$GZ,ROW()-4,$A$4),INDEX('COOIS Raw'!$A:$GZ,ROW()-4,$A$4)))</f>
        <v>100879421</v>
      </c>
      <c r="B235" s="41" t="str">
        <f aca="false">IF(A235="","",TRIM(INDEX('COOIS Raw'!$A:$GZ,ROW()-4,$B$4)))</f>
        <v>92RRA00548AAA</v>
      </c>
      <c r="C235" s="42" t="str">
        <f aca="false">IF(OR(A235="",$C$4=0),"",INDEX('COOIS Raw'!$A:$GZ,ROW()-4,$C$4))</f>
        <v>R5B ERBIUM SPOOL ASSEMBLY - E2A</v>
      </c>
      <c r="D235" s="41" t="n">
        <f aca="false">IF(A235="","",IF($D$4=0,1,IFERROR(--INDEX('COOIS Raw'!$A:$GZ,ROW()-4,$D$4),1)))</f>
        <v>1</v>
      </c>
      <c r="E235" s="42" t="str">
        <f aca="false">IF(A235="","",INDEX('COOIS Raw'!$A:$GZ,ROW()-4,$E$4)&amp;"")</f>
        <v>REL PRT PCNF PRC MANC RESA SETC</v>
      </c>
      <c r="F235" s="43" t="n">
        <f aca="false">IF(A235="","",IFERROR(DATEVALUE(INDEX('COOIS Raw'!$A:$GZ,ROW()-4,$F$4)),INDEX('COOIS Raw'!$A:$GZ,ROW()-4,$F$4)))</f>
        <v>46293</v>
      </c>
      <c r="G235" s="41" t="str">
        <f aca="false">IF(A235="","",IF(ISNA(MATCH(B235,'Kitting Plan'!$B$6:$B$19,0)),"Not in plan","Yes"))</f>
        <v>Yes</v>
      </c>
      <c r="H235" s="41" t="n">
        <f aca="false">IF(G235="Yes",INDEX('Kitting Plan'!$D$6:$D$19,MATCH(B235,'Kitting Plan'!$B$6:$B$19,0)),"")</f>
        <v>24</v>
      </c>
      <c r="I235" s="41" t="n">
        <f aca="false">IF(A235="","",IF(ISNUMBER(SEARCH("PRT",E235)),D235,0))</f>
        <v>1</v>
      </c>
      <c r="J235" s="41" t="n">
        <f aca="false">IF(A235="","",IF(ISNUMBER(SEARCH("GMPS",E235)),D235,0))</f>
        <v>0</v>
      </c>
      <c r="K235" s="41" t="n">
        <f aca="false">IF(A235="","",IF(ISNUMBER(SEARCH("DLV",E235)),D235,0))</f>
        <v>0</v>
      </c>
      <c r="L235" s="41" t="str">
        <f aca="false">IF(A235="","",IF(K235&gt;0,"Delivered",IF(ISNUMBER(SEARCH("CNF",E235)),"In production",IF(J235&gt;0,"Issued",IF(I235&gt;0,"Kitted","Released")))))</f>
        <v>In production</v>
      </c>
      <c r="M235" s="41" t="n">
        <f aca="false">IF(G235&lt;&gt;"Yes","",COUNTIFS($B$6:$B$1505,B235,$F$6:$F$1505,"&lt;"&amp;F235)+COUNTIFS($B$6:$B$1505,B235,$F$6:$F$1505,F235,$A$6:$A$1505,"&lt;="&amp;A235))</f>
        <v>215</v>
      </c>
      <c r="N235" s="41" t="n">
        <f aca="false">IF(M235="","",ROUNDUP(M235/H235,0))</f>
        <v>9</v>
      </c>
      <c r="O235" s="41" t="str">
        <f aca="false">IF(N235="","",IF(N235&lt;='Kitting Plan'!$C$3,"Rep "&amp;N235,"Surplus"))</f>
        <v>Rep 9</v>
      </c>
    </row>
    <row r="236" customFormat="false" ht="15" hidden="false" customHeight="false" outlineLevel="0" collapsed="false">
      <c r="A236" s="40" t="n">
        <f aca="false">IF(OR($A$4=0,INDEX('COOIS Raw'!$A:$GZ,ROW()-4,$A$4)=""),"",IFERROR(--INDEX('COOIS Raw'!$A:$GZ,ROW()-4,$A$4),INDEX('COOIS Raw'!$A:$GZ,ROW()-4,$A$4)))</f>
        <v>100879422</v>
      </c>
      <c r="B236" s="41" t="str">
        <f aca="false">IF(A236="","",TRIM(INDEX('COOIS Raw'!$A:$GZ,ROW()-4,$B$4)))</f>
        <v>92RRA00548AAA</v>
      </c>
      <c r="C236" s="42" t="str">
        <f aca="false">IF(OR(A236="",$C$4=0),"",INDEX('COOIS Raw'!$A:$GZ,ROW()-4,$C$4))</f>
        <v>R5B ERBIUM SPOOL ASSEMBLY - E2A</v>
      </c>
      <c r="D236" s="41" t="n">
        <f aca="false">IF(A236="","",IF($D$4=0,1,IFERROR(--INDEX('COOIS Raw'!$A:$GZ,ROW()-4,$D$4),1)))</f>
        <v>1</v>
      </c>
      <c r="E236" s="42" t="str">
        <f aca="false">IF(A236="","",INDEX('COOIS Raw'!$A:$GZ,ROW()-4,$E$4)&amp;"")</f>
        <v>REL PRT PCNF PRC MANC RESA SETC</v>
      </c>
      <c r="F236" s="43" t="n">
        <f aca="false">IF(A236="","",IFERROR(DATEVALUE(INDEX('COOIS Raw'!$A:$GZ,ROW()-4,$F$4)),INDEX('COOIS Raw'!$A:$GZ,ROW()-4,$F$4)))</f>
        <v>46293</v>
      </c>
      <c r="G236" s="41" t="str">
        <f aca="false">IF(A236="","",IF(ISNA(MATCH(B236,'Kitting Plan'!$B$6:$B$19,0)),"Not in plan","Yes"))</f>
        <v>Yes</v>
      </c>
      <c r="H236" s="41" t="n">
        <f aca="false">IF(G236="Yes",INDEX('Kitting Plan'!$D$6:$D$19,MATCH(B236,'Kitting Plan'!$B$6:$B$19,0)),"")</f>
        <v>24</v>
      </c>
      <c r="I236" s="41" t="n">
        <f aca="false">IF(A236="","",IF(ISNUMBER(SEARCH("PRT",E236)),D236,0))</f>
        <v>1</v>
      </c>
      <c r="J236" s="41" t="n">
        <f aca="false">IF(A236="","",IF(ISNUMBER(SEARCH("GMPS",E236)),D236,0))</f>
        <v>0</v>
      </c>
      <c r="K236" s="41" t="n">
        <f aca="false">IF(A236="","",IF(ISNUMBER(SEARCH("DLV",E236)),D236,0))</f>
        <v>0</v>
      </c>
      <c r="L236" s="41" t="str">
        <f aca="false">IF(A236="","",IF(K236&gt;0,"Delivered",IF(ISNUMBER(SEARCH("CNF",E236)),"In production",IF(J236&gt;0,"Issued",IF(I236&gt;0,"Kitted","Released")))))</f>
        <v>In production</v>
      </c>
      <c r="M236" s="41" t="n">
        <f aca="false">IF(G236&lt;&gt;"Yes","",COUNTIFS($B$6:$B$1505,B236,$F$6:$F$1505,"&lt;"&amp;F236)+COUNTIFS($B$6:$B$1505,B236,$F$6:$F$1505,F236,$A$6:$A$1505,"&lt;="&amp;A236))</f>
        <v>216</v>
      </c>
      <c r="N236" s="41" t="n">
        <f aca="false">IF(M236="","",ROUNDUP(M236/H236,0))</f>
        <v>9</v>
      </c>
      <c r="O236" s="41" t="str">
        <f aca="false">IF(N236="","",IF(N236&lt;='Kitting Plan'!$C$3,"Rep "&amp;N236,"Surplus"))</f>
        <v>Rep 9</v>
      </c>
    </row>
    <row r="237" customFormat="false" ht="15" hidden="false" customHeight="false" outlineLevel="0" collapsed="false">
      <c r="A237" s="40" t="n">
        <f aca="false">IF(OR($A$4=0,INDEX('COOIS Raw'!$A:$GZ,ROW()-4,$A$4)=""),"",IFERROR(--INDEX('COOIS Raw'!$A:$GZ,ROW()-4,$A$4),INDEX('COOIS Raw'!$A:$GZ,ROW()-4,$A$4)))</f>
        <v>100879423</v>
      </c>
      <c r="B237" s="41" t="str">
        <f aca="false">IF(A237="","",TRIM(INDEX('COOIS Raw'!$A:$GZ,ROW()-4,$B$4)))</f>
        <v>92RRA00548AAA</v>
      </c>
      <c r="C237" s="42" t="str">
        <f aca="false">IF(OR(A237="",$C$4=0),"",INDEX('COOIS Raw'!$A:$GZ,ROW()-4,$C$4))</f>
        <v>R5B ERBIUM SPOOL ASSEMBLY - E2A</v>
      </c>
      <c r="D237" s="41" t="n">
        <f aca="false">IF(A237="","",IF($D$4=0,1,IFERROR(--INDEX('COOIS Raw'!$A:$GZ,ROW()-4,$D$4),1)))</f>
        <v>1</v>
      </c>
      <c r="E237" s="42" t="str">
        <f aca="false">IF(A237="","",INDEX('COOIS Raw'!$A:$GZ,ROW()-4,$E$4)&amp;"")</f>
        <v>REL PRT PCNF PRC MANC RESA SETC</v>
      </c>
      <c r="F237" s="43" t="n">
        <f aca="false">IF(A237="","",IFERROR(DATEVALUE(INDEX('COOIS Raw'!$A:$GZ,ROW()-4,$F$4)),INDEX('COOIS Raw'!$A:$GZ,ROW()-4,$F$4)))</f>
        <v>46293</v>
      </c>
      <c r="G237" s="41" t="str">
        <f aca="false">IF(A237="","",IF(ISNA(MATCH(B237,'Kitting Plan'!$B$6:$B$19,0)),"Not in plan","Yes"))</f>
        <v>Yes</v>
      </c>
      <c r="H237" s="41" t="n">
        <f aca="false">IF(G237="Yes",INDEX('Kitting Plan'!$D$6:$D$19,MATCH(B237,'Kitting Plan'!$B$6:$B$19,0)),"")</f>
        <v>24</v>
      </c>
      <c r="I237" s="41" t="n">
        <f aca="false">IF(A237="","",IF(ISNUMBER(SEARCH("PRT",E237)),D237,0))</f>
        <v>1</v>
      </c>
      <c r="J237" s="41" t="n">
        <f aca="false">IF(A237="","",IF(ISNUMBER(SEARCH("GMPS",E237)),D237,0))</f>
        <v>0</v>
      </c>
      <c r="K237" s="41" t="n">
        <f aca="false">IF(A237="","",IF(ISNUMBER(SEARCH("DLV",E237)),D237,0))</f>
        <v>0</v>
      </c>
      <c r="L237" s="41" t="str">
        <f aca="false">IF(A237="","",IF(K237&gt;0,"Delivered",IF(ISNUMBER(SEARCH("CNF",E237)),"In production",IF(J237&gt;0,"Issued",IF(I237&gt;0,"Kitted","Released")))))</f>
        <v>In production</v>
      </c>
      <c r="M237" s="41" t="n">
        <f aca="false">IF(G237&lt;&gt;"Yes","",COUNTIFS($B$6:$B$1505,B237,$F$6:$F$1505,"&lt;"&amp;F237)+COUNTIFS($B$6:$B$1505,B237,$F$6:$F$1505,F237,$A$6:$A$1505,"&lt;="&amp;A237))</f>
        <v>217</v>
      </c>
      <c r="N237" s="41" t="n">
        <f aca="false">IF(M237="","",ROUNDUP(M237/H237,0))</f>
        <v>10</v>
      </c>
      <c r="O237" s="41" t="str">
        <f aca="false">IF(N237="","",IF(N237&lt;='Kitting Plan'!$C$3,"Rep "&amp;N237,"Surplus"))</f>
        <v>Rep 10</v>
      </c>
    </row>
    <row r="238" customFormat="false" ht="15" hidden="false" customHeight="false" outlineLevel="0" collapsed="false">
      <c r="A238" s="40" t="n">
        <f aca="false">IF(OR($A$4=0,INDEX('COOIS Raw'!$A:$GZ,ROW()-4,$A$4)=""),"",IFERROR(--INDEX('COOIS Raw'!$A:$GZ,ROW()-4,$A$4),INDEX('COOIS Raw'!$A:$GZ,ROW()-4,$A$4)))</f>
        <v>100879424</v>
      </c>
      <c r="B238" s="41" t="str">
        <f aca="false">IF(A238="","",TRIM(INDEX('COOIS Raw'!$A:$GZ,ROW()-4,$B$4)))</f>
        <v>92RRA00548AAA</v>
      </c>
      <c r="C238" s="42" t="str">
        <f aca="false">IF(OR(A238="",$C$4=0),"",INDEX('COOIS Raw'!$A:$GZ,ROW()-4,$C$4))</f>
        <v>R5B ERBIUM SPOOL ASSEMBLY - E2A</v>
      </c>
      <c r="D238" s="41" t="n">
        <f aca="false">IF(A238="","",IF($D$4=0,1,IFERROR(--INDEX('COOIS Raw'!$A:$GZ,ROW()-4,$D$4),1)))</f>
        <v>1</v>
      </c>
      <c r="E238" s="42" t="str">
        <f aca="false">IF(A238="","",INDEX('COOIS Raw'!$A:$GZ,ROW()-4,$E$4)&amp;"")</f>
        <v>REL PRT PCNF PRC MANC RESA SETC</v>
      </c>
      <c r="F238" s="43" t="n">
        <f aca="false">IF(A238="","",IFERROR(DATEVALUE(INDEX('COOIS Raw'!$A:$GZ,ROW()-4,$F$4)),INDEX('COOIS Raw'!$A:$GZ,ROW()-4,$F$4)))</f>
        <v>46293</v>
      </c>
      <c r="G238" s="41" t="str">
        <f aca="false">IF(A238="","",IF(ISNA(MATCH(B238,'Kitting Plan'!$B$6:$B$19,0)),"Not in plan","Yes"))</f>
        <v>Yes</v>
      </c>
      <c r="H238" s="41" t="n">
        <f aca="false">IF(G238="Yes",INDEX('Kitting Plan'!$D$6:$D$19,MATCH(B238,'Kitting Plan'!$B$6:$B$19,0)),"")</f>
        <v>24</v>
      </c>
      <c r="I238" s="41" t="n">
        <f aca="false">IF(A238="","",IF(ISNUMBER(SEARCH("PRT",E238)),D238,0))</f>
        <v>1</v>
      </c>
      <c r="J238" s="41" t="n">
        <f aca="false">IF(A238="","",IF(ISNUMBER(SEARCH("GMPS",E238)),D238,0))</f>
        <v>0</v>
      </c>
      <c r="K238" s="41" t="n">
        <f aca="false">IF(A238="","",IF(ISNUMBER(SEARCH("DLV",E238)),D238,0))</f>
        <v>0</v>
      </c>
      <c r="L238" s="41" t="str">
        <f aca="false">IF(A238="","",IF(K238&gt;0,"Delivered",IF(ISNUMBER(SEARCH("CNF",E238)),"In production",IF(J238&gt;0,"Issued",IF(I238&gt;0,"Kitted","Released")))))</f>
        <v>In production</v>
      </c>
      <c r="M238" s="41" t="n">
        <f aca="false">IF(G238&lt;&gt;"Yes","",COUNTIFS($B$6:$B$1505,B238,$F$6:$F$1505,"&lt;"&amp;F238)+COUNTIFS($B$6:$B$1505,B238,$F$6:$F$1505,F238,$A$6:$A$1505,"&lt;="&amp;A238))</f>
        <v>218</v>
      </c>
      <c r="N238" s="41" t="n">
        <f aca="false">IF(M238="","",ROUNDUP(M238/H238,0))</f>
        <v>10</v>
      </c>
      <c r="O238" s="41" t="str">
        <f aca="false">IF(N238="","",IF(N238&lt;='Kitting Plan'!$C$3,"Rep "&amp;N238,"Surplus"))</f>
        <v>Rep 10</v>
      </c>
    </row>
    <row r="239" customFormat="false" ht="15" hidden="false" customHeight="false" outlineLevel="0" collapsed="false">
      <c r="A239" s="40" t="n">
        <f aca="false">IF(OR($A$4=0,INDEX('COOIS Raw'!$A:$GZ,ROW()-4,$A$4)=""),"",IFERROR(--INDEX('COOIS Raw'!$A:$GZ,ROW()-4,$A$4),INDEX('COOIS Raw'!$A:$GZ,ROW()-4,$A$4)))</f>
        <v>100879425</v>
      </c>
      <c r="B239" s="41" t="str">
        <f aca="false">IF(A239="","",TRIM(INDEX('COOIS Raw'!$A:$GZ,ROW()-4,$B$4)))</f>
        <v>92RRA00548AAA</v>
      </c>
      <c r="C239" s="42" t="str">
        <f aca="false">IF(OR(A239="",$C$4=0),"",INDEX('COOIS Raw'!$A:$GZ,ROW()-4,$C$4))</f>
        <v>R5B ERBIUM SPOOL ASSEMBLY - E2A</v>
      </c>
      <c r="D239" s="41" t="n">
        <f aca="false">IF(A239="","",IF($D$4=0,1,IFERROR(--INDEX('COOIS Raw'!$A:$GZ,ROW()-4,$D$4),1)))</f>
        <v>1</v>
      </c>
      <c r="E239" s="42" t="str">
        <f aca="false">IF(A239="","",INDEX('COOIS Raw'!$A:$GZ,ROW()-4,$E$4)&amp;"")</f>
        <v>REL PRT PCNF PRC MANC RESA SETC</v>
      </c>
      <c r="F239" s="43" t="n">
        <f aca="false">IF(A239="","",IFERROR(DATEVALUE(INDEX('COOIS Raw'!$A:$GZ,ROW()-4,$F$4)),INDEX('COOIS Raw'!$A:$GZ,ROW()-4,$F$4)))</f>
        <v>46293</v>
      </c>
      <c r="G239" s="41" t="str">
        <f aca="false">IF(A239="","",IF(ISNA(MATCH(B239,'Kitting Plan'!$B$6:$B$19,0)),"Not in plan","Yes"))</f>
        <v>Yes</v>
      </c>
      <c r="H239" s="41" t="n">
        <f aca="false">IF(G239="Yes",INDEX('Kitting Plan'!$D$6:$D$19,MATCH(B239,'Kitting Plan'!$B$6:$B$19,0)),"")</f>
        <v>24</v>
      </c>
      <c r="I239" s="41" t="n">
        <f aca="false">IF(A239="","",IF(ISNUMBER(SEARCH("PRT",E239)),D239,0))</f>
        <v>1</v>
      </c>
      <c r="J239" s="41" t="n">
        <f aca="false">IF(A239="","",IF(ISNUMBER(SEARCH("GMPS",E239)),D239,0))</f>
        <v>0</v>
      </c>
      <c r="K239" s="41" t="n">
        <f aca="false">IF(A239="","",IF(ISNUMBER(SEARCH("DLV",E239)),D239,0))</f>
        <v>0</v>
      </c>
      <c r="L239" s="41" t="str">
        <f aca="false">IF(A239="","",IF(K239&gt;0,"Delivered",IF(ISNUMBER(SEARCH("CNF",E239)),"In production",IF(J239&gt;0,"Issued",IF(I239&gt;0,"Kitted","Released")))))</f>
        <v>In production</v>
      </c>
      <c r="M239" s="41" t="n">
        <f aca="false">IF(G239&lt;&gt;"Yes","",COUNTIFS($B$6:$B$1505,B239,$F$6:$F$1505,"&lt;"&amp;F239)+COUNTIFS($B$6:$B$1505,B239,$F$6:$F$1505,F239,$A$6:$A$1505,"&lt;="&amp;A239))</f>
        <v>219</v>
      </c>
      <c r="N239" s="41" t="n">
        <f aca="false">IF(M239="","",ROUNDUP(M239/H239,0))</f>
        <v>10</v>
      </c>
      <c r="O239" s="41" t="str">
        <f aca="false">IF(N239="","",IF(N239&lt;='Kitting Plan'!$C$3,"Rep "&amp;N239,"Surplus"))</f>
        <v>Rep 10</v>
      </c>
    </row>
    <row r="240" customFormat="false" ht="15" hidden="false" customHeight="false" outlineLevel="0" collapsed="false">
      <c r="A240" s="40" t="n">
        <f aca="false">IF(OR($A$4=0,INDEX('COOIS Raw'!$A:$GZ,ROW()-4,$A$4)=""),"",IFERROR(--INDEX('COOIS Raw'!$A:$GZ,ROW()-4,$A$4),INDEX('COOIS Raw'!$A:$GZ,ROW()-4,$A$4)))</f>
        <v>100879426</v>
      </c>
      <c r="B240" s="41" t="str">
        <f aca="false">IF(A240="","",TRIM(INDEX('COOIS Raw'!$A:$GZ,ROW()-4,$B$4)))</f>
        <v>92RRA00548AAA</v>
      </c>
      <c r="C240" s="42" t="str">
        <f aca="false">IF(OR(A240="",$C$4=0),"",INDEX('COOIS Raw'!$A:$GZ,ROW()-4,$C$4))</f>
        <v>R5B ERBIUM SPOOL ASSEMBLY - E2A</v>
      </c>
      <c r="D240" s="41" t="n">
        <f aca="false">IF(A240="","",IF($D$4=0,1,IFERROR(--INDEX('COOIS Raw'!$A:$GZ,ROW()-4,$D$4),1)))</f>
        <v>1</v>
      </c>
      <c r="E240" s="42" t="str">
        <f aca="false">IF(A240="","",INDEX('COOIS Raw'!$A:$GZ,ROW()-4,$E$4)&amp;"")</f>
        <v>REL PRT PCNF PRC MANC RESA SETC</v>
      </c>
      <c r="F240" s="43" t="n">
        <f aca="false">IF(A240="","",IFERROR(DATEVALUE(INDEX('COOIS Raw'!$A:$GZ,ROW()-4,$F$4)),INDEX('COOIS Raw'!$A:$GZ,ROW()-4,$F$4)))</f>
        <v>46293</v>
      </c>
      <c r="G240" s="41" t="str">
        <f aca="false">IF(A240="","",IF(ISNA(MATCH(B240,'Kitting Plan'!$B$6:$B$19,0)),"Not in plan","Yes"))</f>
        <v>Yes</v>
      </c>
      <c r="H240" s="41" t="n">
        <f aca="false">IF(G240="Yes",INDEX('Kitting Plan'!$D$6:$D$19,MATCH(B240,'Kitting Plan'!$B$6:$B$19,0)),"")</f>
        <v>24</v>
      </c>
      <c r="I240" s="41" t="n">
        <f aca="false">IF(A240="","",IF(ISNUMBER(SEARCH("PRT",E240)),D240,0))</f>
        <v>1</v>
      </c>
      <c r="J240" s="41" t="n">
        <f aca="false">IF(A240="","",IF(ISNUMBER(SEARCH("GMPS",E240)),D240,0))</f>
        <v>0</v>
      </c>
      <c r="K240" s="41" t="n">
        <f aca="false">IF(A240="","",IF(ISNUMBER(SEARCH("DLV",E240)),D240,0))</f>
        <v>0</v>
      </c>
      <c r="L240" s="41" t="str">
        <f aca="false">IF(A240="","",IF(K240&gt;0,"Delivered",IF(ISNUMBER(SEARCH("CNF",E240)),"In production",IF(J240&gt;0,"Issued",IF(I240&gt;0,"Kitted","Released")))))</f>
        <v>In production</v>
      </c>
      <c r="M240" s="41" t="n">
        <f aca="false">IF(G240&lt;&gt;"Yes","",COUNTIFS($B$6:$B$1505,B240,$F$6:$F$1505,"&lt;"&amp;F240)+COUNTIFS($B$6:$B$1505,B240,$F$6:$F$1505,F240,$A$6:$A$1505,"&lt;="&amp;A240))</f>
        <v>220</v>
      </c>
      <c r="N240" s="41" t="n">
        <f aca="false">IF(M240="","",ROUNDUP(M240/H240,0))</f>
        <v>10</v>
      </c>
      <c r="O240" s="41" t="str">
        <f aca="false">IF(N240="","",IF(N240&lt;='Kitting Plan'!$C$3,"Rep "&amp;N240,"Surplus"))</f>
        <v>Rep 10</v>
      </c>
    </row>
    <row r="241" customFormat="false" ht="15" hidden="false" customHeight="false" outlineLevel="0" collapsed="false">
      <c r="A241" s="40" t="n">
        <f aca="false">IF(OR($A$4=0,INDEX('COOIS Raw'!$A:$GZ,ROW()-4,$A$4)=""),"",IFERROR(--INDEX('COOIS Raw'!$A:$GZ,ROW()-4,$A$4),INDEX('COOIS Raw'!$A:$GZ,ROW()-4,$A$4)))</f>
        <v>100879427</v>
      </c>
      <c r="B241" s="41" t="str">
        <f aca="false">IF(A241="","",TRIM(INDEX('COOIS Raw'!$A:$GZ,ROW()-4,$B$4)))</f>
        <v>92RRA00548AAA</v>
      </c>
      <c r="C241" s="42" t="str">
        <f aca="false">IF(OR(A241="",$C$4=0),"",INDEX('COOIS Raw'!$A:$GZ,ROW()-4,$C$4))</f>
        <v>R5B ERBIUM SPOOL ASSEMBLY - E2A</v>
      </c>
      <c r="D241" s="41" t="n">
        <f aca="false">IF(A241="","",IF($D$4=0,1,IFERROR(--INDEX('COOIS Raw'!$A:$GZ,ROW()-4,$D$4),1)))</f>
        <v>1</v>
      </c>
      <c r="E241" s="42" t="str">
        <f aca="false">IF(A241="","",INDEX('COOIS Raw'!$A:$GZ,ROW()-4,$E$4)&amp;"")</f>
        <v>REL PRT PCNF PRC MANC RESA SETC</v>
      </c>
      <c r="F241" s="43" t="n">
        <f aca="false">IF(A241="","",IFERROR(DATEVALUE(INDEX('COOIS Raw'!$A:$GZ,ROW()-4,$F$4)),INDEX('COOIS Raw'!$A:$GZ,ROW()-4,$F$4)))</f>
        <v>46293</v>
      </c>
      <c r="G241" s="41" t="str">
        <f aca="false">IF(A241="","",IF(ISNA(MATCH(B241,'Kitting Plan'!$B$6:$B$19,0)),"Not in plan","Yes"))</f>
        <v>Yes</v>
      </c>
      <c r="H241" s="41" t="n">
        <f aca="false">IF(G241="Yes",INDEX('Kitting Plan'!$D$6:$D$19,MATCH(B241,'Kitting Plan'!$B$6:$B$19,0)),"")</f>
        <v>24</v>
      </c>
      <c r="I241" s="41" t="n">
        <f aca="false">IF(A241="","",IF(ISNUMBER(SEARCH("PRT",E241)),D241,0))</f>
        <v>1</v>
      </c>
      <c r="J241" s="41" t="n">
        <f aca="false">IF(A241="","",IF(ISNUMBER(SEARCH("GMPS",E241)),D241,0))</f>
        <v>0</v>
      </c>
      <c r="K241" s="41" t="n">
        <f aca="false">IF(A241="","",IF(ISNUMBER(SEARCH("DLV",E241)),D241,0))</f>
        <v>0</v>
      </c>
      <c r="L241" s="41" t="str">
        <f aca="false">IF(A241="","",IF(K241&gt;0,"Delivered",IF(ISNUMBER(SEARCH("CNF",E241)),"In production",IF(J241&gt;0,"Issued",IF(I241&gt;0,"Kitted","Released")))))</f>
        <v>In production</v>
      </c>
      <c r="M241" s="41" t="n">
        <f aca="false">IF(G241&lt;&gt;"Yes","",COUNTIFS($B$6:$B$1505,B241,$F$6:$F$1505,"&lt;"&amp;F241)+COUNTIFS($B$6:$B$1505,B241,$F$6:$F$1505,F241,$A$6:$A$1505,"&lt;="&amp;A241))</f>
        <v>221</v>
      </c>
      <c r="N241" s="41" t="n">
        <f aca="false">IF(M241="","",ROUNDUP(M241/H241,0))</f>
        <v>10</v>
      </c>
      <c r="O241" s="41" t="str">
        <f aca="false">IF(N241="","",IF(N241&lt;='Kitting Plan'!$C$3,"Rep "&amp;N241,"Surplus"))</f>
        <v>Rep 10</v>
      </c>
    </row>
    <row r="242" customFormat="false" ht="15" hidden="false" customHeight="false" outlineLevel="0" collapsed="false">
      <c r="A242" s="40" t="n">
        <f aca="false">IF(OR($A$4=0,INDEX('COOIS Raw'!$A:$GZ,ROW()-4,$A$4)=""),"",IFERROR(--INDEX('COOIS Raw'!$A:$GZ,ROW()-4,$A$4),INDEX('COOIS Raw'!$A:$GZ,ROW()-4,$A$4)))</f>
        <v>100879428</v>
      </c>
      <c r="B242" s="41" t="str">
        <f aca="false">IF(A242="","",TRIM(INDEX('COOIS Raw'!$A:$GZ,ROW()-4,$B$4)))</f>
        <v>92RRA00548AAA</v>
      </c>
      <c r="C242" s="42" t="str">
        <f aca="false">IF(OR(A242="",$C$4=0),"",INDEX('COOIS Raw'!$A:$GZ,ROW()-4,$C$4))</f>
        <v>R5B ERBIUM SPOOL ASSEMBLY - E2A</v>
      </c>
      <c r="D242" s="41" t="n">
        <f aca="false">IF(A242="","",IF($D$4=0,1,IFERROR(--INDEX('COOIS Raw'!$A:$GZ,ROW()-4,$D$4),1)))</f>
        <v>1</v>
      </c>
      <c r="E242" s="42" t="str">
        <f aca="false">IF(A242="","",INDEX('COOIS Raw'!$A:$GZ,ROW()-4,$E$4)&amp;"")</f>
        <v>REL PRT PCNF PRC MANC RESA SETC</v>
      </c>
      <c r="F242" s="43" t="n">
        <f aca="false">IF(A242="","",IFERROR(DATEVALUE(INDEX('COOIS Raw'!$A:$GZ,ROW()-4,$F$4)),INDEX('COOIS Raw'!$A:$GZ,ROW()-4,$F$4)))</f>
        <v>46293</v>
      </c>
      <c r="G242" s="41" t="str">
        <f aca="false">IF(A242="","",IF(ISNA(MATCH(B242,'Kitting Plan'!$B$6:$B$19,0)),"Not in plan","Yes"))</f>
        <v>Yes</v>
      </c>
      <c r="H242" s="41" t="n">
        <f aca="false">IF(G242="Yes",INDEX('Kitting Plan'!$D$6:$D$19,MATCH(B242,'Kitting Plan'!$B$6:$B$19,0)),"")</f>
        <v>24</v>
      </c>
      <c r="I242" s="41" t="n">
        <f aca="false">IF(A242="","",IF(ISNUMBER(SEARCH("PRT",E242)),D242,0))</f>
        <v>1</v>
      </c>
      <c r="J242" s="41" t="n">
        <f aca="false">IF(A242="","",IF(ISNUMBER(SEARCH("GMPS",E242)),D242,0))</f>
        <v>0</v>
      </c>
      <c r="K242" s="41" t="n">
        <f aca="false">IF(A242="","",IF(ISNUMBER(SEARCH("DLV",E242)),D242,0))</f>
        <v>0</v>
      </c>
      <c r="L242" s="41" t="str">
        <f aca="false">IF(A242="","",IF(K242&gt;0,"Delivered",IF(ISNUMBER(SEARCH("CNF",E242)),"In production",IF(J242&gt;0,"Issued",IF(I242&gt;0,"Kitted","Released")))))</f>
        <v>In production</v>
      </c>
      <c r="M242" s="41" t="n">
        <f aca="false">IF(G242&lt;&gt;"Yes","",COUNTIFS($B$6:$B$1505,B242,$F$6:$F$1505,"&lt;"&amp;F242)+COUNTIFS($B$6:$B$1505,B242,$F$6:$F$1505,F242,$A$6:$A$1505,"&lt;="&amp;A242))</f>
        <v>222</v>
      </c>
      <c r="N242" s="41" t="n">
        <f aca="false">IF(M242="","",ROUNDUP(M242/H242,0))</f>
        <v>10</v>
      </c>
      <c r="O242" s="41" t="str">
        <f aca="false">IF(N242="","",IF(N242&lt;='Kitting Plan'!$C$3,"Rep "&amp;N242,"Surplus"))</f>
        <v>Rep 10</v>
      </c>
    </row>
    <row r="243" customFormat="false" ht="15" hidden="false" customHeight="false" outlineLevel="0" collapsed="false">
      <c r="A243" s="40" t="n">
        <f aca="false">IF(OR($A$4=0,INDEX('COOIS Raw'!$A:$GZ,ROW()-4,$A$4)=""),"",IFERROR(--INDEX('COOIS Raw'!$A:$GZ,ROW()-4,$A$4),INDEX('COOIS Raw'!$A:$GZ,ROW()-4,$A$4)))</f>
        <v>100879429</v>
      </c>
      <c r="B243" s="41" t="str">
        <f aca="false">IF(A243="","",TRIM(INDEX('COOIS Raw'!$A:$GZ,ROW()-4,$B$4)))</f>
        <v>92RRA00548AAA</v>
      </c>
      <c r="C243" s="42" t="str">
        <f aca="false">IF(OR(A243="",$C$4=0),"",INDEX('COOIS Raw'!$A:$GZ,ROW()-4,$C$4))</f>
        <v>R5B ERBIUM SPOOL ASSEMBLY - E2A</v>
      </c>
      <c r="D243" s="41" t="n">
        <f aca="false">IF(A243="","",IF($D$4=0,1,IFERROR(--INDEX('COOIS Raw'!$A:$GZ,ROW()-4,$D$4),1)))</f>
        <v>1</v>
      </c>
      <c r="E243" s="42" t="str">
        <f aca="false">IF(A243="","",INDEX('COOIS Raw'!$A:$GZ,ROW()-4,$E$4)&amp;"")</f>
        <v>REL PRT PCNF PRC MANC RESA SETC</v>
      </c>
      <c r="F243" s="43" t="n">
        <f aca="false">IF(A243="","",IFERROR(DATEVALUE(INDEX('COOIS Raw'!$A:$GZ,ROW()-4,$F$4)),INDEX('COOIS Raw'!$A:$GZ,ROW()-4,$F$4)))</f>
        <v>46293</v>
      </c>
      <c r="G243" s="41" t="str">
        <f aca="false">IF(A243="","",IF(ISNA(MATCH(B243,'Kitting Plan'!$B$6:$B$19,0)),"Not in plan","Yes"))</f>
        <v>Yes</v>
      </c>
      <c r="H243" s="41" t="n">
        <f aca="false">IF(G243="Yes",INDEX('Kitting Plan'!$D$6:$D$19,MATCH(B243,'Kitting Plan'!$B$6:$B$19,0)),"")</f>
        <v>24</v>
      </c>
      <c r="I243" s="41" t="n">
        <f aca="false">IF(A243="","",IF(ISNUMBER(SEARCH("PRT",E243)),D243,0))</f>
        <v>1</v>
      </c>
      <c r="J243" s="41" t="n">
        <f aca="false">IF(A243="","",IF(ISNUMBER(SEARCH("GMPS",E243)),D243,0))</f>
        <v>0</v>
      </c>
      <c r="K243" s="41" t="n">
        <f aca="false">IF(A243="","",IF(ISNUMBER(SEARCH("DLV",E243)),D243,0))</f>
        <v>0</v>
      </c>
      <c r="L243" s="41" t="str">
        <f aca="false">IF(A243="","",IF(K243&gt;0,"Delivered",IF(ISNUMBER(SEARCH("CNF",E243)),"In production",IF(J243&gt;0,"Issued",IF(I243&gt;0,"Kitted","Released")))))</f>
        <v>In production</v>
      </c>
      <c r="M243" s="41" t="n">
        <f aca="false">IF(G243&lt;&gt;"Yes","",COUNTIFS($B$6:$B$1505,B243,$F$6:$F$1505,"&lt;"&amp;F243)+COUNTIFS($B$6:$B$1505,B243,$F$6:$F$1505,F243,$A$6:$A$1505,"&lt;="&amp;A243))</f>
        <v>223</v>
      </c>
      <c r="N243" s="41" t="n">
        <f aca="false">IF(M243="","",ROUNDUP(M243/H243,0))</f>
        <v>10</v>
      </c>
      <c r="O243" s="41" t="str">
        <f aca="false">IF(N243="","",IF(N243&lt;='Kitting Plan'!$C$3,"Rep "&amp;N243,"Surplus"))</f>
        <v>Rep 10</v>
      </c>
    </row>
    <row r="244" customFormat="false" ht="15" hidden="false" customHeight="false" outlineLevel="0" collapsed="false">
      <c r="A244" s="40" t="n">
        <f aca="false">IF(OR($A$4=0,INDEX('COOIS Raw'!$A:$GZ,ROW()-4,$A$4)=""),"",IFERROR(--INDEX('COOIS Raw'!$A:$GZ,ROW()-4,$A$4),INDEX('COOIS Raw'!$A:$GZ,ROW()-4,$A$4)))</f>
        <v>100879430</v>
      </c>
      <c r="B244" s="41" t="str">
        <f aca="false">IF(A244="","",TRIM(INDEX('COOIS Raw'!$A:$GZ,ROW()-4,$B$4)))</f>
        <v>92RRA00548AAA</v>
      </c>
      <c r="C244" s="42" t="str">
        <f aca="false">IF(OR(A244="",$C$4=0),"",INDEX('COOIS Raw'!$A:$GZ,ROW()-4,$C$4))</f>
        <v>R5B ERBIUM SPOOL ASSEMBLY - E2A</v>
      </c>
      <c r="D244" s="41" t="n">
        <f aca="false">IF(A244="","",IF($D$4=0,1,IFERROR(--INDEX('COOIS Raw'!$A:$GZ,ROW()-4,$D$4),1)))</f>
        <v>1</v>
      </c>
      <c r="E244" s="42" t="str">
        <f aca="false">IF(A244="","",INDEX('COOIS Raw'!$A:$GZ,ROW()-4,$E$4)&amp;"")</f>
        <v>REL PRT PCNF PRC MANC RESA SETC</v>
      </c>
      <c r="F244" s="43" t="n">
        <f aca="false">IF(A244="","",IFERROR(DATEVALUE(INDEX('COOIS Raw'!$A:$GZ,ROW()-4,$F$4)),INDEX('COOIS Raw'!$A:$GZ,ROW()-4,$F$4)))</f>
        <v>46293</v>
      </c>
      <c r="G244" s="41" t="str">
        <f aca="false">IF(A244="","",IF(ISNA(MATCH(B244,'Kitting Plan'!$B$6:$B$19,0)),"Not in plan","Yes"))</f>
        <v>Yes</v>
      </c>
      <c r="H244" s="41" t="n">
        <f aca="false">IF(G244="Yes",INDEX('Kitting Plan'!$D$6:$D$19,MATCH(B244,'Kitting Plan'!$B$6:$B$19,0)),"")</f>
        <v>24</v>
      </c>
      <c r="I244" s="41" t="n">
        <f aca="false">IF(A244="","",IF(ISNUMBER(SEARCH("PRT",E244)),D244,0))</f>
        <v>1</v>
      </c>
      <c r="J244" s="41" t="n">
        <f aca="false">IF(A244="","",IF(ISNUMBER(SEARCH("GMPS",E244)),D244,0))</f>
        <v>0</v>
      </c>
      <c r="K244" s="41" t="n">
        <f aca="false">IF(A244="","",IF(ISNUMBER(SEARCH("DLV",E244)),D244,0))</f>
        <v>0</v>
      </c>
      <c r="L244" s="41" t="str">
        <f aca="false">IF(A244="","",IF(K244&gt;0,"Delivered",IF(ISNUMBER(SEARCH("CNF",E244)),"In production",IF(J244&gt;0,"Issued",IF(I244&gt;0,"Kitted","Released")))))</f>
        <v>In production</v>
      </c>
      <c r="M244" s="41" t="n">
        <f aca="false">IF(G244&lt;&gt;"Yes","",COUNTIFS($B$6:$B$1505,B244,$F$6:$F$1505,"&lt;"&amp;F244)+COUNTIFS($B$6:$B$1505,B244,$F$6:$F$1505,F244,$A$6:$A$1505,"&lt;="&amp;A244))</f>
        <v>224</v>
      </c>
      <c r="N244" s="41" t="n">
        <f aca="false">IF(M244="","",ROUNDUP(M244/H244,0))</f>
        <v>10</v>
      </c>
      <c r="O244" s="41" t="str">
        <f aca="false">IF(N244="","",IF(N244&lt;='Kitting Plan'!$C$3,"Rep "&amp;N244,"Surplus"))</f>
        <v>Rep 10</v>
      </c>
    </row>
    <row r="245" customFormat="false" ht="15" hidden="false" customHeight="false" outlineLevel="0" collapsed="false">
      <c r="A245" s="40" t="n">
        <f aca="false">IF(OR($A$4=0,INDEX('COOIS Raw'!$A:$GZ,ROW()-4,$A$4)=""),"",IFERROR(--INDEX('COOIS Raw'!$A:$GZ,ROW()-4,$A$4),INDEX('COOIS Raw'!$A:$GZ,ROW()-4,$A$4)))</f>
        <v>100879431</v>
      </c>
      <c r="B245" s="41" t="str">
        <f aca="false">IF(A245="","",TRIM(INDEX('COOIS Raw'!$A:$GZ,ROW()-4,$B$4)))</f>
        <v>92RRA00548AAA</v>
      </c>
      <c r="C245" s="42" t="str">
        <f aca="false">IF(OR(A245="",$C$4=0),"",INDEX('COOIS Raw'!$A:$GZ,ROW()-4,$C$4))</f>
        <v>R5B ERBIUM SPOOL ASSEMBLY - E2A</v>
      </c>
      <c r="D245" s="41" t="n">
        <f aca="false">IF(A245="","",IF($D$4=0,1,IFERROR(--INDEX('COOIS Raw'!$A:$GZ,ROW()-4,$D$4),1)))</f>
        <v>1</v>
      </c>
      <c r="E245" s="42" t="str">
        <f aca="false">IF(A245="","",INDEX('COOIS Raw'!$A:$GZ,ROW()-4,$E$4)&amp;"")</f>
        <v>REL PRT PCNF PRC MANC RESA SETC</v>
      </c>
      <c r="F245" s="43" t="n">
        <f aca="false">IF(A245="","",IFERROR(DATEVALUE(INDEX('COOIS Raw'!$A:$GZ,ROW()-4,$F$4)),INDEX('COOIS Raw'!$A:$GZ,ROW()-4,$F$4)))</f>
        <v>46293</v>
      </c>
      <c r="G245" s="41" t="str">
        <f aca="false">IF(A245="","",IF(ISNA(MATCH(B245,'Kitting Plan'!$B$6:$B$19,0)),"Not in plan","Yes"))</f>
        <v>Yes</v>
      </c>
      <c r="H245" s="41" t="n">
        <f aca="false">IF(G245="Yes",INDEX('Kitting Plan'!$D$6:$D$19,MATCH(B245,'Kitting Plan'!$B$6:$B$19,0)),"")</f>
        <v>24</v>
      </c>
      <c r="I245" s="41" t="n">
        <f aca="false">IF(A245="","",IF(ISNUMBER(SEARCH("PRT",E245)),D245,0))</f>
        <v>1</v>
      </c>
      <c r="J245" s="41" t="n">
        <f aca="false">IF(A245="","",IF(ISNUMBER(SEARCH("GMPS",E245)),D245,0))</f>
        <v>0</v>
      </c>
      <c r="K245" s="41" t="n">
        <f aca="false">IF(A245="","",IF(ISNUMBER(SEARCH("DLV",E245)),D245,0))</f>
        <v>0</v>
      </c>
      <c r="L245" s="41" t="str">
        <f aca="false">IF(A245="","",IF(K245&gt;0,"Delivered",IF(ISNUMBER(SEARCH("CNF",E245)),"In production",IF(J245&gt;0,"Issued",IF(I245&gt;0,"Kitted","Released")))))</f>
        <v>In production</v>
      </c>
      <c r="M245" s="41" t="n">
        <f aca="false">IF(G245&lt;&gt;"Yes","",COUNTIFS($B$6:$B$1505,B245,$F$6:$F$1505,"&lt;"&amp;F245)+COUNTIFS($B$6:$B$1505,B245,$F$6:$F$1505,F245,$A$6:$A$1505,"&lt;="&amp;A245))</f>
        <v>225</v>
      </c>
      <c r="N245" s="41" t="n">
        <f aca="false">IF(M245="","",ROUNDUP(M245/H245,0))</f>
        <v>10</v>
      </c>
      <c r="O245" s="41" t="str">
        <f aca="false">IF(N245="","",IF(N245&lt;='Kitting Plan'!$C$3,"Rep "&amp;N245,"Surplus"))</f>
        <v>Rep 10</v>
      </c>
    </row>
    <row r="246" customFormat="false" ht="15" hidden="false" customHeight="false" outlineLevel="0" collapsed="false">
      <c r="A246" s="40" t="n">
        <f aca="false">IF(OR($A$4=0,INDEX('COOIS Raw'!$A:$GZ,ROW()-4,$A$4)=""),"",IFERROR(--INDEX('COOIS Raw'!$A:$GZ,ROW()-4,$A$4),INDEX('COOIS Raw'!$A:$GZ,ROW()-4,$A$4)))</f>
        <v>100879432</v>
      </c>
      <c r="B246" s="41" t="str">
        <f aca="false">IF(A246="","",TRIM(INDEX('COOIS Raw'!$A:$GZ,ROW()-4,$B$4)))</f>
        <v>92RRA00548AAA</v>
      </c>
      <c r="C246" s="42" t="str">
        <f aca="false">IF(OR(A246="",$C$4=0),"",INDEX('COOIS Raw'!$A:$GZ,ROW()-4,$C$4))</f>
        <v>R5B ERBIUM SPOOL ASSEMBLY - E2A</v>
      </c>
      <c r="D246" s="41" t="n">
        <f aca="false">IF(A246="","",IF($D$4=0,1,IFERROR(--INDEX('COOIS Raw'!$A:$GZ,ROW()-4,$D$4),1)))</f>
        <v>1</v>
      </c>
      <c r="E246" s="42" t="str">
        <f aca="false">IF(A246="","",INDEX('COOIS Raw'!$A:$GZ,ROW()-4,$E$4)&amp;"")</f>
        <v>REL PRT PCNF PRC MANC RESA SETC</v>
      </c>
      <c r="F246" s="43" t="n">
        <f aca="false">IF(A246="","",IFERROR(DATEVALUE(INDEX('COOIS Raw'!$A:$GZ,ROW()-4,$F$4)),INDEX('COOIS Raw'!$A:$GZ,ROW()-4,$F$4)))</f>
        <v>46293</v>
      </c>
      <c r="G246" s="41" t="str">
        <f aca="false">IF(A246="","",IF(ISNA(MATCH(B246,'Kitting Plan'!$B$6:$B$19,0)),"Not in plan","Yes"))</f>
        <v>Yes</v>
      </c>
      <c r="H246" s="41" t="n">
        <f aca="false">IF(G246="Yes",INDEX('Kitting Plan'!$D$6:$D$19,MATCH(B246,'Kitting Plan'!$B$6:$B$19,0)),"")</f>
        <v>24</v>
      </c>
      <c r="I246" s="41" t="n">
        <f aca="false">IF(A246="","",IF(ISNUMBER(SEARCH("PRT",E246)),D246,0))</f>
        <v>1</v>
      </c>
      <c r="J246" s="41" t="n">
        <f aca="false">IF(A246="","",IF(ISNUMBER(SEARCH("GMPS",E246)),D246,0))</f>
        <v>0</v>
      </c>
      <c r="K246" s="41" t="n">
        <f aca="false">IF(A246="","",IF(ISNUMBER(SEARCH("DLV",E246)),D246,0))</f>
        <v>0</v>
      </c>
      <c r="L246" s="41" t="str">
        <f aca="false">IF(A246="","",IF(K246&gt;0,"Delivered",IF(ISNUMBER(SEARCH("CNF",E246)),"In production",IF(J246&gt;0,"Issued",IF(I246&gt;0,"Kitted","Released")))))</f>
        <v>In production</v>
      </c>
      <c r="M246" s="41" t="n">
        <f aca="false">IF(G246&lt;&gt;"Yes","",COUNTIFS($B$6:$B$1505,B246,$F$6:$F$1505,"&lt;"&amp;F246)+COUNTIFS($B$6:$B$1505,B246,$F$6:$F$1505,F246,$A$6:$A$1505,"&lt;="&amp;A246))</f>
        <v>226</v>
      </c>
      <c r="N246" s="41" t="n">
        <f aca="false">IF(M246="","",ROUNDUP(M246/H246,0))</f>
        <v>10</v>
      </c>
      <c r="O246" s="41" t="str">
        <f aca="false">IF(N246="","",IF(N246&lt;='Kitting Plan'!$C$3,"Rep "&amp;N246,"Surplus"))</f>
        <v>Rep 10</v>
      </c>
    </row>
    <row r="247" customFormat="false" ht="15" hidden="false" customHeight="false" outlineLevel="0" collapsed="false">
      <c r="A247" s="40" t="n">
        <f aca="false">IF(OR($A$4=0,INDEX('COOIS Raw'!$A:$GZ,ROW()-4,$A$4)=""),"",IFERROR(--INDEX('COOIS Raw'!$A:$GZ,ROW()-4,$A$4),INDEX('COOIS Raw'!$A:$GZ,ROW()-4,$A$4)))</f>
        <v>100878900</v>
      </c>
      <c r="B247" s="41" t="str">
        <f aca="false">IF(A247="","",TRIM(INDEX('COOIS Raw'!$A:$GZ,ROW()-4,$B$4)))</f>
        <v>92YFD04548BAA</v>
      </c>
      <c r="C247" s="42" t="str">
        <f aca="false">IF(OR(A247="",$C$4=0),"",INDEX('COOIS Raw'!$A:$GZ,ROW()-4,$C$4))</f>
        <v>R5B OPF ASSEMBLY (4P-4FP) BOAT 1 - E2A</v>
      </c>
      <c r="D247" s="41" t="n">
        <f aca="false">IF(A247="","",IF($D$4=0,1,IFERROR(--INDEX('COOIS Raw'!$A:$GZ,ROW()-4,$D$4),1)))</f>
        <v>1</v>
      </c>
      <c r="E247" s="42" t="str">
        <f aca="false">IF(A247="","",INDEX('COOIS Raw'!$A:$GZ,ROW()-4,$E$4)&amp;"")</f>
        <v>REL PRT PRC MANC SETC</v>
      </c>
      <c r="F247" s="43" t="n">
        <f aca="false">IF(A247="","",IFERROR(DATEVALUE(INDEX('COOIS Raw'!$A:$GZ,ROW()-4,$F$4)),INDEX('COOIS Raw'!$A:$GZ,ROW()-4,$F$4)))</f>
        <v>46287</v>
      </c>
      <c r="G247" s="41" t="str">
        <f aca="false">IF(A247="","",IF(ISNA(MATCH(B247,'Kitting Plan'!$B$6:$B$19,0)),"Not in plan","Yes"))</f>
        <v>Yes</v>
      </c>
      <c r="H247" s="41" t="n">
        <f aca="false">IF(G247="Yes",INDEX('Kitting Plan'!$D$6:$D$19,MATCH(B247,'Kitting Plan'!$B$6:$B$19,0)),"")</f>
        <v>1</v>
      </c>
      <c r="I247" s="41" t="n">
        <f aca="false">IF(A247="","",IF(ISNUMBER(SEARCH("PRT",E247)),D247,0))</f>
        <v>1</v>
      </c>
      <c r="J247" s="41" t="n">
        <f aca="false">IF(A247="","",IF(ISNUMBER(SEARCH("GMPS",E247)),D247,0))</f>
        <v>0</v>
      </c>
      <c r="K247" s="41" t="n">
        <f aca="false">IF(A247="","",IF(ISNUMBER(SEARCH("DLV",E247)),D247,0))</f>
        <v>0</v>
      </c>
      <c r="L247" s="41" t="str">
        <f aca="false">IF(A247="","",IF(K247&gt;0,"Delivered",IF(ISNUMBER(SEARCH("CNF",E247)),"In production",IF(J247&gt;0,"Issued",IF(I247&gt;0,"Kitted","Released")))))</f>
        <v>Kitted</v>
      </c>
      <c r="M247" s="41" t="n">
        <f aca="false">IF(G247&lt;&gt;"Yes","",COUNTIFS($B$6:$B$1505,B247,$F$6:$F$1505,"&lt;"&amp;F247)+COUNTIFS($B$6:$B$1505,B247,$F$6:$F$1505,F247,$A$6:$A$1505,"&lt;="&amp;A247))</f>
        <v>10</v>
      </c>
      <c r="N247" s="41" t="n">
        <f aca="false">IF(M247="","",ROUNDUP(M247/H247,0))</f>
        <v>10</v>
      </c>
      <c r="O247" s="41" t="str">
        <f aca="false">IF(N247="","",IF(N247&lt;='Kitting Plan'!$C$3,"Rep "&amp;N247,"Surplus"))</f>
        <v>Rep 10</v>
      </c>
    </row>
    <row r="248" customFormat="false" ht="15" hidden="false" customHeight="false" outlineLevel="0" collapsed="false">
      <c r="A248" s="40" t="n">
        <f aca="false">IF(OR($A$4=0,INDEX('COOIS Raw'!$A:$GZ,ROW()-4,$A$4)=""),"",IFERROR(--INDEX('COOIS Raw'!$A:$GZ,ROW()-4,$A$4),INDEX('COOIS Raw'!$A:$GZ,ROW()-4,$A$4)))</f>
        <v>100878901</v>
      </c>
      <c r="B248" s="41" t="str">
        <f aca="false">IF(A248="","",TRIM(INDEX('COOIS Raw'!$A:$GZ,ROW()-4,$B$4)))</f>
        <v>92YFD04548BBA</v>
      </c>
      <c r="C248" s="42" t="str">
        <f aca="false">IF(OR(A248="",$C$4=0),"",INDEX('COOIS Raw'!$A:$GZ,ROW()-4,$C$4))</f>
        <v>R5B OPF ASSEMBLY (4P-4FP) BOAT 2/3 - E2A</v>
      </c>
      <c r="D248" s="41" t="n">
        <f aca="false">IF(A248="","",IF($D$4=0,1,IFERROR(--INDEX('COOIS Raw'!$A:$GZ,ROW()-4,$D$4),1)))</f>
        <v>1</v>
      </c>
      <c r="E248" s="42" t="str">
        <f aca="false">IF(A248="","",INDEX('COOIS Raw'!$A:$GZ,ROW()-4,$E$4)&amp;"")</f>
        <v>REL PRT PRC MANC SETC</v>
      </c>
      <c r="F248" s="43" t="n">
        <f aca="false">IF(A248="","",IFERROR(DATEVALUE(INDEX('COOIS Raw'!$A:$GZ,ROW()-4,$F$4)),INDEX('COOIS Raw'!$A:$GZ,ROW()-4,$F$4)))</f>
        <v>46287</v>
      </c>
      <c r="G248" s="41" t="str">
        <f aca="false">IF(A248="","",IF(ISNA(MATCH(B248,'Kitting Plan'!$B$6:$B$19,0)),"Not in plan","Yes"))</f>
        <v>Yes</v>
      </c>
      <c r="H248" s="41" t="n">
        <f aca="false">IF(G248="Yes",INDEX('Kitting Plan'!$D$6:$D$19,MATCH(B248,'Kitting Plan'!$B$6:$B$19,0)),"")</f>
        <v>2</v>
      </c>
      <c r="I248" s="41" t="n">
        <f aca="false">IF(A248="","",IF(ISNUMBER(SEARCH("PRT",E248)),D248,0))</f>
        <v>1</v>
      </c>
      <c r="J248" s="41" t="n">
        <f aca="false">IF(A248="","",IF(ISNUMBER(SEARCH("GMPS",E248)),D248,0))</f>
        <v>0</v>
      </c>
      <c r="K248" s="41" t="n">
        <f aca="false">IF(A248="","",IF(ISNUMBER(SEARCH("DLV",E248)),D248,0))</f>
        <v>0</v>
      </c>
      <c r="L248" s="41" t="str">
        <f aca="false">IF(A248="","",IF(K248&gt;0,"Delivered",IF(ISNUMBER(SEARCH("CNF",E248)),"In production",IF(J248&gt;0,"Issued",IF(I248&gt;0,"Kitted","Released")))))</f>
        <v>Kitted</v>
      </c>
      <c r="M248" s="41" t="n">
        <f aca="false">IF(G248&lt;&gt;"Yes","",COUNTIFS($B$6:$B$1505,B248,$F$6:$F$1505,"&lt;"&amp;F248)+COUNTIFS($B$6:$B$1505,B248,$F$6:$F$1505,F248,$A$6:$A$1505,"&lt;="&amp;A248))</f>
        <v>17</v>
      </c>
      <c r="N248" s="41" t="n">
        <f aca="false">IF(M248="","",ROUNDUP(M248/H248,0))</f>
        <v>9</v>
      </c>
      <c r="O248" s="41" t="str">
        <f aca="false">IF(N248="","",IF(N248&lt;='Kitting Plan'!$C$3,"Rep "&amp;N248,"Surplus"))</f>
        <v>Rep 9</v>
      </c>
    </row>
    <row r="249" customFormat="false" ht="15" hidden="false" customHeight="false" outlineLevel="0" collapsed="false">
      <c r="A249" s="40" t="n">
        <f aca="false">IF(OR($A$4=0,INDEX('COOIS Raw'!$A:$GZ,ROW()-4,$A$4)=""),"",IFERROR(--INDEX('COOIS Raw'!$A:$GZ,ROW()-4,$A$4),INDEX('COOIS Raw'!$A:$GZ,ROW()-4,$A$4)))</f>
        <v>100878902</v>
      </c>
      <c r="B249" s="41" t="str">
        <f aca="false">IF(A249="","",TRIM(INDEX('COOIS Raw'!$A:$GZ,ROW()-4,$B$4)))</f>
        <v>92YFD04548BBA</v>
      </c>
      <c r="C249" s="42" t="str">
        <f aca="false">IF(OR(A249="",$C$4=0),"",INDEX('COOIS Raw'!$A:$GZ,ROW()-4,$C$4))</f>
        <v>R5B OPF ASSEMBLY (4P-4FP) BOAT 2/3 - E2A</v>
      </c>
      <c r="D249" s="41" t="n">
        <f aca="false">IF(A249="","",IF($D$4=0,1,IFERROR(--INDEX('COOIS Raw'!$A:$GZ,ROW()-4,$D$4),1)))</f>
        <v>1</v>
      </c>
      <c r="E249" s="42" t="str">
        <f aca="false">IF(A249="","",INDEX('COOIS Raw'!$A:$GZ,ROW()-4,$E$4)&amp;"")</f>
        <v>REL PRT PRC MANC SETC</v>
      </c>
      <c r="F249" s="43" t="n">
        <f aca="false">IF(A249="","",IFERROR(DATEVALUE(INDEX('COOIS Raw'!$A:$GZ,ROW()-4,$F$4)),INDEX('COOIS Raw'!$A:$GZ,ROW()-4,$F$4)))</f>
        <v>46287</v>
      </c>
      <c r="G249" s="41" t="str">
        <f aca="false">IF(A249="","",IF(ISNA(MATCH(B249,'Kitting Plan'!$B$6:$B$19,0)),"Not in plan","Yes"))</f>
        <v>Yes</v>
      </c>
      <c r="H249" s="41" t="n">
        <f aca="false">IF(G249="Yes",INDEX('Kitting Plan'!$D$6:$D$19,MATCH(B249,'Kitting Plan'!$B$6:$B$19,0)),"")</f>
        <v>2</v>
      </c>
      <c r="I249" s="41" t="n">
        <f aca="false">IF(A249="","",IF(ISNUMBER(SEARCH("PRT",E249)),D249,0))</f>
        <v>1</v>
      </c>
      <c r="J249" s="41" t="n">
        <f aca="false">IF(A249="","",IF(ISNUMBER(SEARCH("GMPS",E249)),D249,0))</f>
        <v>0</v>
      </c>
      <c r="K249" s="41" t="n">
        <f aca="false">IF(A249="","",IF(ISNUMBER(SEARCH("DLV",E249)),D249,0))</f>
        <v>0</v>
      </c>
      <c r="L249" s="41" t="str">
        <f aca="false">IF(A249="","",IF(K249&gt;0,"Delivered",IF(ISNUMBER(SEARCH("CNF",E249)),"In production",IF(J249&gt;0,"Issued",IF(I249&gt;0,"Kitted","Released")))))</f>
        <v>Kitted</v>
      </c>
      <c r="M249" s="41" t="n">
        <f aca="false">IF(G249&lt;&gt;"Yes","",COUNTIFS($B$6:$B$1505,B249,$F$6:$F$1505,"&lt;"&amp;F249)+COUNTIFS($B$6:$B$1505,B249,$F$6:$F$1505,F249,$A$6:$A$1505,"&lt;="&amp;A249))</f>
        <v>18</v>
      </c>
      <c r="N249" s="41" t="n">
        <f aca="false">IF(M249="","",ROUNDUP(M249/H249,0))</f>
        <v>9</v>
      </c>
      <c r="O249" s="41" t="str">
        <f aca="false">IF(N249="","",IF(N249&lt;='Kitting Plan'!$C$3,"Rep "&amp;N249,"Surplus"))</f>
        <v>Rep 9</v>
      </c>
    </row>
    <row r="250" customFormat="false" ht="15" hidden="false" customHeight="false" outlineLevel="0" collapsed="false">
      <c r="A250" s="40" t="n">
        <f aca="false">IF(OR($A$4=0,INDEX('COOIS Raw'!$A:$GZ,ROW()-4,$A$4)=""),"",IFERROR(--INDEX('COOIS Raw'!$A:$GZ,ROW()-4,$A$4),INDEX('COOIS Raw'!$A:$GZ,ROW()-4,$A$4)))</f>
        <v>100878919</v>
      </c>
      <c r="B250" s="41" t="str">
        <f aca="false">IF(A250="","",TRIM(INDEX('COOIS Raw'!$A:$GZ,ROW()-4,$B$4)))</f>
        <v>92YWS04548AAA</v>
      </c>
      <c r="C250" s="42" t="str">
        <f aca="false">IF(OR(A250="",$C$4=0),"",INDEX('COOIS Raw'!$A:$GZ,ROW()-4,$C$4))</f>
        <v>R5B 4FP POB LUMENTUM SUB ASSEMBLY - E2A</v>
      </c>
      <c r="D250" s="41" t="n">
        <f aca="false">IF(A250="","",IF($D$4=0,1,IFERROR(--INDEX('COOIS Raw'!$A:$GZ,ROW()-4,$D$4),1)))</f>
        <v>1</v>
      </c>
      <c r="E250" s="42" t="str">
        <f aca="false">IF(A250="","",INDEX('COOIS Raw'!$A:$GZ,ROW()-4,$E$4)&amp;"")</f>
        <v>REL PRT CNF DLV PRC GMPS MANC SETC</v>
      </c>
      <c r="F250" s="43" t="n">
        <f aca="false">IF(A250="","",IFERROR(DATEVALUE(INDEX('COOIS Raw'!$A:$GZ,ROW()-4,$F$4)),INDEX('COOIS Raw'!$A:$GZ,ROW()-4,$F$4)))</f>
        <v>46287</v>
      </c>
      <c r="G250" s="41" t="str">
        <f aca="false">IF(A250="","",IF(ISNA(MATCH(B250,'Kitting Plan'!$B$6:$B$19,0)),"Not in plan","Yes"))</f>
        <v>Yes</v>
      </c>
      <c r="H250" s="41" t="n">
        <f aca="false">IF(G250="Yes",INDEX('Kitting Plan'!$D$6:$D$19,MATCH(B250,'Kitting Plan'!$B$6:$B$19,0)),"")</f>
        <v>3</v>
      </c>
      <c r="I250" s="41" t="n">
        <f aca="false">IF(A250="","",IF(ISNUMBER(SEARCH("PRT",E250)),D250,0))</f>
        <v>1</v>
      </c>
      <c r="J250" s="41" t="n">
        <f aca="false">IF(A250="","",IF(ISNUMBER(SEARCH("GMPS",E250)),D250,0))</f>
        <v>1</v>
      </c>
      <c r="K250" s="41" t="n">
        <f aca="false">IF(A250="","",IF(ISNUMBER(SEARCH("DLV",E250)),D250,0))</f>
        <v>1</v>
      </c>
      <c r="L250" s="41" t="str">
        <f aca="false">IF(A250="","",IF(K250&gt;0,"Delivered",IF(ISNUMBER(SEARCH("CNF",E250)),"In production",IF(J250&gt;0,"Issued",IF(I250&gt;0,"Kitted","Released")))))</f>
        <v>Delivered</v>
      </c>
      <c r="M250" s="41" t="n">
        <f aca="false">IF(G250&lt;&gt;"Yes","",COUNTIFS($B$6:$B$1505,B250,$F$6:$F$1505,"&lt;"&amp;F250)+COUNTIFS($B$6:$B$1505,B250,$F$6:$F$1505,F250,$A$6:$A$1505,"&lt;="&amp;A250))</f>
        <v>25</v>
      </c>
      <c r="N250" s="41" t="n">
        <f aca="false">IF(M250="","",ROUNDUP(M250/H250,0))</f>
        <v>9</v>
      </c>
      <c r="O250" s="41" t="str">
        <f aca="false">IF(N250="","",IF(N250&lt;='Kitting Plan'!$C$3,"Rep "&amp;N250,"Surplus"))</f>
        <v>Rep 9</v>
      </c>
    </row>
    <row r="251" customFormat="false" ht="15" hidden="false" customHeight="false" outlineLevel="0" collapsed="false">
      <c r="A251" s="40" t="n">
        <f aca="false">IF(OR($A$4=0,INDEX('COOIS Raw'!$A:$GZ,ROW()-4,$A$4)=""),"",IFERROR(--INDEX('COOIS Raw'!$A:$GZ,ROW()-4,$A$4),INDEX('COOIS Raw'!$A:$GZ,ROW()-4,$A$4)))</f>
        <v>100878920</v>
      </c>
      <c r="B251" s="41" t="str">
        <f aca="false">IF(A251="","",TRIM(INDEX('COOIS Raw'!$A:$GZ,ROW()-4,$B$4)))</f>
        <v>92YWS04548AAA</v>
      </c>
      <c r="C251" s="42" t="str">
        <f aca="false">IF(OR(A251="",$C$4=0),"",INDEX('COOIS Raw'!$A:$GZ,ROW()-4,$C$4))</f>
        <v>R5B 4FP POB LUMENTUM SUB ASSEMBLY - E2A</v>
      </c>
      <c r="D251" s="41" t="n">
        <f aca="false">IF(A251="","",IF($D$4=0,1,IFERROR(--INDEX('COOIS Raw'!$A:$GZ,ROW()-4,$D$4),1)))</f>
        <v>1</v>
      </c>
      <c r="E251" s="42" t="str">
        <f aca="false">IF(A251="","",INDEX('COOIS Raw'!$A:$GZ,ROW()-4,$E$4)&amp;"")</f>
        <v>REL PRT CNF DLV PRC GMPS MANC RESA*</v>
      </c>
      <c r="F251" s="43" t="n">
        <f aca="false">IF(A251="","",IFERROR(DATEVALUE(INDEX('COOIS Raw'!$A:$GZ,ROW()-4,$F$4)),INDEX('COOIS Raw'!$A:$GZ,ROW()-4,$F$4)))</f>
        <v>46287</v>
      </c>
      <c r="G251" s="41" t="str">
        <f aca="false">IF(A251="","",IF(ISNA(MATCH(B251,'Kitting Plan'!$B$6:$B$19,0)),"Not in plan","Yes"))</f>
        <v>Yes</v>
      </c>
      <c r="H251" s="41" t="n">
        <f aca="false">IF(G251="Yes",INDEX('Kitting Plan'!$D$6:$D$19,MATCH(B251,'Kitting Plan'!$B$6:$B$19,0)),"")</f>
        <v>3</v>
      </c>
      <c r="I251" s="41" t="n">
        <f aca="false">IF(A251="","",IF(ISNUMBER(SEARCH("PRT",E251)),D251,0))</f>
        <v>1</v>
      </c>
      <c r="J251" s="41" t="n">
        <f aca="false">IF(A251="","",IF(ISNUMBER(SEARCH("GMPS",E251)),D251,0))</f>
        <v>1</v>
      </c>
      <c r="K251" s="41" t="n">
        <f aca="false">IF(A251="","",IF(ISNUMBER(SEARCH("DLV",E251)),D251,0))</f>
        <v>1</v>
      </c>
      <c r="L251" s="41" t="str">
        <f aca="false">IF(A251="","",IF(K251&gt;0,"Delivered",IF(ISNUMBER(SEARCH("CNF",E251)),"In production",IF(J251&gt;0,"Issued",IF(I251&gt;0,"Kitted","Released")))))</f>
        <v>Delivered</v>
      </c>
      <c r="M251" s="41" t="n">
        <f aca="false">IF(G251&lt;&gt;"Yes","",COUNTIFS($B$6:$B$1505,B251,$F$6:$F$1505,"&lt;"&amp;F251)+COUNTIFS($B$6:$B$1505,B251,$F$6:$F$1505,F251,$A$6:$A$1505,"&lt;="&amp;A251))</f>
        <v>26</v>
      </c>
      <c r="N251" s="41" t="n">
        <f aca="false">IF(M251="","",ROUNDUP(M251/H251,0))</f>
        <v>9</v>
      </c>
      <c r="O251" s="41" t="str">
        <f aca="false">IF(N251="","",IF(N251&lt;='Kitting Plan'!$C$3,"Rep "&amp;N251,"Surplus"))</f>
        <v>Rep 9</v>
      </c>
    </row>
    <row r="252" customFormat="false" ht="15" hidden="false" customHeight="false" outlineLevel="0" collapsed="false">
      <c r="A252" s="40" t="n">
        <f aca="false">IF(OR($A$4=0,INDEX('COOIS Raw'!$A:$GZ,ROW()-4,$A$4)=""),"",IFERROR(--INDEX('COOIS Raw'!$A:$GZ,ROW()-4,$A$4),INDEX('COOIS Raw'!$A:$GZ,ROW()-4,$A$4)))</f>
        <v>100878921</v>
      </c>
      <c r="B252" s="41" t="str">
        <f aca="false">IF(A252="","",TRIM(INDEX('COOIS Raw'!$A:$GZ,ROW()-4,$B$4)))</f>
        <v>92YWS04548AAA</v>
      </c>
      <c r="C252" s="42" t="str">
        <f aca="false">IF(OR(A252="",$C$4=0),"",INDEX('COOIS Raw'!$A:$GZ,ROW()-4,$C$4))</f>
        <v>R5B 4FP POB LUMENTUM SUB ASSEMBLY - E2A</v>
      </c>
      <c r="D252" s="41" t="n">
        <f aca="false">IF(A252="","",IF($D$4=0,1,IFERROR(--INDEX('COOIS Raw'!$A:$GZ,ROW()-4,$D$4),1)))</f>
        <v>1</v>
      </c>
      <c r="E252" s="42" t="str">
        <f aca="false">IF(A252="","",INDEX('COOIS Raw'!$A:$GZ,ROW()-4,$E$4)&amp;"")</f>
        <v>REL PRT CNF DLV PRC GMPS MANC SETC</v>
      </c>
      <c r="F252" s="43" t="n">
        <f aca="false">IF(A252="","",IFERROR(DATEVALUE(INDEX('COOIS Raw'!$A:$GZ,ROW()-4,$F$4)),INDEX('COOIS Raw'!$A:$GZ,ROW()-4,$F$4)))</f>
        <v>46287</v>
      </c>
      <c r="G252" s="41" t="str">
        <f aca="false">IF(A252="","",IF(ISNA(MATCH(B252,'Kitting Plan'!$B$6:$B$19,0)),"Not in plan","Yes"))</f>
        <v>Yes</v>
      </c>
      <c r="H252" s="41" t="n">
        <f aca="false">IF(G252="Yes",INDEX('Kitting Plan'!$D$6:$D$19,MATCH(B252,'Kitting Plan'!$B$6:$B$19,0)),"")</f>
        <v>3</v>
      </c>
      <c r="I252" s="41" t="n">
        <f aca="false">IF(A252="","",IF(ISNUMBER(SEARCH("PRT",E252)),D252,0))</f>
        <v>1</v>
      </c>
      <c r="J252" s="41" t="n">
        <f aca="false">IF(A252="","",IF(ISNUMBER(SEARCH("GMPS",E252)),D252,0))</f>
        <v>1</v>
      </c>
      <c r="K252" s="41" t="n">
        <f aca="false">IF(A252="","",IF(ISNUMBER(SEARCH("DLV",E252)),D252,0))</f>
        <v>1</v>
      </c>
      <c r="L252" s="41" t="str">
        <f aca="false">IF(A252="","",IF(K252&gt;0,"Delivered",IF(ISNUMBER(SEARCH("CNF",E252)),"In production",IF(J252&gt;0,"Issued",IF(I252&gt;0,"Kitted","Released")))))</f>
        <v>Delivered</v>
      </c>
      <c r="M252" s="41" t="n">
        <f aca="false">IF(G252&lt;&gt;"Yes","",COUNTIFS($B$6:$B$1505,B252,$F$6:$F$1505,"&lt;"&amp;F252)+COUNTIFS($B$6:$B$1505,B252,$F$6:$F$1505,F252,$A$6:$A$1505,"&lt;="&amp;A252))</f>
        <v>27</v>
      </c>
      <c r="N252" s="41" t="n">
        <f aca="false">IF(M252="","",ROUNDUP(M252/H252,0))</f>
        <v>9</v>
      </c>
      <c r="O252" s="41" t="str">
        <f aca="false">IF(N252="","",IF(N252&lt;='Kitting Plan'!$C$3,"Rep "&amp;N252,"Surplus"))</f>
        <v>Rep 9</v>
      </c>
    </row>
    <row r="253" customFormat="false" ht="15" hidden="false" customHeight="false" outlineLevel="0" collapsed="false">
      <c r="A253" s="40" t="n">
        <f aca="false">IF(OR($A$4=0,INDEX('COOIS Raw'!$A:$GZ,ROW()-4,$A$4)=""),"",IFERROR(--INDEX('COOIS Raw'!$A:$GZ,ROW()-4,$A$4),INDEX('COOIS Raw'!$A:$GZ,ROW()-4,$A$4)))</f>
        <v>100878376</v>
      </c>
      <c r="B253" s="41" t="str">
        <f aca="false">IF(A253="","",TRIM(INDEX('COOIS Raw'!$A:$GZ,ROW()-4,$B$4)))</f>
        <v>92YLS00548BAA</v>
      </c>
      <c r="C253" s="42" t="str">
        <f aca="false">IF(OR(A253="",$C$4=0),"",INDEX('COOIS Raw'!$A:$GZ,ROW()-4,$C$4))</f>
        <v>R5B LASER ASSEMBLY 4P BOAT 1 - E2A</v>
      </c>
      <c r="D253" s="41" t="n">
        <f aca="false">IF(A253="","",IF($D$4=0,1,IFERROR(--INDEX('COOIS Raw'!$A:$GZ,ROW()-4,$D$4),1)))</f>
        <v>1</v>
      </c>
      <c r="E253" s="42" t="str">
        <f aca="false">IF(A253="","",INDEX('COOIS Raw'!$A:$GZ,ROW()-4,$E$4)&amp;"")</f>
        <v>REL PPRT PCNF PRC GMPS MANC RESA SETC</v>
      </c>
      <c r="F253" s="43" t="n">
        <f aca="false">IF(A253="","",IFERROR(DATEVALUE(INDEX('COOIS Raw'!$A:$GZ,ROW()-4,$F$4)),INDEX('COOIS Raw'!$A:$GZ,ROW()-4,$F$4)))</f>
        <v>46286</v>
      </c>
      <c r="G253" s="41" t="str">
        <f aca="false">IF(A253="","",IF(ISNA(MATCH(B253,'Kitting Plan'!$B$6:$B$19,0)),"Not in plan","Yes"))</f>
        <v>Yes</v>
      </c>
      <c r="H253" s="41" t="n">
        <f aca="false">IF(G253="Yes",INDEX('Kitting Plan'!$D$6:$D$19,MATCH(B253,'Kitting Plan'!$B$6:$B$19,0)),"")</f>
        <v>1</v>
      </c>
      <c r="I253" s="41" t="n">
        <f aca="false">IF(A253="","",IF(ISNUMBER(SEARCH("PRT",E253)),D253,0))</f>
        <v>1</v>
      </c>
      <c r="J253" s="41" t="n">
        <f aca="false">IF(A253="","",IF(ISNUMBER(SEARCH("GMPS",E253)),D253,0))</f>
        <v>1</v>
      </c>
      <c r="K253" s="41" t="n">
        <f aca="false">IF(A253="","",IF(ISNUMBER(SEARCH("DLV",E253)),D253,0))</f>
        <v>0</v>
      </c>
      <c r="L253" s="41" t="str">
        <f aca="false">IF(A253="","",IF(K253&gt;0,"Delivered",IF(ISNUMBER(SEARCH("CNF",E253)),"In production",IF(J253&gt;0,"Issued",IF(I253&gt;0,"Kitted","Released")))))</f>
        <v>In production</v>
      </c>
      <c r="M253" s="41" t="n">
        <f aca="false">IF(G253&lt;&gt;"Yes","",COUNTIFS($B$6:$B$1505,B253,$F$6:$F$1505,"&lt;"&amp;F253)+COUNTIFS($B$6:$B$1505,B253,$F$6:$F$1505,F253,$A$6:$A$1505,"&lt;="&amp;A253))</f>
        <v>10</v>
      </c>
      <c r="N253" s="41" t="n">
        <f aca="false">IF(M253="","",ROUNDUP(M253/H253,0))</f>
        <v>10</v>
      </c>
      <c r="O253" s="41" t="str">
        <f aca="false">IF(N253="","",IF(N253&lt;='Kitting Plan'!$C$3,"Rep "&amp;N253,"Surplus"))</f>
        <v>Rep 10</v>
      </c>
    </row>
    <row r="254" customFormat="false" ht="15" hidden="false" customHeight="false" outlineLevel="0" collapsed="false">
      <c r="A254" s="40" t="n">
        <f aca="false">IF(OR($A$4=0,INDEX('COOIS Raw'!$A:$GZ,ROW()-4,$A$4)=""),"",IFERROR(--INDEX('COOIS Raw'!$A:$GZ,ROW()-4,$A$4),INDEX('COOIS Raw'!$A:$GZ,ROW()-4,$A$4)))</f>
        <v>100878377</v>
      </c>
      <c r="B254" s="41" t="str">
        <f aca="false">IF(A254="","",TRIM(INDEX('COOIS Raw'!$A:$GZ,ROW()-4,$B$4)))</f>
        <v>92YLS00548BBA</v>
      </c>
      <c r="C254" s="42" t="str">
        <f aca="false">IF(OR(A254="",$C$4=0),"",INDEX('COOIS Raw'!$A:$GZ,ROW()-4,$C$4))</f>
        <v>R5B LASER ASSEMBLY 4P BOAT 2/3 - E2A</v>
      </c>
      <c r="D254" s="41" t="n">
        <f aca="false">IF(A254="","",IF($D$4=0,1,IFERROR(--INDEX('COOIS Raw'!$A:$GZ,ROW()-4,$D$4),1)))</f>
        <v>1</v>
      </c>
      <c r="E254" s="42" t="str">
        <f aca="false">IF(A254="","",INDEX('COOIS Raw'!$A:$GZ,ROW()-4,$E$4)&amp;"")</f>
        <v>REL PPRT CNF DLV PRC GMPS MANC SETC</v>
      </c>
      <c r="F254" s="43" t="n">
        <f aca="false">IF(A254="","",IFERROR(DATEVALUE(INDEX('COOIS Raw'!$A:$GZ,ROW()-4,$F$4)),INDEX('COOIS Raw'!$A:$GZ,ROW()-4,$F$4)))</f>
        <v>46286</v>
      </c>
      <c r="G254" s="41" t="str">
        <f aca="false">IF(A254="","",IF(ISNA(MATCH(B254,'Kitting Plan'!$B$6:$B$19,0)),"Not in plan","Yes"))</f>
        <v>Yes</v>
      </c>
      <c r="H254" s="41" t="n">
        <f aca="false">IF(G254="Yes",INDEX('Kitting Plan'!$D$6:$D$19,MATCH(B254,'Kitting Plan'!$B$6:$B$19,0)),"")</f>
        <v>2</v>
      </c>
      <c r="I254" s="41" t="n">
        <f aca="false">IF(A254="","",IF(ISNUMBER(SEARCH("PRT",E254)),D254,0))</f>
        <v>1</v>
      </c>
      <c r="J254" s="41" t="n">
        <f aca="false">IF(A254="","",IF(ISNUMBER(SEARCH("GMPS",E254)),D254,0))</f>
        <v>1</v>
      </c>
      <c r="K254" s="41" t="n">
        <f aca="false">IF(A254="","",IF(ISNUMBER(SEARCH("DLV",E254)),D254,0))</f>
        <v>1</v>
      </c>
      <c r="L254" s="41" t="str">
        <f aca="false">IF(A254="","",IF(K254&gt;0,"Delivered",IF(ISNUMBER(SEARCH("CNF",E254)),"In production",IF(J254&gt;0,"Issued",IF(I254&gt;0,"Kitted","Released")))))</f>
        <v>Delivered</v>
      </c>
      <c r="M254" s="41" t="n">
        <f aca="false">IF(G254&lt;&gt;"Yes","",COUNTIFS($B$6:$B$1505,B254,$F$6:$F$1505,"&lt;"&amp;F254)+COUNTIFS($B$6:$B$1505,B254,$F$6:$F$1505,F254,$A$6:$A$1505,"&lt;="&amp;A254))</f>
        <v>17</v>
      </c>
      <c r="N254" s="41" t="n">
        <f aca="false">IF(M254="","",ROUNDUP(M254/H254,0))</f>
        <v>9</v>
      </c>
      <c r="O254" s="41" t="str">
        <f aca="false">IF(N254="","",IF(N254&lt;='Kitting Plan'!$C$3,"Rep "&amp;N254,"Surplus"))</f>
        <v>Rep 9</v>
      </c>
    </row>
    <row r="255" customFormat="false" ht="15" hidden="false" customHeight="false" outlineLevel="0" collapsed="false">
      <c r="A255" s="40" t="n">
        <f aca="false">IF(OR($A$4=0,INDEX('COOIS Raw'!$A:$GZ,ROW()-4,$A$4)=""),"",IFERROR(--INDEX('COOIS Raw'!$A:$GZ,ROW()-4,$A$4),INDEX('COOIS Raw'!$A:$GZ,ROW()-4,$A$4)))</f>
        <v>100878378</v>
      </c>
      <c r="B255" s="41" t="str">
        <f aca="false">IF(A255="","",TRIM(INDEX('COOIS Raw'!$A:$GZ,ROW()-4,$B$4)))</f>
        <v>92YLS00548BBA</v>
      </c>
      <c r="C255" s="42" t="str">
        <f aca="false">IF(OR(A255="",$C$4=0),"",INDEX('COOIS Raw'!$A:$GZ,ROW()-4,$C$4))</f>
        <v>R5B LASER ASSEMBLY 4P BOAT 2/3 - E2A</v>
      </c>
      <c r="D255" s="41" t="n">
        <f aca="false">IF(A255="","",IF($D$4=0,1,IFERROR(--INDEX('COOIS Raw'!$A:$GZ,ROW()-4,$D$4),1)))</f>
        <v>1</v>
      </c>
      <c r="E255" s="42" t="str">
        <f aca="false">IF(A255="","",INDEX('COOIS Raw'!$A:$GZ,ROW()-4,$E$4)&amp;"")</f>
        <v>REL PPRT PCNF PRC GMPS MANC RESA SETC</v>
      </c>
      <c r="F255" s="43" t="n">
        <f aca="false">IF(A255="","",IFERROR(DATEVALUE(INDEX('COOIS Raw'!$A:$GZ,ROW()-4,$F$4)),INDEX('COOIS Raw'!$A:$GZ,ROW()-4,$F$4)))</f>
        <v>46286</v>
      </c>
      <c r="G255" s="41" t="str">
        <f aca="false">IF(A255="","",IF(ISNA(MATCH(B255,'Kitting Plan'!$B$6:$B$19,0)),"Not in plan","Yes"))</f>
        <v>Yes</v>
      </c>
      <c r="H255" s="41" t="n">
        <f aca="false">IF(G255="Yes",INDEX('Kitting Plan'!$D$6:$D$19,MATCH(B255,'Kitting Plan'!$B$6:$B$19,0)),"")</f>
        <v>2</v>
      </c>
      <c r="I255" s="41" t="n">
        <f aca="false">IF(A255="","",IF(ISNUMBER(SEARCH("PRT",E255)),D255,0))</f>
        <v>1</v>
      </c>
      <c r="J255" s="41" t="n">
        <f aca="false">IF(A255="","",IF(ISNUMBER(SEARCH("GMPS",E255)),D255,0))</f>
        <v>1</v>
      </c>
      <c r="K255" s="41" t="n">
        <f aca="false">IF(A255="","",IF(ISNUMBER(SEARCH("DLV",E255)),D255,0))</f>
        <v>0</v>
      </c>
      <c r="L255" s="41" t="str">
        <f aca="false">IF(A255="","",IF(K255&gt;0,"Delivered",IF(ISNUMBER(SEARCH("CNF",E255)),"In production",IF(J255&gt;0,"Issued",IF(I255&gt;0,"Kitted","Released")))))</f>
        <v>In production</v>
      </c>
      <c r="M255" s="41" t="n">
        <f aca="false">IF(G255&lt;&gt;"Yes","",COUNTIFS($B$6:$B$1505,B255,$F$6:$F$1505,"&lt;"&amp;F255)+COUNTIFS($B$6:$B$1505,B255,$F$6:$F$1505,F255,$A$6:$A$1505,"&lt;="&amp;A255))</f>
        <v>18</v>
      </c>
      <c r="N255" s="41" t="n">
        <f aca="false">IF(M255="","",ROUNDUP(M255/H255,0))</f>
        <v>9</v>
      </c>
      <c r="O255" s="41" t="str">
        <f aca="false">IF(N255="","",IF(N255&lt;='Kitting Plan'!$C$3,"Rep "&amp;N255,"Surplus"))</f>
        <v>Rep 9</v>
      </c>
    </row>
    <row r="256" customFormat="false" ht="15" hidden="false" customHeight="false" outlineLevel="0" collapsed="false">
      <c r="A256" s="40" t="n">
        <f aca="false">IF(OR($A$4=0,INDEX('COOIS Raw'!$A:$GZ,ROW()-4,$A$4)=""),"",IFERROR(--INDEX('COOIS Raw'!$A:$GZ,ROW()-4,$A$4),INDEX('COOIS Raw'!$A:$GZ,ROW()-4,$A$4)))</f>
        <v>100877972</v>
      </c>
      <c r="B256" s="41" t="str">
        <f aca="false">IF(A256="","",TRIM(INDEX('COOIS Raw'!$A:$GZ,ROW()-4,$B$4)))</f>
        <v>92YRA01548AAA</v>
      </c>
      <c r="C256" s="42" t="str">
        <f aca="false">IF(OR(A256="",$C$4=0),"",INDEX('COOIS Raw'!$A:$GZ,ROW()-4,$C$4))</f>
        <v>R5B ERBIUM ASSEMBLY 1</v>
      </c>
      <c r="D256" s="41" t="n">
        <f aca="false">IF(A256="","",IF($D$4=0,1,IFERROR(--INDEX('COOIS Raw'!$A:$GZ,ROW()-4,$D$4),1)))</f>
        <v>1</v>
      </c>
      <c r="E256" s="42" t="str">
        <f aca="false">IF(A256="","",INDEX('COOIS Raw'!$A:$GZ,ROW()-4,$E$4)&amp;"")</f>
        <v>REL PRT PCNF PRC GMPS MANC RESA SETC</v>
      </c>
      <c r="F256" s="43" t="n">
        <f aca="false">IF(A256="","",IFERROR(DATEVALUE(INDEX('COOIS Raw'!$A:$GZ,ROW()-4,$F$4)),INDEX('COOIS Raw'!$A:$GZ,ROW()-4,$F$4)))</f>
        <v>46281</v>
      </c>
      <c r="G256" s="41" t="str">
        <f aca="false">IF(A256="","",IF(ISNA(MATCH(B256,'Kitting Plan'!$B$6:$B$19,0)),"Not in plan","Yes"))</f>
        <v>Yes</v>
      </c>
      <c r="H256" s="41" t="n">
        <f aca="false">IF(G256="Yes",INDEX('Kitting Plan'!$D$6:$D$19,MATCH(B256,'Kitting Plan'!$B$6:$B$19,0)),"")</f>
        <v>3</v>
      </c>
      <c r="I256" s="41" t="n">
        <f aca="false">IF(A256="","",IF(ISNUMBER(SEARCH("PRT",E256)),D256,0))</f>
        <v>1</v>
      </c>
      <c r="J256" s="41" t="n">
        <f aca="false">IF(A256="","",IF(ISNUMBER(SEARCH("GMPS",E256)),D256,0))</f>
        <v>1</v>
      </c>
      <c r="K256" s="41" t="n">
        <f aca="false">IF(A256="","",IF(ISNUMBER(SEARCH("DLV",E256)),D256,0))</f>
        <v>0</v>
      </c>
      <c r="L256" s="41" t="str">
        <f aca="false">IF(A256="","",IF(K256&gt;0,"Delivered",IF(ISNUMBER(SEARCH("CNF",E256)),"In production",IF(J256&gt;0,"Issued",IF(I256&gt;0,"Kitted","Released")))))</f>
        <v>In production</v>
      </c>
      <c r="M256" s="41" t="n">
        <f aca="false">IF(G256&lt;&gt;"Yes","",COUNTIFS($B$6:$B$1505,B256,$F$6:$F$1505,"&lt;"&amp;F256)+COUNTIFS($B$6:$B$1505,B256,$F$6:$F$1505,F256,$A$6:$A$1505,"&lt;="&amp;A256))</f>
        <v>22</v>
      </c>
      <c r="N256" s="41" t="n">
        <f aca="false">IF(M256="","",ROUNDUP(M256/H256,0))</f>
        <v>8</v>
      </c>
      <c r="O256" s="41" t="str">
        <f aca="false">IF(N256="","",IF(N256&lt;='Kitting Plan'!$C$3,"Rep "&amp;N256,"Surplus"))</f>
        <v>Rep 8</v>
      </c>
    </row>
    <row r="257" customFormat="false" ht="15" hidden="false" customHeight="false" outlineLevel="0" collapsed="false">
      <c r="A257" s="40" t="n">
        <f aca="false">IF(OR($A$4=0,INDEX('COOIS Raw'!$A:$GZ,ROW()-4,$A$4)=""),"",IFERROR(--INDEX('COOIS Raw'!$A:$GZ,ROW()-4,$A$4),INDEX('COOIS Raw'!$A:$GZ,ROW()-4,$A$4)))</f>
        <v>100877973</v>
      </c>
      <c r="B257" s="41" t="str">
        <f aca="false">IF(A257="","",TRIM(INDEX('COOIS Raw'!$A:$GZ,ROW()-4,$B$4)))</f>
        <v>92YRA01548AAA</v>
      </c>
      <c r="C257" s="42" t="str">
        <f aca="false">IF(OR(A257="",$C$4=0),"",INDEX('COOIS Raw'!$A:$GZ,ROW()-4,$C$4))</f>
        <v>R5B ERBIUM ASSEMBLY 1</v>
      </c>
      <c r="D257" s="41" t="n">
        <f aca="false">IF(A257="","",IF($D$4=0,1,IFERROR(--INDEX('COOIS Raw'!$A:$GZ,ROW()-4,$D$4),1)))</f>
        <v>1</v>
      </c>
      <c r="E257" s="42" t="str">
        <f aca="false">IF(A257="","",INDEX('COOIS Raw'!$A:$GZ,ROW()-4,$E$4)&amp;"")</f>
        <v>REL PRT CNF DLV PRC GMPS MANC RESA*</v>
      </c>
      <c r="F257" s="43" t="n">
        <f aca="false">IF(A257="","",IFERROR(DATEVALUE(INDEX('COOIS Raw'!$A:$GZ,ROW()-4,$F$4)),INDEX('COOIS Raw'!$A:$GZ,ROW()-4,$F$4)))</f>
        <v>46281</v>
      </c>
      <c r="G257" s="41" t="str">
        <f aca="false">IF(A257="","",IF(ISNA(MATCH(B257,'Kitting Plan'!$B$6:$B$19,0)),"Not in plan","Yes"))</f>
        <v>Yes</v>
      </c>
      <c r="H257" s="41" t="n">
        <f aca="false">IF(G257="Yes",INDEX('Kitting Plan'!$D$6:$D$19,MATCH(B257,'Kitting Plan'!$B$6:$B$19,0)),"")</f>
        <v>3</v>
      </c>
      <c r="I257" s="41" t="n">
        <f aca="false">IF(A257="","",IF(ISNUMBER(SEARCH("PRT",E257)),D257,0))</f>
        <v>1</v>
      </c>
      <c r="J257" s="41" t="n">
        <f aca="false">IF(A257="","",IF(ISNUMBER(SEARCH("GMPS",E257)),D257,0))</f>
        <v>1</v>
      </c>
      <c r="K257" s="41" t="n">
        <f aca="false">IF(A257="","",IF(ISNUMBER(SEARCH("DLV",E257)),D257,0))</f>
        <v>1</v>
      </c>
      <c r="L257" s="41" t="str">
        <f aca="false">IF(A257="","",IF(K257&gt;0,"Delivered",IF(ISNUMBER(SEARCH("CNF",E257)),"In production",IF(J257&gt;0,"Issued",IF(I257&gt;0,"Kitted","Released")))))</f>
        <v>Delivered</v>
      </c>
      <c r="M257" s="41" t="n">
        <f aca="false">IF(G257&lt;&gt;"Yes","",COUNTIFS($B$6:$B$1505,B257,$F$6:$F$1505,"&lt;"&amp;F257)+COUNTIFS($B$6:$B$1505,B257,$F$6:$F$1505,F257,$A$6:$A$1505,"&lt;="&amp;A257))</f>
        <v>23</v>
      </c>
      <c r="N257" s="41" t="n">
        <f aca="false">IF(M257="","",ROUNDUP(M257/H257,0))</f>
        <v>8</v>
      </c>
      <c r="O257" s="41" t="str">
        <f aca="false">IF(N257="","",IF(N257&lt;='Kitting Plan'!$C$3,"Rep "&amp;N257,"Surplus"))</f>
        <v>Rep 8</v>
      </c>
    </row>
    <row r="258" customFormat="false" ht="15" hidden="false" customHeight="false" outlineLevel="0" collapsed="false">
      <c r="A258" s="40" t="n">
        <f aca="false">IF(OR($A$4=0,INDEX('COOIS Raw'!$A:$GZ,ROW()-4,$A$4)=""),"",IFERROR(--INDEX('COOIS Raw'!$A:$GZ,ROW()-4,$A$4),INDEX('COOIS Raw'!$A:$GZ,ROW()-4,$A$4)))</f>
        <v>100877974</v>
      </c>
      <c r="B258" s="41" t="str">
        <f aca="false">IF(A258="","",TRIM(INDEX('COOIS Raw'!$A:$GZ,ROW()-4,$B$4)))</f>
        <v>92YRA01548AAA</v>
      </c>
      <c r="C258" s="42" t="str">
        <f aca="false">IF(OR(A258="",$C$4=0),"",INDEX('COOIS Raw'!$A:$GZ,ROW()-4,$C$4))</f>
        <v>R5B ERBIUM ASSEMBLY 1</v>
      </c>
      <c r="D258" s="41" t="n">
        <f aca="false">IF(A258="","",IF($D$4=0,1,IFERROR(--INDEX('COOIS Raw'!$A:$GZ,ROW()-4,$D$4),1)))</f>
        <v>1</v>
      </c>
      <c r="E258" s="42" t="str">
        <f aca="false">IF(A258="","",INDEX('COOIS Raw'!$A:$GZ,ROW()-4,$E$4)&amp;"")</f>
        <v>REL PRT CNF DLV PRC GMPS MANC RESA*</v>
      </c>
      <c r="F258" s="43" t="n">
        <f aca="false">IF(A258="","",IFERROR(DATEVALUE(INDEX('COOIS Raw'!$A:$GZ,ROW()-4,$F$4)),INDEX('COOIS Raw'!$A:$GZ,ROW()-4,$F$4)))</f>
        <v>46281</v>
      </c>
      <c r="G258" s="41" t="str">
        <f aca="false">IF(A258="","",IF(ISNA(MATCH(B258,'Kitting Plan'!$B$6:$B$19,0)),"Not in plan","Yes"))</f>
        <v>Yes</v>
      </c>
      <c r="H258" s="41" t="n">
        <f aca="false">IF(G258="Yes",INDEX('Kitting Plan'!$D$6:$D$19,MATCH(B258,'Kitting Plan'!$B$6:$B$19,0)),"")</f>
        <v>3</v>
      </c>
      <c r="I258" s="41" t="n">
        <f aca="false">IF(A258="","",IF(ISNUMBER(SEARCH("PRT",E258)),D258,0))</f>
        <v>1</v>
      </c>
      <c r="J258" s="41" t="n">
        <f aca="false">IF(A258="","",IF(ISNUMBER(SEARCH("GMPS",E258)),D258,0))</f>
        <v>1</v>
      </c>
      <c r="K258" s="41" t="n">
        <f aca="false">IF(A258="","",IF(ISNUMBER(SEARCH("DLV",E258)),D258,0))</f>
        <v>1</v>
      </c>
      <c r="L258" s="41" t="str">
        <f aca="false">IF(A258="","",IF(K258&gt;0,"Delivered",IF(ISNUMBER(SEARCH("CNF",E258)),"In production",IF(J258&gt;0,"Issued",IF(I258&gt;0,"Kitted","Released")))))</f>
        <v>Delivered</v>
      </c>
      <c r="M258" s="41" t="n">
        <f aca="false">IF(G258&lt;&gt;"Yes","",COUNTIFS($B$6:$B$1505,B258,$F$6:$F$1505,"&lt;"&amp;F258)+COUNTIFS($B$6:$B$1505,B258,$F$6:$F$1505,F258,$A$6:$A$1505,"&lt;="&amp;A258))</f>
        <v>24</v>
      </c>
      <c r="N258" s="41" t="n">
        <f aca="false">IF(M258="","",ROUNDUP(M258/H258,0))</f>
        <v>8</v>
      </c>
      <c r="O258" s="41" t="str">
        <f aca="false">IF(N258="","",IF(N258&lt;='Kitting Plan'!$C$3,"Rep "&amp;N258,"Surplus"))</f>
        <v>Rep 8</v>
      </c>
    </row>
    <row r="259" customFormat="false" ht="15" hidden="false" customHeight="false" outlineLevel="0" collapsed="false">
      <c r="A259" s="40" t="n">
        <f aca="false">IF(OR($A$4=0,INDEX('COOIS Raw'!$A:$GZ,ROW()-4,$A$4)=""),"",IFERROR(--INDEX('COOIS Raw'!$A:$GZ,ROW()-4,$A$4),INDEX('COOIS Raw'!$A:$GZ,ROW()-4,$A$4)))</f>
        <v>100877976</v>
      </c>
      <c r="B259" s="41" t="str">
        <f aca="false">IF(A259="","",TRIM(INDEX('COOIS Raw'!$A:$GZ,ROW()-4,$B$4)))</f>
        <v>92YRA02548AAA</v>
      </c>
      <c r="C259" s="42" t="str">
        <f aca="false">IF(OR(A259="",$C$4=0),"",INDEX('COOIS Raw'!$A:$GZ,ROW()-4,$C$4))</f>
        <v>R5B ERBIUM ASSEMBLY 2</v>
      </c>
      <c r="D259" s="41" t="n">
        <f aca="false">IF(A259="","",IF($D$4=0,1,IFERROR(--INDEX('COOIS Raw'!$A:$GZ,ROW()-4,$D$4),1)))</f>
        <v>1</v>
      </c>
      <c r="E259" s="42" t="str">
        <f aca="false">IF(A259="","",INDEX('COOIS Raw'!$A:$GZ,ROW()-4,$E$4)&amp;"")</f>
        <v>REL PRT PCNF PRC GMPS MANC RESA SETC</v>
      </c>
      <c r="F259" s="43" t="n">
        <f aca="false">IF(A259="","",IFERROR(DATEVALUE(INDEX('COOIS Raw'!$A:$GZ,ROW()-4,$F$4)),INDEX('COOIS Raw'!$A:$GZ,ROW()-4,$F$4)))</f>
        <v>46281</v>
      </c>
      <c r="G259" s="41" t="str">
        <f aca="false">IF(A259="","",IF(ISNA(MATCH(B259,'Kitting Plan'!$B$6:$B$19,0)),"Not in plan","Yes"))</f>
        <v>Yes</v>
      </c>
      <c r="H259" s="41" t="n">
        <f aca="false">IF(G259="Yes",INDEX('Kitting Plan'!$D$6:$D$19,MATCH(B259,'Kitting Plan'!$B$6:$B$19,0)),"")</f>
        <v>3</v>
      </c>
      <c r="I259" s="41" t="n">
        <f aca="false">IF(A259="","",IF(ISNUMBER(SEARCH("PRT",E259)),D259,0))</f>
        <v>1</v>
      </c>
      <c r="J259" s="41" t="n">
        <f aca="false">IF(A259="","",IF(ISNUMBER(SEARCH("GMPS",E259)),D259,0))</f>
        <v>1</v>
      </c>
      <c r="K259" s="41" t="n">
        <f aca="false">IF(A259="","",IF(ISNUMBER(SEARCH("DLV",E259)),D259,0))</f>
        <v>0</v>
      </c>
      <c r="L259" s="41" t="str">
        <f aca="false">IF(A259="","",IF(K259&gt;0,"Delivered",IF(ISNUMBER(SEARCH("CNF",E259)),"In production",IF(J259&gt;0,"Issued",IF(I259&gt;0,"Kitted","Released")))))</f>
        <v>In production</v>
      </c>
      <c r="M259" s="41" t="n">
        <f aca="false">IF(G259&lt;&gt;"Yes","",COUNTIFS($B$6:$B$1505,B259,$F$6:$F$1505,"&lt;"&amp;F259)+COUNTIFS($B$6:$B$1505,B259,$F$6:$F$1505,F259,$A$6:$A$1505,"&lt;="&amp;A259))</f>
        <v>22</v>
      </c>
      <c r="N259" s="41" t="n">
        <f aca="false">IF(M259="","",ROUNDUP(M259/H259,0))</f>
        <v>8</v>
      </c>
      <c r="O259" s="41" t="str">
        <f aca="false">IF(N259="","",IF(N259&lt;='Kitting Plan'!$C$3,"Rep "&amp;N259,"Surplus"))</f>
        <v>Rep 8</v>
      </c>
    </row>
    <row r="260" customFormat="false" ht="15" hidden="false" customHeight="false" outlineLevel="0" collapsed="false">
      <c r="A260" s="40" t="n">
        <f aca="false">IF(OR($A$4=0,INDEX('COOIS Raw'!$A:$GZ,ROW()-4,$A$4)=""),"",IFERROR(--INDEX('COOIS Raw'!$A:$GZ,ROW()-4,$A$4),INDEX('COOIS Raw'!$A:$GZ,ROW()-4,$A$4)))</f>
        <v>100877977</v>
      </c>
      <c r="B260" s="41" t="str">
        <f aca="false">IF(A260="","",TRIM(INDEX('COOIS Raw'!$A:$GZ,ROW()-4,$B$4)))</f>
        <v>92YRA02548AAA</v>
      </c>
      <c r="C260" s="42" t="str">
        <f aca="false">IF(OR(A260="",$C$4=0),"",INDEX('COOIS Raw'!$A:$GZ,ROW()-4,$C$4))</f>
        <v>R5B ERBIUM ASSEMBLY 2</v>
      </c>
      <c r="D260" s="41" t="n">
        <f aca="false">IF(A260="","",IF($D$4=0,1,IFERROR(--INDEX('COOIS Raw'!$A:$GZ,ROW()-4,$D$4),1)))</f>
        <v>1</v>
      </c>
      <c r="E260" s="42" t="str">
        <f aca="false">IF(A260="","",INDEX('COOIS Raw'!$A:$GZ,ROW()-4,$E$4)&amp;"")</f>
        <v>REL PRT PCNF PRC GMPS MANC RESA SETC</v>
      </c>
      <c r="F260" s="43" t="n">
        <f aca="false">IF(A260="","",IFERROR(DATEVALUE(INDEX('COOIS Raw'!$A:$GZ,ROW()-4,$F$4)),INDEX('COOIS Raw'!$A:$GZ,ROW()-4,$F$4)))</f>
        <v>46281</v>
      </c>
      <c r="G260" s="41" t="str">
        <f aca="false">IF(A260="","",IF(ISNA(MATCH(B260,'Kitting Plan'!$B$6:$B$19,0)),"Not in plan","Yes"))</f>
        <v>Yes</v>
      </c>
      <c r="H260" s="41" t="n">
        <f aca="false">IF(G260="Yes",INDEX('Kitting Plan'!$D$6:$D$19,MATCH(B260,'Kitting Plan'!$B$6:$B$19,0)),"")</f>
        <v>3</v>
      </c>
      <c r="I260" s="41" t="n">
        <f aca="false">IF(A260="","",IF(ISNUMBER(SEARCH("PRT",E260)),D260,0))</f>
        <v>1</v>
      </c>
      <c r="J260" s="41" t="n">
        <f aca="false">IF(A260="","",IF(ISNUMBER(SEARCH("GMPS",E260)),D260,0))</f>
        <v>1</v>
      </c>
      <c r="K260" s="41" t="n">
        <f aca="false">IF(A260="","",IF(ISNUMBER(SEARCH("DLV",E260)),D260,0))</f>
        <v>0</v>
      </c>
      <c r="L260" s="41" t="str">
        <f aca="false">IF(A260="","",IF(K260&gt;0,"Delivered",IF(ISNUMBER(SEARCH("CNF",E260)),"In production",IF(J260&gt;0,"Issued",IF(I260&gt;0,"Kitted","Released")))))</f>
        <v>In production</v>
      </c>
      <c r="M260" s="41" t="n">
        <f aca="false">IF(G260&lt;&gt;"Yes","",COUNTIFS($B$6:$B$1505,B260,$F$6:$F$1505,"&lt;"&amp;F260)+COUNTIFS($B$6:$B$1505,B260,$F$6:$F$1505,F260,$A$6:$A$1505,"&lt;="&amp;A260))</f>
        <v>23</v>
      </c>
      <c r="N260" s="41" t="n">
        <f aca="false">IF(M260="","",ROUNDUP(M260/H260,0))</f>
        <v>8</v>
      </c>
      <c r="O260" s="41" t="str">
        <f aca="false">IF(N260="","",IF(N260&lt;='Kitting Plan'!$C$3,"Rep "&amp;N260,"Surplus"))</f>
        <v>Rep 8</v>
      </c>
    </row>
    <row r="261" customFormat="false" ht="15" hidden="false" customHeight="false" outlineLevel="0" collapsed="false">
      <c r="A261" s="40" t="n">
        <f aca="false">IF(OR($A$4=0,INDEX('COOIS Raw'!$A:$GZ,ROW()-4,$A$4)=""),"",IFERROR(--INDEX('COOIS Raw'!$A:$GZ,ROW()-4,$A$4),INDEX('COOIS Raw'!$A:$GZ,ROW()-4,$A$4)))</f>
        <v>100877978</v>
      </c>
      <c r="B261" s="41" t="str">
        <f aca="false">IF(A261="","",TRIM(INDEX('COOIS Raw'!$A:$GZ,ROW()-4,$B$4)))</f>
        <v>92YRA02548AAA</v>
      </c>
      <c r="C261" s="42" t="str">
        <f aca="false">IF(OR(A261="",$C$4=0),"",INDEX('COOIS Raw'!$A:$GZ,ROW()-4,$C$4))</f>
        <v>R5B ERBIUM ASSEMBLY 2</v>
      </c>
      <c r="D261" s="41" t="n">
        <f aca="false">IF(A261="","",IF($D$4=0,1,IFERROR(--INDEX('COOIS Raw'!$A:$GZ,ROW()-4,$D$4),1)))</f>
        <v>1</v>
      </c>
      <c r="E261" s="42" t="str">
        <f aca="false">IF(A261="","",INDEX('COOIS Raw'!$A:$GZ,ROW()-4,$E$4)&amp;"")</f>
        <v>REL PRT PCNF PRC GMPS MANC RESA SETC</v>
      </c>
      <c r="F261" s="43" t="n">
        <f aca="false">IF(A261="","",IFERROR(DATEVALUE(INDEX('COOIS Raw'!$A:$GZ,ROW()-4,$F$4)),INDEX('COOIS Raw'!$A:$GZ,ROW()-4,$F$4)))</f>
        <v>46281</v>
      </c>
      <c r="G261" s="41" t="str">
        <f aca="false">IF(A261="","",IF(ISNA(MATCH(B261,'Kitting Plan'!$B$6:$B$19,0)),"Not in plan","Yes"))</f>
        <v>Yes</v>
      </c>
      <c r="H261" s="41" t="n">
        <f aca="false">IF(G261="Yes",INDEX('Kitting Plan'!$D$6:$D$19,MATCH(B261,'Kitting Plan'!$B$6:$B$19,0)),"")</f>
        <v>3</v>
      </c>
      <c r="I261" s="41" t="n">
        <f aca="false">IF(A261="","",IF(ISNUMBER(SEARCH("PRT",E261)),D261,0))</f>
        <v>1</v>
      </c>
      <c r="J261" s="41" t="n">
        <f aca="false">IF(A261="","",IF(ISNUMBER(SEARCH("GMPS",E261)),D261,0))</f>
        <v>1</v>
      </c>
      <c r="K261" s="41" t="n">
        <f aca="false">IF(A261="","",IF(ISNUMBER(SEARCH("DLV",E261)),D261,0))</f>
        <v>0</v>
      </c>
      <c r="L261" s="41" t="str">
        <f aca="false">IF(A261="","",IF(K261&gt;0,"Delivered",IF(ISNUMBER(SEARCH("CNF",E261)),"In production",IF(J261&gt;0,"Issued",IF(I261&gt;0,"Kitted","Released")))))</f>
        <v>In production</v>
      </c>
      <c r="M261" s="41" t="n">
        <f aca="false">IF(G261&lt;&gt;"Yes","",COUNTIFS($B$6:$B$1505,B261,$F$6:$F$1505,"&lt;"&amp;F261)+COUNTIFS($B$6:$B$1505,B261,$F$6:$F$1505,F261,$A$6:$A$1505,"&lt;="&amp;A261))</f>
        <v>24</v>
      </c>
      <c r="N261" s="41" t="n">
        <f aca="false">IF(M261="","",ROUNDUP(M261/H261,0))</f>
        <v>8</v>
      </c>
      <c r="O261" s="41" t="str">
        <f aca="false">IF(N261="","",IF(N261&lt;='Kitting Plan'!$C$3,"Rep "&amp;N261,"Surplus"))</f>
        <v>Rep 8</v>
      </c>
    </row>
    <row r="262" customFormat="false" ht="15" hidden="false" customHeight="false" outlineLevel="0" collapsed="false">
      <c r="A262" s="40" t="n">
        <f aca="false">IF(OR($A$4=0,INDEX('COOIS Raw'!$A:$GZ,ROW()-4,$A$4)=""),"",IFERROR(--INDEX('COOIS Raw'!$A:$GZ,ROW()-4,$A$4),INDEX('COOIS Raw'!$A:$GZ,ROW()-4,$A$4)))</f>
        <v>100877979</v>
      </c>
      <c r="B262" s="41" t="str">
        <f aca="false">IF(A262="","",TRIM(INDEX('COOIS Raw'!$A:$GZ,ROW()-4,$B$4)))</f>
        <v>92YRA03548AAA</v>
      </c>
      <c r="C262" s="42" t="str">
        <f aca="false">IF(OR(A262="",$C$4=0),"",INDEX('COOIS Raw'!$A:$GZ,ROW()-4,$C$4))</f>
        <v>R5B ERBIUM ASSEMBLY 3</v>
      </c>
      <c r="D262" s="41" t="n">
        <f aca="false">IF(A262="","",IF($D$4=0,1,IFERROR(--INDEX('COOIS Raw'!$A:$GZ,ROW()-4,$D$4),1)))</f>
        <v>1</v>
      </c>
      <c r="E262" s="42" t="str">
        <f aca="false">IF(A262="","",INDEX('COOIS Raw'!$A:$GZ,ROW()-4,$E$4)&amp;"")</f>
        <v>REL PRT PCNF PRC GMPS MANC RESA SETC</v>
      </c>
      <c r="F262" s="43" t="n">
        <f aca="false">IF(A262="","",IFERROR(DATEVALUE(INDEX('COOIS Raw'!$A:$GZ,ROW()-4,$F$4)),INDEX('COOIS Raw'!$A:$GZ,ROW()-4,$F$4)))</f>
        <v>46281</v>
      </c>
      <c r="G262" s="41" t="str">
        <f aca="false">IF(A262="","",IF(ISNA(MATCH(B262,'Kitting Plan'!$B$6:$B$19,0)),"Not in plan","Yes"))</f>
        <v>Yes</v>
      </c>
      <c r="H262" s="41" t="n">
        <f aca="false">IF(G262="Yes",INDEX('Kitting Plan'!$D$6:$D$19,MATCH(B262,'Kitting Plan'!$B$6:$B$19,0)),"")</f>
        <v>3</v>
      </c>
      <c r="I262" s="41" t="n">
        <f aca="false">IF(A262="","",IF(ISNUMBER(SEARCH("PRT",E262)),D262,0))</f>
        <v>1</v>
      </c>
      <c r="J262" s="41" t="n">
        <f aca="false">IF(A262="","",IF(ISNUMBER(SEARCH("GMPS",E262)),D262,0))</f>
        <v>1</v>
      </c>
      <c r="K262" s="41" t="n">
        <f aca="false">IF(A262="","",IF(ISNUMBER(SEARCH("DLV",E262)),D262,0))</f>
        <v>0</v>
      </c>
      <c r="L262" s="41" t="str">
        <f aca="false">IF(A262="","",IF(K262&gt;0,"Delivered",IF(ISNUMBER(SEARCH("CNF",E262)),"In production",IF(J262&gt;0,"Issued",IF(I262&gt;0,"Kitted","Released")))))</f>
        <v>In production</v>
      </c>
      <c r="M262" s="41" t="n">
        <f aca="false">IF(G262&lt;&gt;"Yes","",COUNTIFS($B$6:$B$1505,B262,$F$6:$F$1505,"&lt;"&amp;F262)+COUNTIFS($B$6:$B$1505,B262,$F$6:$F$1505,F262,$A$6:$A$1505,"&lt;="&amp;A262))</f>
        <v>25</v>
      </c>
      <c r="N262" s="41" t="n">
        <f aca="false">IF(M262="","",ROUNDUP(M262/H262,0))</f>
        <v>9</v>
      </c>
      <c r="O262" s="41" t="str">
        <f aca="false">IF(N262="","",IF(N262&lt;='Kitting Plan'!$C$3,"Rep "&amp;N262,"Surplus"))</f>
        <v>Rep 9</v>
      </c>
    </row>
    <row r="263" customFormat="false" ht="15" hidden="false" customHeight="false" outlineLevel="0" collapsed="false">
      <c r="A263" s="40" t="n">
        <f aca="false">IF(OR($A$4=0,INDEX('COOIS Raw'!$A:$GZ,ROW()-4,$A$4)=""),"",IFERROR(--INDEX('COOIS Raw'!$A:$GZ,ROW()-4,$A$4),INDEX('COOIS Raw'!$A:$GZ,ROW()-4,$A$4)))</f>
        <v>100877980</v>
      </c>
      <c r="B263" s="41" t="str">
        <f aca="false">IF(A263="","",TRIM(INDEX('COOIS Raw'!$A:$GZ,ROW()-4,$B$4)))</f>
        <v>92YRA03548AAA</v>
      </c>
      <c r="C263" s="42" t="str">
        <f aca="false">IF(OR(A263="",$C$4=0),"",INDEX('COOIS Raw'!$A:$GZ,ROW()-4,$C$4))</f>
        <v>R5B ERBIUM ASSEMBLY 3</v>
      </c>
      <c r="D263" s="41" t="n">
        <f aca="false">IF(A263="","",IF($D$4=0,1,IFERROR(--INDEX('COOIS Raw'!$A:$GZ,ROW()-4,$D$4),1)))</f>
        <v>1</v>
      </c>
      <c r="E263" s="42" t="str">
        <f aca="false">IF(A263="","",INDEX('COOIS Raw'!$A:$GZ,ROW()-4,$E$4)&amp;"")</f>
        <v>REL PRT PCNF PRC GMPS MANC RESA SETC</v>
      </c>
      <c r="F263" s="43" t="n">
        <f aca="false">IF(A263="","",IFERROR(DATEVALUE(INDEX('COOIS Raw'!$A:$GZ,ROW()-4,$F$4)),INDEX('COOIS Raw'!$A:$GZ,ROW()-4,$F$4)))</f>
        <v>46281</v>
      </c>
      <c r="G263" s="41" t="str">
        <f aca="false">IF(A263="","",IF(ISNA(MATCH(B263,'Kitting Plan'!$B$6:$B$19,0)),"Not in plan","Yes"))</f>
        <v>Yes</v>
      </c>
      <c r="H263" s="41" t="n">
        <f aca="false">IF(G263="Yes",INDEX('Kitting Plan'!$D$6:$D$19,MATCH(B263,'Kitting Plan'!$B$6:$B$19,0)),"")</f>
        <v>3</v>
      </c>
      <c r="I263" s="41" t="n">
        <f aca="false">IF(A263="","",IF(ISNUMBER(SEARCH("PRT",E263)),D263,0))</f>
        <v>1</v>
      </c>
      <c r="J263" s="41" t="n">
        <f aca="false">IF(A263="","",IF(ISNUMBER(SEARCH("GMPS",E263)),D263,0))</f>
        <v>1</v>
      </c>
      <c r="K263" s="41" t="n">
        <f aca="false">IF(A263="","",IF(ISNUMBER(SEARCH("DLV",E263)),D263,0))</f>
        <v>0</v>
      </c>
      <c r="L263" s="41" t="str">
        <f aca="false">IF(A263="","",IF(K263&gt;0,"Delivered",IF(ISNUMBER(SEARCH("CNF",E263)),"In production",IF(J263&gt;0,"Issued",IF(I263&gt;0,"Kitted","Released")))))</f>
        <v>In production</v>
      </c>
      <c r="M263" s="41" t="n">
        <f aca="false">IF(G263&lt;&gt;"Yes","",COUNTIFS($B$6:$B$1505,B263,$F$6:$F$1505,"&lt;"&amp;F263)+COUNTIFS($B$6:$B$1505,B263,$F$6:$F$1505,F263,$A$6:$A$1505,"&lt;="&amp;A263))</f>
        <v>26</v>
      </c>
      <c r="N263" s="41" t="n">
        <f aca="false">IF(M263="","",ROUNDUP(M263/H263,0))</f>
        <v>9</v>
      </c>
      <c r="O263" s="41" t="str">
        <f aca="false">IF(N263="","",IF(N263&lt;='Kitting Plan'!$C$3,"Rep "&amp;N263,"Surplus"))</f>
        <v>Rep 9</v>
      </c>
    </row>
    <row r="264" customFormat="false" ht="15" hidden="false" customHeight="false" outlineLevel="0" collapsed="false">
      <c r="A264" s="40" t="n">
        <f aca="false">IF(OR($A$4=0,INDEX('COOIS Raw'!$A:$GZ,ROW()-4,$A$4)=""),"",IFERROR(--INDEX('COOIS Raw'!$A:$GZ,ROW()-4,$A$4),INDEX('COOIS Raw'!$A:$GZ,ROW()-4,$A$4)))</f>
        <v>100877981</v>
      </c>
      <c r="B264" s="41" t="str">
        <f aca="false">IF(A264="","",TRIM(INDEX('COOIS Raw'!$A:$GZ,ROW()-4,$B$4)))</f>
        <v>92YRA03548AAA</v>
      </c>
      <c r="C264" s="42" t="str">
        <f aca="false">IF(OR(A264="",$C$4=0),"",INDEX('COOIS Raw'!$A:$GZ,ROW()-4,$C$4))</f>
        <v>R5B ERBIUM ASSEMBLY 3</v>
      </c>
      <c r="D264" s="41" t="n">
        <f aca="false">IF(A264="","",IF($D$4=0,1,IFERROR(--INDEX('COOIS Raw'!$A:$GZ,ROW()-4,$D$4),1)))</f>
        <v>1</v>
      </c>
      <c r="E264" s="42" t="str">
        <f aca="false">IF(A264="","",INDEX('COOIS Raw'!$A:$GZ,ROW()-4,$E$4)&amp;"")</f>
        <v>REL PRT PCNF PRC GMPS MANC RESA SETC</v>
      </c>
      <c r="F264" s="43" t="n">
        <f aca="false">IF(A264="","",IFERROR(DATEVALUE(INDEX('COOIS Raw'!$A:$GZ,ROW()-4,$F$4)),INDEX('COOIS Raw'!$A:$GZ,ROW()-4,$F$4)))</f>
        <v>46281</v>
      </c>
      <c r="G264" s="41" t="str">
        <f aca="false">IF(A264="","",IF(ISNA(MATCH(B264,'Kitting Plan'!$B$6:$B$19,0)),"Not in plan","Yes"))</f>
        <v>Yes</v>
      </c>
      <c r="H264" s="41" t="n">
        <f aca="false">IF(G264="Yes",INDEX('Kitting Plan'!$D$6:$D$19,MATCH(B264,'Kitting Plan'!$B$6:$B$19,0)),"")</f>
        <v>3</v>
      </c>
      <c r="I264" s="41" t="n">
        <f aca="false">IF(A264="","",IF(ISNUMBER(SEARCH("PRT",E264)),D264,0))</f>
        <v>1</v>
      </c>
      <c r="J264" s="41" t="n">
        <f aca="false">IF(A264="","",IF(ISNUMBER(SEARCH("GMPS",E264)),D264,0))</f>
        <v>1</v>
      </c>
      <c r="K264" s="41" t="n">
        <f aca="false">IF(A264="","",IF(ISNUMBER(SEARCH("DLV",E264)),D264,0))</f>
        <v>0</v>
      </c>
      <c r="L264" s="41" t="str">
        <f aca="false">IF(A264="","",IF(K264&gt;0,"Delivered",IF(ISNUMBER(SEARCH("CNF",E264)),"In production",IF(J264&gt;0,"Issued",IF(I264&gt;0,"Kitted","Released")))))</f>
        <v>In production</v>
      </c>
      <c r="M264" s="41" t="n">
        <f aca="false">IF(G264&lt;&gt;"Yes","",COUNTIFS($B$6:$B$1505,B264,$F$6:$F$1505,"&lt;"&amp;F264)+COUNTIFS($B$6:$B$1505,B264,$F$6:$F$1505,F264,$A$6:$A$1505,"&lt;="&amp;A264))</f>
        <v>27</v>
      </c>
      <c r="N264" s="41" t="n">
        <f aca="false">IF(M264="","",ROUNDUP(M264/H264,0))</f>
        <v>9</v>
      </c>
      <c r="O264" s="41" t="str">
        <f aca="false">IF(N264="","",IF(N264&lt;='Kitting Plan'!$C$3,"Rep "&amp;N264,"Surplus"))</f>
        <v>Rep 9</v>
      </c>
    </row>
    <row r="265" customFormat="false" ht="15" hidden="false" customHeight="false" outlineLevel="0" collapsed="false">
      <c r="A265" s="40" t="n">
        <f aca="false">IF(OR($A$4=0,INDEX('COOIS Raw'!$A:$GZ,ROW()-4,$A$4)=""),"",IFERROR(--INDEX('COOIS Raw'!$A:$GZ,ROW()-4,$A$4),INDEX('COOIS Raw'!$A:$GZ,ROW()-4,$A$4)))</f>
        <v>100877983</v>
      </c>
      <c r="B265" s="41" t="str">
        <f aca="false">IF(A265="","",TRIM(INDEX('COOIS Raw'!$A:$GZ,ROW()-4,$B$4)))</f>
        <v>92YRA04548AAA</v>
      </c>
      <c r="C265" s="42" t="str">
        <f aca="false">IF(OR(A265="",$C$4=0),"",INDEX('COOIS Raw'!$A:$GZ,ROW()-4,$C$4))</f>
        <v>R5B ERBIUM ASSEMBLY 4</v>
      </c>
      <c r="D265" s="41" t="n">
        <f aca="false">IF(A265="","",IF($D$4=0,1,IFERROR(--INDEX('COOIS Raw'!$A:$GZ,ROW()-4,$D$4),1)))</f>
        <v>1</v>
      </c>
      <c r="E265" s="42" t="str">
        <f aca="false">IF(A265="","",INDEX('COOIS Raw'!$A:$GZ,ROW()-4,$E$4)&amp;"")</f>
        <v>REL PRT PCNF PRC GMPS MANC RESA SETC</v>
      </c>
      <c r="F265" s="43" t="n">
        <f aca="false">IF(A265="","",IFERROR(DATEVALUE(INDEX('COOIS Raw'!$A:$GZ,ROW()-4,$F$4)),INDEX('COOIS Raw'!$A:$GZ,ROW()-4,$F$4)))</f>
        <v>46281</v>
      </c>
      <c r="G265" s="41" t="str">
        <f aca="false">IF(A265="","",IF(ISNA(MATCH(B265,'Kitting Plan'!$B$6:$B$19,0)),"Not in plan","Yes"))</f>
        <v>Yes</v>
      </c>
      <c r="H265" s="41" t="n">
        <f aca="false">IF(G265="Yes",INDEX('Kitting Plan'!$D$6:$D$19,MATCH(B265,'Kitting Plan'!$B$6:$B$19,0)),"")</f>
        <v>3</v>
      </c>
      <c r="I265" s="41" t="n">
        <f aca="false">IF(A265="","",IF(ISNUMBER(SEARCH("PRT",E265)),D265,0))</f>
        <v>1</v>
      </c>
      <c r="J265" s="41" t="n">
        <f aca="false">IF(A265="","",IF(ISNUMBER(SEARCH("GMPS",E265)),D265,0))</f>
        <v>1</v>
      </c>
      <c r="K265" s="41" t="n">
        <f aca="false">IF(A265="","",IF(ISNUMBER(SEARCH("DLV",E265)),D265,0))</f>
        <v>0</v>
      </c>
      <c r="L265" s="41" t="str">
        <f aca="false">IF(A265="","",IF(K265&gt;0,"Delivered",IF(ISNUMBER(SEARCH("CNF",E265)),"In production",IF(J265&gt;0,"Issued",IF(I265&gt;0,"Kitted","Released")))))</f>
        <v>In production</v>
      </c>
      <c r="M265" s="41" t="n">
        <f aca="false">IF(G265&lt;&gt;"Yes","",COUNTIFS($B$6:$B$1505,B265,$F$6:$F$1505,"&lt;"&amp;F265)+COUNTIFS($B$6:$B$1505,B265,$F$6:$F$1505,F265,$A$6:$A$1505,"&lt;="&amp;A265))</f>
        <v>22</v>
      </c>
      <c r="N265" s="41" t="n">
        <f aca="false">IF(M265="","",ROUNDUP(M265/H265,0))</f>
        <v>8</v>
      </c>
      <c r="O265" s="41" t="str">
        <f aca="false">IF(N265="","",IF(N265&lt;='Kitting Plan'!$C$3,"Rep "&amp;N265,"Surplus"))</f>
        <v>Rep 8</v>
      </c>
    </row>
    <row r="266" customFormat="false" ht="15" hidden="false" customHeight="false" outlineLevel="0" collapsed="false">
      <c r="A266" s="40" t="n">
        <f aca="false">IF(OR($A$4=0,INDEX('COOIS Raw'!$A:$GZ,ROW()-4,$A$4)=""),"",IFERROR(--INDEX('COOIS Raw'!$A:$GZ,ROW()-4,$A$4),INDEX('COOIS Raw'!$A:$GZ,ROW()-4,$A$4)))</f>
        <v>100877984</v>
      </c>
      <c r="B266" s="41" t="str">
        <f aca="false">IF(A266="","",TRIM(INDEX('COOIS Raw'!$A:$GZ,ROW()-4,$B$4)))</f>
        <v>92YRA04548AAA</v>
      </c>
      <c r="C266" s="42" t="str">
        <f aca="false">IF(OR(A266="",$C$4=0),"",INDEX('COOIS Raw'!$A:$GZ,ROW()-4,$C$4))</f>
        <v>R5B ERBIUM ASSEMBLY 4</v>
      </c>
      <c r="D266" s="41" t="n">
        <f aca="false">IF(A266="","",IF($D$4=0,1,IFERROR(--INDEX('COOIS Raw'!$A:$GZ,ROW()-4,$D$4),1)))</f>
        <v>1</v>
      </c>
      <c r="E266" s="42" t="str">
        <f aca="false">IF(A266="","",INDEX('COOIS Raw'!$A:$GZ,ROW()-4,$E$4)&amp;"")</f>
        <v>REL PRT PCNF PRC GMPS MANC RESA SETC</v>
      </c>
      <c r="F266" s="43" t="n">
        <f aca="false">IF(A266="","",IFERROR(DATEVALUE(INDEX('COOIS Raw'!$A:$GZ,ROW()-4,$F$4)),INDEX('COOIS Raw'!$A:$GZ,ROW()-4,$F$4)))</f>
        <v>46281</v>
      </c>
      <c r="G266" s="41" t="str">
        <f aca="false">IF(A266="","",IF(ISNA(MATCH(B266,'Kitting Plan'!$B$6:$B$19,0)),"Not in plan","Yes"))</f>
        <v>Yes</v>
      </c>
      <c r="H266" s="41" t="n">
        <f aca="false">IF(G266="Yes",INDEX('Kitting Plan'!$D$6:$D$19,MATCH(B266,'Kitting Plan'!$B$6:$B$19,0)),"")</f>
        <v>3</v>
      </c>
      <c r="I266" s="41" t="n">
        <f aca="false">IF(A266="","",IF(ISNUMBER(SEARCH("PRT",E266)),D266,0))</f>
        <v>1</v>
      </c>
      <c r="J266" s="41" t="n">
        <f aca="false">IF(A266="","",IF(ISNUMBER(SEARCH("GMPS",E266)),D266,0))</f>
        <v>1</v>
      </c>
      <c r="K266" s="41" t="n">
        <f aca="false">IF(A266="","",IF(ISNUMBER(SEARCH("DLV",E266)),D266,0))</f>
        <v>0</v>
      </c>
      <c r="L266" s="41" t="str">
        <f aca="false">IF(A266="","",IF(K266&gt;0,"Delivered",IF(ISNUMBER(SEARCH("CNF",E266)),"In production",IF(J266&gt;0,"Issued",IF(I266&gt;0,"Kitted","Released")))))</f>
        <v>In production</v>
      </c>
      <c r="M266" s="41" t="n">
        <f aca="false">IF(G266&lt;&gt;"Yes","",COUNTIFS($B$6:$B$1505,B266,$F$6:$F$1505,"&lt;"&amp;F266)+COUNTIFS($B$6:$B$1505,B266,$F$6:$F$1505,F266,$A$6:$A$1505,"&lt;="&amp;A266))</f>
        <v>23</v>
      </c>
      <c r="N266" s="41" t="n">
        <f aca="false">IF(M266="","",ROUNDUP(M266/H266,0))</f>
        <v>8</v>
      </c>
      <c r="O266" s="41" t="str">
        <f aca="false">IF(N266="","",IF(N266&lt;='Kitting Plan'!$C$3,"Rep "&amp;N266,"Surplus"))</f>
        <v>Rep 8</v>
      </c>
    </row>
    <row r="267" customFormat="false" ht="15" hidden="false" customHeight="false" outlineLevel="0" collapsed="false">
      <c r="A267" s="40" t="n">
        <f aca="false">IF(OR($A$4=0,INDEX('COOIS Raw'!$A:$GZ,ROW()-4,$A$4)=""),"",IFERROR(--INDEX('COOIS Raw'!$A:$GZ,ROW()-4,$A$4),INDEX('COOIS Raw'!$A:$GZ,ROW()-4,$A$4)))</f>
        <v>100877985</v>
      </c>
      <c r="B267" s="41" t="str">
        <f aca="false">IF(A267="","",TRIM(INDEX('COOIS Raw'!$A:$GZ,ROW()-4,$B$4)))</f>
        <v>92YRA04548AAA</v>
      </c>
      <c r="C267" s="42" t="str">
        <f aca="false">IF(OR(A267="",$C$4=0),"",INDEX('COOIS Raw'!$A:$GZ,ROW()-4,$C$4))</f>
        <v>R5B ERBIUM ASSEMBLY 4</v>
      </c>
      <c r="D267" s="41" t="n">
        <f aca="false">IF(A267="","",IF($D$4=0,1,IFERROR(--INDEX('COOIS Raw'!$A:$GZ,ROW()-4,$D$4),1)))</f>
        <v>1</v>
      </c>
      <c r="E267" s="42" t="str">
        <f aca="false">IF(A267="","",INDEX('COOIS Raw'!$A:$GZ,ROW()-4,$E$4)&amp;"")</f>
        <v>REL PRT PCNF PRC GMPS MANC RESA SETC</v>
      </c>
      <c r="F267" s="43" t="n">
        <f aca="false">IF(A267="","",IFERROR(DATEVALUE(INDEX('COOIS Raw'!$A:$GZ,ROW()-4,$F$4)),INDEX('COOIS Raw'!$A:$GZ,ROW()-4,$F$4)))</f>
        <v>46281</v>
      </c>
      <c r="G267" s="41" t="str">
        <f aca="false">IF(A267="","",IF(ISNA(MATCH(B267,'Kitting Plan'!$B$6:$B$19,0)),"Not in plan","Yes"))</f>
        <v>Yes</v>
      </c>
      <c r="H267" s="41" t="n">
        <f aca="false">IF(G267="Yes",INDEX('Kitting Plan'!$D$6:$D$19,MATCH(B267,'Kitting Plan'!$B$6:$B$19,0)),"")</f>
        <v>3</v>
      </c>
      <c r="I267" s="41" t="n">
        <f aca="false">IF(A267="","",IF(ISNUMBER(SEARCH("PRT",E267)),D267,0))</f>
        <v>1</v>
      </c>
      <c r="J267" s="41" t="n">
        <f aca="false">IF(A267="","",IF(ISNUMBER(SEARCH("GMPS",E267)),D267,0))</f>
        <v>1</v>
      </c>
      <c r="K267" s="41" t="n">
        <f aca="false">IF(A267="","",IF(ISNUMBER(SEARCH("DLV",E267)),D267,0))</f>
        <v>0</v>
      </c>
      <c r="L267" s="41" t="str">
        <f aca="false">IF(A267="","",IF(K267&gt;0,"Delivered",IF(ISNUMBER(SEARCH("CNF",E267)),"In production",IF(J267&gt;0,"Issued",IF(I267&gt;0,"Kitted","Released")))))</f>
        <v>In production</v>
      </c>
      <c r="M267" s="41" t="n">
        <f aca="false">IF(G267&lt;&gt;"Yes","",COUNTIFS($B$6:$B$1505,B267,$F$6:$F$1505,"&lt;"&amp;F267)+COUNTIFS($B$6:$B$1505,B267,$F$6:$F$1505,F267,$A$6:$A$1505,"&lt;="&amp;A267))</f>
        <v>24</v>
      </c>
      <c r="N267" s="41" t="n">
        <f aca="false">IF(M267="","",ROUNDUP(M267/H267,0))</f>
        <v>8</v>
      </c>
      <c r="O267" s="41" t="str">
        <f aca="false">IF(N267="","",IF(N267&lt;='Kitting Plan'!$C$3,"Rep "&amp;N267,"Surplus"))</f>
        <v>Rep 8</v>
      </c>
    </row>
    <row r="268" customFormat="false" ht="15" hidden="false" customHeight="false" outlineLevel="0" collapsed="false">
      <c r="A268" s="40" t="n">
        <f aca="false">IF(OR($A$4=0,INDEX('COOIS Raw'!$A:$GZ,ROW()-4,$A$4)=""),"",IFERROR(--INDEX('COOIS Raw'!$A:$GZ,ROW()-4,$A$4),INDEX('COOIS Raw'!$A:$GZ,ROW()-4,$A$4)))</f>
        <v>100878045</v>
      </c>
      <c r="B268" s="41" t="str">
        <f aca="false">IF(A268="","",TRIM(INDEX('COOIS Raw'!$A:$GZ,ROW()-4,$B$4)))</f>
        <v>92UAP04548BAA</v>
      </c>
      <c r="C268" s="42" t="str">
        <f aca="false">IF(OR(A268="",$C$4=0),"",INDEX('COOIS Raw'!$A:$GZ,ROW()-4,$C$4))</f>
        <v>R5B BOAT 1 ASSY (4P-4FP) L - E2A</v>
      </c>
      <c r="D268" s="41" t="n">
        <f aca="false">IF(A268="","",IF($D$4=0,1,IFERROR(--INDEX('COOIS Raw'!$A:$GZ,ROW()-4,$D$4),1)))</f>
        <v>1</v>
      </c>
      <c r="E268" s="42" t="str">
        <f aca="false">IF(A268="","",INDEX('COOIS Raw'!$A:$GZ,ROW()-4,$E$4)&amp;"")</f>
        <v>REL PRT PCNF PRC GMPS MANC RESA SETC</v>
      </c>
      <c r="F268" s="43" t="n">
        <f aca="false">IF(A268="","",IFERROR(DATEVALUE(INDEX('COOIS Raw'!$A:$GZ,ROW()-4,$F$4)),INDEX('COOIS Raw'!$A:$GZ,ROW()-4,$F$4)))</f>
        <v>46281</v>
      </c>
      <c r="G268" s="41" t="str">
        <f aca="false">IF(A268="","",IF(ISNA(MATCH(B268,'Kitting Plan'!$B$6:$B$19,0)),"Not in plan","Yes"))</f>
        <v>Yes</v>
      </c>
      <c r="H268" s="41" t="n">
        <f aca="false">IF(G268="Yes",INDEX('Kitting Plan'!$D$6:$D$19,MATCH(B268,'Kitting Plan'!$B$6:$B$19,0)),"")</f>
        <v>1</v>
      </c>
      <c r="I268" s="41" t="n">
        <f aca="false">IF(A268="","",IF(ISNUMBER(SEARCH("PRT",E268)),D268,0))</f>
        <v>1</v>
      </c>
      <c r="J268" s="41" t="n">
        <f aca="false">IF(A268="","",IF(ISNUMBER(SEARCH("GMPS",E268)),D268,0))</f>
        <v>1</v>
      </c>
      <c r="K268" s="41" t="n">
        <f aca="false">IF(A268="","",IF(ISNUMBER(SEARCH("DLV",E268)),D268,0))</f>
        <v>0</v>
      </c>
      <c r="L268" s="41" t="str">
        <f aca="false">IF(A268="","",IF(K268&gt;0,"Delivered",IF(ISNUMBER(SEARCH("CNF",E268)),"In production",IF(J268&gt;0,"Issued",IF(I268&gt;0,"Kitted","Released")))))</f>
        <v>In production</v>
      </c>
      <c r="M268" s="41" t="n">
        <f aca="false">IF(G268&lt;&gt;"Yes","",COUNTIFS($B$6:$B$1505,B268,$F$6:$F$1505,"&lt;"&amp;F268)+COUNTIFS($B$6:$B$1505,B268,$F$6:$F$1505,F268,$A$6:$A$1505,"&lt;="&amp;A268))</f>
        <v>8</v>
      </c>
      <c r="N268" s="41" t="n">
        <f aca="false">IF(M268="","",ROUNDUP(M268/H268,0))</f>
        <v>8</v>
      </c>
      <c r="O268" s="41" t="str">
        <f aca="false">IF(N268="","",IF(N268&lt;='Kitting Plan'!$C$3,"Rep "&amp;N268,"Surplus"))</f>
        <v>Rep 8</v>
      </c>
    </row>
    <row r="269" customFormat="false" ht="15" hidden="false" customHeight="false" outlineLevel="0" collapsed="false">
      <c r="A269" s="40" t="n">
        <f aca="false">IF(OR($A$4=0,INDEX('COOIS Raw'!$A:$GZ,ROW()-4,$A$4)=""),"",IFERROR(--INDEX('COOIS Raw'!$A:$GZ,ROW()-4,$A$4),INDEX('COOIS Raw'!$A:$GZ,ROW()-4,$A$4)))</f>
        <v>100878046</v>
      </c>
      <c r="B269" s="41" t="str">
        <f aca="false">IF(A269="","",TRIM(INDEX('COOIS Raw'!$A:$GZ,ROW()-4,$B$4)))</f>
        <v>92UAP04548BBA</v>
      </c>
      <c r="C269" s="42" t="str">
        <f aca="false">IF(OR(A269="",$C$4=0),"",INDEX('COOIS Raw'!$A:$GZ,ROW()-4,$C$4))</f>
        <v>R5B BOAT 2 ASSY (4P-4FP) L - E2A</v>
      </c>
      <c r="D269" s="41" t="n">
        <f aca="false">IF(A269="","",IF($D$4=0,1,IFERROR(--INDEX('COOIS Raw'!$A:$GZ,ROW()-4,$D$4),1)))</f>
        <v>1</v>
      </c>
      <c r="E269" s="42" t="str">
        <f aca="false">IF(A269="","",INDEX('COOIS Raw'!$A:$GZ,ROW()-4,$E$4)&amp;"")</f>
        <v>REL PRT PCNF PRC GMPS MANC RESA SETC</v>
      </c>
      <c r="F269" s="43" t="n">
        <f aca="false">IF(A269="","",IFERROR(DATEVALUE(INDEX('COOIS Raw'!$A:$GZ,ROW()-4,$F$4)),INDEX('COOIS Raw'!$A:$GZ,ROW()-4,$F$4)))</f>
        <v>46281</v>
      </c>
      <c r="G269" s="41" t="str">
        <f aca="false">IF(A269="","",IF(ISNA(MATCH(B269,'Kitting Plan'!$B$6:$B$19,0)),"Not in plan","Yes"))</f>
        <v>Yes</v>
      </c>
      <c r="H269" s="41" t="n">
        <f aca="false">IF(G269="Yes",INDEX('Kitting Plan'!$D$6:$D$19,MATCH(B269,'Kitting Plan'!$B$6:$B$19,0)),"")</f>
        <v>1</v>
      </c>
      <c r="I269" s="41" t="n">
        <f aca="false">IF(A269="","",IF(ISNUMBER(SEARCH("PRT",E269)),D269,0))</f>
        <v>1</v>
      </c>
      <c r="J269" s="41" t="n">
        <f aca="false">IF(A269="","",IF(ISNUMBER(SEARCH("GMPS",E269)),D269,0))</f>
        <v>1</v>
      </c>
      <c r="K269" s="41" t="n">
        <f aca="false">IF(A269="","",IF(ISNUMBER(SEARCH("DLV",E269)),D269,0))</f>
        <v>0</v>
      </c>
      <c r="L269" s="41" t="str">
        <f aca="false">IF(A269="","",IF(K269&gt;0,"Delivered",IF(ISNUMBER(SEARCH("CNF",E269)),"In production",IF(J269&gt;0,"Issued",IF(I269&gt;0,"Kitted","Released")))))</f>
        <v>In production</v>
      </c>
      <c r="M269" s="41" t="n">
        <f aca="false">IF(G269&lt;&gt;"Yes","",COUNTIFS($B$6:$B$1505,B269,$F$6:$F$1505,"&lt;"&amp;F269)+COUNTIFS($B$6:$B$1505,B269,$F$6:$F$1505,F269,$A$6:$A$1505,"&lt;="&amp;A269))</f>
        <v>8</v>
      </c>
      <c r="N269" s="41" t="n">
        <f aca="false">IF(M269="","",ROUNDUP(M269/H269,0))</f>
        <v>8</v>
      </c>
      <c r="O269" s="41" t="str">
        <f aca="false">IF(N269="","",IF(N269&lt;='Kitting Plan'!$C$3,"Rep "&amp;N269,"Surplus"))</f>
        <v>Rep 8</v>
      </c>
    </row>
    <row r="270" customFormat="false" ht="15" hidden="false" customHeight="false" outlineLevel="0" collapsed="false">
      <c r="A270" s="40" t="n">
        <f aca="false">IF(OR($A$4=0,INDEX('COOIS Raw'!$A:$GZ,ROW()-4,$A$4)=""),"",IFERROR(--INDEX('COOIS Raw'!$A:$GZ,ROW()-4,$A$4),INDEX('COOIS Raw'!$A:$GZ,ROW()-4,$A$4)))</f>
        <v>100878047</v>
      </c>
      <c r="B270" s="41" t="str">
        <f aca="false">IF(A270="","",TRIM(INDEX('COOIS Raw'!$A:$GZ,ROW()-4,$B$4)))</f>
        <v>92UAP04548BCA</v>
      </c>
      <c r="C270" s="42" t="str">
        <f aca="false">IF(OR(A270="",$C$4=0),"",INDEX('COOIS Raw'!$A:$GZ,ROW()-4,$C$4))</f>
        <v>R5B BOAT 3 ASSY (4P-4FP) L - E2A</v>
      </c>
      <c r="D270" s="41" t="n">
        <f aca="false">IF(A270="","",IF($D$4=0,1,IFERROR(--INDEX('COOIS Raw'!$A:$GZ,ROW()-4,$D$4),1)))</f>
        <v>1</v>
      </c>
      <c r="E270" s="42" t="str">
        <f aca="false">IF(A270="","",INDEX('COOIS Raw'!$A:$GZ,ROW()-4,$E$4)&amp;"")</f>
        <v>REL PRT PCNF PRC MANC RESA SETC</v>
      </c>
      <c r="F270" s="43" t="n">
        <f aca="false">IF(A270="","",IFERROR(DATEVALUE(INDEX('COOIS Raw'!$A:$GZ,ROW()-4,$F$4)),INDEX('COOIS Raw'!$A:$GZ,ROW()-4,$F$4)))</f>
        <v>46281</v>
      </c>
      <c r="G270" s="41" t="str">
        <f aca="false">IF(A270="","",IF(ISNA(MATCH(B270,'Kitting Plan'!$B$6:$B$19,0)),"Not in plan","Yes"))</f>
        <v>Yes</v>
      </c>
      <c r="H270" s="41" t="n">
        <f aca="false">IF(G270="Yes",INDEX('Kitting Plan'!$D$6:$D$19,MATCH(B270,'Kitting Plan'!$B$6:$B$19,0)),"")</f>
        <v>1</v>
      </c>
      <c r="I270" s="41" t="n">
        <f aca="false">IF(A270="","",IF(ISNUMBER(SEARCH("PRT",E270)),D270,0))</f>
        <v>1</v>
      </c>
      <c r="J270" s="41" t="n">
        <f aca="false">IF(A270="","",IF(ISNUMBER(SEARCH("GMPS",E270)),D270,0))</f>
        <v>0</v>
      </c>
      <c r="K270" s="41" t="n">
        <f aca="false">IF(A270="","",IF(ISNUMBER(SEARCH("DLV",E270)),D270,0))</f>
        <v>0</v>
      </c>
      <c r="L270" s="41" t="str">
        <f aca="false">IF(A270="","",IF(K270&gt;0,"Delivered",IF(ISNUMBER(SEARCH("CNF",E270)),"In production",IF(J270&gt;0,"Issued",IF(I270&gt;0,"Kitted","Released")))))</f>
        <v>In production</v>
      </c>
      <c r="M270" s="41" t="n">
        <f aca="false">IF(G270&lt;&gt;"Yes","",COUNTIFS($B$6:$B$1505,B270,$F$6:$F$1505,"&lt;"&amp;F270)+COUNTIFS($B$6:$B$1505,B270,$F$6:$F$1505,F270,$A$6:$A$1505,"&lt;="&amp;A270))</f>
        <v>8</v>
      </c>
      <c r="N270" s="41" t="n">
        <f aca="false">IF(M270="","",ROUNDUP(M270/H270,0))</f>
        <v>8</v>
      </c>
      <c r="O270" s="41" t="str">
        <f aca="false">IF(N270="","",IF(N270&lt;='Kitting Plan'!$C$3,"Rep "&amp;N270,"Surplus"))</f>
        <v>Rep 8</v>
      </c>
    </row>
    <row r="271" customFormat="false" ht="15" hidden="false" customHeight="false" outlineLevel="0" collapsed="false">
      <c r="A271" s="40" t="n">
        <f aca="false">IF(OR($A$4=0,INDEX('COOIS Raw'!$A:$GZ,ROW()-4,$A$4)=""),"",IFERROR(--INDEX('COOIS Raw'!$A:$GZ,ROW()-4,$A$4),INDEX('COOIS Raw'!$A:$GZ,ROW()-4,$A$4)))</f>
        <v>100877350</v>
      </c>
      <c r="B271" s="41" t="str">
        <f aca="false">IF(A271="","",TRIM(INDEX('COOIS Raw'!$A:$GZ,ROW()-4,$B$4)))</f>
        <v>92YFD04548BAA</v>
      </c>
      <c r="C271" s="42" t="str">
        <f aca="false">IF(OR(A271="",$C$4=0),"",INDEX('COOIS Raw'!$A:$GZ,ROW()-4,$C$4))</f>
        <v>R5B OPF ASSEMBLY (4P-4FP) BOAT 1 - E2A</v>
      </c>
      <c r="D271" s="41" t="n">
        <f aca="false">IF(A271="","",IF($D$4=0,1,IFERROR(--INDEX('COOIS Raw'!$A:$GZ,ROW()-4,$D$4),1)))</f>
        <v>1</v>
      </c>
      <c r="E271" s="42" t="str">
        <f aca="false">IF(A271="","",INDEX('COOIS Raw'!$A:$GZ,ROW()-4,$E$4)&amp;"")</f>
        <v>REL PRT PCNF PRC GMPS MANC RESA SETC</v>
      </c>
      <c r="F271" s="43" t="n">
        <f aca="false">IF(A271="","",IFERROR(DATEVALUE(INDEX('COOIS Raw'!$A:$GZ,ROW()-4,$F$4)),INDEX('COOIS Raw'!$A:$GZ,ROW()-4,$F$4)))</f>
        <v>46278</v>
      </c>
      <c r="G271" s="41" t="str">
        <f aca="false">IF(A271="","",IF(ISNA(MATCH(B271,'Kitting Plan'!$B$6:$B$19,0)),"Not in plan","Yes"))</f>
        <v>Yes</v>
      </c>
      <c r="H271" s="41" t="n">
        <f aca="false">IF(G271="Yes",INDEX('Kitting Plan'!$D$6:$D$19,MATCH(B271,'Kitting Plan'!$B$6:$B$19,0)),"")</f>
        <v>1</v>
      </c>
      <c r="I271" s="41" t="n">
        <f aca="false">IF(A271="","",IF(ISNUMBER(SEARCH("PRT",E271)),D271,0))</f>
        <v>1</v>
      </c>
      <c r="J271" s="41" t="n">
        <f aca="false">IF(A271="","",IF(ISNUMBER(SEARCH("GMPS",E271)),D271,0))</f>
        <v>1</v>
      </c>
      <c r="K271" s="41" t="n">
        <f aca="false">IF(A271="","",IF(ISNUMBER(SEARCH("DLV",E271)),D271,0))</f>
        <v>0</v>
      </c>
      <c r="L271" s="41" t="str">
        <f aca="false">IF(A271="","",IF(K271&gt;0,"Delivered",IF(ISNUMBER(SEARCH("CNF",E271)),"In production",IF(J271&gt;0,"Issued",IF(I271&gt;0,"Kitted","Released")))))</f>
        <v>In production</v>
      </c>
      <c r="M271" s="41" t="n">
        <f aca="false">IF(G271&lt;&gt;"Yes","",COUNTIFS($B$6:$B$1505,B271,$F$6:$F$1505,"&lt;"&amp;F271)+COUNTIFS($B$6:$B$1505,B271,$F$6:$F$1505,F271,$A$6:$A$1505,"&lt;="&amp;A271))</f>
        <v>9</v>
      </c>
      <c r="N271" s="41" t="n">
        <f aca="false">IF(M271="","",ROUNDUP(M271/H271,0))</f>
        <v>9</v>
      </c>
      <c r="O271" s="41" t="str">
        <f aca="false">IF(N271="","",IF(N271&lt;='Kitting Plan'!$C$3,"Rep "&amp;N271,"Surplus"))</f>
        <v>Rep 9</v>
      </c>
    </row>
    <row r="272" customFormat="false" ht="15" hidden="false" customHeight="false" outlineLevel="0" collapsed="false">
      <c r="A272" s="40" t="n">
        <f aca="false">IF(OR($A$4=0,INDEX('COOIS Raw'!$A:$GZ,ROW()-4,$A$4)=""),"",IFERROR(--INDEX('COOIS Raw'!$A:$GZ,ROW()-4,$A$4),INDEX('COOIS Raw'!$A:$GZ,ROW()-4,$A$4)))</f>
        <v>100877351</v>
      </c>
      <c r="B272" s="41" t="str">
        <f aca="false">IF(A272="","",TRIM(INDEX('COOIS Raw'!$A:$GZ,ROW()-4,$B$4)))</f>
        <v>92YFD04548BBA</v>
      </c>
      <c r="C272" s="42" t="str">
        <f aca="false">IF(OR(A272="",$C$4=0),"",INDEX('COOIS Raw'!$A:$GZ,ROW()-4,$C$4))</f>
        <v>R5B OPF ASSEMBLY (4P-4FP) BOAT 2/3 - E2A</v>
      </c>
      <c r="D272" s="41" t="n">
        <f aca="false">IF(A272="","",IF($D$4=0,1,IFERROR(--INDEX('COOIS Raw'!$A:$GZ,ROW()-4,$D$4),1)))</f>
        <v>1</v>
      </c>
      <c r="E272" s="42" t="str">
        <f aca="false">IF(A272="","",INDEX('COOIS Raw'!$A:$GZ,ROW()-4,$E$4)&amp;"")</f>
        <v>REL PRT PCNF PRC GMPS MANC RESA SETC</v>
      </c>
      <c r="F272" s="43" t="n">
        <f aca="false">IF(A272="","",IFERROR(DATEVALUE(INDEX('COOIS Raw'!$A:$GZ,ROW()-4,$F$4)),INDEX('COOIS Raw'!$A:$GZ,ROW()-4,$F$4)))</f>
        <v>46278</v>
      </c>
      <c r="G272" s="41" t="str">
        <f aca="false">IF(A272="","",IF(ISNA(MATCH(B272,'Kitting Plan'!$B$6:$B$19,0)),"Not in plan","Yes"))</f>
        <v>Yes</v>
      </c>
      <c r="H272" s="41" t="n">
        <f aca="false">IF(G272="Yes",INDEX('Kitting Plan'!$D$6:$D$19,MATCH(B272,'Kitting Plan'!$B$6:$B$19,0)),"")</f>
        <v>2</v>
      </c>
      <c r="I272" s="41" t="n">
        <f aca="false">IF(A272="","",IF(ISNUMBER(SEARCH("PRT",E272)),D272,0))</f>
        <v>1</v>
      </c>
      <c r="J272" s="41" t="n">
        <f aca="false">IF(A272="","",IF(ISNUMBER(SEARCH("GMPS",E272)),D272,0))</f>
        <v>1</v>
      </c>
      <c r="K272" s="41" t="n">
        <f aca="false">IF(A272="","",IF(ISNUMBER(SEARCH("DLV",E272)),D272,0))</f>
        <v>0</v>
      </c>
      <c r="L272" s="41" t="str">
        <f aca="false">IF(A272="","",IF(K272&gt;0,"Delivered",IF(ISNUMBER(SEARCH("CNF",E272)),"In production",IF(J272&gt;0,"Issued",IF(I272&gt;0,"Kitted","Released")))))</f>
        <v>In production</v>
      </c>
      <c r="M272" s="41" t="n">
        <f aca="false">IF(G272&lt;&gt;"Yes","",COUNTIFS($B$6:$B$1505,B272,$F$6:$F$1505,"&lt;"&amp;F272)+COUNTIFS($B$6:$B$1505,B272,$F$6:$F$1505,F272,$A$6:$A$1505,"&lt;="&amp;A272))</f>
        <v>15</v>
      </c>
      <c r="N272" s="41" t="n">
        <f aca="false">IF(M272="","",ROUNDUP(M272/H272,0))</f>
        <v>8</v>
      </c>
      <c r="O272" s="41" t="str">
        <f aca="false">IF(N272="","",IF(N272&lt;='Kitting Plan'!$C$3,"Rep "&amp;N272,"Surplus"))</f>
        <v>Rep 8</v>
      </c>
    </row>
    <row r="273" customFormat="false" ht="15" hidden="false" customHeight="false" outlineLevel="0" collapsed="false">
      <c r="A273" s="40" t="n">
        <f aca="false">IF(OR($A$4=0,INDEX('COOIS Raw'!$A:$GZ,ROW()-4,$A$4)=""),"",IFERROR(--INDEX('COOIS Raw'!$A:$GZ,ROW()-4,$A$4),INDEX('COOIS Raw'!$A:$GZ,ROW()-4,$A$4)))</f>
        <v>100877352</v>
      </c>
      <c r="B273" s="41" t="str">
        <f aca="false">IF(A273="","",TRIM(INDEX('COOIS Raw'!$A:$GZ,ROW()-4,$B$4)))</f>
        <v>92YFD04548BBA</v>
      </c>
      <c r="C273" s="42" t="str">
        <f aca="false">IF(OR(A273="",$C$4=0),"",INDEX('COOIS Raw'!$A:$GZ,ROW()-4,$C$4))</f>
        <v>R5B OPF ASSEMBLY (4P-4FP) BOAT 2/3 - E2A</v>
      </c>
      <c r="D273" s="41" t="n">
        <f aca="false">IF(A273="","",IF($D$4=0,1,IFERROR(--INDEX('COOIS Raw'!$A:$GZ,ROW()-4,$D$4),1)))</f>
        <v>1</v>
      </c>
      <c r="E273" s="42" t="str">
        <f aca="false">IF(A273="","",INDEX('COOIS Raw'!$A:$GZ,ROW()-4,$E$4)&amp;"")</f>
        <v>REL PRT CNF DLV PRC GMPS MANC SETC</v>
      </c>
      <c r="F273" s="43" t="n">
        <f aca="false">IF(A273="","",IFERROR(DATEVALUE(INDEX('COOIS Raw'!$A:$GZ,ROW()-4,$F$4)),INDEX('COOIS Raw'!$A:$GZ,ROW()-4,$F$4)))</f>
        <v>46278</v>
      </c>
      <c r="G273" s="41" t="str">
        <f aca="false">IF(A273="","",IF(ISNA(MATCH(B273,'Kitting Plan'!$B$6:$B$19,0)),"Not in plan","Yes"))</f>
        <v>Yes</v>
      </c>
      <c r="H273" s="41" t="n">
        <f aca="false">IF(G273="Yes",INDEX('Kitting Plan'!$D$6:$D$19,MATCH(B273,'Kitting Plan'!$B$6:$B$19,0)),"")</f>
        <v>2</v>
      </c>
      <c r="I273" s="41" t="n">
        <f aca="false">IF(A273="","",IF(ISNUMBER(SEARCH("PRT",E273)),D273,0))</f>
        <v>1</v>
      </c>
      <c r="J273" s="41" t="n">
        <f aca="false">IF(A273="","",IF(ISNUMBER(SEARCH("GMPS",E273)),D273,0))</f>
        <v>1</v>
      </c>
      <c r="K273" s="41" t="n">
        <f aca="false">IF(A273="","",IF(ISNUMBER(SEARCH("DLV",E273)),D273,0))</f>
        <v>1</v>
      </c>
      <c r="L273" s="41" t="str">
        <f aca="false">IF(A273="","",IF(K273&gt;0,"Delivered",IF(ISNUMBER(SEARCH("CNF",E273)),"In production",IF(J273&gt;0,"Issued",IF(I273&gt;0,"Kitted","Released")))))</f>
        <v>Delivered</v>
      </c>
      <c r="M273" s="41" t="n">
        <f aca="false">IF(G273&lt;&gt;"Yes","",COUNTIFS($B$6:$B$1505,B273,$F$6:$F$1505,"&lt;"&amp;F273)+COUNTIFS($B$6:$B$1505,B273,$F$6:$F$1505,F273,$A$6:$A$1505,"&lt;="&amp;A273))</f>
        <v>16</v>
      </c>
      <c r="N273" s="41" t="n">
        <f aca="false">IF(M273="","",ROUNDUP(M273/H273,0))</f>
        <v>8</v>
      </c>
      <c r="O273" s="41" t="str">
        <f aca="false">IF(N273="","",IF(N273&lt;='Kitting Plan'!$C$3,"Rep "&amp;N273,"Surplus"))</f>
        <v>Rep 8</v>
      </c>
    </row>
    <row r="274" customFormat="false" ht="15" hidden="false" customHeight="false" outlineLevel="0" collapsed="false">
      <c r="A274" s="40" t="n">
        <f aca="false">IF(OR($A$4=0,INDEX('COOIS Raw'!$A:$GZ,ROW()-4,$A$4)=""),"",IFERROR(--INDEX('COOIS Raw'!$A:$GZ,ROW()-4,$A$4),INDEX('COOIS Raw'!$A:$GZ,ROW()-4,$A$4)))</f>
        <v>100877353</v>
      </c>
      <c r="B274" s="41" t="str">
        <f aca="false">IF(A274="","",TRIM(INDEX('COOIS Raw'!$A:$GZ,ROW()-4,$B$4)))</f>
        <v>92RRA00548AAA</v>
      </c>
      <c r="C274" s="42" t="str">
        <f aca="false">IF(OR(A274="",$C$4=0),"",INDEX('COOIS Raw'!$A:$GZ,ROW()-4,$C$4))</f>
        <v>R5B ERBIUM SPOOL ASSEMBLY - E2A</v>
      </c>
      <c r="D274" s="41" t="n">
        <f aca="false">IF(A274="","",IF($D$4=0,1,IFERROR(--INDEX('COOIS Raw'!$A:$GZ,ROW()-4,$D$4),1)))</f>
        <v>1</v>
      </c>
      <c r="E274" s="42" t="str">
        <f aca="false">IF(A274="","",INDEX('COOIS Raw'!$A:$GZ,ROW()-4,$E$4)&amp;"")</f>
        <v>REL PRT CNF DLV PRC GMPS MANC SETC</v>
      </c>
      <c r="F274" s="43" t="n">
        <f aca="false">IF(A274="","",IFERROR(DATEVALUE(INDEX('COOIS Raw'!$A:$GZ,ROW()-4,$F$4)),INDEX('COOIS Raw'!$A:$GZ,ROW()-4,$F$4)))</f>
        <v>46278</v>
      </c>
      <c r="G274" s="41" t="str">
        <f aca="false">IF(A274="","",IF(ISNA(MATCH(B274,'Kitting Plan'!$B$6:$B$19,0)),"Not in plan","Yes"))</f>
        <v>Yes</v>
      </c>
      <c r="H274" s="41" t="n">
        <f aca="false">IF(G274="Yes",INDEX('Kitting Plan'!$D$6:$D$19,MATCH(B274,'Kitting Plan'!$B$6:$B$19,0)),"")</f>
        <v>24</v>
      </c>
      <c r="I274" s="41" t="n">
        <f aca="false">IF(A274="","",IF(ISNUMBER(SEARCH("PRT",E274)),D274,0))</f>
        <v>1</v>
      </c>
      <c r="J274" s="41" t="n">
        <f aca="false">IF(A274="","",IF(ISNUMBER(SEARCH("GMPS",E274)),D274,0))</f>
        <v>1</v>
      </c>
      <c r="K274" s="41" t="n">
        <f aca="false">IF(A274="","",IF(ISNUMBER(SEARCH("DLV",E274)),D274,0))</f>
        <v>1</v>
      </c>
      <c r="L274" s="41" t="str">
        <f aca="false">IF(A274="","",IF(K274&gt;0,"Delivered",IF(ISNUMBER(SEARCH("CNF",E274)),"In production",IF(J274&gt;0,"Issued",IF(I274&gt;0,"Kitted","Released")))))</f>
        <v>Delivered</v>
      </c>
      <c r="M274" s="41" t="n">
        <f aca="false">IF(G274&lt;&gt;"Yes","",COUNTIFS($B$6:$B$1505,B274,$F$6:$F$1505,"&lt;"&amp;F274)+COUNTIFS($B$6:$B$1505,B274,$F$6:$F$1505,F274,$A$6:$A$1505,"&lt;="&amp;A274))</f>
        <v>179</v>
      </c>
      <c r="N274" s="41" t="n">
        <f aca="false">IF(M274="","",ROUNDUP(M274/H274,0))</f>
        <v>8</v>
      </c>
      <c r="O274" s="41" t="str">
        <f aca="false">IF(N274="","",IF(N274&lt;='Kitting Plan'!$C$3,"Rep "&amp;N274,"Surplus"))</f>
        <v>Rep 8</v>
      </c>
    </row>
    <row r="275" customFormat="false" ht="15" hidden="false" customHeight="false" outlineLevel="0" collapsed="false">
      <c r="A275" s="40" t="n">
        <f aca="false">IF(OR($A$4=0,INDEX('COOIS Raw'!$A:$GZ,ROW()-4,$A$4)=""),"",IFERROR(--INDEX('COOIS Raw'!$A:$GZ,ROW()-4,$A$4),INDEX('COOIS Raw'!$A:$GZ,ROW()-4,$A$4)))</f>
        <v>100877354</v>
      </c>
      <c r="B275" s="41" t="str">
        <f aca="false">IF(A275="","",TRIM(INDEX('COOIS Raw'!$A:$GZ,ROW()-4,$B$4)))</f>
        <v>92RRA00548AAA</v>
      </c>
      <c r="C275" s="42" t="str">
        <f aca="false">IF(OR(A275="",$C$4=0),"",INDEX('COOIS Raw'!$A:$GZ,ROW()-4,$C$4))</f>
        <v>R5B ERBIUM SPOOL ASSEMBLY - E2A</v>
      </c>
      <c r="D275" s="41" t="n">
        <f aca="false">IF(A275="","",IF($D$4=0,1,IFERROR(--INDEX('COOIS Raw'!$A:$GZ,ROW()-4,$D$4),1)))</f>
        <v>1</v>
      </c>
      <c r="E275" s="42" t="str">
        <f aca="false">IF(A275="","",INDEX('COOIS Raw'!$A:$GZ,ROW()-4,$E$4)&amp;"")</f>
        <v>REL PRT CNF DLV PRC GMPS MANC SETC</v>
      </c>
      <c r="F275" s="43" t="n">
        <f aca="false">IF(A275="","",IFERROR(DATEVALUE(INDEX('COOIS Raw'!$A:$GZ,ROW()-4,$F$4)),INDEX('COOIS Raw'!$A:$GZ,ROW()-4,$F$4)))</f>
        <v>46278</v>
      </c>
      <c r="G275" s="41" t="str">
        <f aca="false">IF(A275="","",IF(ISNA(MATCH(B275,'Kitting Plan'!$B$6:$B$19,0)),"Not in plan","Yes"))</f>
        <v>Yes</v>
      </c>
      <c r="H275" s="41" t="n">
        <f aca="false">IF(G275="Yes",INDEX('Kitting Plan'!$D$6:$D$19,MATCH(B275,'Kitting Plan'!$B$6:$B$19,0)),"")</f>
        <v>24</v>
      </c>
      <c r="I275" s="41" t="n">
        <f aca="false">IF(A275="","",IF(ISNUMBER(SEARCH("PRT",E275)),D275,0))</f>
        <v>1</v>
      </c>
      <c r="J275" s="41" t="n">
        <f aca="false">IF(A275="","",IF(ISNUMBER(SEARCH("GMPS",E275)),D275,0))</f>
        <v>1</v>
      </c>
      <c r="K275" s="41" t="n">
        <f aca="false">IF(A275="","",IF(ISNUMBER(SEARCH("DLV",E275)),D275,0))</f>
        <v>1</v>
      </c>
      <c r="L275" s="41" t="str">
        <f aca="false">IF(A275="","",IF(K275&gt;0,"Delivered",IF(ISNUMBER(SEARCH("CNF",E275)),"In production",IF(J275&gt;0,"Issued",IF(I275&gt;0,"Kitted","Released")))))</f>
        <v>Delivered</v>
      </c>
      <c r="M275" s="41" t="n">
        <f aca="false">IF(G275&lt;&gt;"Yes","",COUNTIFS($B$6:$B$1505,B275,$F$6:$F$1505,"&lt;"&amp;F275)+COUNTIFS($B$6:$B$1505,B275,$F$6:$F$1505,F275,$A$6:$A$1505,"&lt;="&amp;A275))</f>
        <v>180</v>
      </c>
      <c r="N275" s="41" t="n">
        <f aca="false">IF(M275="","",ROUNDUP(M275/H275,0))</f>
        <v>8</v>
      </c>
      <c r="O275" s="41" t="str">
        <f aca="false">IF(N275="","",IF(N275&lt;='Kitting Plan'!$C$3,"Rep "&amp;N275,"Surplus"))</f>
        <v>Rep 8</v>
      </c>
    </row>
    <row r="276" customFormat="false" ht="15" hidden="false" customHeight="false" outlineLevel="0" collapsed="false">
      <c r="A276" s="40" t="n">
        <f aca="false">IF(OR($A$4=0,INDEX('COOIS Raw'!$A:$GZ,ROW()-4,$A$4)=""),"",IFERROR(--INDEX('COOIS Raw'!$A:$GZ,ROW()-4,$A$4),INDEX('COOIS Raw'!$A:$GZ,ROW()-4,$A$4)))</f>
        <v>100877355</v>
      </c>
      <c r="B276" s="41" t="str">
        <f aca="false">IF(A276="","",TRIM(INDEX('COOIS Raw'!$A:$GZ,ROW()-4,$B$4)))</f>
        <v>92RRA00548AAA</v>
      </c>
      <c r="C276" s="42" t="str">
        <f aca="false">IF(OR(A276="",$C$4=0),"",INDEX('COOIS Raw'!$A:$GZ,ROW()-4,$C$4))</f>
        <v>R5B ERBIUM SPOOL ASSEMBLY - E2A</v>
      </c>
      <c r="D276" s="41" t="n">
        <f aca="false">IF(A276="","",IF($D$4=0,1,IFERROR(--INDEX('COOIS Raw'!$A:$GZ,ROW()-4,$D$4),1)))</f>
        <v>1</v>
      </c>
      <c r="E276" s="42" t="str">
        <f aca="false">IF(A276="","",INDEX('COOIS Raw'!$A:$GZ,ROW()-4,$E$4)&amp;"")</f>
        <v>REL PRT CNF DLV PRC GMPS MANC SETC</v>
      </c>
      <c r="F276" s="43" t="n">
        <f aca="false">IF(A276="","",IFERROR(DATEVALUE(INDEX('COOIS Raw'!$A:$GZ,ROW()-4,$F$4)),INDEX('COOIS Raw'!$A:$GZ,ROW()-4,$F$4)))</f>
        <v>46278</v>
      </c>
      <c r="G276" s="41" t="str">
        <f aca="false">IF(A276="","",IF(ISNA(MATCH(B276,'Kitting Plan'!$B$6:$B$19,0)),"Not in plan","Yes"))</f>
        <v>Yes</v>
      </c>
      <c r="H276" s="41" t="n">
        <f aca="false">IF(G276="Yes",INDEX('Kitting Plan'!$D$6:$D$19,MATCH(B276,'Kitting Plan'!$B$6:$B$19,0)),"")</f>
        <v>24</v>
      </c>
      <c r="I276" s="41" t="n">
        <f aca="false">IF(A276="","",IF(ISNUMBER(SEARCH("PRT",E276)),D276,0))</f>
        <v>1</v>
      </c>
      <c r="J276" s="41" t="n">
        <f aca="false">IF(A276="","",IF(ISNUMBER(SEARCH("GMPS",E276)),D276,0))</f>
        <v>1</v>
      </c>
      <c r="K276" s="41" t="n">
        <f aca="false">IF(A276="","",IF(ISNUMBER(SEARCH("DLV",E276)),D276,0))</f>
        <v>1</v>
      </c>
      <c r="L276" s="41" t="str">
        <f aca="false">IF(A276="","",IF(K276&gt;0,"Delivered",IF(ISNUMBER(SEARCH("CNF",E276)),"In production",IF(J276&gt;0,"Issued",IF(I276&gt;0,"Kitted","Released")))))</f>
        <v>Delivered</v>
      </c>
      <c r="M276" s="41" t="n">
        <f aca="false">IF(G276&lt;&gt;"Yes","",COUNTIFS($B$6:$B$1505,B276,$F$6:$F$1505,"&lt;"&amp;F276)+COUNTIFS($B$6:$B$1505,B276,$F$6:$F$1505,F276,$A$6:$A$1505,"&lt;="&amp;A276))</f>
        <v>181</v>
      </c>
      <c r="N276" s="41" t="n">
        <f aca="false">IF(M276="","",ROUNDUP(M276/H276,0))</f>
        <v>8</v>
      </c>
      <c r="O276" s="41" t="str">
        <f aca="false">IF(N276="","",IF(N276&lt;='Kitting Plan'!$C$3,"Rep "&amp;N276,"Surplus"))</f>
        <v>Rep 8</v>
      </c>
    </row>
    <row r="277" customFormat="false" ht="15" hidden="false" customHeight="false" outlineLevel="0" collapsed="false">
      <c r="A277" s="40" t="n">
        <f aca="false">IF(OR($A$4=0,INDEX('COOIS Raw'!$A:$GZ,ROW()-4,$A$4)=""),"",IFERROR(--INDEX('COOIS Raw'!$A:$GZ,ROW()-4,$A$4),INDEX('COOIS Raw'!$A:$GZ,ROW()-4,$A$4)))</f>
        <v>100877356</v>
      </c>
      <c r="B277" s="41" t="str">
        <f aca="false">IF(A277="","",TRIM(INDEX('COOIS Raw'!$A:$GZ,ROW()-4,$B$4)))</f>
        <v>92RRA00548AAA</v>
      </c>
      <c r="C277" s="42" t="str">
        <f aca="false">IF(OR(A277="",$C$4=0),"",INDEX('COOIS Raw'!$A:$GZ,ROW()-4,$C$4))</f>
        <v>R5B ERBIUM SPOOL ASSEMBLY - E2A</v>
      </c>
      <c r="D277" s="41" t="n">
        <f aca="false">IF(A277="","",IF($D$4=0,1,IFERROR(--INDEX('COOIS Raw'!$A:$GZ,ROW()-4,$D$4),1)))</f>
        <v>1</v>
      </c>
      <c r="E277" s="42" t="str">
        <f aca="false">IF(A277="","",INDEX('COOIS Raw'!$A:$GZ,ROW()-4,$E$4)&amp;"")</f>
        <v>REL PRT CNF DLV PRC GMPS MANC SETC</v>
      </c>
      <c r="F277" s="43" t="n">
        <f aca="false">IF(A277="","",IFERROR(DATEVALUE(INDEX('COOIS Raw'!$A:$GZ,ROW()-4,$F$4)),INDEX('COOIS Raw'!$A:$GZ,ROW()-4,$F$4)))</f>
        <v>46278</v>
      </c>
      <c r="G277" s="41" t="str">
        <f aca="false">IF(A277="","",IF(ISNA(MATCH(B277,'Kitting Plan'!$B$6:$B$19,0)),"Not in plan","Yes"))</f>
        <v>Yes</v>
      </c>
      <c r="H277" s="41" t="n">
        <f aca="false">IF(G277="Yes",INDEX('Kitting Plan'!$D$6:$D$19,MATCH(B277,'Kitting Plan'!$B$6:$B$19,0)),"")</f>
        <v>24</v>
      </c>
      <c r="I277" s="41" t="n">
        <f aca="false">IF(A277="","",IF(ISNUMBER(SEARCH("PRT",E277)),D277,0))</f>
        <v>1</v>
      </c>
      <c r="J277" s="41" t="n">
        <f aca="false">IF(A277="","",IF(ISNUMBER(SEARCH("GMPS",E277)),D277,0))</f>
        <v>1</v>
      </c>
      <c r="K277" s="41" t="n">
        <f aca="false">IF(A277="","",IF(ISNUMBER(SEARCH("DLV",E277)),D277,0))</f>
        <v>1</v>
      </c>
      <c r="L277" s="41" t="str">
        <f aca="false">IF(A277="","",IF(K277&gt;0,"Delivered",IF(ISNUMBER(SEARCH("CNF",E277)),"In production",IF(J277&gt;0,"Issued",IF(I277&gt;0,"Kitted","Released")))))</f>
        <v>Delivered</v>
      </c>
      <c r="M277" s="41" t="n">
        <f aca="false">IF(G277&lt;&gt;"Yes","",COUNTIFS($B$6:$B$1505,B277,$F$6:$F$1505,"&lt;"&amp;F277)+COUNTIFS($B$6:$B$1505,B277,$F$6:$F$1505,F277,$A$6:$A$1505,"&lt;="&amp;A277))</f>
        <v>182</v>
      </c>
      <c r="N277" s="41" t="n">
        <f aca="false">IF(M277="","",ROUNDUP(M277/H277,0))</f>
        <v>8</v>
      </c>
      <c r="O277" s="41" t="str">
        <f aca="false">IF(N277="","",IF(N277&lt;='Kitting Plan'!$C$3,"Rep "&amp;N277,"Surplus"))</f>
        <v>Rep 8</v>
      </c>
    </row>
    <row r="278" customFormat="false" ht="15" hidden="false" customHeight="false" outlineLevel="0" collapsed="false">
      <c r="A278" s="40" t="n">
        <f aca="false">IF(OR($A$4=0,INDEX('COOIS Raw'!$A:$GZ,ROW()-4,$A$4)=""),"",IFERROR(--INDEX('COOIS Raw'!$A:$GZ,ROW()-4,$A$4),INDEX('COOIS Raw'!$A:$GZ,ROW()-4,$A$4)))</f>
        <v>100877357</v>
      </c>
      <c r="B278" s="41" t="str">
        <f aca="false">IF(A278="","",TRIM(INDEX('COOIS Raw'!$A:$GZ,ROW()-4,$B$4)))</f>
        <v>92RRA00548AAA</v>
      </c>
      <c r="C278" s="42" t="str">
        <f aca="false">IF(OR(A278="",$C$4=0),"",INDEX('COOIS Raw'!$A:$GZ,ROW()-4,$C$4))</f>
        <v>R5B ERBIUM SPOOL ASSEMBLY - E2A</v>
      </c>
      <c r="D278" s="41" t="n">
        <f aca="false">IF(A278="","",IF($D$4=0,1,IFERROR(--INDEX('COOIS Raw'!$A:$GZ,ROW()-4,$D$4),1)))</f>
        <v>1</v>
      </c>
      <c r="E278" s="42" t="str">
        <f aca="false">IF(A278="","",INDEX('COOIS Raw'!$A:$GZ,ROW()-4,$E$4)&amp;"")</f>
        <v>REL PRT CNF DLV PRC GMPS MANC SETC</v>
      </c>
      <c r="F278" s="43" t="n">
        <f aca="false">IF(A278="","",IFERROR(DATEVALUE(INDEX('COOIS Raw'!$A:$GZ,ROW()-4,$F$4)),INDEX('COOIS Raw'!$A:$GZ,ROW()-4,$F$4)))</f>
        <v>46278</v>
      </c>
      <c r="G278" s="41" t="str">
        <f aca="false">IF(A278="","",IF(ISNA(MATCH(B278,'Kitting Plan'!$B$6:$B$19,0)),"Not in plan","Yes"))</f>
        <v>Yes</v>
      </c>
      <c r="H278" s="41" t="n">
        <f aca="false">IF(G278="Yes",INDEX('Kitting Plan'!$D$6:$D$19,MATCH(B278,'Kitting Plan'!$B$6:$B$19,0)),"")</f>
        <v>24</v>
      </c>
      <c r="I278" s="41" t="n">
        <f aca="false">IF(A278="","",IF(ISNUMBER(SEARCH("PRT",E278)),D278,0))</f>
        <v>1</v>
      </c>
      <c r="J278" s="41" t="n">
        <f aca="false">IF(A278="","",IF(ISNUMBER(SEARCH("GMPS",E278)),D278,0))</f>
        <v>1</v>
      </c>
      <c r="K278" s="41" t="n">
        <f aca="false">IF(A278="","",IF(ISNUMBER(SEARCH("DLV",E278)),D278,0))</f>
        <v>1</v>
      </c>
      <c r="L278" s="41" t="str">
        <f aca="false">IF(A278="","",IF(K278&gt;0,"Delivered",IF(ISNUMBER(SEARCH("CNF",E278)),"In production",IF(J278&gt;0,"Issued",IF(I278&gt;0,"Kitted","Released")))))</f>
        <v>Delivered</v>
      </c>
      <c r="M278" s="41" t="n">
        <f aca="false">IF(G278&lt;&gt;"Yes","",COUNTIFS($B$6:$B$1505,B278,$F$6:$F$1505,"&lt;"&amp;F278)+COUNTIFS($B$6:$B$1505,B278,$F$6:$F$1505,F278,$A$6:$A$1505,"&lt;="&amp;A278))</f>
        <v>183</v>
      </c>
      <c r="N278" s="41" t="n">
        <f aca="false">IF(M278="","",ROUNDUP(M278/H278,0))</f>
        <v>8</v>
      </c>
      <c r="O278" s="41" t="str">
        <f aca="false">IF(N278="","",IF(N278&lt;='Kitting Plan'!$C$3,"Rep "&amp;N278,"Surplus"))</f>
        <v>Rep 8</v>
      </c>
    </row>
    <row r="279" customFormat="false" ht="15" hidden="false" customHeight="false" outlineLevel="0" collapsed="false">
      <c r="A279" s="40" t="n">
        <f aca="false">IF(OR($A$4=0,INDEX('COOIS Raw'!$A:$GZ,ROW()-4,$A$4)=""),"",IFERROR(--INDEX('COOIS Raw'!$A:$GZ,ROW()-4,$A$4),INDEX('COOIS Raw'!$A:$GZ,ROW()-4,$A$4)))</f>
        <v>100877358</v>
      </c>
      <c r="B279" s="41" t="str">
        <f aca="false">IF(A279="","",TRIM(INDEX('COOIS Raw'!$A:$GZ,ROW()-4,$B$4)))</f>
        <v>92RRA00548AAA</v>
      </c>
      <c r="C279" s="42" t="str">
        <f aca="false">IF(OR(A279="",$C$4=0),"",INDEX('COOIS Raw'!$A:$GZ,ROW()-4,$C$4))</f>
        <v>R5B ERBIUM SPOOL ASSEMBLY - E2A</v>
      </c>
      <c r="D279" s="41" t="n">
        <f aca="false">IF(A279="","",IF($D$4=0,1,IFERROR(--INDEX('COOIS Raw'!$A:$GZ,ROW()-4,$D$4),1)))</f>
        <v>1</v>
      </c>
      <c r="E279" s="42" t="str">
        <f aca="false">IF(A279="","",INDEX('COOIS Raw'!$A:$GZ,ROW()-4,$E$4)&amp;"")</f>
        <v>REL PRT CNF DLV PRC GMPS MANC SETC</v>
      </c>
      <c r="F279" s="43" t="n">
        <f aca="false">IF(A279="","",IFERROR(DATEVALUE(INDEX('COOIS Raw'!$A:$GZ,ROW()-4,$F$4)),INDEX('COOIS Raw'!$A:$GZ,ROW()-4,$F$4)))</f>
        <v>46278</v>
      </c>
      <c r="G279" s="41" t="str">
        <f aca="false">IF(A279="","",IF(ISNA(MATCH(B279,'Kitting Plan'!$B$6:$B$19,0)),"Not in plan","Yes"))</f>
        <v>Yes</v>
      </c>
      <c r="H279" s="41" t="n">
        <f aca="false">IF(G279="Yes",INDEX('Kitting Plan'!$D$6:$D$19,MATCH(B279,'Kitting Plan'!$B$6:$B$19,0)),"")</f>
        <v>24</v>
      </c>
      <c r="I279" s="41" t="n">
        <f aca="false">IF(A279="","",IF(ISNUMBER(SEARCH("PRT",E279)),D279,0))</f>
        <v>1</v>
      </c>
      <c r="J279" s="41" t="n">
        <f aca="false">IF(A279="","",IF(ISNUMBER(SEARCH("GMPS",E279)),D279,0))</f>
        <v>1</v>
      </c>
      <c r="K279" s="41" t="n">
        <f aca="false">IF(A279="","",IF(ISNUMBER(SEARCH("DLV",E279)),D279,0))</f>
        <v>1</v>
      </c>
      <c r="L279" s="41" t="str">
        <f aca="false">IF(A279="","",IF(K279&gt;0,"Delivered",IF(ISNUMBER(SEARCH("CNF",E279)),"In production",IF(J279&gt;0,"Issued",IF(I279&gt;0,"Kitted","Released")))))</f>
        <v>Delivered</v>
      </c>
      <c r="M279" s="41" t="n">
        <f aca="false">IF(G279&lt;&gt;"Yes","",COUNTIFS($B$6:$B$1505,B279,$F$6:$F$1505,"&lt;"&amp;F279)+COUNTIFS($B$6:$B$1505,B279,$F$6:$F$1505,F279,$A$6:$A$1505,"&lt;="&amp;A279))</f>
        <v>184</v>
      </c>
      <c r="N279" s="41" t="n">
        <f aca="false">IF(M279="","",ROUNDUP(M279/H279,0))</f>
        <v>8</v>
      </c>
      <c r="O279" s="41" t="str">
        <f aca="false">IF(N279="","",IF(N279&lt;='Kitting Plan'!$C$3,"Rep "&amp;N279,"Surplus"))</f>
        <v>Rep 8</v>
      </c>
    </row>
    <row r="280" customFormat="false" ht="15" hidden="false" customHeight="false" outlineLevel="0" collapsed="false">
      <c r="A280" s="40" t="n">
        <f aca="false">IF(OR($A$4=0,INDEX('COOIS Raw'!$A:$GZ,ROW()-4,$A$4)=""),"",IFERROR(--INDEX('COOIS Raw'!$A:$GZ,ROW()-4,$A$4),INDEX('COOIS Raw'!$A:$GZ,ROW()-4,$A$4)))</f>
        <v>100877359</v>
      </c>
      <c r="B280" s="41" t="str">
        <f aca="false">IF(A280="","",TRIM(INDEX('COOIS Raw'!$A:$GZ,ROW()-4,$B$4)))</f>
        <v>92RRA00548AAA</v>
      </c>
      <c r="C280" s="42" t="str">
        <f aca="false">IF(OR(A280="",$C$4=0),"",INDEX('COOIS Raw'!$A:$GZ,ROW()-4,$C$4))</f>
        <v>R5B ERBIUM SPOOL ASSEMBLY - E2A</v>
      </c>
      <c r="D280" s="41" t="n">
        <f aca="false">IF(A280="","",IF($D$4=0,1,IFERROR(--INDEX('COOIS Raw'!$A:$GZ,ROW()-4,$D$4),1)))</f>
        <v>1</v>
      </c>
      <c r="E280" s="42" t="str">
        <f aca="false">IF(A280="","",INDEX('COOIS Raw'!$A:$GZ,ROW()-4,$E$4)&amp;"")</f>
        <v>REL PRT CNF DLV PRC GMPS MANC SETC</v>
      </c>
      <c r="F280" s="43" t="n">
        <f aca="false">IF(A280="","",IFERROR(DATEVALUE(INDEX('COOIS Raw'!$A:$GZ,ROW()-4,$F$4)),INDEX('COOIS Raw'!$A:$GZ,ROW()-4,$F$4)))</f>
        <v>46278</v>
      </c>
      <c r="G280" s="41" t="str">
        <f aca="false">IF(A280="","",IF(ISNA(MATCH(B280,'Kitting Plan'!$B$6:$B$19,0)),"Not in plan","Yes"))</f>
        <v>Yes</v>
      </c>
      <c r="H280" s="41" t="n">
        <f aca="false">IF(G280="Yes",INDEX('Kitting Plan'!$D$6:$D$19,MATCH(B280,'Kitting Plan'!$B$6:$B$19,0)),"")</f>
        <v>24</v>
      </c>
      <c r="I280" s="41" t="n">
        <f aca="false">IF(A280="","",IF(ISNUMBER(SEARCH("PRT",E280)),D280,0))</f>
        <v>1</v>
      </c>
      <c r="J280" s="41" t="n">
        <f aca="false">IF(A280="","",IF(ISNUMBER(SEARCH("GMPS",E280)),D280,0))</f>
        <v>1</v>
      </c>
      <c r="K280" s="41" t="n">
        <f aca="false">IF(A280="","",IF(ISNUMBER(SEARCH("DLV",E280)),D280,0))</f>
        <v>1</v>
      </c>
      <c r="L280" s="41" t="str">
        <f aca="false">IF(A280="","",IF(K280&gt;0,"Delivered",IF(ISNUMBER(SEARCH("CNF",E280)),"In production",IF(J280&gt;0,"Issued",IF(I280&gt;0,"Kitted","Released")))))</f>
        <v>Delivered</v>
      </c>
      <c r="M280" s="41" t="n">
        <f aca="false">IF(G280&lt;&gt;"Yes","",COUNTIFS($B$6:$B$1505,B280,$F$6:$F$1505,"&lt;"&amp;F280)+COUNTIFS($B$6:$B$1505,B280,$F$6:$F$1505,F280,$A$6:$A$1505,"&lt;="&amp;A280))</f>
        <v>185</v>
      </c>
      <c r="N280" s="41" t="n">
        <f aca="false">IF(M280="","",ROUNDUP(M280/H280,0))</f>
        <v>8</v>
      </c>
      <c r="O280" s="41" t="str">
        <f aca="false">IF(N280="","",IF(N280&lt;='Kitting Plan'!$C$3,"Rep "&amp;N280,"Surplus"))</f>
        <v>Rep 8</v>
      </c>
    </row>
    <row r="281" customFormat="false" ht="15" hidden="false" customHeight="false" outlineLevel="0" collapsed="false">
      <c r="A281" s="40" t="n">
        <f aca="false">IF(OR($A$4=0,INDEX('COOIS Raw'!$A:$GZ,ROW()-4,$A$4)=""),"",IFERROR(--INDEX('COOIS Raw'!$A:$GZ,ROW()-4,$A$4),INDEX('COOIS Raw'!$A:$GZ,ROW()-4,$A$4)))</f>
        <v>100877360</v>
      </c>
      <c r="B281" s="41" t="str">
        <f aca="false">IF(A281="","",TRIM(INDEX('COOIS Raw'!$A:$GZ,ROW()-4,$B$4)))</f>
        <v>92RRA00548AAA</v>
      </c>
      <c r="C281" s="42" t="str">
        <f aca="false">IF(OR(A281="",$C$4=0),"",INDEX('COOIS Raw'!$A:$GZ,ROW()-4,$C$4))</f>
        <v>R5B ERBIUM SPOOL ASSEMBLY - E2A</v>
      </c>
      <c r="D281" s="41" t="n">
        <f aca="false">IF(A281="","",IF($D$4=0,1,IFERROR(--INDEX('COOIS Raw'!$A:$GZ,ROW()-4,$D$4),1)))</f>
        <v>1</v>
      </c>
      <c r="E281" s="42" t="str">
        <f aca="false">IF(A281="","",INDEX('COOIS Raw'!$A:$GZ,ROW()-4,$E$4)&amp;"")</f>
        <v>REL PRT CNF DLV PRC GMPS MANC SETC</v>
      </c>
      <c r="F281" s="43" t="n">
        <f aca="false">IF(A281="","",IFERROR(DATEVALUE(INDEX('COOIS Raw'!$A:$GZ,ROW()-4,$F$4)),INDEX('COOIS Raw'!$A:$GZ,ROW()-4,$F$4)))</f>
        <v>46278</v>
      </c>
      <c r="G281" s="41" t="str">
        <f aca="false">IF(A281="","",IF(ISNA(MATCH(B281,'Kitting Plan'!$B$6:$B$19,0)),"Not in plan","Yes"))</f>
        <v>Yes</v>
      </c>
      <c r="H281" s="41" t="n">
        <f aca="false">IF(G281="Yes",INDEX('Kitting Plan'!$D$6:$D$19,MATCH(B281,'Kitting Plan'!$B$6:$B$19,0)),"")</f>
        <v>24</v>
      </c>
      <c r="I281" s="41" t="n">
        <f aca="false">IF(A281="","",IF(ISNUMBER(SEARCH("PRT",E281)),D281,0))</f>
        <v>1</v>
      </c>
      <c r="J281" s="41" t="n">
        <f aca="false">IF(A281="","",IF(ISNUMBER(SEARCH("GMPS",E281)),D281,0))</f>
        <v>1</v>
      </c>
      <c r="K281" s="41" t="n">
        <f aca="false">IF(A281="","",IF(ISNUMBER(SEARCH("DLV",E281)),D281,0))</f>
        <v>1</v>
      </c>
      <c r="L281" s="41" t="str">
        <f aca="false">IF(A281="","",IF(K281&gt;0,"Delivered",IF(ISNUMBER(SEARCH("CNF",E281)),"In production",IF(J281&gt;0,"Issued",IF(I281&gt;0,"Kitted","Released")))))</f>
        <v>Delivered</v>
      </c>
      <c r="M281" s="41" t="n">
        <f aca="false">IF(G281&lt;&gt;"Yes","",COUNTIFS($B$6:$B$1505,B281,$F$6:$F$1505,"&lt;"&amp;F281)+COUNTIFS($B$6:$B$1505,B281,$F$6:$F$1505,F281,$A$6:$A$1505,"&lt;="&amp;A281))</f>
        <v>186</v>
      </c>
      <c r="N281" s="41" t="n">
        <f aca="false">IF(M281="","",ROUNDUP(M281/H281,0))</f>
        <v>8</v>
      </c>
      <c r="O281" s="41" t="str">
        <f aca="false">IF(N281="","",IF(N281&lt;='Kitting Plan'!$C$3,"Rep "&amp;N281,"Surplus"))</f>
        <v>Rep 8</v>
      </c>
    </row>
    <row r="282" customFormat="false" ht="15" hidden="false" customHeight="false" outlineLevel="0" collapsed="false">
      <c r="A282" s="40" t="n">
        <f aca="false">IF(OR($A$4=0,INDEX('COOIS Raw'!$A:$GZ,ROW()-4,$A$4)=""),"",IFERROR(--INDEX('COOIS Raw'!$A:$GZ,ROW()-4,$A$4),INDEX('COOIS Raw'!$A:$GZ,ROW()-4,$A$4)))</f>
        <v>100877361</v>
      </c>
      <c r="B282" s="41" t="str">
        <f aca="false">IF(A282="","",TRIM(INDEX('COOIS Raw'!$A:$GZ,ROW()-4,$B$4)))</f>
        <v>92RRA00548AAA</v>
      </c>
      <c r="C282" s="42" t="str">
        <f aca="false">IF(OR(A282="",$C$4=0),"",INDEX('COOIS Raw'!$A:$GZ,ROW()-4,$C$4))</f>
        <v>R5B ERBIUM SPOOL ASSEMBLY - E2A</v>
      </c>
      <c r="D282" s="41" t="n">
        <f aca="false">IF(A282="","",IF($D$4=0,1,IFERROR(--INDEX('COOIS Raw'!$A:$GZ,ROW()-4,$D$4),1)))</f>
        <v>1</v>
      </c>
      <c r="E282" s="42" t="str">
        <f aca="false">IF(A282="","",INDEX('COOIS Raw'!$A:$GZ,ROW()-4,$E$4)&amp;"")</f>
        <v>REL PRT CNF DLV PRC GMPS MANC SETC</v>
      </c>
      <c r="F282" s="43" t="n">
        <f aca="false">IF(A282="","",IFERROR(DATEVALUE(INDEX('COOIS Raw'!$A:$GZ,ROW()-4,$F$4)),INDEX('COOIS Raw'!$A:$GZ,ROW()-4,$F$4)))</f>
        <v>46278</v>
      </c>
      <c r="G282" s="41" t="str">
        <f aca="false">IF(A282="","",IF(ISNA(MATCH(B282,'Kitting Plan'!$B$6:$B$19,0)),"Not in plan","Yes"))</f>
        <v>Yes</v>
      </c>
      <c r="H282" s="41" t="n">
        <f aca="false">IF(G282="Yes",INDEX('Kitting Plan'!$D$6:$D$19,MATCH(B282,'Kitting Plan'!$B$6:$B$19,0)),"")</f>
        <v>24</v>
      </c>
      <c r="I282" s="41" t="n">
        <f aca="false">IF(A282="","",IF(ISNUMBER(SEARCH("PRT",E282)),D282,0))</f>
        <v>1</v>
      </c>
      <c r="J282" s="41" t="n">
        <f aca="false">IF(A282="","",IF(ISNUMBER(SEARCH("GMPS",E282)),D282,0))</f>
        <v>1</v>
      </c>
      <c r="K282" s="41" t="n">
        <f aca="false">IF(A282="","",IF(ISNUMBER(SEARCH("DLV",E282)),D282,0))</f>
        <v>1</v>
      </c>
      <c r="L282" s="41" t="str">
        <f aca="false">IF(A282="","",IF(K282&gt;0,"Delivered",IF(ISNUMBER(SEARCH("CNF",E282)),"In production",IF(J282&gt;0,"Issued",IF(I282&gt;0,"Kitted","Released")))))</f>
        <v>Delivered</v>
      </c>
      <c r="M282" s="41" t="n">
        <f aca="false">IF(G282&lt;&gt;"Yes","",COUNTIFS($B$6:$B$1505,B282,$F$6:$F$1505,"&lt;"&amp;F282)+COUNTIFS($B$6:$B$1505,B282,$F$6:$F$1505,F282,$A$6:$A$1505,"&lt;="&amp;A282))</f>
        <v>187</v>
      </c>
      <c r="N282" s="41" t="n">
        <f aca="false">IF(M282="","",ROUNDUP(M282/H282,0))</f>
        <v>8</v>
      </c>
      <c r="O282" s="41" t="str">
        <f aca="false">IF(N282="","",IF(N282&lt;='Kitting Plan'!$C$3,"Rep "&amp;N282,"Surplus"))</f>
        <v>Rep 8</v>
      </c>
    </row>
    <row r="283" customFormat="false" ht="15" hidden="false" customHeight="false" outlineLevel="0" collapsed="false">
      <c r="A283" s="40" t="n">
        <f aca="false">IF(OR($A$4=0,INDEX('COOIS Raw'!$A:$GZ,ROW()-4,$A$4)=""),"",IFERROR(--INDEX('COOIS Raw'!$A:$GZ,ROW()-4,$A$4),INDEX('COOIS Raw'!$A:$GZ,ROW()-4,$A$4)))</f>
        <v>100877362</v>
      </c>
      <c r="B283" s="41" t="str">
        <f aca="false">IF(A283="","",TRIM(INDEX('COOIS Raw'!$A:$GZ,ROW()-4,$B$4)))</f>
        <v>92RRA00548AAA</v>
      </c>
      <c r="C283" s="42" t="str">
        <f aca="false">IF(OR(A283="",$C$4=0),"",INDEX('COOIS Raw'!$A:$GZ,ROW()-4,$C$4))</f>
        <v>R5B ERBIUM SPOOL ASSEMBLY - E2A</v>
      </c>
      <c r="D283" s="41" t="n">
        <f aca="false">IF(A283="","",IF($D$4=0,1,IFERROR(--INDEX('COOIS Raw'!$A:$GZ,ROW()-4,$D$4),1)))</f>
        <v>1</v>
      </c>
      <c r="E283" s="42" t="str">
        <f aca="false">IF(A283="","",INDEX('COOIS Raw'!$A:$GZ,ROW()-4,$E$4)&amp;"")</f>
        <v>REL PRT CNF DLV PRC GMPS MANC SETC</v>
      </c>
      <c r="F283" s="43" t="n">
        <f aca="false">IF(A283="","",IFERROR(DATEVALUE(INDEX('COOIS Raw'!$A:$GZ,ROW()-4,$F$4)),INDEX('COOIS Raw'!$A:$GZ,ROW()-4,$F$4)))</f>
        <v>46278</v>
      </c>
      <c r="G283" s="41" t="str">
        <f aca="false">IF(A283="","",IF(ISNA(MATCH(B283,'Kitting Plan'!$B$6:$B$19,0)),"Not in plan","Yes"))</f>
        <v>Yes</v>
      </c>
      <c r="H283" s="41" t="n">
        <f aca="false">IF(G283="Yes",INDEX('Kitting Plan'!$D$6:$D$19,MATCH(B283,'Kitting Plan'!$B$6:$B$19,0)),"")</f>
        <v>24</v>
      </c>
      <c r="I283" s="41" t="n">
        <f aca="false">IF(A283="","",IF(ISNUMBER(SEARCH("PRT",E283)),D283,0))</f>
        <v>1</v>
      </c>
      <c r="J283" s="41" t="n">
        <f aca="false">IF(A283="","",IF(ISNUMBER(SEARCH("GMPS",E283)),D283,0))</f>
        <v>1</v>
      </c>
      <c r="K283" s="41" t="n">
        <f aca="false">IF(A283="","",IF(ISNUMBER(SEARCH("DLV",E283)),D283,0))</f>
        <v>1</v>
      </c>
      <c r="L283" s="41" t="str">
        <f aca="false">IF(A283="","",IF(K283&gt;0,"Delivered",IF(ISNUMBER(SEARCH("CNF",E283)),"In production",IF(J283&gt;0,"Issued",IF(I283&gt;0,"Kitted","Released")))))</f>
        <v>Delivered</v>
      </c>
      <c r="M283" s="41" t="n">
        <f aca="false">IF(G283&lt;&gt;"Yes","",COUNTIFS($B$6:$B$1505,B283,$F$6:$F$1505,"&lt;"&amp;F283)+COUNTIFS($B$6:$B$1505,B283,$F$6:$F$1505,F283,$A$6:$A$1505,"&lt;="&amp;A283))</f>
        <v>188</v>
      </c>
      <c r="N283" s="41" t="n">
        <f aca="false">IF(M283="","",ROUNDUP(M283/H283,0))</f>
        <v>8</v>
      </c>
      <c r="O283" s="41" t="str">
        <f aca="false">IF(N283="","",IF(N283&lt;='Kitting Plan'!$C$3,"Rep "&amp;N283,"Surplus"))</f>
        <v>Rep 8</v>
      </c>
    </row>
    <row r="284" customFormat="false" ht="15" hidden="false" customHeight="false" outlineLevel="0" collapsed="false">
      <c r="A284" s="40" t="n">
        <f aca="false">IF(OR($A$4=0,INDEX('COOIS Raw'!$A:$GZ,ROW()-4,$A$4)=""),"",IFERROR(--INDEX('COOIS Raw'!$A:$GZ,ROW()-4,$A$4),INDEX('COOIS Raw'!$A:$GZ,ROW()-4,$A$4)))</f>
        <v>100877363</v>
      </c>
      <c r="B284" s="41" t="str">
        <f aca="false">IF(A284="","",TRIM(INDEX('COOIS Raw'!$A:$GZ,ROW()-4,$B$4)))</f>
        <v>92RRA00548AAA</v>
      </c>
      <c r="C284" s="42" t="str">
        <f aca="false">IF(OR(A284="",$C$4=0),"",INDEX('COOIS Raw'!$A:$GZ,ROW()-4,$C$4))</f>
        <v>R5B ERBIUM SPOOL ASSEMBLY - E2A</v>
      </c>
      <c r="D284" s="41" t="n">
        <f aca="false">IF(A284="","",IF($D$4=0,1,IFERROR(--INDEX('COOIS Raw'!$A:$GZ,ROW()-4,$D$4),1)))</f>
        <v>1</v>
      </c>
      <c r="E284" s="42" t="str">
        <f aca="false">IF(A284="","",INDEX('COOIS Raw'!$A:$GZ,ROW()-4,$E$4)&amp;"")</f>
        <v>REL PRT CNF DLV PRC GMPS MANC SETC</v>
      </c>
      <c r="F284" s="43" t="n">
        <f aca="false">IF(A284="","",IFERROR(DATEVALUE(INDEX('COOIS Raw'!$A:$GZ,ROW()-4,$F$4)),INDEX('COOIS Raw'!$A:$GZ,ROW()-4,$F$4)))</f>
        <v>46278</v>
      </c>
      <c r="G284" s="41" t="str">
        <f aca="false">IF(A284="","",IF(ISNA(MATCH(B284,'Kitting Plan'!$B$6:$B$19,0)),"Not in plan","Yes"))</f>
        <v>Yes</v>
      </c>
      <c r="H284" s="41" t="n">
        <f aca="false">IF(G284="Yes",INDEX('Kitting Plan'!$D$6:$D$19,MATCH(B284,'Kitting Plan'!$B$6:$B$19,0)),"")</f>
        <v>24</v>
      </c>
      <c r="I284" s="41" t="n">
        <f aca="false">IF(A284="","",IF(ISNUMBER(SEARCH("PRT",E284)),D284,0))</f>
        <v>1</v>
      </c>
      <c r="J284" s="41" t="n">
        <f aca="false">IF(A284="","",IF(ISNUMBER(SEARCH("GMPS",E284)),D284,0))</f>
        <v>1</v>
      </c>
      <c r="K284" s="41" t="n">
        <f aca="false">IF(A284="","",IF(ISNUMBER(SEARCH("DLV",E284)),D284,0))</f>
        <v>1</v>
      </c>
      <c r="L284" s="41" t="str">
        <f aca="false">IF(A284="","",IF(K284&gt;0,"Delivered",IF(ISNUMBER(SEARCH("CNF",E284)),"In production",IF(J284&gt;0,"Issued",IF(I284&gt;0,"Kitted","Released")))))</f>
        <v>Delivered</v>
      </c>
      <c r="M284" s="41" t="n">
        <f aca="false">IF(G284&lt;&gt;"Yes","",COUNTIFS($B$6:$B$1505,B284,$F$6:$F$1505,"&lt;"&amp;F284)+COUNTIFS($B$6:$B$1505,B284,$F$6:$F$1505,F284,$A$6:$A$1505,"&lt;="&amp;A284))</f>
        <v>189</v>
      </c>
      <c r="N284" s="41" t="n">
        <f aca="false">IF(M284="","",ROUNDUP(M284/H284,0))</f>
        <v>8</v>
      </c>
      <c r="O284" s="41" t="str">
        <f aca="false">IF(N284="","",IF(N284&lt;='Kitting Plan'!$C$3,"Rep "&amp;N284,"Surplus"))</f>
        <v>Rep 8</v>
      </c>
    </row>
    <row r="285" customFormat="false" ht="15" hidden="false" customHeight="false" outlineLevel="0" collapsed="false">
      <c r="A285" s="40" t="n">
        <f aca="false">IF(OR($A$4=0,INDEX('COOIS Raw'!$A:$GZ,ROW()-4,$A$4)=""),"",IFERROR(--INDEX('COOIS Raw'!$A:$GZ,ROW()-4,$A$4),INDEX('COOIS Raw'!$A:$GZ,ROW()-4,$A$4)))</f>
        <v>100877364</v>
      </c>
      <c r="B285" s="41" t="str">
        <f aca="false">IF(A285="","",TRIM(INDEX('COOIS Raw'!$A:$GZ,ROW()-4,$B$4)))</f>
        <v>92RRA00548AAA</v>
      </c>
      <c r="C285" s="42" t="str">
        <f aca="false">IF(OR(A285="",$C$4=0),"",INDEX('COOIS Raw'!$A:$GZ,ROW()-4,$C$4))</f>
        <v>R5B ERBIUM SPOOL ASSEMBLY - E2A</v>
      </c>
      <c r="D285" s="41" t="n">
        <f aca="false">IF(A285="","",IF($D$4=0,1,IFERROR(--INDEX('COOIS Raw'!$A:$GZ,ROW()-4,$D$4),1)))</f>
        <v>1</v>
      </c>
      <c r="E285" s="42" t="str">
        <f aca="false">IF(A285="","",INDEX('COOIS Raw'!$A:$GZ,ROW()-4,$E$4)&amp;"")</f>
        <v>REL PRT CNF DLV PRC GMPS MANC SETC</v>
      </c>
      <c r="F285" s="43" t="n">
        <f aca="false">IF(A285="","",IFERROR(DATEVALUE(INDEX('COOIS Raw'!$A:$GZ,ROW()-4,$F$4)),INDEX('COOIS Raw'!$A:$GZ,ROW()-4,$F$4)))</f>
        <v>46278</v>
      </c>
      <c r="G285" s="41" t="str">
        <f aca="false">IF(A285="","",IF(ISNA(MATCH(B285,'Kitting Plan'!$B$6:$B$19,0)),"Not in plan","Yes"))</f>
        <v>Yes</v>
      </c>
      <c r="H285" s="41" t="n">
        <f aca="false">IF(G285="Yes",INDEX('Kitting Plan'!$D$6:$D$19,MATCH(B285,'Kitting Plan'!$B$6:$B$19,0)),"")</f>
        <v>24</v>
      </c>
      <c r="I285" s="41" t="n">
        <f aca="false">IF(A285="","",IF(ISNUMBER(SEARCH("PRT",E285)),D285,0))</f>
        <v>1</v>
      </c>
      <c r="J285" s="41" t="n">
        <f aca="false">IF(A285="","",IF(ISNUMBER(SEARCH("GMPS",E285)),D285,0))</f>
        <v>1</v>
      </c>
      <c r="K285" s="41" t="n">
        <f aca="false">IF(A285="","",IF(ISNUMBER(SEARCH("DLV",E285)),D285,0))</f>
        <v>1</v>
      </c>
      <c r="L285" s="41" t="str">
        <f aca="false">IF(A285="","",IF(K285&gt;0,"Delivered",IF(ISNUMBER(SEARCH("CNF",E285)),"In production",IF(J285&gt;0,"Issued",IF(I285&gt;0,"Kitted","Released")))))</f>
        <v>Delivered</v>
      </c>
      <c r="M285" s="41" t="n">
        <f aca="false">IF(G285&lt;&gt;"Yes","",COUNTIFS($B$6:$B$1505,B285,$F$6:$F$1505,"&lt;"&amp;F285)+COUNTIFS($B$6:$B$1505,B285,$F$6:$F$1505,F285,$A$6:$A$1505,"&lt;="&amp;A285))</f>
        <v>190</v>
      </c>
      <c r="N285" s="41" t="n">
        <f aca="false">IF(M285="","",ROUNDUP(M285/H285,0))</f>
        <v>8</v>
      </c>
      <c r="O285" s="41" t="str">
        <f aca="false">IF(N285="","",IF(N285&lt;='Kitting Plan'!$C$3,"Rep "&amp;N285,"Surplus"))</f>
        <v>Rep 8</v>
      </c>
    </row>
    <row r="286" customFormat="false" ht="15" hidden="false" customHeight="false" outlineLevel="0" collapsed="false">
      <c r="A286" s="40" t="n">
        <f aca="false">IF(OR($A$4=0,INDEX('COOIS Raw'!$A:$GZ,ROW()-4,$A$4)=""),"",IFERROR(--INDEX('COOIS Raw'!$A:$GZ,ROW()-4,$A$4),INDEX('COOIS Raw'!$A:$GZ,ROW()-4,$A$4)))</f>
        <v>100877365</v>
      </c>
      <c r="B286" s="41" t="str">
        <f aca="false">IF(A286="","",TRIM(INDEX('COOIS Raw'!$A:$GZ,ROW()-4,$B$4)))</f>
        <v>92RRA00548AAA</v>
      </c>
      <c r="C286" s="42" t="str">
        <f aca="false">IF(OR(A286="",$C$4=0),"",INDEX('COOIS Raw'!$A:$GZ,ROW()-4,$C$4))</f>
        <v>R5B ERBIUM SPOOL ASSEMBLY - E2A</v>
      </c>
      <c r="D286" s="41" t="n">
        <f aca="false">IF(A286="","",IF($D$4=0,1,IFERROR(--INDEX('COOIS Raw'!$A:$GZ,ROW()-4,$D$4),1)))</f>
        <v>1</v>
      </c>
      <c r="E286" s="42" t="str">
        <f aca="false">IF(A286="","",INDEX('COOIS Raw'!$A:$GZ,ROW()-4,$E$4)&amp;"")</f>
        <v>REL PRT CNF DLV PRC GMPS MANC SETC</v>
      </c>
      <c r="F286" s="43" t="n">
        <f aca="false">IF(A286="","",IFERROR(DATEVALUE(INDEX('COOIS Raw'!$A:$GZ,ROW()-4,$F$4)),INDEX('COOIS Raw'!$A:$GZ,ROW()-4,$F$4)))</f>
        <v>46278</v>
      </c>
      <c r="G286" s="41" t="str">
        <f aca="false">IF(A286="","",IF(ISNA(MATCH(B286,'Kitting Plan'!$B$6:$B$19,0)),"Not in plan","Yes"))</f>
        <v>Yes</v>
      </c>
      <c r="H286" s="41" t="n">
        <f aca="false">IF(G286="Yes",INDEX('Kitting Plan'!$D$6:$D$19,MATCH(B286,'Kitting Plan'!$B$6:$B$19,0)),"")</f>
        <v>24</v>
      </c>
      <c r="I286" s="41" t="n">
        <f aca="false">IF(A286="","",IF(ISNUMBER(SEARCH("PRT",E286)),D286,0))</f>
        <v>1</v>
      </c>
      <c r="J286" s="41" t="n">
        <f aca="false">IF(A286="","",IF(ISNUMBER(SEARCH("GMPS",E286)),D286,0))</f>
        <v>1</v>
      </c>
      <c r="K286" s="41" t="n">
        <f aca="false">IF(A286="","",IF(ISNUMBER(SEARCH("DLV",E286)),D286,0))</f>
        <v>1</v>
      </c>
      <c r="L286" s="41" t="str">
        <f aca="false">IF(A286="","",IF(K286&gt;0,"Delivered",IF(ISNUMBER(SEARCH("CNF",E286)),"In production",IF(J286&gt;0,"Issued",IF(I286&gt;0,"Kitted","Released")))))</f>
        <v>Delivered</v>
      </c>
      <c r="M286" s="41" t="n">
        <f aca="false">IF(G286&lt;&gt;"Yes","",COUNTIFS($B$6:$B$1505,B286,$F$6:$F$1505,"&lt;"&amp;F286)+COUNTIFS($B$6:$B$1505,B286,$F$6:$F$1505,F286,$A$6:$A$1505,"&lt;="&amp;A286))</f>
        <v>191</v>
      </c>
      <c r="N286" s="41" t="n">
        <f aca="false">IF(M286="","",ROUNDUP(M286/H286,0))</f>
        <v>8</v>
      </c>
      <c r="O286" s="41" t="str">
        <f aca="false">IF(N286="","",IF(N286&lt;='Kitting Plan'!$C$3,"Rep "&amp;N286,"Surplus"))</f>
        <v>Rep 8</v>
      </c>
    </row>
    <row r="287" customFormat="false" ht="15" hidden="false" customHeight="false" outlineLevel="0" collapsed="false">
      <c r="A287" s="40" t="n">
        <f aca="false">IF(OR($A$4=0,INDEX('COOIS Raw'!$A:$GZ,ROW()-4,$A$4)=""),"",IFERROR(--INDEX('COOIS Raw'!$A:$GZ,ROW()-4,$A$4),INDEX('COOIS Raw'!$A:$GZ,ROW()-4,$A$4)))</f>
        <v>100877366</v>
      </c>
      <c r="B287" s="41" t="str">
        <f aca="false">IF(A287="","",TRIM(INDEX('COOIS Raw'!$A:$GZ,ROW()-4,$B$4)))</f>
        <v>92RRA00548AAA</v>
      </c>
      <c r="C287" s="42" t="str">
        <f aca="false">IF(OR(A287="",$C$4=0),"",INDEX('COOIS Raw'!$A:$GZ,ROW()-4,$C$4))</f>
        <v>R5B ERBIUM SPOOL ASSEMBLY - E2A</v>
      </c>
      <c r="D287" s="41" t="n">
        <f aca="false">IF(A287="","",IF($D$4=0,1,IFERROR(--INDEX('COOIS Raw'!$A:$GZ,ROW()-4,$D$4),1)))</f>
        <v>1</v>
      </c>
      <c r="E287" s="42" t="str">
        <f aca="false">IF(A287="","",INDEX('COOIS Raw'!$A:$GZ,ROW()-4,$E$4)&amp;"")</f>
        <v>REL PRT CNF DLV PRC GMPS MANC SETC</v>
      </c>
      <c r="F287" s="43" t="n">
        <f aca="false">IF(A287="","",IFERROR(DATEVALUE(INDEX('COOIS Raw'!$A:$GZ,ROW()-4,$F$4)),INDEX('COOIS Raw'!$A:$GZ,ROW()-4,$F$4)))</f>
        <v>46278</v>
      </c>
      <c r="G287" s="41" t="str">
        <f aca="false">IF(A287="","",IF(ISNA(MATCH(B287,'Kitting Plan'!$B$6:$B$19,0)),"Not in plan","Yes"))</f>
        <v>Yes</v>
      </c>
      <c r="H287" s="41" t="n">
        <f aca="false">IF(G287="Yes",INDEX('Kitting Plan'!$D$6:$D$19,MATCH(B287,'Kitting Plan'!$B$6:$B$19,0)),"")</f>
        <v>24</v>
      </c>
      <c r="I287" s="41" t="n">
        <f aca="false">IF(A287="","",IF(ISNUMBER(SEARCH("PRT",E287)),D287,0))</f>
        <v>1</v>
      </c>
      <c r="J287" s="41" t="n">
        <f aca="false">IF(A287="","",IF(ISNUMBER(SEARCH("GMPS",E287)),D287,0))</f>
        <v>1</v>
      </c>
      <c r="K287" s="41" t="n">
        <f aca="false">IF(A287="","",IF(ISNUMBER(SEARCH("DLV",E287)),D287,0))</f>
        <v>1</v>
      </c>
      <c r="L287" s="41" t="str">
        <f aca="false">IF(A287="","",IF(K287&gt;0,"Delivered",IF(ISNUMBER(SEARCH("CNF",E287)),"In production",IF(J287&gt;0,"Issued",IF(I287&gt;0,"Kitted","Released")))))</f>
        <v>Delivered</v>
      </c>
      <c r="M287" s="41" t="n">
        <f aca="false">IF(G287&lt;&gt;"Yes","",COUNTIFS($B$6:$B$1505,B287,$F$6:$F$1505,"&lt;"&amp;F287)+COUNTIFS($B$6:$B$1505,B287,$F$6:$F$1505,F287,$A$6:$A$1505,"&lt;="&amp;A287))</f>
        <v>192</v>
      </c>
      <c r="N287" s="41" t="n">
        <f aca="false">IF(M287="","",ROUNDUP(M287/H287,0))</f>
        <v>8</v>
      </c>
      <c r="O287" s="41" t="str">
        <f aca="false">IF(N287="","",IF(N287&lt;='Kitting Plan'!$C$3,"Rep "&amp;N287,"Surplus"))</f>
        <v>Rep 8</v>
      </c>
    </row>
    <row r="288" customFormat="false" ht="15" hidden="false" customHeight="false" outlineLevel="0" collapsed="false">
      <c r="A288" s="40" t="n">
        <f aca="false">IF(OR($A$4=0,INDEX('COOIS Raw'!$A:$GZ,ROW()-4,$A$4)=""),"",IFERROR(--INDEX('COOIS Raw'!$A:$GZ,ROW()-4,$A$4),INDEX('COOIS Raw'!$A:$GZ,ROW()-4,$A$4)))</f>
        <v>100877367</v>
      </c>
      <c r="B288" s="41" t="str">
        <f aca="false">IF(A288="","",TRIM(INDEX('COOIS Raw'!$A:$GZ,ROW()-4,$B$4)))</f>
        <v>92RRA00548AAA</v>
      </c>
      <c r="C288" s="42" t="str">
        <f aca="false">IF(OR(A288="",$C$4=0),"",INDEX('COOIS Raw'!$A:$GZ,ROW()-4,$C$4))</f>
        <v>R5B ERBIUM SPOOL ASSEMBLY - E2A</v>
      </c>
      <c r="D288" s="41" t="n">
        <f aca="false">IF(A288="","",IF($D$4=0,1,IFERROR(--INDEX('COOIS Raw'!$A:$GZ,ROW()-4,$D$4),1)))</f>
        <v>1</v>
      </c>
      <c r="E288" s="42" t="str">
        <f aca="false">IF(A288="","",INDEX('COOIS Raw'!$A:$GZ,ROW()-4,$E$4)&amp;"")</f>
        <v>REL PRT CNF DLV PRC GMPS MANC SETC</v>
      </c>
      <c r="F288" s="43" t="n">
        <f aca="false">IF(A288="","",IFERROR(DATEVALUE(INDEX('COOIS Raw'!$A:$GZ,ROW()-4,$F$4)),INDEX('COOIS Raw'!$A:$GZ,ROW()-4,$F$4)))</f>
        <v>46278</v>
      </c>
      <c r="G288" s="41" t="str">
        <f aca="false">IF(A288="","",IF(ISNA(MATCH(B288,'Kitting Plan'!$B$6:$B$19,0)),"Not in plan","Yes"))</f>
        <v>Yes</v>
      </c>
      <c r="H288" s="41" t="n">
        <f aca="false">IF(G288="Yes",INDEX('Kitting Plan'!$D$6:$D$19,MATCH(B288,'Kitting Plan'!$B$6:$B$19,0)),"")</f>
        <v>24</v>
      </c>
      <c r="I288" s="41" t="n">
        <f aca="false">IF(A288="","",IF(ISNUMBER(SEARCH("PRT",E288)),D288,0))</f>
        <v>1</v>
      </c>
      <c r="J288" s="41" t="n">
        <f aca="false">IF(A288="","",IF(ISNUMBER(SEARCH("GMPS",E288)),D288,0))</f>
        <v>1</v>
      </c>
      <c r="K288" s="41" t="n">
        <f aca="false">IF(A288="","",IF(ISNUMBER(SEARCH("DLV",E288)),D288,0))</f>
        <v>1</v>
      </c>
      <c r="L288" s="41" t="str">
        <f aca="false">IF(A288="","",IF(K288&gt;0,"Delivered",IF(ISNUMBER(SEARCH("CNF",E288)),"In production",IF(J288&gt;0,"Issued",IF(I288&gt;0,"Kitted","Released")))))</f>
        <v>Delivered</v>
      </c>
      <c r="M288" s="41" t="n">
        <f aca="false">IF(G288&lt;&gt;"Yes","",COUNTIFS($B$6:$B$1505,B288,$F$6:$F$1505,"&lt;"&amp;F288)+COUNTIFS($B$6:$B$1505,B288,$F$6:$F$1505,F288,$A$6:$A$1505,"&lt;="&amp;A288))</f>
        <v>193</v>
      </c>
      <c r="N288" s="41" t="n">
        <f aca="false">IF(M288="","",ROUNDUP(M288/H288,0))</f>
        <v>9</v>
      </c>
      <c r="O288" s="41" t="str">
        <f aca="false">IF(N288="","",IF(N288&lt;='Kitting Plan'!$C$3,"Rep "&amp;N288,"Surplus"))</f>
        <v>Rep 9</v>
      </c>
    </row>
    <row r="289" customFormat="false" ht="15" hidden="false" customHeight="false" outlineLevel="0" collapsed="false">
      <c r="A289" s="40" t="n">
        <f aca="false">IF(OR($A$4=0,INDEX('COOIS Raw'!$A:$GZ,ROW()-4,$A$4)=""),"",IFERROR(--INDEX('COOIS Raw'!$A:$GZ,ROW()-4,$A$4),INDEX('COOIS Raw'!$A:$GZ,ROW()-4,$A$4)))</f>
        <v>100877368</v>
      </c>
      <c r="B289" s="41" t="str">
        <f aca="false">IF(A289="","",TRIM(INDEX('COOIS Raw'!$A:$GZ,ROW()-4,$B$4)))</f>
        <v>92RRA00548AAA</v>
      </c>
      <c r="C289" s="42" t="str">
        <f aca="false">IF(OR(A289="",$C$4=0),"",INDEX('COOIS Raw'!$A:$GZ,ROW()-4,$C$4))</f>
        <v>R5B ERBIUM SPOOL ASSEMBLY - E2A</v>
      </c>
      <c r="D289" s="41" t="n">
        <f aca="false">IF(A289="","",IF($D$4=0,1,IFERROR(--INDEX('COOIS Raw'!$A:$GZ,ROW()-4,$D$4),1)))</f>
        <v>1</v>
      </c>
      <c r="E289" s="42" t="str">
        <f aca="false">IF(A289="","",INDEX('COOIS Raw'!$A:$GZ,ROW()-4,$E$4)&amp;"")</f>
        <v>REL PRT CNF DLV PRC GMPS MANC SETC</v>
      </c>
      <c r="F289" s="43" t="n">
        <f aca="false">IF(A289="","",IFERROR(DATEVALUE(INDEX('COOIS Raw'!$A:$GZ,ROW()-4,$F$4)),INDEX('COOIS Raw'!$A:$GZ,ROW()-4,$F$4)))</f>
        <v>46278</v>
      </c>
      <c r="G289" s="41" t="str">
        <f aca="false">IF(A289="","",IF(ISNA(MATCH(B289,'Kitting Plan'!$B$6:$B$19,0)),"Not in plan","Yes"))</f>
        <v>Yes</v>
      </c>
      <c r="H289" s="41" t="n">
        <f aca="false">IF(G289="Yes",INDEX('Kitting Plan'!$D$6:$D$19,MATCH(B289,'Kitting Plan'!$B$6:$B$19,0)),"")</f>
        <v>24</v>
      </c>
      <c r="I289" s="41" t="n">
        <f aca="false">IF(A289="","",IF(ISNUMBER(SEARCH("PRT",E289)),D289,0))</f>
        <v>1</v>
      </c>
      <c r="J289" s="41" t="n">
        <f aca="false">IF(A289="","",IF(ISNUMBER(SEARCH("GMPS",E289)),D289,0))</f>
        <v>1</v>
      </c>
      <c r="K289" s="41" t="n">
        <f aca="false">IF(A289="","",IF(ISNUMBER(SEARCH("DLV",E289)),D289,0))</f>
        <v>1</v>
      </c>
      <c r="L289" s="41" t="str">
        <f aca="false">IF(A289="","",IF(K289&gt;0,"Delivered",IF(ISNUMBER(SEARCH("CNF",E289)),"In production",IF(J289&gt;0,"Issued",IF(I289&gt;0,"Kitted","Released")))))</f>
        <v>Delivered</v>
      </c>
      <c r="M289" s="41" t="n">
        <f aca="false">IF(G289&lt;&gt;"Yes","",COUNTIFS($B$6:$B$1505,B289,$F$6:$F$1505,"&lt;"&amp;F289)+COUNTIFS($B$6:$B$1505,B289,$F$6:$F$1505,F289,$A$6:$A$1505,"&lt;="&amp;A289))</f>
        <v>194</v>
      </c>
      <c r="N289" s="41" t="n">
        <f aca="false">IF(M289="","",ROUNDUP(M289/H289,0))</f>
        <v>9</v>
      </c>
      <c r="O289" s="41" t="str">
        <f aca="false">IF(N289="","",IF(N289&lt;='Kitting Plan'!$C$3,"Rep "&amp;N289,"Surplus"))</f>
        <v>Rep 9</v>
      </c>
    </row>
    <row r="290" customFormat="false" ht="15" hidden="false" customHeight="false" outlineLevel="0" collapsed="false">
      <c r="A290" s="40" t="n">
        <f aca="false">IF(OR($A$4=0,INDEX('COOIS Raw'!$A:$GZ,ROW()-4,$A$4)=""),"",IFERROR(--INDEX('COOIS Raw'!$A:$GZ,ROW()-4,$A$4),INDEX('COOIS Raw'!$A:$GZ,ROW()-4,$A$4)))</f>
        <v>100877369</v>
      </c>
      <c r="B290" s="41" t="str">
        <f aca="false">IF(A290="","",TRIM(INDEX('COOIS Raw'!$A:$GZ,ROW()-4,$B$4)))</f>
        <v>92RRA00548AAA</v>
      </c>
      <c r="C290" s="42" t="str">
        <f aca="false">IF(OR(A290="",$C$4=0),"",INDEX('COOIS Raw'!$A:$GZ,ROW()-4,$C$4))</f>
        <v>R5B ERBIUM SPOOL ASSEMBLY - E2A</v>
      </c>
      <c r="D290" s="41" t="n">
        <f aca="false">IF(A290="","",IF($D$4=0,1,IFERROR(--INDEX('COOIS Raw'!$A:$GZ,ROW()-4,$D$4),1)))</f>
        <v>1</v>
      </c>
      <c r="E290" s="42" t="str">
        <f aca="false">IF(A290="","",INDEX('COOIS Raw'!$A:$GZ,ROW()-4,$E$4)&amp;"")</f>
        <v>REL PRT CNF DLV PRC GMPS MANC SETC</v>
      </c>
      <c r="F290" s="43" t="n">
        <f aca="false">IF(A290="","",IFERROR(DATEVALUE(INDEX('COOIS Raw'!$A:$GZ,ROW()-4,$F$4)),INDEX('COOIS Raw'!$A:$GZ,ROW()-4,$F$4)))</f>
        <v>46278</v>
      </c>
      <c r="G290" s="41" t="str">
        <f aca="false">IF(A290="","",IF(ISNA(MATCH(B290,'Kitting Plan'!$B$6:$B$19,0)),"Not in plan","Yes"))</f>
        <v>Yes</v>
      </c>
      <c r="H290" s="41" t="n">
        <f aca="false">IF(G290="Yes",INDEX('Kitting Plan'!$D$6:$D$19,MATCH(B290,'Kitting Plan'!$B$6:$B$19,0)),"")</f>
        <v>24</v>
      </c>
      <c r="I290" s="41" t="n">
        <f aca="false">IF(A290="","",IF(ISNUMBER(SEARCH("PRT",E290)),D290,0))</f>
        <v>1</v>
      </c>
      <c r="J290" s="41" t="n">
        <f aca="false">IF(A290="","",IF(ISNUMBER(SEARCH("GMPS",E290)),D290,0))</f>
        <v>1</v>
      </c>
      <c r="K290" s="41" t="n">
        <f aca="false">IF(A290="","",IF(ISNUMBER(SEARCH("DLV",E290)),D290,0))</f>
        <v>1</v>
      </c>
      <c r="L290" s="41" t="str">
        <f aca="false">IF(A290="","",IF(K290&gt;0,"Delivered",IF(ISNUMBER(SEARCH("CNF",E290)),"In production",IF(J290&gt;0,"Issued",IF(I290&gt;0,"Kitted","Released")))))</f>
        <v>Delivered</v>
      </c>
      <c r="M290" s="41" t="n">
        <f aca="false">IF(G290&lt;&gt;"Yes","",COUNTIFS($B$6:$B$1505,B290,$F$6:$F$1505,"&lt;"&amp;F290)+COUNTIFS($B$6:$B$1505,B290,$F$6:$F$1505,F290,$A$6:$A$1505,"&lt;="&amp;A290))</f>
        <v>195</v>
      </c>
      <c r="N290" s="41" t="n">
        <f aca="false">IF(M290="","",ROUNDUP(M290/H290,0))</f>
        <v>9</v>
      </c>
      <c r="O290" s="41" t="str">
        <f aca="false">IF(N290="","",IF(N290&lt;='Kitting Plan'!$C$3,"Rep "&amp;N290,"Surplus"))</f>
        <v>Rep 9</v>
      </c>
    </row>
    <row r="291" customFormat="false" ht="15" hidden="false" customHeight="false" outlineLevel="0" collapsed="false">
      <c r="A291" s="40" t="n">
        <f aca="false">IF(OR($A$4=0,INDEX('COOIS Raw'!$A:$GZ,ROW()-4,$A$4)=""),"",IFERROR(--INDEX('COOIS Raw'!$A:$GZ,ROW()-4,$A$4),INDEX('COOIS Raw'!$A:$GZ,ROW()-4,$A$4)))</f>
        <v>100877370</v>
      </c>
      <c r="B291" s="41" t="str">
        <f aca="false">IF(A291="","",TRIM(INDEX('COOIS Raw'!$A:$GZ,ROW()-4,$B$4)))</f>
        <v>92RRA00548AAA</v>
      </c>
      <c r="C291" s="42" t="str">
        <f aca="false">IF(OR(A291="",$C$4=0),"",INDEX('COOIS Raw'!$A:$GZ,ROW()-4,$C$4))</f>
        <v>R5B ERBIUM SPOOL ASSEMBLY - E2A</v>
      </c>
      <c r="D291" s="41" t="n">
        <f aca="false">IF(A291="","",IF($D$4=0,1,IFERROR(--INDEX('COOIS Raw'!$A:$GZ,ROW()-4,$D$4),1)))</f>
        <v>1</v>
      </c>
      <c r="E291" s="42" t="str">
        <f aca="false">IF(A291="","",INDEX('COOIS Raw'!$A:$GZ,ROW()-4,$E$4)&amp;"")</f>
        <v>REL PRT CNF DLV PRC GMPS MANC SETC</v>
      </c>
      <c r="F291" s="43" t="n">
        <f aca="false">IF(A291="","",IFERROR(DATEVALUE(INDEX('COOIS Raw'!$A:$GZ,ROW()-4,$F$4)),INDEX('COOIS Raw'!$A:$GZ,ROW()-4,$F$4)))</f>
        <v>46278</v>
      </c>
      <c r="G291" s="41" t="str">
        <f aca="false">IF(A291="","",IF(ISNA(MATCH(B291,'Kitting Plan'!$B$6:$B$19,0)),"Not in plan","Yes"))</f>
        <v>Yes</v>
      </c>
      <c r="H291" s="41" t="n">
        <f aca="false">IF(G291="Yes",INDEX('Kitting Plan'!$D$6:$D$19,MATCH(B291,'Kitting Plan'!$B$6:$B$19,0)),"")</f>
        <v>24</v>
      </c>
      <c r="I291" s="41" t="n">
        <f aca="false">IF(A291="","",IF(ISNUMBER(SEARCH("PRT",E291)),D291,0))</f>
        <v>1</v>
      </c>
      <c r="J291" s="41" t="n">
        <f aca="false">IF(A291="","",IF(ISNUMBER(SEARCH("GMPS",E291)),D291,0))</f>
        <v>1</v>
      </c>
      <c r="K291" s="41" t="n">
        <f aca="false">IF(A291="","",IF(ISNUMBER(SEARCH("DLV",E291)),D291,0))</f>
        <v>1</v>
      </c>
      <c r="L291" s="41" t="str">
        <f aca="false">IF(A291="","",IF(K291&gt;0,"Delivered",IF(ISNUMBER(SEARCH("CNF",E291)),"In production",IF(J291&gt;0,"Issued",IF(I291&gt;0,"Kitted","Released")))))</f>
        <v>Delivered</v>
      </c>
      <c r="M291" s="41" t="n">
        <f aca="false">IF(G291&lt;&gt;"Yes","",COUNTIFS($B$6:$B$1505,B291,$F$6:$F$1505,"&lt;"&amp;F291)+COUNTIFS($B$6:$B$1505,B291,$F$6:$F$1505,F291,$A$6:$A$1505,"&lt;="&amp;A291))</f>
        <v>196</v>
      </c>
      <c r="N291" s="41" t="n">
        <f aca="false">IF(M291="","",ROUNDUP(M291/H291,0))</f>
        <v>9</v>
      </c>
      <c r="O291" s="41" t="str">
        <f aca="false">IF(N291="","",IF(N291&lt;='Kitting Plan'!$C$3,"Rep "&amp;N291,"Surplus"))</f>
        <v>Rep 9</v>
      </c>
    </row>
    <row r="292" customFormat="false" ht="15" hidden="false" customHeight="false" outlineLevel="0" collapsed="false">
      <c r="A292" s="40" t="n">
        <f aca="false">IF(OR($A$4=0,INDEX('COOIS Raw'!$A:$GZ,ROW()-4,$A$4)=""),"",IFERROR(--INDEX('COOIS Raw'!$A:$GZ,ROW()-4,$A$4),INDEX('COOIS Raw'!$A:$GZ,ROW()-4,$A$4)))</f>
        <v>100877371</v>
      </c>
      <c r="B292" s="41" t="str">
        <f aca="false">IF(A292="","",TRIM(INDEX('COOIS Raw'!$A:$GZ,ROW()-4,$B$4)))</f>
        <v>92RRA00548AAA</v>
      </c>
      <c r="C292" s="42" t="str">
        <f aca="false">IF(OR(A292="",$C$4=0),"",INDEX('COOIS Raw'!$A:$GZ,ROW()-4,$C$4))</f>
        <v>R5B ERBIUM SPOOL ASSEMBLY - E2A</v>
      </c>
      <c r="D292" s="41" t="n">
        <f aca="false">IF(A292="","",IF($D$4=0,1,IFERROR(--INDEX('COOIS Raw'!$A:$GZ,ROW()-4,$D$4),1)))</f>
        <v>1</v>
      </c>
      <c r="E292" s="42" t="str">
        <f aca="false">IF(A292="","",INDEX('COOIS Raw'!$A:$GZ,ROW()-4,$E$4)&amp;"")</f>
        <v>REL PRT CNF DLV PRC GMPS MANC SETC</v>
      </c>
      <c r="F292" s="43" t="n">
        <f aca="false">IF(A292="","",IFERROR(DATEVALUE(INDEX('COOIS Raw'!$A:$GZ,ROW()-4,$F$4)),INDEX('COOIS Raw'!$A:$GZ,ROW()-4,$F$4)))</f>
        <v>46278</v>
      </c>
      <c r="G292" s="41" t="str">
        <f aca="false">IF(A292="","",IF(ISNA(MATCH(B292,'Kitting Plan'!$B$6:$B$19,0)),"Not in plan","Yes"))</f>
        <v>Yes</v>
      </c>
      <c r="H292" s="41" t="n">
        <f aca="false">IF(G292="Yes",INDEX('Kitting Plan'!$D$6:$D$19,MATCH(B292,'Kitting Plan'!$B$6:$B$19,0)),"")</f>
        <v>24</v>
      </c>
      <c r="I292" s="41" t="n">
        <f aca="false">IF(A292="","",IF(ISNUMBER(SEARCH("PRT",E292)),D292,0))</f>
        <v>1</v>
      </c>
      <c r="J292" s="41" t="n">
        <f aca="false">IF(A292="","",IF(ISNUMBER(SEARCH("GMPS",E292)),D292,0))</f>
        <v>1</v>
      </c>
      <c r="K292" s="41" t="n">
        <f aca="false">IF(A292="","",IF(ISNUMBER(SEARCH("DLV",E292)),D292,0))</f>
        <v>1</v>
      </c>
      <c r="L292" s="41" t="str">
        <f aca="false">IF(A292="","",IF(K292&gt;0,"Delivered",IF(ISNUMBER(SEARCH("CNF",E292)),"In production",IF(J292&gt;0,"Issued",IF(I292&gt;0,"Kitted","Released")))))</f>
        <v>Delivered</v>
      </c>
      <c r="M292" s="41" t="n">
        <f aca="false">IF(G292&lt;&gt;"Yes","",COUNTIFS($B$6:$B$1505,B292,$F$6:$F$1505,"&lt;"&amp;F292)+COUNTIFS($B$6:$B$1505,B292,$F$6:$F$1505,F292,$A$6:$A$1505,"&lt;="&amp;A292))</f>
        <v>197</v>
      </c>
      <c r="N292" s="41" t="n">
        <f aca="false">IF(M292="","",ROUNDUP(M292/H292,0))</f>
        <v>9</v>
      </c>
      <c r="O292" s="41" t="str">
        <f aca="false">IF(N292="","",IF(N292&lt;='Kitting Plan'!$C$3,"Rep "&amp;N292,"Surplus"))</f>
        <v>Rep 9</v>
      </c>
    </row>
    <row r="293" customFormat="false" ht="15" hidden="false" customHeight="false" outlineLevel="0" collapsed="false">
      <c r="A293" s="40" t="n">
        <f aca="false">IF(OR($A$4=0,INDEX('COOIS Raw'!$A:$GZ,ROW()-4,$A$4)=""),"",IFERROR(--INDEX('COOIS Raw'!$A:$GZ,ROW()-4,$A$4),INDEX('COOIS Raw'!$A:$GZ,ROW()-4,$A$4)))</f>
        <v>100877372</v>
      </c>
      <c r="B293" s="41" t="str">
        <f aca="false">IF(A293="","",TRIM(INDEX('COOIS Raw'!$A:$GZ,ROW()-4,$B$4)))</f>
        <v>92RRA00548AAA</v>
      </c>
      <c r="C293" s="42" t="str">
        <f aca="false">IF(OR(A293="",$C$4=0),"",INDEX('COOIS Raw'!$A:$GZ,ROW()-4,$C$4))</f>
        <v>R5B ERBIUM SPOOL ASSEMBLY - E2A</v>
      </c>
      <c r="D293" s="41" t="n">
        <f aca="false">IF(A293="","",IF($D$4=0,1,IFERROR(--INDEX('COOIS Raw'!$A:$GZ,ROW()-4,$D$4),1)))</f>
        <v>1</v>
      </c>
      <c r="E293" s="42" t="str">
        <f aca="false">IF(A293="","",INDEX('COOIS Raw'!$A:$GZ,ROW()-4,$E$4)&amp;"")</f>
        <v>REL PRT CNF DLV PRC GMPS MANC SETC</v>
      </c>
      <c r="F293" s="43" t="n">
        <f aca="false">IF(A293="","",IFERROR(DATEVALUE(INDEX('COOIS Raw'!$A:$GZ,ROW()-4,$F$4)),INDEX('COOIS Raw'!$A:$GZ,ROW()-4,$F$4)))</f>
        <v>46278</v>
      </c>
      <c r="G293" s="41" t="str">
        <f aca="false">IF(A293="","",IF(ISNA(MATCH(B293,'Kitting Plan'!$B$6:$B$19,0)),"Not in plan","Yes"))</f>
        <v>Yes</v>
      </c>
      <c r="H293" s="41" t="n">
        <f aca="false">IF(G293="Yes",INDEX('Kitting Plan'!$D$6:$D$19,MATCH(B293,'Kitting Plan'!$B$6:$B$19,0)),"")</f>
        <v>24</v>
      </c>
      <c r="I293" s="41" t="n">
        <f aca="false">IF(A293="","",IF(ISNUMBER(SEARCH("PRT",E293)),D293,0))</f>
        <v>1</v>
      </c>
      <c r="J293" s="41" t="n">
        <f aca="false">IF(A293="","",IF(ISNUMBER(SEARCH("GMPS",E293)),D293,0))</f>
        <v>1</v>
      </c>
      <c r="K293" s="41" t="n">
        <f aca="false">IF(A293="","",IF(ISNUMBER(SEARCH("DLV",E293)),D293,0))</f>
        <v>1</v>
      </c>
      <c r="L293" s="41" t="str">
        <f aca="false">IF(A293="","",IF(K293&gt;0,"Delivered",IF(ISNUMBER(SEARCH("CNF",E293)),"In production",IF(J293&gt;0,"Issued",IF(I293&gt;0,"Kitted","Released")))))</f>
        <v>Delivered</v>
      </c>
      <c r="M293" s="41" t="n">
        <f aca="false">IF(G293&lt;&gt;"Yes","",COUNTIFS($B$6:$B$1505,B293,$F$6:$F$1505,"&lt;"&amp;F293)+COUNTIFS($B$6:$B$1505,B293,$F$6:$F$1505,F293,$A$6:$A$1505,"&lt;="&amp;A293))</f>
        <v>198</v>
      </c>
      <c r="N293" s="41" t="n">
        <f aca="false">IF(M293="","",ROUNDUP(M293/H293,0))</f>
        <v>9</v>
      </c>
      <c r="O293" s="41" t="str">
        <f aca="false">IF(N293="","",IF(N293&lt;='Kitting Plan'!$C$3,"Rep "&amp;N293,"Surplus"))</f>
        <v>Rep 9</v>
      </c>
    </row>
    <row r="294" customFormat="false" ht="15" hidden="false" customHeight="false" outlineLevel="0" collapsed="false">
      <c r="A294" s="40" t="n">
        <f aca="false">IF(OR($A$4=0,INDEX('COOIS Raw'!$A:$GZ,ROW()-4,$A$4)=""),"",IFERROR(--INDEX('COOIS Raw'!$A:$GZ,ROW()-4,$A$4),INDEX('COOIS Raw'!$A:$GZ,ROW()-4,$A$4)))</f>
        <v>100877373</v>
      </c>
      <c r="B294" s="41" t="str">
        <f aca="false">IF(A294="","",TRIM(INDEX('COOIS Raw'!$A:$GZ,ROW()-4,$B$4)))</f>
        <v>92RRA00548AAA</v>
      </c>
      <c r="C294" s="42" t="str">
        <f aca="false">IF(OR(A294="",$C$4=0),"",INDEX('COOIS Raw'!$A:$GZ,ROW()-4,$C$4))</f>
        <v>R5B ERBIUM SPOOL ASSEMBLY - E2A</v>
      </c>
      <c r="D294" s="41" t="n">
        <f aca="false">IF(A294="","",IF($D$4=0,1,IFERROR(--INDEX('COOIS Raw'!$A:$GZ,ROW()-4,$D$4),1)))</f>
        <v>1</v>
      </c>
      <c r="E294" s="42" t="str">
        <f aca="false">IF(A294="","",INDEX('COOIS Raw'!$A:$GZ,ROW()-4,$E$4)&amp;"")</f>
        <v>REL PRT CNF DLV PRC GMPS MANC SETC</v>
      </c>
      <c r="F294" s="43" t="n">
        <f aca="false">IF(A294="","",IFERROR(DATEVALUE(INDEX('COOIS Raw'!$A:$GZ,ROW()-4,$F$4)),INDEX('COOIS Raw'!$A:$GZ,ROW()-4,$F$4)))</f>
        <v>46278</v>
      </c>
      <c r="G294" s="41" t="str">
        <f aca="false">IF(A294="","",IF(ISNA(MATCH(B294,'Kitting Plan'!$B$6:$B$19,0)),"Not in plan","Yes"))</f>
        <v>Yes</v>
      </c>
      <c r="H294" s="41" t="n">
        <f aca="false">IF(G294="Yes",INDEX('Kitting Plan'!$D$6:$D$19,MATCH(B294,'Kitting Plan'!$B$6:$B$19,0)),"")</f>
        <v>24</v>
      </c>
      <c r="I294" s="41" t="n">
        <f aca="false">IF(A294="","",IF(ISNUMBER(SEARCH("PRT",E294)),D294,0))</f>
        <v>1</v>
      </c>
      <c r="J294" s="41" t="n">
        <f aca="false">IF(A294="","",IF(ISNUMBER(SEARCH("GMPS",E294)),D294,0))</f>
        <v>1</v>
      </c>
      <c r="K294" s="41" t="n">
        <f aca="false">IF(A294="","",IF(ISNUMBER(SEARCH("DLV",E294)),D294,0))</f>
        <v>1</v>
      </c>
      <c r="L294" s="41" t="str">
        <f aca="false">IF(A294="","",IF(K294&gt;0,"Delivered",IF(ISNUMBER(SEARCH("CNF",E294)),"In production",IF(J294&gt;0,"Issued",IF(I294&gt;0,"Kitted","Released")))))</f>
        <v>Delivered</v>
      </c>
      <c r="M294" s="41" t="n">
        <f aca="false">IF(G294&lt;&gt;"Yes","",COUNTIFS($B$6:$B$1505,B294,$F$6:$F$1505,"&lt;"&amp;F294)+COUNTIFS($B$6:$B$1505,B294,$F$6:$F$1505,F294,$A$6:$A$1505,"&lt;="&amp;A294))</f>
        <v>199</v>
      </c>
      <c r="N294" s="41" t="n">
        <f aca="false">IF(M294="","",ROUNDUP(M294/H294,0))</f>
        <v>9</v>
      </c>
      <c r="O294" s="41" t="str">
        <f aca="false">IF(N294="","",IF(N294&lt;='Kitting Plan'!$C$3,"Rep "&amp;N294,"Surplus"))</f>
        <v>Rep 9</v>
      </c>
    </row>
    <row r="295" customFormat="false" ht="15" hidden="false" customHeight="false" outlineLevel="0" collapsed="false">
      <c r="A295" s="40" t="n">
        <f aca="false">IF(OR($A$4=0,INDEX('COOIS Raw'!$A:$GZ,ROW()-4,$A$4)=""),"",IFERROR(--INDEX('COOIS Raw'!$A:$GZ,ROW()-4,$A$4),INDEX('COOIS Raw'!$A:$GZ,ROW()-4,$A$4)))</f>
        <v>100877374</v>
      </c>
      <c r="B295" s="41" t="str">
        <f aca="false">IF(A295="","",TRIM(INDEX('COOIS Raw'!$A:$GZ,ROW()-4,$B$4)))</f>
        <v>92RRA00548AAA</v>
      </c>
      <c r="C295" s="42" t="str">
        <f aca="false">IF(OR(A295="",$C$4=0),"",INDEX('COOIS Raw'!$A:$GZ,ROW()-4,$C$4))</f>
        <v>R5B ERBIUM SPOOL ASSEMBLY - E2A</v>
      </c>
      <c r="D295" s="41" t="n">
        <f aca="false">IF(A295="","",IF($D$4=0,1,IFERROR(--INDEX('COOIS Raw'!$A:$GZ,ROW()-4,$D$4),1)))</f>
        <v>1</v>
      </c>
      <c r="E295" s="42" t="str">
        <f aca="false">IF(A295="","",INDEX('COOIS Raw'!$A:$GZ,ROW()-4,$E$4)&amp;"")</f>
        <v>REL PRT CNF DLV PRC GMPS MANC SETC</v>
      </c>
      <c r="F295" s="43" t="n">
        <f aca="false">IF(A295="","",IFERROR(DATEVALUE(INDEX('COOIS Raw'!$A:$GZ,ROW()-4,$F$4)),INDEX('COOIS Raw'!$A:$GZ,ROW()-4,$F$4)))</f>
        <v>46278</v>
      </c>
      <c r="G295" s="41" t="str">
        <f aca="false">IF(A295="","",IF(ISNA(MATCH(B295,'Kitting Plan'!$B$6:$B$19,0)),"Not in plan","Yes"))</f>
        <v>Yes</v>
      </c>
      <c r="H295" s="41" t="n">
        <f aca="false">IF(G295="Yes",INDEX('Kitting Plan'!$D$6:$D$19,MATCH(B295,'Kitting Plan'!$B$6:$B$19,0)),"")</f>
        <v>24</v>
      </c>
      <c r="I295" s="41" t="n">
        <f aca="false">IF(A295="","",IF(ISNUMBER(SEARCH("PRT",E295)),D295,0))</f>
        <v>1</v>
      </c>
      <c r="J295" s="41" t="n">
        <f aca="false">IF(A295="","",IF(ISNUMBER(SEARCH("GMPS",E295)),D295,0))</f>
        <v>1</v>
      </c>
      <c r="K295" s="41" t="n">
        <f aca="false">IF(A295="","",IF(ISNUMBER(SEARCH("DLV",E295)),D295,0))</f>
        <v>1</v>
      </c>
      <c r="L295" s="41" t="str">
        <f aca="false">IF(A295="","",IF(K295&gt;0,"Delivered",IF(ISNUMBER(SEARCH("CNF",E295)),"In production",IF(J295&gt;0,"Issued",IF(I295&gt;0,"Kitted","Released")))))</f>
        <v>Delivered</v>
      </c>
      <c r="M295" s="41" t="n">
        <f aca="false">IF(G295&lt;&gt;"Yes","",COUNTIFS($B$6:$B$1505,B295,$F$6:$F$1505,"&lt;"&amp;F295)+COUNTIFS($B$6:$B$1505,B295,$F$6:$F$1505,F295,$A$6:$A$1505,"&lt;="&amp;A295))</f>
        <v>200</v>
      </c>
      <c r="N295" s="41" t="n">
        <f aca="false">IF(M295="","",ROUNDUP(M295/H295,0))</f>
        <v>9</v>
      </c>
      <c r="O295" s="41" t="str">
        <f aca="false">IF(N295="","",IF(N295&lt;='Kitting Plan'!$C$3,"Rep "&amp;N295,"Surplus"))</f>
        <v>Rep 9</v>
      </c>
    </row>
    <row r="296" customFormat="false" ht="15" hidden="false" customHeight="false" outlineLevel="0" collapsed="false">
      <c r="A296" s="40" t="n">
        <f aca="false">IF(OR($A$4=0,INDEX('COOIS Raw'!$A:$GZ,ROW()-4,$A$4)=""),"",IFERROR(--INDEX('COOIS Raw'!$A:$GZ,ROW()-4,$A$4),INDEX('COOIS Raw'!$A:$GZ,ROW()-4,$A$4)))</f>
        <v>100877375</v>
      </c>
      <c r="B296" s="41" t="str">
        <f aca="false">IF(A296="","",TRIM(INDEX('COOIS Raw'!$A:$GZ,ROW()-4,$B$4)))</f>
        <v>92RRA00548AAA</v>
      </c>
      <c r="C296" s="42" t="str">
        <f aca="false">IF(OR(A296="",$C$4=0),"",INDEX('COOIS Raw'!$A:$GZ,ROW()-4,$C$4))</f>
        <v>R5B ERBIUM SPOOL ASSEMBLY - E2A</v>
      </c>
      <c r="D296" s="41" t="n">
        <f aca="false">IF(A296="","",IF($D$4=0,1,IFERROR(--INDEX('COOIS Raw'!$A:$GZ,ROW()-4,$D$4),1)))</f>
        <v>1</v>
      </c>
      <c r="E296" s="42" t="str">
        <f aca="false">IF(A296="","",INDEX('COOIS Raw'!$A:$GZ,ROW()-4,$E$4)&amp;"")</f>
        <v>REL PRT CNF DLV PRC GMPS MANC SETC</v>
      </c>
      <c r="F296" s="43" t="n">
        <f aca="false">IF(A296="","",IFERROR(DATEVALUE(INDEX('COOIS Raw'!$A:$GZ,ROW()-4,$F$4)),INDEX('COOIS Raw'!$A:$GZ,ROW()-4,$F$4)))</f>
        <v>46278</v>
      </c>
      <c r="G296" s="41" t="str">
        <f aca="false">IF(A296="","",IF(ISNA(MATCH(B296,'Kitting Plan'!$B$6:$B$19,0)),"Not in plan","Yes"))</f>
        <v>Yes</v>
      </c>
      <c r="H296" s="41" t="n">
        <f aca="false">IF(G296="Yes",INDEX('Kitting Plan'!$D$6:$D$19,MATCH(B296,'Kitting Plan'!$B$6:$B$19,0)),"")</f>
        <v>24</v>
      </c>
      <c r="I296" s="41" t="n">
        <f aca="false">IF(A296="","",IF(ISNUMBER(SEARCH("PRT",E296)),D296,0))</f>
        <v>1</v>
      </c>
      <c r="J296" s="41" t="n">
        <f aca="false">IF(A296="","",IF(ISNUMBER(SEARCH("GMPS",E296)),D296,0))</f>
        <v>1</v>
      </c>
      <c r="K296" s="41" t="n">
        <f aca="false">IF(A296="","",IF(ISNUMBER(SEARCH("DLV",E296)),D296,0))</f>
        <v>1</v>
      </c>
      <c r="L296" s="41" t="str">
        <f aca="false">IF(A296="","",IF(K296&gt;0,"Delivered",IF(ISNUMBER(SEARCH("CNF",E296)),"In production",IF(J296&gt;0,"Issued",IF(I296&gt;0,"Kitted","Released")))))</f>
        <v>Delivered</v>
      </c>
      <c r="M296" s="41" t="n">
        <f aca="false">IF(G296&lt;&gt;"Yes","",COUNTIFS($B$6:$B$1505,B296,$F$6:$F$1505,"&lt;"&amp;F296)+COUNTIFS($B$6:$B$1505,B296,$F$6:$F$1505,F296,$A$6:$A$1505,"&lt;="&amp;A296))</f>
        <v>201</v>
      </c>
      <c r="N296" s="41" t="n">
        <f aca="false">IF(M296="","",ROUNDUP(M296/H296,0))</f>
        <v>9</v>
      </c>
      <c r="O296" s="41" t="str">
        <f aca="false">IF(N296="","",IF(N296&lt;='Kitting Plan'!$C$3,"Rep "&amp;N296,"Surplus"))</f>
        <v>Rep 9</v>
      </c>
    </row>
    <row r="297" customFormat="false" ht="15" hidden="false" customHeight="false" outlineLevel="0" collapsed="false">
      <c r="A297" s="40" t="n">
        <f aca="false">IF(OR($A$4=0,INDEX('COOIS Raw'!$A:$GZ,ROW()-4,$A$4)=""),"",IFERROR(--INDEX('COOIS Raw'!$A:$GZ,ROW()-4,$A$4),INDEX('COOIS Raw'!$A:$GZ,ROW()-4,$A$4)))</f>
        <v>100877376</v>
      </c>
      <c r="B297" s="41" t="str">
        <f aca="false">IF(A297="","",TRIM(INDEX('COOIS Raw'!$A:$GZ,ROW()-4,$B$4)))</f>
        <v>92RRA00548AAA</v>
      </c>
      <c r="C297" s="42" t="str">
        <f aca="false">IF(OR(A297="",$C$4=0),"",INDEX('COOIS Raw'!$A:$GZ,ROW()-4,$C$4))</f>
        <v>R5B ERBIUM SPOOL ASSEMBLY - E2A</v>
      </c>
      <c r="D297" s="41" t="n">
        <f aca="false">IF(A297="","",IF($D$4=0,1,IFERROR(--INDEX('COOIS Raw'!$A:$GZ,ROW()-4,$D$4),1)))</f>
        <v>1</v>
      </c>
      <c r="E297" s="42" t="str">
        <f aca="false">IF(A297="","",INDEX('COOIS Raw'!$A:$GZ,ROW()-4,$E$4)&amp;"")</f>
        <v>REL PRT CNF DLV PRC GMPS MANC SETC</v>
      </c>
      <c r="F297" s="43" t="n">
        <f aca="false">IF(A297="","",IFERROR(DATEVALUE(INDEX('COOIS Raw'!$A:$GZ,ROW()-4,$F$4)),INDEX('COOIS Raw'!$A:$GZ,ROW()-4,$F$4)))</f>
        <v>46278</v>
      </c>
      <c r="G297" s="41" t="str">
        <f aca="false">IF(A297="","",IF(ISNA(MATCH(B297,'Kitting Plan'!$B$6:$B$19,0)),"Not in plan","Yes"))</f>
        <v>Yes</v>
      </c>
      <c r="H297" s="41" t="n">
        <f aca="false">IF(G297="Yes",INDEX('Kitting Plan'!$D$6:$D$19,MATCH(B297,'Kitting Plan'!$B$6:$B$19,0)),"")</f>
        <v>24</v>
      </c>
      <c r="I297" s="41" t="n">
        <f aca="false">IF(A297="","",IF(ISNUMBER(SEARCH("PRT",E297)),D297,0))</f>
        <v>1</v>
      </c>
      <c r="J297" s="41" t="n">
        <f aca="false">IF(A297="","",IF(ISNUMBER(SEARCH("GMPS",E297)),D297,0))</f>
        <v>1</v>
      </c>
      <c r="K297" s="41" t="n">
        <f aca="false">IF(A297="","",IF(ISNUMBER(SEARCH("DLV",E297)),D297,0))</f>
        <v>1</v>
      </c>
      <c r="L297" s="41" t="str">
        <f aca="false">IF(A297="","",IF(K297&gt;0,"Delivered",IF(ISNUMBER(SEARCH("CNF",E297)),"In production",IF(J297&gt;0,"Issued",IF(I297&gt;0,"Kitted","Released")))))</f>
        <v>Delivered</v>
      </c>
      <c r="M297" s="41" t="n">
        <f aca="false">IF(G297&lt;&gt;"Yes","",COUNTIFS($B$6:$B$1505,B297,$F$6:$F$1505,"&lt;"&amp;F297)+COUNTIFS($B$6:$B$1505,B297,$F$6:$F$1505,F297,$A$6:$A$1505,"&lt;="&amp;A297))</f>
        <v>202</v>
      </c>
      <c r="N297" s="41" t="n">
        <f aca="false">IF(M297="","",ROUNDUP(M297/H297,0))</f>
        <v>9</v>
      </c>
      <c r="O297" s="41" t="str">
        <f aca="false">IF(N297="","",IF(N297&lt;='Kitting Plan'!$C$3,"Rep "&amp;N297,"Surplus"))</f>
        <v>Rep 9</v>
      </c>
    </row>
    <row r="298" customFormat="false" ht="15" hidden="false" customHeight="false" outlineLevel="0" collapsed="false">
      <c r="A298" s="40" t="n">
        <f aca="false">IF(OR($A$4=0,INDEX('COOIS Raw'!$A:$GZ,ROW()-4,$A$4)=""),"",IFERROR(--INDEX('COOIS Raw'!$A:$GZ,ROW()-4,$A$4),INDEX('COOIS Raw'!$A:$GZ,ROW()-4,$A$4)))</f>
        <v>100877377</v>
      </c>
      <c r="B298" s="41" t="str">
        <f aca="false">IF(A298="","",TRIM(INDEX('COOIS Raw'!$A:$GZ,ROW()-4,$B$4)))</f>
        <v>91YAF03404AAA</v>
      </c>
      <c r="C298" s="42" t="str">
        <f aca="false">IF(OR(A298="",$C$4=0),"",INDEX('COOIS Raw'!$A:$GZ,ROW()-4,$C$4))</f>
        <v>R5B PSB SUB ASSEMBLY 4P-4FP</v>
      </c>
      <c r="D298" s="41" t="n">
        <f aca="false">IF(A298="","",IF($D$4=0,1,IFERROR(--INDEX('COOIS Raw'!$A:$GZ,ROW()-4,$D$4),1)))</f>
        <v>1</v>
      </c>
      <c r="E298" s="42" t="str">
        <f aca="false">IF(A298="","",INDEX('COOIS Raw'!$A:$GZ,ROW()-4,$E$4)&amp;"")</f>
        <v>REL PRT CNF DLV PRC GMPS MANC SETC</v>
      </c>
      <c r="F298" s="43" t="n">
        <f aca="false">IF(A298="","",IFERROR(DATEVALUE(INDEX('COOIS Raw'!$A:$GZ,ROW()-4,$F$4)),INDEX('COOIS Raw'!$A:$GZ,ROW()-4,$F$4)))</f>
        <v>46278</v>
      </c>
      <c r="G298" s="41" t="str">
        <f aca="false">IF(A298="","",IF(ISNA(MATCH(B298,'Kitting Plan'!$B$6:$B$19,0)),"Not in plan","Yes"))</f>
        <v>Yes</v>
      </c>
      <c r="H298" s="41" t="n">
        <f aca="false">IF(G298="Yes",INDEX('Kitting Plan'!$D$6:$D$19,MATCH(B298,'Kitting Plan'!$B$6:$B$19,0)),"")</f>
        <v>3</v>
      </c>
      <c r="I298" s="41" t="n">
        <f aca="false">IF(A298="","",IF(ISNUMBER(SEARCH("PRT",E298)),D298,0))</f>
        <v>1</v>
      </c>
      <c r="J298" s="41" t="n">
        <f aca="false">IF(A298="","",IF(ISNUMBER(SEARCH("GMPS",E298)),D298,0))</f>
        <v>1</v>
      </c>
      <c r="K298" s="41" t="n">
        <f aca="false">IF(A298="","",IF(ISNUMBER(SEARCH("DLV",E298)),D298,0))</f>
        <v>1</v>
      </c>
      <c r="L298" s="41" t="str">
        <f aca="false">IF(A298="","",IF(K298&gt;0,"Delivered",IF(ISNUMBER(SEARCH("CNF",E298)),"In production",IF(J298&gt;0,"Issued",IF(I298&gt;0,"Kitted","Released")))))</f>
        <v>Delivered</v>
      </c>
      <c r="M298" s="41" t="n">
        <f aca="false">IF(G298&lt;&gt;"Yes","",COUNTIFS($B$6:$B$1505,B298,$F$6:$F$1505,"&lt;"&amp;F298)+COUNTIFS($B$6:$B$1505,B298,$F$6:$F$1505,F298,$A$6:$A$1505,"&lt;="&amp;A298))</f>
        <v>42</v>
      </c>
      <c r="N298" s="41" t="n">
        <f aca="false">IF(M298="","",ROUNDUP(M298/H298,0))</f>
        <v>14</v>
      </c>
      <c r="O298" s="41" t="str">
        <f aca="false">IF(N298="","",IF(N298&lt;='Kitting Plan'!$C$3,"Rep "&amp;N298,"Surplus"))</f>
        <v>Surplus</v>
      </c>
    </row>
    <row r="299" customFormat="false" ht="15" hidden="false" customHeight="false" outlineLevel="0" collapsed="false">
      <c r="A299" s="40" t="n">
        <f aca="false">IF(OR($A$4=0,INDEX('COOIS Raw'!$A:$GZ,ROW()-4,$A$4)=""),"",IFERROR(--INDEX('COOIS Raw'!$A:$GZ,ROW()-4,$A$4),INDEX('COOIS Raw'!$A:$GZ,ROW()-4,$A$4)))</f>
        <v>100877047</v>
      </c>
      <c r="B299" s="41" t="str">
        <f aca="false">IF(A299="","",TRIM(INDEX('COOIS Raw'!$A:$GZ,ROW()-4,$B$4)))</f>
        <v>92YLS00548BAA</v>
      </c>
      <c r="C299" s="42" t="str">
        <f aca="false">IF(OR(A299="",$C$4=0),"",INDEX('COOIS Raw'!$A:$GZ,ROW()-4,$C$4))</f>
        <v>R5B LASER ASSEMBLY 4P BOAT 1 - E2A</v>
      </c>
      <c r="D299" s="41" t="n">
        <f aca="false">IF(A299="","",IF($D$4=0,1,IFERROR(--INDEX('COOIS Raw'!$A:$GZ,ROW()-4,$D$4),1)))</f>
        <v>1</v>
      </c>
      <c r="E299" s="42" t="str">
        <f aca="false">IF(A299="","",INDEX('COOIS Raw'!$A:$GZ,ROW()-4,$E$4)&amp;"")</f>
        <v>REL PPRT CNF DLV PRC GMPS MANC SETC</v>
      </c>
      <c r="F299" s="43" t="n">
        <f aca="false">IF(A299="","",IFERROR(DATEVALUE(INDEX('COOIS Raw'!$A:$GZ,ROW()-4,$F$4)),INDEX('COOIS Raw'!$A:$GZ,ROW()-4,$F$4)))</f>
        <v>46276</v>
      </c>
      <c r="G299" s="41" t="str">
        <f aca="false">IF(A299="","",IF(ISNA(MATCH(B299,'Kitting Plan'!$B$6:$B$19,0)),"Not in plan","Yes"))</f>
        <v>Yes</v>
      </c>
      <c r="H299" s="41" t="n">
        <f aca="false">IF(G299="Yes",INDEX('Kitting Plan'!$D$6:$D$19,MATCH(B299,'Kitting Plan'!$B$6:$B$19,0)),"")</f>
        <v>1</v>
      </c>
      <c r="I299" s="41" t="n">
        <f aca="false">IF(A299="","",IF(ISNUMBER(SEARCH("PRT",E299)),D299,0))</f>
        <v>1</v>
      </c>
      <c r="J299" s="41" t="n">
        <f aca="false">IF(A299="","",IF(ISNUMBER(SEARCH("GMPS",E299)),D299,0))</f>
        <v>1</v>
      </c>
      <c r="K299" s="41" t="n">
        <f aca="false">IF(A299="","",IF(ISNUMBER(SEARCH("DLV",E299)),D299,0))</f>
        <v>1</v>
      </c>
      <c r="L299" s="41" t="str">
        <f aca="false">IF(A299="","",IF(K299&gt;0,"Delivered",IF(ISNUMBER(SEARCH("CNF",E299)),"In production",IF(J299&gt;0,"Issued",IF(I299&gt;0,"Kitted","Released")))))</f>
        <v>Delivered</v>
      </c>
      <c r="M299" s="41" t="n">
        <f aca="false">IF(G299&lt;&gt;"Yes","",COUNTIFS($B$6:$B$1505,B299,$F$6:$F$1505,"&lt;"&amp;F299)+COUNTIFS($B$6:$B$1505,B299,$F$6:$F$1505,F299,$A$6:$A$1505,"&lt;="&amp;A299))</f>
        <v>9</v>
      </c>
      <c r="N299" s="41" t="n">
        <f aca="false">IF(M299="","",ROUNDUP(M299/H299,0))</f>
        <v>9</v>
      </c>
      <c r="O299" s="41" t="str">
        <f aca="false">IF(N299="","",IF(N299&lt;='Kitting Plan'!$C$3,"Rep "&amp;N299,"Surplus"))</f>
        <v>Rep 9</v>
      </c>
    </row>
    <row r="300" customFormat="false" ht="15" hidden="false" customHeight="false" outlineLevel="0" collapsed="false">
      <c r="A300" s="40" t="n">
        <f aca="false">IF(OR($A$4=0,INDEX('COOIS Raw'!$A:$GZ,ROW()-4,$A$4)=""),"",IFERROR(--INDEX('COOIS Raw'!$A:$GZ,ROW()-4,$A$4),INDEX('COOIS Raw'!$A:$GZ,ROW()-4,$A$4)))</f>
        <v>100877048</v>
      </c>
      <c r="B300" s="41" t="str">
        <f aca="false">IF(A300="","",TRIM(INDEX('COOIS Raw'!$A:$GZ,ROW()-4,$B$4)))</f>
        <v>92YLS00548BBA</v>
      </c>
      <c r="C300" s="42" t="str">
        <f aca="false">IF(OR(A300="",$C$4=0),"",INDEX('COOIS Raw'!$A:$GZ,ROW()-4,$C$4))</f>
        <v>R5B LASER ASSEMBLY 4P BOAT 2/3 - E2A</v>
      </c>
      <c r="D300" s="41" t="n">
        <f aca="false">IF(A300="","",IF($D$4=0,1,IFERROR(--INDEX('COOIS Raw'!$A:$GZ,ROW()-4,$D$4),1)))</f>
        <v>1</v>
      </c>
      <c r="E300" s="42" t="str">
        <f aca="false">IF(A300="","",INDEX('COOIS Raw'!$A:$GZ,ROW()-4,$E$4)&amp;"")</f>
        <v>REL PPRT CNF DLV PRC GMPS MANC SETC</v>
      </c>
      <c r="F300" s="43" t="n">
        <f aca="false">IF(A300="","",IFERROR(DATEVALUE(INDEX('COOIS Raw'!$A:$GZ,ROW()-4,$F$4)),INDEX('COOIS Raw'!$A:$GZ,ROW()-4,$F$4)))</f>
        <v>46276</v>
      </c>
      <c r="G300" s="41" t="str">
        <f aca="false">IF(A300="","",IF(ISNA(MATCH(B300,'Kitting Plan'!$B$6:$B$19,0)),"Not in plan","Yes"))</f>
        <v>Yes</v>
      </c>
      <c r="H300" s="41" t="n">
        <f aca="false">IF(G300="Yes",INDEX('Kitting Plan'!$D$6:$D$19,MATCH(B300,'Kitting Plan'!$B$6:$B$19,0)),"")</f>
        <v>2</v>
      </c>
      <c r="I300" s="41" t="n">
        <f aca="false">IF(A300="","",IF(ISNUMBER(SEARCH("PRT",E300)),D300,0))</f>
        <v>1</v>
      </c>
      <c r="J300" s="41" t="n">
        <f aca="false">IF(A300="","",IF(ISNUMBER(SEARCH("GMPS",E300)),D300,0))</f>
        <v>1</v>
      </c>
      <c r="K300" s="41" t="n">
        <f aca="false">IF(A300="","",IF(ISNUMBER(SEARCH("DLV",E300)),D300,0))</f>
        <v>1</v>
      </c>
      <c r="L300" s="41" t="str">
        <f aca="false">IF(A300="","",IF(K300&gt;0,"Delivered",IF(ISNUMBER(SEARCH("CNF",E300)),"In production",IF(J300&gt;0,"Issued",IF(I300&gt;0,"Kitted","Released")))))</f>
        <v>Delivered</v>
      </c>
      <c r="M300" s="41" t="n">
        <f aca="false">IF(G300&lt;&gt;"Yes","",COUNTIFS($B$6:$B$1505,B300,$F$6:$F$1505,"&lt;"&amp;F300)+COUNTIFS($B$6:$B$1505,B300,$F$6:$F$1505,F300,$A$6:$A$1505,"&lt;="&amp;A300))</f>
        <v>15</v>
      </c>
      <c r="N300" s="41" t="n">
        <f aca="false">IF(M300="","",ROUNDUP(M300/H300,0))</f>
        <v>8</v>
      </c>
      <c r="O300" s="41" t="str">
        <f aca="false">IF(N300="","",IF(N300&lt;='Kitting Plan'!$C$3,"Rep "&amp;N300,"Surplus"))</f>
        <v>Rep 8</v>
      </c>
    </row>
    <row r="301" customFormat="false" ht="15" hidden="false" customHeight="false" outlineLevel="0" collapsed="false">
      <c r="A301" s="40" t="n">
        <f aca="false">IF(OR($A$4=0,INDEX('COOIS Raw'!$A:$GZ,ROW()-4,$A$4)=""),"",IFERROR(--INDEX('COOIS Raw'!$A:$GZ,ROW()-4,$A$4),INDEX('COOIS Raw'!$A:$GZ,ROW()-4,$A$4)))</f>
        <v>100877049</v>
      </c>
      <c r="B301" s="41" t="str">
        <f aca="false">IF(A301="","",TRIM(INDEX('COOIS Raw'!$A:$GZ,ROW()-4,$B$4)))</f>
        <v>92YLS00548BBA</v>
      </c>
      <c r="C301" s="42" t="str">
        <f aca="false">IF(OR(A301="",$C$4=0),"",INDEX('COOIS Raw'!$A:$GZ,ROW()-4,$C$4))</f>
        <v>R5B LASER ASSEMBLY 4P BOAT 2/3 - E2A</v>
      </c>
      <c r="D301" s="41" t="n">
        <f aca="false">IF(A301="","",IF($D$4=0,1,IFERROR(--INDEX('COOIS Raw'!$A:$GZ,ROW()-4,$D$4),1)))</f>
        <v>1</v>
      </c>
      <c r="E301" s="42" t="str">
        <f aca="false">IF(A301="","",INDEX('COOIS Raw'!$A:$GZ,ROW()-4,$E$4)&amp;"")</f>
        <v>REL PPRT CNF DLV PRC GMPS MANC SETC</v>
      </c>
      <c r="F301" s="43" t="n">
        <f aca="false">IF(A301="","",IFERROR(DATEVALUE(INDEX('COOIS Raw'!$A:$GZ,ROW()-4,$F$4)),INDEX('COOIS Raw'!$A:$GZ,ROW()-4,$F$4)))</f>
        <v>46276</v>
      </c>
      <c r="G301" s="41" t="str">
        <f aca="false">IF(A301="","",IF(ISNA(MATCH(B301,'Kitting Plan'!$B$6:$B$19,0)),"Not in plan","Yes"))</f>
        <v>Yes</v>
      </c>
      <c r="H301" s="41" t="n">
        <f aca="false">IF(G301="Yes",INDEX('Kitting Plan'!$D$6:$D$19,MATCH(B301,'Kitting Plan'!$B$6:$B$19,0)),"")</f>
        <v>2</v>
      </c>
      <c r="I301" s="41" t="n">
        <f aca="false">IF(A301="","",IF(ISNUMBER(SEARCH("PRT",E301)),D301,0))</f>
        <v>1</v>
      </c>
      <c r="J301" s="41" t="n">
        <f aca="false">IF(A301="","",IF(ISNUMBER(SEARCH("GMPS",E301)),D301,0))</f>
        <v>1</v>
      </c>
      <c r="K301" s="41" t="n">
        <f aca="false">IF(A301="","",IF(ISNUMBER(SEARCH("DLV",E301)),D301,0))</f>
        <v>1</v>
      </c>
      <c r="L301" s="41" t="str">
        <f aca="false">IF(A301="","",IF(K301&gt;0,"Delivered",IF(ISNUMBER(SEARCH("CNF",E301)),"In production",IF(J301&gt;0,"Issued",IF(I301&gt;0,"Kitted","Released")))))</f>
        <v>Delivered</v>
      </c>
      <c r="M301" s="41" t="n">
        <f aca="false">IF(G301&lt;&gt;"Yes","",COUNTIFS($B$6:$B$1505,B301,$F$6:$F$1505,"&lt;"&amp;F301)+COUNTIFS($B$6:$B$1505,B301,$F$6:$F$1505,F301,$A$6:$A$1505,"&lt;="&amp;A301))</f>
        <v>16</v>
      </c>
      <c r="N301" s="41" t="n">
        <f aca="false">IF(M301="","",ROUNDUP(M301/H301,0))</f>
        <v>8</v>
      </c>
      <c r="O301" s="41" t="str">
        <f aca="false">IF(N301="","",IF(N301&lt;='Kitting Plan'!$C$3,"Rep "&amp;N301,"Surplus"))</f>
        <v>Rep 8</v>
      </c>
    </row>
    <row r="302" customFormat="false" ht="15" hidden="false" customHeight="false" outlineLevel="0" collapsed="false">
      <c r="A302" s="40" t="n">
        <f aca="false">IF(OR($A$4=0,INDEX('COOIS Raw'!$A:$GZ,ROW()-4,$A$4)=""),"",IFERROR(--INDEX('COOIS Raw'!$A:$GZ,ROW()-4,$A$4),INDEX('COOIS Raw'!$A:$GZ,ROW()-4,$A$4)))</f>
        <v>100877052</v>
      </c>
      <c r="B302" s="41" t="str">
        <f aca="false">IF(A302="","",TRIM(INDEX('COOIS Raw'!$A:$GZ,ROW()-4,$B$4)))</f>
        <v>91YAF03404AAA</v>
      </c>
      <c r="C302" s="42" t="str">
        <f aca="false">IF(OR(A302="",$C$4=0),"",INDEX('COOIS Raw'!$A:$GZ,ROW()-4,$C$4))</f>
        <v>R5B PSB SUB ASSEMBLY 4P-4FP</v>
      </c>
      <c r="D302" s="41" t="n">
        <f aca="false">IF(A302="","",IF($D$4=0,1,IFERROR(--INDEX('COOIS Raw'!$A:$GZ,ROW()-4,$D$4),1)))</f>
        <v>1</v>
      </c>
      <c r="E302" s="42" t="str">
        <f aca="false">IF(A302="","",INDEX('COOIS Raw'!$A:$GZ,ROW()-4,$E$4)&amp;"")</f>
        <v>REL PRT CNF DLV PRC GMPS MANC SETC</v>
      </c>
      <c r="F302" s="43" t="n">
        <f aca="false">IF(A302="","",IFERROR(DATEVALUE(INDEX('COOIS Raw'!$A:$GZ,ROW()-4,$F$4)),INDEX('COOIS Raw'!$A:$GZ,ROW()-4,$F$4)))</f>
        <v>46276</v>
      </c>
      <c r="G302" s="41" t="str">
        <f aca="false">IF(A302="","",IF(ISNA(MATCH(B302,'Kitting Plan'!$B$6:$B$19,0)),"Not in plan","Yes"))</f>
        <v>Yes</v>
      </c>
      <c r="H302" s="41" t="n">
        <f aca="false">IF(G302="Yes",INDEX('Kitting Plan'!$D$6:$D$19,MATCH(B302,'Kitting Plan'!$B$6:$B$19,0)),"")</f>
        <v>3</v>
      </c>
      <c r="I302" s="41" t="n">
        <f aca="false">IF(A302="","",IF(ISNUMBER(SEARCH("PRT",E302)),D302,0))</f>
        <v>1</v>
      </c>
      <c r="J302" s="41" t="n">
        <f aca="false">IF(A302="","",IF(ISNUMBER(SEARCH("GMPS",E302)),D302,0))</f>
        <v>1</v>
      </c>
      <c r="K302" s="41" t="n">
        <f aca="false">IF(A302="","",IF(ISNUMBER(SEARCH("DLV",E302)),D302,0))</f>
        <v>1</v>
      </c>
      <c r="L302" s="41" t="str">
        <f aca="false">IF(A302="","",IF(K302&gt;0,"Delivered",IF(ISNUMBER(SEARCH("CNF",E302)),"In production",IF(J302&gt;0,"Issued",IF(I302&gt;0,"Kitted","Released")))))</f>
        <v>Delivered</v>
      </c>
      <c r="M302" s="41" t="n">
        <f aca="false">IF(G302&lt;&gt;"Yes","",COUNTIFS($B$6:$B$1505,B302,$F$6:$F$1505,"&lt;"&amp;F302)+COUNTIFS($B$6:$B$1505,B302,$F$6:$F$1505,F302,$A$6:$A$1505,"&lt;="&amp;A302))</f>
        <v>36</v>
      </c>
      <c r="N302" s="41" t="n">
        <f aca="false">IF(M302="","",ROUNDUP(M302/H302,0))</f>
        <v>12</v>
      </c>
      <c r="O302" s="41" t="str">
        <f aca="false">IF(N302="","",IF(N302&lt;='Kitting Plan'!$C$3,"Rep "&amp;N302,"Surplus"))</f>
        <v>Rep 12</v>
      </c>
    </row>
    <row r="303" customFormat="false" ht="15" hidden="false" customHeight="false" outlineLevel="0" collapsed="false">
      <c r="A303" s="40" t="n">
        <f aca="false">IF(OR($A$4=0,INDEX('COOIS Raw'!$A:$GZ,ROW()-4,$A$4)=""),"",IFERROR(--INDEX('COOIS Raw'!$A:$GZ,ROW()-4,$A$4),INDEX('COOIS Raw'!$A:$GZ,ROW()-4,$A$4)))</f>
        <v>100877053</v>
      </c>
      <c r="B303" s="41" t="str">
        <f aca="false">IF(A303="","",TRIM(INDEX('COOIS Raw'!$A:$GZ,ROW()-4,$B$4)))</f>
        <v>91YAF03404AAA</v>
      </c>
      <c r="C303" s="42" t="str">
        <f aca="false">IF(OR(A303="",$C$4=0),"",INDEX('COOIS Raw'!$A:$GZ,ROW()-4,$C$4))</f>
        <v>R5B PSB SUB ASSEMBLY 4P-4FP</v>
      </c>
      <c r="D303" s="41" t="n">
        <f aca="false">IF(A303="","",IF($D$4=0,1,IFERROR(--INDEX('COOIS Raw'!$A:$GZ,ROW()-4,$D$4),1)))</f>
        <v>1</v>
      </c>
      <c r="E303" s="42" t="str">
        <f aca="false">IF(A303="","",INDEX('COOIS Raw'!$A:$GZ,ROW()-4,$E$4)&amp;"")</f>
        <v>REL PRT CNF DLV PRC GMPS MANC RESA*</v>
      </c>
      <c r="F303" s="43" t="n">
        <f aca="false">IF(A303="","",IFERROR(DATEVALUE(INDEX('COOIS Raw'!$A:$GZ,ROW()-4,$F$4)),INDEX('COOIS Raw'!$A:$GZ,ROW()-4,$F$4)))</f>
        <v>46276</v>
      </c>
      <c r="G303" s="41" t="str">
        <f aca="false">IF(A303="","",IF(ISNA(MATCH(B303,'Kitting Plan'!$B$6:$B$19,0)),"Not in plan","Yes"))</f>
        <v>Yes</v>
      </c>
      <c r="H303" s="41" t="n">
        <f aca="false">IF(G303="Yes",INDEX('Kitting Plan'!$D$6:$D$19,MATCH(B303,'Kitting Plan'!$B$6:$B$19,0)),"")</f>
        <v>3</v>
      </c>
      <c r="I303" s="41" t="n">
        <f aca="false">IF(A303="","",IF(ISNUMBER(SEARCH("PRT",E303)),D303,0))</f>
        <v>1</v>
      </c>
      <c r="J303" s="41" t="n">
        <f aca="false">IF(A303="","",IF(ISNUMBER(SEARCH("GMPS",E303)),D303,0))</f>
        <v>1</v>
      </c>
      <c r="K303" s="41" t="n">
        <f aca="false">IF(A303="","",IF(ISNUMBER(SEARCH("DLV",E303)),D303,0))</f>
        <v>1</v>
      </c>
      <c r="L303" s="41" t="str">
        <f aca="false">IF(A303="","",IF(K303&gt;0,"Delivered",IF(ISNUMBER(SEARCH("CNF",E303)),"In production",IF(J303&gt;0,"Issued",IF(I303&gt;0,"Kitted","Released")))))</f>
        <v>Delivered</v>
      </c>
      <c r="M303" s="41" t="n">
        <f aca="false">IF(G303&lt;&gt;"Yes","",COUNTIFS($B$6:$B$1505,B303,$F$6:$F$1505,"&lt;"&amp;F303)+COUNTIFS($B$6:$B$1505,B303,$F$6:$F$1505,F303,$A$6:$A$1505,"&lt;="&amp;A303))</f>
        <v>37</v>
      </c>
      <c r="N303" s="41" t="n">
        <f aca="false">IF(M303="","",ROUNDUP(M303/H303,0))</f>
        <v>13</v>
      </c>
      <c r="O303" s="41" t="str">
        <f aca="false">IF(N303="","",IF(N303&lt;='Kitting Plan'!$C$3,"Rep "&amp;N303,"Surplus"))</f>
        <v>Rep 13</v>
      </c>
    </row>
    <row r="304" customFormat="false" ht="15" hidden="false" customHeight="false" outlineLevel="0" collapsed="false">
      <c r="A304" s="40" t="n">
        <f aca="false">IF(OR($A$4=0,INDEX('COOIS Raw'!$A:$GZ,ROW()-4,$A$4)=""),"",IFERROR(--INDEX('COOIS Raw'!$A:$GZ,ROW()-4,$A$4),INDEX('COOIS Raw'!$A:$GZ,ROW()-4,$A$4)))</f>
        <v>100877054</v>
      </c>
      <c r="B304" s="41" t="str">
        <f aca="false">IF(A304="","",TRIM(INDEX('COOIS Raw'!$A:$GZ,ROW()-4,$B$4)))</f>
        <v>91YAF03404AAA</v>
      </c>
      <c r="C304" s="42" t="str">
        <f aca="false">IF(OR(A304="",$C$4=0),"",INDEX('COOIS Raw'!$A:$GZ,ROW()-4,$C$4))</f>
        <v>R5B PSB SUB ASSEMBLY 4P-4FP</v>
      </c>
      <c r="D304" s="41" t="n">
        <f aca="false">IF(A304="","",IF($D$4=0,1,IFERROR(--INDEX('COOIS Raw'!$A:$GZ,ROW()-4,$D$4),1)))</f>
        <v>1</v>
      </c>
      <c r="E304" s="42" t="str">
        <f aca="false">IF(A304="","",INDEX('COOIS Raw'!$A:$GZ,ROW()-4,$E$4)&amp;"")</f>
        <v>REL PRT CNF DLV PRC GMPS MANC SETC</v>
      </c>
      <c r="F304" s="43" t="n">
        <f aca="false">IF(A304="","",IFERROR(DATEVALUE(INDEX('COOIS Raw'!$A:$GZ,ROW()-4,$F$4)),INDEX('COOIS Raw'!$A:$GZ,ROW()-4,$F$4)))</f>
        <v>46276</v>
      </c>
      <c r="G304" s="41" t="str">
        <f aca="false">IF(A304="","",IF(ISNA(MATCH(B304,'Kitting Plan'!$B$6:$B$19,0)),"Not in plan","Yes"))</f>
        <v>Yes</v>
      </c>
      <c r="H304" s="41" t="n">
        <f aca="false">IF(G304="Yes",INDEX('Kitting Plan'!$D$6:$D$19,MATCH(B304,'Kitting Plan'!$B$6:$B$19,0)),"")</f>
        <v>3</v>
      </c>
      <c r="I304" s="41" t="n">
        <f aca="false">IF(A304="","",IF(ISNUMBER(SEARCH("PRT",E304)),D304,0))</f>
        <v>1</v>
      </c>
      <c r="J304" s="41" t="n">
        <f aca="false">IF(A304="","",IF(ISNUMBER(SEARCH("GMPS",E304)),D304,0))</f>
        <v>1</v>
      </c>
      <c r="K304" s="41" t="n">
        <f aca="false">IF(A304="","",IF(ISNUMBER(SEARCH("DLV",E304)),D304,0))</f>
        <v>1</v>
      </c>
      <c r="L304" s="41" t="str">
        <f aca="false">IF(A304="","",IF(K304&gt;0,"Delivered",IF(ISNUMBER(SEARCH("CNF",E304)),"In production",IF(J304&gt;0,"Issued",IF(I304&gt;0,"Kitted","Released")))))</f>
        <v>Delivered</v>
      </c>
      <c r="M304" s="41" t="n">
        <f aca="false">IF(G304&lt;&gt;"Yes","",COUNTIFS($B$6:$B$1505,B304,$F$6:$F$1505,"&lt;"&amp;F304)+COUNTIFS($B$6:$B$1505,B304,$F$6:$F$1505,F304,$A$6:$A$1505,"&lt;="&amp;A304))</f>
        <v>38</v>
      </c>
      <c r="N304" s="41" t="n">
        <f aca="false">IF(M304="","",ROUNDUP(M304/H304,0))</f>
        <v>13</v>
      </c>
      <c r="O304" s="41" t="str">
        <f aca="false">IF(N304="","",IF(N304&lt;='Kitting Plan'!$C$3,"Rep "&amp;N304,"Surplus"))</f>
        <v>Rep 13</v>
      </c>
    </row>
    <row r="305" customFormat="false" ht="15" hidden="false" customHeight="false" outlineLevel="0" collapsed="false">
      <c r="A305" s="40" t="n">
        <f aca="false">IF(OR($A$4=0,INDEX('COOIS Raw'!$A:$GZ,ROW()-4,$A$4)=""),"",IFERROR(--INDEX('COOIS Raw'!$A:$GZ,ROW()-4,$A$4),INDEX('COOIS Raw'!$A:$GZ,ROW()-4,$A$4)))</f>
        <v>100877055</v>
      </c>
      <c r="B305" s="41" t="str">
        <f aca="false">IF(A305="","",TRIM(INDEX('COOIS Raw'!$A:$GZ,ROW()-4,$B$4)))</f>
        <v>91YAF03404AAA</v>
      </c>
      <c r="C305" s="42" t="str">
        <f aca="false">IF(OR(A305="",$C$4=0),"",INDEX('COOIS Raw'!$A:$GZ,ROW()-4,$C$4))</f>
        <v>R5B PSB SUB ASSEMBLY 4P-4FP</v>
      </c>
      <c r="D305" s="41" t="n">
        <f aca="false">IF(A305="","",IF($D$4=0,1,IFERROR(--INDEX('COOIS Raw'!$A:$GZ,ROW()-4,$D$4),1)))</f>
        <v>1</v>
      </c>
      <c r="E305" s="42" t="str">
        <f aca="false">IF(A305="","",INDEX('COOIS Raw'!$A:$GZ,ROW()-4,$E$4)&amp;"")</f>
        <v>REL PRT CNF DLV PRC GMPS MANC SETC</v>
      </c>
      <c r="F305" s="43" t="n">
        <f aca="false">IF(A305="","",IFERROR(DATEVALUE(INDEX('COOIS Raw'!$A:$GZ,ROW()-4,$F$4)),INDEX('COOIS Raw'!$A:$GZ,ROW()-4,$F$4)))</f>
        <v>46276</v>
      </c>
      <c r="G305" s="41" t="str">
        <f aca="false">IF(A305="","",IF(ISNA(MATCH(B305,'Kitting Plan'!$B$6:$B$19,0)),"Not in plan","Yes"))</f>
        <v>Yes</v>
      </c>
      <c r="H305" s="41" t="n">
        <f aca="false">IF(G305="Yes",INDEX('Kitting Plan'!$D$6:$D$19,MATCH(B305,'Kitting Plan'!$B$6:$B$19,0)),"")</f>
        <v>3</v>
      </c>
      <c r="I305" s="41" t="n">
        <f aca="false">IF(A305="","",IF(ISNUMBER(SEARCH("PRT",E305)),D305,0))</f>
        <v>1</v>
      </c>
      <c r="J305" s="41" t="n">
        <f aca="false">IF(A305="","",IF(ISNUMBER(SEARCH("GMPS",E305)),D305,0))</f>
        <v>1</v>
      </c>
      <c r="K305" s="41" t="n">
        <f aca="false">IF(A305="","",IF(ISNUMBER(SEARCH("DLV",E305)),D305,0))</f>
        <v>1</v>
      </c>
      <c r="L305" s="41" t="str">
        <f aca="false">IF(A305="","",IF(K305&gt;0,"Delivered",IF(ISNUMBER(SEARCH("CNF",E305)),"In production",IF(J305&gt;0,"Issued",IF(I305&gt;0,"Kitted","Released")))))</f>
        <v>Delivered</v>
      </c>
      <c r="M305" s="41" t="n">
        <f aca="false">IF(G305&lt;&gt;"Yes","",COUNTIFS($B$6:$B$1505,B305,$F$6:$F$1505,"&lt;"&amp;F305)+COUNTIFS($B$6:$B$1505,B305,$F$6:$F$1505,F305,$A$6:$A$1505,"&lt;="&amp;A305))</f>
        <v>39</v>
      </c>
      <c r="N305" s="41" t="n">
        <f aca="false">IF(M305="","",ROUNDUP(M305/H305,0))</f>
        <v>13</v>
      </c>
      <c r="O305" s="41" t="str">
        <f aca="false">IF(N305="","",IF(N305&lt;='Kitting Plan'!$C$3,"Rep "&amp;N305,"Surplus"))</f>
        <v>Rep 13</v>
      </c>
    </row>
    <row r="306" customFormat="false" ht="15" hidden="false" customHeight="false" outlineLevel="0" collapsed="false">
      <c r="A306" s="40" t="n">
        <f aca="false">IF(OR($A$4=0,INDEX('COOIS Raw'!$A:$GZ,ROW()-4,$A$4)=""),"",IFERROR(--INDEX('COOIS Raw'!$A:$GZ,ROW()-4,$A$4),INDEX('COOIS Raw'!$A:$GZ,ROW()-4,$A$4)))</f>
        <v>100877056</v>
      </c>
      <c r="B306" s="41" t="str">
        <f aca="false">IF(A306="","",TRIM(INDEX('COOIS Raw'!$A:$GZ,ROW()-4,$B$4)))</f>
        <v>91YAF03404AAA</v>
      </c>
      <c r="C306" s="42" t="str">
        <f aca="false">IF(OR(A306="",$C$4=0),"",INDEX('COOIS Raw'!$A:$GZ,ROW()-4,$C$4))</f>
        <v>R5B PSB SUB ASSEMBLY 4P-4FP</v>
      </c>
      <c r="D306" s="41" t="n">
        <f aca="false">IF(A306="","",IF($D$4=0,1,IFERROR(--INDEX('COOIS Raw'!$A:$GZ,ROW()-4,$D$4),1)))</f>
        <v>1</v>
      </c>
      <c r="E306" s="42" t="str">
        <f aca="false">IF(A306="","",INDEX('COOIS Raw'!$A:$GZ,ROW()-4,$E$4)&amp;"")</f>
        <v>REL PRT CNF DLV PRC GMPS MANC SETC</v>
      </c>
      <c r="F306" s="43" t="n">
        <f aca="false">IF(A306="","",IFERROR(DATEVALUE(INDEX('COOIS Raw'!$A:$GZ,ROW()-4,$F$4)),INDEX('COOIS Raw'!$A:$GZ,ROW()-4,$F$4)))</f>
        <v>46276</v>
      </c>
      <c r="G306" s="41" t="str">
        <f aca="false">IF(A306="","",IF(ISNA(MATCH(B306,'Kitting Plan'!$B$6:$B$19,0)),"Not in plan","Yes"))</f>
        <v>Yes</v>
      </c>
      <c r="H306" s="41" t="n">
        <f aca="false">IF(G306="Yes",INDEX('Kitting Plan'!$D$6:$D$19,MATCH(B306,'Kitting Plan'!$B$6:$B$19,0)),"")</f>
        <v>3</v>
      </c>
      <c r="I306" s="41" t="n">
        <f aca="false">IF(A306="","",IF(ISNUMBER(SEARCH("PRT",E306)),D306,0))</f>
        <v>1</v>
      </c>
      <c r="J306" s="41" t="n">
        <f aca="false">IF(A306="","",IF(ISNUMBER(SEARCH("GMPS",E306)),D306,0))</f>
        <v>1</v>
      </c>
      <c r="K306" s="41" t="n">
        <f aca="false">IF(A306="","",IF(ISNUMBER(SEARCH("DLV",E306)),D306,0))</f>
        <v>1</v>
      </c>
      <c r="L306" s="41" t="str">
        <f aca="false">IF(A306="","",IF(K306&gt;0,"Delivered",IF(ISNUMBER(SEARCH("CNF",E306)),"In production",IF(J306&gt;0,"Issued",IF(I306&gt;0,"Kitted","Released")))))</f>
        <v>Delivered</v>
      </c>
      <c r="M306" s="41" t="n">
        <f aca="false">IF(G306&lt;&gt;"Yes","",COUNTIFS($B$6:$B$1505,B306,$F$6:$F$1505,"&lt;"&amp;F306)+COUNTIFS($B$6:$B$1505,B306,$F$6:$F$1505,F306,$A$6:$A$1505,"&lt;="&amp;A306))</f>
        <v>40</v>
      </c>
      <c r="N306" s="41" t="n">
        <f aca="false">IF(M306="","",ROUNDUP(M306/H306,0))</f>
        <v>14</v>
      </c>
      <c r="O306" s="41" t="str">
        <f aca="false">IF(N306="","",IF(N306&lt;='Kitting Plan'!$C$3,"Rep "&amp;N306,"Surplus"))</f>
        <v>Surplus</v>
      </c>
    </row>
    <row r="307" customFormat="false" ht="15" hidden="false" customHeight="false" outlineLevel="0" collapsed="false">
      <c r="A307" s="40" t="n">
        <f aca="false">IF(OR($A$4=0,INDEX('COOIS Raw'!$A:$GZ,ROW()-4,$A$4)=""),"",IFERROR(--INDEX('COOIS Raw'!$A:$GZ,ROW()-4,$A$4),INDEX('COOIS Raw'!$A:$GZ,ROW()-4,$A$4)))</f>
        <v>100877057</v>
      </c>
      <c r="B307" s="41" t="str">
        <f aca="false">IF(A307="","",TRIM(INDEX('COOIS Raw'!$A:$GZ,ROW()-4,$B$4)))</f>
        <v>91YAF03404AAA</v>
      </c>
      <c r="C307" s="42" t="str">
        <f aca="false">IF(OR(A307="",$C$4=0),"",INDEX('COOIS Raw'!$A:$GZ,ROW()-4,$C$4))</f>
        <v>R5B PSB SUB ASSEMBLY 4P-4FP</v>
      </c>
      <c r="D307" s="41" t="n">
        <f aca="false">IF(A307="","",IF($D$4=0,1,IFERROR(--INDEX('COOIS Raw'!$A:$GZ,ROW()-4,$D$4),1)))</f>
        <v>1</v>
      </c>
      <c r="E307" s="42" t="str">
        <f aca="false">IF(A307="","",INDEX('COOIS Raw'!$A:$GZ,ROW()-4,$E$4)&amp;"")</f>
        <v>REL PRT CNF DLV PRC GMPS MANC SETC</v>
      </c>
      <c r="F307" s="43" t="n">
        <f aca="false">IF(A307="","",IFERROR(DATEVALUE(INDEX('COOIS Raw'!$A:$GZ,ROW()-4,$F$4)),INDEX('COOIS Raw'!$A:$GZ,ROW()-4,$F$4)))</f>
        <v>46276</v>
      </c>
      <c r="G307" s="41" t="str">
        <f aca="false">IF(A307="","",IF(ISNA(MATCH(B307,'Kitting Plan'!$B$6:$B$19,0)),"Not in plan","Yes"))</f>
        <v>Yes</v>
      </c>
      <c r="H307" s="41" t="n">
        <f aca="false">IF(G307="Yes",INDEX('Kitting Plan'!$D$6:$D$19,MATCH(B307,'Kitting Plan'!$B$6:$B$19,0)),"")</f>
        <v>3</v>
      </c>
      <c r="I307" s="41" t="n">
        <f aca="false">IF(A307="","",IF(ISNUMBER(SEARCH("PRT",E307)),D307,0))</f>
        <v>1</v>
      </c>
      <c r="J307" s="41" t="n">
        <f aca="false">IF(A307="","",IF(ISNUMBER(SEARCH("GMPS",E307)),D307,0))</f>
        <v>1</v>
      </c>
      <c r="K307" s="41" t="n">
        <f aca="false">IF(A307="","",IF(ISNUMBER(SEARCH("DLV",E307)),D307,0))</f>
        <v>1</v>
      </c>
      <c r="L307" s="41" t="str">
        <f aca="false">IF(A307="","",IF(K307&gt;0,"Delivered",IF(ISNUMBER(SEARCH("CNF",E307)),"In production",IF(J307&gt;0,"Issued",IF(I307&gt;0,"Kitted","Released")))))</f>
        <v>Delivered</v>
      </c>
      <c r="M307" s="41" t="n">
        <f aca="false">IF(G307&lt;&gt;"Yes","",COUNTIFS($B$6:$B$1505,B307,$F$6:$F$1505,"&lt;"&amp;F307)+COUNTIFS($B$6:$B$1505,B307,$F$6:$F$1505,F307,$A$6:$A$1505,"&lt;="&amp;A307))</f>
        <v>41</v>
      </c>
      <c r="N307" s="41" t="n">
        <f aca="false">IF(M307="","",ROUNDUP(M307/H307,0))</f>
        <v>14</v>
      </c>
      <c r="O307" s="41" t="str">
        <f aca="false">IF(N307="","",IF(N307&lt;='Kitting Plan'!$C$3,"Rep "&amp;N307,"Surplus"))</f>
        <v>Surplus</v>
      </c>
    </row>
    <row r="308" customFormat="false" ht="15" hidden="false" customHeight="false" outlineLevel="0" collapsed="false">
      <c r="A308" s="40" t="n">
        <f aca="false">IF(OR($A$4=0,INDEX('COOIS Raw'!$A:$GZ,ROW()-4,$A$4)=""),"",IFERROR(--INDEX('COOIS Raw'!$A:$GZ,ROW()-4,$A$4),INDEX('COOIS Raw'!$A:$GZ,ROW()-4,$A$4)))</f>
        <v>100877011</v>
      </c>
      <c r="B308" s="41" t="str">
        <f aca="false">IF(A308="","",TRIM(INDEX('COOIS Raw'!$A:$GZ,ROW()-4,$B$4)))</f>
        <v>92YWS04548AAA</v>
      </c>
      <c r="C308" s="42" t="str">
        <f aca="false">IF(OR(A308="",$C$4=0),"",INDEX('COOIS Raw'!$A:$GZ,ROW()-4,$C$4))</f>
        <v>R5B 4FP POB LUMENTUM SUB ASSEMBLY - E2A</v>
      </c>
      <c r="D308" s="41" t="n">
        <f aca="false">IF(A308="","",IF($D$4=0,1,IFERROR(--INDEX('COOIS Raw'!$A:$GZ,ROW()-4,$D$4),1)))</f>
        <v>1</v>
      </c>
      <c r="E308" s="42" t="str">
        <f aca="false">IF(A308="","",INDEX('COOIS Raw'!$A:$GZ,ROW()-4,$E$4)&amp;"")</f>
        <v>REL PRT CNF DLV PRC GMPS MANC SETC</v>
      </c>
      <c r="F308" s="43" t="n">
        <f aca="false">IF(A308="","",IFERROR(DATEVALUE(INDEX('COOIS Raw'!$A:$GZ,ROW()-4,$F$4)),INDEX('COOIS Raw'!$A:$GZ,ROW()-4,$F$4)))</f>
        <v>46275</v>
      </c>
      <c r="G308" s="41" t="str">
        <f aca="false">IF(A308="","",IF(ISNA(MATCH(B308,'Kitting Plan'!$B$6:$B$19,0)),"Not in plan","Yes"))</f>
        <v>Yes</v>
      </c>
      <c r="H308" s="41" t="n">
        <f aca="false">IF(G308="Yes",INDEX('Kitting Plan'!$D$6:$D$19,MATCH(B308,'Kitting Plan'!$B$6:$B$19,0)),"")</f>
        <v>3</v>
      </c>
      <c r="I308" s="41" t="n">
        <f aca="false">IF(A308="","",IF(ISNUMBER(SEARCH("PRT",E308)),D308,0))</f>
        <v>1</v>
      </c>
      <c r="J308" s="41" t="n">
        <f aca="false">IF(A308="","",IF(ISNUMBER(SEARCH("GMPS",E308)),D308,0))</f>
        <v>1</v>
      </c>
      <c r="K308" s="41" t="n">
        <f aca="false">IF(A308="","",IF(ISNUMBER(SEARCH("DLV",E308)),D308,0))</f>
        <v>1</v>
      </c>
      <c r="L308" s="41" t="str">
        <f aca="false">IF(A308="","",IF(K308&gt;0,"Delivered",IF(ISNUMBER(SEARCH("CNF",E308)),"In production",IF(J308&gt;0,"Issued",IF(I308&gt;0,"Kitted","Released")))))</f>
        <v>Delivered</v>
      </c>
      <c r="M308" s="41" t="n">
        <f aca="false">IF(G308&lt;&gt;"Yes","",COUNTIFS($B$6:$B$1505,B308,$F$6:$F$1505,"&lt;"&amp;F308)+COUNTIFS($B$6:$B$1505,B308,$F$6:$F$1505,F308,$A$6:$A$1505,"&lt;="&amp;A308))</f>
        <v>22</v>
      </c>
      <c r="N308" s="41" t="n">
        <f aca="false">IF(M308="","",ROUNDUP(M308/H308,0))</f>
        <v>8</v>
      </c>
      <c r="O308" s="41" t="str">
        <f aca="false">IF(N308="","",IF(N308&lt;='Kitting Plan'!$C$3,"Rep "&amp;N308,"Surplus"))</f>
        <v>Rep 8</v>
      </c>
    </row>
    <row r="309" customFormat="false" ht="15" hidden="false" customHeight="false" outlineLevel="0" collapsed="false">
      <c r="A309" s="40" t="n">
        <f aca="false">IF(OR($A$4=0,INDEX('COOIS Raw'!$A:$GZ,ROW()-4,$A$4)=""),"",IFERROR(--INDEX('COOIS Raw'!$A:$GZ,ROW()-4,$A$4),INDEX('COOIS Raw'!$A:$GZ,ROW()-4,$A$4)))</f>
        <v>100877012</v>
      </c>
      <c r="B309" s="41" t="str">
        <f aca="false">IF(A309="","",TRIM(INDEX('COOIS Raw'!$A:$GZ,ROW()-4,$B$4)))</f>
        <v>92YWS04548AAA</v>
      </c>
      <c r="C309" s="42" t="str">
        <f aca="false">IF(OR(A309="",$C$4=0),"",INDEX('COOIS Raw'!$A:$GZ,ROW()-4,$C$4))</f>
        <v>R5B 4FP POB LUMENTUM SUB ASSEMBLY - E2A</v>
      </c>
      <c r="D309" s="41" t="n">
        <f aca="false">IF(A309="","",IF($D$4=0,1,IFERROR(--INDEX('COOIS Raw'!$A:$GZ,ROW()-4,$D$4),1)))</f>
        <v>1</v>
      </c>
      <c r="E309" s="42" t="str">
        <f aca="false">IF(A309="","",INDEX('COOIS Raw'!$A:$GZ,ROW()-4,$E$4)&amp;"")</f>
        <v>REL PRT CNF DLV PRC GMPS MANC SETC</v>
      </c>
      <c r="F309" s="43" t="n">
        <f aca="false">IF(A309="","",IFERROR(DATEVALUE(INDEX('COOIS Raw'!$A:$GZ,ROW()-4,$F$4)),INDEX('COOIS Raw'!$A:$GZ,ROW()-4,$F$4)))</f>
        <v>46275</v>
      </c>
      <c r="G309" s="41" t="str">
        <f aca="false">IF(A309="","",IF(ISNA(MATCH(B309,'Kitting Plan'!$B$6:$B$19,0)),"Not in plan","Yes"))</f>
        <v>Yes</v>
      </c>
      <c r="H309" s="41" t="n">
        <f aca="false">IF(G309="Yes",INDEX('Kitting Plan'!$D$6:$D$19,MATCH(B309,'Kitting Plan'!$B$6:$B$19,0)),"")</f>
        <v>3</v>
      </c>
      <c r="I309" s="41" t="n">
        <f aca="false">IF(A309="","",IF(ISNUMBER(SEARCH("PRT",E309)),D309,0))</f>
        <v>1</v>
      </c>
      <c r="J309" s="41" t="n">
        <f aca="false">IF(A309="","",IF(ISNUMBER(SEARCH("GMPS",E309)),D309,0))</f>
        <v>1</v>
      </c>
      <c r="K309" s="41" t="n">
        <f aca="false">IF(A309="","",IF(ISNUMBER(SEARCH("DLV",E309)),D309,0))</f>
        <v>1</v>
      </c>
      <c r="L309" s="41" t="str">
        <f aca="false">IF(A309="","",IF(K309&gt;0,"Delivered",IF(ISNUMBER(SEARCH("CNF",E309)),"In production",IF(J309&gt;0,"Issued",IF(I309&gt;0,"Kitted","Released")))))</f>
        <v>Delivered</v>
      </c>
      <c r="M309" s="41" t="n">
        <f aca="false">IF(G309&lt;&gt;"Yes","",COUNTIFS($B$6:$B$1505,B309,$F$6:$F$1505,"&lt;"&amp;F309)+COUNTIFS($B$6:$B$1505,B309,$F$6:$F$1505,F309,$A$6:$A$1505,"&lt;="&amp;A309))</f>
        <v>23</v>
      </c>
      <c r="N309" s="41" t="n">
        <f aca="false">IF(M309="","",ROUNDUP(M309/H309,0))</f>
        <v>8</v>
      </c>
      <c r="O309" s="41" t="str">
        <f aca="false">IF(N309="","",IF(N309&lt;='Kitting Plan'!$C$3,"Rep "&amp;N309,"Surplus"))</f>
        <v>Rep 8</v>
      </c>
    </row>
    <row r="310" customFormat="false" ht="15" hidden="false" customHeight="false" outlineLevel="0" collapsed="false">
      <c r="A310" s="40" t="n">
        <f aca="false">IF(OR($A$4=0,INDEX('COOIS Raw'!$A:$GZ,ROW()-4,$A$4)=""),"",IFERROR(--INDEX('COOIS Raw'!$A:$GZ,ROW()-4,$A$4),INDEX('COOIS Raw'!$A:$GZ,ROW()-4,$A$4)))</f>
        <v>100877013</v>
      </c>
      <c r="B310" s="41" t="str">
        <f aca="false">IF(A310="","",TRIM(INDEX('COOIS Raw'!$A:$GZ,ROW()-4,$B$4)))</f>
        <v>92YWS04548AAA</v>
      </c>
      <c r="C310" s="42" t="str">
        <f aca="false">IF(OR(A310="",$C$4=0),"",INDEX('COOIS Raw'!$A:$GZ,ROW()-4,$C$4))</f>
        <v>R5B 4FP POB LUMENTUM SUB ASSEMBLY - E2A</v>
      </c>
      <c r="D310" s="41" t="n">
        <f aca="false">IF(A310="","",IF($D$4=0,1,IFERROR(--INDEX('COOIS Raw'!$A:$GZ,ROW()-4,$D$4),1)))</f>
        <v>1</v>
      </c>
      <c r="E310" s="42" t="str">
        <f aca="false">IF(A310="","",INDEX('COOIS Raw'!$A:$GZ,ROW()-4,$E$4)&amp;"")</f>
        <v>REL PRT CNF DLV PRC GMPS MANC SETC</v>
      </c>
      <c r="F310" s="43" t="n">
        <f aca="false">IF(A310="","",IFERROR(DATEVALUE(INDEX('COOIS Raw'!$A:$GZ,ROW()-4,$F$4)),INDEX('COOIS Raw'!$A:$GZ,ROW()-4,$F$4)))</f>
        <v>46275</v>
      </c>
      <c r="G310" s="41" t="str">
        <f aca="false">IF(A310="","",IF(ISNA(MATCH(B310,'Kitting Plan'!$B$6:$B$19,0)),"Not in plan","Yes"))</f>
        <v>Yes</v>
      </c>
      <c r="H310" s="41" t="n">
        <f aca="false">IF(G310="Yes",INDEX('Kitting Plan'!$D$6:$D$19,MATCH(B310,'Kitting Plan'!$B$6:$B$19,0)),"")</f>
        <v>3</v>
      </c>
      <c r="I310" s="41" t="n">
        <f aca="false">IF(A310="","",IF(ISNUMBER(SEARCH("PRT",E310)),D310,0))</f>
        <v>1</v>
      </c>
      <c r="J310" s="41" t="n">
        <f aca="false">IF(A310="","",IF(ISNUMBER(SEARCH("GMPS",E310)),D310,0))</f>
        <v>1</v>
      </c>
      <c r="K310" s="41" t="n">
        <f aca="false">IF(A310="","",IF(ISNUMBER(SEARCH("DLV",E310)),D310,0))</f>
        <v>1</v>
      </c>
      <c r="L310" s="41" t="str">
        <f aca="false">IF(A310="","",IF(K310&gt;0,"Delivered",IF(ISNUMBER(SEARCH("CNF",E310)),"In production",IF(J310&gt;0,"Issued",IF(I310&gt;0,"Kitted","Released")))))</f>
        <v>Delivered</v>
      </c>
      <c r="M310" s="41" t="n">
        <f aca="false">IF(G310&lt;&gt;"Yes","",COUNTIFS($B$6:$B$1505,B310,$F$6:$F$1505,"&lt;"&amp;F310)+COUNTIFS($B$6:$B$1505,B310,$F$6:$F$1505,F310,$A$6:$A$1505,"&lt;="&amp;A310))</f>
        <v>24</v>
      </c>
      <c r="N310" s="41" t="n">
        <f aca="false">IF(M310="","",ROUNDUP(M310/H310,0))</f>
        <v>8</v>
      </c>
      <c r="O310" s="41" t="str">
        <f aca="false">IF(N310="","",IF(N310&lt;='Kitting Plan'!$C$3,"Rep "&amp;N310,"Surplus"))</f>
        <v>Rep 8</v>
      </c>
    </row>
    <row r="311" customFormat="false" ht="15" hidden="false" customHeight="false" outlineLevel="0" collapsed="false">
      <c r="A311" s="40" t="n">
        <f aca="false">IF(OR($A$4=0,INDEX('COOIS Raw'!$A:$GZ,ROW()-4,$A$4)=""),"",IFERROR(--INDEX('COOIS Raw'!$A:$GZ,ROW()-4,$A$4),INDEX('COOIS Raw'!$A:$GZ,ROW()-4,$A$4)))</f>
        <v>100876891</v>
      </c>
      <c r="B311" s="41" t="str">
        <f aca="false">IF(A311="","",TRIM(INDEX('COOIS Raw'!$A:$GZ,ROW()-4,$B$4)))</f>
        <v>92YRA03548AAA</v>
      </c>
      <c r="C311" s="42" t="str">
        <f aca="false">IF(OR(A311="",$C$4=0),"",INDEX('COOIS Raw'!$A:$GZ,ROW()-4,$C$4))</f>
        <v>R5B ERBIUM ASSEMBLY 3</v>
      </c>
      <c r="D311" s="41" t="n">
        <f aca="false">IF(A311="","",IF($D$4=0,1,IFERROR(--INDEX('COOIS Raw'!$A:$GZ,ROW()-4,$D$4),1)))</f>
        <v>1</v>
      </c>
      <c r="E311" s="42" t="str">
        <f aca="false">IF(A311="","",INDEX('COOIS Raw'!$A:$GZ,ROW()-4,$E$4)&amp;"")</f>
        <v>REL PRT CNF DLV PRC GMPS MANC SETC</v>
      </c>
      <c r="F311" s="43" t="n">
        <f aca="false">IF(A311="","",IFERROR(DATEVALUE(INDEX('COOIS Raw'!$A:$GZ,ROW()-4,$F$4)),INDEX('COOIS Raw'!$A:$GZ,ROW()-4,$F$4)))</f>
        <v>46274</v>
      </c>
      <c r="G311" s="41" t="str">
        <f aca="false">IF(A311="","",IF(ISNA(MATCH(B311,'Kitting Plan'!$B$6:$B$19,0)),"Not in plan","Yes"))</f>
        <v>Yes</v>
      </c>
      <c r="H311" s="41" t="n">
        <f aca="false">IF(G311="Yes",INDEX('Kitting Plan'!$D$6:$D$19,MATCH(B311,'Kitting Plan'!$B$6:$B$19,0)),"")</f>
        <v>3</v>
      </c>
      <c r="I311" s="41" t="n">
        <f aca="false">IF(A311="","",IF(ISNUMBER(SEARCH("PRT",E311)),D311,0))</f>
        <v>1</v>
      </c>
      <c r="J311" s="41" t="n">
        <f aca="false">IF(A311="","",IF(ISNUMBER(SEARCH("GMPS",E311)),D311,0))</f>
        <v>1</v>
      </c>
      <c r="K311" s="41" t="n">
        <f aca="false">IF(A311="","",IF(ISNUMBER(SEARCH("DLV",E311)),D311,0))</f>
        <v>1</v>
      </c>
      <c r="L311" s="41" t="str">
        <f aca="false">IF(A311="","",IF(K311&gt;0,"Delivered",IF(ISNUMBER(SEARCH("CNF",E311)),"In production",IF(J311&gt;0,"Issued",IF(I311&gt;0,"Kitted","Released")))))</f>
        <v>Delivered</v>
      </c>
      <c r="M311" s="41" t="n">
        <f aca="false">IF(G311&lt;&gt;"Yes","",COUNTIFS($B$6:$B$1505,B311,$F$6:$F$1505,"&lt;"&amp;F311)+COUNTIFS($B$6:$B$1505,B311,$F$6:$F$1505,F311,$A$6:$A$1505,"&lt;="&amp;A311))</f>
        <v>24</v>
      </c>
      <c r="N311" s="41" t="n">
        <f aca="false">IF(M311="","",ROUNDUP(M311/H311,0))</f>
        <v>8</v>
      </c>
      <c r="O311" s="41" t="str">
        <f aca="false">IF(N311="","",IF(N311&lt;='Kitting Plan'!$C$3,"Rep "&amp;N311,"Surplus"))</f>
        <v>Rep 8</v>
      </c>
    </row>
    <row r="312" customFormat="false" ht="15" hidden="false" customHeight="false" outlineLevel="0" collapsed="false">
      <c r="A312" s="40" t="n">
        <f aca="false">IF(OR($A$4=0,INDEX('COOIS Raw'!$A:$GZ,ROW()-4,$A$4)=""),"",IFERROR(--INDEX('COOIS Raw'!$A:$GZ,ROW()-4,$A$4),INDEX('COOIS Raw'!$A:$GZ,ROW()-4,$A$4)))</f>
        <v>100876940</v>
      </c>
      <c r="B312" s="41" t="str">
        <f aca="false">IF(A312="","",TRIM(INDEX('COOIS Raw'!$A:$GZ,ROW()-4,$B$4)))</f>
        <v>92RRA00548AAA</v>
      </c>
      <c r="C312" s="42" t="str">
        <f aca="false">IF(OR(A312="",$C$4=0),"",INDEX('COOIS Raw'!$A:$GZ,ROW()-4,$C$4))</f>
        <v>R5B ERBIUM SPOOL ASSEMBLY - E2A</v>
      </c>
      <c r="D312" s="41" t="n">
        <f aca="false">IF(A312="","",IF($D$4=0,1,IFERROR(--INDEX('COOIS Raw'!$A:$GZ,ROW()-4,$D$4),1)))</f>
        <v>1</v>
      </c>
      <c r="E312" s="42" t="str">
        <f aca="false">IF(A312="","",INDEX('COOIS Raw'!$A:$GZ,ROW()-4,$E$4)&amp;"")</f>
        <v>REL PRT CNF DLV PRC GMPS MANC SETC</v>
      </c>
      <c r="F312" s="43" t="n">
        <f aca="false">IF(A312="","",IFERROR(DATEVALUE(INDEX('COOIS Raw'!$A:$GZ,ROW()-4,$F$4)),INDEX('COOIS Raw'!$A:$GZ,ROW()-4,$F$4)))</f>
        <v>46274</v>
      </c>
      <c r="G312" s="41" t="str">
        <f aca="false">IF(A312="","",IF(ISNA(MATCH(B312,'Kitting Plan'!$B$6:$B$19,0)),"Not in plan","Yes"))</f>
        <v>Yes</v>
      </c>
      <c r="H312" s="41" t="n">
        <f aca="false">IF(G312="Yes",INDEX('Kitting Plan'!$D$6:$D$19,MATCH(B312,'Kitting Plan'!$B$6:$B$19,0)),"")</f>
        <v>24</v>
      </c>
      <c r="I312" s="41" t="n">
        <f aca="false">IF(A312="","",IF(ISNUMBER(SEARCH("PRT",E312)),D312,0))</f>
        <v>1</v>
      </c>
      <c r="J312" s="41" t="n">
        <f aca="false">IF(A312="","",IF(ISNUMBER(SEARCH("GMPS",E312)),D312,0))</f>
        <v>1</v>
      </c>
      <c r="K312" s="41" t="n">
        <f aca="false">IF(A312="","",IF(ISNUMBER(SEARCH("DLV",E312)),D312,0))</f>
        <v>1</v>
      </c>
      <c r="L312" s="41" t="str">
        <f aca="false">IF(A312="","",IF(K312&gt;0,"Delivered",IF(ISNUMBER(SEARCH("CNF",E312)),"In production",IF(J312&gt;0,"Issued",IF(I312&gt;0,"Kitted","Released")))))</f>
        <v>Delivered</v>
      </c>
      <c r="M312" s="41" t="n">
        <f aca="false">IF(G312&lt;&gt;"Yes","",COUNTIFS($B$6:$B$1505,B312,$F$6:$F$1505,"&lt;"&amp;F312)+COUNTIFS($B$6:$B$1505,B312,$F$6:$F$1505,F312,$A$6:$A$1505,"&lt;="&amp;A312))</f>
        <v>177</v>
      </c>
      <c r="N312" s="41" t="n">
        <f aca="false">IF(M312="","",ROUNDUP(M312/H312,0))</f>
        <v>8</v>
      </c>
      <c r="O312" s="41" t="str">
        <f aca="false">IF(N312="","",IF(N312&lt;='Kitting Plan'!$C$3,"Rep "&amp;N312,"Surplus"))</f>
        <v>Rep 8</v>
      </c>
    </row>
    <row r="313" customFormat="false" ht="15" hidden="false" customHeight="false" outlineLevel="0" collapsed="false">
      <c r="A313" s="40" t="n">
        <f aca="false">IF(OR($A$4=0,INDEX('COOIS Raw'!$A:$GZ,ROW()-4,$A$4)=""),"",IFERROR(--INDEX('COOIS Raw'!$A:$GZ,ROW()-4,$A$4),INDEX('COOIS Raw'!$A:$GZ,ROW()-4,$A$4)))</f>
        <v>100876941</v>
      </c>
      <c r="B313" s="41" t="str">
        <f aca="false">IF(A313="","",TRIM(INDEX('COOIS Raw'!$A:$GZ,ROW()-4,$B$4)))</f>
        <v>92RRA00548AAA</v>
      </c>
      <c r="C313" s="42" t="str">
        <f aca="false">IF(OR(A313="",$C$4=0),"",INDEX('COOIS Raw'!$A:$GZ,ROW()-4,$C$4))</f>
        <v>R5B ERBIUM SPOOL ASSEMBLY - E2A</v>
      </c>
      <c r="D313" s="41" t="n">
        <f aca="false">IF(A313="","",IF($D$4=0,1,IFERROR(--INDEX('COOIS Raw'!$A:$GZ,ROW()-4,$D$4),1)))</f>
        <v>1</v>
      </c>
      <c r="E313" s="42" t="str">
        <f aca="false">IF(A313="","",INDEX('COOIS Raw'!$A:$GZ,ROW()-4,$E$4)&amp;"")</f>
        <v>REL PRT CNF DLV PRC GMPS MANC SETC</v>
      </c>
      <c r="F313" s="43" t="n">
        <f aca="false">IF(A313="","",IFERROR(DATEVALUE(INDEX('COOIS Raw'!$A:$GZ,ROW()-4,$F$4)),INDEX('COOIS Raw'!$A:$GZ,ROW()-4,$F$4)))</f>
        <v>46274</v>
      </c>
      <c r="G313" s="41" t="str">
        <f aca="false">IF(A313="","",IF(ISNA(MATCH(B313,'Kitting Plan'!$B$6:$B$19,0)),"Not in plan","Yes"))</f>
        <v>Yes</v>
      </c>
      <c r="H313" s="41" t="n">
        <f aca="false">IF(G313="Yes",INDEX('Kitting Plan'!$D$6:$D$19,MATCH(B313,'Kitting Plan'!$B$6:$B$19,0)),"")</f>
        <v>24</v>
      </c>
      <c r="I313" s="41" t="n">
        <f aca="false">IF(A313="","",IF(ISNUMBER(SEARCH("PRT",E313)),D313,0))</f>
        <v>1</v>
      </c>
      <c r="J313" s="41" t="n">
        <f aca="false">IF(A313="","",IF(ISNUMBER(SEARCH("GMPS",E313)),D313,0))</f>
        <v>1</v>
      </c>
      <c r="K313" s="41" t="n">
        <f aca="false">IF(A313="","",IF(ISNUMBER(SEARCH("DLV",E313)),D313,0))</f>
        <v>1</v>
      </c>
      <c r="L313" s="41" t="str">
        <f aca="false">IF(A313="","",IF(K313&gt;0,"Delivered",IF(ISNUMBER(SEARCH("CNF",E313)),"In production",IF(J313&gt;0,"Issued",IF(I313&gt;0,"Kitted","Released")))))</f>
        <v>Delivered</v>
      </c>
      <c r="M313" s="41" t="n">
        <f aca="false">IF(G313&lt;&gt;"Yes","",COUNTIFS($B$6:$B$1505,B313,$F$6:$F$1505,"&lt;"&amp;F313)+COUNTIFS($B$6:$B$1505,B313,$F$6:$F$1505,F313,$A$6:$A$1505,"&lt;="&amp;A313))</f>
        <v>178</v>
      </c>
      <c r="N313" s="41" t="n">
        <f aca="false">IF(M313="","",ROUNDUP(M313/H313,0))</f>
        <v>8</v>
      </c>
      <c r="O313" s="41" t="str">
        <f aca="false">IF(N313="","",IF(N313&lt;='Kitting Plan'!$C$3,"Rep "&amp;N313,"Surplus"))</f>
        <v>Rep 8</v>
      </c>
    </row>
    <row r="314" customFormat="false" ht="15" hidden="false" customHeight="false" outlineLevel="0" collapsed="false">
      <c r="A314" s="40" t="n">
        <f aca="false">IF(OR($A$4=0,INDEX('COOIS Raw'!$A:$GZ,ROW()-4,$A$4)=""),"",IFERROR(--INDEX('COOIS Raw'!$A:$GZ,ROW()-4,$A$4),INDEX('COOIS Raw'!$A:$GZ,ROW()-4,$A$4)))</f>
        <v>100876655</v>
      </c>
      <c r="B314" s="41" t="str">
        <f aca="false">IF(A314="","",TRIM(INDEX('COOIS Raw'!$A:$GZ,ROW()-4,$B$4)))</f>
        <v>91YAF03404AAA</v>
      </c>
      <c r="C314" s="42" t="str">
        <f aca="false">IF(OR(A314="",$C$4=0),"",INDEX('COOIS Raw'!$A:$GZ,ROW()-4,$C$4))</f>
        <v>R5B PSB SUB ASSEMBLY 4P-4FP</v>
      </c>
      <c r="D314" s="41" t="n">
        <f aca="false">IF(A314="","",IF($D$4=0,1,IFERROR(--INDEX('COOIS Raw'!$A:$GZ,ROW()-4,$D$4),1)))</f>
        <v>1</v>
      </c>
      <c r="E314" s="42" t="str">
        <f aca="false">IF(A314="","",INDEX('COOIS Raw'!$A:$GZ,ROW()-4,$E$4)&amp;"")</f>
        <v>REL PRT CNF DLV PRC GMPS MANC SETC</v>
      </c>
      <c r="F314" s="43" t="n">
        <f aca="false">IF(A314="","",IFERROR(DATEVALUE(INDEX('COOIS Raw'!$A:$GZ,ROW()-4,$F$4)),INDEX('COOIS Raw'!$A:$GZ,ROW()-4,$F$4)))</f>
        <v>46273</v>
      </c>
      <c r="G314" s="41" t="str">
        <f aca="false">IF(A314="","",IF(ISNA(MATCH(B314,'Kitting Plan'!$B$6:$B$19,0)),"Not in plan","Yes"))</f>
        <v>Yes</v>
      </c>
      <c r="H314" s="41" t="n">
        <f aca="false">IF(G314="Yes",INDEX('Kitting Plan'!$D$6:$D$19,MATCH(B314,'Kitting Plan'!$B$6:$B$19,0)),"")</f>
        <v>3</v>
      </c>
      <c r="I314" s="41" t="n">
        <f aca="false">IF(A314="","",IF(ISNUMBER(SEARCH("PRT",E314)),D314,0))</f>
        <v>1</v>
      </c>
      <c r="J314" s="41" t="n">
        <f aca="false">IF(A314="","",IF(ISNUMBER(SEARCH("GMPS",E314)),D314,0))</f>
        <v>1</v>
      </c>
      <c r="K314" s="41" t="n">
        <f aca="false">IF(A314="","",IF(ISNUMBER(SEARCH("DLV",E314)),D314,0))</f>
        <v>1</v>
      </c>
      <c r="L314" s="41" t="str">
        <f aca="false">IF(A314="","",IF(K314&gt;0,"Delivered",IF(ISNUMBER(SEARCH("CNF",E314)),"In production",IF(J314&gt;0,"Issued",IF(I314&gt;0,"Kitted","Released")))))</f>
        <v>Delivered</v>
      </c>
      <c r="M314" s="41" t="n">
        <f aca="false">IF(G314&lt;&gt;"Yes","",COUNTIFS($B$6:$B$1505,B314,$F$6:$F$1505,"&lt;"&amp;F314)+COUNTIFS($B$6:$B$1505,B314,$F$6:$F$1505,F314,$A$6:$A$1505,"&lt;="&amp;A314))</f>
        <v>27</v>
      </c>
      <c r="N314" s="41" t="n">
        <f aca="false">IF(M314="","",ROUNDUP(M314/H314,0))</f>
        <v>9</v>
      </c>
      <c r="O314" s="41" t="str">
        <f aca="false">IF(N314="","",IF(N314&lt;='Kitting Plan'!$C$3,"Rep "&amp;N314,"Surplus"))</f>
        <v>Rep 9</v>
      </c>
    </row>
    <row r="315" customFormat="false" ht="15" hidden="false" customHeight="false" outlineLevel="0" collapsed="false">
      <c r="A315" s="40" t="n">
        <f aca="false">IF(OR($A$4=0,INDEX('COOIS Raw'!$A:$GZ,ROW()-4,$A$4)=""),"",IFERROR(--INDEX('COOIS Raw'!$A:$GZ,ROW()-4,$A$4),INDEX('COOIS Raw'!$A:$GZ,ROW()-4,$A$4)))</f>
        <v>100876656</v>
      </c>
      <c r="B315" s="41" t="str">
        <f aca="false">IF(A315="","",TRIM(INDEX('COOIS Raw'!$A:$GZ,ROW()-4,$B$4)))</f>
        <v>91YAF03404AAA</v>
      </c>
      <c r="C315" s="42" t="str">
        <f aca="false">IF(OR(A315="",$C$4=0),"",INDEX('COOIS Raw'!$A:$GZ,ROW()-4,$C$4))</f>
        <v>R5B PSB SUB ASSEMBLY 4P-4FP</v>
      </c>
      <c r="D315" s="41" t="n">
        <f aca="false">IF(A315="","",IF($D$4=0,1,IFERROR(--INDEX('COOIS Raw'!$A:$GZ,ROW()-4,$D$4),1)))</f>
        <v>1</v>
      </c>
      <c r="E315" s="42" t="str">
        <f aca="false">IF(A315="","",INDEX('COOIS Raw'!$A:$GZ,ROW()-4,$E$4)&amp;"")</f>
        <v>REL PRT CNF DLV PRC GMPS MANC SETC</v>
      </c>
      <c r="F315" s="43" t="n">
        <f aca="false">IF(A315="","",IFERROR(DATEVALUE(INDEX('COOIS Raw'!$A:$GZ,ROW()-4,$F$4)),INDEX('COOIS Raw'!$A:$GZ,ROW()-4,$F$4)))</f>
        <v>46273</v>
      </c>
      <c r="G315" s="41" t="str">
        <f aca="false">IF(A315="","",IF(ISNA(MATCH(B315,'Kitting Plan'!$B$6:$B$19,0)),"Not in plan","Yes"))</f>
        <v>Yes</v>
      </c>
      <c r="H315" s="41" t="n">
        <f aca="false">IF(G315="Yes",INDEX('Kitting Plan'!$D$6:$D$19,MATCH(B315,'Kitting Plan'!$B$6:$B$19,0)),"")</f>
        <v>3</v>
      </c>
      <c r="I315" s="41" t="n">
        <f aca="false">IF(A315="","",IF(ISNUMBER(SEARCH("PRT",E315)),D315,0))</f>
        <v>1</v>
      </c>
      <c r="J315" s="41" t="n">
        <f aca="false">IF(A315="","",IF(ISNUMBER(SEARCH("GMPS",E315)),D315,0))</f>
        <v>1</v>
      </c>
      <c r="K315" s="41" t="n">
        <f aca="false">IF(A315="","",IF(ISNUMBER(SEARCH("DLV",E315)),D315,0))</f>
        <v>1</v>
      </c>
      <c r="L315" s="41" t="str">
        <f aca="false">IF(A315="","",IF(K315&gt;0,"Delivered",IF(ISNUMBER(SEARCH("CNF",E315)),"In production",IF(J315&gt;0,"Issued",IF(I315&gt;0,"Kitted","Released")))))</f>
        <v>Delivered</v>
      </c>
      <c r="M315" s="41" t="n">
        <f aca="false">IF(G315&lt;&gt;"Yes","",COUNTIFS($B$6:$B$1505,B315,$F$6:$F$1505,"&lt;"&amp;F315)+COUNTIFS($B$6:$B$1505,B315,$F$6:$F$1505,F315,$A$6:$A$1505,"&lt;="&amp;A315))</f>
        <v>28</v>
      </c>
      <c r="N315" s="41" t="n">
        <f aca="false">IF(M315="","",ROUNDUP(M315/H315,0))</f>
        <v>10</v>
      </c>
      <c r="O315" s="41" t="str">
        <f aca="false">IF(N315="","",IF(N315&lt;='Kitting Plan'!$C$3,"Rep "&amp;N315,"Surplus"))</f>
        <v>Rep 10</v>
      </c>
    </row>
    <row r="316" customFormat="false" ht="15" hidden="false" customHeight="false" outlineLevel="0" collapsed="false">
      <c r="A316" s="40" t="n">
        <f aca="false">IF(OR($A$4=0,INDEX('COOIS Raw'!$A:$GZ,ROW()-4,$A$4)=""),"",IFERROR(--INDEX('COOIS Raw'!$A:$GZ,ROW()-4,$A$4),INDEX('COOIS Raw'!$A:$GZ,ROW()-4,$A$4)))</f>
        <v>100876657</v>
      </c>
      <c r="B316" s="41" t="str">
        <f aca="false">IF(A316="","",TRIM(INDEX('COOIS Raw'!$A:$GZ,ROW()-4,$B$4)))</f>
        <v>91YAF03404AAA</v>
      </c>
      <c r="C316" s="42" t="str">
        <f aca="false">IF(OR(A316="",$C$4=0),"",INDEX('COOIS Raw'!$A:$GZ,ROW()-4,$C$4))</f>
        <v>R5B PSB SUB ASSEMBLY 4P-4FP</v>
      </c>
      <c r="D316" s="41" t="n">
        <f aca="false">IF(A316="","",IF($D$4=0,1,IFERROR(--INDEX('COOIS Raw'!$A:$GZ,ROW()-4,$D$4),1)))</f>
        <v>1</v>
      </c>
      <c r="E316" s="42" t="str">
        <f aca="false">IF(A316="","",INDEX('COOIS Raw'!$A:$GZ,ROW()-4,$E$4)&amp;"")</f>
        <v>REL PRT CNF DLV PRC GMPS MANC SETC</v>
      </c>
      <c r="F316" s="43" t="n">
        <f aca="false">IF(A316="","",IFERROR(DATEVALUE(INDEX('COOIS Raw'!$A:$GZ,ROW()-4,$F$4)),INDEX('COOIS Raw'!$A:$GZ,ROW()-4,$F$4)))</f>
        <v>46273</v>
      </c>
      <c r="G316" s="41" t="str">
        <f aca="false">IF(A316="","",IF(ISNA(MATCH(B316,'Kitting Plan'!$B$6:$B$19,0)),"Not in plan","Yes"))</f>
        <v>Yes</v>
      </c>
      <c r="H316" s="41" t="n">
        <f aca="false">IF(G316="Yes",INDEX('Kitting Plan'!$D$6:$D$19,MATCH(B316,'Kitting Plan'!$B$6:$B$19,0)),"")</f>
        <v>3</v>
      </c>
      <c r="I316" s="41" t="n">
        <f aca="false">IF(A316="","",IF(ISNUMBER(SEARCH("PRT",E316)),D316,0))</f>
        <v>1</v>
      </c>
      <c r="J316" s="41" t="n">
        <f aca="false">IF(A316="","",IF(ISNUMBER(SEARCH("GMPS",E316)),D316,0))</f>
        <v>1</v>
      </c>
      <c r="K316" s="41" t="n">
        <f aca="false">IF(A316="","",IF(ISNUMBER(SEARCH("DLV",E316)),D316,0))</f>
        <v>1</v>
      </c>
      <c r="L316" s="41" t="str">
        <f aca="false">IF(A316="","",IF(K316&gt;0,"Delivered",IF(ISNUMBER(SEARCH("CNF",E316)),"In production",IF(J316&gt;0,"Issued",IF(I316&gt;0,"Kitted","Released")))))</f>
        <v>Delivered</v>
      </c>
      <c r="M316" s="41" t="n">
        <f aca="false">IF(G316&lt;&gt;"Yes","",COUNTIFS($B$6:$B$1505,B316,$F$6:$F$1505,"&lt;"&amp;F316)+COUNTIFS($B$6:$B$1505,B316,$F$6:$F$1505,F316,$A$6:$A$1505,"&lt;="&amp;A316))</f>
        <v>29</v>
      </c>
      <c r="N316" s="41" t="n">
        <f aca="false">IF(M316="","",ROUNDUP(M316/H316,0))</f>
        <v>10</v>
      </c>
      <c r="O316" s="41" t="str">
        <f aca="false">IF(N316="","",IF(N316&lt;='Kitting Plan'!$C$3,"Rep "&amp;N316,"Surplus"))</f>
        <v>Rep 10</v>
      </c>
    </row>
    <row r="317" customFormat="false" ht="15" hidden="false" customHeight="false" outlineLevel="0" collapsed="false">
      <c r="A317" s="40" t="n">
        <f aca="false">IF(OR($A$4=0,INDEX('COOIS Raw'!$A:$GZ,ROW()-4,$A$4)=""),"",IFERROR(--INDEX('COOIS Raw'!$A:$GZ,ROW()-4,$A$4),INDEX('COOIS Raw'!$A:$GZ,ROW()-4,$A$4)))</f>
        <v>100876671</v>
      </c>
      <c r="B317" s="41" t="str">
        <f aca="false">IF(A317="","",TRIM(INDEX('COOIS Raw'!$A:$GZ,ROW()-4,$B$4)))</f>
        <v>91YAF03404AAA</v>
      </c>
      <c r="C317" s="42" t="str">
        <f aca="false">IF(OR(A317="",$C$4=0),"",INDEX('COOIS Raw'!$A:$GZ,ROW()-4,$C$4))</f>
        <v>R5B PSB SUB ASSEMBLY 4P-4FP</v>
      </c>
      <c r="D317" s="41" t="n">
        <f aca="false">IF(A317="","",IF($D$4=0,1,IFERROR(--INDEX('COOIS Raw'!$A:$GZ,ROW()-4,$D$4),1)))</f>
        <v>1</v>
      </c>
      <c r="E317" s="42" t="str">
        <f aca="false">IF(A317="","",INDEX('COOIS Raw'!$A:$GZ,ROW()-4,$E$4)&amp;"")</f>
        <v>REL PRT CNF DLV PRC GMPS MANC SETC</v>
      </c>
      <c r="F317" s="43" t="n">
        <f aca="false">IF(A317="","",IFERROR(DATEVALUE(INDEX('COOIS Raw'!$A:$GZ,ROW()-4,$F$4)),INDEX('COOIS Raw'!$A:$GZ,ROW()-4,$F$4)))</f>
        <v>46273</v>
      </c>
      <c r="G317" s="41" t="str">
        <f aca="false">IF(A317="","",IF(ISNA(MATCH(B317,'Kitting Plan'!$B$6:$B$19,0)),"Not in plan","Yes"))</f>
        <v>Yes</v>
      </c>
      <c r="H317" s="41" t="n">
        <f aca="false">IF(G317="Yes",INDEX('Kitting Plan'!$D$6:$D$19,MATCH(B317,'Kitting Plan'!$B$6:$B$19,0)),"")</f>
        <v>3</v>
      </c>
      <c r="I317" s="41" t="n">
        <f aca="false">IF(A317="","",IF(ISNUMBER(SEARCH("PRT",E317)),D317,0))</f>
        <v>1</v>
      </c>
      <c r="J317" s="41" t="n">
        <f aca="false">IF(A317="","",IF(ISNUMBER(SEARCH("GMPS",E317)),D317,0))</f>
        <v>1</v>
      </c>
      <c r="K317" s="41" t="n">
        <f aca="false">IF(A317="","",IF(ISNUMBER(SEARCH("DLV",E317)),D317,0))</f>
        <v>1</v>
      </c>
      <c r="L317" s="41" t="str">
        <f aca="false">IF(A317="","",IF(K317&gt;0,"Delivered",IF(ISNUMBER(SEARCH("CNF",E317)),"In production",IF(J317&gt;0,"Issued",IF(I317&gt;0,"Kitted","Released")))))</f>
        <v>Delivered</v>
      </c>
      <c r="M317" s="41" t="n">
        <f aca="false">IF(G317&lt;&gt;"Yes","",COUNTIFS($B$6:$B$1505,B317,$F$6:$F$1505,"&lt;"&amp;F317)+COUNTIFS($B$6:$B$1505,B317,$F$6:$F$1505,F317,$A$6:$A$1505,"&lt;="&amp;A317))</f>
        <v>30</v>
      </c>
      <c r="N317" s="41" t="n">
        <f aca="false">IF(M317="","",ROUNDUP(M317/H317,0))</f>
        <v>10</v>
      </c>
      <c r="O317" s="41" t="str">
        <f aca="false">IF(N317="","",IF(N317&lt;='Kitting Plan'!$C$3,"Rep "&amp;N317,"Surplus"))</f>
        <v>Rep 10</v>
      </c>
    </row>
    <row r="318" customFormat="false" ht="15" hidden="false" customHeight="false" outlineLevel="0" collapsed="false">
      <c r="A318" s="40" t="n">
        <f aca="false">IF(OR($A$4=0,INDEX('COOIS Raw'!$A:$GZ,ROW()-4,$A$4)=""),"",IFERROR(--INDEX('COOIS Raw'!$A:$GZ,ROW()-4,$A$4),INDEX('COOIS Raw'!$A:$GZ,ROW()-4,$A$4)))</f>
        <v>100876672</v>
      </c>
      <c r="B318" s="41" t="str">
        <f aca="false">IF(A318="","",TRIM(INDEX('COOIS Raw'!$A:$GZ,ROW()-4,$B$4)))</f>
        <v>91YAF03404AAA</v>
      </c>
      <c r="C318" s="42" t="str">
        <f aca="false">IF(OR(A318="",$C$4=0),"",INDEX('COOIS Raw'!$A:$GZ,ROW()-4,$C$4))</f>
        <v>R5B PSB SUB ASSEMBLY 4P-4FP</v>
      </c>
      <c r="D318" s="41" t="n">
        <f aca="false">IF(A318="","",IF($D$4=0,1,IFERROR(--INDEX('COOIS Raw'!$A:$GZ,ROW()-4,$D$4),1)))</f>
        <v>1</v>
      </c>
      <c r="E318" s="42" t="str">
        <f aca="false">IF(A318="","",INDEX('COOIS Raw'!$A:$GZ,ROW()-4,$E$4)&amp;"")</f>
        <v>REL PRT PCNF PRC MANC RESA SETC</v>
      </c>
      <c r="F318" s="43" t="n">
        <f aca="false">IF(A318="","",IFERROR(DATEVALUE(INDEX('COOIS Raw'!$A:$GZ,ROW()-4,$F$4)),INDEX('COOIS Raw'!$A:$GZ,ROW()-4,$F$4)))</f>
        <v>46273</v>
      </c>
      <c r="G318" s="41" t="str">
        <f aca="false">IF(A318="","",IF(ISNA(MATCH(B318,'Kitting Plan'!$B$6:$B$19,0)),"Not in plan","Yes"))</f>
        <v>Yes</v>
      </c>
      <c r="H318" s="41" t="n">
        <f aca="false">IF(G318="Yes",INDEX('Kitting Plan'!$D$6:$D$19,MATCH(B318,'Kitting Plan'!$B$6:$B$19,0)),"")</f>
        <v>3</v>
      </c>
      <c r="I318" s="41" t="n">
        <f aca="false">IF(A318="","",IF(ISNUMBER(SEARCH("PRT",E318)),D318,0))</f>
        <v>1</v>
      </c>
      <c r="J318" s="41" t="n">
        <f aca="false">IF(A318="","",IF(ISNUMBER(SEARCH("GMPS",E318)),D318,0))</f>
        <v>0</v>
      </c>
      <c r="K318" s="41" t="n">
        <f aca="false">IF(A318="","",IF(ISNUMBER(SEARCH("DLV",E318)),D318,0))</f>
        <v>0</v>
      </c>
      <c r="L318" s="41" t="str">
        <f aca="false">IF(A318="","",IF(K318&gt;0,"Delivered",IF(ISNUMBER(SEARCH("CNF",E318)),"In production",IF(J318&gt;0,"Issued",IF(I318&gt;0,"Kitted","Released")))))</f>
        <v>In production</v>
      </c>
      <c r="M318" s="41" t="n">
        <f aca="false">IF(G318&lt;&gt;"Yes","",COUNTIFS($B$6:$B$1505,B318,$F$6:$F$1505,"&lt;"&amp;F318)+COUNTIFS($B$6:$B$1505,B318,$F$6:$F$1505,F318,$A$6:$A$1505,"&lt;="&amp;A318))</f>
        <v>31</v>
      </c>
      <c r="N318" s="41" t="n">
        <f aca="false">IF(M318="","",ROUNDUP(M318/H318,0))</f>
        <v>11</v>
      </c>
      <c r="O318" s="41" t="str">
        <f aca="false">IF(N318="","",IF(N318&lt;='Kitting Plan'!$C$3,"Rep "&amp;N318,"Surplus"))</f>
        <v>Rep 11</v>
      </c>
    </row>
    <row r="319" customFormat="false" ht="15" hidden="false" customHeight="false" outlineLevel="0" collapsed="false">
      <c r="A319" s="40" t="n">
        <f aca="false">IF(OR($A$4=0,INDEX('COOIS Raw'!$A:$GZ,ROW()-4,$A$4)=""),"",IFERROR(--INDEX('COOIS Raw'!$A:$GZ,ROW()-4,$A$4),INDEX('COOIS Raw'!$A:$GZ,ROW()-4,$A$4)))</f>
        <v>100876673</v>
      </c>
      <c r="B319" s="41" t="str">
        <f aca="false">IF(A319="","",TRIM(INDEX('COOIS Raw'!$A:$GZ,ROW()-4,$B$4)))</f>
        <v>91YAF03404AAA</v>
      </c>
      <c r="C319" s="42" t="str">
        <f aca="false">IF(OR(A319="",$C$4=0),"",INDEX('COOIS Raw'!$A:$GZ,ROW()-4,$C$4))</f>
        <v>R5B PSB SUB ASSEMBLY 4P-4FP</v>
      </c>
      <c r="D319" s="41" t="n">
        <f aca="false">IF(A319="","",IF($D$4=0,1,IFERROR(--INDEX('COOIS Raw'!$A:$GZ,ROW()-4,$D$4),1)))</f>
        <v>1</v>
      </c>
      <c r="E319" s="42" t="str">
        <f aca="false">IF(A319="","",INDEX('COOIS Raw'!$A:$GZ,ROW()-4,$E$4)&amp;"")</f>
        <v>REL PRT CNF DLV PRC GMPS MANC SETC</v>
      </c>
      <c r="F319" s="43" t="n">
        <f aca="false">IF(A319="","",IFERROR(DATEVALUE(INDEX('COOIS Raw'!$A:$GZ,ROW()-4,$F$4)),INDEX('COOIS Raw'!$A:$GZ,ROW()-4,$F$4)))</f>
        <v>46273</v>
      </c>
      <c r="G319" s="41" t="str">
        <f aca="false">IF(A319="","",IF(ISNA(MATCH(B319,'Kitting Plan'!$B$6:$B$19,0)),"Not in plan","Yes"))</f>
        <v>Yes</v>
      </c>
      <c r="H319" s="41" t="n">
        <f aca="false">IF(G319="Yes",INDEX('Kitting Plan'!$D$6:$D$19,MATCH(B319,'Kitting Plan'!$B$6:$B$19,0)),"")</f>
        <v>3</v>
      </c>
      <c r="I319" s="41" t="n">
        <f aca="false">IF(A319="","",IF(ISNUMBER(SEARCH("PRT",E319)),D319,0))</f>
        <v>1</v>
      </c>
      <c r="J319" s="41" t="n">
        <f aca="false">IF(A319="","",IF(ISNUMBER(SEARCH("GMPS",E319)),D319,0))</f>
        <v>1</v>
      </c>
      <c r="K319" s="41" t="n">
        <f aca="false">IF(A319="","",IF(ISNUMBER(SEARCH("DLV",E319)),D319,0))</f>
        <v>1</v>
      </c>
      <c r="L319" s="41" t="str">
        <f aca="false">IF(A319="","",IF(K319&gt;0,"Delivered",IF(ISNUMBER(SEARCH("CNF",E319)),"In production",IF(J319&gt;0,"Issued",IF(I319&gt;0,"Kitted","Released")))))</f>
        <v>Delivered</v>
      </c>
      <c r="M319" s="41" t="n">
        <f aca="false">IF(G319&lt;&gt;"Yes","",COUNTIFS($B$6:$B$1505,B319,$F$6:$F$1505,"&lt;"&amp;F319)+COUNTIFS($B$6:$B$1505,B319,$F$6:$F$1505,F319,$A$6:$A$1505,"&lt;="&amp;A319))</f>
        <v>32</v>
      </c>
      <c r="N319" s="41" t="n">
        <f aca="false">IF(M319="","",ROUNDUP(M319/H319,0))</f>
        <v>11</v>
      </c>
      <c r="O319" s="41" t="str">
        <f aca="false">IF(N319="","",IF(N319&lt;='Kitting Plan'!$C$3,"Rep "&amp;N319,"Surplus"))</f>
        <v>Rep 11</v>
      </c>
    </row>
    <row r="320" customFormat="false" ht="15" hidden="false" customHeight="false" outlineLevel="0" collapsed="false">
      <c r="A320" s="40" t="n">
        <f aca="false">IF(OR($A$4=0,INDEX('COOIS Raw'!$A:$GZ,ROW()-4,$A$4)=""),"",IFERROR(--INDEX('COOIS Raw'!$A:$GZ,ROW()-4,$A$4),INDEX('COOIS Raw'!$A:$GZ,ROW()-4,$A$4)))</f>
        <v>100876674</v>
      </c>
      <c r="B320" s="41" t="str">
        <f aca="false">IF(A320="","",TRIM(INDEX('COOIS Raw'!$A:$GZ,ROW()-4,$B$4)))</f>
        <v>91YAF03404AAA</v>
      </c>
      <c r="C320" s="42" t="str">
        <f aca="false">IF(OR(A320="",$C$4=0),"",INDEX('COOIS Raw'!$A:$GZ,ROW()-4,$C$4))</f>
        <v>R5B PSB SUB ASSEMBLY 4P-4FP</v>
      </c>
      <c r="D320" s="41" t="n">
        <f aca="false">IF(A320="","",IF($D$4=0,1,IFERROR(--INDEX('COOIS Raw'!$A:$GZ,ROW()-4,$D$4),1)))</f>
        <v>1</v>
      </c>
      <c r="E320" s="42" t="str">
        <f aca="false">IF(A320="","",INDEX('COOIS Raw'!$A:$GZ,ROW()-4,$E$4)&amp;"")</f>
        <v>REL PRT PCNF PRC MANC RESA SETC</v>
      </c>
      <c r="F320" s="43" t="n">
        <f aca="false">IF(A320="","",IFERROR(DATEVALUE(INDEX('COOIS Raw'!$A:$GZ,ROW()-4,$F$4)),INDEX('COOIS Raw'!$A:$GZ,ROW()-4,$F$4)))</f>
        <v>46273</v>
      </c>
      <c r="G320" s="41" t="str">
        <f aca="false">IF(A320="","",IF(ISNA(MATCH(B320,'Kitting Plan'!$B$6:$B$19,0)),"Not in plan","Yes"))</f>
        <v>Yes</v>
      </c>
      <c r="H320" s="41" t="n">
        <f aca="false">IF(G320="Yes",INDEX('Kitting Plan'!$D$6:$D$19,MATCH(B320,'Kitting Plan'!$B$6:$B$19,0)),"")</f>
        <v>3</v>
      </c>
      <c r="I320" s="41" t="n">
        <f aca="false">IF(A320="","",IF(ISNUMBER(SEARCH("PRT",E320)),D320,0))</f>
        <v>1</v>
      </c>
      <c r="J320" s="41" t="n">
        <f aca="false">IF(A320="","",IF(ISNUMBER(SEARCH("GMPS",E320)),D320,0))</f>
        <v>0</v>
      </c>
      <c r="K320" s="41" t="n">
        <f aca="false">IF(A320="","",IF(ISNUMBER(SEARCH("DLV",E320)),D320,0))</f>
        <v>0</v>
      </c>
      <c r="L320" s="41" t="str">
        <f aca="false">IF(A320="","",IF(K320&gt;0,"Delivered",IF(ISNUMBER(SEARCH("CNF",E320)),"In production",IF(J320&gt;0,"Issued",IF(I320&gt;0,"Kitted","Released")))))</f>
        <v>In production</v>
      </c>
      <c r="M320" s="41" t="n">
        <f aca="false">IF(G320&lt;&gt;"Yes","",COUNTIFS($B$6:$B$1505,B320,$F$6:$F$1505,"&lt;"&amp;F320)+COUNTIFS($B$6:$B$1505,B320,$F$6:$F$1505,F320,$A$6:$A$1505,"&lt;="&amp;A320))</f>
        <v>33</v>
      </c>
      <c r="N320" s="41" t="n">
        <f aca="false">IF(M320="","",ROUNDUP(M320/H320,0))</f>
        <v>11</v>
      </c>
      <c r="O320" s="41" t="str">
        <f aca="false">IF(N320="","",IF(N320&lt;='Kitting Plan'!$C$3,"Rep "&amp;N320,"Surplus"))</f>
        <v>Rep 11</v>
      </c>
    </row>
    <row r="321" customFormat="false" ht="15" hidden="false" customHeight="false" outlineLevel="0" collapsed="false">
      <c r="A321" s="40" t="n">
        <f aca="false">IF(OR($A$4=0,INDEX('COOIS Raw'!$A:$GZ,ROW()-4,$A$4)=""),"",IFERROR(--INDEX('COOIS Raw'!$A:$GZ,ROW()-4,$A$4),INDEX('COOIS Raw'!$A:$GZ,ROW()-4,$A$4)))</f>
        <v>100876675</v>
      </c>
      <c r="B321" s="41" t="str">
        <f aca="false">IF(A321="","",TRIM(INDEX('COOIS Raw'!$A:$GZ,ROW()-4,$B$4)))</f>
        <v>91YAF03404AAA</v>
      </c>
      <c r="C321" s="42" t="str">
        <f aca="false">IF(OR(A321="",$C$4=0),"",INDEX('COOIS Raw'!$A:$GZ,ROW()-4,$C$4))</f>
        <v>R5B PSB SUB ASSEMBLY 4P-4FP</v>
      </c>
      <c r="D321" s="41" t="n">
        <f aca="false">IF(A321="","",IF($D$4=0,1,IFERROR(--INDEX('COOIS Raw'!$A:$GZ,ROW()-4,$D$4),1)))</f>
        <v>1</v>
      </c>
      <c r="E321" s="42" t="str">
        <f aca="false">IF(A321="","",INDEX('COOIS Raw'!$A:$GZ,ROW()-4,$E$4)&amp;"")</f>
        <v>REL PRT PCNF PRC MANC RESA SETC</v>
      </c>
      <c r="F321" s="43" t="n">
        <f aca="false">IF(A321="","",IFERROR(DATEVALUE(INDEX('COOIS Raw'!$A:$GZ,ROW()-4,$F$4)),INDEX('COOIS Raw'!$A:$GZ,ROW()-4,$F$4)))</f>
        <v>46273</v>
      </c>
      <c r="G321" s="41" t="str">
        <f aca="false">IF(A321="","",IF(ISNA(MATCH(B321,'Kitting Plan'!$B$6:$B$19,0)),"Not in plan","Yes"))</f>
        <v>Yes</v>
      </c>
      <c r="H321" s="41" t="n">
        <f aca="false">IF(G321="Yes",INDEX('Kitting Plan'!$D$6:$D$19,MATCH(B321,'Kitting Plan'!$B$6:$B$19,0)),"")</f>
        <v>3</v>
      </c>
      <c r="I321" s="41" t="n">
        <f aca="false">IF(A321="","",IF(ISNUMBER(SEARCH("PRT",E321)),D321,0))</f>
        <v>1</v>
      </c>
      <c r="J321" s="41" t="n">
        <f aca="false">IF(A321="","",IF(ISNUMBER(SEARCH("GMPS",E321)),D321,0))</f>
        <v>0</v>
      </c>
      <c r="K321" s="41" t="n">
        <f aca="false">IF(A321="","",IF(ISNUMBER(SEARCH("DLV",E321)),D321,0))</f>
        <v>0</v>
      </c>
      <c r="L321" s="41" t="str">
        <f aca="false">IF(A321="","",IF(K321&gt;0,"Delivered",IF(ISNUMBER(SEARCH("CNF",E321)),"In production",IF(J321&gt;0,"Issued",IF(I321&gt;0,"Kitted","Released")))))</f>
        <v>In production</v>
      </c>
      <c r="M321" s="41" t="n">
        <f aca="false">IF(G321&lt;&gt;"Yes","",COUNTIFS($B$6:$B$1505,B321,$F$6:$F$1505,"&lt;"&amp;F321)+COUNTIFS($B$6:$B$1505,B321,$F$6:$F$1505,F321,$A$6:$A$1505,"&lt;="&amp;A321))</f>
        <v>34</v>
      </c>
      <c r="N321" s="41" t="n">
        <f aca="false">IF(M321="","",ROUNDUP(M321/H321,0))</f>
        <v>12</v>
      </c>
      <c r="O321" s="41" t="str">
        <f aca="false">IF(N321="","",IF(N321&lt;='Kitting Plan'!$C$3,"Rep "&amp;N321,"Surplus"))</f>
        <v>Rep 12</v>
      </c>
    </row>
    <row r="322" customFormat="false" ht="15" hidden="false" customHeight="false" outlineLevel="0" collapsed="false">
      <c r="A322" s="40" t="n">
        <f aca="false">IF(OR($A$4=0,INDEX('COOIS Raw'!$A:$GZ,ROW()-4,$A$4)=""),"",IFERROR(--INDEX('COOIS Raw'!$A:$GZ,ROW()-4,$A$4),INDEX('COOIS Raw'!$A:$GZ,ROW()-4,$A$4)))</f>
        <v>100876677</v>
      </c>
      <c r="B322" s="41" t="str">
        <f aca="false">IF(A322="","",TRIM(INDEX('COOIS Raw'!$A:$GZ,ROW()-4,$B$4)))</f>
        <v>91YAF03404AAA</v>
      </c>
      <c r="C322" s="42" t="str">
        <f aca="false">IF(OR(A322="",$C$4=0),"",INDEX('COOIS Raw'!$A:$GZ,ROW()-4,$C$4))</f>
        <v>R5B PSB SUB ASSEMBLY 4P-4FP</v>
      </c>
      <c r="D322" s="41" t="n">
        <f aca="false">IF(A322="","",IF($D$4=0,1,IFERROR(--INDEX('COOIS Raw'!$A:$GZ,ROW()-4,$D$4),1)))</f>
        <v>1</v>
      </c>
      <c r="E322" s="42" t="str">
        <f aca="false">IF(A322="","",INDEX('COOIS Raw'!$A:$GZ,ROW()-4,$E$4)&amp;"")</f>
        <v>REL PRT PCNF PRC MANC RESA SETC</v>
      </c>
      <c r="F322" s="43" t="n">
        <f aca="false">IF(A322="","",IFERROR(DATEVALUE(INDEX('COOIS Raw'!$A:$GZ,ROW()-4,$F$4)),INDEX('COOIS Raw'!$A:$GZ,ROW()-4,$F$4)))</f>
        <v>46273</v>
      </c>
      <c r="G322" s="41" t="str">
        <f aca="false">IF(A322="","",IF(ISNA(MATCH(B322,'Kitting Plan'!$B$6:$B$19,0)),"Not in plan","Yes"))</f>
        <v>Yes</v>
      </c>
      <c r="H322" s="41" t="n">
        <f aca="false">IF(G322="Yes",INDEX('Kitting Plan'!$D$6:$D$19,MATCH(B322,'Kitting Plan'!$B$6:$B$19,0)),"")</f>
        <v>3</v>
      </c>
      <c r="I322" s="41" t="n">
        <f aca="false">IF(A322="","",IF(ISNUMBER(SEARCH("PRT",E322)),D322,0))</f>
        <v>1</v>
      </c>
      <c r="J322" s="41" t="n">
        <f aca="false">IF(A322="","",IF(ISNUMBER(SEARCH("GMPS",E322)),D322,0))</f>
        <v>0</v>
      </c>
      <c r="K322" s="41" t="n">
        <f aca="false">IF(A322="","",IF(ISNUMBER(SEARCH("DLV",E322)),D322,0))</f>
        <v>0</v>
      </c>
      <c r="L322" s="41" t="str">
        <f aca="false">IF(A322="","",IF(K322&gt;0,"Delivered",IF(ISNUMBER(SEARCH("CNF",E322)),"In production",IF(J322&gt;0,"Issued",IF(I322&gt;0,"Kitted","Released")))))</f>
        <v>In production</v>
      </c>
      <c r="M322" s="41" t="n">
        <f aca="false">IF(G322&lt;&gt;"Yes","",COUNTIFS($B$6:$B$1505,B322,$F$6:$F$1505,"&lt;"&amp;F322)+COUNTIFS($B$6:$B$1505,B322,$F$6:$F$1505,F322,$A$6:$A$1505,"&lt;="&amp;A322))</f>
        <v>35</v>
      </c>
      <c r="N322" s="41" t="n">
        <f aca="false">IF(M322="","",ROUNDUP(M322/H322,0))</f>
        <v>12</v>
      </c>
      <c r="O322" s="41" t="str">
        <f aca="false">IF(N322="","",IF(N322&lt;='Kitting Plan'!$C$3,"Rep "&amp;N322,"Surplus"))</f>
        <v>Rep 12</v>
      </c>
    </row>
    <row r="323" customFormat="false" ht="15" hidden="false" customHeight="false" outlineLevel="0" collapsed="false">
      <c r="A323" s="40" t="n">
        <f aca="false">IF(OR($A$4=0,INDEX('COOIS Raw'!$A:$GZ,ROW()-4,$A$4)=""),"",IFERROR(--INDEX('COOIS Raw'!$A:$GZ,ROW()-4,$A$4),INDEX('COOIS Raw'!$A:$GZ,ROW()-4,$A$4)))</f>
        <v>100876443</v>
      </c>
      <c r="B323" s="41" t="str">
        <f aca="false">IF(A323="","",TRIM(INDEX('COOIS Raw'!$A:$GZ,ROW()-4,$B$4)))</f>
        <v>92RRA00548AAA</v>
      </c>
      <c r="C323" s="42" t="str">
        <f aca="false">IF(OR(A323="",$C$4=0),"",INDEX('COOIS Raw'!$A:$GZ,ROW()-4,$C$4))</f>
        <v>R5B ERBIUM SPOOL ASSEMBLY - E2A</v>
      </c>
      <c r="D323" s="41" t="n">
        <f aca="false">IF(A323="","",IF($D$4=0,1,IFERROR(--INDEX('COOIS Raw'!$A:$GZ,ROW()-4,$D$4),1)))</f>
        <v>1</v>
      </c>
      <c r="E323" s="42" t="str">
        <f aca="false">IF(A323="","",INDEX('COOIS Raw'!$A:$GZ,ROW()-4,$E$4)&amp;"")</f>
        <v>REL PRT CNF DLV PRC GMPS MANC SETC</v>
      </c>
      <c r="F323" s="43" t="n">
        <f aca="false">IF(A323="","",IFERROR(DATEVALUE(INDEX('COOIS Raw'!$A:$GZ,ROW()-4,$F$4)),INDEX('COOIS Raw'!$A:$GZ,ROW()-4,$F$4)))</f>
        <v>46272</v>
      </c>
      <c r="G323" s="41" t="str">
        <f aca="false">IF(A323="","",IF(ISNA(MATCH(B323,'Kitting Plan'!$B$6:$B$19,0)),"Not in plan","Yes"))</f>
        <v>Yes</v>
      </c>
      <c r="H323" s="41" t="n">
        <f aca="false">IF(G323="Yes",INDEX('Kitting Plan'!$D$6:$D$19,MATCH(B323,'Kitting Plan'!$B$6:$B$19,0)),"")</f>
        <v>24</v>
      </c>
      <c r="I323" s="41" t="n">
        <f aca="false">IF(A323="","",IF(ISNUMBER(SEARCH("PRT",E323)),D323,0))</f>
        <v>1</v>
      </c>
      <c r="J323" s="41" t="n">
        <f aca="false">IF(A323="","",IF(ISNUMBER(SEARCH("GMPS",E323)),D323,0))</f>
        <v>1</v>
      </c>
      <c r="K323" s="41" t="n">
        <f aca="false">IF(A323="","",IF(ISNUMBER(SEARCH("DLV",E323)),D323,0))</f>
        <v>1</v>
      </c>
      <c r="L323" s="41" t="str">
        <f aca="false">IF(A323="","",IF(K323&gt;0,"Delivered",IF(ISNUMBER(SEARCH("CNF",E323)),"In production",IF(J323&gt;0,"Issued",IF(I323&gt;0,"Kitted","Released")))))</f>
        <v>Delivered</v>
      </c>
      <c r="M323" s="41" t="n">
        <f aca="false">IF(G323&lt;&gt;"Yes","",COUNTIFS($B$6:$B$1505,B323,$F$6:$F$1505,"&lt;"&amp;F323)+COUNTIFS($B$6:$B$1505,B323,$F$6:$F$1505,F323,$A$6:$A$1505,"&lt;="&amp;A323))</f>
        <v>151</v>
      </c>
      <c r="N323" s="41" t="n">
        <f aca="false">IF(M323="","",ROUNDUP(M323/H323,0))</f>
        <v>7</v>
      </c>
      <c r="O323" s="41" t="str">
        <f aca="false">IF(N323="","",IF(N323&lt;='Kitting Plan'!$C$3,"Rep "&amp;N323,"Surplus"))</f>
        <v>Rep 7</v>
      </c>
    </row>
    <row r="324" customFormat="false" ht="15" hidden="false" customHeight="false" outlineLevel="0" collapsed="false">
      <c r="A324" s="40" t="n">
        <f aca="false">IF(OR($A$4=0,INDEX('COOIS Raw'!$A:$GZ,ROW()-4,$A$4)=""),"",IFERROR(--INDEX('COOIS Raw'!$A:$GZ,ROW()-4,$A$4),INDEX('COOIS Raw'!$A:$GZ,ROW()-4,$A$4)))</f>
        <v>100876444</v>
      </c>
      <c r="B324" s="41" t="str">
        <f aca="false">IF(A324="","",TRIM(INDEX('COOIS Raw'!$A:$GZ,ROW()-4,$B$4)))</f>
        <v>92RRA00548AAA</v>
      </c>
      <c r="C324" s="42" t="str">
        <f aca="false">IF(OR(A324="",$C$4=0),"",INDEX('COOIS Raw'!$A:$GZ,ROW()-4,$C$4))</f>
        <v>R5B ERBIUM SPOOL ASSEMBLY - E2A</v>
      </c>
      <c r="D324" s="41" t="n">
        <f aca="false">IF(A324="","",IF($D$4=0,1,IFERROR(--INDEX('COOIS Raw'!$A:$GZ,ROW()-4,$D$4),1)))</f>
        <v>1</v>
      </c>
      <c r="E324" s="42" t="str">
        <f aca="false">IF(A324="","",INDEX('COOIS Raw'!$A:$GZ,ROW()-4,$E$4)&amp;"")</f>
        <v>REL PRT CNF DLV PRC GMPS MANC SETC</v>
      </c>
      <c r="F324" s="43" t="n">
        <f aca="false">IF(A324="","",IFERROR(DATEVALUE(INDEX('COOIS Raw'!$A:$GZ,ROW()-4,$F$4)),INDEX('COOIS Raw'!$A:$GZ,ROW()-4,$F$4)))</f>
        <v>46272</v>
      </c>
      <c r="G324" s="41" t="str">
        <f aca="false">IF(A324="","",IF(ISNA(MATCH(B324,'Kitting Plan'!$B$6:$B$19,0)),"Not in plan","Yes"))</f>
        <v>Yes</v>
      </c>
      <c r="H324" s="41" t="n">
        <f aca="false">IF(G324="Yes",INDEX('Kitting Plan'!$D$6:$D$19,MATCH(B324,'Kitting Plan'!$B$6:$B$19,0)),"")</f>
        <v>24</v>
      </c>
      <c r="I324" s="41" t="n">
        <f aca="false">IF(A324="","",IF(ISNUMBER(SEARCH("PRT",E324)),D324,0))</f>
        <v>1</v>
      </c>
      <c r="J324" s="41" t="n">
        <f aca="false">IF(A324="","",IF(ISNUMBER(SEARCH("GMPS",E324)),D324,0))</f>
        <v>1</v>
      </c>
      <c r="K324" s="41" t="n">
        <f aca="false">IF(A324="","",IF(ISNUMBER(SEARCH("DLV",E324)),D324,0))</f>
        <v>1</v>
      </c>
      <c r="L324" s="41" t="str">
        <f aca="false">IF(A324="","",IF(K324&gt;0,"Delivered",IF(ISNUMBER(SEARCH("CNF",E324)),"In production",IF(J324&gt;0,"Issued",IF(I324&gt;0,"Kitted","Released")))))</f>
        <v>Delivered</v>
      </c>
      <c r="M324" s="41" t="n">
        <f aca="false">IF(G324&lt;&gt;"Yes","",COUNTIFS($B$6:$B$1505,B324,$F$6:$F$1505,"&lt;"&amp;F324)+COUNTIFS($B$6:$B$1505,B324,$F$6:$F$1505,F324,$A$6:$A$1505,"&lt;="&amp;A324))</f>
        <v>152</v>
      </c>
      <c r="N324" s="41" t="n">
        <f aca="false">IF(M324="","",ROUNDUP(M324/H324,0))</f>
        <v>7</v>
      </c>
      <c r="O324" s="41" t="str">
        <f aca="false">IF(N324="","",IF(N324&lt;='Kitting Plan'!$C$3,"Rep "&amp;N324,"Surplus"))</f>
        <v>Rep 7</v>
      </c>
    </row>
    <row r="325" customFormat="false" ht="15" hidden="false" customHeight="false" outlineLevel="0" collapsed="false">
      <c r="A325" s="40" t="n">
        <f aca="false">IF(OR($A$4=0,INDEX('COOIS Raw'!$A:$GZ,ROW()-4,$A$4)=""),"",IFERROR(--INDEX('COOIS Raw'!$A:$GZ,ROW()-4,$A$4),INDEX('COOIS Raw'!$A:$GZ,ROW()-4,$A$4)))</f>
        <v>100876479</v>
      </c>
      <c r="B325" s="41" t="str">
        <f aca="false">IF(A325="","",TRIM(INDEX('COOIS Raw'!$A:$GZ,ROW()-4,$B$4)))</f>
        <v>92RRA00548AAA</v>
      </c>
      <c r="C325" s="42" t="str">
        <f aca="false">IF(OR(A325="",$C$4=0),"",INDEX('COOIS Raw'!$A:$GZ,ROW()-4,$C$4))</f>
        <v>R5B ERBIUM SPOOL ASSEMBLY - E2A</v>
      </c>
      <c r="D325" s="41" t="n">
        <f aca="false">IF(A325="","",IF($D$4=0,1,IFERROR(--INDEX('COOIS Raw'!$A:$GZ,ROW()-4,$D$4),1)))</f>
        <v>1</v>
      </c>
      <c r="E325" s="42" t="str">
        <f aca="false">IF(A325="","",INDEX('COOIS Raw'!$A:$GZ,ROW()-4,$E$4)&amp;"")</f>
        <v>REL PRT CNF DLV PRC GMPS MANC SETC</v>
      </c>
      <c r="F325" s="43" t="n">
        <f aca="false">IF(A325="","",IFERROR(DATEVALUE(INDEX('COOIS Raw'!$A:$GZ,ROW()-4,$F$4)),INDEX('COOIS Raw'!$A:$GZ,ROW()-4,$F$4)))</f>
        <v>46272</v>
      </c>
      <c r="G325" s="41" t="str">
        <f aca="false">IF(A325="","",IF(ISNA(MATCH(B325,'Kitting Plan'!$B$6:$B$19,0)),"Not in plan","Yes"))</f>
        <v>Yes</v>
      </c>
      <c r="H325" s="41" t="n">
        <f aca="false">IF(G325="Yes",INDEX('Kitting Plan'!$D$6:$D$19,MATCH(B325,'Kitting Plan'!$B$6:$B$19,0)),"")</f>
        <v>24</v>
      </c>
      <c r="I325" s="41" t="n">
        <f aca="false">IF(A325="","",IF(ISNUMBER(SEARCH("PRT",E325)),D325,0))</f>
        <v>1</v>
      </c>
      <c r="J325" s="41" t="n">
        <f aca="false">IF(A325="","",IF(ISNUMBER(SEARCH("GMPS",E325)),D325,0))</f>
        <v>1</v>
      </c>
      <c r="K325" s="41" t="n">
        <f aca="false">IF(A325="","",IF(ISNUMBER(SEARCH("DLV",E325)),D325,0))</f>
        <v>1</v>
      </c>
      <c r="L325" s="41" t="str">
        <f aca="false">IF(A325="","",IF(K325&gt;0,"Delivered",IF(ISNUMBER(SEARCH("CNF",E325)),"In production",IF(J325&gt;0,"Issued",IF(I325&gt;0,"Kitted","Released")))))</f>
        <v>Delivered</v>
      </c>
      <c r="M325" s="41" t="n">
        <f aca="false">IF(G325&lt;&gt;"Yes","",COUNTIFS($B$6:$B$1505,B325,$F$6:$F$1505,"&lt;"&amp;F325)+COUNTIFS($B$6:$B$1505,B325,$F$6:$F$1505,F325,$A$6:$A$1505,"&lt;="&amp;A325))</f>
        <v>153</v>
      </c>
      <c r="N325" s="41" t="n">
        <f aca="false">IF(M325="","",ROUNDUP(M325/H325,0))</f>
        <v>7</v>
      </c>
      <c r="O325" s="41" t="str">
        <f aca="false">IF(N325="","",IF(N325&lt;='Kitting Plan'!$C$3,"Rep "&amp;N325,"Surplus"))</f>
        <v>Rep 7</v>
      </c>
    </row>
    <row r="326" customFormat="false" ht="15" hidden="false" customHeight="false" outlineLevel="0" collapsed="false">
      <c r="A326" s="40" t="n">
        <f aca="false">IF(OR($A$4=0,INDEX('COOIS Raw'!$A:$GZ,ROW()-4,$A$4)=""),"",IFERROR(--INDEX('COOIS Raw'!$A:$GZ,ROW()-4,$A$4),INDEX('COOIS Raw'!$A:$GZ,ROW()-4,$A$4)))</f>
        <v>100876480</v>
      </c>
      <c r="B326" s="41" t="str">
        <f aca="false">IF(A326="","",TRIM(INDEX('COOIS Raw'!$A:$GZ,ROW()-4,$B$4)))</f>
        <v>92RRA00548AAA</v>
      </c>
      <c r="C326" s="42" t="str">
        <f aca="false">IF(OR(A326="",$C$4=0),"",INDEX('COOIS Raw'!$A:$GZ,ROW()-4,$C$4))</f>
        <v>R5B ERBIUM SPOOL ASSEMBLY - E2A</v>
      </c>
      <c r="D326" s="41" t="n">
        <f aca="false">IF(A326="","",IF($D$4=0,1,IFERROR(--INDEX('COOIS Raw'!$A:$GZ,ROW()-4,$D$4),1)))</f>
        <v>1</v>
      </c>
      <c r="E326" s="42" t="str">
        <f aca="false">IF(A326="","",INDEX('COOIS Raw'!$A:$GZ,ROW()-4,$E$4)&amp;"")</f>
        <v>REL PRT CNF DLV PRC GMPS MANC SETC</v>
      </c>
      <c r="F326" s="43" t="n">
        <f aca="false">IF(A326="","",IFERROR(DATEVALUE(INDEX('COOIS Raw'!$A:$GZ,ROW()-4,$F$4)),INDEX('COOIS Raw'!$A:$GZ,ROW()-4,$F$4)))</f>
        <v>46272</v>
      </c>
      <c r="G326" s="41" t="str">
        <f aca="false">IF(A326="","",IF(ISNA(MATCH(B326,'Kitting Plan'!$B$6:$B$19,0)),"Not in plan","Yes"))</f>
        <v>Yes</v>
      </c>
      <c r="H326" s="41" t="n">
        <f aca="false">IF(G326="Yes",INDEX('Kitting Plan'!$D$6:$D$19,MATCH(B326,'Kitting Plan'!$B$6:$B$19,0)),"")</f>
        <v>24</v>
      </c>
      <c r="I326" s="41" t="n">
        <f aca="false">IF(A326="","",IF(ISNUMBER(SEARCH("PRT",E326)),D326,0))</f>
        <v>1</v>
      </c>
      <c r="J326" s="41" t="n">
        <f aca="false">IF(A326="","",IF(ISNUMBER(SEARCH("GMPS",E326)),D326,0))</f>
        <v>1</v>
      </c>
      <c r="K326" s="41" t="n">
        <f aca="false">IF(A326="","",IF(ISNUMBER(SEARCH("DLV",E326)),D326,0))</f>
        <v>1</v>
      </c>
      <c r="L326" s="41" t="str">
        <f aca="false">IF(A326="","",IF(K326&gt;0,"Delivered",IF(ISNUMBER(SEARCH("CNF",E326)),"In production",IF(J326&gt;0,"Issued",IF(I326&gt;0,"Kitted","Released")))))</f>
        <v>Delivered</v>
      </c>
      <c r="M326" s="41" t="n">
        <f aca="false">IF(G326&lt;&gt;"Yes","",COUNTIFS($B$6:$B$1505,B326,$F$6:$F$1505,"&lt;"&amp;F326)+COUNTIFS($B$6:$B$1505,B326,$F$6:$F$1505,F326,$A$6:$A$1505,"&lt;="&amp;A326))</f>
        <v>154</v>
      </c>
      <c r="N326" s="41" t="n">
        <f aca="false">IF(M326="","",ROUNDUP(M326/H326,0))</f>
        <v>7</v>
      </c>
      <c r="O326" s="41" t="str">
        <f aca="false">IF(N326="","",IF(N326&lt;='Kitting Plan'!$C$3,"Rep "&amp;N326,"Surplus"))</f>
        <v>Rep 7</v>
      </c>
    </row>
    <row r="327" customFormat="false" ht="15" hidden="false" customHeight="false" outlineLevel="0" collapsed="false">
      <c r="A327" s="40" t="n">
        <f aca="false">IF(OR($A$4=0,INDEX('COOIS Raw'!$A:$GZ,ROW()-4,$A$4)=""),"",IFERROR(--INDEX('COOIS Raw'!$A:$GZ,ROW()-4,$A$4),INDEX('COOIS Raw'!$A:$GZ,ROW()-4,$A$4)))</f>
        <v>100876481</v>
      </c>
      <c r="B327" s="41" t="str">
        <f aca="false">IF(A327="","",TRIM(INDEX('COOIS Raw'!$A:$GZ,ROW()-4,$B$4)))</f>
        <v>92RRA00548AAA</v>
      </c>
      <c r="C327" s="42" t="str">
        <f aca="false">IF(OR(A327="",$C$4=0),"",INDEX('COOIS Raw'!$A:$GZ,ROW()-4,$C$4))</f>
        <v>R5B ERBIUM SPOOL ASSEMBLY - E2A</v>
      </c>
      <c r="D327" s="41" t="n">
        <f aca="false">IF(A327="","",IF($D$4=0,1,IFERROR(--INDEX('COOIS Raw'!$A:$GZ,ROW()-4,$D$4),1)))</f>
        <v>1</v>
      </c>
      <c r="E327" s="42" t="str">
        <f aca="false">IF(A327="","",INDEX('COOIS Raw'!$A:$GZ,ROW()-4,$E$4)&amp;"")</f>
        <v>REL PRT CNF DLV PRC GMPS MANC SETC</v>
      </c>
      <c r="F327" s="43" t="n">
        <f aca="false">IF(A327="","",IFERROR(DATEVALUE(INDEX('COOIS Raw'!$A:$GZ,ROW()-4,$F$4)),INDEX('COOIS Raw'!$A:$GZ,ROW()-4,$F$4)))</f>
        <v>46272</v>
      </c>
      <c r="G327" s="41" t="str">
        <f aca="false">IF(A327="","",IF(ISNA(MATCH(B327,'Kitting Plan'!$B$6:$B$19,0)),"Not in plan","Yes"))</f>
        <v>Yes</v>
      </c>
      <c r="H327" s="41" t="n">
        <f aca="false">IF(G327="Yes",INDEX('Kitting Plan'!$D$6:$D$19,MATCH(B327,'Kitting Plan'!$B$6:$B$19,0)),"")</f>
        <v>24</v>
      </c>
      <c r="I327" s="41" t="n">
        <f aca="false">IF(A327="","",IF(ISNUMBER(SEARCH("PRT",E327)),D327,0))</f>
        <v>1</v>
      </c>
      <c r="J327" s="41" t="n">
        <f aca="false">IF(A327="","",IF(ISNUMBER(SEARCH("GMPS",E327)),D327,0))</f>
        <v>1</v>
      </c>
      <c r="K327" s="41" t="n">
        <f aca="false">IF(A327="","",IF(ISNUMBER(SEARCH("DLV",E327)),D327,0))</f>
        <v>1</v>
      </c>
      <c r="L327" s="41" t="str">
        <f aca="false">IF(A327="","",IF(K327&gt;0,"Delivered",IF(ISNUMBER(SEARCH("CNF",E327)),"In production",IF(J327&gt;0,"Issued",IF(I327&gt;0,"Kitted","Released")))))</f>
        <v>Delivered</v>
      </c>
      <c r="M327" s="41" t="n">
        <f aca="false">IF(G327&lt;&gt;"Yes","",COUNTIFS($B$6:$B$1505,B327,$F$6:$F$1505,"&lt;"&amp;F327)+COUNTIFS($B$6:$B$1505,B327,$F$6:$F$1505,F327,$A$6:$A$1505,"&lt;="&amp;A327))</f>
        <v>155</v>
      </c>
      <c r="N327" s="41" t="n">
        <f aca="false">IF(M327="","",ROUNDUP(M327/H327,0))</f>
        <v>7</v>
      </c>
      <c r="O327" s="41" t="str">
        <f aca="false">IF(N327="","",IF(N327&lt;='Kitting Plan'!$C$3,"Rep "&amp;N327,"Surplus"))</f>
        <v>Rep 7</v>
      </c>
    </row>
    <row r="328" customFormat="false" ht="15" hidden="false" customHeight="false" outlineLevel="0" collapsed="false">
      <c r="A328" s="40" t="n">
        <f aca="false">IF(OR($A$4=0,INDEX('COOIS Raw'!$A:$GZ,ROW()-4,$A$4)=""),"",IFERROR(--INDEX('COOIS Raw'!$A:$GZ,ROW()-4,$A$4),INDEX('COOIS Raw'!$A:$GZ,ROW()-4,$A$4)))</f>
        <v>100876482</v>
      </c>
      <c r="B328" s="41" t="str">
        <f aca="false">IF(A328="","",TRIM(INDEX('COOIS Raw'!$A:$GZ,ROW()-4,$B$4)))</f>
        <v>92RRA00548AAA</v>
      </c>
      <c r="C328" s="42" t="str">
        <f aca="false">IF(OR(A328="",$C$4=0),"",INDEX('COOIS Raw'!$A:$GZ,ROW()-4,$C$4))</f>
        <v>R5B ERBIUM SPOOL ASSEMBLY - E2A</v>
      </c>
      <c r="D328" s="41" t="n">
        <f aca="false">IF(A328="","",IF($D$4=0,1,IFERROR(--INDEX('COOIS Raw'!$A:$GZ,ROW()-4,$D$4),1)))</f>
        <v>1</v>
      </c>
      <c r="E328" s="42" t="str">
        <f aca="false">IF(A328="","",INDEX('COOIS Raw'!$A:$GZ,ROW()-4,$E$4)&amp;"")</f>
        <v>REL PRT CNF DLV PRC GMPS MANC SETC</v>
      </c>
      <c r="F328" s="43" t="n">
        <f aca="false">IF(A328="","",IFERROR(DATEVALUE(INDEX('COOIS Raw'!$A:$GZ,ROW()-4,$F$4)),INDEX('COOIS Raw'!$A:$GZ,ROW()-4,$F$4)))</f>
        <v>46272</v>
      </c>
      <c r="G328" s="41" t="str">
        <f aca="false">IF(A328="","",IF(ISNA(MATCH(B328,'Kitting Plan'!$B$6:$B$19,0)),"Not in plan","Yes"))</f>
        <v>Yes</v>
      </c>
      <c r="H328" s="41" t="n">
        <f aca="false">IF(G328="Yes",INDEX('Kitting Plan'!$D$6:$D$19,MATCH(B328,'Kitting Plan'!$B$6:$B$19,0)),"")</f>
        <v>24</v>
      </c>
      <c r="I328" s="41" t="n">
        <f aca="false">IF(A328="","",IF(ISNUMBER(SEARCH("PRT",E328)),D328,0))</f>
        <v>1</v>
      </c>
      <c r="J328" s="41" t="n">
        <f aca="false">IF(A328="","",IF(ISNUMBER(SEARCH("GMPS",E328)),D328,0))</f>
        <v>1</v>
      </c>
      <c r="K328" s="41" t="n">
        <f aca="false">IF(A328="","",IF(ISNUMBER(SEARCH("DLV",E328)),D328,0))</f>
        <v>1</v>
      </c>
      <c r="L328" s="41" t="str">
        <f aca="false">IF(A328="","",IF(K328&gt;0,"Delivered",IF(ISNUMBER(SEARCH("CNF",E328)),"In production",IF(J328&gt;0,"Issued",IF(I328&gt;0,"Kitted","Released")))))</f>
        <v>Delivered</v>
      </c>
      <c r="M328" s="41" t="n">
        <f aca="false">IF(G328&lt;&gt;"Yes","",COUNTIFS($B$6:$B$1505,B328,$F$6:$F$1505,"&lt;"&amp;F328)+COUNTIFS($B$6:$B$1505,B328,$F$6:$F$1505,F328,$A$6:$A$1505,"&lt;="&amp;A328))</f>
        <v>156</v>
      </c>
      <c r="N328" s="41" t="n">
        <f aca="false">IF(M328="","",ROUNDUP(M328/H328,0))</f>
        <v>7</v>
      </c>
      <c r="O328" s="41" t="str">
        <f aca="false">IF(N328="","",IF(N328&lt;='Kitting Plan'!$C$3,"Rep "&amp;N328,"Surplus"))</f>
        <v>Rep 7</v>
      </c>
    </row>
    <row r="329" customFormat="false" ht="15" hidden="false" customHeight="false" outlineLevel="0" collapsed="false">
      <c r="A329" s="40" t="n">
        <f aca="false">IF(OR($A$4=0,INDEX('COOIS Raw'!$A:$GZ,ROW()-4,$A$4)=""),"",IFERROR(--INDEX('COOIS Raw'!$A:$GZ,ROW()-4,$A$4),INDEX('COOIS Raw'!$A:$GZ,ROW()-4,$A$4)))</f>
        <v>100876483</v>
      </c>
      <c r="B329" s="41" t="str">
        <f aca="false">IF(A329="","",TRIM(INDEX('COOIS Raw'!$A:$GZ,ROW()-4,$B$4)))</f>
        <v>92RRA00548AAA</v>
      </c>
      <c r="C329" s="42" t="str">
        <f aca="false">IF(OR(A329="",$C$4=0),"",INDEX('COOIS Raw'!$A:$GZ,ROW()-4,$C$4))</f>
        <v>R5B ERBIUM SPOOL ASSEMBLY - E2A</v>
      </c>
      <c r="D329" s="41" t="n">
        <f aca="false">IF(A329="","",IF($D$4=0,1,IFERROR(--INDEX('COOIS Raw'!$A:$GZ,ROW()-4,$D$4),1)))</f>
        <v>1</v>
      </c>
      <c r="E329" s="42" t="str">
        <f aca="false">IF(A329="","",INDEX('COOIS Raw'!$A:$GZ,ROW()-4,$E$4)&amp;"")</f>
        <v>REL PRT CNF DLV PRC GMPS MANC SETC</v>
      </c>
      <c r="F329" s="43" t="n">
        <f aca="false">IF(A329="","",IFERROR(DATEVALUE(INDEX('COOIS Raw'!$A:$GZ,ROW()-4,$F$4)),INDEX('COOIS Raw'!$A:$GZ,ROW()-4,$F$4)))</f>
        <v>46272</v>
      </c>
      <c r="G329" s="41" t="str">
        <f aca="false">IF(A329="","",IF(ISNA(MATCH(B329,'Kitting Plan'!$B$6:$B$19,0)),"Not in plan","Yes"))</f>
        <v>Yes</v>
      </c>
      <c r="H329" s="41" t="n">
        <f aca="false">IF(G329="Yes",INDEX('Kitting Plan'!$D$6:$D$19,MATCH(B329,'Kitting Plan'!$B$6:$B$19,0)),"")</f>
        <v>24</v>
      </c>
      <c r="I329" s="41" t="n">
        <f aca="false">IF(A329="","",IF(ISNUMBER(SEARCH("PRT",E329)),D329,0))</f>
        <v>1</v>
      </c>
      <c r="J329" s="41" t="n">
        <f aca="false">IF(A329="","",IF(ISNUMBER(SEARCH("GMPS",E329)),D329,0))</f>
        <v>1</v>
      </c>
      <c r="K329" s="41" t="n">
        <f aca="false">IF(A329="","",IF(ISNUMBER(SEARCH("DLV",E329)),D329,0))</f>
        <v>1</v>
      </c>
      <c r="L329" s="41" t="str">
        <f aca="false">IF(A329="","",IF(K329&gt;0,"Delivered",IF(ISNUMBER(SEARCH("CNF",E329)),"In production",IF(J329&gt;0,"Issued",IF(I329&gt;0,"Kitted","Released")))))</f>
        <v>Delivered</v>
      </c>
      <c r="M329" s="41" t="n">
        <f aca="false">IF(G329&lt;&gt;"Yes","",COUNTIFS($B$6:$B$1505,B329,$F$6:$F$1505,"&lt;"&amp;F329)+COUNTIFS($B$6:$B$1505,B329,$F$6:$F$1505,F329,$A$6:$A$1505,"&lt;="&amp;A329))</f>
        <v>157</v>
      </c>
      <c r="N329" s="41" t="n">
        <f aca="false">IF(M329="","",ROUNDUP(M329/H329,0))</f>
        <v>7</v>
      </c>
      <c r="O329" s="41" t="str">
        <f aca="false">IF(N329="","",IF(N329&lt;='Kitting Plan'!$C$3,"Rep "&amp;N329,"Surplus"))</f>
        <v>Rep 7</v>
      </c>
    </row>
    <row r="330" customFormat="false" ht="15" hidden="false" customHeight="false" outlineLevel="0" collapsed="false">
      <c r="A330" s="40" t="n">
        <f aca="false">IF(OR($A$4=0,INDEX('COOIS Raw'!$A:$GZ,ROW()-4,$A$4)=""),"",IFERROR(--INDEX('COOIS Raw'!$A:$GZ,ROW()-4,$A$4),INDEX('COOIS Raw'!$A:$GZ,ROW()-4,$A$4)))</f>
        <v>100876484</v>
      </c>
      <c r="B330" s="41" t="str">
        <f aca="false">IF(A330="","",TRIM(INDEX('COOIS Raw'!$A:$GZ,ROW()-4,$B$4)))</f>
        <v>92RRA00548AAA</v>
      </c>
      <c r="C330" s="42" t="str">
        <f aca="false">IF(OR(A330="",$C$4=0),"",INDEX('COOIS Raw'!$A:$GZ,ROW()-4,$C$4))</f>
        <v>R5B ERBIUM SPOOL ASSEMBLY - E2A</v>
      </c>
      <c r="D330" s="41" t="n">
        <f aca="false">IF(A330="","",IF($D$4=0,1,IFERROR(--INDEX('COOIS Raw'!$A:$GZ,ROW()-4,$D$4),1)))</f>
        <v>1</v>
      </c>
      <c r="E330" s="42" t="str">
        <f aca="false">IF(A330="","",INDEX('COOIS Raw'!$A:$GZ,ROW()-4,$E$4)&amp;"")</f>
        <v>REL PRT CNF DLV PRC GMPS MANC SETC</v>
      </c>
      <c r="F330" s="43" t="n">
        <f aca="false">IF(A330="","",IFERROR(DATEVALUE(INDEX('COOIS Raw'!$A:$GZ,ROW()-4,$F$4)),INDEX('COOIS Raw'!$A:$GZ,ROW()-4,$F$4)))</f>
        <v>46272</v>
      </c>
      <c r="G330" s="41" t="str">
        <f aca="false">IF(A330="","",IF(ISNA(MATCH(B330,'Kitting Plan'!$B$6:$B$19,0)),"Not in plan","Yes"))</f>
        <v>Yes</v>
      </c>
      <c r="H330" s="41" t="n">
        <f aca="false">IF(G330="Yes",INDEX('Kitting Plan'!$D$6:$D$19,MATCH(B330,'Kitting Plan'!$B$6:$B$19,0)),"")</f>
        <v>24</v>
      </c>
      <c r="I330" s="41" t="n">
        <f aca="false">IF(A330="","",IF(ISNUMBER(SEARCH("PRT",E330)),D330,0))</f>
        <v>1</v>
      </c>
      <c r="J330" s="41" t="n">
        <f aca="false">IF(A330="","",IF(ISNUMBER(SEARCH("GMPS",E330)),D330,0))</f>
        <v>1</v>
      </c>
      <c r="K330" s="41" t="n">
        <f aca="false">IF(A330="","",IF(ISNUMBER(SEARCH("DLV",E330)),D330,0))</f>
        <v>1</v>
      </c>
      <c r="L330" s="41" t="str">
        <f aca="false">IF(A330="","",IF(K330&gt;0,"Delivered",IF(ISNUMBER(SEARCH("CNF",E330)),"In production",IF(J330&gt;0,"Issued",IF(I330&gt;0,"Kitted","Released")))))</f>
        <v>Delivered</v>
      </c>
      <c r="M330" s="41" t="n">
        <f aca="false">IF(G330&lt;&gt;"Yes","",COUNTIFS($B$6:$B$1505,B330,$F$6:$F$1505,"&lt;"&amp;F330)+COUNTIFS($B$6:$B$1505,B330,$F$6:$F$1505,F330,$A$6:$A$1505,"&lt;="&amp;A330))</f>
        <v>158</v>
      </c>
      <c r="N330" s="41" t="n">
        <f aca="false">IF(M330="","",ROUNDUP(M330/H330,0))</f>
        <v>7</v>
      </c>
      <c r="O330" s="41" t="str">
        <f aca="false">IF(N330="","",IF(N330&lt;='Kitting Plan'!$C$3,"Rep "&amp;N330,"Surplus"))</f>
        <v>Rep 7</v>
      </c>
    </row>
    <row r="331" customFormat="false" ht="15" hidden="false" customHeight="false" outlineLevel="0" collapsed="false">
      <c r="A331" s="40" t="n">
        <f aca="false">IF(OR($A$4=0,INDEX('COOIS Raw'!$A:$GZ,ROW()-4,$A$4)=""),"",IFERROR(--INDEX('COOIS Raw'!$A:$GZ,ROW()-4,$A$4),INDEX('COOIS Raw'!$A:$GZ,ROW()-4,$A$4)))</f>
        <v>100876485</v>
      </c>
      <c r="B331" s="41" t="str">
        <f aca="false">IF(A331="","",TRIM(INDEX('COOIS Raw'!$A:$GZ,ROW()-4,$B$4)))</f>
        <v>92RRA00548AAA</v>
      </c>
      <c r="C331" s="42" t="str">
        <f aca="false">IF(OR(A331="",$C$4=0),"",INDEX('COOIS Raw'!$A:$GZ,ROW()-4,$C$4))</f>
        <v>R5B ERBIUM SPOOL ASSEMBLY - E2A</v>
      </c>
      <c r="D331" s="41" t="n">
        <f aca="false">IF(A331="","",IF($D$4=0,1,IFERROR(--INDEX('COOIS Raw'!$A:$GZ,ROW()-4,$D$4),1)))</f>
        <v>1</v>
      </c>
      <c r="E331" s="42" t="str">
        <f aca="false">IF(A331="","",INDEX('COOIS Raw'!$A:$GZ,ROW()-4,$E$4)&amp;"")</f>
        <v>REL PRT CNF DLV PRC GMPS MANC SETC</v>
      </c>
      <c r="F331" s="43" t="n">
        <f aca="false">IF(A331="","",IFERROR(DATEVALUE(INDEX('COOIS Raw'!$A:$GZ,ROW()-4,$F$4)),INDEX('COOIS Raw'!$A:$GZ,ROW()-4,$F$4)))</f>
        <v>46272</v>
      </c>
      <c r="G331" s="41" t="str">
        <f aca="false">IF(A331="","",IF(ISNA(MATCH(B331,'Kitting Plan'!$B$6:$B$19,0)),"Not in plan","Yes"))</f>
        <v>Yes</v>
      </c>
      <c r="H331" s="41" t="n">
        <f aca="false">IF(G331="Yes",INDEX('Kitting Plan'!$D$6:$D$19,MATCH(B331,'Kitting Plan'!$B$6:$B$19,0)),"")</f>
        <v>24</v>
      </c>
      <c r="I331" s="41" t="n">
        <f aca="false">IF(A331="","",IF(ISNUMBER(SEARCH("PRT",E331)),D331,0))</f>
        <v>1</v>
      </c>
      <c r="J331" s="41" t="n">
        <f aca="false">IF(A331="","",IF(ISNUMBER(SEARCH("GMPS",E331)),D331,0))</f>
        <v>1</v>
      </c>
      <c r="K331" s="41" t="n">
        <f aca="false">IF(A331="","",IF(ISNUMBER(SEARCH("DLV",E331)),D331,0))</f>
        <v>1</v>
      </c>
      <c r="L331" s="41" t="str">
        <f aca="false">IF(A331="","",IF(K331&gt;0,"Delivered",IF(ISNUMBER(SEARCH("CNF",E331)),"In production",IF(J331&gt;0,"Issued",IF(I331&gt;0,"Kitted","Released")))))</f>
        <v>Delivered</v>
      </c>
      <c r="M331" s="41" t="n">
        <f aca="false">IF(G331&lt;&gt;"Yes","",COUNTIFS($B$6:$B$1505,B331,$F$6:$F$1505,"&lt;"&amp;F331)+COUNTIFS($B$6:$B$1505,B331,$F$6:$F$1505,F331,$A$6:$A$1505,"&lt;="&amp;A331))</f>
        <v>159</v>
      </c>
      <c r="N331" s="41" t="n">
        <f aca="false">IF(M331="","",ROUNDUP(M331/H331,0))</f>
        <v>7</v>
      </c>
      <c r="O331" s="41" t="str">
        <f aca="false">IF(N331="","",IF(N331&lt;='Kitting Plan'!$C$3,"Rep "&amp;N331,"Surplus"))</f>
        <v>Rep 7</v>
      </c>
    </row>
    <row r="332" customFormat="false" ht="15" hidden="false" customHeight="false" outlineLevel="0" collapsed="false">
      <c r="A332" s="40" t="n">
        <f aca="false">IF(OR($A$4=0,INDEX('COOIS Raw'!$A:$GZ,ROW()-4,$A$4)=""),"",IFERROR(--INDEX('COOIS Raw'!$A:$GZ,ROW()-4,$A$4),INDEX('COOIS Raw'!$A:$GZ,ROW()-4,$A$4)))</f>
        <v>100876486</v>
      </c>
      <c r="B332" s="41" t="str">
        <f aca="false">IF(A332="","",TRIM(INDEX('COOIS Raw'!$A:$GZ,ROW()-4,$B$4)))</f>
        <v>92RRA00548AAA</v>
      </c>
      <c r="C332" s="42" t="str">
        <f aca="false">IF(OR(A332="",$C$4=0),"",INDEX('COOIS Raw'!$A:$GZ,ROW()-4,$C$4))</f>
        <v>R5B ERBIUM SPOOL ASSEMBLY - E2A</v>
      </c>
      <c r="D332" s="41" t="n">
        <f aca="false">IF(A332="","",IF($D$4=0,1,IFERROR(--INDEX('COOIS Raw'!$A:$GZ,ROW()-4,$D$4),1)))</f>
        <v>1</v>
      </c>
      <c r="E332" s="42" t="str">
        <f aca="false">IF(A332="","",INDEX('COOIS Raw'!$A:$GZ,ROW()-4,$E$4)&amp;"")</f>
        <v>REL PRT CNF DLV PRC GMPS MANC SETC</v>
      </c>
      <c r="F332" s="43" t="n">
        <f aca="false">IF(A332="","",IFERROR(DATEVALUE(INDEX('COOIS Raw'!$A:$GZ,ROW()-4,$F$4)),INDEX('COOIS Raw'!$A:$GZ,ROW()-4,$F$4)))</f>
        <v>46272</v>
      </c>
      <c r="G332" s="41" t="str">
        <f aca="false">IF(A332="","",IF(ISNA(MATCH(B332,'Kitting Plan'!$B$6:$B$19,0)),"Not in plan","Yes"))</f>
        <v>Yes</v>
      </c>
      <c r="H332" s="41" t="n">
        <f aca="false">IF(G332="Yes",INDEX('Kitting Plan'!$D$6:$D$19,MATCH(B332,'Kitting Plan'!$B$6:$B$19,0)),"")</f>
        <v>24</v>
      </c>
      <c r="I332" s="41" t="n">
        <f aca="false">IF(A332="","",IF(ISNUMBER(SEARCH("PRT",E332)),D332,0))</f>
        <v>1</v>
      </c>
      <c r="J332" s="41" t="n">
        <f aca="false">IF(A332="","",IF(ISNUMBER(SEARCH("GMPS",E332)),D332,0))</f>
        <v>1</v>
      </c>
      <c r="K332" s="41" t="n">
        <f aca="false">IF(A332="","",IF(ISNUMBER(SEARCH("DLV",E332)),D332,0))</f>
        <v>1</v>
      </c>
      <c r="L332" s="41" t="str">
        <f aca="false">IF(A332="","",IF(K332&gt;0,"Delivered",IF(ISNUMBER(SEARCH("CNF",E332)),"In production",IF(J332&gt;0,"Issued",IF(I332&gt;0,"Kitted","Released")))))</f>
        <v>Delivered</v>
      </c>
      <c r="M332" s="41" t="n">
        <f aca="false">IF(G332&lt;&gt;"Yes","",COUNTIFS($B$6:$B$1505,B332,$F$6:$F$1505,"&lt;"&amp;F332)+COUNTIFS($B$6:$B$1505,B332,$F$6:$F$1505,F332,$A$6:$A$1505,"&lt;="&amp;A332))</f>
        <v>160</v>
      </c>
      <c r="N332" s="41" t="n">
        <f aca="false">IF(M332="","",ROUNDUP(M332/H332,0))</f>
        <v>7</v>
      </c>
      <c r="O332" s="41" t="str">
        <f aca="false">IF(N332="","",IF(N332&lt;='Kitting Plan'!$C$3,"Rep "&amp;N332,"Surplus"))</f>
        <v>Rep 7</v>
      </c>
    </row>
    <row r="333" customFormat="false" ht="15" hidden="false" customHeight="false" outlineLevel="0" collapsed="false">
      <c r="A333" s="40" t="n">
        <f aca="false">IF(OR($A$4=0,INDEX('COOIS Raw'!$A:$GZ,ROW()-4,$A$4)=""),"",IFERROR(--INDEX('COOIS Raw'!$A:$GZ,ROW()-4,$A$4),INDEX('COOIS Raw'!$A:$GZ,ROW()-4,$A$4)))</f>
        <v>100876487</v>
      </c>
      <c r="B333" s="41" t="str">
        <f aca="false">IF(A333="","",TRIM(INDEX('COOIS Raw'!$A:$GZ,ROW()-4,$B$4)))</f>
        <v>92RRA00548AAA</v>
      </c>
      <c r="C333" s="42" t="str">
        <f aca="false">IF(OR(A333="",$C$4=0),"",INDEX('COOIS Raw'!$A:$GZ,ROW()-4,$C$4))</f>
        <v>R5B ERBIUM SPOOL ASSEMBLY - E2A</v>
      </c>
      <c r="D333" s="41" t="n">
        <f aca="false">IF(A333="","",IF($D$4=0,1,IFERROR(--INDEX('COOIS Raw'!$A:$GZ,ROW()-4,$D$4),1)))</f>
        <v>1</v>
      </c>
      <c r="E333" s="42" t="str">
        <f aca="false">IF(A333="","",INDEX('COOIS Raw'!$A:$GZ,ROW()-4,$E$4)&amp;"")</f>
        <v>REL PRT CNF DLV PRC GMPS MANC SETC</v>
      </c>
      <c r="F333" s="43" t="n">
        <f aca="false">IF(A333="","",IFERROR(DATEVALUE(INDEX('COOIS Raw'!$A:$GZ,ROW()-4,$F$4)),INDEX('COOIS Raw'!$A:$GZ,ROW()-4,$F$4)))</f>
        <v>46272</v>
      </c>
      <c r="G333" s="41" t="str">
        <f aca="false">IF(A333="","",IF(ISNA(MATCH(B333,'Kitting Plan'!$B$6:$B$19,0)),"Not in plan","Yes"))</f>
        <v>Yes</v>
      </c>
      <c r="H333" s="41" t="n">
        <f aca="false">IF(G333="Yes",INDEX('Kitting Plan'!$D$6:$D$19,MATCH(B333,'Kitting Plan'!$B$6:$B$19,0)),"")</f>
        <v>24</v>
      </c>
      <c r="I333" s="41" t="n">
        <f aca="false">IF(A333="","",IF(ISNUMBER(SEARCH("PRT",E333)),D333,0))</f>
        <v>1</v>
      </c>
      <c r="J333" s="41" t="n">
        <f aca="false">IF(A333="","",IF(ISNUMBER(SEARCH("GMPS",E333)),D333,0))</f>
        <v>1</v>
      </c>
      <c r="K333" s="41" t="n">
        <f aca="false">IF(A333="","",IF(ISNUMBER(SEARCH("DLV",E333)),D333,0))</f>
        <v>1</v>
      </c>
      <c r="L333" s="41" t="str">
        <f aca="false">IF(A333="","",IF(K333&gt;0,"Delivered",IF(ISNUMBER(SEARCH("CNF",E333)),"In production",IF(J333&gt;0,"Issued",IF(I333&gt;0,"Kitted","Released")))))</f>
        <v>Delivered</v>
      </c>
      <c r="M333" s="41" t="n">
        <f aca="false">IF(G333&lt;&gt;"Yes","",COUNTIFS($B$6:$B$1505,B333,$F$6:$F$1505,"&lt;"&amp;F333)+COUNTIFS($B$6:$B$1505,B333,$F$6:$F$1505,F333,$A$6:$A$1505,"&lt;="&amp;A333))</f>
        <v>161</v>
      </c>
      <c r="N333" s="41" t="n">
        <f aca="false">IF(M333="","",ROUNDUP(M333/H333,0))</f>
        <v>7</v>
      </c>
      <c r="O333" s="41" t="str">
        <f aca="false">IF(N333="","",IF(N333&lt;='Kitting Plan'!$C$3,"Rep "&amp;N333,"Surplus"))</f>
        <v>Rep 7</v>
      </c>
    </row>
    <row r="334" customFormat="false" ht="15" hidden="false" customHeight="false" outlineLevel="0" collapsed="false">
      <c r="A334" s="40" t="n">
        <f aca="false">IF(OR($A$4=0,INDEX('COOIS Raw'!$A:$GZ,ROW()-4,$A$4)=""),"",IFERROR(--INDEX('COOIS Raw'!$A:$GZ,ROW()-4,$A$4),INDEX('COOIS Raw'!$A:$GZ,ROW()-4,$A$4)))</f>
        <v>100876488</v>
      </c>
      <c r="B334" s="41" t="str">
        <f aca="false">IF(A334="","",TRIM(INDEX('COOIS Raw'!$A:$GZ,ROW()-4,$B$4)))</f>
        <v>92RRA00548AAA</v>
      </c>
      <c r="C334" s="42" t="str">
        <f aca="false">IF(OR(A334="",$C$4=0),"",INDEX('COOIS Raw'!$A:$GZ,ROW()-4,$C$4))</f>
        <v>R5B ERBIUM SPOOL ASSEMBLY - E2A</v>
      </c>
      <c r="D334" s="41" t="n">
        <f aca="false">IF(A334="","",IF($D$4=0,1,IFERROR(--INDEX('COOIS Raw'!$A:$GZ,ROW()-4,$D$4),1)))</f>
        <v>1</v>
      </c>
      <c r="E334" s="42" t="str">
        <f aca="false">IF(A334="","",INDEX('COOIS Raw'!$A:$GZ,ROW()-4,$E$4)&amp;"")</f>
        <v>REL PRT CNF DLV PRC GMPS MANC SETC</v>
      </c>
      <c r="F334" s="43" t="n">
        <f aca="false">IF(A334="","",IFERROR(DATEVALUE(INDEX('COOIS Raw'!$A:$GZ,ROW()-4,$F$4)),INDEX('COOIS Raw'!$A:$GZ,ROW()-4,$F$4)))</f>
        <v>46272</v>
      </c>
      <c r="G334" s="41" t="str">
        <f aca="false">IF(A334="","",IF(ISNA(MATCH(B334,'Kitting Plan'!$B$6:$B$19,0)),"Not in plan","Yes"))</f>
        <v>Yes</v>
      </c>
      <c r="H334" s="41" t="n">
        <f aca="false">IF(G334="Yes",INDEX('Kitting Plan'!$D$6:$D$19,MATCH(B334,'Kitting Plan'!$B$6:$B$19,0)),"")</f>
        <v>24</v>
      </c>
      <c r="I334" s="41" t="n">
        <f aca="false">IF(A334="","",IF(ISNUMBER(SEARCH("PRT",E334)),D334,0))</f>
        <v>1</v>
      </c>
      <c r="J334" s="41" t="n">
        <f aca="false">IF(A334="","",IF(ISNUMBER(SEARCH("GMPS",E334)),D334,0))</f>
        <v>1</v>
      </c>
      <c r="K334" s="41" t="n">
        <f aca="false">IF(A334="","",IF(ISNUMBER(SEARCH("DLV",E334)),D334,0))</f>
        <v>1</v>
      </c>
      <c r="L334" s="41" t="str">
        <f aca="false">IF(A334="","",IF(K334&gt;0,"Delivered",IF(ISNUMBER(SEARCH("CNF",E334)),"In production",IF(J334&gt;0,"Issued",IF(I334&gt;0,"Kitted","Released")))))</f>
        <v>Delivered</v>
      </c>
      <c r="M334" s="41" t="n">
        <f aca="false">IF(G334&lt;&gt;"Yes","",COUNTIFS($B$6:$B$1505,B334,$F$6:$F$1505,"&lt;"&amp;F334)+COUNTIFS($B$6:$B$1505,B334,$F$6:$F$1505,F334,$A$6:$A$1505,"&lt;="&amp;A334))</f>
        <v>162</v>
      </c>
      <c r="N334" s="41" t="n">
        <f aca="false">IF(M334="","",ROUNDUP(M334/H334,0))</f>
        <v>7</v>
      </c>
      <c r="O334" s="41" t="str">
        <f aca="false">IF(N334="","",IF(N334&lt;='Kitting Plan'!$C$3,"Rep "&amp;N334,"Surplus"))</f>
        <v>Rep 7</v>
      </c>
    </row>
    <row r="335" customFormat="false" ht="15" hidden="false" customHeight="false" outlineLevel="0" collapsed="false">
      <c r="A335" s="40" t="n">
        <f aca="false">IF(OR($A$4=0,INDEX('COOIS Raw'!$A:$GZ,ROW()-4,$A$4)=""),"",IFERROR(--INDEX('COOIS Raw'!$A:$GZ,ROW()-4,$A$4),INDEX('COOIS Raw'!$A:$GZ,ROW()-4,$A$4)))</f>
        <v>100876489</v>
      </c>
      <c r="B335" s="41" t="str">
        <f aca="false">IF(A335="","",TRIM(INDEX('COOIS Raw'!$A:$GZ,ROW()-4,$B$4)))</f>
        <v>92RRA00548AAA</v>
      </c>
      <c r="C335" s="42" t="str">
        <f aca="false">IF(OR(A335="",$C$4=0),"",INDEX('COOIS Raw'!$A:$GZ,ROW()-4,$C$4))</f>
        <v>R5B ERBIUM SPOOL ASSEMBLY - E2A</v>
      </c>
      <c r="D335" s="41" t="n">
        <f aca="false">IF(A335="","",IF($D$4=0,1,IFERROR(--INDEX('COOIS Raw'!$A:$GZ,ROW()-4,$D$4),1)))</f>
        <v>1</v>
      </c>
      <c r="E335" s="42" t="str">
        <f aca="false">IF(A335="","",INDEX('COOIS Raw'!$A:$GZ,ROW()-4,$E$4)&amp;"")</f>
        <v>REL PRT CNF DLV PRC GMPS MANC SETC</v>
      </c>
      <c r="F335" s="43" t="n">
        <f aca="false">IF(A335="","",IFERROR(DATEVALUE(INDEX('COOIS Raw'!$A:$GZ,ROW()-4,$F$4)),INDEX('COOIS Raw'!$A:$GZ,ROW()-4,$F$4)))</f>
        <v>46272</v>
      </c>
      <c r="G335" s="41" t="str">
        <f aca="false">IF(A335="","",IF(ISNA(MATCH(B335,'Kitting Plan'!$B$6:$B$19,0)),"Not in plan","Yes"))</f>
        <v>Yes</v>
      </c>
      <c r="H335" s="41" t="n">
        <f aca="false">IF(G335="Yes",INDEX('Kitting Plan'!$D$6:$D$19,MATCH(B335,'Kitting Plan'!$B$6:$B$19,0)),"")</f>
        <v>24</v>
      </c>
      <c r="I335" s="41" t="n">
        <f aca="false">IF(A335="","",IF(ISNUMBER(SEARCH("PRT",E335)),D335,0))</f>
        <v>1</v>
      </c>
      <c r="J335" s="41" t="n">
        <f aca="false">IF(A335="","",IF(ISNUMBER(SEARCH("GMPS",E335)),D335,0))</f>
        <v>1</v>
      </c>
      <c r="K335" s="41" t="n">
        <f aca="false">IF(A335="","",IF(ISNUMBER(SEARCH("DLV",E335)),D335,0))</f>
        <v>1</v>
      </c>
      <c r="L335" s="41" t="str">
        <f aca="false">IF(A335="","",IF(K335&gt;0,"Delivered",IF(ISNUMBER(SEARCH("CNF",E335)),"In production",IF(J335&gt;0,"Issued",IF(I335&gt;0,"Kitted","Released")))))</f>
        <v>Delivered</v>
      </c>
      <c r="M335" s="41" t="n">
        <f aca="false">IF(G335&lt;&gt;"Yes","",COUNTIFS($B$6:$B$1505,B335,$F$6:$F$1505,"&lt;"&amp;F335)+COUNTIFS($B$6:$B$1505,B335,$F$6:$F$1505,F335,$A$6:$A$1505,"&lt;="&amp;A335))</f>
        <v>163</v>
      </c>
      <c r="N335" s="41" t="n">
        <f aca="false">IF(M335="","",ROUNDUP(M335/H335,0))</f>
        <v>7</v>
      </c>
      <c r="O335" s="41" t="str">
        <f aca="false">IF(N335="","",IF(N335&lt;='Kitting Plan'!$C$3,"Rep "&amp;N335,"Surplus"))</f>
        <v>Rep 7</v>
      </c>
    </row>
    <row r="336" customFormat="false" ht="15" hidden="false" customHeight="false" outlineLevel="0" collapsed="false">
      <c r="A336" s="40" t="n">
        <f aca="false">IF(OR($A$4=0,INDEX('COOIS Raw'!$A:$GZ,ROW()-4,$A$4)=""),"",IFERROR(--INDEX('COOIS Raw'!$A:$GZ,ROW()-4,$A$4),INDEX('COOIS Raw'!$A:$GZ,ROW()-4,$A$4)))</f>
        <v>100876490</v>
      </c>
      <c r="B336" s="41" t="str">
        <f aca="false">IF(A336="","",TRIM(INDEX('COOIS Raw'!$A:$GZ,ROW()-4,$B$4)))</f>
        <v>92RRA00548AAA</v>
      </c>
      <c r="C336" s="42" t="str">
        <f aca="false">IF(OR(A336="",$C$4=0),"",INDEX('COOIS Raw'!$A:$GZ,ROW()-4,$C$4))</f>
        <v>R5B ERBIUM SPOOL ASSEMBLY - E2A</v>
      </c>
      <c r="D336" s="41" t="n">
        <f aca="false">IF(A336="","",IF($D$4=0,1,IFERROR(--INDEX('COOIS Raw'!$A:$GZ,ROW()-4,$D$4),1)))</f>
        <v>1</v>
      </c>
      <c r="E336" s="42" t="str">
        <f aca="false">IF(A336="","",INDEX('COOIS Raw'!$A:$GZ,ROW()-4,$E$4)&amp;"")</f>
        <v>REL PRT CNF DLV PRC GMPS MANC SETC</v>
      </c>
      <c r="F336" s="43" t="n">
        <f aca="false">IF(A336="","",IFERROR(DATEVALUE(INDEX('COOIS Raw'!$A:$GZ,ROW()-4,$F$4)),INDEX('COOIS Raw'!$A:$GZ,ROW()-4,$F$4)))</f>
        <v>46272</v>
      </c>
      <c r="G336" s="41" t="str">
        <f aca="false">IF(A336="","",IF(ISNA(MATCH(B336,'Kitting Plan'!$B$6:$B$19,0)),"Not in plan","Yes"))</f>
        <v>Yes</v>
      </c>
      <c r="H336" s="41" t="n">
        <f aca="false">IF(G336="Yes",INDEX('Kitting Plan'!$D$6:$D$19,MATCH(B336,'Kitting Plan'!$B$6:$B$19,0)),"")</f>
        <v>24</v>
      </c>
      <c r="I336" s="41" t="n">
        <f aca="false">IF(A336="","",IF(ISNUMBER(SEARCH("PRT",E336)),D336,0))</f>
        <v>1</v>
      </c>
      <c r="J336" s="41" t="n">
        <f aca="false">IF(A336="","",IF(ISNUMBER(SEARCH("GMPS",E336)),D336,0))</f>
        <v>1</v>
      </c>
      <c r="K336" s="41" t="n">
        <f aca="false">IF(A336="","",IF(ISNUMBER(SEARCH("DLV",E336)),D336,0))</f>
        <v>1</v>
      </c>
      <c r="L336" s="41" t="str">
        <f aca="false">IF(A336="","",IF(K336&gt;0,"Delivered",IF(ISNUMBER(SEARCH("CNF",E336)),"In production",IF(J336&gt;0,"Issued",IF(I336&gt;0,"Kitted","Released")))))</f>
        <v>Delivered</v>
      </c>
      <c r="M336" s="41" t="n">
        <f aca="false">IF(G336&lt;&gt;"Yes","",COUNTIFS($B$6:$B$1505,B336,$F$6:$F$1505,"&lt;"&amp;F336)+COUNTIFS($B$6:$B$1505,B336,$F$6:$F$1505,F336,$A$6:$A$1505,"&lt;="&amp;A336))</f>
        <v>164</v>
      </c>
      <c r="N336" s="41" t="n">
        <f aca="false">IF(M336="","",ROUNDUP(M336/H336,0))</f>
        <v>7</v>
      </c>
      <c r="O336" s="41" t="str">
        <f aca="false">IF(N336="","",IF(N336&lt;='Kitting Plan'!$C$3,"Rep "&amp;N336,"Surplus"))</f>
        <v>Rep 7</v>
      </c>
    </row>
    <row r="337" customFormat="false" ht="15" hidden="false" customHeight="false" outlineLevel="0" collapsed="false">
      <c r="A337" s="40" t="n">
        <f aca="false">IF(OR($A$4=0,INDEX('COOIS Raw'!$A:$GZ,ROW()-4,$A$4)=""),"",IFERROR(--INDEX('COOIS Raw'!$A:$GZ,ROW()-4,$A$4),INDEX('COOIS Raw'!$A:$GZ,ROW()-4,$A$4)))</f>
        <v>100876491</v>
      </c>
      <c r="B337" s="41" t="str">
        <f aca="false">IF(A337="","",TRIM(INDEX('COOIS Raw'!$A:$GZ,ROW()-4,$B$4)))</f>
        <v>92RRA00548AAA</v>
      </c>
      <c r="C337" s="42" t="str">
        <f aca="false">IF(OR(A337="",$C$4=0),"",INDEX('COOIS Raw'!$A:$GZ,ROW()-4,$C$4))</f>
        <v>R5B ERBIUM SPOOL ASSEMBLY - E2A</v>
      </c>
      <c r="D337" s="41" t="n">
        <f aca="false">IF(A337="","",IF($D$4=0,1,IFERROR(--INDEX('COOIS Raw'!$A:$GZ,ROW()-4,$D$4),1)))</f>
        <v>1</v>
      </c>
      <c r="E337" s="42" t="str">
        <f aca="false">IF(A337="","",INDEX('COOIS Raw'!$A:$GZ,ROW()-4,$E$4)&amp;"")</f>
        <v>REL PRT CNF DLV PRC GMPS MANC SETC</v>
      </c>
      <c r="F337" s="43" t="n">
        <f aca="false">IF(A337="","",IFERROR(DATEVALUE(INDEX('COOIS Raw'!$A:$GZ,ROW()-4,$F$4)),INDEX('COOIS Raw'!$A:$GZ,ROW()-4,$F$4)))</f>
        <v>46272</v>
      </c>
      <c r="G337" s="41" t="str">
        <f aca="false">IF(A337="","",IF(ISNA(MATCH(B337,'Kitting Plan'!$B$6:$B$19,0)),"Not in plan","Yes"))</f>
        <v>Yes</v>
      </c>
      <c r="H337" s="41" t="n">
        <f aca="false">IF(G337="Yes",INDEX('Kitting Plan'!$D$6:$D$19,MATCH(B337,'Kitting Plan'!$B$6:$B$19,0)),"")</f>
        <v>24</v>
      </c>
      <c r="I337" s="41" t="n">
        <f aca="false">IF(A337="","",IF(ISNUMBER(SEARCH("PRT",E337)),D337,0))</f>
        <v>1</v>
      </c>
      <c r="J337" s="41" t="n">
        <f aca="false">IF(A337="","",IF(ISNUMBER(SEARCH("GMPS",E337)),D337,0))</f>
        <v>1</v>
      </c>
      <c r="K337" s="41" t="n">
        <f aca="false">IF(A337="","",IF(ISNUMBER(SEARCH("DLV",E337)),D337,0))</f>
        <v>1</v>
      </c>
      <c r="L337" s="41" t="str">
        <f aca="false">IF(A337="","",IF(K337&gt;0,"Delivered",IF(ISNUMBER(SEARCH("CNF",E337)),"In production",IF(J337&gt;0,"Issued",IF(I337&gt;0,"Kitted","Released")))))</f>
        <v>Delivered</v>
      </c>
      <c r="M337" s="41" t="n">
        <f aca="false">IF(G337&lt;&gt;"Yes","",COUNTIFS($B$6:$B$1505,B337,$F$6:$F$1505,"&lt;"&amp;F337)+COUNTIFS($B$6:$B$1505,B337,$F$6:$F$1505,F337,$A$6:$A$1505,"&lt;="&amp;A337))</f>
        <v>165</v>
      </c>
      <c r="N337" s="41" t="n">
        <f aca="false">IF(M337="","",ROUNDUP(M337/H337,0))</f>
        <v>7</v>
      </c>
      <c r="O337" s="41" t="str">
        <f aca="false">IF(N337="","",IF(N337&lt;='Kitting Plan'!$C$3,"Rep "&amp;N337,"Surplus"))</f>
        <v>Rep 7</v>
      </c>
    </row>
    <row r="338" customFormat="false" ht="15" hidden="false" customHeight="false" outlineLevel="0" collapsed="false">
      <c r="A338" s="40" t="n">
        <f aca="false">IF(OR($A$4=0,INDEX('COOIS Raw'!$A:$GZ,ROW()-4,$A$4)=""),"",IFERROR(--INDEX('COOIS Raw'!$A:$GZ,ROW()-4,$A$4),INDEX('COOIS Raw'!$A:$GZ,ROW()-4,$A$4)))</f>
        <v>100876492</v>
      </c>
      <c r="B338" s="41" t="str">
        <f aca="false">IF(A338="","",TRIM(INDEX('COOIS Raw'!$A:$GZ,ROW()-4,$B$4)))</f>
        <v>92RRA00548AAA</v>
      </c>
      <c r="C338" s="42" t="str">
        <f aca="false">IF(OR(A338="",$C$4=0),"",INDEX('COOIS Raw'!$A:$GZ,ROW()-4,$C$4))</f>
        <v>R5B ERBIUM SPOOL ASSEMBLY - E2A</v>
      </c>
      <c r="D338" s="41" t="n">
        <f aca="false">IF(A338="","",IF($D$4=0,1,IFERROR(--INDEX('COOIS Raw'!$A:$GZ,ROW()-4,$D$4),1)))</f>
        <v>1</v>
      </c>
      <c r="E338" s="42" t="str">
        <f aca="false">IF(A338="","",INDEX('COOIS Raw'!$A:$GZ,ROW()-4,$E$4)&amp;"")</f>
        <v>REL PRT CNF DLV PRC GMPS MANC SETC</v>
      </c>
      <c r="F338" s="43" t="n">
        <f aca="false">IF(A338="","",IFERROR(DATEVALUE(INDEX('COOIS Raw'!$A:$GZ,ROW()-4,$F$4)),INDEX('COOIS Raw'!$A:$GZ,ROW()-4,$F$4)))</f>
        <v>46272</v>
      </c>
      <c r="G338" s="41" t="str">
        <f aca="false">IF(A338="","",IF(ISNA(MATCH(B338,'Kitting Plan'!$B$6:$B$19,0)),"Not in plan","Yes"))</f>
        <v>Yes</v>
      </c>
      <c r="H338" s="41" t="n">
        <f aca="false">IF(G338="Yes",INDEX('Kitting Plan'!$D$6:$D$19,MATCH(B338,'Kitting Plan'!$B$6:$B$19,0)),"")</f>
        <v>24</v>
      </c>
      <c r="I338" s="41" t="n">
        <f aca="false">IF(A338="","",IF(ISNUMBER(SEARCH("PRT",E338)),D338,0))</f>
        <v>1</v>
      </c>
      <c r="J338" s="41" t="n">
        <f aca="false">IF(A338="","",IF(ISNUMBER(SEARCH("GMPS",E338)),D338,0))</f>
        <v>1</v>
      </c>
      <c r="K338" s="41" t="n">
        <f aca="false">IF(A338="","",IF(ISNUMBER(SEARCH("DLV",E338)),D338,0))</f>
        <v>1</v>
      </c>
      <c r="L338" s="41" t="str">
        <f aca="false">IF(A338="","",IF(K338&gt;0,"Delivered",IF(ISNUMBER(SEARCH("CNF",E338)),"In production",IF(J338&gt;0,"Issued",IF(I338&gt;0,"Kitted","Released")))))</f>
        <v>Delivered</v>
      </c>
      <c r="M338" s="41" t="n">
        <f aca="false">IF(G338&lt;&gt;"Yes","",COUNTIFS($B$6:$B$1505,B338,$F$6:$F$1505,"&lt;"&amp;F338)+COUNTIFS($B$6:$B$1505,B338,$F$6:$F$1505,F338,$A$6:$A$1505,"&lt;="&amp;A338))</f>
        <v>166</v>
      </c>
      <c r="N338" s="41" t="n">
        <f aca="false">IF(M338="","",ROUNDUP(M338/H338,0))</f>
        <v>7</v>
      </c>
      <c r="O338" s="41" t="str">
        <f aca="false">IF(N338="","",IF(N338&lt;='Kitting Plan'!$C$3,"Rep "&amp;N338,"Surplus"))</f>
        <v>Rep 7</v>
      </c>
    </row>
    <row r="339" customFormat="false" ht="15" hidden="false" customHeight="false" outlineLevel="0" collapsed="false">
      <c r="A339" s="40" t="n">
        <f aca="false">IF(OR($A$4=0,INDEX('COOIS Raw'!$A:$GZ,ROW()-4,$A$4)=""),"",IFERROR(--INDEX('COOIS Raw'!$A:$GZ,ROW()-4,$A$4),INDEX('COOIS Raw'!$A:$GZ,ROW()-4,$A$4)))</f>
        <v>100876493</v>
      </c>
      <c r="B339" s="41" t="str">
        <f aca="false">IF(A339="","",TRIM(INDEX('COOIS Raw'!$A:$GZ,ROW()-4,$B$4)))</f>
        <v>92RRA00548AAA</v>
      </c>
      <c r="C339" s="42" t="str">
        <f aca="false">IF(OR(A339="",$C$4=0),"",INDEX('COOIS Raw'!$A:$GZ,ROW()-4,$C$4))</f>
        <v>R5B ERBIUM SPOOL ASSEMBLY - E2A</v>
      </c>
      <c r="D339" s="41" t="n">
        <f aca="false">IF(A339="","",IF($D$4=0,1,IFERROR(--INDEX('COOIS Raw'!$A:$GZ,ROW()-4,$D$4),1)))</f>
        <v>1</v>
      </c>
      <c r="E339" s="42" t="str">
        <f aca="false">IF(A339="","",INDEX('COOIS Raw'!$A:$GZ,ROW()-4,$E$4)&amp;"")</f>
        <v>REL PRT CNF DLV PRC GMPS MANC SETC</v>
      </c>
      <c r="F339" s="43" t="n">
        <f aca="false">IF(A339="","",IFERROR(DATEVALUE(INDEX('COOIS Raw'!$A:$GZ,ROW()-4,$F$4)),INDEX('COOIS Raw'!$A:$GZ,ROW()-4,$F$4)))</f>
        <v>46272</v>
      </c>
      <c r="G339" s="41" t="str">
        <f aca="false">IF(A339="","",IF(ISNA(MATCH(B339,'Kitting Plan'!$B$6:$B$19,0)),"Not in plan","Yes"))</f>
        <v>Yes</v>
      </c>
      <c r="H339" s="41" t="n">
        <f aca="false">IF(G339="Yes",INDEX('Kitting Plan'!$D$6:$D$19,MATCH(B339,'Kitting Plan'!$B$6:$B$19,0)),"")</f>
        <v>24</v>
      </c>
      <c r="I339" s="41" t="n">
        <f aca="false">IF(A339="","",IF(ISNUMBER(SEARCH("PRT",E339)),D339,0))</f>
        <v>1</v>
      </c>
      <c r="J339" s="41" t="n">
        <f aca="false">IF(A339="","",IF(ISNUMBER(SEARCH("GMPS",E339)),D339,0))</f>
        <v>1</v>
      </c>
      <c r="K339" s="41" t="n">
        <f aca="false">IF(A339="","",IF(ISNUMBER(SEARCH("DLV",E339)),D339,0))</f>
        <v>1</v>
      </c>
      <c r="L339" s="41" t="str">
        <f aca="false">IF(A339="","",IF(K339&gt;0,"Delivered",IF(ISNUMBER(SEARCH("CNF",E339)),"In production",IF(J339&gt;0,"Issued",IF(I339&gt;0,"Kitted","Released")))))</f>
        <v>Delivered</v>
      </c>
      <c r="M339" s="41" t="n">
        <f aca="false">IF(G339&lt;&gt;"Yes","",COUNTIFS($B$6:$B$1505,B339,$F$6:$F$1505,"&lt;"&amp;F339)+COUNTIFS($B$6:$B$1505,B339,$F$6:$F$1505,F339,$A$6:$A$1505,"&lt;="&amp;A339))</f>
        <v>167</v>
      </c>
      <c r="N339" s="41" t="n">
        <f aca="false">IF(M339="","",ROUNDUP(M339/H339,0))</f>
        <v>7</v>
      </c>
      <c r="O339" s="41" t="str">
        <f aca="false">IF(N339="","",IF(N339&lt;='Kitting Plan'!$C$3,"Rep "&amp;N339,"Surplus"))</f>
        <v>Rep 7</v>
      </c>
    </row>
    <row r="340" customFormat="false" ht="15" hidden="false" customHeight="false" outlineLevel="0" collapsed="false">
      <c r="A340" s="40" t="n">
        <f aca="false">IF(OR($A$4=0,INDEX('COOIS Raw'!$A:$GZ,ROW()-4,$A$4)=""),"",IFERROR(--INDEX('COOIS Raw'!$A:$GZ,ROW()-4,$A$4),INDEX('COOIS Raw'!$A:$GZ,ROW()-4,$A$4)))</f>
        <v>100876494</v>
      </c>
      <c r="B340" s="41" t="str">
        <f aca="false">IF(A340="","",TRIM(INDEX('COOIS Raw'!$A:$GZ,ROW()-4,$B$4)))</f>
        <v>92RRA00548AAA</v>
      </c>
      <c r="C340" s="42" t="str">
        <f aca="false">IF(OR(A340="",$C$4=0),"",INDEX('COOIS Raw'!$A:$GZ,ROW()-4,$C$4))</f>
        <v>R5B ERBIUM SPOOL ASSEMBLY - E2A</v>
      </c>
      <c r="D340" s="41" t="n">
        <f aca="false">IF(A340="","",IF($D$4=0,1,IFERROR(--INDEX('COOIS Raw'!$A:$GZ,ROW()-4,$D$4),1)))</f>
        <v>1</v>
      </c>
      <c r="E340" s="42" t="str">
        <f aca="false">IF(A340="","",INDEX('COOIS Raw'!$A:$GZ,ROW()-4,$E$4)&amp;"")</f>
        <v>REL PRT CNF DLV PRC GMPS MANC SETC</v>
      </c>
      <c r="F340" s="43" t="n">
        <f aca="false">IF(A340="","",IFERROR(DATEVALUE(INDEX('COOIS Raw'!$A:$GZ,ROW()-4,$F$4)),INDEX('COOIS Raw'!$A:$GZ,ROW()-4,$F$4)))</f>
        <v>46272</v>
      </c>
      <c r="G340" s="41" t="str">
        <f aca="false">IF(A340="","",IF(ISNA(MATCH(B340,'Kitting Plan'!$B$6:$B$19,0)),"Not in plan","Yes"))</f>
        <v>Yes</v>
      </c>
      <c r="H340" s="41" t="n">
        <f aca="false">IF(G340="Yes",INDEX('Kitting Plan'!$D$6:$D$19,MATCH(B340,'Kitting Plan'!$B$6:$B$19,0)),"")</f>
        <v>24</v>
      </c>
      <c r="I340" s="41" t="n">
        <f aca="false">IF(A340="","",IF(ISNUMBER(SEARCH("PRT",E340)),D340,0))</f>
        <v>1</v>
      </c>
      <c r="J340" s="41" t="n">
        <f aca="false">IF(A340="","",IF(ISNUMBER(SEARCH("GMPS",E340)),D340,0))</f>
        <v>1</v>
      </c>
      <c r="K340" s="41" t="n">
        <f aca="false">IF(A340="","",IF(ISNUMBER(SEARCH("DLV",E340)),D340,0))</f>
        <v>1</v>
      </c>
      <c r="L340" s="41" t="str">
        <f aca="false">IF(A340="","",IF(K340&gt;0,"Delivered",IF(ISNUMBER(SEARCH("CNF",E340)),"In production",IF(J340&gt;0,"Issued",IF(I340&gt;0,"Kitted","Released")))))</f>
        <v>Delivered</v>
      </c>
      <c r="M340" s="41" t="n">
        <f aca="false">IF(G340&lt;&gt;"Yes","",COUNTIFS($B$6:$B$1505,B340,$F$6:$F$1505,"&lt;"&amp;F340)+COUNTIFS($B$6:$B$1505,B340,$F$6:$F$1505,F340,$A$6:$A$1505,"&lt;="&amp;A340))</f>
        <v>168</v>
      </c>
      <c r="N340" s="41" t="n">
        <f aca="false">IF(M340="","",ROUNDUP(M340/H340,0))</f>
        <v>7</v>
      </c>
      <c r="O340" s="41" t="str">
        <f aca="false">IF(N340="","",IF(N340&lt;='Kitting Plan'!$C$3,"Rep "&amp;N340,"Surplus"))</f>
        <v>Rep 7</v>
      </c>
    </row>
    <row r="341" customFormat="false" ht="15" hidden="false" customHeight="false" outlineLevel="0" collapsed="false">
      <c r="A341" s="40" t="n">
        <f aca="false">IF(OR($A$4=0,INDEX('COOIS Raw'!$A:$GZ,ROW()-4,$A$4)=""),"",IFERROR(--INDEX('COOIS Raw'!$A:$GZ,ROW()-4,$A$4),INDEX('COOIS Raw'!$A:$GZ,ROW()-4,$A$4)))</f>
        <v>100876495</v>
      </c>
      <c r="B341" s="41" t="str">
        <f aca="false">IF(A341="","",TRIM(INDEX('COOIS Raw'!$A:$GZ,ROW()-4,$B$4)))</f>
        <v>92RRA00548AAA</v>
      </c>
      <c r="C341" s="42" t="str">
        <f aca="false">IF(OR(A341="",$C$4=0),"",INDEX('COOIS Raw'!$A:$GZ,ROW()-4,$C$4))</f>
        <v>R5B ERBIUM SPOOL ASSEMBLY - E2A</v>
      </c>
      <c r="D341" s="41" t="n">
        <f aca="false">IF(A341="","",IF($D$4=0,1,IFERROR(--INDEX('COOIS Raw'!$A:$GZ,ROW()-4,$D$4),1)))</f>
        <v>1</v>
      </c>
      <c r="E341" s="42" t="str">
        <f aca="false">IF(A341="","",INDEX('COOIS Raw'!$A:$GZ,ROW()-4,$E$4)&amp;"")</f>
        <v>REL PRT CNF DLV PRC GMPS MANC SETC</v>
      </c>
      <c r="F341" s="43" t="n">
        <f aca="false">IF(A341="","",IFERROR(DATEVALUE(INDEX('COOIS Raw'!$A:$GZ,ROW()-4,$F$4)),INDEX('COOIS Raw'!$A:$GZ,ROW()-4,$F$4)))</f>
        <v>46272</v>
      </c>
      <c r="G341" s="41" t="str">
        <f aca="false">IF(A341="","",IF(ISNA(MATCH(B341,'Kitting Plan'!$B$6:$B$19,0)),"Not in plan","Yes"))</f>
        <v>Yes</v>
      </c>
      <c r="H341" s="41" t="n">
        <f aca="false">IF(G341="Yes",INDEX('Kitting Plan'!$D$6:$D$19,MATCH(B341,'Kitting Plan'!$B$6:$B$19,0)),"")</f>
        <v>24</v>
      </c>
      <c r="I341" s="41" t="n">
        <f aca="false">IF(A341="","",IF(ISNUMBER(SEARCH("PRT",E341)),D341,0))</f>
        <v>1</v>
      </c>
      <c r="J341" s="41" t="n">
        <f aca="false">IF(A341="","",IF(ISNUMBER(SEARCH("GMPS",E341)),D341,0))</f>
        <v>1</v>
      </c>
      <c r="K341" s="41" t="n">
        <f aca="false">IF(A341="","",IF(ISNUMBER(SEARCH("DLV",E341)),D341,0))</f>
        <v>1</v>
      </c>
      <c r="L341" s="41" t="str">
        <f aca="false">IF(A341="","",IF(K341&gt;0,"Delivered",IF(ISNUMBER(SEARCH("CNF",E341)),"In production",IF(J341&gt;0,"Issued",IF(I341&gt;0,"Kitted","Released")))))</f>
        <v>Delivered</v>
      </c>
      <c r="M341" s="41" t="n">
        <f aca="false">IF(G341&lt;&gt;"Yes","",COUNTIFS($B$6:$B$1505,B341,$F$6:$F$1505,"&lt;"&amp;F341)+COUNTIFS($B$6:$B$1505,B341,$F$6:$F$1505,F341,$A$6:$A$1505,"&lt;="&amp;A341))</f>
        <v>169</v>
      </c>
      <c r="N341" s="41" t="n">
        <f aca="false">IF(M341="","",ROUNDUP(M341/H341,0))</f>
        <v>8</v>
      </c>
      <c r="O341" s="41" t="str">
        <f aca="false">IF(N341="","",IF(N341&lt;='Kitting Plan'!$C$3,"Rep "&amp;N341,"Surplus"))</f>
        <v>Rep 8</v>
      </c>
    </row>
    <row r="342" customFormat="false" ht="15" hidden="false" customHeight="false" outlineLevel="0" collapsed="false">
      <c r="A342" s="40" t="n">
        <f aca="false">IF(OR($A$4=0,INDEX('COOIS Raw'!$A:$GZ,ROW()-4,$A$4)=""),"",IFERROR(--INDEX('COOIS Raw'!$A:$GZ,ROW()-4,$A$4),INDEX('COOIS Raw'!$A:$GZ,ROW()-4,$A$4)))</f>
        <v>100876496</v>
      </c>
      <c r="B342" s="41" t="str">
        <f aca="false">IF(A342="","",TRIM(INDEX('COOIS Raw'!$A:$GZ,ROW()-4,$B$4)))</f>
        <v>92RRA00548AAA</v>
      </c>
      <c r="C342" s="42" t="str">
        <f aca="false">IF(OR(A342="",$C$4=0),"",INDEX('COOIS Raw'!$A:$GZ,ROW()-4,$C$4))</f>
        <v>R5B ERBIUM SPOOL ASSEMBLY - E2A</v>
      </c>
      <c r="D342" s="41" t="n">
        <f aca="false">IF(A342="","",IF($D$4=0,1,IFERROR(--INDEX('COOIS Raw'!$A:$GZ,ROW()-4,$D$4),1)))</f>
        <v>1</v>
      </c>
      <c r="E342" s="42" t="str">
        <f aca="false">IF(A342="","",INDEX('COOIS Raw'!$A:$GZ,ROW()-4,$E$4)&amp;"")</f>
        <v>REL PRT CNF DLV PRC GMPS MANC SETC</v>
      </c>
      <c r="F342" s="43" t="n">
        <f aca="false">IF(A342="","",IFERROR(DATEVALUE(INDEX('COOIS Raw'!$A:$GZ,ROW()-4,$F$4)),INDEX('COOIS Raw'!$A:$GZ,ROW()-4,$F$4)))</f>
        <v>46272</v>
      </c>
      <c r="G342" s="41" t="str">
        <f aca="false">IF(A342="","",IF(ISNA(MATCH(B342,'Kitting Plan'!$B$6:$B$19,0)),"Not in plan","Yes"))</f>
        <v>Yes</v>
      </c>
      <c r="H342" s="41" t="n">
        <f aca="false">IF(G342="Yes",INDEX('Kitting Plan'!$D$6:$D$19,MATCH(B342,'Kitting Plan'!$B$6:$B$19,0)),"")</f>
        <v>24</v>
      </c>
      <c r="I342" s="41" t="n">
        <f aca="false">IF(A342="","",IF(ISNUMBER(SEARCH("PRT",E342)),D342,0))</f>
        <v>1</v>
      </c>
      <c r="J342" s="41" t="n">
        <f aca="false">IF(A342="","",IF(ISNUMBER(SEARCH("GMPS",E342)),D342,0))</f>
        <v>1</v>
      </c>
      <c r="K342" s="41" t="n">
        <f aca="false">IF(A342="","",IF(ISNUMBER(SEARCH("DLV",E342)),D342,0))</f>
        <v>1</v>
      </c>
      <c r="L342" s="41" t="str">
        <f aca="false">IF(A342="","",IF(K342&gt;0,"Delivered",IF(ISNUMBER(SEARCH("CNF",E342)),"In production",IF(J342&gt;0,"Issued",IF(I342&gt;0,"Kitted","Released")))))</f>
        <v>Delivered</v>
      </c>
      <c r="M342" s="41" t="n">
        <f aca="false">IF(G342&lt;&gt;"Yes","",COUNTIFS($B$6:$B$1505,B342,$F$6:$F$1505,"&lt;"&amp;F342)+COUNTIFS($B$6:$B$1505,B342,$F$6:$F$1505,F342,$A$6:$A$1505,"&lt;="&amp;A342))</f>
        <v>170</v>
      </c>
      <c r="N342" s="41" t="n">
        <f aca="false">IF(M342="","",ROUNDUP(M342/H342,0))</f>
        <v>8</v>
      </c>
      <c r="O342" s="41" t="str">
        <f aca="false">IF(N342="","",IF(N342&lt;='Kitting Plan'!$C$3,"Rep "&amp;N342,"Surplus"))</f>
        <v>Rep 8</v>
      </c>
    </row>
    <row r="343" customFormat="false" ht="15" hidden="false" customHeight="false" outlineLevel="0" collapsed="false">
      <c r="A343" s="40" t="n">
        <f aca="false">IF(OR($A$4=0,INDEX('COOIS Raw'!$A:$GZ,ROW()-4,$A$4)=""),"",IFERROR(--INDEX('COOIS Raw'!$A:$GZ,ROW()-4,$A$4),INDEX('COOIS Raw'!$A:$GZ,ROW()-4,$A$4)))</f>
        <v>100876497</v>
      </c>
      <c r="B343" s="41" t="str">
        <f aca="false">IF(A343="","",TRIM(INDEX('COOIS Raw'!$A:$GZ,ROW()-4,$B$4)))</f>
        <v>92RRA00548AAA</v>
      </c>
      <c r="C343" s="42" t="str">
        <f aca="false">IF(OR(A343="",$C$4=0),"",INDEX('COOIS Raw'!$A:$GZ,ROW()-4,$C$4))</f>
        <v>R5B ERBIUM SPOOL ASSEMBLY - E2A</v>
      </c>
      <c r="D343" s="41" t="n">
        <f aca="false">IF(A343="","",IF($D$4=0,1,IFERROR(--INDEX('COOIS Raw'!$A:$GZ,ROW()-4,$D$4),1)))</f>
        <v>1</v>
      </c>
      <c r="E343" s="42" t="str">
        <f aca="false">IF(A343="","",INDEX('COOIS Raw'!$A:$GZ,ROW()-4,$E$4)&amp;"")</f>
        <v>REL PRT CNF DLV PRC GMPS MANC SETC</v>
      </c>
      <c r="F343" s="43" t="n">
        <f aca="false">IF(A343="","",IFERROR(DATEVALUE(INDEX('COOIS Raw'!$A:$GZ,ROW()-4,$F$4)),INDEX('COOIS Raw'!$A:$GZ,ROW()-4,$F$4)))</f>
        <v>46272</v>
      </c>
      <c r="G343" s="41" t="str">
        <f aca="false">IF(A343="","",IF(ISNA(MATCH(B343,'Kitting Plan'!$B$6:$B$19,0)),"Not in plan","Yes"))</f>
        <v>Yes</v>
      </c>
      <c r="H343" s="41" t="n">
        <f aca="false">IF(G343="Yes",INDEX('Kitting Plan'!$D$6:$D$19,MATCH(B343,'Kitting Plan'!$B$6:$B$19,0)),"")</f>
        <v>24</v>
      </c>
      <c r="I343" s="41" t="n">
        <f aca="false">IF(A343="","",IF(ISNUMBER(SEARCH("PRT",E343)),D343,0))</f>
        <v>1</v>
      </c>
      <c r="J343" s="41" t="n">
        <f aca="false">IF(A343="","",IF(ISNUMBER(SEARCH("GMPS",E343)),D343,0))</f>
        <v>1</v>
      </c>
      <c r="K343" s="41" t="n">
        <f aca="false">IF(A343="","",IF(ISNUMBER(SEARCH("DLV",E343)),D343,0))</f>
        <v>1</v>
      </c>
      <c r="L343" s="41" t="str">
        <f aca="false">IF(A343="","",IF(K343&gt;0,"Delivered",IF(ISNUMBER(SEARCH("CNF",E343)),"In production",IF(J343&gt;0,"Issued",IF(I343&gt;0,"Kitted","Released")))))</f>
        <v>Delivered</v>
      </c>
      <c r="M343" s="41" t="n">
        <f aca="false">IF(G343&lt;&gt;"Yes","",COUNTIFS($B$6:$B$1505,B343,$F$6:$F$1505,"&lt;"&amp;F343)+COUNTIFS($B$6:$B$1505,B343,$F$6:$F$1505,F343,$A$6:$A$1505,"&lt;="&amp;A343))</f>
        <v>171</v>
      </c>
      <c r="N343" s="41" t="n">
        <f aca="false">IF(M343="","",ROUNDUP(M343/H343,0))</f>
        <v>8</v>
      </c>
      <c r="O343" s="41" t="str">
        <f aca="false">IF(N343="","",IF(N343&lt;='Kitting Plan'!$C$3,"Rep "&amp;N343,"Surplus"))</f>
        <v>Rep 8</v>
      </c>
    </row>
    <row r="344" customFormat="false" ht="15" hidden="false" customHeight="false" outlineLevel="0" collapsed="false">
      <c r="A344" s="40" t="n">
        <f aca="false">IF(OR($A$4=0,INDEX('COOIS Raw'!$A:$GZ,ROW()-4,$A$4)=""),"",IFERROR(--INDEX('COOIS Raw'!$A:$GZ,ROW()-4,$A$4),INDEX('COOIS Raw'!$A:$GZ,ROW()-4,$A$4)))</f>
        <v>100876498</v>
      </c>
      <c r="B344" s="41" t="str">
        <f aca="false">IF(A344="","",TRIM(INDEX('COOIS Raw'!$A:$GZ,ROW()-4,$B$4)))</f>
        <v>92RRA00548AAA</v>
      </c>
      <c r="C344" s="42" t="str">
        <f aca="false">IF(OR(A344="",$C$4=0),"",INDEX('COOIS Raw'!$A:$GZ,ROW()-4,$C$4))</f>
        <v>R5B ERBIUM SPOOL ASSEMBLY - E2A</v>
      </c>
      <c r="D344" s="41" t="n">
        <f aca="false">IF(A344="","",IF($D$4=0,1,IFERROR(--INDEX('COOIS Raw'!$A:$GZ,ROW()-4,$D$4),1)))</f>
        <v>1</v>
      </c>
      <c r="E344" s="42" t="str">
        <f aca="false">IF(A344="","",INDEX('COOIS Raw'!$A:$GZ,ROW()-4,$E$4)&amp;"")</f>
        <v>REL PRT CNF DLV PRC GMPS MANC SETC</v>
      </c>
      <c r="F344" s="43" t="n">
        <f aca="false">IF(A344="","",IFERROR(DATEVALUE(INDEX('COOIS Raw'!$A:$GZ,ROW()-4,$F$4)),INDEX('COOIS Raw'!$A:$GZ,ROW()-4,$F$4)))</f>
        <v>46272</v>
      </c>
      <c r="G344" s="41" t="str">
        <f aca="false">IF(A344="","",IF(ISNA(MATCH(B344,'Kitting Plan'!$B$6:$B$19,0)),"Not in plan","Yes"))</f>
        <v>Yes</v>
      </c>
      <c r="H344" s="41" t="n">
        <f aca="false">IF(G344="Yes",INDEX('Kitting Plan'!$D$6:$D$19,MATCH(B344,'Kitting Plan'!$B$6:$B$19,0)),"")</f>
        <v>24</v>
      </c>
      <c r="I344" s="41" t="n">
        <f aca="false">IF(A344="","",IF(ISNUMBER(SEARCH("PRT",E344)),D344,0))</f>
        <v>1</v>
      </c>
      <c r="J344" s="41" t="n">
        <f aca="false">IF(A344="","",IF(ISNUMBER(SEARCH("GMPS",E344)),D344,0))</f>
        <v>1</v>
      </c>
      <c r="K344" s="41" t="n">
        <f aca="false">IF(A344="","",IF(ISNUMBER(SEARCH("DLV",E344)),D344,0))</f>
        <v>1</v>
      </c>
      <c r="L344" s="41" t="str">
        <f aca="false">IF(A344="","",IF(K344&gt;0,"Delivered",IF(ISNUMBER(SEARCH("CNF",E344)),"In production",IF(J344&gt;0,"Issued",IF(I344&gt;0,"Kitted","Released")))))</f>
        <v>Delivered</v>
      </c>
      <c r="M344" s="41" t="n">
        <f aca="false">IF(G344&lt;&gt;"Yes","",COUNTIFS($B$6:$B$1505,B344,$F$6:$F$1505,"&lt;"&amp;F344)+COUNTIFS($B$6:$B$1505,B344,$F$6:$F$1505,F344,$A$6:$A$1505,"&lt;="&amp;A344))</f>
        <v>172</v>
      </c>
      <c r="N344" s="41" t="n">
        <f aca="false">IF(M344="","",ROUNDUP(M344/H344,0))</f>
        <v>8</v>
      </c>
      <c r="O344" s="41" t="str">
        <f aca="false">IF(N344="","",IF(N344&lt;='Kitting Plan'!$C$3,"Rep "&amp;N344,"Surplus"))</f>
        <v>Rep 8</v>
      </c>
    </row>
    <row r="345" customFormat="false" ht="15" hidden="false" customHeight="false" outlineLevel="0" collapsed="false">
      <c r="A345" s="40" t="n">
        <f aca="false">IF(OR($A$4=0,INDEX('COOIS Raw'!$A:$GZ,ROW()-4,$A$4)=""),"",IFERROR(--INDEX('COOIS Raw'!$A:$GZ,ROW()-4,$A$4),INDEX('COOIS Raw'!$A:$GZ,ROW()-4,$A$4)))</f>
        <v>100876499</v>
      </c>
      <c r="B345" s="41" t="str">
        <f aca="false">IF(A345="","",TRIM(INDEX('COOIS Raw'!$A:$GZ,ROW()-4,$B$4)))</f>
        <v>92RRA00548AAA</v>
      </c>
      <c r="C345" s="42" t="str">
        <f aca="false">IF(OR(A345="",$C$4=0),"",INDEX('COOIS Raw'!$A:$GZ,ROW()-4,$C$4))</f>
        <v>R5B ERBIUM SPOOL ASSEMBLY - E2A</v>
      </c>
      <c r="D345" s="41" t="n">
        <f aca="false">IF(A345="","",IF($D$4=0,1,IFERROR(--INDEX('COOIS Raw'!$A:$GZ,ROW()-4,$D$4),1)))</f>
        <v>1</v>
      </c>
      <c r="E345" s="42" t="str">
        <f aca="false">IF(A345="","",INDEX('COOIS Raw'!$A:$GZ,ROW()-4,$E$4)&amp;"")</f>
        <v>REL PRT CNF DLV PRC GMPS MANC SETC</v>
      </c>
      <c r="F345" s="43" t="n">
        <f aca="false">IF(A345="","",IFERROR(DATEVALUE(INDEX('COOIS Raw'!$A:$GZ,ROW()-4,$F$4)),INDEX('COOIS Raw'!$A:$GZ,ROW()-4,$F$4)))</f>
        <v>46272</v>
      </c>
      <c r="G345" s="41" t="str">
        <f aca="false">IF(A345="","",IF(ISNA(MATCH(B345,'Kitting Plan'!$B$6:$B$19,0)),"Not in plan","Yes"))</f>
        <v>Yes</v>
      </c>
      <c r="H345" s="41" t="n">
        <f aca="false">IF(G345="Yes",INDEX('Kitting Plan'!$D$6:$D$19,MATCH(B345,'Kitting Plan'!$B$6:$B$19,0)),"")</f>
        <v>24</v>
      </c>
      <c r="I345" s="41" t="n">
        <f aca="false">IF(A345="","",IF(ISNUMBER(SEARCH("PRT",E345)),D345,0))</f>
        <v>1</v>
      </c>
      <c r="J345" s="41" t="n">
        <f aca="false">IF(A345="","",IF(ISNUMBER(SEARCH("GMPS",E345)),D345,0))</f>
        <v>1</v>
      </c>
      <c r="K345" s="41" t="n">
        <f aca="false">IF(A345="","",IF(ISNUMBER(SEARCH("DLV",E345)),D345,0))</f>
        <v>1</v>
      </c>
      <c r="L345" s="41" t="str">
        <f aca="false">IF(A345="","",IF(K345&gt;0,"Delivered",IF(ISNUMBER(SEARCH("CNF",E345)),"In production",IF(J345&gt;0,"Issued",IF(I345&gt;0,"Kitted","Released")))))</f>
        <v>Delivered</v>
      </c>
      <c r="M345" s="41" t="n">
        <f aca="false">IF(G345&lt;&gt;"Yes","",COUNTIFS($B$6:$B$1505,B345,$F$6:$F$1505,"&lt;"&amp;F345)+COUNTIFS($B$6:$B$1505,B345,$F$6:$F$1505,F345,$A$6:$A$1505,"&lt;="&amp;A345))</f>
        <v>173</v>
      </c>
      <c r="N345" s="41" t="n">
        <f aca="false">IF(M345="","",ROUNDUP(M345/H345,0))</f>
        <v>8</v>
      </c>
      <c r="O345" s="41" t="str">
        <f aca="false">IF(N345="","",IF(N345&lt;='Kitting Plan'!$C$3,"Rep "&amp;N345,"Surplus"))</f>
        <v>Rep 8</v>
      </c>
    </row>
    <row r="346" customFormat="false" ht="15" hidden="false" customHeight="false" outlineLevel="0" collapsed="false">
      <c r="A346" s="40" t="n">
        <f aca="false">IF(OR($A$4=0,INDEX('COOIS Raw'!$A:$GZ,ROW()-4,$A$4)=""),"",IFERROR(--INDEX('COOIS Raw'!$A:$GZ,ROW()-4,$A$4),INDEX('COOIS Raw'!$A:$GZ,ROW()-4,$A$4)))</f>
        <v>100876500</v>
      </c>
      <c r="B346" s="41" t="str">
        <f aca="false">IF(A346="","",TRIM(INDEX('COOIS Raw'!$A:$GZ,ROW()-4,$B$4)))</f>
        <v>92RRA00548AAA</v>
      </c>
      <c r="C346" s="42" t="str">
        <f aca="false">IF(OR(A346="",$C$4=0),"",INDEX('COOIS Raw'!$A:$GZ,ROW()-4,$C$4))</f>
        <v>R5B ERBIUM SPOOL ASSEMBLY - E2A</v>
      </c>
      <c r="D346" s="41" t="n">
        <f aca="false">IF(A346="","",IF($D$4=0,1,IFERROR(--INDEX('COOIS Raw'!$A:$GZ,ROW()-4,$D$4),1)))</f>
        <v>1</v>
      </c>
      <c r="E346" s="42" t="str">
        <f aca="false">IF(A346="","",INDEX('COOIS Raw'!$A:$GZ,ROW()-4,$E$4)&amp;"")</f>
        <v>REL PRT CNF DLV PRC GMPS MANC SETC</v>
      </c>
      <c r="F346" s="43" t="n">
        <f aca="false">IF(A346="","",IFERROR(DATEVALUE(INDEX('COOIS Raw'!$A:$GZ,ROW()-4,$F$4)),INDEX('COOIS Raw'!$A:$GZ,ROW()-4,$F$4)))</f>
        <v>46272</v>
      </c>
      <c r="G346" s="41" t="str">
        <f aca="false">IF(A346="","",IF(ISNA(MATCH(B346,'Kitting Plan'!$B$6:$B$19,0)),"Not in plan","Yes"))</f>
        <v>Yes</v>
      </c>
      <c r="H346" s="41" t="n">
        <f aca="false">IF(G346="Yes",INDEX('Kitting Plan'!$D$6:$D$19,MATCH(B346,'Kitting Plan'!$B$6:$B$19,0)),"")</f>
        <v>24</v>
      </c>
      <c r="I346" s="41" t="n">
        <f aca="false">IF(A346="","",IF(ISNUMBER(SEARCH("PRT",E346)),D346,0))</f>
        <v>1</v>
      </c>
      <c r="J346" s="41" t="n">
        <f aca="false">IF(A346="","",IF(ISNUMBER(SEARCH("GMPS",E346)),D346,0))</f>
        <v>1</v>
      </c>
      <c r="K346" s="41" t="n">
        <f aca="false">IF(A346="","",IF(ISNUMBER(SEARCH("DLV",E346)),D346,0))</f>
        <v>1</v>
      </c>
      <c r="L346" s="41" t="str">
        <f aca="false">IF(A346="","",IF(K346&gt;0,"Delivered",IF(ISNUMBER(SEARCH("CNF",E346)),"In production",IF(J346&gt;0,"Issued",IF(I346&gt;0,"Kitted","Released")))))</f>
        <v>Delivered</v>
      </c>
      <c r="M346" s="41" t="n">
        <f aca="false">IF(G346&lt;&gt;"Yes","",COUNTIFS($B$6:$B$1505,B346,$F$6:$F$1505,"&lt;"&amp;F346)+COUNTIFS($B$6:$B$1505,B346,$F$6:$F$1505,F346,$A$6:$A$1505,"&lt;="&amp;A346))</f>
        <v>174</v>
      </c>
      <c r="N346" s="41" t="n">
        <f aca="false">IF(M346="","",ROUNDUP(M346/H346,0))</f>
        <v>8</v>
      </c>
      <c r="O346" s="41" t="str">
        <f aca="false">IF(N346="","",IF(N346&lt;='Kitting Plan'!$C$3,"Rep "&amp;N346,"Surplus"))</f>
        <v>Rep 8</v>
      </c>
    </row>
    <row r="347" customFormat="false" ht="15" hidden="false" customHeight="false" outlineLevel="0" collapsed="false">
      <c r="A347" s="40" t="n">
        <f aca="false">IF(OR($A$4=0,INDEX('COOIS Raw'!$A:$GZ,ROW()-4,$A$4)=""),"",IFERROR(--INDEX('COOIS Raw'!$A:$GZ,ROW()-4,$A$4),INDEX('COOIS Raw'!$A:$GZ,ROW()-4,$A$4)))</f>
        <v>100876501</v>
      </c>
      <c r="B347" s="41" t="str">
        <f aca="false">IF(A347="","",TRIM(INDEX('COOIS Raw'!$A:$GZ,ROW()-4,$B$4)))</f>
        <v>92RRA00548AAA</v>
      </c>
      <c r="C347" s="42" t="str">
        <f aca="false">IF(OR(A347="",$C$4=0),"",INDEX('COOIS Raw'!$A:$GZ,ROW()-4,$C$4))</f>
        <v>R5B ERBIUM SPOOL ASSEMBLY - E2A</v>
      </c>
      <c r="D347" s="41" t="n">
        <f aca="false">IF(A347="","",IF($D$4=0,1,IFERROR(--INDEX('COOIS Raw'!$A:$GZ,ROW()-4,$D$4),1)))</f>
        <v>1</v>
      </c>
      <c r="E347" s="42" t="str">
        <f aca="false">IF(A347="","",INDEX('COOIS Raw'!$A:$GZ,ROW()-4,$E$4)&amp;"")</f>
        <v>REL PRT CNF DLV PRC GMPS MANC SETC</v>
      </c>
      <c r="F347" s="43" t="n">
        <f aca="false">IF(A347="","",IFERROR(DATEVALUE(INDEX('COOIS Raw'!$A:$GZ,ROW()-4,$F$4)),INDEX('COOIS Raw'!$A:$GZ,ROW()-4,$F$4)))</f>
        <v>46272</v>
      </c>
      <c r="G347" s="41" t="str">
        <f aca="false">IF(A347="","",IF(ISNA(MATCH(B347,'Kitting Plan'!$B$6:$B$19,0)),"Not in plan","Yes"))</f>
        <v>Yes</v>
      </c>
      <c r="H347" s="41" t="n">
        <f aca="false">IF(G347="Yes",INDEX('Kitting Plan'!$D$6:$D$19,MATCH(B347,'Kitting Plan'!$B$6:$B$19,0)),"")</f>
        <v>24</v>
      </c>
      <c r="I347" s="41" t="n">
        <f aca="false">IF(A347="","",IF(ISNUMBER(SEARCH("PRT",E347)),D347,0))</f>
        <v>1</v>
      </c>
      <c r="J347" s="41" t="n">
        <f aca="false">IF(A347="","",IF(ISNUMBER(SEARCH("GMPS",E347)),D347,0))</f>
        <v>1</v>
      </c>
      <c r="K347" s="41" t="n">
        <f aca="false">IF(A347="","",IF(ISNUMBER(SEARCH("DLV",E347)),D347,0))</f>
        <v>1</v>
      </c>
      <c r="L347" s="41" t="str">
        <f aca="false">IF(A347="","",IF(K347&gt;0,"Delivered",IF(ISNUMBER(SEARCH("CNF",E347)),"In production",IF(J347&gt;0,"Issued",IF(I347&gt;0,"Kitted","Released")))))</f>
        <v>Delivered</v>
      </c>
      <c r="M347" s="41" t="n">
        <f aca="false">IF(G347&lt;&gt;"Yes","",COUNTIFS($B$6:$B$1505,B347,$F$6:$F$1505,"&lt;"&amp;F347)+COUNTIFS($B$6:$B$1505,B347,$F$6:$F$1505,F347,$A$6:$A$1505,"&lt;="&amp;A347))</f>
        <v>175</v>
      </c>
      <c r="N347" s="41" t="n">
        <f aca="false">IF(M347="","",ROUNDUP(M347/H347,0))</f>
        <v>8</v>
      </c>
      <c r="O347" s="41" t="str">
        <f aca="false">IF(N347="","",IF(N347&lt;='Kitting Plan'!$C$3,"Rep "&amp;N347,"Surplus"))</f>
        <v>Rep 8</v>
      </c>
    </row>
    <row r="348" customFormat="false" ht="15" hidden="false" customHeight="false" outlineLevel="0" collapsed="false">
      <c r="A348" s="40" t="n">
        <f aca="false">IF(OR($A$4=0,INDEX('COOIS Raw'!$A:$GZ,ROW()-4,$A$4)=""),"",IFERROR(--INDEX('COOIS Raw'!$A:$GZ,ROW()-4,$A$4),INDEX('COOIS Raw'!$A:$GZ,ROW()-4,$A$4)))</f>
        <v>100876502</v>
      </c>
      <c r="B348" s="41" t="str">
        <f aca="false">IF(A348="","",TRIM(INDEX('COOIS Raw'!$A:$GZ,ROW()-4,$B$4)))</f>
        <v>92RRA00548AAA</v>
      </c>
      <c r="C348" s="42" t="str">
        <f aca="false">IF(OR(A348="",$C$4=0),"",INDEX('COOIS Raw'!$A:$GZ,ROW()-4,$C$4))</f>
        <v>R5B ERBIUM SPOOL ASSEMBLY - E2A</v>
      </c>
      <c r="D348" s="41" t="n">
        <f aca="false">IF(A348="","",IF($D$4=0,1,IFERROR(--INDEX('COOIS Raw'!$A:$GZ,ROW()-4,$D$4),1)))</f>
        <v>1</v>
      </c>
      <c r="E348" s="42" t="str">
        <f aca="false">IF(A348="","",INDEX('COOIS Raw'!$A:$GZ,ROW()-4,$E$4)&amp;"")</f>
        <v>REL PRT CNF DLV PRC GMPS MANC SETC</v>
      </c>
      <c r="F348" s="43" t="n">
        <f aca="false">IF(A348="","",IFERROR(DATEVALUE(INDEX('COOIS Raw'!$A:$GZ,ROW()-4,$F$4)),INDEX('COOIS Raw'!$A:$GZ,ROW()-4,$F$4)))</f>
        <v>46272</v>
      </c>
      <c r="G348" s="41" t="str">
        <f aca="false">IF(A348="","",IF(ISNA(MATCH(B348,'Kitting Plan'!$B$6:$B$19,0)),"Not in plan","Yes"))</f>
        <v>Yes</v>
      </c>
      <c r="H348" s="41" t="n">
        <f aca="false">IF(G348="Yes",INDEX('Kitting Plan'!$D$6:$D$19,MATCH(B348,'Kitting Plan'!$B$6:$B$19,0)),"")</f>
        <v>24</v>
      </c>
      <c r="I348" s="41" t="n">
        <f aca="false">IF(A348="","",IF(ISNUMBER(SEARCH("PRT",E348)),D348,0))</f>
        <v>1</v>
      </c>
      <c r="J348" s="41" t="n">
        <f aca="false">IF(A348="","",IF(ISNUMBER(SEARCH("GMPS",E348)),D348,0))</f>
        <v>1</v>
      </c>
      <c r="K348" s="41" t="n">
        <f aca="false">IF(A348="","",IF(ISNUMBER(SEARCH("DLV",E348)),D348,0))</f>
        <v>1</v>
      </c>
      <c r="L348" s="41" t="str">
        <f aca="false">IF(A348="","",IF(K348&gt;0,"Delivered",IF(ISNUMBER(SEARCH("CNF",E348)),"In production",IF(J348&gt;0,"Issued",IF(I348&gt;0,"Kitted","Released")))))</f>
        <v>Delivered</v>
      </c>
      <c r="M348" s="41" t="n">
        <f aca="false">IF(G348&lt;&gt;"Yes","",COUNTIFS($B$6:$B$1505,B348,$F$6:$F$1505,"&lt;"&amp;F348)+COUNTIFS($B$6:$B$1505,B348,$F$6:$F$1505,F348,$A$6:$A$1505,"&lt;="&amp;A348))</f>
        <v>176</v>
      </c>
      <c r="N348" s="41" t="n">
        <f aca="false">IF(M348="","",ROUNDUP(M348/H348,0))</f>
        <v>8</v>
      </c>
      <c r="O348" s="41" t="str">
        <f aca="false">IF(N348="","",IF(N348&lt;='Kitting Plan'!$C$3,"Rep "&amp;N348,"Surplus"))</f>
        <v>Rep 8</v>
      </c>
    </row>
    <row r="349" customFormat="false" ht="15" hidden="false" customHeight="false" outlineLevel="0" collapsed="false">
      <c r="A349" s="40" t="n">
        <f aca="false">IF(OR($A$4=0,INDEX('COOIS Raw'!$A:$GZ,ROW()-4,$A$4)=""),"",IFERROR(--INDEX('COOIS Raw'!$A:$GZ,ROW()-4,$A$4),INDEX('COOIS Raw'!$A:$GZ,ROW()-4,$A$4)))</f>
        <v>100876359</v>
      </c>
      <c r="B349" s="41" t="str">
        <f aca="false">IF(A349="","",TRIM(INDEX('COOIS Raw'!$A:$GZ,ROW()-4,$B$4)))</f>
        <v>92UAP04548BAA</v>
      </c>
      <c r="C349" s="42" t="str">
        <f aca="false">IF(OR(A349="",$C$4=0),"",INDEX('COOIS Raw'!$A:$GZ,ROW()-4,$C$4))</f>
        <v>R5B BOAT 1 ASSY (4P-4FP) L - E2A</v>
      </c>
      <c r="D349" s="41" t="n">
        <f aca="false">IF(A349="","",IF($D$4=0,1,IFERROR(--INDEX('COOIS Raw'!$A:$GZ,ROW()-4,$D$4),1)))</f>
        <v>1</v>
      </c>
      <c r="E349" s="42" t="str">
        <f aca="false">IF(A349="","",INDEX('COOIS Raw'!$A:$GZ,ROW()-4,$E$4)&amp;"")</f>
        <v>REL PRT PCNF PRC GMPS MANC RESA SETC</v>
      </c>
      <c r="F349" s="43" t="n">
        <f aca="false">IF(A349="","",IFERROR(DATEVALUE(INDEX('COOIS Raw'!$A:$GZ,ROW()-4,$F$4)),INDEX('COOIS Raw'!$A:$GZ,ROW()-4,$F$4)))</f>
        <v>46270</v>
      </c>
      <c r="G349" s="41" t="str">
        <f aca="false">IF(A349="","",IF(ISNA(MATCH(B349,'Kitting Plan'!$B$6:$B$19,0)),"Not in plan","Yes"))</f>
        <v>Yes</v>
      </c>
      <c r="H349" s="41" t="n">
        <f aca="false">IF(G349="Yes",INDEX('Kitting Plan'!$D$6:$D$19,MATCH(B349,'Kitting Plan'!$B$6:$B$19,0)),"")</f>
        <v>1</v>
      </c>
      <c r="I349" s="41" t="n">
        <f aca="false">IF(A349="","",IF(ISNUMBER(SEARCH("PRT",E349)),D349,0))</f>
        <v>1</v>
      </c>
      <c r="J349" s="41" t="n">
        <f aca="false">IF(A349="","",IF(ISNUMBER(SEARCH("GMPS",E349)),D349,0))</f>
        <v>1</v>
      </c>
      <c r="K349" s="41" t="n">
        <f aca="false">IF(A349="","",IF(ISNUMBER(SEARCH("DLV",E349)),D349,0))</f>
        <v>0</v>
      </c>
      <c r="L349" s="41" t="str">
        <f aca="false">IF(A349="","",IF(K349&gt;0,"Delivered",IF(ISNUMBER(SEARCH("CNF",E349)),"In production",IF(J349&gt;0,"Issued",IF(I349&gt;0,"Kitted","Released")))))</f>
        <v>In production</v>
      </c>
      <c r="M349" s="41" t="n">
        <f aca="false">IF(G349&lt;&gt;"Yes","",COUNTIFS($B$6:$B$1505,B349,$F$6:$F$1505,"&lt;"&amp;F349)+COUNTIFS($B$6:$B$1505,B349,$F$6:$F$1505,F349,$A$6:$A$1505,"&lt;="&amp;A349))</f>
        <v>7</v>
      </c>
      <c r="N349" s="41" t="n">
        <f aca="false">IF(M349="","",ROUNDUP(M349/H349,0))</f>
        <v>7</v>
      </c>
      <c r="O349" s="41" t="str">
        <f aca="false">IF(N349="","",IF(N349&lt;='Kitting Plan'!$C$3,"Rep "&amp;N349,"Surplus"))</f>
        <v>Rep 7</v>
      </c>
    </row>
    <row r="350" customFormat="false" ht="15" hidden="false" customHeight="false" outlineLevel="0" collapsed="false">
      <c r="A350" s="40" t="n">
        <f aca="false">IF(OR($A$4=0,INDEX('COOIS Raw'!$A:$GZ,ROW()-4,$A$4)=""),"",IFERROR(--INDEX('COOIS Raw'!$A:$GZ,ROW()-4,$A$4),INDEX('COOIS Raw'!$A:$GZ,ROW()-4,$A$4)))</f>
        <v>100876360</v>
      </c>
      <c r="B350" s="41" t="str">
        <f aca="false">IF(A350="","",TRIM(INDEX('COOIS Raw'!$A:$GZ,ROW()-4,$B$4)))</f>
        <v>92UAP04548BBA</v>
      </c>
      <c r="C350" s="42" t="str">
        <f aca="false">IF(OR(A350="",$C$4=0),"",INDEX('COOIS Raw'!$A:$GZ,ROW()-4,$C$4))</f>
        <v>R5B BOAT 2 ASSY (4P-4FP) L - E2A</v>
      </c>
      <c r="D350" s="41" t="n">
        <f aca="false">IF(A350="","",IF($D$4=0,1,IFERROR(--INDEX('COOIS Raw'!$A:$GZ,ROW()-4,$D$4),1)))</f>
        <v>1</v>
      </c>
      <c r="E350" s="42" t="str">
        <f aca="false">IF(A350="","",INDEX('COOIS Raw'!$A:$GZ,ROW()-4,$E$4)&amp;"")</f>
        <v>REL PRT PCNF PRC GMPS MANC SETC</v>
      </c>
      <c r="F350" s="43" t="n">
        <f aca="false">IF(A350="","",IFERROR(DATEVALUE(INDEX('COOIS Raw'!$A:$GZ,ROW()-4,$F$4)),INDEX('COOIS Raw'!$A:$GZ,ROW()-4,$F$4)))</f>
        <v>46270</v>
      </c>
      <c r="G350" s="41" t="str">
        <f aca="false">IF(A350="","",IF(ISNA(MATCH(B350,'Kitting Plan'!$B$6:$B$19,0)),"Not in plan","Yes"))</f>
        <v>Yes</v>
      </c>
      <c r="H350" s="41" t="n">
        <f aca="false">IF(G350="Yes",INDEX('Kitting Plan'!$D$6:$D$19,MATCH(B350,'Kitting Plan'!$B$6:$B$19,0)),"")</f>
        <v>1</v>
      </c>
      <c r="I350" s="41" t="n">
        <f aca="false">IF(A350="","",IF(ISNUMBER(SEARCH("PRT",E350)),D350,0))</f>
        <v>1</v>
      </c>
      <c r="J350" s="41" t="n">
        <f aca="false">IF(A350="","",IF(ISNUMBER(SEARCH("GMPS",E350)),D350,0))</f>
        <v>1</v>
      </c>
      <c r="K350" s="41" t="n">
        <f aca="false">IF(A350="","",IF(ISNUMBER(SEARCH("DLV",E350)),D350,0))</f>
        <v>0</v>
      </c>
      <c r="L350" s="41" t="str">
        <f aca="false">IF(A350="","",IF(K350&gt;0,"Delivered",IF(ISNUMBER(SEARCH("CNF",E350)),"In production",IF(J350&gt;0,"Issued",IF(I350&gt;0,"Kitted","Released")))))</f>
        <v>In production</v>
      </c>
      <c r="M350" s="41" t="n">
        <f aca="false">IF(G350&lt;&gt;"Yes","",COUNTIFS($B$6:$B$1505,B350,$F$6:$F$1505,"&lt;"&amp;F350)+COUNTIFS($B$6:$B$1505,B350,$F$6:$F$1505,F350,$A$6:$A$1505,"&lt;="&amp;A350))</f>
        <v>7</v>
      </c>
      <c r="N350" s="41" t="n">
        <f aca="false">IF(M350="","",ROUNDUP(M350/H350,0))</f>
        <v>7</v>
      </c>
      <c r="O350" s="41" t="str">
        <f aca="false">IF(N350="","",IF(N350&lt;='Kitting Plan'!$C$3,"Rep "&amp;N350,"Surplus"))</f>
        <v>Rep 7</v>
      </c>
    </row>
    <row r="351" customFormat="false" ht="15" hidden="false" customHeight="false" outlineLevel="0" collapsed="false">
      <c r="A351" s="40" t="n">
        <f aca="false">IF(OR($A$4=0,INDEX('COOIS Raw'!$A:$GZ,ROW()-4,$A$4)=""),"",IFERROR(--INDEX('COOIS Raw'!$A:$GZ,ROW()-4,$A$4),INDEX('COOIS Raw'!$A:$GZ,ROW()-4,$A$4)))</f>
        <v>100876361</v>
      </c>
      <c r="B351" s="41" t="str">
        <f aca="false">IF(A351="","",TRIM(INDEX('COOIS Raw'!$A:$GZ,ROW()-4,$B$4)))</f>
        <v>92UAP04548BCA</v>
      </c>
      <c r="C351" s="42" t="str">
        <f aca="false">IF(OR(A351="",$C$4=0),"",INDEX('COOIS Raw'!$A:$GZ,ROW()-4,$C$4))</f>
        <v>R5B BOAT 3 ASSY (4P-4FP) L - E2A</v>
      </c>
      <c r="D351" s="41" t="n">
        <f aca="false">IF(A351="","",IF($D$4=0,1,IFERROR(--INDEX('COOIS Raw'!$A:$GZ,ROW()-4,$D$4),1)))</f>
        <v>1</v>
      </c>
      <c r="E351" s="42" t="str">
        <f aca="false">IF(A351="","",INDEX('COOIS Raw'!$A:$GZ,ROW()-4,$E$4)&amp;"")</f>
        <v>REL PRT PCNF PRC GMPS MANC RESA SETC</v>
      </c>
      <c r="F351" s="43" t="n">
        <f aca="false">IF(A351="","",IFERROR(DATEVALUE(INDEX('COOIS Raw'!$A:$GZ,ROW()-4,$F$4)),INDEX('COOIS Raw'!$A:$GZ,ROW()-4,$F$4)))</f>
        <v>46270</v>
      </c>
      <c r="G351" s="41" t="str">
        <f aca="false">IF(A351="","",IF(ISNA(MATCH(B351,'Kitting Plan'!$B$6:$B$19,0)),"Not in plan","Yes"))</f>
        <v>Yes</v>
      </c>
      <c r="H351" s="41" t="n">
        <f aca="false">IF(G351="Yes",INDEX('Kitting Plan'!$D$6:$D$19,MATCH(B351,'Kitting Plan'!$B$6:$B$19,0)),"")</f>
        <v>1</v>
      </c>
      <c r="I351" s="41" t="n">
        <f aca="false">IF(A351="","",IF(ISNUMBER(SEARCH("PRT",E351)),D351,0))</f>
        <v>1</v>
      </c>
      <c r="J351" s="41" t="n">
        <f aca="false">IF(A351="","",IF(ISNUMBER(SEARCH("GMPS",E351)),D351,0))</f>
        <v>1</v>
      </c>
      <c r="K351" s="41" t="n">
        <f aca="false">IF(A351="","",IF(ISNUMBER(SEARCH("DLV",E351)),D351,0))</f>
        <v>0</v>
      </c>
      <c r="L351" s="41" t="str">
        <f aca="false">IF(A351="","",IF(K351&gt;0,"Delivered",IF(ISNUMBER(SEARCH("CNF",E351)),"In production",IF(J351&gt;0,"Issued",IF(I351&gt;0,"Kitted","Released")))))</f>
        <v>In production</v>
      </c>
      <c r="M351" s="41" t="n">
        <f aca="false">IF(G351&lt;&gt;"Yes","",COUNTIFS($B$6:$B$1505,B351,$F$6:$F$1505,"&lt;"&amp;F351)+COUNTIFS($B$6:$B$1505,B351,$F$6:$F$1505,F351,$A$6:$A$1505,"&lt;="&amp;A351))</f>
        <v>7</v>
      </c>
      <c r="N351" s="41" t="n">
        <f aca="false">IF(M351="","",ROUNDUP(M351/H351,0))</f>
        <v>7</v>
      </c>
      <c r="O351" s="41" t="str">
        <f aca="false">IF(N351="","",IF(N351&lt;='Kitting Plan'!$C$3,"Rep "&amp;N351,"Surplus"))</f>
        <v>Rep 7</v>
      </c>
    </row>
    <row r="352" customFormat="false" ht="15" hidden="false" customHeight="false" outlineLevel="0" collapsed="false">
      <c r="A352" s="40" t="n">
        <f aca="false">IF(OR($A$4=0,INDEX('COOIS Raw'!$A:$GZ,ROW()-4,$A$4)=""),"",IFERROR(--INDEX('COOIS Raw'!$A:$GZ,ROW()-4,$A$4),INDEX('COOIS Raw'!$A:$GZ,ROW()-4,$A$4)))</f>
        <v>100876289</v>
      </c>
      <c r="B352" s="41" t="str">
        <f aca="false">IF(A352="","",TRIM(INDEX('COOIS Raw'!$A:$GZ,ROW()-4,$B$4)))</f>
        <v>92YWS04548AAA</v>
      </c>
      <c r="C352" s="42" t="str">
        <f aca="false">IF(OR(A352="",$C$4=0),"",INDEX('COOIS Raw'!$A:$GZ,ROW()-4,$C$4))</f>
        <v>R5B 4FP POB LUMENTUM SUB ASSEMBLY - E2A</v>
      </c>
      <c r="D352" s="41" t="n">
        <f aca="false">IF(A352="","",IF($D$4=0,1,IFERROR(--INDEX('COOIS Raw'!$A:$GZ,ROW()-4,$D$4),1)))</f>
        <v>1</v>
      </c>
      <c r="E352" s="42" t="str">
        <f aca="false">IF(A352="","",INDEX('COOIS Raw'!$A:$GZ,ROW()-4,$E$4)&amp;"")</f>
        <v>REL PRT CNF DLV PRC GMPS MANC SETC</v>
      </c>
      <c r="F352" s="43" t="n">
        <f aca="false">IF(A352="","",IFERROR(DATEVALUE(INDEX('COOIS Raw'!$A:$GZ,ROW()-4,$F$4)),INDEX('COOIS Raw'!$A:$GZ,ROW()-4,$F$4)))</f>
        <v>46269</v>
      </c>
      <c r="G352" s="41" t="str">
        <f aca="false">IF(A352="","",IF(ISNA(MATCH(B352,'Kitting Plan'!$B$6:$B$19,0)),"Not in plan","Yes"))</f>
        <v>Yes</v>
      </c>
      <c r="H352" s="41" t="n">
        <f aca="false">IF(G352="Yes",INDEX('Kitting Plan'!$D$6:$D$19,MATCH(B352,'Kitting Plan'!$B$6:$B$19,0)),"")</f>
        <v>3</v>
      </c>
      <c r="I352" s="41" t="n">
        <f aca="false">IF(A352="","",IF(ISNUMBER(SEARCH("PRT",E352)),D352,0))</f>
        <v>1</v>
      </c>
      <c r="J352" s="41" t="n">
        <f aca="false">IF(A352="","",IF(ISNUMBER(SEARCH("GMPS",E352)),D352,0))</f>
        <v>1</v>
      </c>
      <c r="K352" s="41" t="n">
        <f aca="false">IF(A352="","",IF(ISNUMBER(SEARCH("DLV",E352)),D352,0))</f>
        <v>1</v>
      </c>
      <c r="L352" s="41" t="str">
        <f aca="false">IF(A352="","",IF(K352&gt;0,"Delivered",IF(ISNUMBER(SEARCH("CNF",E352)),"In production",IF(J352&gt;0,"Issued",IF(I352&gt;0,"Kitted","Released")))))</f>
        <v>Delivered</v>
      </c>
      <c r="M352" s="41" t="n">
        <f aca="false">IF(G352&lt;&gt;"Yes","",COUNTIFS($B$6:$B$1505,B352,$F$6:$F$1505,"&lt;"&amp;F352)+COUNTIFS($B$6:$B$1505,B352,$F$6:$F$1505,F352,$A$6:$A$1505,"&lt;="&amp;A352))</f>
        <v>19</v>
      </c>
      <c r="N352" s="41" t="n">
        <f aca="false">IF(M352="","",ROUNDUP(M352/H352,0))</f>
        <v>7</v>
      </c>
      <c r="O352" s="41" t="str">
        <f aca="false">IF(N352="","",IF(N352&lt;='Kitting Plan'!$C$3,"Rep "&amp;N352,"Surplus"))</f>
        <v>Rep 7</v>
      </c>
    </row>
    <row r="353" customFormat="false" ht="15" hidden="false" customHeight="false" outlineLevel="0" collapsed="false">
      <c r="A353" s="40" t="n">
        <f aca="false">IF(OR($A$4=0,INDEX('COOIS Raw'!$A:$GZ,ROW()-4,$A$4)=""),"",IFERROR(--INDEX('COOIS Raw'!$A:$GZ,ROW()-4,$A$4),INDEX('COOIS Raw'!$A:$GZ,ROW()-4,$A$4)))</f>
        <v>100876290</v>
      </c>
      <c r="B353" s="41" t="str">
        <f aca="false">IF(A353="","",TRIM(INDEX('COOIS Raw'!$A:$GZ,ROW()-4,$B$4)))</f>
        <v>92YWS04548AAA</v>
      </c>
      <c r="C353" s="42" t="str">
        <f aca="false">IF(OR(A353="",$C$4=0),"",INDEX('COOIS Raw'!$A:$GZ,ROW()-4,$C$4))</f>
        <v>R5B 4FP POB LUMENTUM SUB ASSEMBLY - E2A</v>
      </c>
      <c r="D353" s="41" t="n">
        <f aca="false">IF(A353="","",IF($D$4=0,1,IFERROR(--INDEX('COOIS Raw'!$A:$GZ,ROW()-4,$D$4),1)))</f>
        <v>1</v>
      </c>
      <c r="E353" s="42" t="str">
        <f aca="false">IF(A353="","",INDEX('COOIS Raw'!$A:$GZ,ROW()-4,$E$4)&amp;"")</f>
        <v>REL PRT CNF DLV PRC GMPS MANC SETC</v>
      </c>
      <c r="F353" s="43" t="n">
        <f aca="false">IF(A353="","",IFERROR(DATEVALUE(INDEX('COOIS Raw'!$A:$GZ,ROW()-4,$F$4)),INDEX('COOIS Raw'!$A:$GZ,ROW()-4,$F$4)))</f>
        <v>46269</v>
      </c>
      <c r="G353" s="41" t="str">
        <f aca="false">IF(A353="","",IF(ISNA(MATCH(B353,'Kitting Plan'!$B$6:$B$19,0)),"Not in plan","Yes"))</f>
        <v>Yes</v>
      </c>
      <c r="H353" s="41" t="n">
        <f aca="false">IF(G353="Yes",INDEX('Kitting Plan'!$D$6:$D$19,MATCH(B353,'Kitting Plan'!$B$6:$B$19,0)),"")</f>
        <v>3</v>
      </c>
      <c r="I353" s="41" t="n">
        <f aca="false">IF(A353="","",IF(ISNUMBER(SEARCH("PRT",E353)),D353,0))</f>
        <v>1</v>
      </c>
      <c r="J353" s="41" t="n">
        <f aca="false">IF(A353="","",IF(ISNUMBER(SEARCH("GMPS",E353)),D353,0))</f>
        <v>1</v>
      </c>
      <c r="K353" s="41" t="n">
        <f aca="false">IF(A353="","",IF(ISNUMBER(SEARCH("DLV",E353)),D353,0))</f>
        <v>1</v>
      </c>
      <c r="L353" s="41" t="str">
        <f aca="false">IF(A353="","",IF(K353&gt;0,"Delivered",IF(ISNUMBER(SEARCH("CNF",E353)),"In production",IF(J353&gt;0,"Issued",IF(I353&gt;0,"Kitted","Released")))))</f>
        <v>Delivered</v>
      </c>
      <c r="M353" s="41" t="n">
        <f aca="false">IF(G353&lt;&gt;"Yes","",COUNTIFS($B$6:$B$1505,B353,$F$6:$F$1505,"&lt;"&amp;F353)+COUNTIFS($B$6:$B$1505,B353,$F$6:$F$1505,F353,$A$6:$A$1505,"&lt;="&amp;A353))</f>
        <v>20</v>
      </c>
      <c r="N353" s="41" t="n">
        <f aca="false">IF(M353="","",ROUNDUP(M353/H353,0))</f>
        <v>7</v>
      </c>
      <c r="O353" s="41" t="str">
        <f aca="false">IF(N353="","",IF(N353&lt;='Kitting Plan'!$C$3,"Rep "&amp;N353,"Surplus"))</f>
        <v>Rep 7</v>
      </c>
    </row>
    <row r="354" customFormat="false" ht="15" hidden="false" customHeight="false" outlineLevel="0" collapsed="false">
      <c r="A354" s="40" t="n">
        <f aca="false">IF(OR($A$4=0,INDEX('COOIS Raw'!$A:$GZ,ROW()-4,$A$4)=""),"",IFERROR(--INDEX('COOIS Raw'!$A:$GZ,ROW()-4,$A$4),INDEX('COOIS Raw'!$A:$GZ,ROW()-4,$A$4)))</f>
        <v>100876291</v>
      </c>
      <c r="B354" s="41" t="str">
        <f aca="false">IF(A354="","",TRIM(INDEX('COOIS Raw'!$A:$GZ,ROW()-4,$B$4)))</f>
        <v>92YWS04548AAA</v>
      </c>
      <c r="C354" s="42" t="str">
        <f aca="false">IF(OR(A354="",$C$4=0),"",INDEX('COOIS Raw'!$A:$GZ,ROW()-4,$C$4))</f>
        <v>R5B 4FP POB LUMENTUM SUB ASSEMBLY - E2A</v>
      </c>
      <c r="D354" s="41" t="n">
        <f aca="false">IF(A354="","",IF($D$4=0,1,IFERROR(--INDEX('COOIS Raw'!$A:$GZ,ROW()-4,$D$4),1)))</f>
        <v>1</v>
      </c>
      <c r="E354" s="42" t="str">
        <f aca="false">IF(A354="","",INDEX('COOIS Raw'!$A:$GZ,ROW()-4,$E$4)&amp;"")</f>
        <v>REL PRT CNF DLV PRC GMPS MANC SETC</v>
      </c>
      <c r="F354" s="43" t="n">
        <f aca="false">IF(A354="","",IFERROR(DATEVALUE(INDEX('COOIS Raw'!$A:$GZ,ROW()-4,$F$4)),INDEX('COOIS Raw'!$A:$GZ,ROW()-4,$F$4)))</f>
        <v>46269</v>
      </c>
      <c r="G354" s="41" t="str">
        <f aca="false">IF(A354="","",IF(ISNA(MATCH(B354,'Kitting Plan'!$B$6:$B$19,0)),"Not in plan","Yes"))</f>
        <v>Yes</v>
      </c>
      <c r="H354" s="41" t="n">
        <f aca="false">IF(G354="Yes",INDEX('Kitting Plan'!$D$6:$D$19,MATCH(B354,'Kitting Plan'!$B$6:$B$19,0)),"")</f>
        <v>3</v>
      </c>
      <c r="I354" s="41" t="n">
        <f aca="false">IF(A354="","",IF(ISNUMBER(SEARCH("PRT",E354)),D354,0))</f>
        <v>1</v>
      </c>
      <c r="J354" s="41" t="n">
        <f aca="false">IF(A354="","",IF(ISNUMBER(SEARCH("GMPS",E354)),D354,0))</f>
        <v>1</v>
      </c>
      <c r="K354" s="41" t="n">
        <f aca="false">IF(A354="","",IF(ISNUMBER(SEARCH("DLV",E354)),D354,0))</f>
        <v>1</v>
      </c>
      <c r="L354" s="41" t="str">
        <f aca="false">IF(A354="","",IF(K354&gt;0,"Delivered",IF(ISNUMBER(SEARCH("CNF",E354)),"In production",IF(J354&gt;0,"Issued",IF(I354&gt;0,"Kitted","Released")))))</f>
        <v>Delivered</v>
      </c>
      <c r="M354" s="41" t="n">
        <f aca="false">IF(G354&lt;&gt;"Yes","",COUNTIFS($B$6:$B$1505,B354,$F$6:$F$1505,"&lt;"&amp;F354)+COUNTIFS($B$6:$B$1505,B354,$F$6:$F$1505,F354,$A$6:$A$1505,"&lt;="&amp;A354))</f>
        <v>21</v>
      </c>
      <c r="N354" s="41" t="n">
        <f aca="false">IF(M354="","",ROUNDUP(M354/H354,0))</f>
        <v>7</v>
      </c>
      <c r="O354" s="41" t="str">
        <f aca="false">IF(N354="","",IF(N354&lt;='Kitting Plan'!$C$3,"Rep "&amp;N354,"Surplus"))</f>
        <v>Rep 7</v>
      </c>
    </row>
    <row r="355" customFormat="false" ht="15" hidden="false" customHeight="false" outlineLevel="0" collapsed="false">
      <c r="A355" s="40" t="n">
        <f aca="false">IF(OR($A$4=0,INDEX('COOIS Raw'!$A:$GZ,ROW()-4,$A$4)=""),"",IFERROR(--INDEX('COOIS Raw'!$A:$GZ,ROW()-4,$A$4),INDEX('COOIS Raw'!$A:$GZ,ROW()-4,$A$4)))</f>
        <v>100876294</v>
      </c>
      <c r="B355" s="41" t="str">
        <f aca="false">IF(A355="","",TRIM(INDEX('COOIS Raw'!$A:$GZ,ROW()-4,$B$4)))</f>
        <v>92YRA01548AAA</v>
      </c>
      <c r="C355" s="42" t="str">
        <f aca="false">IF(OR(A355="",$C$4=0),"",INDEX('COOIS Raw'!$A:$GZ,ROW()-4,$C$4))</f>
        <v>R5B ERBIUM ASSEMBLY 1</v>
      </c>
      <c r="D355" s="41" t="n">
        <f aca="false">IF(A355="","",IF($D$4=0,1,IFERROR(--INDEX('COOIS Raw'!$A:$GZ,ROW()-4,$D$4),1)))</f>
        <v>1</v>
      </c>
      <c r="E355" s="42" t="str">
        <f aca="false">IF(A355="","",INDEX('COOIS Raw'!$A:$GZ,ROW()-4,$E$4)&amp;"")</f>
        <v>REL PRT PCNF PRC GMPS MANC RESA SETC</v>
      </c>
      <c r="F355" s="43" t="n">
        <f aca="false">IF(A355="","",IFERROR(DATEVALUE(INDEX('COOIS Raw'!$A:$GZ,ROW()-4,$F$4)),INDEX('COOIS Raw'!$A:$GZ,ROW()-4,$F$4)))</f>
        <v>46269</v>
      </c>
      <c r="G355" s="41" t="str">
        <f aca="false">IF(A355="","",IF(ISNA(MATCH(B355,'Kitting Plan'!$B$6:$B$19,0)),"Not in plan","Yes"))</f>
        <v>Yes</v>
      </c>
      <c r="H355" s="41" t="n">
        <f aca="false">IF(G355="Yes",INDEX('Kitting Plan'!$D$6:$D$19,MATCH(B355,'Kitting Plan'!$B$6:$B$19,0)),"")</f>
        <v>3</v>
      </c>
      <c r="I355" s="41" t="n">
        <f aca="false">IF(A355="","",IF(ISNUMBER(SEARCH("PRT",E355)),D355,0))</f>
        <v>1</v>
      </c>
      <c r="J355" s="41" t="n">
        <f aca="false">IF(A355="","",IF(ISNUMBER(SEARCH("GMPS",E355)),D355,0))</f>
        <v>1</v>
      </c>
      <c r="K355" s="41" t="n">
        <f aca="false">IF(A355="","",IF(ISNUMBER(SEARCH("DLV",E355)),D355,0))</f>
        <v>0</v>
      </c>
      <c r="L355" s="41" t="str">
        <f aca="false">IF(A355="","",IF(K355&gt;0,"Delivered",IF(ISNUMBER(SEARCH("CNF",E355)),"In production",IF(J355&gt;0,"Issued",IF(I355&gt;0,"Kitted","Released")))))</f>
        <v>In production</v>
      </c>
      <c r="M355" s="41" t="n">
        <f aca="false">IF(G355&lt;&gt;"Yes","",COUNTIFS($B$6:$B$1505,B355,$F$6:$F$1505,"&lt;"&amp;F355)+COUNTIFS($B$6:$B$1505,B355,$F$6:$F$1505,F355,$A$6:$A$1505,"&lt;="&amp;A355))</f>
        <v>19</v>
      </c>
      <c r="N355" s="41" t="n">
        <f aca="false">IF(M355="","",ROUNDUP(M355/H355,0))</f>
        <v>7</v>
      </c>
      <c r="O355" s="41" t="str">
        <f aca="false">IF(N355="","",IF(N355&lt;='Kitting Plan'!$C$3,"Rep "&amp;N355,"Surplus"))</f>
        <v>Rep 7</v>
      </c>
    </row>
    <row r="356" customFormat="false" ht="15" hidden="false" customHeight="false" outlineLevel="0" collapsed="false">
      <c r="A356" s="40" t="n">
        <f aca="false">IF(OR($A$4=0,INDEX('COOIS Raw'!$A:$GZ,ROW()-4,$A$4)=""),"",IFERROR(--INDEX('COOIS Raw'!$A:$GZ,ROW()-4,$A$4),INDEX('COOIS Raw'!$A:$GZ,ROW()-4,$A$4)))</f>
        <v>100876295</v>
      </c>
      <c r="B356" s="41" t="str">
        <f aca="false">IF(A356="","",TRIM(INDEX('COOIS Raw'!$A:$GZ,ROW()-4,$B$4)))</f>
        <v>92YRA01548AAA</v>
      </c>
      <c r="C356" s="42" t="str">
        <f aca="false">IF(OR(A356="",$C$4=0),"",INDEX('COOIS Raw'!$A:$GZ,ROW()-4,$C$4))</f>
        <v>R5B ERBIUM ASSEMBLY 1</v>
      </c>
      <c r="D356" s="41" t="n">
        <f aca="false">IF(A356="","",IF($D$4=0,1,IFERROR(--INDEX('COOIS Raw'!$A:$GZ,ROW()-4,$D$4),1)))</f>
        <v>1</v>
      </c>
      <c r="E356" s="42" t="str">
        <f aca="false">IF(A356="","",INDEX('COOIS Raw'!$A:$GZ,ROW()-4,$E$4)&amp;"")</f>
        <v>REL PRT CNF DLV PRC GMPS MANC RESA*</v>
      </c>
      <c r="F356" s="43" t="n">
        <f aca="false">IF(A356="","",IFERROR(DATEVALUE(INDEX('COOIS Raw'!$A:$GZ,ROW()-4,$F$4)),INDEX('COOIS Raw'!$A:$GZ,ROW()-4,$F$4)))</f>
        <v>46269</v>
      </c>
      <c r="G356" s="41" t="str">
        <f aca="false">IF(A356="","",IF(ISNA(MATCH(B356,'Kitting Plan'!$B$6:$B$19,0)),"Not in plan","Yes"))</f>
        <v>Yes</v>
      </c>
      <c r="H356" s="41" t="n">
        <f aca="false">IF(G356="Yes",INDEX('Kitting Plan'!$D$6:$D$19,MATCH(B356,'Kitting Plan'!$B$6:$B$19,0)),"")</f>
        <v>3</v>
      </c>
      <c r="I356" s="41" t="n">
        <f aca="false">IF(A356="","",IF(ISNUMBER(SEARCH("PRT",E356)),D356,0))</f>
        <v>1</v>
      </c>
      <c r="J356" s="41" t="n">
        <f aca="false">IF(A356="","",IF(ISNUMBER(SEARCH("GMPS",E356)),D356,0))</f>
        <v>1</v>
      </c>
      <c r="K356" s="41" t="n">
        <f aca="false">IF(A356="","",IF(ISNUMBER(SEARCH("DLV",E356)),D356,0))</f>
        <v>1</v>
      </c>
      <c r="L356" s="41" t="str">
        <f aca="false">IF(A356="","",IF(K356&gt;0,"Delivered",IF(ISNUMBER(SEARCH("CNF",E356)),"In production",IF(J356&gt;0,"Issued",IF(I356&gt;0,"Kitted","Released")))))</f>
        <v>Delivered</v>
      </c>
      <c r="M356" s="41" t="n">
        <f aca="false">IF(G356&lt;&gt;"Yes","",COUNTIFS($B$6:$B$1505,B356,$F$6:$F$1505,"&lt;"&amp;F356)+COUNTIFS($B$6:$B$1505,B356,$F$6:$F$1505,F356,$A$6:$A$1505,"&lt;="&amp;A356))</f>
        <v>20</v>
      </c>
      <c r="N356" s="41" t="n">
        <f aca="false">IF(M356="","",ROUNDUP(M356/H356,0))</f>
        <v>7</v>
      </c>
      <c r="O356" s="41" t="str">
        <f aca="false">IF(N356="","",IF(N356&lt;='Kitting Plan'!$C$3,"Rep "&amp;N356,"Surplus"))</f>
        <v>Rep 7</v>
      </c>
    </row>
    <row r="357" customFormat="false" ht="15" hidden="false" customHeight="false" outlineLevel="0" collapsed="false">
      <c r="A357" s="40" t="n">
        <f aca="false">IF(OR($A$4=0,INDEX('COOIS Raw'!$A:$GZ,ROW()-4,$A$4)=""),"",IFERROR(--INDEX('COOIS Raw'!$A:$GZ,ROW()-4,$A$4),INDEX('COOIS Raw'!$A:$GZ,ROW()-4,$A$4)))</f>
        <v>100876296</v>
      </c>
      <c r="B357" s="41" t="str">
        <f aca="false">IF(A357="","",TRIM(INDEX('COOIS Raw'!$A:$GZ,ROW()-4,$B$4)))</f>
        <v>92YRA01548AAA</v>
      </c>
      <c r="C357" s="42" t="str">
        <f aca="false">IF(OR(A357="",$C$4=0),"",INDEX('COOIS Raw'!$A:$GZ,ROW()-4,$C$4))</f>
        <v>R5B ERBIUM ASSEMBLY 1</v>
      </c>
      <c r="D357" s="41" t="n">
        <f aca="false">IF(A357="","",IF($D$4=0,1,IFERROR(--INDEX('COOIS Raw'!$A:$GZ,ROW()-4,$D$4),1)))</f>
        <v>1</v>
      </c>
      <c r="E357" s="42" t="str">
        <f aca="false">IF(A357="","",INDEX('COOIS Raw'!$A:$GZ,ROW()-4,$E$4)&amp;"")</f>
        <v>REL PRT CNF DLV PRC GMPS MANC RESA*</v>
      </c>
      <c r="F357" s="43" t="n">
        <f aca="false">IF(A357="","",IFERROR(DATEVALUE(INDEX('COOIS Raw'!$A:$GZ,ROW()-4,$F$4)),INDEX('COOIS Raw'!$A:$GZ,ROW()-4,$F$4)))</f>
        <v>46269</v>
      </c>
      <c r="G357" s="41" t="str">
        <f aca="false">IF(A357="","",IF(ISNA(MATCH(B357,'Kitting Plan'!$B$6:$B$19,0)),"Not in plan","Yes"))</f>
        <v>Yes</v>
      </c>
      <c r="H357" s="41" t="n">
        <f aca="false">IF(G357="Yes",INDEX('Kitting Plan'!$D$6:$D$19,MATCH(B357,'Kitting Plan'!$B$6:$B$19,0)),"")</f>
        <v>3</v>
      </c>
      <c r="I357" s="41" t="n">
        <f aca="false">IF(A357="","",IF(ISNUMBER(SEARCH("PRT",E357)),D357,0))</f>
        <v>1</v>
      </c>
      <c r="J357" s="41" t="n">
        <f aca="false">IF(A357="","",IF(ISNUMBER(SEARCH("GMPS",E357)),D357,0))</f>
        <v>1</v>
      </c>
      <c r="K357" s="41" t="n">
        <f aca="false">IF(A357="","",IF(ISNUMBER(SEARCH("DLV",E357)),D357,0))</f>
        <v>1</v>
      </c>
      <c r="L357" s="41" t="str">
        <f aca="false">IF(A357="","",IF(K357&gt;0,"Delivered",IF(ISNUMBER(SEARCH("CNF",E357)),"In production",IF(J357&gt;0,"Issued",IF(I357&gt;0,"Kitted","Released")))))</f>
        <v>Delivered</v>
      </c>
      <c r="M357" s="41" t="n">
        <f aca="false">IF(G357&lt;&gt;"Yes","",COUNTIFS($B$6:$B$1505,B357,$F$6:$F$1505,"&lt;"&amp;F357)+COUNTIFS($B$6:$B$1505,B357,$F$6:$F$1505,F357,$A$6:$A$1505,"&lt;="&amp;A357))</f>
        <v>21</v>
      </c>
      <c r="N357" s="41" t="n">
        <f aca="false">IF(M357="","",ROUNDUP(M357/H357,0))</f>
        <v>7</v>
      </c>
      <c r="O357" s="41" t="str">
        <f aca="false">IF(N357="","",IF(N357&lt;='Kitting Plan'!$C$3,"Rep "&amp;N357,"Surplus"))</f>
        <v>Rep 7</v>
      </c>
    </row>
    <row r="358" customFormat="false" ht="15" hidden="false" customHeight="false" outlineLevel="0" collapsed="false">
      <c r="A358" s="40" t="n">
        <f aca="false">IF(OR($A$4=0,INDEX('COOIS Raw'!$A:$GZ,ROW()-4,$A$4)=""),"",IFERROR(--INDEX('COOIS Raw'!$A:$GZ,ROW()-4,$A$4),INDEX('COOIS Raw'!$A:$GZ,ROW()-4,$A$4)))</f>
        <v>100876297</v>
      </c>
      <c r="B358" s="41" t="str">
        <f aca="false">IF(A358="","",TRIM(INDEX('COOIS Raw'!$A:$GZ,ROW()-4,$B$4)))</f>
        <v>92YRA02548AAA</v>
      </c>
      <c r="C358" s="42" t="str">
        <f aca="false">IF(OR(A358="",$C$4=0),"",INDEX('COOIS Raw'!$A:$GZ,ROW()-4,$C$4))</f>
        <v>R5B ERBIUM ASSEMBLY 2</v>
      </c>
      <c r="D358" s="41" t="n">
        <f aca="false">IF(A358="","",IF($D$4=0,1,IFERROR(--INDEX('COOIS Raw'!$A:$GZ,ROW()-4,$D$4),1)))</f>
        <v>1</v>
      </c>
      <c r="E358" s="42" t="str">
        <f aca="false">IF(A358="","",INDEX('COOIS Raw'!$A:$GZ,ROW()-4,$E$4)&amp;"")</f>
        <v>REL PRT CNF DLV PRC GMPS MANC RESA*</v>
      </c>
      <c r="F358" s="43" t="n">
        <f aca="false">IF(A358="","",IFERROR(DATEVALUE(INDEX('COOIS Raw'!$A:$GZ,ROW()-4,$F$4)),INDEX('COOIS Raw'!$A:$GZ,ROW()-4,$F$4)))</f>
        <v>46269</v>
      </c>
      <c r="G358" s="41" t="str">
        <f aca="false">IF(A358="","",IF(ISNA(MATCH(B358,'Kitting Plan'!$B$6:$B$19,0)),"Not in plan","Yes"))</f>
        <v>Yes</v>
      </c>
      <c r="H358" s="41" t="n">
        <f aca="false">IF(G358="Yes",INDEX('Kitting Plan'!$D$6:$D$19,MATCH(B358,'Kitting Plan'!$B$6:$B$19,0)),"")</f>
        <v>3</v>
      </c>
      <c r="I358" s="41" t="n">
        <f aca="false">IF(A358="","",IF(ISNUMBER(SEARCH("PRT",E358)),D358,0))</f>
        <v>1</v>
      </c>
      <c r="J358" s="41" t="n">
        <f aca="false">IF(A358="","",IF(ISNUMBER(SEARCH("GMPS",E358)),D358,0))</f>
        <v>1</v>
      </c>
      <c r="K358" s="41" t="n">
        <f aca="false">IF(A358="","",IF(ISNUMBER(SEARCH("DLV",E358)),D358,0))</f>
        <v>1</v>
      </c>
      <c r="L358" s="41" t="str">
        <f aca="false">IF(A358="","",IF(K358&gt;0,"Delivered",IF(ISNUMBER(SEARCH("CNF",E358)),"In production",IF(J358&gt;0,"Issued",IF(I358&gt;0,"Kitted","Released")))))</f>
        <v>Delivered</v>
      </c>
      <c r="M358" s="41" t="n">
        <f aca="false">IF(G358&lt;&gt;"Yes","",COUNTIFS($B$6:$B$1505,B358,$F$6:$F$1505,"&lt;"&amp;F358)+COUNTIFS($B$6:$B$1505,B358,$F$6:$F$1505,F358,$A$6:$A$1505,"&lt;="&amp;A358))</f>
        <v>19</v>
      </c>
      <c r="N358" s="41" t="n">
        <f aca="false">IF(M358="","",ROUNDUP(M358/H358,0))</f>
        <v>7</v>
      </c>
      <c r="O358" s="41" t="str">
        <f aca="false">IF(N358="","",IF(N358&lt;='Kitting Plan'!$C$3,"Rep "&amp;N358,"Surplus"))</f>
        <v>Rep 7</v>
      </c>
    </row>
    <row r="359" customFormat="false" ht="15" hidden="false" customHeight="false" outlineLevel="0" collapsed="false">
      <c r="A359" s="40" t="n">
        <f aca="false">IF(OR($A$4=0,INDEX('COOIS Raw'!$A:$GZ,ROW()-4,$A$4)=""),"",IFERROR(--INDEX('COOIS Raw'!$A:$GZ,ROW()-4,$A$4),INDEX('COOIS Raw'!$A:$GZ,ROW()-4,$A$4)))</f>
        <v>100876298</v>
      </c>
      <c r="B359" s="41" t="str">
        <f aca="false">IF(A359="","",TRIM(INDEX('COOIS Raw'!$A:$GZ,ROW()-4,$B$4)))</f>
        <v>92YRA02548AAA</v>
      </c>
      <c r="C359" s="42" t="str">
        <f aca="false">IF(OR(A359="",$C$4=0),"",INDEX('COOIS Raw'!$A:$GZ,ROW()-4,$C$4))</f>
        <v>R5B ERBIUM ASSEMBLY 2</v>
      </c>
      <c r="D359" s="41" t="n">
        <f aca="false">IF(A359="","",IF($D$4=0,1,IFERROR(--INDEX('COOIS Raw'!$A:$GZ,ROW()-4,$D$4),1)))</f>
        <v>1</v>
      </c>
      <c r="E359" s="42" t="str">
        <f aca="false">IF(A359="","",INDEX('COOIS Raw'!$A:$GZ,ROW()-4,$E$4)&amp;"")</f>
        <v>REL PRT PCNF PRC GMPS MANC RESA SETC</v>
      </c>
      <c r="F359" s="43" t="n">
        <f aca="false">IF(A359="","",IFERROR(DATEVALUE(INDEX('COOIS Raw'!$A:$GZ,ROW()-4,$F$4)),INDEX('COOIS Raw'!$A:$GZ,ROW()-4,$F$4)))</f>
        <v>46269</v>
      </c>
      <c r="G359" s="41" t="str">
        <f aca="false">IF(A359="","",IF(ISNA(MATCH(B359,'Kitting Plan'!$B$6:$B$19,0)),"Not in plan","Yes"))</f>
        <v>Yes</v>
      </c>
      <c r="H359" s="41" t="n">
        <f aca="false">IF(G359="Yes",INDEX('Kitting Plan'!$D$6:$D$19,MATCH(B359,'Kitting Plan'!$B$6:$B$19,0)),"")</f>
        <v>3</v>
      </c>
      <c r="I359" s="41" t="n">
        <f aca="false">IF(A359="","",IF(ISNUMBER(SEARCH("PRT",E359)),D359,0))</f>
        <v>1</v>
      </c>
      <c r="J359" s="41" t="n">
        <f aca="false">IF(A359="","",IF(ISNUMBER(SEARCH("GMPS",E359)),D359,0))</f>
        <v>1</v>
      </c>
      <c r="K359" s="41" t="n">
        <f aca="false">IF(A359="","",IF(ISNUMBER(SEARCH("DLV",E359)),D359,0))</f>
        <v>0</v>
      </c>
      <c r="L359" s="41" t="str">
        <f aca="false">IF(A359="","",IF(K359&gt;0,"Delivered",IF(ISNUMBER(SEARCH("CNF",E359)),"In production",IF(J359&gt;0,"Issued",IF(I359&gt;0,"Kitted","Released")))))</f>
        <v>In production</v>
      </c>
      <c r="M359" s="41" t="n">
        <f aca="false">IF(G359&lt;&gt;"Yes","",COUNTIFS($B$6:$B$1505,B359,$F$6:$F$1505,"&lt;"&amp;F359)+COUNTIFS($B$6:$B$1505,B359,$F$6:$F$1505,F359,$A$6:$A$1505,"&lt;="&amp;A359))</f>
        <v>20</v>
      </c>
      <c r="N359" s="41" t="n">
        <f aca="false">IF(M359="","",ROUNDUP(M359/H359,0))</f>
        <v>7</v>
      </c>
      <c r="O359" s="41" t="str">
        <f aca="false">IF(N359="","",IF(N359&lt;='Kitting Plan'!$C$3,"Rep "&amp;N359,"Surplus"))</f>
        <v>Rep 7</v>
      </c>
    </row>
    <row r="360" customFormat="false" ht="15" hidden="false" customHeight="false" outlineLevel="0" collapsed="false">
      <c r="A360" s="40" t="n">
        <f aca="false">IF(OR($A$4=0,INDEX('COOIS Raw'!$A:$GZ,ROW()-4,$A$4)=""),"",IFERROR(--INDEX('COOIS Raw'!$A:$GZ,ROW()-4,$A$4),INDEX('COOIS Raw'!$A:$GZ,ROW()-4,$A$4)))</f>
        <v>100876299</v>
      </c>
      <c r="B360" s="41" t="str">
        <f aca="false">IF(A360="","",TRIM(INDEX('COOIS Raw'!$A:$GZ,ROW()-4,$B$4)))</f>
        <v>92YRA02548AAA</v>
      </c>
      <c r="C360" s="42" t="str">
        <f aca="false">IF(OR(A360="",$C$4=0),"",INDEX('COOIS Raw'!$A:$GZ,ROW()-4,$C$4))</f>
        <v>R5B ERBIUM ASSEMBLY 2</v>
      </c>
      <c r="D360" s="41" t="n">
        <f aca="false">IF(A360="","",IF($D$4=0,1,IFERROR(--INDEX('COOIS Raw'!$A:$GZ,ROW()-4,$D$4),1)))</f>
        <v>1</v>
      </c>
      <c r="E360" s="42" t="str">
        <f aca="false">IF(A360="","",INDEX('COOIS Raw'!$A:$GZ,ROW()-4,$E$4)&amp;"")</f>
        <v>REL PRT CNF DLV PRC GMPS MANC RESA*</v>
      </c>
      <c r="F360" s="43" t="n">
        <f aca="false">IF(A360="","",IFERROR(DATEVALUE(INDEX('COOIS Raw'!$A:$GZ,ROW()-4,$F$4)),INDEX('COOIS Raw'!$A:$GZ,ROW()-4,$F$4)))</f>
        <v>46269</v>
      </c>
      <c r="G360" s="41" t="str">
        <f aca="false">IF(A360="","",IF(ISNA(MATCH(B360,'Kitting Plan'!$B$6:$B$19,0)),"Not in plan","Yes"))</f>
        <v>Yes</v>
      </c>
      <c r="H360" s="41" t="n">
        <f aca="false">IF(G360="Yes",INDEX('Kitting Plan'!$D$6:$D$19,MATCH(B360,'Kitting Plan'!$B$6:$B$19,0)),"")</f>
        <v>3</v>
      </c>
      <c r="I360" s="41" t="n">
        <f aca="false">IF(A360="","",IF(ISNUMBER(SEARCH("PRT",E360)),D360,0))</f>
        <v>1</v>
      </c>
      <c r="J360" s="41" t="n">
        <f aca="false">IF(A360="","",IF(ISNUMBER(SEARCH("GMPS",E360)),D360,0))</f>
        <v>1</v>
      </c>
      <c r="K360" s="41" t="n">
        <f aca="false">IF(A360="","",IF(ISNUMBER(SEARCH("DLV",E360)),D360,0))</f>
        <v>1</v>
      </c>
      <c r="L360" s="41" t="str">
        <f aca="false">IF(A360="","",IF(K360&gt;0,"Delivered",IF(ISNUMBER(SEARCH("CNF",E360)),"In production",IF(J360&gt;0,"Issued",IF(I360&gt;0,"Kitted","Released")))))</f>
        <v>Delivered</v>
      </c>
      <c r="M360" s="41" t="n">
        <f aca="false">IF(G360&lt;&gt;"Yes","",COUNTIFS($B$6:$B$1505,B360,$F$6:$F$1505,"&lt;"&amp;F360)+COUNTIFS($B$6:$B$1505,B360,$F$6:$F$1505,F360,$A$6:$A$1505,"&lt;="&amp;A360))</f>
        <v>21</v>
      </c>
      <c r="N360" s="41" t="n">
        <f aca="false">IF(M360="","",ROUNDUP(M360/H360,0))</f>
        <v>7</v>
      </c>
      <c r="O360" s="41" t="str">
        <f aca="false">IF(N360="","",IF(N360&lt;='Kitting Plan'!$C$3,"Rep "&amp;N360,"Surplus"))</f>
        <v>Rep 7</v>
      </c>
    </row>
    <row r="361" customFormat="false" ht="15" hidden="false" customHeight="false" outlineLevel="0" collapsed="false">
      <c r="A361" s="40" t="n">
        <f aca="false">IF(OR($A$4=0,INDEX('COOIS Raw'!$A:$GZ,ROW()-4,$A$4)=""),"",IFERROR(--INDEX('COOIS Raw'!$A:$GZ,ROW()-4,$A$4),INDEX('COOIS Raw'!$A:$GZ,ROW()-4,$A$4)))</f>
        <v>100876300</v>
      </c>
      <c r="B361" s="41" t="str">
        <f aca="false">IF(A361="","",TRIM(INDEX('COOIS Raw'!$A:$GZ,ROW()-4,$B$4)))</f>
        <v>92YRA03548AAA</v>
      </c>
      <c r="C361" s="42" t="str">
        <f aca="false">IF(OR(A361="",$C$4=0),"",INDEX('COOIS Raw'!$A:$GZ,ROW()-4,$C$4))</f>
        <v>R5B ERBIUM ASSEMBLY 3</v>
      </c>
      <c r="D361" s="41" t="n">
        <f aca="false">IF(A361="","",IF($D$4=0,1,IFERROR(--INDEX('COOIS Raw'!$A:$GZ,ROW()-4,$D$4),1)))</f>
        <v>1</v>
      </c>
      <c r="E361" s="42" t="str">
        <f aca="false">IF(A361="","",INDEX('COOIS Raw'!$A:$GZ,ROW()-4,$E$4)&amp;"")</f>
        <v>REL PRT CNF DLV PRC GMPS MANC RESA*</v>
      </c>
      <c r="F361" s="43" t="n">
        <f aca="false">IF(A361="","",IFERROR(DATEVALUE(INDEX('COOIS Raw'!$A:$GZ,ROW()-4,$F$4)),INDEX('COOIS Raw'!$A:$GZ,ROW()-4,$F$4)))</f>
        <v>46269</v>
      </c>
      <c r="G361" s="41" t="str">
        <f aca="false">IF(A361="","",IF(ISNA(MATCH(B361,'Kitting Plan'!$B$6:$B$19,0)),"Not in plan","Yes"))</f>
        <v>Yes</v>
      </c>
      <c r="H361" s="41" t="n">
        <f aca="false">IF(G361="Yes",INDEX('Kitting Plan'!$D$6:$D$19,MATCH(B361,'Kitting Plan'!$B$6:$B$19,0)),"")</f>
        <v>3</v>
      </c>
      <c r="I361" s="41" t="n">
        <f aca="false">IF(A361="","",IF(ISNUMBER(SEARCH("PRT",E361)),D361,0))</f>
        <v>1</v>
      </c>
      <c r="J361" s="41" t="n">
        <f aca="false">IF(A361="","",IF(ISNUMBER(SEARCH("GMPS",E361)),D361,0))</f>
        <v>1</v>
      </c>
      <c r="K361" s="41" t="n">
        <f aca="false">IF(A361="","",IF(ISNUMBER(SEARCH("DLV",E361)),D361,0))</f>
        <v>1</v>
      </c>
      <c r="L361" s="41" t="str">
        <f aca="false">IF(A361="","",IF(K361&gt;0,"Delivered",IF(ISNUMBER(SEARCH("CNF",E361)),"In production",IF(J361&gt;0,"Issued",IF(I361&gt;0,"Kitted","Released")))))</f>
        <v>Delivered</v>
      </c>
      <c r="M361" s="41" t="n">
        <f aca="false">IF(G361&lt;&gt;"Yes","",COUNTIFS($B$6:$B$1505,B361,$F$6:$F$1505,"&lt;"&amp;F361)+COUNTIFS($B$6:$B$1505,B361,$F$6:$F$1505,F361,$A$6:$A$1505,"&lt;="&amp;A361))</f>
        <v>21</v>
      </c>
      <c r="N361" s="41" t="n">
        <f aca="false">IF(M361="","",ROUNDUP(M361/H361,0))</f>
        <v>7</v>
      </c>
      <c r="O361" s="41" t="str">
        <f aca="false">IF(N361="","",IF(N361&lt;='Kitting Plan'!$C$3,"Rep "&amp;N361,"Surplus"))</f>
        <v>Rep 7</v>
      </c>
    </row>
    <row r="362" customFormat="false" ht="15" hidden="false" customHeight="false" outlineLevel="0" collapsed="false">
      <c r="A362" s="40" t="n">
        <f aca="false">IF(OR($A$4=0,INDEX('COOIS Raw'!$A:$GZ,ROW()-4,$A$4)=""),"",IFERROR(--INDEX('COOIS Raw'!$A:$GZ,ROW()-4,$A$4),INDEX('COOIS Raw'!$A:$GZ,ROW()-4,$A$4)))</f>
        <v>100876301</v>
      </c>
      <c r="B362" s="41" t="str">
        <f aca="false">IF(A362="","",TRIM(INDEX('COOIS Raw'!$A:$GZ,ROW()-4,$B$4)))</f>
        <v>92YRA03548AAA</v>
      </c>
      <c r="C362" s="42" t="str">
        <f aca="false">IF(OR(A362="",$C$4=0),"",INDEX('COOIS Raw'!$A:$GZ,ROW()-4,$C$4))</f>
        <v>R5B ERBIUM ASSEMBLY 3</v>
      </c>
      <c r="D362" s="41" t="n">
        <f aca="false">IF(A362="","",IF($D$4=0,1,IFERROR(--INDEX('COOIS Raw'!$A:$GZ,ROW()-4,$D$4),1)))</f>
        <v>1</v>
      </c>
      <c r="E362" s="42" t="str">
        <f aca="false">IF(A362="","",INDEX('COOIS Raw'!$A:$GZ,ROW()-4,$E$4)&amp;"")</f>
        <v>REL PRT PCNF PRC GMPS MANC RESA SETC</v>
      </c>
      <c r="F362" s="43" t="n">
        <f aca="false">IF(A362="","",IFERROR(DATEVALUE(INDEX('COOIS Raw'!$A:$GZ,ROW()-4,$F$4)),INDEX('COOIS Raw'!$A:$GZ,ROW()-4,$F$4)))</f>
        <v>46269</v>
      </c>
      <c r="G362" s="41" t="str">
        <f aca="false">IF(A362="","",IF(ISNA(MATCH(B362,'Kitting Plan'!$B$6:$B$19,0)),"Not in plan","Yes"))</f>
        <v>Yes</v>
      </c>
      <c r="H362" s="41" t="n">
        <f aca="false">IF(G362="Yes",INDEX('Kitting Plan'!$D$6:$D$19,MATCH(B362,'Kitting Plan'!$B$6:$B$19,0)),"")</f>
        <v>3</v>
      </c>
      <c r="I362" s="41" t="n">
        <f aca="false">IF(A362="","",IF(ISNUMBER(SEARCH("PRT",E362)),D362,0))</f>
        <v>1</v>
      </c>
      <c r="J362" s="41" t="n">
        <f aca="false">IF(A362="","",IF(ISNUMBER(SEARCH("GMPS",E362)),D362,0))</f>
        <v>1</v>
      </c>
      <c r="K362" s="41" t="n">
        <f aca="false">IF(A362="","",IF(ISNUMBER(SEARCH("DLV",E362)),D362,0))</f>
        <v>0</v>
      </c>
      <c r="L362" s="41" t="str">
        <f aca="false">IF(A362="","",IF(K362&gt;0,"Delivered",IF(ISNUMBER(SEARCH("CNF",E362)),"In production",IF(J362&gt;0,"Issued",IF(I362&gt;0,"Kitted","Released")))))</f>
        <v>In production</v>
      </c>
      <c r="M362" s="41" t="n">
        <f aca="false">IF(G362&lt;&gt;"Yes","",COUNTIFS($B$6:$B$1505,B362,$F$6:$F$1505,"&lt;"&amp;F362)+COUNTIFS($B$6:$B$1505,B362,$F$6:$F$1505,F362,$A$6:$A$1505,"&lt;="&amp;A362))</f>
        <v>22</v>
      </c>
      <c r="N362" s="41" t="n">
        <f aca="false">IF(M362="","",ROUNDUP(M362/H362,0))</f>
        <v>8</v>
      </c>
      <c r="O362" s="41" t="str">
        <f aca="false">IF(N362="","",IF(N362&lt;='Kitting Plan'!$C$3,"Rep "&amp;N362,"Surplus"))</f>
        <v>Rep 8</v>
      </c>
    </row>
    <row r="363" customFormat="false" ht="15" hidden="false" customHeight="false" outlineLevel="0" collapsed="false">
      <c r="A363" s="40" t="n">
        <f aca="false">IF(OR($A$4=0,INDEX('COOIS Raw'!$A:$GZ,ROW()-4,$A$4)=""),"",IFERROR(--INDEX('COOIS Raw'!$A:$GZ,ROW()-4,$A$4),INDEX('COOIS Raw'!$A:$GZ,ROW()-4,$A$4)))</f>
        <v>100876302</v>
      </c>
      <c r="B363" s="41" t="str">
        <f aca="false">IF(A363="","",TRIM(INDEX('COOIS Raw'!$A:$GZ,ROW()-4,$B$4)))</f>
        <v>92YRA03548AAA</v>
      </c>
      <c r="C363" s="42" t="str">
        <f aca="false">IF(OR(A363="",$C$4=0),"",INDEX('COOIS Raw'!$A:$GZ,ROW()-4,$C$4))</f>
        <v>R5B ERBIUM ASSEMBLY 3</v>
      </c>
      <c r="D363" s="41" t="n">
        <f aca="false">IF(A363="","",IF($D$4=0,1,IFERROR(--INDEX('COOIS Raw'!$A:$GZ,ROW()-4,$D$4),1)))</f>
        <v>1</v>
      </c>
      <c r="E363" s="42" t="str">
        <f aca="false">IF(A363="","",INDEX('COOIS Raw'!$A:$GZ,ROW()-4,$E$4)&amp;"")</f>
        <v>REL PRT CNF DLV PRC GMPS MANC RESA*</v>
      </c>
      <c r="F363" s="43" t="n">
        <f aca="false">IF(A363="","",IFERROR(DATEVALUE(INDEX('COOIS Raw'!$A:$GZ,ROW()-4,$F$4)),INDEX('COOIS Raw'!$A:$GZ,ROW()-4,$F$4)))</f>
        <v>46269</v>
      </c>
      <c r="G363" s="41" t="str">
        <f aca="false">IF(A363="","",IF(ISNA(MATCH(B363,'Kitting Plan'!$B$6:$B$19,0)),"Not in plan","Yes"))</f>
        <v>Yes</v>
      </c>
      <c r="H363" s="41" t="n">
        <f aca="false">IF(G363="Yes",INDEX('Kitting Plan'!$D$6:$D$19,MATCH(B363,'Kitting Plan'!$B$6:$B$19,0)),"")</f>
        <v>3</v>
      </c>
      <c r="I363" s="41" t="n">
        <f aca="false">IF(A363="","",IF(ISNUMBER(SEARCH("PRT",E363)),D363,0))</f>
        <v>1</v>
      </c>
      <c r="J363" s="41" t="n">
        <f aca="false">IF(A363="","",IF(ISNUMBER(SEARCH("GMPS",E363)),D363,0))</f>
        <v>1</v>
      </c>
      <c r="K363" s="41" t="n">
        <f aca="false">IF(A363="","",IF(ISNUMBER(SEARCH("DLV",E363)),D363,0))</f>
        <v>1</v>
      </c>
      <c r="L363" s="41" t="str">
        <f aca="false">IF(A363="","",IF(K363&gt;0,"Delivered",IF(ISNUMBER(SEARCH("CNF",E363)),"In production",IF(J363&gt;0,"Issued",IF(I363&gt;0,"Kitted","Released")))))</f>
        <v>Delivered</v>
      </c>
      <c r="M363" s="41" t="n">
        <f aca="false">IF(G363&lt;&gt;"Yes","",COUNTIFS($B$6:$B$1505,B363,$F$6:$F$1505,"&lt;"&amp;F363)+COUNTIFS($B$6:$B$1505,B363,$F$6:$F$1505,F363,$A$6:$A$1505,"&lt;="&amp;A363))</f>
        <v>23</v>
      </c>
      <c r="N363" s="41" t="n">
        <f aca="false">IF(M363="","",ROUNDUP(M363/H363,0))</f>
        <v>8</v>
      </c>
      <c r="O363" s="41" t="str">
        <f aca="false">IF(N363="","",IF(N363&lt;='Kitting Plan'!$C$3,"Rep "&amp;N363,"Surplus"))</f>
        <v>Rep 8</v>
      </c>
    </row>
    <row r="364" customFormat="false" ht="15" hidden="false" customHeight="false" outlineLevel="0" collapsed="false">
      <c r="A364" s="40" t="n">
        <f aca="false">IF(OR($A$4=0,INDEX('COOIS Raw'!$A:$GZ,ROW()-4,$A$4)=""),"",IFERROR(--INDEX('COOIS Raw'!$A:$GZ,ROW()-4,$A$4),INDEX('COOIS Raw'!$A:$GZ,ROW()-4,$A$4)))</f>
        <v>100876303</v>
      </c>
      <c r="B364" s="41" t="str">
        <f aca="false">IF(A364="","",TRIM(INDEX('COOIS Raw'!$A:$GZ,ROW()-4,$B$4)))</f>
        <v>92YRA04548AAA</v>
      </c>
      <c r="C364" s="42" t="str">
        <f aca="false">IF(OR(A364="",$C$4=0),"",INDEX('COOIS Raw'!$A:$GZ,ROW()-4,$C$4))</f>
        <v>R5B ERBIUM ASSEMBLY 4</v>
      </c>
      <c r="D364" s="41" t="n">
        <f aca="false">IF(A364="","",IF($D$4=0,1,IFERROR(--INDEX('COOIS Raw'!$A:$GZ,ROW()-4,$D$4),1)))</f>
        <v>1</v>
      </c>
      <c r="E364" s="42" t="str">
        <f aca="false">IF(A364="","",INDEX('COOIS Raw'!$A:$GZ,ROW()-4,$E$4)&amp;"")</f>
        <v>REL PRT CNF DLV PRC GMPS MANC RESA*</v>
      </c>
      <c r="F364" s="43" t="n">
        <f aca="false">IF(A364="","",IFERROR(DATEVALUE(INDEX('COOIS Raw'!$A:$GZ,ROW()-4,$F$4)),INDEX('COOIS Raw'!$A:$GZ,ROW()-4,$F$4)))</f>
        <v>46269</v>
      </c>
      <c r="G364" s="41" t="str">
        <f aca="false">IF(A364="","",IF(ISNA(MATCH(B364,'Kitting Plan'!$B$6:$B$19,0)),"Not in plan","Yes"))</f>
        <v>Yes</v>
      </c>
      <c r="H364" s="41" t="n">
        <f aca="false">IF(G364="Yes",INDEX('Kitting Plan'!$D$6:$D$19,MATCH(B364,'Kitting Plan'!$B$6:$B$19,0)),"")</f>
        <v>3</v>
      </c>
      <c r="I364" s="41" t="n">
        <f aca="false">IF(A364="","",IF(ISNUMBER(SEARCH("PRT",E364)),D364,0))</f>
        <v>1</v>
      </c>
      <c r="J364" s="41" t="n">
        <f aca="false">IF(A364="","",IF(ISNUMBER(SEARCH("GMPS",E364)),D364,0))</f>
        <v>1</v>
      </c>
      <c r="K364" s="41" t="n">
        <f aca="false">IF(A364="","",IF(ISNUMBER(SEARCH("DLV",E364)),D364,0))</f>
        <v>1</v>
      </c>
      <c r="L364" s="41" t="str">
        <f aca="false">IF(A364="","",IF(K364&gt;0,"Delivered",IF(ISNUMBER(SEARCH("CNF",E364)),"In production",IF(J364&gt;0,"Issued",IF(I364&gt;0,"Kitted","Released")))))</f>
        <v>Delivered</v>
      </c>
      <c r="M364" s="41" t="n">
        <f aca="false">IF(G364&lt;&gt;"Yes","",COUNTIFS($B$6:$B$1505,B364,$F$6:$F$1505,"&lt;"&amp;F364)+COUNTIFS($B$6:$B$1505,B364,$F$6:$F$1505,F364,$A$6:$A$1505,"&lt;="&amp;A364))</f>
        <v>19</v>
      </c>
      <c r="N364" s="41" t="n">
        <f aca="false">IF(M364="","",ROUNDUP(M364/H364,0))</f>
        <v>7</v>
      </c>
      <c r="O364" s="41" t="str">
        <f aca="false">IF(N364="","",IF(N364&lt;='Kitting Plan'!$C$3,"Rep "&amp;N364,"Surplus"))</f>
        <v>Rep 7</v>
      </c>
    </row>
    <row r="365" customFormat="false" ht="15" hidden="false" customHeight="false" outlineLevel="0" collapsed="false">
      <c r="A365" s="40" t="n">
        <f aca="false">IF(OR($A$4=0,INDEX('COOIS Raw'!$A:$GZ,ROW()-4,$A$4)=""),"",IFERROR(--INDEX('COOIS Raw'!$A:$GZ,ROW()-4,$A$4),INDEX('COOIS Raw'!$A:$GZ,ROW()-4,$A$4)))</f>
        <v>100876304</v>
      </c>
      <c r="B365" s="41" t="str">
        <f aca="false">IF(A365="","",TRIM(INDEX('COOIS Raw'!$A:$GZ,ROW()-4,$B$4)))</f>
        <v>92YRA04548AAA</v>
      </c>
      <c r="C365" s="42" t="str">
        <f aca="false">IF(OR(A365="",$C$4=0),"",INDEX('COOIS Raw'!$A:$GZ,ROW()-4,$C$4))</f>
        <v>R5B ERBIUM ASSEMBLY 4</v>
      </c>
      <c r="D365" s="41" t="n">
        <f aca="false">IF(A365="","",IF($D$4=0,1,IFERROR(--INDEX('COOIS Raw'!$A:$GZ,ROW()-4,$D$4),1)))</f>
        <v>1</v>
      </c>
      <c r="E365" s="42" t="str">
        <f aca="false">IF(A365="","",INDEX('COOIS Raw'!$A:$GZ,ROW()-4,$E$4)&amp;"")</f>
        <v>REL PRT PCNF PRC GMPS MANC RESA SETC</v>
      </c>
      <c r="F365" s="43" t="n">
        <f aca="false">IF(A365="","",IFERROR(DATEVALUE(INDEX('COOIS Raw'!$A:$GZ,ROW()-4,$F$4)),INDEX('COOIS Raw'!$A:$GZ,ROW()-4,$F$4)))</f>
        <v>46269</v>
      </c>
      <c r="G365" s="41" t="str">
        <f aca="false">IF(A365="","",IF(ISNA(MATCH(B365,'Kitting Plan'!$B$6:$B$19,0)),"Not in plan","Yes"))</f>
        <v>Yes</v>
      </c>
      <c r="H365" s="41" t="n">
        <f aca="false">IF(G365="Yes",INDEX('Kitting Plan'!$D$6:$D$19,MATCH(B365,'Kitting Plan'!$B$6:$B$19,0)),"")</f>
        <v>3</v>
      </c>
      <c r="I365" s="41" t="n">
        <f aca="false">IF(A365="","",IF(ISNUMBER(SEARCH("PRT",E365)),D365,0))</f>
        <v>1</v>
      </c>
      <c r="J365" s="41" t="n">
        <f aca="false">IF(A365="","",IF(ISNUMBER(SEARCH("GMPS",E365)),D365,0))</f>
        <v>1</v>
      </c>
      <c r="K365" s="41" t="n">
        <f aca="false">IF(A365="","",IF(ISNUMBER(SEARCH("DLV",E365)),D365,0))</f>
        <v>0</v>
      </c>
      <c r="L365" s="41" t="str">
        <f aca="false">IF(A365="","",IF(K365&gt;0,"Delivered",IF(ISNUMBER(SEARCH("CNF",E365)),"In production",IF(J365&gt;0,"Issued",IF(I365&gt;0,"Kitted","Released")))))</f>
        <v>In production</v>
      </c>
      <c r="M365" s="41" t="n">
        <f aca="false">IF(G365&lt;&gt;"Yes","",COUNTIFS($B$6:$B$1505,B365,$F$6:$F$1505,"&lt;"&amp;F365)+COUNTIFS($B$6:$B$1505,B365,$F$6:$F$1505,F365,$A$6:$A$1505,"&lt;="&amp;A365))</f>
        <v>20</v>
      </c>
      <c r="N365" s="41" t="n">
        <f aca="false">IF(M365="","",ROUNDUP(M365/H365,0))</f>
        <v>7</v>
      </c>
      <c r="O365" s="41" t="str">
        <f aca="false">IF(N365="","",IF(N365&lt;='Kitting Plan'!$C$3,"Rep "&amp;N365,"Surplus"))</f>
        <v>Rep 7</v>
      </c>
    </row>
    <row r="366" customFormat="false" ht="15" hidden="false" customHeight="false" outlineLevel="0" collapsed="false">
      <c r="A366" s="40" t="n">
        <f aca="false">IF(OR($A$4=0,INDEX('COOIS Raw'!$A:$GZ,ROW()-4,$A$4)=""),"",IFERROR(--INDEX('COOIS Raw'!$A:$GZ,ROW()-4,$A$4),INDEX('COOIS Raw'!$A:$GZ,ROW()-4,$A$4)))</f>
        <v>100876305</v>
      </c>
      <c r="B366" s="41" t="str">
        <f aca="false">IF(A366="","",TRIM(INDEX('COOIS Raw'!$A:$GZ,ROW()-4,$B$4)))</f>
        <v>92YRA04548AAA</v>
      </c>
      <c r="C366" s="42" t="str">
        <f aca="false">IF(OR(A366="",$C$4=0),"",INDEX('COOIS Raw'!$A:$GZ,ROW()-4,$C$4))</f>
        <v>R5B ERBIUM ASSEMBLY 4</v>
      </c>
      <c r="D366" s="41" t="n">
        <f aca="false">IF(A366="","",IF($D$4=0,1,IFERROR(--INDEX('COOIS Raw'!$A:$GZ,ROW()-4,$D$4),1)))</f>
        <v>1</v>
      </c>
      <c r="E366" s="42" t="str">
        <f aca="false">IF(A366="","",INDEX('COOIS Raw'!$A:$GZ,ROW()-4,$E$4)&amp;"")</f>
        <v>REL PRT CNF DLV PRC GMPS MANC SETC</v>
      </c>
      <c r="F366" s="43" t="n">
        <f aca="false">IF(A366="","",IFERROR(DATEVALUE(INDEX('COOIS Raw'!$A:$GZ,ROW()-4,$F$4)),INDEX('COOIS Raw'!$A:$GZ,ROW()-4,$F$4)))</f>
        <v>46269</v>
      </c>
      <c r="G366" s="41" t="str">
        <f aca="false">IF(A366="","",IF(ISNA(MATCH(B366,'Kitting Plan'!$B$6:$B$19,0)),"Not in plan","Yes"))</f>
        <v>Yes</v>
      </c>
      <c r="H366" s="41" t="n">
        <f aca="false">IF(G366="Yes",INDEX('Kitting Plan'!$D$6:$D$19,MATCH(B366,'Kitting Plan'!$B$6:$B$19,0)),"")</f>
        <v>3</v>
      </c>
      <c r="I366" s="41" t="n">
        <f aca="false">IF(A366="","",IF(ISNUMBER(SEARCH("PRT",E366)),D366,0))</f>
        <v>1</v>
      </c>
      <c r="J366" s="41" t="n">
        <f aca="false">IF(A366="","",IF(ISNUMBER(SEARCH("GMPS",E366)),D366,0))</f>
        <v>1</v>
      </c>
      <c r="K366" s="41" t="n">
        <f aca="false">IF(A366="","",IF(ISNUMBER(SEARCH("DLV",E366)),D366,0))</f>
        <v>1</v>
      </c>
      <c r="L366" s="41" t="str">
        <f aca="false">IF(A366="","",IF(K366&gt;0,"Delivered",IF(ISNUMBER(SEARCH("CNF",E366)),"In production",IF(J366&gt;0,"Issued",IF(I366&gt;0,"Kitted","Released")))))</f>
        <v>Delivered</v>
      </c>
      <c r="M366" s="41" t="n">
        <f aca="false">IF(G366&lt;&gt;"Yes","",COUNTIFS($B$6:$B$1505,B366,$F$6:$F$1505,"&lt;"&amp;F366)+COUNTIFS($B$6:$B$1505,B366,$F$6:$F$1505,F366,$A$6:$A$1505,"&lt;="&amp;A366))</f>
        <v>21</v>
      </c>
      <c r="N366" s="41" t="n">
        <f aca="false">IF(M366="","",ROUNDUP(M366/H366,0))</f>
        <v>7</v>
      </c>
      <c r="O366" s="41" t="str">
        <f aca="false">IF(N366="","",IF(N366&lt;='Kitting Plan'!$C$3,"Rep "&amp;N366,"Surplus"))</f>
        <v>Rep 7</v>
      </c>
    </row>
    <row r="367" customFormat="false" ht="15" hidden="false" customHeight="false" outlineLevel="0" collapsed="false">
      <c r="A367" s="40" t="n">
        <f aca="false">IF(OR($A$4=0,INDEX('COOIS Raw'!$A:$GZ,ROW()-4,$A$4)=""),"",IFERROR(--INDEX('COOIS Raw'!$A:$GZ,ROW()-4,$A$4),INDEX('COOIS Raw'!$A:$GZ,ROW()-4,$A$4)))</f>
        <v>100875888</v>
      </c>
      <c r="B367" s="41" t="str">
        <f aca="false">IF(A367="","",TRIM(INDEX('COOIS Raw'!$A:$GZ,ROW()-4,$B$4)))</f>
        <v>92YLS00548BAA</v>
      </c>
      <c r="C367" s="42" t="str">
        <f aca="false">IF(OR(A367="",$C$4=0),"",INDEX('COOIS Raw'!$A:$GZ,ROW()-4,$C$4))</f>
        <v>R5B LASER ASSEMBLY 4P BOAT 1 - E2A</v>
      </c>
      <c r="D367" s="41" t="n">
        <f aca="false">IF(A367="","",IF($D$4=0,1,IFERROR(--INDEX('COOIS Raw'!$A:$GZ,ROW()-4,$D$4),1)))</f>
        <v>1</v>
      </c>
      <c r="E367" s="42" t="str">
        <f aca="false">IF(A367="","",INDEX('COOIS Raw'!$A:$GZ,ROW()-4,$E$4)&amp;"")</f>
        <v>REL PPRT CNF DLV PRC GMPS MANC SETC</v>
      </c>
      <c r="F367" s="43" t="n">
        <f aca="false">IF(A367="","",IFERROR(DATEVALUE(INDEX('COOIS Raw'!$A:$GZ,ROW()-4,$F$4)),INDEX('COOIS Raw'!$A:$GZ,ROW()-4,$F$4)))</f>
        <v>46266</v>
      </c>
      <c r="G367" s="41" t="str">
        <f aca="false">IF(A367="","",IF(ISNA(MATCH(B367,'Kitting Plan'!$B$6:$B$19,0)),"Not in plan","Yes"))</f>
        <v>Yes</v>
      </c>
      <c r="H367" s="41" t="n">
        <f aca="false">IF(G367="Yes",INDEX('Kitting Plan'!$D$6:$D$19,MATCH(B367,'Kitting Plan'!$B$6:$B$19,0)),"")</f>
        <v>1</v>
      </c>
      <c r="I367" s="41" t="n">
        <f aca="false">IF(A367="","",IF(ISNUMBER(SEARCH("PRT",E367)),D367,0))</f>
        <v>1</v>
      </c>
      <c r="J367" s="41" t="n">
        <f aca="false">IF(A367="","",IF(ISNUMBER(SEARCH("GMPS",E367)),D367,0))</f>
        <v>1</v>
      </c>
      <c r="K367" s="41" t="n">
        <f aca="false">IF(A367="","",IF(ISNUMBER(SEARCH("DLV",E367)),D367,0))</f>
        <v>1</v>
      </c>
      <c r="L367" s="41" t="str">
        <f aca="false">IF(A367="","",IF(K367&gt;0,"Delivered",IF(ISNUMBER(SEARCH("CNF",E367)),"In production",IF(J367&gt;0,"Issued",IF(I367&gt;0,"Kitted","Released")))))</f>
        <v>Delivered</v>
      </c>
      <c r="M367" s="41" t="n">
        <f aca="false">IF(G367&lt;&gt;"Yes","",COUNTIFS($B$6:$B$1505,B367,$F$6:$F$1505,"&lt;"&amp;F367)+COUNTIFS($B$6:$B$1505,B367,$F$6:$F$1505,F367,$A$6:$A$1505,"&lt;="&amp;A367))</f>
        <v>8</v>
      </c>
      <c r="N367" s="41" t="n">
        <f aca="false">IF(M367="","",ROUNDUP(M367/H367,0))</f>
        <v>8</v>
      </c>
      <c r="O367" s="41" t="str">
        <f aca="false">IF(N367="","",IF(N367&lt;='Kitting Plan'!$C$3,"Rep "&amp;N367,"Surplus"))</f>
        <v>Rep 8</v>
      </c>
    </row>
    <row r="368" customFormat="false" ht="15" hidden="false" customHeight="false" outlineLevel="0" collapsed="false">
      <c r="A368" s="40" t="n">
        <f aca="false">IF(OR($A$4=0,INDEX('COOIS Raw'!$A:$GZ,ROW()-4,$A$4)=""),"",IFERROR(--INDEX('COOIS Raw'!$A:$GZ,ROW()-4,$A$4),INDEX('COOIS Raw'!$A:$GZ,ROW()-4,$A$4)))</f>
        <v>100875890</v>
      </c>
      <c r="B368" s="41" t="str">
        <f aca="false">IF(A368="","",TRIM(INDEX('COOIS Raw'!$A:$GZ,ROW()-4,$B$4)))</f>
        <v>92YLS00548BBA</v>
      </c>
      <c r="C368" s="42" t="str">
        <f aca="false">IF(OR(A368="",$C$4=0),"",INDEX('COOIS Raw'!$A:$GZ,ROW()-4,$C$4))</f>
        <v>R5B LASER ASSEMBLY 4P BOAT 2/3 - E2A</v>
      </c>
      <c r="D368" s="41" t="n">
        <f aca="false">IF(A368="","",IF($D$4=0,1,IFERROR(--INDEX('COOIS Raw'!$A:$GZ,ROW()-4,$D$4),1)))</f>
        <v>1</v>
      </c>
      <c r="E368" s="42" t="str">
        <f aca="false">IF(A368="","",INDEX('COOIS Raw'!$A:$GZ,ROW()-4,$E$4)&amp;"")</f>
        <v>REL PPRT CNF DLV PRC GMPS MANC SETC</v>
      </c>
      <c r="F368" s="43" t="n">
        <f aca="false">IF(A368="","",IFERROR(DATEVALUE(INDEX('COOIS Raw'!$A:$GZ,ROW()-4,$F$4)),INDEX('COOIS Raw'!$A:$GZ,ROW()-4,$F$4)))</f>
        <v>46266</v>
      </c>
      <c r="G368" s="41" t="str">
        <f aca="false">IF(A368="","",IF(ISNA(MATCH(B368,'Kitting Plan'!$B$6:$B$19,0)),"Not in plan","Yes"))</f>
        <v>Yes</v>
      </c>
      <c r="H368" s="41" t="n">
        <f aca="false">IF(G368="Yes",INDEX('Kitting Plan'!$D$6:$D$19,MATCH(B368,'Kitting Plan'!$B$6:$B$19,0)),"")</f>
        <v>2</v>
      </c>
      <c r="I368" s="41" t="n">
        <f aca="false">IF(A368="","",IF(ISNUMBER(SEARCH("PRT",E368)),D368,0))</f>
        <v>1</v>
      </c>
      <c r="J368" s="41" t="n">
        <f aca="false">IF(A368="","",IF(ISNUMBER(SEARCH("GMPS",E368)),D368,0))</f>
        <v>1</v>
      </c>
      <c r="K368" s="41" t="n">
        <f aca="false">IF(A368="","",IF(ISNUMBER(SEARCH("DLV",E368)),D368,0))</f>
        <v>1</v>
      </c>
      <c r="L368" s="41" t="str">
        <f aca="false">IF(A368="","",IF(K368&gt;0,"Delivered",IF(ISNUMBER(SEARCH("CNF",E368)),"In production",IF(J368&gt;0,"Issued",IF(I368&gt;0,"Kitted","Released")))))</f>
        <v>Delivered</v>
      </c>
      <c r="M368" s="41" t="n">
        <f aca="false">IF(G368&lt;&gt;"Yes","",COUNTIFS($B$6:$B$1505,B368,$F$6:$F$1505,"&lt;"&amp;F368)+COUNTIFS($B$6:$B$1505,B368,$F$6:$F$1505,F368,$A$6:$A$1505,"&lt;="&amp;A368))</f>
        <v>13</v>
      </c>
      <c r="N368" s="41" t="n">
        <f aca="false">IF(M368="","",ROUNDUP(M368/H368,0))</f>
        <v>7</v>
      </c>
      <c r="O368" s="41" t="str">
        <f aca="false">IF(N368="","",IF(N368&lt;='Kitting Plan'!$C$3,"Rep "&amp;N368,"Surplus"))</f>
        <v>Rep 7</v>
      </c>
    </row>
    <row r="369" customFormat="false" ht="15" hidden="false" customHeight="false" outlineLevel="0" collapsed="false">
      <c r="A369" s="40" t="n">
        <f aca="false">IF(OR($A$4=0,INDEX('COOIS Raw'!$A:$GZ,ROW()-4,$A$4)=""),"",IFERROR(--INDEX('COOIS Raw'!$A:$GZ,ROW()-4,$A$4),INDEX('COOIS Raw'!$A:$GZ,ROW()-4,$A$4)))</f>
        <v>100875891</v>
      </c>
      <c r="B369" s="41" t="str">
        <f aca="false">IF(A369="","",TRIM(INDEX('COOIS Raw'!$A:$GZ,ROW()-4,$B$4)))</f>
        <v>92YLS00548BBA</v>
      </c>
      <c r="C369" s="42" t="str">
        <f aca="false">IF(OR(A369="",$C$4=0),"",INDEX('COOIS Raw'!$A:$GZ,ROW()-4,$C$4))</f>
        <v>R5B LASER ASSEMBLY 4P BOAT 2/3 - E2A</v>
      </c>
      <c r="D369" s="41" t="n">
        <f aca="false">IF(A369="","",IF($D$4=0,1,IFERROR(--INDEX('COOIS Raw'!$A:$GZ,ROW()-4,$D$4),1)))</f>
        <v>1</v>
      </c>
      <c r="E369" s="42" t="str">
        <f aca="false">IF(A369="","",INDEX('COOIS Raw'!$A:$GZ,ROW()-4,$E$4)&amp;"")</f>
        <v>REL PPRT CNF DLV PRC GMPS MANC SETC</v>
      </c>
      <c r="F369" s="43" t="n">
        <f aca="false">IF(A369="","",IFERROR(DATEVALUE(INDEX('COOIS Raw'!$A:$GZ,ROW()-4,$F$4)),INDEX('COOIS Raw'!$A:$GZ,ROW()-4,$F$4)))</f>
        <v>46266</v>
      </c>
      <c r="G369" s="41" t="str">
        <f aca="false">IF(A369="","",IF(ISNA(MATCH(B369,'Kitting Plan'!$B$6:$B$19,0)),"Not in plan","Yes"))</f>
        <v>Yes</v>
      </c>
      <c r="H369" s="41" t="n">
        <f aca="false">IF(G369="Yes",INDEX('Kitting Plan'!$D$6:$D$19,MATCH(B369,'Kitting Plan'!$B$6:$B$19,0)),"")</f>
        <v>2</v>
      </c>
      <c r="I369" s="41" t="n">
        <f aca="false">IF(A369="","",IF(ISNUMBER(SEARCH("PRT",E369)),D369,0))</f>
        <v>1</v>
      </c>
      <c r="J369" s="41" t="n">
        <f aca="false">IF(A369="","",IF(ISNUMBER(SEARCH("GMPS",E369)),D369,0))</f>
        <v>1</v>
      </c>
      <c r="K369" s="41" t="n">
        <f aca="false">IF(A369="","",IF(ISNUMBER(SEARCH("DLV",E369)),D369,0))</f>
        <v>1</v>
      </c>
      <c r="L369" s="41" t="str">
        <f aca="false">IF(A369="","",IF(K369&gt;0,"Delivered",IF(ISNUMBER(SEARCH("CNF",E369)),"In production",IF(J369&gt;0,"Issued",IF(I369&gt;0,"Kitted","Released")))))</f>
        <v>Delivered</v>
      </c>
      <c r="M369" s="41" t="n">
        <f aca="false">IF(G369&lt;&gt;"Yes","",COUNTIFS($B$6:$B$1505,B369,$F$6:$F$1505,"&lt;"&amp;F369)+COUNTIFS($B$6:$B$1505,B369,$F$6:$F$1505,F369,$A$6:$A$1505,"&lt;="&amp;A369))</f>
        <v>14</v>
      </c>
      <c r="N369" s="41" t="n">
        <f aca="false">IF(M369="","",ROUNDUP(M369/H369,0))</f>
        <v>7</v>
      </c>
      <c r="O369" s="41" t="str">
        <f aca="false">IF(N369="","",IF(N369&lt;='Kitting Plan'!$C$3,"Rep "&amp;N369,"Surplus"))</f>
        <v>Rep 7</v>
      </c>
    </row>
    <row r="370" customFormat="false" ht="15" hidden="false" customHeight="false" outlineLevel="0" collapsed="false">
      <c r="A370" s="40" t="n">
        <f aca="false">IF(OR($A$4=0,INDEX('COOIS Raw'!$A:$GZ,ROW()-4,$A$4)=""),"",IFERROR(--INDEX('COOIS Raw'!$A:$GZ,ROW()-4,$A$4),INDEX('COOIS Raw'!$A:$GZ,ROW()-4,$A$4)))</f>
        <v>100875893</v>
      </c>
      <c r="B370" s="41" t="str">
        <f aca="false">IF(A370="","",TRIM(INDEX('COOIS Raw'!$A:$GZ,ROW()-4,$B$4)))</f>
        <v>92YFD04548BAA</v>
      </c>
      <c r="C370" s="42" t="str">
        <f aca="false">IF(OR(A370="",$C$4=0),"",INDEX('COOIS Raw'!$A:$GZ,ROW()-4,$C$4))</f>
        <v>R5B OPF ASSEMBLY (4P-4FP) BOAT 1 - E2A</v>
      </c>
      <c r="D370" s="41" t="n">
        <f aca="false">IF(A370="","",IF($D$4=0,1,IFERROR(--INDEX('COOIS Raw'!$A:$GZ,ROW()-4,$D$4),1)))</f>
        <v>1</v>
      </c>
      <c r="E370" s="42" t="str">
        <f aca="false">IF(A370="","",INDEX('COOIS Raw'!$A:$GZ,ROW()-4,$E$4)&amp;"")</f>
        <v>REL PRT CNF DLV PRC GMPS MANC SETC</v>
      </c>
      <c r="F370" s="43" t="n">
        <f aca="false">IF(A370="","",IFERROR(DATEVALUE(INDEX('COOIS Raw'!$A:$GZ,ROW()-4,$F$4)),INDEX('COOIS Raw'!$A:$GZ,ROW()-4,$F$4)))</f>
        <v>46266</v>
      </c>
      <c r="G370" s="41" t="str">
        <f aca="false">IF(A370="","",IF(ISNA(MATCH(B370,'Kitting Plan'!$B$6:$B$19,0)),"Not in plan","Yes"))</f>
        <v>Yes</v>
      </c>
      <c r="H370" s="41" t="n">
        <f aca="false">IF(G370="Yes",INDEX('Kitting Plan'!$D$6:$D$19,MATCH(B370,'Kitting Plan'!$B$6:$B$19,0)),"")</f>
        <v>1</v>
      </c>
      <c r="I370" s="41" t="n">
        <f aca="false">IF(A370="","",IF(ISNUMBER(SEARCH("PRT",E370)),D370,0))</f>
        <v>1</v>
      </c>
      <c r="J370" s="41" t="n">
        <f aca="false">IF(A370="","",IF(ISNUMBER(SEARCH("GMPS",E370)),D370,0))</f>
        <v>1</v>
      </c>
      <c r="K370" s="41" t="n">
        <f aca="false">IF(A370="","",IF(ISNUMBER(SEARCH("DLV",E370)),D370,0))</f>
        <v>1</v>
      </c>
      <c r="L370" s="41" t="str">
        <f aca="false">IF(A370="","",IF(K370&gt;0,"Delivered",IF(ISNUMBER(SEARCH("CNF",E370)),"In production",IF(J370&gt;0,"Issued",IF(I370&gt;0,"Kitted","Released")))))</f>
        <v>Delivered</v>
      </c>
      <c r="M370" s="41" t="n">
        <f aca="false">IF(G370&lt;&gt;"Yes","",COUNTIFS($B$6:$B$1505,B370,$F$6:$F$1505,"&lt;"&amp;F370)+COUNTIFS($B$6:$B$1505,B370,$F$6:$F$1505,F370,$A$6:$A$1505,"&lt;="&amp;A370))</f>
        <v>8</v>
      </c>
      <c r="N370" s="41" t="n">
        <f aca="false">IF(M370="","",ROUNDUP(M370/H370,0))</f>
        <v>8</v>
      </c>
      <c r="O370" s="41" t="str">
        <f aca="false">IF(N370="","",IF(N370&lt;='Kitting Plan'!$C$3,"Rep "&amp;N370,"Surplus"))</f>
        <v>Rep 8</v>
      </c>
    </row>
    <row r="371" customFormat="false" ht="15" hidden="false" customHeight="false" outlineLevel="0" collapsed="false">
      <c r="A371" s="40" t="n">
        <f aca="false">IF(OR($A$4=0,INDEX('COOIS Raw'!$A:$GZ,ROW()-4,$A$4)=""),"",IFERROR(--INDEX('COOIS Raw'!$A:$GZ,ROW()-4,$A$4),INDEX('COOIS Raw'!$A:$GZ,ROW()-4,$A$4)))</f>
        <v>100875894</v>
      </c>
      <c r="B371" s="41" t="str">
        <f aca="false">IF(A371="","",TRIM(INDEX('COOIS Raw'!$A:$GZ,ROW()-4,$B$4)))</f>
        <v>92YFD04548BBA</v>
      </c>
      <c r="C371" s="42" t="str">
        <f aca="false">IF(OR(A371="",$C$4=0),"",INDEX('COOIS Raw'!$A:$GZ,ROW()-4,$C$4))</f>
        <v>R5B OPF ASSEMBLY (4P-4FP) BOAT 2/3 - E2A</v>
      </c>
      <c r="D371" s="41" t="n">
        <f aca="false">IF(A371="","",IF($D$4=0,1,IFERROR(--INDEX('COOIS Raw'!$A:$GZ,ROW()-4,$D$4),1)))</f>
        <v>1</v>
      </c>
      <c r="E371" s="42" t="str">
        <f aca="false">IF(A371="","",INDEX('COOIS Raw'!$A:$GZ,ROW()-4,$E$4)&amp;"")</f>
        <v>REL PRT CNF DLV PRC GMPS MANC SETC</v>
      </c>
      <c r="F371" s="43" t="n">
        <f aca="false">IF(A371="","",IFERROR(DATEVALUE(INDEX('COOIS Raw'!$A:$GZ,ROW()-4,$F$4)),INDEX('COOIS Raw'!$A:$GZ,ROW()-4,$F$4)))</f>
        <v>46266</v>
      </c>
      <c r="G371" s="41" t="str">
        <f aca="false">IF(A371="","",IF(ISNA(MATCH(B371,'Kitting Plan'!$B$6:$B$19,0)),"Not in plan","Yes"))</f>
        <v>Yes</v>
      </c>
      <c r="H371" s="41" t="n">
        <f aca="false">IF(G371="Yes",INDEX('Kitting Plan'!$D$6:$D$19,MATCH(B371,'Kitting Plan'!$B$6:$B$19,0)),"")</f>
        <v>2</v>
      </c>
      <c r="I371" s="41" t="n">
        <f aca="false">IF(A371="","",IF(ISNUMBER(SEARCH("PRT",E371)),D371,0))</f>
        <v>1</v>
      </c>
      <c r="J371" s="41" t="n">
        <f aca="false">IF(A371="","",IF(ISNUMBER(SEARCH("GMPS",E371)),D371,0))</f>
        <v>1</v>
      </c>
      <c r="K371" s="41" t="n">
        <f aca="false">IF(A371="","",IF(ISNUMBER(SEARCH("DLV",E371)),D371,0))</f>
        <v>1</v>
      </c>
      <c r="L371" s="41" t="str">
        <f aca="false">IF(A371="","",IF(K371&gt;0,"Delivered",IF(ISNUMBER(SEARCH("CNF",E371)),"In production",IF(J371&gt;0,"Issued",IF(I371&gt;0,"Kitted","Released")))))</f>
        <v>Delivered</v>
      </c>
      <c r="M371" s="41" t="n">
        <f aca="false">IF(G371&lt;&gt;"Yes","",COUNTIFS($B$6:$B$1505,B371,$F$6:$F$1505,"&lt;"&amp;F371)+COUNTIFS($B$6:$B$1505,B371,$F$6:$F$1505,F371,$A$6:$A$1505,"&lt;="&amp;A371))</f>
        <v>13</v>
      </c>
      <c r="N371" s="41" t="n">
        <f aca="false">IF(M371="","",ROUNDUP(M371/H371,0))</f>
        <v>7</v>
      </c>
      <c r="O371" s="41" t="str">
        <f aca="false">IF(N371="","",IF(N371&lt;='Kitting Plan'!$C$3,"Rep "&amp;N371,"Surplus"))</f>
        <v>Rep 7</v>
      </c>
    </row>
    <row r="372" customFormat="false" ht="15" hidden="false" customHeight="false" outlineLevel="0" collapsed="false">
      <c r="A372" s="40" t="n">
        <f aca="false">IF(OR($A$4=0,INDEX('COOIS Raw'!$A:$GZ,ROW()-4,$A$4)=""),"",IFERROR(--INDEX('COOIS Raw'!$A:$GZ,ROW()-4,$A$4),INDEX('COOIS Raw'!$A:$GZ,ROW()-4,$A$4)))</f>
        <v>100875895</v>
      </c>
      <c r="B372" s="41" t="str">
        <f aca="false">IF(A372="","",TRIM(INDEX('COOIS Raw'!$A:$GZ,ROW()-4,$B$4)))</f>
        <v>92YFD04548BBA</v>
      </c>
      <c r="C372" s="42" t="str">
        <f aca="false">IF(OR(A372="",$C$4=0),"",INDEX('COOIS Raw'!$A:$GZ,ROW()-4,$C$4))</f>
        <v>R5B OPF ASSEMBLY (4P-4FP) BOAT 2/3 - E2A</v>
      </c>
      <c r="D372" s="41" t="n">
        <f aca="false">IF(A372="","",IF($D$4=0,1,IFERROR(--INDEX('COOIS Raw'!$A:$GZ,ROW()-4,$D$4),1)))</f>
        <v>1</v>
      </c>
      <c r="E372" s="42" t="str">
        <f aca="false">IF(A372="","",INDEX('COOIS Raw'!$A:$GZ,ROW()-4,$E$4)&amp;"")</f>
        <v>REL PRT CNF DLV PRC GMPS MANC SETC</v>
      </c>
      <c r="F372" s="43" t="n">
        <f aca="false">IF(A372="","",IFERROR(DATEVALUE(INDEX('COOIS Raw'!$A:$GZ,ROW()-4,$F$4)),INDEX('COOIS Raw'!$A:$GZ,ROW()-4,$F$4)))</f>
        <v>46266</v>
      </c>
      <c r="G372" s="41" t="str">
        <f aca="false">IF(A372="","",IF(ISNA(MATCH(B372,'Kitting Plan'!$B$6:$B$19,0)),"Not in plan","Yes"))</f>
        <v>Yes</v>
      </c>
      <c r="H372" s="41" t="n">
        <f aca="false">IF(G372="Yes",INDEX('Kitting Plan'!$D$6:$D$19,MATCH(B372,'Kitting Plan'!$B$6:$B$19,0)),"")</f>
        <v>2</v>
      </c>
      <c r="I372" s="41" t="n">
        <f aca="false">IF(A372="","",IF(ISNUMBER(SEARCH("PRT",E372)),D372,0))</f>
        <v>1</v>
      </c>
      <c r="J372" s="41" t="n">
        <f aca="false">IF(A372="","",IF(ISNUMBER(SEARCH("GMPS",E372)),D372,0))</f>
        <v>1</v>
      </c>
      <c r="K372" s="41" t="n">
        <f aca="false">IF(A372="","",IF(ISNUMBER(SEARCH("DLV",E372)),D372,0))</f>
        <v>1</v>
      </c>
      <c r="L372" s="41" t="str">
        <f aca="false">IF(A372="","",IF(K372&gt;0,"Delivered",IF(ISNUMBER(SEARCH("CNF",E372)),"In production",IF(J372&gt;0,"Issued",IF(I372&gt;0,"Kitted","Released")))))</f>
        <v>Delivered</v>
      </c>
      <c r="M372" s="41" t="n">
        <f aca="false">IF(G372&lt;&gt;"Yes","",COUNTIFS($B$6:$B$1505,B372,$F$6:$F$1505,"&lt;"&amp;F372)+COUNTIFS($B$6:$B$1505,B372,$F$6:$F$1505,F372,$A$6:$A$1505,"&lt;="&amp;A372))</f>
        <v>14</v>
      </c>
      <c r="N372" s="41" t="n">
        <f aca="false">IF(M372="","",ROUNDUP(M372/H372,0))</f>
        <v>7</v>
      </c>
      <c r="O372" s="41" t="str">
        <f aca="false">IF(N372="","",IF(N372&lt;='Kitting Plan'!$C$3,"Rep "&amp;N372,"Surplus"))</f>
        <v>Rep 7</v>
      </c>
    </row>
    <row r="373" customFormat="false" ht="15" hidden="false" customHeight="false" outlineLevel="0" collapsed="false">
      <c r="A373" s="40" t="n">
        <f aca="false">IF(OR($A$4=0,INDEX('COOIS Raw'!$A:$GZ,ROW()-4,$A$4)=""),"",IFERROR(--INDEX('COOIS Raw'!$A:$GZ,ROW()-4,$A$4),INDEX('COOIS Raw'!$A:$GZ,ROW()-4,$A$4)))</f>
        <v>100875783</v>
      </c>
      <c r="B373" s="41" t="str">
        <f aca="false">IF(A373="","",TRIM(INDEX('COOIS Raw'!$A:$GZ,ROW()-4,$B$4)))</f>
        <v>92UAP04548BAA</v>
      </c>
      <c r="C373" s="42" t="str">
        <f aca="false">IF(OR(A373="",$C$4=0),"",INDEX('COOIS Raw'!$A:$GZ,ROW()-4,$C$4))</f>
        <v>R5B BOAT 1 ASSY (4P-4FP) L - E2A</v>
      </c>
      <c r="D373" s="41" t="n">
        <f aca="false">IF(A373="","",IF($D$4=0,1,IFERROR(--INDEX('COOIS Raw'!$A:$GZ,ROW()-4,$D$4),1)))</f>
        <v>1</v>
      </c>
      <c r="E373" s="42" t="str">
        <f aca="false">IF(A373="","",INDEX('COOIS Raw'!$A:$GZ,ROW()-4,$E$4)&amp;"")</f>
        <v>REL PRT PCNF PRC GMPS MANC RESA SETC</v>
      </c>
      <c r="F373" s="43" t="n">
        <f aca="false">IF(A373="","",IFERROR(DATEVALUE(INDEX('COOIS Raw'!$A:$GZ,ROW()-4,$F$4)),INDEX('COOIS Raw'!$A:$GZ,ROW()-4,$F$4)))</f>
        <v>46263</v>
      </c>
      <c r="G373" s="41" t="str">
        <f aca="false">IF(A373="","",IF(ISNA(MATCH(B373,'Kitting Plan'!$B$6:$B$19,0)),"Not in plan","Yes"))</f>
        <v>Yes</v>
      </c>
      <c r="H373" s="41" t="n">
        <f aca="false">IF(G373="Yes",INDEX('Kitting Plan'!$D$6:$D$19,MATCH(B373,'Kitting Plan'!$B$6:$B$19,0)),"")</f>
        <v>1</v>
      </c>
      <c r="I373" s="41" t="n">
        <f aca="false">IF(A373="","",IF(ISNUMBER(SEARCH("PRT",E373)),D373,0))</f>
        <v>1</v>
      </c>
      <c r="J373" s="41" t="n">
        <f aca="false">IF(A373="","",IF(ISNUMBER(SEARCH("GMPS",E373)),D373,0))</f>
        <v>1</v>
      </c>
      <c r="K373" s="41" t="n">
        <f aca="false">IF(A373="","",IF(ISNUMBER(SEARCH("DLV",E373)),D373,0))</f>
        <v>0</v>
      </c>
      <c r="L373" s="41" t="str">
        <f aca="false">IF(A373="","",IF(K373&gt;0,"Delivered",IF(ISNUMBER(SEARCH("CNF",E373)),"In production",IF(J373&gt;0,"Issued",IF(I373&gt;0,"Kitted","Released")))))</f>
        <v>In production</v>
      </c>
      <c r="M373" s="41" t="n">
        <f aca="false">IF(G373&lt;&gt;"Yes","",COUNTIFS($B$6:$B$1505,B373,$F$6:$F$1505,"&lt;"&amp;F373)+COUNTIFS($B$6:$B$1505,B373,$F$6:$F$1505,F373,$A$6:$A$1505,"&lt;="&amp;A373))</f>
        <v>6</v>
      </c>
      <c r="N373" s="41" t="n">
        <f aca="false">IF(M373="","",ROUNDUP(M373/H373,0))</f>
        <v>6</v>
      </c>
      <c r="O373" s="41" t="str">
        <f aca="false">IF(N373="","",IF(N373&lt;='Kitting Plan'!$C$3,"Rep "&amp;N373,"Surplus"))</f>
        <v>Rep 6</v>
      </c>
    </row>
    <row r="374" customFormat="false" ht="15" hidden="false" customHeight="false" outlineLevel="0" collapsed="false">
      <c r="A374" s="40" t="n">
        <f aca="false">IF(OR($A$4=0,INDEX('COOIS Raw'!$A:$GZ,ROW()-4,$A$4)=""),"",IFERROR(--INDEX('COOIS Raw'!$A:$GZ,ROW()-4,$A$4),INDEX('COOIS Raw'!$A:$GZ,ROW()-4,$A$4)))</f>
        <v>100875784</v>
      </c>
      <c r="B374" s="41" t="str">
        <f aca="false">IF(A374="","",TRIM(INDEX('COOIS Raw'!$A:$GZ,ROW()-4,$B$4)))</f>
        <v>92UAP04548BBA</v>
      </c>
      <c r="C374" s="42" t="str">
        <f aca="false">IF(OR(A374="",$C$4=0),"",INDEX('COOIS Raw'!$A:$GZ,ROW()-4,$C$4))</f>
        <v>R5B BOAT 2 ASSY (4P-4FP) L - E2A</v>
      </c>
      <c r="D374" s="41" t="n">
        <f aca="false">IF(A374="","",IF($D$4=0,1,IFERROR(--INDEX('COOIS Raw'!$A:$GZ,ROW()-4,$D$4),1)))</f>
        <v>1</v>
      </c>
      <c r="E374" s="42" t="str">
        <f aca="false">IF(A374="","",INDEX('COOIS Raw'!$A:$GZ,ROW()-4,$E$4)&amp;"")</f>
        <v>REL PRT PCNF PRC GMPS MANC RESA SETC</v>
      </c>
      <c r="F374" s="43" t="n">
        <f aca="false">IF(A374="","",IFERROR(DATEVALUE(INDEX('COOIS Raw'!$A:$GZ,ROW()-4,$F$4)),INDEX('COOIS Raw'!$A:$GZ,ROW()-4,$F$4)))</f>
        <v>46263</v>
      </c>
      <c r="G374" s="41" t="str">
        <f aca="false">IF(A374="","",IF(ISNA(MATCH(B374,'Kitting Plan'!$B$6:$B$19,0)),"Not in plan","Yes"))</f>
        <v>Yes</v>
      </c>
      <c r="H374" s="41" t="n">
        <f aca="false">IF(G374="Yes",INDEX('Kitting Plan'!$D$6:$D$19,MATCH(B374,'Kitting Plan'!$B$6:$B$19,0)),"")</f>
        <v>1</v>
      </c>
      <c r="I374" s="41" t="n">
        <f aca="false">IF(A374="","",IF(ISNUMBER(SEARCH("PRT",E374)),D374,0))</f>
        <v>1</v>
      </c>
      <c r="J374" s="41" t="n">
        <f aca="false">IF(A374="","",IF(ISNUMBER(SEARCH("GMPS",E374)),D374,0))</f>
        <v>1</v>
      </c>
      <c r="K374" s="41" t="n">
        <f aca="false">IF(A374="","",IF(ISNUMBER(SEARCH("DLV",E374)),D374,0))</f>
        <v>0</v>
      </c>
      <c r="L374" s="41" t="str">
        <f aca="false">IF(A374="","",IF(K374&gt;0,"Delivered",IF(ISNUMBER(SEARCH("CNF",E374)),"In production",IF(J374&gt;0,"Issued",IF(I374&gt;0,"Kitted","Released")))))</f>
        <v>In production</v>
      </c>
      <c r="M374" s="41" t="n">
        <f aca="false">IF(G374&lt;&gt;"Yes","",COUNTIFS($B$6:$B$1505,B374,$F$6:$F$1505,"&lt;"&amp;F374)+COUNTIFS($B$6:$B$1505,B374,$F$6:$F$1505,F374,$A$6:$A$1505,"&lt;="&amp;A374))</f>
        <v>6</v>
      </c>
      <c r="N374" s="41" t="n">
        <f aca="false">IF(M374="","",ROUNDUP(M374/H374,0))</f>
        <v>6</v>
      </c>
      <c r="O374" s="41" t="str">
        <f aca="false">IF(N374="","",IF(N374&lt;='Kitting Plan'!$C$3,"Rep "&amp;N374,"Surplus"))</f>
        <v>Rep 6</v>
      </c>
    </row>
    <row r="375" customFormat="false" ht="15" hidden="false" customHeight="false" outlineLevel="0" collapsed="false">
      <c r="A375" s="40" t="n">
        <f aca="false">IF(OR($A$4=0,INDEX('COOIS Raw'!$A:$GZ,ROW()-4,$A$4)=""),"",IFERROR(--INDEX('COOIS Raw'!$A:$GZ,ROW()-4,$A$4),INDEX('COOIS Raw'!$A:$GZ,ROW()-4,$A$4)))</f>
        <v>100875785</v>
      </c>
      <c r="B375" s="41" t="str">
        <f aca="false">IF(A375="","",TRIM(INDEX('COOIS Raw'!$A:$GZ,ROW()-4,$B$4)))</f>
        <v>92UAP04548BCA</v>
      </c>
      <c r="C375" s="42" t="str">
        <f aca="false">IF(OR(A375="",$C$4=0),"",INDEX('COOIS Raw'!$A:$GZ,ROW()-4,$C$4))</f>
        <v>R5B BOAT 3 ASSY (4P-4FP) L - E2A</v>
      </c>
      <c r="D375" s="41" t="n">
        <f aca="false">IF(A375="","",IF($D$4=0,1,IFERROR(--INDEX('COOIS Raw'!$A:$GZ,ROW()-4,$D$4),1)))</f>
        <v>1</v>
      </c>
      <c r="E375" s="42" t="str">
        <f aca="false">IF(A375="","",INDEX('COOIS Raw'!$A:$GZ,ROW()-4,$E$4)&amp;"")</f>
        <v>REL PRT CNF DLV PRC GMPS MANC RESA*</v>
      </c>
      <c r="F375" s="43" t="n">
        <f aca="false">IF(A375="","",IFERROR(DATEVALUE(INDEX('COOIS Raw'!$A:$GZ,ROW()-4,$F$4)),INDEX('COOIS Raw'!$A:$GZ,ROW()-4,$F$4)))</f>
        <v>46263</v>
      </c>
      <c r="G375" s="41" t="str">
        <f aca="false">IF(A375="","",IF(ISNA(MATCH(B375,'Kitting Plan'!$B$6:$B$19,0)),"Not in plan","Yes"))</f>
        <v>Yes</v>
      </c>
      <c r="H375" s="41" t="n">
        <f aca="false">IF(G375="Yes",INDEX('Kitting Plan'!$D$6:$D$19,MATCH(B375,'Kitting Plan'!$B$6:$B$19,0)),"")</f>
        <v>1</v>
      </c>
      <c r="I375" s="41" t="n">
        <f aca="false">IF(A375="","",IF(ISNUMBER(SEARCH("PRT",E375)),D375,0))</f>
        <v>1</v>
      </c>
      <c r="J375" s="41" t="n">
        <f aca="false">IF(A375="","",IF(ISNUMBER(SEARCH("GMPS",E375)),D375,0))</f>
        <v>1</v>
      </c>
      <c r="K375" s="41" t="n">
        <f aca="false">IF(A375="","",IF(ISNUMBER(SEARCH("DLV",E375)),D375,0))</f>
        <v>1</v>
      </c>
      <c r="L375" s="41" t="str">
        <f aca="false">IF(A375="","",IF(K375&gt;0,"Delivered",IF(ISNUMBER(SEARCH("CNF",E375)),"In production",IF(J375&gt;0,"Issued",IF(I375&gt;0,"Kitted","Released")))))</f>
        <v>Delivered</v>
      </c>
      <c r="M375" s="41" t="n">
        <f aca="false">IF(G375&lt;&gt;"Yes","",COUNTIFS($B$6:$B$1505,B375,$F$6:$F$1505,"&lt;"&amp;F375)+COUNTIFS($B$6:$B$1505,B375,$F$6:$F$1505,F375,$A$6:$A$1505,"&lt;="&amp;A375))</f>
        <v>6</v>
      </c>
      <c r="N375" s="41" t="n">
        <f aca="false">IF(M375="","",ROUNDUP(M375/H375,0))</f>
        <v>6</v>
      </c>
      <c r="O375" s="41" t="str">
        <f aca="false">IF(N375="","",IF(N375&lt;='Kitting Plan'!$C$3,"Rep "&amp;N375,"Surplus"))</f>
        <v>Rep 6</v>
      </c>
    </row>
    <row r="376" customFormat="false" ht="15" hidden="false" customHeight="false" outlineLevel="0" collapsed="false">
      <c r="A376" s="40" t="n">
        <f aca="false">IF(OR($A$4=0,INDEX('COOIS Raw'!$A:$GZ,ROW()-4,$A$4)=""),"",IFERROR(--INDEX('COOIS Raw'!$A:$GZ,ROW()-4,$A$4),INDEX('COOIS Raw'!$A:$GZ,ROW()-4,$A$4)))</f>
        <v>100875704</v>
      </c>
      <c r="B376" s="41" t="str">
        <f aca="false">IF(A376="","",TRIM(INDEX('COOIS Raw'!$A:$GZ,ROW()-4,$B$4)))</f>
        <v>92YRA01548AAA</v>
      </c>
      <c r="C376" s="42" t="str">
        <f aca="false">IF(OR(A376="",$C$4=0),"",INDEX('COOIS Raw'!$A:$GZ,ROW()-4,$C$4))</f>
        <v>R5B ERBIUM ASSEMBLY 1</v>
      </c>
      <c r="D376" s="41" t="n">
        <f aca="false">IF(A376="","",IF($D$4=0,1,IFERROR(--INDEX('COOIS Raw'!$A:$GZ,ROW()-4,$D$4),1)))</f>
        <v>1</v>
      </c>
      <c r="E376" s="42" t="str">
        <f aca="false">IF(A376="","",INDEX('COOIS Raw'!$A:$GZ,ROW()-4,$E$4)&amp;"")</f>
        <v>REL PRT CNF DLV PRC GMPS MANC SETC</v>
      </c>
      <c r="F376" s="43" t="n">
        <f aca="false">IF(A376="","",IFERROR(DATEVALUE(INDEX('COOIS Raw'!$A:$GZ,ROW()-4,$F$4)),INDEX('COOIS Raw'!$A:$GZ,ROW()-4,$F$4)))</f>
        <v>46261</v>
      </c>
      <c r="G376" s="41" t="str">
        <f aca="false">IF(A376="","",IF(ISNA(MATCH(B376,'Kitting Plan'!$B$6:$B$19,0)),"Not in plan","Yes"))</f>
        <v>Yes</v>
      </c>
      <c r="H376" s="41" t="n">
        <f aca="false">IF(G376="Yes",INDEX('Kitting Plan'!$D$6:$D$19,MATCH(B376,'Kitting Plan'!$B$6:$B$19,0)),"")</f>
        <v>3</v>
      </c>
      <c r="I376" s="41" t="n">
        <f aca="false">IF(A376="","",IF(ISNUMBER(SEARCH("PRT",E376)),D376,0))</f>
        <v>1</v>
      </c>
      <c r="J376" s="41" t="n">
        <f aca="false">IF(A376="","",IF(ISNUMBER(SEARCH("GMPS",E376)),D376,0))</f>
        <v>1</v>
      </c>
      <c r="K376" s="41" t="n">
        <f aca="false">IF(A376="","",IF(ISNUMBER(SEARCH("DLV",E376)),D376,0))</f>
        <v>1</v>
      </c>
      <c r="L376" s="41" t="str">
        <f aca="false">IF(A376="","",IF(K376&gt;0,"Delivered",IF(ISNUMBER(SEARCH("CNF",E376)),"In production",IF(J376&gt;0,"Issued",IF(I376&gt;0,"Kitted","Released")))))</f>
        <v>Delivered</v>
      </c>
      <c r="M376" s="41" t="n">
        <f aca="false">IF(G376&lt;&gt;"Yes","",COUNTIFS($B$6:$B$1505,B376,$F$6:$F$1505,"&lt;"&amp;F376)+COUNTIFS($B$6:$B$1505,B376,$F$6:$F$1505,F376,$A$6:$A$1505,"&lt;="&amp;A376))</f>
        <v>16</v>
      </c>
      <c r="N376" s="41" t="n">
        <f aca="false">IF(M376="","",ROUNDUP(M376/H376,0))</f>
        <v>6</v>
      </c>
      <c r="O376" s="41" t="str">
        <f aca="false">IF(N376="","",IF(N376&lt;='Kitting Plan'!$C$3,"Rep "&amp;N376,"Surplus"))</f>
        <v>Rep 6</v>
      </c>
    </row>
    <row r="377" customFormat="false" ht="15" hidden="false" customHeight="false" outlineLevel="0" collapsed="false">
      <c r="A377" s="40" t="n">
        <f aca="false">IF(OR($A$4=0,INDEX('COOIS Raw'!$A:$GZ,ROW()-4,$A$4)=""),"",IFERROR(--INDEX('COOIS Raw'!$A:$GZ,ROW()-4,$A$4),INDEX('COOIS Raw'!$A:$GZ,ROW()-4,$A$4)))</f>
        <v>100875705</v>
      </c>
      <c r="B377" s="41" t="str">
        <f aca="false">IF(A377="","",TRIM(INDEX('COOIS Raw'!$A:$GZ,ROW()-4,$B$4)))</f>
        <v>92YRA01548AAA</v>
      </c>
      <c r="C377" s="42" t="str">
        <f aca="false">IF(OR(A377="",$C$4=0),"",INDEX('COOIS Raw'!$A:$GZ,ROW()-4,$C$4))</f>
        <v>R5B ERBIUM ASSEMBLY 1</v>
      </c>
      <c r="D377" s="41" t="n">
        <f aca="false">IF(A377="","",IF($D$4=0,1,IFERROR(--INDEX('COOIS Raw'!$A:$GZ,ROW()-4,$D$4),1)))</f>
        <v>1</v>
      </c>
      <c r="E377" s="42" t="str">
        <f aca="false">IF(A377="","",INDEX('COOIS Raw'!$A:$GZ,ROW()-4,$E$4)&amp;"")</f>
        <v>REL PRT CNF DLV PRC GMPS MANC SETC</v>
      </c>
      <c r="F377" s="43" t="n">
        <f aca="false">IF(A377="","",IFERROR(DATEVALUE(INDEX('COOIS Raw'!$A:$GZ,ROW()-4,$F$4)),INDEX('COOIS Raw'!$A:$GZ,ROW()-4,$F$4)))</f>
        <v>46261</v>
      </c>
      <c r="G377" s="41" t="str">
        <f aca="false">IF(A377="","",IF(ISNA(MATCH(B377,'Kitting Plan'!$B$6:$B$19,0)),"Not in plan","Yes"))</f>
        <v>Yes</v>
      </c>
      <c r="H377" s="41" t="n">
        <f aca="false">IF(G377="Yes",INDEX('Kitting Plan'!$D$6:$D$19,MATCH(B377,'Kitting Plan'!$B$6:$B$19,0)),"")</f>
        <v>3</v>
      </c>
      <c r="I377" s="41" t="n">
        <f aca="false">IF(A377="","",IF(ISNUMBER(SEARCH("PRT",E377)),D377,0))</f>
        <v>1</v>
      </c>
      <c r="J377" s="41" t="n">
        <f aca="false">IF(A377="","",IF(ISNUMBER(SEARCH("GMPS",E377)),D377,0))</f>
        <v>1</v>
      </c>
      <c r="K377" s="41" t="n">
        <f aca="false">IF(A377="","",IF(ISNUMBER(SEARCH("DLV",E377)),D377,0))</f>
        <v>1</v>
      </c>
      <c r="L377" s="41" t="str">
        <f aca="false">IF(A377="","",IF(K377&gt;0,"Delivered",IF(ISNUMBER(SEARCH("CNF",E377)),"In production",IF(J377&gt;0,"Issued",IF(I377&gt;0,"Kitted","Released")))))</f>
        <v>Delivered</v>
      </c>
      <c r="M377" s="41" t="n">
        <f aca="false">IF(G377&lt;&gt;"Yes","",COUNTIFS($B$6:$B$1505,B377,$F$6:$F$1505,"&lt;"&amp;F377)+COUNTIFS($B$6:$B$1505,B377,$F$6:$F$1505,F377,$A$6:$A$1505,"&lt;="&amp;A377))</f>
        <v>17</v>
      </c>
      <c r="N377" s="41" t="n">
        <f aca="false">IF(M377="","",ROUNDUP(M377/H377,0))</f>
        <v>6</v>
      </c>
      <c r="O377" s="41" t="str">
        <f aca="false">IF(N377="","",IF(N377&lt;='Kitting Plan'!$C$3,"Rep "&amp;N377,"Surplus"))</f>
        <v>Rep 6</v>
      </c>
    </row>
    <row r="378" customFormat="false" ht="15" hidden="false" customHeight="false" outlineLevel="0" collapsed="false">
      <c r="A378" s="40" t="n">
        <f aca="false">IF(OR($A$4=0,INDEX('COOIS Raw'!$A:$GZ,ROW()-4,$A$4)=""),"",IFERROR(--INDEX('COOIS Raw'!$A:$GZ,ROW()-4,$A$4),INDEX('COOIS Raw'!$A:$GZ,ROW()-4,$A$4)))</f>
        <v>100875706</v>
      </c>
      <c r="B378" s="41" t="str">
        <f aca="false">IF(A378="","",TRIM(INDEX('COOIS Raw'!$A:$GZ,ROW()-4,$B$4)))</f>
        <v>92YRA01548AAA</v>
      </c>
      <c r="C378" s="42" t="str">
        <f aca="false">IF(OR(A378="",$C$4=0),"",INDEX('COOIS Raw'!$A:$GZ,ROW()-4,$C$4))</f>
        <v>R5B ERBIUM ASSEMBLY 1</v>
      </c>
      <c r="D378" s="41" t="n">
        <f aca="false">IF(A378="","",IF($D$4=0,1,IFERROR(--INDEX('COOIS Raw'!$A:$GZ,ROW()-4,$D$4),1)))</f>
        <v>1</v>
      </c>
      <c r="E378" s="42" t="str">
        <f aca="false">IF(A378="","",INDEX('COOIS Raw'!$A:$GZ,ROW()-4,$E$4)&amp;"")</f>
        <v>REL PRT CNF DLV PRC GMPS MANC SETC</v>
      </c>
      <c r="F378" s="43" t="n">
        <f aca="false">IF(A378="","",IFERROR(DATEVALUE(INDEX('COOIS Raw'!$A:$GZ,ROW()-4,$F$4)),INDEX('COOIS Raw'!$A:$GZ,ROW()-4,$F$4)))</f>
        <v>46261</v>
      </c>
      <c r="G378" s="41" t="str">
        <f aca="false">IF(A378="","",IF(ISNA(MATCH(B378,'Kitting Plan'!$B$6:$B$19,0)),"Not in plan","Yes"))</f>
        <v>Yes</v>
      </c>
      <c r="H378" s="41" t="n">
        <f aca="false">IF(G378="Yes",INDEX('Kitting Plan'!$D$6:$D$19,MATCH(B378,'Kitting Plan'!$B$6:$B$19,0)),"")</f>
        <v>3</v>
      </c>
      <c r="I378" s="41" t="n">
        <f aca="false">IF(A378="","",IF(ISNUMBER(SEARCH("PRT",E378)),D378,0))</f>
        <v>1</v>
      </c>
      <c r="J378" s="41" t="n">
        <f aca="false">IF(A378="","",IF(ISNUMBER(SEARCH("GMPS",E378)),D378,0))</f>
        <v>1</v>
      </c>
      <c r="K378" s="41" t="n">
        <f aca="false">IF(A378="","",IF(ISNUMBER(SEARCH("DLV",E378)),D378,0))</f>
        <v>1</v>
      </c>
      <c r="L378" s="41" t="str">
        <f aca="false">IF(A378="","",IF(K378&gt;0,"Delivered",IF(ISNUMBER(SEARCH("CNF",E378)),"In production",IF(J378&gt;0,"Issued",IF(I378&gt;0,"Kitted","Released")))))</f>
        <v>Delivered</v>
      </c>
      <c r="M378" s="41" t="n">
        <f aca="false">IF(G378&lt;&gt;"Yes","",COUNTIFS($B$6:$B$1505,B378,$F$6:$F$1505,"&lt;"&amp;F378)+COUNTIFS($B$6:$B$1505,B378,$F$6:$F$1505,F378,$A$6:$A$1505,"&lt;="&amp;A378))</f>
        <v>18</v>
      </c>
      <c r="N378" s="41" t="n">
        <f aca="false">IF(M378="","",ROUNDUP(M378/H378,0))</f>
        <v>6</v>
      </c>
      <c r="O378" s="41" t="str">
        <f aca="false">IF(N378="","",IF(N378&lt;='Kitting Plan'!$C$3,"Rep "&amp;N378,"Surplus"))</f>
        <v>Rep 6</v>
      </c>
    </row>
    <row r="379" customFormat="false" ht="15" hidden="false" customHeight="false" outlineLevel="0" collapsed="false">
      <c r="A379" s="40" t="n">
        <f aca="false">IF(OR($A$4=0,INDEX('COOIS Raw'!$A:$GZ,ROW()-4,$A$4)=""),"",IFERROR(--INDEX('COOIS Raw'!$A:$GZ,ROW()-4,$A$4),INDEX('COOIS Raw'!$A:$GZ,ROW()-4,$A$4)))</f>
        <v>100875707</v>
      </c>
      <c r="B379" s="41" t="str">
        <f aca="false">IF(A379="","",TRIM(INDEX('COOIS Raw'!$A:$GZ,ROW()-4,$B$4)))</f>
        <v>92YRA02548AAA</v>
      </c>
      <c r="C379" s="42" t="str">
        <f aca="false">IF(OR(A379="",$C$4=0),"",INDEX('COOIS Raw'!$A:$GZ,ROW()-4,$C$4))</f>
        <v>R5B ERBIUM ASSEMBLY 2</v>
      </c>
      <c r="D379" s="41" t="n">
        <f aca="false">IF(A379="","",IF($D$4=0,1,IFERROR(--INDEX('COOIS Raw'!$A:$GZ,ROW()-4,$D$4),1)))</f>
        <v>1</v>
      </c>
      <c r="E379" s="42" t="str">
        <f aca="false">IF(A379="","",INDEX('COOIS Raw'!$A:$GZ,ROW()-4,$E$4)&amp;"")</f>
        <v>REL PRT CNF DLV PRC GMPS MANC SETC</v>
      </c>
      <c r="F379" s="43" t="n">
        <f aca="false">IF(A379="","",IFERROR(DATEVALUE(INDEX('COOIS Raw'!$A:$GZ,ROW()-4,$F$4)),INDEX('COOIS Raw'!$A:$GZ,ROW()-4,$F$4)))</f>
        <v>46261</v>
      </c>
      <c r="G379" s="41" t="str">
        <f aca="false">IF(A379="","",IF(ISNA(MATCH(B379,'Kitting Plan'!$B$6:$B$19,0)),"Not in plan","Yes"))</f>
        <v>Yes</v>
      </c>
      <c r="H379" s="41" t="n">
        <f aca="false">IF(G379="Yes",INDEX('Kitting Plan'!$D$6:$D$19,MATCH(B379,'Kitting Plan'!$B$6:$B$19,0)),"")</f>
        <v>3</v>
      </c>
      <c r="I379" s="41" t="n">
        <f aca="false">IF(A379="","",IF(ISNUMBER(SEARCH("PRT",E379)),D379,0))</f>
        <v>1</v>
      </c>
      <c r="J379" s="41" t="n">
        <f aca="false">IF(A379="","",IF(ISNUMBER(SEARCH("GMPS",E379)),D379,0))</f>
        <v>1</v>
      </c>
      <c r="K379" s="41" t="n">
        <f aca="false">IF(A379="","",IF(ISNUMBER(SEARCH("DLV",E379)),D379,0))</f>
        <v>1</v>
      </c>
      <c r="L379" s="41" t="str">
        <f aca="false">IF(A379="","",IF(K379&gt;0,"Delivered",IF(ISNUMBER(SEARCH("CNF",E379)),"In production",IF(J379&gt;0,"Issued",IF(I379&gt;0,"Kitted","Released")))))</f>
        <v>Delivered</v>
      </c>
      <c r="M379" s="41" t="n">
        <f aca="false">IF(G379&lt;&gt;"Yes","",COUNTIFS($B$6:$B$1505,B379,$F$6:$F$1505,"&lt;"&amp;F379)+COUNTIFS($B$6:$B$1505,B379,$F$6:$F$1505,F379,$A$6:$A$1505,"&lt;="&amp;A379))</f>
        <v>16</v>
      </c>
      <c r="N379" s="41" t="n">
        <f aca="false">IF(M379="","",ROUNDUP(M379/H379,0))</f>
        <v>6</v>
      </c>
      <c r="O379" s="41" t="str">
        <f aca="false">IF(N379="","",IF(N379&lt;='Kitting Plan'!$C$3,"Rep "&amp;N379,"Surplus"))</f>
        <v>Rep 6</v>
      </c>
    </row>
    <row r="380" customFormat="false" ht="15" hidden="false" customHeight="false" outlineLevel="0" collapsed="false">
      <c r="A380" s="40" t="n">
        <f aca="false">IF(OR($A$4=0,INDEX('COOIS Raw'!$A:$GZ,ROW()-4,$A$4)=""),"",IFERROR(--INDEX('COOIS Raw'!$A:$GZ,ROW()-4,$A$4),INDEX('COOIS Raw'!$A:$GZ,ROW()-4,$A$4)))</f>
        <v>100875708</v>
      </c>
      <c r="B380" s="41" t="str">
        <f aca="false">IF(A380="","",TRIM(INDEX('COOIS Raw'!$A:$GZ,ROW()-4,$B$4)))</f>
        <v>92YRA02548AAA</v>
      </c>
      <c r="C380" s="42" t="str">
        <f aca="false">IF(OR(A380="",$C$4=0),"",INDEX('COOIS Raw'!$A:$GZ,ROW()-4,$C$4))</f>
        <v>R5B ERBIUM ASSEMBLY 2</v>
      </c>
      <c r="D380" s="41" t="n">
        <f aca="false">IF(A380="","",IF($D$4=0,1,IFERROR(--INDEX('COOIS Raw'!$A:$GZ,ROW()-4,$D$4),1)))</f>
        <v>1</v>
      </c>
      <c r="E380" s="42" t="str">
        <f aca="false">IF(A380="","",INDEX('COOIS Raw'!$A:$GZ,ROW()-4,$E$4)&amp;"")</f>
        <v>REL PRT CNF DLV PRC GMPS MANC SETC</v>
      </c>
      <c r="F380" s="43" t="n">
        <f aca="false">IF(A380="","",IFERROR(DATEVALUE(INDEX('COOIS Raw'!$A:$GZ,ROW()-4,$F$4)),INDEX('COOIS Raw'!$A:$GZ,ROW()-4,$F$4)))</f>
        <v>46261</v>
      </c>
      <c r="G380" s="41" t="str">
        <f aca="false">IF(A380="","",IF(ISNA(MATCH(B380,'Kitting Plan'!$B$6:$B$19,0)),"Not in plan","Yes"))</f>
        <v>Yes</v>
      </c>
      <c r="H380" s="41" t="n">
        <f aca="false">IF(G380="Yes",INDEX('Kitting Plan'!$D$6:$D$19,MATCH(B380,'Kitting Plan'!$B$6:$B$19,0)),"")</f>
        <v>3</v>
      </c>
      <c r="I380" s="41" t="n">
        <f aca="false">IF(A380="","",IF(ISNUMBER(SEARCH("PRT",E380)),D380,0))</f>
        <v>1</v>
      </c>
      <c r="J380" s="41" t="n">
        <f aca="false">IF(A380="","",IF(ISNUMBER(SEARCH("GMPS",E380)),D380,0))</f>
        <v>1</v>
      </c>
      <c r="K380" s="41" t="n">
        <f aca="false">IF(A380="","",IF(ISNUMBER(SEARCH("DLV",E380)),D380,0))</f>
        <v>1</v>
      </c>
      <c r="L380" s="41" t="str">
        <f aca="false">IF(A380="","",IF(K380&gt;0,"Delivered",IF(ISNUMBER(SEARCH("CNF",E380)),"In production",IF(J380&gt;0,"Issued",IF(I380&gt;0,"Kitted","Released")))))</f>
        <v>Delivered</v>
      </c>
      <c r="M380" s="41" t="n">
        <f aca="false">IF(G380&lt;&gt;"Yes","",COUNTIFS($B$6:$B$1505,B380,$F$6:$F$1505,"&lt;"&amp;F380)+COUNTIFS($B$6:$B$1505,B380,$F$6:$F$1505,F380,$A$6:$A$1505,"&lt;="&amp;A380))</f>
        <v>17</v>
      </c>
      <c r="N380" s="41" t="n">
        <f aca="false">IF(M380="","",ROUNDUP(M380/H380,0))</f>
        <v>6</v>
      </c>
      <c r="O380" s="41" t="str">
        <f aca="false">IF(N380="","",IF(N380&lt;='Kitting Plan'!$C$3,"Rep "&amp;N380,"Surplus"))</f>
        <v>Rep 6</v>
      </c>
    </row>
    <row r="381" customFormat="false" ht="15" hidden="false" customHeight="false" outlineLevel="0" collapsed="false">
      <c r="A381" s="40" t="n">
        <f aca="false">IF(OR($A$4=0,INDEX('COOIS Raw'!$A:$GZ,ROW()-4,$A$4)=""),"",IFERROR(--INDEX('COOIS Raw'!$A:$GZ,ROW()-4,$A$4),INDEX('COOIS Raw'!$A:$GZ,ROW()-4,$A$4)))</f>
        <v>100875709</v>
      </c>
      <c r="B381" s="41" t="str">
        <f aca="false">IF(A381="","",TRIM(INDEX('COOIS Raw'!$A:$GZ,ROW()-4,$B$4)))</f>
        <v>92YRA02548AAA</v>
      </c>
      <c r="C381" s="42" t="str">
        <f aca="false">IF(OR(A381="",$C$4=0),"",INDEX('COOIS Raw'!$A:$GZ,ROW()-4,$C$4))</f>
        <v>R5B ERBIUM ASSEMBLY 2</v>
      </c>
      <c r="D381" s="41" t="n">
        <f aca="false">IF(A381="","",IF($D$4=0,1,IFERROR(--INDEX('COOIS Raw'!$A:$GZ,ROW()-4,$D$4),1)))</f>
        <v>1</v>
      </c>
      <c r="E381" s="42" t="str">
        <f aca="false">IF(A381="","",INDEX('COOIS Raw'!$A:$GZ,ROW()-4,$E$4)&amp;"")</f>
        <v>REL PRT CNF DLV PRC GMPS MANC SETC</v>
      </c>
      <c r="F381" s="43" t="n">
        <f aca="false">IF(A381="","",IFERROR(DATEVALUE(INDEX('COOIS Raw'!$A:$GZ,ROW()-4,$F$4)),INDEX('COOIS Raw'!$A:$GZ,ROW()-4,$F$4)))</f>
        <v>46261</v>
      </c>
      <c r="G381" s="41" t="str">
        <f aca="false">IF(A381="","",IF(ISNA(MATCH(B381,'Kitting Plan'!$B$6:$B$19,0)),"Not in plan","Yes"))</f>
        <v>Yes</v>
      </c>
      <c r="H381" s="41" t="n">
        <f aca="false">IF(G381="Yes",INDEX('Kitting Plan'!$D$6:$D$19,MATCH(B381,'Kitting Plan'!$B$6:$B$19,0)),"")</f>
        <v>3</v>
      </c>
      <c r="I381" s="41" t="n">
        <f aca="false">IF(A381="","",IF(ISNUMBER(SEARCH("PRT",E381)),D381,0))</f>
        <v>1</v>
      </c>
      <c r="J381" s="41" t="n">
        <f aca="false">IF(A381="","",IF(ISNUMBER(SEARCH("GMPS",E381)),D381,0))</f>
        <v>1</v>
      </c>
      <c r="K381" s="41" t="n">
        <f aca="false">IF(A381="","",IF(ISNUMBER(SEARCH("DLV",E381)),D381,0))</f>
        <v>1</v>
      </c>
      <c r="L381" s="41" t="str">
        <f aca="false">IF(A381="","",IF(K381&gt;0,"Delivered",IF(ISNUMBER(SEARCH("CNF",E381)),"In production",IF(J381&gt;0,"Issued",IF(I381&gt;0,"Kitted","Released")))))</f>
        <v>Delivered</v>
      </c>
      <c r="M381" s="41" t="n">
        <f aca="false">IF(G381&lt;&gt;"Yes","",COUNTIFS($B$6:$B$1505,B381,$F$6:$F$1505,"&lt;"&amp;F381)+COUNTIFS($B$6:$B$1505,B381,$F$6:$F$1505,F381,$A$6:$A$1505,"&lt;="&amp;A381))</f>
        <v>18</v>
      </c>
      <c r="N381" s="41" t="n">
        <f aca="false">IF(M381="","",ROUNDUP(M381/H381,0))</f>
        <v>6</v>
      </c>
      <c r="O381" s="41" t="str">
        <f aca="false">IF(N381="","",IF(N381&lt;='Kitting Plan'!$C$3,"Rep "&amp;N381,"Surplus"))</f>
        <v>Rep 6</v>
      </c>
    </row>
    <row r="382" customFormat="false" ht="15" hidden="false" customHeight="false" outlineLevel="0" collapsed="false">
      <c r="A382" s="40" t="n">
        <f aca="false">IF(OR($A$4=0,INDEX('COOIS Raw'!$A:$GZ,ROW()-4,$A$4)=""),"",IFERROR(--INDEX('COOIS Raw'!$A:$GZ,ROW()-4,$A$4),INDEX('COOIS Raw'!$A:$GZ,ROW()-4,$A$4)))</f>
        <v>100875710</v>
      </c>
      <c r="B382" s="41" t="str">
        <f aca="false">IF(A382="","",TRIM(INDEX('COOIS Raw'!$A:$GZ,ROW()-4,$B$4)))</f>
        <v>92YRA03548AAA</v>
      </c>
      <c r="C382" s="42" t="str">
        <f aca="false">IF(OR(A382="",$C$4=0),"",INDEX('COOIS Raw'!$A:$GZ,ROW()-4,$C$4))</f>
        <v>R5B ERBIUM ASSEMBLY 3</v>
      </c>
      <c r="D382" s="41" t="n">
        <f aca="false">IF(A382="","",IF($D$4=0,1,IFERROR(--INDEX('COOIS Raw'!$A:$GZ,ROW()-4,$D$4),1)))</f>
        <v>1</v>
      </c>
      <c r="E382" s="42" t="str">
        <f aca="false">IF(A382="","",INDEX('COOIS Raw'!$A:$GZ,ROW()-4,$E$4)&amp;"")</f>
        <v>REL PRT CNF DLV PRC GMPS MANC SETC</v>
      </c>
      <c r="F382" s="43" t="n">
        <f aca="false">IF(A382="","",IFERROR(DATEVALUE(INDEX('COOIS Raw'!$A:$GZ,ROW()-4,$F$4)),INDEX('COOIS Raw'!$A:$GZ,ROW()-4,$F$4)))</f>
        <v>46261</v>
      </c>
      <c r="G382" s="41" t="str">
        <f aca="false">IF(A382="","",IF(ISNA(MATCH(B382,'Kitting Plan'!$B$6:$B$19,0)),"Not in plan","Yes"))</f>
        <v>Yes</v>
      </c>
      <c r="H382" s="41" t="n">
        <f aca="false">IF(G382="Yes",INDEX('Kitting Plan'!$D$6:$D$19,MATCH(B382,'Kitting Plan'!$B$6:$B$19,0)),"")</f>
        <v>3</v>
      </c>
      <c r="I382" s="41" t="n">
        <f aca="false">IF(A382="","",IF(ISNUMBER(SEARCH("PRT",E382)),D382,0))</f>
        <v>1</v>
      </c>
      <c r="J382" s="41" t="n">
        <f aca="false">IF(A382="","",IF(ISNUMBER(SEARCH("GMPS",E382)),D382,0))</f>
        <v>1</v>
      </c>
      <c r="K382" s="41" t="n">
        <f aca="false">IF(A382="","",IF(ISNUMBER(SEARCH("DLV",E382)),D382,0))</f>
        <v>1</v>
      </c>
      <c r="L382" s="41" t="str">
        <f aca="false">IF(A382="","",IF(K382&gt;0,"Delivered",IF(ISNUMBER(SEARCH("CNF",E382)),"In production",IF(J382&gt;0,"Issued",IF(I382&gt;0,"Kitted","Released")))))</f>
        <v>Delivered</v>
      </c>
      <c r="M382" s="41" t="n">
        <f aca="false">IF(G382&lt;&gt;"Yes","",COUNTIFS($B$6:$B$1505,B382,$F$6:$F$1505,"&lt;"&amp;F382)+COUNTIFS($B$6:$B$1505,B382,$F$6:$F$1505,F382,$A$6:$A$1505,"&lt;="&amp;A382))</f>
        <v>18</v>
      </c>
      <c r="N382" s="41" t="n">
        <f aca="false">IF(M382="","",ROUNDUP(M382/H382,0))</f>
        <v>6</v>
      </c>
      <c r="O382" s="41" t="str">
        <f aca="false">IF(N382="","",IF(N382&lt;='Kitting Plan'!$C$3,"Rep "&amp;N382,"Surplus"))</f>
        <v>Rep 6</v>
      </c>
    </row>
    <row r="383" customFormat="false" ht="15" hidden="false" customHeight="false" outlineLevel="0" collapsed="false">
      <c r="A383" s="40" t="n">
        <f aca="false">IF(OR($A$4=0,INDEX('COOIS Raw'!$A:$GZ,ROW()-4,$A$4)=""),"",IFERROR(--INDEX('COOIS Raw'!$A:$GZ,ROW()-4,$A$4),INDEX('COOIS Raw'!$A:$GZ,ROW()-4,$A$4)))</f>
        <v>100875711</v>
      </c>
      <c r="B383" s="41" t="str">
        <f aca="false">IF(A383="","",TRIM(INDEX('COOIS Raw'!$A:$GZ,ROW()-4,$B$4)))</f>
        <v>92YRA03548AAA</v>
      </c>
      <c r="C383" s="42" t="str">
        <f aca="false">IF(OR(A383="",$C$4=0),"",INDEX('COOIS Raw'!$A:$GZ,ROW()-4,$C$4))</f>
        <v>R5B ERBIUM ASSEMBLY 3</v>
      </c>
      <c r="D383" s="41" t="n">
        <f aca="false">IF(A383="","",IF($D$4=0,1,IFERROR(--INDEX('COOIS Raw'!$A:$GZ,ROW()-4,$D$4),1)))</f>
        <v>1</v>
      </c>
      <c r="E383" s="42" t="str">
        <f aca="false">IF(A383="","",INDEX('COOIS Raw'!$A:$GZ,ROW()-4,$E$4)&amp;"")</f>
        <v>REL PRT CNF DLV PRC GMPS MANC SETC</v>
      </c>
      <c r="F383" s="43" t="n">
        <f aca="false">IF(A383="","",IFERROR(DATEVALUE(INDEX('COOIS Raw'!$A:$GZ,ROW()-4,$F$4)),INDEX('COOIS Raw'!$A:$GZ,ROW()-4,$F$4)))</f>
        <v>46261</v>
      </c>
      <c r="G383" s="41" t="str">
        <f aca="false">IF(A383="","",IF(ISNA(MATCH(B383,'Kitting Plan'!$B$6:$B$19,0)),"Not in plan","Yes"))</f>
        <v>Yes</v>
      </c>
      <c r="H383" s="41" t="n">
        <f aca="false">IF(G383="Yes",INDEX('Kitting Plan'!$D$6:$D$19,MATCH(B383,'Kitting Plan'!$B$6:$B$19,0)),"")</f>
        <v>3</v>
      </c>
      <c r="I383" s="41" t="n">
        <f aca="false">IF(A383="","",IF(ISNUMBER(SEARCH("PRT",E383)),D383,0))</f>
        <v>1</v>
      </c>
      <c r="J383" s="41" t="n">
        <f aca="false">IF(A383="","",IF(ISNUMBER(SEARCH("GMPS",E383)),D383,0))</f>
        <v>1</v>
      </c>
      <c r="K383" s="41" t="n">
        <f aca="false">IF(A383="","",IF(ISNUMBER(SEARCH("DLV",E383)),D383,0))</f>
        <v>1</v>
      </c>
      <c r="L383" s="41" t="str">
        <f aca="false">IF(A383="","",IF(K383&gt;0,"Delivered",IF(ISNUMBER(SEARCH("CNF",E383)),"In production",IF(J383&gt;0,"Issued",IF(I383&gt;0,"Kitted","Released")))))</f>
        <v>Delivered</v>
      </c>
      <c r="M383" s="41" t="n">
        <f aca="false">IF(G383&lt;&gt;"Yes","",COUNTIFS($B$6:$B$1505,B383,$F$6:$F$1505,"&lt;"&amp;F383)+COUNTIFS($B$6:$B$1505,B383,$F$6:$F$1505,F383,$A$6:$A$1505,"&lt;="&amp;A383))</f>
        <v>19</v>
      </c>
      <c r="N383" s="41" t="n">
        <f aca="false">IF(M383="","",ROUNDUP(M383/H383,0))</f>
        <v>7</v>
      </c>
      <c r="O383" s="41" t="str">
        <f aca="false">IF(N383="","",IF(N383&lt;='Kitting Plan'!$C$3,"Rep "&amp;N383,"Surplus"))</f>
        <v>Rep 7</v>
      </c>
    </row>
    <row r="384" customFormat="false" ht="15" hidden="false" customHeight="false" outlineLevel="0" collapsed="false">
      <c r="A384" s="40" t="n">
        <f aca="false">IF(OR($A$4=0,INDEX('COOIS Raw'!$A:$GZ,ROW()-4,$A$4)=""),"",IFERROR(--INDEX('COOIS Raw'!$A:$GZ,ROW()-4,$A$4),INDEX('COOIS Raw'!$A:$GZ,ROW()-4,$A$4)))</f>
        <v>100875712</v>
      </c>
      <c r="B384" s="41" t="str">
        <f aca="false">IF(A384="","",TRIM(INDEX('COOIS Raw'!$A:$GZ,ROW()-4,$B$4)))</f>
        <v>92YRA03548AAA</v>
      </c>
      <c r="C384" s="42" t="str">
        <f aca="false">IF(OR(A384="",$C$4=0),"",INDEX('COOIS Raw'!$A:$GZ,ROW()-4,$C$4))</f>
        <v>R5B ERBIUM ASSEMBLY 3</v>
      </c>
      <c r="D384" s="41" t="n">
        <f aca="false">IF(A384="","",IF($D$4=0,1,IFERROR(--INDEX('COOIS Raw'!$A:$GZ,ROW()-4,$D$4),1)))</f>
        <v>1</v>
      </c>
      <c r="E384" s="42" t="str">
        <f aca="false">IF(A384="","",INDEX('COOIS Raw'!$A:$GZ,ROW()-4,$E$4)&amp;"")</f>
        <v>REL PRT CNF DLV PRC GMPS MANC SETC</v>
      </c>
      <c r="F384" s="43" t="n">
        <f aca="false">IF(A384="","",IFERROR(DATEVALUE(INDEX('COOIS Raw'!$A:$GZ,ROW()-4,$F$4)),INDEX('COOIS Raw'!$A:$GZ,ROW()-4,$F$4)))</f>
        <v>46261</v>
      </c>
      <c r="G384" s="41" t="str">
        <f aca="false">IF(A384="","",IF(ISNA(MATCH(B384,'Kitting Plan'!$B$6:$B$19,0)),"Not in plan","Yes"))</f>
        <v>Yes</v>
      </c>
      <c r="H384" s="41" t="n">
        <f aca="false">IF(G384="Yes",INDEX('Kitting Plan'!$D$6:$D$19,MATCH(B384,'Kitting Plan'!$B$6:$B$19,0)),"")</f>
        <v>3</v>
      </c>
      <c r="I384" s="41" t="n">
        <f aca="false">IF(A384="","",IF(ISNUMBER(SEARCH("PRT",E384)),D384,0))</f>
        <v>1</v>
      </c>
      <c r="J384" s="41" t="n">
        <f aca="false">IF(A384="","",IF(ISNUMBER(SEARCH("GMPS",E384)),D384,0))</f>
        <v>1</v>
      </c>
      <c r="K384" s="41" t="n">
        <f aca="false">IF(A384="","",IF(ISNUMBER(SEARCH("DLV",E384)),D384,0))</f>
        <v>1</v>
      </c>
      <c r="L384" s="41" t="str">
        <f aca="false">IF(A384="","",IF(K384&gt;0,"Delivered",IF(ISNUMBER(SEARCH("CNF",E384)),"In production",IF(J384&gt;0,"Issued",IF(I384&gt;0,"Kitted","Released")))))</f>
        <v>Delivered</v>
      </c>
      <c r="M384" s="41" t="n">
        <f aca="false">IF(G384&lt;&gt;"Yes","",COUNTIFS($B$6:$B$1505,B384,$F$6:$F$1505,"&lt;"&amp;F384)+COUNTIFS($B$6:$B$1505,B384,$F$6:$F$1505,F384,$A$6:$A$1505,"&lt;="&amp;A384))</f>
        <v>20</v>
      </c>
      <c r="N384" s="41" t="n">
        <f aca="false">IF(M384="","",ROUNDUP(M384/H384,0))</f>
        <v>7</v>
      </c>
      <c r="O384" s="41" t="str">
        <f aca="false">IF(N384="","",IF(N384&lt;='Kitting Plan'!$C$3,"Rep "&amp;N384,"Surplus"))</f>
        <v>Rep 7</v>
      </c>
    </row>
    <row r="385" customFormat="false" ht="15" hidden="false" customHeight="false" outlineLevel="0" collapsed="false">
      <c r="A385" s="40" t="n">
        <f aca="false">IF(OR($A$4=0,INDEX('COOIS Raw'!$A:$GZ,ROW()-4,$A$4)=""),"",IFERROR(--INDEX('COOIS Raw'!$A:$GZ,ROW()-4,$A$4),INDEX('COOIS Raw'!$A:$GZ,ROW()-4,$A$4)))</f>
        <v>100875713</v>
      </c>
      <c r="B385" s="41" t="str">
        <f aca="false">IF(A385="","",TRIM(INDEX('COOIS Raw'!$A:$GZ,ROW()-4,$B$4)))</f>
        <v>92YRA04548AAA</v>
      </c>
      <c r="C385" s="42" t="str">
        <f aca="false">IF(OR(A385="",$C$4=0),"",INDEX('COOIS Raw'!$A:$GZ,ROW()-4,$C$4))</f>
        <v>R5B ERBIUM ASSEMBLY 4</v>
      </c>
      <c r="D385" s="41" t="n">
        <f aca="false">IF(A385="","",IF($D$4=0,1,IFERROR(--INDEX('COOIS Raw'!$A:$GZ,ROW()-4,$D$4),1)))</f>
        <v>1</v>
      </c>
      <c r="E385" s="42" t="str">
        <f aca="false">IF(A385="","",INDEX('COOIS Raw'!$A:$GZ,ROW()-4,$E$4)&amp;"")</f>
        <v>REL PRT CNF DLV PRC GMPS MANC SETC</v>
      </c>
      <c r="F385" s="43" t="n">
        <f aca="false">IF(A385="","",IFERROR(DATEVALUE(INDEX('COOIS Raw'!$A:$GZ,ROW()-4,$F$4)),INDEX('COOIS Raw'!$A:$GZ,ROW()-4,$F$4)))</f>
        <v>46261</v>
      </c>
      <c r="G385" s="41" t="str">
        <f aca="false">IF(A385="","",IF(ISNA(MATCH(B385,'Kitting Plan'!$B$6:$B$19,0)),"Not in plan","Yes"))</f>
        <v>Yes</v>
      </c>
      <c r="H385" s="41" t="n">
        <f aca="false">IF(G385="Yes",INDEX('Kitting Plan'!$D$6:$D$19,MATCH(B385,'Kitting Plan'!$B$6:$B$19,0)),"")</f>
        <v>3</v>
      </c>
      <c r="I385" s="41" t="n">
        <f aca="false">IF(A385="","",IF(ISNUMBER(SEARCH("PRT",E385)),D385,0))</f>
        <v>1</v>
      </c>
      <c r="J385" s="41" t="n">
        <f aca="false">IF(A385="","",IF(ISNUMBER(SEARCH("GMPS",E385)),D385,0))</f>
        <v>1</v>
      </c>
      <c r="K385" s="41" t="n">
        <f aca="false">IF(A385="","",IF(ISNUMBER(SEARCH("DLV",E385)),D385,0))</f>
        <v>1</v>
      </c>
      <c r="L385" s="41" t="str">
        <f aca="false">IF(A385="","",IF(K385&gt;0,"Delivered",IF(ISNUMBER(SEARCH("CNF",E385)),"In production",IF(J385&gt;0,"Issued",IF(I385&gt;0,"Kitted","Released")))))</f>
        <v>Delivered</v>
      </c>
      <c r="M385" s="41" t="n">
        <f aca="false">IF(G385&lt;&gt;"Yes","",COUNTIFS($B$6:$B$1505,B385,$F$6:$F$1505,"&lt;"&amp;F385)+COUNTIFS($B$6:$B$1505,B385,$F$6:$F$1505,F385,$A$6:$A$1505,"&lt;="&amp;A385))</f>
        <v>16</v>
      </c>
      <c r="N385" s="41" t="n">
        <f aca="false">IF(M385="","",ROUNDUP(M385/H385,0))</f>
        <v>6</v>
      </c>
      <c r="O385" s="41" t="str">
        <f aca="false">IF(N385="","",IF(N385&lt;='Kitting Plan'!$C$3,"Rep "&amp;N385,"Surplus"))</f>
        <v>Rep 6</v>
      </c>
    </row>
    <row r="386" customFormat="false" ht="15" hidden="false" customHeight="false" outlineLevel="0" collapsed="false">
      <c r="A386" s="40" t="n">
        <f aca="false">IF(OR($A$4=0,INDEX('COOIS Raw'!$A:$GZ,ROW()-4,$A$4)=""),"",IFERROR(--INDEX('COOIS Raw'!$A:$GZ,ROW()-4,$A$4),INDEX('COOIS Raw'!$A:$GZ,ROW()-4,$A$4)))</f>
        <v>100875714</v>
      </c>
      <c r="B386" s="41" t="str">
        <f aca="false">IF(A386="","",TRIM(INDEX('COOIS Raw'!$A:$GZ,ROW()-4,$B$4)))</f>
        <v>92YRA04548AAA</v>
      </c>
      <c r="C386" s="42" t="str">
        <f aca="false">IF(OR(A386="",$C$4=0),"",INDEX('COOIS Raw'!$A:$GZ,ROW()-4,$C$4))</f>
        <v>R5B ERBIUM ASSEMBLY 4</v>
      </c>
      <c r="D386" s="41" t="n">
        <f aca="false">IF(A386="","",IF($D$4=0,1,IFERROR(--INDEX('COOIS Raw'!$A:$GZ,ROW()-4,$D$4),1)))</f>
        <v>1</v>
      </c>
      <c r="E386" s="42" t="str">
        <f aca="false">IF(A386="","",INDEX('COOIS Raw'!$A:$GZ,ROW()-4,$E$4)&amp;"")</f>
        <v>REL PRT CNF DLV PRC GMPS MANC SETC</v>
      </c>
      <c r="F386" s="43" t="n">
        <f aca="false">IF(A386="","",IFERROR(DATEVALUE(INDEX('COOIS Raw'!$A:$GZ,ROW()-4,$F$4)),INDEX('COOIS Raw'!$A:$GZ,ROW()-4,$F$4)))</f>
        <v>46261</v>
      </c>
      <c r="G386" s="41" t="str">
        <f aca="false">IF(A386="","",IF(ISNA(MATCH(B386,'Kitting Plan'!$B$6:$B$19,0)),"Not in plan","Yes"))</f>
        <v>Yes</v>
      </c>
      <c r="H386" s="41" t="n">
        <f aca="false">IF(G386="Yes",INDEX('Kitting Plan'!$D$6:$D$19,MATCH(B386,'Kitting Plan'!$B$6:$B$19,0)),"")</f>
        <v>3</v>
      </c>
      <c r="I386" s="41" t="n">
        <f aca="false">IF(A386="","",IF(ISNUMBER(SEARCH("PRT",E386)),D386,0))</f>
        <v>1</v>
      </c>
      <c r="J386" s="41" t="n">
        <f aca="false">IF(A386="","",IF(ISNUMBER(SEARCH("GMPS",E386)),D386,0))</f>
        <v>1</v>
      </c>
      <c r="K386" s="41" t="n">
        <f aca="false">IF(A386="","",IF(ISNUMBER(SEARCH("DLV",E386)),D386,0))</f>
        <v>1</v>
      </c>
      <c r="L386" s="41" t="str">
        <f aca="false">IF(A386="","",IF(K386&gt;0,"Delivered",IF(ISNUMBER(SEARCH("CNF",E386)),"In production",IF(J386&gt;0,"Issued",IF(I386&gt;0,"Kitted","Released")))))</f>
        <v>Delivered</v>
      </c>
      <c r="M386" s="41" t="n">
        <f aca="false">IF(G386&lt;&gt;"Yes","",COUNTIFS($B$6:$B$1505,B386,$F$6:$F$1505,"&lt;"&amp;F386)+COUNTIFS($B$6:$B$1505,B386,$F$6:$F$1505,F386,$A$6:$A$1505,"&lt;="&amp;A386))</f>
        <v>17</v>
      </c>
      <c r="N386" s="41" t="n">
        <f aca="false">IF(M386="","",ROUNDUP(M386/H386,0))</f>
        <v>6</v>
      </c>
      <c r="O386" s="41" t="str">
        <f aca="false">IF(N386="","",IF(N386&lt;='Kitting Plan'!$C$3,"Rep "&amp;N386,"Surplus"))</f>
        <v>Rep 6</v>
      </c>
    </row>
    <row r="387" customFormat="false" ht="15" hidden="false" customHeight="false" outlineLevel="0" collapsed="false">
      <c r="A387" s="40" t="n">
        <f aca="false">IF(OR($A$4=0,INDEX('COOIS Raw'!$A:$GZ,ROW()-4,$A$4)=""),"",IFERROR(--INDEX('COOIS Raw'!$A:$GZ,ROW()-4,$A$4),INDEX('COOIS Raw'!$A:$GZ,ROW()-4,$A$4)))</f>
        <v>100875715</v>
      </c>
      <c r="B387" s="41" t="str">
        <f aca="false">IF(A387="","",TRIM(INDEX('COOIS Raw'!$A:$GZ,ROW()-4,$B$4)))</f>
        <v>92YRA04548AAA</v>
      </c>
      <c r="C387" s="42" t="str">
        <f aca="false">IF(OR(A387="",$C$4=0),"",INDEX('COOIS Raw'!$A:$GZ,ROW()-4,$C$4))</f>
        <v>R5B ERBIUM ASSEMBLY 4</v>
      </c>
      <c r="D387" s="41" t="n">
        <f aca="false">IF(A387="","",IF($D$4=0,1,IFERROR(--INDEX('COOIS Raw'!$A:$GZ,ROW()-4,$D$4),1)))</f>
        <v>1</v>
      </c>
      <c r="E387" s="42" t="str">
        <f aca="false">IF(A387="","",INDEX('COOIS Raw'!$A:$GZ,ROW()-4,$E$4)&amp;"")</f>
        <v>REL PRT CNF DLV PRC GMPS MANC SETC</v>
      </c>
      <c r="F387" s="43" t="n">
        <f aca="false">IF(A387="","",IFERROR(DATEVALUE(INDEX('COOIS Raw'!$A:$GZ,ROW()-4,$F$4)),INDEX('COOIS Raw'!$A:$GZ,ROW()-4,$F$4)))</f>
        <v>46261</v>
      </c>
      <c r="G387" s="41" t="str">
        <f aca="false">IF(A387="","",IF(ISNA(MATCH(B387,'Kitting Plan'!$B$6:$B$19,0)),"Not in plan","Yes"))</f>
        <v>Yes</v>
      </c>
      <c r="H387" s="41" t="n">
        <f aca="false">IF(G387="Yes",INDEX('Kitting Plan'!$D$6:$D$19,MATCH(B387,'Kitting Plan'!$B$6:$B$19,0)),"")</f>
        <v>3</v>
      </c>
      <c r="I387" s="41" t="n">
        <f aca="false">IF(A387="","",IF(ISNUMBER(SEARCH("PRT",E387)),D387,0))</f>
        <v>1</v>
      </c>
      <c r="J387" s="41" t="n">
        <f aca="false">IF(A387="","",IF(ISNUMBER(SEARCH("GMPS",E387)),D387,0))</f>
        <v>1</v>
      </c>
      <c r="K387" s="41" t="n">
        <f aca="false">IF(A387="","",IF(ISNUMBER(SEARCH("DLV",E387)),D387,0))</f>
        <v>1</v>
      </c>
      <c r="L387" s="41" t="str">
        <f aca="false">IF(A387="","",IF(K387&gt;0,"Delivered",IF(ISNUMBER(SEARCH("CNF",E387)),"In production",IF(J387&gt;0,"Issued",IF(I387&gt;0,"Kitted","Released")))))</f>
        <v>Delivered</v>
      </c>
      <c r="M387" s="41" t="n">
        <f aca="false">IF(G387&lt;&gt;"Yes","",COUNTIFS($B$6:$B$1505,B387,$F$6:$F$1505,"&lt;"&amp;F387)+COUNTIFS($B$6:$B$1505,B387,$F$6:$F$1505,F387,$A$6:$A$1505,"&lt;="&amp;A387))</f>
        <v>18</v>
      </c>
      <c r="N387" s="41" t="n">
        <f aca="false">IF(M387="","",ROUNDUP(M387/H387,0))</f>
        <v>6</v>
      </c>
      <c r="O387" s="41" t="str">
        <f aca="false">IF(N387="","",IF(N387&lt;='Kitting Plan'!$C$3,"Rep "&amp;N387,"Surplus"))</f>
        <v>Rep 6</v>
      </c>
    </row>
    <row r="388" customFormat="false" ht="15" hidden="false" customHeight="false" outlineLevel="0" collapsed="false">
      <c r="A388" s="40" t="n">
        <f aca="false">IF(OR($A$4=0,INDEX('COOIS Raw'!$A:$GZ,ROW()-4,$A$4)=""),"",IFERROR(--INDEX('COOIS Raw'!$A:$GZ,ROW()-4,$A$4),INDEX('COOIS Raw'!$A:$GZ,ROW()-4,$A$4)))</f>
        <v>100875463</v>
      </c>
      <c r="B388" s="41" t="str">
        <f aca="false">IF(A388="","",TRIM(INDEX('COOIS Raw'!$A:$GZ,ROW()-4,$B$4)))</f>
        <v>91YAF03404AAA</v>
      </c>
      <c r="C388" s="42" t="str">
        <f aca="false">IF(OR(A388="",$C$4=0),"",INDEX('COOIS Raw'!$A:$GZ,ROW()-4,$C$4))</f>
        <v>R5B PSB SUB ASSEMBLY 4P-4FP</v>
      </c>
      <c r="D388" s="41" t="n">
        <f aca="false">IF(A388="","",IF($D$4=0,1,IFERROR(--INDEX('COOIS Raw'!$A:$GZ,ROW()-4,$D$4),1)))</f>
        <v>1</v>
      </c>
      <c r="E388" s="42" t="str">
        <f aca="false">IF(A388="","",INDEX('COOIS Raw'!$A:$GZ,ROW()-4,$E$4)&amp;"")</f>
        <v>REL PRT CNF DLV PRC GMPS MANC SETC</v>
      </c>
      <c r="F388" s="43" t="n">
        <f aca="false">IF(A388="","",IFERROR(DATEVALUE(INDEX('COOIS Raw'!$A:$GZ,ROW()-4,$F$4)),INDEX('COOIS Raw'!$A:$GZ,ROW()-4,$F$4)))</f>
        <v>46259</v>
      </c>
      <c r="G388" s="41" t="str">
        <f aca="false">IF(A388="","",IF(ISNA(MATCH(B388,'Kitting Plan'!$B$6:$B$19,0)),"Not in plan","Yes"))</f>
        <v>Yes</v>
      </c>
      <c r="H388" s="41" t="n">
        <f aca="false">IF(G388="Yes",INDEX('Kitting Plan'!$D$6:$D$19,MATCH(B388,'Kitting Plan'!$B$6:$B$19,0)),"")</f>
        <v>3</v>
      </c>
      <c r="I388" s="41" t="n">
        <f aca="false">IF(A388="","",IF(ISNUMBER(SEARCH("PRT",E388)),D388,0))</f>
        <v>1</v>
      </c>
      <c r="J388" s="41" t="n">
        <f aca="false">IF(A388="","",IF(ISNUMBER(SEARCH("GMPS",E388)),D388,0))</f>
        <v>1</v>
      </c>
      <c r="K388" s="41" t="n">
        <f aca="false">IF(A388="","",IF(ISNUMBER(SEARCH("DLV",E388)),D388,0))</f>
        <v>1</v>
      </c>
      <c r="L388" s="41" t="str">
        <f aca="false">IF(A388="","",IF(K388&gt;0,"Delivered",IF(ISNUMBER(SEARCH("CNF",E388)),"In production",IF(J388&gt;0,"Issued",IF(I388&gt;0,"Kitted","Released")))))</f>
        <v>Delivered</v>
      </c>
      <c r="M388" s="41" t="n">
        <f aca="false">IF(G388&lt;&gt;"Yes","",COUNTIFS($B$6:$B$1505,B388,$F$6:$F$1505,"&lt;"&amp;F388)+COUNTIFS($B$6:$B$1505,B388,$F$6:$F$1505,F388,$A$6:$A$1505,"&lt;="&amp;A388))</f>
        <v>24</v>
      </c>
      <c r="N388" s="41" t="n">
        <f aca="false">IF(M388="","",ROUNDUP(M388/H388,0))</f>
        <v>8</v>
      </c>
      <c r="O388" s="41" t="str">
        <f aca="false">IF(N388="","",IF(N388&lt;='Kitting Plan'!$C$3,"Rep "&amp;N388,"Surplus"))</f>
        <v>Rep 8</v>
      </c>
    </row>
    <row r="389" customFormat="false" ht="15" hidden="false" customHeight="false" outlineLevel="0" collapsed="false">
      <c r="A389" s="40" t="n">
        <f aca="false">IF(OR($A$4=0,INDEX('COOIS Raw'!$A:$GZ,ROW()-4,$A$4)=""),"",IFERROR(--INDEX('COOIS Raw'!$A:$GZ,ROW()-4,$A$4),INDEX('COOIS Raw'!$A:$GZ,ROW()-4,$A$4)))</f>
        <v>100875464</v>
      </c>
      <c r="B389" s="41" t="str">
        <f aca="false">IF(A389="","",TRIM(INDEX('COOIS Raw'!$A:$GZ,ROW()-4,$B$4)))</f>
        <v>91YAF03404AAA</v>
      </c>
      <c r="C389" s="42" t="str">
        <f aca="false">IF(OR(A389="",$C$4=0),"",INDEX('COOIS Raw'!$A:$GZ,ROW()-4,$C$4))</f>
        <v>R5B PSB SUB ASSEMBLY 4P-4FP</v>
      </c>
      <c r="D389" s="41" t="n">
        <f aca="false">IF(A389="","",IF($D$4=0,1,IFERROR(--INDEX('COOIS Raw'!$A:$GZ,ROW()-4,$D$4),1)))</f>
        <v>1</v>
      </c>
      <c r="E389" s="42" t="str">
        <f aca="false">IF(A389="","",INDEX('COOIS Raw'!$A:$GZ,ROW()-4,$E$4)&amp;"")</f>
        <v>REL PRT CNF DLV PRC GMPS MANC SETC</v>
      </c>
      <c r="F389" s="43" t="n">
        <f aca="false">IF(A389="","",IFERROR(DATEVALUE(INDEX('COOIS Raw'!$A:$GZ,ROW()-4,$F$4)),INDEX('COOIS Raw'!$A:$GZ,ROW()-4,$F$4)))</f>
        <v>46259</v>
      </c>
      <c r="G389" s="41" t="str">
        <f aca="false">IF(A389="","",IF(ISNA(MATCH(B389,'Kitting Plan'!$B$6:$B$19,0)),"Not in plan","Yes"))</f>
        <v>Yes</v>
      </c>
      <c r="H389" s="41" t="n">
        <f aca="false">IF(G389="Yes",INDEX('Kitting Plan'!$D$6:$D$19,MATCH(B389,'Kitting Plan'!$B$6:$B$19,0)),"")</f>
        <v>3</v>
      </c>
      <c r="I389" s="41" t="n">
        <f aca="false">IF(A389="","",IF(ISNUMBER(SEARCH("PRT",E389)),D389,0))</f>
        <v>1</v>
      </c>
      <c r="J389" s="41" t="n">
        <f aca="false">IF(A389="","",IF(ISNUMBER(SEARCH("GMPS",E389)),D389,0))</f>
        <v>1</v>
      </c>
      <c r="K389" s="41" t="n">
        <f aca="false">IF(A389="","",IF(ISNUMBER(SEARCH("DLV",E389)),D389,0))</f>
        <v>1</v>
      </c>
      <c r="L389" s="41" t="str">
        <f aca="false">IF(A389="","",IF(K389&gt;0,"Delivered",IF(ISNUMBER(SEARCH("CNF",E389)),"In production",IF(J389&gt;0,"Issued",IF(I389&gt;0,"Kitted","Released")))))</f>
        <v>Delivered</v>
      </c>
      <c r="M389" s="41" t="n">
        <f aca="false">IF(G389&lt;&gt;"Yes","",COUNTIFS($B$6:$B$1505,B389,$F$6:$F$1505,"&lt;"&amp;F389)+COUNTIFS($B$6:$B$1505,B389,$F$6:$F$1505,F389,$A$6:$A$1505,"&lt;="&amp;A389))</f>
        <v>25</v>
      </c>
      <c r="N389" s="41" t="n">
        <f aca="false">IF(M389="","",ROUNDUP(M389/H389,0))</f>
        <v>9</v>
      </c>
      <c r="O389" s="41" t="str">
        <f aca="false">IF(N389="","",IF(N389&lt;='Kitting Plan'!$C$3,"Rep "&amp;N389,"Surplus"))</f>
        <v>Rep 9</v>
      </c>
    </row>
    <row r="390" customFormat="false" ht="15" hidden="false" customHeight="false" outlineLevel="0" collapsed="false">
      <c r="A390" s="40" t="n">
        <f aca="false">IF(OR($A$4=0,INDEX('COOIS Raw'!$A:$GZ,ROW()-4,$A$4)=""),"",IFERROR(--INDEX('COOIS Raw'!$A:$GZ,ROW()-4,$A$4),INDEX('COOIS Raw'!$A:$GZ,ROW()-4,$A$4)))</f>
        <v>100875465</v>
      </c>
      <c r="B390" s="41" t="str">
        <f aca="false">IF(A390="","",TRIM(INDEX('COOIS Raw'!$A:$GZ,ROW()-4,$B$4)))</f>
        <v>91YAF03404AAA</v>
      </c>
      <c r="C390" s="42" t="str">
        <f aca="false">IF(OR(A390="",$C$4=0),"",INDEX('COOIS Raw'!$A:$GZ,ROW()-4,$C$4))</f>
        <v>R5B PSB SUB ASSEMBLY 4P-4FP</v>
      </c>
      <c r="D390" s="41" t="n">
        <f aca="false">IF(A390="","",IF($D$4=0,1,IFERROR(--INDEX('COOIS Raw'!$A:$GZ,ROW()-4,$D$4),1)))</f>
        <v>1</v>
      </c>
      <c r="E390" s="42" t="str">
        <f aca="false">IF(A390="","",INDEX('COOIS Raw'!$A:$GZ,ROW()-4,$E$4)&amp;"")</f>
        <v>REL PRT CNF DLV PRC GMPS MANC RESA*</v>
      </c>
      <c r="F390" s="43" t="n">
        <f aca="false">IF(A390="","",IFERROR(DATEVALUE(INDEX('COOIS Raw'!$A:$GZ,ROW()-4,$F$4)),INDEX('COOIS Raw'!$A:$GZ,ROW()-4,$F$4)))</f>
        <v>46259</v>
      </c>
      <c r="G390" s="41" t="str">
        <f aca="false">IF(A390="","",IF(ISNA(MATCH(B390,'Kitting Plan'!$B$6:$B$19,0)),"Not in plan","Yes"))</f>
        <v>Yes</v>
      </c>
      <c r="H390" s="41" t="n">
        <f aca="false">IF(G390="Yes",INDEX('Kitting Plan'!$D$6:$D$19,MATCH(B390,'Kitting Plan'!$B$6:$B$19,0)),"")</f>
        <v>3</v>
      </c>
      <c r="I390" s="41" t="n">
        <f aca="false">IF(A390="","",IF(ISNUMBER(SEARCH("PRT",E390)),D390,0))</f>
        <v>1</v>
      </c>
      <c r="J390" s="41" t="n">
        <f aca="false">IF(A390="","",IF(ISNUMBER(SEARCH("GMPS",E390)),D390,0))</f>
        <v>1</v>
      </c>
      <c r="K390" s="41" t="n">
        <f aca="false">IF(A390="","",IF(ISNUMBER(SEARCH("DLV",E390)),D390,0))</f>
        <v>1</v>
      </c>
      <c r="L390" s="41" t="str">
        <f aca="false">IF(A390="","",IF(K390&gt;0,"Delivered",IF(ISNUMBER(SEARCH("CNF",E390)),"In production",IF(J390&gt;0,"Issued",IF(I390&gt;0,"Kitted","Released")))))</f>
        <v>Delivered</v>
      </c>
      <c r="M390" s="41" t="n">
        <f aca="false">IF(G390&lt;&gt;"Yes","",COUNTIFS($B$6:$B$1505,B390,$F$6:$F$1505,"&lt;"&amp;F390)+COUNTIFS($B$6:$B$1505,B390,$F$6:$F$1505,F390,$A$6:$A$1505,"&lt;="&amp;A390))</f>
        <v>26</v>
      </c>
      <c r="N390" s="41" t="n">
        <f aca="false">IF(M390="","",ROUNDUP(M390/H390,0))</f>
        <v>9</v>
      </c>
      <c r="O390" s="41" t="str">
        <f aca="false">IF(N390="","",IF(N390&lt;='Kitting Plan'!$C$3,"Rep "&amp;N390,"Surplus"))</f>
        <v>Rep 9</v>
      </c>
    </row>
    <row r="391" customFormat="false" ht="15" hidden="false" customHeight="false" outlineLevel="0" collapsed="false">
      <c r="A391" s="40" t="n">
        <f aca="false">IF(OR($A$4=0,INDEX('COOIS Raw'!$A:$GZ,ROW()-4,$A$4)=""),"",IFERROR(--INDEX('COOIS Raw'!$A:$GZ,ROW()-4,$A$4),INDEX('COOIS Raw'!$A:$GZ,ROW()-4,$A$4)))</f>
        <v>100874808</v>
      </c>
      <c r="B391" s="41" t="str">
        <f aca="false">IF(A391="","",TRIM(INDEX('COOIS Raw'!$A:$GZ,ROW()-4,$B$4)))</f>
        <v>92YFD04548BAA</v>
      </c>
      <c r="C391" s="42" t="str">
        <f aca="false">IF(OR(A391="",$C$4=0),"",INDEX('COOIS Raw'!$A:$GZ,ROW()-4,$C$4))</f>
        <v>R5B OPF ASSEMBLY (4P-4FP) BOAT 1 - E2A</v>
      </c>
      <c r="D391" s="41" t="n">
        <f aca="false">IF(A391="","",IF($D$4=0,1,IFERROR(--INDEX('COOIS Raw'!$A:$GZ,ROW()-4,$D$4),1)))</f>
        <v>1</v>
      </c>
      <c r="E391" s="42" t="str">
        <f aca="false">IF(A391="","",INDEX('COOIS Raw'!$A:$GZ,ROW()-4,$E$4)&amp;"")</f>
        <v>REL PRT CNF DLV PRC GMPS MANC SETC</v>
      </c>
      <c r="F391" s="43" t="n">
        <f aca="false">IF(A391="","",IFERROR(DATEVALUE(INDEX('COOIS Raw'!$A:$GZ,ROW()-4,$F$4)),INDEX('COOIS Raw'!$A:$GZ,ROW()-4,$F$4)))</f>
        <v>46256</v>
      </c>
      <c r="G391" s="41" t="str">
        <f aca="false">IF(A391="","",IF(ISNA(MATCH(B391,'Kitting Plan'!$B$6:$B$19,0)),"Not in plan","Yes"))</f>
        <v>Yes</v>
      </c>
      <c r="H391" s="41" t="n">
        <f aca="false">IF(G391="Yes",INDEX('Kitting Plan'!$D$6:$D$19,MATCH(B391,'Kitting Plan'!$B$6:$B$19,0)),"")</f>
        <v>1</v>
      </c>
      <c r="I391" s="41" t="n">
        <f aca="false">IF(A391="","",IF(ISNUMBER(SEARCH("PRT",E391)),D391,0))</f>
        <v>1</v>
      </c>
      <c r="J391" s="41" t="n">
        <f aca="false">IF(A391="","",IF(ISNUMBER(SEARCH("GMPS",E391)),D391,0))</f>
        <v>1</v>
      </c>
      <c r="K391" s="41" t="n">
        <f aca="false">IF(A391="","",IF(ISNUMBER(SEARCH("DLV",E391)),D391,0))</f>
        <v>1</v>
      </c>
      <c r="L391" s="41" t="str">
        <f aca="false">IF(A391="","",IF(K391&gt;0,"Delivered",IF(ISNUMBER(SEARCH("CNF",E391)),"In production",IF(J391&gt;0,"Issued",IF(I391&gt;0,"Kitted","Released")))))</f>
        <v>Delivered</v>
      </c>
      <c r="M391" s="41" t="n">
        <f aca="false">IF(G391&lt;&gt;"Yes","",COUNTIFS($B$6:$B$1505,B391,$F$6:$F$1505,"&lt;"&amp;F391)+COUNTIFS($B$6:$B$1505,B391,$F$6:$F$1505,F391,$A$6:$A$1505,"&lt;="&amp;A391))</f>
        <v>7</v>
      </c>
      <c r="N391" s="41" t="n">
        <f aca="false">IF(M391="","",ROUNDUP(M391/H391,0))</f>
        <v>7</v>
      </c>
      <c r="O391" s="41" t="str">
        <f aca="false">IF(N391="","",IF(N391&lt;='Kitting Plan'!$C$3,"Rep "&amp;N391,"Surplus"))</f>
        <v>Rep 7</v>
      </c>
    </row>
    <row r="392" customFormat="false" ht="15" hidden="false" customHeight="false" outlineLevel="0" collapsed="false">
      <c r="A392" s="40" t="n">
        <f aca="false">IF(OR($A$4=0,INDEX('COOIS Raw'!$A:$GZ,ROW()-4,$A$4)=""),"",IFERROR(--INDEX('COOIS Raw'!$A:$GZ,ROW()-4,$A$4),INDEX('COOIS Raw'!$A:$GZ,ROW()-4,$A$4)))</f>
        <v>100874809</v>
      </c>
      <c r="B392" s="41" t="str">
        <f aca="false">IF(A392="","",TRIM(INDEX('COOIS Raw'!$A:$GZ,ROW()-4,$B$4)))</f>
        <v>92YFD04548BBA</v>
      </c>
      <c r="C392" s="42" t="str">
        <f aca="false">IF(OR(A392="",$C$4=0),"",INDEX('COOIS Raw'!$A:$GZ,ROW()-4,$C$4))</f>
        <v>R5B OPF ASSEMBLY (4P-4FP) BOAT 2/3 - E2A</v>
      </c>
      <c r="D392" s="41" t="n">
        <f aca="false">IF(A392="","",IF($D$4=0,1,IFERROR(--INDEX('COOIS Raw'!$A:$GZ,ROW()-4,$D$4),1)))</f>
        <v>1</v>
      </c>
      <c r="E392" s="42" t="str">
        <f aca="false">IF(A392="","",INDEX('COOIS Raw'!$A:$GZ,ROW()-4,$E$4)&amp;"")</f>
        <v>REL PRT CNF DLV PRC GMPS MANC RESA*</v>
      </c>
      <c r="F392" s="43" t="n">
        <f aca="false">IF(A392="","",IFERROR(DATEVALUE(INDEX('COOIS Raw'!$A:$GZ,ROW()-4,$F$4)),INDEX('COOIS Raw'!$A:$GZ,ROW()-4,$F$4)))</f>
        <v>46256</v>
      </c>
      <c r="G392" s="41" t="str">
        <f aca="false">IF(A392="","",IF(ISNA(MATCH(B392,'Kitting Plan'!$B$6:$B$19,0)),"Not in plan","Yes"))</f>
        <v>Yes</v>
      </c>
      <c r="H392" s="41" t="n">
        <f aca="false">IF(G392="Yes",INDEX('Kitting Plan'!$D$6:$D$19,MATCH(B392,'Kitting Plan'!$B$6:$B$19,0)),"")</f>
        <v>2</v>
      </c>
      <c r="I392" s="41" t="n">
        <f aca="false">IF(A392="","",IF(ISNUMBER(SEARCH("PRT",E392)),D392,0))</f>
        <v>1</v>
      </c>
      <c r="J392" s="41" t="n">
        <f aca="false">IF(A392="","",IF(ISNUMBER(SEARCH("GMPS",E392)),D392,0))</f>
        <v>1</v>
      </c>
      <c r="K392" s="41" t="n">
        <f aca="false">IF(A392="","",IF(ISNUMBER(SEARCH("DLV",E392)),D392,0))</f>
        <v>1</v>
      </c>
      <c r="L392" s="41" t="str">
        <f aca="false">IF(A392="","",IF(K392&gt;0,"Delivered",IF(ISNUMBER(SEARCH("CNF",E392)),"In production",IF(J392&gt;0,"Issued",IF(I392&gt;0,"Kitted","Released")))))</f>
        <v>Delivered</v>
      </c>
      <c r="M392" s="41" t="n">
        <f aca="false">IF(G392&lt;&gt;"Yes","",COUNTIFS($B$6:$B$1505,B392,$F$6:$F$1505,"&lt;"&amp;F392)+COUNTIFS($B$6:$B$1505,B392,$F$6:$F$1505,F392,$A$6:$A$1505,"&lt;="&amp;A392))</f>
        <v>11</v>
      </c>
      <c r="N392" s="41" t="n">
        <f aca="false">IF(M392="","",ROUNDUP(M392/H392,0))</f>
        <v>6</v>
      </c>
      <c r="O392" s="41" t="str">
        <f aca="false">IF(N392="","",IF(N392&lt;='Kitting Plan'!$C$3,"Rep "&amp;N392,"Surplus"))</f>
        <v>Rep 6</v>
      </c>
    </row>
    <row r="393" customFormat="false" ht="15" hidden="false" customHeight="false" outlineLevel="0" collapsed="false">
      <c r="A393" s="40" t="n">
        <f aca="false">IF(OR($A$4=0,INDEX('COOIS Raw'!$A:$GZ,ROW()-4,$A$4)=""),"",IFERROR(--INDEX('COOIS Raw'!$A:$GZ,ROW()-4,$A$4),INDEX('COOIS Raw'!$A:$GZ,ROW()-4,$A$4)))</f>
        <v>100874810</v>
      </c>
      <c r="B393" s="41" t="str">
        <f aca="false">IF(A393="","",TRIM(INDEX('COOIS Raw'!$A:$GZ,ROW()-4,$B$4)))</f>
        <v>92YFD04548BBA</v>
      </c>
      <c r="C393" s="42" t="str">
        <f aca="false">IF(OR(A393="",$C$4=0),"",INDEX('COOIS Raw'!$A:$GZ,ROW()-4,$C$4))</f>
        <v>R5B OPF ASSEMBLY (4P-4FP) BOAT 2/3 - E2A</v>
      </c>
      <c r="D393" s="41" t="n">
        <f aca="false">IF(A393="","",IF($D$4=0,1,IFERROR(--INDEX('COOIS Raw'!$A:$GZ,ROW()-4,$D$4),1)))</f>
        <v>1</v>
      </c>
      <c r="E393" s="42" t="str">
        <f aca="false">IF(A393="","",INDEX('COOIS Raw'!$A:$GZ,ROW()-4,$E$4)&amp;"")</f>
        <v>REL PRT CNF DLV PRC GMPS MANC RESA*</v>
      </c>
      <c r="F393" s="43" t="n">
        <f aca="false">IF(A393="","",IFERROR(DATEVALUE(INDEX('COOIS Raw'!$A:$GZ,ROW()-4,$F$4)),INDEX('COOIS Raw'!$A:$GZ,ROW()-4,$F$4)))</f>
        <v>46256</v>
      </c>
      <c r="G393" s="41" t="str">
        <f aca="false">IF(A393="","",IF(ISNA(MATCH(B393,'Kitting Plan'!$B$6:$B$19,0)),"Not in plan","Yes"))</f>
        <v>Yes</v>
      </c>
      <c r="H393" s="41" t="n">
        <f aca="false">IF(G393="Yes",INDEX('Kitting Plan'!$D$6:$D$19,MATCH(B393,'Kitting Plan'!$B$6:$B$19,0)),"")</f>
        <v>2</v>
      </c>
      <c r="I393" s="41" t="n">
        <f aca="false">IF(A393="","",IF(ISNUMBER(SEARCH("PRT",E393)),D393,0))</f>
        <v>1</v>
      </c>
      <c r="J393" s="41" t="n">
        <f aca="false">IF(A393="","",IF(ISNUMBER(SEARCH("GMPS",E393)),D393,0))</f>
        <v>1</v>
      </c>
      <c r="K393" s="41" t="n">
        <f aca="false">IF(A393="","",IF(ISNUMBER(SEARCH("DLV",E393)),D393,0))</f>
        <v>1</v>
      </c>
      <c r="L393" s="41" t="str">
        <f aca="false">IF(A393="","",IF(K393&gt;0,"Delivered",IF(ISNUMBER(SEARCH("CNF",E393)),"In production",IF(J393&gt;0,"Issued",IF(I393&gt;0,"Kitted","Released")))))</f>
        <v>Delivered</v>
      </c>
      <c r="M393" s="41" t="n">
        <f aca="false">IF(G393&lt;&gt;"Yes","",COUNTIFS($B$6:$B$1505,B393,$F$6:$F$1505,"&lt;"&amp;F393)+COUNTIFS($B$6:$B$1505,B393,$F$6:$F$1505,F393,$A$6:$A$1505,"&lt;="&amp;A393))</f>
        <v>12</v>
      </c>
      <c r="N393" s="41" t="n">
        <f aca="false">IF(M393="","",ROUNDUP(M393/H393,0))</f>
        <v>6</v>
      </c>
      <c r="O393" s="41" t="str">
        <f aca="false">IF(N393="","",IF(N393&lt;='Kitting Plan'!$C$3,"Rep "&amp;N393,"Surplus"))</f>
        <v>Rep 6</v>
      </c>
    </row>
    <row r="394" customFormat="false" ht="15" hidden="false" customHeight="false" outlineLevel="0" collapsed="false">
      <c r="A394" s="40" t="n">
        <f aca="false">IF(OR($A$4=0,INDEX('COOIS Raw'!$A:$GZ,ROW()-4,$A$4)=""),"",IFERROR(--INDEX('COOIS Raw'!$A:$GZ,ROW()-4,$A$4),INDEX('COOIS Raw'!$A:$GZ,ROW()-4,$A$4)))</f>
        <v>100874815</v>
      </c>
      <c r="B394" s="41" t="str">
        <f aca="false">IF(A394="","",TRIM(INDEX('COOIS Raw'!$A:$GZ,ROW()-4,$B$4)))</f>
        <v>92RRA00548AAA</v>
      </c>
      <c r="C394" s="42" t="str">
        <f aca="false">IF(OR(A394="",$C$4=0),"",INDEX('COOIS Raw'!$A:$GZ,ROW()-4,$C$4))</f>
        <v>R5B ERBIUM SPOOL ASSEMBLY - E2A</v>
      </c>
      <c r="D394" s="41" t="n">
        <f aca="false">IF(A394="","",IF($D$4=0,1,IFERROR(--INDEX('COOIS Raw'!$A:$GZ,ROW()-4,$D$4),1)))</f>
        <v>1</v>
      </c>
      <c r="E394" s="42" t="str">
        <f aca="false">IF(A394="","",INDEX('COOIS Raw'!$A:$GZ,ROW()-4,$E$4)&amp;"")</f>
        <v>REL PRT CNF DLV PRC GMPS MANC RESA*</v>
      </c>
      <c r="F394" s="43" t="n">
        <f aca="false">IF(A394="","",IFERROR(DATEVALUE(INDEX('COOIS Raw'!$A:$GZ,ROW()-4,$F$4)),INDEX('COOIS Raw'!$A:$GZ,ROW()-4,$F$4)))</f>
        <v>46256</v>
      </c>
      <c r="G394" s="41" t="str">
        <f aca="false">IF(A394="","",IF(ISNA(MATCH(B394,'Kitting Plan'!$B$6:$B$19,0)),"Not in plan","Yes"))</f>
        <v>Yes</v>
      </c>
      <c r="H394" s="41" t="n">
        <f aca="false">IF(G394="Yes",INDEX('Kitting Plan'!$D$6:$D$19,MATCH(B394,'Kitting Plan'!$B$6:$B$19,0)),"")</f>
        <v>24</v>
      </c>
      <c r="I394" s="41" t="n">
        <f aca="false">IF(A394="","",IF(ISNUMBER(SEARCH("PRT",E394)),D394,0))</f>
        <v>1</v>
      </c>
      <c r="J394" s="41" t="n">
        <f aca="false">IF(A394="","",IF(ISNUMBER(SEARCH("GMPS",E394)),D394,0))</f>
        <v>1</v>
      </c>
      <c r="K394" s="41" t="n">
        <f aca="false">IF(A394="","",IF(ISNUMBER(SEARCH("DLV",E394)),D394,0))</f>
        <v>1</v>
      </c>
      <c r="L394" s="41" t="str">
        <f aca="false">IF(A394="","",IF(K394&gt;0,"Delivered",IF(ISNUMBER(SEARCH("CNF",E394)),"In production",IF(J394&gt;0,"Issued",IF(I394&gt;0,"Kitted","Released")))))</f>
        <v>Delivered</v>
      </c>
      <c r="M394" s="41" t="n">
        <f aca="false">IF(G394&lt;&gt;"Yes","",COUNTIFS($B$6:$B$1505,B394,$F$6:$F$1505,"&lt;"&amp;F394)+COUNTIFS($B$6:$B$1505,B394,$F$6:$F$1505,F394,$A$6:$A$1505,"&lt;="&amp;A394))</f>
        <v>127</v>
      </c>
      <c r="N394" s="41" t="n">
        <f aca="false">IF(M394="","",ROUNDUP(M394/H394,0))</f>
        <v>6</v>
      </c>
      <c r="O394" s="41" t="str">
        <f aca="false">IF(N394="","",IF(N394&lt;='Kitting Plan'!$C$3,"Rep "&amp;N394,"Surplus"))</f>
        <v>Rep 6</v>
      </c>
    </row>
    <row r="395" customFormat="false" ht="15" hidden="false" customHeight="false" outlineLevel="0" collapsed="false">
      <c r="A395" s="40" t="n">
        <f aca="false">IF(OR($A$4=0,INDEX('COOIS Raw'!$A:$GZ,ROW()-4,$A$4)=""),"",IFERROR(--INDEX('COOIS Raw'!$A:$GZ,ROW()-4,$A$4),INDEX('COOIS Raw'!$A:$GZ,ROW()-4,$A$4)))</f>
        <v>100874816</v>
      </c>
      <c r="B395" s="41" t="str">
        <f aca="false">IF(A395="","",TRIM(INDEX('COOIS Raw'!$A:$GZ,ROW()-4,$B$4)))</f>
        <v>92RRA00548AAA</v>
      </c>
      <c r="C395" s="42" t="str">
        <f aca="false">IF(OR(A395="",$C$4=0),"",INDEX('COOIS Raw'!$A:$GZ,ROW()-4,$C$4))</f>
        <v>R5B ERBIUM SPOOL ASSEMBLY - E2A</v>
      </c>
      <c r="D395" s="41" t="n">
        <f aca="false">IF(A395="","",IF($D$4=0,1,IFERROR(--INDEX('COOIS Raw'!$A:$GZ,ROW()-4,$D$4),1)))</f>
        <v>1</v>
      </c>
      <c r="E395" s="42" t="str">
        <f aca="false">IF(A395="","",INDEX('COOIS Raw'!$A:$GZ,ROW()-4,$E$4)&amp;"")</f>
        <v>REL PRT CNF DLV PRC GMPS MANC RESA*</v>
      </c>
      <c r="F395" s="43" t="n">
        <f aca="false">IF(A395="","",IFERROR(DATEVALUE(INDEX('COOIS Raw'!$A:$GZ,ROW()-4,$F$4)),INDEX('COOIS Raw'!$A:$GZ,ROW()-4,$F$4)))</f>
        <v>46256</v>
      </c>
      <c r="G395" s="41" t="str">
        <f aca="false">IF(A395="","",IF(ISNA(MATCH(B395,'Kitting Plan'!$B$6:$B$19,0)),"Not in plan","Yes"))</f>
        <v>Yes</v>
      </c>
      <c r="H395" s="41" t="n">
        <f aca="false">IF(G395="Yes",INDEX('Kitting Plan'!$D$6:$D$19,MATCH(B395,'Kitting Plan'!$B$6:$B$19,0)),"")</f>
        <v>24</v>
      </c>
      <c r="I395" s="41" t="n">
        <f aca="false">IF(A395="","",IF(ISNUMBER(SEARCH("PRT",E395)),D395,0))</f>
        <v>1</v>
      </c>
      <c r="J395" s="41" t="n">
        <f aca="false">IF(A395="","",IF(ISNUMBER(SEARCH("GMPS",E395)),D395,0))</f>
        <v>1</v>
      </c>
      <c r="K395" s="41" t="n">
        <f aca="false">IF(A395="","",IF(ISNUMBER(SEARCH("DLV",E395)),D395,0))</f>
        <v>1</v>
      </c>
      <c r="L395" s="41" t="str">
        <f aca="false">IF(A395="","",IF(K395&gt;0,"Delivered",IF(ISNUMBER(SEARCH("CNF",E395)),"In production",IF(J395&gt;0,"Issued",IF(I395&gt;0,"Kitted","Released")))))</f>
        <v>Delivered</v>
      </c>
      <c r="M395" s="41" t="n">
        <f aca="false">IF(G395&lt;&gt;"Yes","",COUNTIFS($B$6:$B$1505,B395,$F$6:$F$1505,"&lt;"&amp;F395)+COUNTIFS($B$6:$B$1505,B395,$F$6:$F$1505,F395,$A$6:$A$1505,"&lt;="&amp;A395))</f>
        <v>128</v>
      </c>
      <c r="N395" s="41" t="n">
        <f aca="false">IF(M395="","",ROUNDUP(M395/H395,0))</f>
        <v>6</v>
      </c>
      <c r="O395" s="41" t="str">
        <f aca="false">IF(N395="","",IF(N395&lt;='Kitting Plan'!$C$3,"Rep "&amp;N395,"Surplus"))</f>
        <v>Rep 6</v>
      </c>
    </row>
    <row r="396" customFormat="false" ht="15" hidden="false" customHeight="false" outlineLevel="0" collapsed="false">
      <c r="A396" s="40" t="n">
        <f aca="false">IF(OR($A$4=0,INDEX('COOIS Raw'!$A:$GZ,ROW()-4,$A$4)=""),"",IFERROR(--INDEX('COOIS Raw'!$A:$GZ,ROW()-4,$A$4),INDEX('COOIS Raw'!$A:$GZ,ROW()-4,$A$4)))</f>
        <v>100874817</v>
      </c>
      <c r="B396" s="41" t="str">
        <f aca="false">IF(A396="","",TRIM(INDEX('COOIS Raw'!$A:$GZ,ROW()-4,$B$4)))</f>
        <v>92RRA00548AAA</v>
      </c>
      <c r="C396" s="42" t="str">
        <f aca="false">IF(OR(A396="",$C$4=0),"",INDEX('COOIS Raw'!$A:$GZ,ROW()-4,$C$4))</f>
        <v>R5B ERBIUM SPOOL ASSEMBLY - E2A</v>
      </c>
      <c r="D396" s="41" t="n">
        <f aca="false">IF(A396="","",IF($D$4=0,1,IFERROR(--INDEX('COOIS Raw'!$A:$GZ,ROW()-4,$D$4),1)))</f>
        <v>1</v>
      </c>
      <c r="E396" s="42" t="str">
        <f aca="false">IF(A396="","",INDEX('COOIS Raw'!$A:$GZ,ROW()-4,$E$4)&amp;"")</f>
        <v>REL PRT CNF DLV PRC GMPS MANC RESA*</v>
      </c>
      <c r="F396" s="43" t="n">
        <f aca="false">IF(A396="","",IFERROR(DATEVALUE(INDEX('COOIS Raw'!$A:$GZ,ROW()-4,$F$4)),INDEX('COOIS Raw'!$A:$GZ,ROW()-4,$F$4)))</f>
        <v>46256</v>
      </c>
      <c r="G396" s="41" t="str">
        <f aca="false">IF(A396="","",IF(ISNA(MATCH(B396,'Kitting Plan'!$B$6:$B$19,0)),"Not in plan","Yes"))</f>
        <v>Yes</v>
      </c>
      <c r="H396" s="41" t="n">
        <f aca="false">IF(G396="Yes",INDEX('Kitting Plan'!$D$6:$D$19,MATCH(B396,'Kitting Plan'!$B$6:$B$19,0)),"")</f>
        <v>24</v>
      </c>
      <c r="I396" s="41" t="n">
        <f aca="false">IF(A396="","",IF(ISNUMBER(SEARCH("PRT",E396)),D396,0))</f>
        <v>1</v>
      </c>
      <c r="J396" s="41" t="n">
        <f aca="false">IF(A396="","",IF(ISNUMBER(SEARCH("GMPS",E396)),D396,0))</f>
        <v>1</v>
      </c>
      <c r="K396" s="41" t="n">
        <f aca="false">IF(A396="","",IF(ISNUMBER(SEARCH("DLV",E396)),D396,0))</f>
        <v>1</v>
      </c>
      <c r="L396" s="41" t="str">
        <f aca="false">IF(A396="","",IF(K396&gt;0,"Delivered",IF(ISNUMBER(SEARCH("CNF",E396)),"In production",IF(J396&gt;0,"Issued",IF(I396&gt;0,"Kitted","Released")))))</f>
        <v>Delivered</v>
      </c>
      <c r="M396" s="41" t="n">
        <f aca="false">IF(G396&lt;&gt;"Yes","",COUNTIFS($B$6:$B$1505,B396,$F$6:$F$1505,"&lt;"&amp;F396)+COUNTIFS($B$6:$B$1505,B396,$F$6:$F$1505,F396,$A$6:$A$1505,"&lt;="&amp;A396))</f>
        <v>129</v>
      </c>
      <c r="N396" s="41" t="n">
        <f aca="false">IF(M396="","",ROUNDUP(M396/H396,0))</f>
        <v>6</v>
      </c>
      <c r="O396" s="41" t="str">
        <f aca="false">IF(N396="","",IF(N396&lt;='Kitting Plan'!$C$3,"Rep "&amp;N396,"Surplus"))</f>
        <v>Rep 6</v>
      </c>
    </row>
    <row r="397" customFormat="false" ht="15" hidden="false" customHeight="false" outlineLevel="0" collapsed="false">
      <c r="A397" s="40" t="n">
        <f aca="false">IF(OR($A$4=0,INDEX('COOIS Raw'!$A:$GZ,ROW()-4,$A$4)=""),"",IFERROR(--INDEX('COOIS Raw'!$A:$GZ,ROW()-4,$A$4),INDEX('COOIS Raw'!$A:$GZ,ROW()-4,$A$4)))</f>
        <v>100874818</v>
      </c>
      <c r="B397" s="41" t="str">
        <f aca="false">IF(A397="","",TRIM(INDEX('COOIS Raw'!$A:$GZ,ROW()-4,$B$4)))</f>
        <v>92RRA00548AAA</v>
      </c>
      <c r="C397" s="42" t="str">
        <f aca="false">IF(OR(A397="",$C$4=0),"",INDEX('COOIS Raw'!$A:$GZ,ROW()-4,$C$4))</f>
        <v>R5B ERBIUM SPOOL ASSEMBLY - E2A</v>
      </c>
      <c r="D397" s="41" t="n">
        <f aca="false">IF(A397="","",IF($D$4=0,1,IFERROR(--INDEX('COOIS Raw'!$A:$GZ,ROW()-4,$D$4),1)))</f>
        <v>1</v>
      </c>
      <c r="E397" s="42" t="str">
        <f aca="false">IF(A397="","",INDEX('COOIS Raw'!$A:$GZ,ROW()-4,$E$4)&amp;"")</f>
        <v>REL PRT CNF DLV PRC GMPS MANC RESA*</v>
      </c>
      <c r="F397" s="43" t="n">
        <f aca="false">IF(A397="","",IFERROR(DATEVALUE(INDEX('COOIS Raw'!$A:$GZ,ROW()-4,$F$4)),INDEX('COOIS Raw'!$A:$GZ,ROW()-4,$F$4)))</f>
        <v>46256</v>
      </c>
      <c r="G397" s="41" t="str">
        <f aca="false">IF(A397="","",IF(ISNA(MATCH(B397,'Kitting Plan'!$B$6:$B$19,0)),"Not in plan","Yes"))</f>
        <v>Yes</v>
      </c>
      <c r="H397" s="41" t="n">
        <f aca="false">IF(G397="Yes",INDEX('Kitting Plan'!$D$6:$D$19,MATCH(B397,'Kitting Plan'!$B$6:$B$19,0)),"")</f>
        <v>24</v>
      </c>
      <c r="I397" s="41" t="n">
        <f aca="false">IF(A397="","",IF(ISNUMBER(SEARCH("PRT",E397)),D397,0))</f>
        <v>1</v>
      </c>
      <c r="J397" s="41" t="n">
        <f aca="false">IF(A397="","",IF(ISNUMBER(SEARCH("GMPS",E397)),D397,0))</f>
        <v>1</v>
      </c>
      <c r="K397" s="41" t="n">
        <f aca="false">IF(A397="","",IF(ISNUMBER(SEARCH("DLV",E397)),D397,0))</f>
        <v>1</v>
      </c>
      <c r="L397" s="41" t="str">
        <f aca="false">IF(A397="","",IF(K397&gt;0,"Delivered",IF(ISNUMBER(SEARCH("CNF",E397)),"In production",IF(J397&gt;0,"Issued",IF(I397&gt;0,"Kitted","Released")))))</f>
        <v>Delivered</v>
      </c>
      <c r="M397" s="41" t="n">
        <f aca="false">IF(G397&lt;&gt;"Yes","",COUNTIFS($B$6:$B$1505,B397,$F$6:$F$1505,"&lt;"&amp;F397)+COUNTIFS($B$6:$B$1505,B397,$F$6:$F$1505,F397,$A$6:$A$1505,"&lt;="&amp;A397))</f>
        <v>130</v>
      </c>
      <c r="N397" s="41" t="n">
        <f aca="false">IF(M397="","",ROUNDUP(M397/H397,0))</f>
        <v>6</v>
      </c>
      <c r="O397" s="41" t="str">
        <f aca="false">IF(N397="","",IF(N397&lt;='Kitting Plan'!$C$3,"Rep "&amp;N397,"Surplus"))</f>
        <v>Rep 6</v>
      </c>
    </row>
    <row r="398" customFormat="false" ht="15" hidden="false" customHeight="false" outlineLevel="0" collapsed="false">
      <c r="A398" s="40" t="n">
        <f aca="false">IF(OR($A$4=0,INDEX('COOIS Raw'!$A:$GZ,ROW()-4,$A$4)=""),"",IFERROR(--INDEX('COOIS Raw'!$A:$GZ,ROW()-4,$A$4),INDEX('COOIS Raw'!$A:$GZ,ROW()-4,$A$4)))</f>
        <v>100874819</v>
      </c>
      <c r="B398" s="41" t="str">
        <f aca="false">IF(A398="","",TRIM(INDEX('COOIS Raw'!$A:$GZ,ROW()-4,$B$4)))</f>
        <v>92RRA00548AAA</v>
      </c>
      <c r="C398" s="42" t="str">
        <f aca="false">IF(OR(A398="",$C$4=0),"",INDEX('COOIS Raw'!$A:$GZ,ROW()-4,$C$4))</f>
        <v>R5B ERBIUM SPOOL ASSEMBLY - E2A</v>
      </c>
      <c r="D398" s="41" t="n">
        <f aca="false">IF(A398="","",IF($D$4=0,1,IFERROR(--INDEX('COOIS Raw'!$A:$GZ,ROW()-4,$D$4),1)))</f>
        <v>1</v>
      </c>
      <c r="E398" s="42" t="str">
        <f aca="false">IF(A398="","",INDEX('COOIS Raw'!$A:$GZ,ROW()-4,$E$4)&amp;"")</f>
        <v>REL PRT CNF DLV PRC GMPS MANC RESA*</v>
      </c>
      <c r="F398" s="43" t="n">
        <f aca="false">IF(A398="","",IFERROR(DATEVALUE(INDEX('COOIS Raw'!$A:$GZ,ROW()-4,$F$4)),INDEX('COOIS Raw'!$A:$GZ,ROW()-4,$F$4)))</f>
        <v>46256</v>
      </c>
      <c r="G398" s="41" t="str">
        <f aca="false">IF(A398="","",IF(ISNA(MATCH(B398,'Kitting Plan'!$B$6:$B$19,0)),"Not in plan","Yes"))</f>
        <v>Yes</v>
      </c>
      <c r="H398" s="41" t="n">
        <f aca="false">IF(G398="Yes",INDEX('Kitting Plan'!$D$6:$D$19,MATCH(B398,'Kitting Plan'!$B$6:$B$19,0)),"")</f>
        <v>24</v>
      </c>
      <c r="I398" s="41" t="n">
        <f aca="false">IF(A398="","",IF(ISNUMBER(SEARCH("PRT",E398)),D398,0))</f>
        <v>1</v>
      </c>
      <c r="J398" s="41" t="n">
        <f aca="false">IF(A398="","",IF(ISNUMBER(SEARCH("GMPS",E398)),D398,0))</f>
        <v>1</v>
      </c>
      <c r="K398" s="41" t="n">
        <f aca="false">IF(A398="","",IF(ISNUMBER(SEARCH("DLV",E398)),D398,0))</f>
        <v>1</v>
      </c>
      <c r="L398" s="41" t="str">
        <f aca="false">IF(A398="","",IF(K398&gt;0,"Delivered",IF(ISNUMBER(SEARCH("CNF",E398)),"In production",IF(J398&gt;0,"Issued",IF(I398&gt;0,"Kitted","Released")))))</f>
        <v>Delivered</v>
      </c>
      <c r="M398" s="41" t="n">
        <f aca="false">IF(G398&lt;&gt;"Yes","",COUNTIFS($B$6:$B$1505,B398,$F$6:$F$1505,"&lt;"&amp;F398)+COUNTIFS($B$6:$B$1505,B398,$F$6:$F$1505,F398,$A$6:$A$1505,"&lt;="&amp;A398))</f>
        <v>131</v>
      </c>
      <c r="N398" s="41" t="n">
        <f aca="false">IF(M398="","",ROUNDUP(M398/H398,0))</f>
        <v>6</v>
      </c>
      <c r="O398" s="41" t="str">
        <f aca="false">IF(N398="","",IF(N398&lt;='Kitting Plan'!$C$3,"Rep "&amp;N398,"Surplus"))</f>
        <v>Rep 6</v>
      </c>
    </row>
    <row r="399" customFormat="false" ht="15" hidden="false" customHeight="false" outlineLevel="0" collapsed="false">
      <c r="A399" s="40" t="n">
        <f aca="false">IF(OR($A$4=0,INDEX('COOIS Raw'!$A:$GZ,ROW()-4,$A$4)=""),"",IFERROR(--INDEX('COOIS Raw'!$A:$GZ,ROW()-4,$A$4),INDEX('COOIS Raw'!$A:$GZ,ROW()-4,$A$4)))</f>
        <v>100874820</v>
      </c>
      <c r="B399" s="41" t="str">
        <f aca="false">IF(A399="","",TRIM(INDEX('COOIS Raw'!$A:$GZ,ROW()-4,$B$4)))</f>
        <v>92RRA00548AAA</v>
      </c>
      <c r="C399" s="42" t="str">
        <f aca="false">IF(OR(A399="",$C$4=0),"",INDEX('COOIS Raw'!$A:$GZ,ROW()-4,$C$4))</f>
        <v>R5B ERBIUM SPOOL ASSEMBLY - E2A</v>
      </c>
      <c r="D399" s="41" t="n">
        <f aca="false">IF(A399="","",IF($D$4=0,1,IFERROR(--INDEX('COOIS Raw'!$A:$GZ,ROW()-4,$D$4),1)))</f>
        <v>1</v>
      </c>
      <c r="E399" s="42" t="str">
        <f aca="false">IF(A399="","",INDEX('COOIS Raw'!$A:$GZ,ROW()-4,$E$4)&amp;"")</f>
        <v>REL PRT CNF DLV PRC GMPS MANC RESA*</v>
      </c>
      <c r="F399" s="43" t="n">
        <f aca="false">IF(A399="","",IFERROR(DATEVALUE(INDEX('COOIS Raw'!$A:$GZ,ROW()-4,$F$4)),INDEX('COOIS Raw'!$A:$GZ,ROW()-4,$F$4)))</f>
        <v>46256</v>
      </c>
      <c r="G399" s="41" t="str">
        <f aca="false">IF(A399="","",IF(ISNA(MATCH(B399,'Kitting Plan'!$B$6:$B$19,0)),"Not in plan","Yes"))</f>
        <v>Yes</v>
      </c>
      <c r="H399" s="41" t="n">
        <f aca="false">IF(G399="Yes",INDEX('Kitting Plan'!$D$6:$D$19,MATCH(B399,'Kitting Plan'!$B$6:$B$19,0)),"")</f>
        <v>24</v>
      </c>
      <c r="I399" s="41" t="n">
        <f aca="false">IF(A399="","",IF(ISNUMBER(SEARCH("PRT",E399)),D399,0))</f>
        <v>1</v>
      </c>
      <c r="J399" s="41" t="n">
        <f aca="false">IF(A399="","",IF(ISNUMBER(SEARCH("GMPS",E399)),D399,0))</f>
        <v>1</v>
      </c>
      <c r="K399" s="41" t="n">
        <f aca="false">IF(A399="","",IF(ISNUMBER(SEARCH("DLV",E399)),D399,0))</f>
        <v>1</v>
      </c>
      <c r="L399" s="41" t="str">
        <f aca="false">IF(A399="","",IF(K399&gt;0,"Delivered",IF(ISNUMBER(SEARCH("CNF",E399)),"In production",IF(J399&gt;0,"Issued",IF(I399&gt;0,"Kitted","Released")))))</f>
        <v>Delivered</v>
      </c>
      <c r="M399" s="41" t="n">
        <f aca="false">IF(G399&lt;&gt;"Yes","",COUNTIFS($B$6:$B$1505,B399,$F$6:$F$1505,"&lt;"&amp;F399)+COUNTIFS($B$6:$B$1505,B399,$F$6:$F$1505,F399,$A$6:$A$1505,"&lt;="&amp;A399))</f>
        <v>132</v>
      </c>
      <c r="N399" s="41" t="n">
        <f aca="false">IF(M399="","",ROUNDUP(M399/H399,0))</f>
        <v>6</v>
      </c>
      <c r="O399" s="41" t="str">
        <f aca="false">IF(N399="","",IF(N399&lt;='Kitting Plan'!$C$3,"Rep "&amp;N399,"Surplus"))</f>
        <v>Rep 6</v>
      </c>
    </row>
    <row r="400" customFormat="false" ht="15" hidden="false" customHeight="false" outlineLevel="0" collapsed="false">
      <c r="A400" s="40" t="n">
        <f aca="false">IF(OR($A$4=0,INDEX('COOIS Raw'!$A:$GZ,ROW()-4,$A$4)=""),"",IFERROR(--INDEX('COOIS Raw'!$A:$GZ,ROW()-4,$A$4),INDEX('COOIS Raw'!$A:$GZ,ROW()-4,$A$4)))</f>
        <v>100874821</v>
      </c>
      <c r="B400" s="41" t="str">
        <f aca="false">IF(A400="","",TRIM(INDEX('COOIS Raw'!$A:$GZ,ROW()-4,$B$4)))</f>
        <v>92RRA00548AAA</v>
      </c>
      <c r="C400" s="42" t="str">
        <f aca="false">IF(OR(A400="",$C$4=0),"",INDEX('COOIS Raw'!$A:$GZ,ROW()-4,$C$4))</f>
        <v>R5B ERBIUM SPOOL ASSEMBLY - E2A</v>
      </c>
      <c r="D400" s="41" t="n">
        <f aca="false">IF(A400="","",IF($D$4=0,1,IFERROR(--INDEX('COOIS Raw'!$A:$GZ,ROW()-4,$D$4),1)))</f>
        <v>1</v>
      </c>
      <c r="E400" s="42" t="str">
        <f aca="false">IF(A400="","",INDEX('COOIS Raw'!$A:$GZ,ROW()-4,$E$4)&amp;"")</f>
        <v>REL PRT CNF DLV PRC GMPS MANC RESA*</v>
      </c>
      <c r="F400" s="43" t="n">
        <f aca="false">IF(A400="","",IFERROR(DATEVALUE(INDEX('COOIS Raw'!$A:$GZ,ROW()-4,$F$4)),INDEX('COOIS Raw'!$A:$GZ,ROW()-4,$F$4)))</f>
        <v>46256</v>
      </c>
      <c r="G400" s="41" t="str">
        <f aca="false">IF(A400="","",IF(ISNA(MATCH(B400,'Kitting Plan'!$B$6:$B$19,0)),"Not in plan","Yes"))</f>
        <v>Yes</v>
      </c>
      <c r="H400" s="41" t="n">
        <f aca="false">IF(G400="Yes",INDEX('Kitting Plan'!$D$6:$D$19,MATCH(B400,'Kitting Plan'!$B$6:$B$19,0)),"")</f>
        <v>24</v>
      </c>
      <c r="I400" s="41" t="n">
        <f aca="false">IF(A400="","",IF(ISNUMBER(SEARCH("PRT",E400)),D400,0))</f>
        <v>1</v>
      </c>
      <c r="J400" s="41" t="n">
        <f aca="false">IF(A400="","",IF(ISNUMBER(SEARCH("GMPS",E400)),D400,0))</f>
        <v>1</v>
      </c>
      <c r="K400" s="41" t="n">
        <f aca="false">IF(A400="","",IF(ISNUMBER(SEARCH("DLV",E400)),D400,0))</f>
        <v>1</v>
      </c>
      <c r="L400" s="41" t="str">
        <f aca="false">IF(A400="","",IF(K400&gt;0,"Delivered",IF(ISNUMBER(SEARCH("CNF",E400)),"In production",IF(J400&gt;0,"Issued",IF(I400&gt;0,"Kitted","Released")))))</f>
        <v>Delivered</v>
      </c>
      <c r="M400" s="41" t="n">
        <f aca="false">IF(G400&lt;&gt;"Yes","",COUNTIFS($B$6:$B$1505,B400,$F$6:$F$1505,"&lt;"&amp;F400)+COUNTIFS($B$6:$B$1505,B400,$F$6:$F$1505,F400,$A$6:$A$1505,"&lt;="&amp;A400))</f>
        <v>133</v>
      </c>
      <c r="N400" s="41" t="n">
        <f aca="false">IF(M400="","",ROUNDUP(M400/H400,0))</f>
        <v>6</v>
      </c>
      <c r="O400" s="41" t="str">
        <f aca="false">IF(N400="","",IF(N400&lt;='Kitting Plan'!$C$3,"Rep "&amp;N400,"Surplus"))</f>
        <v>Rep 6</v>
      </c>
    </row>
    <row r="401" customFormat="false" ht="15" hidden="false" customHeight="false" outlineLevel="0" collapsed="false">
      <c r="A401" s="40" t="n">
        <f aca="false">IF(OR($A$4=0,INDEX('COOIS Raw'!$A:$GZ,ROW()-4,$A$4)=""),"",IFERROR(--INDEX('COOIS Raw'!$A:$GZ,ROW()-4,$A$4),INDEX('COOIS Raw'!$A:$GZ,ROW()-4,$A$4)))</f>
        <v>100874822</v>
      </c>
      <c r="B401" s="41" t="str">
        <f aca="false">IF(A401="","",TRIM(INDEX('COOIS Raw'!$A:$GZ,ROW()-4,$B$4)))</f>
        <v>92RRA00548AAA</v>
      </c>
      <c r="C401" s="42" t="str">
        <f aca="false">IF(OR(A401="",$C$4=0),"",INDEX('COOIS Raw'!$A:$GZ,ROW()-4,$C$4))</f>
        <v>R5B ERBIUM SPOOL ASSEMBLY - E2A</v>
      </c>
      <c r="D401" s="41" t="n">
        <f aca="false">IF(A401="","",IF($D$4=0,1,IFERROR(--INDEX('COOIS Raw'!$A:$GZ,ROW()-4,$D$4),1)))</f>
        <v>1</v>
      </c>
      <c r="E401" s="42" t="str">
        <f aca="false">IF(A401="","",INDEX('COOIS Raw'!$A:$GZ,ROW()-4,$E$4)&amp;"")</f>
        <v>REL PRT CNF DLV PRC GMPS MANC RESA*</v>
      </c>
      <c r="F401" s="43" t="n">
        <f aca="false">IF(A401="","",IFERROR(DATEVALUE(INDEX('COOIS Raw'!$A:$GZ,ROW()-4,$F$4)),INDEX('COOIS Raw'!$A:$GZ,ROW()-4,$F$4)))</f>
        <v>46256</v>
      </c>
      <c r="G401" s="41" t="str">
        <f aca="false">IF(A401="","",IF(ISNA(MATCH(B401,'Kitting Plan'!$B$6:$B$19,0)),"Not in plan","Yes"))</f>
        <v>Yes</v>
      </c>
      <c r="H401" s="41" t="n">
        <f aca="false">IF(G401="Yes",INDEX('Kitting Plan'!$D$6:$D$19,MATCH(B401,'Kitting Plan'!$B$6:$B$19,0)),"")</f>
        <v>24</v>
      </c>
      <c r="I401" s="41" t="n">
        <f aca="false">IF(A401="","",IF(ISNUMBER(SEARCH("PRT",E401)),D401,0))</f>
        <v>1</v>
      </c>
      <c r="J401" s="41" t="n">
        <f aca="false">IF(A401="","",IF(ISNUMBER(SEARCH("GMPS",E401)),D401,0))</f>
        <v>1</v>
      </c>
      <c r="K401" s="41" t="n">
        <f aca="false">IF(A401="","",IF(ISNUMBER(SEARCH("DLV",E401)),D401,0))</f>
        <v>1</v>
      </c>
      <c r="L401" s="41" t="str">
        <f aca="false">IF(A401="","",IF(K401&gt;0,"Delivered",IF(ISNUMBER(SEARCH("CNF",E401)),"In production",IF(J401&gt;0,"Issued",IF(I401&gt;0,"Kitted","Released")))))</f>
        <v>Delivered</v>
      </c>
      <c r="M401" s="41" t="n">
        <f aca="false">IF(G401&lt;&gt;"Yes","",COUNTIFS($B$6:$B$1505,B401,$F$6:$F$1505,"&lt;"&amp;F401)+COUNTIFS($B$6:$B$1505,B401,$F$6:$F$1505,F401,$A$6:$A$1505,"&lt;="&amp;A401))</f>
        <v>134</v>
      </c>
      <c r="N401" s="41" t="n">
        <f aca="false">IF(M401="","",ROUNDUP(M401/H401,0))</f>
        <v>6</v>
      </c>
      <c r="O401" s="41" t="str">
        <f aca="false">IF(N401="","",IF(N401&lt;='Kitting Plan'!$C$3,"Rep "&amp;N401,"Surplus"))</f>
        <v>Rep 6</v>
      </c>
    </row>
    <row r="402" customFormat="false" ht="15" hidden="false" customHeight="false" outlineLevel="0" collapsed="false">
      <c r="A402" s="40" t="n">
        <f aca="false">IF(OR($A$4=0,INDEX('COOIS Raw'!$A:$GZ,ROW()-4,$A$4)=""),"",IFERROR(--INDEX('COOIS Raw'!$A:$GZ,ROW()-4,$A$4),INDEX('COOIS Raw'!$A:$GZ,ROW()-4,$A$4)))</f>
        <v>100874823</v>
      </c>
      <c r="B402" s="41" t="str">
        <f aca="false">IF(A402="","",TRIM(INDEX('COOIS Raw'!$A:$GZ,ROW()-4,$B$4)))</f>
        <v>92RRA00548AAA</v>
      </c>
      <c r="C402" s="42" t="str">
        <f aca="false">IF(OR(A402="",$C$4=0),"",INDEX('COOIS Raw'!$A:$GZ,ROW()-4,$C$4))</f>
        <v>R5B ERBIUM SPOOL ASSEMBLY - E2A</v>
      </c>
      <c r="D402" s="41" t="n">
        <f aca="false">IF(A402="","",IF($D$4=0,1,IFERROR(--INDEX('COOIS Raw'!$A:$GZ,ROW()-4,$D$4),1)))</f>
        <v>1</v>
      </c>
      <c r="E402" s="42" t="str">
        <f aca="false">IF(A402="","",INDEX('COOIS Raw'!$A:$GZ,ROW()-4,$E$4)&amp;"")</f>
        <v>REL PRT CNF DLV PRC GMPS MANC RESA*</v>
      </c>
      <c r="F402" s="43" t="n">
        <f aca="false">IF(A402="","",IFERROR(DATEVALUE(INDEX('COOIS Raw'!$A:$GZ,ROW()-4,$F$4)),INDEX('COOIS Raw'!$A:$GZ,ROW()-4,$F$4)))</f>
        <v>46256</v>
      </c>
      <c r="G402" s="41" t="str">
        <f aca="false">IF(A402="","",IF(ISNA(MATCH(B402,'Kitting Plan'!$B$6:$B$19,0)),"Not in plan","Yes"))</f>
        <v>Yes</v>
      </c>
      <c r="H402" s="41" t="n">
        <f aca="false">IF(G402="Yes",INDEX('Kitting Plan'!$D$6:$D$19,MATCH(B402,'Kitting Plan'!$B$6:$B$19,0)),"")</f>
        <v>24</v>
      </c>
      <c r="I402" s="41" t="n">
        <f aca="false">IF(A402="","",IF(ISNUMBER(SEARCH("PRT",E402)),D402,0))</f>
        <v>1</v>
      </c>
      <c r="J402" s="41" t="n">
        <f aca="false">IF(A402="","",IF(ISNUMBER(SEARCH("GMPS",E402)),D402,0))</f>
        <v>1</v>
      </c>
      <c r="K402" s="41" t="n">
        <f aca="false">IF(A402="","",IF(ISNUMBER(SEARCH("DLV",E402)),D402,0))</f>
        <v>1</v>
      </c>
      <c r="L402" s="41" t="str">
        <f aca="false">IF(A402="","",IF(K402&gt;0,"Delivered",IF(ISNUMBER(SEARCH("CNF",E402)),"In production",IF(J402&gt;0,"Issued",IF(I402&gt;0,"Kitted","Released")))))</f>
        <v>Delivered</v>
      </c>
      <c r="M402" s="41" t="n">
        <f aca="false">IF(G402&lt;&gt;"Yes","",COUNTIFS($B$6:$B$1505,B402,$F$6:$F$1505,"&lt;"&amp;F402)+COUNTIFS($B$6:$B$1505,B402,$F$6:$F$1505,F402,$A$6:$A$1505,"&lt;="&amp;A402))</f>
        <v>135</v>
      </c>
      <c r="N402" s="41" t="n">
        <f aca="false">IF(M402="","",ROUNDUP(M402/H402,0))</f>
        <v>6</v>
      </c>
      <c r="O402" s="41" t="str">
        <f aca="false">IF(N402="","",IF(N402&lt;='Kitting Plan'!$C$3,"Rep "&amp;N402,"Surplus"))</f>
        <v>Rep 6</v>
      </c>
    </row>
    <row r="403" customFormat="false" ht="15" hidden="false" customHeight="false" outlineLevel="0" collapsed="false">
      <c r="A403" s="40" t="n">
        <f aca="false">IF(OR($A$4=0,INDEX('COOIS Raw'!$A:$GZ,ROW()-4,$A$4)=""),"",IFERROR(--INDEX('COOIS Raw'!$A:$GZ,ROW()-4,$A$4),INDEX('COOIS Raw'!$A:$GZ,ROW()-4,$A$4)))</f>
        <v>100874824</v>
      </c>
      <c r="B403" s="41" t="str">
        <f aca="false">IF(A403="","",TRIM(INDEX('COOIS Raw'!$A:$GZ,ROW()-4,$B$4)))</f>
        <v>92RRA00548AAA</v>
      </c>
      <c r="C403" s="42" t="str">
        <f aca="false">IF(OR(A403="",$C$4=0),"",INDEX('COOIS Raw'!$A:$GZ,ROW()-4,$C$4))</f>
        <v>R5B ERBIUM SPOOL ASSEMBLY - E2A</v>
      </c>
      <c r="D403" s="41" t="n">
        <f aca="false">IF(A403="","",IF($D$4=0,1,IFERROR(--INDEX('COOIS Raw'!$A:$GZ,ROW()-4,$D$4),1)))</f>
        <v>1</v>
      </c>
      <c r="E403" s="42" t="str">
        <f aca="false">IF(A403="","",INDEX('COOIS Raw'!$A:$GZ,ROW()-4,$E$4)&amp;"")</f>
        <v>REL PRT CNF DLV PRC GMPS MANC RESA*</v>
      </c>
      <c r="F403" s="43" t="n">
        <f aca="false">IF(A403="","",IFERROR(DATEVALUE(INDEX('COOIS Raw'!$A:$GZ,ROW()-4,$F$4)),INDEX('COOIS Raw'!$A:$GZ,ROW()-4,$F$4)))</f>
        <v>46256</v>
      </c>
      <c r="G403" s="41" t="str">
        <f aca="false">IF(A403="","",IF(ISNA(MATCH(B403,'Kitting Plan'!$B$6:$B$19,0)),"Not in plan","Yes"))</f>
        <v>Yes</v>
      </c>
      <c r="H403" s="41" t="n">
        <f aca="false">IF(G403="Yes",INDEX('Kitting Plan'!$D$6:$D$19,MATCH(B403,'Kitting Plan'!$B$6:$B$19,0)),"")</f>
        <v>24</v>
      </c>
      <c r="I403" s="41" t="n">
        <f aca="false">IF(A403="","",IF(ISNUMBER(SEARCH("PRT",E403)),D403,0))</f>
        <v>1</v>
      </c>
      <c r="J403" s="41" t="n">
        <f aca="false">IF(A403="","",IF(ISNUMBER(SEARCH("GMPS",E403)),D403,0))</f>
        <v>1</v>
      </c>
      <c r="K403" s="41" t="n">
        <f aca="false">IF(A403="","",IF(ISNUMBER(SEARCH("DLV",E403)),D403,0))</f>
        <v>1</v>
      </c>
      <c r="L403" s="41" t="str">
        <f aca="false">IF(A403="","",IF(K403&gt;0,"Delivered",IF(ISNUMBER(SEARCH("CNF",E403)),"In production",IF(J403&gt;0,"Issued",IF(I403&gt;0,"Kitted","Released")))))</f>
        <v>Delivered</v>
      </c>
      <c r="M403" s="41" t="n">
        <f aca="false">IF(G403&lt;&gt;"Yes","",COUNTIFS($B$6:$B$1505,B403,$F$6:$F$1505,"&lt;"&amp;F403)+COUNTIFS($B$6:$B$1505,B403,$F$6:$F$1505,F403,$A$6:$A$1505,"&lt;="&amp;A403))</f>
        <v>136</v>
      </c>
      <c r="N403" s="41" t="n">
        <f aca="false">IF(M403="","",ROUNDUP(M403/H403,0))</f>
        <v>6</v>
      </c>
      <c r="O403" s="41" t="str">
        <f aca="false">IF(N403="","",IF(N403&lt;='Kitting Plan'!$C$3,"Rep "&amp;N403,"Surplus"))</f>
        <v>Rep 6</v>
      </c>
    </row>
    <row r="404" customFormat="false" ht="15" hidden="false" customHeight="false" outlineLevel="0" collapsed="false">
      <c r="A404" s="40" t="n">
        <f aca="false">IF(OR($A$4=0,INDEX('COOIS Raw'!$A:$GZ,ROW()-4,$A$4)=""),"",IFERROR(--INDEX('COOIS Raw'!$A:$GZ,ROW()-4,$A$4),INDEX('COOIS Raw'!$A:$GZ,ROW()-4,$A$4)))</f>
        <v>100874825</v>
      </c>
      <c r="B404" s="41" t="str">
        <f aca="false">IF(A404="","",TRIM(INDEX('COOIS Raw'!$A:$GZ,ROW()-4,$B$4)))</f>
        <v>92RRA00548AAA</v>
      </c>
      <c r="C404" s="42" t="str">
        <f aca="false">IF(OR(A404="",$C$4=0),"",INDEX('COOIS Raw'!$A:$GZ,ROW()-4,$C$4))</f>
        <v>R5B ERBIUM SPOOL ASSEMBLY - E2A</v>
      </c>
      <c r="D404" s="41" t="n">
        <f aca="false">IF(A404="","",IF($D$4=0,1,IFERROR(--INDEX('COOIS Raw'!$A:$GZ,ROW()-4,$D$4),1)))</f>
        <v>1</v>
      </c>
      <c r="E404" s="42" t="str">
        <f aca="false">IF(A404="","",INDEX('COOIS Raw'!$A:$GZ,ROW()-4,$E$4)&amp;"")</f>
        <v>REL PRT CNF DLV PRC GMPS MANC RESA*</v>
      </c>
      <c r="F404" s="43" t="n">
        <f aca="false">IF(A404="","",IFERROR(DATEVALUE(INDEX('COOIS Raw'!$A:$GZ,ROW()-4,$F$4)),INDEX('COOIS Raw'!$A:$GZ,ROW()-4,$F$4)))</f>
        <v>46256</v>
      </c>
      <c r="G404" s="41" t="str">
        <f aca="false">IF(A404="","",IF(ISNA(MATCH(B404,'Kitting Plan'!$B$6:$B$19,0)),"Not in plan","Yes"))</f>
        <v>Yes</v>
      </c>
      <c r="H404" s="41" t="n">
        <f aca="false">IF(G404="Yes",INDEX('Kitting Plan'!$D$6:$D$19,MATCH(B404,'Kitting Plan'!$B$6:$B$19,0)),"")</f>
        <v>24</v>
      </c>
      <c r="I404" s="41" t="n">
        <f aca="false">IF(A404="","",IF(ISNUMBER(SEARCH("PRT",E404)),D404,0))</f>
        <v>1</v>
      </c>
      <c r="J404" s="41" t="n">
        <f aca="false">IF(A404="","",IF(ISNUMBER(SEARCH("GMPS",E404)),D404,0))</f>
        <v>1</v>
      </c>
      <c r="K404" s="41" t="n">
        <f aca="false">IF(A404="","",IF(ISNUMBER(SEARCH("DLV",E404)),D404,0))</f>
        <v>1</v>
      </c>
      <c r="L404" s="41" t="str">
        <f aca="false">IF(A404="","",IF(K404&gt;0,"Delivered",IF(ISNUMBER(SEARCH("CNF",E404)),"In production",IF(J404&gt;0,"Issued",IF(I404&gt;0,"Kitted","Released")))))</f>
        <v>Delivered</v>
      </c>
      <c r="M404" s="41" t="n">
        <f aca="false">IF(G404&lt;&gt;"Yes","",COUNTIFS($B$6:$B$1505,B404,$F$6:$F$1505,"&lt;"&amp;F404)+COUNTIFS($B$6:$B$1505,B404,$F$6:$F$1505,F404,$A$6:$A$1505,"&lt;="&amp;A404))</f>
        <v>137</v>
      </c>
      <c r="N404" s="41" t="n">
        <f aca="false">IF(M404="","",ROUNDUP(M404/H404,0))</f>
        <v>6</v>
      </c>
      <c r="O404" s="41" t="str">
        <f aca="false">IF(N404="","",IF(N404&lt;='Kitting Plan'!$C$3,"Rep "&amp;N404,"Surplus"))</f>
        <v>Rep 6</v>
      </c>
    </row>
    <row r="405" customFormat="false" ht="15" hidden="false" customHeight="false" outlineLevel="0" collapsed="false">
      <c r="A405" s="40" t="n">
        <f aca="false">IF(OR($A$4=0,INDEX('COOIS Raw'!$A:$GZ,ROW()-4,$A$4)=""),"",IFERROR(--INDEX('COOIS Raw'!$A:$GZ,ROW()-4,$A$4),INDEX('COOIS Raw'!$A:$GZ,ROW()-4,$A$4)))</f>
        <v>100874826</v>
      </c>
      <c r="B405" s="41" t="str">
        <f aca="false">IF(A405="","",TRIM(INDEX('COOIS Raw'!$A:$GZ,ROW()-4,$B$4)))</f>
        <v>92RRA00548AAA</v>
      </c>
      <c r="C405" s="42" t="str">
        <f aca="false">IF(OR(A405="",$C$4=0),"",INDEX('COOIS Raw'!$A:$GZ,ROW()-4,$C$4))</f>
        <v>R5B ERBIUM SPOOL ASSEMBLY - E2A</v>
      </c>
      <c r="D405" s="41" t="n">
        <f aca="false">IF(A405="","",IF($D$4=0,1,IFERROR(--INDEX('COOIS Raw'!$A:$GZ,ROW()-4,$D$4),1)))</f>
        <v>1</v>
      </c>
      <c r="E405" s="42" t="str">
        <f aca="false">IF(A405="","",INDEX('COOIS Raw'!$A:$GZ,ROW()-4,$E$4)&amp;"")</f>
        <v>REL PRT CNF DLV PRC GMPS MANC RESA*</v>
      </c>
      <c r="F405" s="43" t="n">
        <f aca="false">IF(A405="","",IFERROR(DATEVALUE(INDEX('COOIS Raw'!$A:$GZ,ROW()-4,$F$4)),INDEX('COOIS Raw'!$A:$GZ,ROW()-4,$F$4)))</f>
        <v>46256</v>
      </c>
      <c r="G405" s="41" t="str">
        <f aca="false">IF(A405="","",IF(ISNA(MATCH(B405,'Kitting Plan'!$B$6:$B$19,0)),"Not in plan","Yes"))</f>
        <v>Yes</v>
      </c>
      <c r="H405" s="41" t="n">
        <f aca="false">IF(G405="Yes",INDEX('Kitting Plan'!$D$6:$D$19,MATCH(B405,'Kitting Plan'!$B$6:$B$19,0)),"")</f>
        <v>24</v>
      </c>
      <c r="I405" s="41" t="n">
        <f aca="false">IF(A405="","",IF(ISNUMBER(SEARCH("PRT",E405)),D405,0))</f>
        <v>1</v>
      </c>
      <c r="J405" s="41" t="n">
        <f aca="false">IF(A405="","",IF(ISNUMBER(SEARCH("GMPS",E405)),D405,0))</f>
        <v>1</v>
      </c>
      <c r="K405" s="41" t="n">
        <f aca="false">IF(A405="","",IF(ISNUMBER(SEARCH("DLV",E405)),D405,0))</f>
        <v>1</v>
      </c>
      <c r="L405" s="41" t="str">
        <f aca="false">IF(A405="","",IF(K405&gt;0,"Delivered",IF(ISNUMBER(SEARCH("CNF",E405)),"In production",IF(J405&gt;0,"Issued",IF(I405&gt;0,"Kitted","Released")))))</f>
        <v>Delivered</v>
      </c>
      <c r="M405" s="41" t="n">
        <f aca="false">IF(G405&lt;&gt;"Yes","",COUNTIFS($B$6:$B$1505,B405,$F$6:$F$1505,"&lt;"&amp;F405)+COUNTIFS($B$6:$B$1505,B405,$F$6:$F$1505,F405,$A$6:$A$1505,"&lt;="&amp;A405))</f>
        <v>138</v>
      </c>
      <c r="N405" s="41" t="n">
        <f aca="false">IF(M405="","",ROUNDUP(M405/H405,0))</f>
        <v>6</v>
      </c>
      <c r="O405" s="41" t="str">
        <f aca="false">IF(N405="","",IF(N405&lt;='Kitting Plan'!$C$3,"Rep "&amp;N405,"Surplus"))</f>
        <v>Rep 6</v>
      </c>
    </row>
    <row r="406" customFormat="false" ht="15" hidden="false" customHeight="false" outlineLevel="0" collapsed="false">
      <c r="A406" s="40" t="n">
        <f aca="false">IF(OR($A$4=0,INDEX('COOIS Raw'!$A:$GZ,ROW()-4,$A$4)=""),"",IFERROR(--INDEX('COOIS Raw'!$A:$GZ,ROW()-4,$A$4),INDEX('COOIS Raw'!$A:$GZ,ROW()-4,$A$4)))</f>
        <v>100874827</v>
      </c>
      <c r="B406" s="41" t="str">
        <f aca="false">IF(A406="","",TRIM(INDEX('COOIS Raw'!$A:$GZ,ROW()-4,$B$4)))</f>
        <v>92RRA00548AAA</v>
      </c>
      <c r="C406" s="42" t="str">
        <f aca="false">IF(OR(A406="",$C$4=0),"",INDEX('COOIS Raw'!$A:$GZ,ROW()-4,$C$4))</f>
        <v>R5B ERBIUM SPOOL ASSEMBLY - E2A</v>
      </c>
      <c r="D406" s="41" t="n">
        <f aca="false">IF(A406="","",IF($D$4=0,1,IFERROR(--INDEX('COOIS Raw'!$A:$GZ,ROW()-4,$D$4),1)))</f>
        <v>1</v>
      </c>
      <c r="E406" s="42" t="str">
        <f aca="false">IF(A406="","",INDEX('COOIS Raw'!$A:$GZ,ROW()-4,$E$4)&amp;"")</f>
        <v>REL PRT CNF DLV PRC GMPS MANC RESA*</v>
      </c>
      <c r="F406" s="43" t="n">
        <f aca="false">IF(A406="","",IFERROR(DATEVALUE(INDEX('COOIS Raw'!$A:$GZ,ROW()-4,$F$4)),INDEX('COOIS Raw'!$A:$GZ,ROW()-4,$F$4)))</f>
        <v>46256</v>
      </c>
      <c r="G406" s="41" t="str">
        <f aca="false">IF(A406="","",IF(ISNA(MATCH(B406,'Kitting Plan'!$B$6:$B$19,0)),"Not in plan","Yes"))</f>
        <v>Yes</v>
      </c>
      <c r="H406" s="41" t="n">
        <f aca="false">IF(G406="Yes",INDEX('Kitting Plan'!$D$6:$D$19,MATCH(B406,'Kitting Plan'!$B$6:$B$19,0)),"")</f>
        <v>24</v>
      </c>
      <c r="I406" s="41" t="n">
        <f aca="false">IF(A406="","",IF(ISNUMBER(SEARCH("PRT",E406)),D406,0))</f>
        <v>1</v>
      </c>
      <c r="J406" s="41" t="n">
        <f aca="false">IF(A406="","",IF(ISNUMBER(SEARCH("GMPS",E406)),D406,0))</f>
        <v>1</v>
      </c>
      <c r="K406" s="41" t="n">
        <f aca="false">IF(A406="","",IF(ISNUMBER(SEARCH("DLV",E406)),D406,0))</f>
        <v>1</v>
      </c>
      <c r="L406" s="41" t="str">
        <f aca="false">IF(A406="","",IF(K406&gt;0,"Delivered",IF(ISNUMBER(SEARCH("CNF",E406)),"In production",IF(J406&gt;0,"Issued",IF(I406&gt;0,"Kitted","Released")))))</f>
        <v>Delivered</v>
      </c>
      <c r="M406" s="41" t="n">
        <f aca="false">IF(G406&lt;&gt;"Yes","",COUNTIFS($B$6:$B$1505,B406,$F$6:$F$1505,"&lt;"&amp;F406)+COUNTIFS($B$6:$B$1505,B406,$F$6:$F$1505,F406,$A$6:$A$1505,"&lt;="&amp;A406))</f>
        <v>139</v>
      </c>
      <c r="N406" s="41" t="n">
        <f aca="false">IF(M406="","",ROUNDUP(M406/H406,0))</f>
        <v>6</v>
      </c>
      <c r="O406" s="41" t="str">
        <f aca="false">IF(N406="","",IF(N406&lt;='Kitting Plan'!$C$3,"Rep "&amp;N406,"Surplus"))</f>
        <v>Rep 6</v>
      </c>
    </row>
    <row r="407" customFormat="false" ht="15" hidden="false" customHeight="false" outlineLevel="0" collapsed="false">
      <c r="A407" s="40" t="n">
        <f aca="false">IF(OR($A$4=0,INDEX('COOIS Raw'!$A:$GZ,ROW()-4,$A$4)=""),"",IFERROR(--INDEX('COOIS Raw'!$A:$GZ,ROW()-4,$A$4),INDEX('COOIS Raw'!$A:$GZ,ROW()-4,$A$4)))</f>
        <v>100874828</v>
      </c>
      <c r="B407" s="41" t="str">
        <f aca="false">IF(A407="","",TRIM(INDEX('COOIS Raw'!$A:$GZ,ROW()-4,$B$4)))</f>
        <v>92RRA00548AAA</v>
      </c>
      <c r="C407" s="42" t="str">
        <f aca="false">IF(OR(A407="",$C$4=0),"",INDEX('COOIS Raw'!$A:$GZ,ROW()-4,$C$4))</f>
        <v>R5B ERBIUM SPOOL ASSEMBLY - E2A</v>
      </c>
      <c r="D407" s="41" t="n">
        <f aca="false">IF(A407="","",IF($D$4=0,1,IFERROR(--INDEX('COOIS Raw'!$A:$GZ,ROW()-4,$D$4),1)))</f>
        <v>1</v>
      </c>
      <c r="E407" s="42" t="str">
        <f aca="false">IF(A407="","",INDEX('COOIS Raw'!$A:$GZ,ROW()-4,$E$4)&amp;"")</f>
        <v>REL PRT CNF DLV PRC GMPS MANC RESA*</v>
      </c>
      <c r="F407" s="43" t="n">
        <f aca="false">IF(A407="","",IFERROR(DATEVALUE(INDEX('COOIS Raw'!$A:$GZ,ROW()-4,$F$4)),INDEX('COOIS Raw'!$A:$GZ,ROW()-4,$F$4)))</f>
        <v>46256</v>
      </c>
      <c r="G407" s="41" t="str">
        <f aca="false">IF(A407="","",IF(ISNA(MATCH(B407,'Kitting Plan'!$B$6:$B$19,0)),"Not in plan","Yes"))</f>
        <v>Yes</v>
      </c>
      <c r="H407" s="41" t="n">
        <f aca="false">IF(G407="Yes",INDEX('Kitting Plan'!$D$6:$D$19,MATCH(B407,'Kitting Plan'!$B$6:$B$19,0)),"")</f>
        <v>24</v>
      </c>
      <c r="I407" s="41" t="n">
        <f aca="false">IF(A407="","",IF(ISNUMBER(SEARCH("PRT",E407)),D407,0))</f>
        <v>1</v>
      </c>
      <c r="J407" s="41" t="n">
        <f aca="false">IF(A407="","",IF(ISNUMBER(SEARCH("GMPS",E407)),D407,0))</f>
        <v>1</v>
      </c>
      <c r="K407" s="41" t="n">
        <f aca="false">IF(A407="","",IF(ISNUMBER(SEARCH("DLV",E407)),D407,0))</f>
        <v>1</v>
      </c>
      <c r="L407" s="41" t="str">
        <f aca="false">IF(A407="","",IF(K407&gt;0,"Delivered",IF(ISNUMBER(SEARCH("CNF",E407)),"In production",IF(J407&gt;0,"Issued",IF(I407&gt;0,"Kitted","Released")))))</f>
        <v>Delivered</v>
      </c>
      <c r="M407" s="41" t="n">
        <f aca="false">IF(G407&lt;&gt;"Yes","",COUNTIFS($B$6:$B$1505,B407,$F$6:$F$1505,"&lt;"&amp;F407)+COUNTIFS($B$6:$B$1505,B407,$F$6:$F$1505,F407,$A$6:$A$1505,"&lt;="&amp;A407))</f>
        <v>140</v>
      </c>
      <c r="N407" s="41" t="n">
        <f aca="false">IF(M407="","",ROUNDUP(M407/H407,0))</f>
        <v>6</v>
      </c>
      <c r="O407" s="41" t="str">
        <f aca="false">IF(N407="","",IF(N407&lt;='Kitting Plan'!$C$3,"Rep "&amp;N407,"Surplus"))</f>
        <v>Rep 6</v>
      </c>
    </row>
    <row r="408" customFormat="false" ht="15" hidden="false" customHeight="false" outlineLevel="0" collapsed="false">
      <c r="A408" s="40" t="n">
        <f aca="false">IF(OR($A$4=0,INDEX('COOIS Raw'!$A:$GZ,ROW()-4,$A$4)=""),"",IFERROR(--INDEX('COOIS Raw'!$A:$GZ,ROW()-4,$A$4),INDEX('COOIS Raw'!$A:$GZ,ROW()-4,$A$4)))</f>
        <v>100874829</v>
      </c>
      <c r="B408" s="41" t="str">
        <f aca="false">IF(A408="","",TRIM(INDEX('COOIS Raw'!$A:$GZ,ROW()-4,$B$4)))</f>
        <v>92RRA00548AAA</v>
      </c>
      <c r="C408" s="42" t="str">
        <f aca="false">IF(OR(A408="",$C$4=0),"",INDEX('COOIS Raw'!$A:$GZ,ROW()-4,$C$4))</f>
        <v>R5B ERBIUM SPOOL ASSEMBLY - E2A</v>
      </c>
      <c r="D408" s="41" t="n">
        <f aca="false">IF(A408="","",IF($D$4=0,1,IFERROR(--INDEX('COOIS Raw'!$A:$GZ,ROW()-4,$D$4),1)))</f>
        <v>1</v>
      </c>
      <c r="E408" s="42" t="str">
        <f aca="false">IF(A408="","",INDEX('COOIS Raw'!$A:$GZ,ROW()-4,$E$4)&amp;"")</f>
        <v>REL PRT CNF DLV PRC GMPS MANC RESA*</v>
      </c>
      <c r="F408" s="43" t="n">
        <f aca="false">IF(A408="","",IFERROR(DATEVALUE(INDEX('COOIS Raw'!$A:$GZ,ROW()-4,$F$4)),INDEX('COOIS Raw'!$A:$GZ,ROW()-4,$F$4)))</f>
        <v>46256</v>
      </c>
      <c r="G408" s="41" t="str">
        <f aca="false">IF(A408="","",IF(ISNA(MATCH(B408,'Kitting Plan'!$B$6:$B$19,0)),"Not in plan","Yes"))</f>
        <v>Yes</v>
      </c>
      <c r="H408" s="41" t="n">
        <f aca="false">IF(G408="Yes",INDEX('Kitting Plan'!$D$6:$D$19,MATCH(B408,'Kitting Plan'!$B$6:$B$19,0)),"")</f>
        <v>24</v>
      </c>
      <c r="I408" s="41" t="n">
        <f aca="false">IF(A408="","",IF(ISNUMBER(SEARCH("PRT",E408)),D408,0))</f>
        <v>1</v>
      </c>
      <c r="J408" s="41" t="n">
        <f aca="false">IF(A408="","",IF(ISNUMBER(SEARCH("GMPS",E408)),D408,0))</f>
        <v>1</v>
      </c>
      <c r="K408" s="41" t="n">
        <f aca="false">IF(A408="","",IF(ISNUMBER(SEARCH("DLV",E408)),D408,0))</f>
        <v>1</v>
      </c>
      <c r="L408" s="41" t="str">
        <f aca="false">IF(A408="","",IF(K408&gt;0,"Delivered",IF(ISNUMBER(SEARCH("CNF",E408)),"In production",IF(J408&gt;0,"Issued",IF(I408&gt;0,"Kitted","Released")))))</f>
        <v>Delivered</v>
      </c>
      <c r="M408" s="41" t="n">
        <f aca="false">IF(G408&lt;&gt;"Yes","",COUNTIFS($B$6:$B$1505,B408,$F$6:$F$1505,"&lt;"&amp;F408)+COUNTIFS($B$6:$B$1505,B408,$F$6:$F$1505,F408,$A$6:$A$1505,"&lt;="&amp;A408))</f>
        <v>141</v>
      </c>
      <c r="N408" s="41" t="n">
        <f aca="false">IF(M408="","",ROUNDUP(M408/H408,0))</f>
        <v>6</v>
      </c>
      <c r="O408" s="41" t="str">
        <f aca="false">IF(N408="","",IF(N408&lt;='Kitting Plan'!$C$3,"Rep "&amp;N408,"Surplus"))</f>
        <v>Rep 6</v>
      </c>
    </row>
    <row r="409" customFormat="false" ht="15" hidden="false" customHeight="false" outlineLevel="0" collapsed="false">
      <c r="A409" s="40" t="n">
        <f aca="false">IF(OR($A$4=0,INDEX('COOIS Raw'!$A:$GZ,ROW()-4,$A$4)=""),"",IFERROR(--INDEX('COOIS Raw'!$A:$GZ,ROW()-4,$A$4),INDEX('COOIS Raw'!$A:$GZ,ROW()-4,$A$4)))</f>
        <v>100874830</v>
      </c>
      <c r="B409" s="41" t="str">
        <f aca="false">IF(A409="","",TRIM(INDEX('COOIS Raw'!$A:$GZ,ROW()-4,$B$4)))</f>
        <v>92RRA00548AAA</v>
      </c>
      <c r="C409" s="42" t="str">
        <f aca="false">IF(OR(A409="",$C$4=0),"",INDEX('COOIS Raw'!$A:$GZ,ROW()-4,$C$4))</f>
        <v>R5B ERBIUM SPOOL ASSEMBLY - E2A</v>
      </c>
      <c r="D409" s="41" t="n">
        <f aca="false">IF(A409="","",IF($D$4=0,1,IFERROR(--INDEX('COOIS Raw'!$A:$GZ,ROW()-4,$D$4),1)))</f>
        <v>1</v>
      </c>
      <c r="E409" s="42" t="str">
        <f aca="false">IF(A409="","",INDEX('COOIS Raw'!$A:$GZ,ROW()-4,$E$4)&amp;"")</f>
        <v>REL PRT CNF DLV PRC GMPS MANC RESA*</v>
      </c>
      <c r="F409" s="43" t="n">
        <f aca="false">IF(A409="","",IFERROR(DATEVALUE(INDEX('COOIS Raw'!$A:$GZ,ROW()-4,$F$4)),INDEX('COOIS Raw'!$A:$GZ,ROW()-4,$F$4)))</f>
        <v>46256</v>
      </c>
      <c r="G409" s="41" t="str">
        <f aca="false">IF(A409="","",IF(ISNA(MATCH(B409,'Kitting Plan'!$B$6:$B$19,0)),"Not in plan","Yes"))</f>
        <v>Yes</v>
      </c>
      <c r="H409" s="41" t="n">
        <f aca="false">IF(G409="Yes",INDEX('Kitting Plan'!$D$6:$D$19,MATCH(B409,'Kitting Plan'!$B$6:$B$19,0)),"")</f>
        <v>24</v>
      </c>
      <c r="I409" s="41" t="n">
        <f aca="false">IF(A409="","",IF(ISNUMBER(SEARCH("PRT",E409)),D409,0))</f>
        <v>1</v>
      </c>
      <c r="J409" s="41" t="n">
        <f aca="false">IF(A409="","",IF(ISNUMBER(SEARCH("GMPS",E409)),D409,0))</f>
        <v>1</v>
      </c>
      <c r="K409" s="41" t="n">
        <f aca="false">IF(A409="","",IF(ISNUMBER(SEARCH("DLV",E409)),D409,0))</f>
        <v>1</v>
      </c>
      <c r="L409" s="41" t="str">
        <f aca="false">IF(A409="","",IF(K409&gt;0,"Delivered",IF(ISNUMBER(SEARCH("CNF",E409)),"In production",IF(J409&gt;0,"Issued",IF(I409&gt;0,"Kitted","Released")))))</f>
        <v>Delivered</v>
      </c>
      <c r="M409" s="41" t="n">
        <f aca="false">IF(G409&lt;&gt;"Yes","",COUNTIFS($B$6:$B$1505,B409,$F$6:$F$1505,"&lt;"&amp;F409)+COUNTIFS($B$6:$B$1505,B409,$F$6:$F$1505,F409,$A$6:$A$1505,"&lt;="&amp;A409))</f>
        <v>142</v>
      </c>
      <c r="N409" s="41" t="n">
        <f aca="false">IF(M409="","",ROUNDUP(M409/H409,0))</f>
        <v>6</v>
      </c>
      <c r="O409" s="41" t="str">
        <f aca="false">IF(N409="","",IF(N409&lt;='Kitting Plan'!$C$3,"Rep "&amp;N409,"Surplus"))</f>
        <v>Rep 6</v>
      </c>
    </row>
    <row r="410" customFormat="false" ht="15" hidden="false" customHeight="false" outlineLevel="0" collapsed="false">
      <c r="A410" s="40" t="n">
        <f aca="false">IF(OR($A$4=0,INDEX('COOIS Raw'!$A:$GZ,ROW()-4,$A$4)=""),"",IFERROR(--INDEX('COOIS Raw'!$A:$GZ,ROW()-4,$A$4),INDEX('COOIS Raw'!$A:$GZ,ROW()-4,$A$4)))</f>
        <v>100874831</v>
      </c>
      <c r="B410" s="41" t="str">
        <f aca="false">IF(A410="","",TRIM(INDEX('COOIS Raw'!$A:$GZ,ROW()-4,$B$4)))</f>
        <v>92RRA00548AAA</v>
      </c>
      <c r="C410" s="42" t="str">
        <f aca="false">IF(OR(A410="",$C$4=0),"",INDEX('COOIS Raw'!$A:$GZ,ROW()-4,$C$4))</f>
        <v>R5B ERBIUM SPOOL ASSEMBLY - E2A</v>
      </c>
      <c r="D410" s="41" t="n">
        <f aca="false">IF(A410="","",IF($D$4=0,1,IFERROR(--INDEX('COOIS Raw'!$A:$GZ,ROW()-4,$D$4),1)))</f>
        <v>1</v>
      </c>
      <c r="E410" s="42" t="str">
        <f aca="false">IF(A410="","",INDEX('COOIS Raw'!$A:$GZ,ROW()-4,$E$4)&amp;"")</f>
        <v>REL PRT CNF DLV PRC GMPS MANC RESA*</v>
      </c>
      <c r="F410" s="43" t="n">
        <f aca="false">IF(A410="","",IFERROR(DATEVALUE(INDEX('COOIS Raw'!$A:$GZ,ROW()-4,$F$4)),INDEX('COOIS Raw'!$A:$GZ,ROW()-4,$F$4)))</f>
        <v>46256</v>
      </c>
      <c r="G410" s="41" t="str">
        <f aca="false">IF(A410="","",IF(ISNA(MATCH(B410,'Kitting Plan'!$B$6:$B$19,0)),"Not in plan","Yes"))</f>
        <v>Yes</v>
      </c>
      <c r="H410" s="41" t="n">
        <f aca="false">IF(G410="Yes",INDEX('Kitting Plan'!$D$6:$D$19,MATCH(B410,'Kitting Plan'!$B$6:$B$19,0)),"")</f>
        <v>24</v>
      </c>
      <c r="I410" s="41" t="n">
        <f aca="false">IF(A410="","",IF(ISNUMBER(SEARCH("PRT",E410)),D410,0))</f>
        <v>1</v>
      </c>
      <c r="J410" s="41" t="n">
        <f aca="false">IF(A410="","",IF(ISNUMBER(SEARCH("GMPS",E410)),D410,0))</f>
        <v>1</v>
      </c>
      <c r="K410" s="41" t="n">
        <f aca="false">IF(A410="","",IF(ISNUMBER(SEARCH("DLV",E410)),D410,0))</f>
        <v>1</v>
      </c>
      <c r="L410" s="41" t="str">
        <f aca="false">IF(A410="","",IF(K410&gt;0,"Delivered",IF(ISNUMBER(SEARCH("CNF",E410)),"In production",IF(J410&gt;0,"Issued",IF(I410&gt;0,"Kitted","Released")))))</f>
        <v>Delivered</v>
      </c>
      <c r="M410" s="41" t="n">
        <f aca="false">IF(G410&lt;&gt;"Yes","",COUNTIFS($B$6:$B$1505,B410,$F$6:$F$1505,"&lt;"&amp;F410)+COUNTIFS($B$6:$B$1505,B410,$F$6:$F$1505,F410,$A$6:$A$1505,"&lt;="&amp;A410))</f>
        <v>143</v>
      </c>
      <c r="N410" s="41" t="n">
        <f aca="false">IF(M410="","",ROUNDUP(M410/H410,0))</f>
        <v>6</v>
      </c>
      <c r="O410" s="41" t="str">
        <f aca="false">IF(N410="","",IF(N410&lt;='Kitting Plan'!$C$3,"Rep "&amp;N410,"Surplus"))</f>
        <v>Rep 6</v>
      </c>
    </row>
    <row r="411" customFormat="false" ht="15" hidden="false" customHeight="false" outlineLevel="0" collapsed="false">
      <c r="A411" s="40" t="n">
        <f aca="false">IF(OR($A$4=0,INDEX('COOIS Raw'!$A:$GZ,ROW()-4,$A$4)=""),"",IFERROR(--INDEX('COOIS Raw'!$A:$GZ,ROW()-4,$A$4),INDEX('COOIS Raw'!$A:$GZ,ROW()-4,$A$4)))</f>
        <v>100874832</v>
      </c>
      <c r="B411" s="41" t="str">
        <f aca="false">IF(A411="","",TRIM(INDEX('COOIS Raw'!$A:$GZ,ROW()-4,$B$4)))</f>
        <v>92RRA00548AAA</v>
      </c>
      <c r="C411" s="42" t="str">
        <f aca="false">IF(OR(A411="",$C$4=0),"",INDEX('COOIS Raw'!$A:$GZ,ROW()-4,$C$4))</f>
        <v>R5B ERBIUM SPOOL ASSEMBLY - E2A</v>
      </c>
      <c r="D411" s="41" t="n">
        <f aca="false">IF(A411="","",IF($D$4=0,1,IFERROR(--INDEX('COOIS Raw'!$A:$GZ,ROW()-4,$D$4),1)))</f>
        <v>1</v>
      </c>
      <c r="E411" s="42" t="str">
        <f aca="false">IF(A411="","",INDEX('COOIS Raw'!$A:$GZ,ROW()-4,$E$4)&amp;"")</f>
        <v>REL PRT CNF DLV PRC GMPS MANC RESA*</v>
      </c>
      <c r="F411" s="43" t="n">
        <f aca="false">IF(A411="","",IFERROR(DATEVALUE(INDEX('COOIS Raw'!$A:$GZ,ROW()-4,$F$4)),INDEX('COOIS Raw'!$A:$GZ,ROW()-4,$F$4)))</f>
        <v>46256</v>
      </c>
      <c r="G411" s="41" t="str">
        <f aca="false">IF(A411="","",IF(ISNA(MATCH(B411,'Kitting Plan'!$B$6:$B$19,0)),"Not in plan","Yes"))</f>
        <v>Yes</v>
      </c>
      <c r="H411" s="41" t="n">
        <f aca="false">IF(G411="Yes",INDEX('Kitting Plan'!$D$6:$D$19,MATCH(B411,'Kitting Plan'!$B$6:$B$19,0)),"")</f>
        <v>24</v>
      </c>
      <c r="I411" s="41" t="n">
        <f aca="false">IF(A411="","",IF(ISNUMBER(SEARCH("PRT",E411)),D411,0))</f>
        <v>1</v>
      </c>
      <c r="J411" s="41" t="n">
        <f aca="false">IF(A411="","",IF(ISNUMBER(SEARCH("GMPS",E411)),D411,0))</f>
        <v>1</v>
      </c>
      <c r="K411" s="41" t="n">
        <f aca="false">IF(A411="","",IF(ISNUMBER(SEARCH("DLV",E411)),D411,0))</f>
        <v>1</v>
      </c>
      <c r="L411" s="41" t="str">
        <f aca="false">IF(A411="","",IF(K411&gt;0,"Delivered",IF(ISNUMBER(SEARCH("CNF",E411)),"In production",IF(J411&gt;0,"Issued",IF(I411&gt;0,"Kitted","Released")))))</f>
        <v>Delivered</v>
      </c>
      <c r="M411" s="41" t="n">
        <f aca="false">IF(G411&lt;&gt;"Yes","",COUNTIFS($B$6:$B$1505,B411,$F$6:$F$1505,"&lt;"&amp;F411)+COUNTIFS($B$6:$B$1505,B411,$F$6:$F$1505,F411,$A$6:$A$1505,"&lt;="&amp;A411))</f>
        <v>144</v>
      </c>
      <c r="N411" s="41" t="n">
        <f aca="false">IF(M411="","",ROUNDUP(M411/H411,0))</f>
        <v>6</v>
      </c>
      <c r="O411" s="41" t="str">
        <f aca="false">IF(N411="","",IF(N411&lt;='Kitting Plan'!$C$3,"Rep "&amp;N411,"Surplus"))</f>
        <v>Rep 6</v>
      </c>
    </row>
    <row r="412" customFormat="false" ht="15" hidden="false" customHeight="false" outlineLevel="0" collapsed="false">
      <c r="A412" s="40" t="n">
        <f aca="false">IF(OR($A$4=0,INDEX('COOIS Raw'!$A:$GZ,ROW()-4,$A$4)=""),"",IFERROR(--INDEX('COOIS Raw'!$A:$GZ,ROW()-4,$A$4),INDEX('COOIS Raw'!$A:$GZ,ROW()-4,$A$4)))</f>
        <v>100874833</v>
      </c>
      <c r="B412" s="41" t="str">
        <f aca="false">IF(A412="","",TRIM(INDEX('COOIS Raw'!$A:$GZ,ROW()-4,$B$4)))</f>
        <v>92RRA00548AAA</v>
      </c>
      <c r="C412" s="42" t="str">
        <f aca="false">IF(OR(A412="",$C$4=0),"",INDEX('COOIS Raw'!$A:$GZ,ROW()-4,$C$4))</f>
        <v>R5B ERBIUM SPOOL ASSEMBLY - E2A</v>
      </c>
      <c r="D412" s="41" t="n">
        <f aca="false">IF(A412="","",IF($D$4=0,1,IFERROR(--INDEX('COOIS Raw'!$A:$GZ,ROW()-4,$D$4),1)))</f>
        <v>1</v>
      </c>
      <c r="E412" s="42" t="str">
        <f aca="false">IF(A412="","",INDEX('COOIS Raw'!$A:$GZ,ROW()-4,$E$4)&amp;"")</f>
        <v>REL PRT CNF DLV PRC GMPS MANC RESA*</v>
      </c>
      <c r="F412" s="43" t="n">
        <f aca="false">IF(A412="","",IFERROR(DATEVALUE(INDEX('COOIS Raw'!$A:$GZ,ROW()-4,$F$4)),INDEX('COOIS Raw'!$A:$GZ,ROW()-4,$F$4)))</f>
        <v>46256</v>
      </c>
      <c r="G412" s="41" t="str">
        <f aca="false">IF(A412="","",IF(ISNA(MATCH(B412,'Kitting Plan'!$B$6:$B$19,0)),"Not in plan","Yes"))</f>
        <v>Yes</v>
      </c>
      <c r="H412" s="41" t="n">
        <f aca="false">IF(G412="Yes",INDEX('Kitting Plan'!$D$6:$D$19,MATCH(B412,'Kitting Plan'!$B$6:$B$19,0)),"")</f>
        <v>24</v>
      </c>
      <c r="I412" s="41" t="n">
        <f aca="false">IF(A412="","",IF(ISNUMBER(SEARCH("PRT",E412)),D412,0))</f>
        <v>1</v>
      </c>
      <c r="J412" s="41" t="n">
        <f aca="false">IF(A412="","",IF(ISNUMBER(SEARCH("GMPS",E412)),D412,0))</f>
        <v>1</v>
      </c>
      <c r="K412" s="41" t="n">
        <f aca="false">IF(A412="","",IF(ISNUMBER(SEARCH("DLV",E412)),D412,0))</f>
        <v>1</v>
      </c>
      <c r="L412" s="41" t="str">
        <f aca="false">IF(A412="","",IF(K412&gt;0,"Delivered",IF(ISNUMBER(SEARCH("CNF",E412)),"In production",IF(J412&gt;0,"Issued",IF(I412&gt;0,"Kitted","Released")))))</f>
        <v>Delivered</v>
      </c>
      <c r="M412" s="41" t="n">
        <f aca="false">IF(G412&lt;&gt;"Yes","",COUNTIFS($B$6:$B$1505,B412,$F$6:$F$1505,"&lt;"&amp;F412)+COUNTIFS($B$6:$B$1505,B412,$F$6:$F$1505,F412,$A$6:$A$1505,"&lt;="&amp;A412))</f>
        <v>145</v>
      </c>
      <c r="N412" s="41" t="n">
        <f aca="false">IF(M412="","",ROUNDUP(M412/H412,0))</f>
        <v>7</v>
      </c>
      <c r="O412" s="41" t="str">
        <f aca="false">IF(N412="","",IF(N412&lt;='Kitting Plan'!$C$3,"Rep "&amp;N412,"Surplus"))</f>
        <v>Rep 7</v>
      </c>
    </row>
    <row r="413" customFormat="false" ht="15" hidden="false" customHeight="false" outlineLevel="0" collapsed="false">
      <c r="A413" s="40" t="n">
        <f aca="false">IF(OR($A$4=0,INDEX('COOIS Raw'!$A:$GZ,ROW()-4,$A$4)=""),"",IFERROR(--INDEX('COOIS Raw'!$A:$GZ,ROW()-4,$A$4),INDEX('COOIS Raw'!$A:$GZ,ROW()-4,$A$4)))</f>
        <v>100874834</v>
      </c>
      <c r="B413" s="41" t="str">
        <f aca="false">IF(A413="","",TRIM(INDEX('COOIS Raw'!$A:$GZ,ROW()-4,$B$4)))</f>
        <v>92RRA00548AAA</v>
      </c>
      <c r="C413" s="42" t="str">
        <f aca="false">IF(OR(A413="",$C$4=0),"",INDEX('COOIS Raw'!$A:$GZ,ROW()-4,$C$4))</f>
        <v>R5B ERBIUM SPOOL ASSEMBLY - E2A</v>
      </c>
      <c r="D413" s="41" t="n">
        <f aca="false">IF(A413="","",IF($D$4=0,1,IFERROR(--INDEX('COOIS Raw'!$A:$GZ,ROW()-4,$D$4),1)))</f>
        <v>1</v>
      </c>
      <c r="E413" s="42" t="str">
        <f aca="false">IF(A413="","",INDEX('COOIS Raw'!$A:$GZ,ROW()-4,$E$4)&amp;"")</f>
        <v>REL PRT CNF DLV PRC GMPS MANC RESA*</v>
      </c>
      <c r="F413" s="43" t="n">
        <f aca="false">IF(A413="","",IFERROR(DATEVALUE(INDEX('COOIS Raw'!$A:$GZ,ROW()-4,$F$4)),INDEX('COOIS Raw'!$A:$GZ,ROW()-4,$F$4)))</f>
        <v>46256</v>
      </c>
      <c r="G413" s="41" t="str">
        <f aca="false">IF(A413="","",IF(ISNA(MATCH(B413,'Kitting Plan'!$B$6:$B$19,0)),"Not in plan","Yes"))</f>
        <v>Yes</v>
      </c>
      <c r="H413" s="41" t="n">
        <f aca="false">IF(G413="Yes",INDEX('Kitting Plan'!$D$6:$D$19,MATCH(B413,'Kitting Plan'!$B$6:$B$19,0)),"")</f>
        <v>24</v>
      </c>
      <c r="I413" s="41" t="n">
        <f aca="false">IF(A413="","",IF(ISNUMBER(SEARCH("PRT",E413)),D413,0))</f>
        <v>1</v>
      </c>
      <c r="J413" s="41" t="n">
        <f aca="false">IF(A413="","",IF(ISNUMBER(SEARCH("GMPS",E413)),D413,0))</f>
        <v>1</v>
      </c>
      <c r="K413" s="41" t="n">
        <f aca="false">IF(A413="","",IF(ISNUMBER(SEARCH("DLV",E413)),D413,0))</f>
        <v>1</v>
      </c>
      <c r="L413" s="41" t="str">
        <f aca="false">IF(A413="","",IF(K413&gt;0,"Delivered",IF(ISNUMBER(SEARCH("CNF",E413)),"In production",IF(J413&gt;0,"Issued",IF(I413&gt;0,"Kitted","Released")))))</f>
        <v>Delivered</v>
      </c>
      <c r="M413" s="41" t="n">
        <f aca="false">IF(G413&lt;&gt;"Yes","",COUNTIFS($B$6:$B$1505,B413,$F$6:$F$1505,"&lt;"&amp;F413)+COUNTIFS($B$6:$B$1505,B413,$F$6:$F$1505,F413,$A$6:$A$1505,"&lt;="&amp;A413))</f>
        <v>146</v>
      </c>
      <c r="N413" s="41" t="n">
        <f aca="false">IF(M413="","",ROUNDUP(M413/H413,0))</f>
        <v>7</v>
      </c>
      <c r="O413" s="41" t="str">
        <f aca="false">IF(N413="","",IF(N413&lt;='Kitting Plan'!$C$3,"Rep "&amp;N413,"Surplus"))</f>
        <v>Rep 7</v>
      </c>
    </row>
    <row r="414" customFormat="false" ht="15" hidden="false" customHeight="false" outlineLevel="0" collapsed="false">
      <c r="A414" s="40" t="n">
        <f aca="false">IF(OR($A$4=0,INDEX('COOIS Raw'!$A:$GZ,ROW()-4,$A$4)=""),"",IFERROR(--INDEX('COOIS Raw'!$A:$GZ,ROW()-4,$A$4),INDEX('COOIS Raw'!$A:$GZ,ROW()-4,$A$4)))</f>
        <v>100874835</v>
      </c>
      <c r="B414" s="41" t="str">
        <f aca="false">IF(A414="","",TRIM(INDEX('COOIS Raw'!$A:$GZ,ROW()-4,$B$4)))</f>
        <v>92RRA00548AAA</v>
      </c>
      <c r="C414" s="42" t="str">
        <f aca="false">IF(OR(A414="",$C$4=0),"",INDEX('COOIS Raw'!$A:$GZ,ROW()-4,$C$4))</f>
        <v>R5B ERBIUM SPOOL ASSEMBLY - E2A</v>
      </c>
      <c r="D414" s="41" t="n">
        <f aca="false">IF(A414="","",IF($D$4=0,1,IFERROR(--INDEX('COOIS Raw'!$A:$GZ,ROW()-4,$D$4),1)))</f>
        <v>1</v>
      </c>
      <c r="E414" s="42" t="str">
        <f aca="false">IF(A414="","",INDEX('COOIS Raw'!$A:$GZ,ROW()-4,$E$4)&amp;"")</f>
        <v>REL PRT CNF DLV PRC GMPS MANC RESA*</v>
      </c>
      <c r="F414" s="43" t="n">
        <f aca="false">IF(A414="","",IFERROR(DATEVALUE(INDEX('COOIS Raw'!$A:$GZ,ROW()-4,$F$4)),INDEX('COOIS Raw'!$A:$GZ,ROW()-4,$F$4)))</f>
        <v>46256</v>
      </c>
      <c r="G414" s="41" t="str">
        <f aca="false">IF(A414="","",IF(ISNA(MATCH(B414,'Kitting Plan'!$B$6:$B$19,0)),"Not in plan","Yes"))</f>
        <v>Yes</v>
      </c>
      <c r="H414" s="41" t="n">
        <f aca="false">IF(G414="Yes",INDEX('Kitting Plan'!$D$6:$D$19,MATCH(B414,'Kitting Plan'!$B$6:$B$19,0)),"")</f>
        <v>24</v>
      </c>
      <c r="I414" s="41" t="n">
        <f aca="false">IF(A414="","",IF(ISNUMBER(SEARCH("PRT",E414)),D414,0))</f>
        <v>1</v>
      </c>
      <c r="J414" s="41" t="n">
        <f aca="false">IF(A414="","",IF(ISNUMBER(SEARCH("GMPS",E414)),D414,0))</f>
        <v>1</v>
      </c>
      <c r="K414" s="41" t="n">
        <f aca="false">IF(A414="","",IF(ISNUMBER(SEARCH("DLV",E414)),D414,0))</f>
        <v>1</v>
      </c>
      <c r="L414" s="41" t="str">
        <f aca="false">IF(A414="","",IF(K414&gt;0,"Delivered",IF(ISNUMBER(SEARCH("CNF",E414)),"In production",IF(J414&gt;0,"Issued",IF(I414&gt;0,"Kitted","Released")))))</f>
        <v>Delivered</v>
      </c>
      <c r="M414" s="41" t="n">
        <f aca="false">IF(G414&lt;&gt;"Yes","",COUNTIFS($B$6:$B$1505,B414,$F$6:$F$1505,"&lt;"&amp;F414)+COUNTIFS($B$6:$B$1505,B414,$F$6:$F$1505,F414,$A$6:$A$1505,"&lt;="&amp;A414))</f>
        <v>147</v>
      </c>
      <c r="N414" s="41" t="n">
        <f aca="false">IF(M414="","",ROUNDUP(M414/H414,0))</f>
        <v>7</v>
      </c>
      <c r="O414" s="41" t="str">
        <f aca="false">IF(N414="","",IF(N414&lt;='Kitting Plan'!$C$3,"Rep "&amp;N414,"Surplus"))</f>
        <v>Rep 7</v>
      </c>
    </row>
    <row r="415" customFormat="false" ht="15" hidden="false" customHeight="false" outlineLevel="0" collapsed="false">
      <c r="A415" s="40" t="n">
        <f aca="false">IF(OR($A$4=0,INDEX('COOIS Raw'!$A:$GZ,ROW()-4,$A$4)=""),"",IFERROR(--INDEX('COOIS Raw'!$A:$GZ,ROW()-4,$A$4),INDEX('COOIS Raw'!$A:$GZ,ROW()-4,$A$4)))</f>
        <v>100874836</v>
      </c>
      <c r="B415" s="41" t="str">
        <f aca="false">IF(A415="","",TRIM(INDEX('COOIS Raw'!$A:$GZ,ROW()-4,$B$4)))</f>
        <v>92RRA00548AAA</v>
      </c>
      <c r="C415" s="42" t="str">
        <f aca="false">IF(OR(A415="",$C$4=0),"",INDEX('COOIS Raw'!$A:$GZ,ROW()-4,$C$4))</f>
        <v>R5B ERBIUM SPOOL ASSEMBLY - E2A</v>
      </c>
      <c r="D415" s="41" t="n">
        <f aca="false">IF(A415="","",IF($D$4=0,1,IFERROR(--INDEX('COOIS Raw'!$A:$GZ,ROW()-4,$D$4),1)))</f>
        <v>1</v>
      </c>
      <c r="E415" s="42" t="str">
        <f aca="false">IF(A415="","",INDEX('COOIS Raw'!$A:$GZ,ROW()-4,$E$4)&amp;"")</f>
        <v>REL PRT CNF DLV PRC GMPS MANC RESA*</v>
      </c>
      <c r="F415" s="43" t="n">
        <f aca="false">IF(A415="","",IFERROR(DATEVALUE(INDEX('COOIS Raw'!$A:$GZ,ROW()-4,$F$4)),INDEX('COOIS Raw'!$A:$GZ,ROW()-4,$F$4)))</f>
        <v>46256</v>
      </c>
      <c r="G415" s="41" t="str">
        <f aca="false">IF(A415="","",IF(ISNA(MATCH(B415,'Kitting Plan'!$B$6:$B$19,0)),"Not in plan","Yes"))</f>
        <v>Yes</v>
      </c>
      <c r="H415" s="41" t="n">
        <f aca="false">IF(G415="Yes",INDEX('Kitting Plan'!$D$6:$D$19,MATCH(B415,'Kitting Plan'!$B$6:$B$19,0)),"")</f>
        <v>24</v>
      </c>
      <c r="I415" s="41" t="n">
        <f aca="false">IF(A415="","",IF(ISNUMBER(SEARCH("PRT",E415)),D415,0))</f>
        <v>1</v>
      </c>
      <c r="J415" s="41" t="n">
        <f aca="false">IF(A415="","",IF(ISNUMBER(SEARCH("GMPS",E415)),D415,0))</f>
        <v>1</v>
      </c>
      <c r="K415" s="41" t="n">
        <f aca="false">IF(A415="","",IF(ISNUMBER(SEARCH("DLV",E415)),D415,0))</f>
        <v>1</v>
      </c>
      <c r="L415" s="41" t="str">
        <f aca="false">IF(A415="","",IF(K415&gt;0,"Delivered",IF(ISNUMBER(SEARCH("CNF",E415)),"In production",IF(J415&gt;0,"Issued",IF(I415&gt;0,"Kitted","Released")))))</f>
        <v>Delivered</v>
      </c>
      <c r="M415" s="41" t="n">
        <f aca="false">IF(G415&lt;&gt;"Yes","",COUNTIFS($B$6:$B$1505,B415,$F$6:$F$1505,"&lt;"&amp;F415)+COUNTIFS($B$6:$B$1505,B415,$F$6:$F$1505,F415,$A$6:$A$1505,"&lt;="&amp;A415))</f>
        <v>148</v>
      </c>
      <c r="N415" s="41" t="n">
        <f aca="false">IF(M415="","",ROUNDUP(M415/H415,0))</f>
        <v>7</v>
      </c>
      <c r="O415" s="41" t="str">
        <f aca="false">IF(N415="","",IF(N415&lt;='Kitting Plan'!$C$3,"Rep "&amp;N415,"Surplus"))</f>
        <v>Rep 7</v>
      </c>
    </row>
    <row r="416" customFormat="false" ht="15" hidden="false" customHeight="false" outlineLevel="0" collapsed="false">
      <c r="A416" s="40" t="n">
        <f aca="false">IF(OR($A$4=0,INDEX('COOIS Raw'!$A:$GZ,ROW()-4,$A$4)=""),"",IFERROR(--INDEX('COOIS Raw'!$A:$GZ,ROW()-4,$A$4),INDEX('COOIS Raw'!$A:$GZ,ROW()-4,$A$4)))</f>
        <v>100874837</v>
      </c>
      <c r="B416" s="41" t="str">
        <f aca="false">IF(A416="","",TRIM(INDEX('COOIS Raw'!$A:$GZ,ROW()-4,$B$4)))</f>
        <v>92RRA00548AAA</v>
      </c>
      <c r="C416" s="42" t="str">
        <f aca="false">IF(OR(A416="",$C$4=0),"",INDEX('COOIS Raw'!$A:$GZ,ROW()-4,$C$4))</f>
        <v>R5B ERBIUM SPOOL ASSEMBLY - E2A</v>
      </c>
      <c r="D416" s="41" t="n">
        <f aca="false">IF(A416="","",IF($D$4=0,1,IFERROR(--INDEX('COOIS Raw'!$A:$GZ,ROW()-4,$D$4),1)))</f>
        <v>1</v>
      </c>
      <c r="E416" s="42" t="str">
        <f aca="false">IF(A416="","",INDEX('COOIS Raw'!$A:$GZ,ROW()-4,$E$4)&amp;"")</f>
        <v>REL PRT CNF DLV PRC GMPS MANC RESA*</v>
      </c>
      <c r="F416" s="43" t="n">
        <f aca="false">IF(A416="","",IFERROR(DATEVALUE(INDEX('COOIS Raw'!$A:$GZ,ROW()-4,$F$4)),INDEX('COOIS Raw'!$A:$GZ,ROW()-4,$F$4)))</f>
        <v>46256</v>
      </c>
      <c r="G416" s="41" t="str">
        <f aca="false">IF(A416="","",IF(ISNA(MATCH(B416,'Kitting Plan'!$B$6:$B$19,0)),"Not in plan","Yes"))</f>
        <v>Yes</v>
      </c>
      <c r="H416" s="41" t="n">
        <f aca="false">IF(G416="Yes",INDEX('Kitting Plan'!$D$6:$D$19,MATCH(B416,'Kitting Plan'!$B$6:$B$19,0)),"")</f>
        <v>24</v>
      </c>
      <c r="I416" s="41" t="n">
        <f aca="false">IF(A416="","",IF(ISNUMBER(SEARCH("PRT",E416)),D416,0))</f>
        <v>1</v>
      </c>
      <c r="J416" s="41" t="n">
        <f aca="false">IF(A416="","",IF(ISNUMBER(SEARCH("GMPS",E416)),D416,0))</f>
        <v>1</v>
      </c>
      <c r="K416" s="41" t="n">
        <f aca="false">IF(A416="","",IF(ISNUMBER(SEARCH("DLV",E416)),D416,0))</f>
        <v>1</v>
      </c>
      <c r="L416" s="41" t="str">
        <f aca="false">IF(A416="","",IF(K416&gt;0,"Delivered",IF(ISNUMBER(SEARCH("CNF",E416)),"In production",IF(J416&gt;0,"Issued",IF(I416&gt;0,"Kitted","Released")))))</f>
        <v>Delivered</v>
      </c>
      <c r="M416" s="41" t="n">
        <f aca="false">IF(G416&lt;&gt;"Yes","",COUNTIFS($B$6:$B$1505,B416,$F$6:$F$1505,"&lt;"&amp;F416)+COUNTIFS($B$6:$B$1505,B416,$F$6:$F$1505,F416,$A$6:$A$1505,"&lt;="&amp;A416))</f>
        <v>149</v>
      </c>
      <c r="N416" s="41" t="n">
        <f aca="false">IF(M416="","",ROUNDUP(M416/H416,0))</f>
        <v>7</v>
      </c>
      <c r="O416" s="41" t="str">
        <f aca="false">IF(N416="","",IF(N416&lt;='Kitting Plan'!$C$3,"Rep "&amp;N416,"Surplus"))</f>
        <v>Rep 7</v>
      </c>
    </row>
    <row r="417" customFormat="false" ht="15" hidden="false" customHeight="false" outlineLevel="0" collapsed="false">
      <c r="A417" s="40" t="n">
        <f aca="false">IF(OR($A$4=0,INDEX('COOIS Raw'!$A:$GZ,ROW()-4,$A$4)=""),"",IFERROR(--INDEX('COOIS Raw'!$A:$GZ,ROW()-4,$A$4),INDEX('COOIS Raw'!$A:$GZ,ROW()-4,$A$4)))</f>
        <v>100874838</v>
      </c>
      <c r="B417" s="41" t="str">
        <f aca="false">IF(A417="","",TRIM(INDEX('COOIS Raw'!$A:$GZ,ROW()-4,$B$4)))</f>
        <v>92RRA00548AAA</v>
      </c>
      <c r="C417" s="42" t="str">
        <f aca="false">IF(OR(A417="",$C$4=0),"",INDEX('COOIS Raw'!$A:$GZ,ROW()-4,$C$4))</f>
        <v>R5B ERBIUM SPOOL ASSEMBLY - E2A</v>
      </c>
      <c r="D417" s="41" t="n">
        <f aca="false">IF(A417="","",IF($D$4=0,1,IFERROR(--INDEX('COOIS Raw'!$A:$GZ,ROW()-4,$D$4),1)))</f>
        <v>1</v>
      </c>
      <c r="E417" s="42" t="str">
        <f aca="false">IF(A417="","",INDEX('COOIS Raw'!$A:$GZ,ROW()-4,$E$4)&amp;"")</f>
        <v>REL PRT CNF DLV PRC GMPS MANC RESA*</v>
      </c>
      <c r="F417" s="43" t="n">
        <f aca="false">IF(A417="","",IFERROR(DATEVALUE(INDEX('COOIS Raw'!$A:$GZ,ROW()-4,$F$4)),INDEX('COOIS Raw'!$A:$GZ,ROW()-4,$F$4)))</f>
        <v>46256</v>
      </c>
      <c r="G417" s="41" t="str">
        <f aca="false">IF(A417="","",IF(ISNA(MATCH(B417,'Kitting Plan'!$B$6:$B$19,0)),"Not in plan","Yes"))</f>
        <v>Yes</v>
      </c>
      <c r="H417" s="41" t="n">
        <f aca="false">IF(G417="Yes",INDEX('Kitting Plan'!$D$6:$D$19,MATCH(B417,'Kitting Plan'!$B$6:$B$19,0)),"")</f>
        <v>24</v>
      </c>
      <c r="I417" s="41" t="n">
        <f aca="false">IF(A417="","",IF(ISNUMBER(SEARCH("PRT",E417)),D417,0))</f>
        <v>1</v>
      </c>
      <c r="J417" s="41" t="n">
        <f aca="false">IF(A417="","",IF(ISNUMBER(SEARCH("GMPS",E417)),D417,0))</f>
        <v>1</v>
      </c>
      <c r="K417" s="41" t="n">
        <f aca="false">IF(A417="","",IF(ISNUMBER(SEARCH("DLV",E417)),D417,0))</f>
        <v>1</v>
      </c>
      <c r="L417" s="41" t="str">
        <f aca="false">IF(A417="","",IF(K417&gt;0,"Delivered",IF(ISNUMBER(SEARCH("CNF",E417)),"In production",IF(J417&gt;0,"Issued",IF(I417&gt;0,"Kitted","Released")))))</f>
        <v>Delivered</v>
      </c>
      <c r="M417" s="41" t="n">
        <f aca="false">IF(G417&lt;&gt;"Yes","",COUNTIFS($B$6:$B$1505,B417,$F$6:$F$1505,"&lt;"&amp;F417)+COUNTIFS($B$6:$B$1505,B417,$F$6:$F$1505,F417,$A$6:$A$1505,"&lt;="&amp;A417))</f>
        <v>150</v>
      </c>
      <c r="N417" s="41" t="n">
        <f aca="false">IF(M417="","",ROUNDUP(M417/H417,0))</f>
        <v>7</v>
      </c>
      <c r="O417" s="41" t="str">
        <f aca="false">IF(N417="","",IF(N417&lt;='Kitting Plan'!$C$3,"Rep "&amp;N417,"Surplus"))</f>
        <v>Rep 7</v>
      </c>
    </row>
    <row r="418" customFormat="false" ht="15" hidden="false" customHeight="false" outlineLevel="0" collapsed="false">
      <c r="A418" s="40" t="n">
        <f aca="false">IF(OR($A$4=0,INDEX('COOIS Raw'!$A:$GZ,ROW()-4,$A$4)=""),"",IFERROR(--INDEX('COOIS Raw'!$A:$GZ,ROW()-4,$A$4),INDEX('COOIS Raw'!$A:$GZ,ROW()-4,$A$4)))</f>
        <v>100874843</v>
      </c>
      <c r="B418" s="41" t="str">
        <f aca="false">IF(A418="","",TRIM(INDEX('COOIS Raw'!$A:$GZ,ROW()-4,$B$4)))</f>
        <v>92YWS04548AAA</v>
      </c>
      <c r="C418" s="42" t="str">
        <f aca="false">IF(OR(A418="",$C$4=0),"",INDEX('COOIS Raw'!$A:$GZ,ROW()-4,$C$4))</f>
        <v>R5B 4FP POB LUMENTUM SUB ASSEMBLY - E2A</v>
      </c>
      <c r="D418" s="41" t="n">
        <f aca="false">IF(A418="","",IF($D$4=0,1,IFERROR(--INDEX('COOIS Raw'!$A:$GZ,ROW()-4,$D$4),1)))</f>
        <v>1</v>
      </c>
      <c r="E418" s="42" t="str">
        <f aca="false">IF(A418="","",INDEX('COOIS Raw'!$A:$GZ,ROW()-4,$E$4)&amp;"")</f>
        <v>REL PRT CNF DLV PRC GMPS MANC RESA*</v>
      </c>
      <c r="F418" s="43" t="n">
        <f aca="false">IF(A418="","",IFERROR(DATEVALUE(INDEX('COOIS Raw'!$A:$GZ,ROW()-4,$F$4)),INDEX('COOIS Raw'!$A:$GZ,ROW()-4,$F$4)))</f>
        <v>46256</v>
      </c>
      <c r="G418" s="41" t="str">
        <f aca="false">IF(A418="","",IF(ISNA(MATCH(B418,'Kitting Plan'!$B$6:$B$19,0)),"Not in plan","Yes"))</f>
        <v>Yes</v>
      </c>
      <c r="H418" s="41" t="n">
        <f aca="false">IF(G418="Yes",INDEX('Kitting Plan'!$D$6:$D$19,MATCH(B418,'Kitting Plan'!$B$6:$B$19,0)),"")</f>
        <v>3</v>
      </c>
      <c r="I418" s="41" t="n">
        <f aca="false">IF(A418="","",IF(ISNUMBER(SEARCH("PRT",E418)),D418,0))</f>
        <v>1</v>
      </c>
      <c r="J418" s="41" t="n">
        <f aca="false">IF(A418="","",IF(ISNUMBER(SEARCH("GMPS",E418)),D418,0))</f>
        <v>1</v>
      </c>
      <c r="K418" s="41" t="n">
        <f aca="false">IF(A418="","",IF(ISNUMBER(SEARCH("DLV",E418)),D418,0))</f>
        <v>1</v>
      </c>
      <c r="L418" s="41" t="str">
        <f aca="false">IF(A418="","",IF(K418&gt;0,"Delivered",IF(ISNUMBER(SEARCH("CNF",E418)),"In production",IF(J418&gt;0,"Issued",IF(I418&gt;0,"Kitted","Released")))))</f>
        <v>Delivered</v>
      </c>
      <c r="M418" s="41" t="n">
        <f aca="false">IF(G418&lt;&gt;"Yes","",COUNTIFS($B$6:$B$1505,B418,$F$6:$F$1505,"&lt;"&amp;F418)+COUNTIFS($B$6:$B$1505,B418,$F$6:$F$1505,F418,$A$6:$A$1505,"&lt;="&amp;A418))</f>
        <v>16</v>
      </c>
      <c r="N418" s="41" t="n">
        <f aca="false">IF(M418="","",ROUNDUP(M418/H418,0))</f>
        <v>6</v>
      </c>
      <c r="O418" s="41" t="str">
        <f aca="false">IF(N418="","",IF(N418&lt;='Kitting Plan'!$C$3,"Rep "&amp;N418,"Surplus"))</f>
        <v>Rep 6</v>
      </c>
    </row>
    <row r="419" customFormat="false" ht="15" hidden="false" customHeight="false" outlineLevel="0" collapsed="false">
      <c r="A419" s="40" t="n">
        <f aca="false">IF(OR($A$4=0,INDEX('COOIS Raw'!$A:$GZ,ROW()-4,$A$4)=""),"",IFERROR(--INDEX('COOIS Raw'!$A:$GZ,ROW()-4,$A$4),INDEX('COOIS Raw'!$A:$GZ,ROW()-4,$A$4)))</f>
        <v>100874844</v>
      </c>
      <c r="B419" s="41" t="str">
        <f aca="false">IF(A419="","",TRIM(INDEX('COOIS Raw'!$A:$GZ,ROW()-4,$B$4)))</f>
        <v>92YWS04548AAA</v>
      </c>
      <c r="C419" s="42" t="str">
        <f aca="false">IF(OR(A419="",$C$4=0),"",INDEX('COOIS Raw'!$A:$GZ,ROW()-4,$C$4))</f>
        <v>R5B 4FP POB LUMENTUM SUB ASSEMBLY - E2A</v>
      </c>
      <c r="D419" s="41" t="n">
        <f aca="false">IF(A419="","",IF($D$4=0,1,IFERROR(--INDEX('COOIS Raw'!$A:$GZ,ROW()-4,$D$4),1)))</f>
        <v>1</v>
      </c>
      <c r="E419" s="42" t="str">
        <f aca="false">IF(A419="","",INDEX('COOIS Raw'!$A:$GZ,ROW()-4,$E$4)&amp;"")</f>
        <v>REL PRT CNF DLV PRC GMPS MANC RESA*</v>
      </c>
      <c r="F419" s="43" t="n">
        <f aca="false">IF(A419="","",IFERROR(DATEVALUE(INDEX('COOIS Raw'!$A:$GZ,ROW()-4,$F$4)),INDEX('COOIS Raw'!$A:$GZ,ROW()-4,$F$4)))</f>
        <v>46256</v>
      </c>
      <c r="G419" s="41" t="str">
        <f aca="false">IF(A419="","",IF(ISNA(MATCH(B419,'Kitting Plan'!$B$6:$B$19,0)),"Not in plan","Yes"))</f>
        <v>Yes</v>
      </c>
      <c r="H419" s="41" t="n">
        <f aca="false">IF(G419="Yes",INDEX('Kitting Plan'!$D$6:$D$19,MATCH(B419,'Kitting Plan'!$B$6:$B$19,0)),"")</f>
        <v>3</v>
      </c>
      <c r="I419" s="41" t="n">
        <f aca="false">IF(A419="","",IF(ISNUMBER(SEARCH("PRT",E419)),D419,0))</f>
        <v>1</v>
      </c>
      <c r="J419" s="41" t="n">
        <f aca="false">IF(A419="","",IF(ISNUMBER(SEARCH("GMPS",E419)),D419,0))</f>
        <v>1</v>
      </c>
      <c r="K419" s="41" t="n">
        <f aca="false">IF(A419="","",IF(ISNUMBER(SEARCH("DLV",E419)),D419,0))</f>
        <v>1</v>
      </c>
      <c r="L419" s="41" t="str">
        <f aca="false">IF(A419="","",IF(K419&gt;0,"Delivered",IF(ISNUMBER(SEARCH("CNF",E419)),"In production",IF(J419&gt;0,"Issued",IF(I419&gt;0,"Kitted","Released")))))</f>
        <v>Delivered</v>
      </c>
      <c r="M419" s="41" t="n">
        <f aca="false">IF(G419&lt;&gt;"Yes","",COUNTIFS($B$6:$B$1505,B419,$F$6:$F$1505,"&lt;"&amp;F419)+COUNTIFS($B$6:$B$1505,B419,$F$6:$F$1505,F419,$A$6:$A$1505,"&lt;="&amp;A419))</f>
        <v>17</v>
      </c>
      <c r="N419" s="41" t="n">
        <f aca="false">IF(M419="","",ROUNDUP(M419/H419,0))</f>
        <v>6</v>
      </c>
      <c r="O419" s="41" t="str">
        <f aca="false">IF(N419="","",IF(N419&lt;='Kitting Plan'!$C$3,"Rep "&amp;N419,"Surplus"))</f>
        <v>Rep 6</v>
      </c>
    </row>
    <row r="420" customFormat="false" ht="15" hidden="false" customHeight="false" outlineLevel="0" collapsed="false">
      <c r="A420" s="40" t="n">
        <f aca="false">IF(OR($A$4=0,INDEX('COOIS Raw'!$A:$GZ,ROW()-4,$A$4)=""),"",IFERROR(--INDEX('COOIS Raw'!$A:$GZ,ROW()-4,$A$4),INDEX('COOIS Raw'!$A:$GZ,ROW()-4,$A$4)))</f>
        <v>100874845</v>
      </c>
      <c r="B420" s="41" t="str">
        <f aca="false">IF(A420="","",TRIM(INDEX('COOIS Raw'!$A:$GZ,ROW()-4,$B$4)))</f>
        <v>92YWS04548AAA</v>
      </c>
      <c r="C420" s="42" t="str">
        <f aca="false">IF(OR(A420="",$C$4=0),"",INDEX('COOIS Raw'!$A:$GZ,ROW()-4,$C$4))</f>
        <v>R5B 4FP POB LUMENTUM SUB ASSEMBLY - E2A</v>
      </c>
      <c r="D420" s="41" t="n">
        <f aca="false">IF(A420="","",IF($D$4=0,1,IFERROR(--INDEX('COOIS Raw'!$A:$GZ,ROW()-4,$D$4),1)))</f>
        <v>1</v>
      </c>
      <c r="E420" s="42" t="str">
        <f aca="false">IF(A420="","",INDEX('COOIS Raw'!$A:$GZ,ROW()-4,$E$4)&amp;"")</f>
        <v>REL PRT CNF DLV PRC GMPS MANC RESA*</v>
      </c>
      <c r="F420" s="43" t="n">
        <f aca="false">IF(A420="","",IFERROR(DATEVALUE(INDEX('COOIS Raw'!$A:$GZ,ROW()-4,$F$4)),INDEX('COOIS Raw'!$A:$GZ,ROW()-4,$F$4)))</f>
        <v>46256</v>
      </c>
      <c r="G420" s="41" t="str">
        <f aca="false">IF(A420="","",IF(ISNA(MATCH(B420,'Kitting Plan'!$B$6:$B$19,0)),"Not in plan","Yes"))</f>
        <v>Yes</v>
      </c>
      <c r="H420" s="41" t="n">
        <f aca="false">IF(G420="Yes",INDEX('Kitting Plan'!$D$6:$D$19,MATCH(B420,'Kitting Plan'!$B$6:$B$19,0)),"")</f>
        <v>3</v>
      </c>
      <c r="I420" s="41" t="n">
        <f aca="false">IF(A420="","",IF(ISNUMBER(SEARCH("PRT",E420)),D420,0))</f>
        <v>1</v>
      </c>
      <c r="J420" s="41" t="n">
        <f aca="false">IF(A420="","",IF(ISNUMBER(SEARCH("GMPS",E420)),D420,0))</f>
        <v>1</v>
      </c>
      <c r="K420" s="41" t="n">
        <f aca="false">IF(A420="","",IF(ISNUMBER(SEARCH("DLV",E420)),D420,0))</f>
        <v>1</v>
      </c>
      <c r="L420" s="41" t="str">
        <f aca="false">IF(A420="","",IF(K420&gt;0,"Delivered",IF(ISNUMBER(SEARCH("CNF",E420)),"In production",IF(J420&gt;0,"Issued",IF(I420&gt;0,"Kitted","Released")))))</f>
        <v>Delivered</v>
      </c>
      <c r="M420" s="41" t="n">
        <f aca="false">IF(G420&lt;&gt;"Yes","",COUNTIFS($B$6:$B$1505,B420,$F$6:$F$1505,"&lt;"&amp;F420)+COUNTIFS($B$6:$B$1505,B420,$F$6:$F$1505,F420,$A$6:$A$1505,"&lt;="&amp;A420))</f>
        <v>18</v>
      </c>
      <c r="N420" s="41" t="n">
        <f aca="false">IF(M420="","",ROUNDUP(M420/H420,0))</f>
        <v>6</v>
      </c>
      <c r="O420" s="41" t="str">
        <f aca="false">IF(N420="","",IF(N420&lt;='Kitting Plan'!$C$3,"Rep "&amp;N420,"Surplus"))</f>
        <v>Rep 6</v>
      </c>
    </row>
    <row r="421" customFormat="false" ht="15" hidden="false" customHeight="false" outlineLevel="0" collapsed="false">
      <c r="A421" s="40" t="n">
        <f aca="false">IF(OR($A$4=0,INDEX('COOIS Raw'!$A:$GZ,ROW()-4,$A$4)=""),"",IFERROR(--INDEX('COOIS Raw'!$A:$GZ,ROW()-4,$A$4),INDEX('COOIS Raw'!$A:$GZ,ROW()-4,$A$4)))</f>
        <v>100874670</v>
      </c>
      <c r="B421" s="41" t="str">
        <f aca="false">IF(A421="","",TRIM(INDEX('COOIS Raw'!$A:$GZ,ROW()-4,$B$4)))</f>
        <v>91YAF03404AAA</v>
      </c>
      <c r="C421" s="42" t="str">
        <f aca="false">IF(OR(A421="",$C$4=0),"",INDEX('COOIS Raw'!$A:$GZ,ROW()-4,$C$4))</f>
        <v>R5B PSB SUB ASSEMBLY 4P-4FP</v>
      </c>
      <c r="D421" s="41" t="n">
        <f aca="false">IF(A421="","",IF($D$4=0,1,IFERROR(--INDEX('COOIS Raw'!$A:$GZ,ROW()-4,$D$4),1)))</f>
        <v>1</v>
      </c>
      <c r="E421" s="42" t="str">
        <f aca="false">IF(A421="","",INDEX('COOIS Raw'!$A:$GZ,ROW()-4,$E$4)&amp;"")</f>
        <v>REL PRT CNF DLV PRC GMPS MANC SETC</v>
      </c>
      <c r="F421" s="43" t="n">
        <f aca="false">IF(A421="","",IFERROR(DATEVALUE(INDEX('COOIS Raw'!$A:$GZ,ROW()-4,$F$4)),INDEX('COOIS Raw'!$A:$GZ,ROW()-4,$F$4)))</f>
        <v>46253</v>
      </c>
      <c r="G421" s="41" t="str">
        <f aca="false">IF(A421="","",IF(ISNA(MATCH(B421,'Kitting Plan'!$B$6:$B$19,0)),"Not in plan","Yes"))</f>
        <v>Yes</v>
      </c>
      <c r="H421" s="41" t="n">
        <f aca="false">IF(G421="Yes",INDEX('Kitting Plan'!$D$6:$D$19,MATCH(B421,'Kitting Plan'!$B$6:$B$19,0)),"")</f>
        <v>3</v>
      </c>
      <c r="I421" s="41" t="n">
        <f aca="false">IF(A421="","",IF(ISNUMBER(SEARCH("PRT",E421)),D421,0))</f>
        <v>1</v>
      </c>
      <c r="J421" s="41" t="n">
        <f aca="false">IF(A421="","",IF(ISNUMBER(SEARCH("GMPS",E421)),D421,0))</f>
        <v>1</v>
      </c>
      <c r="K421" s="41" t="n">
        <f aca="false">IF(A421="","",IF(ISNUMBER(SEARCH("DLV",E421)),D421,0))</f>
        <v>1</v>
      </c>
      <c r="L421" s="41" t="str">
        <f aca="false">IF(A421="","",IF(K421&gt;0,"Delivered",IF(ISNUMBER(SEARCH("CNF",E421)),"In production",IF(J421&gt;0,"Issued",IF(I421&gt;0,"Kitted","Released")))))</f>
        <v>Delivered</v>
      </c>
      <c r="M421" s="41" t="n">
        <f aca="false">IF(G421&lt;&gt;"Yes","",COUNTIFS($B$6:$B$1505,B421,$F$6:$F$1505,"&lt;"&amp;F421)+COUNTIFS($B$6:$B$1505,B421,$F$6:$F$1505,F421,$A$6:$A$1505,"&lt;="&amp;A421))</f>
        <v>21</v>
      </c>
      <c r="N421" s="41" t="n">
        <f aca="false">IF(M421="","",ROUNDUP(M421/H421,0))</f>
        <v>7</v>
      </c>
      <c r="O421" s="41" t="str">
        <f aca="false">IF(N421="","",IF(N421&lt;='Kitting Plan'!$C$3,"Rep "&amp;N421,"Surplus"))</f>
        <v>Rep 7</v>
      </c>
    </row>
    <row r="422" customFormat="false" ht="15" hidden="false" customHeight="false" outlineLevel="0" collapsed="false">
      <c r="A422" s="40" t="n">
        <f aca="false">IF(OR($A$4=0,INDEX('COOIS Raw'!$A:$GZ,ROW()-4,$A$4)=""),"",IFERROR(--INDEX('COOIS Raw'!$A:$GZ,ROW()-4,$A$4),INDEX('COOIS Raw'!$A:$GZ,ROW()-4,$A$4)))</f>
        <v>100874671</v>
      </c>
      <c r="B422" s="41" t="str">
        <f aca="false">IF(A422="","",TRIM(INDEX('COOIS Raw'!$A:$GZ,ROW()-4,$B$4)))</f>
        <v>91YAF03404AAA</v>
      </c>
      <c r="C422" s="42" t="str">
        <f aca="false">IF(OR(A422="",$C$4=0),"",INDEX('COOIS Raw'!$A:$GZ,ROW()-4,$C$4))</f>
        <v>R5B PSB SUB ASSEMBLY 4P-4FP</v>
      </c>
      <c r="D422" s="41" t="n">
        <f aca="false">IF(A422="","",IF($D$4=0,1,IFERROR(--INDEX('COOIS Raw'!$A:$GZ,ROW()-4,$D$4),1)))</f>
        <v>1</v>
      </c>
      <c r="E422" s="42" t="str">
        <f aca="false">IF(A422="","",INDEX('COOIS Raw'!$A:$GZ,ROW()-4,$E$4)&amp;"")</f>
        <v>REL PRT CNF DLV PRC GMPS MANC SETC</v>
      </c>
      <c r="F422" s="43" t="n">
        <f aca="false">IF(A422="","",IFERROR(DATEVALUE(INDEX('COOIS Raw'!$A:$GZ,ROW()-4,$F$4)),INDEX('COOIS Raw'!$A:$GZ,ROW()-4,$F$4)))</f>
        <v>46253</v>
      </c>
      <c r="G422" s="41" t="str">
        <f aca="false">IF(A422="","",IF(ISNA(MATCH(B422,'Kitting Plan'!$B$6:$B$19,0)),"Not in plan","Yes"))</f>
        <v>Yes</v>
      </c>
      <c r="H422" s="41" t="n">
        <f aca="false">IF(G422="Yes",INDEX('Kitting Plan'!$D$6:$D$19,MATCH(B422,'Kitting Plan'!$B$6:$B$19,0)),"")</f>
        <v>3</v>
      </c>
      <c r="I422" s="41" t="n">
        <f aca="false">IF(A422="","",IF(ISNUMBER(SEARCH("PRT",E422)),D422,0))</f>
        <v>1</v>
      </c>
      <c r="J422" s="41" t="n">
        <f aca="false">IF(A422="","",IF(ISNUMBER(SEARCH("GMPS",E422)),D422,0))</f>
        <v>1</v>
      </c>
      <c r="K422" s="41" t="n">
        <f aca="false">IF(A422="","",IF(ISNUMBER(SEARCH("DLV",E422)),D422,0))</f>
        <v>1</v>
      </c>
      <c r="L422" s="41" t="str">
        <f aca="false">IF(A422="","",IF(K422&gt;0,"Delivered",IF(ISNUMBER(SEARCH("CNF",E422)),"In production",IF(J422&gt;0,"Issued",IF(I422&gt;0,"Kitted","Released")))))</f>
        <v>Delivered</v>
      </c>
      <c r="M422" s="41" t="n">
        <f aca="false">IF(G422&lt;&gt;"Yes","",COUNTIFS($B$6:$B$1505,B422,$F$6:$F$1505,"&lt;"&amp;F422)+COUNTIFS($B$6:$B$1505,B422,$F$6:$F$1505,F422,$A$6:$A$1505,"&lt;="&amp;A422))</f>
        <v>22</v>
      </c>
      <c r="N422" s="41" t="n">
        <f aca="false">IF(M422="","",ROUNDUP(M422/H422,0))</f>
        <v>8</v>
      </c>
      <c r="O422" s="41" t="str">
        <f aca="false">IF(N422="","",IF(N422&lt;='Kitting Plan'!$C$3,"Rep "&amp;N422,"Surplus"))</f>
        <v>Rep 8</v>
      </c>
    </row>
    <row r="423" customFormat="false" ht="15" hidden="false" customHeight="false" outlineLevel="0" collapsed="false">
      <c r="A423" s="40" t="n">
        <f aca="false">IF(OR($A$4=0,INDEX('COOIS Raw'!$A:$GZ,ROW()-4,$A$4)=""),"",IFERROR(--INDEX('COOIS Raw'!$A:$GZ,ROW()-4,$A$4),INDEX('COOIS Raw'!$A:$GZ,ROW()-4,$A$4)))</f>
        <v>100874672</v>
      </c>
      <c r="B423" s="41" t="str">
        <f aca="false">IF(A423="","",TRIM(INDEX('COOIS Raw'!$A:$GZ,ROW()-4,$B$4)))</f>
        <v>91YAF03404AAA</v>
      </c>
      <c r="C423" s="42" t="str">
        <f aca="false">IF(OR(A423="",$C$4=0),"",INDEX('COOIS Raw'!$A:$GZ,ROW()-4,$C$4))</f>
        <v>R5B PSB SUB ASSEMBLY 4P-4FP</v>
      </c>
      <c r="D423" s="41" t="n">
        <f aca="false">IF(A423="","",IF($D$4=0,1,IFERROR(--INDEX('COOIS Raw'!$A:$GZ,ROW()-4,$D$4),1)))</f>
        <v>1</v>
      </c>
      <c r="E423" s="42" t="str">
        <f aca="false">IF(A423="","",INDEX('COOIS Raw'!$A:$GZ,ROW()-4,$E$4)&amp;"")</f>
        <v>REL PRT CNF DLV PRC GMPS MANC SETC</v>
      </c>
      <c r="F423" s="43" t="n">
        <f aca="false">IF(A423="","",IFERROR(DATEVALUE(INDEX('COOIS Raw'!$A:$GZ,ROW()-4,$F$4)),INDEX('COOIS Raw'!$A:$GZ,ROW()-4,$F$4)))</f>
        <v>46253</v>
      </c>
      <c r="G423" s="41" t="str">
        <f aca="false">IF(A423="","",IF(ISNA(MATCH(B423,'Kitting Plan'!$B$6:$B$19,0)),"Not in plan","Yes"))</f>
        <v>Yes</v>
      </c>
      <c r="H423" s="41" t="n">
        <f aca="false">IF(G423="Yes",INDEX('Kitting Plan'!$D$6:$D$19,MATCH(B423,'Kitting Plan'!$B$6:$B$19,0)),"")</f>
        <v>3</v>
      </c>
      <c r="I423" s="41" t="n">
        <f aca="false">IF(A423="","",IF(ISNUMBER(SEARCH("PRT",E423)),D423,0))</f>
        <v>1</v>
      </c>
      <c r="J423" s="41" t="n">
        <f aca="false">IF(A423="","",IF(ISNUMBER(SEARCH("GMPS",E423)),D423,0))</f>
        <v>1</v>
      </c>
      <c r="K423" s="41" t="n">
        <f aca="false">IF(A423="","",IF(ISNUMBER(SEARCH("DLV",E423)),D423,0))</f>
        <v>1</v>
      </c>
      <c r="L423" s="41" t="str">
        <f aca="false">IF(A423="","",IF(K423&gt;0,"Delivered",IF(ISNUMBER(SEARCH("CNF",E423)),"In production",IF(J423&gt;0,"Issued",IF(I423&gt;0,"Kitted","Released")))))</f>
        <v>Delivered</v>
      </c>
      <c r="M423" s="41" t="n">
        <f aca="false">IF(G423&lt;&gt;"Yes","",COUNTIFS($B$6:$B$1505,B423,$F$6:$F$1505,"&lt;"&amp;F423)+COUNTIFS($B$6:$B$1505,B423,$F$6:$F$1505,F423,$A$6:$A$1505,"&lt;="&amp;A423))</f>
        <v>23</v>
      </c>
      <c r="N423" s="41" t="n">
        <f aca="false">IF(M423="","",ROUNDUP(M423/H423,0))</f>
        <v>8</v>
      </c>
      <c r="O423" s="41" t="str">
        <f aca="false">IF(N423="","",IF(N423&lt;='Kitting Plan'!$C$3,"Rep "&amp;N423,"Surplus"))</f>
        <v>Rep 8</v>
      </c>
    </row>
    <row r="424" customFormat="false" ht="15" hidden="false" customHeight="false" outlineLevel="0" collapsed="false">
      <c r="A424" s="40" t="n">
        <f aca="false">IF(OR($A$4=0,INDEX('COOIS Raw'!$A:$GZ,ROW()-4,$A$4)=""),"",IFERROR(--INDEX('COOIS Raw'!$A:$GZ,ROW()-4,$A$4),INDEX('COOIS Raw'!$A:$GZ,ROW()-4,$A$4)))</f>
        <v>100874481</v>
      </c>
      <c r="B424" s="41" t="str">
        <f aca="false">IF(A424="","",TRIM(INDEX('COOIS Raw'!$A:$GZ,ROW()-4,$B$4)))</f>
        <v>92UAP04548BAA</v>
      </c>
      <c r="C424" s="42" t="str">
        <f aca="false">IF(OR(A424="",$C$4=0),"",INDEX('COOIS Raw'!$A:$GZ,ROW()-4,$C$4))</f>
        <v>R5B BOAT 1 ASSY (4P-4FP) L - E2A</v>
      </c>
      <c r="D424" s="41" t="n">
        <f aca="false">IF(A424="","",IF($D$4=0,1,IFERROR(--INDEX('COOIS Raw'!$A:$GZ,ROW()-4,$D$4),1)))</f>
        <v>1</v>
      </c>
      <c r="E424" s="42" t="str">
        <f aca="false">IF(A424="","",INDEX('COOIS Raw'!$A:$GZ,ROW()-4,$E$4)&amp;"")</f>
        <v>REL PRT CNF DLV PRC GMPS MANC RESA*</v>
      </c>
      <c r="F424" s="43" t="n">
        <f aca="false">IF(A424="","",IFERROR(DATEVALUE(INDEX('COOIS Raw'!$A:$GZ,ROW()-4,$F$4)),INDEX('COOIS Raw'!$A:$GZ,ROW()-4,$F$4)))</f>
        <v>46252</v>
      </c>
      <c r="G424" s="41" t="str">
        <f aca="false">IF(A424="","",IF(ISNA(MATCH(B424,'Kitting Plan'!$B$6:$B$19,0)),"Not in plan","Yes"))</f>
        <v>Yes</v>
      </c>
      <c r="H424" s="41" t="n">
        <f aca="false">IF(G424="Yes",INDEX('Kitting Plan'!$D$6:$D$19,MATCH(B424,'Kitting Plan'!$B$6:$B$19,0)),"")</f>
        <v>1</v>
      </c>
      <c r="I424" s="41" t="n">
        <f aca="false">IF(A424="","",IF(ISNUMBER(SEARCH("PRT",E424)),D424,0))</f>
        <v>1</v>
      </c>
      <c r="J424" s="41" t="n">
        <f aca="false">IF(A424="","",IF(ISNUMBER(SEARCH("GMPS",E424)),D424,0))</f>
        <v>1</v>
      </c>
      <c r="K424" s="41" t="n">
        <f aca="false">IF(A424="","",IF(ISNUMBER(SEARCH("DLV",E424)),D424,0))</f>
        <v>1</v>
      </c>
      <c r="L424" s="41" t="str">
        <f aca="false">IF(A424="","",IF(K424&gt;0,"Delivered",IF(ISNUMBER(SEARCH("CNF",E424)),"In production",IF(J424&gt;0,"Issued",IF(I424&gt;0,"Kitted","Released")))))</f>
        <v>Delivered</v>
      </c>
      <c r="M424" s="41" t="n">
        <f aca="false">IF(G424&lt;&gt;"Yes","",COUNTIFS($B$6:$B$1505,B424,$F$6:$F$1505,"&lt;"&amp;F424)+COUNTIFS($B$6:$B$1505,B424,$F$6:$F$1505,F424,$A$6:$A$1505,"&lt;="&amp;A424))</f>
        <v>5</v>
      </c>
      <c r="N424" s="41" t="n">
        <f aca="false">IF(M424="","",ROUNDUP(M424/H424,0))</f>
        <v>5</v>
      </c>
      <c r="O424" s="41" t="str">
        <f aca="false">IF(N424="","",IF(N424&lt;='Kitting Plan'!$C$3,"Rep "&amp;N424,"Surplus"))</f>
        <v>Rep 5</v>
      </c>
    </row>
    <row r="425" customFormat="false" ht="15" hidden="false" customHeight="false" outlineLevel="0" collapsed="false">
      <c r="A425" s="40" t="n">
        <f aca="false">IF(OR($A$4=0,INDEX('COOIS Raw'!$A:$GZ,ROW()-4,$A$4)=""),"",IFERROR(--INDEX('COOIS Raw'!$A:$GZ,ROW()-4,$A$4),INDEX('COOIS Raw'!$A:$GZ,ROW()-4,$A$4)))</f>
        <v>100874482</v>
      </c>
      <c r="B425" s="41" t="str">
        <f aca="false">IF(A425="","",TRIM(INDEX('COOIS Raw'!$A:$GZ,ROW()-4,$B$4)))</f>
        <v>92UAP04548BBA</v>
      </c>
      <c r="C425" s="42" t="str">
        <f aca="false">IF(OR(A425="",$C$4=0),"",INDEX('COOIS Raw'!$A:$GZ,ROW()-4,$C$4))</f>
        <v>R5B BOAT 2 ASSY (4P-4FP) L - E2A</v>
      </c>
      <c r="D425" s="41" t="n">
        <f aca="false">IF(A425="","",IF($D$4=0,1,IFERROR(--INDEX('COOIS Raw'!$A:$GZ,ROW()-4,$D$4),1)))</f>
        <v>1</v>
      </c>
      <c r="E425" s="42" t="str">
        <f aca="false">IF(A425="","",INDEX('COOIS Raw'!$A:$GZ,ROW()-4,$E$4)&amp;"")</f>
        <v>REL PRT CNF DLV PRC GMPS MANC RESA*</v>
      </c>
      <c r="F425" s="43" t="n">
        <f aca="false">IF(A425="","",IFERROR(DATEVALUE(INDEX('COOIS Raw'!$A:$GZ,ROW()-4,$F$4)),INDEX('COOIS Raw'!$A:$GZ,ROW()-4,$F$4)))</f>
        <v>46252</v>
      </c>
      <c r="G425" s="41" t="str">
        <f aca="false">IF(A425="","",IF(ISNA(MATCH(B425,'Kitting Plan'!$B$6:$B$19,0)),"Not in plan","Yes"))</f>
        <v>Yes</v>
      </c>
      <c r="H425" s="41" t="n">
        <f aca="false">IF(G425="Yes",INDEX('Kitting Plan'!$D$6:$D$19,MATCH(B425,'Kitting Plan'!$B$6:$B$19,0)),"")</f>
        <v>1</v>
      </c>
      <c r="I425" s="41" t="n">
        <f aca="false">IF(A425="","",IF(ISNUMBER(SEARCH("PRT",E425)),D425,0))</f>
        <v>1</v>
      </c>
      <c r="J425" s="41" t="n">
        <f aca="false">IF(A425="","",IF(ISNUMBER(SEARCH("GMPS",E425)),D425,0))</f>
        <v>1</v>
      </c>
      <c r="K425" s="41" t="n">
        <f aca="false">IF(A425="","",IF(ISNUMBER(SEARCH("DLV",E425)),D425,0))</f>
        <v>1</v>
      </c>
      <c r="L425" s="41" t="str">
        <f aca="false">IF(A425="","",IF(K425&gt;0,"Delivered",IF(ISNUMBER(SEARCH("CNF",E425)),"In production",IF(J425&gt;0,"Issued",IF(I425&gt;0,"Kitted","Released")))))</f>
        <v>Delivered</v>
      </c>
      <c r="M425" s="41" t="n">
        <f aca="false">IF(G425&lt;&gt;"Yes","",COUNTIFS($B$6:$B$1505,B425,$F$6:$F$1505,"&lt;"&amp;F425)+COUNTIFS($B$6:$B$1505,B425,$F$6:$F$1505,F425,$A$6:$A$1505,"&lt;="&amp;A425))</f>
        <v>5</v>
      </c>
      <c r="N425" s="41" t="n">
        <f aca="false">IF(M425="","",ROUNDUP(M425/H425,0))</f>
        <v>5</v>
      </c>
      <c r="O425" s="41" t="str">
        <f aca="false">IF(N425="","",IF(N425&lt;='Kitting Plan'!$C$3,"Rep "&amp;N425,"Surplus"))</f>
        <v>Rep 5</v>
      </c>
    </row>
    <row r="426" customFormat="false" ht="15" hidden="false" customHeight="false" outlineLevel="0" collapsed="false">
      <c r="A426" s="40" t="n">
        <f aca="false">IF(OR($A$4=0,INDEX('COOIS Raw'!$A:$GZ,ROW()-4,$A$4)=""),"",IFERROR(--INDEX('COOIS Raw'!$A:$GZ,ROW()-4,$A$4),INDEX('COOIS Raw'!$A:$GZ,ROW()-4,$A$4)))</f>
        <v>100874483</v>
      </c>
      <c r="B426" s="41" t="str">
        <f aca="false">IF(A426="","",TRIM(INDEX('COOIS Raw'!$A:$GZ,ROW()-4,$B$4)))</f>
        <v>92UAP04548BCA</v>
      </c>
      <c r="C426" s="42" t="str">
        <f aca="false">IF(OR(A426="",$C$4=0),"",INDEX('COOIS Raw'!$A:$GZ,ROW()-4,$C$4))</f>
        <v>R5B BOAT 3 ASSY (4P-4FP) L - E2A</v>
      </c>
      <c r="D426" s="41" t="n">
        <f aca="false">IF(A426="","",IF($D$4=0,1,IFERROR(--INDEX('COOIS Raw'!$A:$GZ,ROW()-4,$D$4),1)))</f>
        <v>1</v>
      </c>
      <c r="E426" s="42" t="str">
        <f aca="false">IF(A426="","",INDEX('COOIS Raw'!$A:$GZ,ROW()-4,$E$4)&amp;"")</f>
        <v>REL PRT CNF DLV PRC GMPS MANC RESA*</v>
      </c>
      <c r="F426" s="43" t="n">
        <f aca="false">IF(A426="","",IFERROR(DATEVALUE(INDEX('COOIS Raw'!$A:$GZ,ROW()-4,$F$4)),INDEX('COOIS Raw'!$A:$GZ,ROW()-4,$F$4)))</f>
        <v>46252</v>
      </c>
      <c r="G426" s="41" t="str">
        <f aca="false">IF(A426="","",IF(ISNA(MATCH(B426,'Kitting Plan'!$B$6:$B$19,0)),"Not in plan","Yes"))</f>
        <v>Yes</v>
      </c>
      <c r="H426" s="41" t="n">
        <f aca="false">IF(G426="Yes",INDEX('Kitting Plan'!$D$6:$D$19,MATCH(B426,'Kitting Plan'!$B$6:$B$19,0)),"")</f>
        <v>1</v>
      </c>
      <c r="I426" s="41" t="n">
        <f aca="false">IF(A426="","",IF(ISNUMBER(SEARCH("PRT",E426)),D426,0))</f>
        <v>1</v>
      </c>
      <c r="J426" s="41" t="n">
        <f aca="false">IF(A426="","",IF(ISNUMBER(SEARCH("GMPS",E426)),D426,0))</f>
        <v>1</v>
      </c>
      <c r="K426" s="41" t="n">
        <f aca="false">IF(A426="","",IF(ISNUMBER(SEARCH("DLV",E426)),D426,0))</f>
        <v>1</v>
      </c>
      <c r="L426" s="41" t="str">
        <f aca="false">IF(A426="","",IF(K426&gt;0,"Delivered",IF(ISNUMBER(SEARCH("CNF",E426)),"In production",IF(J426&gt;0,"Issued",IF(I426&gt;0,"Kitted","Released")))))</f>
        <v>Delivered</v>
      </c>
      <c r="M426" s="41" t="n">
        <f aca="false">IF(G426&lt;&gt;"Yes","",COUNTIFS($B$6:$B$1505,B426,$F$6:$F$1505,"&lt;"&amp;F426)+COUNTIFS($B$6:$B$1505,B426,$F$6:$F$1505,F426,$A$6:$A$1505,"&lt;="&amp;A426))</f>
        <v>5</v>
      </c>
      <c r="N426" s="41" t="n">
        <f aca="false">IF(M426="","",ROUNDUP(M426/H426,0))</f>
        <v>5</v>
      </c>
      <c r="O426" s="41" t="str">
        <f aca="false">IF(N426="","",IF(N426&lt;='Kitting Plan'!$C$3,"Rep "&amp;N426,"Surplus"))</f>
        <v>Rep 5</v>
      </c>
    </row>
    <row r="427" customFormat="false" ht="15" hidden="false" customHeight="false" outlineLevel="0" collapsed="false">
      <c r="A427" s="40" t="n">
        <f aca="false">IF(OR($A$4=0,INDEX('COOIS Raw'!$A:$GZ,ROW()-4,$A$4)=""),"",IFERROR(--INDEX('COOIS Raw'!$A:$GZ,ROW()-4,$A$4),INDEX('COOIS Raw'!$A:$GZ,ROW()-4,$A$4)))</f>
        <v>100874390</v>
      </c>
      <c r="B427" s="41" t="str">
        <f aca="false">IF(A427="","",TRIM(INDEX('COOIS Raw'!$A:$GZ,ROW()-4,$B$4)))</f>
        <v>92YLS00548BAA</v>
      </c>
      <c r="C427" s="42" t="str">
        <f aca="false">IF(OR(A427="",$C$4=0),"",INDEX('COOIS Raw'!$A:$GZ,ROW()-4,$C$4))</f>
        <v>R5B LASER ASSEMBLY 4P BOAT 1 - E2A</v>
      </c>
      <c r="D427" s="41" t="n">
        <f aca="false">IF(A427="","",IF($D$4=0,1,IFERROR(--INDEX('COOIS Raw'!$A:$GZ,ROW()-4,$D$4),1)))</f>
        <v>1</v>
      </c>
      <c r="E427" s="42" t="str">
        <f aca="false">IF(A427="","",INDEX('COOIS Raw'!$A:$GZ,ROW()-4,$E$4)&amp;"")</f>
        <v>REL PPRT CNF DLV PRC GMPS MANC RESA*</v>
      </c>
      <c r="F427" s="43" t="n">
        <f aca="false">IF(A427="","",IFERROR(DATEVALUE(INDEX('COOIS Raw'!$A:$GZ,ROW()-4,$F$4)),INDEX('COOIS Raw'!$A:$GZ,ROW()-4,$F$4)))</f>
        <v>46251</v>
      </c>
      <c r="G427" s="41" t="str">
        <f aca="false">IF(A427="","",IF(ISNA(MATCH(B427,'Kitting Plan'!$B$6:$B$19,0)),"Not in plan","Yes"))</f>
        <v>Yes</v>
      </c>
      <c r="H427" s="41" t="n">
        <f aca="false">IF(G427="Yes",INDEX('Kitting Plan'!$D$6:$D$19,MATCH(B427,'Kitting Plan'!$B$6:$B$19,0)),"")</f>
        <v>1</v>
      </c>
      <c r="I427" s="41" t="n">
        <f aca="false">IF(A427="","",IF(ISNUMBER(SEARCH("PRT",E427)),D427,0))</f>
        <v>1</v>
      </c>
      <c r="J427" s="41" t="n">
        <f aca="false">IF(A427="","",IF(ISNUMBER(SEARCH("GMPS",E427)),D427,0))</f>
        <v>1</v>
      </c>
      <c r="K427" s="41" t="n">
        <f aca="false">IF(A427="","",IF(ISNUMBER(SEARCH("DLV",E427)),D427,0))</f>
        <v>1</v>
      </c>
      <c r="L427" s="41" t="str">
        <f aca="false">IF(A427="","",IF(K427&gt;0,"Delivered",IF(ISNUMBER(SEARCH("CNF",E427)),"In production",IF(J427&gt;0,"Issued",IF(I427&gt;0,"Kitted","Released")))))</f>
        <v>Delivered</v>
      </c>
      <c r="M427" s="41" t="n">
        <f aca="false">IF(G427&lt;&gt;"Yes","",COUNTIFS($B$6:$B$1505,B427,$F$6:$F$1505,"&lt;"&amp;F427)+COUNTIFS($B$6:$B$1505,B427,$F$6:$F$1505,F427,$A$6:$A$1505,"&lt;="&amp;A427))</f>
        <v>7</v>
      </c>
      <c r="N427" s="41" t="n">
        <f aca="false">IF(M427="","",ROUNDUP(M427/H427,0))</f>
        <v>7</v>
      </c>
      <c r="O427" s="41" t="str">
        <f aca="false">IF(N427="","",IF(N427&lt;='Kitting Plan'!$C$3,"Rep "&amp;N427,"Surplus"))</f>
        <v>Rep 7</v>
      </c>
    </row>
    <row r="428" customFormat="false" ht="15" hidden="false" customHeight="false" outlineLevel="0" collapsed="false">
      <c r="A428" s="40" t="n">
        <f aca="false">IF(OR($A$4=0,INDEX('COOIS Raw'!$A:$GZ,ROW()-4,$A$4)=""),"",IFERROR(--INDEX('COOIS Raw'!$A:$GZ,ROW()-4,$A$4),INDEX('COOIS Raw'!$A:$GZ,ROW()-4,$A$4)))</f>
        <v>100874391</v>
      </c>
      <c r="B428" s="41" t="str">
        <f aca="false">IF(A428="","",TRIM(INDEX('COOIS Raw'!$A:$GZ,ROW()-4,$B$4)))</f>
        <v>92YLS00548BBA</v>
      </c>
      <c r="C428" s="42" t="str">
        <f aca="false">IF(OR(A428="",$C$4=0),"",INDEX('COOIS Raw'!$A:$GZ,ROW()-4,$C$4))</f>
        <v>R5B LASER ASSEMBLY 4P BOAT 2/3 - E2A</v>
      </c>
      <c r="D428" s="41" t="n">
        <f aca="false">IF(A428="","",IF($D$4=0,1,IFERROR(--INDEX('COOIS Raw'!$A:$GZ,ROW()-4,$D$4),1)))</f>
        <v>1</v>
      </c>
      <c r="E428" s="42" t="str">
        <f aca="false">IF(A428="","",INDEX('COOIS Raw'!$A:$GZ,ROW()-4,$E$4)&amp;"")</f>
        <v>REL PPRT CNF DLV PRC GMPS MANC RESA*</v>
      </c>
      <c r="F428" s="43" t="n">
        <f aca="false">IF(A428="","",IFERROR(DATEVALUE(INDEX('COOIS Raw'!$A:$GZ,ROW()-4,$F$4)),INDEX('COOIS Raw'!$A:$GZ,ROW()-4,$F$4)))</f>
        <v>46251</v>
      </c>
      <c r="G428" s="41" t="str">
        <f aca="false">IF(A428="","",IF(ISNA(MATCH(B428,'Kitting Plan'!$B$6:$B$19,0)),"Not in plan","Yes"))</f>
        <v>Yes</v>
      </c>
      <c r="H428" s="41" t="n">
        <f aca="false">IF(G428="Yes",INDEX('Kitting Plan'!$D$6:$D$19,MATCH(B428,'Kitting Plan'!$B$6:$B$19,0)),"")</f>
        <v>2</v>
      </c>
      <c r="I428" s="41" t="n">
        <f aca="false">IF(A428="","",IF(ISNUMBER(SEARCH("PRT",E428)),D428,0))</f>
        <v>1</v>
      </c>
      <c r="J428" s="41" t="n">
        <f aca="false">IF(A428="","",IF(ISNUMBER(SEARCH("GMPS",E428)),D428,0))</f>
        <v>1</v>
      </c>
      <c r="K428" s="41" t="n">
        <f aca="false">IF(A428="","",IF(ISNUMBER(SEARCH("DLV",E428)),D428,0))</f>
        <v>1</v>
      </c>
      <c r="L428" s="41" t="str">
        <f aca="false">IF(A428="","",IF(K428&gt;0,"Delivered",IF(ISNUMBER(SEARCH("CNF",E428)),"In production",IF(J428&gt;0,"Issued",IF(I428&gt;0,"Kitted","Released")))))</f>
        <v>Delivered</v>
      </c>
      <c r="M428" s="41" t="n">
        <f aca="false">IF(G428&lt;&gt;"Yes","",COUNTIFS($B$6:$B$1505,B428,$F$6:$F$1505,"&lt;"&amp;F428)+COUNTIFS($B$6:$B$1505,B428,$F$6:$F$1505,F428,$A$6:$A$1505,"&lt;="&amp;A428))</f>
        <v>11</v>
      </c>
      <c r="N428" s="41" t="n">
        <f aca="false">IF(M428="","",ROUNDUP(M428/H428,0))</f>
        <v>6</v>
      </c>
      <c r="O428" s="41" t="str">
        <f aca="false">IF(N428="","",IF(N428&lt;='Kitting Plan'!$C$3,"Rep "&amp;N428,"Surplus"))</f>
        <v>Rep 6</v>
      </c>
    </row>
    <row r="429" customFormat="false" ht="15" hidden="false" customHeight="false" outlineLevel="0" collapsed="false">
      <c r="A429" s="40" t="n">
        <f aca="false">IF(OR($A$4=0,INDEX('COOIS Raw'!$A:$GZ,ROW()-4,$A$4)=""),"",IFERROR(--INDEX('COOIS Raw'!$A:$GZ,ROW()-4,$A$4),INDEX('COOIS Raw'!$A:$GZ,ROW()-4,$A$4)))</f>
        <v>100874392</v>
      </c>
      <c r="B429" s="41" t="str">
        <f aca="false">IF(A429="","",TRIM(INDEX('COOIS Raw'!$A:$GZ,ROW()-4,$B$4)))</f>
        <v>92YLS00548BBA</v>
      </c>
      <c r="C429" s="42" t="str">
        <f aca="false">IF(OR(A429="",$C$4=0),"",INDEX('COOIS Raw'!$A:$GZ,ROW()-4,$C$4))</f>
        <v>R5B LASER ASSEMBLY 4P BOAT 2/3 - E2A</v>
      </c>
      <c r="D429" s="41" t="n">
        <f aca="false">IF(A429="","",IF($D$4=0,1,IFERROR(--INDEX('COOIS Raw'!$A:$GZ,ROW()-4,$D$4),1)))</f>
        <v>1</v>
      </c>
      <c r="E429" s="42" t="str">
        <f aca="false">IF(A429="","",INDEX('COOIS Raw'!$A:$GZ,ROW()-4,$E$4)&amp;"")</f>
        <v>REL PPRT CNF DLV PRC GMPS MANC SETC</v>
      </c>
      <c r="F429" s="43" t="n">
        <f aca="false">IF(A429="","",IFERROR(DATEVALUE(INDEX('COOIS Raw'!$A:$GZ,ROW()-4,$F$4)),INDEX('COOIS Raw'!$A:$GZ,ROW()-4,$F$4)))</f>
        <v>46251</v>
      </c>
      <c r="G429" s="41" t="str">
        <f aca="false">IF(A429="","",IF(ISNA(MATCH(B429,'Kitting Plan'!$B$6:$B$19,0)),"Not in plan","Yes"))</f>
        <v>Yes</v>
      </c>
      <c r="H429" s="41" t="n">
        <f aca="false">IF(G429="Yes",INDEX('Kitting Plan'!$D$6:$D$19,MATCH(B429,'Kitting Plan'!$B$6:$B$19,0)),"")</f>
        <v>2</v>
      </c>
      <c r="I429" s="41" t="n">
        <f aca="false">IF(A429="","",IF(ISNUMBER(SEARCH("PRT",E429)),D429,0))</f>
        <v>1</v>
      </c>
      <c r="J429" s="41" t="n">
        <f aca="false">IF(A429="","",IF(ISNUMBER(SEARCH("GMPS",E429)),D429,0))</f>
        <v>1</v>
      </c>
      <c r="K429" s="41" t="n">
        <f aca="false">IF(A429="","",IF(ISNUMBER(SEARCH("DLV",E429)),D429,0))</f>
        <v>1</v>
      </c>
      <c r="L429" s="41" t="str">
        <f aca="false">IF(A429="","",IF(K429&gt;0,"Delivered",IF(ISNUMBER(SEARCH("CNF",E429)),"In production",IF(J429&gt;0,"Issued",IF(I429&gt;0,"Kitted","Released")))))</f>
        <v>Delivered</v>
      </c>
      <c r="M429" s="41" t="n">
        <f aca="false">IF(G429&lt;&gt;"Yes","",COUNTIFS($B$6:$B$1505,B429,$F$6:$F$1505,"&lt;"&amp;F429)+COUNTIFS($B$6:$B$1505,B429,$F$6:$F$1505,F429,$A$6:$A$1505,"&lt;="&amp;A429))</f>
        <v>12</v>
      </c>
      <c r="N429" s="41" t="n">
        <f aca="false">IF(M429="","",ROUNDUP(M429/H429,0))</f>
        <v>6</v>
      </c>
      <c r="O429" s="41" t="str">
        <f aca="false">IF(N429="","",IF(N429&lt;='Kitting Plan'!$C$3,"Rep "&amp;N429,"Surplus"))</f>
        <v>Rep 6</v>
      </c>
    </row>
    <row r="430" customFormat="false" ht="15" hidden="false" customHeight="false" outlineLevel="0" collapsed="false">
      <c r="A430" s="40" t="n">
        <f aca="false">IF(OR($A$4=0,INDEX('COOIS Raw'!$A:$GZ,ROW()-4,$A$4)=""),"",IFERROR(--INDEX('COOIS Raw'!$A:$GZ,ROW()-4,$A$4),INDEX('COOIS Raw'!$A:$GZ,ROW()-4,$A$4)))</f>
        <v>100874141</v>
      </c>
      <c r="B430" s="41" t="str">
        <f aca="false">IF(A430="","",TRIM(INDEX('COOIS Raw'!$A:$GZ,ROW()-4,$B$4)))</f>
        <v>92RRA00548AAA</v>
      </c>
      <c r="C430" s="42" t="str">
        <f aca="false">IF(OR(A430="",$C$4=0),"",INDEX('COOIS Raw'!$A:$GZ,ROW()-4,$C$4))</f>
        <v>R5B ERBIUM SPOOL ASSEMBLY - E2A</v>
      </c>
      <c r="D430" s="41" t="n">
        <f aca="false">IF(A430="","",IF($D$4=0,1,IFERROR(--INDEX('COOIS Raw'!$A:$GZ,ROW()-4,$D$4),1)))</f>
        <v>1</v>
      </c>
      <c r="E430" s="42" t="str">
        <f aca="false">IF(A430="","",INDEX('COOIS Raw'!$A:$GZ,ROW()-4,$E$4)&amp;"")</f>
        <v>REL PRT CNF DLV PRC GMPS MANC SETC</v>
      </c>
      <c r="F430" s="43" t="n">
        <f aca="false">IF(A430="","",IFERROR(DATEVALUE(INDEX('COOIS Raw'!$A:$GZ,ROW()-4,$F$4)),INDEX('COOIS Raw'!$A:$GZ,ROW()-4,$F$4)))</f>
        <v>46246</v>
      </c>
      <c r="G430" s="41" t="str">
        <f aca="false">IF(A430="","",IF(ISNA(MATCH(B430,'Kitting Plan'!$B$6:$B$19,0)),"Not in plan","Yes"))</f>
        <v>Yes</v>
      </c>
      <c r="H430" s="41" t="n">
        <f aca="false">IF(G430="Yes",INDEX('Kitting Plan'!$D$6:$D$19,MATCH(B430,'Kitting Plan'!$B$6:$B$19,0)),"")</f>
        <v>24</v>
      </c>
      <c r="I430" s="41" t="n">
        <f aca="false">IF(A430="","",IF(ISNUMBER(SEARCH("PRT",E430)),D430,0))</f>
        <v>1</v>
      </c>
      <c r="J430" s="41" t="n">
        <f aca="false">IF(A430="","",IF(ISNUMBER(SEARCH("GMPS",E430)),D430,0))</f>
        <v>1</v>
      </c>
      <c r="K430" s="41" t="n">
        <f aca="false">IF(A430="","",IF(ISNUMBER(SEARCH("DLV",E430)),D430,0))</f>
        <v>1</v>
      </c>
      <c r="L430" s="41" t="str">
        <f aca="false">IF(A430="","",IF(K430&gt;0,"Delivered",IF(ISNUMBER(SEARCH("CNF",E430)),"In production",IF(J430&gt;0,"Issued",IF(I430&gt;0,"Kitted","Released")))))</f>
        <v>Delivered</v>
      </c>
      <c r="M430" s="41" t="n">
        <f aca="false">IF(G430&lt;&gt;"Yes","",COUNTIFS($B$6:$B$1505,B430,$F$6:$F$1505,"&lt;"&amp;F430)+COUNTIFS($B$6:$B$1505,B430,$F$6:$F$1505,F430,$A$6:$A$1505,"&lt;="&amp;A430))</f>
        <v>103</v>
      </c>
      <c r="N430" s="41" t="n">
        <f aca="false">IF(M430="","",ROUNDUP(M430/H430,0))</f>
        <v>5</v>
      </c>
      <c r="O430" s="41" t="str">
        <f aca="false">IF(N430="","",IF(N430&lt;='Kitting Plan'!$C$3,"Rep "&amp;N430,"Surplus"))</f>
        <v>Rep 5</v>
      </c>
    </row>
    <row r="431" customFormat="false" ht="15" hidden="false" customHeight="false" outlineLevel="0" collapsed="false">
      <c r="A431" s="40" t="n">
        <f aca="false">IF(OR($A$4=0,INDEX('COOIS Raw'!$A:$GZ,ROW()-4,$A$4)=""),"",IFERROR(--INDEX('COOIS Raw'!$A:$GZ,ROW()-4,$A$4),INDEX('COOIS Raw'!$A:$GZ,ROW()-4,$A$4)))</f>
        <v>100874142</v>
      </c>
      <c r="B431" s="41" t="str">
        <f aca="false">IF(A431="","",TRIM(INDEX('COOIS Raw'!$A:$GZ,ROW()-4,$B$4)))</f>
        <v>92RRA00548AAA</v>
      </c>
      <c r="C431" s="42" t="str">
        <f aca="false">IF(OR(A431="",$C$4=0),"",INDEX('COOIS Raw'!$A:$GZ,ROW()-4,$C$4))</f>
        <v>R5B ERBIUM SPOOL ASSEMBLY - E2A</v>
      </c>
      <c r="D431" s="41" t="n">
        <f aca="false">IF(A431="","",IF($D$4=0,1,IFERROR(--INDEX('COOIS Raw'!$A:$GZ,ROW()-4,$D$4),1)))</f>
        <v>1</v>
      </c>
      <c r="E431" s="42" t="str">
        <f aca="false">IF(A431="","",INDEX('COOIS Raw'!$A:$GZ,ROW()-4,$E$4)&amp;"")</f>
        <v>REL PRT CNF DLV PRC GMPS MANC RESA*</v>
      </c>
      <c r="F431" s="43" t="n">
        <f aca="false">IF(A431="","",IFERROR(DATEVALUE(INDEX('COOIS Raw'!$A:$GZ,ROW()-4,$F$4)),INDEX('COOIS Raw'!$A:$GZ,ROW()-4,$F$4)))</f>
        <v>46246</v>
      </c>
      <c r="G431" s="41" t="str">
        <f aca="false">IF(A431="","",IF(ISNA(MATCH(B431,'Kitting Plan'!$B$6:$B$19,0)),"Not in plan","Yes"))</f>
        <v>Yes</v>
      </c>
      <c r="H431" s="41" t="n">
        <f aca="false">IF(G431="Yes",INDEX('Kitting Plan'!$D$6:$D$19,MATCH(B431,'Kitting Plan'!$B$6:$B$19,0)),"")</f>
        <v>24</v>
      </c>
      <c r="I431" s="41" t="n">
        <f aca="false">IF(A431="","",IF(ISNUMBER(SEARCH("PRT",E431)),D431,0))</f>
        <v>1</v>
      </c>
      <c r="J431" s="41" t="n">
        <f aca="false">IF(A431="","",IF(ISNUMBER(SEARCH("GMPS",E431)),D431,0))</f>
        <v>1</v>
      </c>
      <c r="K431" s="41" t="n">
        <f aca="false">IF(A431="","",IF(ISNUMBER(SEARCH("DLV",E431)),D431,0))</f>
        <v>1</v>
      </c>
      <c r="L431" s="41" t="str">
        <f aca="false">IF(A431="","",IF(K431&gt;0,"Delivered",IF(ISNUMBER(SEARCH("CNF",E431)),"In production",IF(J431&gt;0,"Issued",IF(I431&gt;0,"Kitted","Released")))))</f>
        <v>Delivered</v>
      </c>
      <c r="M431" s="41" t="n">
        <f aca="false">IF(G431&lt;&gt;"Yes","",COUNTIFS($B$6:$B$1505,B431,$F$6:$F$1505,"&lt;"&amp;F431)+COUNTIFS($B$6:$B$1505,B431,$F$6:$F$1505,F431,$A$6:$A$1505,"&lt;="&amp;A431))</f>
        <v>104</v>
      </c>
      <c r="N431" s="41" t="n">
        <f aca="false">IF(M431="","",ROUNDUP(M431/H431,0))</f>
        <v>5</v>
      </c>
      <c r="O431" s="41" t="str">
        <f aca="false">IF(N431="","",IF(N431&lt;='Kitting Plan'!$C$3,"Rep "&amp;N431,"Surplus"))</f>
        <v>Rep 5</v>
      </c>
    </row>
    <row r="432" customFormat="false" ht="15" hidden="false" customHeight="false" outlineLevel="0" collapsed="false">
      <c r="A432" s="40" t="n">
        <f aca="false">IF(OR($A$4=0,INDEX('COOIS Raw'!$A:$GZ,ROW()-4,$A$4)=""),"",IFERROR(--INDEX('COOIS Raw'!$A:$GZ,ROW()-4,$A$4),INDEX('COOIS Raw'!$A:$GZ,ROW()-4,$A$4)))</f>
        <v>100874143</v>
      </c>
      <c r="B432" s="41" t="str">
        <f aca="false">IF(A432="","",TRIM(INDEX('COOIS Raw'!$A:$GZ,ROW()-4,$B$4)))</f>
        <v>92RRA00548AAA</v>
      </c>
      <c r="C432" s="42" t="str">
        <f aca="false">IF(OR(A432="",$C$4=0),"",INDEX('COOIS Raw'!$A:$GZ,ROW()-4,$C$4))</f>
        <v>R5B ERBIUM SPOOL ASSEMBLY - E2A</v>
      </c>
      <c r="D432" s="41" t="n">
        <f aca="false">IF(A432="","",IF($D$4=0,1,IFERROR(--INDEX('COOIS Raw'!$A:$GZ,ROW()-4,$D$4),1)))</f>
        <v>1</v>
      </c>
      <c r="E432" s="42" t="str">
        <f aca="false">IF(A432="","",INDEX('COOIS Raw'!$A:$GZ,ROW()-4,$E$4)&amp;"")</f>
        <v>REL PRT CNF DLV PRC GMPS MANC RESA*</v>
      </c>
      <c r="F432" s="43" t="n">
        <f aca="false">IF(A432="","",IFERROR(DATEVALUE(INDEX('COOIS Raw'!$A:$GZ,ROW()-4,$F$4)),INDEX('COOIS Raw'!$A:$GZ,ROW()-4,$F$4)))</f>
        <v>46246</v>
      </c>
      <c r="G432" s="41" t="str">
        <f aca="false">IF(A432="","",IF(ISNA(MATCH(B432,'Kitting Plan'!$B$6:$B$19,0)),"Not in plan","Yes"))</f>
        <v>Yes</v>
      </c>
      <c r="H432" s="41" t="n">
        <f aca="false">IF(G432="Yes",INDEX('Kitting Plan'!$D$6:$D$19,MATCH(B432,'Kitting Plan'!$B$6:$B$19,0)),"")</f>
        <v>24</v>
      </c>
      <c r="I432" s="41" t="n">
        <f aca="false">IF(A432="","",IF(ISNUMBER(SEARCH("PRT",E432)),D432,0))</f>
        <v>1</v>
      </c>
      <c r="J432" s="41" t="n">
        <f aca="false">IF(A432="","",IF(ISNUMBER(SEARCH("GMPS",E432)),D432,0))</f>
        <v>1</v>
      </c>
      <c r="K432" s="41" t="n">
        <f aca="false">IF(A432="","",IF(ISNUMBER(SEARCH("DLV",E432)),D432,0))</f>
        <v>1</v>
      </c>
      <c r="L432" s="41" t="str">
        <f aca="false">IF(A432="","",IF(K432&gt;0,"Delivered",IF(ISNUMBER(SEARCH("CNF",E432)),"In production",IF(J432&gt;0,"Issued",IF(I432&gt;0,"Kitted","Released")))))</f>
        <v>Delivered</v>
      </c>
      <c r="M432" s="41" t="n">
        <f aca="false">IF(G432&lt;&gt;"Yes","",COUNTIFS($B$6:$B$1505,B432,$F$6:$F$1505,"&lt;"&amp;F432)+COUNTIFS($B$6:$B$1505,B432,$F$6:$F$1505,F432,$A$6:$A$1505,"&lt;="&amp;A432))</f>
        <v>105</v>
      </c>
      <c r="N432" s="41" t="n">
        <f aca="false">IF(M432="","",ROUNDUP(M432/H432,0))</f>
        <v>5</v>
      </c>
      <c r="O432" s="41" t="str">
        <f aca="false">IF(N432="","",IF(N432&lt;='Kitting Plan'!$C$3,"Rep "&amp;N432,"Surplus"))</f>
        <v>Rep 5</v>
      </c>
    </row>
    <row r="433" customFormat="false" ht="15" hidden="false" customHeight="false" outlineLevel="0" collapsed="false">
      <c r="A433" s="40" t="n">
        <f aca="false">IF(OR($A$4=0,INDEX('COOIS Raw'!$A:$GZ,ROW()-4,$A$4)=""),"",IFERROR(--INDEX('COOIS Raw'!$A:$GZ,ROW()-4,$A$4),INDEX('COOIS Raw'!$A:$GZ,ROW()-4,$A$4)))</f>
        <v>100874144</v>
      </c>
      <c r="B433" s="41" t="str">
        <f aca="false">IF(A433="","",TRIM(INDEX('COOIS Raw'!$A:$GZ,ROW()-4,$B$4)))</f>
        <v>92RRA00548AAA</v>
      </c>
      <c r="C433" s="42" t="str">
        <f aca="false">IF(OR(A433="",$C$4=0),"",INDEX('COOIS Raw'!$A:$GZ,ROW()-4,$C$4))</f>
        <v>R5B ERBIUM SPOOL ASSEMBLY - E2A</v>
      </c>
      <c r="D433" s="41" t="n">
        <f aca="false">IF(A433="","",IF($D$4=0,1,IFERROR(--INDEX('COOIS Raw'!$A:$GZ,ROW()-4,$D$4),1)))</f>
        <v>1</v>
      </c>
      <c r="E433" s="42" t="str">
        <f aca="false">IF(A433="","",INDEX('COOIS Raw'!$A:$GZ,ROW()-4,$E$4)&amp;"")</f>
        <v>REL PRT CNF DLV PRC GMPS MANC RESA*</v>
      </c>
      <c r="F433" s="43" t="n">
        <f aca="false">IF(A433="","",IFERROR(DATEVALUE(INDEX('COOIS Raw'!$A:$GZ,ROW()-4,$F$4)),INDEX('COOIS Raw'!$A:$GZ,ROW()-4,$F$4)))</f>
        <v>46246</v>
      </c>
      <c r="G433" s="41" t="str">
        <f aca="false">IF(A433="","",IF(ISNA(MATCH(B433,'Kitting Plan'!$B$6:$B$19,0)),"Not in plan","Yes"))</f>
        <v>Yes</v>
      </c>
      <c r="H433" s="41" t="n">
        <f aca="false">IF(G433="Yes",INDEX('Kitting Plan'!$D$6:$D$19,MATCH(B433,'Kitting Plan'!$B$6:$B$19,0)),"")</f>
        <v>24</v>
      </c>
      <c r="I433" s="41" t="n">
        <f aca="false">IF(A433="","",IF(ISNUMBER(SEARCH("PRT",E433)),D433,0))</f>
        <v>1</v>
      </c>
      <c r="J433" s="41" t="n">
        <f aca="false">IF(A433="","",IF(ISNUMBER(SEARCH("GMPS",E433)),D433,0))</f>
        <v>1</v>
      </c>
      <c r="K433" s="41" t="n">
        <f aca="false">IF(A433="","",IF(ISNUMBER(SEARCH("DLV",E433)),D433,0))</f>
        <v>1</v>
      </c>
      <c r="L433" s="41" t="str">
        <f aca="false">IF(A433="","",IF(K433&gt;0,"Delivered",IF(ISNUMBER(SEARCH("CNF",E433)),"In production",IF(J433&gt;0,"Issued",IF(I433&gt;0,"Kitted","Released")))))</f>
        <v>Delivered</v>
      </c>
      <c r="M433" s="41" t="n">
        <f aca="false">IF(G433&lt;&gt;"Yes","",COUNTIFS($B$6:$B$1505,B433,$F$6:$F$1505,"&lt;"&amp;F433)+COUNTIFS($B$6:$B$1505,B433,$F$6:$F$1505,F433,$A$6:$A$1505,"&lt;="&amp;A433))</f>
        <v>106</v>
      </c>
      <c r="N433" s="41" t="n">
        <f aca="false">IF(M433="","",ROUNDUP(M433/H433,0))</f>
        <v>5</v>
      </c>
      <c r="O433" s="41" t="str">
        <f aca="false">IF(N433="","",IF(N433&lt;='Kitting Plan'!$C$3,"Rep "&amp;N433,"Surplus"))</f>
        <v>Rep 5</v>
      </c>
    </row>
    <row r="434" customFormat="false" ht="15" hidden="false" customHeight="false" outlineLevel="0" collapsed="false">
      <c r="A434" s="40" t="n">
        <f aca="false">IF(OR($A$4=0,INDEX('COOIS Raw'!$A:$GZ,ROW()-4,$A$4)=""),"",IFERROR(--INDEX('COOIS Raw'!$A:$GZ,ROW()-4,$A$4),INDEX('COOIS Raw'!$A:$GZ,ROW()-4,$A$4)))</f>
        <v>100874145</v>
      </c>
      <c r="B434" s="41" t="str">
        <f aca="false">IF(A434="","",TRIM(INDEX('COOIS Raw'!$A:$GZ,ROW()-4,$B$4)))</f>
        <v>92RRA00548AAA</v>
      </c>
      <c r="C434" s="42" t="str">
        <f aca="false">IF(OR(A434="",$C$4=0),"",INDEX('COOIS Raw'!$A:$GZ,ROW()-4,$C$4))</f>
        <v>R5B ERBIUM SPOOL ASSEMBLY - E2A</v>
      </c>
      <c r="D434" s="41" t="n">
        <f aca="false">IF(A434="","",IF($D$4=0,1,IFERROR(--INDEX('COOIS Raw'!$A:$GZ,ROW()-4,$D$4),1)))</f>
        <v>1</v>
      </c>
      <c r="E434" s="42" t="str">
        <f aca="false">IF(A434="","",INDEX('COOIS Raw'!$A:$GZ,ROW()-4,$E$4)&amp;"")</f>
        <v>REL PRT CNF DLV PRC GMPS MANC RESA*</v>
      </c>
      <c r="F434" s="43" t="n">
        <f aca="false">IF(A434="","",IFERROR(DATEVALUE(INDEX('COOIS Raw'!$A:$GZ,ROW()-4,$F$4)),INDEX('COOIS Raw'!$A:$GZ,ROW()-4,$F$4)))</f>
        <v>46246</v>
      </c>
      <c r="G434" s="41" t="str">
        <f aca="false">IF(A434="","",IF(ISNA(MATCH(B434,'Kitting Plan'!$B$6:$B$19,0)),"Not in plan","Yes"))</f>
        <v>Yes</v>
      </c>
      <c r="H434" s="41" t="n">
        <f aca="false">IF(G434="Yes",INDEX('Kitting Plan'!$D$6:$D$19,MATCH(B434,'Kitting Plan'!$B$6:$B$19,0)),"")</f>
        <v>24</v>
      </c>
      <c r="I434" s="41" t="n">
        <f aca="false">IF(A434="","",IF(ISNUMBER(SEARCH("PRT",E434)),D434,0))</f>
        <v>1</v>
      </c>
      <c r="J434" s="41" t="n">
        <f aca="false">IF(A434="","",IF(ISNUMBER(SEARCH("GMPS",E434)),D434,0))</f>
        <v>1</v>
      </c>
      <c r="K434" s="41" t="n">
        <f aca="false">IF(A434="","",IF(ISNUMBER(SEARCH("DLV",E434)),D434,0))</f>
        <v>1</v>
      </c>
      <c r="L434" s="41" t="str">
        <f aca="false">IF(A434="","",IF(K434&gt;0,"Delivered",IF(ISNUMBER(SEARCH("CNF",E434)),"In production",IF(J434&gt;0,"Issued",IF(I434&gt;0,"Kitted","Released")))))</f>
        <v>Delivered</v>
      </c>
      <c r="M434" s="41" t="n">
        <f aca="false">IF(G434&lt;&gt;"Yes","",COUNTIFS($B$6:$B$1505,B434,$F$6:$F$1505,"&lt;"&amp;F434)+COUNTIFS($B$6:$B$1505,B434,$F$6:$F$1505,F434,$A$6:$A$1505,"&lt;="&amp;A434))</f>
        <v>107</v>
      </c>
      <c r="N434" s="41" t="n">
        <f aca="false">IF(M434="","",ROUNDUP(M434/H434,0))</f>
        <v>5</v>
      </c>
      <c r="O434" s="41" t="str">
        <f aca="false">IF(N434="","",IF(N434&lt;='Kitting Plan'!$C$3,"Rep "&amp;N434,"Surplus"))</f>
        <v>Rep 5</v>
      </c>
    </row>
    <row r="435" customFormat="false" ht="15" hidden="false" customHeight="false" outlineLevel="0" collapsed="false">
      <c r="A435" s="40" t="n">
        <f aca="false">IF(OR($A$4=0,INDEX('COOIS Raw'!$A:$GZ,ROW()-4,$A$4)=""),"",IFERROR(--INDEX('COOIS Raw'!$A:$GZ,ROW()-4,$A$4),INDEX('COOIS Raw'!$A:$GZ,ROW()-4,$A$4)))</f>
        <v>100874146</v>
      </c>
      <c r="B435" s="41" t="str">
        <f aca="false">IF(A435="","",TRIM(INDEX('COOIS Raw'!$A:$GZ,ROW()-4,$B$4)))</f>
        <v>92RRA00548AAA</v>
      </c>
      <c r="C435" s="42" t="str">
        <f aca="false">IF(OR(A435="",$C$4=0),"",INDEX('COOIS Raw'!$A:$GZ,ROW()-4,$C$4))</f>
        <v>R5B ERBIUM SPOOL ASSEMBLY - E2A</v>
      </c>
      <c r="D435" s="41" t="n">
        <f aca="false">IF(A435="","",IF($D$4=0,1,IFERROR(--INDEX('COOIS Raw'!$A:$GZ,ROW()-4,$D$4),1)))</f>
        <v>1</v>
      </c>
      <c r="E435" s="42" t="str">
        <f aca="false">IF(A435="","",INDEX('COOIS Raw'!$A:$GZ,ROW()-4,$E$4)&amp;"")</f>
        <v>REL PRT CNF DLV PRC GMPS MANC RESA*</v>
      </c>
      <c r="F435" s="43" t="n">
        <f aca="false">IF(A435="","",IFERROR(DATEVALUE(INDEX('COOIS Raw'!$A:$GZ,ROW()-4,$F$4)),INDEX('COOIS Raw'!$A:$GZ,ROW()-4,$F$4)))</f>
        <v>46246</v>
      </c>
      <c r="G435" s="41" t="str">
        <f aca="false">IF(A435="","",IF(ISNA(MATCH(B435,'Kitting Plan'!$B$6:$B$19,0)),"Not in plan","Yes"))</f>
        <v>Yes</v>
      </c>
      <c r="H435" s="41" t="n">
        <f aca="false">IF(G435="Yes",INDEX('Kitting Plan'!$D$6:$D$19,MATCH(B435,'Kitting Plan'!$B$6:$B$19,0)),"")</f>
        <v>24</v>
      </c>
      <c r="I435" s="41" t="n">
        <f aca="false">IF(A435="","",IF(ISNUMBER(SEARCH("PRT",E435)),D435,0))</f>
        <v>1</v>
      </c>
      <c r="J435" s="41" t="n">
        <f aca="false">IF(A435="","",IF(ISNUMBER(SEARCH("GMPS",E435)),D435,0))</f>
        <v>1</v>
      </c>
      <c r="K435" s="41" t="n">
        <f aca="false">IF(A435="","",IF(ISNUMBER(SEARCH("DLV",E435)),D435,0))</f>
        <v>1</v>
      </c>
      <c r="L435" s="41" t="str">
        <f aca="false">IF(A435="","",IF(K435&gt;0,"Delivered",IF(ISNUMBER(SEARCH("CNF",E435)),"In production",IF(J435&gt;0,"Issued",IF(I435&gt;0,"Kitted","Released")))))</f>
        <v>Delivered</v>
      </c>
      <c r="M435" s="41" t="n">
        <f aca="false">IF(G435&lt;&gt;"Yes","",COUNTIFS($B$6:$B$1505,B435,$F$6:$F$1505,"&lt;"&amp;F435)+COUNTIFS($B$6:$B$1505,B435,$F$6:$F$1505,F435,$A$6:$A$1505,"&lt;="&amp;A435))</f>
        <v>108</v>
      </c>
      <c r="N435" s="41" t="n">
        <f aca="false">IF(M435="","",ROUNDUP(M435/H435,0))</f>
        <v>5</v>
      </c>
      <c r="O435" s="41" t="str">
        <f aca="false">IF(N435="","",IF(N435&lt;='Kitting Plan'!$C$3,"Rep "&amp;N435,"Surplus"))</f>
        <v>Rep 5</v>
      </c>
    </row>
    <row r="436" customFormat="false" ht="15" hidden="false" customHeight="false" outlineLevel="0" collapsed="false">
      <c r="A436" s="40" t="n">
        <f aca="false">IF(OR($A$4=0,INDEX('COOIS Raw'!$A:$GZ,ROW()-4,$A$4)=""),"",IFERROR(--INDEX('COOIS Raw'!$A:$GZ,ROW()-4,$A$4),INDEX('COOIS Raw'!$A:$GZ,ROW()-4,$A$4)))</f>
        <v>100874147</v>
      </c>
      <c r="B436" s="41" t="str">
        <f aca="false">IF(A436="","",TRIM(INDEX('COOIS Raw'!$A:$GZ,ROW()-4,$B$4)))</f>
        <v>92RRA00548AAA</v>
      </c>
      <c r="C436" s="42" t="str">
        <f aca="false">IF(OR(A436="",$C$4=0),"",INDEX('COOIS Raw'!$A:$GZ,ROW()-4,$C$4))</f>
        <v>R5B ERBIUM SPOOL ASSEMBLY - E2A</v>
      </c>
      <c r="D436" s="41" t="n">
        <f aca="false">IF(A436="","",IF($D$4=0,1,IFERROR(--INDEX('COOIS Raw'!$A:$GZ,ROW()-4,$D$4),1)))</f>
        <v>1</v>
      </c>
      <c r="E436" s="42" t="str">
        <f aca="false">IF(A436="","",INDEX('COOIS Raw'!$A:$GZ,ROW()-4,$E$4)&amp;"")</f>
        <v>REL PRT CNF DLV PRC GMPS MANC RESA*</v>
      </c>
      <c r="F436" s="43" t="n">
        <f aca="false">IF(A436="","",IFERROR(DATEVALUE(INDEX('COOIS Raw'!$A:$GZ,ROW()-4,$F$4)),INDEX('COOIS Raw'!$A:$GZ,ROW()-4,$F$4)))</f>
        <v>46246</v>
      </c>
      <c r="G436" s="41" t="str">
        <f aca="false">IF(A436="","",IF(ISNA(MATCH(B436,'Kitting Plan'!$B$6:$B$19,0)),"Not in plan","Yes"))</f>
        <v>Yes</v>
      </c>
      <c r="H436" s="41" t="n">
        <f aca="false">IF(G436="Yes",INDEX('Kitting Plan'!$D$6:$D$19,MATCH(B436,'Kitting Plan'!$B$6:$B$19,0)),"")</f>
        <v>24</v>
      </c>
      <c r="I436" s="41" t="n">
        <f aca="false">IF(A436="","",IF(ISNUMBER(SEARCH("PRT",E436)),D436,0))</f>
        <v>1</v>
      </c>
      <c r="J436" s="41" t="n">
        <f aca="false">IF(A436="","",IF(ISNUMBER(SEARCH("GMPS",E436)),D436,0))</f>
        <v>1</v>
      </c>
      <c r="K436" s="41" t="n">
        <f aca="false">IF(A436="","",IF(ISNUMBER(SEARCH("DLV",E436)),D436,0))</f>
        <v>1</v>
      </c>
      <c r="L436" s="41" t="str">
        <f aca="false">IF(A436="","",IF(K436&gt;0,"Delivered",IF(ISNUMBER(SEARCH("CNF",E436)),"In production",IF(J436&gt;0,"Issued",IF(I436&gt;0,"Kitted","Released")))))</f>
        <v>Delivered</v>
      </c>
      <c r="M436" s="41" t="n">
        <f aca="false">IF(G436&lt;&gt;"Yes","",COUNTIFS($B$6:$B$1505,B436,$F$6:$F$1505,"&lt;"&amp;F436)+COUNTIFS($B$6:$B$1505,B436,$F$6:$F$1505,F436,$A$6:$A$1505,"&lt;="&amp;A436))</f>
        <v>109</v>
      </c>
      <c r="N436" s="41" t="n">
        <f aca="false">IF(M436="","",ROUNDUP(M436/H436,0))</f>
        <v>5</v>
      </c>
      <c r="O436" s="41" t="str">
        <f aca="false">IF(N436="","",IF(N436&lt;='Kitting Plan'!$C$3,"Rep "&amp;N436,"Surplus"))</f>
        <v>Rep 5</v>
      </c>
    </row>
    <row r="437" customFormat="false" ht="15" hidden="false" customHeight="false" outlineLevel="0" collapsed="false">
      <c r="A437" s="40" t="n">
        <f aca="false">IF(OR($A$4=0,INDEX('COOIS Raw'!$A:$GZ,ROW()-4,$A$4)=""),"",IFERROR(--INDEX('COOIS Raw'!$A:$GZ,ROW()-4,$A$4),INDEX('COOIS Raw'!$A:$GZ,ROW()-4,$A$4)))</f>
        <v>100874148</v>
      </c>
      <c r="B437" s="41" t="str">
        <f aca="false">IF(A437="","",TRIM(INDEX('COOIS Raw'!$A:$GZ,ROW()-4,$B$4)))</f>
        <v>92RRA00548AAA</v>
      </c>
      <c r="C437" s="42" t="str">
        <f aca="false">IF(OR(A437="",$C$4=0),"",INDEX('COOIS Raw'!$A:$GZ,ROW()-4,$C$4))</f>
        <v>R5B ERBIUM SPOOL ASSEMBLY - E2A</v>
      </c>
      <c r="D437" s="41" t="n">
        <f aca="false">IF(A437="","",IF($D$4=0,1,IFERROR(--INDEX('COOIS Raw'!$A:$GZ,ROW()-4,$D$4),1)))</f>
        <v>1</v>
      </c>
      <c r="E437" s="42" t="str">
        <f aca="false">IF(A437="","",INDEX('COOIS Raw'!$A:$GZ,ROW()-4,$E$4)&amp;"")</f>
        <v>REL PRT CNF DLV PRC GMPS MANC RESA*</v>
      </c>
      <c r="F437" s="43" t="n">
        <f aca="false">IF(A437="","",IFERROR(DATEVALUE(INDEX('COOIS Raw'!$A:$GZ,ROW()-4,$F$4)),INDEX('COOIS Raw'!$A:$GZ,ROW()-4,$F$4)))</f>
        <v>46246</v>
      </c>
      <c r="G437" s="41" t="str">
        <f aca="false">IF(A437="","",IF(ISNA(MATCH(B437,'Kitting Plan'!$B$6:$B$19,0)),"Not in plan","Yes"))</f>
        <v>Yes</v>
      </c>
      <c r="H437" s="41" t="n">
        <f aca="false">IF(G437="Yes",INDEX('Kitting Plan'!$D$6:$D$19,MATCH(B437,'Kitting Plan'!$B$6:$B$19,0)),"")</f>
        <v>24</v>
      </c>
      <c r="I437" s="41" t="n">
        <f aca="false">IF(A437="","",IF(ISNUMBER(SEARCH("PRT",E437)),D437,0))</f>
        <v>1</v>
      </c>
      <c r="J437" s="41" t="n">
        <f aca="false">IF(A437="","",IF(ISNUMBER(SEARCH("GMPS",E437)),D437,0))</f>
        <v>1</v>
      </c>
      <c r="K437" s="41" t="n">
        <f aca="false">IF(A437="","",IF(ISNUMBER(SEARCH("DLV",E437)),D437,0))</f>
        <v>1</v>
      </c>
      <c r="L437" s="41" t="str">
        <f aca="false">IF(A437="","",IF(K437&gt;0,"Delivered",IF(ISNUMBER(SEARCH("CNF",E437)),"In production",IF(J437&gt;0,"Issued",IF(I437&gt;0,"Kitted","Released")))))</f>
        <v>Delivered</v>
      </c>
      <c r="M437" s="41" t="n">
        <f aca="false">IF(G437&lt;&gt;"Yes","",COUNTIFS($B$6:$B$1505,B437,$F$6:$F$1505,"&lt;"&amp;F437)+COUNTIFS($B$6:$B$1505,B437,$F$6:$F$1505,F437,$A$6:$A$1505,"&lt;="&amp;A437))</f>
        <v>110</v>
      </c>
      <c r="N437" s="41" t="n">
        <f aca="false">IF(M437="","",ROUNDUP(M437/H437,0))</f>
        <v>5</v>
      </c>
      <c r="O437" s="41" t="str">
        <f aca="false">IF(N437="","",IF(N437&lt;='Kitting Plan'!$C$3,"Rep "&amp;N437,"Surplus"))</f>
        <v>Rep 5</v>
      </c>
    </row>
    <row r="438" customFormat="false" ht="15" hidden="false" customHeight="false" outlineLevel="0" collapsed="false">
      <c r="A438" s="40" t="n">
        <f aca="false">IF(OR($A$4=0,INDEX('COOIS Raw'!$A:$GZ,ROW()-4,$A$4)=""),"",IFERROR(--INDEX('COOIS Raw'!$A:$GZ,ROW()-4,$A$4),INDEX('COOIS Raw'!$A:$GZ,ROW()-4,$A$4)))</f>
        <v>100874149</v>
      </c>
      <c r="B438" s="41" t="str">
        <f aca="false">IF(A438="","",TRIM(INDEX('COOIS Raw'!$A:$GZ,ROW()-4,$B$4)))</f>
        <v>92RRA00548AAA</v>
      </c>
      <c r="C438" s="42" t="str">
        <f aca="false">IF(OR(A438="",$C$4=0),"",INDEX('COOIS Raw'!$A:$GZ,ROW()-4,$C$4))</f>
        <v>R5B ERBIUM SPOOL ASSEMBLY - E2A</v>
      </c>
      <c r="D438" s="41" t="n">
        <f aca="false">IF(A438="","",IF($D$4=0,1,IFERROR(--INDEX('COOIS Raw'!$A:$GZ,ROW()-4,$D$4),1)))</f>
        <v>1</v>
      </c>
      <c r="E438" s="42" t="str">
        <f aca="false">IF(A438="","",INDEX('COOIS Raw'!$A:$GZ,ROW()-4,$E$4)&amp;"")</f>
        <v>REL PRT CNF DLV PRC GMPS MANC RESA*</v>
      </c>
      <c r="F438" s="43" t="n">
        <f aca="false">IF(A438="","",IFERROR(DATEVALUE(INDEX('COOIS Raw'!$A:$GZ,ROW()-4,$F$4)),INDEX('COOIS Raw'!$A:$GZ,ROW()-4,$F$4)))</f>
        <v>46246</v>
      </c>
      <c r="G438" s="41" t="str">
        <f aca="false">IF(A438="","",IF(ISNA(MATCH(B438,'Kitting Plan'!$B$6:$B$19,0)),"Not in plan","Yes"))</f>
        <v>Yes</v>
      </c>
      <c r="H438" s="41" t="n">
        <f aca="false">IF(G438="Yes",INDEX('Kitting Plan'!$D$6:$D$19,MATCH(B438,'Kitting Plan'!$B$6:$B$19,0)),"")</f>
        <v>24</v>
      </c>
      <c r="I438" s="41" t="n">
        <f aca="false">IF(A438="","",IF(ISNUMBER(SEARCH("PRT",E438)),D438,0))</f>
        <v>1</v>
      </c>
      <c r="J438" s="41" t="n">
        <f aca="false">IF(A438="","",IF(ISNUMBER(SEARCH("GMPS",E438)),D438,0))</f>
        <v>1</v>
      </c>
      <c r="K438" s="41" t="n">
        <f aca="false">IF(A438="","",IF(ISNUMBER(SEARCH("DLV",E438)),D438,0))</f>
        <v>1</v>
      </c>
      <c r="L438" s="41" t="str">
        <f aca="false">IF(A438="","",IF(K438&gt;0,"Delivered",IF(ISNUMBER(SEARCH("CNF",E438)),"In production",IF(J438&gt;0,"Issued",IF(I438&gt;0,"Kitted","Released")))))</f>
        <v>Delivered</v>
      </c>
      <c r="M438" s="41" t="n">
        <f aca="false">IF(G438&lt;&gt;"Yes","",COUNTIFS($B$6:$B$1505,B438,$F$6:$F$1505,"&lt;"&amp;F438)+COUNTIFS($B$6:$B$1505,B438,$F$6:$F$1505,F438,$A$6:$A$1505,"&lt;="&amp;A438))</f>
        <v>111</v>
      </c>
      <c r="N438" s="41" t="n">
        <f aca="false">IF(M438="","",ROUNDUP(M438/H438,0))</f>
        <v>5</v>
      </c>
      <c r="O438" s="41" t="str">
        <f aca="false">IF(N438="","",IF(N438&lt;='Kitting Plan'!$C$3,"Rep "&amp;N438,"Surplus"))</f>
        <v>Rep 5</v>
      </c>
    </row>
    <row r="439" customFormat="false" ht="15" hidden="false" customHeight="false" outlineLevel="0" collapsed="false">
      <c r="A439" s="40" t="n">
        <f aca="false">IF(OR($A$4=0,INDEX('COOIS Raw'!$A:$GZ,ROW()-4,$A$4)=""),"",IFERROR(--INDEX('COOIS Raw'!$A:$GZ,ROW()-4,$A$4),INDEX('COOIS Raw'!$A:$GZ,ROW()-4,$A$4)))</f>
        <v>100874150</v>
      </c>
      <c r="B439" s="41" t="str">
        <f aca="false">IF(A439="","",TRIM(INDEX('COOIS Raw'!$A:$GZ,ROW()-4,$B$4)))</f>
        <v>92RRA00548AAA</v>
      </c>
      <c r="C439" s="42" t="str">
        <f aca="false">IF(OR(A439="",$C$4=0),"",INDEX('COOIS Raw'!$A:$GZ,ROW()-4,$C$4))</f>
        <v>R5B ERBIUM SPOOL ASSEMBLY - E2A</v>
      </c>
      <c r="D439" s="41" t="n">
        <f aca="false">IF(A439="","",IF($D$4=0,1,IFERROR(--INDEX('COOIS Raw'!$A:$GZ,ROW()-4,$D$4),1)))</f>
        <v>1</v>
      </c>
      <c r="E439" s="42" t="str">
        <f aca="false">IF(A439="","",INDEX('COOIS Raw'!$A:$GZ,ROW()-4,$E$4)&amp;"")</f>
        <v>REL PRT CNF DLV PRC GMPS MANC RESA*</v>
      </c>
      <c r="F439" s="43" t="n">
        <f aca="false">IF(A439="","",IFERROR(DATEVALUE(INDEX('COOIS Raw'!$A:$GZ,ROW()-4,$F$4)),INDEX('COOIS Raw'!$A:$GZ,ROW()-4,$F$4)))</f>
        <v>46246</v>
      </c>
      <c r="G439" s="41" t="str">
        <f aca="false">IF(A439="","",IF(ISNA(MATCH(B439,'Kitting Plan'!$B$6:$B$19,0)),"Not in plan","Yes"))</f>
        <v>Yes</v>
      </c>
      <c r="H439" s="41" t="n">
        <f aca="false">IF(G439="Yes",INDEX('Kitting Plan'!$D$6:$D$19,MATCH(B439,'Kitting Plan'!$B$6:$B$19,0)),"")</f>
        <v>24</v>
      </c>
      <c r="I439" s="41" t="n">
        <f aca="false">IF(A439="","",IF(ISNUMBER(SEARCH("PRT",E439)),D439,0))</f>
        <v>1</v>
      </c>
      <c r="J439" s="41" t="n">
        <f aca="false">IF(A439="","",IF(ISNUMBER(SEARCH("GMPS",E439)),D439,0))</f>
        <v>1</v>
      </c>
      <c r="K439" s="41" t="n">
        <f aca="false">IF(A439="","",IF(ISNUMBER(SEARCH("DLV",E439)),D439,0))</f>
        <v>1</v>
      </c>
      <c r="L439" s="41" t="str">
        <f aca="false">IF(A439="","",IF(K439&gt;0,"Delivered",IF(ISNUMBER(SEARCH("CNF",E439)),"In production",IF(J439&gt;0,"Issued",IF(I439&gt;0,"Kitted","Released")))))</f>
        <v>Delivered</v>
      </c>
      <c r="M439" s="41" t="n">
        <f aca="false">IF(G439&lt;&gt;"Yes","",COUNTIFS($B$6:$B$1505,B439,$F$6:$F$1505,"&lt;"&amp;F439)+COUNTIFS($B$6:$B$1505,B439,$F$6:$F$1505,F439,$A$6:$A$1505,"&lt;="&amp;A439))</f>
        <v>112</v>
      </c>
      <c r="N439" s="41" t="n">
        <f aca="false">IF(M439="","",ROUNDUP(M439/H439,0))</f>
        <v>5</v>
      </c>
      <c r="O439" s="41" t="str">
        <f aca="false">IF(N439="","",IF(N439&lt;='Kitting Plan'!$C$3,"Rep "&amp;N439,"Surplus"))</f>
        <v>Rep 5</v>
      </c>
    </row>
    <row r="440" customFormat="false" ht="15" hidden="false" customHeight="false" outlineLevel="0" collapsed="false">
      <c r="A440" s="40" t="n">
        <f aca="false">IF(OR($A$4=0,INDEX('COOIS Raw'!$A:$GZ,ROW()-4,$A$4)=""),"",IFERROR(--INDEX('COOIS Raw'!$A:$GZ,ROW()-4,$A$4),INDEX('COOIS Raw'!$A:$GZ,ROW()-4,$A$4)))</f>
        <v>100874151</v>
      </c>
      <c r="B440" s="41" t="str">
        <f aca="false">IF(A440="","",TRIM(INDEX('COOIS Raw'!$A:$GZ,ROW()-4,$B$4)))</f>
        <v>92RRA00548AAA</v>
      </c>
      <c r="C440" s="42" t="str">
        <f aca="false">IF(OR(A440="",$C$4=0),"",INDEX('COOIS Raw'!$A:$GZ,ROW()-4,$C$4))</f>
        <v>R5B ERBIUM SPOOL ASSEMBLY - E2A</v>
      </c>
      <c r="D440" s="41" t="n">
        <f aca="false">IF(A440="","",IF($D$4=0,1,IFERROR(--INDEX('COOIS Raw'!$A:$GZ,ROW()-4,$D$4),1)))</f>
        <v>1</v>
      </c>
      <c r="E440" s="42" t="str">
        <f aca="false">IF(A440="","",INDEX('COOIS Raw'!$A:$GZ,ROW()-4,$E$4)&amp;"")</f>
        <v>REL PRT CNF DLV PRC GMPS MANC RESA*</v>
      </c>
      <c r="F440" s="43" t="n">
        <f aca="false">IF(A440="","",IFERROR(DATEVALUE(INDEX('COOIS Raw'!$A:$GZ,ROW()-4,$F$4)),INDEX('COOIS Raw'!$A:$GZ,ROW()-4,$F$4)))</f>
        <v>46246</v>
      </c>
      <c r="G440" s="41" t="str">
        <f aca="false">IF(A440="","",IF(ISNA(MATCH(B440,'Kitting Plan'!$B$6:$B$19,0)),"Not in plan","Yes"))</f>
        <v>Yes</v>
      </c>
      <c r="H440" s="41" t="n">
        <f aca="false">IF(G440="Yes",INDEX('Kitting Plan'!$D$6:$D$19,MATCH(B440,'Kitting Plan'!$B$6:$B$19,0)),"")</f>
        <v>24</v>
      </c>
      <c r="I440" s="41" t="n">
        <f aca="false">IF(A440="","",IF(ISNUMBER(SEARCH("PRT",E440)),D440,0))</f>
        <v>1</v>
      </c>
      <c r="J440" s="41" t="n">
        <f aca="false">IF(A440="","",IF(ISNUMBER(SEARCH("GMPS",E440)),D440,0))</f>
        <v>1</v>
      </c>
      <c r="K440" s="41" t="n">
        <f aca="false">IF(A440="","",IF(ISNUMBER(SEARCH("DLV",E440)),D440,0))</f>
        <v>1</v>
      </c>
      <c r="L440" s="41" t="str">
        <f aca="false">IF(A440="","",IF(K440&gt;0,"Delivered",IF(ISNUMBER(SEARCH("CNF",E440)),"In production",IF(J440&gt;0,"Issued",IF(I440&gt;0,"Kitted","Released")))))</f>
        <v>Delivered</v>
      </c>
      <c r="M440" s="41" t="n">
        <f aca="false">IF(G440&lt;&gt;"Yes","",COUNTIFS($B$6:$B$1505,B440,$F$6:$F$1505,"&lt;"&amp;F440)+COUNTIFS($B$6:$B$1505,B440,$F$6:$F$1505,F440,$A$6:$A$1505,"&lt;="&amp;A440))</f>
        <v>113</v>
      </c>
      <c r="N440" s="41" t="n">
        <f aca="false">IF(M440="","",ROUNDUP(M440/H440,0))</f>
        <v>5</v>
      </c>
      <c r="O440" s="41" t="str">
        <f aca="false">IF(N440="","",IF(N440&lt;='Kitting Plan'!$C$3,"Rep "&amp;N440,"Surplus"))</f>
        <v>Rep 5</v>
      </c>
    </row>
    <row r="441" customFormat="false" ht="15" hidden="false" customHeight="false" outlineLevel="0" collapsed="false">
      <c r="A441" s="40" t="n">
        <f aca="false">IF(OR($A$4=0,INDEX('COOIS Raw'!$A:$GZ,ROW()-4,$A$4)=""),"",IFERROR(--INDEX('COOIS Raw'!$A:$GZ,ROW()-4,$A$4),INDEX('COOIS Raw'!$A:$GZ,ROW()-4,$A$4)))</f>
        <v>100874152</v>
      </c>
      <c r="B441" s="41" t="str">
        <f aca="false">IF(A441="","",TRIM(INDEX('COOIS Raw'!$A:$GZ,ROW()-4,$B$4)))</f>
        <v>92RRA00548AAA</v>
      </c>
      <c r="C441" s="42" t="str">
        <f aca="false">IF(OR(A441="",$C$4=0),"",INDEX('COOIS Raw'!$A:$GZ,ROW()-4,$C$4))</f>
        <v>R5B ERBIUM SPOOL ASSEMBLY - E2A</v>
      </c>
      <c r="D441" s="41" t="n">
        <f aca="false">IF(A441="","",IF($D$4=0,1,IFERROR(--INDEX('COOIS Raw'!$A:$GZ,ROW()-4,$D$4),1)))</f>
        <v>1</v>
      </c>
      <c r="E441" s="42" t="str">
        <f aca="false">IF(A441="","",INDEX('COOIS Raw'!$A:$GZ,ROW()-4,$E$4)&amp;"")</f>
        <v>REL PRT CNF DLV PRC GMPS MANC RESA*</v>
      </c>
      <c r="F441" s="43" t="n">
        <f aca="false">IF(A441="","",IFERROR(DATEVALUE(INDEX('COOIS Raw'!$A:$GZ,ROW()-4,$F$4)),INDEX('COOIS Raw'!$A:$GZ,ROW()-4,$F$4)))</f>
        <v>46246</v>
      </c>
      <c r="G441" s="41" t="str">
        <f aca="false">IF(A441="","",IF(ISNA(MATCH(B441,'Kitting Plan'!$B$6:$B$19,0)),"Not in plan","Yes"))</f>
        <v>Yes</v>
      </c>
      <c r="H441" s="41" t="n">
        <f aca="false">IF(G441="Yes",INDEX('Kitting Plan'!$D$6:$D$19,MATCH(B441,'Kitting Plan'!$B$6:$B$19,0)),"")</f>
        <v>24</v>
      </c>
      <c r="I441" s="41" t="n">
        <f aca="false">IF(A441="","",IF(ISNUMBER(SEARCH("PRT",E441)),D441,0))</f>
        <v>1</v>
      </c>
      <c r="J441" s="41" t="n">
        <f aca="false">IF(A441="","",IF(ISNUMBER(SEARCH("GMPS",E441)),D441,0))</f>
        <v>1</v>
      </c>
      <c r="K441" s="41" t="n">
        <f aca="false">IF(A441="","",IF(ISNUMBER(SEARCH("DLV",E441)),D441,0))</f>
        <v>1</v>
      </c>
      <c r="L441" s="41" t="str">
        <f aca="false">IF(A441="","",IF(K441&gt;0,"Delivered",IF(ISNUMBER(SEARCH("CNF",E441)),"In production",IF(J441&gt;0,"Issued",IF(I441&gt;0,"Kitted","Released")))))</f>
        <v>Delivered</v>
      </c>
      <c r="M441" s="41" t="n">
        <f aca="false">IF(G441&lt;&gt;"Yes","",COUNTIFS($B$6:$B$1505,B441,$F$6:$F$1505,"&lt;"&amp;F441)+COUNTIFS($B$6:$B$1505,B441,$F$6:$F$1505,F441,$A$6:$A$1505,"&lt;="&amp;A441))</f>
        <v>114</v>
      </c>
      <c r="N441" s="41" t="n">
        <f aca="false">IF(M441="","",ROUNDUP(M441/H441,0))</f>
        <v>5</v>
      </c>
      <c r="O441" s="41" t="str">
        <f aca="false">IF(N441="","",IF(N441&lt;='Kitting Plan'!$C$3,"Rep "&amp;N441,"Surplus"))</f>
        <v>Rep 5</v>
      </c>
    </row>
    <row r="442" customFormat="false" ht="15" hidden="false" customHeight="false" outlineLevel="0" collapsed="false">
      <c r="A442" s="40" t="n">
        <f aca="false">IF(OR($A$4=0,INDEX('COOIS Raw'!$A:$GZ,ROW()-4,$A$4)=""),"",IFERROR(--INDEX('COOIS Raw'!$A:$GZ,ROW()-4,$A$4),INDEX('COOIS Raw'!$A:$GZ,ROW()-4,$A$4)))</f>
        <v>100874153</v>
      </c>
      <c r="B442" s="41" t="str">
        <f aca="false">IF(A442="","",TRIM(INDEX('COOIS Raw'!$A:$GZ,ROW()-4,$B$4)))</f>
        <v>92RRA00548AAA</v>
      </c>
      <c r="C442" s="42" t="str">
        <f aca="false">IF(OR(A442="",$C$4=0),"",INDEX('COOIS Raw'!$A:$GZ,ROW()-4,$C$4))</f>
        <v>R5B ERBIUM SPOOL ASSEMBLY - E2A</v>
      </c>
      <c r="D442" s="41" t="n">
        <f aca="false">IF(A442="","",IF($D$4=0,1,IFERROR(--INDEX('COOIS Raw'!$A:$GZ,ROW()-4,$D$4),1)))</f>
        <v>1</v>
      </c>
      <c r="E442" s="42" t="str">
        <f aca="false">IF(A442="","",INDEX('COOIS Raw'!$A:$GZ,ROW()-4,$E$4)&amp;"")</f>
        <v>REL PRT CNF DLV PRC GMPS MANC RESA*</v>
      </c>
      <c r="F442" s="43" t="n">
        <f aca="false">IF(A442="","",IFERROR(DATEVALUE(INDEX('COOIS Raw'!$A:$GZ,ROW()-4,$F$4)),INDEX('COOIS Raw'!$A:$GZ,ROW()-4,$F$4)))</f>
        <v>46246</v>
      </c>
      <c r="G442" s="41" t="str">
        <f aca="false">IF(A442="","",IF(ISNA(MATCH(B442,'Kitting Plan'!$B$6:$B$19,0)),"Not in plan","Yes"))</f>
        <v>Yes</v>
      </c>
      <c r="H442" s="41" t="n">
        <f aca="false">IF(G442="Yes",INDEX('Kitting Plan'!$D$6:$D$19,MATCH(B442,'Kitting Plan'!$B$6:$B$19,0)),"")</f>
        <v>24</v>
      </c>
      <c r="I442" s="41" t="n">
        <f aca="false">IF(A442="","",IF(ISNUMBER(SEARCH("PRT",E442)),D442,0))</f>
        <v>1</v>
      </c>
      <c r="J442" s="41" t="n">
        <f aca="false">IF(A442="","",IF(ISNUMBER(SEARCH("GMPS",E442)),D442,0))</f>
        <v>1</v>
      </c>
      <c r="K442" s="41" t="n">
        <f aca="false">IF(A442="","",IF(ISNUMBER(SEARCH("DLV",E442)),D442,0))</f>
        <v>1</v>
      </c>
      <c r="L442" s="41" t="str">
        <f aca="false">IF(A442="","",IF(K442&gt;0,"Delivered",IF(ISNUMBER(SEARCH("CNF",E442)),"In production",IF(J442&gt;0,"Issued",IF(I442&gt;0,"Kitted","Released")))))</f>
        <v>Delivered</v>
      </c>
      <c r="M442" s="41" t="n">
        <f aca="false">IF(G442&lt;&gt;"Yes","",COUNTIFS($B$6:$B$1505,B442,$F$6:$F$1505,"&lt;"&amp;F442)+COUNTIFS($B$6:$B$1505,B442,$F$6:$F$1505,F442,$A$6:$A$1505,"&lt;="&amp;A442))</f>
        <v>115</v>
      </c>
      <c r="N442" s="41" t="n">
        <f aca="false">IF(M442="","",ROUNDUP(M442/H442,0))</f>
        <v>5</v>
      </c>
      <c r="O442" s="41" t="str">
        <f aca="false">IF(N442="","",IF(N442&lt;='Kitting Plan'!$C$3,"Rep "&amp;N442,"Surplus"))</f>
        <v>Rep 5</v>
      </c>
    </row>
    <row r="443" customFormat="false" ht="15" hidden="false" customHeight="false" outlineLevel="0" collapsed="false">
      <c r="A443" s="40" t="n">
        <f aca="false">IF(OR($A$4=0,INDEX('COOIS Raw'!$A:$GZ,ROW()-4,$A$4)=""),"",IFERROR(--INDEX('COOIS Raw'!$A:$GZ,ROW()-4,$A$4),INDEX('COOIS Raw'!$A:$GZ,ROW()-4,$A$4)))</f>
        <v>100874154</v>
      </c>
      <c r="B443" s="41" t="str">
        <f aca="false">IF(A443="","",TRIM(INDEX('COOIS Raw'!$A:$GZ,ROW()-4,$B$4)))</f>
        <v>92RRA00548AAA</v>
      </c>
      <c r="C443" s="42" t="str">
        <f aca="false">IF(OR(A443="",$C$4=0),"",INDEX('COOIS Raw'!$A:$GZ,ROW()-4,$C$4))</f>
        <v>R5B ERBIUM SPOOL ASSEMBLY - E2A</v>
      </c>
      <c r="D443" s="41" t="n">
        <f aca="false">IF(A443="","",IF($D$4=0,1,IFERROR(--INDEX('COOIS Raw'!$A:$GZ,ROW()-4,$D$4),1)))</f>
        <v>1</v>
      </c>
      <c r="E443" s="42" t="str">
        <f aca="false">IF(A443="","",INDEX('COOIS Raw'!$A:$GZ,ROW()-4,$E$4)&amp;"")</f>
        <v>REL PRT CNF DLV PRC GMPS MANC RESA*</v>
      </c>
      <c r="F443" s="43" t="n">
        <f aca="false">IF(A443="","",IFERROR(DATEVALUE(INDEX('COOIS Raw'!$A:$GZ,ROW()-4,$F$4)),INDEX('COOIS Raw'!$A:$GZ,ROW()-4,$F$4)))</f>
        <v>46246</v>
      </c>
      <c r="G443" s="41" t="str">
        <f aca="false">IF(A443="","",IF(ISNA(MATCH(B443,'Kitting Plan'!$B$6:$B$19,0)),"Not in plan","Yes"))</f>
        <v>Yes</v>
      </c>
      <c r="H443" s="41" t="n">
        <f aca="false">IF(G443="Yes",INDEX('Kitting Plan'!$D$6:$D$19,MATCH(B443,'Kitting Plan'!$B$6:$B$19,0)),"")</f>
        <v>24</v>
      </c>
      <c r="I443" s="41" t="n">
        <f aca="false">IF(A443="","",IF(ISNUMBER(SEARCH("PRT",E443)),D443,0))</f>
        <v>1</v>
      </c>
      <c r="J443" s="41" t="n">
        <f aca="false">IF(A443="","",IF(ISNUMBER(SEARCH("GMPS",E443)),D443,0))</f>
        <v>1</v>
      </c>
      <c r="K443" s="41" t="n">
        <f aca="false">IF(A443="","",IF(ISNUMBER(SEARCH("DLV",E443)),D443,0))</f>
        <v>1</v>
      </c>
      <c r="L443" s="41" t="str">
        <f aca="false">IF(A443="","",IF(K443&gt;0,"Delivered",IF(ISNUMBER(SEARCH("CNF",E443)),"In production",IF(J443&gt;0,"Issued",IF(I443&gt;0,"Kitted","Released")))))</f>
        <v>Delivered</v>
      </c>
      <c r="M443" s="41" t="n">
        <f aca="false">IF(G443&lt;&gt;"Yes","",COUNTIFS($B$6:$B$1505,B443,$F$6:$F$1505,"&lt;"&amp;F443)+COUNTIFS($B$6:$B$1505,B443,$F$6:$F$1505,F443,$A$6:$A$1505,"&lt;="&amp;A443))</f>
        <v>116</v>
      </c>
      <c r="N443" s="41" t="n">
        <f aca="false">IF(M443="","",ROUNDUP(M443/H443,0))</f>
        <v>5</v>
      </c>
      <c r="O443" s="41" t="str">
        <f aca="false">IF(N443="","",IF(N443&lt;='Kitting Plan'!$C$3,"Rep "&amp;N443,"Surplus"))</f>
        <v>Rep 5</v>
      </c>
    </row>
    <row r="444" customFormat="false" ht="15" hidden="false" customHeight="false" outlineLevel="0" collapsed="false">
      <c r="A444" s="40" t="n">
        <f aca="false">IF(OR($A$4=0,INDEX('COOIS Raw'!$A:$GZ,ROW()-4,$A$4)=""),"",IFERROR(--INDEX('COOIS Raw'!$A:$GZ,ROW()-4,$A$4),INDEX('COOIS Raw'!$A:$GZ,ROW()-4,$A$4)))</f>
        <v>100874155</v>
      </c>
      <c r="B444" s="41" t="str">
        <f aca="false">IF(A444="","",TRIM(INDEX('COOIS Raw'!$A:$GZ,ROW()-4,$B$4)))</f>
        <v>92RRA00548AAA</v>
      </c>
      <c r="C444" s="42" t="str">
        <f aca="false">IF(OR(A444="",$C$4=0),"",INDEX('COOIS Raw'!$A:$GZ,ROW()-4,$C$4))</f>
        <v>R5B ERBIUM SPOOL ASSEMBLY - E2A</v>
      </c>
      <c r="D444" s="41" t="n">
        <f aca="false">IF(A444="","",IF($D$4=0,1,IFERROR(--INDEX('COOIS Raw'!$A:$GZ,ROW()-4,$D$4),1)))</f>
        <v>1</v>
      </c>
      <c r="E444" s="42" t="str">
        <f aca="false">IF(A444="","",INDEX('COOIS Raw'!$A:$GZ,ROW()-4,$E$4)&amp;"")</f>
        <v>REL PRT CNF DLV PRC GMPS MANC RESA*</v>
      </c>
      <c r="F444" s="43" t="n">
        <f aca="false">IF(A444="","",IFERROR(DATEVALUE(INDEX('COOIS Raw'!$A:$GZ,ROW()-4,$F$4)),INDEX('COOIS Raw'!$A:$GZ,ROW()-4,$F$4)))</f>
        <v>46246</v>
      </c>
      <c r="G444" s="41" t="str">
        <f aca="false">IF(A444="","",IF(ISNA(MATCH(B444,'Kitting Plan'!$B$6:$B$19,0)),"Not in plan","Yes"))</f>
        <v>Yes</v>
      </c>
      <c r="H444" s="41" t="n">
        <f aca="false">IF(G444="Yes",INDEX('Kitting Plan'!$D$6:$D$19,MATCH(B444,'Kitting Plan'!$B$6:$B$19,0)),"")</f>
        <v>24</v>
      </c>
      <c r="I444" s="41" t="n">
        <f aca="false">IF(A444="","",IF(ISNUMBER(SEARCH("PRT",E444)),D444,0))</f>
        <v>1</v>
      </c>
      <c r="J444" s="41" t="n">
        <f aca="false">IF(A444="","",IF(ISNUMBER(SEARCH("GMPS",E444)),D444,0))</f>
        <v>1</v>
      </c>
      <c r="K444" s="41" t="n">
        <f aca="false">IF(A444="","",IF(ISNUMBER(SEARCH("DLV",E444)),D444,0))</f>
        <v>1</v>
      </c>
      <c r="L444" s="41" t="str">
        <f aca="false">IF(A444="","",IF(K444&gt;0,"Delivered",IF(ISNUMBER(SEARCH("CNF",E444)),"In production",IF(J444&gt;0,"Issued",IF(I444&gt;0,"Kitted","Released")))))</f>
        <v>Delivered</v>
      </c>
      <c r="M444" s="41" t="n">
        <f aca="false">IF(G444&lt;&gt;"Yes","",COUNTIFS($B$6:$B$1505,B444,$F$6:$F$1505,"&lt;"&amp;F444)+COUNTIFS($B$6:$B$1505,B444,$F$6:$F$1505,F444,$A$6:$A$1505,"&lt;="&amp;A444))</f>
        <v>117</v>
      </c>
      <c r="N444" s="41" t="n">
        <f aca="false">IF(M444="","",ROUNDUP(M444/H444,0))</f>
        <v>5</v>
      </c>
      <c r="O444" s="41" t="str">
        <f aca="false">IF(N444="","",IF(N444&lt;='Kitting Plan'!$C$3,"Rep "&amp;N444,"Surplus"))</f>
        <v>Rep 5</v>
      </c>
    </row>
    <row r="445" customFormat="false" ht="15" hidden="false" customHeight="false" outlineLevel="0" collapsed="false">
      <c r="A445" s="40" t="n">
        <f aca="false">IF(OR($A$4=0,INDEX('COOIS Raw'!$A:$GZ,ROW()-4,$A$4)=""),"",IFERROR(--INDEX('COOIS Raw'!$A:$GZ,ROW()-4,$A$4),INDEX('COOIS Raw'!$A:$GZ,ROW()-4,$A$4)))</f>
        <v>100874156</v>
      </c>
      <c r="B445" s="41" t="str">
        <f aca="false">IF(A445="","",TRIM(INDEX('COOIS Raw'!$A:$GZ,ROW()-4,$B$4)))</f>
        <v>92RRA00548AAA</v>
      </c>
      <c r="C445" s="42" t="str">
        <f aca="false">IF(OR(A445="",$C$4=0),"",INDEX('COOIS Raw'!$A:$GZ,ROW()-4,$C$4))</f>
        <v>R5B ERBIUM SPOOL ASSEMBLY - E2A</v>
      </c>
      <c r="D445" s="41" t="n">
        <f aca="false">IF(A445="","",IF($D$4=0,1,IFERROR(--INDEX('COOIS Raw'!$A:$GZ,ROW()-4,$D$4),1)))</f>
        <v>1</v>
      </c>
      <c r="E445" s="42" t="str">
        <f aca="false">IF(A445="","",INDEX('COOIS Raw'!$A:$GZ,ROW()-4,$E$4)&amp;"")</f>
        <v>REL PRT CNF DLV PRC GMPS MANC RESA*</v>
      </c>
      <c r="F445" s="43" t="n">
        <f aca="false">IF(A445="","",IFERROR(DATEVALUE(INDEX('COOIS Raw'!$A:$GZ,ROW()-4,$F$4)),INDEX('COOIS Raw'!$A:$GZ,ROW()-4,$F$4)))</f>
        <v>46246</v>
      </c>
      <c r="G445" s="41" t="str">
        <f aca="false">IF(A445="","",IF(ISNA(MATCH(B445,'Kitting Plan'!$B$6:$B$19,0)),"Not in plan","Yes"))</f>
        <v>Yes</v>
      </c>
      <c r="H445" s="41" t="n">
        <f aca="false">IF(G445="Yes",INDEX('Kitting Plan'!$D$6:$D$19,MATCH(B445,'Kitting Plan'!$B$6:$B$19,0)),"")</f>
        <v>24</v>
      </c>
      <c r="I445" s="41" t="n">
        <f aca="false">IF(A445="","",IF(ISNUMBER(SEARCH("PRT",E445)),D445,0))</f>
        <v>1</v>
      </c>
      <c r="J445" s="41" t="n">
        <f aca="false">IF(A445="","",IF(ISNUMBER(SEARCH("GMPS",E445)),D445,0))</f>
        <v>1</v>
      </c>
      <c r="K445" s="41" t="n">
        <f aca="false">IF(A445="","",IF(ISNUMBER(SEARCH("DLV",E445)),D445,0))</f>
        <v>1</v>
      </c>
      <c r="L445" s="41" t="str">
        <f aca="false">IF(A445="","",IF(K445&gt;0,"Delivered",IF(ISNUMBER(SEARCH("CNF",E445)),"In production",IF(J445&gt;0,"Issued",IF(I445&gt;0,"Kitted","Released")))))</f>
        <v>Delivered</v>
      </c>
      <c r="M445" s="41" t="n">
        <f aca="false">IF(G445&lt;&gt;"Yes","",COUNTIFS($B$6:$B$1505,B445,$F$6:$F$1505,"&lt;"&amp;F445)+COUNTIFS($B$6:$B$1505,B445,$F$6:$F$1505,F445,$A$6:$A$1505,"&lt;="&amp;A445))</f>
        <v>118</v>
      </c>
      <c r="N445" s="41" t="n">
        <f aca="false">IF(M445="","",ROUNDUP(M445/H445,0))</f>
        <v>5</v>
      </c>
      <c r="O445" s="41" t="str">
        <f aca="false">IF(N445="","",IF(N445&lt;='Kitting Plan'!$C$3,"Rep "&amp;N445,"Surplus"))</f>
        <v>Rep 5</v>
      </c>
    </row>
    <row r="446" customFormat="false" ht="15" hidden="false" customHeight="false" outlineLevel="0" collapsed="false">
      <c r="A446" s="40" t="n">
        <f aca="false">IF(OR($A$4=0,INDEX('COOIS Raw'!$A:$GZ,ROW()-4,$A$4)=""),"",IFERROR(--INDEX('COOIS Raw'!$A:$GZ,ROW()-4,$A$4),INDEX('COOIS Raw'!$A:$GZ,ROW()-4,$A$4)))</f>
        <v>100874157</v>
      </c>
      <c r="B446" s="41" t="str">
        <f aca="false">IF(A446="","",TRIM(INDEX('COOIS Raw'!$A:$GZ,ROW()-4,$B$4)))</f>
        <v>92RRA00548AAA</v>
      </c>
      <c r="C446" s="42" t="str">
        <f aca="false">IF(OR(A446="",$C$4=0),"",INDEX('COOIS Raw'!$A:$GZ,ROW()-4,$C$4))</f>
        <v>R5B ERBIUM SPOOL ASSEMBLY - E2A</v>
      </c>
      <c r="D446" s="41" t="n">
        <f aca="false">IF(A446="","",IF($D$4=0,1,IFERROR(--INDEX('COOIS Raw'!$A:$GZ,ROW()-4,$D$4),1)))</f>
        <v>1</v>
      </c>
      <c r="E446" s="42" t="str">
        <f aca="false">IF(A446="","",INDEX('COOIS Raw'!$A:$GZ,ROW()-4,$E$4)&amp;"")</f>
        <v>REL PRT CNF DLV PRC GMPS MANC RESA*</v>
      </c>
      <c r="F446" s="43" t="n">
        <f aca="false">IF(A446="","",IFERROR(DATEVALUE(INDEX('COOIS Raw'!$A:$GZ,ROW()-4,$F$4)),INDEX('COOIS Raw'!$A:$GZ,ROW()-4,$F$4)))</f>
        <v>46246</v>
      </c>
      <c r="G446" s="41" t="str">
        <f aca="false">IF(A446="","",IF(ISNA(MATCH(B446,'Kitting Plan'!$B$6:$B$19,0)),"Not in plan","Yes"))</f>
        <v>Yes</v>
      </c>
      <c r="H446" s="41" t="n">
        <f aca="false">IF(G446="Yes",INDEX('Kitting Plan'!$D$6:$D$19,MATCH(B446,'Kitting Plan'!$B$6:$B$19,0)),"")</f>
        <v>24</v>
      </c>
      <c r="I446" s="41" t="n">
        <f aca="false">IF(A446="","",IF(ISNUMBER(SEARCH("PRT",E446)),D446,0))</f>
        <v>1</v>
      </c>
      <c r="J446" s="41" t="n">
        <f aca="false">IF(A446="","",IF(ISNUMBER(SEARCH("GMPS",E446)),D446,0))</f>
        <v>1</v>
      </c>
      <c r="K446" s="41" t="n">
        <f aca="false">IF(A446="","",IF(ISNUMBER(SEARCH("DLV",E446)),D446,0))</f>
        <v>1</v>
      </c>
      <c r="L446" s="41" t="str">
        <f aca="false">IF(A446="","",IF(K446&gt;0,"Delivered",IF(ISNUMBER(SEARCH("CNF",E446)),"In production",IF(J446&gt;0,"Issued",IF(I446&gt;0,"Kitted","Released")))))</f>
        <v>Delivered</v>
      </c>
      <c r="M446" s="41" t="n">
        <f aca="false">IF(G446&lt;&gt;"Yes","",COUNTIFS($B$6:$B$1505,B446,$F$6:$F$1505,"&lt;"&amp;F446)+COUNTIFS($B$6:$B$1505,B446,$F$6:$F$1505,F446,$A$6:$A$1505,"&lt;="&amp;A446))</f>
        <v>119</v>
      </c>
      <c r="N446" s="41" t="n">
        <f aca="false">IF(M446="","",ROUNDUP(M446/H446,0))</f>
        <v>5</v>
      </c>
      <c r="O446" s="41" t="str">
        <f aca="false">IF(N446="","",IF(N446&lt;='Kitting Plan'!$C$3,"Rep "&amp;N446,"Surplus"))</f>
        <v>Rep 5</v>
      </c>
    </row>
    <row r="447" customFormat="false" ht="15" hidden="false" customHeight="false" outlineLevel="0" collapsed="false">
      <c r="A447" s="40" t="n">
        <f aca="false">IF(OR($A$4=0,INDEX('COOIS Raw'!$A:$GZ,ROW()-4,$A$4)=""),"",IFERROR(--INDEX('COOIS Raw'!$A:$GZ,ROW()-4,$A$4),INDEX('COOIS Raw'!$A:$GZ,ROW()-4,$A$4)))</f>
        <v>100874158</v>
      </c>
      <c r="B447" s="41" t="str">
        <f aca="false">IF(A447="","",TRIM(INDEX('COOIS Raw'!$A:$GZ,ROW()-4,$B$4)))</f>
        <v>92RRA00548AAA</v>
      </c>
      <c r="C447" s="42" t="str">
        <f aca="false">IF(OR(A447="",$C$4=0),"",INDEX('COOIS Raw'!$A:$GZ,ROW()-4,$C$4))</f>
        <v>R5B ERBIUM SPOOL ASSEMBLY - E2A</v>
      </c>
      <c r="D447" s="41" t="n">
        <f aca="false">IF(A447="","",IF($D$4=0,1,IFERROR(--INDEX('COOIS Raw'!$A:$GZ,ROW()-4,$D$4),1)))</f>
        <v>1</v>
      </c>
      <c r="E447" s="42" t="str">
        <f aca="false">IF(A447="","",INDEX('COOIS Raw'!$A:$GZ,ROW()-4,$E$4)&amp;"")</f>
        <v>REL PRT CNF DLV PRC GMPS MANC RESA*</v>
      </c>
      <c r="F447" s="43" t="n">
        <f aca="false">IF(A447="","",IFERROR(DATEVALUE(INDEX('COOIS Raw'!$A:$GZ,ROW()-4,$F$4)),INDEX('COOIS Raw'!$A:$GZ,ROW()-4,$F$4)))</f>
        <v>46246</v>
      </c>
      <c r="G447" s="41" t="str">
        <f aca="false">IF(A447="","",IF(ISNA(MATCH(B447,'Kitting Plan'!$B$6:$B$19,0)),"Not in plan","Yes"))</f>
        <v>Yes</v>
      </c>
      <c r="H447" s="41" t="n">
        <f aca="false">IF(G447="Yes",INDEX('Kitting Plan'!$D$6:$D$19,MATCH(B447,'Kitting Plan'!$B$6:$B$19,0)),"")</f>
        <v>24</v>
      </c>
      <c r="I447" s="41" t="n">
        <f aca="false">IF(A447="","",IF(ISNUMBER(SEARCH("PRT",E447)),D447,0))</f>
        <v>1</v>
      </c>
      <c r="J447" s="41" t="n">
        <f aca="false">IF(A447="","",IF(ISNUMBER(SEARCH("GMPS",E447)),D447,0))</f>
        <v>1</v>
      </c>
      <c r="K447" s="41" t="n">
        <f aca="false">IF(A447="","",IF(ISNUMBER(SEARCH("DLV",E447)),D447,0))</f>
        <v>1</v>
      </c>
      <c r="L447" s="41" t="str">
        <f aca="false">IF(A447="","",IF(K447&gt;0,"Delivered",IF(ISNUMBER(SEARCH("CNF",E447)),"In production",IF(J447&gt;0,"Issued",IF(I447&gt;0,"Kitted","Released")))))</f>
        <v>Delivered</v>
      </c>
      <c r="M447" s="41" t="n">
        <f aca="false">IF(G447&lt;&gt;"Yes","",COUNTIFS($B$6:$B$1505,B447,$F$6:$F$1505,"&lt;"&amp;F447)+COUNTIFS($B$6:$B$1505,B447,$F$6:$F$1505,F447,$A$6:$A$1505,"&lt;="&amp;A447))</f>
        <v>120</v>
      </c>
      <c r="N447" s="41" t="n">
        <f aca="false">IF(M447="","",ROUNDUP(M447/H447,0))</f>
        <v>5</v>
      </c>
      <c r="O447" s="41" t="str">
        <f aca="false">IF(N447="","",IF(N447&lt;='Kitting Plan'!$C$3,"Rep "&amp;N447,"Surplus"))</f>
        <v>Rep 5</v>
      </c>
    </row>
    <row r="448" customFormat="false" ht="15" hidden="false" customHeight="false" outlineLevel="0" collapsed="false">
      <c r="A448" s="40" t="n">
        <f aca="false">IF(OR($A$4=0,INDEX('COOIS Raw'!$A:$GZ,ROW()-4,$A$4)=""),"",IFERROR(--INDEX('COOIS Raw'!$A:$GZ,ROW()-4,$A$4),INDEX('COOIS Raw'!$A:$GZ,ROW()-4,$A$4)))</f>
        <v>100874161</v>
      </c>
      <c r="B448" s="41" t="str">
        <f aca="false">IF(A448="","",TRIM(INDEX('COOIS Raw'!$A:$GZ,ROW()-4,$B$4)))</f>
        <v>92RRA00548AAA</v>
      </c>
      <c r="C448" s="42" t="str">
        <f aca="false">IF(OR(A448="",$C$4=0),"",INDEX('COOIS Raw'!$A:$GZ,ROW()-4,$C$4))</f>
        <v>R5B ERBIUM SPOOL ASSEMBLY - E2A</v>
      </c>
      <c r="D448" s="41" t="n">
        <f aca="false">IF(A448="","",IF($D$4=0,1,IFERROR(--INDEX('COOIS Raw'!$A:$GZ,ROW()-4,$D$4),1)))</f>
        <v>1</v>
      </c>
      <c r="E448" s="42" t="str">
        <f aca="false">IF(A448="","",INDEX('COOIS Raw'!$A:$GZ,ROW()-4,$E$4)&amp;"")</f>
        <v>REL PRT CNF DLV PRC GMPS MANC RESA*</v>
      </c>
      <c r="F448" s="43" t="n">
        <f aca="false">IF(A448="","",IFERROR(DATEVALUE(INDEX('COOIS Raw'!$A:$GZ,ROW()-4,$F$4)),INDEX('COOIS Raw'!$A:$GZ,ROW()-4,$F$4)))</f>
        <v>46246</v>
      </c>
      <c r="G448" s="41" t="str">
        <f aca="false">IF(A448="","",IF(ISNA(MATCH(B448,'Kitting Plan'!$B$6:$B$19,0)),"Not in plan","Yes"))</f>
        <v>Yes</v>
      </c>
      <c r="H448" s="41" t="n">
        <f aca="false">IF(G448="Yes",INDEX('Kitting Plan'!$D$6:$D$19,MATCH(B448,'Kitting Plan'!$B$6:$B$19,0)),"")</f>
        <v>24</v>
      </c>
      <c r="I448" s="41" t="n">
        <f aca="false">IF(A448="","",IF(ISNUMBER(SEARCH("PRT",E448)),D448,0))</f>
        <v>1</v>
      </c>
      <c r="J448" s="41" t="n">
        <f aca="false">IF(A448="","",IF(ISNUMBER(SEARCH("GMPS",E448)),D448,0))</f>
        <v>1</v>
      </c>
      <c r="K448" s="41" t="n">
        <f aca="false">IF(A448="","",IF(ISNUMBER(SEARCH("DLV",E448)),D448,0))</f>
        <v>1</v>
      </c>
      <c r="L448" s="41" t="str">
        <f aca="false">IF(A448="","",IF(K448&gt;0,"Delivered",IF(ISNUMBER(SEARCH("CNF",E448)),"In production",IF(J448&gt;0,"Issued",IF(I448&gt;0,"Kitted","Released")))))</f>
        <v>Delivered</v>
      </c>
      <c r="M448" s="41" t="n">
        <f aca="false">IF(G448&lt;&gt;"Yes","",COUNTIFS($B$6:$B$1505,B448,$F$6:$F$1505,"&lt;"&amp;F448)+COUNTIFS($B$6:$B$1505,B448,$F$6:$F$1505,F448,$A$6:$A$1505,"&lt;="&amp;A448))</f>
        <v>121</v>
      </c>
      <c r="N448" s="41" t="n">
        <f aca="false">IF(M448="","",ROUNDUP(M448/H448,0))</f>
        <v>6</v>
      </c>
      <c r="O448" s="41" t="str">
        <f aca="false">IF(N448="","",IF(N448&lt;='Kitting Plan'!$C$3,"Rep "&amp;N448,"Surplus"))</f>
        <v>Rep 6</v>
      </c>
    </row>
    <row r="449" customFormat="false" ht="15" hidden="false" customHeight="false" outlineLevel="0" collapsed="false">
      <c r="A449" s="40" t="n">
        <f aca="false">IF(OR($A$4=0,INDEX('COOIS Raw'!$A:$GZ,ROW()-4,$A$4)=""),"",IFERROR(--INDEX('COOIS Raw'!$A:$GZ,ROW()-4,$A$4),INDEX('COOIS Raw'!$A:$GZ,ROW()-4,$A$4)))</f>
        <v>100874162</v>
      </c>
      <c r="B449" s="41" t="str">
        <f aca="false">IF(A449="","",TRIM(INDEX('COOIS Raw'!$A:$GZ,ROW()-4,$B$4)))</f>
        <v>92RRA00548AAA</v>
      </c>
      <c r="C449" s="42" t="str">
        <f aca="false">IF(OR(A449="",$C$4=0),"",INDEX('COOIS Raw'!$A:$GZ,ROW()-4,$C$4))</f>
        <v>R5B ERBIUM SPOOL ASSEMBLY - E2A</v>
      </c>
      <c r="D449" s="41" t="n">
        <f aca="false">IF(A449="","",IF($D$4=0,1,IFERROR(--INDEX('COOIS Raw'!$A:$GZ,ROW()-4,$D$4),1)))</f>
        <v>1</v>
      </c>
      <c r="E449" s="42" t="str">
        <f aca="false">IF(A449="","",INDEX('COOIS Raw'!$A:$GZ,ROW()-4,$E$4)&amp;"")</f>
        <v>REL PRT CNF DLV PRC GMPS MANC RESA*</v>
      </c>
      <c r="F449" s="43" t="n">
        <f aca="false">IF(A449="","",IFERROR(DATEVALUE(INDEX('COOIS Raw'!$A:$GZ,ROW()-4,$F$4)),INDEX('COOIS Raw'!$A:$GZ,ROW()-4,$F$4)))</f>
        <v>46246</v>
      </c>
      <c r="G449" s="41" t="str">
        <f aca="false">IF(A449="","",IF(ISNA(MATCH(B449,'Kitting Plan'!$B$6:$B$19,0)),"Not in plan","Yes"))</f>
        <v>Yes</v>
      </c>
      <c r="H449" s="41" t="n">
        <f aca="false">IF(G449="Yes",INDEX('Kitting Plan'!$D$6:$D$19,MATCH(B449,'Kitting Plan'!$B$6:$B$19,0)),"")</f>
        <v>24</v>
      </c>
      <c r="I449" s="41" t="n">
        <f aca="false">IF(A449="","",IF(ISNUMBER(SEARCH("PRT",E449)),D449,0))</f>
        <v>1</v>
      </c>
      <c r="J449" s="41" t="n">
        <f aca="false">IF(A449="","",IF(ISNUMBER(SEARCH("GMPS",E449)),D449,0))</f>
        <v>1</v>
      </c>
      <c r="K449" s="41" t="n">
        <f aca="false">IF(A449="","",IF(ISNUMBER(SEARCH("DLV",E449)),D449,0))</f>
        <v>1</v>
      </c>
      <c r="L449" s="41" t="str">
        <f aca="false">IF(A449="","",IF(K449&gt;0,"Delivered",IF(ISNUMBER(SEARCH("CNF",E449)),"In production",IF(J449&gt;0,"Issued",IF(I449&gt;0,"Kitted","Released")))))</f>
        <v>Delivered</v>
      </c>
      <c r="M449" s="41" t="n">
        <f aca="false">IF(G449&lt;&gt;"Yes","",COUNTIFS($B$6:$B$1505,B449,$F$6:$F$1505,"&lt;"&amp;F449)+COUNTIFS($B$6:$B$1505,B449,$F$6:$F$1505,F449,$A$6:$A$1505,"&lt;="&amp;A449))</f>
        <v>122</v>
      </c>
      <c r="N449" s="41" t="n">
        <f aca="false">IF(M449="","",ROUNDUP(M449/H449,0))</f>
        <v>6</v>
      </c>
      <c r="O449" s="41" t="str">
        <f aca="false">IF(N449="","",IF(N449&lt;='Kitting Plan'!$C$3,"Rep "&amp;N449,"Surplus"))</f>
        <v>Rep 6</v>
      </c>
    </row>
    <row r="450" customFormat="false" ht="15" hidden="false" customHeight="false" outlineLevel="0" collapsed="false">
      <c r="A450" s="40" t="n">
        <f aca="false">IF(OR($A$4=0,INDEX('COOIS Raw'!$A:$GZ,ROW()-4,$A$4)=""),"",IFERROR(--INDEX('COOIS Raw'!$A:$GZ,ROW()-4,$A$4),INDEX('COOIS Raw'!$A:$GZ,ROW()-4,$A$4)))</f>
        <v>100874163</v>
      </c>
      <c r="B450" s="41" t="str">
        <f aca="false">IF(A450="","",TRIM(INDEX('COOIS Raw'!$A:$GZ,ROW()-4,$B$4)))</f>
        <v>92RRA00548AAA</v>
      </c>
      <c r="C450" s="42" t="str">
        <f aca="false">IF(OR(A450="",$C$4=0),"",INDEX('COOIS Raw'!$A:$GZ,ROW()-4,$C$4))</f>
        <v>R5B ERBIUM SPOOL ASSEMBLY - E2A</v>
      </c>
      <c r="D450" s="41" t="n">
        <f aca="false">IF(A450="","",IF($D$4=0,1,IFERROR(--INDEX('COOIS Raw'!$A:$GZ,ROW()-4,$D$4),1)))</f>
        <v>1</v>
      </c>
      <c r="E450" s="42" t="str">
        <f aca="false">IF(A450="","",INDEX('COOIS Raw'!$A:$GZ,ROW()-4,$E$4)&amp;"")</f>
        <v>REL PRT CNF DLV PRC GMPS MANC RESA*</v>
      </c>
      <c r="F450" s="43" t="n">
        <f aca="false">IF(A450="","",IFERROR(DATEVALUE(INDEX('COOIS Raw'!$A:$GZ,ROW()-4,$F$4)),INDEX('COOIS Raw'!$A:$GZ,ROW()-4,$F$4)))</f>
        <v>46246</v>
      </c>
      <c r="G450" s="41" t="str">
        <f aca="false">IF(A450="","",IF(ISNA(MATCH(B450,'Kitting Plan'!$B$6:$B$19,0)),"Not in plan","Yes"))</f>
        <v>Yes</v>
      </c>
      <c r="H450" s="41" t="n">
        <f aca="false">IF(G450="Yes",INDEX('Kitting Plan'!$D$6:$D$19,MATCH(B450,'Kitting Plan'!$B$6:$B$19,0)),"")</f>
        <v>24</v>
      </c>
      <c r="I450" s="41" t="n">
        <f aca="false">IF(A450="","",IF(ISNUMBER(SEARCH("PRT",E450)),D450,0))</f>
        <v>1</v>
      </c>
      <c r="J450" s="41" t="n">
        <f aca="false">IF(A450="","",IF(ISNUMBER(SEARCH("GMPS",E450)),D450,0))</f>
        <v>1</v>
      </c>
      <c r="K450" s="41" t="n">
        <f aca="false">IF(A450="","",IF(ISNUMBER(SEARCH("DLV",E450)),D450,0))</f>
        <v>1</v>
      </c>
      <c r="L450" s="41" t="str">
        <f aca="false">IF(A450="","",IF(K450&gt;0,"Delivered",IF(ISNUMBER(SEARCH("CNF",E450)),"In production",IF(J450&gt;0,"Issued",IF(I450&gt;0,"Kitted","Released")))))</f>
        <v>Delivered</v>
      </c>
      <c r="M450" s="41" t="n">
        <f aca="false">IF(G450&lt;&gt;"Yes","",COUNTIFS($B$6:$B$1505,B450,$F$6:$F$1505,"&lt;"&amp;F450)+COUNTIFS($B$6:$B$1505,B450,$F$6:$F$1505,F450,$A$6:$A$1505,"&lt;="&amp;A450))</f>
        <v>123</v>
      </c>
      <c r="N450" s="41" t="n">
        <f aca="false">IF(M450="","",ROUNDUP(M450/H450,0))</f>
        <v>6</v>
      </c>
      <c r="O450" s="41" t="str">
        <f aca="false">IF(N450="","",IF(N450&lt;='Kitting Plan'!$C$3,"Rep "&amp;N450,"Surplus"))</f>
        <v>Rep 6</v>
      </c>
    </row>
    <row r="451" customFormat="false" ht="15" hidden="false" customHeight="false" outlineLevel="0" collapsed="false">
      <c r="A451" s="40" t="n">
        <f aca="false">IF(OR($A$4=0,INDEX('COOIS Raw'!$A:$GZ,ROW()-4,$A$4)=""),"",IFERROR(--INDEX('COOIS Raw'!$A:$GZ,ROW()-4,$A$4),INDEX('COOIS Raw'!$A:$GZ,ROW()-4,$A$4)))</f>
        <v>100874164</v>
      </c>
      <c r="B451" s="41" t="str">
        <f aca="false">IF(A451="","",TRIM(INDEX('COOIS Raw'!$A:$GZ,ROW()-4,$B$4)))</f>
        <v>92RRA00548AAA</v>
      </c>
      <c r="C451" s="42" t="str">
        <f aca="false">IF(OR(A451="",$C$4=0),"",INDEX('COOIS Raw'!$A:$GZ,ROW()-4,$C$4))</f>
        <v>R5B ERBIUM SPOOL ASSEMBLY - E2A</v>
      </c>
      <c r="D451" s="41" t="n">
        <f aca="false">IF(A451="","",IF($D$4=0,1,IFERROR(--INDEX('COOIS Raw'!$A:$GZ,ROW()-4,$D$4),1)))</f>
        <v>1</v>
      </c>
      <c r="E451" s="42" t="str">
        <f aca="false">IF(A451="","",INDEX('COOIS Raw'!$A:$GZ,ROW()-4,$E$4)&amp;"")</f>
        <v>REL PRT CNF DLV PRC GMPS MANC RESA*</v>
      </c>
      <c r="F451" s="43" t="n">
        <f aca="false">IF(A451="","",IFERROR(DATEVALUE(INDEX('COOIS Raw'!$A:$GZ,ROW()-4,$F$4)),INDEX('COOIS Raw'!$A:$GZ,ROW()-4,$F$4)))</f>
        <v>46246</v>
      </c>
      <c r="G451" s="41" t="str">
        <f aca="false">IF(A451="","",IF(ISNA(MATCH(B451,'Kitting Plan'!$B$6:$B$19,0)),"Not in plan","Yes"))</f>
        <v>Yes</v>
      </c>
      <c r="H451" s="41" t="n">
        <f aca="false">IF(G451="Yes",INDEX('Kitting Plan'!$D$6:$D$19,MATCH(B451,'Kitting Plan'!$B$6:$B$19,0)),"")</f>
        <v>24</v>
      </c>
      <c r="I451" s="41" t="n">
        <f aca="false">IF(A451="","",IF(ISNUMBER(SEARCH("PRT",E451)),D451,0))</f>
        <v>1</v>
      </c>
      <c r="J451" s="41" t="n">
        <f aca="false">IF(A451="","",IF(ISNUMBER(SEARCH("GMPS",E451)),D451,0))</f>
        <v>1</v>
      </c>
      <c r="K451" s="41" t="n">
        <f aca="false">IF(A451="","",IF(ISNUMBER(SEARCH("DLV",E451)),D451,0))</f>
        <v>1</v>
      </c>
      <c r="L451" s="41" t="str">
        <f aca="false">IF(A451="","",IF(K451&gt;0,"Delivered",IF(ISNUMBER(SEARCH("CNF",E451)),"In production",IF(J451&gt;0,"Issued",IF(I451&gt;0,"Kitted","Released")))))</f>
        <v>Delivered</v>
      </c>
      <c r="M451" s="41" t="n">
        <f aca="false">IF(G451&lt;&gt;"Yes","",COUNTIFS($B$6:$B$1505,B451,$F$6:$F$1505,"&lt;"&amp;F451)+COUNTIFS($B$6:$B$1505,B451,$F$6:$F$1505,F451,$A$6:$A$1505,"&lt;="&amp;A451))</f>
        <v>124</v>
      </c>
      <c r="N451" s="41" t="n">
        <f aca="false">IF(M451="","",ROUNDUP(M451/H451,0))</f>
        <v>6</v>
      </c>
      <c r="O451" s="41" t="str">
        <f aca="false">IF(N451="","",IF(N451&lt;='Kitting Plan'!$C$3,"Rep "&amp;N451,"Surplus"))</f>
        <v>Rep 6</v>
      </c>
    </row>
    <row r="452" customFormat="false" ht="15" hidden="false" customHeight="false" outlineLevel="0" collapsed="false">
      <c r="A452" s="40" t="n">
        <f aca="false">IF(OR($A$4=0,INDEX('COOIS Raw'!$A:$GZ,ROW()-4,$A$4)=""),"",IFERROR(--INDEX('COOIS Raw'!$A:$GZ,ROW()-4,$A$4),INDEX('COOIS Raw'!$A:$GZ,ROW()-4,$A$4)))</f>
        <v>100874165</v>
      </c>
      <c r="B452" s="41" t="str">
        <f aca="false">IF(A452="","",TRIM(INDEX('COOIS Raw'!$A:$GZ,ROW()-4,$B$4)))</f>
        <v>92RRA00548AAA</v>
      </c>
      <c r="C452" s="42" t="str">
        <f aca="false">IF(OR(A452="",$C$4=0),"",INDEX('COOIS Raw'!$A:$GZ,ROW()-4,$C$4))</f>
        <v>R5B ERBIUM SPOOL ASSEMBLY - E2A</v>
      </c>
      <c r="D452" s="41" t="n">
        <f aca="false">IF(A452="","",IF($D$4=0,1,IFERROR(--INDEX('COOIS Raw'!$A:$GZ,ROW()-4,$D$4),1)))</f>
        <v>1</v>
      </c>
      <c r="E452" s="42" t="str">
        <f aca="false">IF(A452="","",INDEX('COOIS Raw'!$A:$GZ,ROW()-4,$E$4)&amp;"")</f>
        <v>REL PRT CNF DLV PRC GMPS MANC RESA*</v>
      </c>
      <c r="F452" s="43" t="n">
        <f aca="false">IF(A452="","",IFERROR(DATEVALUE(INDEX('COOIS Raw'!$A:$GZ,ROW()-4,$F$4)),INDEX('COOIS Raw'!$A:$GZ,ROW()-4,$F$4)))</f>
        <v>46246</v>
      </c>
      <c r="G452" s="41" t="str">
        <f aca="false">IF(A452="","",IF(ISNA(MATCH(B452,'Kitting Plan'!$B$6:$B$19,0)),"Not in plan","Yes"))</f>
        <v>Yes</v>
      </c>
      <c r="H452" s="41" t="n">
        <f aca="false">IF(G452="Yes",INDEX('Kitting Plan'!$D$6:$D$19,MATCH(B452,'Kitting Plan'!$B$6:$B$19,0)),"")</f>
        <v>24</v>
      </c>
      <c r="I452" s="41" t="n">
        <f aca="false">IF(A452="","",IF(ISNUMBER(SEARCH("PRT",E452)),D452,0))</f>
        <v>1</v>
      </c>
      <c r="J452" s="41" t="n">
        <f aca="false">IF(A452="","",IF(ISNUMBER(SEARCH("GMPS",E452)),D452,0))</f>
        <v>1</v>
      </c>
      <c r="K452" s="41" t="n">
        <f aca="false">IF(A452="","",IF(ISNUMBER(SEARCH("DLV",E452)),D452,0))</f>
        <v>1</v>
      </c>
      <c r="L452" s="41" t="str">
        <f aca="false">IF(A452="","",IF(K452&gt;0,"Delivered",IF(ISNUMBER(SEARCH("CNF",E452)),"In production",IF(J452&gt;0,"Issued",IF(I452&gt;0,"Kitted","Released")))))</f>
        <v>Delivered</v>
      </c>
      <c r="M452" s="41" t="n">
        <f aca="false">IF(G452&lt;&gt;"Yes","",COUNTIFS($B$6:$B$1505,B452,$F$6:$F$1505,"&lt;"&amp;F452)+COUNTIFS($B$6:$B$1505,B452,$F$6:$F$1505,F452,$A$6:$A$1505,"&lt;="&amp;A452))</f>
        <v>125</v>
      </c>
      <c r="N452" s="41" t="n">
        <f aca="false">IF(M452="","",ROUNDUP(M452/H452,0))</f>
        <v>6</v>
      </c>
      <c r="O452" s="41" t="str">
        <f aca="false">IF(N452="","",IF(N452&lt;='Kitting Plan'!$C$3,"Rep "&amp;N452,"Surplus"))</f>
        <v>Rep 6</v>
      </c>
    </row>
    <row r="453" customFormat="false" ht="15" hidden="false" customHeight="false" outlineLevel="0" collapsed="false">
      <c r="A453" s="40" t="n">
        <f aca="false">IF(OR($A$4=0,INDEX('COOIS Raw'!$A:$GZ,ROW()-4,$A$4)=""),"",IFERROR(--INDEX('COOIS Raw'!$A:$GZ,ROW()-4,$A$4),INDEX('COOIS Raw'!$A:$GZ,ROW()-4,$A$4)))</f>
        <v>100874166</v>
      </c>
      <c r="B453" s="41" t="str">
        <f aca="false">IF(A453="","",TRIM(INDEX('COOIS Raw'!$A:$GZ,ROW()-4,$B$4)))</f>
        <v>92RRA00548AAA</v>
      </c>
      <c r="C453" s="42" t="str">
        <f aca="false">IF(OR(A453="",$C$4=0),"",INDEX('COOIS Raw'!$A:$GZ,ROW()-4,$C$4))</f>
        <v>R5B ERBIUM SPOOL ASSEMBLY - E2A</v>
      </c>
      <c r="D453" s="41" t="n">
        <f aca="false">IF(A453="","",IF($D$4=0,1,IFERROR(--INDEX('COOIS Raw'!$A:$GZ,ROW()-4,$D$4),1)))</f>
        <v>1</v>
      </c>
      <c r="E453" s="42" t="str">
        <f aca="false">IF(A453="","",INDEX('COOIS Raw'!$A:$GZ,ROW()-4,$E$4)&amp;"")</f>
        <v>REL PRT CNF DLV PRC GMPS MANC RESA*</v>
      </c>
      <c r="F453" s="43" t="n">
        <f aca="false">IF(A453="","",IFERROR(DATEVALUE(INDEX('COOIS Raw'!$A:$GZ,ROW()-4,$F$4)),INDEX('COOIS Raw'!$A:$GZ,ROW()-4,$F$4)))</f>
        <v>46246</v>
      </c>
      <c r="G453" s="41" t="str">
        <f aca="false">IF(A453="","",IF(ISNA(MATCH(B453,'Kitting Plan'!$B$6:$B$19,0)),"Not in plan","Yes"))</f>
        <v>Yes</v>
      </c>
      <c r="H453" s="41" t="n">
        <f aca="false">IF(G453="Yes",INDEX('Kitting Plan'!$D$6:$D$19,MATCH(B453,'Kitting Plan'!$B$6:$B$19,0)),"")</f>
        <v>24</v>
      </c>
      <c r="I453" s="41" t="n">
        <f aca="false">IF(A453="","",IF(ISNUMBER(SEARCH("PRT",E453)),D453,0))</f>
        <v>1</v>
      </c>
      <c r="J453" s="41" t="n">
        <f aca="false">IF(A453="","",IF(ISNUMBER(SEARCH("GMPS",E453)),D453,0))</f>
        <v>1</v>
      </c>
      <c r="K453" s="41" t="n">
        <f aca="false">IF(A453="","",IF(ISNUMBER(SEARCH("DLV",E453)),D453,0))</f>
        <v>1</v>
      </c>
      <c r="L453" s="41" t="str">
        <f aca="false">IF(A453="","",IF(K453&gt;0,"Delivered",IF(ISNUMBER(SEARCH("CNF",E453)),"In production",IF(J453&gt;0,"Issued",IF(I453&gt;0,"Kitted","Released")))))</f>
        <v>Delivered</v>
      </c>
      <c r="M453" s="41" t="n">
        <f aca="false">IF(G453&lt;&gt;"Yes","",COUNTIFS($B$6:$B$1505,B453,$F$6:$F$1505,"&lt;"&amp;F453)+COUNTIFS($B$6:$B$1505,B453,$F$6:$F$1505,F453,$A$6:$A$1505,"&lt;="&amp;A453))</f>
        <v>126</v>
      </c>
      <c r="N453" s="41" t="n">
        <f aca="false">IF(M453="","",ROUNDUP(M453/H453,0))</f>
        <v>6</v>
      </c>
      <c r="O453" s="41" t="str">
        <f aca="false">IF(N453="","",IF(N453&lt;='Kitting Plan'!$C$3,"Rep "&amp;N453,"Surplus"))</f>
        <v>Rep 6</v>
      </c>
    </row>
    <row r="454" customFormat="false" ht="15" hidden="false" customHeight="false" outlineLevel="0" collapsed="false">
      <c r="A454" s="40" t="n">
        <f aca="false">IF(OR($A$4=0,INDEX('COOIS Raw'!$A:$GZ,ROW()-4,$A$4)=""),"",IFERROR(--INDEX('COOIS Raw'!$A:$GZ,ROW()-4,$A$4),INDEX('COOIS Raw'!$A:$GZ,ROW()-4,$A$4)))</f>
        <v>100874170</v>
      </c>
      <c r="B454" s="41" t="str">
        <f aca="false">IF(A454="","",TRIM(INDEX('COOIS Raw'!$A:$GZ,ROW()-4,$B$4)))</f>
        <v>92YRA01548AAA</v>
      </c>
      <c r="C454" s="42" t="str">
        <f aca="false">IF(OR(A454="",$C$4=0),"",INDEX('COOIS Raw'!$A:$GZ,ROW()-4,$C$4))</f>
        <v>R5B ERBIUM ASSEMBLY 1</v>
      </c>
      <c r="D454" s="41" t="n">
        <f aca="false">IF(A454="","",IF($D$4=0,1,IFERROR(--INDEX('COOIS Raw'!$A:$GZ,ROW()-4,$D$4),1)))</f>
        <v>1</v>
      </c>
      <c r="E454" s="42" t="str">
        <f aca="false">IF(A454="","",INDEX('COOIS Raw'!$A:$GZ,ROW()-4,$E$4)&amp;"")</f>
        <v>REL PRT CNF DLV PRC GMPS MANC RESA*</v>
      </c>
      <c r="F454" s="43" t="n">
        <f aca="false">IF(A454="","",IFERROR(DATEVALUE(INDEX('COOIS Raw'!$A:$GZ,ROW()-4,$F$4)),INDEX('COOIS Raw'!$A:$GZ,ROW()-4,$F$4)))</f>
        <v>46246</v>
      </c>
      <c r="G454" s="41" t="str">
        <f aca="false">IF(A454="","",IF(ISNA(MATCH(B454,'Kitting Plan'!$B$6:$B$19,0)),"Not in plan","Yes"))</f>
        <v>Yes</v>
      </c>
      <c r="H454" s="41" t="n">
        <f aca="false">IF(G454="Yes",INDEX('Kitting Plan'!$D$6:$D$19,MATCH(B454,'Kitting Plan'!$B$6:$B$19,0)),"")</f>
        <v>3</v>
      </c>
      <c r="I454" s="41" t="n">
        <f aca="false">IF(A454="","",IF(ISNUMBER(SEARCH("PRT",E454)),D454,0))</f>
        <v>1</v>
      </c>
      <c r="J454" s="41" t="n">
        <f aca="false">IF(A454="","",IF(ISNUMBER(SEARCH("GMPS",E454)),D454,0))</f>
        <v>1</v>
      </c>
      <c r="K454" s="41" t="n">
        <f aca="false">IF(A454="","",IF(ISNUMBER(SEARCH("DLV",E454)),D454,0))</f>
        <v>1</v>
      </c>
      <c r="L454" s="41" t="str">
        <f aca="false">IF(A454="","",IF(K454&gt;0,"Delivered",IF(ISNUMBER(SEARCH("CNF",E454)),"In production",IF(J454&gt;0,"Issued",IF(I454&gt;0,"Kitted","Released")))))</f>
        <v>Delivered</v>
      </c>
      <c r="M454" s="41" t="n">
        <f aca="false">IF(G454&lt;&gt;"Yes","",COUNTIFS($B$6:$B$1505,B454,$F$6:$F$1505,"&lt;"&amp;F454)+COUNTIFS($B$6:$B$1505,B454,$F$6:$F$1505,F454,$A$6:$A$1505,"&lt;="&amp;A454))</f>
        <v>13</v>
      </c>
      <c r="N454" s="41" t="n">
        <f aca="false">IF(M454="","",ROUNDUP(M454/H454,0))</f>
        <v>5</v>
      </c>
      <c r="O454" s="41" t="str">
        <f aca="false">IF(N454="","",IF(N454&lt;='Kitting Plan'!$C$3,"Rep "&amp;N454,"Surplus"))</f>
        <v>Rep 5</v>
      </c>
    </row>
    <row r="455" customFormat="false" ht="15" hidden="false" customHeight="false" outlineLevel="0" collapsed="false">
      <c r="A455" s="40" t="n">
        <f aca="false">IF(OR($A$4=0,INDEX('COOIS Raw'!$A:$GZ,ROW()-4,$A$4)=""),"",IFERROR(--INDEX('COOIS Raw'!$A:$GZ,ROW()-4,$A$4),INDEX('COOIS Raw'!$A:$GZ,ROW()-4,$A$4)))</f>
        <v>100874171</v>
      </c>
      <c r="B455" s="41" t="str">
        <f aca="false">IF(A455="","",TRIM(INDEX('COOIS Raw'!$A:$GZ,ROW()-4,$B$4)))</f>
        <v>92YRA01548AAA</v>
      </c>
      <c r="C455" s="42" t="str">
        <f aca="false">IF(OR(A455="",$C$4=0),"",INDEX('COOIS Raw'!$A:$GZ,ROW()-4,$C$4))</f>
        <v>R5B ERBIUM ASSEMBLY 1</v>
      </c>
      <c r="D455" s="41" t="n">
        <f aca="false">IF(A455="","",IF($D$4=0,1,IFERROR(--INDEX('COOIS Raw'!$A:$GZ,ROW()-4,$D$4),1)))</f>
        <v>1</v>
      </c>
      <c r="E455" s="42" t="str">
        <f aca="false">IF(A455="","",INDEX('COOIS Raw'!$A:$GZ,ROW()-4,$E$4)&amp;"")</f>
        <v>REL PRT CNF DLV PRC GMPS MANC RESA*</v>
      </c>
      <c r="F455" s="43" t="n">
        <f aca="false">IF(A455="","",IFERROR(DATEVALUE(INDEX('COOIS Raw'!$A:$GZ,ROW()-4,$F$4)),INDEX('COOIS Raw'!$A:$GZ,ROW()-4,$F$4)))</f>
        <v>46246</v>
      </c>
      <c r="G455" s="41" t="str">
        <f aca="false">IF(A455="","",IF(ISNA(MATCH(B455,'Kitting Plan'!$B$6:$B$19,0)),"Not in plan","Yes"))</f>
        <v>Yes</v>
      </c>
      <c r="H455" s="41" t="n">
        <f aca="false">IF(G455="Yes",INDEX('Kitting Plan'!$D$6:$D$19,MATCH(B455,'Kitting Plan'!$B$6:$B$19,0)),"")</f>
        <v>3</v>
      </c>
      <c r="I455" s="41" t="n">
        <f aca="false">IF(A455="","",IF(ISNUMBER(SEARCH("PRT",E455)),D455,0))</f>
        <v>1</v>
      </c>
      <c r="J455" s="41" t="n">
        <f aca="false">IF(A455="","",IF(ISNUMBER(SEARCH("GMPS",E455)),D455,0))</f>
        <v>1</v>
      </c>
      <c r="K455" s="41" t="n">
        <f aca="false">IF(A455="","",IF(ISNUMBER(SEARCH("DLV",E455)),D455,0))</f>
        <v>1</v>
      </c>
      <c r="L455" s="41" t="str">
        <f aca="false">IF(A455="","",IF(K455&gt;0,"Delivered",IF(ISNUMBER(SEARCH("CNF",E455)),"In production",IF(J455&gt;0,"Issued",IF(I455&gt;0,"Kitted","Released")))))</f>
        <v>Delivered</v>
      </c>
      <c r="M455" s="41" t="n">
        <f aca="false">IF(G455&lt;&gt;"Yes","",COUNTIFS($B$6:$B$1505,B455,$F$6:$F$1505,"&lt;"&amp;F455)+COUNTIFS($B$6:$B$1505,B455,$F$6:$F$1505,F455,$A$6:$A$1505,"&lt;="&amp;A455))</f>
        <v>14</v>
      </c>
      <c r="N455" s="41" t="n">
        <f aca="false">IF(M455="","",ROUNDUP(M455/H455,0))</f>
        <v>5</v>
      </c>
      <c r="O455" s="41" t="str">
        <f aca="false">IF(N455="","",IF(N455&lt;='Kitting Plan'!$C$3,"Rep "&amp;N455,"Surplus"))</f>
        <v>Rep 5</v>
      </c>
    </row>
    <row r="456" customFormat="false" ht="15" hidden="false" customHeight="false" outlineLevel="0" collapsed="false">
      <c r="A456" s="40" t="n">
        <f aca="false">IF(OR($A$4=0,INDEX('COOIS Raw'!$A:$GZ,ROW()-4,$A$4)=""),"",IFERROR(--INDEX('COOIS Raw'!$A:$GZ,ROW()-4,$A$4),INDEX('COOIS Raw'!$A:$GZ,ROW()-4,$A$4)))</f>
        <v>100874172</v>
      </c>
      <c r="B456" s="41" t="str">
        <f aca="false">IF(A456="","",TRIM(INDEX('COOIS Raw'!$A:$GZ,ROW()-4,$B$4)))</f>
        <v>92YRA01548AAA</v>
      </c>
      <c r="C456" s="42" t="str">
        <f aca="false">IF(OR(A456="",$C$4=0),"",INDEX('COOIS Raw'!$A:$GZ,ROW()-4,$C$4))</f>
        <v>R5B ERBIUM ASSEMBLY 1</v>
      </c>
      <c r="D456" s="41" t="n">
        <f aca="false">IF(A456="","",IF($D$4=0,1,IFERROR(--INDEX('COOIS Raw'!$A:$GZ,ROW()-4,$D$4),1)))</f>
        <v>1</v>
      </c>
      <c r="E456" s="42" t="str">
        <f aca="false">IF(A456="","",INDEX('COOIS Raw'!$A:$GZ,ROW()-4,$E$4)&amp;"")</f>
        <v>REL PRT CNF DLV PRC GMPS MANC RESA*</v>
      </c>
      <c r="F456" s="43" t="n">
        <f aca="false">IF(A456="","",IFERROR(DATEVALUE(INDEX('COOIS Raw'!$A:$GZ,ROW()-4,$F$4)),INDEX('COOIS Raw'!$A:$GZ,ROW()-4,$F$4)))</f>
        <v>46246</v>
      </c>
      <c r="G456" s="41" t="str">
        <f aca="false">IF(A456="","",IF(ISNA(MATCH(B456,'Kitting Plan'!$B$6:$B$19,0)),"Not in plan","Yes"))</f>
        <v>Yes</v>
      </c>
      <c r="H456" s="41" t="n">
        <f aca="false">IF(G456="Yes",INDEX('Kitting Plan'!$D$6:$D$19,MATCH(B456,'Kitting Plan'!$B$6:$B$19,0)),"")</f>
        <v>3</v>
      </c>
      <c r="I456" s="41" t="n">
        <f aca="false">IF(A456="","",IF(ISNUMBER(SEARCH("PRT",E456)),D456,0))</f>
        <v>1</v>
      </c>
      <c r="J456" s="41" t="n">
        <f aca="false">IF(A456="","",IF(ISNUMBER(SEARCH("GMPS",E456)),D456,0))</f>
        <v>1</v>
      </c>
      <c r="K456" s="41" t="n">
        <f aca="false">IF(A456="","",IF(ISNUMBER(SEARCH("DLV",E456)),D456,0))</f>
        <v>1</v>
      </c>
      <c r="L456" s="41" t="str">
        <f aca="false">IF(A456="","",IF(K456&gt;0,"Delivered",IF(ISNUMBER(SEARCH("CNF",E456)),"In production",IF(J456&gt;0,"Issued",IF(I456&gt;0,"Kitted","Released")))))</f>
        <v>Delivered</v>
      </c>
      <c r="M456" s="41" t="n">
        <f aca="false">IF(G456&lt;&gt;"Yes","",COUNTIFS($B$6:$B$1505,B456,$F$6:$F$1505,"&lt;"&amp;F456)+COUNTIFS($B$6:$B$1505,B456,$F$6:$F$1505,F456,$A$6:$A$1505,"&lt;="&amp;A456))</f>
        <v>15</v>
      </c>
      <c r="N456" s="41" t="n">
        <f aca="false">IF(M456="","",ROUNDUP(M456/H456,0))</f>
        <v>5</v>
      </c>
      <c r="O456" s="41" t="str">
        <f aca="false">IF(N456="","",IF(N456&lt;='Kitting Plan'!$C$3,"Rep "&amp;N456,"Surplus"))</f>
        <v>Rep 5</v>
      </c>
    </row>
    <row r="457" customFormat="false" ht="15" hidden="false" customHeight="false" outlineLevel="0" collapsed="false">
      <c r="A457" s="40" t="n">
        <f aca="false">IF(OR($A$4=0,INDEX('COOIS Raw'!$A:$GZ,ROW()-4,$A$4)=""),"",IFERROR(--INDEX('COOIS Raw'!$A:$GZ,ROW()-4,$A$4),INDEX('COOIS Raw'!$A:$GZ,ROW()-4,$A$4)))</f>
        <v>100874174</v>
      </c>
      <c r="B457" s="41" t="str">
        <f aca="false">IF(A457="","",TRIM(INDEX('COOIS Raw'!$A:$GZ,ROW()-4,$B$4)))</f>
        <v>92YRA02548AAA</v>
      </c>
      <c r="C457" s="42" t="str">
        <f aca="false">IF(OR(A457="",$C$4=0),"",INDEX('COOIS Raw'!$A:$GZ,ROW()-4,$C$4))</f>
        <v>R5B ERBIUM ASSEMBLY 2</v>
      </c>
      <c r="D457" s="41" t="n">
        <f aca="false">IF(A457="","",IF($D$4=0,1,IFERROR(--INDEX('COOIS Raw'!$A:$GZ,ROW()-4,$D$4),1)))</f>
        <v>1</v>
      </c>
      <c r="E457" s="42" t="str">
        <f aca="false">IF(A457="","",INDEX('COOIS Raw'!$A:$GZ,ROW()-4,$E$4)&amp;"")</f>
        <v>REL PRT CNF DLV PRC GMPS MANC RESA*</v>
      </c>
      <c r="F457" s="43" t="n">
        <f aca="false">IF(A457="","",IFERROR(DATEVALUE(INDEX('COOIS Raw'!$A:$GZ,ROW()-4,$F$4)),INDEX('COOIS Raw'!$A:$GZ,ROW()-4,$F$4)))</f>
        <v>46246</v>
      </c>
      <c r="G457" s="41" t="str">
        <f aca="false">IF(A457="","",IF(ISNA(MATCH(B457,'Kitting Plan'!$B$6:$B$19,0)),"Not in plan","Yes"))</f>
        <v>Yes</v>
      </c>
      <c r="H457" s="41" t="n">
        <f aca="false">IF(G457="Yes",INDEX('Kitting Plan'!$D$6:$D$19,MATCH(B457,'Kitting Plan'!$B$6:$B$19,0)),"")</f>
        <v>3</v>
      </c>
      <c r="I457" s="41" t="n">
        <f aca="false">IF(A457="","",IF(ISNUMBER(SEARCH("PRT",E457)),D457,0))</f>
        <v>1</v>
      </c>
      <c r="J457" s="41" t="n">
        <f aca="false">IF(A457="","",IF(ISNUMBER(SEARCH("GMPS",E457)),D457,0))</f>
        <v>1</v>
      </c>
      <c r="K457" s="41" t="n">
        <f aca="false">IF(A457="","",IF(ISNUMBER(SEARCH("DLV",E457)),D457,0))</f>
        <v>1</v>
      </c>
      <c r="L457" s="41" t="str">
        <f aca="false">IF(A457="","",IF(K457&gt;0,"Delivered",IF(ISNUMBER(SEARCH("CNF",E457)),"In production",IF(J457&gt;0,"Issued",IF(I457&gt;0,"Kitted","Released")))))</f>
        <v>Delivered</v>
      </c>
      <c r="M457" s="41" t="n">
        <f aca="false">IF(G457&lt;&gt;"Yes","",COUNTIFS($B$6:$B$1505,B457,$F$6:$F$1505,"&lt;"&amp;F457)+COUNTIFS($B$6:$B$1505,B457,$F$6:$F$1505,F457,$A$6:$A$1505,"&lt;="&amp;A457))</f>
        <v>13</v>
      </c>
      <c r="N457" s="41" t="n">
        <f aca="false">IF(M457="","",ROUNDUP(M457/H457,0))</f>
        <v>5</v>
      </c>
      <c r="O457" s="41" t="str">
        <f aca="false">IF(N457="","",IF(N457&lt;='Kitting Plan'!$C$3,"Rep "&amp;N457,"Surplus"))</f>
        <v>Rep 5</v>
      </c>
    </row>
    <row r="458" customFormat="false" ht="15" hidden="false" customHeight="false" outlineLevel="0" collapsed="false">
      <c r="A458" s="40" t="n">
        <f aca="false">IF(OR($A$4=0,INDEX('COOIS Raw'!$A:$GZ,ROW()-4,$A$4)=""),"",IFERROR(--INDEX('COOIS Raw'!$A:$GZ,ROW()-4,$A$4),INDEX('COOIS Raw'!$A:$GZ,ROW()-4,$A$4)))</f>
        <v>100874175</v>
      </c>
      <c r="B458" s="41" t="str">
        <f aca="false">IF(A458="","",TRIM(INDEX('COOIS Raw'!$A:$GZ,ROW()-4,$B$4)))</f>
        <v>92YRA02548AAA</v>
      </c>
      <c r="C458" s="42" t="str">
        <f aca="false">IF(OR(A458="",$C$4=0),"",INDEX('COOIS Raw'!$A:$GZ,ROW()-4,$C$4))</f>
        <v>R5B ERBIUM ASSEMBLY 2</v>
      </c>
      <c r="D458" s="41" t="n">
        <f aca="false">IF(A458="","",IF($D$4=0,1,IFERROR(--INDEX('COOIS Raw'!$A:$GZ,ROW()-4,$D$4),1)))</f>
        <v>1</v>
      </c>
      <c r="E458" s="42" t="str">
        <f aca="false">IF(A458="","",INDEX('COOIS Raw'!$A:$GZ,ROW()-4,$E$4)&amp;"")</f>
        <v>REL PRT CNF DLV PRC GMPS MANC RESA*</v>
      </c>
      <c r="F458" s="43" t="n">
        <f aca="false">IF(A458="","",IFERROR(DATEVALUE(INDEX('COOIS Raw'!$A:$GZ,ROW()-4,$F$4)),INDEX('COOIS Raw'!$A:$GZ,ROW()-4,$F$4)))</f>
        <v>46246</v>
      </c>
      <c r="G458" s="41" t="str">
        <f aca="false">IF(A458="","",IF(ISNA(MATCH(B458,'Kitting Plan'!$B$6:$B$19,0)),"Not in plan","Yes"))</f>
        <v>Yes</v>
      </c>
      <c r="H458" s="41" t="n">
        <f aca="false">IF(G458="Yes",INDEX('Kitting Plan'!$D$6:$D$19,MATCH(B458,'Kitting Plan'!$B$6:$B$19,0)),"")</f>
        <v>3</v>
      </c>
      <c r="I458" s="41" t="n">
        <f aca="false">IF(A458="","",IF(ISNUMBER(SEARCH("PRT",E458)),D458,0))</f>
        <v>1</v>
      </c>
      <c r="J458" s="41" t="n">
        <f aca="false">IF(A458="","",IF(ISNUMBER(SEARCH("GMPS",E458)),D458,0))</f>
        <v>1</v>
      </c>
      <c r="K458" s="41" t="n">
        <f aca="false">IF(A458="","",IF(ISNUMBER(SEARCH("DLV",E458)),D458,0))</f>
        <v>1</v>
      </c>
      <c r="L458" s="41" t="str">
        <f aca="false">IF(A458="","",IF(K458&gt;0,"Delivered",IF(ISNUMBER(SEARCH("CNF",E458)),"In production",IF(J458&gt;0,"Issued",IF(I458&gt;0,"Kitted","Released")))))</f>
        <v>Delivered</v>
      </c>
      <c r="M458" s="41" t="n">
        <f aca="false">IF(G458&lt;&gt;"Yes","",COUNTIFS($B$6:$B$1505,B458,$F$6:$F$1505,"&lt;"&amp;F458)+COUNTIFS($B$6:$B$1505,B458,$F$6:$F$1505,F458,$A$6:$A$1505,"&lt;="&amp;A458))</f>
        <v>14</v>
      </c>
      <c r="N458" s="41" t="n">
        <f aca="false">IF(M458="","",ROUNDUP(M458/H458,0))</f>
        <v>5</v>
      </c>
      <c r="O458" s="41" t="str">
        <f aca="false">IF(N458="","",IF(N458&lt;='Kitting Plan'!$C$3,"Rep "&amp;N458,"Surplus"))</f>
        <v>Rep 5</v>
      </c>
    </row>
    <row r="459" customFormat="false" ht="15" hidden="false" customHeight="false" outlineLevel="0" collapsed="false">
      <c r="A459" s="40" t="n">
        <f aca="false">IF(OR($A$4=0,INDEX('COOIS Raw'!$A:$GZ,ROW()-4,$A$4)=""),"",IFERROR(--INDEX('COOIS Raw'!$A:$GZ,ROW()-4,$A$4),INDEX('COOIS Raw'!$A:$GZ,ROW()-4,$A$4)))</f>
        <v>100874176</v>
      </c>
      <c r="B459" s="41" t="str">
        <f aca="false">IF(A459="","",TRIM(INDEX('COOIS Raw'!$A:$GZ,ROW()-4,$B$4)))</f>
        <v>92YRA02548AAA</v>
      </c>
      <c r="C459" s="42" t="str">
        <f aca="false">IF(OR(A459="",$C$4=0),"",INDEX('COOIS Raw'!$A:$GZ,ROW()-4,$C$4))</f>
        <v>R5B ERBIUM ASSEMBLY 2</v>
      </c>
      <c r="D459" s="41" t="n">
        <f aca="false">IF(A459="","",IF($D$4=0,1,IFERROR(--INDEX('COOIS Raw'!$A:$GZ,ROW()-4,$D$4),1)))</f>
        <v>1</v>
      </c>
      <c r="E459" s="42" t="str">
        <f aca="false">IF(A459="","",INDEX('COOIS Raw'!$A:$GZ,ROW()-4,$E$4)&amp;"")</f>
        <v>REL PRT CNF DLV PRC GMPS MANC RESA*</v>
      </c>
      <c r="F459" s="43" t="n">
        <f aca="false">IF(A459="","",IFERROR(DATEVALUE(INDEX('COOIS Raw'!$A:$GZ,ROW()-4,$F$4)),INDEX('COOIS Raw'!$A:$GZ,ROW()-4,$F$4)))</f>
        <v>46246</v>
      </c>
      <c r="G459" s="41" t="str">
        <f aca="false">IF(A459="","",IF(ISNA(MATCH(B459,'Kitting Plan'!$B$6:$B$19,0)),"Not in plan","Yes"))</f>
        <v>Yes</v>
      </c>
      <c r="H459" s="41" t="n">
        <f aca="false">IF(G459="Yes",INDEX('Kitting Plan'!$D$6:$D$19,MATCH(B459,'Kitting Plan'!$B$6:$B$19,0)),"")</f>
        <v>3</v>
      </c>
      <c r="I459" s="41" t="n">
        <f aca="false">IF(A459="","",IF(ISNUMBER(SEARCH("PRT",E459)),D459,0))</f>
        <v>1</v>
      </c>
      <c r="J459" s="41" t="n">
        <f aca="false">IF(A459="","",IF(ISNUMBER(SEARCH("GMPS",E459)),D459,0))</f>
        <v>1</v>
      </c>
      <c r="K459" s="41" t="n">
        <f aca="false">IF(A459="","",IF(ISNUMBER(SEARCH("DLV",E459)),D459,0))</f>
        <v>1</v>
      </c>
      <c r="L459" s="41" t="str">
        <f aca="false">IF(A459="","",IF(K459&gt;0,"Delivered",IF(ISNUMBER(SEARCH("CNF",E459)),"In production",IF(J459&gt;0,"Issued",IF(I459&gt;0,"Kitted","Released")))))</f>
        <v>Delivered</v>
      </c>
      <c r="M459" s="41" t="n">
        <f aca="false">IF(G459&lt;&gt;"Yes","",COUNTIFS($B$6:$B$1505,B459,$F$6:$F$1505,"&lt;"&amp;F459)+COUNTIFS($B$6:$B$1505,B459,$F$6:$F$1505,F459,$A$6:$A$1505,"&lt;="&amp;A459))</f>
        <v>15</v>
      </c>
      <c r="N459" s="41" t="n">
        <f aca="false">IF(M459="","",ROUNDUP(M459/H459,0))</f>
        <v>5</v>
      </c>
      <c r="O459" s="41" t="str">
        <f aca="false">IF(N459="","",IF(N459&lt;='Kitting Plan'!$C$3,"Rep "&amp;N459,"Surplus"))</f>
        <v>Rep 5</v>
      </c>
    </row>
    <row r="460" customFormat="false" ht="15" hidden="false" customHeight="false" outlineLevel="0" collapsed="false">
      <c r="A460" s="40" t="n">
        <f aca="false">IF(OR($A$4=0,INDEX('COOIS Raw'!$A:$GZ,ROW()-4,$A$4)=""),"",IFERROR(--INDEX('COOIS Raw'!$A:$GZ,ROW()-4,$A$4),INDEX('COOIS Raw'!$A:$GZ,ROW()-4,$A$4)))</f>
        <v>100874177</v>
      </c>
      <c r="B460" s="41" t="str">
        <f aca="false">IF(A460="","",TRIM(INDEX('COOIS Raw'!$A:$GZ,ROW()-4,$B$4)))</f>
        <v>92YRA03548AAA</v>
      </c>
      <c r="C460" s="42" t="str">
        <f aca="false">IF(OR(A460="",$C$4=0),"",INDEX('COOIS Raw'!$A:$GZ,ROW()-4,$C$4))</f>
        <v>R5B ERBIUM ASSEMBLY 3</v>
      </c>
      <c r="D460" s="41" t="n">
        <f aca="false">IF(A460="","",IF($D$4=0,1,IFERROR(--INDEX('COOIS Raw'!$A:$GZ,ROW()-4,$D$4),1)))</f>
        <v>1</v>
      </c>
      <c r="E460" s="42" t="str">
        <f aca="false">IF(A460="","",INDEX('COOIS Raw'!$A:$GZ,ROW()-4,$E$4)&amp;"")</f>
        <v>REL PRT CNF DLV PRC GMPS MANC RESA*</v>
      </c>
      <c r="F460" s="43" t="n">
        <f aca="false">IF(A460="","",IFERROR(DATEVALUE(INDEX('COOIS Raw'!$A:$GZ,ROW()-4,$F$4)),INDEX('COOIS Raw'!$A:$GZ,ROW()-4,$F$4)))</f>
        <v>46246</v>
      </c>
      <c r="G460" s="41" t="str">
        <f aca="false">IF(A460="","",IF(ISNA(MATCH(B460,'Kitting Plan'!$B$6:$B$19,0)),"Not in plan","Yes"))</f>
        <v>Yes</v>
      </c>
      <c r="H460" s="41" t="n">
        <f aca="false">IF(G460="Yes",INDEX('Kitting Plan'!$D$6:$D$19,MATCH(B460,'Kitting Plan'!$B$6:$B$19,0)),"")</f>
        <v>3</v>
      </c>
      <c r="I460" s="41" t="n">
        <f aca="false">IF(A460="","",IF(ISNUMBER(SEARCH("PRT",E460)),D460,0))</f>
        <v>1</v>
      </c>
      <c r="J460" s="41" t="n">
        <f aca="false">IF(A460="","",IF(ISNUMBER(SEARCH("GMPS",E460)),D460,0))</f>
        <v>1</v>
      </c>
      <c r="K460" s="41" t="n">
        <f aca="false">IF(A460="","",IF(ISNUMBER(SEARCH("DLV",E460)),D460,0))</f>
        <v>1</v>
      </c>
      <c r="L460" s="41" t="str">
        <f aca="false">IF(A460="","",IF(K460&gt;0,"Delivered",IF(ISNUMBER(SEARCH("CNF",E460)),"In production",IF(J460&gt;0,"Issued",IF(I460&gt;0,"Kitted","Released")))))</f>
        <v>Delivered</v>
      </c>
      <c r="M460" s="41" t="n">
        <f aca="false">IF(G460&lt;&gt;"Yes","",COUNTIFS($B$6:$B$1505,B460,$F$6:$F$1505,"&lt;"&amp;F460)+COUNTIFS($B$6:$B$1505,B460,$F$6:$F$1505,F460,$A$6:$A$1505,"&lt;="&amp;A460))</f>
        <v>15</v>
      </c>
      <c r="N460" s="41" t="n">
        <f aca="false">IF(M460="","",ROUNDUP(M460/H460,0))</f>
        <v>5</v>
      </c>
      <c r="O460" s="41" t="str">
        <f aca="false">IF(N460="","",IF(N460&lt;='Kitting Plan'!$C$3,"Rep "&amp;N460,"Surplus"))</f>
        <v>Rep 5</v>
      </c>
    </row>
    <row r="461" customFormat="false" ht="15" hidden="false" customHeight="false" outlineLevel="0" collapsed="false">
      <c r="A461" s="40" t="n">
        <f aca="false">IF(OR($A$4=0,INDEX('COOIS Raw'!$A:$GZ,ROW()-4,$A$4)=""),"",IFERROR(--INDEX('COOIS Raw'!$A:$GZ,ROW()-4,$A$4),INDEX('COOIS Raw'!$A:$GZ,ROW()-4,$A$4)))</f>
        <v>100874178</v>
      </c>
      <c r="B461" s="41" t="str">
        <f aca="false">IF(A461="","",TRIM(INDEX('COOIS Raw'!$A:$GZ,ROW()-4,$B$4)))</f>
        <v>92YRA03548AAA</v>
      </c>
      <c r="C461" s="42" t="str">
        <f aca="false">IF(OR(A461="",$C$4=0),"",INDEX('COOIS Raw'!$A:$GZ,ROW()-4,$C$4))</f>
        <v>R5B ERBIUM ASSEMBLY 3</v>
      </c>
      <c r="D461" s="41" t="n">
        <f aca="false">IF(A461="","",IF($D$4=0,1,IFERROR(--INDEX('COOIS Raw'!$A:$GZ,ROW()-4,$D$4),1)))</f>
        <v>1</v>
      </c>
      <c r="E461" s="42" t="str">
        <f aca="false">IF(A461="","",INDEX('COOIS Raw'!$A:$GZ,ROW()-4,$E$4)&amp;"")</f>
        <v>REL PRT CNF DLV PRC GMPS MANC RESA*</v>
      </c>
      <c r="F461" s="43" t="n">
        <f aca="false">IF(A461="","",IFERROR(DATEVALUE(INDEX('COOIS Raw'!$A:$GZ,ROW()-4,$F$4)),INDEX('COOIS Raw'!$A:$GZ,ROW()-4,$F$4)))</f>
        <v>46246</v>
      </c>
      <c r="G461" s="41" t="str">
        <f aca="false">IF(A461="","",IF(ISNA(MATCH(B461,'Kitting Plan'!$B$6:$B$19,0)),"Not in plan","Yes"))</f>
        <v>Yes</v>
      </c>
      <c r="H461" s="41" t="n">
        <f aca="false">IF(G461="Yes",INDEX('Kitting Plan'!$D$6:$D$19,MATCH(B461,'Kitting Plan'!$B$6:$B$19,0)),"")</f>
        <v>3</v>
      </c>
      <c r="I461" s="41" t="n">
        <f aca="false">IF(A461="","",IF(ISNUMBER(SEARCH("PRT",E461)),D461,0))</f>
        <v>1</v>
      </c>
      <c r="J461" s="41" t="n">
        <f aca="false">IF(A461="","",IF(ISNUMBER(SEARCH("GMPS",E461)),D461,0))</f>
        <v>1</v>
      </c>
      <c r="K461" s="41" t="n">
        <f aca="false">IF(A461="","",IF(ISNUMBER(SEARCH("DLV",E461)),D461,0))</f>
        <v>1</v>
      </c>
      <c r="L461" s="41" t="str">
        <f aca="false">IF(A461="","",IF(K461&gt;0,"Delivered",IF(ISNUMBER(SEARCH("CNF",E461)),"In production",IF(J461&gt;0,"Issued",IF(I461&gt;0,"Kitted","Released")))))</f>
        <v>Delivered</v>
      </c>
      <c r="M461" s="41" t="n">
        <f aca="false">IF(G461&lt;&gt;"Yes","",COUNTIFS($B$6:$B$1505,B461,$F$6:$F$1505,"&lt;"&amp;F461)+COUNTIFS($B$6:$B$1505,B461,$F$6:$F$1505,F461,$A$6:$A$1505,"&lt;="&amp;A461))</f>
        <v>16</v>
      </c>
      <c r="N461" s="41" t="n">
        <f aca="false">IF(M461="","",ROUNDUP(M461/H461,0))</f>
        <v>6</v>
      </c>
      <c r="O461" s="41" t="str">
        <f aca="false">IF(N461="","",IF(N461&lt;='Kitting Plan'!$C$3,"Rep "&amp;N461,"Surplus"))</f>
        <v>Rep 6</v>
      </c>
    </row>
    <row r="462" customFormat="false" ht="15" hidden="false" customHeight="false" outlineLevel="0" collapsed="false">
      <c r="A462" s="40" t="n">
        <f aca="false">IF(OR($A$4=0,INDEX('COOIS Raw'!$A:$GZ,ROW()-4,$A$4)=""),"",IFERROR(--INDEX('COOIS Raw'!$A:$GZ,ROW()-4,$A$4),INDEX('COOIS Raw'!$A:$GZ,ROW()-4,$A$4)))</f>
        <v>100874179</v>
      </c>
      <c r="B462" s="41" t="str">
        <f aca="false">IF(A462="","",TRIM(INDEX('COOIS Raw'!$A:$GZ,ROW()-4,$B$4)))</f>
        <v>92YRA03548AAA</v>
      </c>
      <c r="C462" s="42" t="str">
        <f aca="false">IF(OR(A462="",$C$4=0),"",INDEX('COOIS Raw'!$A:$GZ,ROW()-4,$C$4))</f>
        <v>R5B ERBIUM ASSEMBLY 3</v>
      </c>
      <c r="D462" s="41" t="n">
        <f aca="false">IF(A462="","",IF($D$4=0,1,IFERROR(--INDEX('COOIS Raw'!$A:$GZ,ROW()-4,$D$4),1)))</f>
        <v>1</v>
      </c>
      <c r="E462" s="42" t="str">
        <f aca="false">IF(A462="","",INDEX('COOIS Raw'!$A:$GZ,ROW()-4,$E$4)&amp;"")</f>
        <v>REL PRT CNF DLV PRC GMPS MANC RESA*</v>
      </c>
      <c r="F462" s="43" t="n">
        <f aca="false">IF(A462="","",IFERROR(DATEVALUE(INDEX('COOIS Raw'!$A:$GZ,ROW()-4,$F$4)),INDEX('COOIS Raw'!$A:$GZ,ROW()-4,$F$4)))</f>
        <v>46246</v>
      </c>
      <c r="G462" s="41" t="str">
        <f aca="false">IF(A462="","",IF(ISNA(MATCH(B462,'Kitting Plan'!$B$6:$B$19,0)),"Not in plan","Yes"))</f>
        <v>Yes</v>
      </c>
      <c r="H462" s="41" t="n">
        <f aca="false">IF(G462="Yes",INDEX('Kitting Plan'!$D$6:$D$19,MATCH(B462,'Kitting Plan'!$B$6:$B$19,0)),"")</f>
        <v>3</v>
      </c>
      <c r="I462" s="41" t="n">
        <f aca="false">IF(A462="","",IF(ISNUMBER(SEARCH("PRT",E462)),D462,0))</f>
        <v>1</v>
      </c>
      <c r="J462" s="41" t="n">
        <f aca="false">IF(A462="","",IF(ISNUMBER(SEARCH("GMPS",E462)),D462,0))</f>
        <v>1</v>
      </c>
      <c r="K462" s="41" t="n">
        <f aca="false">IF(A462="","",IF(ISNUMBER(SEARCH("DLV",E462)),D462,0))</f>
        <v>1</v>
      </c>
      <c r="L462" s="41" t="str">
        <f aca="false">IF(A462="","",IF(K462&gt;0,"Delivered",IF(ISNUMBER(SEARCH("CNF",E462)),"In production",IF(J462&gt;0,"Issued",IF(I462&gt;0,"Kitted","Released")))))</f>
        <v>Delivered</v>
      </c>
      <c r="M462" s="41" t="n">
        <f aca="false">IF(G462&lt;&gt;"Yes","",COUNTIFS($B$6:$B$1505,B462,$F$6:$F$1505,"&lt;"&amp;F462)+COUNTIFS($B$6:$B$1505,B462,$F$6:$F$1505,F462,$A$6:$A$1505,"&lt;="&amp;A462))</f>
        <v>17</v>
      </c>
      <c r="N462" s="41" t="n">
        <f aca="false">IF(M462="","",ROUNDUP(M462/H462,0))</f>
        <v>6</v>
      </c>
      <c r="O462" s="41" t="str">
        <f aca="false">IF(N462="","",IF(N462&lt;='Kitting Plan'!$C$3,"Rep "&amp;N462,"Surplus"))</f>
        <v>Rep 6</v>
      </c>
    </row>
    <row r="463" customFormat="false" ht="15" hidden="false" customHeight="false" outlineLevel="0" collapsed="false">
      <c r="A463" s="40" t="n">
        <f aca="false">IF(OR($A$4=0,INDEX('COOIS Raw'!$A:$GZ,ROW()-4,$A$4)=""),"",IFERROR(--INDEX('COOIS Raw'!$A:$GZ,ROW()-4,$A$4),INDEX('COOIS Raw'!$A:$GZ,ROW()-4,$A$4)))</f>
        <v>100874180</v>
      </c>
      <c r="B463" s="41" t="str">
        <f aca="false">IF(A463="","",TRIM(INDEX('COOIS Raw'!$A:$GZ,ROW()-4,$B$4)))</f>
        <v>92YRA04548AAA</v>
      </c>
      <c r="C463" s="42" t="str">
        <f aca="false">IF(OR(A463="",$C$4=0),"",INDEX('COOIS Raw'!$A:$GZ,ROW()-4,$C$4))</f>
        <v>R5B ERBIUM ASSEMBLY 4</v>
      </c>
      <c r="D463" s="41" t="n">
        <f aca="false">IF(A463="","",IF($D$4=0,1,IFERROR(--INDEX('COOIS Raw'!$A:$GZ,ROW()-4,$D$4),1)))</f>
        <v>1</v>
      </c>
      <c r="E463" s="42" t="str">
        <f aca="false">IF(A463="","",INDEX('COOIS Raw'!$A:$GZ,ROW()-4,$E$4)&amp;"")</f>
        <v>REL PRT CNF DLV PRC GMPS MANC RESA*</v>
      </c>
      <c r="F463" s="43" t="n">
        <f aca="false">IF(A463="","",IFERROR(DATEVALUE(INDEX('COOIS Raw'!$A:$GZ,ROW()-4,$F$4)),INDEX('COOIS Raw'!$A:$GZ,ROW()-4,$F$4)))</f>
        <v>46246</v>
      </c>
      <c r="G463" s="41" t="str">
        <f aca="false">IF(A463="","",IF(ISNA(MATCH(B463,'Kitting Plan'!$B$6:$B$19,0)),"Not in plan","Yes"))</f>
        <v>Yes</v>
      </c>
      <c r="H463" s="41" t="n">
        <f aca="false">IF(G463="Yes",INDEX('Kitting Plan'!$D$6:$D$19,MATCH(B463,'Kitting Plan'!$B$6:$B$19,0)),"")</f>
        <v>3</v>
      </c>
      <c r="I463" s="41" t="n">
        <f aca="false">IF(A463="","",IF(ISNUMBER(SEARCH("PRT",E463)),D463,0))</f>
        <v>1</v>
      </c>
      <c r="J463" s="41" t="n">
        <f aca="false">IF(A463="","",IF(ISNUMBER(SEARCH("GMPS",E463)),D463,0))</f>
        <v>1</v>
      </c>
      <c r="K463" s="41" t="n">
        <f aca="false">IF(A463="","",IF(ISNUMBER(SEARCH("DLV",E463)),D463,0))</f>
        <v>1</v>
      </c>
      <c r="L463" s="41" t="str">
        <f aca="false">IF(A463="","",IF(K463&gt;0,"Delivered",IF(ISNUMBER(SEARCH("CNF",E463)),"In production",IF(J463&gt;0,"Issued",IF(I463&gt;0,"Kitted","Released")))))</f>
        <v>Delivered</v>
      </c>
      <c r="M463" s="41" t="n">
        <f aca="false">IF(G463&lt;&gt;"Yes","",COUNTIFS($B$6:$B$1505,B463,$F$6:$F$1505,"&lt;"&amp;F463)+COUNTIFS($B$6:$B$1505,B463,$F$6:$F$1505,F463,$A$6:$A$1505,"&lt;="&amp;A463))</f>
        <v>13</v>
      </c>
      <c r="N463" s="41" t="n">
        <f aca="false">IF(M463="","",ROUNDUP(M463/H463,0))</f>
        <v>5</v>
      </c>
      <c r="O463" s="41" t="str">
        <f aca="false">IF(N463="","",IF(N463&lt;='Kitting Plan'!$C$3,"Rep "&amp;N463,"Surplus"))</f>
        <v>Rep 5</v>
      </c>
    </row>
    <row r="464" customFormat="false" ht="15" hidden="false" customHeight="false" outlineLevel="0" collapsed="false">
      <c r="A464" s="40" t="n">
        <f aca="false">IF(OR($A$4=0,INDEX('COOIS Raw'!$A:$GZ,ROW()-4,$A$4)=""),"",IFERROR(--INDEX('COOIS Raw'!$A:$GZ,ROW()-4,$A$4),INDEX('COOIS Raw'!$A:$GZ,ROW()-4,$A$4)))</f>
        <v>100874181</v>
      </c>
      <c r="B464" s="41" t="str">
        <f aca="false">IF(A464="","",TRIM(INDEX('COOIS Raw'!$A:$GZ,ROW()-4,$B$4)))</f>
        <v>92YRA04548AAA</v>
      </c>
      <c r="C464" s="42" t="str">
        <f aca="false">IF(OR(A464="",$C$4=0),"",INDEX('COOIS Raw'!$A:$GZ,ROW()-4,$C$4))</f>
        <v>R5B ERBIUM ASSEMBLY 4</v>
      </c>
      <c r="D464" s="41" t="n">
        <f aca="false">IF(A464="","",IF($D$4=0,1,IFERROR(--INDEX('COOIS Raw'!$A:$GZ,ROW()-4,$D$4),1)))</f>
        <v>1</v>
      </c>
      <c r="E464" s="42" t="str">
        <f aca="false">IF(A464="","",INDEX('COOIS Raw'!$A:$GZ,ROW()-4,$E$4)&amp;"")</f>
        <v>REL PRT CNF DLV PRC GMPS MANC RESA*</v>
      </c>
      <c r="F464" s="43" t="n">
        <f aca="false">IF(A464="","",IFERROR(DATEVALUE(INDEX('COOIS Raw'!$A:$GZ,ROW()-4,$F$4)),INDEX('COOIS Raw'!$A:$GZ,ROW()-4,$F$4)))</f>
        <v>46246</v>
      </c>
      <c r="G464" s="41" t="str">
        <f aca="false">IF(A464="","",IF(ISNA(MATCH(B464,'Kitting Plan'!$B$6:$B$19,0)),"Not in plan","Yes"))</f>
        <v>Yes</v>
      </c>
      <c r="H464" s="41" t="n">
        <f aca="false">IF(G464="Yes",INDEX('Kitting Plan'!$D$6:$D$19,MATCH(B464,'Kitting Plan'!$B$6:$B$19,0)),"")</f>
        <v>3</v>
      </c>
      <c r="I464" s="41" t="n">
        <f aca="false">IF(A464="","",IF(ISNUMBER(SEARCH("PRT",E464)),D464,0))</f>
        <v>1</v>
      </c>
      <c r="J464" s="41" t="n">
        <f aca="false">IF(A464="","",IF(ISNUMBER(SEARCH("GMPS",E464)),D464,0))</f>
        <v>1</v>
      </c>
      <c r="K464" s="41" t="n">
        <f aca="false">IF(A464="","",IF(ISNUMBER(SEARCH("DLV",E464)),D464,0))</f>
        <v>1</v>
      </c>
      <c r="L464" s="41" t="str">
        <f aca="false">IF(A464="","",IF(K464&gt;0,"Delivered",IF(ISNUMBER(SEARCH("CNF",E464)),"In production",IF(J464&gt;0,"Issued",IF(I464&gt;0,"Kitted","Released")))))</f>
        <v>Delivered</v>
      </c>
      <c r="M464" s="41" t="n">
        <f aca="false">IF(G464&lt;&gt;"Yes","",COUNTIFS($B$6:$B$1505,B464,$F$6:$F$1505,"&lt;"&amp;F464)+COUNTIFS($B$6:$B$1505,B464,$F$6:$F$1505,F464,$A$6:$A$1505,"&lt;="&amp;A464))</f>
        <v>14</v>
      </c>
      <c r="N464" s="41" t="n">
        <f aca="false">IF(M464="","",ROUNDUP(M464/H464,0))</f>
        <v>5</v>
      </c>
      <c r="O464" s="41" t="str">
        <f aca="false">IF(N464="","",IF(N464&lt;='Kitting Plan'!$C$3,"Rep "&amp;N464,"Surplus"))</f>
        <v>Rep 5</v>
      </c>
    </row>
    <row r="465" customFormat="false" ht="15" hidden="false" customHeight="false" outlineLevel="0" collapsed="false">
      <c r="A465" s="40" t="n">
        <f aca="false">IF(OR($A$4=0,INDEX('COOIS Raw'!$A:$GZ,ROW()-4,$A$4)=""),"",IFERROR(--INDEX('COOIS Raw'!$A:$GZ,ROW()-4,$A$4),INDEX('COOIS Raw'!$A:$GZ,ROW()-4,$A$4)))</f>
        <v>100874182</v>
      </c>
      <c r="B465" s="41" t="str">
        <f aca="false">IF(A465="","",TRIM(INDEX('COOIS Raw'!$A:$GZ,ROW()-4,$B$4)))</f>
        <v>92YRA04548AAA</v>
      </c>
      <c r="C465" s="42" t="str">
        <f aca="false">IF(OR(A465="",$C$4=0),"",INDEX('COOIS Raw'!$A:$GZ,ROW()-4,$C$4))</f>
        <v>R5B ERBIUM ASSEMBLY 4</v>
      </c>
      <c r="D465" s="41" t="n">
        <f aca="false">IF(A465="","",IF($D$4=0,1,IFERROR(--INDEX('COOIS Raw'!$A:$GZ,ROW()-4,$D$4),1)))</f>
        <v>1</v>
      </c>
      <c r="E465" s="42" t="str">
        <f aca="false">IF(A465="","",INDEX('COOIS Raw'!$A:$GZ,ROW()-4,$E$4)&amp;"")</f>
        <v>REL PRT CNF DLV PRC GMPS MANC RESA*</v>
      </c>
      <c r="F465" s="43" t="n">
        <f aca="false">IF(A465="","",IFERROR(DATEVALUE(INDEX('COOIS Raw'!$A:$GZ,ROW()-4,$F$4)),INDEX('COOIS Raw'!$A:$GZ,ROW()-4,$F$4)))</f>
        <v>46246</v>
      </c>
      <c r="G465" s="41" t="str">
        <f aca="false">IF(A465="","",IF(ISNA(MATCH(B465,'Kitting Plan'!$B$6:$B$19,0)),"Not in plan","Yes"))</f>
        <v>Yes</v>
      </c>
      <c r="H465" s="41" t="n">
        <f aca="false">IF(G465="Yes",INDEX('Kitting Plan'!$D$6:$D$19,MATCH(B465,'Kitting Plan'!$B$6:$B$19,0)),"")</f>
        <v>3</v>
      </c>
      <c r="I465" s="41" t="n">
        <f aca="false">IF(A465="","",IF(ISNUMBER(SEARCH("PRT",E465)),D465,0))</f>
        <v>1</v>
      </c>
      <c r="J465" s="41" t="n">
        <f aca="false">IF(A465="","",IF(ISNUMBER(SEARCH("GMPS",E465)),D465,0))</f>
        <v>1</v>
      </c>
      <c r="K465" s="41" t="n">
        <f aca="false">IF(A465="","",IF(ISNUMBER(SEARCH("DLV",E465)),D465,0))</f>
        <v>1</v>
      </c>
      <c r="L465" s="41" t="str">
        <f aca="false">IF(A465="","",IF(K465&gt;0,"Delivered",IF(ISNUMBER(SEARCH("CNF",E465)),"In production",IF(J465&gt;0,"Issued",IF(I465&gt;0,"Kitted","Released")))))</f>
        <v>Delivered</v>
      </c>
      <c r="M465" s="41" t="n">
        <f aca="false">IF(G465&lt;&gt;"Yes","",COUNTIFS($B$6:$B$1505,B465,$F$6:$F$1505,"&lt;"&amp;F465)+COUNTIFS($B$6:$B$1505,B465,$F$6:$F$1505,F465,$A$6:$A$1505,"&lt;="&amp;A465))</f>
        <v>15</v>
      </c>
      <c r="N465" s="41" t="n">
        <f aca="false">IF(M465="","",ROUNDUP(M465/H465,0))</f>
        <v>5</v>
      </c>
      <c r="O465" s="41" t="str">
        <f aca="false">IF(N465="","",IF(N465&lt;='Kitting Plan'!$C$3,"Rep "&amp;N465,"Surplus"))</f>
        <v>Rep 5</v>
      </c>
    </row>
    <row r="466" customFormat="false" ht="15" hidden="false" customHeight="false" outlineLevel="0" collapsed="false">
      <c r="A466" s="40" t="n">
        <f aca="false">IF(OR($A$4=0,INDEX('COOIS Raw'!$A:$GZ,ROW()-4,$A$4)=""),"",IFERROR(--INDEX('COOIS Raw'!$A:$GZ,ROW()-4,$A$4),INDEX('COOIS Raw'!$A:$GZ,ROW()-4,$A$4)))</f>
        <v>100873444</v>
      </c>
      <c r="B466" s="41" t="str">
        <f aca="false">IF(A466="","",TRIM(INDEX('COOIS Raw'!$A:$GZ,ROW()-4,$B$4)))</f>
        <v>92YFD04548BAA</v>
      </c>
      <c r="C466" s="42" t="str">
        <f aca="false">IF(OR(A466="",$C$4=0),"",INDEX('COOIS Raw'!$A:$GZ,ROW()-4,$C$4))</f>
        <v>R5B OPF ASSEMBLY (4P-4FP) BOAT 1 - E2A</v>
      </c>
      <c r="D466" s="41" t="n">
        <f aca="false">IF(A466="","",IF($D$4=0,1,IFERROR(--INDEX('COOIS Raw'!$A:$GZ,ROW()-4,$D$4),1)))</f>
        <v>1</v>
      </c>
      <c r="E466" s="42" t="str">
        <f aca="false">IF(A466="","",INDEX('COOIS Raw'!$A:$GZ,ROW()-4,$E$4)&amp;"")</f>
        <v>REL PRT CNF DLV PRC GMPS MANC RESA*</v>
      </c>
      <c r="F466" s="43" t="n">
        <f aca="false">IF(A466="","",IFERROR(DATEVALUE(INDEX('COOIS Raw'!$A:$GZ,ROW()-4,$F$4)),INDEX('COOIS Raw'!$A:$GZ,ROW()-4,$F$4)))</f>
        <v>46244</v>
      </c>
      <c r="G466" s="41" t="str">
        <f aca="false">IF(A466="","",IF(ISNA(MATCH(B466,'Kitting Plan'!$B$6:$B$19,0)),"Not in plan","Yes"))</f>
        <v>Yes</v>
      </c>
      <c r="H466" s="41" t="n">
        <f aca="false">IF(G466="Yes",INDEX('Kitting Plan'!$D$6:$D$19,MATCH(B466,'Kitting Plan'!$B$6:$B$19,0)),"")</f>
        <v>1</v>
      </c>
      <c r="I466" s="41" t="n">
        <f aca="false">IF(A466="","",IF(ISNUMBER(SEARCH("PRT",E466)),D466,0))</f>
        <v>1</v>
      </c>
      <c r="J466" s="41" t="n">
        <f aca="false">IF(A466="","",IF(ISNUMBER(SEARCH("GMPS",E466)),D466,0))</f>
        <v>1</v>
      </c>
      <c r="K466" s="41" t="n">
        <f aca="false">IF(A466="","",IF(ISNUMBER(SEARCH("DLV",E466)),D466,0))</f>
        <v>1</v>
      </c>
      <c r="L466" s="41" t="str">
        <f aca="false">IF(A466="","",IF(K466&gt;0,"Delivered",IF(ISNUMBER(SEARCH("CNF",E466)),"In production",IF(J466&gt;0,"Issued",IF(I466&gt;0,"Kitted","Released")))))</f>
        <v>Delivered</v>
      </c>
      <c r="M466" s="41" t="n">
        <f aca="false">IF(G466&lt;&gt;"Yes","",COUNTIFS($B$6:$B$1505,B466,$F$6:$F$1505,"&lt;"&amp;F466)+COUNTIFS($B$6:$B$1505,B466,$F$6:$F$1505,F466,$A$6:$A$1505,"&lt;="&amp;A466))</f>
        <v>6</v>
      </c>
      <c r="N466" s="41" t="n">
        <f aca="false">IF(M466="","",ROUNDUP(M466/H466,0))</f>
        <v>6</v>
      </c>
      <c r="O466" s="41" t="str">
        <f aca="false">IF(N466="","",IF(N466&lt;='Kitting Plan'!$C$3,"Rep "&amp;N466,"Surplus"))</f>
        <v>Rep 6</v>
      </c>
    </row>
    <row r="467" customFormat="false" ht="15" hidden="false" customHeight="false" outlineLevel="0" collapsed="false">
      <c r="A467" s="40" t="n">
        <f aca="false">IF(OR($A$4=0,INDEX('COOIS Raw'!$A:$GZ,ROW()-4,$A$4)=""),"",IFERROR(--INDEX('COOIS Raw'!$A:$GZ,ROW()-4,$A$4),INDEX('COOIS Raw'!$A:$GZ,ROW()-4,$A$4)))</f>
        <v>100873445</v>
      </c>
      <c r="B467" s="41" t="str">
        <f aca="false">IF(A467="","",TRIM(INDEX('COOIS Raw'!$A:$GZ,ROW()-4,$B$4)))</f>
        <v>92YFD04548BBA</v>
      </c>
      <c r="C467" s="42" t="str">
        <f aca="false">IF(OR(A467="",$C$4=0),"",INDEX('COOIS Raw'!$A:$GZ,ROW()-4,$C$4))</f>
        <v>R5B OPF ASSEMBLY (4P-4FP) BOAT 2/3 - E2A</v>
      </c>
      <c r="D467" s="41" t="n">
        <f aca="false">IF(A467="","",IF($D$4=0,1,IFERROR(--INDEX('COOIS Raw'!$A:$GZ,ROW()-4,$D$4),1)))</f>
        <v>1</v>
      </c>
      <c r="E467" s="42" t="str">
        <f aca="false">IF(A467="","",INDEX('COOIS Raw'!$A:$GZ,ROW()-4,$E$4)&amp;"")</f>
        <v>REL PRT CNF DLV PRC GMPS MANC RESA*</v>
      </c>
      <c r="F467" s="43" t="n">
        <f aca="false">IF(A467="","",IFERROR(DATEVALUE(INDEX('COOIS Raw'!$A:$GZ,ROW()-4,$F$4)),INDEX('COOIS Raw'!$A:$GZ,ROW()-4,$F$4)))</f>
        <v>46244</v>
      </c>
      <c r="G467" s="41" t="str">
        <f aca="false">IF(A467="","",IF(ISNA(MATCH(B467,'Kitting Plan'!$B$6:$B$19,0)),"Not in plan","Yes"))</f>
        <v>Yes</v>
      </c>
      <c r="H467" s="41" t="n">
        <f aca="false">IF(G467="Yes",INDEX('Kitting Plan'!$D$6:$D$19,MATCH(B467,'Kitting Plan'!$B$6:$B$19,0)),"")</f>
        <v>2</v>
      </c>
      <c r="I467" s="41" t="n">
        <f aca="false">IF(A467="","",IF(ISNUMBER(SEARCH("PRT",E467)),D467,0))</f>
        <v>1</v>
      </c>
      <c r="J467" s="41" t="n">
        <f aca="false">IF(A467="","",IF(ISNUMBER(SEARCH("GMPS",E467)),D467,0))</f>
        <v>1</v>
      </c>
      <c r="K467" s="41" t="n">
        <f aca="false">IF(A467="","",IF(ISNUMBER(SEARCH("DLV",E467)),D467,0))</f>
        <v>1</v>
      </c>
      <c r="L467" s="41" t="str">
        <f aca="false">IF(A467="","",IF(K467&gt;0,"Delivered",IF(ISNUMBER(SEARCH("CNF",E467)),"In production",IF(J467&gt;0,"Issued",IF(I467&gt;0,"Kitted","Released")))))</f>
        <v>Delivered</v>
      </c>
      <c r="M467" s="41" t="n">
        <f aca="false">IF(G467&lt;&gt;"Yes","",COUNTIFS($B$6:$B$1505,B467,$F$6:$F$1505,"&lt;"&amp;F467)+COUNTIFS($B$6:$B$1505,B467,$F$6:$F$1505,F467,$A$6:$A$1505,"&lt;="&amp;A467))</f>
        <v>9</v>
      </c>
      <c r="N467" s="41" t="n">
        <f aca="false">IF(M467="","",ROUNDUP(M467/H467,0))</f>
        <v>5</v>
      </c>
      <c r="O467" s="41" t="str">
        <f aca="false">IF(N467="","",IF(N467&lt;='Kitting Plan'!$C$3,"Rep "&amp;N467,"Surplus"))</f>
        <v>Rep 5</v>
      </c>
    </row>
    <row r="468" customFormat="false" ht="15" hidden="false" customHeight="false" outlineLevel="0" collapsed="false">
      <c r="A468" s="40" t="n">
        <f aca="false">IF(OR($A$4=0,INDEX('COOIS Raw'!$A:$GZ,ROW()-4,$A$4)=""),"",IFERROR(--INDEX('COOIS Raw'!$A:$GZ,ROW()-4,$A$4),INDEX('COOIS Raw'!$A:$GZ,ROW()-4,$A$4)))</f>
        <v>100873446</v>
      </c>
      <c r="B468" s="41" t="str">
        <f aca="false">IF(A468="","",TRIM(INDEX('COOIS Raw'!$A:$GZ,ROW()-4,$B$4)))</f>
        <v>92YFD04548BBA</v>
      </c>
      <c r="C468" s="42" t="str">
        <f aca="false">IF(OR(A468="",$C$4=0),"",INDEX('COOIS Raw'!$A:$GZ,ROW()-4,$C$4))</f>
        <v>R5B OPF ASSEMBLY (4P-4FP) BOAT 2/3 - E2A</v>
      </c>
      <c r="D468" s="41" t="n">
        <f aca="false">IF(A468="","",IF($D$4=0,1,IFERROR(--INDEX('COOIS Raw'!$A:$GZ,ROW()-4,$D$4),1)))</f>
        <v>1</v>
      </c>
      <c r="E468" s="42" t="str">
        <f aca="false">IF(A468="","",INDEX('COOIS Raw'!$A:$GZ,ROW()-4,$E$4)&amp;"")</f>
        <v>REL PRT CNF DLV PRC GMPS MANC RESA*</v>
      </c>
      <c r="F468" s="43" t="n">
        <f aca="false">IF(A468="","",IFERROR(DATEVALUE(INDEX('COOIS Raw'!$A:$GZ,ROW()-4,$F$4)),INDEX('COOIS Raw'!$A:$GZ,ROW()-4,$F$4)))</f>
        <v>46244</v>
      </c>
      <c r="G468" s="41" t="str">
        <f aca="false">IF(A468="","",IF(ISNA(MATCH(B468,'Kitting Plan'!$B$6:$B$19,0)),"Not in plan","Yes"))</f>
        <v>Yes</v>
      </c>
      <c r="H468" s="41" t="n">
        <f aca="false">IF(G468="Yes",INDEX('Kitting Plan'!$D$6:$D$19,MATCH(B468,'Kitting Plan'!$B$6:$B$19,0)),"")</f>
        <v>2</v>
      </c>
      <c r="I468" s="41" t="n">
        <f aca="false">IF(A468="","",IF(ISNUMBER(SEARCH("PRT",E468)),D468,0))</f>
        <v>1</v>
      </c>
      <c r="J468" s="41" t="n">
        <f aca="false">IF(A468="","",IF(ISNUMBER(SEARCH("GMPS",E468)),D468,0))</f>
        <v>1</v>
      </c>
      <c r="K468" s="41" t="n">
        <f aca="false">IF(A468="","",IF(ISNUMBER(SEARCH("DLV",E468)),D468,0))</f>
        <v>1</v>
      </c>
      <c r="L468" s="41" t="str">
        <f aca="false">IF(A468="","",IF(K468&gt;0,"Delivered",IF(ISNUMBER(SEARCH("CNF",E468)),"In production",IF(J468&gt;0,"Issued",IF(I468&gt;0,"Kitted","Released")))))</f>
        <v>Delivered</v>
      </c>
      <c r="M468" s="41" t="n">
        <f aca="false">IF(G468&lt;&gt;"Yes","",COUNTIFS($B$6:$B$1505,B468,$F$6:$F$1505,"&lt;"&amp;F468)+COUNTIFS($B$6:$B$1505,B468,$F$6:$F$1505,F468,$A$6:$A$1505,"&lt;="&amp;A468))</f>
        <v>10</v>
      </c>
      <c r="N468" s="41" t="n">
        <f aca="false">IF(M468="","",ROUNDUP(M468/H468,0))</f>
        <v>5</v>
      </c>
      <c r="O468" s="41" t="str">
        <f aca="false">IF(N468="","",IF(N468&lt;='Kitting Plan'!$C$3,"Rep "&amp;N468,"Surplus"))</f>
        <v>Rep 5</v>
      </c>
    </row>
    <row r="469" customFormat="false" ht="15" hidden="false" customHeight="false" outlineLevel="0" collapsed="false">
      <c r="A469" s="40" t="n">
        <f aca="false">IF(OR($A$4=0,INDEX('COOIS Raw'!$A:$GZ,ROW()-4,$A$4)=""),"",IFERROR(--INDEX('COOIS Raw'!$A:$GZ,ROW()-4,$A$4),INDEX('COOIS Raw'!$A:$GZ,ROW()-4,$A$4)))</f>
        <v>100873447</v>
      </c>
      <c r="B469" s="41" t="str">
        <f aca="false">IF(A469="","",TRIM(INDEX('COOIS Raw'!$A:$GZ,ROW()-4,$B$4)))</f>
        <v>92YWS04548AAA</v>
      </c>
      <c r="C469" s="42" t="str">
        <f aca="false">IF(OR(A469="",$C$4=0),"",INDEX('COOIS Raw'!$A:$GZ,ROW()-4,$C$4))</f>
        <v>R5B 4FP POB LUMENTUM SUB ASSEMBLY - E2A</v>
      </c>
      <c r="D469" s="41" t="n">
        <f aca="false">IF(A469="","",IF($D$4=0,1,IFERROR(--INDEX('COOIS Raw'!$A:$GZ,ROW()-4,$D$4),1)))</f>
        <v>1</v>
      </c>
      <c r="E469" s="42" t="str">
        <f aca="false">IF(A469="","",INDEX('COOIS Raw'!$A:$GZ,ROW()-4,$E$4)&amp;"")</f>
        <v>REL PRT CNF DLV PRC GMPS MANC RESA*</v>
      </c>
      <c r="F469" s="43" t="n">
        <f aca="false">IF(A469="","",IFERROR(DATEVALUE(INDEX('COOIS Raw'!$A:$GZ,ROW()-4,$F$4)),INDEX('COOIS Raw'!$A:$GZ,ROW()-4,$F$4)))</f>
        <v>46244</v>
      </c>
      <c r="G469" s="41" t="str">
        <f aca="false">IF(A469="","",IF(ISNA(MATCH(B469,'Kitting Plan'!$B$6:$B$19,0)),"Not in plan","Yes"))</f>
        <v>Yes</v>
      </c>
      <c r="H469" s="41" t="n">
        <f aca="false">IF(G469="Yes",INDEX('Kitting Plan'!$D$6:$D$19,MATCH(B469,'Kitting Plan'!$B$6:$B$19,0)),"")</f>
        <v>3</v>
      </c>
      <c r="I469" s="41" t="n">
        <f aca="false">IF(A469="","",IF(ISNUMBER(SEARCH("PRT",E469)),D469,0))</f>
        <v>1</v>
      </c>
      <c r="J469" s="41" t="n">
        <f aca="false">IF(A469="","",IF(ISNUMBER(SEARCH("GMPS",E469)),D469,0))</f>
        <v>1</v>
      </c>
      <c r="K469" s="41" t="n">
        <f aca="false">IF(A469="","",IF(ISNUMBER(SEARCH("DLV",E469)),D469,0))</f>
        <v>1</v>
      </c>
      <c r="L469" s="41" t="str">
        <f aca="false">IF(A469="","",IF(K469&gt;0,"Delivered",IF(ISNUMBER(SEARCH("CNF",E469)),"In production",IF(J469&gt;0,"Issued",IF(I469&gt;0,"Kitted","Released")))))</f>
        <v>Delivered</v>
      </c>
      <c r="M469" s="41" t="n">
        <f aca="false">IF(G469&lt;&gt;"Yes","",COUNTIFS($B$6:$B$1505,B469,$F$6:$F$1505,"&lt;"&amp;F469)+COUNTIFS($B$6:$B$1505,B469,$F$6:$F$1505,F469,$A$6:$A$1505,"&lt;="&amp;A469))</f>
        <v>13</v>
      </c>
      <c r="N469" s="41" t="n">
        <f aca="false">IF(M469="","",ROUNDUP(M469/H469,0))</f>
        <v>5</v>
      </c>
      <c r="O469" s="41" t="str">
        <f aca="false">IF(N469="","",IF(N469&lt;='Kitting Plan'!$C$3,"Rep "&amp;N469,"Surplus"))</f>
        <v>Rep 5</v>
      </c>
    </row>
    <row r="470" customFormat="false" ht="15" hidden="false" customHeight="false" outlineLevel="0" collapsed="false">
      <c r="A470" s="40" t="n">
        <f aca="false">IF(OR($A$4=0,INDEX('COOIS Raw'!$A:$GZ,ROW()-4,$A$4)=""),"",IFERROR(--INDEX('COOIS Raw'!$A:$GZ,ROW()-4,$A$4),INDEX('COOIS Raw'!$A:$GZ,ROW()-4,$A$4)))</f>
        <v>100873448</v>
      </c>
      <c r="B470" s="41" t="str">
        <f aca="false">IF(A470="","",TRIM(INDEX('COOIS Raw'!$A:$GZ,ROW()-4,$B$4)))</f>
        <v>92YWS04548AAA</v>
      </c>
      <c r="C470" s="42" t="str">
        <f aca="false">IF(OR(A470="",$C$4=0),"",INDEX('COOIS Raw'!$A:$GZ,ROW()-4,$C$4))</f>
        <v>R5B 4FP POB LUMENTUM SUB ASSEMBLY - E2A</v>
      </c>
      <c r="D470" s="41" t="n">
        <f aca="false">IF(A470="","",IF($D$4=0,1,IFERROR(--INDEX('COOIS Raw'!$A:$GZ,ROW()-4,$D$4),1)))</f>
        <v>1</v>
      </c>
      <c r="E470" s="42" t="str">
        <f aca="false">IF(A470="","",INDEX('COOIS Raw'!$A:$GZ,ROW()-4,$E$4)&amp;"")</f>
        <v>REL PRT CNF DLV PRC GMPS MANC SETC</v>
      </c>
      <c r="F470" s="43" t="n">
        <f aca="false">IF(A470="","",IFERROR(DATEVALUE(INDEX('COOIS Raw'!$A:$GZ,ROW()-4,$F$4)),INDEX('COOIS Raw'!$A:$GZ,ROW()-4,$F$4)))</f>
        <v>46244</v>
      </c>
      <c r="G470" s="41" t="str">
        <f aca="false">IF(A470="","",IF(ISNA(MATCH(B470,'Kitting Plan'!$B$6:$B$19,0)),"Not in plan","Yes"))</f>
        <v>Yes</v>
      </c>
      <c r="H470" s="41" t="n">
        <f aca="false">IF(G470="Yes",INDEX('Kitting Plan'!$D$6:$D$19,MATCH(B470,'Kitting Plan'!$B$6:$B$19,0)),"")</f>
        <v>3</v>
      </c>
      <c r="I470" s="41" t="n">
        <f aca="false">IF(A470="","",IF(ISNUMBER(SEARCH("PRT",E470)),D470,0))</f>
        <v>1</v>
      </c>
      <c r="J470" s="41" t="n">
        <f aca="false">IF(A470="","",IF(ISNUMBER(SEARCH("GMPS",E470)),D470,0))</f>
        <v>1</v>
      </c>
      <c r="K470" s="41" t="n">
        <f aca="false">IF(A470="","",IF(ISNUMBER(SEARCH("DLV",E470)),D470,0))</f>
        <v>1</v>
      </c>
      <c r="L470" s="41" t="str">
        <f aca="false">IF(A470="","",IF(K470&gt;0,"Delivered",IF(ISNUMBER(SEARCH("CNF",E470)),"In production",IF(J470&gt;0,"Issued",IF(I470&gt;0,"Kitted","Released")))))</f>
        <v>Delivered</v>
      </c>
      <c r="M470" s="41" t="n">
        <f aca="false">IF(G470&lt;&gt;"Yes","",COUNTIFS($B$6:$B$1505,B470,$F$6:$F$1505,"&lt;"&amp;F470)+COUNTIFS($B$6:$B$1505,B470,$F$6:$F$1505,F470,$A$6:$A$1505,"&lt;="&amp;A470))</f>
        <v>14</v>
      </c>
      <c r="N470" s="41" t="n">
        <f aca="false">IF(M470="","",ROUNDUP(M470/H470,0))</f>
        <v>5</v>
      </c>
      <c r="O470" s="41" t="str">
        <f aca="false">IF(N470="","",IF(N470&lt;='Kitting Plan'!$C$3,"Rep "&amp;N470,"Surplus"))</f>
        <v>Rep 5</v>
      </c>
    </row>
    <row r="471" customFormat="false" ht="15" hidden="false" customHeight="false" outlineLevel="0" collapsed="false">
      <c r="A471" s="40" t="n">
        <f aca="false">IF(OR($A$4=0,INDEX('COOIS Raw'!$A:$GZ,ROW()-4,$A$4)=""),"",IFERROR(--INDEX('COOIS Raw'!$A:$GZ,ROW()-4,$A$4),INDEX('COOIS Raw'!$A:$GZ,ROW()-4,$A$4)))</f>
        <v>100873450</v>
      </c>
      <c r="B471" s="41" t="str">
        <f aca="false">IF(A471="","",TRIM(INDEX('COOIS Raw'!$A:$GZ,ROW()-4,$B$4)))</f>
        <v>92YWS04548AAA</v>
      </c>
      <c r="C471" s="42" t="str">
        <f aca="false">IF(OR(A471="",$C$4=0),"",INDEX('COOIS Raw'!$A:$GZ,ROW()-4,$C$4))</f>
        <v>R5B 4FP POB LUMENTUM SUB ASSEMBLY - E2A</v>
      </c>
      <c r="D471" s="41" t="n">
        <f aca="false">IF(A471="","",IF($D$4=0,1,IFERROR(--INDEX('COOIS Raw'!$A:$GZ,ROW()-4,$D$4),1)))</f>
        <v>1</v>
      </c>
      <c r="E471" s="42" t="str">
        <f aca="false">IF(A471="","",INDEX('COOIS Raw'!$A:$GZ,ROW()-4,$E$4)&amp;"")</f>
        <v>REL PRT CNF DLV PRC GMPS MANC SETC</v>
      </c>
      <c r="F471" s="43" t="n">
        <f aca="false">IF(A471="","",IFERROR(DATEVALUE(INDEX('COOIS Raw'!$A:$GZ,ROW()-4,$F$4)),INDEX('COOIS Raw'!$A:$GZ,ROW()-4,$F$4)))</f>
        <v>46244</v>
      </c>
      <c r="G471" s="41" t="str">
        <f aca="false">IF(A471="","",IF(ISNA(MATCH(B471,'Kitting Plan'!$B$6:$B$19,0)),"Not in plan","Yes"))</f>
        <v>Yes</v>
      </c>
      <c r="H471" s="41" t="n">
        <f aca="false">IF(G471="Yes",INDEX('Kitting Plan'!$D$6:$D$19,MATCH(B471,'Kitting Plan'!$B$6:$B$19,0)),"")</f>
        <v>3</v>
      </c>
      <c r="I471" s="41" t="n">
        <f aca="false">IF(A471="","",IF(ISNUMBER(SEARCH("PRT",E471)),D471,0))</f>
        <v>1</v>
      </c>
      <c r="J471" s="41" t="n">
        <f aca="false">IF(A471="","",IF(ISNUMBER(SEARCH("GMPS",E471)),D471,0))</f>
        <v>1</v>
      </c>
      <c r="K471" s="41" t="n">
        <f aca="false">IF(A471="","",IF(ISNUMBER(SEARCH("DLV",E471)),D471,0))</f>
        <v>1</v>
      </c>
      <c r="L471" s="41" t="str">
        <f aca="false">IF(A471="","",IF(K471&gt;0,"Delivered",IF(ISNUMBER(SEARCH("CNF",E471)),"In production",IF(J471&gt;0,"Issued",IF(I471&gt;0,"Kitted","Released")))))</f>
        <v>Delivered</v>
      </c>
      <c r="M471" s="41" t="n">
        <f aca="false">IF(G471&lt;&gt;"Yes","",COUNTIFS($B$6:$B$1505,B471,$F$6:$F$1505,"&lt;"&amp;F471)+COUNTIFS($B$6:$B$1505,B471,$F$6:$F$1505,F471,$A$6:$A$1505,"&lt;="&amp;A471))</f>
        <v>15</v>
      </c>
      <c r="N471" s="41" t="n">
        <f aca="false">IF(M471="","",ROUNDUP(M471/H471,0))</f>
        <v>5</v>
      </c>
      <c r="O471" s="41" t="str">
        <f aca="false">IF(N471="","",IF(N471&lt;='Kitting Plan'!$C$3,"Rep "&amp;N471,"Surplus"))</f>
        <v>Rep 5</v>
      </c>
    </row>
    <row r="472" customFormat="false" ht="15" hidden="false" customHeight="false" outlineLevel="0" collapsed="false">
      <c r="A472" s="40" t="n">
        <f aca="false">IF(OR($A$4=0,INDEX('COOIS Raw'!$A:$GZ,ROW()-4,$A$4)=""),"",IFERROR(--INDEX('COOIS Raw'!$A:$GZ,ROW()-4,$A$4),INDEX('COOIS Raw'!$A:$GZ,ROW()-4,$A$4)))</f>
        <v>100873356</v>
      </c>
      <c r="B472" s="41" t="str">
        <f aca="false">IF(A472="","",TRIM(INDEX('COOIS Raw'!$A:$GZ,ROW()-4,$B$4)))</f>
        <v>92YLS00548BAA</v>
      </c>
      <c r="C472" s="42" t="str">
        <f aca="false">IF(OR(A472="",$C$4=0),"",INDEX('COOIS Raw'!$A:$GZ,ROW()-4,$C$4))</f>
        <v>R5B LASER ASSEMBLY 4P BOAT 1 - E2A</v>
      </c>
      <c r="D472" s="41" t="n">
        <f aca="false">IF(A472="","",IF($D$4=0,1,IFERROR(--INDEX('COOIS Raw'!$A:$GZ,ROW()-4,$D$4),1)))</f>
        <v>1</v>
      </c>
      <c r="E472" s="42" t="str">
        <f aca="false">IF(A472="","",INDEX('COOIS Raw'!$A:$GZ,ROW()-4,$E$4)&amp;"")</f>
        <v>REL PPRT CNF DLV PRC GMPS MANC SETC</v>
      </c>
      <c r="F472" s="43" t="n">
        <f aca="false">IF(A472="","",IFERROR(DATEVALUE(INDEX('COOIS Raw'!$A:$GZ,ROW()-4,$F$4)),INDEX('COOIS Raw'!$A:$GZ,ROW()-4,$F$4)))</f>
        <v>46243</v>
      </c>
      <c r="G472" s="41" t="str">
        <f aca="false">IF(A472="","",IF(ISNA(MATCH(B472,'Kitting Plan'!$B$6:$B$19,0)),"Not in plan","Yes"))</f>
        <v>Yes</v>
      </c>
      <c r="H472" s="41" t="n">
        <f aca="false">IF(G472="Yes",INDEX('Kitting Plan'!$D$6:$D$19,MATCH(B472,'Kitting Plan'!$B$6:$B$19,0)),"")</f>
        <v>1</v>
      </c>
      <c r="I472" s="41" t="n">
        <f aca="false">IF(A472="","",IF(ISNUMBER(SEARCH("PRT",E472)),D472,0))</f>
        <v>1</v>
      </c>
      <c r="J472" s="41" t="n">
        <f aca="false">IF(A472="","",IF(ISNUMBER(SEARCH("GMPS",E472)),D472,0))</f>
        <v>1</v>
      </c>
      <c r="K472" s="41" t="n">
        <f aca="false">IF(A472="","",IF(ISNUMBER(SEARCH("DLV",E472)),D472,0))</f>
        <v>1</v>
      </c>
      <c r="L472" s="41" t="str">
        <f aca="false">IF(A472="","",IF(K472&gt;0,"Delivered",IF(ISNUMBER(SEARCH("CNF",E472)),"In production",IF(J472&gt;0,"Issued",IF(I472&gt;0,"Kitted","Released")))))</f>
        <v>Delivered</v>
      </c>
      <c r="M472" s="41" t="n">
        <f aca="false">IF(G472&lt;&gt;"Yes","",COUNTIFS($B$6:$B$1505,B472,$F$6:$F$1505,"&lt;"&amp;F472)+COUNTIFS($B$6:$B$1505,B472,$F$6:$F$1505,F472,$A$6:$A$1505,"&lt;="&amp;A472))</f>
        <v>6</v>
      </c>
      <c r="N472" s="41" t="n">
        <f aca="false">IF(M472="","",ROUNDUP(M472/H472,0))</f>
        <v>6</v>
      </c>
      <c r="O472" s="41" t="str">
        <f aca="false">IF(N472="","",IF(N472&lt;='Kitting Plan'!$C$3,"Rep "&amp;N472,"Surplus"))</f>
        <v>Rep 6</v>
      </c>
    </row>
    <row r="473" customFormat="false" ht="15" hidden="false" customHeight="false" outlineLevel="0" collapsed="false">
      <c r="A473" s="40" t="n">
        <f aca="false">IF(OR($A$4=0,INDEX('COOIS Raw'!$A:$GZ,ROW()-4,$A$4)=""),"",IFERROR(--INDEX('COOIS Raw'!$A:$GZ,ROW()-4,$A$4),INDEX('COOIS Raw'!$A:$GZ,ROW()-4,$A$4)))</f>
        <v>100873357</v>
      </c>
      <c r="B473" s="41" t="str">
        <f aca="false">IF(A473="","",TRIM(INDEX('COOIS Raw'!$A:$GZ,ROW()-4,$B$4)))</f>
        <v>92YLS00548BBA</v>
      </c>
      <c r="C473" s="42" t="str">
        <f aca="false">IF(OR(A473="",$C$4=0),"",INDEX('COOIS Raw'!$A:$GZ,ROW()-4,$C$4))</f>
        <v>R5B LASER ASSEMBLY 4P BOAT 2/3 - E2A</v>
      </c>
      <c r="D473" s="41" t="n">
        <f aca="false">IF(A473="","",IF($D$4=0,1,IFERROR(--INDEX('COOIS Raw'!$A:$GZ,ROW()-4,$D$4),1)))</f>
        <v>1</v>
      </c>
      <c r="E473" s="42" t="str">
        <f aca="false">IF(A473="","",INDEX('COOIS Raw'!$A:$GZ,ROW()-4,$E$4)&amp;"")</f>
        <v>REL PRT CNF DLV PRC GMPS MANC RESA*</v>
      </c>
      <c r="F473" s="43" t="n">
        <f aca="false">IF(A473="","",IFERROR(DATEVALUE(INDEX('COOIS Raw'!$A:$GZ,ROW()-4,$F$4)),INDEX('COOIS Raw'!$A:$GZ,ROW()-4,$F$4)))</f>
        <v>46243</v>
      </c>
      <c r="G473" s="41" t="str">
        <f aca="false">IF(A473="","",IF(ISNA(MATCH(B473,'Kitting Plan'!$B$6:$B$19,0)),"Not in plan","Yes"))</f>
        <v>Yes</v>
      </c>
      <c r="H473" s="41" t="n">
        <f aca="false">IF(G473="Yes",INDEX('Kitting Plan'!$D$6:$D$19,MATCH(B473,'Kitting Plan'!$B$6:$B$19,0)),"")</f>
        <v>2</v>
      </c>
      <c r="I473" s="41" t="n">
        <f aca="false">IF(A473="","",IF(ISNUMBER(SEARCH("PRT",E473)),D473,0))</f>
        <v>1</v>
      </c>
      <c r="J473" s="41" t="n">
        <f aca="false">IF(A473="","",IF(ISNUMBER(SEARCH("GMPS",E473)),D473,0))</f>
        <v>1</v>
      </c>
      <c r="K473" s="41" t="n">
        <f aca="false">IF(A473="","",IF(ISNUMBER(SEARCH("DLV",E473)),D473,0))</f>
        <v>1</v>
      </c>
      <c r="L473" s="41" t="str">
        <f aca="false">IF(A473="","",IF(K473&gt;0,"Delivered",IF(ISNUMBER(SEARCH("CNF",E473)),"In production",IF(J473&gt;0,"Issued",IF(I473&gt;0,"Kitted","Released")))))</f>
        <v>Delivered</v>
      </c>
      <c r="M473" s="41" t="n">
        <f aca="false">IF(G473&lt;&gt;"Yes","",COUNTIFS($B$6:$B$1505,B473,$F$6:$F$1505,"&lt;"&amp;F473)+COUNTIFS($B$6:$B$1505,B473,$F$6:$F$1505,F473,$A$6:$A$1505,"&lt;="&amp;A473))</f>
        <v>9</v>
      </c>
      <c r="N473" s="41" t="n">
        <f aca="false">IF(M473="","",ROUNDUP(M473/H473,0))</f>
        <v>5</v>
      </c>
      <c r="O473" s="41" t="str">
        <f aca="false">IF(N473="","",IF(N473&lt;='Kitting Plan'!$C$3,"Rep "&amp;N473,"Surplus"))</f>
        <v>Rep 5</v>
      </c>
    </row>
    <row r="474" customFormat="false" ht="15" hidden="false" customHeight="false" outlineLevel="0" collapsed="false">
      <c r="A474" s="40" t="n">
        <f aca="false">IF(OR($A$4=0,INDEX('COOIS Raw'!$A:$GZ,ROW()-4,$A$4)=""),"",IFERROR(--INDEX('COOIS Raw'!$A:$GZ,ROW()-4,$A$4),INDEX('COOIS Raw'!$A:$GZ,ROW()-4,$A$4)))</f>
        <v>100873358</v>
      </c>
      <c r="B474" s="41" t="str">
        <f aca="false">IF(A474="","",TRIM(INDEX('COOIS Raw'!$A:$GZ,ROW()-4,$B$4)))</f>
        <v>92YLS00548BBA</v>
      </c>
      <c r="C474" s="42" t="str">
        <f aca="false">IF(OR(A474="",$C$4=0),"",INDEX('COOIS Raw'!$A:$GZ,ROW()-4,$C$4))</f>
        <v>R5B LASER ASSEMBLY 4P BOAT 2/3 - E2A</v>
      </c>
      <c r="D474" s="41" t="n">
        <f aca="false">IF(A474="","",IF($D$4=0,1,IFERROR(--INDEX('COOIS Raw'!$A:$GZ,ROW()-4,$D$4),1)))</f>
        <v>1</v>
      </c>
      <c r="E474" s="42" t="str">
        <f aca="false">IF(A474="","",INDEX('COOIS Raw'!$A:$GZ,ROW()-4,$E$4)&amp;"")</f>
        <v>REL PPRT CNF DLV PRC GMPS MANC RESA*</v>
      </c>
      <c r="F474" s="43" t="n">
        <f aca="false">IF(A474="","",IFERROR(DATEVALUE(INDEX('COOIS Raw'!$A:$GZ,ROW()-4,$F$4)),INDEX('COOIS Raw'!$A:$GZ,ROW()-4,$F$4)))</f>
        <v>46243</v>
      </c>
      <c r="G474" s="41" t="str">
        <f aca="false">IF(A474="","",IF(ISNA(MATCH(B474,'Kitting Plan'!$B$6:$B$19,0)),"Not in plan","Yes"))</f>
        <v>Yes</v>
      </c>
      <c r="H474" s="41" t="n">
        <f aca="false">IF(G474="Yes",INDEX('Kitting Plan'!$D$6:$D$19,MATCH(B474,'Kitting Plan'!$B$6:$B$19,0)),"")</f>
        <v>2</v>
      </c>
      <c r="I474" s="41" t="n">
        <f aca="false">IF(A474="","",IF(ISNUMBER(SEARCH("PRT",E474)),D474,0))</f>
        <v>1</v>
      </c>
      <c r="J474" s="41" t="n">
        <f aca="false">IF(A474="","",IF(ISNUMBER(SEARCH("GMPS",E474)),D474,0))</f>
        <v>1</v>
      </c>
      <c r="K474" s="41" t="n">
        <f aca="false">IF(A474="","",IF(ISNUMBER(SEARCH("DLV",E474)),D474,0))</f>
        <v>1</v>
      </c>
      <c r="L474" s="41" t="str">
        <f aca="false">IF(A474="","",IF(K474&gt;0,"Delivered",IF(ISNUMBER(SEARCH("CNF",E474)),"In production",IF(J474&gt;0,"Issued",IF(I474&gt;0,"Kitted","Released")))))</f>
        <v>Delivered</v>
      </c>
      <c r="M474" s="41" t="n">
        <f aca="false">IF(G474&lt;&gt;"Yes","",COUNTIFS($B$6:$B$1505,B474,$F$6:$F$1505,"&lt;"&amp;F474)+COUNTIFS($B$6:$B$1505,B474,$F$6:$F$1505,F474,$A$6:$A$1505,"&lt;="&amp;A474))</f>
        <v>10</v>
      </c>
      <c r="N474" s="41" t="n">
        <f aca="false">IF(M474="","",ROUNDUP(M474/H474,0))</f>
        <v>5</v>
      </c>
      <c r="O474" s="41" t="str">
        <f aca="false">IF(N474="","",IF(N474&lt;='Kitting Plan'!$C$3,"Rep "&amp;N474,"Surplus"))</f>
        <v>Rep 5</v>
      </c>
    </row>
    <row r="475" customFormat="false" ht="15" hidden="false" customHeight="false" outlineLevel="0" collapsed="false">
      <c r="A475" s="40" t="n">
        <f aca="false">IF(OR($A$4=0,INDEX('COOIS Raw'!$A:$GZ,ROW()-4,$A$4)=""),"",IFERROR(--INDEX('COOIS Raw'!$A:$GZ,ROW()-4,$A$4),INDEX('COOIS Raw'!$A:$GZ,ROW()-4,$A$4)))</f>
        <v>100873359</v>
      </c>
      <c r="B475" s="41" t="str">
        <f aca="false">IF(A475="","",TRIM(INDEX('COOIS Raw'!$A:$GZ,ROW()-4,$B$4)))</f>
        <v>91YAF03404AAA</v>
      </c>
      <c r="C475" s="42" t="str">
        <f aca="false">IF(OR(A475="",$C$4=0),"",INDEX('COOIS Raw'!$A:$GZ,ROW()-4,$C$4))</f>
        <v>R5B PSB SUB ASSEMBLY 4P-4FP</v>
      </c>
      <c r="D475" s="41" t="n">
        <f aca="false">IF(A475="","",IF($D$4=0,1,IFERROR(--INDEX('COOIS Raw'!$A:$GZ,ROW()-4,$D$4),1)))</f>
        <v>1</v>
      </c>
      <c r="E475" s="42" t="str">
        <f aca="false">IF(A475="","",INDEX('COOIS Raw'!$A:$GZ,ROW()-4,$E$4)&amp;"")</f>
        <v>REL PRT CNF DLV PRC GMPS MANC SETC</v>
      </c>
      <c r="F475" s="43" t="n">
        <f aca="false">IF(A475="","",IFERROR(DATEVALUE(INDEX('COOIS Raw'!$A:$GZ,ROW()-4,$F$4)),INDEX('COOIS Raw'!$A:$GZ,ROW()-4,$F$4)))</f>
        <v>46243</v>
      </c>
      <c r="G475" s="41" t="str">
        <f aca="false">IF(A475="","",IF(ISNA(MATCH(B475,'Kitting Plan'!$B$6:$B$19,0)),"Not in plan","Yes"))</f>
        <v>Yes</v>
      </c>
      <c r="H475" s="41" t="n">
        <f aca="false">IF(G475="Yes",INDEX('Kitting Plan'!$D$6:$D$19,MATCH(B475,'Kitting Plan'!$B$6:$B$19,0)),"")</f>
        <v>3</v>
      </c>
      <c r="I475" s="41" t="n">
        <f aca="false">IF(A475="","",IF(ISNUMBER(SEARCH("PRT",E475)),D475,0))</f>
        <v>1</v>
      </c>
      <c r="J475" s="41" t="n">
        <f aca="false">IF(A475="","",IF(ISNUMBER(SEARCH("GMPS",E475)),D475,0))</f>
        <v>1</v>
      </c>
      <c r="K475" s="41" t="n">
        <f aca="false">IF(A475="","",IF(ISNUMBER(SEARCH("DLV",E475)),D475,0))</f>
        <v>1</v>
      </c>
      <c r="L475" s="41" t="str">
        <f aca="false">IF(A475="","",IF(K475&gt;0,"Delivered",IF(ISNUMBER(SEARCH("CNF",E475)),"In production",IF(J475&gt;0,"Issued",IF(I475&gt;0,"Kitted","Released")))))</f>
        <v>Delivered</v>
      </c>
      <c r="M475" s="41" t="n">
        <f aca="false">IF(G475&lt;&gt;"Yes","",COUNTIFS($B$6:$B$1505,B475,$F$6:$F$1505,"&lt;"&amp;F475)+COUNTIFS($B$6:$B$1505,B475,$F$6:$F$1505,F475,$A$6:$A$1505,"&lt;="&amp;A475))</f>
        <v>18</v>
      </c>
      <c r="N475" s="41" t="n">
        <f aca="false">IF(M475="","",ROUNDUP(M475/H475,0))</f>
        <v>6</v>
      </c>
      <c r="O475" s="41" t="str">
        <f aca="false">IF(N475="","",IF(N475&lt;='Kitting Plan'!$C$3,"Rep "&amp;N475,"Surplus"))</f>
        <v>Rep 6</v>
      </c>
    </row>
    <row r="476" customFormat="false" ht="15" hidden="false" customHeight="false" outlineLevel="0" collapsed="false">
      <c r="A476" s="40" t="n">
        <f aca="false">IF(OR($A$4=0,INDEX('COOIS Raw'!$A:$GZ,ROW()-4,$A$4)=""),"",IFERROR(--INDEX('COOIS Raw'!$A:$GZ,ROW()-4,$A$4),INDEX('COOIS Raw'!$A:$GZ,ROW()-4,$A$4)))</f>
        <v>100873360</v>
      </c>
      <c r="B476" s="41" t="str">
        <f aca="false">IF(A476="","",TRIM(INDEX('COOIS Raw'!$A:$GZ,ROW()-4,$B$4)))</f>
        <v>91YAF03404AAA</v>
      </c>
      <c r="C476" s="42" t="str">
        <f aca="false">IF(OR(A476="",$C$4=0),"",INDEX('COOIS Raw'!$A:$GZ,ROW()-4,$C$4))</f>
        <v>R5B PSB SUB ASSEMBLY 4P-4FP</v>
      </c>
      <c r="D476" s="41" t="n">
        <f aca="false">IF(A476="","",IF($D$4=0,1,IFERROR(--INDEX('COOIS Raw'!$A:$GZ,ROW()-4,$D$4),1)))</f>
        <v>1</v>
      </c>
      <c r="E476" s="42" t="str">
        <f aca="false">IF(A476="","",INDEX('COOIS Raw'!$A:$GZ,ROW()-4,$E$4)&amp;"")</f>
        <v>REL PRT CNF DLV PRC GMPS MANC SETC</v>
      </c>
      <c r="F476" s="43" t="n">
        <f aca="false">IF(A476="","",IFERROR(DATEVALUE(INDEX('COOIS Raw'!$A:$GZ,ROW()-4,$F$4)),INDEX('COOIS Raw'!$A:$GZ,ROW()-4,$F$4)))</f>
        <v>46243</v>
      </c>
      <c r="G476" s="41" t="str">
        <f aca="false">IF(A476="","",IF(ISNA(MATCH(B476,'Kitting Plan'!$B$6:$B$19,0)),"Not in plan","Yes"))</f>
        <v>Yes</v>
      </c>
      <c r="H476" s="41" t="n">
        <f aca="false">IF(G476="Yes",INDEX('Kitting Plan'!$D$6:$D$19,MATCH(B476,'Kitting Plan'!$B$6:$B$19,0)),"")</f>
        <v>3</v>
      </c>
      <c r="I476" s="41" t="n">
        <f aca="false">IF(A476="","",IF(ISNUMBER(SEARCH("PRT",E476)),D476,0))</f>
        <v>1</v>
      </c>
      <c r="J476" s="41" t="n">
        <f aca="false">IF(A476="","",IF(ISNUMBER(SEARCH("GMPS",E476)),D476,0))</f>
        <v>1</v>
      </c>
      <c r="K476" s="41" t="n">
        <f aca="false">IF(A476="","",IF(ISNUMBER(SEARCH("DLV",E476)),D476,0))</f>
        <v>1</v>
      </c>
      <c r="L476" s="41" t="str">
        <f aca="false">IF(A476="","",IF(K476&gt;0,"Delivered",IF(ISNUMBER(SEARCH("CNF",E476)),"In production",IF(J476&gt;0,"Issued",IF(I476&gt;0,"Kitted","Released")))))</f>
        <v>Delivered</v>
      </c>
      <c r="M476" s="41" t="n">
        <f aca="false">IF(G476&lt;&gt;"Yes","",COUNTIFS($B$6:$B$1505,B476,$F$6:$F$1505,"&lt;"&amp;F476)+COUNTIFS($B$6:$B$1505,B476,$F$6:$F$1505,F476,$A$6:$A$1505,"&lt;="&amp;A476))</f>
        <v>19</v>
      </c>
      <c r="N476" s="41" t="n">
        <f aca="false">IF(M476="","",ROUNDUP(M476/H476,0))</f>
        <v>7</v>
      </c>
      <c r="O476" s="41" t="str">
        <f aca="false">IF(N476="","",IF(N476&lt;='Kitting Plan'!$C$3,"Rep "&amp;N476,"Surplus"))</f>
        <v>Rep 7</v>
      </c>
    </row>
    <row r="477" customFormat="false" ht="15" hidden="false" customHeight="false" outlineLevel="0" collapsed="false">
      <c r="A477" s="40" t="n">
        <f aca="false">IF(OR($A$4=0,INDEX('COOIS Raw'!$A:$GZ,ROW()-4,$A$4)=""),"",IFERROR(--INDEX('COOIS Raw'!$A:$GZ,ROW()-4,$A$4),INDEX('COOIS Raw'!$A:$GZ,ROW()-4,$A$4)))</f>
        <v>100873361</v>
      </c>
      <c r="B477" s="41" t="str">
        <f aca="false">IF(A477="","",TRIM(INDEX('COOIS Raw'!$A:$GZ,ROW()-4,$B$4)))</f>
        <v>91YAF03404AAA</v>
      </c>
      <c r="C477" s="42" t="str">
        <f aca="false">IF(OR(A477="",$C$4=0),"",INDEX('COOIS Raw'!$A:$GZ,ROW()-4,$C$4))</f>
        <v>R5B PSB SUB ASSEMBLY 4P-4FP</v>
      </c>
      <c r="D477" s="41" t="n">
        <f aca="false">IF(A477="","",IF($D$4=0,1,IFERROR(--INDEX('COOIS Raw'!$A:$GZ,ROW()-4,$D$4),1)))</f>
        <v>1</v>
      </c>
      <c r="E477" s="42" t="str">
        <f aca="false">IF(A477="","",INDEX('COOIS Raw'!$A:$GZ,ROW()-4,$E$4)&amp;"")</f>
        <v>REL PRT CNF DLV PRC GMPS MANC SETC</v>
      </c>
      <c r="F477" s="43" t="n">
        <f aca="false">IF(A477="","",IFERROR(DATEVALUE(INDEX('COOIS Raw'!$A:$GZ,ROW()-4,$F$4)),INDEX('COOIS Raw'!$A:$GZ,ROW()-4,$F$4)))</f>
        <v>46243</v>
      </c>
      <c r="G477" s="41" t="str">
        <f aca="false">IF(A477="","",IF(ISNA(MATCH(B477,'Kitting Plan'!$B$6:$B$19,0)),"Not in plan","Yes"))</f>
        <v>Yes</v>
      </c>
      <c r="H477" s="41" t="n">
        <f aca="false">IF(G477="Yes",INDEX('Kitting Plan'!$D$6:$D$19,MATCH(B477,'Kitting Plan'!$B$6:$B$19,0)),"")</f>
        <v>3</v>
      </c>
      <c r="I477" s="41" t="n">
        <f aca="false">IF(A477="","",IF(ISNUMBER(SEARCH("PRT",E477)),D477,0))</f>
        <v>1</v>
      </c>
      <c r="J477" s="41" t="n">
        <f aca="false">IF(A477="","",IF(ISNUMBER(SEARCH("GMPS",E477)),D477,0))</f>
        <v>1</v>
      </c>
      <c r="K477" s="41" t="n">
        <f aca="false">IF(A477="","",IF(ISNUMBER(SEARCH("DLV",E477)),D477,0))</f>
        <v>1</v>
      </c>
      <c r="L477" s="41" t="str">
        <f aca="false">IF(A477="","",IF(K477&gt;0,"Delivered",IF(ISNUMBER(SEARCH("CNF",E477)),"In production",IF(J477&gt;0,"Issued",IF(I477&gt;0,"Kitted","Released")))))</f>
        <v>Delivered</v>
      </c>
      <c r="M477" s="41" t="n">
        <f aca="false">IF(G477&lt;&gt;"Yes","",COUNTIFS($B$6:$B$1505,B477,$F$6:$F$1505,"&lt;"&amp;F477)+COUNTIFS($B$6:$B$1505,B477,$F$6:$F$1505,F477,$A$6:$A$1505,"&lt;="&amp;A477))</f>
        <v>20</v>
      </c>
      <c r="N477" s="41" t="n">
        <f aca="false">IF(M477="","",ROUNDUP(M477/H477,0))</f>
        <v>7</v>
      </c>
      <c r="O477" s="41" t="str">
        <f aca="false">IF(N477="","",IF(N477&lt;='Kitting Plan'!$C$3,"Rep "&amp;N477,"Surplus"))</f>
        <v>Rep 7</v>
      </c>
    </row>
    <row r="478" customFormat="false" ht="15" hidden="false" customHeight="false" outlineLevel="0" collapsed="false">
      <c r="A478" s="40" t="n">
        <f aca="false">IF(OR($A$4=0,INDEX('COOIS Raw'!$A:$GZ,ROW()-4,$A$4)=""),"",IFERROR(--INDEX('COOIS Raw'!$A:$GZ,ROW()-4,$A$4),INDEX('COOIS Raw'!$A:$GZ,ROW()-4,$A$4)))</f>
        <v>100873342</v>
      </c>
      <c r="B478" s="41" t="str">
        <f aca="false">IF(A478="","",TRIM(INDEX('COOIS Raw'!$A:$GZ,ROW()-4,$B$4)))</f>
        <v>91YAF03404AAA</v>
      </c>
      <c r="C478" s="42" t="str">
        <f aca="false">IF(OR(A478="",$C$4=0),"",INDEX('COOIS Raw'!$A:$GZ,ROW()-4,$C$4))</f>
        <v>R5B PSB SUB ASSEMBLY 4P-4FP</v>
      </c>
      <c r="D478" s="41" t="n">
        <f aca="false">IF(A478="","",IF($D$4=0,1,IFERROR(--INDEX('COOIS Raw'!$A:$GZ,ROW()-4,$D$4),1)))</f>
        <v>1</v>
      </c>
      <c r="E478" s="42" t="str">
        <f aca="false">IF(A478="","",INDEX('COOIS Raw'!$A:$GZ,ROW()-4,$E$4)&amp;"")</f>
        <v>REL PRT CNF DLV PRC GMPS MANC SETC</v>
      </c>
      <c r="F478" s="43" t="n">
        <f aca="false">IF(A478="","",IFERROR(DATEVALUE(INDEX('COOIS Raw'!$A:$GZ,ROW()-4,$F$4)),INDEX('COOIS Raw'!$A:$GZ,ROW()-4,$F$4)))</f>
        <v>46242</v>
      </c>
      <c r="G478" s="41" t="str">
        <f aca="false">IF(A478="","",IF(ISNA(MATCH(B478,'Kitting Plan'!$B$6:$B$19,0)),"Not in plan","Yes"))</f>
        <v>Yes</v>
      </c>
      <c r="H478" s="41" t="n">
        <f aca="false">IF(G478="Yes",INDEX('Kitting Plan'!$D$6:$D$19,MATCH(B478,'Kitting Plan'!$B$6:$B$19,0)),"")</f>
        <v>3</v>
      </c>
      <c r="I478" s="41" t="n">
        <f aca="false">IF(A478="","",IF(ISNUMBER(SEARCH("PRT",E478)),D478,0))</f>
        <v>1</v>
      </c>
      <c r="J478" s="41" t="n">
        <f aca="false">IF(A478="","",IF(ISNUMBER(SEARCH("GMPS",E478)),D478,0))</f>
        <v>1</v>
      </c>
      <c r="K478" s="41" t="n">
        <f aca="false">IF(A478="","",IF(ISNUMBER(SEARCH("DLV",E478)),D478,0))</f>
        <v>1</v>
      </c>
      <c r="L478" s="41" t="str">
        <f aca="false">IF(A478="","",IF(K478&gt;0,"Delivered",IF(ISNUMBER(SEARCH("CNF",E478)),"In production",IF(J478&gt;0,"Issued",IF(I478&gt;0,"Kitted","Released")))))</f>
        <v>Delivered</v>
      </c>
      <c r="M478" s="41" t="n">
        <f aca="false">IF(G478&lt;&gt;"Yes","",COUNTIFS($B$6:$B$1505,B478,$F$6:$F$1505,"&lt;"&amp;F478)+COUNTIFS($B$6:$B$1505,B478,$F$6:$F$1505,F478,$A$6:$A$1505,"&lt;="&amp;A478))</f>
        <v>17</v>
      </c>
      <c r="N478" s="41" t="n">
        <f aca="false">IF(M478="","",ROUNDUP(M478/H478,0))</f>
        <v>6</v>
      </c>
      <c r="O478" s="41" t="str">
        <f aca="false">IF(N478="","",IF(N478&lt;='Kitting Plan'!$C$3,"Rep "&amp;N478,"Surplus"))</f>
        <v>Rep 6</v>
      </c>
    </row>
    <row r="479" customFormat="false" ht="15" hidden="false" customHeight="false" outlineLevel="0" collapsed="false">
      <c r="A479" s="40" t="n">
        <f aca="false">IF(OR($A$4=0,INDEX('COOIS Raw'!$A:$GZ,ROW()-4,$A$4)=""),"",IFERROR(--INDEX('COOIS Raw'!$A:$GZ,ROW()-4,$A$4),INDEX('COOIS Raw'!$A:$GZ,ROW()-4,$A$4)))</f>
        <v>100873353</v>
      </c>
      <c r="B479" s="41" t="str">
        <f aca="false">IF(A479="","",TRIM(INDEX('COOIS Raw'!$A:$GZ,ROW()-4,$B$4)))</f>
        <v>92UAP04548BAA</v>
      </c>
      <c r="C479" s="42" t="str">
        <f aca="false">IF(OR(A479="",$C$4=0),"",INDEX('COOIS Raw'!$A:$GZ,ROW()-4,$C$4))</f>
        <v>R5B BOAT 1 ASSY (4P-4FP) L - E2A</v>
      </c>
      <c r="D479" s="41" t="n">
        <f aca="false">IF(A479="","",IF($D$4=0,1,IFERROR(--INDEX('COOIS Raw'!$A:$GZ,ROW()-4,$D$4),1)))</f>
        <v>1</v>
      </c>
      <c r="E479" s="42" t="str">
        <f aca="false">IF(A479="","",INDEX('COOIS Raw'!$A:$GZ,ROW()-4,$E$4)&amp;"")</f>
        <v>REL PRT CNF DLV PRC GMPS MANC RESA*</v>
      </c>
      <c r="F479" s="43" t="n">
        <f aca="false">IF(A479="","",IFERROR(DATEVALUE(INDEX('COOIS Raw'!$A:$GZ,ROW()-4,$F$4)),INDEX('COOIS Raw'!$A:$GZ,ROW()-4,$F$4)))</f>
        <v>46242</v>
      </c>
      <c r="G479" s="41" t="str">
        <f aca="false">IF(A479="","",IF(ISNA(MATCH(B479,'Kitting Plan'!$B$6:$B$19,0)),"Not in plan","Yes"))</f>
        <v>Yes</v>
      </c>
      <c r="H479" s="41" t="n">
        <f aca="false">IF(G479="Yes",INDEX('Kitting Plan'!$D$6:$D$19,MATCH(B479,'Kitting Plan'!$B$6:$B$19,0)),"")</f>
        <v>1</v>
      </c>
      <c r="I479" s="41" t="n">
        <f aca="false">IF(A479="","",IF(ISNUMBER(SEARCH("PRT",E479)),D479,0))</f>
        <v>1</v>
      </c>
      <c r="J479" s="41" t="n">
        <f aca="false">IF(A479="","",IF(ISNUMBER(SEARCH("GMPS",E479)),D479,0))</f>
        <v>1</v>
      </c>
      <c r="K479" s="41" t="n">
        <f aca="false">IF(A479="","",IF(ISNUMBER(SEARCH("DLV",E479)),D479,0))</f>
        <v>1</v>
      </c>
      <c r="L479" s="41" t="str">
        <f aca="false">IF(A479="","",IF(K479&gt;0,"Delivered",IF(ISNUMBER(SEARCH("CNF",E479)),"In production",IF(J479&gt;0,"Issued",IF(I479&gt;0,"Kitted","Released")))))</f>
        <v>Delivered</v>
      </c>
      <c r="M479" s="41" t="n">
        <f aca="false">IF(G479&lt;&gt;"Yes","",COUNTIFS($B$6:$B$1505,B479,$F$6:$F$1505,"&lt;"&amp;F479)+COUNTIFS($B$6:$B$1505,B479,$F$6:$F$1505,F479,$A$6:$A$1505,"&lt;="&amp;A479))</f>
        <v>4</v>
      </c>
      <c r="N479" s="41" t="n">
        <f aca="false">IF(M479="","",ROUNDUP(M479/H479,0))</f>
        <v>4</v>
      </c>
      <c r="O479" s="41" t="str">
        <f aca="false">IF(N479="","",IF(N479&lt;='Kitting Plan'!$C$3,"Rep "&amp;N479,"Surplus"))</f>
        <v>Rep 4</v>
      </c>
    </row>
    <row r="480" customFormat="false" ht="15" hidden="false" customHeight="false" outlineLevel="0" collapsed="false">
      <c r="A480" s="40" t="n">
        <f aca="false">IF(OR($A$4=0,INDEX('COOIS Raw'!$A:$GZ,ROW()-4,$A$4)=""),"",IFERROR(--INDEX('COOIS Raw'!$A:$GZ,ROW()-4,$A$4),INDEX('COOIS Raw'!$A:$GZ,ROW()-4,$A$4)))</f>
        <v>100873354</v>
      </c>
      <c r="B480" s="41" t="str">
        <f aca="false">IF(A480="","",TRIM(INDEX('COOIS Raw'!$A:$GZ,ROW()-4,$B$4)))</f>
        <v>92UAP04548BBA</v>
      </c>
      <c r="C480" s="42" t="str">
        <f aca="false">IF(OR(A480="",$C$4=0),"",INDEX('COOIS Raw'!$A:$GZ,ROW()-4,$C$4))</f>
        <v>R5B BOAT 2 ASSY (4P-4FP) L - E2A</v>
      </c>
      <c r="D480" s="41" t="n">
        <f aca="false">IF(A480="","",IF($D$4=0,1,IFERROR(--INDEX('COOIS Raw'!$A:$GZ,ROW()-4,$D$4),1)))</f>
        <v>1</v>
      </c>
      <c r="E480" s="42" t="str">
        <f aca="false">IF(A480="","",INDEX('COOIS Raw'!$A:$GZ,ROW()-4,$E$4)&amp;"")</f>
        <v>REL PRT CNF DLV PRC GMPS MANC RESA*</v>
      </c>
      <c r="F480" s="43" t="n">
        <f aca="false">IF(A480="","",IFERROR(DATEVALUE(INDEX('COOIS Raw'!$A:$GZ,ROW()-4,$F$4)),INDEX('COOIS Raw'!$A:$GZ,ROW()-4,$F$4)))</f>
        <v>46242</v>
      </c>
      <c r="G480" s="41" t="str">
        <f aca="false">IF(A480="","",IF(ISNA(MATCH(B480,'Kitting Plan'!$B$6:$B$19,0)),"Not in plan","Yes"))</f>
        <v>Yes</v>
      </c>
      <c r="H480" s="41" t="n">
        <f aca="false">IF(G480="Yes",INDEX('Kitting Plan'!$D$6:$D$19,MATCH(B480,'Kitting Plan'!$B$6:$B$19,0)),"")</f>
        <v>1</v>
      </c>
      <c r="I480" s="41" t="n">
        <f aca="false">IF(A480="","",IF(ISNUMBER(SEARCH("PRT",E480)),D480,0))</f>
        <v>1</v>
      </c>
      <c r="J480" s="41" t="n">
        <f aca="false">IF(A480="","",IF(ISNUMBER(SEARCH("GMPS",E480)),D480,0))</f>
        <v>1</v>
      </c>
      <c r="K480" s="41" t="n">
        <f aca="false">IF(A480="","",IF(ISNUMBER(SEARCH("DLV",E480)),D480,0))</f>
        <v>1</v>
      </c>
      <c r="L480" s="41" t="str">
        <f aca="false">IF(A480="","",IF(K480&gt;0,"Delivered",IF(ISNUMBER(SEARCH("CNF",E480)),"In production",IF(J480&gt;0,"Issued",IF(I480&gt;0,"Kitted","Released")))))</f>
        <v>Delivered</v>
      </c>
      <c r="M480" s="41" t="n">
        <f aca="false">IF(G480&lt;&gt;"Yes","",COUNTIFS($B$6:$B$1505,B480,$F$6:$F$1505,"&lt;"&amp;F480)+COUNTIFS($B$6:$B$1505,B480,$F$6:$F$1505,F480,$A$6:$A$1505,"&lt;="&amp;A480))</f>
        <v>4</v>
      </c>
      <c r="N480" s="41" t="n">
        <f aca="false">IF(M480="","",ROUNDUP(M480/H480,0))</f>
        <v>4</v>
      </c>
      <c r="O480" s="41" t="str">
        <f aca="false">IF(N480="","",IF(N480&lt;='Kitting Plan'!$C$3,"Rep "&amp;N480,"Surplus"))</f>
        <v>Rep 4</v>
      </c>
    </row>
    <row r="481" customFormat="false" ht="15" hidden="false" customHeight="false" outlineLevel="0" collapsed="false">
      <c r="A481" s="40" t="n">
        <f aca="false">IF(OR($A$4=0,INDEX('COOIS Raw'!$A:$GZ,ROW()-4,$A$4)=""),"",IFERROR(--INDEX('COOIS Raw'!$A:$GZ,ROW()-4,$A$4),INDEX('COOIS Raw'!$A:$GZ,ROW()-4,$A$4)))</f>
        <v>100873355</v>
      </c>
      <c r="B481" s="41" t="str">
        <f aca="false">IF(A481="","",TRIM(INDEX('COOIS Raw'!$A:$GZ,ROW()-4,$B$4)))</f>
        <v>92UAP04548BCA</v>
      </c>
      <c r="C481" s="42" t="str">
        <f aca="false">IF(OR(A481="",$C$4=0),"",INDEX('COOIS Raw'!$A:$GZ,ROW()-4,$C$4))</f>
        <v>R5B BOAT 3 ASSY (4P-4FP) L - E2A</v>
      </c>
      <c r="D481" s="41" t="n">
        <f aca="false">IF(A481="","",IF($D$4=0,1,IFERROR(--INDEX('COOIS Raw'!$A:$GZ,ROW()-4,$D$4),1)))</f>
        <v>1</v>
      </c>
      <c r="E481" s="42" t="str">
        <f aca="false">IF(A481="","",INDEX('COOIS Raw'!$A:$GZ,ROW()-4,$E$4)&amp;"")</f>
        <v>REL PRT CNF DLV PRC GMPS MANC RESA*</v>
      </c>
      <c r="F481" s="43" t="n">
        <f aca="false">IF(A481="","",IFERROR(DATEVALUE(INDEX('COOIS Raw'!$A:$GZ,ROW()-4,$F$4)),INDEX('COOIS Raw'!$A:$GZ,ROW()-4,$F$4)))</f>
        <v>46242</v>
      </c>
      <c r="G481" s="41" t="str">
        <f aca="false">IF(A481="","",IF(ISNA(MATCH(B481,'Kitting Plan'!$B$6:$B$19,0)),"Not in plan","Yes"))</f>
        <v>Yes</v>
      </c>
      <c r="H481" s="41" t="n">
        <f aca="false">IF(G481="Yes",INDEX('Kitting Plan'!$D$6:$D$19,MATCH(B481,'Kitting Plan'!$B$6:$B$19,0)),"")</f>
        <v>1</v>
      </c>
      <c r="I481" s="41" t="n">
        <f aca="false">IF(A481="","",IF(ISNUMBER(SEARCH("PRT",E481)),D481,0))</f>
        <v>1</v>
      </c>
      <c r="J481" s="41" t="n">
        <f aca="false">IF(A481="","",IF(ISNUMBER(SEARCH("GMPS",E481)),D481,0))</f>
        <v>1</v>
      </c>
      <c r="K481" s="41" t="n">
        <f aca="false">IF(A481="","",IF(ISNUMBER(SEARCH("DLV",E481)),D481,0))</f>
        <v>1</v>
      </c>
      <c r="L481" s="41" t="str">
        <f aca="false">IF(A481="","",IF(K481&gt;0,"Delivered",IF(ISNUMBER(SEARCH("CNF",E481)),"In production",IF(J481&gt;0,"Issued",IF(I481&gt;0,"Kitted","Released")))))</f>
        <v>Delivered</v>
      </c>
      <c r="M481" s="41" t="n">
        <f aca="false">IF(G481&lt;&gt;"Yes","",COUNTIFS($B$6:$B$1505,B481,$F$6:$F$1505,"&lt;"&amp;F481)+COUNTIFS($B$6:$B$1505,B481,$F$6:$F$1505,F481,$A$6:$A$1505,"&lt;="&amp;A481))</f>
        <v>4</v>
      </c>
      <c r="N481" s="41" t="n">
        <f aca="false">IF(M481="","",ROUNDUP(M481/H481,0))</f>
        <v>4</v>
      </c>
      <c r="O481" s="41" t="str">
        <f aca="false">IF(N481="","",IF(N481&lt;='Kitting Plan'!$C$3,"Rep "&amp;N481,"Surplus"))</f>
        <v>Rep 4</v>
      </c>
    </row>
    <row r="482" customFormat="false" ht="15" hidden="false" customHeight="false" outlineLevel="0" collapsed="false">
      <c r="A482" s="40" t="n">
        <f aca="false">IF(OR($A$4=0,INDEX('COOIS Raw'!$A:$GZ,ROW()-4,$A$4)=""),"",IFERROR(--INDEX('COOIS Raw'!$A:$GZ,ROW()-4,$A$4),INDEX('COOIS Raw'!$A:$GZ,ROW()-4,$A$4)))</f>
        <v>100873300</v>
      </c>
      <c r="B482" s="41" t="str">
        <f aca="false">IF(A482="","",TRIM(INDEX('COOIS Raw'!$A:$GZ,ROW()-4,$B$4)))</f>
        <v>92YRA01548AAA</v>
      </c>
      <c r="C482" s="42" t="str">
        <f aca="false">IF(OR(A482="",$C$4=0),"",INDEX('COOIS Raw'!$A:$GZ,ROW()-4,$C$4))</f>
        <v>R5B ERBIUM ASSEMBLY 1</v>
      </c>
      <c r="D482" s="41" t="n">
        <f aca="false">IF(A482="","",IF($D$4=0,1,IFERROR(--INDEX('COOIS Raw'!$A:$GZ,ROW()-4,$D$4),1)))</f>
        <v>1</v>
      </c>
      <c r="E482" s="42" t="str">
        <f aca="false">IF(A482="","",INDEX('COOIS Raw'!$A:$GZ,ROW()-4,$E$4)&amp;"")</f>
        <v>REL PRT CNF DLV PRC GMPS MANC RESA*</v>
      </c>
      <c r="F482" s="43" t="n">
        <f aca="false">IF(A482="","",IFERROR(DATEVALUE(INDEX('COOIS Raw'!$A:$GZ,ROW()-4,$F$4)),INDEX('COOIS Raw'!$A:$GZ,ROW()-4,$F$4)))</f>
        <v>46241</v>
      </c>
      <c r="G482" s="41" t="str">
        <f aca="false">IF(A482="","",IF(ISNA(MATCH(B482,'Kitting Plan'!$B$6:$B$19,0)),"Not in plan","Yes"))</f>
        <v>Yes</v>
      </c>
      <c r="H482" s="41" t="n">
        <f aca="false">IF(G482="Yes",INDEX('Kitting Plan'!$D$6:$D$19,MATCH(B482,'Kitting Plan'!$B$6:$B$19,0)),"")</f>
        <v>3</v>
      </c>
      <c r="I482" s="41" t="n">
        <f aca="false">IF(A482="","",IF(ISNUMBER(SEARCH("PRT",E482)),D482,0))</f>
        <v>1</v>
      </c>
      <c r="J482" s="41" t="n">
        <f aca="false">IF(A482="","",IF(ISNUMBER(SEARCH("GMPS",E482)),D482,0))</f>
        <v>1</v>
      </c>
      <c r="K482" s="41" t="n">
        <f aca="false">IF(A482="","",IF(ISNUMBER(SEARCH("DLV",E482)),D482,0))</f>
        <v>1</v>
      </c>
      <c r="L482" s="41" t="str">
        <f aca="false">IF(A482="","",IF(K482&gt;0,"Delivered",IF(ISNUMBER(SEARCH("CNF",E482)),"In production",IF(J482&gt;0,"Issued",IF(I482&gt;0,"Kitted","Released")))))</f>
        <v>Delivered</v>
      </c>
      <c r="M482" s="41" t="n">
        <f aca="false">IF(G482&lt;&gt;"Yes","",COUNTIFS($B$6:$B$1505,B482,$F$6:$F$1505,"&lt;"&amp;F482)+COUNTIFS($B$6:$B$1505,B482,$F$6:$F$1505,F482,$A$6:$A$1505,"&lt;="&amp;A482))</f>
        <v>10</v>
      </c>
      <c r="N482" s="41" t="n">
        <f aca="false">IF(M482="","",ROUNDUP(M482/H482,0))</f>
        <v>4</v>
      </c>
      <c r="O482" s="41" t="str">
        <f aca="false">IF(N482="","",IF(N482&lt;='Kitting Plan'!$C$3,"Rep "&amp;N482,"Surplus"))</f>
        <v>Rep 4</v>
      </c>
    </row>
    <row r="483" customFormat="false" ht="15" hidden="false" customHeight="false" outlineLevel="0" collapsed="false">
      <c r="A483" s="40" t="n">
        <f aca="false">IF(OR($A$4=0,INDEX('COOIS Raw'!$A:$GZ,ROW()-4,$A$4)=""),"",IFERROR(--INDEX('COOIS Raw'!$A:$GZ,ROW()-4,$A$4),INDEX('COOIS Raw'!$A:$GZ,ROW()-4,$A$4)))</f>
        <v>100873301</v>
      </c>
      <c r="B483" s="41" t="str">
        <f aca="false">IF(A483="","",TRIM(INDEX('COOIS Raw'!$A:$GZ,ROW()-4,$B$4)))</f>
        <v>92YRA01548AAA</v>
      </c>
      <c r="C483" s="42" t="str">
        <f aca="false">IF(OR(A483="",$C$4=0),"",INDEX('COOIS Raw'!$A:$GZ,ROW()-4,$C$4))</f>
        <v>R5B ERBIUM ASSEMBLY 1</v>
      </c>
      <c r="D483" s="41" t="n">
        <f aca="false">IF(A483="","",IF($D$4=0,1,IFERROR(--INDEX('COOIS Raw'!$A:$GZ,ROW()-4,$D$4),1)))</f>
        <v>1</v>
      </c>
      <c r="E483" s="42" t="str">
        <f aca="false">IF(A483="","",INDEX('COOIS Raw'!$A:$GZ,ROW()-4,$E$4)&amp;"")</f>
        <v>REL PRT CNF DLV PRC GMPS MANC SETC</v>
      </c>
      <c r="F483" s="43" t="n">
        <f aca="false">IF(A483="","",IFERROR(DATEVALUE(INDEX('COOIS Raw'!$A:$GZ,ROW()-4,$F$4)),INDEX('COOIS Raw'!$A:$GZ,ROW()-4,$F$4)))</f>
        <v>46241</v>
      </c>
      <c r="G483" s="41" t="str">
        <f aca="false">IF(A483="","",IF(ISNA(MATCH(B483,'Kitting Plan'!$B$6:$B$19,0)),"Not in plan","Yes"))</f>
        <v>Yes</v>
      </c>
      <c r="H483" s="41" t="n">
        <f aca="false">IF(G483="Yes",INDEX('Kitting Plan'!$D$6:$D$19,MATCH(B483,'Kitting Plan'!$B$6:$B$19,0)),"")</f>
        <v>3</v>
      </c>
      <c r="I483" s="41" t="n">
        <f aca="false">IF(A483="","",IF(ISNUMBER(SEARCH("PRT",E483)),D483,0))</f>
        <v>1</v>
      </c>
      <c r="J483" s="41" t="n">
        <f aca="false">IF(A483="","",IF(ISNUMBER(SEARCH("GMPS",E483)),D483,0))</f>
        <v>1</v>
      </c>
      <c r="K483" s="41" t="n">
        <f aca="false">IF(A483="","",IF(ISNUMBER(SEARCH("DLV",E483)),D483,0))</f>
        <v>1</v>
      </c>
      <c r="L483" s="41" t="str">
        <f aca="false">IF(A483="","",IF(K483&gt;0,"Delivered",IF(ISNUMBER(SEARCH("CNF",E483)),"In production",IF(J483&gt;0,"Issued",IF(I483&gt;0,"Kitted","Released")))))</f>
        <v>Delivered</v>
      </c>
      <c r="M483" s="41" t="n">
        <f aca="false">IF(G483&lt;&gt;"Yes","",COUNTIFS($B$6:$B$1505,B483,$F$6:$F$1505,"&lt;"&amp;F483)+COUNTIFS($B$6:$B$1505,B483,$F$6:$F$1505,F483,$A$6:$A$1505,"&lt;="&amp;A483))</f>
        <v>11</v>
      </c>
      <c r="N483" s="41" t="n">
        <f aca="false">IF(M483="","",ROUNDUP(M483/H483,0))</f>
        <v>4</v>
      </c>
      <c r="O483" s="41" t="str">
        <f aca="false">IF(N483="","",IF(N483&lt;='Kitting Plan'!$C$3,"Rep "&amp;N483,"Surplus"))</f>
        <v>Rep 4</v>
      </c>
    </row>
    <row r="484" customFormat="false" ht="15" hidden="false" customHeight="false" outlineLevel="0" collapsed="false">
      <c r="A484" s="40" t="n">
        <f aca="false">IF(OR($A$4=0,INDEX('COOIS Raw'!$A:$GZ,ROW()-4,$A$4)=""),"",IFERROR(--INDEX('COOIS Raw'!$A:$GZ,ROW()-4,$A$4),INDEX('COOIS Raw'!$A:$GZ,ROW()-4,$A$4)))</f>
        <v>100873302</v>
      </c>
      <c r="B484" s="41" t="str">
        <f aca="false">IF(A484="","",TRIM(INDEX('COOIS Raw'!$A:$GZ,ROW()-4,$B$4)))</f>
        <v>92YRA01548AAA</v>
      </c>
      <c r="C484" s="42" t="str">
        <f aca="false">IF(OR(A484="",$C$4=0),"",INDEX('COOIS Raw'!$A:$GZ,ROW()-4,$C$4))</f>
        <v>R5B ERBIUM ASSEMBLY 1</v>
      </c>
      <c r="D484" s="41" t="n">
        <f aca="false">IF(A484="","",IF($D$4=0,1,IFERROR(--INDEX('COOIS Raw'!$A:$GZ,ROW()-4,$D$4),1)))</f>
        <v>1</v>
      </c>
      <c r="E484" s="42" t="str">
        <f aca="false">IF(A484="","",INDEX('COOIS Raw'!$A:$GZ,ROW()-4,$E$4)&amp;"")</f>
        <v>REL PRT CNF DLV PRC GMPS MANC RESA*</v>
      </c>
      <c r="F484" s="43" t="n">
        <f aca="false">IF(A484="","",IFERROR(DATEVALUE(INDEX('COOIS Raw'!$A:$GZ,ROW()-4,$F$4)),INDEX('COOIS Raw'!$A:$GZ,ROW()-4,$F$4)))</f>
        <v>46241</v>
      </c>
      <c r="G484" s="41" t="str">
        <f aca="false">IF(A484="","",IF(ISNA(MATCH(B484,'Kitting Plan'!$B$6:$B$19,0)),"Not in plan","Yes"))</f>
        <v>Yes</v>
      </c>
      <c r="H484" s="41" t="n">
        <f aca="false">IF(G484="Yes",INDEX('Kitting Plan'!$D$6:$D$19,MATCH(B484,'Kitting Plan'!$B$6:$B$19,0)),"")</f>
        <v>3</v>
      </c>
      <c r="I484" s="41" t="n">
        <f aca="false">IF(A484="","",IF(ISNUMBER(SEARCH("PRT",E484)),D484,0))</f>
        <v>1</v>
      </c>
      <c r="J484" s="41" t="n">
        <f aca="false">IF(A484="","",IF(ISNUMBER(SEARCH("GMPS",E484)),D484,0))</f>
        <v>1</v>
      </c>
      <c r="K484" s="41" t="n">
        <f aca="false">IF(A484="","",IF(ISNUMBER(SEARCH("DLV",E484)),D484,0))</f>
        <v>1</v>
      </c>
      <c r="L484" s="41" t="str">
        <f aca="false">IF(A484="","",IF(K484&gt;0,"Delivered",IF(ISNUMBER(SEARCH("CNF",E484)),"In production",IF(J484&gt;0,"Issued",IF(I484&gt;0,"Kitted","Released")))))</f>
        <v>Delivered</v>
      </c>
      <c r="M484" s="41" t="n">
        <f aca="false">IF(G484&lt;&gt;"Yes","",COUNTIFS($B$6:$B$1505,B484,$F$6:$F$1505,"&lt;"&amp;F484)+COUNTIFS($B$6:$B$1505,B484,$F$6:$F$1505,F484,$A$6:$A$1505,"&lt;="&amp;A484))</f>
        <v>12</v>
      </c>
      <c r="N484" s="41" t="n">
        <f aca="false">IF(M484="","",ROUNDUP(M484/H484,0))</f>
        <v>4</v>
      </c>
      <c r="O484" s="41" t="str">
        <f aca="false">IF(N484="","",IF(N484&lt;='Kitting Plan'!$C$3,"Rep "&amp;N484,"Surplus"))</f>
        <v>Rep 4</v>
      </c>
    </row>
    <row r="485" customFormat="false" ht="15" hidden="false" customHeight="false" outlineLevel="0" collapsed="false">
      <c r="A485" s="40" t="n">
        <f aca="false">IF(OR($A$4=0,INDEX('COOIS Raw'!$A:$GZ,ROW()-4,$A$4)=""),"",IFERROR(--INDEX('COOIS Raw'!$A:$GZ,ROW()-4,$A$4),INDEX('COOIS Raw'!$A:$GZ,ROW()-4,$A$4)))</f>
        <v>100873313</v>
      </c>
      <c r="B485" s="41" t="str">
        <f aca="false">IF(A485="","",TRIM(INDEX('COOIS Raw'!$A:$GZ,ROW()-4,$B$4)))</f>
        <v>92YRA02548AAA</v>
      </c>
      <c r="C485" s="42" t="str">
        <f aca="false">IF(OR(A485="",$C$4=0),"",INDEX('COOIS Raw'!$A:$GZ,ROW()-4,$C$4))</f>
        <v>R5B ERBIUM ASSEMBLY 2</v>
      </c>
      <c r="D485" s="41" t="n">
        <f aca="false">IF(A485="","",IF($D$4=0,1,IFERROR(--INDEX('COOIS Raw'!$A:$GZ,ROW()-4,$D$4),1)))</f>
        <v>1</v>
      </c>
      <c r="E485" s="42" t="str">
        <f aca="false">IF(A485="","",INDEX('COOIS Raw'!$A:$GZ,ROW()-4,$E$4)&amp;"")</f>
        <v>REL PRT CNF DLV PRC GMPS MANC RESA*</v>
      </c>
      <c r="F485" s="43" t="n">
        <f aca="false">IF(A485="","",IFERROR(DATEVALUE(INDEX('COOIS Raw'!$A:$GZ,ROW()-4,$F$4)),INDEX('COOIS Raw'!$A:$GZ,ROW()-4,$F$4)))</f>
        <v>46241</v>
      </c>
      <c r="G485" s="41" t="str">
        <f aca="false">IF(A485="","",IF(ISNA(MATCH(B485,'Kitting Plan'!$B$6:$B$19,0)),"Not in plan","Yes"))</f>
        <v>Yes</v>
      </c>
      <c r="H485" s="41" t="n">
        <f aca="false">IF(G485="Yes",INDEX('Kitting Plan'!$D$6:$D$19,MATCH(B485,'Kitting Plan'!$B$6:$B$19,0)),"")</f>
        <v>3</v>
      </c>
      <c r="I485" s="41" t="n">
        <f aca="false">IF(A485="","",IF(ISNUMBER(SEARCH("PRT",E485)),D485,0))</f>
        <v>1</v>
      </c>
      <c r="J485" s="41" t="n">
        <f aca="false">IF(A485="","",IF(ISNUMBER(SEARCH("GMPS",E485)),D485,0))</f>
        <v>1</v>
      </c>
      <c r="K485" s="41" t="n">
        <f aca="false">IF(A485="","",IF(ISNUMBER(SEARCH("DLV",E485)),D485,0))</f>
        <v>1</v>
      </c>
      <c r="L485" s="41" t="str">
        <f aca="false">IF(A485="","",IF(K485&gt;0,"Delivered",IF(ISNUMBER(SEARCH("CNF",E485)),"In production",IF(J485&gt;0,"Issued",IF(I485&gt;0,"Kitted","Released")))))</f>
        <v>Delivered</v>
      </c>
      <c r="M485" s="41" t="n">
        <f aca="false">IF(G485&lt;&gt;"Yes","",COUNTIFS($B$6:$B$1505,B485,$F$6:$F$1505,"&lt;"&amp;F485)+COUNTIFS($B$6:$B$1505,B485,$F$6:$F$1505,F485,$A$6:$A$1505,"&lt;="&amp;A485))</f>
        <v>10</v>
      </c>
      <c r="N485" s="41" t="n">
        <f aca="false">IF(M485="","",ROUNDUP(M485/H485,0))</f>
        <v>4</v>
      </c>
      <c r="O485" s="41" t="str">
        <f aca="false">IF(N485="","",IF(N485&lt;='Kitting Plan'!$C$3,"Rep "&amp;N485,"Surplus"))</f>
        <v>Rep 4</v>
      </c>
    </row>
    <row r="486" customFormat="false" ht="15" hidden="false" customHeight="false" outlineLevel="0" collapsed="false">
      <c r="A486" s="40" t="n">
        <f aca="false">IF(OR($A$4=0,INDEX('COOIS Raw'!$A:$GZ,ROW()-4,$A$4)=""),"",IFERROR(--INDEX('COOIS Raw'!$A:$GZ,ROW()-4,$A$4),INDEX('COOIS Raw'!$A:$GZ,ROW()-4,$A$4)))</f>
        <v>100873314</v>
      </c>
      <c r="B486" s="41" t="str">
        <f aca="false">IF(A486="","",TRIM(INDEX('COOIS Raw'!$A:$GZ,ROW()-4,$B$4)))</f>
        <v>92YRA02548AAA</v>
      </c>
      <c r="C486" s="42" t="str">
        <f aca="false">IF(OR(A486="",$C$4=0),"",INDEX('COOIS Raw'!$A:$GZ,ROW()-4,$C$4))</f>
        <v>R5B ERBIUM ASSEMBLY 2</v>
      </c>
      <c r="D486" s="41" t="n">
        <f aca="false">IF(A486="","",IF($D$4=0,1,IFERROR(--INDEX('COOIS Raw'!$A:$GZ,ROW()-4,$D$4),1)))</f>
        <v>1</v>
      </c>
      <c r="E486" s="42" t="str">
        <f aca="false">IF(A486="","",INDEX('COOIS Raw'!$A:$GZ,ROW()-4,$E$4)&amp;"")</f>
        <v>REL PRT CNF DLV PRC GMPS MANC RESA*</v>
      </c>
      <c r="F486" s="43" t="n">
        <f aca="false">IF(A486="","",IFERROR(DATEVALUE(INDEX('COOIS Raw'!$A:$GZ,ROW()-4,$F$4)),INDEX('COOIS Raw'!$A:$GZ,ROW()-4,$F$4)))</f>
        <v>46241</v>
      </c>
      <c r="G486" s="41" t="str">
        <f aca="false">IF(A486="","",IF(ISNA(MATCH(B486,'Kitting Plan'!$B$6:$B$19,0)),"Not in plan","Yes"))</f>
        <v>Yes</v>
      </c>
      <c r="H486" s="41" t="n">
        <f aca="false">IF(G486="Yes",INDEX('Kitting Plan'!$D$6:$D$19,MATCH(B486,'Kitting Plan'!$B$6:$B$19,0)),"")</f>
        <v>3</v>
      </c>
      <c r="I486" s="41" t="n">
        <f aca="false">IF(A486="","",IF(ISNUMBER(SEARCH("PRT",E486)),D486,0))</f>
        <v>1</v>
      </c>
      <c r="J486" s="41" t="n">
        <f aca="false">IF(A486="","",IF(ISNUMBER(SEARCH("GMPS",E486)),D486,0))</f>
        <v>1</v>
      </c>
      <c r="K486" s="41" t="n">
        <f aca="false">IF(A486="","",IF(ISNUMBER(SEARCH("DLV",E486)),D486,0))</f>
        <v>1</v>
      </c>
      <c r="L486" s="41" t="str">
        <f aca="false">IF(A486="","",IF(K486&gt;0,"Delivered",IF(ISNUMBER(SEARCH("CNF",E486)),"In production",IF(J486&gt;0,"Issued",IF(I486&gt;0,"Kitted","Released")))))</f>
        <v>Delivered</v>
      </c>
      <c r="M486" s="41" t="n">
        <f aca="false">IF(G486&lt;&gt;"Yes","",COUNTIFS($B$6:$B$1505,B486,$F$6:$F$1505,"&lt;"&amp;F486)+COUNTIFS($B$6:$B$1505,B486,$F$6:$F$1505,F486,$A$6:$A$1505,"&lt;="&amp;A486))</f>
        <v>11</v>
      </c>
      <c r="N486" s="41" t="n">
        <f aca="false">IF(M486="","",ROUNDUP(M486/H486,0))</f>
        <v>4</v>
      </c>
      <c r="O486" s="41" t="str">
        <f aca="false">IF(N486="","",IF(N486&lt;='Kitting Plan'!$C$3,"Rep "&amp;N486,"Surplus"))</f>
        <v>Rep 4</v>
      </c>
    </row>
    <row r="487" customFormat="false" ht="15" hidden="false" customHeight="false" outlineLevel="0" collapsed="false">
      <c r="A487" s="40" t="n">
        <f aca="false">IF(OR($A$4=0,INDEX('COOIS Raw'!$A:$GZ,ROW()-4,$A$4)=""),"",IFERROR(--INDEX('COOIS Raw'!$A:$GZ,ROW()-4,$A$4),INDEX('COOIS Raw'!$A:$GZ,ROW()-4,$A$4)))</f>
        <v>100873315</v>
      </c>
      <c r="B487" s="41" t="str">
        <f aca="false">IF(A487="","",TRIM(INDEX('COOIS Raw'!$A:$GZ,ROW()-4,$B$4)))</f>
        <v>92YRA02548AAA</v>
      </c>
      <c r="C487" s="42" t="str">
        <f aca="false">IF(OR(A487="",$C$4=0),"",INDEX('COOIS Raw'!$A:$GZ,ROW()-4,$C$4))</f>
        <v>R5B ERBIUM ASSEMBLY 2</v>
      </c>
      <c r="D487" s="41" t="n">
        <f aca="false">IF(A487="","",IF($D$4=0,1,IFERROR(--INDEX('COOIS Raw'!$A:$GZ,ROW()-4,$D$4),1)))</f>
        <v>1</v>
      </c>
      <c r="E487" s="42" t="str">
        <f aca="false">IF(A487="","",INDEX('COOIS Raw'!$A:$GZ,ROW()-4,$E$4)&amp;"")</f>
        <v>REL PRT CNF DLV PRC GMPS MANC RESA*</v>
      </c>
      <c r="F487" s="43" t="n">
        <f aca="false">IF(A487="","",IFERROR(DATEVALUE(INDEX('COOIS Raw'!$A:$GZ,ROW()-4,$F$4)),INDEX('COOIS Raw'!$A:$GZ,ROW()-4,$F$4)))</f>
        <v>46241</v>
      </c>
      <c r="G487" s="41" t="str">
        <f aca="false">IF(A487="","",IF(ISNA(MATCH(B487,'Kitting Plan'!$B$6:$B$19,0)),"Not in plan","Yes"))</f>
        <v>Yes</v>
      </c>
      <c r="H487" s="41" t="n">
        <f aca="false">IF(G487="Yes",INDEX('Kitting Plan'!$D$6:$D$19,MATCH(B487,'Kitting Plan'!$B$6:$B$19,0)),"")</f>
        <v>3</v>
      </c>
      <c r="I487" s="41" t="n">
        <f aca="false">IF(A487="","",IF(ISNUMBER(SEARCH("PRT",E487)),D487,0))</f>
        <v>1</v>
      </c>
      <c r="J487" s="41" t="n">
        <f aca="false">IF(A487="","",IF(ISNUMBER(SEARCH("GMPS",E487)),D487,0))</f>
        <v>1</v>
      </c>
      <c r="K487" s="41" t="n">
        <f aca="false">IF(A487="","",IF(ISNUMBER(SEARCH("DLV",E487)),D487,0))</f>
        <v>1</v>
      </c>
      <c r="L487" s="41" t="str">
        <f aca="false">IF(A487="","",IF(K487&gt;0,"Delivered",IF(ISNUMBER(SEARCH("CNF",E487)),"In production",IF(J487&gt;0,"Issued",IF(I487&gt;0,"Kitted","Released")))))</f>
        <v>Delivered</v>
      </c>
      <c r="M487" s="41" t="n">
        <f aca="false">IF(G487&lt;&gt;"Yes","",COUNTIFS($B$6:$B$1505,B487,$F$6:$F$1505,"&lt;"&amp;F487)+COUNTIFS($B$6:$B$1505,B487,$F$6:$F$1505,F487,$A$6:$A$1505,"&lt;="&amp;A487))</f>
        <v>12</v>
      </c>
      <c r="N487" s="41" t="n">
        <f aca="false">IF(M487="","",ROUNDUP(M487/H487,0))</f>
        <v>4</v>
      </c>
      <c r="O487" s="41" t="str">
        <f aca="false">IF(N487="","",IF(N487&lt;='Kitting Plan'!$C$3,"Rep "&amp;N487,"Surplus"))</f>
        <v>Rep 4</v>
      </c>
    </row>
    <row r="488" customFormat="false" ht="15" hidden="false" customHeight="false" outlineLevel="0" collapsed="false">
      <c r="A488" s="40" t="n">
        <f aca="false">IF(OR($A$4=0,INDEX('COOIS Raw'!$A:$GZ,ROW()-4,$A$4)=""),"",IFERROR(--INDEX('COOIS Raw'!$A:$GZ,ROW()-4,$A$4),INDEX('COOIS Raw'!$A:$GZ,ROW()-4,$A$4)))</f>
        <v>100873316</v>
      </c>
      <c r="B488" s="41" t="str">
        <f aca="false">IF(A488="","",TRIM(INDEX('COOIS Raw'!$A:$GZ,ROW()-4,$B$4)))</f>
        <v>92YRA03548AAA</v>
      </c>
      <c r="C488" s="42" t="str">
        <f aca="false">IF(OR(A488="",$C$4=0),"",INDEX('COOIS Raw'!$A:$GZ,ROW()-4,$C$4))</f>
        <v>R5B ERBIUM ASSEMBLY 3</v>
      </c>
      <c r="D488" s="41" t="n">
        <f aca="false">IF(A488="","",IF($D$4=0,1,IFERROR(--INDEX('COOIS Raw'!$A:$GZ,ROW()-4,$D$4),1)))</f>
        <v>1</v>
      </c>
      <c r="E488" s="42" t="str">
        <f aca="false">IF(A488="","",INDEX('COOIS Raw'!$A:$GZ,ROW()-4,$E$4)&amp;"")</f>
        <v>REL PRT CNF DLV PRC GMPS MANC RESA*</v>
      </c>
      <c r="F488" s="43" t="n">
        <f aca="false">IF(A488="","",IFERROR(DATEVALUE(INDEX('COOIS Raw'!$A:$GZ,ROW()-4,$F$4)),INDEX('COOIS Raw'!$A:$GZ,ROW()-4,$F$4)))</f>
        <v>46241</v>
      </c>
      <c r="G488" s="41" t="str">
        <f aca="false">IF(A488="","",IF(ISNA(MATCH(B488,'Kitting Plan'!$B$6:$B$19,0)),"Not in plan","Yes"))</f>
        <v>Yes</v>
      </c>
      <c r="H488" s="41" t="n">
        <f aca="false">IF(G488="Yes",INDEX('Kitting Plan'!$D$6:$D$19,MATCH(B488,'Kitting Plan'!$B$6:$B$19,0)),"")</f>
        <v>3</v>
      </c>
      <c r="I488" s="41" t="n">
        <f aca="false">IF(A488="","",IF(ISNUMBER(SEARCH("PRT",E488)),D488,0))</f>
        <v>1</v>
      </c>
      <c r="J488" s="41" t="n">
        <f aca="false">IF(A488="","",IF(ISNUMBER(SEARCH("GMPS",E488)),D488,0))</f>
        <v>1</v>
      </c>
      <c r="K488" s="41" t="n">
        <f aca="false">IF(A488="","",IF(ISNUMBER(SEARCH("DLV",E488)),D488,0))</f>
        <v>1</v>
      </c>
      <c r="L488" s="41" t="str">
        <f aca="false">IF(A488="","",IF(K488&gt;0,"Delivered",IF(ISNUMBER(SEARCH("CNF",E488)),"In production",IF(J488&gt;0,"Issued",IF(I488&gt;0,"Kitted","Released")))))</f>
        <v>Delivered</v>
      </c>
      <c r="M488" s="41" t="n">
        <f aca="false">IF(G488&lt;&gt;"Yes","",COUNTIFS($B$6:$B$1505,B488,$F$6:$F$1505,"&lt;"&amp;F488)+COUNTIFS($B$6:$B$1505,B488,$F$6:$F$1505,F488,$A$6:$A$1505,"&lt;="&amp;A488))</f>
        <v>13</v>
      </c>
      <c r="N488" s="41" t="n">
        <f aca="false">IF(M488="","",ROUNDUP(M488/H488,0))</f>
        <v>5</v>
      </c>
      <c r="O488" s="41" t="str">
        <f aca="false">IF(N488="","",IF(N488&lt;='Kitting Plan'!$C$3,"Rep "&amp;N488,"Surplus"))</f>
        <v>Rep 5</v>
      </c>
    </row>
    <row r="489" customFormat="false" ht="15" hidden="false" customHeight="false" outlineLevel="0" collapsed="false">
      <c r="A489" s="40" t="n">
        <f aca="false">IF(OR($A$4=0,INDEX('COOIS Raw'!$A:$GZ,ROW()-4,$A$4)=""),"",IFERROR(--INDEX('COOIS Raw'!$A:$GZ,ROW()-4,$A$4),INDEX('COOIS Raw'!$A:$GZ,ROW()-4,$A$4)))</f>
        <v>100873317</v>
      </c>
      <c r="B489" s="41" t="str">
        <f aca="false">IF(A489="","",TRIM(INDEX('COOIS Raw'!$A:$GZ,ROW()-4,$B$4)))</f>
        <v>92YRA03548AAA</v>
      </c>
      <c r="C489" s="42" t="str">
        <f aca="false">IF(OR(A489="",$C$4=0),"",INDEX('COOIS Raw'!$A:$GZ,ROW()-4,$C$4))</f>
        <v>R5B ERBIUM ASSEMBLY 3</v>
      </c>
      <c r="D489" s="41" t="n">
        <f aca="false">IF(A489="","",IF($D$4=0,1,IFERROR(--INDEX('COOIS Raw'!$A:$GZ,ROW()-4,$D$4),1)))</f>
        <v>1</v>
      </c>
      <c r="E489" s="42" t="str">
        <f aca="false">IF(A489="","",INDEX('COOIS Raw'!$A:$GZ,ROW()-4,$E$4)&amp;"")</f>
        <v>REL PRT CNF DLV PRC GMPS MANC SETC</v>
      </c>
      <c r="F489" s="43" t="n">
        <f aca="false">IF(A489="","",IFERROR(DATEVALUE(INDEX('COOIS Raw'!$A:$GZ,ROW()-4,$F$4)),INDEX('COOIS Raw'!$A:$GZ,ROW()-4,$F$4)))</f>
        <v>46241</v>
      </c>
      <c r="G489" s="41" t="str">
        <f aca="false">IF(A489="","",IF(ISNA(MATCH(B489,'Kitting Plan'!$B$6:$B$19,0)),"Not in plan","Yes"))</f>
        <v>Yes</v>
      </c>
      <c r="H489" s="41" t="n">
        <f aca="false">IF(G489="Yes",INDEX('Kitting Plan'!$D$6:$D$19,MATCH(B489,'Kitting Plan'!$B$6:$B$19,0)),"")</f>
        <v>3</v>
      </c>
      <c r="I489" s="41" t="n">
        <f aca="false">IF(A489="","",IF(ISNUMBER(SEARCH("PRT",E489)),D489,0))</f>
        <v>1</v>
      </c>
      <c r="J489" s="41" t="n">
        <f aca="false">IF(A489="","",IF(ISNUMBER(SEARCH("GMPS",E489)),D489,0))</f>
        <v>1</v>
      </c>
      <c r="K489" s="41" t="n">
        <f aca="false">IF(A489="","",IF(ISNUMBER(SEARCH("DLV",E489)),D489,0))</f>
        <v>1</v>
      </c>
      <c r="L489" s="41" t="str">
        <f aca="false">IF(A489="","",IF(K489&gt;0,"Delivered",IF(ISNUMBER(SEARCH("CNF",E489)),"In production",IF(J489&gt;0,"Issued",IF(I489&gt;0,"Kitted","Released")))))</f>
        <v>Delivered</v>
      </c>
      <c r="M489" s="41" t="n">
        <f aca="false">IF(G489&lt;&gt;"Yes","",COUNTIFS($B$6:$B$1505,B489,$F$6:$F$1505,"&lt;"&amp;F489)+COUNTIFS($B$6:$B$1505,B489,$F$6:$F$1505,F489,$A$6:$A$1505,"&lt;="&amp;A489))</f>
        <v>14</v>
      </c>
      <c r="N489" s="41" t="n">
        <f aca="false">IF(M489="","",ROUNDUP(M489/H489,0))</f>
        <v>5</v>
      </c>
      <c r="O489" s="41" t="str">
        <f aca="false">IF(N489="","",IF(N489&lt;='Kitting Plan'!$C$3,"Rep "&amp;N489,"Surplus"))</f>
        <v>Rep 5</v>
      </c>
    </row>
    <row r="490" customFormat="false" ht="15" hidden="false" customHeight="false" outlineLevel="0" collapsed="false">
      <c r="A490" s="40" t="n">
        <f aca="false">IF(OR($A$4=0,INDEX('COOIS Raw'!$A:$GZ,ROW()-4,$A$4)=""),"",IFERROR(--INDEX('COOIS Raw'!$A:$GZ,ROW()-4,$A$4),INDEX('COOIS Raw'!$A:$GZ,ROW()-4,$A$4)))</f>
        <v>100873319</v>
      </c>
      <c r="B490" s="41" t="str">
        <f aca="false">IF(A490="","",TRIM(INDEX('COOIS Raw'!$A:$GZ,ROW()-4,$B$4)))</f>
        <v>92YRA04548AAA</v>
      </c>
      <c r="C490" s="42" t="str">
        <f aca="false">IF(OR(A490="",$C$4=0),"",INDEX('COOIS Raw'!$A:$GZ,ROW()-4,$C$4))</f>
        <v>R5B ERBIUM ASSEMBLY 4</v>
      </c>
      <c r="D490" s="41" t="n">
        <f aca="false">IF(A490="","",IF($D$4=0,1,IFERROR(--INDEX('COOIS Raw'!$A:$GZ,ROW()-4,$D$4),1)))</f>
        <v>1</v>
      </c>
      <c r="E490" s="42" t="str">
        <f aca="false">IF(A490="","",INDEX('COOIS Raw'!$A:$GZ,ROW()-4,$E$4)&amp;"")</f>
        <v>REL PRT CNF DLV PRC GMPS MANC RESA*</v>
      </c>
      <c r="F490" s="43" t="n">
        <f aca="false">IF(A490="","",IFERROR(DATEVALUE(INDEX('COOIS Raw'!$A:$GZ,ROW()-4,$F$4)),INDEX('COOIS Raw'!$A:$GZ,ROW()-4,$F$4)))</f>
        <v>46241</v>
      </c>
      <c r="G490" s="41" t="str">
        <f aca="false">IF(A490="","",IF(ISNA(MATCH(B490,'Kitting Plan'!$B$6:$B$19,0)),"Not in plan","Yes"))</f>
        <v>Yes</v>
      </c>
      <c r="H490" s="41" t="n">
        <f aca="false">IF(G490="Yes",INDEX('Kitting Plan'!$D$6:$D$19,MATCH(B490,'Kitting Plan'!$B$6:$B$19,0)),"")</f>
        <v>3</v>
      </c>
      <c r="I490" s="41" t="n">
        <f aca="false">IF(A490="","",IF(ISNUMBER(SEARCH("PRT",E490)),D490,0))</f>
        <v>1</v>
      </c>
      <c r="J490" s="41" t="n">
        <f aca="false">IF(A490="","",IF(ISNUMBER(SEARCH("GMPS",E490)),D490,0))</f>
        <v>1</v>
      </c>
      <c r="K490" s="41" t="n">
        <f aca="false">IF(A490="","",IF(ISNUMBER(SEARCH("DLV",E490)),D490,0))</f>
        <v>1</v>
      </c>
      <c r="L490" s="41" t="str">
        <f aca="false">IF(A490="","",IF(K490&gt;0,"Delivered",IF(ISNUMBER(SEARCH("CNF",E490)),"In production",IF(J490&gt;0,"Issued",IF(I490&gt;0,"Kitted","Released")))))</f>
        <v>Delivered</v>
      </c>
      <c r="M490" s="41" t="n">
        <f aca="false">IF(G490&lt;&gt;"Yes","",COUNTIFS($B$6:$B$1505,B490,$F$6:$F$1505,"&lt;"&amp;F490)+COUNTIFS($B$6:$B$1505,B490,$F$6:$F$1505,F490,$A$6:$A$1505,"&lt;="&amp;A490))</f>
        <v>10</v>
      </c>
      <c r="N490" s="41" t="n">
        <f aca="false">IF(M490="","",ROUNDUP(M490/H490,0))</f>
        <v>4</v>
      </c>
      <c r="O490" s="41" t="str">
        <f aca="false">IF(N490="","",IF(N490&lt;='Kitting Plan'!$C$3,"Rep "&amp;N490,"Surplus"))</f>
        <v>Rep 4</v>
      </c>
    </row>
    <row r="491" customFormat="false" ht="15" hidden="false" customHeight="false" outlineLevel="0" collapsed="false">
      <c r="A491" s="40" t="n">
        <f aca="false">IF(OR($A$4=0,INDEX('COOIS Raw'!$A:$GZ,ROW()-4,$A$4)=""),"",IFERROR(--INDEX('COOIS Raw'!$A:$GZ,ROW()-4,$A$4),INDEX('COOIS Raw'!$A:$GZ,ROW()-4,$A$4)))</f>
        <v>100873320</v>
      </c>
      <c r="B491" s="41" t="str">
        <f aca="false">IF(A491="","",TRIM(INDEX('COOIS Raw'!$A:$GZ,ROW()-4,$B$4)))</f>
        <v>92YRA04548AAA</v>
      </c>
      <c r="C491" s="42" t="str">
        <f aca="false">IF(OR(A491="",$C$4=0),"",INDEX('COOIS Raw'!$A:$GZ,ROW()-4,$C$4))</f>
        <v>R5B ERBIUM ASSEMBLY 4</v>
      </c>
      <c r="D491" s="41" t="n">
        <f aca="false">IF(A491="","",IF($D$4=0,1,IFERROR(--INDEX('COOIS Raw'!$A:$GZ,ROW()-4,$D$4),1)))</f>
        <v>1</v>
      </c>
      <c r="E491" s="42" t="str">
        <f aca="false">IF(A491="","",INDEX('COOIS Raw'!$A:$GZ,ROW()-4,$E$4)&amp;"")</f>
        <v>REL PRT CNF DLV PRC GMPS MANC RESA*</v>
      </c>
      <c r="F491" s="43" t="n">
        <f aca="false">IF(A491="","",IFERROR(DATEVALUE(INDEX('COOIS Raw'!$A:$GZ,ROW()-4,$F$4)),INDEX('COOIS Raw'!$A:$GZ,ROW()-4,$F$4)))</f>
        <v>46241</v>
      </c>
      <c r="G491" s="41" t="str">
        <f aca="false">IF(A491="","",IF(ISNA(MATCH(B491,'Kitting Plan'!$B$6:$B$19,0)),"Not in plan","Yes"))</f>
        <v>Yes</v>
      </c>
      <c r="H491" s="41" t="n">
        <f aca="false">IF(G491="Yes",INDEX('Kitting Plan'!$D$6:$D$19,MATCH(B491,'Kitting Plan'!$B$6:$B$19,0)),"")</f>
        <v>3</v>
      </c>
      <c r="I491" s="41" t="n">
        <f aca="false">IF(A491="","",IF(ISNUMBER(SEARCH("PRT",E491)),D491,0))</f>
        <v>1</v>
      </c>
      <c r="J491" s="41" t="n">
        <f aca="false">IF(A491="","",IF(ISNUMBER(SEARCH("GMPS",E491)),D491,0))</f>
        <v>1</v>
      </c>
      <c r="K491" s="41" t="n">
        <f aca="false">IF(A491="","",IF(ISNUMBER(SEARCH("DLV",E491)),D491,0))</f>
        <v>1</v>
      </c>
      <c r="L491" s="41" t="str">
        <f aca="false">IF(A491="","",IF(K491&gt;0,"Delivered",IF(ISNUMBER(SEARCH("CNF",E491)),"In production",IF(J491&gt;0,"Issued",IF(I491&gt;0,"Kitted","Released")))))</f>
        <v>Delivered</v>
      </c>
      <c r="M491" s="41" t="n">
        <f aca="false">IF(G491&lt;&gt;"Yes","",COUNTIFS($B$6:$B$1505,B491,$F$6:$F$1505,"&lt;"&amp;F491)+COUNTIFS($B$6:$B$1505,B491,$F$6:$F$1505,F491,$A$6:$A$1505,"&lt;="&amp;A491))</f>
        <v>11</v>
      </c>
      <c r="N491" s="41" t="n">
        <f aca="false">IF(M491="","",ROUNDUP(M491/H491,0))</f>
        <v>4</v>
      </c>
      <c r="O491" s="41" t="str">
        <f aca="false">IF(N491="","",IF(N491&lt;='Kitting Plan'!$C$3,"Rep "&amp;N491,"Surplus"))</f>
        <v>Rep 4</v>
      </c>
    </row>
    <row r="492" customFormat="false" ht="15" hidden="false" customHeight="false" outlineLevel="0" collapsed="false">
      <c r="A492" s="40" t="n">
        <f aca="false">IF(OR($A$4=0,INDEX('COOIS Raw'!$A:$GZ,ROW()-4,$A$4)=""),"",IFERROR(--INDEX('COOIS Raw'!$A:$GZ,ROW()-4,$A$4),INDEX('COOIS Raw'!$A:$GZ,ROW()-4,$A$4)))</f>
        <v>100873321</v>
      </c>
      <c r="B492" s="41" t="str">
        <f aca="false">IF(A492="","",TRIM(INDEX('COOIS Raw'!$A:$GZ,ROW()-4,$B$4)))</f>
        <v>92YRA04548AAA</v>
      </c>
      <c r="C492" s="42" t="str">
        <f aca="false">IF(OR(A492="",$C$4=0),"",INDEX('COOIS Raw'!$A:$GZ,ROW()-4,$C$4))</f>
        <v>R5B ERBIUM ASSEMBLY 4</v>
      </c>
      <c r="D492" s="41" t="n">
        <f aca="false">IF(A492="","",IF($D$4=0,1,IFERROR(--INDEX('COOIS Raw'!$A:$GZ,ROW()-4,$D$4),1)))</f>
        <v>1</v>
      </c>
      <c r="E492" s="42" t="str">
        <f aca="false">IF(A492="","",INDEX('COOIS Raw'!$A:$GZ,ROW()-4,$E$4)&amp;"")</f>
        <v>REL PRT CNF DLV PRC GMPS MANC SETC</v>
      </c>
      <c r="F492" s="43" t="n">
        <f aca="false">IF(A492="","",IFERROR(DATEVALUE(INDEX('COOIS Raw'!$A:$GZ,ROW()-4,$F$4)),INDEX('COOIS Raw'!$A:$GZ,ROW()-4,$F$4)))</f>
        <v>46241</v>
      </c>
      <c r="G492" s="41" t="str">
        <f aca="false">IF(A492="","",IF(ISNA(MATCH(B492,'Kitting Plan'!$B$6:$B$19,0)),"Not in plan","Yes"))</f>
        <v>Yes</v>
      </c>
      <c r="H492" s="41" t="n">
        <f aca="false">IF(G492="Yes",INDEX('Kitting Plan'!$D$6:$D$19,MATCH(B492,'Kitting Plan'!$B$6:$B$19,0)),"")</f>
        <v>3</v>
      </c>
      <c r="I492" s="41" t="n">
        <f aca="false">IF(A492="","",IF(ISNUMBER(SEARCH("PRT",E492)),D492,0))</f>
        <v>1</v>
      </c>
      <c r="J492" s="41" t="n">
        <f aca="false">IF(A492="","",IF(ISNUMBER(SEARCH("GMPS",E492)),D492,0))</f>
        <v>1</v>
      </c>
      <c r="K492" s="41" t="n">
        <f aca="false">IF(A492="","",IF(ISNUMBER(SEARCH("DLV",E492)),D492,0))</f>
        <v>1</v>
      </c>
      <c r="L492" s="41" t="str">
        <f aca="false">IF(A492="","",IF(K492&gt;0,"Delivered",IF(ISNUMBER(SEARCH("CNF",E492)),"In production",IF(J492&gt;0,"Issued",IF(I492&gt;0,"Kitted","Released")))))</f>
        <v>Delivered</v>
      </c>
      <c r="M492" s="41" t="n">
        <f aca="false">IF(G492&lt;&gt;"Yes","",COUNTIFS($B$6:$B$1505,B492,$F$6:$F$1505,"&lt;"&amp;F492)+COUNTIFS($B$6:$B$1505,B492,$F$6:$F$1505,F492,$A$6:$A$1505,"&lt;="&amp;A492))</f>
        <v>12</v>
      </c>
      <c r="N492" s="41" t="n">
        <f aca="false">IF(M492="","",ROUNDUP(M492/H492,0))</f>
        <v>4</v>
      </c>
      <c r="O492" s="41" t="str">
        <f aca="false">IF(N492="","",IF(N492&lt;='Kitting Plan'!$C$3,"Rep "&amp;N492,"Surplus"))</f>
        <v>Rep 4</v>
      </c>
    </row>
    <row r="493" customFormat="false" ht="15" hidden="false" customHeight="false" outlineLevel="0" collapsed="false">
      <c r="A493" s="40" t="n">
        <f aca="false">IF(OR($A$4=0,INDEX('COOIS Raw'!$A:$GZ,ROW()-4,$A$4)=""),"",IFERROR(--INDEX('COOIS Raw'!$A:$GZ,ROW()-4,$A$4),INDEX('COOIS Raw'!$A:$GZ,ROW()-4,$A$4)))</f>
        <v>100873284</v>
      </c>
      <c r="B493" s="41" t="str">
        <f aca="false">IF(A493="","",TRIM(INDEX('COOIS Raw'!$A:$GZ,ROW()-4,$B$4)))</f>
        <v>91YAF03404AAA</v>
      </c>
      <c r="C493" s="42" t="str">
        <f aca="false">IF(OR(A493="",$C$4=0),"",INDEX('COOIS Raw'!$A:$GZ,ROW()-4,$C$4))</f>
        <v>R5B PSB SUB ASSEMBLY 4P-4FP</v>
      </c>
      <c r="D493" s="41" t="n">
        <f aca="false">IF(A493="","",IF($D$4=0,1,IFERROR(--INDEX('COOIS Raw'!$A:$GZ,ROW()-4,$D$4),1)))</f>
        <v>1</v>
      </c>
      <c r="E493" s="42" t="str">
        <f aca="false">IF(A493="","",INDEX('COOIS Raw'!$A:$GZ,ROW()-4,$E$4)&amp;"")</f>
        <v>REL PRT CNF DLV PRC GMPS MANC RESA*</v>
      </c>
      <c r="F493" s="43" t="n">
        <f aca="false">IF(A493="","",IFERROR(DATEVALUE(INDEX('COOIS Raw'!$A:$GZ,ROW()-4,$F$4)),INDEX('COOIS Raw'!$A:$GZ,ROW()-4,$F$4)))</f>
        <v>46240</v>
      </c>
      <c r="G493" s="41" t="str">
        <f aca="false">IF(A493="","",IF(ISNA(MATCH(B493,'Kitting Plan'!$B$6:$B$19,0)),"Not in plan","Yes"))</f>
        <v>Yes</v>
      </c>
      <c r="H493" s="41" t="n">
        <f aca="false">IF(G493="Yes",INDEX('Kitting Plan'!$D$6:$D$19,MATCH(B493,'Kitting Plan'!$B$6:$B$19,0)),"")</f>
        <v>3</v>
      </c>
      <c r="I493" s="41" t="n">
        <f aca="false">IF(A493="","",IF(ISNUMBER(SEARCH("PRT",E493)),D493,0))</f>
        <v>1</v>
      </c>
      <c r="J493" s="41" t="n">
        <f aca="false">IF(A493="","",IF(ISNUMBER(SEARCH("GMPS",E493)),D493,0))</f>
        <v>1</v>
      </c>
      <c r="K493" s="41" t="n">
        <f aca="false">IF(A493="","",IF(ISNUMBER(SEARCH("DLV",E493)),D493,0))</f>
        <v>1</v>
      </c>
      <c r="L493" s="41" t="str">
        <f aca="false">IF(A493="","",IF(K493&gt;0,"Delivered",IF(ISNUMBER(SEARCH("CNF",E493)),"In production",IF(J493&gt;0,"Issued",IF(I493&gt;0,"Kitted","Released")))))</f>
        <v>Delivered</v>
      </c>
      <c r="M493" s="41" t="n">
        <f aca="false">IF(G493&lt;&gt;"Yes","",COUNTIFS($B$6:$B$1505,B493,$F$6:$F$1505,"&lt;"&amp;F493)+COUNTIFS($B$6:$B$1505,B493,$F$6:$F$1505,F493,$A$6:$A$1505,"&lt;="&amp;A493))</f>
        <v>16</v>
      </c>
      <c r="N493" s="41" t="n">
        <f aca="false">IF(M493="","",ROUNDUP(M493/H493,0))</f>
        <v>6</v>
      </c>
      <c r="O493" s="41" t="str">
        <f aca="false">IF(N493="","",IF(N493&lt;='Kitting Plan'!$C$3,"Rep "&amp;N493,"Surplus"))</f>
        <v>Rep 6</v>
      </c>
    </row>
    <row r="494" customFormat="false" ht="15" hidden="false" customHeight="false" outlineLevel="0" collapsed="false">
      <c r="A494" s="40" t="n">
        <f aca="false">IF(OR($A$4=0,INDEX('COOIS Raw'!$A:$GZ,ROW()-4,$A$4)=""),"",IFERROR(--INDEX('COOIS Raw'!$A:$GZ,ROW()-4,$A$4),INDEX('COOIS Raw'!$A:$GZ,ROW()-4,$A$4)))</f>
        <v>100872658</v>
      </c>
      <c r="B494" s="41" t="str">
        <f aca="false">IF(A494="","",TRIM(INDEX('COOIS Raw'!$A:$GZ,ROW()-4,$B$4)))</f>
        <v>92YFD04548BAA</v>
      </c>
      <c r="C494" s="42" t="str">
        <f aca="false">IF(OR(A494="",$C$4=0),"",INDEX('COOIS Raw'!$A:$GZ,ROW()-4,$C$4))</f>
        <v>R5B OPF ASSEMBLY (4P-4FP) BOAT 1 - E2A</v>
      </c>
      <c r="D494" s="41" t="n">
        <f aca="false">IF(A494="","",IF($D$4=0,1,IFERROR(--INDEX('COOIS Raw'!$A:$GZ,ROW()-4,$D$4),1)))</f>
        <v>1</v>
      </c>
      <c r="E494" s="42" t="str">
        <f aca="false">IF(A494="","",INDEX('COOIS Raw'!$A:$GZ,ROW()-4,$E$4)&amp;"")</f>
        <v>REL PRT CNF DLV PRC GMPS MANC SETC</v>
      </c>
      <c r="F494" s="43" t="n">
        <f aca="false">IF(A494="","",IFERROR(DATEVALUE(INDEX('COOIS Raw'!$A:$GZ,ROW()-4,$F$4)),INDEX('COOIS Raw'!$A:$GZ,ROW()-4,$F$4)))</f>
        <v>46238</v>
      </c>
      <c r="G494" s="41" t="str">
        <f aca="false">IF(A494="","",IF(ISNA(MATCH(B494,'Kitting Plan'!$B$6:$B$19,0)),"Not in plan","Yes"))</f>
        <v>Yes</v>
      </c>
      <c r="H494" s="41" t="n">
        <f aca="false">IF(G494="Yes",INDEX('Kitting Plan'!$D$6:$D$19,MATCH(B494,'Kitting Plan'!$B$6:$B$19,0)),"")</f>
        <v>1</v>
      </c>
      <c r="I494" s="41" t="n">
        <f aca="false">IF(A494="","",IF(ISNUMBER(SEARCH("PRT",E494)),D494,0))</f>
        <v>1</v>
      </c>
      <c r="J494" s="41" t="n">
        <f aca="false">IF(A494="","",IF(ISNUMBER(SEARCH("GMPS",E494)),D494,0))</f>
        <v>1</v>
      </c>
      <c r="K494" s="41" t="n">
        <f aca="false">IF(A494="","",IF(ISNUMBER(SEARCH("DLV",E494)),D494,0))</f>
        <v>1</v>
      </c>
      <c r="L494" s="41" t="str">
        <f aca="false">IF(A494="","",IF(K494&gt;0,"Delivered",IF(ISNUMBER(SEARCH("CNF",E494)),"In production",IF(J494&gt;0,"Issued",IF(I494&gt;0,"Kitted","Released")))))</f>
        <v>Delivered</v>
      </c>
      <c r="M494" s="41" t="n">
        <f aca="false">IF(G494&lt;&gt;"Yes","",COUNTIFS($B$6:$B$1505,B494,$F$6:$F$1505,"&lt;"&amp;F494)+COUNTIFS($B$6:$B$1505,B494,$F$6:$F$1505,F494,$A$6:$A$1505,"&lt;="&amp;A494))</f>
        <v>5</v>
      </c>
      <c r="N494" s="41" t="n">
        <f aca="false">IF(M494="","",ROUNDUP(M494/H494,0))</f>
        <v>5</v>
      </c>
      <c r="O494" s="41" t="str">
        <f aca="false">IF(N494="","",IF(N494&lt;='Kitting Plan'!$C$3,"Rep "&amp;N494,"Surplus"))</f>
        <v>Rep 5</v>
      </c>
    </row>
    <row r="495" customFormat="false" ht="15" hidden="false" customHeight="false" outlineLevel="0" collapsed="false">
      <c r="A495" s="40" t="n">
        <f aca="false">IF(OR($A$4=0,INDEX('COOIS Raw'!$A:$GZ,ROW()-4,$A$4)=""),"",IFERROR(--INDEX('COOIS Raw'!$A:$GZ,ROW()-4,$A$4),INDEX('COOIS Raw'!$A:$GZ,ROW()-4,$A$4)))</f>
        <v>100872659</v>
      </c>
      <c r="B495" s="41" t="str">
        <f aca="false">IF(A495="","",TRIM(INDEX('COOIS Raw'!$A:$GZ,ROW()-4,$B$4)))</f>
        <v>92YLS00548BAA</v>
      </c>
      <c r="C495" s="42" t="str">
        <f aca="false">IF(OR(A495="",$C$4=0),"",INDEX('COOIS Raw'!$A:$GZ,ROW()-4,$C$4))</f>
        <v>R5B LASER ASSEMBLY 4P BOAT 1 - E2A</v>
      </c>
      <c r="D495" s="41" t="n">
        <f aca="false">IF(A495="","",IF($D$4=0,1,IFERROR(--INDEX('COOIS Raw'!$A:$GZ,ROW()-4,$D$4),1)))</f>
        <v>1</v>
      </c>
      <c r="E495" s="42" t="str">
        <f aca="false">IF(A495="","",INDEX('COOIS Raw'!$A:$GZ,ROW()-4,$E$4)&amp;"")</f>
        <v>REL PPRT CNF DLV PRC GMPS MANC SETC</v>
      </c>
      <c r="F495" s="43" t="n">
        <f aca="false">IF(A495="","",IFERROR(DATEVALUE(INDEX('COOIS Raw'!$A:$GZ,ROW()-4,$F$4)),INDEX('COOIS Raw'!$A:$GZ,ROW()-4,$F$4)))</f>
        <v>46238</v>
      </c>
      <c r="G495" s="41" t="str">
        <f aca="false">IF(A495="","",IF(ISNA(MATCH(B495,'Kitting Plan'!$B$6:$B$19,0)),"Not in plan","Yes"))</f>
        <v>Yes</v>
      </c>
      <c r="H495" s="41" t="n">
        <f aca="false">IF(G495="Yes",INDEX('Kitting Plan'!$D$6:$D$19,MATCH(B495,'Kitting Plan'!$B$6:$B$19,0)),"")</f>
        <v>1</v>
      </c>
      <c r="I495" s="41" t="n">
        <f aca="false">IF(A495="","",IF(ISNUMBER(SEARCH("PRT",E495)),D495,0))</f>
        <v>1</v>
      </c>
      <c r="J495" s="41" t="n">
        <f aca="false">IF(A495="","",IF(ISNUMBER(SEARCH("GMPS",E495)),D495,0))</f>
        <v>1</v>
      </c>
      <c r="K495" s="41" t="n">
        <f aca="false">IF(A495="","",IF(ISNUMBER(SEARCH("DLV",E495)),D495,0))</f>
        <v>1</v>
      </c>
      <c r="L495" s="41" t="str">
        <f aca="false">IF(A495="","",IF(K495&gt;0,"Delivered",IF(ISNUMBER(SEARCH("CNF",E495)),"In production",IF(J495&gt;0,"Issued",IF(I495&gt;0,"Kitted","Released")))))</f>
        <v>Delivered</v>
      </c>
      <c r="M495" s="41" t="n">
        <f aca="false">IF(G495&lt;&gt;"Yes","",COUNTIFS($B$6:$B$1505,B495,$F$6:$F$1505,"&lt;"&amp;F495)+COUNTIFS($B$6:$B$1505,B495,$F$6:$F$1505,F495,$A$6:$A$1505,"&lt;="&amp;A495))</f>
        <v>5</v>
      </c>
      <c r="N495" s="41" t="n">
        <f aca="false">IF(M495="","",ROUNDUP(M495/H495,0))</f>
        <v>5</v>
      </c>
      <c r="O495" s="41" t="str">
        <f aca="false">IF(N495="","",IF(N495&lt;='Kitting Plan'!$C$3,"Rep "&amp;N495,"Surplus"))</f>
        <v>Rep 5</v>
      </c>
    </row>
    <row r="496" customFormat="false" ht="15" hidden="false" customHeight="false" outlineLevel="0" collapsed="false">
      <c r="A496" s="40" t="n">
        <f aca="false">IF(OR($A$4=0,INDEX('COOIS Raw'!$A:$GZ,ROW()-4,$A$4)=""),"",IFERROR(--INDEX('COOIS Raw'!$A:$GZ,ROW()-4,$A$4),INDEX('COOIS Raw'!$A:$GZ,ROW()-4,$A$4)))</f>
        <v>100872715</v>
      </c>
      <c r="B496" s="41" t="str">
        <f aca="false">IF(A496="","",TRIM(INDEX('COOIS Raw'!$A:$GZ,ROW()-4,$B$4)))</f>
        <v>92RRA00548AAA</v>
      </c>
      <c r="C496" s="42" t="str">
        <f aca="false">IF(OR(A496="",$C$4=0),"",INDEX('COOIS Raw'!$A:$GZ,ROW()-4,$C$4))</f>
        <v>R5B ERBIUM SPOOL ASSEMBLY - E2A</v>
      </c>
      <c r="D496" s="41" t="n">
        <f aca="false">IF(A496="","",IF($D$4=0,1,IFERROR(--INDEX('COOIS Raw'!$A:$GZ,ROW()-4,$D$4),1)))</f>
        <v>1</v>
      </c>
      <c r="E496" s="42" t="str">
        <f aca="false">IF(A496="","",INDEX('COOIS Raw'!$A:$GZ,ROW()-4,$E$4)&amp;"")</f>
        <v>REL PRT CNF DLV PRC GMPS MANC SETC</v>
      </c>
      <c r="F496" s="43" t="n">
        <f aca="false">IF(A496="","",IFERROR(DATEVALUE(INDEX('COOIS Raw'!$A:$GZ,ROW()-4,$F$4)),INDEX('COOIS Raw'!$A:$GZ,ROW()-4,$F$4)))</f>
        <v>46238</v>
      </c>
      <c r="G496" s="41" t="str">
        <f aca="false">IF(A496="","",IF(ISNA(MATCH(B496,'Kitting Plan'!$B$6:$B$19,0)),"Not in plan","Yes"))</f>
        <v>Yes</v>
      </c>
      <c r="H496" s="41" t="n">
        <f aca="false">IF(G496="Yes",INDEX('Kitting Plan'!$D$6:$D$19,MATCH(B496,'Kitting Plan'!$B$6:$B$19,0)),"")</f>
        <v>24</v>
      </c>
      <c r="I496" s="41" t="n">
        <f aca="false">IF(A496="","",IF(ISNUMBER(SEARCH("PRT",E496)),D496,0))</f>
        <v>1</v>
      </c>
      <c r="J496" s="41" t="n">
        <f aca="false">IF(A496="","",IF(ISNUMBER(SEARCH("GMPS",E496)),D496,0))</f>
        <v>1</v>
      </c>
      <c r="K496" s="41" t="n">
        <f aca="false">IF(A496="","",IF(ISNUMBER(SEARCH("DLV",E496)),D496,0))</f>
        <v>1</v>
      </c>
      <c r="L496" s="41" t="str">
        <f aca="false">IF(A496="","",IF(K496&gt;0,"Delivered",IF(ISNUMBER(SEARCH("CNF",E496)),"In production",IF(J496&gt;0,"Issued",IF(I496&gt;0,"Kitted","Released")))))</f>
        <v>Delivered</v>
      </c>
      <c r="M496" s="41" t="n">
        <f aca="false">IF(G496&lt;&gt;"Yes","",COUNTIFS($B$6:$B$1505,B496,$F$6:$F$1505,"&lt;"&amp;F496)+COUNTIFS($B$6:$B$1505,B496,$F$6:$F$1505,F496,$A$6:$A$1505,"&lt;="&amp;A496))</f>
        <v>79</v>
      </c>
      <c r="N496" s="41" t="n">
        <f aca="false">IF(M496="","",ROUNDUP(M496/H496,0))</f>
        <v>4</v>
      </c>
      <c r="O496" s="41" t="str">
        <f aca="false">IF(N496="","",IF(N496&lt;='Kitting Plan'!$C$3,"Rep "&amp;N496,"Surplus"))</f>
        <v>Rep 4</v>
      </c>
    </row>
    <row r="497" customFormat="false" ht="15" hidden="false" customHeight="false" outlineLevel="0" collapsed="false">
      <c r="A497" s="40" t="n">
        <f aca="false">IF(OR($A$4=0,INDEX('COOIS Raw'!$A:$GZ,ROW()-4,$A$4)=""),"",IFERROR(--INDEX('COOIS Raw'!$A:$GZ,ROW()-4,$A$4),INDEX('COOIS Raw'!$A:$GZ,ROW()-4,$A$4)))</f>
        <v>100872716</v>
      </c>
      <c r="B497" s="41" t="str">
        <f aca="false">IF(A497="","",TRIM(INDEX('COOIS Raw'!$A:$GZ,ROW()-4,$B$4)))</f>
        <v>92RRA00548AAA</v>
      </c>
      <c r="C497" s="42" t="str">
        <f aca="false">IF(OR(A497="",$C$4=0),"",INDEX('COOIS Raw'!$A:$GZ,ROW()-4,$C$4))</f>
        <v>R5B ERBIUM SPOOL ASSEMBLY - E2A</v>
      </c>
      <c r="D497" s="41" t="n">
        <f aca="false">IF(A497="","",IF($D$4=0,1,IFERROR(--INDEX('COOIS Raw'!$A:$GZ,ROW()-4,$D$4),1)))</f>
        <v>1</v>
      </c>
      <c r="E497" s="42" t="str">
        <f aca="false">IF(A497="","",INDEX('COOIS Raw'!$A:$GZ,ROW()-4,$E$4)&amp;"")</f>
        <v>REL PRT CNF DLV PRC GMPS MANC SETC</v>
      </c>
      <c r="F497" s="43" t="n">
        <f aca="false">IF(A497="","",IFERROR(DATEVALUE(INDEX('COOIS Raw'!$A:$GZ,ROW()-4,$F$4)),INDEX('COOIS Raw'!$A:$GZ,ROW()-4,$F$4)))</f>
        <v>46238</v>
      </c>
      <c r="G497" s="41" t="str">
        <f aca="false">IF(A497="","",IF(ISNA(MATCH(B497,'Kitting Plan'!$B$6:$B$19,0)),"Not in plan","Yes"))</f>
        <v>Yes</v>
      </c>
      <c r="H497" s="41" t="n">
        <f aca="false">IF(G497="Yes",INDEX('Kitting Plan'!$D$6:$D$19,MATCH(B497,'Kitting Plan'!$B$6:$B$19,0)),"")</f>
        <v>24</v>
      </c>
      <c r="I497" s="41" t="n">
        <f aca="false">IF(A497="","",IF(ISNUMBER(SEARCH("PRT",E497)),D497,0))</f>
        <v>1</v>
      </c>
      <c r="J497" s="41" t="n">
        <f aca="false">IF(A497="","",IF(ISNUMBER(SEARCH("GMPS",E497)),D497,0))</f>
        <v>1</v>
      </c>
      <c r="K497" s="41" t="n">
        <f aca="false">IF(A497="","",IF(ISNUMBER(SEARCH("DLV",E497)),D497,0))</f>
        <v>1</v>
      </c>
      <c r="L497" s="41" t="str">
        <f aca="false">IF(A497="","",IF(K497&gt;0,"Delivered",IF(ISNUMBER(SEARCH("CNF",E497)),"In production",IF(J497&gt;0,"Issued",IF(I497&gt;0,"Kitted","Released")))))</f>
        <v>Delivered</v>
      </c>
      <c r="M497" s="41" t="n">
        <f aca="false">IF(G497&lt;&gt;"Yes","",COUNTIFS($B$6:$B$1505,B497,$F$6:$F$1505,"&lt;"&amp;F497)+COUNTIFS($B$6:$B$1505,B497,$F$6:$F$1505,F497,$A$6:$A$1505,"&lt;="&amp;A497))</f>
        <v>80</v>
      </c>
      <c r="N497" s="41" t="n">
        <f aca="false">IF(M497="","",ROUNDUP(M497/H497,0))</f>
        <v>4</v>
      </c>
      <c r="O497" s="41" t="str">
        <f aca="false">IF(N497="","",IF(N497&lt;='Kitting Plan'!$C$3,"Rep "&amp;N497,"Surplus"))</f>
        <v>Rep 4</v>
      </c>
    </row>
    <row r="498" customFormat="false" ht="15" hidden="false" customHeight="false" outlineLevel="0" collapsed="false">
      <c r="A498" s="40" t="n">
        <f aca="false">IF(OR($A$4=0,INDEX('COOIS Raw'!$A:$GZ,ROW()-4,$A$4)=""),"",IFERROR(--INDEX('COOIS Raw'!$A:$GZ,ROW()-4,$A$4),INDEX('COOIS Raw'!$A:$GZ,ROW()-4,$A$4)))</f>
        <v>100872717</v>
      </c>
      <c r="B498" s="41" t="str">
        <f aca="false">IF(A498="","",TRIM(INDEX('COOIS Raw'!$A:$GZ,ROW()-4,$B$4)))</f>
        <v>92RRA00548AAA</v>
      </c>
      <c r="C498" s="42" t="str">
        <f aca="false">IF(OR(A498="",$C$4=0),"",INDEX('COOIS Raw'!$A:$GZ,ROW()-4,$C$4))</f>
        <v>R5B ERBIUM SPOOL ASSEMBLY - E2A</v>
      </c>
      <c r="D498" s="41" t="n">
        <f aca="false">IF(A498="","",IF($D$4=0,1,IFERROR(--INDEX('COOIS Raw'!$A:$GZ,ROW()-4,$D$4),1)))</f>
        <v>1</v>
      </c>
      <c r="E498" s="42" t="str">
        <f aca="false">IF(A498="","",INDEX('COOIS Raw'!$A:$GZ,ROW()-4,$E$4)&amp;"")</f>
        <v>REL PRT CNF DLV PRC GMPS MANC SETC</v>
      </c>
      <c r="F498" s="43" t="n">
        <f aca="false">IF(A498="","",IFERROR(DATEVALUE(INDEX('COOIS Raw'!$A:$GZ,ROW()-4,$F$4)),INDEX('COOIS Raw'!$A:$GZ,ROW()-4,$F$4)))</f>
        <v>46238</v>
      </c>
      <c r="G498" s="41" t="str">
        <f aca="false">IF(A498="","",IF(ISNA(MATCH(B498,'Kitting Plan'!$B$6:$B$19,0)),"Not in plan","Yes"))</f>
        <v>Yes</v>
      </c>
      <c r="H498" s="41" t="n">
        <f aca="false">IF(G498="Yes",INDEX('Kitting Plan'!$D$6:$D$19,MATCH(B498,'Kitting Plan'!$B$6:$B$19,0)),"")</f>
        <v>24</v>
      </c>
      <c r="I498" s="41" t="n">
        <f aca="false">IF(A498="","",IF(ISNUMBER(SEARCH("PRT",E498)),D498,0))</f>
        <v>1</v>
      </c>
      <c r="J498" s="41" t="n">
        <f aca="false">IF(A498="","",IF(ISNUMBER(SEARCH("GMPS",E498)),D498,0))</f>
        <v>1</v>
      </c>
      <c r="K498" s="41" t="n">
        <f aca="false">IF(A498="","",IF(ISNUMBER(SEARCH("DLV",E498)),D498,0))</f>
        <v>1</v>
      </c>
      <c r="L498" s="41" t="str">
        <f aca="false">IF(A498="","",IF(K498&gt;0,"Delivered",IF(ISNUMBER(SEARCH("CNF",E498)),"In production",IF(J498&gt;0,"Issued",IF(I498&gt;0,"Kitted","Released")))))</f>
        <v>Delivered</v>
      </c>
      <c r="M498" s="41" t="n">
        <f aca="false">IF(G498&lt;&gt;"Yes","",COUNTIFS($B$6:$B$1505,B498,$F$6:$F$1505,"&lt;"&amp;F498)+COUNTIFS($B$6:$B$1505,B498,$F$6:$F$1505,F498,$A$6:$A$1505,"&lt;="&amp;A498))</f>
        <v>81</v>
      </c>
      <c r="N498" s="41" t="n">
        <f aca="false">IF(M498="","",ROUNDUP(M498/H498,0))</f>
        <v>4</v>
      </c>
      <c r="O498" s="41" t="str">
        <f aca="false">IF(N498="","",IF(N498&lt;='Kitting Plan'!$C$3,"Rep "&amp;N498,"Surplus"))</f>
        <v>Rep 4</v>
      </c>
    </row>
    <row r="499" customFormat="false" ht="15" hidden="false" customHeight="false" outlineLevel="0" collapsed="false">
      <c r="A499" s="40" t="n">
        <f aca="false">IF(OR($A$4=0,INDEX('COOIS Raw'!$A:$GZ,ROW()-4,$A$4)=""),"",IFERROR(--INDEX('COOIS Raw'!$A:$GZ,ROW()-4,$A$4),INDEX('COOIS Raw'!$A:$GZ,ROW()-4,$A$4)))</f>
        <v>100872718</v>
      </c>
      <c r="B499" s="41" t="str">
        <f aca="false">IF(A499="","",TRIM(INDEX('COOIS Raw'!$A:$GZ,ROW()-4,$B$4)))</f>
        <v>92RRA00548AAA</v>
      </c>
      <c r="C499" s="42" t="str">
        <f aca="false">IF(OR(A499="",$C$4=0),"",INDEX('COOIS Raw'!$A:$GZ,ROW()-4,$C$4))</f>
        <v>R5B ERBIUM SPOOL ASSEMBLY - E2A</v>
      </c>
      <c r="D499" s="41" t="n">
        <f aca="false">IF(A499="","",IF($D$4=0,1,IFERROR(--INDEX('COOIS Raw'!$A:$GZ,ROW()-4,$D$4),1)))</f>
        <v>1</v>
      </c>
      <c r="E499" s="42" t="str">
        <f aca="false">IF(A499="","",INDEX('COOIS Raw'!$A:$GZ,ROW()-4,$E$4)&amp;"")</f>
        <v>REL PRT CNF DLV PRC GMPS MANC SETC</v>
      </c>
      <c r="F499" s="43" t="n">
        <f aca="false">IF(A499="","",IFERROR(DATEVALUE(INDEX('COOIS Raw'!$A:$GZ,ROW()-4,$F$4)),INDEX('COOIS Raw'!$A:$GZ,ROW()-4,$F$4)))</f>
        <v>46238</v>
      </c>
      <c r="G499" s="41" t="str">
        <f aca="false">IF(A499="","",IF(ISNA(MATCH(B499,'Kitting Plan'!$B$6:$B$19,0)),"Not in plan","Yes"))</f>
        <v>Yes</v>
      </c>
      <c r="H499" s="41" t="n">
        <f aca="false">IF(G499="Yes",INDEX('Kitting Plan'!$D$6:$D$19,MATCH(B499,'Kitting Plan'!$B$6:$B$19,0)),"")</f>
        <v>24</v>
      </c>
      <c r="I499" s="41" t="n">
        <f aca="false">IF(A499="","",IF(ISNUMBER(SEARCH("PRT",E499)),D499,0))</f>
        <v>1</v>
      </c>
      <c r="J499" s="41" t="n">
        <f aca="false">IF(A499="","",IF(ISNUMBER(SEARCH("GMPS",E499)),D499,0))</f>
        <v>1</v>
      </c>
      <c r="K499" s="41" t="n">
        <f aca="false">IF(A499="","",IF(ISNUMBER(SEARCH("DLV",E499)),D499,0))</f>
        <v>1</v>
      </c>
      <c r="L499" s="41" t="str">
        <f aca="false">IF(A499="","",IF(K499&gt;0,"Delivered",IF(ISNUMBER(SEARCH("CNF",E499)),"In production",IF(J499&gt;0,"Issued",IF(I499&gt;0,"Kitted","Released")))))</f>
        <v>Delivered</v>
      </c>
      <c r="M499" s="41" t="n">
        <f aca="false">IF(G499&lt;&gt;"Yes","",COUNTIFS($B$6:$B$1505,B499,$F$6:$F$1505,"&lt;"&amp;F499)+COUNTIFS($B$6:$B$1505,B499,$F$6:$F$1505,F499,$A$6:$A$1505,"&lt;="&amp;A499))</f>
        <v>82</v>
      </c>
      <c r="N499" s="41" t="n">
        <f aca="false">IF(M499="","",ROUNDUP(M499/H499,0))</f>
        <v>4</v>
      </c>
      <c r="O499" s="41" t="str">
        <f aca="false">IF(N499="","",IF(N499&lt;='Kitting Plan'!$C$3,"Rep "&amp;N499,"Surplus"))</f>
        <v>Rep 4</v>
      </c>
    </row>
    <row r="500" customFormat="false" ht="15" hidden="false" customHeight="false" outlineLevel="0" collapsed="false">
      <c r="A500" s="40" t="n">
        <f aca="false">IF(OR($A$4=0,INDEX('COOIS Raw'!$A:$GZ,ROW()-4,$A$4)=""),"",IFERROR(--INDEX('COOIS Raw'!$A:$GZ,ROW()-4,$A$4),INDEX('COOIS Raw'!$A:$GZ,ROW()-4,$A$4)))</f>
        <v>100872719</v>
      </c>
      <c r="B500" s="41" t="str">
        <f aca="false">IF(A500="","",TRIM(INDEX('COOIS Raw'!$A:$GZ,ROW()-4,$B$4)))</f>
        <v>92RRA00548AAA</v>
      </c>
      <c r="C500" s="42" t="str">
        <f aca="false">IF(OR(A500="",$C$4=0),"",INDEX('COOIS Raw'!$A:$GZ,ROW()-4,$C$4))</f>
        <v>R5B ERBIUM SPOOL ASSEMBLY - E2A</v>
      </c>
      <c r="D500" s="41" t="n">
        <f aca="false">IF(A500="","",IF($D$4=0,1,IFERROR(--INDEX('COOIS Raw'!$A:$GZ,ROW()-4,$D$4),1)))</f>
        <v>1</v>
      </c>
      <c r="E500" s="42" t="str">
        <f aca="false">IF(A500="","",INDEX('COOIS Raw'!$A:$GZ,ROW()-4,$E$4)&amp;"")</f>
        <v>REL PRT CNF DLV PRC GMPS MANC SETC</v>
      </c>
      <c r="F500" s="43" t="n">
        <f aca="false">IF(A500="","",IFERROR(DATEVALUE(INDEX('COOIS Raw'!$A:$GZ,ROW()-4,$F$4)),INDEX('COOIS Raw'!$A:$GZ,ROW()-4,$F$4)))</f>
        <v>46238</v>
      </c>
      <c r="G500" s="41" t="str">
        <f aca="false">IF(A500="","",IF(ISNA(MATCH(B500,'Kitting Plan'!$B$6:$B$19,0)),"Not in plan","Yes"))</f>
        <v>Yes</v>
      </c>
      <c r="H500" s="41" t="n">
        <f aca="false">IF(G500="Yes",INDEX('Kitting Plan'!$D$6:$D$19,MATCH(B500,'Kitting Plan'!$B$6:$B$19,0)),"")</f>
        <v>24</v>
      </c>
      <c r="I500" s="41" t="n">
        <f aca="false">IF(A500="","",IF(ISNUMBER(SEARCH("PRT",E500)),D500,0))</f>
        <v>1</v>
      </c>
      <c r="J500" s="41" t="n">
        <f aca="false">IF(A500="","",IF(ISNUMBER(SEARCH("GMPS",E500)),D500,0))</f>
        <v>1</v>
      </c>
      <c r="K500" s="41" t="n">
        <f aca="false">IF(A500="","",IF(ISNUMBER(SEARCH("DLV",E500)),D500,0))</f>
        <v>1</v>
      </c>
      <c r="L500" s="41" t="str">
        <f aca="false">IF(A500="","",IF(K500&gt;0,"Delivered",IF(ISNUMBER(SEARCH("CNF",E500)),"In production",IF(J500&gt;0,"Issued",IF(I500&gt;0,"Kitted","Released")))))</f>
        <v>Delivered</v>
      </c>
      <c r="M500" s="41" t="n">
        <f aca="false">IF(G500&lt;&gt;"Yes","",COUNTIFS($B$6:$B$1505,B500,$F$6:$F$1505,"&lt;"&amp;F500)+COUNTIFS($B$6:$B$1505,B500,$F$6:$F$1505,F500,$A$6:$A$1505,"&lt;="&amp;A500))</f>
        <v>83</v>
      </c>
      <c r="N500" s="41" t="n">
        <f aca="false">IF(M500="","",ROUNDUP(M500/H500,0))</f>
        <v>4</v>
      </c>
      <c r="O500" s="41" t="str">
        <f aca="false">IF(N500="","",IF(N500&lt;='Kitting Plan'!$C$3,"Rep "&amp;N500,"Surplus"))</f>
        <v>Rep 4</v>
      </c>
    </row>
    <row r="501" customFormat="false" ht="15" hidden="false" customHeight="false" outlineLevel="0" collapsed="false">
      <c r="A501" s="40" t="n">
        <f aca="false">IF(OR($A$4=0,INDEX('COOIS Raw'!$A:$GZ,ROW()-4,$A$4)=""),"",IFERROR(--INDEX('COOIS Raw'!$A:$GZ,ROW()-4,$A$4),INDEX('COOIS Raw'!$A:$GZ,ROW()-4,$A$4)))</f>
        <v>100872720</v>
      </c>
      <c r="B501" s="41" t="str">
        <f aca="false">IF(A501="","",TRIM(INDEX('COOIS Raw'!$A:$GZ,ROW()-4,$B$4)))</f>
        <v>92RRA00548AAA</v>
      </c>
      <c r="C501" s="42" t="str">
        <f aca="false">IF(OR(A501="",$C$4=0),"",INDEX('COOIS Raw'!$A:$GZ,ROW()-4,$C$4))</f>
        <v>R5B ERBIUM SPOOL ASSEMBLY - E2A</v>
      </c>
      <c r="D501" s="41" t="n">
        <f aca="false">IF(A501="","",IF($D$4=0,1,IFERROR(--INDEX('COOIS Raw'!$A:$GZ,ROW()-4,$D$4),1)))</f>
        <v>1</v>
      </c>
      <c r="E501" s="42" t="str">
        <f aca="false">IF(A501="","",INDEX('COOIS Raw'!$A:$GZ,ROW()-4,$E$4)&amp;"")</f>
        <v>REL PRT CNF DLV PRC GMPS MANC SETC</v>
      </c>
      <c r="F501" s="43" t="n">
        <f aca="false">IF(A501="","",IFERROR(DATEVALUE(INDEX('COOIS Raw'!$A:$GZ,ROW()-4,$F$4)),INDEX('COOIS Raw'!$A:$GZ,ROW()-4,$F$4)))</f>
        <v>46238</v>
      </c>
      <c r="G501" s="41" t="str">
        <f aca="false">IF(A501="","",IF(ISNA(MATCH(B501,'Kitting Plan'!$B$6:$B$19,0)),"Not in plan","Yes"))</f>
        <v>Yes</v>
      </c>
      <c r="H501" s="41" t="n">
        <f aca="false">IF(G501="Yes",INDEX('Kitting Plan'!$D$6:$D$19,MATCH(B501,'Kitting Plan'!$B$6:$B$19,0)),"")</f>
        <v>24</v>
      </c>
      <c r="I501" s="41" t="n">
        <f aca="false">IF(A501="","",IF(ISNUMBER(SEARCH("PRT",E501)),D501,0))</f>
        <v>1</v>
      </c>
      <c r="J501" s="41" t="n">
        <f aca="false">IF(A501="","",IF(ISNUMBER(SEARCH("GMPS",E501)),D501,0))</f>
        <v>1</v>
      </c>
      <c r="K501" s="41" t="n">
        <f aca="false">IF(A501="","",IF(ISNUMBER(SEARCH("DLV",E501)),D501,0))</f>
        <v>1</v>
      </c>
      <c r="L501" s="41" t="str">
        <f aca="false">IF(A501="","",IF(K501&gt;0,"Delivered",IF(ISNUMBER(SEARCH("CNF",E501)),"In production",IF(J501&gt;0,"Issued",IF(I501&gt;0,"Kitted","Released")))))</f>
        <v>Delivered</v>
      </c>
      <c r="M501" s="41" t="n">
        <f aca="false">IF(G501&lt;&gt;"Yes","",COUNTIFS($B$6:$B$1505,B501,$F$6:$F$1505,"&lt;"&amp;F501)+COUNTIFS($B$6:$B$1505,B501,$F$6:$F$1505,F501,$A$6:$A$1505,"&lt;="&amp;A501))</f>
        <v>84</v>
      </c>
      <c r="N501" s="41" t="n">
        <f aca="false">IF(M501="","",ROUNDUP(M501/H501,0))</f>
        <v>4</v>
      </c>
      <c r="O501" s="41" t="str">
        <f aca="false">IF(N501="","",IF(N501&lt;='Kitting Plan'!$C$3,"Rep "&amp;N501,"Surplus"))</f>
        <v>Rep 4</v>
      </c>
    </row>
    <row r="502" customFormat="false" ht="15" hidden="false" customHeight="false" outlineLevel="0" collapsed="false">
      <c r="A502" s="40" t="n">
        <f aca="false">IF(OR($A$4=0,INDEX('COOIS Raw'!$A:$GZ,ROW()-4,$A$4)=""),"",IFERROR(--INDEX('COOIS Raw'!$A:$GZ,ROW()-4,$A$4),INDEX('COOIS Raw'!$A:$GZ,ROW()-4,$A$4)))</f>
        <v>100872721</v>
      </c>
      <c r="B502" s="41" t="str">
        <f aca="false">IF(A502="","",TRIM(INDEX('COOIS Raw'!$A:$GZ,ROW()-4,$B$4)))</f>
        <v>92RRA00548AAA</v>
      </c>
      <c r="C502" s="42" t="str">
        <f aca="false">IF(OR(A502="",$C$4=0),"",INDEX('COOIS Raw'!$A:$GZ,ROW()-4,$C$4))</f>
        <v>R5B ERBIUM SPOOL ASSEMBLY - E2A</v>
      </c>
      <c r="D502" s="41" t="n">
        <f aca="false">IF(A502="","",IF($D$4=0,1,IFERROR(--INDEX('COOIS Raw'!$A:$GZ,ROW()-4,$D$4),1)))</f>
        <v>1</v>
      </c>
      <c r="E502" s="42" t="str">
        <f aca="false">IF(A502="","",INDEX('COOIS Raw'!$A:$GZ,ROW()-4,$E$4)&amp;"")</f>
        <v>REL PRT CNF DLV PRC GMPS MANC SETC</v>
      </c>
      <c r="F502" s="43" t="n">
        <f aca="false">IF(A502="","",IFERROR(DATEVALUE(INDEX('COOIS Raw'!$A:$GZ,ROW()-4,$F$4)),INDEX('COOIS Raw'!$A:$GZ,ROW()-4,$F$4)))</f>
        <v>46238</v>
      </c>
      <c r="G502" s="41" t="str">
        <f aca="false">IF(A502="","",IF(ISNA(MATCH(B502,'Kitting Plan'!$B$6:$B$19,0)),"Not in plan","Yes"))</f>
        <v>Yes</v>
      </c>
      <c r="H502" s="41" t="n">
        <f aca="false">IF(G502="Yes",INDEX('Kitting Plan'!$D$6:$D$19,MATCH(B502,'Kitting Plan'!$B$6:$B$19,0)),"")</f>
        <v>24</v>
      </c>
      <c r="I502" s="41" t="n">
        <f aca="false">IF(A502="","",IF(ISNUMBER(SEARCH("PRT",E502)),D502,0))</f>
        <v>1</v>
      </c>
      <c r="J502" s="41" t="n">
        <f aca="false">IF(A502="","",IF(ISNUMBER(SEARCH("GMPS",E502)),D502,0))</f>
        <v>1</v>
      </c>
      <c r="K502" s="41" t="n">
        <f aca="false">IF(A502="","",IF(ISNUMBER(SEARCH("DLV",E502)),D502,0))</f>
        <v>1</v>
      </c>
      <c r="L502" s="41" t="str">
        <f aca="false">IF(A502="","",IF(K502&gt;0,"Delivered",IF(ISNUMBER(SEARCH("CNF",E502)),"In production",IF(J502&gt;0,"Issued",IF(I502&gt;0,"Kitted","Released")))))</f>
        <v>Delivered</v>
      </c>
      <c r="M502" s="41" t="n">
        <f aca="false">IF(G502&lt;&gt;"Yes","",COUNTIFS($B$6:$B$1505,B502,$F$6:$F$1505,"&lt;"&amp;F502)+COUNTIFS($B$6:$B$1505,B502,$F$6:$F$1505,F502,$A$6:$A$1505,"&lt;="&amp;A502))</f>
        <v>85</v>
      </c>
      <c r="N502" s="41" t="n">
        <f aca="false">IF(M502="","",ROUNDUP(M502/H502,0))</f>
        <v>4</v>
      </c>
      <c r="O502" s="41" t="str">
        <f aca="false">IF(N502="","",IF(N502&lt;='Kitting Plan'!$C$3,"Rep "&amp;N502,"Surplus"))</f>
        <v>Rep 4</v>
      </c>
    </row>
    <row r="503" customFormat="false" ht="15" hidden="false" customHeight="false" outlineLevel="0" collapsed="false">
      <c r="A503" s="40" t="n">
        <f aca="false">IF(OR($A$4=0,INDEX('COOIS Raw'!$A:$GZ,ROW()-4,$A$4)=""),"",IFERROR(--INDEX('COOIS Raw'!$A:$GZ,ROW()-4,$A$4),INDEX('COOIS Raw'!$A:$GZ,ROW()-4,$A$4)))</f>
        <v>100872722</v>
      </c>
      <c r="B503" s="41" t="str">
        <f aca="false">IF(A503="","",TRIM(INDEX('COOIS Raw'!$A:$GZ,ROW()-4,$B$4)))</f>
        <v>92RRA00548AAA</v>
      </c>
      <c r="C503" s="42" t="str">
        <f aca="false">IF(OR(A503="",$C$4=0),"",INDEX('COOIS Raw'!$A:$GZ,ROW()-4,$C$4))</f>
        <v>R5B ERBIUM SPOOL ASSEMBLY - E2A</v>
      </c>
      <c r="D503" s="41" t="n">
        <f aca="false">IF(A503="","",IF($D$4=0,1,IFERROR(--INDEX('COOIS Raw'!$A:$GZ,ROW()-4,$D$4),1)))</f>
        <v>1</v>
      </c>
      <c r="E503" s="42" t="str">
        <f aca="false">IF(A503="","",INDEX('COOIS Raw'!$A:$GZ,ROW()-4,$E$4)&amp;"")</f>
        <v>REL PRT CNF DLV PRC GMPS MANC SETC</v>
      </c>
      <c r="F503" s="43" t="n">
        <f aca="false">IF(A503="","",IFERROR(DATEVALUE(INDEX('COOIS Raw'!$A:$GZ,ROW()-4,$F$4)),INDEX('COOIS Raw'!$A:$GZ,ROW()-4,$F$4)))</f>
        <v>46238</v>
      </c>
      <c r="G503" s="41" t="str">
        <f aca="false">IF(A503="","",IF(ISNA(MATCH(B503,'Kitting Plan'!$B$6:$B$19,0)),"Not in plan","Yes"))</f>
        <v>Yes</v>
      </c>
      <c r="H503" s="41" t="n">
        <f aca="false">IF(G503="Yes",INDEX('Kitting Plan'!$D$6:$D$19,MATCH(B503,'Kitting Plan'!$B$6:$B$19,0)),"")</f>
        <v>24</v>
      </c>
      <c r="I503" s="41" t="n">
        <f aca="false">IF(A503="","",IF(ISNUMBER(SEARCH("PRT",E503)),D503,0))</f>
        <v>1</v>
      </c>
      <c r="J503" s="41" t="n">
        <f aca="false">IF(A503="","",IF(ISNUMBER(SEARCH("GMPS",E503)),D503,0))</f>
        <v>1</v>
      </c>
      <c r="K503" s="41" t="n">
        <f aca="false">IF(A503="","",IF(ISNUMBER(SEARCH("DLV",E503)),D503,0))</f>
        <v>1</v>
      </c>
      <c r="L503" s="41" t="str">
        <f aca="false">IF(A503="","",IF(K503&gt;0,"Delivered",IF(ISNUMBER(SEARCH("CNF",E503)),"In production",IF(J503&gt;0,"Issued",IF(I503&gt;0,"Kitted","Released")))))</f>
        <v>Delivered</v>
      </c>
      <c r="M503" s="41" t="n">
        <f aca="false">IF(G503&lt;&gt;"Yes","",COUNTIFS($B$6:$B$1505,B503,$F$6:$F$1505,"&lt;"&amp;F503)+COUNTIFS($B$6:$B$1505,B503,$F$6:$F$1505,F503,$A$6:$A$1505,"&lt;="&amp;A503))</f>
        <v>86</v>
      </c>
      <c r="N503" s="41" t="n">
        <f aca="false">IF(M503="","",ROUNDUP(M503/H503,0))</f>
        <v>4</v>
      </c>
      <c r="O503" s="41" t="str">
        <f aca="false">IF(N503="","",IF(N503&lt;='Kitting Plan'!$C$3,"Rep "&amp;N503,"Surplus"))</f>
        <v>Rep 4</v>
      </c>
    </row>
    <row r="504" customFormat="false" ht="15" hidden="false" customHeight="false" outlineLevel="0" collapsed="false">
      <c r="A504" s="40" t="n">
        <f aca="false">IF(OR($A$4=0,INDEX('COOIS Raw'!$A:$GZ,ROW()-4,$A$4)=""),"",IFERROR(--INDEX('COOIS Raw'!$A:$GZ,ROW()-4,$A$4),INDEX('COOIS Raw'!$A:$GZ,ROW()-4,$A$4)))</f>
        <v>100872723</v>
      </c>
      <c r="B504" s="41" t="str">
        <f aca="false">IF(A504="","",TRIM(INDEX('COOIS Raw'!$A:$GZ,ROW()-4,$B$4)))</f>
        <v>92RRA00548AAA</v>
      </c>
      <c r="C504" s="42" t="str">
        <f aca="false">IF(OR(A504="",$C$4=0),"",INDEX('COOIS Raw'!$A:$GZ,ROW()-4,$C$4))</f>
        <v>R5B ERBIUM SPOOL ASSEMBLY - E2A</v>
      </c>
      <c r="D504" s="41" t="n">
        <f aca="false">IF(A504="","",IF($D$4=0,1,IFERROR(--INDEX('COOIS Raw'!$A:$GZ,ROW()-4,$D$4),1)))</f>
        <v>1</v>
      </c>
      <c r="E504" s="42" t="str">
        <f aca="false">IF(A504="","",INDEX('COOIS Raw'!$A:$GZ,ROW()-4,$E$4)&amp;"")</f>
        <v>REL PRT CNF DLV PRC GMPS MANC SETC</v>
      </c>
      <c r="F504" s="43" t="n">
        <f aca="false">IF(A504="","",IFERROR(DATEVALUE(INDEX('COOIS Raw'!$A:$GZ,ROW()-4,$F$4)),INDEX('COOIS Raw'!$A:$GZ,ROW()-4,$F$4)))</f>
        <v>46238</v>
      </c>
      <c r="G504" s="41" t="str">
        <f aca="false">IF(A504="","",IF(ISNA(MATCH(B504,'Kitting Plan'!$B$6:$B$19,0)),"Not in plan","Yes"))</f>
        <v>Yes</v>
      </c>
      <c r="H504" s="41" t="n">
        <f aca="false">IF(G504="Yes",INDEX('Kitting Plan'!$D$6:$D$19,MATCH(B504,'Kitting Plan'!$B$6:$B$19,0)),"")</f>
        <v>24</v>
      </c>
      <c r="I504" s="41" t="n">
        <f aca="false">IF(A504="","",IF(ISNUMBER(SEARCH("PRT",E504)),D504,0))</f>
        <v>1</v>
      </c>
      <c r="J504" s="41" t="n">
        <f aca="false">IF(A504="","",IF(ISNUMBER(SEARCH("GMPS",E504)),D504,0))</f>
        <v>1</v>
      </c>
      <c r="K504" s="41" t="n">
        <f aca="false">IF(A504="","",IF(ISNUMBER(SEARCH("DLV",E504)),D504,0))</f>
        <v>1</v>
      </c>
      <c r="L504" s="41" t="str">
        <f aca="false">IF(A504="","",IF(K504&gt;0,"Delivered",IF(ISNUMBER(SEARCH("CNF",E504)),"In production",IF(J504&gt;0,"Issued",IF(I504&gt;0,"Kitted","Released")))))</f>
        <v>Delivered</v>
      </c>
      <c r="M504" s="41" t="n">
        <f aca="false">IF(G504&lt;&gt;"Yes","",COUNTIFS($B$6:$B$1505,B504,$F$6:$F$1505,"&lt;"&amp;F504)+COUNTIFS($B$6:$B$1505,B504,$F$6:$F$1505,F504,$A$6:$A$1505,"&lt;="&amp;A504))</f>
        <v>87</v>
      </c>
      <c r="N504" s="41" t="n">
        <f aca="false">IF(M504="","",ROUNDUP(M504/H504,0))</f>
        <v>4</v>
      </c>
      <c r="O504" s="41" t="str">
        <f aca="false">IF(N504="","",IF(N504&lt;='Kitting Plan'!$C$3,"Rep "&amp;N504,"Surplus"))</f>
        <v>Rep 4</v>
      </c>
    </row>
    <row r="505" customFormat="false" ht="15" hidden="false" customHeight="false" outlineLevel="0" collapsed="false">
      <c r="A505" s="40" t="n">
        <f aca="false">IF(OR($A$4=0,INDEX('COOIS Raw'!$A:$GZ,ROW()-4,$A$4)=""),"",IFERROR(--INDEX('COOIS Raw'!$A:$GZ,ROW()-4,$A$4),INDEX('COOIS Raw'!$A:$GZ,ROW()-4,$A$4)))</f>
        <v>100872724</v>
      </c>
      <c r="B505" s="41" t="str">
        <f aca="false">IF(A505="","",TRIM(INDEX('COOIS Raw'!$A:$GZ,ROW()-4,$B$4)))</f>
        <v>92RRA00548AAA</v>
      </c>
      <c r="C505" s="42" t="str">
        <f aca="false">IF(OR(A505="",$C$4=0),"",INDEX('COOIS Raw'!$A:$GZ,ROW()-4,$C$4))</f>
        <v>R5B ERBIUM SPOOL ASSEMBLY - E2A</v>
      </c>
      <c r="D505" s="41" t="n">
        <f aca="false">IF(A505="","",IF($D$4=0,1,IFERROR(--INDEX('COOIS Raw'!$A:$GZ,ROW()-4,$D$4),1)))</f>
        <v>1</v>
      </c>
      <c r="E505" s="42" t="str">
        <f aca="false">IF(A505="","",INDEX('COOIS Raw'!$A:$GZ,ROW()-4,$E$4)&amp;"")</f>
        <v>REL PRT CNF DLV PRC GMPS MANC SETC</v>
      </c>
      <c r="F505" s="43" t="n">
        <f aca="false">IF(A505="","",IFERROR(DATEVALUE(INDEX('COOIS Raw'!$A:$GZ,ROW()-4,$F$4)),INDEX('COOIS Raw'!$A:$GZ,ROW()-4,$F$4)))</f>
        <v>46238</v>
      </c>
      <c r="G505" s="41" t="str">
        <f aca="false">IF(A505="","",IF(ISNA(MATCH(B505,'Kitting Plan'!$B$6:$B$19,0)),"Not in plan","Yes"))</f>
        <v>Yes</v>
      </c>
      <c r="H505" s="41" t="n">
        <f aca="false">IF(G505="Yes",INDEX('Kitting Plan'!$D$6:$D$19,MATCH(B505,'Kitting Plan'!$B$6:$B$19,0)),"")</f>
        <v>24</v>
      </c>
      <c r="I505" s="41" t="n">
        <f aca="false">IF(A505="","",IF(ISNUMBER(SEARCH("PRT",E505)),D505,0))</f>
        <v>1</v>
      </c>
      <c r="J505" s="41" t="n">
        <f aca="false">IF(A505="","",IF(ISNUMBER(SEARCH("GMPS",E505)),D505,0))</f>
        <v>1</v>
      </c>
      <c r="K505" s="41" t="n">
        <f aca="false">IF(A505="","",IF(ISNUMBER(SEARCH("DLV",E505)),D505,0))</f>
        <v>1</v>
      </c>
      <c r="L505" s="41" t="str">
        <f aca="false">IF(A505="","",IF(K505&gt;0,"Delivered",IF(ISNUMBER(SEARCH("CNF",E505)),"In production",IF(J505&gt;0,"Issued",IF(I505&gt;0,"Kitted","Released")))))</f>
        <v>Delivered</v>
      </c>
      <c r="M505" s="41" t="n">
        <f aca="false">IF(G505&lt;&gt;"Yes","",COUNTIFS($B$6:$B$1505,B505,$F$6:$F$1505,"&lt;"&amp;F505)+COUNTIFS($B$6:$B$1505,B505,$F$6:$F$1505,F505,$A$6:$A$1505,"&lt;="&amp;A505))</f>
        <v>88</v>
      </c>
      <c r="N505" s="41" t="n">
        <f aca="false">IF(M505="","",ROUNDUP(M505/H505,0))</f>
        <v>4</v>
      </c>
      <c r="O505" s="41" t="str">
        <f aca="false">IF(N505="","",IF(N505&lt;='Kitting Plan'!$C$3,"Rep "&amp;N505,"Surplus"))</f>
        <v>Rep 4</v>
      </c>
    </row>
    <row r="506" customFormat="false" ht="15" hidden="false" customHeight="false" outlineLevel="0" collapsed="false">
      <c r="A506" s="40" t="n">
        <f aca="false">IF(OR($A$4=0,INDEX('COOIS Raw'!$A:$GZ,ROW()-4,$A$4)=""),"",IFERROR(--INDEX('COOIS Raw'!$A:$GZ,ROW()-4,$A$4),INDEX('COOIS Raw'!$A:$GZ,ROW()-4,$A$4)))</f>
        <v>100872725</v>
      </c>
      <c r="B506" s="41" t="str">
        <f aca="false">IF(A506="","",TRIM(INDEX('COOIS Raw'!$A:$GZ,ROW()-4,$B$4)))</f>
        <v>92RRA00548AAA</v>
      </c>
      <c r="C506" s="42" t="str">
        <f aca="false">IF(OR(A506="",$C$4=0),"",INDEX('COOIS Raw'!$A:$GZ,ROW()-4,$C$4))</f>
        <v>R5B ERBIUM SPOOL ASSEMBLY - E2A</v>
      </c>
      <c r="D506" s="41" t="n">
        <f aca="false">IF(A506="","",IF($D$4=0,1,IFERROR(--INDEX('COOIS Raw'!$A:$GZ,ROW()-4,$D$4),1)))</f>
        <v>1</v>
      </c>
      <c r="E506" s="42" t="str">
        <f aca="false">IF(A506="","",INDEX('COOIS Raw'!$A:$GZ,ROW()-4,$E$4)&amp;"")</f>
        <v>REL PRT CNF DLV PRC GMPS MANC SETC</v>
      </c>
      <c r="F506" s="43" t="n">
        <f aca="false">IF(A506="","",IFERROR(DATEVALUE(INDEX('COOIS Raw'!$A:$GZ,ROW()-4,$F$4)),INDEX('COOIS Raw'!$A:$GZ,ROW()-4,$F$4)))</f>
        <v>46238</v>
      </c>
      <c r="G506" s="41" t="str">
        <f aca="false">IF(A506="","",IF(ISNA(MATCH(B506,'Kitting Plan'!$B$6:$B$19,0)),"Not in plan","Yes"))</f>
        <v>Yes</v>
      </c>
      <c r="H506" s="41" t="n">
        <f aca="false">IF(G506="Yes",INDEX('Kitting Plan'!$D$6:$D$19,MATCH(B506,'Kitting Plan'!$B$6:$B$19,0)),"")</f>
        <v>24</v>
      </c>
      <c r="I506" s="41" t="n">
        <f aca="false">IF(A506="","",IF(ISNUMBER(SEARCH("PRT",E506)),D506,0))</f>
        <v>1</v>
      </c>
      <c r="J506" s="41" t="n">
        <f aca="false">IF(A506="","",IF(ISNUMBER(SEARCH("GMPS",E506)),D506,0))</f>
        <v>1</v>
      </c>
      <c r="K506" s="41" t="n">
        <f aca="false">IF(A506="","",IF(ISNUMBER(SEARCH("DLV",E506)),D506,0))</f>
        <v>1</v>
      </c>
      <c r="L506" s="41" t="str">
        <f aca="false">IF(A506="","",IF(K506&gt;0,"Delivered",IF(ISNUMBER(SEARCH("CNF",E506)),"In production",IF(J506&gt;0,"Issued",IF(I506&gt;0,"Kitted","Released")))))</f>
        <v>Delivered</v>
      </c>
      <c r="M506" s="41" t="n">
        <f aca="false">IF(G506&lt;&gt;"Yes","",COUNTIFS($B$6:$B$1505,B506,$F$6:$F$1505,"&lt;"&amp;F506)+COUNTIFS($B$6:$B$1505,B506,$F$6:$F$1505,F506,$A$6:$A$1505,"&lt;="&amp;A506))</f>
        <v>89</v>
      </c>
      <c r="N506" s="41" t="n">
        <f aca="false">IF(M506="","",ROUNDUP(M506/H506,0))</f>
        <v>4</v>
      </c>
      <c r="O506" s="41" t="str">
        <f aca="false">IF(N506="","",IF(N506&lt;='Kitting Plan'!$C$3,"Rep "&amp;N506,"Surplus"))</f>
        <v>Rep 4</v>
      </c>
    </row>
    <row r="507" customFormat="false" ht="15" hidden="false" customHeight="false" outlineLevel="0" collapsed="false">
      <c r="A507" s="40" t="n">
        <f aca="false">IF(OR($A$4=0,INDEX('COOIS Raw'!$A:$GZ,ROW()-4,$A$4)=""),"",IFERROR(--INDEX('COOIS Raw'!$A:$GZ,ROW()-4,$A$4),INDEX('COOIS Raw'!$A:$GZ,ROW()-4,$A$4)))</f>
        <v>100872726</v>
      </c>
      <c r="B507" s="41" t="str">
        <f aca="false">IF(A507="","",TRIM(INDEX('COOIS Raw'!$A:$GZ,ROW()-4,$B$4)))</f>
        <v>92RRA00548AAA</v>
      </c>
      <c r="C507" s="42" t="str">
        <f aca="false">IF(OR(A507="",$C$4=0),"",INDEX('COOIS Raw'!$A:$GZ,ROW()-4,$C$4))</f>
        <v>R5B ERBIUM SPOOL ASSEMBLY - E2A</v>
      </c>
      <c r="D507" s="41" t="n">
        <f aca="false">IF(A507="","",IF($D$4=0,1,IFERROR(--INDEX('COOIS Raw'!$A:$GZ,ROW()-4,$D$4),1)))</f>
        <v>1</v>
      </c>
      <c r="E507" s="42" t="str">
        <f aca="false">IF(A507="","",INDEX('COOIS Raw'!$A:$GZ,ROW()-4,$E$4)&amp;"")</f>
        <v>REL PRT CNF DLV PRC GMPS MANC SETC</v>
      </c>
      <c r="F507" s="43" t="n">
        <f aca="false">IF(A507="","",IFERROR(DATEVALUE(INDEX('COOIS Raw'!$A:$GZ,ROW()-4,$F$4)),INDEX('COOIS Raw'!$A:$GZ,ROW()-4,$F$4)))</f>
        <v>46238</v>
      </c>
      <c r="G507" s="41" t="str">
        <f aca="false">IF(A507="","",IF(ISNA(MATCH(B507,'Kitting Plan'!$B$6:$B$19,0)),"Not in plan","Yes"))</f>
        <v>Yes</v>
      </c>
      <c r="H507" s="41" t="n">
        <f aca="false">IF(G507="Yes",INDEX('Kitting Plan'!$D$6:$D$19,MATCH(B507,'Kitting Plan'!$B$6:$B$19,0)),"")</f>
        <v>24</v>
      </c>
      <c r="I507" s="41" t="n">
        <f aca="false">IF(A507="","",IF(ISNUMBER(SEARCH("PRT",E507)),D507,0))</f>
        <v>1</v>
      </c>
      <c r="J507" s="41" t="n">
        <f aca="false">IF(A507="","",IF(ISNUMBER(SEARCH("GMPS",E507)),D507,0))</f>
        <v>1</v>
      </c>
      <c r="K507" s="41" t="n">
        <f aca="false">IF(A507="","",IF(ISNUMBER(SEARCH("DLV",E507)),D507,0))</f>
        <v>1</v>
      </c>
      <c r="L507" s="41" t="str">
        <f aca="false">IF(A507="","",IF(K507&gt;0,"Delivered",IF(ISNUMBER(SEARCH("CNF",E507)),"In production",IF(J507&gt;0,"Issued",IF(I507&gt;0,"Kitted","Released")))))</f>
        <v>Delivered</v>
      </c>
      <c r="M507" s="41" t="n">
        <f aca="false">IF(G507&lt;&gt;"Yes","",COUNTIFS($B$6:$B$1505,B507,$F$6:$F$1505,"&lt;"&amp;F507)+COUNTIFS($B$6:$B$1505,B507,$F$6:$F$1505,F507,$A$6:$A$1505,"&lt;="&amp;A507))</f>
        <v>90</v>
      </c>
      <c r="N507" s="41" t="n">
        <f aca="false">IF(M507="","",ROUNDUP(M507/H507,0))</f>
        <v>4</v>
      </c>
      <c r="O507" s="41" t="str">
        <f aca="false">IF(N507="","",IF(N507&lt;='Kitting Plan'!$C$3,"Rep "&amp;N507,"Surplus"))</f>
        <v>Rep 4</v>
      </c>
    </row>
    <row r="508" customFormat="false" ht="15" hidden="false" customHeight="false" outlineLevel="0" collapsed="false">
      <c r="A508" s="40" t="n">
        <f aca="false">IF(OR($A$4=0,INDEX('COOIS Raw'!$A:$GZ,ROW()-4,$A$4)=""),"",IFERROR(--INDEX('COOIS Raw'!$A:$GZ,ROW()-4,$A$4),INDEX('COOIS Raw'!$A:$GZ,ROW()-4,$A$4)))</f>
        <v>100872727</v>
      </c>
      <c r="B508" s="41" t="str">
        <f aca="false">IF(A508="","",TRIM(INDEX('COOIS Raw'!$A:$GZ,ROW()-4,$B$4)))</f>
        <v>92RRA00548AAA</v>
      </c>
      <c r="C508" s="42" t="str">
        <f aca="false">IF(OR(A508="",$C$4=0),"",INDEX('COOIS Raw'!$A:$GZ,ROW()-4,$C$4))</f>
        <v>R5B ERBIUM SPOOL ASSEMBLY - E2A</v>
      </c>
      <c r="D508" s="41" t="n">
        <f aca="false">IF(A508="","",IF($D$4=0,1,IFERROR(--INDEX('COOIS Raw'!$A:$GZ,ROW()-4,$D$4),1)))</f>
        <v>1</v>
      </c>
      <c r="E508" s="42" t="str">
        <f aca="false">IF(A508="","",INDEX('COOIS Raw'!$A:$GZ,ROW()-4,$E$4)&amp;"")</f>
        <v>REL PRT CNF DLV PRC GMPS MANC SETC</v>
      </c>
      <c r="F508" s="43" t="n">
        <f aca="false">IF(A508="","",IFERROR(DATEVALUE(INDEX('COOIS Raw'!$A:$GZ,ROW()-4,$F$4)),INDEX('COOIS Raw'!$A:$GZ,ROW()-4,$F$4)))</f>
        <v>46238</v>
      </c>
      <c r="G508" s="41" t="str">
        <f aca="false">IF(A508="","",IF(ISNA(MATCH(B508,'Kitting Plan'!$B$6:$B$19,0)),"Not in plan","Yes"))</f>
        <v>Yes</v>
      </c>
      <c r="H508" s="41" t="n">
        <f aca="false">IF(G508="Yes",INDEX('Kitting Plan'!$D$6:$D$19,MATCH(B508,'Kitting Plan'!$B$6:$B$19,0)),"")</f>
        <v>24</v>
      </c>
      <c r="I508" s="41" t="n">
        <f aca="false">IF(A508="","",IF(ISNUMBER(SEARCH("PRT",E508)),D508,0))</f>
        <v>1</v>
      </c>
      <c r="J508" s="41" t="n">
        <f aca="false">IF(A508="","",IF(ISNUMBER(SEARCH("GMPS",E508)),D508,0))</f>
        <v>1</v>
      </c>
      <c r="K508" s="41" t="n">
        <f aca="false">IF(A508="","",IF(ISNUMBER(SEARCH("DLV",E508)),D508,0))</f>
        <v>1</v>
      </c>
      <c r="L508" s="41" t="str">
        <f aca="false">IF(A508="","",IF(K508&gt;0,"Delivered",IF(ISNUMBER(SEARCH("CNF",E508)),"In production",IF(J508&gt;0,"Issued",IF(I508&gt;0,"Kitted","Released")))))</f>
        <v>Delivered</v>
      </c>
      <c r="M508" s="41" t="n">
        <f aca="false">IF(G508&lt;&gt;"Yes","",COUNTIFS($B$6:$B$1505,B508,$F$6:$F$1505,"&lt;"&amp;F508)+COUNTIFS($B$6:$B$1505,B508,$F$6:$F$1505,F508,$A$6:$A$1505,"&lt;="&amp;A508))</f>
        <v>91</v>
      </c>
      <c r="N508" s="41" t="n">
        <f aca="false">IF(M508="","",ROUNDUP(M508/H508,0))</f>
        <v>4</v>
      </c>
      <c r="O508" s="41" t="str">
        <f aca="false">IF(N508="","",IF(N508&lt;='Kitting Plan'!$C$3,"Rep "&amp;N508,"Surplus"))</f>
        <v>Rep 4</v>
      </c>
    </row>
    <row r="509" customFormat="false" ht="15" hidden="false" customHeight="false" outlineLevel="0" collapsed="false">
      <c r="A509" s="40" t="n">
        <f aca="false">IF(OR($A$4=0,INDEX('COOIS Raw'!$A:$GZ,ROW()-4,$A$4)=""),"",IFERROR(--INDEX('COOIS Raw'!$A:$GZ,ROW()-4,$A$4),INDEX('COOIS Raw'!$A:$GZ,ROW()-4,$A$4)))</f>
        <v>100872728</v>
      </c>
      <c r="B509" s="41" t="str">
        <f aca="false">IF(A509="","",TRIM(INDEX('COOIS Raw'!$A:$GZ,ROW()-4,$B$4)))</f>
        <v>92RRA00548AAA</v>
      </c>
      <c r="C509" s="42" t="str">
        <f aca="false">IF(OR(A509="",$C$4=0),"",INDEX('COOIS Raw'!$A:$GZ,ROW()-4,$C$4))</f>
        <v>R5B ERBIUM SPOOL ASSEMBLY - E2A</v>
      </c>
      <c r="D509" s="41" t="n">
        <f aca="false">IF(A509="","",IF($D$4=0,1,IFERROR(--INDEX('COOIS Raw'!$A:$GZ,ROW()-4,$D$4),1)))</f>
        <v>1</v>
      </c>
      <c r="E509" s="42" t="str">
        <f aca="false">IF(A509="","",INDEX('COOIS Raw'!$A:$GZ,ROW()-4,$E$4)&amp;"")</f>
        <v>REL PRT CNF DLV PRC GMPS MANC SETC</v>
      </c>
      <c r="F509" s="43" t="n">
        <f aca="false">IF(A509="","",IFERROR(DATEVALUE(INDEX('COOIS Raw'!$A:$GZ,ROW()-4,$F$4)),INDEX('COOIS Raw'!$A:$GZ,ROW()-4,$F$4)))</f>
        <v>46238</v>
      </c>
      <c r="G509" s="41" t="str">
        <f aca="false">IF(A509="","",IF(ISNA(MATCH(B509,'Kitting Plan'!$B$6:$B$19,0)),"Not in plan","Yes"))</f>
        <v>Yes</v>
      </c>
      <c r="H509" s="41" t="n">
        <f aca="false">IF(G509="Yes",INDEX('Kitting Plan'!$D$6:$D$19,MATCH(B509,'Kitting Plan'!$B$6:$B$19,0)),"")</f>
        <v>24</v>
      </c>
      <c r="I509" s="41" t="n">
        <f aca="false">IF(A509="","",IF(ISNUMBER(SEARCH("PRT",E509)),D509,0))</f>
        <v>1</v>
      </c>
      <c r="J509" s="41" t="n">
        <f aca="false">IF(A509="","",IF(ISNUMBER(SEARCH("GMPS",E509)),D509,0))</f>
        <v>1</v>
      </c>
      <c r="K509" s="41" t="n">
        <f aca="false">IF(A509="","",IF(ISNUMBER(SEARCH("DLV",E509)),D509,0))</f>
        <v>1</v>
      </c>
      <c r="L509" s="41" t="str">
        <f aca="false">IF(A509="","",IF(K509&gt;0,"Delivered",IF(ISNUMBER(SEARCH("CNF",E509)),"In production",IF(J509&gt;0,"Issued",IF(I509&gt;0,"Kitted","Released")))))</f>
        <v>Delivered</v>
      </c>
      <c r="M509" s="41" t="n">
        <f aca="false">IF(G509&lt;&gt;"Yes","",COUNTIFS($B$6:$B$1505,B509,$F$6:$F$1505,"&lt;"&amp;F509)+COUNTIFS($B$6:$B$1505,B509,$F$6:$F$1505,F509,$A$6:$A$1505,"&lt;="&amp;A509))</f>
        <v>92</v>
      </c>
      <c r="N509" s="41" t="n">
        <f aca="false">IF(M509="","",ROUNDUP(M509/H509,0))</f>
        <v>4</v>
      </c>
      <c r="O509" s="41" t="str">
        <f aca="false">IF(N509="","",IF(N509&lt;='Kitting Plan'!$C$3,"Rep "&amp;N509,"Surplus"))</f>
        <v>Rep 4</v>
      </c>
    </row>
    <row r="510" customFormat="false" ht="15" hidden="false" customHeight="false" outlineLevel="0" collapsed="false">
      <c r="A510" s="40" t="n">
        <f aca="false">IF(OR($A$4=0,INDEX('COOIS Raw'!$A:$GZ,ROW()-4,$A$4)=""),"",IFERROR(--INDEX('COOIS Raw'!$A:$GZ,ROW()-4,$A$4),INDEX('COOIS Raw'!$A:$GZ,ROW()-4,$A$4)))</f>
        <v>100872729</v>
      </c>
      <c r="B510" s="41" t="str">
        <f aca="false">IF(A510="","",TRIM(INDEX('COOIS Raw'!$A:$GZ,ROW()-4,$B$4)))</f>
        <v>92RRA00548AAA</v>
      </c>
      <c r="C510" s="42" t="str">
        <f aca="false">IF(OR(A510="",$C$4=0),"",INDEX('COOIS Raw'!$A:$GZ,ROW()-4,$C$4))</f>
        <v>R5B ERBIUM SPOOL ASSEMBLY - E2A</v>
      </c>
      <c r="D510" s="41" t="n">
        <f aca="false">IF(A510="","",IF($D$4=0,1,IFERROR(--INDEX('COOIS Raw'!$A:$GZ,ROW()-4,$D$4),1)))</f>
        <v>1</v>
      </c>
      <c r="E510" s="42" t="str">
        <f aca="false">IF(A510="","",INDEX('COOIS Raw'!$A:$GZ,ROW()-4,$E$4)&amp;"")</f>
        <v>REL PRT CNF DLV PRC GMPS MANC SETC</v>
      </c>
      <c r="F510" s="43" t="n">
        <f aca="false">IF(A510="","",IFERROR(DATEVALUE(INDEX('COOIS Raw'!$A:$GZ,ROW()-4,$F$4)),INDEX('COOIS Raw'!$A:$GZ,ROW()-4,$F$4)))</f>
        <v>46238</v>
      </c>
      <c r="G510" s="41" t="str">
        <f aca="false">IF(A510="","",IF(ISNA(MATCH(B510,'Kitting Plan'!$B$6:$B$19,0)),"Not in plan","Yes"))</f>
        <v>Yes</v>
      </c>
      <c r="H510" s="41" t="n">
        <f aca="false">IF(G510="Yes",INDEX('Kitting Plan'!$D$6:$D$19,MATCH(B510,'Kitting Plan'!$B$6:$B$19,0)),"")</f>
        <v>24</v>
      </c>
      <c r="I510" s="41" t="n">
        <f aca="false">IF(A510="","",IF(ISNUMBER(SEARCH("PRT",E510)),D510,0))</f>
        <v>1</v>
      </c>
      <c r="J510" s="41" t="n">
        <f aca="false">IF(A510="","",IF(ISNUMBER(SEARCH("GMPS",E510)),D510,0))</f>
        <v>1</v>
      </c>
      <c r="K510" s="41" t="n">
        <f aca="false">IF(A510="","",IF(ISNUMBER(SEARCH("DLV",E510)),D510,0))</f>
        <v>1</v>
      </c>
      <c r="L510" s="41" t="str">
        <f aca="false">IF(A510="","",IF(K510&gt;0,"Delivered",IF(ISNUMBER(SEARCH("CNF",E510)),"In production",IF(J510&gt;0,"Issued",IF(I510&gt;0,"Kitted","Released")))))</f>
        <v>Delivered</v>
      </c>
      <c r="M510" s="41" t="n">
        <f aca="false">IF(G510&lt;&gt;"Yes","",COUNTIFS($B$6:$B$1505,B510,$F$6:$F$1505,"&lt;"&amp;F510)+COUNTIFS($B$6:$B$1505,B510,$F$6:$F$1505,F510,$A$6:$A$1505,"&lt;="&amp;A510))</f>
        <v>93</v>
      </c>
      <c r="N510" s="41" t="n">
        <f aca="false">IF(M510="","",ROUNDUP(M510/H510,0))</f>
        <v>4</v>
      </c>
      <c r="O510" s="41" t="str">
        <f aca="false">IF(N510="","",IF(N510&lt;='Kitting Plan'!$C$3,"Rep "&amp;N510,"Surplus"))</f>
        <v>Rep 4</v>
      </c>
    </row>
    <row r="511" customFormat="false" ht="15" hidden="false" customHeight="false" outlineLevel="0" collapsed="false">
      <c r="A511" s="40" t="n">
        <f aca="false">IF(OR($A$4=0,INDEX('COOIS Raw'!$A:$GZ,ROW()-4,$A$4)=""),"",IFERROR(--INDEX('COOIS Raw'!$A:$GZ,ROW()-4,$A$4),INDEX('COOIS Raw'!$A:$GZ,ROW()-4,$A$4)))</f>
        <v>100872730</v>
      </c>
      <c r="B511" s="41" t="str">
        <f aca="false">IF(A511="","",TRIM(INDEX('COOIS Raw'!$A:$GZ,ROW()-4,$B$4)))</f>
        <v>92RRA00548AAA</v>
      </c>
      <c r="C511" s="42" t="str">
        <f aca="false">IF(OR(A511="",$C$4=0),"",INDEX('COOIS Raw'!$A:$GZ,ROW()-4,$C$4))</f>
        <v>R5B ERBIUM SPOOL ASSEMBLY - E2A</v>
      </c>
      <c r="D511" s="41" t="n">
        <f aca="false">IF(A511="","",IF($D$4=0,1,IFERROR(--INDEX('COOIS Raw'!$A:$GZ,ROW()-4,$D$4),1)))</f>
        <v>1</v>
      </c>
      <c r="E511" s="42" t="str">
        <f aca="false">IF(A511="","",INDEX('COOIS Raw'!$A:$GZ,ROW()-4,$E$4)&amp;"")</f>
        <v>REL PRT CNF DLV PRC GMPS MANC SETC</v>
      </c>
      <c r="F511" s="43" t="n">
        <f aca="false">IF(A511="","",IFERROR(DATEVALUE(INDEX('COOIS Raw'!$A:$GZ,ROW()-4,$F$4)),INDEX('COOIS Raw'!$A:$GZ,ROW()-4,$F$4)))</f>
        <v>46238</v>
      </c>
      <c r="G511" s="41" t="str">
        <f aca="false">IF(A511="","",IF(ISNA(MATCH(B511,'Kitting Plan'!$B$6:$B$19,0)),"Not in plan","Yes"))</f>
        <v>Yes</v>
      </c>
      <c r="H511" s="41" t="n">
        <f aca="false">IF(G511="Yes",INDEX('Kitting Plan'!$D$6:$D$19,MATCH(B511,'Kitting Plan'!$B$6:$B$19,0)),"")</f>
        <v>24</v>
      </c>
      <c r="I511" s="41" t="n">
        <f aca="false">IF(A511="","",IF(ISNUMBER(SEARCH("PRT",E511)),D511,0))</f>
        <v>1</v>
      </c>
      <c r="J511" s="41" t="n">
        <f aca="false">IF(A511="","",IF(ISNUMBER(SEARCH("GMPS",E511)),D511,0))</f>
        <v>1</v>
      </c>
      <c r="K511" s="41" t="n">
        <f aca="false">IF(A511="","",IF(ISNUMBER(SEARCH("DLV",E511)),D511,0))</f>
        <v>1</v>
      </c>
      <c r="L511" s="41" t="str">
        <f aca="false">IF(A511="","",IF(K511&gt;0,"Delivered",IF(ISNUMBER(SEARCH("CNF",E511)),"In production",IF(J511&gt;0,"Issued",IF(I511&gt;0,"Kitted","Released")))))</f>
        <v>Delivered</v>
      </c>
      <c r="M511" s="41" t="n">
        <f aca="false">IF(G511&lt;&gt;"Yes","",COUNTIFS($B$6:$B$1505,B511,$F$6:$F$1505,"&lt;"&amp;F511)+COUNTIFS($B$6:$B$1505,B511,$F$6:$F$1505,F511,$A$6:$A$1505,"&lt;="&amp;A511))</f>
        <v>94</v>
      </c>
      <c r="N511" s="41" t="n">
        <f aca="false">IF(M511="","",ROUNDUP(M511/H511,0))</f>
        <v>4</v>
      </c>
      <c r="O511" s="41" t="str">
        <f aca="false">IF(N511="","",IF(N511&lt;='Kitting Plan'!$C$3,"Rep "&amp;N511,"Surplus"))</f>
        <v>Rep 4</v>
      </c>
    </row>
    <row r="512" customFormat="false" ht="15" hidden="false" customHeight="false" outlineLevel="0" collapsed="false">
      <c r="A512" s="40" t="n">
        <f aca="false">IF(OR($A$4=0,INDEX('COOIS Raw'!$A:$GZ,ROW()-4,$A$4)=""),"",IFERROR(--INDEX('COOIS Raw'!$A:$GZ,ROW()-4,$A$4),INDEX('COOIS Raw'!$A:$GZ,ROW()-4,$A$4)))</f>
        <v>100872731</v>
      </c>
      <c r="B512" s="41" t="str">
        <f aca="false">IF(A512="","",TRIM(INDEX('COOIS Raw'!$A:$GZ,ROW()-4,$B$4)))</f>
        <v>92RRA00548AAA</v>
      </c>
      <c r="C512" s="42" t="str">
        <f aca="false">IF(OR(A512="",$C$4=0),"",INDEX('COOIS Raw'!$A:$GZ,ROW()-4,$C$4))</f>
        <v>R5B ERBIUM SPOOL ASSEMBLY - E2A</v>
      </c>
      <c r="D512" s="41" t="n">
        <f aca="false">IF(A512="","",IF($D$4=0,1,IFERROR(--INDEX('COOIS Raw'!$A:$GZ,ROW()-4,$D$4),1)))</f>
        <v>1</v>
      </c>
      <c r="E512" s="42" t="str">
        <f aca="false">IF(A512="","",INDEX('COOIS Raw'!$A:$GZ,ROW()-4,$E$4)&amp;"")</f>
        <v>REL PRT CNF DLV PRC GMPS MANC SETC</v>
      </c>
      <c r="F512" s="43" t="n">
        <f aca="false">IF(A512="","",IFERROR(DATEVALUE(INDEX('COOIS Raw'!$A:$GZ,ROW()-4,$F$4)),INDEX('COOIS Raw'!$A:$GZ,ROW()-4,$F$4)))</f>
        <v>46238</v>
      </c>
      <c r="G512" s="41" t="str">
        <f aca="false">IF(A512="","",IF(ISNA(MATCH(B512,'Kitting Plan'!$B$6:$B$19,0)),"Not in plan","Yes"))</f>
        <v>Yes</v>
      </c>
      <c r="H512" s="41" t="n">
        <f aca="false">IF(G512="Yes",INDEX('Kitting Plan'!$D$6:$D$19,MATCH(B512,'Kitting Plan'!$B$6:$B$19,0)),"")</f>
        <v>24</v>
      </c>
      <c r="I512" s="41" t="n">
        <f aca="false">IF(A512="","",IF(ISNUMBER(SEARCH("PRT",E512)),D512,0))</f>
        <v>1</v>
      </c>
      <c r="J512" s="41" t="n">
        <f aca="false">IF(A512="","",IF(ISNUMBER(SEARCH("GMPS",E512)),D512,0))</f>
        <v>1</v>
      </c>
      <c r="K512" s="41" t="n">
        <f aca="false">IF(A512="","",IF(ISNUMBER(SEARCH("DLV",E512)),D512,0))</f>
        <v>1</v>
      </c>
      <c r="L512" s="41" t="str">
        <f aca="false">IF(A512="","",IF(K512&gt;0,"Delivered",IF(ISNUMBER(SEARCH("CNF",E512)),"In production",IF(J512&gt;0,"Issued",IF(I512&gt;0,"Kitted","Released")))))</f>
        <v>Delivered</v>
      </c>
      <c r="M512" s="41" t="n">
        <f aca="false">IF(G512&lt;&gt;"Yes","",COUNTIFS($B$6:$B$1505,B512,$F$6:$F$1505,"&lt;"&amp;F512)+COUNTIFS($B$6:$B$1505,B512,$F$6:$F$1505,F512,$A$6:$A$1505,"&lt;="&amp;A512))</f>
        <v>95</v>
      </c>
      <c r="N512" s="41" t="n">
        <f aca="false">IF(M512="","",ROUNDUP(M512/H512,0))</f>
        <v>4</v>
      </c>
      <c r="O512" s="41" t="str">
        <f aca="false">IF(N512="","",IF(N512&lt;='Kitting Plan'!$C$3,"Rep "&amp;N512,"Surplus"))</f>
        <v>Rep 4</v>
      </c>
    </row>
    <row r="513" customFormat="false" ht="15" hidden="false" customHeight="false" outlineLevel="0" collapsed="false">
      <c r="A513" s="40" t="n">
        <f aca="false">IF(OR($A$4=0,INDEX('COOIS Raw'!$A:$GZ,ROW()-4,$A$4)=""),"",IFERROR(--INDEX('COOIS Raw'!$A:$GZ,ROW()-4,$A$4),INDEX('COOIS Raw'!$A:$GZ,ROW()-4,$A$4)))</f>
        <v>100872732</v>
      </c>
      <c r="B513" s="41" t="str">
        <f aca="false">IF(A513="","",TRIM(INDEX('COOIS Raw'!$A:$GZ,ROW()-4,$B$4)))</f>
        <v>92RRA00548AAA</v>
      </c>
      <c r="C513" s="42" t="str">
        <f aca="false">IF(OR(A513="",$C$4=0),"",INDEX('COOIS Raw'!$A:$GZ,ROW()-4,$C$4))</f>
        <v>R5B ERBIUM SPOOL ASSEMBLY - E2A</v>
      </c>
      <c r="D513" s="41" t="n">
        <f aca="false">IF(A513="","",IF($D$4=0,1,IFERROR(--INDEX('COOIS Raw'!$A:$GZ,ROW()-4,$D$4),1)))</f>
        <v>1</v>
      </c>
      <c r="E513" s="42" t="str">
        <f aca="false">IF(A513="","",INDEX('COOIS Raw'!$A:$GZ,ROW()-4,$E$4)&amp;"")</f>
        <v>REL PRT CNF DLV PRC GMPS MANC SETC</v>
      </c>
      <c r="F513" s="43" t="n">
        <f aca="false">IF(A513="","",IFERROR(DATEVALUE(INDEX('COOIS Raw'!$A:$GZ,ROW()-4,$F$4)),INDEX('COOIS Raw'!$A:$GZ,ROW()-4,$F$4)))</f>
        <v>46238</v>
      </c>
      <c r="G513" s="41" t="str">
        <f aca="false">IF(A513="","",IF(ISNA(MATCH(B513,'Kitting Plan'!$B$6:$B$19,0)),"Not in plan","Yes"))</f>
        <v>Yes</v>
      </c>
      <c r="H513" s="41" t="n">
        <f aca="false">IF(G513="Yes",INDEX('Kitting Plan'!$D$6:$D$19,MATCH(B513,'Kitting Plan'!$B$6:$B$19,0)),"")</f>
        <v>24</v>
      </c>
      <c r="I513" s="41" t="n">
        <f aca="false">IF(A513="","",IF(ISNUMBER(SEARCH("PRT",E513)),D513,0))</f>
        <v>1</v>
      </c>
      <c r="J513" s="41" t="n">
        <f aca="false">IF(A513="","",IF(ISNUMBER(SEARCH("GMPS",E513)),D513,0))</f>
        <v>1</v>
      </c>
      <c r="K513" s="41" t="n">
        <f aca="false">IF(A513="","",IF(ISNUMBER(SEARCH("DLV",E513)),D513,0))</f>
        <v>1</v>
      </c>
      <c r="L513" s="41" t="str">
        <f aca="false">IF(A513="","",IF(K513&gt;0,"Delivered",IF(ISNUMBER(SEARCH("CNF",E513)),"In production",IF(J513&gt;0,"Issued",IF(I513&gt;0,"Kitted","Released")))))</f>
        <v>Delivered</v>
      </c>
      <c r="M513" s="41" t="n">
        <f aca="false">IF(G513&lt;&gt;"Yes","",COUNTIFS($B$6:$B$1505,B513,$F$6:$F$1505,"&lt;"&amp;F513)+COUNTIFS($B$6:$B$1505,B513,$F$6:$F$1505,F513,$A$6:$A$1505,"&lt;="&amp;A513))</f>
        <v>96</v>
      </c>
      <c r="N513" s="41" t="n">
        <f aca="false">IF(M513="","",ROUNDUP(M513/H513,0))</f>
        <v>4</v>
      </c>
      <c r="O513" s="41" t="str">
        <f aca="false">IF(N513="","",IF(N513&lt;='Kitting Plan'!$C$3,"Rep "&amp;N513,"Surplus"))</f>
        <v>Rep 4</v>
      </c>
    </row>
    <row r="514" customFormat="false" ht="15" hidden="false" customHeight="false" outlineLevel="0" collapsed="false">
      <c r="A514" s="40" t="n">
        <f aca="false">IF(OR($A$4=0,INDEX('COOIS Raw'!$A:$GZ,ROW()-4,$A$4)=""),"",IFERROR(--INDEX('COOIS Raw'!$A:$GZ,ROW()-4,$A$4),INDEX('COOIS Raw'!$A:$GZ,ROW()-4,$A$4)))</f>
        <v>100872733</v>
      </c>
      <c r="B514" s="41" t="str">
        <f aca="false">IF(A514="","",TRIM(INDEX('COOIS Raw'!$A:$GZ,ROW()-4,$B$4)))</f>
        <v>92RRA00548AAA</v>
      </c>
      <c r="C514" s="42" t="str">
        <f aca="false">IF(OR(A514="",$C$4=0),"",INDEX('COOIS Raw'!$A:$GZ,ROW()-4,$C$4))</f>
        <v>R5B ERBIUM SPOOL ASSEMBLY - E2A</v>
      </c>
      <c r="D514" s="41" t="n">
        <f aca="false">IF(A514="","",IF($D$4=0,1,IFERROR(--INDEX('COOIS Raw'!$A:$GZ,ROW()-4,$D$4),1)))</f>
        <v>1</v>
      </c>
      <c r="E514" s="42" t="str">
        <f aca="false">IF(A514="","",INDEX('COOIS Raw'!$A:$GZ,ROW()-4,$E$4)&amp;"")</f>
        <v>REL PRT CNF DLV PRC GMPS MANC SETC</v>
      </c>
      <c r="F514" s="43" t="n">
        <f aca="false">IF(A514="","",IFERROR(DATEVALUE(INDEX('COOIS Raw'!$A:$GZ,ROW()-4,$F$4)),INDEX('COOIS Raw'!$A:$GZ,ROW()-4,$F$4)))</f>
        <v>46238</v>
      </c>
      <c r="G514" s="41" t="str">
        <f aca="false">IF(A514="","",IF(ISNA(MATCH(B514,'Kitting Plan'!$B$6:$B$19,0)),"Not in plan","Yes"))</f>
        <v>Yes</v>
      </c>
      <c r="H514" s="41" t="n">
        <f aca="false">IF(G514="Yes",INDEX('Kitting Plan'!$D$6:$D$19,MATCH(B514,'Kitting Plan'!$B$6:$B$19,0)),"")</f>
        <v>24</v>
      </c>
      <c r="I514" s="41" t="n">
        <f aca="false">IF(A514="","",IF(ISNUMBER(SEARCH("PRT",E514)),D514,0))</f>
        <v>1</v>
      </c>
      <c r="J514" s="41" t="n">
        <f aca="false">IF(A514="","",IF(ISNUMBER(SEARCH("GMPS",E514)),D514,0))</f>
        <v>1</v>
      </c>
      <c r="K514" s="41" t="n">
        <f aca="false">IF(A514="","",IF(ISNUMBER(SEARCH("DLV",E514)),D514,0))</f>
        <v>1</v>
      </c>
      <c r="L514" s="41" t="str">
        <f aca="false">IF(A514="","",IF(K514&gt;0,"Delivered",IF(ISNUMBER(SEARCH("CNF",E514)),"In production",IF(J514&gt;0,"Issued",IF(I514&gt;0,"Kitted","Released")))))</f>
        <v>Delivered</v>
      </c>
      <c r="M514" s="41" t="n">
        <f aca="false">IF(G514&lt;&gt;"Yes","",COUNTIFS($B$6:$B$1505,B514,$F$6:$F$1505,"&lt;"&amp;F514)+COUNTIFS($B$6:$B$1505,B514,$F$6:$F$1505,F514,$A$6:$A$1505,"&lt;="&amp;A514))</f>
        <v>97</v>
      </c>
      <c r="N514" s="41" t="n">
        <f aca="false">IF(M514="","",ROUNDUP(M514/H514,0))</f>
        <v>5</v>
      </c>
      <c r="O514" s="41" t="str">
        <f aca="false">IF(N514="","",IF(N514&lt;='Kitting Plan'!$C$3,"Rep "&amp;N514,"Surplus"))</f>
        <v>Rep 5</v>
      </c>
    </row>
    <row r="515" customFormat="false" ht="15" hidden="false" customHeight="false" outlineLevel="0" collapsed="false">
      <c r="A515" s="40" t="n">
        <f aca="false">IF(OR($A$4=0,INDEX('COOIS Raw'!$A:$GZ,ROW()-4,$A$4)=""),"",IFERROR(--INDEX('COOIS Raw'!$A:$GZ,ROW()-4,$A$4),INDEX('COOIS Raw'!$A:$GZ,ROW()-4,$A$4)))</f>
        <v>100872734</v>
      </c>
      <c r="B515" s="41" t="str">
        <f aca="false">IF(A515="","",TRIM(INDEX('COOIS Raw'!$A:$GZ,ROW()-4,$B$4)))</f>
        <v>92RRA00548AAA</v>
      </c>
      <c r="C515" s="42" t="str">
        <f aca="false">IF(OR(A515="",$C$4=0),"",INDEX('COOIS Raw'!$A:$GZ,ROW()-4,$C$4))</f>
        <v>R5B ERBIUM SPOOL ASSEMBLY - E2A</v>
      </c>
      <c r="D515" s="41" t="n">
        <f aca="false">IF(A515="","",IF($D$4=0,1,IFERROR(--INDEX('COOIS Raw'!$A:$GZ,ROW()-4,$D$4),1)))</f>
        <v>1</v>
      </c>
      <c r="E515" s="42" t="str">
        <f aca="false">IF(A515="","",INDEX('COOIS Raw'!$A:$GZ,ROW()-4,$E$4)&amp;"")</f>
        <v>REL PRT CNF DLV PRC GMPS MANC SETC</v>
      </c>
      <c r="F515" s="43" t="n">
        <f aca="false">IF(A515="","",IFERROR(DATEVALUE(INDEX('COOIS Raw'!$A:$GZ,ROW()-4,$F$4)),INDEX('COOIS Raw'!$A:$GZ,ROW()-4,$F$4)))</f>
        <v>46238</v>
      </c>
      <c r="G515" s="41" t="str">
        <f aca="false">IF(A515="","",IF(ISNA(MATCH(B515,'Kitting Plan'!$B$6:$B$19,0)),"Not in plan","Yes"))</f>
        <v>Yes</v>
      </c>
      <c r="H515" s="41" t="n">
        <f aca="false">IF(G515="Yes",INDEX('Kitting Plan'!$D$6:$D$19,MATCH(B515,'Kitting Plan'!$B$6:$B$19,0)),"")</f>
        <v>24</v>
      </c>
      <c r="I515" s="41" t="n">
        <f aca="false">IF(A515="","",IF(ISNUMBER(SEARCH("PRT",E515)),D515,0))</f>
        <v>1</v>
      </c>
      <c r="J515" s="41" t="n">
        <f aca="false">IF(A515="","",IF(ISNUMBER(SEARCH("GMPS",E515)),D515,0))</f>
        <v>1</v>
      </c>
      <c r="K515" s="41" t="n">
        <f aca="false">IF(A515="","",IF(ISNUMBER(SEARCH("DLV",E515)),D515,0))</f>
        <v>1</v>
      </c>
      <c r="L515" s="41" t="str">
        <f aca="false">IF(A515="","",IF(K515&gt;0,"Delivered",IF(ISNUMBER(SEARCH("CNF",E515)),"In production",IF(J515&gt;0,"Issued",IF(I515&gt;0,"Kitted","Released")))))</f>
        <v>Delivered</v>
      </c>
      <c r="M515" s="41" t="n">
        <f aca="false">IF(G515&lt;&gt;"Yes","",COUNTIFS($B$6:$B$1505,B515,$F$6:$F$1505,"&lt;"&amp;F515)+COUNTIFS($B$6:$B$1505,B515,$F$6:$F$1505,F515,$A$6:$A$1505,"&lt;="&amp;A515))</f>
        <v>98</v>
      </c>
      <c r="N515" s="41" t="n">
        <f aca="false">IF(M515="","",ROUNDUP(M515/H515,0))</f>
        <v>5</v>
      </c>
      <c r="O515" s="41" t="str">
        <f aca="false">IF(N515="","",IF(N515&lt;='Kitting Plan'!$C$3,"Rep "&amp;N515,"Surplus"))</f>
        <v>Rep 5</v>
      </c>
    </row>
    <row r="516" customFormat="false" ht="15" hidden="false" customHeight="false" outlineLevel="0" collapsed="false">
      <c r="A516" s="40" t="n">
        <f aca="false">IF(OR($A$4=0,INDEX('COOIS Raw'!$A:$GZ,ROW()-4,$A$4)=""),"",IFERROR(--INDEX('COOIS Raw'!$A:$GZ,ROW()-4,$A$4),INDEX('COOIS Raw'!$A:$GZ,ROW()-4,$A$4)))</f>
        <v>100872735</v>
      </c>
      <c r="B516" s="41" t="str">
        <f aca="false">IF(A516="","",TRIM(INDEX('COOIS Raw'!$A:$GZ,ROW()-4,$B$4)))</f>
        <v>92RRA00548AAA</v>
      </c>
      <c r="C516" s="42" t="str">
        <f aca="false">IF(OR(A516="",$C$4=0),"",INDEX('COOIS Raw'!$A:$GZ,ROW()-4,$C$4))</f>
        <v>R5B ERBIUM SPOOL ASSEMBLY - E2A</v>
      </c>
      <c r="D516" s="41" t="n">
        <f aca="false">IF(A516="","",IF($D$4=0,1,IFERROR(--INDEX('COOIS Raw'!$A:$GZ,ROW()-4,$D$4),1)))</f>
        <v>1</v>
      </c>
      <c r="E516" s="42" t="str">
        <f aca="false">IF(A516="","",INDEX('COOIS Raw'!$A:$GZ,ROW()-4,$E$4)&amp;"")</f>
        <v>REL PRT CNF DLV PRC GMPS MANC SETC</v>
      </c>
      <c r="F516" s="43" t="n">
        <f aca="false">IF(A516="","",IFERROR(DATEVALUE(INDEX('COOIS Raw'!$A:$GZ,ROW()-4,$F$4)),INDEX('COOIS Raw'!$A:$GZ,ROW()-4,$F$4)))</f>
        <v>46238</v>
      </c>
      <c r="G516" s="41" t="str">
        <f aca="false">IF(A516="","",IF(ISNA(MATCH(B516,'Kitting Plan'!$B$6:$B$19,0)),"Not in plan","Yes"))</f>
        <v>Yes</v>
      </c>
      <c r="H516" s="41" t="n">
        <f aca="false">IF(G516="Yes",INDEX('Kitting Plan'!$D$6:$D$19,MATCH(B516,'Kitting Plan'!$B$6:$B$19,0)),"")</f>
        <v>24</v>
      </c>
      <c r="I516" s="41" t="n">
        <f aca="false">IF(A516="","",IF(ISNUMBER(SEARCH("PRT",E516)),D516,0))</f>
        <v>1</v>
      </c>
      <c r="J516" s="41" t="n">
        <f aca="false">IF(A516="","",IF(ISNUMBER(SEARCH("GMPS",E516)),D516,0))</f>
        <v>1</v>
      </c>
      <c r="K516" s="41" t="n">
        <f aca="false">IF(A516="","",IF(ISNUMBER(SEARCH("DLV",E516)),D516,0))</f>
        <v>1</v>
      </c>
      <c r="L516" s="41" t="str">
        <f aca="false">IF(A516="","",IF(K516&gt;0,"Delivered",IF(ISNUMBER(SEARCH("CNF",E516)),"In production",IF(J516&gt;0,"Issued",IF(I516&gt;0,"Kitted","Released")))))</f>
        <v>Delivered</v>
      </c>
      <c r="M516" s="41" t="n">
        <f aca="false">IF(G516&lt;&gt;"Yes","",COUNTIFS($B$6:$B$1505,B516,$F$6:$F$1505,"&lt;"&amp;F516)+COUNTIFS($B$6:$B$1505,B516,$F$6:$F$1505,F516,$A$6:$A$1505,"&lt;="&amp;A516))</f>
        <v>99</v>
      </c>
      <c r="N516" s="41" t="n">
        <f aca="false">IF(M516="","",ROUNDUP(M516/H516,0))</f>
        <v>5</v>
      </c>
      <c r="O516" s="41" t="str">
        <f aca="false">IF(N516="","",IF(N516&lt;='Kitting Plan'!$C$3,"Rep "&amp;N516,"Surplus"))</f>
        <v>Rep 5</v>
      </c>
    </row>
    <row r="517" customFormat="false" ht="15" hidden="false" customHeight="false" outlineLevel="0" collapsed="false">
      <c r="A517" s="40" t="n">
        <f aca="false">IF(OR($A$4=0,INDEX('COOIS Raw'!$A:$GZ,ROW()-4,$A$4)=""),"",IFERROR(--INDEX('COOIS Raw'!$A:$GZ,ROW()-4,$A$4),INDEX('COOIS Raw'!$A:$GZ,ROW()-4,$A$4)))</f>
        <v>100872736</v>
      </c>
      <c r="B517" s="41" t="str">
        <f aca="false">IF(A517="","",TRIM(INDEX('COOIS Raw'!$A:$GZ,ROW()-4,$B$4)))</f>
        <v>92RRA00548AAA</v>
      </c>
      <c r="C517" s="42" t="str">
        <f aca="false">IF(OR(A517="",$C$4=0),"",INDEX('COOIS Raw'!$A:$GZ,ROW()-4,$C$4))</f>
        <v>R5B ERBIUM SPOOL ASSEMBLY - E2A</v>
      </c>
      <c r="D517" s="41" t="n">
        <f aca="false">IF(A517="","",IF($D$4=0,1,IFERROR(--INDEX('COOIS Raw'!$A:$GZ,ROW()-4,$D$4),1)))</f>
        <v>1</v>
      </c>
      <c r="E517" s="42" t="str">
        <f aca="false">IF(A517="","",INDEX('COOIS Raw'!$A:$GZ,ROW()-4,$E$4)&amp;"")</f>
        <v>REL PRT CNF DLV PRC GMPS MANC SETC</v>
      </c>
      <c r="F517" s="43" t="n">
        <f aca="false">IF(A517="","",IFERROR(DATEVALUE(INDEX('COOIS Raw'!$A:$GZ,ROW()-4,$F$4)),INDEX('COOIS Raw'!$A:$GZ,ROW()-4,$F$4)))</f>
        <v>46238</v>
      </c>
      <c r="G517" s="41" t="str">
        <f aca="false">IF(A517="","",IF(ISNA(MATCH(B517,'Kitting Plan'!$B$6:$B$19,0)),"Not in plan","Yes"))</f>
        <v>Yes</v>
      </c>
      <c r="H517" s="41" t="n">
        <f aca="false">IF(G517="Yes",INDEX('Kitting Plan'!$D$6:$D$19,MATCH(B517,'Kitting Plan'!$B$6:$B$19,0)),"")</f>
        <v>24</v>
      </c>
      <c r="I517" s="41" t="n">
        <f aca="false">IF(A517="","",IF(ISNUMBER(SEARCH("PRT",E517)),D517,0))</f>
        <v>1</v>
      </c>
      <c r="J517" s="41" t="n">
        <f aca="false">IF(A517="","",IF(ISNUMBER(SEARCH("GMPS",E517)),D517,0))</f>
        <v>1</v>
      </c>
      <c r="K517" s="41" t="n">
        <f aca="false">IF(A517="","",IF(ISNUMBER(SEARCH("DLV",E517)),D517,0))</f>
        <v>1</v>
      </c>
      <c r="L517" s="41" t="str">
        <f aca="false">IF(A517="","",IF(K517&gt;0,"Delivered",IF(ISNUMBER(SEARCH("CNF",E517)),"In production",IF(J517&gt;0,"Issued",IF(I517&gt;0,"Kitted","Released")))))</f>
        <v>Delivered</v>
      </c>
      <c r="M517" s="41" t="n">
        <f aca="false">IF(G517&lt;&gt;"Yes","",COUNTIFS($B$6:$B$1505,B517,$F$6:$F$1505,"&lt;"&amp;F517)+COUNTIFS($B$6:$B$1505,B517,$F$6:$F$1505,F517,$A$6:$A$1505,"&lt;="&amp;A517))</f>
        <v>100</v>
      </c>
      <c r="N517" s="41" t="n">
        <f aca="false">IF(M517="","",ROUNDUP(M517/H517,0))</f>
        <v>5</v>
      </c>
      <c r="O517" s="41" t="str">
        <f aca="false">IF(N517="","",IF(N517&lt;='Kitting Plan'!$C$3,"Rep "&amp;N517,"Surplus"))</f>
        <v>Rep 5</v>
      </c>
    </row>
    <row r="518" customFormat="false" ht="15" hidden="false" customHeight="false" outlineLevel="0" collapsed="false">
      <c r="A518" s="40" t="n">
        <f aca="false">IF(OR($A$4=0,INDEX('COOIS Raw'!$A:$GZ,ROW()-4,$A$4)=""),"",IFERROR(--INDEX('COOIS Raw'!$A:$GZ,ROW()-4,$A$4),INDEX('COOIS Raw'!$A:$GZ,ROW()-4,$A$4)))</f>
        <v>100872737</v>
      </c>
      <c r="B518" s="41" t="str">
        <f aca="false">IF(A518="","",TRIM(INDEX('COOIS Raw'!$A:$GZ,ROW()-4,$B$4)))</f>
        <v>92RRA00548AAA</v>
      </c>
      <c r="C518" s="42" t="str">
        <f aca="false">IF(OR(A518="",$C$4=0),"",INDEX('COOIS Raw'!$A:$GZ,ROW()-4,$C$4))</f>
        <v>R5B ERBIUM SPOOL ASSEMBLY - E2A</v>
      </c>
      <c r="D518" s="41" t="n">
        <f aca="false">IF(A518="","",IF($D$4=0,1,IFERROR(--INDEX('COOIS Raw'!$A:$GZ,ROW()-4,$D$4),1)))</f>
        <v>1</v>
      </c>
      <c r="E518" s="42" t="str">
        <f aca="false">IF(A518="","",INDEX('COOIS Raw'!$A:$GZ,ROW()-4,$E$4)&amp;"")</f>
        <v>REL PRT CNF DLV PRC GMPS MANC SETC</v>
      </c>
      <c r="F518" s="43" t="n">
        <f aca="false">IF(A518="","",IFERROR(DATEVALUE(INDEX('COOIS Raw'!$A:$GZ,ROW()-4,$F$4)),INDEX('COOIS Raw'!$A:$GZ,ROW()-4,$F$4)))</f>
        <v>46238</v>
      </c>
      <c r="G518" s="41" t="str">
        <f aca="false">IF(A518="","",IF(ISNA(MATCH(B518,'Kitting Plan'!$B$6:$B$19,0)),"Not in plan","Yes"))</f>
        <v>Yes</v>
      </c>
      <c r="H518" s="41" t="n">
        <f aca="false">IF(G518="Yes",INDEX('Kitting Plan'!$D$6:$D$19,MATCH(B518,'Kitting Plan'!$B$6:$B$19,0)),"")</f>
        <v>24</v>
      </c>
      <c r="I518" s="41" t="n">
        <f aca="false">IF(A518="","",IF(ISNUMBER(SEARCH("PRT",E518)),D518,0))</f>
        <v>1</v>
      </c>
      <c r="J518" s="41" t="n">
        <f aca="false">IF(A518="","",IF(ISNUMBER(SEARCH("GMPS",E518)),D518,0))</f>
        <v>1</v>
      </c>
      <c r="K518" s="41" t="n">
        <f aca="false">IF(A518="","",IF(ISNUMBER(SEARCH("DLV",E518)),D518,0))</f>
        <v>1</v>
      </c>
      <c r="L518" s="41" t="str">
        <f aca="false">IF(A518="","",IF(K518&gt;0,"Delivered",IF(ISNUMBER(SEARCH("CNF",E518)),"In production",IF(J518&gt;0,"Issued",IF(I518&gt;0,"Kitted","Released")))))</f>
        <v>Delivered</v>
      </c>
      <c r="M518" s="41" t="n">
        <f aca="false">IF(G518&lt;&gt;"Yes","",COUNTIFS($B$6:$B$1505,B518,$F$6:$F$1505,"&lt;"&amp;F518)+COUNTIFS($B$6:$B$1505,B518,$F$6:$F$1505,F518,$A$6:$A$1505,"&lt;="&amp;A518))</f>
        <v>101</v>
      </c>
      <c r="N518" s="41" t="n">
        <f aca="false">IF(M518="","",ROUNDUP(M518/H518,0))</f>
        <v>5</v>
      </c>
      <c r="O518" s="41" t="str">
        <f aca="false">IF(N518="","",IF(N518&lt;='Kitting Plan'!$C$3,"Rep "&amp;N518,"Surplus"))</f>
        <v>Rep 5</v>
      </c>
    </row>
    <row r="519" customFormat="false" ht="15" hidden="false" customHeight="false" outlineLevel="0" collapsed="false">
      <c r="A519" s="40" t="n">
        <f aca="false">IF(OR($A$4=0,INDEX('COOIS Raw'!$A:$GZ,ROW()-4,$A$4)=""),"",IFERROR(--INDEX('COOIS Raw'!$A:$GZ,ROW()-4,$A$4),INDEX('COOIS Raw'!$A:$GZ,ROW()-4,$A$4)))</f>
        <v>100872738</v>
      </c>
      <c r="B519" s="41" t="str">
        <f aca="false">IF(A519="","",TRIM(INDEX('COOIS Raw'!$A:$GZ,ROW()-4,$B$4)))</f>
        <v>92RRA00548AAA</v>
      </c>
      <c r="C519" s="42" t="str">
        <f aca="false">IF(OR(A519="",$C$4=0),"",INDEX('COOIS Raw'!$A:$GZ,ROW()-4,$C$4))</f>
        <v>R5B ERBIUM SPOOL ASSEMBLY - E2A</v>
      </c>
      <c r="D519" s="41" t="n">
        <f aca="false">IF(A519="","",IF($D$4=0,1,IFERROR(--INDEX('COOIS Raw'!$A:$GZ,ROW()-4,$D$4),1)))</f>
        <v>1</v>
      </c>
      <c r="E519" s="42" t="str">
        <f aca="false">IF(A519="","",INDEX('COOIS Raw'!$A:$GZ,ROW()-4,$E$4)&amp;"")</f>
        <v>REL PRT CNF DLV PRC GMPS MANC SETC</v>
      </c>
      <c r="F519" s="43" t="n">
        <f aca="false">IF(A519="","",IFERROR(DATEVALUE(INDEX('COOIS Raw'!$A:$GZ,ROW()-4,$F$4)),INDEX('COOIS Raw'!$A:$GZ,ROW()-4,$F$4)))</f>
        <v>46238</v>
      </c>
      <c r="G519" s="41" t="str">
        <f aca="false">IF(A519="","",IF(ISNA(MATCH(B519,'Kitting Plan'!$B$6:$B$19,0)),"Not in plan","Yes"))</f>
        <v>Yes</v>
      </c>
      <c r="H519" s="41" t="n">
        <f aca="false">IF(G519="Yes",INDEX('Kitting Plan'!$D$6:$D$19,MATCH(B519,'Kitting Plan'!$B$6:$B$19,0)),"")</f>
        <v>24</v>
      </c>
      <c r="I519" s="41" t="n">
        <f aca="false">IF(A519="","",IF(ISNUMBER(SEARCH("PRT",E519)),D519,0))</f>
        <v>1</v>
      </c>
      <c r="J519" s="41" t="n">
        <f aca="false">IF(A519="","",IF(ISNUMBER(SEARCH("GMPS",E519)),D519,0))</f>
        <v>1</v>
      </c>
      <c r="K519" s="41" t="n">
        <f aca="false">IF(A519="","",IF(ISNUMBER(SEARCH("DLV",E519)),D519,0))</f>
        <v>1</v>
      </c>
      <c r="L519" s="41" t="str">
        <f aca="false">IF(A519="","",IF(K519&gt;0,"Delivered",IF(ISNUMBER(SEARCH("CNF",E519)),"In production",IF(J519&gt;0,"Issued",IF(I519&gt;0,"Kitted","Released")))))</f>
        <v>Delivered</v>
      </c>
      <c r="M519" s="41" t="n">
        <f aca="false">IF(G519&lt;&gt;"Yes","",COUNTIFS($B$6:$B$1505,B519,$F$6:$F$1505,"&lt;"&amp;F519)+COUNTIFS($B$6:$B$1505,B519,$F$6:$F$1505,F519,$A$6:$A$1505,"&lt;="&amp;A519))</f>
        <v>102</v>
      </c>
      <c r="N519" s="41" t="n">
        <f aca="false">IF(M519="","",ROUNDUP(M519/H519,0))</f>
        <v>5</v>
      </c>
      <c r="O519" s="41" t="str">
        <f aca="false">IF(N519="","",IF(N519&lt;='Kitting Plan'!$C$3,"Rep "&amp;N519,"Surplus"))</f>
        <v>Rep 5</v>
      </c>
    </row>
    <row r="520" customFormat="false" ht="15" hidden="false" customHeight="false" outlineLevel="0" collapsed="false">
      <c r="A520" s="40" t="n">
        <f aca="false">IF(OR($A$4=0,INDEX('COOIS Raw'!$A:$GZ,ROW()-4,$A$4)=""),"",IFERROR(--INDEX('COOIS Raw'!$A:$GZ,ROW()-4,$A$4),INDEX('COOIS Raw'!$A:$GZ,ROW()-4,$A$4)))</f>
        <v>100872517</v>
      </c>
      <c r="B520" s="41" t="str">
        <f aca="false">IF(A520="","",TRIM(INDEX('COOIS Raw'!$A:$GZ,ROW()-4,$B$4)))</f>
        <v>92YFD04548BAA</v>
      </c>
      <c r="C520" s="42" t="str">
        <f aca="false">IF(OR(A520="",$C$4=0),"",INDEX('COOIS Raw'!$A:$GZ,ROW()-4,$C$4))</f>
        <v>R5B OPF ASSEMBLY (4P-4FP) BOAT 1 - E2A</v>
      </c>
      <c r="D520" s="41" t="n">
        <f aca="false">IF(A520="","",IF($D$4=0,1,IFERROR(--INDEX('COOIS Raw'!$A:$GZ,ROW()-4,$D$4),1)))</f>
        <v>1</v>
      </c>
      <c r="E520" s="42" t="str">
        <f aca="false">IF(A520="","",INDEX('COOIS Raw'!$A:$GZ,ROW()-4,$E$4)&amp;"")</f>
        <v>REL PRT CNF DLV PRC GMPS MANC SETC</v>
      </c>
      <c r="F520" s="43" t="n">
        <f aca="false">IF(A520="","",IFERROR(DATEVALUE(INDEX('COOIS Raw'!$A:$GZ,ROW()-4,$F$4)),INDEX('COOIS Raw'!$A:$GZ,ROW()-4,$F$4)))</f>
        <v>46234</v>
      </c>
      <c r="G520" s="41" t="str">
        <f aca="false">IF(A520="","",IF(ISNA(MATCH(B520,'Kitting Plan'!$B$6:$B$19,0)),"Not in plan","Yes"))</f>
        <v>Yes</v>
      </c>
      <c r="H520" s="41" t="n">
        <f aca="false">IF(G520="Yes",INDEX('Kitting Plan'!$D$6:$D$19,MATCH(B520,'Kitting Plan'!$B$6:$B$19,0)),"")</f>
        <v>1</v>
      </c>
      <c r="I520" s="41" t="n">
        <f aca="false">IF(A520="","",IF(ISNUMBER(SEARCH("PRT",E520)),D520,0))</f>
        <v>1</v>
      </c>
      <c r="J520" s="41" t="n">
        <f aca="false">IF(A520="","",IF(ISNUMBER(SEARCH("GMPS",E520)),D520,0))</f>
        <v>1</v>
      </c>
      <c r="K520" s="41" t="n">
        <f aca="false">IF(A520="","",IF(ISNUMBER(SEARCH("DLV",E520)),D520,0))</f>
        <v>1</v>
      </c>
      <c r="L520" s="41" t="str">
        <f aca="false">IF(A520="","",IF(K520&gt;0,"Delivered",IF(ISNUMBER(SEARCH("CNF",E520)),"In production",IF(J520&gt;0,"Issued",IF(I520&gt;0,"Kitted","Released")))))</f>
        <v>Delivered</v>
      </c>
      <c r="M520" s="41" t="n">
        <f aca="false">IF(G520&lt;&gt;"Yes","",COUNTIFS($B$6:$B$1505,B520,$F$6:$F$1505,"&lt;"&amp;F520)+COUNTIFS($B$6:$B$1505,B520,$F$6:$F$1505,F520,$A$6:$A$1505,"&lt;="&amp;A520))</f>
        <v>4</v>
      </c>
      <c r="N520" s="41" t="n">
        <f aca="false">IF(M520="","",ROUNDUP(M520/H520,0))</f>
        <v>4</v>
      </c>
      <c r="O520" s="41" t="str">
        <f aca="false">IF(N520="","",IF(N520&lt;='Kitting Plan'!$C$3,"Rep "&amp;N520,"Surplus"))</f>
        <v>Rep 4</v>
      </c>
    </row>
    <row r="521" customFormat="false" ht="15" hidden="false" customHeight="false" outlineLevel="0" collapsed="false">
      <c r="A521" s="40" t="n">
        <f aca="false">IF(OR($A$4=0,INDEX('COOIS Raw'!$A:$GZ,ROW()-4,$A$4)=""),"",IFERROR(--INDEX('COOIS Raw'!$A:$GZ,ROW()-4,$A$4),INDEX('COOIS Raw'!$A:$GZ,ROW()-4,$A$4)))</f>
        <v>100872518</v>
      </c>
      <c r="B521" s="41" t="str">
        <f aca="false">IF(A521="","",TRIM(INDEX('COOIS Raw'!$A:$GZ,ROW()-4,$B$4)))</f>
        <v>92YFD04548BBA</v>
      </c>
      <c r="C521" s="42" t="str">
        <f aca="false">IF(OR(A521="",$C$4=0),"",INDEX('COOIS Raw'!$A:$GZ,ROW()-4,$C$4))</f>
        <v>R5B OPF ASSEMBLY (4P-4FP) BOAT 2/3 - E2A</v>
      </c>
      <c r="D521" s="41" t="n">
        <f aca="false">IF(A521="","",IF($D$4=0,1,IFERROR(--INDEX('COOIS Raw'!$A:$GZ,ROW()-4,$D$4),1)))</f>
        <v>1</v>
      </c>
      <c r="E521" s="42" t="str">
        <f aca="false">IF(A521="","",INDEX('COOIS Raw'!$A:$GZ,ROW()-4,$E$4)&amp;"")</f>
        <v>REL PRT CNF DLV PRC GMPS MANC SETC</v>
      </c>
      <c r="F521" s="43" t="n">
        <f aca="false">IF(A521="","",IFERROR(DATEVALUE(INDEX('COOIS Raw'!$A:$GZ,ROW()-4,$F$4)),INDEX('COOIS Raw'!$A:$GZ,ROW()-4,$F$4)))</f>
        <v>46234</v>
      </c>
      <c r="G521" s="41" t="str">
        <f aca="false">IF(A521="","",IF(ISNA(MATCH(B521,'Kitting Plan'!$B$6:$B$19,0)),"Not in plan","Yes"))</f>
        <v>Yes</v>
      </c>
      <c r="H521" s="41" t="n">
        <f aca="false">IF(G521="Yes",INDEX('Kitting Plan'!$D$6:$D$19,MATCH(B521,'Kitting Plan'!$B$6:$B$19,0)),"")</f>
        <v>2</v>
      </c>
      <c r="I521" s="41" t="n">
        <f aca="false">IF(A521="","",IF(ISNUMBER(SEARCH("PRT",E521)),D521,0))</f>
        <v>1</v>
      </c>
      <c r="J521" s="41" t="n">
        <f aca="false">IF(A521="","",IF(ISNUMBER(SEARCH("GMPS",E521)),D521,0))</f>
        <v>1</v>
      </c>
      <c r="K521" s="41" t="n">
        <f aca="false">IF(A521="","",IF(ISNUMBER(SEARCH("DLV",E521)),D521,0))</f>
        <v>1</v>
      </c>
      <c r="L521" s="41" t="str">
        <f aca="false">IF(A521="","",IF(K521&gt;0,"Delivered",IF(ISNUMBER(SEARCH("CNF",E521)),"In production",IF(J521&gt;0,"Issued",IF(I521&gt;0,"Kitted","Released")))))</f>
        <v>Delivered</v>
      </c>
      <c r="M521" s="41" t="n">
        <f aca="false">IF(G521&lt;&gt;"Yes","",COUNTIFS($B$6:$B$1505,B521,$F$6:$F$1505,"&lt;"&amp;F521)+COUNTIFS($B$6:$B$1505,B521,$F$6:$F$1505,F521,$A$6:$A$1505,"&lt;="&amp;A521))</f>
        <v>7</v>
      </c>
      <c r="N521" s="41" t="n">
        <f aca="false">IF(M521="","",ROUNDUP(M521/H521,0))</f>
        <v>4</v>
      </c>
      <c r="O521" s="41" t="str">
        <f aca="false">IF(N521="","",IF(N521&lt;='Kitting Plan'!$C$3,"Rep "&amp;N521,"Surplus"))</f>
        <v>Rep 4</v>
      </c>
    </row>
    <row r="522" customFormat="false" ht="15" hidden="false" customHeight="false" outlineLevel="0" collapsed="false">
      <c r="A522" s="40" t="n">
        <f aca="false">IF(OR($A$4=0,INDEX('COOIS Raw'!$A:$GZ,ROW()-4,$A$4)=""),"",IFERROR(--INDEX('COOIS Raw'!$A:$GZ,ROW()-4,$A$4),INDEX('COOIS Raw'!$A:$GZ,ROW()-4,$A$4)))</f>
        <v>100872519</v>
      </c>
      <c r="B522" s="41" t="str">
        <f aca="false">IF(A522="","",TRIM(INDEX('COOIS Raw'!$A:$GZ,ROW()-4,$B$4)))</f>
        <v>92YFD04548BBA</v>
      </c>
      <c r="C522" s="42" t="str">
        <f aca="false">IF(OR(A522="",$C$4=0),"",INDEX('COOIS Raw'!$A:$GZ,ROW()-4,$C$4))</f>
        <v>R5B OPF ASSEMBLY (4P-4FP) BOAT 2/3 - E2A</v>
      </c>
      <c r="D522" s="41" t="n">
        <f aca="false">IF(A522="","",IF($D$4=0,1,IFERROR(--INDEX('COOIS Raw'!$A:$GZ,ROW()-4,$D$4),1)))</f>
        <v>1</v>
      </c>
      <c r="E522" s="42" t="str">
        <f aca="false">IF(A522="","",INDEX('COOIS Raw'!$A:$GZ,ROW()-4,$E$4)&amp;"")</f>
        <v>REL PRT CNF DLV PRC GMPS MANC SETC</v>
      </c>
      <c r="F522" s="43" t="n">
        <f aca="false">IF(A522="","",IFERROR(DATEVALUE(INDEX('COOIS Raw'!$A:$GZ,ROW()-4,$F$4)),INDEX('COOIS Raw'!$A:$GZ,ROW()-4,$F$4)))</f>
        <v>46234</v>
      </c>
      <c r="G522" s="41" t="str">
        <f aca="false">IF(A522="","",IF(ISNA(MATCH(B522,'Kitting Plan'!$B$6:$B$19,0)),"Not in plan","Yes"))</f>
        <v>Yes</v>
      </c>
      <c r="H522" s="41" t="n">
        <f aca="false">IF(G522="Yes",INDEX('Kitting Plan'!$D$6:$D$19,MATCH(B522,'Kitting Plan'!$B$6:$B$19,0)),"")</f>
        <v>2</v>
      </c>
      <c r="I522" s="41" t="n">
        <f aca="false">IF(A522="","",IF(ISNUMBER(SEARCH("PRT",E522)),D522,0))</f>
        <v>1</v>
      </c>
      <c r="J522" s="41" t="n">
        <f aca="false">IF(A522="","",IF(ISNUMBER(SEARCH("GMPS",E522)),D522,0))</f>
        <v>1</v>
      </c>
      <c r="K522" s="41" t="n">
        <f aca="false">IF(A522="","",IF(ISNUMBER(SEARCH("DLV",E522)),D522,0))</f>
        <v>1</v>
      </c>
      <c r="L522" s="41" t="str">
        <f aca="false">IF(A522="","",IF(K522&gt;0,"Delivered",IF(ISNUMBER(SEARCH("CNF",E522)),"In production",IF(J522&gt;0,"Issued",IF(I522&gt;0,"Kitted","Released")))))</f>
        <v>Delivered</v>
      </c>
      <c r="M522" s="41" t="n">
        <f aca="false">IF(G522&lt;&gt;"Yes","",COUNTIFS($B$6:$B$1505,B522,$F$6:$F$1505,"&lt;"&amp;F522)+COUNTIFS($B$6:$B$1505,B522,$F$6:$F$1505,F522,$A$6:$A$1505,"&lt;="&amp;A522))</f>
        <v>8</v>
      </c>
      <c r="N522" s="41" t="n">
        <f aca="false">IF(M522="","",ROUNDUP(M522/H522,0))</f>
        <v>4</v>
      </c>
      <c r="O522" s="41" t="str">
        <f aca="false">IF(N522="","",IF(N522&lt;='Kitting Plan'!$C$3,"Rep "&amp;N522,"Surplus"))</f>
        <v>Rep 4</v>
      </c>
    </row>
    <row r="523" customFormat="false" ht="15" hidden="false" customHeight="false" outlineLevel="0" collapsed="false">
      <c r="A523" s="40" t="n">
        <f aca="false">IF(OR($A$4=0,INDEX('COOIS Raw'!$A:$GZ,ROW()-4,$A$4)=""),"",IFERROR(--INDEX('COOIS Raw'!$A:$GZ,ROW()-4,$A$4),INDEX('COOIS Raw'!$A:$GZ,ROW()-4,$A$4)))</f>
        <v>100871605</v>
      </c>
      <c r="B523" s="41" t="str">
        <f aca="false">IF(A523="","",TRIM(INDEX('COOIS Raw'!$A:$GZ,ROW()-4,$B$4)))</f>
        <v>92YRA03548AAA</v>
      </c>
      <c r="C523" s="42" t="str">
        <f aca="false">IF(OR(A523="",$C$4=0),"",INDEX('COOIS Raw'!$A:$GZ,ROW()-4,$C$4))</f>
        <v>R5B ERBIUM ASSEMBLY 3</v>
      </c>
      <c r="D523" s="41" t="n">
        <f aca="false">IF(A523="","",IF($D$4=0,1,IFERROR(--INDEX('COOIS Raw'!$A:$GZ,ROW()-4,$D$4),1)))</f>
        <v>1</v>
      </c>
      <c r="E523" s="42" t="str">
        <f aca="false">IF(A523="","",INDEX('COOIS Raw'!$A:$GZ,ROW()-4,$E$4)&amp;"")</f>
        <v>REL PRT CNF DLV PRC GMPS MANC RESA*</v>
      </c>
      <c r="F523" s="43" t="n">
        <f aca="false">IF(A523="","",IFERROR(DATEVALUE(INDEX('COOIS Raw'!$A:$GZ,ROW()-4,$F$4)),INDEX('COOIS Raw'!$A:$GZ,ROW()-4,$F$4)))</f>
        <v>46232</v>
      </c>
      <c r="G523" s="41" t="str">
        <f aca="false">IF(A523="","",IF(ISNA(MATCH(B523,'Kitting Plan'!$B$6:$B$19,0)),"Not in plan","Yes"))</f>
        <v>Yes</v>
      </c>
      <c r="H523" s="41" t="n">
        <f aca="false">IF(G523="Yes",INDEX('Kitting Plan'!$D$6:$D$19,MATCH(B523,'Kitting Plan'!$B$6:$B$19,0)),"")</f>
        <v>3</v>
      </c>
      <c r="I523" s="41" t="n">
        <f aca="false">IF(A523="","",IF(ISNUMBER(SEARCH("PRT",E523)),D523,0))</f>
        <v>1</v>
      </c>
      <c r="J523" s="41" t="n">
        <f aca="false">IF(A523="","",IF(ISNUMBER(SEARCH("GMPS",E523)),D523,0))</f>
        <v>1</v>
      </c>
      <c r="K523" s="41" t="n">
        <f aca="false">IF(A523="","",IF(ISNUMBER(SEARCH("DLV",E523)),D523,0))</f>
        <v>1</v>
      </c>
      <c r="L523" s="41" t="str">
        <f aca="false">IF(A523="","",IF(K523&gt;0,"Delivered",IF(ISNUMBER(SEARCH("CNF",E523)),"In production",IF(J523&gt;0,"Issued",IF(I523&gt;0,"Kitted","Released")))))</f>
        <v>Delivered</v>
      </c>
      <c r="M523" s="41" t="n">
        <f aca="false">IF(G523&lt;&gt;"Yes","",COUNTIFS($B$6:$B$1505,B523,$F$6:$F$1505,"&lt;"&amp;F523)+COUNTIFS($B$6:$B$1505,B523,$F$6:$F$1505,F523,$A$6:$A$1505,"&lt;="&amp;A523))</f>
        <v>10</v>
      </c>
      <c r="N523" s="41" t="n">
        <f aca="false">IF(M523="","",ROUNDUP(M523/H523,0))</f>
        <v>4</v>
      </c>
      <c r="O523" s="41" t="str">
        <f aca="false">IF(N523="","",IF(N523&lt;='Kitting Plan'!$C$3,"Rep "&amp;N523,"Surplus"))</f>
        <v>Rep 4</v>
      </c>
    </row>
    <row r="524" customFormat="false" ht="15" hidden="false" customHeight="false" outlineLevel="0" collapsed="false">
      <c r="A524" s="40" t="n">
        <f aca="false">IF(OR($A$4=0,INDEX('COOIS Raw'!$A:$GZ,ROW()-4,$A$4)=""),"",IFERROR(--INDEX('COOIS Raw'!$A:$GZ,ROW()-4,$A$4),INDEX('COOIS Raw'!$A:$GZ,ROW()-4,$A$4)))</f>
        <v>100871606</v>
      </c>
      <c r="B524" s="41" t="str">
        <f aca="false">IF(A524="","",TRIM(INDEX('COOIS Raw'!$A:$GZ,ROW()-4,$B$4)))</f>
        <v>92YRA03548AAA</v>
      </c>
      <c r="C524" s="42" t="str">
        <f aca="false">IF(OR(A524="",$C$4=0),"",INDEX('COOIS Raw'!$A:$GZ,ROW()-4,$C$4))</f>
        <v>R5B ERBIUM ASSEMBLY 3</v>
      </c>
      <c r="D524" s="41" t="n">
        <f aca="false">IF(A524="","",IF($D$4=0,1,IFERROR(--INDEX('COOIS Raw'!$A:$GZ,ROW()-4,$D$4),1)))</f>
        <v>1</v>
      </c>
      <c r="E524" s="42" t="str">
        <f aca="false">IF(A524="","",INDEX('COOIS Raw'!$A:$GZ,ROW()-4,$E$4)&amp;"")</f>
        <v>REL PRT CNF DLV PRC GMPS MANC RESA*</v>
      </c>
      <c r="F524" s="43" t="n">
        <f aca="false">IF(A524="","",IFERROR(DATEVALUE(INDEX('COOIS Raw'!$A:$GZ,ROW()-4,$F$4)),INDEX('COOIS Raw'!$A:$GZ,ROW()-4,$F$4)))</f>
        <v>46232</v>
      </c>
      <c r="G524" s="41" t="str">
        <f aca="false">IF(A524="","",IF(ISNA(MATCH(B524,'Kitting Plan'!$B$6:$B$19,0)),"Not in plan","Yes"))</f>
        <v>Yes</v>
      </c>
      <c r="H524" s="41" t="n">
        <f aca="false">IF(G524="Yes",INDEX('Kitting Plan'!$D$6:$D$19,MATCH(B524,'Kitting Plan'!$B$6:$B$19,0)),"")</f>
        <v>3</v>
      </c>
      <c r="I524" s="41" t="n">
        <f aca="false">IF(A524="","",IF(ISNUMBER(SEARCH("PRT",E524)),D524,0))</f>
        <v>1</v>
      </c>
      <c r="J524" s="41" t="n">
        <f aca="false">IF(A524="","",IF(ISNUMBER(SEARCH("GMPS",E524)),D524,0))</f>
        <v>1</v>
      </c>
      <c r="K524" s="41" t="n">
        <f aca="false">IF(A524="","",IF(ISNUMBER(SEARCH("DLV",E524)),D524,0))</f>
        <v>1</v>
      </c>
      <c r="L524" s="41" t="str">
        <f aca="false">IF(A524="","",IF(K524&gt;0,"Delivered",IF(ISNUMBER(SEARCH("CNF",E524)),"In production",IF(J524&gt;0,"Issued",IF(I524&gt;0,"Kitted","Released")))))</f>
        <v>Delivered</v>
      </c>
      <c r="M524" s="41" t="n">
        <f aca="false">IF(G524&lt;&gt;"Yes","",COUNTIFS($B$6:$B$1505,B524,$F$6:$F$1505,"&lt;"&amp;F524)+COUNTIFS($B$6:$B$1505,B524,$F$6:$F$1505,F524,$A$6:$A$1505,"&lt;="&amp;A524))</f>
        <v>11</v>
      </c>
      <c r="N524" s="41" t="n">
        <f aca="false">IF(M524="","",ROUNDUP(M524/H524,0))</f>
        <v>4</v>
      </c>
      <c r="O524" s="41" t="str">
        <f aca="false">IF(N524="","",IF(N524&lt;='Kitting Plan'!$C$3,"Rep "&amp;N524,"Surplus"))</f>
        <v>Rep 4</v>
      </c>
    </row>
    <row r="525" customFormat="false" ht="15" hidden="false" customHeight="false" outlineLevel="0" collapsed="false">
      <c r="A525" s="40" t="n">
        <f aca="false">IF(OR($A$4=0,INDEX('COOIS Raw'!$A:$GZ,ROW()-4,$A$4)=""),"",IFERROR(--INDEX('COOIS Raw'!$A:$GZ,ROW()-4,$A$4),INDEX('COOIS Raw'!$A:$GZ,ROW()-4,$A$4)))</f>
        <v>100871607</v>
      </c>
      <c r="B525" s="41" t="str">
        <f aca="false">IF(A525="","",TRIM(INDEX('COOIS Raw'!$A:$GZ,ROW()-4,$B$4)))</f>
        <v>92YRA03548AAA</v>
      </c>
      <c r="C525" s="42" t="str">
        <f aca="false">IF(OR(A525="",$C$4=0),"",INDEX('COOIS Raw'!$A:$GZ,ROW()-4,$C$4))</f>
        <v>R5B ERBIUM ASSEMBLY 3</v>
      </c>
      <c r="D525" s="41" t="n">
        <f aca="false">IF(A525="","",IF($D$4=0,1,IFERROR(--INDEX('COOIS Raw'!$A:$GZ,ROW()-4,$D$4),1)))</f>
        <v>1</v>
      </c>
      <c r="E525" s="42" t="str">
        <f aca="false">IF(A525="","",INDEX('COOIS Raw'!$A:$GZ,ROW()-4,$E$4)&amp;"")</f>
        <v>REL PRT CNF DLV PRC GMPS MANC RESA*</v>
      </c>
      <c r="F525" s="43" t="n">
        <f aca="false">IF(A525="","",IFERROR(DATEVALUE(INDEX('COOIS Raw'!$A:$GZ,ROW()-4,$F$4)),INDEX('COOIS Raw'!$A:$GZ,ROW()-4,$F$4)))</f>
        <v>46232</v>
      </c>
      <c r="G525" s="41" t="str">
        <f aca="false">IF(A525="","",IF(ISNA(MATCH(B525,'Kitting Plan'!$B$6:$B$19,0)),"Not in plan","Yes"))</f>
        <v>Yes</v>
      </c>
      <c r="H525" s="41" t="n">
        <f aca="false">IF(G525="Yes",INDEX('Kitting Plan'!$D$6:$D$19,MATCH(B525,'Kitting Plan'!$B$6:$B$19,0)),"")</f>
        <v>3</v>
      </c>
      <c r="I525" s="41" t="n">
        <f aca="false">IF(A525="","",IF(ISNUMBER(SEARCH("PRT",E525)),D525,0))</f>
        <v>1</v>
      </c>
      <c r="J525" s="41" t="n">
        <f aca="false">IF(A525="","",IF(ISNUMBER(SEARCH("GMPS",E525)),D525,0))</f>
        <v>1</v>
      </c>
      <c r="K525" s="41" t="n">
        <f aca="false">IF(A525="","",IF(ISNUMBER(SEARCH("DLV",E525)),D525,0))</f>
        <v>1</v>
      </c>
      <c r="L525" s="41" t="str">
        <f aca="false">IF(A525="","",IF(K525&gt;0,"Delivered",IF(ISNUMBER(SEARCH("CNF",E525)),"In production",IF(J525&gt;0,"Issued",IF(I525&gt;0,"Kitted","Released")))))</f>
        <v>Delivered</v>
      </c>
      <c r="M525" s="41" t="n">
        <f aca="false">IF(G525&lt;&gt;"Yes","",COUNTIFS($B$6:$B$1505,B525,$F$6:$F$1505,"&lt;"&amp;F525)+COUNTIFS($B$6:$B$1505,B525,$F$6:$F$1505,F525,$A$6:$A$1505,"&lt;="&amp;A525))</f>
        <v>12</v>
      </c>
      <c r="N525" s="41" t="n">
        <f aca="false">IF(M525="","",ROUNDUP(M525/H525,0))</f>
        <v>4</v>
      </c>
      <c r="O525" s="41" t="str">
        <f aca="false">IF(N525="","",IF(N525&lt;='Kitting Plan'!$C$3,"Rep "&amp;N525,"Surplus"))</f>
        <v>Rep 4</v>
      </c>
    </row>
    <row r="526" customFormat="false" ht="15" hidden="false" customHeight="false" outlineLevel="0" collapsed="false">
      <c r="A526" s="40" t="n">
        <f aca="false">IF(OR($A$4=0,INDEX('COOIS Raw'!$A:$GZ,ROW()-4,$A$4)=""),"",IFERROR(--INDEX('COOIS Raw'!$A:$GZ,ROW()-4,$A$4),INDEX('COOIS Raw'!$A:$GZ,ROW()-4,$A$4)))</f>
        <v>100871854</v>
      </c>
      <c r="B526" s="41" t="str">
        <f aca="false">IF(A526="","",TRIM(INDEX('COOIS Raw'!$A:$GZ,ROW()-4,$B$4)))</f>
        <v>92YLS00548BAA</v>
      </c>
      <c r="C526" s="42" t="str">
        <f aca="false">IF(OR(A526="",$C$4=0),"",INDEX('COOIS Raw'!$A:$GZ,ROW()-4,$C$4))</f>
        <v>R5B LASER ASSEMBLY 4P BOAT 1 - E2A</v>
      </c>
      <c r="D526" s="41" t="n">
        <f aca="false">IF(A526="","",IF($D$4=0,1,IFERROR(--INDEX('COOIS Raw'!$A:$GZ,ROW()-4,$D$4),1)))</f>
        <v>1</v>
      </c>
      <c r="E526" s="42" t="str">
        <f aca="false">IF(A526="","",INDEX('COOIS Raw'!$A:$GZ,ROW()-4,$E$4)&amp;"")</f>
        <v>REL PPRT CNF DLV PRC GMPS MANC RESA*</v>
      </c>
      <c r="F526" s="43" t="n">
        <f aca="false">IF(A526="","",IFERROR(DATEVALUE(INDEX('COOIS Raw'!$A:$GZ,ROW()-4,$F$4)),INDEX('COOIS Raw'!$A:$GZ,ROW()-4,$F$4)))</f>
        <v>46231</v>
      </c>
      <c r="G526" s="41" t="str">
        <f aca="false">IF(A526="","",IF(ISNA(MATCH(B526,'Kitting Plan'!$B$6:$B$19,0)),"Not in plan","Yes"))</f>
        <v>Yes</v>
      </c>
      <c r="H526" s="41" t="n">
        <f aca="false">IF(G526="Yes",INDEX('Kitting Plan'!$D$6:$D$19,MATCH(B526,'Kitting Plan'!$B$6:$B$19,0)),"")</f>
        <v>1</v>
      </c>
      <c r="I526" s="41" t="n">
        <f aca="false">IF(A526="","",IF(ISNUMBER(SEARCH("PRT",E526)),D526,0))</f>
        <v>1</v>
      </c>
      <c r="J526" s="41" t="n">
        <f aca="false">IF(A526="","",IF(ISNUMBER(SEARCH("GMPS",E526)),D526,0))</f>
        <v>1</v>
      </c>
      <c r="K526" s="41" t="n">
        <f aca="false">IF(A526="","",IF(ISNUMBER(SEARCH("DLV",E526)),D526,0))</f>
        <v>1</v>
      </c>
      <c r="L526" s="41" t="str">
        <f aca="false">IF(A526="","",IF(K526&gt;0,"Delivered",IF(ISNUMBER(SEARCH("CNF",E526)),"In production",IF(J526&gt;0,"Issued",IF(I526&gt;0,"Kitted","Released")))))</f>
        <v>Delivered</v>
      </c>
      <c r="M526" s="41" t="n">
        <f aca="false">IF(G526&lt;&gt;"Yes","",COUNTIFS($B$6:$B$1505,B526,$F$6:$F$1505,"&lt;"&amp;F526)+COUNTIFS($B$6:$B$1505,B526,$F$6:$F$1505,F526,$A$6:$A$1505,"&lt;="&amp;A526))</f>
        <v>4</v>
      </c>
      <c r="N526" s="41" t="n">
        <f aca="false">IF(M526="","",ROUNDUP(M526/H526,0))</f>
        <v>4</v>
      </c>
      <c r="O526" s="41" t="str">
        <f aca="false">IF(N526="","",IF(N526&lt;='Kitting Plan'!$C$3,"Rep "&amp;N526,"Surplus"))</f>
        <v>Rep 4</v>
      </c>
    </row>
    <row r="527" customFormat="false" ht="15" hidden="false" customHeight="false" outlineLevel="0" collapsed="false">
      <c r="A527" s="40" t="n">
        <f aca="false">IF(OR($A$4=0,INDEX('COOIS Raw'!$A:$GZ,ROW()-4,$A$4)=""),"",IFERROR(--INDEX('COOIS Raw'!$A:$GZ,ROW()-4,$A$4),INDEX('COOIS Raw'!$A:$GZ,ROW()-4,$A$4)))</f>
        <v>100871855</v>
      </c>
      <c r="B527" s="41" t="str">
        <f aca="false">IF(A527="","",TRIM(INDEX('COOIS Raw'!$A:$GZ,ROW()-4,$B$4)))</f>
        <v>92YLS00548BBA</v>
      </c>
      <c r="C527" s="42" t="str">
        <f aca="false">IF(OR(A527="",$C$4=0),"",INDEX('COOIS Raw'!$A:$GZ,ROW()-4,$C$4))</f>
        <v>R5B LASER ASSEMBLY 4P BOAT 2/3 - E2A</v>
      </c>
      <c r="D527" s="41" t="n">
        <f aca="false">IF(A527="","",IF($D$4=0,1,IFERROR(--INDEX('COOIS Raw'!$A:$GZ,ROW()-4,$D$4),1)))</f>
        <v>1</v>
      </c>
      <c r="E527" s="42" t="str">
        <f aca="false">IF(A527="","",INDEX('COOIS Raw'!$A:$GZ,ROW()-4,$E$4)&amp;"")</f>
        <v>REL PPRT CNF DLV PRC GMPS MANC RESA*</v>
      </c>
      <c r="F527" s="43" t="n">
        <f aca="false">IF(A527="","",IFERROR(DATEVALUE(INDEX('COOIS Raw'!$A:$GZ,ROW()-4,$F$4)),INDEX('COOIS Raw'!$A:$GZ,ROW()-4,$F$4)))</f>
        <v>46231</v>
      </c>
      <c r="G527" s="41" t="str">
        <f aca="false">IF(A527="","",IF(ISNA(MATCH(B527,'Kitting Plan'!$B$6:$B$19,0)),"Not in plan","Yes"))</f>
        <v>Yes</v>
      </c>
      <c r="H527" s="41" t="n">
        <f aca="false">IF(G527="Yes",INDEX('Kitting Plan'!$D$6:$D$19,MATCH(B527,'Kitting Plan'!$B$6:$B$19,0)),"")</f>
        <v>2</v>
      </c>
      <c r="I527" s="41" t="n">
        <f aca="false">IF(A527="","",IF(ISNUMBER(SEARCH("PRT",E527)),D527,0))</f>
        <v>1</v>
      </c>
      <c r="J527" s="41" t="n">
        <f aca="false">IF(A527="","",IF(ISNUMBER(SEARCH("GMPS",E527)),D527,0))</f>
        <v>1</v>
      </c>
      <c r="K527" s="41" t="n">
        <f aca="false">IF(A527="","",IF(ISNUMBER(SEARCH("DLV",E527)),D527,0))</f>
        <v>1</v>
      </c>
      <c r="L527" s="41" t="str">
        <f aca="false">IF(A527="","",IF(K527&gt;0,"Delivered",IF(ISNUMBER(SEARCH("CNF",E527)),"In production",IF(J527&gt;0,"Issued",IF(I527&gt;0,"Kitted","Released")))))</f>
        <v>Delivered</v>
      </c>
      <c r="M527" s="41" t="n">
        <f aca="false">IF(G527&lt;&gt;"Yes","",COUNTIFS($B$6:$B$1505,B527,$F$6:$F$1505,"&lt;"&amp;F527)+COUNTIFS($B$6:$B$1505,B527,$F$6:$F$1505,F527,$A$6:$A$1505,"&lt;="&amp;A527))</f>
        <v>7</v>
      </c>
      <c r="N527" s="41" t="n">
        <f aca="false">IF(M527="","",ROUNDUP(M527/H527,0))</f>
        <v>4</v>
      </c>
      <c r="O527" s="41" t="str">
        <f aca="false">IF(N527="","",IF(N527&lt;='Kitting Plan'!$C$3,"Rep "&amp;N527,"Surplus"))</f>
        <v>Rep 4</v>
      </c>
    </row>
    <row r="528" customFormat="false" ht="15" hidden="false" customHeight="false" outlineLevel="0" collapsed="false">
      <c r="A528" s="40" t="n">
        <f aca="false">IF(OR($A$4=0,INDEX('COOIS Raw'!$A:$GZ,ROW()-4,$A$4)=""),"",IFERROR(--INDEX('COOIS Raw'!$A:$GZ,ROW()-4,$A$4),INDEX('COOIS Raw'!$A:$GZ,ROW()-4,$A$4)))</f>
        <v>100871856</v>
      </c>
      <c r="B528" s="41" t="str">
        <f aca="false">IF(A528="","",TRIM(INDEX('COOIS Raw'!$A:$GZ,ROW()-4,$B$4)))</f>
        <v>92YLS00548BBA</v>
      </c>
      <c r="C528" s="42" t="str">
        <f aca="false">IF(OR(A528="",$C$4=0),"",INDEX('COOIS Raw'!$A:$GZ,ROW()-4,$C$4))</f>
        <v>R5B LASER ASSEMBLY 4P BOAT 2/3 - E2A</v>
      </c>
      <c r="D528" s="41" t="n">
        <f aca="false">IF(A528="","",IF($D$4=0,1,IFERROR(--INDEX('COOIS Raw'!$A:$GZ,ROW()-4,$D$4),1)))</f>
        <v>1</v>
      </c>
      <c r="E528" s="42" t="str">
        <f aca="false">IF(A528="","",INDEX('COOIS Raw'!$A:$GZ,ROW()-4,$E$4)&amp;"")</f>
        <v>REL PPRT CNF DLV PRC GMPS MANC RESA*</v>
      </c>
      <c r="F528" s="43" t="n">
        <f aca="false">IF(A528="","",IFERROR(DATEVALUE(INDEX('COOIS Raw'!$A:$GZ,ROW()-4,$F$4)),INDEX('COOIS Raw'!$A:$GZ,ROW()-4,$F$4)))</f>
        <v>46231</v>
      </c>
      <c r="G528" s="41" t="str">
        <f aca="false">IF(A528="","",IF(ISNA(MATCH(B528,'Kitting Plan'!$B$6:$B$19,0)),"Not in plan","Yes"))</f>
        <v>Yes</v>
      </c>
      <c r="H528" s="41" t="n">
        <f aca="false">IF(G528="Yes",INDEX('Kitting Plan'!$D$6:$D$19,MATCH(B528,'Kitting Plan'!$B$6:$B$19,0)),"")</f>
        <v>2</v>
      </c>
      <c r="I528" s="41" t="n">
        <f aca="false">IF(A528="","",IF(ISNUMBER(SEARCH("PRT",E528)),D528,0))</f>
        <v>1</v>
      </c>
      <c r="J528" s="41" t="n">
        <f aca="false">IF(A528="","",IF(ISNUMBER(SEARCH("GMPS",E528)),D528,0))</f>
        <v>1</v>
      </c>
      <c r="K528" s="41" t="n">
        <f aca="false">IF(A528="","",IF(ISNUMBER(SEARCH("DLV",E528)),D528,0))</f>
        <v>1</v>
      </c>
      <c r="L528" s="41" t="str">
        <f aca="false">IF(A528="","",IF(K528&gt;0,"Delivered",IF(ISNUMBER(SEARCH("CNF",E528)),"In production",IF(J528&gt;0,"Issued",IF(I528&gt;0,"Kitted","Released")))))</f>
        <v>Delivered</v>
      </c>
      <c r="M528" s="41" t="n">
        <f aca="false">IF(G528&lt;&gt;"Yes","",COUNTIFS($B$6:$B$1505,B528,$F$6:$F$1505,"&lt;"&amp;F528)+COUNTIFS($B$6:$B$1505,B528,$F$6:$F$1505,F528,$A$6:$A$1505,"&lt;="&amp;A528))</f>
        <v>8</v>
      </c>
      <c r="N528" s="41" t="n">
        <f aca="false">IF(M528="","",ROUNDUP(M528/H528,0))</f>
        <v>4</v>
      </c>
      <c r="O528" s="41" t="str">
        <f aca="false">IF(N528="","",IF(N528&lt;='Kitting Plan'!$C$3,"Rep "&amp;N528,"Surplus"))</f>
        <v>Rep 4</v>
      </c>
    </row>
    <row r="529" customFormat="false" ht="15" hidden="false" customHeight="false" outlineLevel="0" collapsed="false">
      <c r="A529" s="40" t="n">
        <f aca="false">IF(OR($A$4=0,INDEX('COOIS Raw'!$A:$GZ,ROW()-4,$A$4)=""),"",IFERROR(--INDEX('COOIS Raw'!$A:$GZ,ROW()-4,$A$4),INDEX('COOIS Raw'!$A:$GZ,ROW()-4,$A$4)))</f>
        <v>100871599</v>
      </c>
      <c r="B529" s="41" t="str">
        <f aca="false">IF(A529="","",TRIM(INDEX('COOIS Raw'!$A:$GZ,ROW()-4,$B$4)))</f>
        <v>92YRA01548AAA</v>
      </c>
      <c r="C529" s="42" t="str">
        <f aca="false">IF(OR(A529="",$C$4=0),"",INDEX('COOIS Raw'!$A:$GZ,ROW()-4,$C$4))</f>
        <v>R5B ERBIUM ASSEMBLY 1</v>
      </c>
      <c r="D529" s="41" t="n">
        <f aca="false">IF(A529="","",IF($D$4=0,1,IFERROR(--INDEX('COOIS Raw'!$A:$GZ,ROW()-4,$D$4),1)))</f>
        <v>1</v>
      </c>
      <c r="E529" s="42" t="str">
        <f aca="false">IF(A529="","",INDEX('COOIS Raw'!$A:$GZ,ROW()-4,$E$4)&amp;"")</f>
        <v>REL PRT CNF DLV PRC GMPS MANC RESA*</v>
      </c>
      <c r="F529" s="43" t="n">
        <f aca="false">IF(A529="","",IFERROR(DATEVALUE(INDEX('COOIS Raw'!$A:$GZ,ROW()-4,$F$4)),INDEX('COOIS Raw'!$A:$GZ,ROW()-4,$F$4)))</f>
        <v>46226</v>
      </c>
      <c r="G529" s="41" t="str">
        <f aca="false">IF(A529="","",IF(ISNA(MATCH(B529,'Kitting Plan'!$B$6:$B$19,0)),"Not in plan","Yes"))</f>
        <v>Yes</v>
      </c>
      <c r="H529" s="41" t="n">
        <f aca="false">IF(G529="Yes",INDEX('Kitting Plan'!$D$6:$D$19,MATCH(B529,'Kitting Plan'!$B$6:$B$19,0)),"")</f>
        <v>3</v>
      </c>
      <c r="I529" s="41" t="n">
        <f aca="false">IF(A529="","",IF(ISNUMBER(SEARCH("PRT",E529)),D529,0))</f>
        <v>1</v>
      </c>
      <c r="J529" s="41" t="n">
        <f aca="false">IF(A529="","",IF(ISNUMBER(SEARCH("GMPS",E529)),D529,0))</f>
        <v>1</v>
      </c>
      <c r="K529" s="41" t="n">
        <f aca="false">IF(A529="","",IF(ISNUMBER(SEARCH("DLV",E529)),D529,0))</f>
        <v>1</v>
      </c>
      <c r="L529" s="41" t="str">
        <f aca="false">IF(A529="","",IF(K529&gt;0,"Delivered",IF(ISNUMBER(SEARCH("CNF",E529)),"In production",IF(J529&gt;0,"Issued",IF(I529&gt;0,"Kitted","Released")))))</f>
        <v>Delivered</v>
      </c>
      <c r="M529" s="41" t="n">
        <f aca="false">IF(G529&lt;&gt;"Yes","",COUNTIFS($B$6:$B$1505,B529,$F$6:$F$1505,"&lt;"&amp;F529)+COUNTIFS($B$6:$B$1505,B529,$F$6:$F$1505,F529,$A$6:$A$1505,"&lt;="&amp;A529))</f>
        <v>7</v>
      </c>
      <c r="N529" s="41" t="n">
        <f aca="false">IF(M529="","",ROUNDUP(M529/H529,0))</f>
        <v>3</v>
      </c>
      <c r="O529" s="41" t="str">
        <f aca="false">IF(N529="","",IF(N529&lt;='Kitting Plan'!$C$3,"Rep "&amp;N529,"Surplus"))</f>
        <v>Rep 3</v>
      </c>
    </row>
    <row r="530" customFormat="false" ht="15" hidden="false" customHeight="false" outlineLevel="0" collapsed="false">
      <c r="A530" s="40" t="n">
        <f aca="false">IF(OR($A$4=0,INDEX('COOIS Raw'!$A:$GZ,ROW()-4,$A$4)=""),"",IFERROR(--INDEX('COOIS Raw'!$A:$GZ,ROW()-4,$A$4),INDEX('COOIS Raw'!$A:$GZ,ROW()-4,$A$4)))</f>
        <v>100871600</v>
      </c>
      <c r="B530" s="41" t="str">
        <f aca="false">IF(A530="","",TRIM(INDEX('COOIS Raw'!$A:$GZ,ROW()-4,$B$4)))</f>
        <v>92YRA01548AAA</v>
      </c>
      <c r="C530" s="42" t="str">
        <f aca="false">IF(OR(A530="",$C$4=0),"",INDEX('COOIS Raw'!$A:$GZ,ROW()-4,$C$4))</f>
        <v>R5B ERBIUM ASSEMBLY 1</v>
      </c>
      <c r="D530" s="41" t="n">
        <f aca="false">IF(A530="","",IF($D$4=0,1,IFERROR(--INDEX('COOIS Raw'!$A:$GZ,ROW()-4,$D$4),1)))</f>
        <v>1</v>
      </c>
      <c r="E530" s="42" t="str">
        <f aca="false">IF(A530="","",INDEX('COOIS Raw'!$A:$GZ,ROW()-4,$E$4)&amp;"")</f>
        <v>REL PRT CNF DLV PRC GMPS MANC RESA*</v>
      </c>
      <c r="F530" s="43" t="n">
        <f aca="false">IF(A530="","",IFERROR(DATEVALUE(INDEX('COOIS Raw'!$A:$GZ,ROW()-4,$F$4)),INDEX('COOIS Raw'!$A:$GZ,ROW()-4,$F$4)))</f>
        <v>46226</v>
      </c>
      <c r="G530" s="41" t="str">
        <f aca="false">IF(A530="","",IF(ISNA(MATCH(B530,'Kitting Plan'!$B$6:$B$19,0)),"Not in plan","Yes"))</f>
        <v>Yes</v>
      </c>
      <c r="H530" s="41" t="n">
        <f aca="false">IF(G530="Yes",INDEX('Kitting Plan'!$D$6:$D$19,MATCH(B530,'Kitting Plan'!$B$6:$B$19,0)),"")</f>
        <v>3</v>
      </c>
      <c r="I530" s="41" t="n">
        <f aca="false">IF(A530="","",IF(ISNUMBER(SEARCH("PRT",E530)),D530,0))</f>
        <v>1</v>
      </c>
      <c r="J530" s="41" t="n">
        <f aca="false">IF(A530="","",IF(ISNUMBER(SEARCH("GMPS",E530)),D530,0))</f>
        <v>1</v>
      </c>
      <c r="K530" s="41" t="n">
        <f aca="false">IF(A530="","",IF(ISNUMBER(SEARCH("DLV",E530)),D530,0))</f>
        <v>1</v>
      </c>
      <c r="L530" s="41" t="str">
        <f aca="false">IF(A530="","",IF(K530&gt;0,"Delivered",IF(ISNUMBER(SEARCH("CNF",E530)),"In production",IF(J530&gt;0,"Issued",IF(I530&gt;0,"Kitted","Released")))))</f>
        <v>Delivered</v>
      </c>
      <c r="M530" s="41" t="n">
        <f aca="false">IF(G530&lt;&gt;"Yes","",COUNTIFS($B$6:$B$1505,B530,$F$6:$F$1505,"&lt;"&amp;F530)+COUNTIFS($B$6:$B$1505,B530,$F$6:$F$1505,F530,$A$6:$A$1505,"&lt;="&amp;A530))</f>
        <v>8</v>
      </c>
      <c r="N530" s="41" t="n">
        <f aca="false">IF(M530="","",ROUNDUP(M530/H530,0))</f>
        <v>3</v>
      </c>
      <c r="O530" s="41" t="str">
        <f aca="false">IF(N530="","",IF(N530&lt;='Kitting Plan'!$C$3,"Rep "&amp;N530,"Surplus"))</f>
        <v>Rep 3</v>
      </c>
    </row>
    <row r="531" customFormat="false" ht="15" hidden="false" customHeight="false" outlineLevel="0" collapsed="false">
      <c r="A531" s="40" t="n">
        <f aca="false">IF(OR($A$4=0,INDEX('COOIS Raw'!$A:$GZ,ROW()-4,$A$4)=""),"",IFERROR(--INDEX('COOIS Raw'!$A:$GZ,ROW()-4,$A$4),INDEX('COOIS Raw'!$A:$GZ,ROW()-4,$A$4)))</f>
        <v>100871601</v>
      </c>
      <c r="B531" s="41" t="str">
        <f aca="false">IF(A531="","",TRIM(INDEX('COOIS Raw'!$A:$GZ,ROW()-4,$B$4)))</f>
        <v>92YRA01548AAA</v>
      </c>
      <c r="C531" s="42" t="str">
        <f aca="false">IF(OR(A531="",$C$4=0),"",INDEX('COOIS Raw'!$A:$GZ,ROW()-4,$C$4))</f>
        <v>R5B ERBIUM ASSEMBLY 1</v>
      </c>
      <c r="D531" s="41" t="n">
        <f aca="false">IF(A531="","",IF($D$4=0,1,IFERROR(--INDEX('COOIS Raw'!$A:$GZ,ROW()-4,$D$4),1)))</f>
        <v>1</v>
      </c>
      <c r="E531" s="42" t="str">
        <f aca="false">IF(A531="","",INDEX('COOIS Raw'!$A:$GZ,ROW()-4,$E$4)&amp;"")</f>
        <v>REL PRT CNF DLV PRC GMPS MANC RESA*</v>
      </c>
      <c r="F531" s="43" t="n">
        <f aca="false">IF(A531="","",IFERROR(DATEVALUE(INDEX('COOIS Raw'!$A:$GZ,ROW()-4,$F$4)),INDEX('COOIS Raw'!$A:$GZ,ROW()-4,$F$4)))</f>
        <v>46226</v>
      </c>
      <c r="G531" s="41" t="str">
        <f aca="false">IF(A531="","",IF(ISNA(MATCH(B531,'Kitting Plan'!$B$6:$B$19,0)),"Not in plan","Yes"))</f>
        <v>Yes</v>
      </c>
      <c r="H531" s="41" t="n">
        <f aca="false">IF(G531="Yes",INDEX('Kitting Plan'!$D$6:$D$19,MATCH(B531,'Kitting Plan'!$B$6:$B$19,0)),"")</f>
        <v>3</v>
      </c>
      <c r="I531" s="41" t="n">
        <f aca="false">IF(A531="","",IF(ISNUMBER(SEARCH("PRT",E531)),D531,0))</f>
        <v>1</v>
      </c>
      <c r="J531" s="41" t="n">
        <f aca="false">IF(A531="","",IF(ISNUMBER(SEARCH("GMPS",E531)),D531,0))</f>
        <v>1</v>
      </c>
      <c r="K531" s="41" t="n">
        <f aca="false">IF(A531="","",IF(ISNUMBER(SEARCH("DLV",E531)),D531,0))</f>
        <v>1</v>
      </c>
      <c r="L531" s="41" t="str">
        <f aca="false">IF(A531="","",IF(K531&gt;0,"Delivered",IF(ISNUMBER(SEARCH("CNF",E531)),"In production",IF(J531&gt;0,"Issued",IF(I531&gt;0,"Kitted","Released")))))</f>
        <v>Delivered</v>
      </c>
      <c r="M531" s="41" t="n">
        <f aca="false">IF(G531&lt;&gt;"Yes","",COUNTIFS($B$6:$B$1505,B531,$F$6:$F$1505,"&lt;"&amp;F531)+COUNTIFS($B$6:$B$1505,B531,$F$6:$F$1505,F531,$A$6:$A$1505,"&lt;="&amp;A531))</f>
        <v>9</v>
      </c>
      <c r="N531" s="41" t="n">
        <f aca="false">IF(M531="","",ROUNDUP(M531/H531,0))</f>
        <v>3</v>
      </c>
      <c r="O531" s="41" t="str">
        <f aca="false">IF(N531="","",IF(N531&lt;='Kitting Plan'!$C$3,"Rep "&amp;N531,"Surplus"))</f>
        <v>Rep 3</v>
      </c>
    </row>
    <row r="532" customFormat="false" ht="15" hidden="false" customHeight="false" outlineLevel="0" collapsed="false">
      <c r="A532" s="40" t="n">
        <f aca="false">IF(OR($A$4=0,INDEX('COOIS Raw'!$A:$GZ,ROW()-4,$A$4)=""),"",IFERROR(--INDEX('COOIS Raw'!$A:$GZ,ROW()-4,$A$4),INDEX('COOIS Raw'!$A:$GZ,ROW()-4,$A$4)))</f>
        <v>100871602</v>
      </c>
      <c r="B532" s="41" t="str">
        <f aca="false">IF(A532="","",TRIM(INDEX('COOIS Raw'!$A:$GZ,ROW()-4,$B$4)))</f>
        <v>92YRA02548AAA</v>
      </c>
      <c r="C532" s="42" t="str">
        <f aca="false">IF(OR(A532="",$C$4=0),"",INDEX('COOIS Raw'!$A:$GZ,ROW()-4,$C$4))</f>
        <v>R5B ERBIUM ASSEMBLY 2</v>
      </c>
      <c r="D532" s="41" t="n">
        <f aca="false">IF(A532="","",IF($D$4=0,1,IFERROR(--INDEX('COOIS Raw'!$A:$GZ,ROW()-4,$D$4),1)))</f>
        <v>1</v>
      </c>
      <c r="E532" s="42" t="str">
        <f aca="false">IF(A532="","",INDEX('COOIS Raw'!$A:$GZ,ROW()-4,$E$4)&amp;"")</f>
        <v>REL PRT CNF DLV PRC GMPS MANC RESA*</v>
      </c>
      <c r="F532" s="43" t="n">
        <f aca="false">IF(A532="","",IFERROR(DATEVALUE(INDEX('COOIS Raw'!$A:$GZ,ROW()-4,$F$4)),INDEX('COOIS Raw'!$A:$GZ,ROW()-4,$F$4)))</f>
        <v>46226</v>
      </c>
      <c r="G532" s="41" t="str">
        <f aca="false">IF(A532="","",IF(ISNA(MATCH(B532,'Kitting Plan'!$B$6:$B$19,0)),"Not in plan","Yes"))</f>
        <v>Yes</v>
      </c>
      <c r="H532" s="41" t="n">
        <f aca="false">IF(G532="Yes",INDEX('Kitting Plan'!$D$6:$D$19,MATCH(B532,'Kitting Plan'!$B$6:$B$19,0)),"")</f>
        <v>3</v>
      </c>
      <c r="I532" s="41" t="n">
        <f aca="false">IF(A532="","",IF(ISNUMBER(SEARCH("PRT",E532)),D532,0))</f>
        <v>1</v>
      </c>
      <c r="J532" s="41" t="n">
        <f aca="false">IF(A532="","",IF(ISNUMBER(SEARCH("GMPS",E532)),D532,0))</f>
        <v>1</v>
      </c>
      <c r="K532" s="41" t="n">
        <f aca="false">IF(A532="","",IF(ISNUMBER(SEARCH("DLV",E532)),D532,0))</f>
        <v>1</v>
      </c>
      <c r="L532" s="41" t="str">
        <f aca="false">IF(A532="","",IF(K532&gt;0,"Delivered",IF(ISNUMBER(SEARCH("CNF",E532)),"In production",IF(J532&gt;0,"Issued",IF(I532&gt;0,"Kitted","Released")))))</f>
        <v>Delivered</v>
      </c>
      <c r="M532" s="41" t="n">
        <f aca="false">IF(G532&lt;&gt;"Yes","",COUNTIFS($B$6:$B$1505,B532,$F$6:$F$1505,"&lt;"&amp;F532)+COUNTIFS($B$6:$B$1505,B532,$F$6:$F$1505,F532,$A$6:$A$1505,"&lt;="&amp;A532))</f>
        <v>7</v>
      </c>
      <c r="N532" s="41" t="n">
        <f aca="false">IF(M532="","",ROUNDUP(M532/H532,0))</f>
        <v>3</v>
      </c>
      <c r="O532" s="41" t="str">
        <f aca="false">IF(N532="","",IF(N532&lt;='Kitting Plan'!$C$3,"Rep "&amp;N532,"Surplus"))</f>
        <v>Rep 3</v>
      </c>
    </row>
    <row r="533" customFormat="false" ht="15" hidden="false" customHeight="false" outlineLevel="0" collapsed="false">
      <c r="A533" s="40" t="n">
        <f aca="false">IF(OR($A$4=0,INDEX('COOIS Raw'!$A:$GZ,ROW()-4,$A$4)=""),"",IFERROR(--INDEX('COOIS Raw'!$A:$GZ,ROW()-4,$A$4),INDEX('COOIS Raw'!$A:$GZ,ROW()-4,$A$4)))</f>
        <v>100871603</v>
      </c>
      <c r="B533" s="41" t="str">
        <f aca="false">IF(A533="","",TRIM(INDEX('COOIS Raw'!$A:$GZ,ROW()-4,$B$4)))</f>
        <v>92YRA02548AAA</v>
      </c>
      <c r="C533" s="42" t="str">
        <f aca="false">IF(OR(A533="",$C$4=0),"",INDEX('COOIS Raw'!$A:$GZ,ROW()-4,$C$4))</f>
        <v>R5B ERBIUM ASSEMBLY 2</v>
      </c>
      <c r="D533" s="41" t="n">
        <f aca="false">IF(A533="","",IF($D$4=0,1,IFERROR(--INDEX('COOIS Raw'!$A:$GZ,ROW()-4,$D$4),1)))</f>
        <v>1</v>
      </c>
      <c r="E533" s="42" t="str">
        <f aca="false">IF(A533="","",INDEX('COOIS Raw'!$A:$GZ,ROW()-4,$E$4)&amp;"")</f>
        <v>REL PRT CNF DLV PRC GMPS MANC RESA*</v>
      </c>
      <c r="F533" s="43" t="n">
        <f aca="false">IF(A533="","",IFERROR(DATEVALUE(INDEX('COOIS Raw'!$A:$GZ,ROW()-4,$F$4)),INDEX('COOIS Raw'!$A:$GZ,ROW()-4,$F$4)))</f>
        <v>46226</v>
      </c>
      <c r="G533" s="41" t="str">
        <f aca="false">IF(A533="","",IF(ISNA(MATCH(B533,'Kitting Plan'!$B$6:$B$19,0)),"Not in plan","Yes"))</f>
        <v>Yes</v>
      </c>
      <c r="H533" s="41" t="n">
        <f aca="false">IF(G533="Yes",INDEX('Kitting Plan'!$D$6:$D$19,MATCH(B533,'Kitting Plan'!$B$6:$B$19,0)),"")</f>
        <v>3</v>
      </c>
      <c r="I533" s="41" t="n">
        <f aca="false">IF(A533="","",IF(ISNUMBER(SEARCH("PRT",E533)),D533,0))</f>
        <v>1</v>
      </c>
      <c r="J533" s="41" t="n">
        <f aca="false">IF(A533="","",IF(ISNUMBER(SEARCH("GMPS",E533)),D533,0))</f>
        <v>1</v>
      </c>
      <c r="K533" s="41" t="n">
        <f aca="false">IF(A533="","",IF(ISNUMBER(SEARCH("DLV",E533)),D533,0))</f>
        <v>1</v>
      </c>
      <c r="L533" s="41" t="str">
        <f aca="false">IF(A533="","",IF(K533&gt;0,"Delivered",IF(ISNUMBER(SEARCH("CNF",E533)),"In production",IF(J533&gt;0,"Issued",IF(I533&gt;0,"Kitted","Released")))))</f>
        <v>Delivered</v>
      </c>
      <c r="M533" s="41" t="n">
        <f aca="false">IF(G533&lt;&gt;"Yes","",COUNTIFS($B$6:$B$1505,B533,$F$6:$F$1505,"&lt;"&amp;F533)+COUNTIFS($B$6:$B$1505,B533,$F$6:$F$1505,F533,$A$6:$A$1505,"&lt;="&amp;A533))</f>
        <v>8</v>
      </c>
      <c r="N533" s="41" t="n">
        <f aca="false">IF(M533="","",ROUNDUP(M533/H533,0))</f>
        <v>3</v>
      </c>
      <c r="O533" s="41" t="str">
        <f aca="false">IF(N533="","",IF(N533&lt;='Kitting Plan'!$C$3,"Rep "&amp;N533,"Surplus"))</f>
        <v>Rep 3</v>
      </c>
    </row>
    <row r="534" customFormat="false" ht="15" hidden="false" customHeight="false" outlineLevel="0" collapsed="false">
      <c r="A534" s="40" t="n">
        <f aca="false">IF(OR($A$4=0,INDEX('COOIS Raw'!$A:$GZ,ROW()-4,$A$4)=""),"",IFERROR(--INDEX('COOIS Raw'!$A:$GZ,ROW()-4,$A$4),INDEX('COOIS Raw'!$A:$GZ,ROW()-4,$A$4)))</f>
        <v>100871604</v>
      </c>
      <c r="B534" s="41" t="str">
        <f aca="false">IF(A534="","",TRIM(INDEX('COOIS Raw'!$A:$GZ,ROW()-4,$B$4)))</f>
        <v>92YRA02548AAA</v>
      </c>
      <c r="C534" s="42" t="str">
        <f aca="false">IF(OR(A534="",$C$4=0),"",INDEX('COOIS Raw'!$A:$GZ,ROW()-4,$C$4))</f>
        <v>R5B ERBIUM ASSEMBLY 2</v>
      </c>
      <c r="D534" s="41" t="n">
        <f aca="false">IF(A534="","",IF($D$4=0,1,IFERROR(--INDEX('COOIS Raw'!$A:$GZ,ROW()-4,$D$4),1)))</f>
        <v>1</v>
      </c>
      <c r="E534" s="42" t="str">
        <f aca="false">IF(A534="","",INDEX('COOIS Raw'!$A:$GZ,ROW()-4,$E$4)&amp;"")</f>
        <v>REL PRT CNF DLV PRC GMPS MANC RESA*</v>
      </c>
      <c r="F534" s="43" t="n">
        <f aca="false">IF(A534="","",IFERROR(DATEVALUE(INDEX('COOIS Raw'!$A:$GZ,ROW()-4,$F$4)),INDEX('COOIS Raw'!$A:$GZ,ROW()-4,$F$4)))</f>
        <v>46226</v>
      </c>
      <c r="G534" s="41" t="str">
        <f aca="false">IF(A534="","",IF(ISNA(MATCH(B534,'Kitting Plan'!$B$6:$B$19,0)),"Not in plan","Yes"))</f>
        <v>Yes</v>
      </c>
      <c r="H534" s="41" t="n">
        <f aca="false">IF(G534="Yes",INDEX('Kitting Plan'!$D$6:$D$19,MATCH(B534,'Kitting Plan'!$B$6:$B$19,0)),"")</f>
        <v>3</v>
      </c>
      <c r="I534" s="41" t="n">
        <f aca="false">IF(A534="","",IF(ISNUMBER(SEARCH("PRT",E534)),D534,0))</f>
        <v>1</v>
      </c>
      <c r="J534" s="41" t="n">
        <f aca="false">IF(A534="","",IF(ISNUMBER(SEARCH("GMPS",E534)),D534,0))</f>
        <v>1</v>
      </c>
      <c r="K534" s="41" t="n">
        <f aca="false">IF(A534="","",IF(ISNUMBER(SEARCH("DLV",E534)),D534,0))</f>
        <v>1</v>
      </c>
      <c r="L534" s="41" t="str">
        <f aca="false">IF(A534="","",IF(K534&gt;0,"Delivered",IF(ISNUMBER(SEARCH("CNF",E534)),"In production",IF(J534&gt;0,"Issued",IF(I534&gt;0,"Kitted","Released")))))</f>
        <v>Delivered</v>
      </c>
      <c r="M534" s="41" t="n">
        <f aca="false">IF(G534&lt;&gt;"Yes","",COUNTIFS($B$6:$B$1505,B534,$F$6:$F$1505,"&lt;"&amp;F534)+COUNTIFS($B$6:$B$1505,B534,$F$6:$F$1505,F534,$A$6:$A$1505,"&lt;="&amp;A534))</f>
        <v>9</v>
      </c>
      <c r="N534" s="41" t="n">
        <f aca="false">IF(M534="","",ROUNDUP(M534/H534,0))</f>
        <v>3</v>
      </c>
      <c r="O534" s="41" t="str">
        <f aca="false">IF(N534="","",IF(N534&lt;='Kitting Plan'!$C$3,"Rep "&amp;N534,"Surplus"))</f>
        <v>Rep 3</v>
      </c>
    </row>
    <row r="535" customFormat="false" ht="15" hidden="false" customHeight="false" outlineLevel="0" collapsed="false">
      <c r="A535" s="40" t="n">
        <f aca="false">IF(OR($A$4=0,INDEX('COOIS Raw'!$A:$GZ,ROW()-4,$A$4)=""),"",IFERROR(--INDEX('COOIS Raw'!$A:$GZ,ROW()-4,$A$4),INDEX('COOIS Raw'!$A:$GZ,ROW()-4,$A$4)))</f>
        <v>100871608</v>
      </c>
      <c r="B535" s="41" t="str">
        <f aca="false">IF(A535="","",TRIM(INDEX('COOIS Raw'!$A:$GZ,ROW()-4,$B$4)))</f>
        <v>92YRA04548AAA</v>
      </c>
      <c r="C535" s="42" t="str">
        <f aca="false">IF(OR(A535="",$C$4=0),"",INDEX('COOIS Raw'!$A:$GZ,ROW()-4,$C$4))</f>
        <v>R5B ERBIUM ASSEMBLY 4</v>
      </c>
      <c r="D535" s="41" t="n">
        <f aca="false">IF(A535="","",IF($D$4=0,1,IFERROR(--INDEX('COOIS Raw'!$A:$GZ,ROW()-4,$D$4),1)))</f>
        <v>1</v>
      </c>
      <c r="E535" s="42" t="str">
        <f aca="false">IF(A535="","",INDEX('COOIS Raw'!$A:$GZ,ROW()-4,$E$4)&amp;"")</f>
        <v>REL PRT CNF DLV PRC GMPS MANC RESA*</v>
      </c>
      <c r="F535" s="43" t="n">
        <f aca="false">IF(A535="","",IFERROR(DATEVALUE(INDEX('COOIS Raw'!$A:$GZ,ROW()-4,$F$4)),INDEX('COOIS Raw'!$A:$GZ,ROW()-4,$F$4)))</f>
        <v>46226</v>
      </c>
      <c r="G535" s="41" t="str">
        <f aca="false">IF(A535="","",IF(ISNA(MATCH(B535,'Kitting Plan'!$B$6:$B$19,0)),"Not in plan","Yes"))</f>
        <v>Yes</v>
      </c>
      <c r="H535" s="41" t="n">
        <f aca="false">IF(G535="Yes",INDEX('Kitting Plan'!$D$6:$D$19,MATCH(B535,'Kitting Plan'!$B$6:$B$19,0)),"")</f>
        <v>3</v>
      </c>
      <c r="I535" s="41" t="n">
        <f aca="false">IF(A535="","",IF(ISNUMBER(SEARCH("PRT",E535)),D535,0))</f>
        <v>1</v>
      </c>
      <c r="J535" s="41" t="n">
        <f aca="false">IF(A535="","",IF(ISNUMBER(SEARCH("GMPS",E535)),D535,0))</f>
        <v>1</v>
      </c>
      <c r="K535" s="41" t="n">
        <f aca="false">IF(A535="","",IF(ISNUMBER(SEARCH("DLV",E535)),D535,0))</f>
        <v>1</v>
      </c>
      <c r="L535" s="41" t="str">
        <f aca="false">IF(A535="","",IF(K535&gt;0,"Delivered",IF(ISNUMBER(SEARCH("CNF",E535)),"In production",IF(J535&gt;0,"Issued",IF(I535&gt;0,"Kitted","Released")))))</f>
        <v>Delivered</v>
      </c>
      <c r="M535" s="41" t="n">
        <f aca="false">IF(G535&lt;&gt;"Yes","",COUNTIFS($B$6:$B$1505,B535,$F$6:$F$1505,"&lt;"&amp;F535)+COUNTIFS($B$6:$B$1505,B535,$F$6:$F$1505,F535,$A$6:$A$1505,"&lt;="&amp;A535))</f>
        <v>7</v>
      </c>
      <c r="N535" s="41" t="n">
        <f aca="false">IF(M535="","",ROUNDUP(M535/H535,0))</f>
        <v>3</v>
      </c>
      <c r="O535" s="41" t="str">
        <f aca="false">IF(N535="","",IF(N535&lt;='Kitting Plan'!$C$3,"Rep "&amp;N535,"Surplus"))</f>
        <v>Rep 3</v>
      </c>
    </row>
    <row r="536" customFormat="false" ht="15" hidden="false" customHeight="false" outlineLevel="0" collapsed="false">
      <c r="A536" s="40" t="n">
        <f aca="false">IF(OR($A$4=0,INDEX('COOIS Raw'!$A:$GZ,ROW()-4,$A$4)=""),"",IFERROR(--INDEX('COOIS Raw'!$A:$GZ,ROW()-4,$A$4),INDEX('COOIS Raw'!$A:$GZ,ROW()-4,$A$4)))</f>
        <v>100871609</v>
      </c>
      <c r="B536" s="41" t="str">
        <f aca="false">IF(A536="","",TRIM(INDEX('COOIS Raw'!$A:$GZ,ROW()-4,$B$4)))</f>
        <v>92YRA04548AAA</v>
      </c>
      <c r="C536" s="42" t="str">
        <f aca="false">IF(OR(A536="",$C$4=0),"",INDEX('COOIS Raw'!$A:$GZ,ROW()-4,$C$4))</f>
        <v>R5B ERBIUM ASSEMBLY 4</v>
      </c>
      <c r="D536" s="41" t="n">
        <f aca="false">IF(A536="","",IF($D$4=0,1,IFERROR(--INDEX('COOIS Raw'!$A:$GZ,ROW()-4,$D$4),1)))</f>
        <v>1</v>
      </c>
      <c r="E536" s="42" t="str">
        <f aca="false">IF(A536="","",INDEX('COOIS Raw'!$A:$GZ,ROW()-4,$E$4)&amp;"")</f>
        <v>REL PRT CNF DLV PRC GMPS MANC RESA*</v>
      </c>
      <c r="F536" s="43" t="n">
        <f aca="false">IF(A536="","",IFERROR(DATEVALUE(INDEX('COOIS Raw'!$A:$GZ,ROW()-4,$F$4)),INDEX('COOIS Raw'!$A:$GZ,ROW()-4,$F$4)))</f>
        <v>46226</v>
      </c>
      <c r="G536" s="41" t="str">
        <f aca="false">IF(A536="","",IF(ISNA(MATCH(B536,'Kitting Plan'!$B$6:$B$19,0)),"Not in plan","Yes"))</f>
        <v>Yes</v>
      </c>
      <c r="H536" s="41" t="n">
        <f aca="false">IF(G536="Yes",INDEX('Kitting Plan'!$D$6:$D$19,MATCH(B536,'Kitting Plan'!$B$6:$B$19,0)),"")</f>
        <v>3</v>
      </c>
      <c r="I536" s="41" t="n">
        <f aca="false">IF(A536="","",IF(ISNUMBER(SEARCH("PRT",E536)),D536,0))</f>
        <v>1</v>
      </c>
      <c r="J536" s="41" t="n">
        <f aca="false">IF(A536="","",IF(ISNUMBER(SEARCH("GMPS",E536)),D536,0))</f>
        <v>1</v>
      </c>
      <c r="K536" s="41" t="n">
        <f aca="false">IF(A536="","",IF(ISNUMBER(SEARCH("DLV",E536)),D536,0))</f>
        <v>1</v>
      </c>
      <c r="L536" s="41" t="str">
        <f aca="false">IF(A536="","",IF(K536&gt;0,"Delivered",IF(ISNUMBER(SEARCH("CNF",E536)),"In production",IF(J536&gt;0,"Issued",IF(I536&gt;0,"Kitted","Released")))))</f>
        <v>Delivered</v>
      </c>
      <c r="M536" s="41" t="n">
        <f aca="false">IF(G536&lt;&gt;"Yes","",COUNTIFS($B$6:$B$1505,B536,$F$6:$F$1505,"&lt;"&amp;F536)+COUNTIFS($B$6:$B$1505,B536,$F$6:$F$1505,F536,$A$6:$A$1505,"&lt;="&amp;A536))</f>
        <v>8</v>
      </c>
      <c r="N536" s="41" t="n">
        <f aca="false">IF(M536="","",ROUNDUP(M536/H536,0))</f>
        <v>3</v>
      </c>
      <c r="O536" s="41" t="str">
        <f aca="false">IF(N536="","",IF(N536&lt;='Kitting Plan'!$C$3,"Rep "&amp;N536,"Surplus"))</f>
        <v>Rep 3</v>
      </c>
    </row>
    <row r="537" customFormat="false" ht="15" hidden="false" customHeight="false" outlineLevel="0" collapsed="false">
      <c r="A537" s="40" t="n">
        <f aca="false">IF(OR($A$4=0,INDEX('COOIS Raw'!$A:$GZ,ROW()-4,$A$4)=""),"",IFERROR(--INDEX('COOIS Raw'!$A:$GZ,ROW()-4,$A$4),INDEX('COOIS Raw'!$A:$GZ,ROW()-4,$A$4)))</f>
        <v>100871610</v>
      </c>
      <c r="B537" s="41" t="str">
        <f aca="false">IF(A537="","",TRIM(INDEX('COOIS Raw'!$A:$GZ,ROW()-4,$B$4)))</f>
        <v>92YRA04548AAA</v>
      </c>
      <c r="C537" s="42" t="str">
        <f aca="false">IF(OR(A537="",$C$4=0),"",INDEX('COOIS Raw'!$A:$GZ,ROW()-4,$C$4))</f>
        <v>R5B ERBIUM ASSEMBLY 4</v>
      </c>
      <c r="D537" s="41" t="n">
        <f aca="false">IF(A537="","",IF($D$4=0,1,IFERROR(--INDEX('COOIS Raw'!$A:$GZ,ROW()-4,$D$4),1)))</f>
        <v>1</v>
      </c>
      <c r="E537" s="42" t="str">
        <f aca="false">IF(A537="","",INDEX('COOIS Raw'!$A:$GZ,ROW()-4,$E$4)&amp;"")</f>
        <v>REL PRT CNF DLV PRC GMPS MANC RESA*</v>
      </c>
      <c r="F537" s="43" t="n">
        <f aca="false">IF(A537="","",IFERROR(DATEVALUE(INDEX('COOIS Raw'!$A:$GZ,ROW()-4,$F$4)),INDEX('COOIS Raw'!$A:$GZ,ROW()-4,$F$4)))</f>
        <v>46226</v>
      </c>
      <c r="G537" s="41" t="str">
        <f aca="false">IF(A537="","",IF(ISNA(MATCH(B537,'Kitting Plan'!$B$6:$B$19,0)),"Not in plan","Yes"))</f>
        <v>Yes</v>
      </c>
      <c r="H537" s="41" t="n">
        <f aca="false">IF(G537="Yes",INDEX('Kitting Plan'!$D$6:$D$19,MATCH(B537,'Kitting Plan'!$B$6:$B$19,0)),"")</f>
        <v>3</v>
      </c>
      <c r="I537" s="41" t="n">
        <f aca="false">IF(A537="","",IF(ISNUMBER(SEARCH("PRT",E537)),D537,0))</f>
        <v>1</v>
      </c>
      <c r="J537" s="41" t="n">
        <f aca="false">IF(A537="","",IF(ISNUMBER(SEARCH("GMPS",E537)),D537,0))</f>
        <v>1</v>
      </c>
      <c r="K537" s="41" t="n">
        <f aca="false">IF(A537="","",IF(ISNUMBER(SEARCH("DLV",E537)),D537,0))</f>
        <v>1</v>
      </c>
      <c r="L537" s="41" t="str">
        <f aca="false">IF(A537="","",IF(K537&gt;0,"Delivered",IF(ISNUMBER(SEARCH("CNF",E537)),"In production",IF(J537&gt;0,"Issued",IF(I537&gt;0,"Kitted","Released")))))</f>
        <v>Delivered</v>
      </c>
      <c r="M537" s="41" t="n">
        <f aca="false">IF(G537&lt;&gt;"Yes","",COUNTIFS($B$6:$B$1505,B537,$F$6:$F$1505,"&lt;"&amp;F537)+COUNTIFS($B$6:$B$1505,B537,$F$6:$F$1505,F537,$A$6:$A$1505,"&lt;="&amp;A537))</f>
        <v>9</v>
      </c>
      <c r="N537" s="41" t="n">
        <f aca="false">IF(M537="","",ROUNDUP(M537/H537,0))</f>
        <v>3</v>
      </c>
      <c r="O537" s="41" t="str">
        <f aca="false">IF(N537="","",IF(N537&lt;='Kitting Plan'!$C$3,"Rep "&amp;N537,"Surplus"))</f>
        <v>Rep 3</v>
      </c>
    </row>
    <row r="538" customFormat="false" ht="15" hidden="false" customHeight="false" outlineLevel="0" collapsed="false">
      <c r="A538" s="40" t="n">
        <f aca="false">IF(OR($A$4=0,INDEX('COOIS Raw'!$A:$GZ,ROW()-4,$A$4)=""),"",IFERROR(--INDEX('COOIS Raw'!$A:$GZ,ROW()-4,$A$4),INDEX('COOIS Raw'!$A:$GZ,ROW()-4,$A$4)))</f>
        <v>100871615</v>
      </c>
      <c r="B538" s="41" t="str">
        <f aca="false">IF(A538="","",TRIM(INDEX('COOIS Raw'!$A:$GZ,ROW()-4,$B$4)))</f>
        <v>92YRA03548AAA</v>
      </c>
      <c r="C538" s="42" t="str">
        <f aca="false">IF(OR(A538="",$C$4=0),"",INDEX('COOIS Raw'!$A:$GZ,ROW()-4,$C$4))</f>
        <v>R5B ERBIUM ASSEMBLY 3</v>
      </c>
      <c r="D538" s="41" t="n">
        <f aca="false">IF(A538="","",IF($D$4=0,1,IFERROR(--INDEX('COOIS Raw'!$A:$GZ,ROW()-4,$D$4),1)))</f>
        <v>1</v>
      </c>
      <c r="E538" s="42" t="str">
        <f aca="false">IF(A538="","",INDEX('COOIS Raw'!$A:$GZ,ROW()-4,$E$4)&amp;"")</f>
        <v>REL PRT PRC MANC SETC</v>
      </c>
      <c r="F538" s="43" t="n">
        <f aca="false">IF(A538="","",IFERROR(DATEVALUE(INDEX('COOIS Raw'!$A:$GZ,ROW()-4,$F$4)),INDEX('COOIS Raw'!$A:$GZ,ROW()-4,$F$4)))</f>
        <v>46226</v>
      </c>
      <c r="G538" s="41" t="str">
        <f aca="false">IF(A538="","",IF(ISNA(MATCH(B538,'Kitting Plan'!$B$6:$B$19,0)),"Not in plan","Yes"))</f>
        <v>Yes</v>
      </c>
      <c r="H538" s="41" t="n">
        <f aca="false">IF(G538="Yes",INDEX('Kitting Plan'!$D$6:$D$19,MATCH(B538,'Kitting Plan'!$B$6:$B$19,0)),"")</f>
        <v>3</v>
      </c>
      <c r="I538" s="41" t="n">
        <f aca="false">IF(A538="","",IF(ISNUMBER(SEARCH("PRT",E538)),D538,0))</f>
        <v>1</v>
      </c>
      <c r="J538" s="41" t="n">
        <f aca="false">IF(A538="","",IF(ISNUMBER(SEARCH("GMPS",E538)),D538,0))</f>
        <v>0</v>
      </c>
      <c r="K538" s="41" t="n">
        <f aca="false">IF(A538="","",IF(ISNUMBER(SEARCH("DLV",E538)),D538,0))</f>
        <v>0</v>
      </c>
      <c r="L538" s="41" t="str">
        <f aca="false">IF(A538="","",IF(K538&gt;0,"Delivered",IF(ISNUMBER(SEARCH("CNF",E538)),"In production",IF(J538&gt;0,"Issued",IF(I538&gt;0,"Kitted","Released")))))</f>
        <v>Kitted</v>
      </c>
      <c r="M538" s="41" t="n">
        <f aca="false">IF(G538&lt;&gt;"Yes","",COUNTIFS($B$6:$B$1505,B538,$F$6:$F$1505,"&lt;"&amp;F538)+COUNTIFS($B$6:$B$1505,B538,$F$6:$F$1505,F538,$A$6:$A$1505,"&lt;="&amp;A538))</f>
        <v>7</v>
      </c>
      <c r="N538" s="41" t="n">
        <f aca="false">IF(M538="","",ROUNDUP(M538/H538,0))</f>
        <v>3</v>
      </c>
      <c r="O538" s="41" t="str">
        <f aca="false">IF(N538="","",IF(N538&lt;='Kitting Plan'!$C$3,"Rep "&amp;N538,"Surplus"))</f>
        <v>Rep 3</v>
      </c>
    </row>
    <row r="539" customFormat="false" ht="15" hidden="false" customHeight="false" outlineLevel="0" collapsed="false">
      <c r="A539" s="40" t="n">
        <f aca="false">IF(OR($A$4=0,INDEX('COOIS Raw'!$A:$GZ,ROW()-4,$A$4)=""),"",IFERROR(--INDEX('COOIS Raw'!$A:$GZ,ROW()-4,$A$4),INDEX('COOIS Raw'!$A:$GZ,ROW()-4,$A$4)))</f>
        <v>100871616</v>
      </c>
      <c r="B539" s="41" t="str">
        <f aca="false">IF(A539="","",TRIM(INDEX('COOIS Raw'!$A:$GZ,ROW()-4,$B$4)))</f>
        <v>92YRA03548AAA</v>
      </c>
      <c r="C539" s="42" t="str">
        <f aca="false">IF(OR(A539="",$C$4=0),"",INDEX('COOIS Raw'!$A:$GZ,ROW()-4,$C$4))</f>
        <v>R5B ERBIUM ASSEMBLY 3</v>
      </c>
      <c r="D539" s="41" t="n">
        <f aca="false">IF(A539="","",IF($D$4=0,1,IFERROR(--INDEX('COOIS Raw'!$A:$GZ,ROW()-4,$D$4),1)))</f>
        <v>1</v>
      </c>
      <c r="E539" s="42" t="str">
        <f aca="false">IF(A539="","",INDEX('COOIS Raw'!$A:$GZ,ROW()-4,$E$4)&amp;"")</f>
        <v>REL PRT PRC MANC SETC</v>
      </c>
      <c r="F539" s="43" t="n">
        <f aca="false">IF(A539="","",IFERROR(DATEVALUE(INDEX('COOIS Raw'!$A:$GZ,ROW()-4,$F$4)),INDEX('COOIS Raw'!$A:$GZ,ROW()-4,$F$4)))</f>
        <v>46226</v>
      </c>
      <c r="G539" s="41" t="str">
        <f aca="false">IF(A539="","",IF(ISNA(MATCH(B539,'Kitting Plan'!$B$6:$B$19,0)),"Not in plan","Yes"))</f>
        <v>Yes</v>
      </c>
      <c r="H539" s="41" t="n">
        <f aca="false">IF(G539="Yes",INDEX('Kitting Plan'!$D$6:$D$19,MATCH(B539,'Kitting Plan'!$B$6:$B$19,0)),"")</f>
        <v>3</v>
      </c>
      <c r="I539" s="41" t="n">
        <f aca="false">IF(A539="","",IF(ISNUMBER(SEARCH("PRT",E539)),D539,0))</f>
        <v>1</v>
      </c>
      <c r="J539" s="41" t="n">
        <f aca="false">IF(A539="","",IF(ISNUMBER(SEARCH("GMPS",E539)),D539,0))</f>
        <v>0</v>
      </c>
      <c r="K539" s="41" t="n">
        <f aca="false">IF(A539="","",IF(ISNUMBER(SEARCH("DLV",E539)),D539,0))</f>
        <v>0</v>
      </c>
      <c r="L539" s="41" t="str">
        <f aca="false">IF(A539="","",IF(K539&gt;0,"Delivered",IF(ISNUMBER(SEARCH("CNF",E539)),"In production",IF(J539&gt;0,"Issued",IF(I539&gt;0,"Kitted","Released")))))</f>
        <v>Kitted</v>
      </c>
      <c r="M539" s="41" t="n">
        <f aca="false">IF(G539&lt;&gt;"Yes","",COUNTIFS($B$6:$B$1505,B539,$F$6:$F$1505,"&lt;"&amp;F539)+COUNTIFS($B$6:$B$1505,B539,$F$6:$F$1505,F539,$A$6:$A$1505,"&lt;="&amp;A539))</f>
        <v>8</v>
      </c>
      <c r="N539" s="41" t="n">
        <f aca="false">IF(M539="","",ROUNDUP(M539/H539,0))</f>
        <v>3</v>
      </c>
      <c r="O539" s="41" t="str">
        <f aca="false">IF(N539="","",IF(N539&lt;='Kitting Plan'!$C$3,"Rep "&amp;N539,"Surplus"))</f>
        <v>Rep 3</v>
      </c>
    </row>
    <row r="540" customFormat="false" ht="15" hidden="false" customHeight="false" outlineLevel="0" collapsed="false">
      <c r="A540" s="40" t="n">
        <f aca="false">IF(OR($A$4=0,INDEX('COOIS Raw'!$A:$GZ,ROW()-4,$A$4)=""),"",IFERROR(--INDEX('COOIS Raw'!$A:$GZ,ROW()-4,$A$4),INDEX('COOIS Raw'!$A:$GZ,ROW()-4,$A$4)))</f>
        <v>100871617</v>
      </c>
      <c r="B540" s="41" t="str">
        <f aca="false">IF(A540="","",TRIM(INDEX('COOIS Raw'!$A:$GZ,ROW()-4,$B$4)))</f>
        <v>92YRA03548AAA</v>
      </c>
      <c r="C540" s="42" t="str">
        <f aca="false">IF(OR(A540="",$C$4=0),"",INDEX('COOIS Raw'!$A:$GZ,ROW()-4,$C$4))</f>
        <v>R5B ERBIUM ASSEMBLY 3</v>
      </c>
      <c r="D540" s="41" t="n">
        <f aca="false">IF(A540="","",IF($D$4=0,1,IFERROR(--INDEX('COOIS Raw'!$A:$GZ,ROW()-4,$D$4),1)))</f>
        <v>1</v>
      </c>
      <c r="E540" s="42" t="str">
        <f aca="false">IF(A540="","",INDEX('COOIS Raw'!$A:$GZ,ROW()-4,$E$4)&amp;"")</f>
        <v>REL PRT PRC MANC SETC</v>
      </c>
      <c r="F540" s="43" t="n">
        <f aca="false">IF(A540="","",IFERROR(DATEVALUE(INDEX('COOIS Raw'!$A:$GZ,ROW()-4,$F$4)),INDEX('COOIS Raw'!$A:$GZ,ROW()-4,$F$4)))</f>
        <v>46226</v>
      </c>
      <c r="G540" s="41" t="str">
        <f aca="false">IF(A540="","",IF(ISNA(MATCH(B540,'Kitting Plan'!$B$6:$B$19,0)),"Not in plan","Yes"))</f>
        <v>Yes</v>
      </c>
      <c r="H540" s="41" t="n">
        <f aca="false">IF(G540="Yes",INDEX('Kitting Plan'!$D$6:$D$19,MATCH(B540,'Kitting Plan'!$B$6:$B$19,0)),"")</f>
        <v>3</v>
      </c>
      <c r="I540" s="41" t="n">
        <f aca="false">IF(A540="","",IF(ISNUMBER(SEARCH("PRT",E540)),D540,0))</f>
        <v>1</v>
      </c>
      <c r="J540" s="41" t="n">
        <f aca="false">IF(A540="","",IF(ISNUMBER(SEARCH("GMPS",E540)),D540,0))</f>
        <v>0</v>
      </c>
      <c r="K540" s="41" t="n">
        <f aca="false">IF(A540="","",IF(ISNUMBER(SEARCH("DLV",E540)),D540,0))</f>
        <v>0</v>
      </c>
      <c r="L540" s="41" t="str">
        <f aca="false">IF(A540="","",IF(K540&gt;0,"Delivered",IF(ISNUMBER(SEARCH("CNF",E540)),"In production",IF(J540&gt;0,"Issued",IF(I540&gt;0,"Kitted","Released")))))</f>
        <v>Kitted</v>
      </c>
      <c r="M540" s="41" t="n">
        <f aca="false">IF(G540&lt;&gt;"Yes","",COUNTIFS($B$6:$B$1505,B540,$F$6:$F$1505,"&lt;"&amp;F540)+COUNTIFS($B$6:$B$1505,B540,$F$6:$F$1505,F540,$A$6:$A$1505,"&lt;="&amp;A540))</f>
        <v>9</v>
      </c>
      <c r="N540" s="41" t="n">
        <f aca="false">IF(M540="","",ROUNDUP(M540/H540,0))</f>
        <v>3</v>
      </c>
      <c r="O540" s="41" t="str">
        <f aca="false">IF(N540="","",IF(N540&lt;='Kitting Plan'!$C$3,"Rep "&amp;N540,"Surplus"))</f>
        <v>Rep 3</v>
      </c>
    </row>
    <row r="541" customFormat="false" ht="15" hidden="false" customHeight="false" outlineLevel="0" collapsed="false">
      <c r="A541" s="40" t="n">
        <f aca="false">IF(OR($A$4=0,INDEX('COOIS Raw'!$A:$GZ,ROW()-4,$A$4)=""),"",IFERROR(--INDEX('COOIS Raw'!$A:$GZ,ROW()-4,$A$4),INDEX('COOIS Raw'!$A:$GZ,ROW()-4,$A$4)))</f>
        <v>100871244</v>
      </c>
      <c r="B541" s="41" t="str">
        <f aca="false">IF(A541="","",TRIM(INDEX('COOIS Raw'!$A:$GZ,ROW()-4,$B$4)))</f>
        <v>91YAF03404AAA</v>
      </c>
      <c r="C541" s="42" t="str">
        <f aca="false">IF(OR(A541="",$C$4=0),"",INDEX('COOIS Raw'!$A:$GZ,ROW()-4,$C$4))</f>
        <v>R5B PSB SUB ASSEMBLY 4P-4FP</v>
      </c>
      <c r="D541" s="41" t="n">
        <f aca="false">IF(A541="","",IF($D$4=0,1,IFERROR(--INDEX('COOIS Raw'!$A:$GZ,ROW()-4,$D$4),1)))</f>
        <v>1</v>
      </c>
      <c r="E541" s="42" t="str">
        <f aca="false">IF(A541="","",INDEX('COOIS Raw'!$A:$GZ,ROW()-4,$E$4)&amp;"")</f>
        <v>REL PRT CNF DLV PRC GMPS MANC RESA*</v>
      </c>
      <c r="F541" s="43" t="n">
        <f aca="false">IF(A541="","",IFERROR(DATEVALUE(INDEX('COOIS Raw'!$A:$GZ,ROW()-4,$F$4)),INDEX('COOIS Raw'!$A:$GZ,ROW()-4,$F$4)))</f>
        <v>46225</v>
      </c>
      <c r="G541" s="41" t="str">
        <f aca="false">IF(A541="","",IF(ISNA(MATCH(B541,'Kitting Plan'!$B$6:$B$19,0)),"Not in plan","Yes"))</f>
        <v>Yes</v>
      </c>
      <c r="H541" s="41" t="n">
        <f aca="false">IF(G541="Yes",INDEX('Kitting Plan'!$D$6:$D$19,MATCH(B541,'Kitting Plan'!$B$6:$B$19,0)),"")</f>
        <v>3</v>
      </c>
      <c r="I541" s="41" t="n">
        <f aca="false">IF(A541="","",IF(ISNUMBER(SEARCH("PRT",E541)),D541,0))</f>
        <v>1</v>
      </c>
      <c r="J541" s="41" t="n">
        <f aca="false">IF(A541="","",IF(ISNUMBER(SEARCH("GMPS",E541)),D541,0))</f>
        <v>1</v>
      </c>
      <c r="K541" s="41" t="n">
        <f aca="false">IF(A541="","",IF(ISNUMBER(SEARCH("DLV",E541)),D541,0))</f>
        <v>1</v>
      </c>
      <c r="L541" s="41" t="str">
        <f aca="false">IF(A541="","",IF(K541&gt;0,"Delivered",IF(ISNUMBER(SEARCH("CNF",E541)),"In production",IF(J541&gt;0,"Issued",IF(I541&gt;0,"Kitted","Released")))))</f>
        <v>Delivered</v>
      </c>
      <c r="M541" s="41" t="n">
        <f aca="false">IF(G541&lt;&gt;"Yes","",COUNTIFS($B$6:$B$1505,B541,$F$6:$F$1505,"&lt;"&amp;F541)+COUNTIFS($B$6:$B$1505,B541,$F$6:$F$1505,F541,$A$6:$A$1505,"&lt;="&amp;A541))</f>
        <v>13</v>
      </c>
      <c r="N541" s="41" t="n">
        <f aca="false">IF(M541="","",ROUNDUP(M541/H541,0))</f>
        <v>5</v>
      </c>
      <c r="O541" s="41" t="str">
        <f aca="false">IF(N541="","",IF(N541&lt;='Kitting Plan'!$C$3,"Rep "&amp;N541,"Surplus"))</f>
        <v>Rep 5</v>
      </c>
    </row>
    <row r="542" customFormat="false" ht="15" hidden="false" customHeight="false" outlineLevel="0" collapsed="false">
      <c r="A542" s="40" t="n">
        <f aca="false">IF(OR($A$4=0,INDEX('COOIS Raw'!$A:$GZ,ROW()-4,$A$4)=""),"",IFERROR(--INDEX('COOIS Raw'!$A:$GZ,ROW()-4,$A$4),INDEX('COOIS Raw'!$A:$GZ,ROW()-4,$A$4)))</f>
        <v>100871245</v>
      </c>
      <c r="B542" s="41" t="str">
        <f aca="false">IF(A542="","",TRIM(INDEX('COOIS Raw'!$A:$GZ,ROW()-4,$B$4)))</f>
        <v>91YAF03404AAA</v>
      </c>
      <c r="C542" s="42" t="str">
        <f aca="false">IF(OR(A542="",$C$4=0),"",INDEX('COOIS Raw'!$A:$GZ,ROW()-4,$C$4))</f>
        <v>R5B PSB SUB ASSEMBLY 4P-4FP</v>
      </c>
      <c r="D542" s="41" t="n">
        <f aca="false">IF(A542="","",IF($D$4=0,1,IFERROR(--INDEX('COOIS Raw'!$A:$GZ,ROW()-4,$D$4),1)))</f>
        <v>1</v>
      </c>
      <c r="E542" s="42" t="str">
        <f aca="false">IF(A542="","",INDEX('COOIS Raw'!$A:$GZ,ROW()-4,$E$4)&amp;"")</f>
        <v>REL PRT CNF DLV PRC GMPS MANC RESA*</v>
      </c>
      <c r="F542" s="43" t="n">
        <f aca="false">IF(A542="","",IFERROR(DATEVALUE(INDEX('COOIS Raw'!$A:$GZ,ROW()-4,$F$4)),INDEX('COOIS Raw'!$A:$GZ,ROW()-4,$F$4)))</f>
        <v>46225</v>
      </c>
      <c r="G542" s="41" t="str">
        <f aca="false">IF(A542="","",IF(ISNA(MATCH(B542,'Kitting Plan'!$B$6:$B$19,0)),"Not in plan","Yes"))</f>
        <v>Yes</v>
      </c>
      <c r="H542" s="41" t="n">
        <f aca="false">IF(G542="Yes",INDEX('Kitting Plan'!$D$6:$D$19,MATCH(B542,'Kitting Plan'!$B$6:$B$19,0)),"")</f>
        <v>3</v>
      </c>
      <c r="I542" s="41" t="n">
        <f aca="false">IF(A542="","",IF(ISNUMBER(SEARCH("PRT",E542)),D542,0))</f>
        <v>1</v>
      </c>
      <c r="J542" s="41" t="n">
        <f aca="false">IF(A542="","",IF(ISNUMBER(SEARCH("GMPS",E542)),D542,0))</f>
        <v>1</v>
      </c>
      <c r="K542" s="41" t="n">
        <f aca="false">IF(A542="","",IF(ISNUMBER(SEARCH("DLV",E542)),D542,0))</f>
        <v>1</v>
      </c>
      <c r="L542" s="41" t="str">
        <f aca="false">IF(A542="","",IF(K542&gt;0,"Delivered",IF(ISNUMBER(SEARCH("CNF",E542)),"In production",IF(J542&gt;0,"Issued",IF(I542&gt;0,"Kitted","Released")))))</f>
        <v>Delivered</v>
      </c>
      <c r="M542" s="41" t="n">
        <f aca="false">IF(G542&lt;&gt;"Yes","",COUNTIFS($B$6:$B$1505,B542,$F$6:$F$1505,"&lt;"&amp;F542)+COUNTIFS($B$6:$B$1505,B542,$F$6:$F$1505,F542,$A$6:$A$1505,"&lt;="&amp;A542))</f>
        <v>14</v>
      </c>
      <c r="N542" s="41" t="n">
        <f aca="false">IF(M542="","",ROUNDUP(M542/H542,0))</f>
        <v>5</v>
      </c>
      <c r="O542" s="41" t="str">
        <f aca="false">IF(N542="","",IF(N542&lt;='Kitting Plan'!$C$3,"Rep "&amp;N542,"Surplus"))</f>
        <v>Rep 5</v>
      </c>
    </row>
    <row r="543" customFormat="false" ht="15" hidden="false" customHeight="false" outlineLevel="0" collapsed="false">
      <c r="A543" s="40" t="n">
        <f aca="false">IF(OR($A$4=0,INDEX('COOIS Raw'!$A:$GZ,ROW()-4,$A$4)=""),"",IFERROR(--INDEX('COOIS Raw'!$A:$GZ,ROW()-4,$A$4),INDEX('COOIS Raw'!$A:$GZ,ROW()-4,$A$4)))</f>
        <v>100871246</v>
      </c>
      <c r="B543" s="41" t="str">
        <f aca="false">IF(A543="","",TRIM(INDEX('COOIS Raw'!$A:$GZ,ROW()-4,$B$4)))</f>
        <v>91YAF03404AAA</v>
      </c>
      <c r="C543" s="42" t="str">
        <f aca="false">IF(OR(A543="",$C$4=0),"",INDEX('COOIS Raw'!$A:$GZ,ROW()-4,$C$4))</f>
        <v>R5B PSB SUB ASSEMBLY 4P-4FP</v>
      </c>
      <c r="D543" s="41" t="n">
        <f aca="false">IF(A543="","",IF($D$4=0,1,IFERROR(--INDEX('COOIS Raw'!$A:$GZ,ROW()-4,$D$4),1)))</f>
        <v>1</v>
      </c>
      <c r="E543" s="42" t="str">
        <f aca="false">IF(A543="","",INDEX('COOIS Raw'!$A:$GZ,ROW()-4,$E$4)&amp;"")</f>
        <v>REL PRT CNF DLV PRC GMPS MANC RESA*</v>
      </c>
      <c r="F543" s="43" t="n">
        <f aca="false">IF(A543="","",IFERROR(DATEVALUE(INDEX('COOIS Raw'!$A:$GZ,ROW()-4,$F$4)),INDEX('COOIS Raw'!$A:$GZ,ROW()-4,$F$4)))</f>
        <v>46225</v>
      </c>
      <c r="G543" s="41" t="str">
        <f aca="false">IF(A543="","",IF(ISNA(MATCH(B543,'Kitting Plan'!$B$6:$B$19,0)),"Not in plan","Yes"))</f>
        <v>Yes</v>
      </c>
      <c r="H543" s="41" t="n">
        <f aca="false">IF(G543="Yes",INDEX('Kitting Plan'!$D$6:$D$19,MATCH(B543,'Kitting Plan'!$B$6:$B$19,0)),"")</f>
        <v>3</v>
      </c>
      <c r="I543" s="41" t="n">
        <f aca="false">IF(A543="","",IF(ISNUMBER(SEARCH("PRT",E543)),D543,0))</f>
        <v>1</v>
      </c>
      <c r="J543" s="41" t="n">
        <f aca="false">IF(A543="","",IF(ISNUMBER(SEARCH("GMPS",E543)),D543,0))</f>
        <v>1</v>
      </c>
      <c r="K543" s="41" t="n">
        <f aca="false">IF(A543="","",IF(ISNUMBER(SEARCH("DLV",E543)),D543,0))</f>
        <v>1</v>
      </c>
      <c r="L543" s="41" t="str">
        <f aca="false">IF(A543="","",IF(K543&gt;0,"Delivered",IF(ISNUMBER(SEARCH("CNF",E543)),"In production",IF(J543&gt;0,"Issued",IF(I543&gt;0,"Kitted","Released")))))</f>
        <v>Delivered</v>
      </c>
      <c r="M543" s="41" t="n">
        <f aca="false">IF(G543&lt;&gt;"Yes","",COUNTIFS($B$6:$B$1505,B543,$F$6:$F$1505,"&lt;"&amp;F543)+COUNTIFS($B$6:$B$1505,B543,$F$6:$F$1505,F543,$A$6:$A$1505,"&lt;="&amp;A543))</f>
        <v>15</v>
      </c>
      <c r="N543" s="41" t="n">
        <f aca="false">IF(M543="","",ROUNDUP(M543/H543,0))</f>
        <v>5</v>
      </c>
      <c r="O543" s="41" t="str">
        <f aca="false">IF(N543="","",IF(N543&lt;='Kitting Plan'!$C$3,"Rep "&amp;N543,"Surplus"))</f>
        <v>Rep 5</v>
      </c>
    </row>
    <row r="544" customFormat="false" ht="15" hidden="false" customHeight="false" outlineLevel="0" collapsed="false">
      <c r="A544" s="40" t="n">
        <f aca="false">IF(OR($A$4=0,INDEX('COOIS Raw'!$A:$GZ,ROW()-4,$A$4)=""),"",IFERROR(--INDEX('COOIS Raw'!$A:$GZ,ROW()-4,$A$4),INDEX('COOIS Raw'!$A:$GZ,ROW()-4,$A$4)))</f>
        <v>100870914</v>
      </c>
      <c r="B544" s="41" t="str">
        <f aca="false">IF(A544="","",TRIM(INDEX('COOIS Raw'!$A:$GZ,ROW()-4,$B$4)))</f>
        <v>92YWS04548AAA</v>
      </c>
      <c r="C544" s="42" t="str">
        <f aca="false">IF(OR(A544="",$C$4=0),"",INDEX('COOIS Raw'!$A:$GZ,ROW()-4,$C$4))</f>
        <v>R5B 4FP POB LUMENTUM SUB ASSEMBLY - E2A</v>
      </c>
      <c r="D544" s="41" t="n">
        <f aca="false">IF(A544="","",IF($D$4=0,1,IFERROR(--INDEX('COOIS Raw'!$A:$GZ,ROW()-4,$D$4),1)))</f>
        <v>1</v>
      </c>
      <c r="E544" s="42" t="str">
        <f aca="false">IF(A544="","",INDEX('COOIS Raw'!$A:$GZ,ROW()-4,$E$4)&amp;"")</f>
        <v>REL PRT CNF DLV PRC GMPS MANC RESA*</v>
      </c>
      <c r="F544" s="43" t="n">
        <f aca="false">IF(A544="","",IFERROR(DATEVALUE(INDEX('COOIS Raw'!$A:$GZ,ROW()-4,$F$4)),INDEX('COOIS Raw'!$A:$GZ,ROW()-4,$F$4)))</f>
        <v>46224</v>
      </c>
      <c r="G544" s="41" t="str">
        <f aca="false">IF(A544="","",IF(ISNA(MATCH(B544,'Kitting Plan'!$B$6:$B$19,0)),"Not in plan","Yes"))</f>
        <v>Yes</v>
      </c>
      <c r="H544" s="41" t="n">
        <f aca="false">IF(G544="Yes",INDEX('Kitting Plan'!$D$6:$D$19,MATCH(B544,'Kitting Plan'!$B$6:$B$19,0)),"")</f>
        <v>3</v>
      </c>
      <c r="I544" s="41" t="n">
        <f aca="false">IF(A544="","",IF(ISNUMBER(SEARCH("PRT",E544)),D544,0))</f>
        <v>1</v>
      </c>
      <c r="J544" s="41" t="n">
        <f aca="false">IF(A544="","",IF(ISNUMBER(SEARCH("GMPS",E544)),D544,0))</f>
        <v>1</v>
      </c>
      <c r="K544" s="41" t="n">
        <f aca="false">IF(A544="","",IF(ISNUMBER(SEARCH("DLV",E544)),D544,0))</f>
        <v>1</v>
      </c>
      <c r="L544" s="41" t="str">
        <f aca="false">IF(A544="","",IF(K544&gt;0,"Delivered",IF(ISNUMBER(SEARCH("CNF",E544)),"In production",IF(J544&gt;0,"Issued",IF(I544&gt;0,"Kitted","Released")))))</f>
        <v>Delivered</v>
      </c>
      <c r="M544" s="41" t="n">
        <f aca="false">IF(G544&lt;&gt;"Yes","",COUNTIFS($B$6:$B$1505,B544,$F$6:$F$1505,"&lt;"&amp;F544)+COUNTIFS($B$6:$B$1505,B544,$F$6:$F$1505,F544,$A$6:$A$1505,"&lt;="&amp;A544))</f>
        <v>10</v>
      </c>
      <c r="N544" s="41" t="n">
        <f aca="false">IF(M544="","",ROUNDUP(M544/H544,0))</f>
        <v>4</v>
      </c>
      <c r="O544" s="41" t="str">
        <f aca="false">IF(N544="","",IF(N544&lt;='Kitting Plan'!$C$3,"Rep "&amp;N544,"Surplus"))</f>
        <v>Rep 4</v>
      </c>
    </row>
    <row r="545" customFormat="false" ht="15" hidden="false" customHeight="false" outlineLevel="0" collapsed="false">
      <c r="A545" s="40" t="n">
        <f aca="false">IF(OR($A$4=0,INDEX('COOIS Raw'!$A:$GZ,ROW()-4,$A$4)=""),"",IFERROR(--INDEX('COOIS Raw'!$A:$GZ,ROW()-4,$A$4),INDEX('COOIS Raw'!$A:$GZ,ROW()-4,$A$4)))</f>
        <v>100870915</v>
      </c>
      <c r="B545" s="41" t="str">
        <f aca="false">IF(A545="","",TRIM(INDEX('COOIS Raw'!$A:$GZ,ROW()-4,$B$4)))</f>
        <v>92YWS04548AAA</v>
      </c>
      <c r="C545" s="42" t="str">
        <f aca="false">IF(OR(A545="",$C$4=0),"",INDEX('COOIS Raw'!$A:$GZ,ROW()-4,$C$4))</f>
        <v>R5B 4FP POB LUMENTUM SUB ASSEMBLY - E2A</v>
      </c>
      <c r="D545" s="41" t="n">
        <f aca="false">IF(A545="","",IF($D$4=0,1,IFERROR(--INDEX('COOIS Raw'!$A:$GZ,ROW()-4,$D$4),1)))</f>
        <v>1</v>
      </c>
      <c r="E545" s="42" t="str">
        <f aca="false">IF(A545="","",INDEX('COOIS Raw'!$A:$GZ,ROW()-4,$E$4)&amp;"")</f>
        <v>REL PRT CNF DLV PRC GMPS MANC RESA*</v>
      </c>
      <c r="F545" s="43" t="n">
        <f aca="false">IF(A545="","",IFERROR(DATEVALUE(INDEX('COOIS Raw'!$A:$GZ,ROW()-4,$F$4)),INDEX('COOIS Raw'!$A:$GZ,ROW()-4,$F$4)))</f>
        <v>46224</v>
      </c>
      <c r="G545" s="41" t="str">
        <f aca="false">IF(A545="","",IF(ISNA(MATCH(B545,'Kitting Plan'!$B$6:$B$19,0)),"Not in plan","Yes"))</f>
        <v>Yes</v>
      </c>
      <c r="H545" s="41" t="n">
        <f aca="false">IF(G545="Yes",INDEX('Kitting Plan'!$D$6:$D$19,MATCH(B545,'Kitting Plan'!$B$6:$B$19,0)),"")</f>
        <v>3</v>
      </c>
      <c r="I545" s="41" t="n">
        <f aca="false">IF(A545="","",IF(ISNUMBER(SEARCH("PRT",E545)),D545,0))</f>
        <v>1</v>
      </c>
      <c r="J545" s="41" t="n">
        <f aca="false">IF(A545="","",IF(ISNUMBER(SEARCH("GMPS",E545)),D545,0))</f>
        <v>1</v>
      </c>
      <c r="K545" s="41" t="n">
        <f aca="false">IF(A545="","",IF(ISNUMBER(SEARCH("DLV",E545)),D545,0))</f>
        <v>1</v>
      </c>
      <c r="L545" s="41" t="str">
        <f aca="false">IF(A545="","",IF(K545&gt;0,"Delivered",IF(ISNUMBER(SEARCH("CNF",E545)),"In production",IF(J545&gt;0,"Issued",IF(I545&gt;0,"Kitted","Released")))))</f>
        <v>Delivered</v>
      </c>
      <c r="M545" s="41" t="n">
        <f aca="false">IF(G545&lt;&gt;"Yes","",COUNTIFS($B$6:$B$1505,B545,$F$6:$F$1505,"&lt;"&amp;F545)+COUNTIFS($B$6:$B$1505,B545,$F$6:$F$1505,F545,$A$6:$A$1505,"&lt;="&amp;A545))</f>
        <v>11</v>
      </c>
      <c r="N545" s="41" t="n">
        <f aca="false">IF(M545="","",ROUNDUP(M545/H545,0))</f>
        <v>4</v>
      </c>
      <c r="O545" s="41" t="str">
        <f aca="false">IF(N545="","",IF(N545&lt;='Kitting Plan'!$C$3,"Rep "&amp;N545,"Surplus"))</f>
        <v>Rep 4</v>
      </c>
    </row>
    <row r="546" customFormat="false" ht="15" hidden="false" customHeight="false" outlineLevel="0" collapsed="false">
      <c r="A546" s="40" t="n">
        <f aca="false">IF(OR($A$4=0,INDEX('COOIS Raw'!$A:$GZ,ROW()-4,$A$4)=""),"",IFERROR(--INDEX('COOIS Raw'!$A:$GZ,ROW()-4,$A$4),INDEX('COOIS Raw'!$A:$GZ,ROW()-4,$A$4)))</f>
        <v>100870916</v>
      </c>
      <c r="B546" s="41" t="str">
        <f aca="false">IF(A546="","",TRIM(INDEX('COOIS Raw'!$A:$GZ,ROW()-4,$B$4)))</f>
        <v>92YWS04548AAA</v>
      </c>
      <c r="C546" s="42" t="str">
        <f aca="false">IF(OR(A546="",$C$4=0),"",INDEX('COOIS Raw'!$A:$GZ,ROW()-4,$C$4))</f>
        <v>R5B 4FP POB LUMENTUM SUB ASSEMBLY - E2A</v>
      </c>
      <c r="D546" s="41" t="n">
        <f aca="false">IF(A546="","",IF($D$4=0,1,IFERROR(--INDEX('COOIS Raw'!$A:$GZ,ROW()-4,$D$4),1)))</f>
        <v>1</v>
      </c>
      <c r="E546" s="42" t="str">
        <f aca="false">IF(A546="","",INDEX('COOIS Raw'!$A:$GZ,ROW()-4,$E$4)&amp;"")</f>
        <v>REL PRT CNF DLV PRC GMPS MANC RESA*</v>
      </c>
      <c r="F546" s="43" t="n">
        <f aca="false">IF(A546="","",IFERROR(DATEVALUE(INDEX('COOIS Raw'!$A:$GZ,ROW()-4,$F$4)),INDEX('COOIS Raw'!$A:$GZ,ROW()-4,$F$4)))</f>
        <v>46224</v>
      </c>
      <c r="G546" s="41" t="str">
        <f aca="false">IF(A546="","",IF(ISNA(MATCH(B546,'Kitting Plan'!$B$6:$B$19,0)),"Not in plan","Yes"))</f>
        <v>Yes</v>
      </c>
      <c r="H546" s="41" t="n">
        <f aca="false">IF(G546="Yes",INDEX('Kitting Plan'!$D$6:$D$19,MATCH(B546,'Kitting Plan'!$B$6:$B$19,0)),"")</f>
        <v>3</v>
      </c>
      <c r="I546" s="41" t="n">
        <f aca="false">IF(A546="","",IF(ISNUMBER(SEARCH("PRT",E546)),D546,0))</f>
        <v>1</v>
      </c>
      <c r="J546" s="41" t="n">
        <f aca="false">IF(A546="","",IF(ISNUMBER(SEARCH("GMPS",E546)),D546,0))</f>
        <v>1</v>
      </c>
      <c r="K546" s="41" t="n">
        <f aca="false">IF(A546="","",IF(ISNUMBER(SEARCH("DLV",E546)),D546,0))</f>
        <v>1</v>
      </c>
      <c r="L546" s="41" t="str">
        <f aca="false">IF(A546="","",IF(K546&gt;0,"Delivered",IF(ISNUMBER(SEARCH("CNF",E546)),"In production",IF(J546&gt;0,"Issued",IF(I546&gt;0,"Kitted","Released")))))</f>
        <v>Delivered</v>
      </c>
      <c r="M546" s="41" t="n">
        <f aca="false">IF(G546&lt;&gt;"Yes","",COUNTIFS($B$6:$B$1505,B546,$F$6:$F$1505,"&lt;"&amp;F546)+COUNTIFS($B$6:$B$1505,B546,$F$6:$F$1505,F546,$A$6:$A$1505,"&lt;="&amp;A546))</f>
        <v>12</v>
      </c>
      <c r="N546" s="41" t="n">
        <f aca="false">IF(M546="","",ROUNDUP(M546/H546,0))</f>
        <v>4</v>
      </c>
      <c r="O546" s="41" t="str">
        <f aca="false">IF(N546="","",IF(N546&lt;='Kitting Plan'!$C$3,"Rep "&amp;N546,"Surplus"))</f>
        <v>Rep 4</v>
      </c>
    </row>
    <row r="547" customFormat="false" ht="15" hidden="false" customHeight="false" outlineLevel="0" collapsed="false">
      <c r="A547" s="40" t="n">
        <f aca="false">IF(OR($A$4=0,INDEX('COOIS Raw'!$A:$GZ,ROW()-4,$A$4)=""),"",IFERROR(--INDEX('COOIS Raw'!$A:$GZ,ROW()-4,$A$4),INDEX('COOIS Raw'!$A:$GZ,ROW()-4,$A$4)))</f>
        <v>100870801</v>
      </c>
      <c r="B547" s="41" t="str">
        <f aca="false">IF(A547="","",TRIM(INDEX('COOIS Raw'!$A:$GZ,ROW()-4,$B$4)))</f>
        <v>92RRA00548AAA</v>
      </c>
      <c r="C547" s="42" t="str">
        <f aca="false">IF(OR(A547="",$C$4=0),"",INDEX('COOIS Raw'!$A:$GZ,ROW()-4,$C$4))</f>
        <v>R5B ERBIUM SPOOL ASSEMBLY - E2A</v>
      </c>
      <c r="D547" s="41" t="n">
        <f aca="false">IF(A547="","",IF($D$4=0,1,IFERROR(--INDEX('COOIS Raw'!$A:$GZ,ROW()-4,$D$4),1)))</f>
        <v>1</v>
      </c>
      <c r="E547" s="42" t="str">
        <f aca="false">IF(A547="","",INDEX('COOIS Raw'!$A:$GZ,ROW()-4,$E$4)&amp;"")</f>
        <v>REL PRT CNF DLV PRC GMPS MANC SETC</v>
      </c>
      <c r="F547" s="43" t="n">
        <f aca="false">IF(A547="","",IFERROR(DATEVALUE(INDEX('COOIS Raw'!$A:$GZ,ROW()-4,$F$4)),INDEX('COOIS Raw'!$A:$GZ,ROW()-4,$F$4)))</f>
        <v>46223</v>
      </c>
      <c r="G547" s="41" t="str">
        <f aca="false">IF(A547="","",IF(ISNA(MATCH(B547,'Kitting Plan'!$B$6:$B$19,0)),"Not in plan","Yes"))</f>
        <v>Yes</v>
      </c>
      <c r="H547" s="41" t="n">
        <f aca="false">IF(G547="Yes",INDEX('Kitting Plan'!$D$6:$D$19,MATCH(B547,'Kitting Plan'!$B$6:$B$19,0)),"")</f>
        <v>24</v>
      </c>
      <c r="I547" s="41" t="n">
        <f aca="false">IF(A547="","",IF(ISNUMBER(SEARCH("PRT",E547)),D547,0))</f>
        <v>1</v>
      </c>
      <c r="J547" s="41" t="n">
        <f aca="false">IF(A547="","",IF(ISNUMBER(SEARCH("GMPS",E547)),D547,0))</f>
        <v>1</v>
      </c>
      <c r="K547" s="41" t="n">
        <f aca="false">IF(A547="","",IF(ISNUMBER(SEARCH("DLV",E547)),D547,0))</f>
        <v>1</v>
      </c>
      <c r="L547" s="41" t="str">
        <f aca="false">IF(A547="","",IF(K547&gt;0,"Delivered",IF(ISNUMBER(SEARCH("CNF",E547)),"In production",IF(J547&gt;0,"Issued",IF(I547&gt;0,"Kitted","Released")))))</f>
        <v>Delivered</v>
      </c>
      <c r="M547" s="41" t="n">
        <f aca="false">IF(G547&lt;&gt;"Yes","",COUNTIFS($B$6:$B$1505,B547,$F$6:$F$1505,"&lt;"&amp;F547)+COUNTIFS($B$6:$B$1505,B547,$F$6:$F$1505,F547,$A$6:$A$1505,"&lt;="&amp;A547))</f>
        <v>55</v>
      </c>
      <c r="N547" s="41" t="n">
        <f aca="false">IF(M547="","",ROUNDUP(M547/H547,0))</f>
        <v>3</v>
      </c>
      <c r="O547" s="41" t="str">
        <f aca="false">IF(N547="","",IF(N547&lt;='Kitting Plan'!$C$3,"Rep "&amp;N547,"Surplus"))</f>
        <v>Rep 3</v>
      </c>
    </row>
    <row r="548" customFormat="false" ht="15" hidden="false" customHeight="false" outlineLevel="0" collapsed="false">
      <c r="A548" s="40" t="n">
        <f aca="false">IF(OR($A$4=0,INDEX('COOIS Raw'!$A:$GZ,ROW()-4,$A$4)=""),"",IFERROR(--INDEX('COOIS Raw'!$A:$GZ,ROW()-4,$A$4),INDEX('COOIS Raw'!$A:$GZ,ROW()-4,$A$4)))</f>
        <v>100870802</v>
      </c>
      <c r="B548" s="41" t="str">
        <f aca="false">IF(A548="","",TRIM(INDEX('COOIS Raw'!$A:$GZ,ROW()-4,$B$4)))</f>
        <v>92RRA00548AAA</v>
      </c>
      <c r="C548" s="42" t="str">
        <f aca="false">IF(OR(A548="",$C$4=0),"",INDEX('COOIS Raw'!$A:$GZ,ROW()-4,$C$4))</f>
        <v>R5B ERBIUM SPOOL ASSEMBLY - E2A</v>
      </c>
      <c r="D548" s="41" t="n">
        <f aca="false">IF(A548="","",IF($D$4=0,1,IFERROR(--INDEX('COOIS Raw'!$A:$GZ,ROW()-4,$D$4),1)))</f>
        <v>1</v>
      </c>
      <c r="E548" s="42" t="str">
        <f aca="false">IF(A548="","",INDEX('COOIS Raw'!$A:$GZ,ROW()-4,$E$4)&amp;"")</f>
        <v>REL PRT CNF DLV PRC GMPS MANC SETC</v>
      </c>
      <c r="F548" s="43" t="n">
        <f aca="false">IF(A548="","",IFERROR(DATEVALUE(INDEX('COOIS Raw'!$A:$GZ,ROW()-4,$F$4)),INDEX('COOIS Raw'!$A:$GZ,ROW()-4,$F$4)))</f>
        <v>46223</v>
      </c>
      <c r="G548" s="41" t="str">
        <f aca="false">IF(A548="","",IF(ISNA(MATCH(B548,'Kitting Plan'!$B$6:$B$19,0)),"Not in plan","Yes"))</f>
        <v>Yes</v>
      </c>
      <c r="H548" s="41" t="n">
        <f aca="false">IF(G548="Yes",INDEX('Kitting Plan'!$D$6:$D$19,MATCH(B548,'Kitting Plan'!$B$6:$B$19,0)),"")</f>
        <v>24</v>
      </c>
      <c r="I548" s="41" t="n">
        <f aca="false">IF(A548="","",IF(ISNUMBER(SEARCH("PRT",E548)),D548,0))</f>
        <v>1</v>
      </c>
      <c r="J548" s="41" t="n">
        <f aca="false">IF(A548="","",IF(ISNUMBER(SEARCH("GMPS",E548)),D548,0))</f>
        <v>1</v>
      </c>
      <c r="K548" s="41" t="n">
        <f aca="false">IF(A548="","",IF(ISNUMBER(SEARCH("DLV",E548)),D548,0))</f>
        <v>1</v>
      </c>
      <c r="L548" s="41" t="str">
        <f aca="false">IF(A548="","",IF(K548&gt;0,"Delivered",IF(ISNUMBER(SEARCH("CNF",E548)),"In production",IF(J548&gt;0,"Issued",IF(I548&gt;0,"Kitted","Released")))))</f>
        <v>Delivered</v>
      </c>
      <c r="M548" s="41" t="n">
        <f aca="false">IF(G548&lt;&gt;"Yes","",COUNTIFS($B$6:$B$1505,B548,$F$6:$F$1505,"&lt;"&amp;F548)+COUNTIFS($B$6:$B$1505,B548,$F$6:$F$1505,F548,$A$6:$A$1505,"&lt;="&amp;A548))</f>
        <v>56</v>
      </c>
      <c r="N548" s="41" t="n">
        <f aca="false">IF(M548="","",ROUNDUP(M548/H548,0))</f>
        <v>3</v>
      </c>
      <c r="O548" s="41" t="str">
        <f aca="false">IF(N548="","",IF(N548&lt;='Kitting Plan'!$C$3,"Rep "&amp;N548,"Surplus"))</f>
        <v>Rep 3</v>
      </c>
    </row>
    <row r="549" customFormat="false" ht="15" hidden="false" customHeight="false" outlineLevel="0" collapsed="false">
      <c r="A549" s="40" t="n">
        <f aca="false">IF(OR($A$4=0,INDEX('COOIS Raw'!$A:$GZ,ROW()-4,$A$4)=""),"",IFERROR(--INDEX('COOIS Raw'!$A:$GZ,ROW()-4,$A$4),INDEX('COOIS Raw'!$A:$GZ,ROW()-4,$A$4)))</f>
        <v>100870803</v>
      </c>
      <c r="B549" s="41" t="str">
        <f aca="false">IF(A549="","",TRIM(INDEX('COOIS Raw'!$A:$GZ,ROW()-4,$B$4)))</f>
        <v>92RRA00548AAA</v>
      </c>
      <c r="C549" s="42" t="str">
        <f aca="false">IF(OR(A549="",$C$4=0),"",INDEX('COOIS Raw'!$A:$GZ,ROW()-4,$C$4))</f>
        <v>R5B ERBIUM SPOOL ASSEMBLY - E2A</v>
      </c>
      <c r="D549" s="41" t="n">
        <f aca="false">IF(A549="","",IF($D$4=0,1,IFERROR(--INDEX('COOIS Raw'!$A:$GZ,ROW()-4,$D$4),1)))</f>
        <v>1</v>
      </c>
      <c r="E549" s="42" t="str">
        <f aca="false">IF(A549="","",INDEX('COOIS Raw'!$A:$GZ,ROW()-4,$E$4)&amp;"")</f>
        <v>REL PRT CNF DLV PRC GMPS MANC SETC</v>
      </c>
      <c r="F549" s="43" t="n">
        <f aca="false">IF(A549="","",IFERROR(DATEVALUE(INDEX('COOIS Raw'!$A:$GZ,ROW()-4,$F$4)),INDEX('COOIS Raw'!$A:$GZ,ROW()-4,$F$4)))</f>
        <v>46223</v>
      </c>
      <c r="G549" s="41" t="str">
        <f aca="false">IF(A549="","",IF(ISNA(MATCH(B549,'Kitting Plan'!$B$6:$B$19,0)),"Not in plan","Yes"))</f>
        <v>Yes</v>
      </c>
      <c r="H549" s="41" t="n">
        <f aca="false">IF(G549="Yes",INDEX('Kitting Plan'!$D$6:$D$19,MATCH(B549,'Kitting Plan'!$B$6:$B$19,0)),"")</f>
        <v>24</v>
      </c>
      <c r="I549" s="41" t="n">
        <f aca="false">IF(A549="","",IF(ISNUMBER(SEARCH("PRT",E549)),D549,0))</f>
        <v>1</v>
      </c>
      <c r="J549" s="41" t="n">
        <f aca="false">IF(A549="","",IF(ISNUMBER(SEARCH("GMPS",E549)),D549,0))</f>
        <v>1</v>
      </c>
      <c r="K549" s="41" t="n">
        <f aca="false">IF(A549="","",IF(ISNUMBER(SEARCH("DLV",E549)),D549,0))</f>
        <v>1</v>
      </c>
      <c r="L549" s="41" t="str">
        <f aca="false">IF(A549="","",IF(K549&gt;0,"Delivered",IF(ISNUMBER(SEARCH("CNF",E549)),"In production",IF(J549&gt;0,"Issued",IF(I549&gt;0,"Kitted","Released")))))</f>
        <v>Delivered</v>
      </c>
      <c r="M549" s="41" t="n">
        <f aca="false">IF(G549&lt;&gt;"Yes","",COUNTIFS($B$6:$B$1505,B549,$F$6:$F$1505,"&lt;"&amp;F549)+COUNTIFS($B$6:$B$1505,B549,$F$6:$F$1505,F549,$A$6:$A$1505,"&lt;="&amp;A549))</f>
        <v>57</v>
      </c>
      <c r="N549" s="41" t="n">
        <f aca="false">IF(M549="","",ROUNDUP(M549/H549,0))</f>
        <v>3</v>
      </c>
      <c r="O549" s="41" t="str">
        <f aca="false">IF(N549="","",IF(N549&lt;='Kitting Plan'!$C$3,"Rep "&amp;N549,"Surplus"))</f>
        <v>Rep 3</v>
      </c>
    </row>
    <row r="550" customFormat="false" ht="15" hidden="false" customHeight="false" outlineLevel="0" collapsed="false">
      <c r="A550" s="40" t="n">
        <f aca="false">IF(OR($A$4=0,INDEX('COOIS Raw'!$A:$GZ,ROW()-4,$A$4)=""),"",IFERROR(--INDEX('COOIS Raw'!$A:$GZ,ROW()-4,$A$4),INDEX('COOIS Raw'!$A:$GZ,ROW()-4,$A$4)))</f>
        <v>100870804</v>
      </c>
      <c r="B550" s="41" t="str">
        <f aca="false">IF(A550="","",TRIM(INDEX('COOIS Raw'!$A:$GZ,ROW()-4,$B$4)))</f>
        <v>92RRA00548AAA</v>
      </c>
      <c r="C550" s="42" t="str">
        <f aca="false">IF(OR(A550="",$C$4=0),"",INDEX('COOIS Raw'!$A:$GZ,ROW()-4,$C$4))</f>
        <v>R5B ERBIUM SPOOL ASSEMBLY - E2A</v>
      </c>
      <c r="D550" s="41" t="n">
        <f aca="false">IF(A550="","",IF($D$4=0,1,IFERROR(--INDEX('COOIS Raw'!$A:$GZ,ROW()-4,$D$4),1)))</f>
        <v>1</v>
      </c>
      <c r="E550" s="42" t="str">
        <f aca="false">IF(A550="","",INDEX('COOIS Raw'!$A:$GZ,ROW()-4,$E$4)&amp;"")</f>
        <v>REL PRT CNF DLV PRC GMPS MANC SETC</v>
      </c>
      <c r="F550" s="43" t="n">
        <f aca="false">IF(A550="","",IFERROR(DATEVALUE(INDEX('COOIS Raw'!$A:$GZ,ROW()-4,$F$4)),INDEX('COOIS Raw'!$A:$GZ,ROW()-4,$F$4)))</f>
        <v>46223</v>
      </c>
      <c r="G550" s="41" t="str">
        <f aca="false">IF(A550="","",IF(ISNA(MATCH(B550,'Kitting Plan'!$B$6:$B$19,0)),"Not in plan","Yes"))</f>
        <v>Yes</v>
      </c>
      <c r="H550" s="41" t="n">
        <f aca="false">IF(G550="Yes",INDEX('Kitting Plan'!$D$6:$D$19,MATCH(B550,'Kitting Plan'!$B$6:$B$19,0)),"")</f>
        <v>24</v>
      </c>
      <c r="I550" s="41" t="n">
        <f aca="false">IF(A550="","",IF(ISNUMBER(SEARCH("PRT",E550)),D550,0))</f>
        <v>1</v>
      </c>
      <c r="J550" s="41" t="n">
        <f aca="false">IF(A550="","",IF(ISNUMBER(SEARCH("GMPS",E550)),D550,0))</f>
        <v>1</v>
      </c>
      <c r="K550" s="41" t="n">
        <f aca="false">IF(A550="","",IF(ISNUMBER(SEARCH("DLV",E550)),D550,0))</f>
        <v>1</v>
      </c>
      <c r="L550" s="41" t="str">
        <f aca="false">IF(A550="","",IF(K550&gt;0,"Delivered",IF(ISNUMBER(SEARCH("CNF",E550)),"In production",IF(J550&gt;0,"Issued",IF(I550&gt;0,"Kitted","Released")))))</f>
        <v>Delivered</v>
      </c>
      <c r="M550" s="41" t="n">
        <f aca="false">IF(G550&lt;&gt;"Yes","",COUNTIFS($B$6:$B$1505,B550,$F$6:$F$1505,"&lt;"&amp;F550)+COUNTIFS($B$6:$B$1505,B550,$F$6:$F$1505,F550,$A$6:$A$1505,"&lt;="&amp;A550))</f>
        <v>58</v>
      </c>
      <c r="N550" s="41" t="n">
        <f aca="false">IF(M550="","",ROUNDUP(M550/H550,0))</f>
        <v>3</v>
      </c>
      <c r="O550" s="41" t="str">
        <f aca="false">IF(N550="","",IF(N550&lt;='Kitting Plan'!$C$3,"Rep "&amp;N550,"Surplus"))</f>
        <v>Rep 3</v>
      </c>
    </row>
    <row r="551" customFormat="false" ht="15" hidden="false" customHeight="false" outlineLevel="0" collapsed="false">
      <c r="A551" s="40" t="n">
        <f aca="false">IF(OR($A$4=0,INDEX('COOIS Raw'!$A:$GZ,ROW()-4,$A$4)=""),"",IFERROR(--INDEX('COOIS Raw'!$A:$GZ,ROW()-4,$A$4),INDEX('COOIS Raw'!$A:$GZ,ROW()-4,$A$4)))</f>
        <v>100870805</v>
      </c>
      <c r="B551" s="41" t="str">
        <f aca="false">IF(A551="","",TRIM(INDEX('COOIS Raw'!$A:$GZ,ROW()-4,$B$4)))</f>
        <v>92RRA00548AAA</v>
      </c>
      <c r="C551" s="42" t="str">
        <f aca="false">IF(OR(A551="",$C$4=0),"",INDEX('COOIS Raw'!$A:$GZ,ROW()-4,$C$4))</f>
        <v>R5B ERBIUM SPOOL ASSEMBLY - E2A</v>
      </c>
      <c r="D551" s="41" t="n">
        <f aca="false">IF(A551="","",IF($D$4=0,1,IFERROR(--INDEX('COOIS Raw'!$A:$GZ,ROW()-4,$D$4),1)))</f>
        <v>1</v>
      </c>
      <c r="E551" s="42" t="str">
        <f aca="false">IF(A551="","",INDEX('COOIS Raw'!$A:$GZ,ROW()-4,$E$4)&amp;"")</f>
        <v>REL PRT CNF DLV PRC GMPS MANC SETC</v>
      </c>
      <c r="F551" s="43" t="n">
        <f aca="false">IF(A551="","",IFERROR(DATEVALUE(INDEX('COOIS Raw'!$A:$GZ,ROW()-4,$F$4)),INDEX('COOIS Raw'!$A:$GZ,ROW()-4,$F$4)))</f>
        <v>46223</v>
      </c>
      <c r="G551" s="41" t="str">
        <f aca="false">IF(A551="","",IF(ISNA(MATCH(B551,'Kitting Plan'!$B$6:$B$19,0)),"Not in plan","Yes"))</f>
        <v>Yes</v>
      </c>
      <c r="H551" s="41" t="n">
        <f aca="false">IF(G551="Yes",INDEX('Kitting Plan'!$D$6:$D$19,MATCH(B551,'Kitting Plan'!$B$6:$B$19,0)),"")</f>
        <v>24</v>
      </c>
      <c r="I551" s="41" t="n">
        <f aca="false">IF(A551="","",IF(ISNUMBER(SEARCH("PRT",E551)),D551,0))</f>
        <v>1</v>
      </c>
      <c r="J551" s="41" t="n">
        <f aca="false">IF(A551="","",IF(ISNUMBER(SEARCH("GMPS",E551)),D551,0))</f>
        <v>1</v>
      </c>
      <c r="K551" s="41" t="n">
        <f aca="false">IF(A551="","",IF(ISNUMBER(SEARCH("DLV",E551)),D551,0))</f>
        <v>1</v>
      </c>
      <c r="L551" s="41" t="str">
        <f aca="false">IF(A551="","",IF(K551&gt;0,"Delivered",IF(ISNUMBER(SEARCH("CNF",E551)),"In production",IF(J551&gt;0,"Issued",IF(I551&gt;0,"Kitted","Released")))))</f>
        <v>Delivered</v>
      </c>
      <c r="M551" s="41" t="n">
        <f aca="false">IF(G551&lt;&gt;"Yes","",COUNTIFS($B$6:$B$1505,B551,$F$6:$F$1505,"&lt;"&amp;F551)+COUNTIFS($B$6:$B$1505,B551,$F$6:$F$1505,F551,$A$6:$A$1505,"&lt;="&amp;A551))</f>
        <v>59</v>
      </c>
      <c r="N551" s="41" t="n">
        <f aca="false">IF(M551="","",ROUNDUP(M551/H551,0))</f>
        <v>3</v>
      </c>
      <c r="O551" s="41" t="str">
        <f aca="false">IF(N551="","",IF(N551&lt;='Kitting Plan'!$C$3,"Rep "&amp;N551,"Surplus"))</f>
        <v>Rep 3</v>
      </c>
    </row>
    <row r="552" customFormat="false" ht="15" hidden="false" customHeight="false" outlineLevel="0" collapsed="false">
      <c r="A552" s="40" t="n">
        <f aca="false">IF(OR($A$4=0,INDEX('COOIS Raw'!$A:$GZ,ROW()-4,$A$4)=""),"",IFERROR(--INDEX('COOIS Raw'!$A:$GZ,ROW()-4,$A$4),INDEX('COOIS Raw'!$A:$GZ,ROW()-4,$A$4)))</f>
        <v>100870806</v>
      </c>
      <c r="B552" s="41" t="str">
        <f aca="false">IF(A552="","",TRIM(INDEX('COOIS Raw'!$A:$GZ,ROW()-4,$B$4)))</f>
        <v>92RRA00548AAA</v>
      </c>
      <c r="C552" s="42" t="str">
        <f aca="false">IF(OR(A552="",$C$4=0),"",INDEX('COOIS Raw'!$A:$GZ,ROW()-4,$C$4))</f>
        <v>R5B ERBIUM SPOOL ASSEMBLY - E2A</v>
      </c>
      <c r="D552" s="41" t="n">
        <f aca="false">IF(A552="","",IF($D$4=0,1,IFERROR(--INDEX('COOIS Raw'!$A:$GZ,ROW()-4,$D$4),1)))</f>
        <v>1</v>
      </c>
      <c r="E552" s="42" t="str">
        <f aca="false">IF(A552="","",INDEX('COOIS Raw'!$A:$GZ,ROW()-4,$E$4)&amp;"")</f>
        <v>REL PRT CNF DLV PRC GMPS MANC SETC</v>
      </c>
      <c r="F552" s="43" t="n">
        <f aca="false">IF(A552="","",IFERROR(DATEVALUE(INDEX('COOIS Raw'!$A:$GZ,ROW()-4,$F$4)),INDEX('COOIS Raw'!$A:$GZ,ROW()-4,$F$4)))</f>
        <v>46223</v>
      </c>
      <c r="G552" s="41" t="str">
        <f aca="false">IF(A552="","",IF(ISNA(MATCH(B552,'Kitting Plan'!$B$6:$B$19,0)),"Not in plan","Yes"))</f>
        <v>Yes</v>
      </c>
      <c r="H552" s="41" t="n">
        <f aca="false">IF(G552="Yes",INDEX('Kitting Plan'!$D$6:$D$19,MATCH(B552,'Kitting Plan'!$B$6:$B$19,0)),"")</f>
        <v>24</v>
      </c>
      <c r="I552" s="41" t="n">
        <f aca="false">IF(A552="","",IF(ISNUMBER(SEARCH("PRT",E552)),D552,0))</f>
        <v>1</v>
      </c>
      <c r="J552" s="41" t="n">
        <f aca="false">IF(A552="","",IF(ISNUMBER(SEARCH("GMPS",E552)),D552,0))</f>
        <v>1</v>
      </c>
      <c r="K552" s="41" t="n">
        <f aca="false">IF(A552="","",IF(ISNUMBER(SEARCH("DLV",E552)),D552,0))</f>
        <v>1</v>
      </c>
      <c r="L552" s="41" t="str">
        <f aca="false">IF(A552="","",IF(K552&gt;0,"Delivered",IF(ISNUMBER(SEARCH("CNF",E552)),"In production",IF(J552&gt;0,"Issued",IF(I552&gt;0,"Kitted","Released")))))</f>
        <v>Delivered</v>
      </c>
      <c r="M552" s="41" t="n">
        <f aca="false">IF(G552&lt;&gt;"Yes","",COUNTIFS($B$6:$B$1505,B552,$F$6:$F$1505,"&lt;"&amp;F552)+COUNTIFS($B$6:$B$1505,B552,$F$6:$F$1505,F552,$A$6:$A$1505,"&lt;="&amp;A552))</f>
        <v>60</v>
      </c>
      <c r="N552" s="41" t="n">
        <f aca="false">IF(M552="","",ROUNDUP(M552/H552,0))</f>
        <v>3</v>
      </c>
      <c r="O552" s="41" t="str">
        <f aca="false">IF(N552="","",IF(N552&lt;='Kitting Plan'!$C$3,"Rep "&amp;N552,"Surplus"))</f>
        <v>Rep 3</v>
      </c>
    </row>
    <row r="553" customFormat="false" ht="15" hidden="false" customHeight="false" outlineLevel="0" collapsed="false">
      <c r="A553" s="40" t="n">
        <f aca="false">IF(OR($A$4=0,INDEX('COOIS Raw'!$A:$GZ,ROW()-4,$A$4)=""),"",IFERROR(--INDEX('COOIS Raw'!$A:$GZ,ROW()-4,$A$4),INDEX('COOIS Raw'!$A:$GZ,ROW()-4,$A$4)))</f>
        <v>100870807</v>
      </c>
      <c r="B553" s="41" t="str">
        <f aca="false">IF(A553="","",TRIM(INDEX('COOIS Raw'!$A:$GZ,ROW()-4,$B$4)))</f>
        <v>92RRA00548AAA</v>
      </c>
      <c r="C553" s="42" t="str">
        <f aca="false">IF(OR(A553="",$C$4=0),"",INDEX('COOIS Raw'!$A:$GZ,ROW()-4,$C$4))</f>
        <v>R5B ERBIUM SPOOL ASSEMBLY - E2A</v>
      </c>
      <c r="D553" s="41" t="n">
        <f aca="false">IF(A553="","",IF($D$4=0,1,IFERROR(--INDEX('COOIS Raw'!$A:$GZ,ROW()-4,$D$4),1)))</f>
        <v>1</v>
      </c>
      <c r="E553" s="42" t="str">
        <f aca="false">IF(A553="","",INDEX('COOIS Raw'!$A:$GZ,ROW()-4,$E$4)&amp;"")</f>
        <v>REL PRT CNF DLV PRC GMPS MANC SETC</v>
      </c>
      <c r="F553" s="43" t="n">
        <f aca="false">IF(A553="","",IFERROR(DATEVALUE(INDEX('COOIS Raw'!$A:$GZ,ROW()-4,$F$4)),INDEX('COOIS Raw'!$A:$GZ,ROW()-4,$F$4)))</f>
        <v>46223</v>
      </c>
      <c r="G553" s="41" t="str">
        <f aca="false">IF(A553="","",IF(ISNA(MATCH(B553,'Kitting Plan'!$B$6:$B$19,0)),"Not in plan","Yes"))</f>
        <v>Yes</v>
      </c>
      <c r="H553" s="41" t="n">
        <f aca="false">IF(G553="Yes",INDEX('Kitting Plan'!$D$6:$D$19,MATCH(B553,'Kitting Plan'!$B$6:$B$19,0)),"")</f>
        <v>24</v>
      </c>
      <c r="I553" s="41" t="n">
        <f aca="false">IF(A553="","",IF(ISNUMBER(SEARCH("PRT",E553)),D553,0))</f>
        <v>1</v>
      </c>
      <c r="J553" s="41" t="n">
        <f aca="false">IF(A553="","",IF(ISNUMBER(SEARCH("GMPS",E553)),D553,0))</f>
        <v>1</v>
      </c>
      <c r="K553" s="41" t="n">
        <f aca="false">IF(A553="","",IF(ISNUMBER(SEARCH("DLV",E553)),D553,0))</f>
        <v>1</v>
      </c>
      <c r="L553" s="41" t="str">
        <f aca="false">IF(A553="","",IF(K553&gt;0,"Delivered",IF(ISNUMBER(SEARCH("CNF",E553)),"In production",IF(J553&gt;0,"Issued",IF(I553&gt;0,"Kitted","Released")))))</f>
        <v>Delivered</v>
      </c>
      <c r="M553" s="41" t="n">
        <f aca="false">IF(G553&lt;&gt;"Yes","",COUNTIFS($B$6:$B$1505,B553,$F$6:$F$1505,"&lt;"&amp;F553)+COUNTIFS($B$6:$B$1505,B553,$F$6:$F$1505,F553,$A$6:$A$1505,"&lt;="&amp;A553))</f>
        <v>61</v>
      </c>
      <c r="N553" s="41" t="n">
        <f aca="false">IF(M553="","",ROUNDUP(M553/H553,0))</f>
        <v>3</v>
      </c>
      <c r="O553" s="41" t="str">
        <f aca="false">IF(N553="","",IF(N553&lt;='Kitting Plan'!$C$3,"Rep "&amp;N553,"Surplus"))</f>
        <v>Rep 3</v>
      </c>
    </row>
    <row r="554" customFormat="false" ht="15" hidden="false" customHeight="false" outlineLevel="0" collapsed="false">
      <c r="A554" s="40" t="n">
        <f aca="false">IF(OR($A$4=0,INDEX('COOIS Raw'!$A:$GZ,ROW()-4,$A$4)=""),"",IFERROR(--INDEX('COOIS Raw'!$A:$GZ,ROW()-4,$A$4),INDEX('COOIS Raw'!$A:$GZ,ROW()-4,$A$4)))</f>
        <v>100870808</v>
      </c>
      <c r="B554" s="41" t="str">
        <f aca="false">IF(A554="","",TRIM(INDEX('COOIS Raw'!$A:$GZ,ROW()-4,$B$4)))</f>
        <v>92RRA00548AAA</v>
      </c>
      <c r="C554" s="42" t="str">
        <f aca="false">IF(OR(A554="",$C$4=0),"",INDEX('COOIS Raw'!$A:$GZ,ROW()-4,$C$4))</f>
        <v>R5B ERBIUM SPOOL ASSEMBLY - E2A</v>
      </c>
      <c r="D554" s="41" t="n">
        <f aca="false">IF(A554="","",IF($D$4=0,1,IFERROR(--INDEX('COOIS Raw'!$A:$GZ,ROW()-4,$D$4),1)))</f>
        <v>1</v>
      </c>
      <c r="E554" s="42" t="str">
        <f aca="false">IF(A554="","",INDEX('COOIS Raw'!$A:$GZ,ROW()-4,$E$4)&amp;"")</f>
        <v>REL PRT CNF DLV PRC GMPS MANC SETC</v>
      </c>
      <c r="F554" s="43" t="n">
        <f aca="false">IF(A554="","",IFERROR(DATEVALUE(INDEX('COOIS Raw'!$A:$GZ,ROW()-4,$F$4)),INDEX('COOIS Raw'!$A:$GZ,ROW()-4,$F$4)))</f>
        <v>46223</v>
      </c>
      <c r="G554" s="41" t="str">
        <f aca="false">IF(A554="","",IF(ISNA(MATCH(B554,'Kitting Plan'!$B$6:$B$19,0)),"Not in plan","Yes"))</f>
        <v>Yes</v>
      </c>
      <c r="H554" s="41" t="n">
        <f aca="false">IF(G554="Yes",INDEX('Kitting Plan'!$D$6:$D$19,MATCH(B554,'Kitting Plan'!$B$6:$B$19,0)),"")</f>
        <v>24</v>
      </c>
      <c r="I554" s="41" t="n">
        <f aca="false">IF(A554="","",IF(ISNUMBER(SEARCH("PRT",E554)),D554,0))</f>
        <v>1</v>
      </c>
      <c r="J554" s="41" t="n">
        <f aca="false">IF(A554="","",IF(ISNUMBER(SEARCH("GMPS",E554)),D554,0))</f>
        <v>1</v>
      </c>
      <c r="K554" s="41" t="n">
        <f aca="false">IF(A554="","",IF(ISNUMBER(SEARCH("DLV",E554)),D554,0))</f>
        <v>1</v>
      </c>
      <c r="L554" s="41" t="str">
        <f aca="false">IF(A554="","",IF(K554&gt;0,"Delivered",IF(ISNUMBER(SEARCH("CNF",E554)),"In production",IF(J554&gt;0,"Issued",IF(I554&gt;0,"Kitted","Released")))))</f>
        <v>Delivered</v>
      </c>
      <c r="M554" s="41" t="n">
        <f aca="false">IF(G554&lt;&gt;"Yes","",COUNTIFS($B$6:$B$1505,B554,$F$6:$F$1505,"&lt;"&amp;F554)+COUNTIFS($B$6:$B$1505,B554,$F$6:$F$1505,F554,$A$6:$A$1505,"&lt;="&amp;A554))</f>
        <v>62</v>
      </c>
      <c r="N554" s="41" t="n">
        <f aca="false">IF(M554="","",ROUNDUP(M554/H554,0))</f>
        <v>3</v>
      </c>
      <c r="O554" s="41" t="str">
        <f aca="false">IF(N554="","",IF(N554&lt;='Kitting Plan'!$C$3,"Rep "&amp;N554,"Surplus"))</f>
        <v>Rep 3</v>
      </c>
    </row>
    <row r="555" customFormat="false" ht="15" hidden="false" customHeight="false" outlineLevel="0" collapsed="false">
      <c r="A555" s="40" t="n">
        <f aca="false">IF(OR($A$4=0,INDEX('COOIS Raw'!$A:$GZ,ROW()-4,$A$4)=""),"",IFERROR(--INDEX('COOIS Raw'!$A:$GZ,ROW()-4,$A$4),INDEX('COOIS Raw'!$A:$GZ,ROW()-4,$A$4)))</f>
        <v>100870809</v>
      </c>
      <c r="B555" s="41" t="str">
        <f aca="false">IF(A555="","",TRIM(INDEX('COOIS Raw'!$A:$GZ,ROW()-4,$B$4)))</f>
        <v>92RRA00548AAA</v>
      </c>
      <c r="C555" s="42" t="str">
        <f aca="false">IF(OR(A555="",$C$4=0),"",INDEX('COOIS Raw'!$A:$GZ,ROW()-4,$C$4))</f>
        <v>R5B ERBIUM SPOOL ASSEMBLY - E2A</v>
      </c>
      <c r="D555" s="41" t="n">
        <f aca="false">IF(A555="","",IF($D$4=0,1,IFERROR(--INDEX('COOIS Raw'!$A:$GZ,ROW()-4,$D$4),1)))</f>
        <v>1</v>
      </c>
      <c r="E555" s="42" t="str">
        <f aca="false">IF(A555="","",INDEX('COOIS Raw'!$A:$GZ,ROW()-4,$E$4)&amp;"")</f>
        <v>REL PRT CNF DLV PRC GMPS MANC SETC</v>
      </c>
      <c r="F555" s="43" t="n">
        <f aca="false">IF(A555="","",IFERROR(DATEVALUE(INDEX('COOIS Raw'!$A:$GZ,ROW()-4,$F$4)),INDEX('COOIS Raw'!$A:$GZ,ROW()-4,$F$4)))</f>
        <v>46223</v>
      </c>
      <c r="G555" s="41" t="str">
        <f aca="false">IF(A555="","",IF(ISNA(MATCH(B555,'Kitting Plan'!$B$6:$B$19,0)),"Not in plan","Yes"))</f>
        <v>Yes</v>
      </c>
      <c r="H555" s="41" t="n">
        <f aca="false">IF(G555="Yes",INDEX('Kitting Plan'!$D$6:$D$19,MATCH(B555,'Kitting Plan'!$B$6:$B$19,0)),"")</f>
        <v>24</v>
      </c>
      <c r="I555" s="41" t="n">
        <f aca="false">IF(A555="","",IF(ISNUMBER(SEARCH("PRT",E555)),D555,0))</f>
        <v>1</v>
      </c>
      <c r="J555" s="41" t="n">
        <f aca="false">IF(A555="","",IF(ISNUMBER(SEARCH("GMPS",E555)),D555,0))</f>
        <v>1</v>
      </c>
      <c r="K555" s="41" t="n">
        <f aca="false">IF(A555="","",IF(ISNUMBER(SEARCH("DLV",E555)),D555,0))</f>
        <v>1</v>
      </c>
      <c r="L555" s="41" t="str">
        <f aca="false">IF(A555="","",IF(K555&gt;0,"Delivered",IF(ISNUMBER(SEARCH("CNF",E555)),"In production",IF(J555&gt;0,"Issued",IF(I555&gt;0,"Kitted","Released")))))</f>
        <v>Delivered</v>
      </c>
      <c r="M555" s="41" t="n">
        <f aca="false">IF(G555&lt;&gt;"Yes","",COUNTIFS($B$6:$B$1505,B555,$F$6:$F$1505,"&lt;"&amp;F555)+COUNTIFS($B$6:$B$1505,B555,$F$6:$F$1505,F555,$A$6:$A$1505,"&lt;="&amp;A555))</f>
        <v>63</v>
      </c>
      <c r="N555" s="41" t="n">
        <f aca="false">IF(M555="","",ROUNDUP(M555/H555,0))</f>
        <v>3</v>
      </c>
      <c r="O555" s="41" t="str">
        <f aca="false">IF(N555="","",IF(N555&lt;='Kitting Plan'!$C$3,"Rep "&amp;N555,"Surplus"))</f>
        <v>Rep 3</v>
      </c>
    </row>
    <row r="556" customFormat="false" ht="15" hidden="false" customHeight="false" outlineLevel="0" collapsed="false">
      <c r="A556" s="40" t="n">
        <f aca="false">IF(OR($A$4=0,INDEX('COOIS Raw'!$A:$GZ,ROW()-4,$A$4)=""),"",IFERROR(--INDEX('COOIS Raw'!$A:$GZ,ROW()-4,$A$4),INDEX('COOIS Raw'!$A:$GZ,ROW()-4,$A$4)))</f>
        <v>100870810</v>
      </c>
      <c r="B556" s="41" t="str">
        <f aca="false">IF(A556="","",TRIM(INDEX('COOIS Raw'!$A:$GZ,ROW()-4,$B$4)))</f>
        <v>92RRA00548AAA</v>
      </c>
      <c r="C556" s="42" t="str">
        <f aca="false">IF(OR(A556="",$C$4=0),"",INDEX('COOIS Raw'!$A:$GZ,ROW()-4,$C$4))</f>
        <v>R5B ERBIUM SPOOL ASSEMBLY - E2A</v>
      </c>
      <c r="D556" s="41" t="n">
        <f aca="false">IF(A556="","",IF($D$4=0,1,IFERROR(--INDEX('COOIS Raw'!$A:$GZ,ROW()-4,$D$4),1)))</f>
        <v>1</v>
      </c>
      <c r="E556" s="42" t="str">
        <f aca="false">IF(A556="","",INDEX('COOIS Raw'!$A:$GZ,ROW()-4,$E$4)&amp;"")</f>
        <v>REL PRT CNF DLV PRC GMPS MANC SETC</v>
      </c>
      <c r="F556" s="43" t="n">
        <f aca="false">IF(A556="","",IFERROR(DATEVALUE(INDEX('COOIS Raw'!$A:$GZ,ROW()-4,$F$4)),INDEX('COOIS Raw'!$A:$GZ,ROW()-4,$F$4)))</f>
        <v>46223</v>
      </c>
      <c r="G556" s="41" t="str">
        <f aca="false">IF(A556="","",IF(ISNA(MATCH(B556,'Kitting Plan'!$B$6:$B$19,0)),"Not in plan","Yes"))</f>
        <v>Yes</v>
      </c>
      <c r="H556" s="41" t="n">
        <f aca="false">IF(G556="Yes",INDEX('Kitting Plan'!$D$6:$D$19,MATCH(B556,'Kitting Plan'!$B$6:$B$19,0)),"")</f>
        <v>24</v>
      </c>
      <c r="I556" s="41" t="n">
        <f aca="false">IF(A556="","",IF(ISNUMBER(SEARCH("PRT",E556)),D556,0))</f>
        <v>1</v>
      </c>
      <c r="J556" s="41" t="n">
        <f aca="false">IF(A556="","",IF(ISNUMBER(SEARCH("GMPS",E556)),D556,0))</f>
        <v>1</v>
      </c>
      <c r="K556" s="41" t="n">
        <f aca="false">IF(A556="","",IF(ISNUMBER(SEARCH("DLV",E556)),D556,0))</f>
        <v>1</v>
      </c>
      <c r="L556" s="41" t="str">
        <f aca="false">IF(A556="","",IF(K556&gt;0,"Delivered",IF(ISNUMBER(SEARCH("CNF",E556)),"In production",IF(J556&gt;0,"Issued",IF(I556&gt;0,"Kitted","Released")))))</f>
        <v>Delivered</v>
      </c>
      <c r="M556" s="41" t="n">
        <f aca="false">IF(G556&lt;&gt;"Yes","",COUNTIFS($B$6:$B$1505,B556,$F$6:$F$1505,"&lt;"&amp;F556)+COUNTIFS($B$6:$B$1505,B556,$F$6:$F$1505,F556,$A$6:$A$1505,"&lt;="&amp;A556))</f>
        <v>64</v>
      </c>
      <c r="N556" s="41" t="n">
        <f aca="false">IF(M556="","",ROUNDUP(M556/H556,0))</f>
        <v>3</v>
      </c>
      <c r="O556" s="41" t="str">
        <f aca="false">IF(N556="","",IF(N556&lt;='Kitting Plan'!$C$3,"Rep "&amp;N556,"Surplus"))</f>
        <v>Rep 3</v>
      </c>
    </row>
    <row r="557" customFormat="false" ht="15" hidden="false" customHeight="false" outlineLevel="0" collapsed="false">
      <c r="A557" s="40" t="n">
        <f aca="false">IF(OR($A$4=0,INDEX('COOIS Raw'!$A:$GZ,ROW()-4,$A$4)=""),"",IFERROR(--INDEX('COOIS Raw'!$A:$GZ,ROW()-4,$A$4),INDEX('COOIS Raw'!$A:$GZ,ROW()-4,$A$4)))</f>
        <v>100870811</v>
      </c>
      <c r="B557" s="41" t="str">
        <f aca="false">IF(A557="","",TRIM(INDEX('COOIS Raw'!$A:$GZ,ROW()-4,$B$4)))</f>
        <v>92RRA00548AAA</v>
      </c>
      <c r="C557" s="42" t="str">
        <f aca="false">IF(OR(A557="",$C$4=0),"",INDEX('COOIS Raw'!$A:$GZ,ROW()-4,$C$4))</f>
        <v>R5B ERBIUM SPOOL ASSEMBLY - E2A</v>
      </c>
      <c r="D557" s="41" t="n">
        <f aca="false">IF(A557="","",IF($D$4=0,1,IFERROR(--INDEX('COOIS Raw'!$A:$GZ,ROW()-4,$D$4),1)))</f>
        <v>1</v>
      </c>
      <c r="E557" s="42" t="str">
        <f aca="false">IF(A557="","",INDEX('COOIS Raw'!$A:$GZ,ROW()-4,$E$4)&amp;"")</f>
        <v>REL PRT CNF DLV PRC GMPS MANC SETC</v>
      </c>
      <c r="F557" s="43" t="n">
        <f aca="false">IF(A557="","",IFERROR(DATEVALUE(INDEX('COOIS Raw'!$A:$GZ,ROW()-4,$F$4)),INDEX('COOIS Raw'!$A:$GZ,ROW()-4,$F$4)))</f>
        <v>46223</v>
      </c>
      <c r="G557" s="41" t="str">
        <f aca="false">IF(A557="","",IF(ISNA(MATCH(B557,'Kitting Plan'!$B$6:$B$19,0)),"Not in plan","Yes"))</f>
        <v>Yes</v>
      </c>
      <c r="H557" s="41" t="n">
        <f aca="false">IF(G557="Yes",INDEX('Kitting Plan'!$D$6:$D$19,MATCH(B557,'Kitting Plan'!$B$6:$B$19,0)),"")</f>
        <v>24</v>
      </c>
      <c r="I557" s="41" t="n">
        <f aca="false">IF(A557="","",IF(ISNUMBER(SEARCH("PRT",E557)),D557,0))</f>
        <v>1</v>
      </c>
      <c r="J557" s="41" t="n">
        <f aca="false">IF(A557="","",IF(ISNUMBER(SEARCH("GMPS",E557)),D557,0))</f>
        <v>1</v>
      </c>
      <c r="K557" s="41" t="n">
        <f aca="false">IF(A557="","",IF(ISNUMBER(SEARCH("DLV",E557)),D557,0))</f>
        <v>1</v>
      </c>
      <c r="L557" s="41" t="str">
        <f aca="false">IF(A557="","",IF(K557&gt;0,"Delivered",IF(ISNUMBER(SEARCH("CNF",E557)),"In production",IF(J557&gt;0,"Issued",IF(I557&gt;0,"Kitted","Released")))))</f>
        <v>Delivered</v>
      </c>
      <c r="M557" s="41" t="n">
        <f aca="false">IF(G557&lt;&gt;"Yes","",COUNTIFS($B$6:$B$1505,B557,$F$6:$F$1505,"&lt;"&amp;F557)+COUNTIFS($B$6:$B$1505,B557,$F$6:$F$1505,F557,$A$6:$A$1505,"&lt;="&amp;A557))</f>
        <v>65</v>
      </c>
      <c r="N557" s="41" t="n">
        <f aca="false">IF(M557="","",ROUNDUP(M557/H557,0))</f>
        <v>3</v>
      </c>
      <c r="O557" s="41" t="str">
        <f aca="false">IF(N557="","",IF(N557&lt;='Kitting Plan'!$C$3,"Rep "&amp;N557,"Surplus"))</f>
        <v>Rep 3</v>
      </c>
    </row>
    <row r="558" customFormat="false" ht="15" hidden="false" customHeight="false" outlineLevel="0" collapsed="false">
      <c r="A558" s="40" t="n">
        <f aca="false">IF(OR($A$4=0,INDEX('COOIS Raw'!$A:$GZ,ROW()-4,$A$4)=""),"",IFERROR(--INDEX('COOIS Raw'!$A:$GZ,ROW()-4,$A$4),INDEX('COOIS Raw'!$A:$GZ,ROW()-4,$A$4)))</f>
        <v>100870812</v>
      </c>
      <c r="B558" s="41" t="str">
        <f aca="false">IF(A558="","",TRIM(INDEX('COOIS Raw'!$A:$GZ,ROW()-4,$B$4)))</f>
        <v>92RRA00548AAA</v>
      </c>
      <c r="C558" s="42" t="str">
        <f aca="false">IF(OR(A558="",$C$4=0),"",INDEX('COOIS Raw'!$A:$GZ,ROW()-4,$C$4))</f>
        <v>R5B ERBIUM SPOOL ASSEMBLY - E2A</v>
      </c>
      <c r="D558" s="41" t="n">
        <f aca="false">IF(A558="","",IF($D$4=0,1,IFERROR(--INDEX('COOIS Raw'!$A:$GZ,ROW()-4,$D$4),1)))</f>
        <v>1</v>
      </c>
      <c r="E558" s="42" t="str">
        <f aca="false">IF(A558="","",INDEX('COOIS Raw'!$A:$GZ,ROW()-4,$E$4)&amp;"")</f>
        <v>REL PRT CNF DLV PRC GMPS MANC SETC</v>
      </c>
      <c r="F558" s="43" t="n">
        <f aca="false">IF(A558="","",IFERROR(DATEVALUE(INDEX('COOIS Raw'!$A:$GZ,ROW()-4,$F$4)),INDEX('COOIS Raw'!$A:$GZ,ROW()-4,$F$4)))</f>
        <v>46223</v>
      </c>
      <c r="G558" s="41" t="str">
        <f aca="false">IF(A558="","",IF(ISNA(MATCH(B558,'Kitting Plan'!$B$6:$B$19,0)),"Not in plan","Yes"))</f>
        <v>Yes</v>
      </c>
      <c r="H558" s="41" t="n">
        <f aca="false">IF(G558="Yes",INDEX('Kitting Plan'!$D$6:$D$19,MATCH(B558,'Kitting Plan'!$B$6:$B$19,0)),"")</f>
        <v>24</v>
      </c>
      <c r="I558" s="41" t="n">
        <f aca="false">IF(A558="","",IF(ISNUMBER(SEARCH("PRT",E558)),D558,0))</f>
        <v>1</v>
      </c>
      <c r="J558" s="41" t="n">
        <f aca="false">IF(A558="","",IF(ISNUMBER(SEARCH("GMPS",E558)),D558,0))</f>
        <v>1</v>
      </c>
      <c r="K558" s="41" t="n">
        <f aca="false">IF(A558="","",IF(ISNUMBER(SEARCH("DLV",E558)),D558,0))</f>
        <v>1</v>
      </c>
      <c r="L558" s="41" t="str">
        <f aca="false">IF(A558="","",IF(K558&gt;0,"Delivered",IF(ISNUMBER(SEARCH("CNF",E558)),"In production",IF(J558&gt;0,"Issued",IF(I558&gt;0,"Kitted","Released")))))</f>
        <v>Delivered</v>
      </c>
      <c r="M558" s="41" t="n">
        <f aca="false">IF(G558&lt;&gt;"Yes","",COUNTIFS($B$6:$B$1505,B558,$F$6:$F$1505,"&lt;"&amp;F558)+COUNTIFS($B$6:$B$1505,B558,$F$6:$F$1505,F558,$A$6:$A$1505,"&lt;="&amp;A558))</f>
        <v>66</v>
      </c>
      <c r="N558" s="41" t="n">
        <f aca="false">IF(M558="","",ROUNDUP(M558/H558,0))</f>
        <v>3</v>
      </c>
      <c r="O558" s="41" t="str">
        <f aca="false">IF(N558="","",IF(N558&lt;='Kitting Plan'!$C$3,"Rep "&amp;N558,"Surplus"))</f>
        <v>Rep 3</v>
      </c>
    </row>
    <row r="559" customFormat="false" ht="15" hidden="false" customHeight="false" outlineLevel="0" collapsed="false">
      <c r="A559" s="40" t="n">
        <f aca="false">IF(OR($A$4=0,INDEX('COOIS Raw'!$A:$GZ,ROW()-4,$A$4)=""),"",IFERROR(--INDEX('COOIS Raw'!$A:$GZ,ROW()-4,$A$4),INDEX('COOIS Raw'!$A:$GZ,ROW()-4,$A$4)))</f>
        <v>100870813</v>
      </c>
      <c r="B559" s="41" t="str">
        <f aca="false">IF(A559="","",TRIM(INDEX('COOIS Raw'!$A:$GZ,ROW()-4,$B$4)))</f>
        <v>92RRA00548AAA</v>
      </c>
      <c r="C559" s="42" t="str">
        <f aca="false">IF(OR(A559="",$C$4=0),"",INDEX('COOIS Raw'!$A:$GZ,ROW()-4,$C$4))</f>
        <v>R5B ERBIUM SPOOL ASSEMBLY - E2A</v>
      </c>
      <c r="D559" s="41" t="n">
        <f aca="false">IF(A559="","",IF($D$4=0,1,IFERROR(--INDEX('COOIS Raw'!$A:$GZ,ROW()-4,$D$4),1)))</f>
        <v>1</v>
      </c>
      <c r="E559" s="42" t="str">
        <f aca="false">IF(A559="","",INDEX('COOIS Raw'!$A:$GZ,ROW()-4,$E$4)&amp;"")</f>
        <v>REL PRT CNF DLV PRC GMPS MANC SETC</v>
      </c>
      <c r="F559" s="43" t="n">
        <f aca="false">IF(A559="","",IFERROR(DATEVALUE(INDEX('COOIS Raw'!$A:$GZ,ROW()-4,$F$4)),INDEX('COOIS Raw'!$A:$GZ,ROW()-4,$F$4)))</f>
        <v>46223</v>
      </c>
      <c r="G559" s="41" t="str">
        <f aca="false">IF(A559="","",IF(ISNA(MATCH(B559,'Kitting Plan'!$B$6:$B$19,0)),"Not in plan","Yes"))</f>
        <v>Yes</v>
      </c>
      <c r="H559" s="41" t="n">
        <f aca="false">IF(G559="Yes",INDEX('Kitting Plan'!$D$6:$D$19,MATCH(B559,'Kitting Plan'!$B$6:$B$19,0)),"")</f>
        <v>24</v>
      </c>
      <c r="I559" s="41" t="n">
        <f aca="false">IF(A559="","",IF(ISNUMBER(SEARCH("PRT",E559)),D559,0))</f>
        <v>1</v>
      </c>
      <c r="J559" s="41" t="n">
        <f aca="false">IF(A559="","",IF(ISNUMBER(SEARCH("GMPS",E559)),D559,0))</f>
        <v>1</v>
      </c>
      <c r="K559" s="41" t="n">
        <f aca="false">IF(A559="","",IF(ISNUMBER(SEARCH("DLV",E559)),D559,0))</f>
        <v>1</v>
      </c>
      <c r="L559" s="41" t="str">
        <f aca="false">IF(A559="","",IF(K559&gt;0,"Delivered",IF(ISNUMBER(SEARCH("CNF",E559)),"In production",IF(J559&gt;0,"Issued",IF(I559&gt;0,"Kitted","Released")))))</f>
        <v>Delivered</v>
      </c>
      <c r="M559" s="41" t="n">
        <f aca="false">IF(G559&lt;&gt;"Yes","",COUNTIFS($B$6:$B$1505,B559,$F$6:$F$1505,"&lt;"&amp;F559)+COUNTIFS($B$6:$B$1505,B559,$F$6:$F$1505,F559,$A$6:$A$1505,"&lt;="&amp;A559))</f>
        <v>67</v>
      </c>
      <c r="N559" s="41" t="n">
        <f aca="false">IF(M559="","",ROUNDUP(M559/H559,0))</f>
        <v>3</v>
      </c>
      <c r="O559" s="41" t="str">
        <f aca="false">IF(N559="","",IF(N559&lt;='Kitting Plan'!$C$3,"Rep "&amp;N559,"Surplus"))</f>
        <v>Rep 3</v>
      </c>
    </row>
    <row r="560" customFormat="false" ht="15" hidden="false" customHeight="false" outlineLevel="0" collapsed="false">
      <c r="A560" s="40" t="n">
        <f aca="false">IF(OR($A$4=0,INDEX('COOIS Raw'!$A:$GZ,ROW()-4,$A$4)=""),"",IFERROR(--INDEX('COOIS Raw'!$A:$GZ,ROW()-4,$A$4),INDEX('COOIS Raw'!$A:$GZ,ROW()-4,$A$4)))</f>
        <v>100870814</v>
      </c>
      <c r="B560" s="41" t="str">
        <f aca="false">IF(A560="","",TRIM(INDEX('COOIS Raw'!$A:$GZ,ROW()-4,$B$4)))</f>
        <v>92RRA00548AAA</v>
      </c>
      <c r="C560" s="42" t="str">
        <f aca="false">IF(OR(A560="",$C$4=0),"",INDEX('COOIS Raw'!$A:$GZ,ROW()-4,$C$4))</f>
        <v>R5B ERBIUM SPOOL ASSEMBLY - E2A</v>
      </c>
      <c r="D560" s="41" t="n">
        <f aca="false">IF(A560="","",IF($D$4=0,1,IFERROR(--INDEX('COOIS Raw'!$A:$GZ,ROW()-4,$D$4),1)))</f>
        <v>1</v>
      </c>
      <c r="E560" s="42" t="str">
        <f aca="false">IF(A560="","",INDEX('COOIS Raw'!$A:$GZ,ROW()-4,$E$4)&amp;"")</f>
        <v>REL PRT CNF DLV PRC GMPS MANC SETC</v>
      </c>
      <c r="F560" s="43" t="n">
        <f aca="false">IF(A560="","",IFERROR(DATEVALUE(INDEX('COOIS Raw'!$A:$GZ,ROW()-4,$F$4)),INDEX('COOIS Raw'!$A:$GZ,ROW()-4,$F$4)))</f>
        <v>46223</v>
      </c>
      <c r="G560" s="41" t="str">
        <f aca="false">IF(A560="","",IF(ISNA(MATCH(B560,'Kitting Plan'!$B$6:$B$19,0)),"Not in plan","Yes"))</f>
        <v>Yes</v>
      </c>
      <c r="H560" s="41" t="n">
        <f aca="false">IF(G560="Yes",INDEX('Kitting Plan'!$D$6:$D$19,MATCH(B560,'Kitting Plan'!$B$6:$B$19,0)),"")</f>
        <v>24</v>
      </c>
      <c r="I560" s="41" t="n">
        <f aca="false">IF(A560="","",IF(ISNUMBER(SEARCH("PRT",E560)),D560,0))</f>
        <v>1</v>
      </c>
      <c r="J560" s="41" t="n">
        <f aca="false">IF(A560="","",IF(ISNUMBER(SEARCH("GMPS",E560)),D560,0))</f>
        <v>1</v>
      </c>
      <c r="K560" s="41" t="n">
        <f aca="false">IF(A560="","",IF(ISNUMBER(SEARCH("DLV",E560)),D560,0))</f>
        <v>1</v>
      </c>
      <c r="L560" s="41" t="str">
        <f aca="false">IF(A560="","",IF(K560&gt;0,"Delivered",IF(ISNUMBER(SEARCH("CNF",E560)),"In production",IF(J560&gt;0,"Issued",IF(I560&gt;0,"Kitted","Released")))))</f>
        <v>Delivered</v>
      </c>
      <c r="M560" s="41" t="n">
        <f aca="false">IF(G560&lt;&gt;"Yes","",COUNTIFS($B$6:$B$1505,B560,$F$6:$F$1505,"&lt;"&amp;F560)+COUNTIFS($B$6:$B$1505,B560,$F$6:$F$1505,F560,$A$6:$A$1505,"&lt;="&amp;A560))</f>
        <v>68</v>
      </c>
      <c r="N560" s="41" t="n">
        <f aca="false">IF(M560="","",ROUNDUP(M560/H560,0))</f>
        <v>3</v>
      </c>
      <c r="O560" s="41" t="str">
        <f aca="false">IF(N560="","",IF(N560&lt;='Kitting Plan'!$C$3,"Rep "&amp;N560,"Surplus"))</f>
        <v>Rep 3</v>
      </c>
    </row>
    <row r="561" customFormat="false" ht="15" hidden="false" customHeight="false" outlineLevel="0" collapsed="false">
      <c r="A561" s="40" t="n">
        <f aca="false">IF(OR($A$4=0,INDEX('COOIS Raw'!$A:$GZ,ROW()-4,$A$4)=""),"",IFERROR(--INDEX('COOIS Raw'!$A:$GZ,ROW()-4,$A$4),INDEX('COOIS Raw'!$A:$GZ,ROW()-4,$A$4)))</f>
        <v>100870815</v>
      </c>
      <c r="B561" s="41" t="str">
        <f aca="false">IF(A561="","",TRIM(INDEX('COOIS Raw'!$A:$GZ,ROW()-4,$B$4)))</f>
        <v>92RRA00548AAA</v>
      </c>
      <c r="C561" s="42" t="str">
        <f aca="false">IF(OR(A561="",$C$4=0),"",INDEX('COOIS Raw'!$A:$GZ,ROW()-4,$C$4))</f>
        <v>R5B ERBIUM SPOOL ASSEMBLY - E2A</v>
      </c>
      <c r="D561" s="41" t="n">
        <f aca="false">IF(A561="","",IF($D$4=0,1,IFERROR(--INDEX('COOIS Raw'!$A:$GZ,ROW()-4,$D$4),1)))</f>
        <v>1</v>
      </c>
      <c r="E561" s="42" t="str">
        <f aca="false">IF(A561="","",INDEX('COOIS Raw'!$A:$GZ,ROW()-4,$E$4)&amp;"")</f>
        <v>REL PRT CNF DLV PRC GMPS MANC SETC</v>
      </c>
      <c r="F561" s="43" t="n">
        <f aca="false">IF(A561="","",IFERROR(DATEVALUE(INDEX('COOIS Raw'!$A:$GZ,ROW()-4,$F$4)),INDEX('COOIS Raw'!$A:$GZ,ROW()-4,$F$4)))</f>
        <v>46223</v>
      </c>
      <c r="G561" s="41" t="str">
        <f aca="false">IF(A561="","",IF(ISNA(MATCH(B561,'Kitting Plan'!$B$6:$B$19,0)),"Not in plan","Yes"))</f>
        <v>Yes</v>
      </c>
      <c r="H561" s="41" t="n">
        <f aca="false">IF(G561="Yes",INDEX('Kitting Plan'!$D$6:$D$19,MATCH(B561,'Kitting Plan'!$B$6:$B$19,0)),"")</f>
        <v>24</v>
      </c>
      <c r="I561" s="41" t="n">
        <f aca="false">IF(A561="","",IF(ISNUMBER(SEARCH("PRT",E561)),D561,0))</f>
        <v>1</v>
      </c>
      <c r="J561" s="41" t="n">
        <f aca="false">IF(A561="","",IF(ISNUMBER(SEARCH("GMPS",E561)),D561,0))</f>
        <v>1</v>
      </c>
      <c r="K561" s="41" t="n">
        <f aca="false">IF(A561="","",IF(ISNUMBER(SEARCH("DLV",E561)),D561,0))</f>
        <v>1</v>
      </c>
      <c r="L561" s="41" t="str">
        <f aca="false">IF(A561="","",IF(K561&gt;0,"Delivered",IF(ISNUMBER(SEARCH("CNF",E561)),"In production",IF(J561&gt;0,"Issued",IF(I561&gt;0,"Kitted","Released")))))</f>
        <v>Delivered</v>
      </c>
      <c r="M561" s="41" t="n">
        <f aca="false">IF(G561&lt;&gt;"Yes","",COUNTIFS($B$6:$B$1505,B561,$F$6:$F$1505,"&lt;"&amp;F561)+COUNTIFS($B$6:$B$1505,B561,$F$6:$F$1505,F561,$A$6:$A$1505,"&lt;="&amp;A561))</f>
        <v>69</v>
      </c>
      <c r="N561" s="41" t="n">
        <f aca="false">IF(M561="","",ROUNDUP(M561/H561,0))</f>
        <v>3</v>
      </c>
      <c r="O561" s="41" t="str">
        <f aca="false">IF(N561="","",IF(N561&lt;='Kitting Plan'!$C$3,"Rep "&amp;N561,"Surplus"))</f>
        <v>Rep 3</v>
      </c>
    </row>
    <row r="562" customFormat="false" ht="15" hidden="false" customHeight="false" outlineLevel="0" collapsed="false">
      <c r="A562" s="40" t="n">
        <f aca="false">IF(OR($A$4=0,INDEX('COOIS Raw'!$A:$GZ,ROW()-4,$A$4)=""),"",IFERROR(--INDEX('COOIS Raw'!$A:$GZ,ROW()-4,$A$4),INDEX('COOIS Raw'!$A:$GZ,ROW()-4,$A$4)))</f>
        <v>100870816</v>
      </c>
      <c r="B562" s="41" t="str">
        <f aca="false">IF(A562="","",TRIM(INDEX('COOIS Raw'!$A:$GZ,ROW()-4,$B$4)))</f>
        <v>92RRA00548AAA</v>
      </c>
      <c r="C562" s="42" t="str">
        <f aca="false">IF(OR(A562="",$C$4=0),"",INDEX('COOIS Raw'!$A:$GZ,ROW()-4,$C$4))</f>
        <v>R5B ERBIUM SPOOL ASSEMBLY - E2A</v>
      </c>
      <c r="D562" s="41" t="n">
        <f aca="false">IF(A562="","",IF($D$4=0,1,IFERROR(--INDEX('COOIS Raw'!$A:$GZ,ROW()-4,$D$4),1)))</f>
        <v>1</v>
      </c>
      <c r="E562" s="42" t="str">
        <f aca="false">IF(A562="","",INDEX('COOIS Raw'!$A:$GZ,ROW()-4,$E$4)&amp;"")</f>
        <v>REL PRT CNF DLV PRC GMPS MANC SETC</v>
      </c>
      <c r="F562" s="43" t="n">
        <f aca="false">IF(A562="","",IFERROR(DATEVALUE(INDEX('COOIS Raw'!$A:$GZ,ROW()-4,$F$4)),INDEX('COOIS Raw'!$A:$GZ,ROW()-4,$F$4)))</f>
        <v>46223</v>
      </c>
      <c r="G562" s="41" t="str">
        <f aca="false">IF(A562="","",IF(ISNA(MATCH(B562,'Kitting Plan'!$B$6:$B$19,0)),"Not in plan","Yes"))</f>
        <v>Yes</v>
      </c>
      <c r="H562" s="41" t="n">
        <f aca="false">IF(G562="Yes",INDEX('Kitting Plan'!$D$6:$D$19,MATCH(B562,'Kitting Plan'!$B$6:$B$19,0)),"")</f>
        <v>24</v>
      </c>
      <c r="I562" s="41" t="n">
        <f aca="false">IF(A562="","",IF(ISNUMBER(SEARCH("PRT",E562)),D562,0))</f>
        <v>1</v>
      </c>
      <c r="J562" s="41" t="n">
        <f aca="false">IF(A562="","",IF(ISNUMBER(SEARCH("GMPS",E562)),D562,0))</f>
        <v>1</v>
      </c>
      <c r="K562" s="41" t="n">
        <f aca="false">IF(A562="","",IF(ISNUMBER(SEARCH("DLV",E562)),D562,0))</f>
        <v>1</v>
      </c>
      <c r="L562" s="41" t="str">
        <f aca="false">IF(A562="","",IF(K562&gt;0,"Delivered",IF(ISNUMBER(SEARCH("CNF",E562)),"In production",IF(J562&gt;0,"Issued",IF(I562&gt;0,"Kitted","Released")))))</f>
        <v>Delivered</v>
      </c>
      <c r="M562" s="41" t="n">
        <f aca="false">IF(G562&lt;&gt;"Yes","",COUNTIFS($B$6:$B$1505,B562,$F$6:$F$1505,"&lt;"&amp;F562)+COUNTIFS($B$6:$B$1505,B562,$F$6:$F$1505,F562,$A$6:$A$1505,"&lt;="&amp;A562))</f>
        <v>70</v>
      </c>
      <c r="N562" s="41" t="n">
        <f aca="false">IF(M562="","",ROUNDUP(M562/H562,0))</f>
        <v>3</v>
      </c>
      <c r="O562" s="41" t="str">
        <f aca="false">IF(N562="","",IF(N562&lt;='Kitting Plan'!$C$3,"Rep "&amp;N562,"Surplus"))</f>
        <v>Rep 3</v>
      </c>
    </row>
    <row r="563" customFormat="false" ht="15" hidden="false" customHeight="false" outlineLevel="0" collapsed="false">
      <c r="A563" s="40" t="n">
        <f aca="false">IF(OR($A$4=0,INDEX('COOIS Raw'!$A:$GZ,ROW()-4,$A$4)=""),"",IFERROR(--INDEX('COOIS Raw'!$A:$GZ,ROW()-4,$A$4),INDEX('COOIS Raw'!$A:$GZ,ROW()-4,$A$4)))</f>
        <v>100870817</v>
      </c>
      <c r="B563" s="41" t="str">
        <f aca="false">IF(A563="","",TRIM(INDEX('COOIS Raw'!$A:$GZ,ROW()-4,$B$4)))</f>
        <v>92RRA00548AAA</v>
      </c>
      <c r="C563" s="42" t="str">
        <f aca="false">IF(OR(A563="",$C$4=0),"",INDEX('COOIS Raw'!$A:$GZ,ROW()-4,$C$4))</f>
        <v>R5B ERBIUM SPOOL ASSEMBLY - E2A</v>
      </c>
      <c r="D563" s="41" t="n">
        <f aca="false">IF(A563="","",IF($D$4=0,1,IFERROR(--INDEX('COOIS Raw'!$A:$GZ,ROW()-4,$D$4),1)))</f>
        <v>1</v>
      </c>
      <c r="E563" s="42" t="str">
        <f aca="false">IF(A563="","",INDEX('COOIS Raw'!$A:$GZ,ROW()-4,$E$4)&amp;"")</f>
        <v>REL PRT CNF DLV PRC GMPS MANC SETC</v>
      </c>
      <c r="F563" s="43" t="n">
        <f aca="false">IF(A563="","",IFERROR(DATEVALUE(INDEX('COOIS Raw'!$A:$GZ,ROW()-4,$F$4)),INDEX('COOIS Raw'!$A:$GZ,ROW()-4,$F$4)))</f>
        <v>46223</v>
      </c>
      <c r="G563" s="41" t="str">
        <f aca="false">IF(A563="","",IF(ISNA(MATCH(B563,'Kitting Plan'!$B$6:$B$19,0)),"Not in plan","Yes"))</f>
        <v>Yes</v>
      </c>
      <c r="H563" s="41" t="n">
        <f aca="false">IF(G563="Yes",INDEX('Kitting Plan'!$D$6:$D$19,MATCH(B563,'Kitting Plan'!$B$6:$B$19,0)),"")</f>
        <v>24</v>
      </c>
      <c r="I563" s="41" t="n">
        <f aca="false">IF(A563="","",IF(ISNUMBER(SEARCH("PRT",E563)),D563,0))</f>
        <v>1</v>
      </c>
      <c r="J563" s="41" t="n">
        <f aca="false">IF(A563="","",IF(ISNUMBER(SEARCH("GMPS",E563)),D563,0))</f>
        <v>1</v>
      </c>
      <c r="K563" s="41" t="n">
        <f aca="false">IF(A563="","",IF(ISNUMBER(SEARCH("DLV",E563)),D563,0))</f>
        <v>1</v>
      </c>
      <c r="L563" s="41" t="str">
        <f aca="false">IF(A563="","",IF(K563&gt;0,"Delivered",IF(ISNUMBER(SEARCH("CNF",E563)),"In production",IF(J563&gt;0,"Issued",IF(I563&gt;0,"Kitted","Released")))))</f>
        <v>Delivered</v>
      </c>
      <c r="M563" s="41" t="n">
        <f aca="false">IF(G563&lt;&gt;"Yes","",COUNTIFS($B$6:$B$1505,B563,$F$6:$F$1505,"&lt;"&amp;F563)+COUNTIFS($B$6:$B$1505,B563,$F$6:$F$1505,F563,$A$6:$A$1505,"&lt;="&amp;A563))</f>
        <v>71</v>
      </c>
      <c r="N563" s="41" t="n">
        <f aca="false">IF(M563="","",ROUNDUP(M563/H563,0))</f>
        <v>3</v>
      </c>
      <c r="O563" s="41" t="str">
        <f aca="false">IF(N563="","",IF(N563&lt;='Kitting Plan'!$C$3,"Rep "&amp;N563,"Surplus"))</f>
        <v>Rep 3</v>
      </c>
    </row>
    <row r="564" customFormat="false" ht="15" hidden="false" customHeight="false" outlineLevel="0" collapsed="false">
      <c r="A564" s="40" t="n">
        <f aca="false">IF(OR($A$4=0,INDEX('COOIS Raw'!$A:$GZ,ROW()-4,$A$4)=""),"",IFERROR(--INDEX('COOIS Raw'!$A:$GZ,ROW()-4,$A$4),INDEX('COOIS Raw'!$A:$GZ,ROW()-4,$A$4)))</f>
        <v>100870818</v>
      </c>
      <c r="B564" s="41" t="str">
        <f aca="false">IF(A564="","",TRIM(INDEX('COOIS Raw'!$A:$GZ,ROW()-4,$B$4)))</f>
        <v>92RRA00548AAA</v>
      </c>
      <c r="C564" s="42" t="str">
        <f aca="false">IF(OR(A564="",$C$4=0),"",INDEX('COOIS Raw'!$A:$GZ,ROW()-4,$C$4))</f>
        <v>R5B ERBIUM SPOOL ASSEMBLY - E2A</v>
      </c>
      <c r="D564" s="41" t="n">
        <f aca="false">IF(A564="","",IF($D$4=0,1,IFERROR(--INDEX('COOIS Raw'!$A:$GZ,ROW()-4,$D$4),1)))</f>
        <v>1</v>
      </c>
      <c r="E564" s="42" t="str">
        <f aca="false">IF(A564="","",INDEX('COOIS Raw'!$A:$GZ,ROW()-4,$E$4)&amp;"")</f>
        <v>REL PRT CNF DLV PRC GMPS MANC SETC</v>
      </c>
      <c r="F564" s="43" t="n">
        <f aca="false">IF(A564="","",IFERROR(DATEVALUE(INDEX('COOIS Raw'!$A:$GZ,ROW()-4,$F$4)),INDEX('COOIS Raw'!$A:$GZ,ROW()-4,$F$4)))</f>
        <v>46223</v>
      </c>
      <c r="G564" s="41" t="str">
        <f aca="false">IF(A564="","",IF(ISNA(MATCH(B564,'Kitting Plan'!$B$6:$B$19,0)),"Not in plan","Yes"))</f>
        <v>Yes</v>
      </c>
      <c r="H564" s="41" t="n">
        <f aca="false">IF(G564="Yes",INDEX('Kitting Plan'!$D$6:$D$19,MATCH(B564,'Kitting Plan'!$B$6:$B$19,0)),"")</f>
        <v>24</v>
      </c>
      <c r="I564" s="41" t="n">
        <f aca="false">IF(A564="","",IF(ISNUMBER(SEARCH("PRT",E564)),D564,0))</f>
        <v>1</v>
      </c>
      <c r="J564" s="41" t="n">
        <f aca="false">IF(A564="","",IF(ISNUMBER(SEARCH("GMPS",E564)),D564,0))</f>
        <v>1</v>
      </c>
      <c r="K564" s="41" t="n">
        <f aca="false">IF(A564="","",IF(ISNUMBER(SEARCH("DLV",E564)),D564,0))</f>
        <v>1</v>
      </c>
      <c r="L564" s="41" t="str">
        <f aca="false">IF(A564="","",IF(K564&gt;0,"Delivered",IF(ISNUMBER(SEARCH("CNF",E564)),"In production",IF(J564&gt;0,"Issued",IF(I564&gt;0,"Kitted","Released")))))</f>
        <v>Delivered</v>
      </c>
      <c r="M564" s="41" t="n">
        <f aca="false">IF(G564&lt;&gt;"Yes","",COUNTIFS($B$6:$B$1505,B564,$F$6:$F$1505,"&lt;"&amp;F564)+COUNTIFS($B$6:$B$1505,B564,$F$6:$F$1505,F564,$A$6:$A$1505,"&lt;="&amp;A564))</f>
        <v>72</v>
      </c>
      <c r="N564" s="41" t="n">
        <f aca="false">IF(M564="","",ROUNDUP(M564/H564,0))</f>
        <v>3</v>
      </c>
      <c r="O564" s="41" t="str">
        <f aca="false">IF(N564="","",IF(N564&lt;='Kitting Plan'!$C$3,"Rep "&amp;N564,"Surplus"))</f>
        <v>Rep 3</v>
      </c>
    </row>
    <row r="565" customFormat="false" ht="15" hidden="false" customHeight="false" outlineLevel="0" collapsed="false">
      <c r="A565" s="40" t="n">
        <f aca="false">IF(OR($A$4=0,INDEX('COOIS Raw'!$A:$GZ,ROW()-4,$A$4)=""),"",IFERROR(--INDEX('COOIS Raw'!$A:$GZ,ROW()-4,$A$4),INDEX('COOIS Raw'!$A:$GZ,ROW()-4,$A$4)))</f>
        <v>100870819</v>
      </c>
      <c r="B565" s="41" t="str">
        <f aca="false">IF(A565="","",TRIM(INDEX('COOIS Raw'!$A:$GZ,ROW()-4,$B$4)))</f>
        <v>92RRA00548AAA</v>
      </c>
      <c r="C565" s="42" t="str">
        <f aca="false">IF(OR(A565="",$C$4=0),"",INDEX('COOIS Raw'!$A:$GZ,ROW()-4,$C$4))</f>
        <v>R5B ERBIUM SPOOL ASSEMBLY - E2A</v>
      </c>
      <c r="D565" s="41" t="n">
        <f aca="false">IF(A565="","",IF($D$4=0,1,IFERROR(--INDEX('COOIS Raw'!$A:$GZ,ROW()-4,$D$4),1)))</f>
        <v>1</v>
      </c>
      <c r="E565" s="42" t="str">
        <f aca="false">IF(A565="","",INDEX('COOIS Raw'!$A:$GZ,ROW()-4,$E$4)&amp;"")</f>
        <v>REL PRT CNF DLV PRC GMPS MANC SETC</v>
      </c>
      <c r="F565" s="43" t="n">
        <f aca="false">IF(A565="","",IFERROR(DATEVALUE(INDEX('COOIS Raw'!$A:$GZ,ROW()-4,$F$4)),INDEX('COOIS Raw'!$A:$GZ,ROW()-4,$F$4)))</f>
        <v>46223</v>
      </c>
      <c r="G565" s="41" t="str">
        <f aca="false">IF(A565="","",IF(ISNA(MATCH(B565,'Kitting Plan'!$B$6:$B$19,0)),"Not in plan","Yes"))</f>
        <v>Yes</v>
      </c>
      <c r="H565" s="41" t="n">
        <f aca="false">IF(G565="Yes",INDEX('Kitting Plan'!$D$6:$D$19,MATCH(B565,'Kitting Plan'!$B$6:$B$19,0)),"")</f>
        <v>24</v>
      </c>
      <c r="I565" s="41" t="n">
        <f aca="false">IF(A565="","",IF(ISNUMBER(SEARCH("PRT",E565)),D565,0))</f>
        <v>1</v>
      </c>
      <c r="J565" s="41" t="n">
        <f aca="false">IF(A565="","",IF(ISNUMBER(SEARCH("GMPS",E565)),D565,0))</f>
        <v>1</v>
      </c>
      <c r="K565" s="41" t="n">
        <f aca="false">IF(A565="","",IF(ISNUMBER(SEARCH("DLV",E565)),D565,0))</f>
        <v>1</v>
      </c>
      <c r="L565" s="41" t="str">
        <f aca="false">IF(A565="","",IF(K565&gt;0,"Delivered",IF(ISNUMBER(SEARCH("CNF",E565)),"In production",IF(J565&gt;0,"Issued",IF(I565&gt;0,"Kitted","Released")))))</f>
        <v>Delivered</v>
      </c>
      <c r="M565" s="41" t="n">
        <f aca="false">IF(G565&lt;&gt;"Yes","",COUNTIFS($B$6:$B$1505,B565,$F$6:$F$1505,"&lt;"&amp;F565)+COUNTIFS($B$6:$B$1505,B565,$F$6:$F$1505,F565,$A$6:$A$1505,"&lt;="&amp;A565))</f>
        <v>73</v>
      </c>
      <c r="N565" s="41" t="n">
        <f aca="false">IF(M565="","",ROUNDUP(M565/H565,0))</f>
        <v>4</v>
      </c>
      <c r="O565" s="41" t="str">
        <f aca="false">IF(N565="","",IF(N565&lt;='Kitting Plan'!$C$3,"Rep "&amp;N565,"Surplus"))</f>
        <v>Rep 4</v>
      </c>
    </row>
    <row r="566" customFormat="false" ht="15" hidden="false" customHeight="false" outlineLevel="0" collapsed="false">
      <c r="A566" s="40" t="n">
        <f aca="false">IF(OR($A$4=0,INDEX('COOIS Raw'!$A:$GZ,ROW()-4,$A$4)=""),"",IFERROR(--INDEX('COOIS Raw'!$A:$GZ,ROW()-4,$A$4),INDEX('COOIS Raw'!$A:$GZ,ROW()-4,$A$4)))</f>
        <v>100870820</v>
      </c>
      <c r="B566" s="41" t="str">
        <f aca="false">IF(A566="","",TRIM(INDEX('COOIS Raw'!$A:$GZ,ROW()-4,$B$4)))</f>
        <v>92RRA00548AAA</v>
      </c>
      <c r="C566" s="42" t="str">
        <f aca="false">IF(OR(A566="",$C$4=0),"",INDEX('COOIS Raw'!$A:$GZ,ROW()-4,$C$4))</f>
        <v>R5B ERBIUM SPOOL ASSEMBLY - E2A</v>
      </c>
      <c r="D566" s="41" t="n">
        <f aca="false">IF(A566="","",IF($D$4=0,1,IFERROR(--INDEX('COOIS Raw'!$A:$GZ,ROW()-4,$D$4),1)))</f>
        <v>1</v>
      </c>
      <c r="E566" s="42" t="str">
        <f aca="false">IF(A566="","",INDEX('COOIS Raw'!$A:$GZ,ROW()-4,$E$4)&amp;"")</f>
        <v>REL PRT CNF DLV PRC GMPS MANC SETC</v>
      </c>
      <c r="F566" s="43" t="n">
        <f aca="false">IF(A566="","",IFERROR(DATEVALUE(INDEX('COOIS Raw'!$A:$GZ,ROW()-4,$F$4)),INDEX('COOIS Raw'!$A:$GZ,ROW()-4,$F$4)))</f>
        <v>46223</v>
      </c>
      <c r="G566" s="41" t="str">
        <f aca="false">IF(A566="","",IF(ISNA(MATCH(B566,'Kitting Plan'!$B$6:$B$19,0)),"Not in plan","Yes"))</f>
        <v>Yes</v>
      </c>
      <c r="H566" s="41" t="n">
        <f aca="false">IF(G566="Yes",INDEX('Kitting Plan'!$D$6:$D$19,MATCH(B566,'Kitting Plan'!$B$6:$B$19,0)),"")</f>
        <v>24</v>
      </c>
      <c r="I566" s="41" t="n">
        <f aca="false">IF(A566="","",IF(ISNUMBER(SEARCH("PRT",E566)),D566,0))</f>
        <v>1</v>
      </c>
      <c r="J566" s="41" t="n">
        <f aca="false">IF(A566="","",IF(ISNUMBER(SEARCH("GMPS",E566)),D566,0))</f>
        <v>1</v>
      </c>
      <c r="K566" s="41" t="n">
        <f aca="false">IF(A566="","",IF(ISNUMBER(SEARCH("DLV",E566)),D566,0))</f>
        <v>1</v>
      </c>
      <c r="L566" s="41" t="str">
        <f aca="false">IF(A566="","",IF(K566&gt;0,"Delivered",IF(ISNUMBER(SEARCH("CNF",E566)),"In production",IF(J566&gt;0,"Issued",IF(I566&gt;0,"Kitted","Released")))))</f>
        <v>Delivered</v>
      </c>
      <c r="M566" s="41" t="n">
        <f aca="false">IF(G566&lt;&gt;"Yes","",COUNTIFS($B$6:$B$1505,B566,$F$6:$F$1505,"&lt;"&amp;F566)+COUNTIFS($B$6:$B$1505,B566,$F$6:$F$1505,F566,$A$6:$A$1505,"&lt;="&amp;A566))</f>
        <v>74</v>
      </c>
      <c r="N566" s="41" t="n">
        <f aca="false">IF(M566="","",ROUNDUP(M566/H566,0))</f>
        <v>4</v>
      </c>
      <c r="O566" s="41" t="str">
        <f aca="false">IF(N566="","",IF(N566&lt;='Kitting Plan'!$C$3,"Rep "&amp;N566,"Surplus"))</f>
        <v>Rep 4</v>
      </c>
    </row>
    <row r="567" customFormat="false" ht="15" hidden="false" customHeight="false" outlineLevel="0" collapsed="false">
      <c r="A567" s="40" t="n">
        <f aca="false">IF(OR($A$4=0,INDEX('COOIS Raw'!$A:$GZ,ROW()-4,$A$4)=""),"",IFERROR(--INDEX('COOIS Raw'!$A:$GZ,ROW()-4,$A$4),INDEX('COOIS Raw'!$A:$GZ,ROW()-4,$A$4)))</f>
        <v>100870821</v>
      </c>
      <c r="B567" s="41" t="str">
        <f aca="false">IF(A567="","",TRIM(INDEX('COOIS Raw'!$A:$GZ,ROW()-4,$B$4)))</f>
        <v>92RRA00548AAA</v>
      </c>
      <c r="C567" s="42" t="str">
        <f aca="false">IF(OR(A567="",$C$4=0),"",INDEX('COOIS Raw'!$A:$GZ,ROW()-4,$C$4))</f>
        <v>R5B ERBIUM SPOOL ASSEMBLY - E2A</v>
      </c>
      <c r="D567" s="41" t="n">
        <f aca="false">IF(A567="","",IF($D$4=0,1,IFERROR(--INDEX('COOIS Raw'!$A:$GZ,ROW()-4,$D$4),1)))</f>
        <v>1</v>
      </c>
      <c r="E567" s="42" t="str">
        <f aca="false">IF(A567="","",INDEX('COOIS Raw'!$A:$GZ,ROW()-4,$E$4)&amp;"")</f>
        <v>REL PRT CNF DLV PRC GMPS MANC SETC</v>
      </c>
      <c r="F567" s="43" t="n">
        <f aca="false">IF(A567="","",IFERROR(DATEVALUE(INDEX('COOIS Raw'!$A:$GZ,ROW()-4,$F$4)),INDEX('COOIS Raw'!$A:$GZ,ROW()-4,$F$4)))</f>
        <v>46223</v>
      </c>
      <c r="G567" s="41" t="str">
        <f aca="false">IF(A567="","",IF(ISNA(MATCH(B567,'Kitting Plan'!$B$6:$B$19,0)),"Not in plan","Yes"))</f>
        <v>Yes</v>
      </c>
      <c r="H567" s="41" t="n">
        <f aca="false">IF(G567="Yes",INDEX('Kitting Plan'!$D$6:$D$19,MATCH(B567,'Kitting Plan'!$B$6:$B$19,0)),"")</f>
        <v>24</v>
      </c>
      <c r="I567" s="41" t="n">
        <f aca="false">IF(A567="","",IF(ISNUMBER(SEARCH("PRT",E567)),D567,0))</f>
        <v>1</v>
      </c>
      <c r="J567" s="41" t="n">
        <f aca="false">IF(A567="","",IF(ISNUMBER(SEARCH("GMPS",E567)),D567,0))</f>
        <v>1</v>
      </c>
      <c r="K567" s="41" t="n">
        <f aca="false">IF(A567="","",IF(ISNUMBER(SEARCH("DLV",E567)),D567,0))</f>
        <v>1</v>
      </c>
      <c r="L567" s="41" t="str">
        <f aca="false">IF(A567="","",IF(K567&gt;0,"Delivered",IF(ISNUMBER(SEARCH("CNF",E567)),"In production",IF(J567&gt;0,"Issued",IF(I567&gt;0,"Kitted","Released")))))</f>
        <v>Delivered</v>
      </c>
      <c r="M567" s="41" t="n">
        <f aca="false">IF(G567&lt;&gt;"Yes","",COUNTIFS($B$6:$B$1505,B567,$F$6:$F$1505,"&lt;"&amp;F567)+COUNTIFS($B$6:$B$1505,B567,$F$6:$F$1505,F567,$A$6:$A$1505,"&lt;="&amp;A567))</f>
        <v>75</v>
      </c>
      <c r="N567" s="41" t="n">
        <f aca="false">IF(M567="","",ROUNDUP(M567/H567,0))</f>
        <v>4</v>
      </c>
      <c r="O567" s="41" t="str">
        <f aca="false">IF(N567="","",IF(N567&lt;='Kitting Plan'!$C$3,"Rep "&amp;N567,"Surplus"))</f>
        <v>Rep 4</v>
      </c>
    </row>
    <row r="568" customFormat="false" ht="15" hidden="false" customHeight="false" outlineLevel="0" collapsed="false">
      <c r="A568" s="40" t="n">
        <f aca="false">IF(OR($A$4=0,INDEX('COOIS Raw'!$A:$GZ,ROW()-4,$A$4)=""),"",IFERROR(--INDEX('COOIS Raw'!$A:$GZ,ROW()-4,$A$4),INDEX('COOIS Raw'!$A:$GZ,ROW()-4,$A$4)))</f>
        <v>100870822</v>
      </c>
      <c r="B568" s="41" t="str">
        <f aca="false">IF(A568="","",TRIM(INDEX('COOIS Raw'!$A:$GZ,ROW()-4,$B$4)))</f>
        <v>92RRA00548AAA</v>
      </c>
      <c r="C568" s="42" t="str">
        <f aca="false">IF(OR(A568="",$C$4=0),"",INDEX('COOIS Raw'!$A:$GZ,ROW()-4,$C$4))</f>
        <v>R5B ERBIUM SPOOL ASSEMBLY - E2A</v>
      </c>
      <c r="D568" s="41" t="n">
        <f aca="false">IF(A568="","",IF($D$4=0,1,IFERROR(--INDEX('COOIS Raw'!$A:$GZ,ROW()-4,$D$4),1)))</f>
        <v>1</v>
      </c>
      <c r="E568" s="42" t="str">
        <f aca="false">IF(A568="","",INDEX('COOIS Raw'!$A:$GZ,ROW()-4,$E$4)&amp;"")</f>
        <v>REL PRT CNF DLV PRC GMPS MANC SETC</v>
      </c>
      <c r="F568" s="43" t="n">
        <f aca="false">IF(A568="","",IFERROR(DATEVALUE(INDEX('COOIS Raw'!$A:$GZ,ROW()-4,$F$4)),INDEX('COOIS Raw'!$A:$GZ,ROW()-4,$F$4)))</f>
        <v>46223</v>
      </c>
      <c r="G568" s="41" t="str">
        <f aca="false">IF(A568="","",IF(ISNA(MATCH(B568,'Kitting Plan'!$B$6:$B$19,0)),"Not in plan","Yes"))</f>
        <v>Yes</v>
      </c>
      <c r="H568" s="41" t="n">
        <f aca="false">IF(G568="Yes",INDEX('Kitting Plan'!$D$6:$D$19,MATCH(B568,'Kitting Plan'!$B$6:$B$19,0)),"")</f>
        <v>24</v>
      </c>
      <c r="I568" s="41" t="n">
        <f aca="false">IF(A568="","",IF(ISNUMBER(SEARCH("PRT",E568)),D568,0))</f>
        <v>1</v>
      </c>
      <c r="J568" s="41" t="n">
        <f aca="false">IF(A568="","",IF(ISNUMBER(SEARCH("GMPS",E568)),D568,0))</f>
        <v>1</v>
      </c>
      <c r="K568" s="41" t="n">
        <f aca="false">IF(A568="","",IF(ISNUMBER(SEARCH("DLV",E568)),D568,0))</f>
        <v>1</v>
      </c>
      <c r="L568" s="41" t="str">
        <f aca="false">IF(A568="","",IF(K568&gt;0,"Delivered",IF(ISNUMBER(SEARCH("CNF",E568)),"In production",IF(J568&gt;0,"Issued",IF(I568&gt;0,"Kitted","Released")))))</f>
        <v>Delivered</v>
      </c>
      <c r="M568" s="41" t="n">
        <f aca="false">IF(G568&lt;&gt;"Yes","",COUNTIFS($B$6:$B$1505,B568,$F$6:$F$1505,"&lt;"&amp;F568)+COUNTIFS($B$6:$B$1505,B568,$F$6:$F$1505,F568,$A$6:$A$1505,"&lt;="&amp;A568))</f>
        <v>76</v>
      </c>
      <c r="N568" s="41" t="n">
        <f aca="false">IF(M568="","",ROUNDUP(M568/H568,0))</f>
        <v>4</v>
      </c>
      <c r="O568" s="41" t="str">
        <f aca="false">IF(N568="","",IF(N568&lt;='Kitting Plan'!$C$3,"Rep "&amp;N568,"Surplus"))</f>
        <v>Rep 4</v>
      </c>
    </row>
    <row r="569" customFormat="false" ht="15" hidden="false" customHeight="false" outlineLevel="0" collapsed="false">
      <c r="A569" s="40" t="n">
        <f aca="false">IF(OR($A$4=0,INDEX('COOIS Raw'!$A:$GZ,ROW()-4,$A$4)=""),"",IFERROR(--INDEX('COOIS Raw'!$A:$GZ,ROW()-4,$A$4),INDEX('COOIS Raw'!$A:$GZ,ROW()-4,$A$4)))</f>
        <v>100870823</v>
      </c>
      <c r="B569" s="41" t="str">
        <f aca="false">IF(A569="","",TRIM(INDEX('COOIS Raw'!$A:$GZ,ROW()-4,$B$4)))</f>
        <v>92RRA00548AAA</v>
      </c>
      <c r="C569" s="42" t="str">
        <f aca="false">IF(OR(A569="",$C$4=0),"",INDEX('COOIS Raw'!$A:$GZ,ROW()-4,$C$4))</f>
        <v>R5B ERBIUM SPOOL ASSEMBLY - E2A</v>
      </c>
      <c r="D569" s="41" t="n">
        <f aca="false">IF(A569="","",IF($D$4=0,1,IFERROR(--INDEX('COOIS Raw'!$A:$GZ,ROW()-4,$D$4),1)))</f>
        <v>1</v>
      </c>
      <c r="E569" s="42" t="str">
        <f aca="false">IF(A569="","",INDEX('COOIS Raw'!$A:$GZ,ROW()-4,$E$4)&amp;"")</f>
        <v>REL PRT CNF DLV PRC GMPS MANC SETC</v>
      </c>
      <c r="F569" s="43" t="n">
        <f aca="false">IF(A569="","",IFERROR(DATEVALUE(INDEX('COOIS Raw'!$A:$GZ,ROW()-4,$F$4)),INDEX('COOIS Raw'!$A:$GZ,ROW()-4,$F$4)))</f>
        <v>46223</v>
      </c>
      <c r="G569" s="41" t="str">
        <f aca="false">IF(A569="","",IF(ISNA(MATCH(B569,'Kitting Plan'!$B$6:$B$19,0)),"Not in plan","Yes"))</f>
        <v>Yes</v>
      </c>
      <c r="H569" s="41" t="n">
        <f aca="false">IF(G569="Yes",INDEX('Kitting Plan'!$D$6:$D$19,MATCH(B569,'Kitting Plan'!$B$6:$B$19,0)),"")</f>
        <v>24</v>
      </c>
      <c r="I569" s="41" t="n">
        <f aca="false">IF(A569="","",IF(ISNUMBER(SEARCH("PRT",E569)),D569,0))</f>
        <v>1</v>
      </c>
      <c r="J569" s="41" t="n">
        <f aca="false">IF(A569="","",IF(ISNUMBER(SEARCH("GMPS",E569)),D569,0))</f>
        <v>1</v>
      </c>
      <c r="K569" s="41" t="n">
        <f aca="false">IF(A569="","",IF(ISNUMBER(SEARCH("DLV",E569)),D569,0))</f>
        <v>1</v>
      </c>
      <c r="L569" s="41" t="str">
        <f aca="false">IF(A569="","",IF(K569&gt;0,"Delivered",IF(ISNUMBER(SEARCH("CNF",E569)),"In production",IF(J569&gt;0,"Issued",IF(I569&gt;0,"Kitted","Released")))))</f>
        <v>Delivered</v>
      </c>
      <c r="M569" s="41" t="n">
        <f aca="false">IF(G569&lt;&gt;"Yes","",COUNTIFS($B$6:$B$1505,B569,$F$6:$F$1505,"&lt;"&amp;F569)+COUNTIFS($B$6:$B$1505,B569,$F$6:$F$1505,F569,$A$6:$A$1505,"&lt;="&amp;A569))</f>
        <v>77</v>
      </c>
      <c r="N569" s="41" t="n">
        <f aca="false">IF(M569="","",ROUNDUP(M569/H569,0))</f>
        <v>4</v>
      </c>
      <c r="O569" s="41" t="str">
        <f aca="false">IF(N569="","",IF(N569&lt;='Kitting Plan'!$C$3,"Rep "&amp;N569,"Surplus"))</f>
        <v>Rep 4</v>
      </c>
    </row>
    <row r="570" customFormat="false" ht="15" hidden="false" customHeight="false" outlineLevel="0" collapsed="false">
      <c r="A570" s="40" t="n">
        <f aca="false">IF(OR($A$4=0,INDEX('COOIS Raw'!$A:$GZ,ROW()-4,$A$4)=""),"",IFERROR(--INDEX('COOIS Raw'!$A:$GZ,ROW()-4,$A$4),INDEX('COOIS Raw'!$A:$GZ,ROW()-4,$A$4)))</f>
        <v>100870824</v>
      </c>
      <c r="B570" s="41" t="str">
        <f aca="false">IF(A570="","",TRIM(INDEX('COOIS Raw'!$A:$GZ,ROW()-4,$B$4)))</f>
        <v>92RRA00548AAA</v>
      </c>
      <c r="C570" s="42" t="str">
        <f aca="false">IF(OR(A570="",$C$4=0),"",INDEX('COOIS Raw'!$A:$GZ,ROW()-4,$C$4))</f>
        <v>R5B ERBIUM SPOOL ASSEMBLY - E2A</v>
      </c>
      <c r="D570" s="41" t="n">
        <f aca="false">IF(A570="","",IF($D$4=0,1,IFERROR(--INDEX('COOIS Raw'!$A:$GZ,ROW()-4,$D$4),1)))</f>
        <v>1</v>
      </c>
      <c r="E570" s="42" t="str">
        <f aca="false">IF(A570="","",INDEX('COOIS Raw'!$A:$GZ,ROW()-4,$E$4)&amp;"")</f>
        <v>REL PRT CNF DLV PRC GMPS MANC SETC</v>
      </c>
      <c r="F570" s="43" t="n">
        <f aca="false">IF(A570="","",IFERROR(DATEVALUE(INDEX('COOIS Raw'!$A:$GZ,ROW()-4,$F$4)),INDEX('COOIS Raw'!$A:$GZ,ROW()-4,$F$4)))</f>
        <v>46223</v>
      </c>
      <c r="G570" s="41" t="str">
        <f aca="false">IF(A570="","",IF(ISNA(MATCH(B570,'Kitting Plan'!$B$6:$B$19,0)),"Not in plan","Yes"))</f>
        <v>Yes</v>
      </c>
      <c r="H570" s="41" t="n">
        <f aca="false">IF(G570="Yes",INDEX('Kitting Plan'!$D$6:$D$19,MATCH(B570,'Kitting Plan'!$B$6:$B$19,0)),"")</f>
        <v>24</v>
      </c>
      <c r="I570" s="41" t="n">
        <f aca="false">IF(A570="","",IF(ISNUMBER(SEARCH("PRT",E570)),D570,0))</f>
        <v>1</v>
      </c>
      <c r="J570" s="41" t="n">
        <f aca="false">IF(A570="","",IF(ISNUMBER(SEARCH("GMPS",E570)),D570,0))</f>
        <v>1</v>
      </c>
      <c r="K570" s="41" t="n">
        <f aca="false">IF(A570="","",IF(ISNUMBER(SEARCH("DLV",E570)),D570,0))</f>
        <v>1</v>
      </c>
      <c r="L570" s="41" t="str">
        <f aca="false">IF(A570="","",IF(K570&gt;0,"Delivered",IF(ISNUMBER(SEARCH("CNF",E570)),"In production",IF(J570&gt;0,"Issued",IF(I570&gt;0,"Kitted","Released")))))</f>
        <v>Delivered</v>
      </c>
      <c r="M570" s="41" t="n">
        <f aca="false">IF(G570&lt;&gt;"Yes","",COUNTIFS($B$6:$B$1505,B570,$F$6:$F$1505,"&lt;"&amp;F570)+COUNTIFS($B$6:$B$1505,B570,$F$6:$F$1505,F570,$A$6:$A$1505,"&lt;="&amp;A570))</f>
        <v>78</v>
      </c>
      <c r="N570" s="41" t="n">
        <f aca="false">IF(M570="","",ROUNDUP(M570/H570,0))</f>
        <v>4</v>
      </c>
      <c r="O570" s="41" t="str">
        <f aca="false">IF(N570="","",IF(N570&lt;='Kitting Plan'!$C$3,"Rep "&amp;N570,"Surplus"))</f>
        <v>Rep 4</v>
      </c>
    </row>
    <row r="571" customFormat="false" ht="15" hidden="false" customHeight="false" outlineLevel="0" collapsed="false">
      <c r="A571" s="40" t="n">
        <f aca="false">IF(OR($A$4=0,INDEX('COOIS Raw'!$A:$GZ,ROW()-4,$A$4)=""),"",IFERROR(--INDEX('COOIS Raw'!$A:$GZ,ROW()-4,$A$4),INDEX('COOIS Raw'!$A:$GZ,ROW()-4,$A$4)))</f>
        <v>100869317</v>
      </c>
      <c r="B571" s="41" t="str">
        <f aca="false">IF(A571="","",TRIM(INDEX('COOIS Raw'!$A:$GZ,ROW()-4,$B$4)))</f>
        <v>92RRA00548AAA</v>
      </c>
      <c r="C571" s="42" t="str">
        <f aca="false">IF(OR(A571="",$C$4=0),"",INDEX('COOIS Raw'!$A:$GZ,ROW()-4,$C$4))</f>
        <v>R5B ERBIUM SPOOL ASSEMBLY - E2A</v>
      </c>
      <c r="D571" s="41" t="n">
        <f aca="false">IF(A571="","",IF($D$4=0,1,IFERROR(--INDEX('COOIS Raw'!$A:$GZ,ROW()-4,$D$4),1)))</f>
        <v>1</v>
      </c>
      <c r="E571" s="42" t="str">
        <f aca="false">IF(A571="","",INDEX('COOIS Raw'!$A:$GZ,ROW()-4,$E$4)&amp;"")</f>
        <v>REL PRT CNF DLV PRC GMPS MANC SETC</v>
      </c>
      <c r="F571" s="43" t="n">
        <f aca="false">IF(A571="","",IFERROR(DATEVALUE(INDEX('COOIS Raw'!$A:$GZ,ROW()-4,$F$4)),INDEX('COOIS Raw'!$A:$GZ,ROW()-4,$F$4)))</f>
        <v>46210</v>
      </c>
      <c r="G571" s="41" t="str">
        <f aca="false">IF(A571="","",IF(ISNA(MATCH(B571,'Kitting Plan'!$B$6:$B$19,0)),"Not in plan","Yes"))</f>
        <v>Yes</v>
      </c>
      <c r="H571" s="41" t="n">
        <f aca="false">IF(G571="Yes",INDEX('Kitting Plan'!$D$6:$D$19,MATCH(B571,'Kitting Plan'!$B$6:$B$19,0)),"")</f>
        <v>24</v>
      </c>
      <c r="I571" s="41" t="n">
        <f aca="false">IF(A571="","",IF(ISNUMBER(SEARCH("PRT",E571)),D571,0))</f>
        <v>1</v>
      </c>
      <c r="J571" s="41" t="n">
        <f aca="false">IF(A571="","",IF(ISNUMBER(SEARCH("GMPS",E571)),D571,0))</f>
        <v>1</v>
      </c>
      <c r="K571" s="41" t="n">
        <f aca="false">IF(A571="","",IF(ISNUMBER(SEARCH("DLV",E571)),D571,0))</f>
        <v>1</v>
      </c>
      <c r="L571" s="41" t="str">
        <f aca="false">IF(A571="","",IF(K571&gt;0,"Delivered",IF(ISNUMBER(SEARCH("CNF",E571)),"In production",IF(J571&gt;0,"Issued",IF(I571&gt;0,"Kitted","Released")))))</f>
        <v>Delivered</v>
      </c>
      <c r="M571" s="41" t="n">
        <f aca="false">IF(G571&lt;&gt;"Yes","",COUNTIFS($B$6:$B$1505,B571,$F$6:$F$1505,"&lt;"&amp;F571)+COUNTIFS($B$6:$B$1505,B571,$F$6:$F$1505,F571,$A$6:$A$1505,"&lt;="&amp;A571))</f>
        <v>53</v>
      </c>
      <c r="N571" s="41" t="n">
        <f aca="false">IF(M571="","",ROUNDUP(M571/H571,0))</f>
        <v>3</v>
      </c>
      <c r="O571" s="41" t="str">
        <f aca="false">IF(N571="","",IF(N571&lt;='Kitting Plan'!$C$3,"Rep "&amp;N571,"Surplus"))</f>
        <v>Rep 3</v>
      </c>
    </row>
    <row r="572" customFormat="false" ht="15" hidden="false" customHeight="false" outlineLevel="0" collapsed="false">
      <c r="A572" s="40" t="n">
        <f aca="false">IF(OR($A$4=0,INDEX('COOIS Raw'!$A:$GZ,ROW()-4,$A$4)=""),"",IFERROR(--INDEX('COOIS Raw'!$A:$GZ,ROW()-4,$A$4),INDEX('COOIS Raw'!$A:$GZ,ROW()-4,$A$4)))</f>
        <v>100869318</v>
      </c>
      <c r="B572" s="41" t="str">
        <f aca="false">IF(A572="","",TRIM(INDEX('COOIS Raw'!$A:$GZ,ROW()-4,$B$4)))</f>
        <v>92RRA00548AAA</v>
      </c>
      <c r="C572" s="42" t="str">
        <f aca="false">IF(OR(A572="",$C$4=0),"",INDEX('COOIS Raw'!$A:$GZ,ROW()-4,$C$4))</f>
        <v>R5B ERBIUM SPOOL ASSEMBLY - E2A</v>
      </c>
      <c r="D572" s="41" t="n">
        <f aca="false">IF(A572="","",IF($D$4=0,1,IFERROR(--INDEX('COOIS Raw'!$A:$GZ,ROW()-4,$D$4),1)))</f>
        <v>1</v>
      </c>
      <c r="E572" s="42" t="str">
        <f aca="false">IF(A572="","",INDEX('COOIS Raw'!$A:$GZ,ROW()-4,$E$4)&amp;"")</f>
        <v>REL PRT CNF DLV PRC GMPS MANC SETC</v>
      </c>
      <c r="F572" s="43" t="n">
        <f aca="false">IF(A572="","",IFERROR(DATEVALUE(INDEX('COOIS Raw'!$A:$GZ,ROW()-4,$F$4)),INDEX('COOIS Raw'!$A:$GZ,ROW()-4,$F$4)))</f>
        <v>46210</v>
      </c>
      <c r="G572" s="41" t="str">
        <f aca="false">IF(A572="","",IF(ISNA(MATCH(B572,'Kitting Plan'!$B$6:$B$19,0)),"Not in plan","Yes"))</f>
        <v>Yes</v>
      </c>
      <c r="H572" s="41" t="n">
        <f aca="false">IF(G572="Yes",INDEX('Kitting Plan'!$D$6:$D$19,MATCH(B572,'Kitting Plan'!$B$6:$B$19,0)),"")</f>
        <v>24</v>
      </c>
      <c r="I572" s="41" t="n">
        <f aca="false">IF(A572="","",IF(ISNUMBER(SEARCH("PRT",E572)),D572,0))</f>
        <v>1</v>
      </c>
      <c r="J572" s="41" t="n">
        <f aca="false">IF(A572="","",IF(ISNUMBER(SEARCH("GMPS",E572)),D572,0))</f>
        <v>1</v>
      </c>
      <c r="K572" s="41" t="n">
        <f aca="false">IF(A572="","",IF(ISNUMBER(SEARCH("DLV",E572)),D572,0))</f>
        <v>1</v>
      </c>
      <c r="L572" s="41" t="str">
        <f aca="false">IF(A572="","",IF(K572&gt;0,"Delivered",IF(ISNUMBER(SEARCH("CNF",E572)),"In production",IF(J572&gt;0,"Issued",IF(I572&gt;0,"Kitted","Released")))))</f>
        <v>Delivered</v>
      </c>
      <c r="M572" s="41" t="n">
        <f aca="false">IF(G572&lt;&gt;"Yes","",COUNTIFS($B$6:$B$1505,B572,$F$6:$F$1505,"&lt;"&amp;F572)+COUNTIFS($B$6:$B$1505,B572,$F$6:$F$1505,F572,$A$6:$A$1505,"&lt;="&amp;A572))</f>
        <v>54</v>
      </c>
      <c r="N572" s="41" t="n">
        <f aca="false">IF(M572="","",ROUNDUP(M572/H572,0))</f>
        <v>3</v>
      </c>
      <c r="O572" s="41" t="str">
        <f aca="false">IF(N572="","",IF(N572&lt;='Kitting Plan'!$C$3,"Rep "&amp;N572,"Surplus"))</f>
        <v>Rep 3</v>
      </c>
    </row>
    <row r="573" customFormat="false" ht="15" hidden="false" customHeight="false" outlineLevel="0" collapsed="false">
      <c r="A573" s="40" t="n">
        <f aca="false">IF(OR($A$4=0,INDEX('COOIS Raw'!$A:$GZ,ROW()-4,$A$4)=""),"",IFERROR(--INDEX('COOIS Raw'!$A:$GZ,ROW()-4,$A$4),INDEX('COOIS Raw'!$A:$GZ,ROW()-4,$A$4)))</f>
        <v>100867115</v>
      </c>
      <c r="B573" s="41" t="str">
        <f aca="false">IF(A573="","",TRIM(INDEX('COOIS Raw'!$A:$GZ,ROW()-4,$B$4)))</f>
        <v>92UAP04548BAA</v>
      </c>
      <c r="C573" s="42" t="str">
        <f aca="false">IF(OR(A573="",$C$4=0),"",INDEX('COOIS Raw'!$A:$GZ,ROW()-4,$C$4))</f>
        <v>R5B BOAT 1 ASSY (4P-4FP) L - E2A</v>
      </c>
      <c r="D573" s="41" t="n">
        <f aca="false">IF(A573="","",IF($D$4=0,1,IFERROR(--INDEX('COOIS Raw'!$A:$GZ,ROW()-4,$D$4),1)))</f>
        <v>1</v>
      </c>
      <c r="E573" s="42" t="str">
        <f aca="false">IF(A573="","",INDEX('COOIS Raw'!$A:$GZ,ROW()-4,$E$4)&amp;"")</f>
        <v>REL PRT CNF DLV PRC GMPS MANC RESA*</v>
      </c>
      <c r="F573" s="43" t="n">
        <f aca="false">IF(A573="","",IFERROR(DATEVALUE(INDEX('COOIS Raw'!$A:$GZ,ROW()-4,$F$4)),INDEX('COOIS Raw'!$A:$GZ,ROW()-4,$F$4)))</f>
        <v>46190</v>
      </c>
      <c r="G573" s="41" t="str">
        <f aca="false">IF(A573="","",IF(ISNA(MATCH(B573,'Kitting Plan'!$B$6:$B$19,0)),"Not in plan","Yes"))</f>
        <v>Yes</v>
      </c>
      <c r="H573" s="41" t="n">
        <f aca="false">IF(G573="Yes",INDEX('Kitting Plan'!$D$6:$D$19,MATCH(B573,'Kitting Plan'!$B$6:$B$19,0)),"")</f>
        <v>1</v>
      </c>
      <c r="I573" s="41" t="n">
        <f aca="false">IF(A573="","",IF(ISNUMBER(SEARCH("PRT",E573)),D573,0))</f>
        <v>1</v>
      </c>
      <c r="J573" s="41" t="n">
        <f aca="false">IF(A573="","",IF(ISNUMBER(SEARCH("GMPS",E573)),D573,0))</f>
        <v>1</v>
      </c>
      <c r="K573" s="41" t="n">
        <f aca="false">IF(A573="","",IF(ISNUMBER(SEARCH("DLV",E573)),D573,0))</f>
        <v>1</v>
      </c>
      <c r="L573" s="41" t="str">
        <f aca="false">IF(A573="","",IF(K573&gt;0,"Delivered",IF(ISNUMBER(SEARCH("CNF",E573)),"In production",IF(J573&gt;0,"Issued",IF(I573&gt;0,"Kitted","Released")))))</f>
        <v>Delivered</v>
      </c>
      <c r="M573" s="41" t="n">
        <f aca="false">IF(G573&lt;&gt;"Yes","",COUNTIFS($B$6:$B$1505,B573,$F$6:$F$1505,"&lt;"&amp;F573)+COUNTIFS($B$6:$B$1505,B573,$F$6:$F$1505,F573,$A$6:$A$1505,"&lt;="&amp;A573))</f>
        <v>3</v>
      </c>
      <c r="N573" s="41" t="n">
        <f aca="false">IF(M573="","",ROUNDUP(M573/H573,0))</f>
        <v>3</v>
      </c>
      <c r="O573" s="41" t="str">
        <f aca="false">IF(N573="","",IF(N573&lt;='Kitting Plan'!$C$3,"Rep "&amp;N573,"Surplus"))</f>
        <v>Rep 3</v>
      </c>
    </row>
    <row r="574" customFormat="false" ht="15" hidden="false" customHeight="false" outlineLevel="0" collapsed="false">
      <c r="A574" s="40" t="n">
        <f aca="false">IF(OR($A$4=0,INDEX('COOIS Raw'!$A:$GZ,ROW()-4,$A$4)=""),"",IFERROR(--INDEX('COOIS Raw'!$A:$GZ,ROW()-4,$A$4),INDEX('COOIS Raw'!$A:$GZ,ROW()-4,$A$4)))</f>
        <v>100867154</v>
      </c>
      <c r="B574" s="41" t="str">
        <f aca="false">IF(A574="","",TRIM(INDEX('COOIS Raw'!$A:$GZ,ROW()-4,$B$4)))</f>
        <v>92UAP04548BBA</v>
      </c>
      <c r="C574" s="42" t="str">
        <f aca="false">IF(OR(A574="",$C$4=0),"",INDEX('COOIS Raw'!$A:$GZ,ROW()-4,$C$4))</f>
        <v>R5B BOAT 2 ASSY (4P-4FP) L - E2A</v>
      </c>
      <c r="D574" s="41" t="n">
        <f aca="false">IF(A574="","",IF($D$4=0,1,IFERROR(--INDEX('COOIS Raw'!$A:$GZ,ROW()-4,$D$4),1)))</f>
        <v>1</v>
      </c>
      <c r="E574" s="42" t="str">
        <f aca="false">IF(A574="","",INDEX('COOIS Raw'!$A:$GZ,ROW()-4,$E$4)&amp;"")</f>
        <v>REL PRT CNF DLV PRC GMPS MANC RESA*</v>
      </c>
      <c r="F574" s="43" t="n">
        <f aca="false">IF(A574="","",IFERROR(DATEVALUE(INDEX('COOIS Raw'!$A:$GZ,ROW()-4,$F$4)),INDEX('COOIS Raw'!$A:$GZ,ROW()-4,$F$4)))</f>
        <v>46190</v>
      </c>
      <c r="G574" s="41" t="str">
        <f aca="false">IF(A574="","",IF(ISNA(MATCH(B574,'Kitting Plan'!$B$6:$B$19,0)),"Not in plan","Yes"))</f>
        <v>Yes</v>
      </c>
      <c r="H574" s="41" t="n">
        <f aca="false">IF(G574="Yes",INDEX('Kitting Plan'!$D$6:$D$19,MATCH(B574,'Kitting Plan'!$B$6:$B$19,0)),"")</f>
        <v>1</v>
      </c>
      <c r="I574" s="41" t="n">
        <f aca="false">IF(A574="","",IF(ISNUMBER(SEARCH("PRT",E574)),D574,0))</f>
        <v>1</v>
      </c>
      <c r="J574" s="41" t="n">
        <f aca="false">IF(A574="","",IF(ISNUMBER(SEARCH("GMPS",E574)),D574,0))</f>
        <v>1</v>
      </c>
      <c r="K574" s="41" t="n">
        <f aca="false">IF(A574="","",IF(ISNUMBER(SEARCH("DLV",E574)),D574,0))</f>
        <v>1</v>
      </c>
      <c r="L574" s="41" t="str">
        <f aca="false">IF(A574="","",IF(K574&gt;0,"Delivered",IF(ISNUMBER(SEARCH("CNF",E574)),"In production",IF(J574&gt;0,"Issued",IF(I574&gt;0,"Kitted","Released")))))</f>
        <v>Delivered</v>
      </c>
      <c r="M574" s="41" t="n">
        <f aca="false">IF(G574&lt;&gt;"Yes","",COUNTIFS($B$6:$B$1505,B574,$F$6:$F$1505,"&lt;"&amp;F574)+COUNTIFS($B$6:$B$1505,B574,$F$6:$F$1505,F574,$A$6:$A$1505,"&lt;="&amp;A574))</f>
        <v>3</v>
      </c>
      <c r="N574" s="41" t="n">
        <f aca="false">IF(M574="","",ROUNDUP(M574/H574,0))</f>
        <v>3</v>
      </c>
      <c r="O574" s="41" t="str">
        <f aca="false">IF(N574="","",IF(N574&lt;='Kitting Plan'!$C$3,"Rep "&amp;N574,"Surplus"))</f>
        <v>Rep 3</v>
      </c>
    </row>
    <row r="575" customFormat="false" ht="15" hidden="false" customHeight="false" outlineLevel="0" collapsed="false">
      <c r="A575" s="40" t="n">
        <f aca="false">IF(OR($A$4=0,INDEX('COOIS Raw'!$A:$GZ,ROW()-4,$A$4)=""),"",IFERROR(--INDEX('COOIS Raw'!$A:$GZ,ROW()-4,$A$4),INDEX('COOIS Raw'!$A:$GZ,ROW()-4,$A$4)))</f>
        <v>100867155</v>
      </c>
      <c r="B575" s="41" t="str">
        <f aca="false">IF(A575="","",TRIM(INDEX('COOIS Raw'!$A:$GZ,ROW()-4,$B$4)))</f>
        <v>92UAP04548BCA</v>
      </c>
      <c r="C575" s="42" t="str">
        <f aca="false">IF(OR(A575="",$C$4=0),"",INDEX('COOIS Raw'!$A:$GZ,ROW()-4,$C$4))</f>
        <v>R5B BOAT 3 ASSY (4P-4FP) L - E2A</v>
      </c>
      <c r="D575" s="41" t="n">
        <f aca="false">IF(A575="","",IF($D$4=0,1,IFERROR(--INDEX('COOIS Raw'!$A:$GZ,ROW()-4,$D$4),1)))</f>
        <v>1</v>
      </c>
      <c r="E575" s="42" t="str">
        <f aca="false">IF(A575="","",INDEX('COOIS Raw'!$A:$GZ,ROW()-4,$E$4)&amp;"")</f>
        <v>REL PRT CNF DLV PRC GMPS MANC RESA*</v>
      </c>
      <c r="F575" s="43" t="n">
        <f aca="false">IF(A575="","",IFERROR(DATEVALUE(INDEX('COOIS Raw'!$A:$GZ,ROW()-4,$F$4)),INDEX('COOIS Raw'!$A:$GZ,ROW()-4,$F$4)))</f>
        <v>46190</v>
      </c>
      <c r="G575" s="41" t="str">
        <f aca="false">IF(A575="","",IF(ISNA(MATCH(B575,'Kitting Plan'!$B$6:$B$19,0)),"Not in plan","Yes"))</f>
        <v>Yes</v>
      </c>
      <c r="H575" s="41" t="n">
        <f aca="false">IF(G575="Yes",INDEX('Kitting Plan'!$D$6:$D$19,MATCH(B575,'Kitting Plan'!$B$6:$B$19,0)),"")</f>
        <v>1</v>
      </c>
      <c r="I575" s="41" t="n">
        <f aca="false">IF(A575="","",IF(ISNUMBER(SEARCH("PRT",E575)),D575,0))</f>
        <v>1</v>
      </c>
      <c r="J575" s="41" t="n">
        <f aca="false">IF(A575="","",IF(ISNUMBER(SEARCH("GMPS",E575)),D575,0))</f>
        <v>1</v>
      </c>
      <c r="K575" s="41" t="n">
        <f aca="false">IF(A575="","",IF(ISNUMBER(SEARCH("DLV",E575)),D575,0))</f>
        <v>1</v>
      </c>
      <c r="L575" s="41" t="str">
        <f aca="false">IF(A575="","",IF(K575&gt;0,"Delivered",IF(ISNUMBER(SEARCH("CNF",E575)),"In production",IF(J575&gt;0,"Issued",IF(I575&gt;0,"Kitted","Released")))))</f>
        <v>Delivered</v>
      </c>
      <c r="M575" s="41" t="n">
        <f aca="false">IF(G575&lt;&gt;"Yes","",COUNTIFS($B$6:$B$1505,B575,$F$6:$F$1505,"&lt;"&amp;F575)+COUNTIFS($B$6:$B$1505,B575,$F$6:$F$1505,F575,$A$6:$A$1505,"&lt;="&amp;A575))</f>
        <v>3</v>
      </c>
      <c r="N575" s="41" t="n">
        <f aca="false">IF(M575="","",ROUNDUP(M575/H575,0))</f>
        <v>3</v>
      </c>
      <c r="O575" s="41" t="str">
        <f aca="false">IF(N575="","",IF(N575&lt;='Kitting Plan'!$C$3,"Rep "&amp;N575,"Surplus"))</f>
        <v>Rep 3</v>
      </c>
    </row>
    <row r="576" customFormat="false" ht="15" hidden="false" customHeight="false" outlineLevel="0" collapsed="false">
      <c r="A576" s="40" t="n">
        <f aca="false">IF(OR($A$4=0,INDEX('COOIS Raw'!$A:$GZ,ROW()-4,$A$4)=""),"",IFERROR(--INDEX('COOIS Raw'!$A:$GZ,ROW()-4,$A$4),INDEX('COOIS Raw'!$A:$GZ,ROW()-4,$A$4)))</f>
        <v>100866605</v>
      </c>
      <c r="B576" s="41" t="str">
        <f aca="false">IF(A576="","",TRIM(INDEX('COOIS Raw'!$A:$GZ,ROW()-4,$B$4)))</f>
        <v>91YAF03404AAA</v>
      </c>
      <c r="C576" s="42" t="str">
        <f aca="false">IF(OR(A576="",$C$4=0),"",INDEX('COOIS Raw'!$A:$GZ,ROW()-4,$C$4))</f>
        <v>R5B PSB SUB ASSEMBLY 4P-4FP</v>
      </c>
      <c r="D576" s="41" t="n">
        <f aca="false">IF(A576="","",IF($D$4=0,1,IFERROR(--INDEX('COOIS Raw'!$A:$GZ,ROW()-4,$D$4),1)))</f>
        <v>1</v>
      </c>
      <c r="E576" s="42" t="str">
        <f aca="false">IF(A576="","",INDEX('COOIS Raw'!$A:$GZ,ROW()-4,$E$4)&amp;"")</f>
        <v>REL PRT CNF DLV PRC GMPS MANC RESA*</v>
      </c>
      <c r="F576" s="43" t="n">
        <f aca="false">IF(A576="","",IFERROR(DATEVALUE(INDEX('COOIS Raw'!$A:$GZ,ROW()-4,$F$4)),INDEX('COOIS Raw'!$A:$GZ,ROW()-4,$F$4)))</f>
        <v>46188</v>
      </c>
      <c r="G576" s="41" t="str">
        <f aca="false">IF(A576="","",IF(ISNA(MATCH(B576,'Kitting Plan'!$B$6:$B$19,0)),"Not in plan","Yes"))</f>
        <v>Yes</v>
      </c>
      <c r="H576" s="41" t="n">
        <f aca="false">IF(G576="Yes",INDEX('Kitting Plan'!$D$6:$D$19,MATCH(B576,'Kitting Plan'!$B$6:$B$19,0)),"")</f>
        <v>3</v>
      </c>
      <c r="I576" s="41" t="n">
        <f aca="false">IF(A576="","",IF(ISNUMBER(SEARCH("PRT",E576)),D576,0))</f>
        <v>1</v>
      </c>
      <c r="J576" s="41" t="n">
        <f aca="false">IF(A576="","",IF(ISNUMBER(SEARCH("GMPS",E576)),D576,0))</f>
        <v>1</v>
      </c>
      <c r="K576" s="41" t="n">
        <f aca="false">IF(A576="","",IF(ISNUMBER(SEARCH("DLV",E576)),D576,0))</f>
        <v>1</v>
      </c>
      <c r="L576" s="41" t="str">
        <f aca="false">IF(A576="","",IF(K576&gt;0,"Delivered",IF(ISNUMBER(SEARCH("CNF",E576)),"In production",IF(J576&gt;0,"Issued",IF(I576&gt;0,"Kitted","Released")))))</f>
        <v>Delivered</v>
      </c>
      <c r="M576" s="41" t="n">
        <f aca="false">IF(G576&lt;&gt;"Yes","",COUNTIFS($B$6:$B$1505,B576,$F$6:$F$1505,"&lt;"&amp;F576)+COUNTIFS($B$6:$B$1505,B576,$F$6:$F$1505,F576,$A$6:$A$1505,"&lt;="&amp;A576))</f>
        <v>11</v>
      </c>
      <c r="N576" s="41" t="n">
        <f aca="false">IF(M576="","",ROUNDUP(M576/H576,0))</f>
        <v>4</v>
      </c>
      <c r="O576" s="41" t="str">
        <f aca="false">IF(N576="","",IF(N576&lt;='Kitting Plan'!$C$3,"Rep "&amp;N576,"Surplus"))</f>
        <v>Rep 4</v>
      </c>
    </row>
    <row r="577" customFormat="false" ht="15" hidden="false" customHeight="false" outlineLevel="0" collapsed="false">
      <c r="A577" s="40" t="n">
        <f aca="false">IF(OR($A$4=0,INDEX('COOIS Raw'!$A:$GZ,ROW()-4,$A$4)=""),"",IFERROR(--INDEX('COOIS Raw'!$A:$GZ,ROW()-4,$A$4),INDEX('COOIS Raw'!$A:$GZ,ROW()-4,$A$4)))</f>
        <v>100866606</v>
      </c>
      <c r="B577" s="41" t="str">
        <f aca="false">IF(A577="","",TRIM(INDEX('COOIS Raw'!$A:$GZ,ROW()-4,$B$4)))</f>
        <v>91YAF03404AAA</v>
      </c>
      <c r="C577" s="42" t="str">
        <f aca="false">IF(OR(A577="",$C$4=0),"",INDEX('COOIS Raw'!$A:$GZ,ROW()-4,$C$4))</f>
        <v>R5B PSB SUB ASSEMBLY 4P-4FP</v>
      </c>
      <c r="D577" s="41" t="n">
        <f aca="false">IF(A577="","",IF($D$4=0,1,IFERROR(--INDEX('COOIS Raw'!$A:$GZ,ROW()-4,$D$4),1)))</f>
        <v>1</v>
      </c>
      <c r="E577" s="42" t="str">
        <f aca="false">IF(A577="","",INDEX('COOIS Raw'!$A:$GZ,ROW()-4,$E$4)&amp;"")</f>
        <v>REL PRT CNF DLV PRC GMPS MANC RESA*</v>
      </c>
      <c r="F577" s="43" t="n">
        <f aca="false">IF(A577="","",IFERROR(DATEVALUE(INDEX('COOIS Raw'!$A:$GZ,ROW()-4,$F$4)),INDEX('COOIS Raw'!$A:$GZ,ROW()-4,$F$4)))</f>
        <v>46188</v>
      </c>
      <c r="G577" s="41" t="str">
        <f aca="false">IF(A577="","",IF(ISNA(MATCH(B577,'Kitting Plan'!$B$6:$B$19,0)),"Not in plan","Yes"))</f>
        <v>Yes</v>
      </c>
      <c r="H577" s="41" t="n">
        <f aca="false">IF(G577="Yes",INDEX('Kitting Plan'!$D$6:$D$19,MATCH(B577,'Kitting Plan'!$B$6:$B$19,0)),"")</f>
        <v>3</v>
      </c>
      <c r="I577" s="41" t="n">
        <f aca="false">IF(A577="","",IF(ISNUMBER(SEARCH("PRT",E577)),D577,0))</f>
        <v>1</v>
      </c>
      <c r="J577" s="41" t="n">
        <f aca="false">IF(A577="","",IF(ISNUMBER(SEARCH("GMPS",E577)),D577,0))</f>
        <v>1</v>
      </c>
      <c r="K577" s="41" t="n">
        <f aca="false">IF(A577="","",IF(ISNUMBER(SEARCH("DLV",E577)),D577,0))</f>
        <v>1</v>
      </c>
      <c r="L577" s="41" t="str">
        <f aca="false">IF(A577="","",IF(K577&gt;0,"Delivered",IF(ISNUMBER(SEARCH("CNF",E577)),"In production",IF(J577&gt;0,"Issued",IF(I577&gt;0,"Kitted","Released")))))</f>
        <v>Delivered</v>
      </c>
      <c r="M577" s="41" t="n">
        <f aca="false">IF(G577&lt;&gt;"Yes","",COUNTIFS($B$6:$B$1505,B577,$F$6:$F$1505,"&lt;"&amp;F577)+COUNTIFS($B$6:$B$1505,B577,$F$6:$F$1505,F577,$A$6:$A$1505,"&lt;="&amp;A577))</f>
        <v>12</v>
      </c>
      <c r="N577" s="41" t="n">
        <f aca="false">IF(M577="","",ROUNDUP(M577/H577,0))</f>
        <v>4</v>
      </c>
      <c r="O577" s="41" t="str">
        <f aca="false">IF(N577="","",IF(N577&lt;='Kitting Plan'!$C$3,"Rep "&amp;N577,"Surplus"))</f>
        <v>Rep 4</v>
      </c>
    </row>
    <row r="578" customFormat="false" ht="15" hidden="false" customHeight="false" outlineLevel="0" collapsed="false">
      <c r="A578" s="40" t="n">
        <f aca="false">IF(OR($A$4=0,INDEX('COOIS Raw'!$A:$GZ,ROW()-4,$A$4)=""),"",IFERROR(--INDEX('COOIS Raw'!$A:$GZ,ROW()-4,$A$4),INDEX('COOIS Raw'!$A:$GZ,ROW()-4,$A$4)))</f>
        <v>100866548</v>
      </c>
      <c r="B578" s="41" t="str">
        <f aca="false">IF(A578="","",TRIM(INDEX('COOIS Raw'!$A:$GZ,ROW()-4,$B$4)))</f>
        <v>92RRA00548AAA</v>
      </c>
      <c r="C578" s="42" t="str">
        <f aca="false">IF(OR(A578="",$C$4=0),"",INDEX('COOIS Raw'!$A:$GZ,ROW()-4,$C$4))</f>
        <v>R5B ERBIUM SPOOL ASSEMBLY - E2A</v>
      </c>
      <c r="D578" s="41" t="n">
        <f aca="false">IF(A578="","",IF($D$4=0,1,IFERROR(--INDEX('COOIS Raw'!$A:$GZ,ROW()-4,$D$4),1)))</f>
        <v>1</v>
      </c>
      <c r="E578" s="42" t="str">
        <f aca="false">IF(A578="","",INDEX('COOIS Raw'!$A:$GZ,ROW()-4,$E$4)&amp;"")</f>
        <v>REL PRT CNF DLV PRC GMPS MANC SETC</v>
      </c>
      <c r="F578" s="43" t="n">
        <f aca="false">IF(A578="","",IFERROR(DATEVALUE(INDEX('COOIS Raw'!$A:$GZ,ROW()-4,$F$4)),INDEX('COOIS Raw'!$A:$GZ,ROW()-4,$F$4)))</f>
        <v>46187</v>
      </c>
      <c r="G578" s="41" t="str">
        <f aca="false">IF(A578="","",IF(ISNA(MATCH(B578,'Kitting Plan'!$B$6:$B$19,0)),"Not in plan","Yes"))</f>
        <v>Yes</v>
      </c>
      <c r="H578" s="41" t="n">
        <f aca="false">IF(G578="Yes",INDEX('Kitting Plan'!$D$6:$D$19,MATCH(B578,'Kitting Plan'!$B$6:$B$19,0)),"")</f>
        <v>24</v>
      </c>
      <c r="I578" s="41" t="n">
        <f aca="false">IF(A578="","",IF(ISNUMBER(SEARCH("PRT",E578)),D578,0))</f>
        <v>1</v>
      </c>
      <c r="J578" s="41" t="n">
        <f aca="false">IF(A578="","",IF(ISNUMBER(SEARCH("GMPS",E578)),D578,0))</f>
        <v>1</v>
      </c>
      <c r="K578" s="41" t="n">
        <f aca="false">IF(A578="","",IF(ISNUMBER(SEARCH("DLV",E578)),D578,0))</f>
        <v>1</v>
      </c>
      <c r="L578" s="41" t="str">
        <f aca="false">IF(A578="","",IF(K578&gt;0,"Delivered",IF(ISNUMBER(SEARCH("CNF",E578)),"In production",IF(J578&gt;0,"Issued",IF(I578&gt;0,"Kitted","Released")))))</f>
        <v>Delivered</v>
      </c>
      <c r="M578" s="41" t="n">
        <f aca="false">IF(G578&lt;&gt;"Yes","",COUNTIFS($B$6:$B$1505,B578,$F$6:$F$1505,"&lt;"&amp;F578)+COUNTIFS($B$6:$B$1505,B578,$F$6:$F$1505,F578,$A$6:$A$1505,"&lt;="&amp;A578))</f>
        <v>51</v>
      </c>
      <c r="N578" s="41" t="n">
        <f aca="false">IF(M578="","",ROUNDUP(M578/H578,0))</f>
        <v>3</v>
      </c>
      <c r="O578" s="41" t="str">
        <f aca="false">IF(N578="","",IF(N578&lt;='Kitting Plan'!$C$3,"Rep "&amp;N578,"Surplus"))</f>
        <v>Rep 3</v>
      </c>
    </row>
    <row r="579" customFormat="false" ht="15" hidden="false" customHeight="false" outlineLevel="0" collapsed="false">
      <c r="A579" s="40" t="n">
        <f aca="false">IF(OR($A$4=0,INDEX('COOIS Raw'!$A:$GZ,ROW()-4,$A$4)=""),"",IFERROR(--INDEX('COOIS Raw'!$A:$GZ,ROW()-4,$A$4),INDEX('COOIS Raw'!$A:$GZ,ROW()-4,$A$4)))</f>
        <v>100866549</v>
      </c>
      <c r="B579" s="41" t="str">
        <f aca="false">IF(A579="","",TRIM(INDEX('COOIS Raw'!$A:$GZ,ROW()-4,$B$4)))</f>
        <v>92RRA00548AAA</v>
      </c>
      <c r="C579" s="42" t="str">
        <f aca="false">IF(OR(A579="",$C$4=0),"",INDEX('COOIS Raw'!$A:$GZ,ROW()-4,$C$4))</f>
        <v>R5B ERBIUM SPOOL ASSEMBLY - E2A</v>
      </c>
      <c r="D579" s="41" t="n">
        <f aca="false">IF(A579="","",IF($D$4=0,1,IFERROR(--INDEX('COOIS Raw'!$A:$GZ,ROW()-4,$D$4),1)))</f>
        <v>1</v>
      </c>
      <c r="E579" s="42" t="str">
        <f aca="false">IF(A579="","",INDEX('COOIS Raw'!$A:$GZ,ROW()-4,$E$4)&amp;"")</f>
        <v>REL PRT CNF DLV PRC GMPS MANC SETC</v>
      </c>
      <c r="F579" s="43" t="n">
        <f aca="false">IF(A579="","",IFERROR(DATEVALUE(INDEX('COOIS Raw'!$A:$GZ,ROW()-4,$F$4)),INDEX('COOIS Raw'!$A:$GZ,ROW()-4,$F$4)))</f>
        <v>46187</v>
      </c>
      <c r="G579" s="41" t="str">
        <f aca="false">IF(A579="","",IF(ISNA(MATCH(B579,'Kitting Plan'!$B$6:$B$19,0)),"Not in plan","Yes"))</f>
        <v>Yes</v>
      </c>
      <c r="H579" s="41" t="n">
        <f aca="false">IF(G579="Yes",INDEX('Kitting Plan'!$D$6:$D$19,MATCH(B579,'Kitting Plan'!$B$6:$B$19,0)),"")</f>
        <v>24</v>
      </c>
      <c r="I579" s="41" t="n">
        <f aca="false">IF(A579="","",IF(ISNUMBER(SEARCH("PRT",E579)),D579,0))</f>
        <v>1</v>
      </c>
      <c r="J579" s="41" t="n">
        <f aca="false">IF(A579="","",IF(ISNUMBER(SEARCH("GMPS",E579)),D579,0))</f>
        <v>1</v>
      </c>
      <c r="K579" s="41" t="n">
        <f aca="false">IF(A579="","",IF(ISNUMBER(SEARCH("DLV",E579)),D579,0))</f>
        <v>1</v>
      </c>
      <c r="L579" s="41" t="str">
        <f aca="false">IF(A579="","",IF(K579&gt;0,"Delivered",IF(ISNUMBER(SEARCH("CNF",E579)),"In production",IF(J579&gt;0,"Issued",IF(I579&gt;0,"Kitted","Released")))))</f>
        <v>Delivered</v>
      </c>
      <c r="M579" s="41" t="n">
        <f aca="false">IF(G579&lt;&gt;"Yes","",COUNTIFS($B$6:$B$1505,B579,$F$6:$F$1505,"&lt;"&amp;F579)+COUNTIFS($B$6:$B$1505,B579,$F$6:$F$1505,F579,$A$6:$A$1505,"&lt;="&amp;A579))</f>
        <v>52</v>
      </c>
      <c r="N579" s="41" t="n">
        <f aca="false">IF(M579="","",ROUNDUP(M579/H579,0))</f>
        <v>3</v>
      </c>
      <c r="O579" s="41" t="str">
        <f aca="false">IF(N579="","",IF(N579&lt;='Kitting Plan'!$C$3,"Rep "&amp;N579,"Surplus"))</f>
        <v>Rep 3</v>
      </c>
    </row>
    <row r="580" customFormat="false" ht="15" hidden="false" customHeight="false" outlineLevel="0" collapsed="false">
      <c r="A580" s="40" t="n">
        <f aca="false">IF(OR($A$4=0,INDEX('COOIS Raw'!$A:$GZ,ROW()-4,$A$4)=""),"",IFERROR(--INDEX('COOIS Raw'!$A:$GZ,ROW()-4,$A$4),INDEX('COOIS Raw'!$A:$GZ,ROW()-4,$A$4)))</f>
        <v>100865789</v>
      </c>
      <c r="B580" s="41" t="str">
        <f aca="false">IF(A580="","",TRIM(INDEX('COOIS Raw'!$A:$GZ,ROW()-4,$B$4)))</f>
        <v>92YFD04548BAA</v>
      </c>
      <c r="C580" s="42" t="str">
        <f aca="false">IF(OR(A580="",$C$4=0),"",INDEX('COOIS Raw'!$A:$GZ,ROW()-4,$C$4))</f>
        <v>R5B OPF ASSEMBLY (4P-4FP) BOAT 1 - E2A</v>
      </c>
      <c r="D580" s="41" t="n">
        <f aca="false">IF(A580="","",IF($D$4=0,1,IFERROR(--INDEX('COOIS Raw'!$A:$GZ,ROW()-4,$D$4),1)))</f>
        <v>1</v>
      </c>
      <c r="E580" s="42" t="str">
        <f aca="false">IF(A580="","",INDEX('COOIS Raw'!$A:$GZ,ROW()-4,$E$4)&amp;"")</f>
        <v>REL PRT CNF DLV PRC GMPS MANC RESA*</v>
      </c>
      <c r="F580" s="43" t="n">
        <f aca="false">IF(A580="","",IFERROR(DATEVALUE(INDEX('COOIS Raw'!$A:$GZ,ROW()-4,$F$4)),INDEX('COOIS Raw'!$A:$GZ,ROW()-4,$F$4)))</f>
        <v>46182</v>
      </c>
      <c r="G580" s="41" t="str">
        <f aca="false">IF(A580="","",IF(ISNA(MATCH(B580,'Kitting Plan'!$B$6:$B$19,0)),"Not in plan","Yes"))</f>
        <v>Yes</v>
      </c>
      <c r="H580" s="41" t="n">
        <f aca="false">IF(G580="Yes",INDEX('Kitting Plan'!$D$6:$D$19,MATCH(B580,'Kitting Plan'!$B$6:$B$19,0)),"")</f>
        <v>1</v>
      </c>
      <c r="I580" s="41" t="n">
        <f aca="false">IF(A580="","",IF(ISNUMBER(SEARCH("PRT",E580)),D580,0))</f>
        <v>1</v>
      </c>
      <c r="J580" s="41" t="n">
        <f aca="false">IF(A580="","",IF(ISNUMBER(SEARCH("GMPS",E580)),D580,0))</f>
        <v>1</v>
      </c>
      <c r="K580" s="41" t="n">
        <f aca="false">IF(A580="","",IF(ISNUMBER(SEARCH("DLV",E580)),D580,0))</f>
        <v>1</v>
      </c>
      <c r="L580" s="41" t="str">
        <f aca="false">IF(A580="","",IF(K580&gt;0,"Delivered",IF(ISNUMBER(SEARCH("CNF",E580)),"In production",IF(J580&gt;0,"Issued",IF(I580&gt;0,"Kitted","Released")))))</f>
        <v>Delivered</v>
      </c>
      <c r="M580" s="41" t="n">
        <f aca="false">IF(G580&lt;&gt;"Yes","",COUNTIFS($B$6:$B$1505,B580,$F$6:$F$1505,"&lt;"&amp;F580)+COUNTIFS($B$6:$B$1505,B580,$F$6:$F$1505,F580,$A$6:$A$1505,"&lt;="&amp;A580))</f>
        <v>3</v>
      </c>
      <c r="N580" s="41" t="n">
        <f aca="false">IF(M580="","",ROUNDUP(M580/H580,0))</f>
        <v>3</v>
      </c>
      <c r="O580" s="41" t="str">
        <f aca="false">IF(N580="","",IF(N580&lt;='Kitting Plan'!$C$3,"Rep "&amp;N580,"Surplus"))</f>
        <v>Rep 3</v>
      </c>
    </row>
    <row r="581" customFormat="false" ht="15" hidden="false" customHeight="false" outlineLevel="0" collapsed="false">
      <c r="A581" s="40" t="n">
        <f aca="false">IF(OR($A$4=0,INDEX('COOIS Raw'!$A:$GZ,ROW()-4,$A$4)=""),"",IFERROR(--INDEX('COOIS Raw'!$A:$GZ,ROW()-4,$A$4),INDEX('COOIS Raw'!$A:$GZ,ROW()-4,$A$4)))</f>
        <v>100865797</v>
      </c>
      <c r="B581" s="41" t="str">
        <f aca="false">IF(A581="","",TRIM(INDEX('COOIS Raw'!$A:$GZ,ROW()-4,$B$4)))</f>
        <v>92YFD04548BBA</v>
      </c>
      <c r="C581" s="42" t="str">
        <f aca="false">IF(OR(A581="",$C$4=0),"",INDEX('COOIS Raw'!$A:$GZ,ROW()-4,$C$4))</f>
        <v>R5B OPF ASSEMBLY (4P-4FP) BOAT 2/3 - E2A</v>
      </c>
      <c r="D581" s="41" t="n">
        <f aca="false">IF(A581="","",IF($D$4=0,1,IFERROR(--INDEX('COOIS Raw'!$A:$GZ,ROW()-4,$D$4),1)))</f>
        <v>1</v>
      </c>
      <c r="E581" s="42" t="str">
        <f aca="false">IF(A581="","",INDEX('COOIS Raw'!$A:$GZ,ROW()-4,$E$4)&amp;"")</f>
        <v>REL PRT CNF DLV PRC GMPS MANC RESA*</v>
      </c>
      <c r="F581" s="43" t="n">
        <f aca="false">IF(A581="","",IFERROR(DATEVALUE(INDEX('COOIS Raw'!$A:$GZ,ROW()-4,$F$4)),INDEX('COOIS Raw'!$A:$GZ,ROW()-4,$F$4)))</f>
        <v>46182</v>
      </c>
      <c r="G581" s="41" t="str">
        <f aca="false">IF(A581="","",IF(ISNA(MATCH(B581,'Kitting Plan'!$B$6:$B$19,0)),"Not in plan","Yes"))</f>
        <v>Yes</v>
      </c>
      <c r="H581" s="41" t="n">
        <f aca="false">IF(G581="Yes",INDEX('Kitting Plan'!$D$6:$D$19,MATCH(B581,'Kitting Plan'!$B$6:$B$19,0)),"")</f>
        <v>2</v>
      </c>
      <c r="I581" s="41" t="n">
        <f aca="false">IF(A581="","",IF(ISNUMBER(SEARCH("PRT",E581)),D581,0))</f>
        <v>1</v>
      </c>
      <c r="J581" s="41" t="n">
        <f aca="false">IF(A581="","",IF(ISNUMBER(SEARCH("GMPS",E581)),D581,0))</f>
        <v>1</v>
      </c>
      <c r="K581" s="41" t="n">
        <f aca="false">IF(A581="","",IF(ISNUMBER(SEARCH("DLV",E581)),D581,0))</f>
        <v>1</v>
      </c>
      <c r="L581" s="41" t="str">
        <f aca="false">IF(A581="","",IF(K581&gt;0,"Delivered",IF(ISNUMBER(SEARCH("CNF",E581)),"In production",IF(J581&gt;0,"Issued",IF(I581&gt;0,"Kitted","Released")))))</f>
        <v>Delivered</v>
      </c>
      <c r="M581" s="41" t="n">
        <f aca="false">IF(G581&lt;&gt;"Yes","",COUNTIFS($B$6:$B$1505,B581,$F$6:$F$1505,"&lt;"&amp;F581)+COUNTIFS($B$6:$B$1505,B581,$F$6:$F$1505,F581,$A$6:$A$1505,"&lt;="&amp;A581))</f>
        <v>5</v>
      </c>
      <c r="N581" s="41" t="n">
        <f aca="false">IF(M581="","",ROUNDUP(M581/H581,0))</f>
        <v>3</v>
      </c>
      <c r="O581" s="41" t="str">
        <f aca="false">IF(N581="","",IF(N581&lt;='Kitting Plan'!$C$3,"Rep "&amp;N581,"Surplus"))</f>
        <v>Rep 3</v>
      </c>
    </row>
    <row r="582" customFormat="false" ht="15" hidden="false" customHeight="false" outlineLevel="0" collapsed="false">
      <c r="A582" s="40" t="n">
        <f aca="false">IF(OR($A$4=0,INDEX('COOIS Raw'!$A:$GZ,ROW()-4,$A$4)=""),"",IFERROR(--INDEX('COOIS Raw'!$A:$GZ,ROW()-4,$A$4),INDEX('COOIS Raw'!$A:$GZ,ROW()-4,$A$4)))</f>
        <v>100865798</v>
      </c>
      <c r="B582" s="41" t="str">
        <f aca="false">IF(A582="","",TRIM(INDEX('COOIS Raw'!$A:$GZ,ROW()-4,$B$4)))</f>
        <v>92YFD04548BBA</v>
      </c>
      <c r="C582" s="42" t="str">
        <f aca="false">IF(OR(A582="",$C$4=0),"",INDEX('COOIS Raw'!$A:$GZ,ROW()-4,$C$4))</f>
        <v>R5B OPF ASSEMBLY (4P-4FP) BOAT 2/3 - E2A</v>
      </c>
      <c r="D582" s="41" t="n">
        <f aca="false">IF(A582="","",IF($D$4=0,1,IFERROR(--INDEX('COOIS Raw'!$A:$GZ,ROW()-4,$D$4),1)))</f>
        <v>1</v>
      </c>
      <c r="E582" s="42" t="str">
        <f aca="false">IF(A582="","",INDEX('COOIS Raw'!$A:$GZ,ROW()-4,$E$4)&amp;"")</f>
        <v>REL PRT CNF DLV PRC GMPS MANC RESA*</v>
      </c>
      <c r="F582" s="43" t="n">
        <f aca="false">IF(A582="","",IFERROR(DATEVALUE(INDEX('COOIS Raw'!$A:$GZ,ROW()-4,$F$4)),INDEX('COOIS Raw'!$A:$GZ,ROW()-4,$F$4)))</f>
        <v>46182</v>
      </c>
      <c r="G582" s="41" t="str">
        <f aca="false">IF(A582="","",IF(ISNA(MATCH(B582,'Kitting Plan'!$B$6:$B$19,0)),"Not in plan","Yes"))</f>
        <v>Yes</v>
      </c>
      <c r="H582" s="41" t="n">
        <f aca="false">IF(G582="Yes",INDEX('Kitting Plan'!$D$6:$D$19,MATCH(B582,'Kitting Plan'!$B$6:$B$19,0)),"")</f>
        <v>2</v>
      </c>
      <c r="I582" s="41" t="n">
        <f aca="false">IF(A582="","",IF(ISNUMBER(SEARCH("PRT",E582)),D582,0))</f>
        <v>1</v>
      </c>
      <c r="J582" s="41" t="n">
        <f aca="false">IF(A582="","",IF(ISNUMBER(SEARCH("GMPS",E582)),D582,0))</f>
        <v>1</v>
      </c>
      <c r="K582" s="41" t="n">
        <f aca="false">IF(A582="","",IF(ISNUMBER(SEARCH("DLV",E582)),D582,0))</f>
        <v>1</v>
      </c>
      <c r="L582" s="41" t="str">
        <f aca="false">IF(A582="","",IF(K582&gt;0,"Delivered",IF(ISNUMBER(SEARCH("CNF",E582)),"In production",IF(J582&gt;0,"Issued",IF(I582&gt;0,"Kitted","Released")))))</f>
        <v>Delivered</v>
      </c>
      <c r="M582" s="41" t="n">
        <f aca="false">IF(G582&lt;&gt;"Yes","",COUNTIFS($B$6:$B$1505,B582,$F$6:$F$1505,"&lt;"&amp;F582)+COUNTIFS($B$6:$B$1505,B582,$F$6:$F$1505,F582,$A$6:$A$1505,"&lt;="&amp;A582))</f>
        <v>6</v>
      </c>
      <c r="N582" s="41" t="n">
        <f aca="false">IF(M582="","",ROUNDUP(M582/H582,0))</f>
        <v>3</v>
      </c>
      <c r="O582" s="41" t="str">
        <f aca="false">IF(N582="","",IF(N582&lt;='Kitting Plan'!$C$3,"Rep "&amp;N582,"Surplus"))</f>
        <v>Rep 3</v>
      </c>
    </row>
    <row r="583" customFormat="false" ht="15" hidden="false" customHeight="false" outlineLevel="0" collapsed="false">
      <c r="A583" s="40" t="n">
        <f aca="false">IF(OR($A$4=0,INDEX('COOIS Raw'!$A:$GZ,ROW()-4,$A$4)=""),"",IFERROR(--INDEX('COOIS Raw'!$A:$GZ,ROW()-4,$A$4),INDEX('COOIS Raw'!$A:$GZ,ROW()-4,$A$4)))</f>
        <v>100865866</v>
      </c>
      <c r="B583" s="41" t="str">
        <f aca="false">IF(A583="","",TRIM(INDEX('COOIS Raw'!$A:$GZ,ROW()-4,$B$4)))</f>
        <v>92YWS04548AAA</v>
      </c>
      <c r="C583" s="42" t="str">
        <f aca="false">IF(OR(A583="",$C$4=0),"",INDEX('COOIS Raw'!$A:$GZ,ROW()-4,$C$4))</f>
        <v>R5B 4FP POB LUMENTUM SUB ASSEMBLY - E2A</v>
      </c>
      <c r="D583" s="41" t="n">
        <f aca="false">IF(A583="","",IF($D$4=0,1,IFERROR(--INDEX('COOIS Raw'!$A:$GZ,ROW()-4,$D$4),1)))</f>
        <v>1</v>
      </c>
      <c r="E583" s="42" t="str">
        <f aca="false">IF(A583="","",INDEX('COOIS Raw'!$A:$GZ,ROW()-4,$E$4)&amp;"")</f>
        <v>REL PRT CNF DLV PRC GMPS MANC SETC</v>
      </c>
      <c r="F583" s="43" t="n">
        <f aca="false">IF(A583="","",IFERROR(DATEVALUE(INDEX('COOIS Raw'!$A:$GZ,ROW()-4,$F$4)),INDEX('COOIS Raw'!$A:$GZ,ROW()-4,$F$4)))</f>
        <v>46182</v>
      </c>
      <c r="G583" s="41" t="str">
        <f aca="false">IF(A583="","",IF(ISNA(MATCH(B583,'Kitting Plan'!$B$6:$B$19,0)),"Not in plan","Yes"))</f>
        <v>Yes</v>
      </c>
      <c r="H583" s="41" t="n">
        <f aca="false">IF(G583="Yes",INDEX('Kitting Plan'!$D$6:$D$19,MATCH(B583,'Kitting Plan'!$B$6:$B$19,0)),"")</f>
        <v>3</v>
      </c>
      <c r="I583" s="41" t="n">
        <f aca="false">IF(A583="","",IF(ISNUMBER(SEARCH("PRT",E583)),D583,0))</f>
        <v>1</v>
      </c>
      <c r="J583" s="41" t="n">
        <f aca="false">IF(A583="","",IF(ISNUMBER(SEARCH("GMPS",E583)),D583,0))</f>
        <v>1</v>
      </c>
      <c r="K583" s="41" t="n">
        <f aca="false">IF(A583="","",IF(ISNUMBER(SEARCH("DLV",E583)),D583,0))</f>
        <v>1</v>
      </c>
      <c r="L583" s="41" t="str">
        <f aca="false">IF(A583="","",IF(K583&gt;0,"Delivered",IF(ISNUMBER(SEARCH("CNF",E583)),"In production",IF(J583&gt;0,"Issued",IF(I583&gt;0,"Kitted","Released")))))</f>
        <v>Delivered</v>
      </c>
      <c r="M583" s="41" t="n">
        <f aca="false">IF(G583&lt;&gt;"Yes","",COUNTIFS($B$6:$B$1505,B583,$F$6:$F$1505,"&lt;"&amp;F583)+COUNTIFS($B$6:$B$1505,B583,$F$6:$F$1505,F583,$A$6:$A$1505,"&lt;="&amp;A583))</f>
        <v>7</v>
      </c>
      <c r="N583" s="41" t="n">
        <f aca="false">IF(M583="","",ROUNDUP(M583/H583,0))</f>
        <v>3</v>
      </c>
      <c r="O583" s="41" t="str">
        <f aca="false">IF(N583="","",IF(N583&lt;='Kitting Plan'!$C$3,"Rep "&amp;N583,"Surplus"))</f>
        <v>Rep 3</v>
      </c>
    </row>
    <row r="584" customFormat="false" ht="15" hidden="false" customHeight="false" outlineLevel="0" collapsed="false">
      <c r="A584" s="40" t="n">
        <f aca="false">IF(OR($A$4=0,INDEX('COOIS Raw'!$A:$GZ,ROW()-4,$A$4)=""),"",IFERROR(--INDEX('COOIS Raw'!$A:$GZ,ROW()-4,$A$4),INDEX('COOIS Raw'!$A:$GZ,ROW()-4,$A$4)))</f>
        <v>100865867</v>
      </c>
      <c r="B584" s="41" t="str">
        <f aca="false">IF(A584="","",TRIM(INDEX('COOIS Raw'!$A:$GZ,ROW()-4,$B$4)))</f>
        <v>92YWS04548AAA</v>
      </c>
      <c r="C584" s="42" t="str">
        <f aca="false">IF(OR(A584="",$C$4=0),"",INDEX('COOIS Raw'!$A:$GZ,ROW()-4,$C$4))</f>
        <v>R5B 4FP POB LUMENTUM SUB ASSEMBLY - E2A</v>
      </c>
      <c r="D584" s="41" t="n">
        <f aca="false">IF(A584="","",IF($D$4=0,1,IFERROR(--INDEX('COOIS Raw'!$A:$GZ,ROW()-4,$D$4),1)))</f>
        <v>1</v>
      </c>
      <c r="E584" s="42" t="str">
        <f aca="false">IF(A584="","",INDEX('COOIS Raw'!$A:$GZ,ROW()-4,$E$4)&amp;"")</f>
        <v>REL PRT CNF DLV PRC GMPS MANC SETC</v>
      </c>
      <c r="F584" s="43" t="n">
        <f aca="false">IF(A584="","",IFERROR(DATEVALUE(INDEX('COOIS Raw'!$A:$GZ,ROW()-4,$F$4)),INDEX('COOIS Raw'!$A:$GZ,ROW()-4,$F$4)))</f>
        <v>46182</v>
      </c>
      <c r="G584" s="41" t="str">
        <f aca="false">IF(A584="","",IF(ISNA(MATCH(B584,'Kitting Plan'!$B$6:$B$19,0)),"Not in plan","Yes"))</f>
        <v>Yes</v>
      </c>
      <c r="H584" s="41" t="n">
        <f aca="false">IF(G584="Yes",INDEX('Kitting Plan'!$D$6:$D$19,MATCH(B584,'Kitting Plan'!$B$6:$B$19,0)),"")</f>
        <v>3</v>
      </c>
      <c r="I584" s="41" t="n">
        <f aca="false">IF(A584="","",IF(ISNUMBER(SEARCH("PRT",E584)),D584,0))</f>
        <v>1</v>
      </c>
      <c r="J584" s="41" t="n">
        <f aca="false">IF(A584="","",IF(ISNUMBER(SEARCH("GMPS",E584)),D584,0))</f>
        <v>1</v>
      </c>
      <c r="K584" s="41" t="n">
        <f aca="false">IF(A584="","",IF(ISNUMBER(SEARCH("DLV",E584)),D584,0))</f>
        <v>1</v>
      </c>
      <c r="L584" s="41" t="str">
        <f aca="false">IF(A584="","",IF(K584&gt;0,"Delivered",IF(ISNUMBER(SEARCH("CNF",E584)),"In production",IF(J584&gt;0,"Issued",IF(I584&gt;0,"Kitted","Released")))))</f>
        <v>Delivered</v>
      </c>
      <c r="M584" s="41" t="n">
        <f aca="false">IF(G584&lt;&gt;"Yes","",COUNTIFS($B$6:$B$1505,B584,$F$6:$F$1505,"&lt;"&amp;F584)+COUNTIFS($B$6:$B$1505,B584,$F$6:$F$1505,F584,$A$6:$A$1505,"&lt;="&amp;A584))</f>
        <v>8</v>
      </c>
      <c r="N584" s="41" t="n">
        <f aca="false">IF(M584="","",ROUNDUP(M584/H584,0))</f>
        <v>3</v>
      </c>
      <c r="O584" s="41" t="str">
        <f aca="false">IF(N584="","",IF(N584&lt;='Kitting Plan'!$C$3,"Rep "&amp;N584,"Surplus"))</f>
        <v>Rep 3</v>
      </c>
    </row>
    <row r="585" customFormat="false" ht="15" hidden="false" customHeight="false" outlineLevel="0" collapsed="false">
      <c r="A585" s="40" t="n">
        <f aca="false">IF(OR($A$4=0,INDEX('COOIS Raw'!$A:$GZ,ROW()-4,$A$4)=""),"",IFERROR(--INDEX('COOIS Raw'!$A:$GZ,ROW()-4,$A$4),INDEX('COOIS Raw'!$A:$GZ,ROW()-4,$A$4)))</f>
        <v>100865868</v>
      </c>
      <c r="B585" s="41" t="str">
        <f aca="false">IF(A585="","",TRIM(INDEX('COOIS Raw'!$A:$GZ,ROW()-4,$B$4)))</f>
        <v>92YWS04548AAA</v>
      </c>
      <c r="C585" s="42" t="str">
        <f aca="false">IF(OR(A585="",$C$4=0),"",INDEX('COOIS Raw'!$A:$GZ,ROW()-4,$C$4))</f>
        <v>R5B 4FP POB LUMENTUM SUB ASSEMBLY - E2A</v>
      </c>
      <c r="D585" s="41" t="n">
        <f aca="false">IF(A585="","",IF($D$4=0,1,IFERROR(--INDEX('COOIS Raw'!$A:$GZ,ROW()-4,$D$4),1)))</f>
        <v>1</v>
      </c>
      <c r="E585" s="42" t="str">
        <f aca="false">IF(A585="","",INDEX('COOIS Raw'!$A:$GZ,ROW()-4,$E$4)&amp;"")</f>
        <v>REL PRT CNF DLV PRC GMPS MANC RESA*</v>
      </c>
      <c r="F585" s="43" t="n">
        <f aca="false">IF(A585="","",IFERROR(DATEVALUE(INDEX('COOIS Raw'!$A:$GZ,ROW()-4,$F$4)),INDEX('COOIS Raw'!$A:$GZ,ROW()-4,$F$4)))</f>
        <v>46182</v>
      </c>
      <c r="G585" s="41" t="str">
        <f aca="false">IF(A585="","",IF(ISNA(MATCH(B585,'Kitting Plan'!$B$6:$B$19,0)),"Not in plan","Yes"))</f>
        <v>Yes</v>
      </c>
      <c r="H585" s="41" t="n">
        <f aca="false">IF(G585="Yes",INDEX('Kitting Plan'!$D$6:$D$19,MATCH(B585,'Kitting Plan'!$B$6:$B$19,0)),"")</f>
        <v>3</v>
      </c>
      <c r="I585" s="41" t="n">
        <f aca="false">IF(A585="","",IF(ISNUMBER(SEARCH("PRT",E585)),D585,0))</f>
        <v>1</v>
      </c>
      <c r="J585" s="41" t="n">
        <f aca="false">IF(A585="","",IF(ISNUMBER(SEARCH("GMPS",E585)),D585,0))</f>
        <v>1</v>
      </c>
      <c r="K585" s="41" t="n">
        <f aca="false">IF(A585="","",IF(ISNUMBER(SEARCH("DLV",E585)),D585,0))</f>
        <v>1</v>
      </c>
      <c r="L585" s="41" t="str">
        <f aca="false">IF(A585="","",IF(K585&gt;0,"Delivered",IF(ISNUMBER(SEARCH("CNF",E585)),"In production",IF(J585&gt;0,"Issued",IF(I585&gt;0,"Kitted","Released")))))</f>
        <v>Delivered</v>
      </c>
      <c r="M585" s="41" t="n">
        <f aca="false">IF(G585&lt;&gt;"Yes","",COUNTIFS($B$6:$B$1505,B585,$F$6:$F$1505,"&lt;"&amp;F585)+COUNTIFS($B$6:$B$1505,B585,$F$6:$F$1505,F585,$A$6:$A$1505,"&lt;="&amp;A585))</f>
        <v>9</v>
      </c>
      <c r="N585" s="41" t="n">
        <f aca="false">IF(M585="","",ROUNDUP(M585/H585,0))</f>
        <v>3</v>
      </c>
      <c r="O585" s="41" t="str">
        <f aca="false">IF(N585="","",IF(N585&lt;='Kitting Plan'!$C$3,"Rep "&amp;N585,"Surplus"))</f>
        <v>Rep 3</v>
      </c>
    </row>
    <row r="586" customFormat="false" ht="15" hidden="false" customHeight="false" outlineLevel="0" collapsed="false">
      <c r="A586" s="40" t="n">
        <f aca="false">IF(OR($A$4=0,INDEX('COOIS Raw'!$A:$GZ,ROW()-4,$A$4)=""),"",IFERROR(--INDEX('COOIS Raw'!$A:$GZ,ROW()-4,$A$4),INDEX('COOIS Raw'!$A:$GZ,ROW()-4,$A$4)))</f>
        <v>100865485</v>
      </c>
      <c r="B586" s="41" t="str">
        <f aca="false">IF(A586="","",TRIM(INDEX('COOIS Raw'!$A:$GZ,ROW()-4,$B$4)))</f>
        <v>92RRA00548AAA</v>
      </c>
      <c r="C586" s="42" t="str">
        <f aca="false">IF(OR(A586="",$C$4=0),"",INDEX('COOIS Raw'!$A:$GZ,ROW()-4,$C$4))</f>
        <v>R5B ERBIUM SPOOL ASSEMBLY - E2A</v>
      </c>
      <c r="D586" s="41" t="n">
        <f aca="false">IF(A586="","",IF($D$4=0,1,IFERROR(--INDEX('COOIS Raw'!$A:$GZ,ROW()-4,$D$4),1)))</f>
        <v>1</v>
      </c>
      <c r="E586" s="42" t="str">
        <f aca="false">IF(A586="","",INDEX('COOIS Raw'!$A:$GZ,ROW()-4,$E$4)&amp;"")</f>
        <v>REL PRT CNF DLV PRC GMPS MANC SETC</v>
      </c>
      <c r="F586" s="43" t="n">
        <f aca="false">IF(A586="","",IFERROR(DATEVALUE(INDEX('COOIS Raw'!$A:$GZ,ROW()-4,$F$4)),INDEX('COOIS Raw'!$A:$GZ,ROW()-4,$F$4)))</f>
        <v>46180</v>
      </c>
      <c r="G586" s="41" t="str">
        <f aca="false">IF(A586="","",IF(ISNA(MATCH(B586,'Kitting Plan'!$B$6:$B$19,0)),"Not in plan","Yes"))</f>
        <v>Yes</v>
      </c>
      <c r="H586" s="41" t="n">
        <f aca="false">IF(G586="Yes",INDEX('Kitting Plan'!$D$6:$D$19,MATCH(B586,'Kitting Plan'!$B$6:$B$19,0)),"")</f>
        <v>24</v>
      </c>
      <c r="I586" s="41" t="n">
        <f aca="false">IF(A586="","",IF(ISNUMBER(SEARCH("PRT",E586)),D586,0))</f>
        <v>1</v>
      </c>
      <c r="J586" s="41" t="n">
        <f aca="false">IF(A586="","",IF(ISNUMBER(SEARCH("GMPS",E586)),D586,0))</f>
        <v>1</v>
      </c>
      <c r="K586" s="41" t="n">
        <f aca="false">IF(A586="","",IF(ISNUMBER(SEARCH("DLV",E586)),D586,0))</f>
        <v>1</v>
      </c>
      <c r="L586" s="41" t="str">
        <f aca="false">IF(A586="","",IF(K586&gt;0,"Delivered",IF(ISNUMBER(SEARCH("CNF",E586)),"In production",IF(J586&gt;0,"Issued",IF(I586&gt;0,"Kitted","Released")))))</f>
        <v>Delivered</v>
      </c>
      <c r="M586" s="41" t="n">
        <f aca="false">IF(G586&lt;&gt;"Yes","",COUNTIFS($B$6:$B$1505,B586,$F$6:$F$1505,"&lt;"&amp;F586)+COUNTIFS($B$6:$B$1505,B586,$F$6:$F$1505,F586,$A$6:$A$1505,"&lt;="&amp;A586))</f>
        <v>46</v>
      </c>
      <c r="N586" s="41" t="n">
        <f aca="false">IF(M586="","",ROUNDUP(M586/H586,0))</f>
        <v>2</v>
      </c>
      <c r="O586" s="41" t="str">
        <f aca="false">IF(N586="","",IF(N586&lt;='Kitting Plan'!$C$3,"Rep "&amp;N586,"Surplus"))</f>
        <v>Rep 2</v>
      </c>
    </row>
    <row r="587" customFormat="false" ht="15" hidden="false" customHeight="false" outlineLevel="0" collapsed="false">
      <c r="A587" s="40" t="n">
        <f aca="false">IF(OR($A$4=0,INDEX('COOIS Raw'!$A:$GZ,ROW()-4,$A$4)=""),"",IFERROR(--INDEX('COOIS Raw'!$A:$GZ,ROW()-4,$A$4),INDEX('COOIS Raw'!$A:$GZ,ROW()-4,$A$4)))</f>
        <v>100865486</v>
      </c>
      <c r="B587" s="41" t="str">
        <f aca="false">IF(A587="","",TRIM(INDEX('COOIS Raw'!$A:$GZ,ROW()-4,$B$4)))</f>
        <v>92RRA00548AAA</v>
      </c>
      <c r="C587" s="42" t="str">
        <f aca="false">IF(OR(A587="",$C$4=0),"",INDEX('COOIS Raw'!$A:$GZ,ROW()-4,$C$4))</f>
        <v>R5B ERBIUM SPOOL ASSEMBLY - E2A</v>
      </c>
      <c r="D587" s="41" t="n">
        <f aca="false">IF(A587="","",IF($D$4=0,1,IFERROR(--INDEX('COOIS Raw'!$A:$GZ,ROW()-4,$D$4),1)))</f>
        <v>1</v>
      </c>
      <c r="E587" s="42" t="str">
        <f aca="false">IF(A587="","",INDEX('COOIS Raw'!$A:$GZ,ROW()-4,$E$4)&amp;"")</f>
        <v>REL PRT CNF DLV PRC GMPS MANC SETC</v>
      </c>
      <c r="F587" s="43" t="n">
        <f aca="false">IF(A587="","",IFERROR(DATEVALUE(INDEX('COOIS Raw'!$A:$GZ,ROW()-4,$F$4)),INDEX('COOIS Raw'!$A:$GZ,ROW()-4,$F$4)))</f>
        <v>46180</v>
      </c>
      <c r="G587" s="41" t="str">
        <f aca="false">IF(A587="","",IF(ISNA(MATCH(B587,'Kitting Plan'!$B$6:$B$19,0)),"Not in plan","Yes"))</f>
        <v>Yes</v>
      </c>
      <c r="H587" s="41" t="n">
        <f aca="false">IF(G587="Yes",INDEX('Kitting Plan'!$D$6:$D$19,MATCH(B587,'Kitting Plan'!$B$6:$B$19,0)),"")</f>
        <v>24</v>
      </c>
      <c r="I587" s="41" t="n">
        <f aca="false">IF(A587="","",IF(ISNUMBER(SEARCH("PRT",E587)),D587,0))</f>
        <v>1</v>
      </c>
      <c r="J587" s="41" t="n">
        <f aca="false">IF(A587="","",IF(ISNUMBER(SEARCH("GMPS",E587)),D587,0))</f>
        <v>1</v>
      </c>
      <c r="K587" s="41" t="n">
        <f aca="false">IF(A587="","",IF(ISNUMBER(SEARCH("DLV",E587)),D587,0))</f>
        <v>1</v>
      </c>
      <c r="L587" s="41" t="str">
        <f aca="false">IF(A587="","",IF(K587&gt;0,"Delivered",IF(ISNUMBER(SEARCH("CNF",E587)),"In production",IF(J587&gt;0,"Issued",IF(I587&gt;0,"Kitted","Released")))))</f>
        <v>Delivered</v>
      </c>
      <c r="M587" s="41" t="n">
        <f aca="false">IF(G587&lt;&gt;"Yes","",COUNTIFS($B$6:$B$1505,B587,$F$6:$F$1505,"&lt;"&amp;F587)+COUNTIFS($B$6:$B$1505,B587,$F$6:$F$1505,F587,$A$6:$A$1505,"&lt;="&amp;A587))</f>
        <v>47</v>
      </c>
      <c r="N587" s="41" t="n">
        <f aca="false">IF(M587="","",ROUNDUP(M587/H587,0))</f>
        <v>2</v>
      </c>
      <c r="O587" s="41" t="str">
        <f aca="false">IF(N587="","",IF(N587&lt;='Kitting Plan'!$C$3,"Rep "&amp;N587,"Surplus"))</f>
        <v>Rep 2</v>
      </c>
    </row>
    <row r="588" customFormat="false" ht="15" hidden="false" customHeight="false" outlineLevel="0" collapsed="false">
      <c r="A588" s="40" t="n">
        <f aca="false">IF(OR($A$4=0,INDEX('COOIS Raw'!$A:$GZ,ROW()-4,$A$4)=""),"",IFERROR(--INDEX('COOIS Raw'!$A:$GZ,ROW()-4,$A$4),INDEX('COOIS Raw'!$A:$GZ,ROW()-4,$A$4)))</f>
        <v>100865487</v>
      </c>
      <c r="B588" s="41" t="str">
        <f aca="false">IF(A588="","",TRIM(INDEX('COOIS Raw'!$A:$GZ,ROW()-4,$B$4)))</f>
        <v>92RRA00548AAA</v>
      </c>
      <c r="C588" s="42" t="str">
        <f aca="false">IF(OR(A588="",$C$4=0),"",INDEX('COOIS Raw'!$A:$GZ,ROW()-4,$C$4))</f>
        <v>R5B ERBIUM SPOOL ASSEMBLY - E2A</v>
      </c>
      <c r="D588" s="41" t="n">
        <f aca="false">IF(A588="","",IF($D$4=0,1,IFERROR(--INDEX('COOIS Raw'!$A:$GZ,ROW()-4,$D$4),1)))</f>
        <v>1</v>
      </c>
      <c r="E588" s="42" t="str">
        <f aca="false">IF(A588="","",INDEX('COOIS Raw'!$A:$GZ,ROW()-4,$E$4)&amp;"")</f>
        <v>REL PRT CNF DLV PRC GMPS MANC SETC</v>
      </c>
      <c r="F588" s="43" t="n">
        <f aca="false">IF(A588="","",IFERROR(DATEVALUE(INDEX('COOIS Raw'!$A:$GZ,ROW()-4,$F$4)),INDEX('COOIS Raw'!$A:$GZ,ROW()-4,$F$4)))</f>
        <v>46180</v>
      </c>
      <c r="G588" s="41" t="str">
        <f aca="false">IF(A588="","",IF(ISNA(MATCH(B588,'Kitting Plan'!$B$6:$B$19,0)),"Not in plan","Yes"))</f>
        <v>Yes</v>
      </c>
      <c r="H588" s="41" t="n">
        <f aca="false">IF(G588="Yes",INDEX('Kitting Plan'!$D$6:$D$19,MATCH(B588,'Kitting Plan'!$B$6:$B$19,0)),"")</f>
        <v>24</v>
      </c>
      <c r="I588" s="41" t="n">
        <f aca="false">IF(A588="","",IF(ISNUMBER(SEARCH("PRT",E588)),D588,0))</f>
        <v>1</v>
      </c>
      <c r="J588" s="41" t="n">
        <f aca="false">IF(A588="","",IF(ISNUMBER(SEARCH("GMPS",E588)),D588,0))</f>
        <v>1</v>
      </c>
      <c r="K588" s="41" t="n">
        <f aca="false">IF(A588="","",IF(ISNUMBER(SEARCH("DLV",E588)),D588,0))</f>
        <v>1</v>
      </c>
      <c r="L588" s="41" t="str">
        <f aca="false">IF(A588="","",IF(K588&gt;0,"Delivered",IF(ISNUMBER(SEARCH("CNF",E588)),"In production",IF(J588&gt;0,"Issued",IF(I588&gt;0,"Kitted","Released")))))</f>
        <v>Delivered</v>
      </c>
      <c r="M588" s="41" t="n">
        <f aca="false">IF(G588&lt;&gt;"Yes","",COUNTIFS($B$6:$B$1505,B588,$F$6:$F$1505,"&lt;"&amp;F588)+COUNTIFS($B$6:$B$1505,B588,$F$6:$F$1505,F588,$A$6:$A$1505,"&lt;="&amp;A588))</f>
        <v>48</v>
      </c>
      <c r="N588" s="41" t="n">
        <f aca="false">IF(M588="","",ROUNDUP(M588/H588,0))</f>
        <v>2</v>
      </c>
      <c r="O588" s="41" t="str">
        <f aca="false">IF(N588="","",IF(N588&lt;='Kitting Plan'!$C$3,"Rep "&amp;N588,"Surplus"))</f>
        <v>Rep 2</v>
      </c>
    </row>
    <row r="589" customFormat="false" ht="15" hidden="false" customHeight="false" outlineLevel="0" collapsed="false">
      <c r="A589" s="40" t="n">
        <f aca="false">IF(OR($A$4=0,INDEX('COOIS Raw'!$A:$GZ,ROW()-4,$A$4)=""),"",IFERROR(--INDEX('COOIS Raw'!$A:$GZ,ROW()-4,$A$4),INDEX('COOIS Raw'!$A:$GZ,ROW()-4,$A$4)))</f>
        <v>100865488</v>
      </c>
      <c r="B589" s="41" t="str">
        <f aca="false">IF(A589="","",TRIM(INDEX('COOIS Raw'!$A:$GZ,ROW()-4,$B$4)))</f>
        <v>92RRA00548AAA</v>
      </c>
      <c r="C589" s="42" t="str">
        <f aca="false">IF(OR(A589="",$C$4=0),"",INDEX('COOIS Raw'!$A:$GZ,ROW()-4,$C$4))</f>
        <v>R5B ERBIUM SPOOL ASSEMBLY - E2A</v>
      </c>
      <c r="D589" s="41" t="n">
        <f aca="false">IF(A589="","",IF($D$4=0,1,IFERROR(--INDEX('COOIS Raw'!$A:$GZ,ROW()-4,$D$4),1)))</f>
        <v>1</v>
      </c>
      <c r="E589" s="42" t="str">
        <f aca="false">IF(A589="","",INDEX('COOIS Raw'!$A:$GZ,ROW()-4,$E$4)&amp;"")</f>
        <v>REL PRT CNF DLV PRC GMPS MANC SETC</v>
      </c>
      <c r="F589" s="43" t="n">
        <f aca="false">IF(A589="","",IFERROR(DATEVALUE(INDEX('COOIS Raw'!$A:$GZ,ROW()-4,$F$4)),INDEX('COOIS Raw'!$A:$GZ,ROW()-4,$F$4)))</f>
        <v>46180</v>
      </c>
      <c r="G589" s="41" t="str">
        <f aca="false">IF(A589="","",IF(ISNA(MATCH(B589,'Kitting Plan'!$B$6:$B$19,0)),"Not in plan","Yes"))</f>
        <v>Yes</v>
      </c>
      <c r="H589" s="41" t="n">
        <f aca="false">IF(G589="Yes",INDEX('Kitting Plan'!$D$6:$D$19,MATCH(B589,'Kitting Plan'!$B$6:$B$19,0)),"")</f>
        <v>24</v>
      </c>
      <c r="I589" s="41" t="n">
        <f aca="false">IF(A589="","",IF(ISNUMBER(SEARCH("PRT",E589)),D589,0))</f>
        <v>1</v>
      </c>
      <c r="J589" s="41" t="n">
        <f aca="false">IF(A589="","",IF(ISNUMBER(SEARCH("GMPS",E589)),D589,0))</f>
        <v>1</v>
      </c>
      <c r="K589" s="41" t="n">
        <f aca="false">IF(A589="","",IF(ISNUMBER(SEARCH("DLV",E589)),D589,0))</f>
        <v>1</v>
      </c>
      <c r="L589" s="41" t="str">
        <f aca="false">IF(A589="","",IF(K589&gt;0,"Delivered",IF(ISNUMBER(SEARCH("CNF",E589)),"In production",IF(J589&gt;0,"Issued",IF(I589&gt;0,"Kitted","Released")))))</f>
        <v>Delivered</v>
      </c>
      <c r="M589" s="41" t="n">
        <f aca="false">IF(G589&lt;&gt;"Yes","",COUNTIFS($B$6:$B$1505,B589,$F$6:$F$1505,"&lt;"&amp;F589)+COUNTIFS($B$6:$B$1505,B589,$F$6:$F$1505,F589,$A$6:$A$1505,"&lt;="&amp;A589))</f>
        <v>49</v>
      </c>
      <c r="N589" s="41" t="n">
        <f aca="false">IF(M589="","",ROUNDUP(M589/H589,0))</f>
        <v>3</v>
      </c>
      <c r="O589" s="41" t="str">
        <f aca="false">IF(N589="","",IF(N589&lt;='Kitting Plan'!$C$3,"Rep "&amp;N589,"Surplus"))</f>
        <v>Rep 3</v>
      </c>
    </row>
    <row r="590" customFormat="false" ht="15" hidden="false" customHeight="false" outlineLevel="0" collapsed="false">
      <c r="A590" s="40" t="n">
        <f aca="false">IF(OR($A$4=0,INDEX('COOIS Raw'!$A:$GZ,ROW()-4,$A$4)=""),"",IFERROR(--INDEX('COOIS Raw'!$A:$GZ,ROW()-4,$A$4),INDEX('COOIS Raw'!$A:$GZ,ROW()-4,$A$4)))</f>
        <v>100865489</v>
      </c>
      <c r="B590" s="41" t="str">
        <f aca="false">IF(A590="","",TRIM(INDEX('COOIS Raw'!$A:$GZ,ROW()-4,$B$4)))</f>
        <v>92RRA00548AAA</v>
      </c>
      <c r="C590" s="42" t="str">
        <f aca="false">IF(OR(A590="",$C$4=0),"",INDEX('COOIS Raw'!$A:$GZ,ROW()-4,$C$4))</f>
        <v>R5B ERBIUM SPOOL ASSEMBLY - E2A</v>
      </c>
      <c r="D590" s="41" t="n">
        <f aca="false">IF(A590="","",IF($D$4=0,1,IFERROR(--INDEX('COOIS Raw'!$A:$GZ,ROW()-4,$D$4),1)))</f>
        <v>1</v>
      </c>
      <c r="E590" s="42" t="str">
        <f aca="false">IF(A590="","",INDEX('COOIS Raw'!$A:$GZ,ROW()-4,$E$4)&amp;"")</f>
        <v>REL PRT CNF DLV PRC GMPS MANC SETC</v>
      </c>
      <c r="F590" s="43" t="n">
        <f aca="false">IF(A590="","",IFERROR(DATEVALUE(INDEX('COOIS Raw'!$A:$GZ,ROW()-4,$F$4)),INDEX('COOIS Raw'!$A:$GZ,ROW()-4,$F$4)))</f>
        <v>46180</v>
      </c>
      <c r="G590" s="41" t="str">
        <f aca="false">IF(A590="","",IF(ISNA(MATCH(B590,'Kitting Plan'!$B$6:$B$19,0)),"Not in plan","Yes"))</f>
        <v>Yes</v>
      </c>
      <c r="H590" s="41" t="n">
        <f aca="false">IF(G590="Yes",INDEX('Kitting Plan'!$D$6:$D$19,MATCH(B590,'Kitting Plan'!$B$6:$B$19,0)),"")</f>
        <v>24</v>
      </c>
      <c r="I590" s="41" t="n">
        <f aca="false">IF(A590="","",IF(ISNUMBER(SEARCH("PRT",E590)),D590,0))</f>
        <v>1</v>
      </c>
      <c r="J590" s="41" t="n">
        <f aca="false">IF(A590="","",IF(ISNUMBER(SEARCH("GMPS",E590)),D590,0))</f>
        <v>1</v>
      </c>
      <c r="K590" s="41" t="n">
        <f aca="false">IF(A590="","",IF(ISNUMBER(SEARCH("DLV",E590)),D590,0))</f>
        <v>1</v>
      </c>
      <c r="L590" s="41" t="str">
        <f aca="false">IF(A590="","",IF(K590&gt;0,"Delivered",IF(ISNUMBER(SEARCH("CNF",E590)),"In production",IF(J590&gt;0,"Issued",IF(I590&gt;0,"Kitted","Released")))))</f>
        <v>Delivered</v>
      </c>
      <c r="M590" s="41" t="n">
        <f aca="false">IF(G590&lt;&gt;"Yes","",COUNTIFS($B$6:$B$1505,B590,$F$6:$F$1505,"&lt;"&amp;F590)+COUNTIFS($B$6:$B$1505,B590,$F$6:$F$1505,F590,$A$6:$A$1505,"&lt;="&amp;A590))</f>
        <v>50</v>
      </c>
      <c r="N590" s="41" t="n">
        <f aca="false">IF(M590="","",ROUNDUP(M590/H590,0))</f>
        <v>3</v>
      </c>
      <c r="O590" s="41" t="str">
        <f aca="false">IF(N590="","",IF(N590&lt;='Kitting Plan'!$C$3,"Rep "&amp;N590,"Surplus"))</f>
        <v>Rep 3</v>
      </c>
    </row>
    <row r="591" customFormat="false" ht="15" hidden="false" customHeight="false" outlineLevel="0" collapsed="false">
      <c r="A591" s="40" t="n">
        <f aca="false">IF(OR($A$4=0,INDEX('COOIS Raw'!$A:$GZ,ROW()-4,$A$4)=""),"",IFERROR(--INDEX('COOIS Raw'!$A:$GZ,ROW()-4,$A$4),INDEX('COOIS Raw'!$A:$GZ,ROW()-4,$A$4)))</f>
        <v>100865481</v>
      </c>
      <c r="B591" s="41" t="str">
        <f aca="false">IF(A591="","",TRIM(INDEX('COOIS Raw'!$A:$GZ,ROW()-4,$B$4)))</f>
        <v>92RRA00548AAA</v>
      </c>
      <c r="C591" s="42" t="str">
        <f aca="false">IF(OR(A591="",$C$4=0),"",INDEX('COOIS Raw'!$A:$GZ,ROW()-4,$C$4))</f>
        <v>R5B ERBIUM SPOOL ASSEMBLY - E2A</v>
      </c>
      <c r="D591" s="41" t="n">
        <f aca="false">IF(A591="","",IF($D$4=0,1,IFERROR(--INDEX('COOIS Raw'!$A:$GZ,ROW()-4,$D$4),1)))</f>
        <v>1</v>
      </c>
      <c r="E591" s="42" t="str">
        <f aca="false">IF(A591="","",INDEX('COOIS Raw'!$A:$GZ,ROW()-4,$E$4)&amp;"")</f>
        <v>REL PRT CNF DLV PRC GMPS MANC SETC</v>
      </c>
      <c r="F591" s="43" t="n">
        <f aca="false">IF(A591="","",IFERROR(DATEVALUE(INDEX('COOIS Raw'!$A:$GZ,ROW()-4,$F$4)),INDEX('COOIS Raw'!$A:$GZ,ROW()-4,$F$4)))</f>
        <v>46179</v>
      </c>
      <c r="G591" s="41" t="str">
        <f aca="false">IF(A591="","",IF(ISNA(MATCH(B591,'Kitting Plan'!$B$6:$B$19,0)),"Not in plan","Yes"))</f>
        <v>Yes</v>
      </c>
      <c r="H591" s="41" t="n">
        <f aca="false">IF(G591="Yes",INDEX('Kitting Plan'!$D$6:$D$19,MATCH(B591,'Kitting Plan'!$B$6:$B$19,0)),"")</f>
        <v>24</v>
      </c>
      <c r="I591" s="41" t="n">
        <f aca="false">IF(A591="","",IF(ISNUMBER(SEARCH("PRT",E591)),D591,0))</f>
        <v>1</v>
      </c>
      <c r="J591" s="41" t="n">
        <f aca="false">IF(A591="","",IF(ISNUMBER(SEARCH("GMPS",E591)),D591,0))</f>
        <v>1</v>
      </c>
      <c r="K591" s="41" t="n">
        <f aca="false">IF(A591="","",IF(ISNUMBER(SEARCH("DLV",E591)),D591,0))</f>
        <v>1</v>
      </c>
      <c r="L591" s="41" t="str">
        <f aca="false">IF(A591="","",IF(K591&gt;0,"Delivered",IF(ISNUMBER(SEARCH("CNF",E591)),"In production",IF(J591&gt;0,"Issued",IF(I591&gt;0,"Kitted","Released")))))</f>
        <v>Delivered</v>
      </c>
      <c r="M591" s="41" t="n">
        <f aca="false">IF(G591&lt;&gt;"Yes","",COUNTIFS($B$6:$B$1505,B591,$F$6:$F$1505,"&lt;"&amp;F591)+COUNTIFS($B$6:$B$1505,B591,$F$6:$F$1505,F591,$A$6:$A$1505,"&lt;="&amp;A591))</f>
        <v>44</v>
      </c>
      <c r="N591" s="41" t="n">
        <f aca="false">IF(M591="","",ROUNDUP(M591/H591,0))</f>
        <v>2</v>
      </c>
      <c r="O591" s="41" t="str">
        <f aca="false">IF(N591="","",IF(N591&lt;='Kitting Plan'!$C$3,"Rep "&amp;N591,"Surplus"))</f>
        <v>Rep 2</v>
      </c>
    </row>
    <row r="592" customFormat="false" ht="15" hidden="false" customHeight="false" outlineLevel="0" collapsed="false">
      <c r="A592" s="40" t="n">
        <f aca="false">IF(OR($A$4=0,INDEX('COOIS Raw'!$A:$GZ,ROW()-4,$A$4)=""),"",IFERROR(--INDEX('COOIS Raw'!$A:$GZ,ROW()-4,$A$4),INDEX('COOIS Raw'!$A:$GZ,ROW()-4,$A$4)))</f>
        <v>100865482</v>
      </c>
      <c r="B592" s="41" t="str">
        <f aca="false">IF(A592="","",TRIM(INDEX('COOIS Raw'!$A:$GZ,ROW()-4,$B$4)))</f>
        <v>92RRA00548AAA</v>
      </c>
      <c r="C592" s="42" t="str">
        <f aca="false">IF(OR(A592="",$C$4=0),"",INDEX('COOIS Raw'!$A:$GZ,ROW()-4,$C$4))</f>
        <v>R5B ERBIUM SPOOL ASSEMBLY - E2A</v>
      </c>
      <c r="D592" s="41" t="n">
        <f aca="false">IF(A592="","",IF($D$4=0,1,IFERROR(--INDEX('COOIS Raw'!$A:$GZ,ROW()-4,$D$4),1)))</f>
        <v>1</v>
      </c>
      <c r="E592" s="42" t="str">
        <f aca="false">IF(A592="","",INDEX('COOIS Raw'!$A:$GZ,ROW()-4,$E$4)&amp;"")</f>
        <v>REL PRT CNF DLV PRC GMPS MANC SETC</v>
      </c>
      <c r="F592" s="43" t="n">
        <f aca="false">IF(A592="","",IFERROR(DATEVALUE(INDEX('COOIS Raw'!$A:$GZ,ROW()-4,$F$4)),INDEX('COOIS Raw'!$A:$GZ,ROW()-4,$F$4)))</f>
        <v>46179</v>
      </c>
      <c r="G592" s="41" t="str">
        <f aca="false">IF(A592="","",IF(ISNA(MATCH(B592,'Kitting Plan'!$B$6:$B$19,0)),"Not in plan","Yes"))</f>
        <v>Yes</v>
      </c>
      <c r="H592" s="41" t="n">
        <f aca="false">IF(G592="Yes",INDEX('Kitting Plan'!$D$6:$D$19,MATCH(B592,'Kitting Plan'!$B$6:$B$19,0)),"")</f>
        <v>24</v>
      </c>
      <c r="I592" s="41" t="n">
        <f aca="false">IF(A592="","",IF(ISNUMBER(SEARCH("PRT",E592)),D592,0))</f>
        <v>1</v>
      </c>
      <c r="J592" s="41" t="n">
        <f aca="false">IF(A592="","",IF(ISNUMBER(SEARCH("GMPS",E592)),D592,0))</f>
        <v>1</v>
      </c>
      <c r="K592" s="41" t="n">
        <f aca="false">IF(A592="","",IF(ISNUMBER(SEARCH("DLV",E592)),D592,0))</f>
        <v>1</v>
      </c>
      <c r="L592" s="41" t="str">
        <f aca="false">IF(A592="","",IF(K592&gt;0,"Delivered",IF(ISNUMBER(SEARCH("CNF",E592)),"In production",IF(J592&gt;0,"Issued",IF(I592&gt;0,"Kitted","Released")))))</f>
        <v>Delivered</v>
      </c>
      <c r="M592" s="41" t="n">
        <f aca="false">IF(G592&lt;&gt;"Yes","",COUNTIFS($B$6:$B$1505,B592,$F$6:$F$1505,"&lt;"&amp;F592)+COUNTIFS($B$6:$B$1505,B592,$F$6:$F$1505,F592,$A$6:$A$1505,"&lt;="&amp;A592))</f>
        <v>45</v>
      </c>
      <c r="N592" s="41" t="n">
        <f aca="false">IF(M592="","",ROUNDUP(M592/H592,0))</f>
        <v>2</v>
      </c>
      <c r="O592" s="41" t="str">
        <f aca="false">IF(N592="","",IF(N592&lt;='Kitting Plan'!$C$3,"Rep "&amp;N592,"Surplus"))</f>
        <v>Rep 2</v>
      </c>
    </row>
    <row r="593" customFormat="false" ht="15" hidden="false" customHeight="false" outlineLevel="0" collapsed="false">
      <c r="A593" s="40" t="n">
        <f aca="false">IF(OR($A$4=0,INDEX('COOIS Raw'!$A:$GZ,ROW()-4,$A$4)=""),"",IFERROR(--INDEX('COOIS Raw'!$A:$GZ,ROW()-4,$A$4),INDEX('COOIS Raw'!$A:$GZ,ROW()-4,$A$4)))</f>
        <v>100865460</v>
      </c>
      <c r="B593" s="41" t="str">
        <f aca="false">IF(A593="","",TRIM(INDEX('COOIS Raw'!$A:$GZ,ROW()-4,$B$4)))</f>
        <v>92YRA02548AAA</v>
      </c>
      <c r="C593" s="42" t="str">
        <f aca="false">IF(OR(A593="",$C$4=0),"",INDEX('COOIS Raw'!$A:$GZ,ROW()-4,$C$4))</f>
        <v>R5B ERBIUM ASSEMBLY 2</v>
      </c>
      <c r="D593" s="41" t="n">
        <f aca="false">IF(A593="","",IF($D$4=0,1,IFERROR(--INDEX('COOIS Raw'!$A:$GZ,ROW()-4,$D$4),1)))</f>
        <v>1</v>
      </c>
      <c r="E593" s="42" t="str">
        <f aca="false">IF(A593="","",INDEX('COOIS Raw'!$A:$GZ,ROW()-4,$E$4)&amp;"")</f>
        <v>REL PRT CNF DLV PRC GMPS MANC RESA*</v>
      </c>
      <c r="F593" s="43" t="n">
        <f aca="false">IF(A593="","",IFERROR(DATEVALUE(INDEX('COOIS Raw'!$A:$GZ,ROW()-4,$F$4)),INDEX('COOIS Raw'!$A:$GZ,ROW()-4,$F$4)))</f>
        <v>46178</v>
      </c>
      <c r="G593" s="41" t="str">
        <f aca="false">IF(A593="","",IF(ISNA(MATCH(B593,'Kitting Plan'!$B$6:$B$19,0)),"Not in plan","Yes"))</f>
        <v>Yes</v>
      </c>
      <c r="H593" s="41" t="n">
        <f aca="false">IF(G593="Yes",INDEX('Kitting Plan'!$D$6:$D$19,MATCH(B593,'Kitting Plan'!$B$6:$B$19,0)),"")</f>
        <v>3</v>
      </c>
      <c r="I593" s="41" t="n">
        <f aca="false">IF(A593="","",IF(ISNUMBER(SEARCH("PRT",E593)),D593,0))</f>
        <v>1</v>
      </c>
      <c r="J593" s="41" t="n">
        <f aca="false">IF(A593="","",IF(ISNUMBER(SEARCH("GMPS",E593)),D593,0))</f>
        <v>1</v>
      </c>
      <c r="K593" s="41" t="n">
        <f aca="false">IF(A593="","",IF(ISNUMBER(SEARCH("DLV",E593)),D593,0))</f>
        <v>1</v>
      </c>
      <c r="L593" s="41" t="str">
        <f aca="false">IF(A593="","",IF(K593&gt;0,"Delivered",IF(ISNUMBER(SEARCH("CNF",E593)),"In production",IF(J593&gt;0,"Issued",IF(I593&gt;0,"Kitted","Released")))))</f>
        <v>Delivered</v>
      </c>
      <c r="M593" s="41" t="n">
        <f aca="false">IF(G593&lt;&gt;"Yes","",COUNTIFS($B$6:$B$1505,B593,$F$6:$F$1505,"&lt;"&amp;F593)+COUNTIFS($B$6:$B$1505,B593,$F$6:$F$1505,F593,$A$6:$A$1505,"&lt;="&amp;A593))</f>
        <v>4</v>
      </c>
      <c r="N593" s="41" t="n">
        <f aca="false">IF(M593="","",ROUNDUP(M593/H593,0))</f>
        <v>2</v>
      </c>
      <c r="O593" s="41" t="str">
        <f aca="false">IF(N593="","",IF(N593&lt;='Kitting Plan'!$C$3,"Rep "&amp;N593,"Surplus"))</f>
        <v>Rep 2</v>
      </c>
    </row>
    <row r="594" customFormat="false" ht="15" hidden="false" customHeight="false" outlineLevel="0" collapsed="false">
      <c r="A594" s="40" t="n">
        <f aca="false">IF(OR($A$4=0,INDEX('COOIS Raw'!$A:$GZ,ROW()-4,$A$4)=""),"",IFERROR(--INDEX('COOIS Raw'!$A:$GZ,ROW()-4,$A$4),INDEX('COOIS Raw'!$A:$GZ,ROW()-4,$A$4)))</f>
        <v>100865461</v>
      </c>
      <c r="B594" s="41" t="str">
        <f aca="false">IF(A594="","",TRIM(INDEX('COOIS Raw'!$A:$GZ,ROW()-4,$B$4)))</f>
        <v>92YRA02548AAA</v>
      </c>
      <c r="C594" s="42" t="str">
        <f aca="false">IF(OR(A594="",$C$4=0),"",INDEX('COOIS Raw'!$A:$GZ,ROW()-4,$C$4))</f>
        <v>R5B ERBIUM ASSEMBLY 2</v>
      </c>
      <c r="D594" s="41" t="n">
        <f aca="false">IF(A594="","",IF($D$4=0,1,IFERROR(--INDEX('COOIS Raw'!$A:$GZ,ROW()-4,$D$4),1)))</f>
        <v>1</v>
      </c>
      <c r="E594" s="42" t="str">
        <f aca="false">IF(A594="","",INDEX('COOIS Raw'!$A:$GZ,ROW()-4,$E$4)&amp;"")</f>
        <v>REL PRT CNF DLV PRC GMPS MANC RESA*</v>
      </c>
      <c r="F594" s="43" t="n">
        <f aca="false">IF(A594="","",IFERROR(DATEVALUE(INDEX('COOIS Raw'!$A:$GZ,ROW()-4,$F$4)),INDEX('COOIS Raw'!$A:$GZ,ROW()-4,$F$4)))</f>
        <v>46178</v>
      </c>
      <c r="G594" s="41" t="str">
        <f aca="false">IF(A594="","",IF(ISNA(MATCH(B594,'Kitting Plan'!$B$6:$B$19,0)),"Not in plan","Yes"))</f>
        <v>Yes</v>
      </c>
      <c r="H594" s="41" t="n">
        <f aca="false">IF(G594="Yes",INDEX('Kitting Plan'!$D$6:$D$19,MATCH(B594,'Kitting Plan'!$B$6:$B$19,0)),"")</f>
        <v>3</v>
      </c>
      <c r="I594" s="41" t="n">
        <f aca="false">IF(A594="","",IF(ISNUMBER(SEARCH("PRT",E594)),D594,0))</f>
        <v>1</v>
      </c>
      <c r="J594" s="41" t="n">
        <f aca="false">IF(A594="","",IF(ISNUMBER(SEARCH("GMPS",E594)),D594,0))</f>
        <v>1</v>
      </c>
      <c r="K594" s="41" t="n">
        <f aca="false">IF(A594="","",IF(ISNUMBER(SEARCH("DLV",E594)),D594,0))</f>
        <v>1</v>
      </c>
      <c r="L594" s="41" t="str">
        <f aca="false">IF(A594="","",IF(K594&gt;0,"Delivered",IF(ISNUMBER(SEARCH("CNF",E594)),"In production",IF(J594&gt;0,"Issued",IF(I594&gt;0,"Kitted","Released")))))</f>
        <v>Delivered</v>
      </c>
      <c r="M594" s="41" t="n">
        <f aca="false">IF(G594&lt;&gt;"Yes","",COUNTIFS($B$6:$B$1505,B594,$F$6:$F$1505,"&lt;"&amp;F594)+COUNTIFS($B$6:$B$1505,B594,$F$6:$F$1505,F594,$A$6:$A$1505,"&lt;="&amp;A594))</f>
        <v>5</v>
      </c>
      <c r="N594" s="41" t="n">
        <f aca="false">IF(M594="","",ROUNDUP(M594/H594,0))</f>
        <v>2</v>
      </c>
      <c r="O594" s="41" t="str">
        <f aca="false">IF(N594="","",IF(N594&lt;='Kitting Plan'!$C$3,"Rep "&amp;N594,"Surplus"))</f>
        <v>Rep 2</v>
      </c>
    </row>
    <row r="595" customFormat="false" ht="15" hidden="false" customHeight="false" outlineLevel="0" collapsed="false">
      <c r="A595" s="40" t="n">
        <f aca="false">IF(OR($A$4=0,INDEX('COOIS Raw'!$A:$GZ,ROW()-4,$A$4)=""),"",IFERROR(--INDEX('COOIS Raw'!$A:$GZ,ROW()-4,$A$4),INDEX('COOIS Raw'!$A:$GZ,ROW()-4,$A$4)))</f>
        <v>100865463</v>
      </c>
      <c r="B595" s="41" t="str">
        <f aca="false">IF(A595="","",TRIM(INDEX('COOIS Raw'!$A:$GZ,ROW()-4,$B$4)))</f>
        <v>92YRA02548AAA</v>
      </c>
      <c r="C595" s="42" t="str">
        <f aca="false">IF(OR(A595="",$C$4=0),"",INDEX('COOIS Raw'!$A:$GZ,ROW()-4,$C$4))</f>
        <v>R5B ERBIUM ASSEMBLY 2</v>
      </c>
      <c r="D595" s="41" t="n">
        <f aca="false">IF(A595="","",IF($D$4=0,1,IFERROR(--INDEX('COOIS Raw'!$A:$GZ,ROW()-4,$D$4),1)))</f>
        <v>1</v>
      </c>
      <c r="E595" s="42" t="str">
        <f aca="false">IF(A595="","",INDEX('COOIS Raw'!$A:$GZ,ROW()-4,$E$4)&amp;"")</f>
        <v>REL PRT CNF DLV PRC GMPS MANC RESA*</v>
      </c>
      <c r="F595" s="43" t="n">
        <f aca="false">IF(A595="","",IFERROR(DATEVALUE(INDEX('COOIS Raw'!$A:$GZ,ROW()-4,$F$4)),INDEX('COOIS Raw'!$A:$GZ,ROW()-4,$F$4)))</f>
        <v>46178</v>
      </c>
      <c r="G595" s="41" t="str">
        <f aca="false">IF(A595="","",IF(ISNA(MATCH(B595,'Kitting Plan'!$B$6:$B$19,0)),"Not in plan","Yes"))</f>
        <v>Yes</v>
      </c>
      <c r="H595" s="41" t="n">
        <f aca="false">IF(G595="Yes",INDEX('Kitting Plan'!$D$6:$D$19,MATCH(B595,'Kitting Plan'!$B$6:$B$19,0)),"")</f>
        <v>3</v>
      </c>
      <c r="I595" s="41" t="n">
        <f aca="false">IF(A595="","",IF(ISNUMBER(SEARCH("PRT",E595)),D595,0))</f>
        <v>1</v>
      </c>
      <c r="J595" s="41" t="n">
        <f aca="false">IF(A595="","",IF(ISNUMBER(SEARCH("GMPS",E595)),D595,0))</f>
        <v>1</v>
      </c>
      <c r="K595" s="41" t="n">
        <f aca="false">IF(A595="","",IF(ISNUMBER(SEARCH("DLV",E595)),D595,0))</f>
        <v>1</v>
      </c>
      <c r="L595" s="41" t="str">
        <f aca="false">IF(A595="","",IF(K595&gt;0,"Delivered",IF(ISNUMBER(SEARCH("CNF",E595)),"In production",IF(J595&gt;0,"Issued",IF(I595&gt;0,"Kitted","Released")))))</f>
        <v>Delivered</v>
      </c>
      <c r="M595" s="41" t="n">
        <f aca="false">IF(G595&lt;&gt;"Yes","",COUNTIFS($B$6:$B$1505,B595,$F$6:$F$1505,"&lt;"&amp;F595)+COUNTIFS($B$6:$B$1505,B595,$F$6:$F$1505,F595,$A$6:$A$1505,"&lt;="&amp;A595))</f>
        <v>6</v>
      </c>
      <c r="N595" s="41" t="n">
        <f aca="false">IF(M595="","",ROUNDUP(M595/H595,0))</f>
        <v>2</v>
      </c>
      <c r="O595" s="41" t="str">
        <f aca="false">IF(N595="","",IF(N595&lt;='Kitting Plan'!$C$3,"Rep "&amp;N595,"Surplus"))</f>
        <v>Rep 2</v>
      </c>
    </row>
    <row r="596" customFormat="false" ht="15" hidden="false" customHeight="false" outlineLevel="0" collapsed="false">
      <c r="A596" s="40" t="n">
        <f aca="false">IF(OR($A$4=0,INDEX('COOIS Raw'!$A:$GZ,ROW()-4,$A$4)=""),"",IFERROR(--INDEX('COOIS Raw'!$A:$GZ,ROW()-4,$A$4),INDEX('COOIS Raw'!$A:$GZ,ROW()-4,$A$4)))</f>
        <v>100865325</v>
      </c>
      <c r="B596" s="41" t="str">
        <f aca="false">IF(A596="","",TRIM(INDEX('COOIS Raw'!$A:$GZ,ROW()-4,$B$4)))</f>
        <v>92YRA02548AAA</v>
      </c>
      <c r="C596" s="42" t="str">
        <f aca="false">IF(OR(A596="",$C$4=0),"",INDEX('COOIS Raw'!$A:$GZ,ROW()-4,$C$4))</f>
        <v>R5B ERBIUM ASSEMBLY 2</v>
      </c>
      <c r="D596" s="41" t="n">
        <f aca="false">IF(A596="","",IF($D$4=0,1,IFERROR(--INDEX('COOIS Raw'!$A:$GZ,ROW()-4,$D$4),1)))</f>
        <v>1</v>
      </c>
      <c r="E596" s="42" t="str">
        <f aca="false">IF(A596="","",INDEX('COOIS Raw'!$A:$GZ,ROW()-4,$E$4)&amp;"")</f>
        <v>REL PRT CNF DLV PRC GMPS MANC RESA*</v>
      </c>
      <c r="F596" s="43" t="n">
        <f aca="false">IF(A596="","",IFERROR(DATEVALUE(INDEX('COOIS Raw'!$A:$GZ,ROW()-4,$F$4)),INDEX('COOIS Raw'!$A:$GZ,ROW()-4,$F$4)))</f>
        <v>46177</v>
      </c>
      <c r="G596" s="41" t="str">
        <f aca="false">IF(A596="","",IF(ISNA(MATCH(B596,'Kitting Plan'!$B$6:$B$19,0)),"Not in plan","Yes"))</f>
        <v>Yes</v>
      </c>
      <c r="H596" s="41" t="n">
        <f aca="false">IF(G596="Yes",INDEX('Kitting Plan'!$D$6:$D$19,MATCH(B596,'Kitting Plan'!$B$6:$B$19,0)),"")</f>
        <v>3</v>
      </c>
      <c r="I596" s="41" t="n">
        <f aca="false">IF(A596="","",IF(ISNUMBER(SEARCH("PRT",E596)),D596,0))</f>
        <v>1</v>
      </c>
      <c r="J596" s="41" t="n">
        <f aca="false">IF(A596="","",IF(ISNUMBER(SEARCH("GMPS",E596)),D596,0))</f>
        <v>1</v>
      </c>
      <c r="K596" s="41" t="n">
        <f aca="false">IF(A596="","",IF(ISNUMBER(SEARCH("DLV",E596)),D596,0))</f>
        <v>1</v>
      </c>
      <c r="L596" s="41" t="str">
        <f aca="false">IF(A596="","",IF(K596&gt;0,"Delivered",IF(ISNUMBER(SEARCH("CNF",E596)),"In production",IF(J596&gt;0,"Issued",IF(I596&gt;0,"Kitted","Released")))))</f>
        <v>Delivered</v>
      </c>
      <c r="M596" s="41" t="n">
        <f aca="false">IF(G596&lt;&gt;"Yes","",COUNTIFS($B$6:$B$1505,B596,$F$6:$F$1505,"&lt;"&amp;F596)+COUNTIFS($B$6:$B$1505,B596,$F$6:$F$1505,F596,$A$6:$A$1505,"&lt;="&amp;A596))</f>
        <v>3</v>
      </c>
      <c r="N596" s="41" t="n">
        <f aca="false">IF(M596="","",ROUNDUP(M596/H596,0))</f>
        <v>1</v>
      </c>
      <c r="O596" s="41" t="str">
        <f aca="false">IF(N596="","",IF(N596&lt;='Kitting Plan'!$C$3,"Rep "&amp;N596,"Surplus"))</f>
        <v>Rep 1</v>
      </c>
    </row>
    <row r="597" customFormat="false" ht="15" hidden="false" customHeight="false" outlineLevel="0" collapsed="false">
      <c r="A597" s="40" t="n">
        <f aca="false">IF(OR($A$4=0,INDEX('COOIS Raw'!$A:$GZ,ROW()-4,$A$4)=""),"",IFERROR(--INDEX('COOIS Raw'!$A:$GZ,ROW()-4,$A$4),INDEX('COOIS Raw'!$A:$GZ,ROW()-4,$A$4)))</f>
        <v>100865326</v>
      </c>
      <c r="B597" s="41" t="str">
        <f aca="false">IF(A597="","",TRIM(INDEX('COOIS Raw'!$A:$GZ,ROW()-4,$B$4)))</f>
        <v>92RRA00548AAA</v>
      </c>
      <c r="C597" s="42" t="str">
        <f aca="false">IF(OR(A597="",$C$4=0),"",INDEX('COOIS Raw'!$A:$GZ,ROW()-4,$C$4))</f>
        <v>R5B ERBIUM SPOOL ASSEMBLY - E2A</v>
      </c>
      <c r="D597" s="41" t="n">
        <f aca="false">IF(A597="","",IF($D$4=0,1,IFERROR(--INDEX('COOIS Raw'!$A:$GZ,ROW()-4,$D$4),1)))</f>
        <v>1</v>
      </c>
      <c r="E597" s="42" t="str">
        <f aca="false">IF(A597="","",INDEX('COOIS Raw'!$A:$GZ,ROW()-4,$E$4)&amp;"")</f>
        <v>REL PRT CNF DLV PRC GMPS MANC SETC</v>
      </c>
      <c r="F597" s="43" t="n">
        <f aca="false">IF(A597="","",IFERROR(DATEVALUE(INDEX('COOIS Raw'!$A:$GZ,ROW()-4,$F$4)),INDEX('COOIS Raw'!$A:$GZ,ROW()-4,$F$4)))</f>
        <v>46177</v>
      </c>
      <c r="G597" s="41" t="str">
        <f aca="false">IF(A597="","",IF(ISNA(MATCH(B597,'Kitting Plan'!$B$6:$B$19,0)),"Not in plan","Yes"))</f>
        <v>Yes</v>
      </c>
      <c r="H597" s="41" t="n">
        <f aca="false">IF(G597="Yes",INDEX('Kitting Plan'!$D$6:$D$19,MATCH(B597,'Kitting Plan'!$B$6:$B$19,0)),"")</f>
        <v>24</v>
      </c>
      <c r="I597" s="41" t="n">
        <f aca="false">IF(A597="","",IF(ISNUMBER(SEARCH("PRT",E597)),D597,0))</f>
        <v>1</v>
      </c>
      <c r="J597" s="41" t="n">
        <f aca="false">IF(A597="","",IF(ISNUMBER(SEARCH("GMPS",E597)),D597,0))</f>
        <v>1</v>
      </c>
      <c r="K597" s="41" t="n">
        <f aca="false">IF(A597="","",IF(ISNUMBER(SEARCH("DLV",E597)),D597,0))</f>
        <v>1</v>
      </c>
      <c r="L597" s="41" t="str">
        <f aca="false">IF(A597="","",IF(K597&gt;0,"Delivered",IF(ISNUMBER(SEARCH("CNF",E597)),"In production",IF(J597&gt;0,"Issued",IF(I597&gt;0,"Kitted","Released")))))</f>
        <v>Delivered</v>
      </c>
      <c r="M597" s="41" t="n">
        <f aca="false">IF(G597&lt;&gt;"Yes","",COUNTIFS($B$6:$B$1505,B597,$F$6:$F$1505,"&lt;"&amp;F597)+COUNTIFS($B$6:$B$1505,B597,$F$6:$F$1505,F597,$A$6:$A$1505,"&lt;="&amp;A597))</f>
        <v>42</v>
      </c>
      <c r="N597" s="41" t="n">
        <f aca="false">IF(M597="","",ROUNDUP(M597/H597,0))</f>
        <v>2</v>
      </c>
      <c r="O597" s="41" t="str">
        <f aca="false">IF(N597="","",IF(N597&lt;='Kitting Plan'!$C$3,"Rep "&amp;N597,"Surplus"))</f>
        <v>Rep 2</v>
      </c>
    </row>
    <row r="598" customFormat="false" ht="15" hidden="false" customHeight="false" outlineLevel="0" collapsed="false">
      <c r="A598" s="40" t="n">
        <f aca="false">IF(OR($A$4=0,INDEX('COOIS Raw'!$A:$GZ,ROW()-4,$A$4)=""),"",IFERROR(--INDEX('COOIS Raw'!$A:$GZ,ROW()-4,$A$4),INDEX('COOIS Raw'!$A:$GZ,ROW()-4,$A$4)))</f>
        <v>100865327</v>
      </c>
      <c r="B598" s="41" t="str">
        <f aca="false">IF(A598="","",TRIM(INDEX('COOIS Raw'!$A:$GZ,ROW()-4,$B$4)))</f>
        <v>92RRA00548AAA</v>
      </c>
      <c r="C598" s="42" t="str">
        <f aca="false">IF(OR(A598="",$C$4=0),"",INDEX('COOIS Raw'!$A:$GZ,ROW()-4,$C$4))</f>
        <v>R5B ERBIUM SPOOL ASSEMBLY - E2A</v>
      </c>
      <c r="D598" s="41" t="n">
        <f aca="false">IF(A598="","",IF($D$4=0,1,IFERROR(--INDEX('COOIS Raw'!$A:$GZ,ROW()-4,$D$4),1)))</f>
        <v>1</v>
      </c>
      <c r="E598" s="42" t="str">
        <f aca="false">IF(A598="","",INDEX('COOIS Raw'!$A:$GZ,ROW()-4,$E$4)&amp;"")</f>
        <v>REL PRT CNF DLV PRC GMPS MANC SETC</v>
      </c>
      <c r="F598" s="43" t="n">
        <f aca="false">IF(A598="","",IFERROR(DATEVALUE(INDEX('COOIS Raw'!$A:$GZ,ROW()-4,$F$4)),INDEX('COOIS Raw'!$A:$GZ,ROW()-4,$F$4)))</f>
        <v>46177</v>
      </c>
      <c r="G598" s="41" t="str">
        <f aca="false">IF(A598="","",IF(ISNA(MATCH(B598,'Kitting Plan'!$B$6:$B$19,0)),"Not in plan","Yes"))</f>
        <v>Yes</v>
      </c>
      <c r="H598" s="41" t="n">
        <f aca="false">IF(G598="Yes",INDEX('Kitting Plan'!$D$6:$D$19,MATCH(B598,'Kitting Plan'!$B$6:$B$19,0)),"")</f>
        <v>24</v>
      </c>
      <c r="I598" s="41" t="n">
        <f aca="false">IF(A598="","",IF(ISNUMBER(SEARCH("PRT",E598)),D598,0))</f>
        <v>1</v>
      </c>
      <c r="J598" s="41" t="n">
        <f aca="false">IF(A598="","",IF(ISNUMBER(SEARCH("GMPS",E598)),D598,0))</f>
        <v>1</v>
      </c>
      <c r="K598" s="41" t="n">
        <f aca="false">IF(A598="","",IF(ISNUMBER(SEARCH("DLV",E598)),D598,0))</f>
        <v>1</v>
      </c>
      <c r="L598" s="41" t="str">
        <f aca="false">IF(A598="","",IF(K598&gt;0,"Delivered",IF(ISNUMBER(SEARCH("CNF",E598)),"In production",IF(J598&gt;0,"Issued",IF(I598&gt;0,"Kitted","Released")))))</f>
        <v>Delivered</v>
      </c>
      <c r="M598" s="41" t="n">
        <f aca="false">IF(G598&lt;&gt;"Yes","",COUNTIFS($B$6:$B$1505,B598,$F$6:$F$1505,"&lt;"&amp;F598)+COUNTIFS($B$6:$B$1505,B598,$F$6:$F$1505,F598,$A$6:$A$1505,"&lt;="&amp;A598))</f>
        <v>43</v>
      </c>
      <c r="N598" s="41" t="n">
        <f aca="false">IF(M598="","",ROUNDUP(M598/H598,0))</f>
        <v>2</v>
      </c>
      <c r="O598" s="41" t="str">
        <f aca="false">IF(N598="","",IF(N598&lt;='Kitting Plan'!$C$3,"Rep "&amp;N598,"Surplus"))</f>
        <v>Rep 2</v>
      </c>
    </row>
    <row r="599" customFormat="false" ht="15" hidden="false" customHeight="false" outlineLevel="0" collapsed="false">
      <c r="A599" s="40" t="n">
        <f aca="false">IF(OR($A$4=0,INDEX('COOIS Raw'!$A:$GZ,ROW()-4,$A$4)=""),"",IFERROR(--INDEX('COOIS Raw'!$A:$GZ,ROW()-4,$A$4),INDEX('COOIS Raw'!$A:$GZ,ROW()-4,$A$4)))</f>
        <v>100865001</v>
      </c>
      <c r="B599" s="41" t="str">
        <f aca="false">IF(A599="","",TRIM(INDEX('COOIS Raw'!$A:$GZ,ROW()-4,$B$4)))</f>
        <v>92RRA00548AAA</v>
      </c>
      <c r="C599" s="42" t="str">
        <f aca="false">IF(OR(A599="",$C$4=0),"",INDEX('COOIS Raw'!$A:$GZ,ROW()-4,$C$4))</f>
        <v>R5B ERBIUM SPOOL ASSEMBLY - E2A</v>
      </c>
      <c r="D599" s="41" t="n">
        <f aca="false">IF(A599="","",IF($D$4=0,1,IFERROR(--INDEX('COOIS Raw'!$A:$GZ,ROW()-4,$D$4),1)))</f>
        <v>1</v>
      </c>
      <c r="E599" s="42" t="str">
        <f aca="false">IF(A599="","",INDEX('COOIS Raw'!$A:$GZ,ROW()-4,$E$4)&amp;"")</f>
        <v>REL PRT CNF DLV PRC GMPS MANC SETC</v>
      </c>
      <c r="F599" s="43" t="n">
        <f aca="false">IF(A599="","",IFERROR(DATEVALUE(INDEX('COOIS Raw'!$A:$GZ,ROW()-4,$F$4)),INDEX('COOIS Raw'!$A:$GZ,ROW()-4,$F$4)))</f>
        <v>46176</v>
      </c>
      <c r="G599" s="41" t="str">
        <f aca="false">IF(A599="","",IF(ISNA(MATCH(B599,'Kitting Plan'!$B$6:$B$19,0)),"Not in plan","Yes"))</f>
        <v>Yes</v>
      </c>
      <c r="H599" s="41" t="n">
        <f aca="false">IF(G599="Yes",INDEX('Kitting Plan'!$D$6:$D$19,MATCH(B599,'Kitting Plan'!$B$6:$B$19,0)),"")</f>
        <v>24</v>
      </c>
      <c r="I599" s="41" t="n">
        <f aca="false">IF(A599="","",IF(ISNUMBER(SEARCH("PRT",E599)),D599,0))</f>
        <v>1</v>
      </c>
      <c r="J599" s="41" t="n">
        <f aca="false">IF(A599="","",IF(ISNUMBER(SEARCH("GMPS",E599)),D599,0))</f>
        <v>1</v>
      </c>
      <c r="K599" s="41" t="n">
        <f aca="false">IF(A599="","",IF(ISNUMBER(SEARCH("DLV",E599)),D599,0))</f>
        <v>1</v>
      </c>
      <c r="L599" s="41" t="str">
        <f aca="false">IF(A599="","",IF(K599&gt;0,"Delivered",IF(ISNUMBER(SEARCH("CNF",E599)),"In production",IF(J599&gt;0,"Issued",IF(I599&gt;0,"Kitted","Released")))))</f>
        <v>Delivered</v>
      </c>
      <c r="M599" s="41" t="n">
        <f aca="false">IF(G599&lt;&gt;"Yes","",COUNTIFS($B$6:$B$1505,B599,$F$6:$F$1505,"&lt;"&amp;F599)+COUNTIFS($B$6:$B$1505,B599,$F$6:$F$1505,F599,$A$6:$A$1505,"&lt;="&amp;A599))</f>
        <v>18</v>
      </c>
      <c r="N599" s="41" t="n">
        <f aca="false">IF(M599="","",ROUNDUP(M599/H599,0))</f>
        <v>1</v>
      </c>
      <c r="O599" s="41" t="str">
        <f aca="false">IF(N599="","",IF(N599&lt;='Kitting Plan'!$C$3,"Rep "&amp;N599,"Surplus"))</f>
        <v>Rep 1</v>
      </c>
    </row>
    <row r="600" customFormat="false" ht="15" hidden="false" customHeight="false" outlineLevel="0" collapsed="false">
      <c r="A600" s="40" t="n">
        <f aca="false">IF(OR($A$4=0,INDEX('COOIS Raw'!$A:$GZ,ROW()-4,$A$4)=""),"",IFERROR(--INDEX('COOIS Raw'!$A:$GZ,ROW()-4,$A$4),INDEX('COOIS Raw'!$A:$GZ,ROW()-4,$A$4)))</f>
        <v>100865002</v>
      </c>
      <c r="B600" s="41" t="str">
        <f aca="false">IF(A600="","",TRIM(INDEX('COOIS Raw'!$A:$GZ,ROW()-4,$B$4)))</f>
        <v>92RRA00548AAA</v>
      </c>
      <c r="C600" s="42" t="str">
        <f aca="false">IF(OR(A600="",$C$4=0),"",INDEX('COOIS Raw'!$A:$GZ,ROW()-4,$C$4))</f>
        <v>R5B ERBIUM SPOOL ASSEMBLY - E2A</v>
      </c>
      <c r="D600" s="41" t="n">
        <f aca="false">IF(A600="","",IF($D$4=0,1,IFERROR(--INDEX('COOIS Raw'!$A:$GZ,ROW()-4,$D$4),1)))</f>
        <v>1</v>
      </c>
      <c r="E600" s="42" t="str">
        <f aca="false">IF(A600="","",INDEX('COOIS Raw'!$A:$GZ,ROW()-4,$E$4)&amp;"")</f>
        <v>REL PRT CNF DLV PRC GMPS MANC SETC</v>
      </c>
      <c r="F600" s="43" t="n">
        <f aca="false">IF(A600="","",IFERROR(DATEVALUE(INDEX('COOIS Raw'!$A:$GZ,ROW()-4,$F$4)),INDEX('COOIS Raw'!$A:$GZ,ROW()-4,$F$4)))</f>
        <v>46176</v>
      </c>
      <c r="G600" s="41" t="str">
        <f aca="false">IF(A600="","",IF(ISNA(MATCH(B600,'Kitting Plan'!$B$6:$B$19,0)),"Not in plan","Yes"))</f>
        <v>Yes</v>
      </c>
      <c r="H600" s="41" t="n">
        <f aca="false">IF(G600="Yes",INDEX('Kitting Plan'!$D$6:$D$19,MATCH(B600,'Kitting Plan'!$B$6:$B$19,0)),"")</f>
        <v>24</v>
      </c>
      <c r="I600" s="41" t="n">
        <f aca="false">IF(A600="","",IF(ISNUMBER(SEARCH("PRT",E600)),D600,0))</f>
        <v>1</v>
      </c>
      <c r="J600" s="41" t="n">
        <f aca="false">IF(A600="","",IF(ISNUMBER(SEARCH("GMPS",E600)),D600,0))</f>
        <v>1</v>
      </c>
      <c r="K600" s="41" t="n">
        <f aca="false">IF(A600="","",IF(ISNUMBER(SEARCH("DLV",E600)),D600,0))</f>
        <v>1</v>
      </c>
      <c r="L600" s="41" t="str">
        <f aca="false">IF(A600="","",IF(K600&gt;0,"Delivered",IF(ISNUMBER(SEARCH("CNF",E600)),"In production",IF(J600&gt;0,"Issued",IF(I600&gt;0,"Kitted","Released")))))</f>
        <v>Delivered</v>
      </c>
      <c r="M600" s="41" t="n">
        <f aca="false">IF(G600&lt;&gt;"Yes","",COUNTIFS($B$6:$B$1505,B600,$F$6:$F$1505,"&lt;"&amp;F600)+COUNTIFS($B$6:$B$1505,B600,$F$6:$F$1505,F600,$A$6:$A$1505,"&lt;="&amp;A600))</f>
        <v>19</v>
      </c>
      <c r="N600" s="41" t="n">
        <f aca="false">IF(M600="","",ROUNDUP(M600/H600,0))</f>
        <v>1</v>
      </c>
      <c r="O600" s="41" t="str">
        <f aca="false">IF(N600="","",IF(N600&lt;='Kitting Plan'!$C$3,"Rep "&amp;N600,"Surplus"))</f>
        <v>Rep 1</v>
      </c>
    </row>
    <row r="601" customFormat="false" ht="15" hidden="false" customHeight="false" outlineLevel="0" collapsed="false">
      <c r="A601" s="40" t="n">
        <f aca="false">IF(OR($A$4=0,INDEX('COOIS Raw'!$A:$GZ,ROW()-4,$A$4)=""),"",IFERROR(--INDEX('COOIS Raw'!$A:$GZ,ROW()-4,$A$4),INDEX('COOIS Raw'!$A:$GZ,ROW()-4,$A$4)))</f>
        <v>100865003</v>
      </c>
      <c r="B601" s="41" t="str">
        <f aca="false">IF(A601="","",TRIM(INDEX('COOIS Raw'!$A:$GZ,ROW()-4,$B$4)))</f>
        <v>92RRA00548AAA</v>
      </c>
      <c r="C601" s="42" t="str">
        <f aca="false">IF(OR(A601="",$C$4=0),"",INDEX('COOIS Raw'!$A:$GZ,ROW()-4,$C$4))</f>
        <v>R5B ERBIUM SPOOL ASSEMBLY - E2A</v>
      </c>
      <c r="D601" s="41" t="n">
        <f aca="false">IF(A601="","",IF($D$4=0,1,IFERROR(--INDEX('COOIS Raw'!$A:$GZ,ROW()-4,$D$4),1)))</f>
        <v>1</v>
      </c>
      <c r="E601" s="42" t="str">
        <f aca="false">IF(A601="","",INDEX('COOIS Raw'!$A:$GZ,ROW()-4,$E$4)&amp;"")</f>
        <v>REL PRT CNF DLV PRC GMPS MANC SETC</v>
      </c>
      <c r="F601" s="43" t="n">
        <f aca="false">IF(A601="","",IFERROR(DATEVALUE(INDEX('COOIS Raw'!$A:$GZ,ROW()-4,$F$4)),INDEX('COOIS Raw'!$A:$GZ,ROW()-4,$F$4)))</f>
        <v>46176</v>
      </c>
      <c r="G601" s="41" t="str">
        <f aca="false">IF(A601="","",IF(ISNA(MATCH(B601,'Kitting Plan'!$B$6:$B$19,0)),"Not in plan","Yes"))</f>
        <v>Yes</v>
      </c>
      <c r="H601" s="41" t="n">
        <f aca="false">IF(G601="Yes",INDEX('Kitting Plan'!$D$6:$D$19,MATCH(B601,'Kitting Plan'!$B$6:$B$19,0)),"")</f>
        <v>24</v>
      </c>
      <c r="I601" s="41" t="n">
        <f aca="false">IF(A601="","",IF(ISNUMBER(SEARCH("PRT",E601)),D601,0))</f>
        <v>1</v>
      </c>
      <c r="J601" s="41" t="n">
        <f aca="false">IF(A601="","",IF(ISNUMBER(SEARCH("GMPS",E601)),D601,0))</f>
        <v>1</v>
      </c>
      <c r="K601" s="41" t="n">
        <f aca="false">IF(A601="","",IF(ISNUMBER(SEARCH("DLV",E601)),D601,0))</f>
        <v>1</v>
      </c>
      <c r="L601" s="41" t="str">
        <f aca="false">IF(A601="","",IF(K601&gt;0,"Delivered",IF(ISNUMBER(SEARCH("CNF",E601)),"In production",IF(J601&gt;0,"Issued",IF(I601&gt;0,"Kitted","Released")))))</f>
        <v>Delivered</v>
      </c>
      <c r="M601" s="41" t="n">
        <f aca="false">IF(G601&lt;&gt;"Yes","",COUNTIFS($B$6:$B$1505,B601,$F$6:$F$1505,"&lt;"&amp;F601)+COUNTIFS($B$6:$B$1505,B601,$F$6:$F$1505,F601,$A$6:$A$1505,"&lt;="&amp;A601))</f>
        <v>20</v>
      </c>
      <c r="N601" s="41" t="n">
        <f aca="false">IF(M601="","",ROUNDUP(M601/H601,0))</f>
        <v>1</v>
      </c>
      <c r="O601" s="41" t="str">
        <f aca="false">IF(N601="","",IF(N601&lt;='Kitting Plan'!$C$3,"Rep "&amp;N601,"Surplus"))</f>
        <v>Rep 1</v>
      </c>
    </row>
    <row r="602" customFormat="false" ht="15" hidden="false" customHeight="false" outlineLevel="0" collapsed="false">
      <c r="A602" s="40" t="n">
        <f aca="false">IF(OR($A$4=0,INDEX('COOIS Raw'!$A:$GZ,ROW()-4,$A$4)=""),"",IFERROR(--INDEX('COOIS Raw'!$A:$GZ,ROW()-4,$A$4),INDEX('COOIS Raw'!$A:$GZ,ROW()-4,$A$4)))</f>
        <v>100865004</v>
      </c>
      <c r="B602" s="41" t="str">
        <f aca="false">IF(A602="","",TRIM(INDEX('COOIS Raw'!$A:$GZ,ROW()-4,$B$4)))</f>
        <v>92RRA00548AAA</v>
      </c>
      <c r="C602" s="42" t="str">
        <f aca="false">IF(OR(A602="",$C$4=0),"",INDEX('COOIS Raw'!$A:$GZ,ROW()-4,$C$4))</f>
        <v>R5B ERBIUM SPOOL ASSEMBLY - E2A</v>
      </c>
      <c r="D602" s="41" t="n">
        <f aca="false">IF(A602="","",IF($D$4=0,1,IFERROR(--INDEX('COOIS Raw'!$A:$GZ,ROW()-4,$D$4),1)))</f>
        <v>1</v>
      </c>
      <c r="E602" s="42" t="str">
        <f aca="false">IF(A602="","",INDEX('COOIS Raw'!$A:$GZ,ROW()-4,$E$4)&amp;"")</f>
        <v>REL PRT CNF DLV PRC GMPS MANC SETC</v>
      </c>
      <c r="F602" s="43" t="n">
        <f aca="false">IF(A602="","",IFERROR(DATEVALUE(INDEX('COOIS Raw'!$A:$GZ,ROW()-4,$F$4)),INDEX('COOIS Raw'!$A:$GZ,ROW()-4,$F$4)))</f>
        <v>46176</v>
      </c>
      <c r="G602" s="41" t="str">
        <f aca="false">IF(A602="","",IF(ISNA(MATCH(B602,'Kitting Plan'!$B$6:$B$19,0)),"Not in plan","Yes"))</f>
        <v>Yes</v>
      </c>
      <c r="H602" s="41" t="n">
        <f aca="false">IF(G602="Yes",INDEX('Kitting Plan'!$D$6:$D$19,MATCH(B602,'Kitting Plan'!$B$6:$B$19,0)),"")</f>
        <v>24</v>
      </c>
      <c r="I602" s="41" t="n">
        <f aca="false">IF(A602="","",IF(ISNUMBER(SEARCH("PRT",E602)),D602,0))</f>
        <v>1</v>
      </c>
      <c r="J602" s="41" t="n">
        <f aca="false">IF(A602="","",IF(ISNUMBER(SEARCH("GMPS",E602)),D602,0))</f>
        <v>1</v>
      </c>
      <c r="K602" s="41" t="n">
        <f aca="false">IF(A602="","",IF(ISNUMBER(SEARCH("DLV",E602)),D602,0))</f>
        <v>1</v>
      </c>
      <c r="L602" s="41" t="str">
        <f aca="false">IF(A602="","",IF(K602&gt;0,"Delivered",IF(ISNUMBER(SEARCH("CNF",E602)),"In production",IF(J602&gt;0,"Issued",IF(I602&gt;0,"Kitted","Released")))))</f>
        <v>Delivered</v>
      </c>
      <c r="M602" s="41" t="n">
        <f aca="false">IF(G602&lt;&gt;"Yes","",COUNTIFS($B$6:$B$1505,B602,$F$6:$F$1505,"&lt;"&amp;F602)+COUNTIFS($B$6:$B$1505,B602,$F$6:$F$1505,F602,$A$6:$A$1505,"&lt;="&amp;A602))</f>
        <v>21</v>
      </c>
      <c r="N602" s="41" t="n">
        <f aca="false">IF(M602="","",ROUNDUP(M602/H602,0))</f>
        <v>1</v>
      </c>
      <c r="O602" s="41" t="str">
        <f aca="false">IF(N602="","",IF(N602&lt;='Kitting Plan'!$C$3,"Rep "&amp;N602,"Surplus"))</f>
        <v>Rep 1</v>
      </c>
    </row>
    <row r="603" customFormat="false" ht="15" hidden="false" customHeight="false" outlineLevel="0" collapsed="false">
      <c r="A603" s="40" t="n">
        <f aca="false">IF(OR($A$4=0,INDEX('COOIS Raw'!$A:$GZ,ROW()-4,$A$4)=""),"",IFERROR(--INDEX('COOIS Raw'!$A:$GZ,ROW()-4,$A$4),INDEX('COOIS Raw'!$A:$GZ,ROW()-4,$A$4)))</f>
        <v>100865005</v>
      </c>
      <c r="B603" s="41" t="str">
        <f aca="false">IF(A603="","",TRIM(INDEX('COOIS Raw'!$A:$GZ,ROW()-4,$B$4)))</f>
        <v>92RRA00548AAA</v>
      </c>
      <c r="C603" s="42" t="str">
        <f aca="false">IF(OR(A603="",$C$4=0),"",INDEX('COOIS Raw'!$A:$GZ,ROW()-4,$C$4))</f>
        <v>R5B ERBIUM SPOOL ASSEMBLY - E2A</v>
      </c>
      <c r="D603" s="41" t="n">
        <f aca="false">IF(A603="","",IF($D$4=0,1,IFERROR(--INDEX('COOIS Raw'!$A:$GZ,ROW()-4,$D$4),1)))</f>
        <v>1</v>
      </c>
      <c r="E603" s="42" t="str">
        <f aca="false">IF(A603="","",INDEX('COOIS Raw'!$A:$GZ,ROW()-4,$E$4)&amp;"")</f>
        <v>REL PRT CNF DLV PRC GMPS MANC SETC</v>
      </c>
      <c r="F603" s="43" t="n">
        <f aca="false">IF(A603="","",IFERROR(DATEVALUE(INDEX('COOIS Raw'!$A:$GZ,ROW()-4,$F$4)),INDEX('COOIS Raw'!$A:$GZ,ROW()-4,$F$4)))</f>
        <v>46176</v>
      </c>
      <c r="G603" s="41" t="str">
        <f aca="false">IF(A603="","",IF(ISNA(MATCH(B603,'Kitting Plan'!$B$6:$B$19,0)),"Not in plan","Yes"))</f>
        <v>Yes</v>
      </c>
      <c r="H603" s="41" t="n">
        <f aca="false">IF(G603="Yes",INDEX('Kitting Plan'!$D$6:$D$19,MATCH(B603,'Kitting Plan'!$B$6:$B$19,0)),"")</f>
        <v>24</v>
      </c>
      <c r="I603" s="41" t="n">
        <f aca="false">IF(A603="","",IF(ISNUMBER(SEARCH("PRT",E603)),D603,0))</f>
        <v>1</v>
      </c>
      <c r="J603" s="41" t="n">
        <f aca="false">IF(A603="","",IF(ISNUMBER(SEARCH("GMPS",E603)),D603,0))</f>
        <v>1</v>
      </c>
      <c r="K603" s="41" t="n">
        <f aca="false">IF(A603="","",IF(ISNUMBER(SEARCH("DLV",E603)),D603,0))</f>
        <v>1</v>
      </c>
      <c r="L603" s="41" t="str">
        <f aca="false">IF(A603="","",IF(K603&gt;0,"Delivered",IF(ISNUMBER(SEARCH("CNF",E603)),"In production",IF(J603&gt;0,"Issued",IF(I603&gt;0,"Kitted","Released")))))</f>
        <v>Delivered</v>
      </c>
      <c r="M603" s="41" t="n">
        <f aca="false">IF(G603&lt;&gt;"Yes","",COUNTIFS($B$6:$B$1505,B603,$F$6:$F$1505,"&lt;"&amp;F603)+COUNTIFS($B$6:$B$1505,B603,$F$6:$F$1505,F603,$A$6:$A$1505,"&lt;="&amp;A603))</f>
        <v>22</v>
      </c>
      <c r="N603" s="41" t="n">
        <f aca="false">IF(M603="","",ROUNDUP(M603/H603,0))</f>
        <v>1</v>
      </c>
      <c r="O603" s="41" t="str">
        <f aca="false">IF(N603="","",IF(N603&lt;='Kitting Plan'!$C$3,"Rep "&amp;N603,"Surplus"))</f>
        <v>Rep 1</v>
      </c>
    </row>
    <row r="604" customFormat="false" ht="15" hidden="false" customHeight="false" outlineLevel="0" collapsed="false">
      <c r="A604" s="40" t="n">
        <f aca="false">IF(OR($A$4=0,INDEX('COOIS Raw'!$A:$GZ,ROW()-4,$A$4)=""),"",IFERROR(--INDEX('COOIS Raw'!$A:$GZ,ROW()-4,$A$4),INDEX('COOIS Raw'!$A:$GZ,ROW()-4,$A$4)))</f>
        <v>100865006</v>
      </c>
      <c r="B604" s="41" t="str">
        <f aca="false">IF(A604="","",TRIM(INDEX('COOIS Raw'!$A:$GZ,ROW()-4,$B$4)))</f>
        <v>92RRA00548AAA</v>
      </c>
      <c r="C604" s="42" t="str">
        <f aca="false">IF(OR(A604="",$C$4=0),"",INDEX('COOIS Raw'!$A:$GZ,ROW()-4,$C$4))</f>
        <v>R5B ERBIUM SPOOL ASSEMBLY - E2A</v>
      </c>
      <c r="D604" s="41" t="n">
        <f aca="false">IF(A604="","",IF($D$4=0,1,IFERROR(--INDEX('COOIS Raw'!$A:$GZ,ROW()-4,$D$4),1)))</f>
        <v>1</v>
      </c>
      <c r="E604" s="42" t="str">
        <f aca="false">IF(A604="","",INDEX('COOIS Raw'!$A:$GZ,ROW()-4,$E$4)&amp;"")</f>
        <v>REL PRT CNF DLV PRC GMPS MANC SETC</v>
      </c>
      <c r="F604" s="43" t="n">
        <f aca="false">IF(A604="","",IFERROR(DATEVALUE(INDEX('COOIS Raw'!$A:$GZ,ROW()-4,$F$4)),INDEX('COOIS Raw'!$A:$GZ,ROW()-4,$F$4)))</f>
        <v>46176</v>
      </c>
      <c r="G604" s="41" t="str">
        <f aca="false">IF(A604="","",IF(ISNA(MATCH(B604,'Kitting Plan'!$B$6:$B$19,0)),"Not in plan","Yes"))</f>
        <v>Yes</v>
      </c>
      <c r="H604" s="41" t="n">
        <f aca="false">IF(G604="Yes",INDEX('Kitting Plan'!$D$6:$D$19,MATCH(B604,'Kitting Plan'!$B$6:$B$19,0)),"")</f>
        <v>24</v>
      </c>
      <c r="I604" s="41" t="n">
        <f aca="false">IF(A604="","",IF(ISNUMBER(SEARCH("PRT",E604)),D604,0))</f>
        <v>1</v>
      </c>
      <c r="J604" s="41" t="n">
        <f aca="false">IF(A604="","",IF(ISNUMBER(SEARCH("GMPS",E604)),D604,0))</f>
        <v>1</v>
      </c>
      <c r="K604" s="41" t="n">
        <f aca="false">IF(A604="","",IF(ISNUMBER(SEARCH("DLV",E604)),D604,0))</f>
        <v>1</v>
      </c>
      <c r="L604" s="41" t="str">
        <f aca="false">IF(A604="","",IF(K604&gt;0,"Delivered",IF(ISNUMBER(SEARCH("CNF",E604)),"In production",IF(J604&gt;0,"Issued",IF(I604&gt;0,"Kitted","Released")))))</f>
        <v>Delivered</v>
      </c>
      <c r="M604" s="41" t="n">
        <f aca="false">IF(G604&lt;&gt;"Yes","",COUNTIFS($B$6:$B$1505,B604,$F$6:$F$1505,"&lt;"&amp;F604)+COUNTIFS($B$6:$B$1505,B604,$F$6:$F$1505,F604,$A$6:$A$1505,"&lt;="&amp;A604))</f>
        <v>23</v>
      </c>
      <c r="N604" s="41" t="n">
        <f aca="false">IF(M604="","",ROUNDUP(M604/H604,0))</f>
        <v>1</v>
      </c>
      <c r="O604" s="41" t="str">
        <f aca="false">IF(N604="","",IF(N604&lt;='Kitting Plan'!$C$3,"Rep "&amp;N604,"Surplus"))</f>
        <v>Rep 1</v>
      </c>
    </row>
    <row r="605" customFormat="false" ht="15" hidden="false" customHeight="false" outlineLevel="0" collapsed="false">
      <c r="A605" s="40" t="n">
        <f aca="false">IF(OR($A$4=0,INDEX('COOIS Raw'!$A:$GZ,ROW()-4,$A$4)=""),"",IFERROR(--INDEX('COOIS Raw'!$A:$GZ,ROW()-4,$A$4),INDEX('COOIS Raw'!$A:$GZ,ROW()-4,$A$4)))</f>
        <v>100865007</v>
      </c>
      <c r="B605" s="41" t="str">
        <f aca="false">IF(A605="","",TRIM(INDEX('COOIS Raw'!$A:$GZ,ROW()-4,$B$4)))</f>
        <v>92RRA00548AAA</v>
      </c>
      <c r="C605" s="42" t="str">
        <f aca="false">IF(OR(A605="",$C$4=0),"",INDEX('COOIS Raw'!$A:$GZ,ROW()-4,$C$4))</f>
        <v>R5B ERBIUM SPOOL ASSEMBLY - E2A</v>
      </c>
      <c r="D605" s="41" t="n">
        <f aca="false">IF(A605="","",IF($D$4=0,1,IFERROR(--INDEX('COOIS Raw'!$A:$GZ,ROW()-4,$D$4),1)))</f>
        <v>1</v>
      </c>
      <c r="E605" s="42" t="str">
        <f aca="false">IF(A605="","",INDEX('COOIS Raw'!$A:$GZ,ROW()-4,$E$4)&amp;"")</f>
        <v>REL PRT CNF DLV PRC GMPS MANC SETC</v>
      </c>
      <c r="F605" s="43" t="n">
        <f aca="false">IF(A605="","",IFERROR(DATEVALUE(INDEX('COOIS Raw'!$A:$GZ,ROW()-4,$F$4)),INDEX('COOIS Raw'!$A:$GZ,ROW()-4,$F$4)))</f>
        <v>46176</v>
      </c>
      <c r="G605" s="41" t="str">
        <f aca="false">IF(A605="","",IF(ISNA(MATCH(B605,'Kitting Plan'!$B$6:$B$19,0)),"Not in plan","Yes"))</f>
        <v>Yes</v>
      </c>
      <c r="H605" s="41" t="n">
        <f aca="false">IF(G605="Yes",INDEX('Kitting Plan'!$D$6:$D$19,MATCH(B605,'Kitting Plan'!$B$6:$B$19,0)),"")</f>
        <v>24</v>
      </c>
      <c r="I605" s="41" t="n">
        <f aca="false">IF(A605="","",IF(ISNUMBER(SEARCH("PRT",E605)),D605,0))</f>
        <v>1</v>
      </c>
      <c r="J605" s="41" t="n">
        <f aca="false">IF(A605="","",IF(ISNUMBER(SEARCH("GMPS",E605)),D605,0))</f>
        <v>1</v>
      </c>
      <c r="K605" s="41" t="n">
        <f aca="false">IF(A605="","",IF(ISNUMBER(SEARCH("DLV",E605)),D605,0))</f>
        <v>1</v>
      </c>
      <c r="L605" s="41" t="str">
        <f aca="false">IF(A605="","",IF(K605&gt;0,"Delivered",IF(ISNUMBER(SEARCH("CNF",E605)),"In production",IF(J605&gt;0,"Issued",IF(I605&gt;0,"Kitted","Released")))))</f>
        <v>Delivered</v>
      </c>
      <c r="M605" s="41" t="n">
        <f aca="false">IF(G605&lt;&gt;"Yes","",COUNTIFS($B$6:$B$1505,B605,$F$6:$F$1505,"&lt;"&amp;F605)+COUNTIFS($B$6:$B$1505,B605,$F$6:$F$1505,F605,$A$6:$A$1505,"&lt;="&amp;A605))</f>
        <v>24</v>
      </c>
      <c r="N605" s="41" t="n">
        <f aca="false">IF(M605="","",ROUNDUP(M605/H605,0))</f>
        <v>1</v>
      </c>
      <c r="O605" s="41" t="str">
        <f aca="false">IF(N605="","",IF(N605&lt;='Kitting Plan'!$C$3,"Rep "&amp;N605,"Surplus"))</f>
        <v>Rep 1</v>
      </c>
    </row>
    <row r="606" customFormat="false" ht="15" hidden="false" customHeight="false" outlineLevel="0" collapsed="false">
      <c r="A606" s="40" t="n">
        <f aca="false">IF(OR($A$4=0,INDEX('COOIS Raw'!$A:$GZ,ROW()-4,$A$4)=""),"",IFERROR(--INDEX('COOIS Raw'!$A:$GZ,ROW()-4,$A$4),INDEX('COOIS Raw'!$A:$GZ,ROW()-4,$A$4)))</f>
        <v>100865008</v>
      </c>
      <c r="B606" s="41" t="str">
        <f aca="false">IF(A606="","",TRIM(INDEX('COOIS Raw'!$A:$GZ,ROW()-4,$B$4)))</f>
        <v>92RRA00548AAA</v>
      </c>
      <c r="C606" s="42" t="str">
        <f aca="false">IF(OR(A606="",$C$4=0),"",INDEX('COOIS Raw'!$A:$GZ,ROW()-4,$C$4))</f>
        <v>R5B ERBIUM SPOOL ASSEMBLY - E2A</v>
      </c>
      <c r="D606" s="41" t="n">
        <f aca="false">IF(A606="","",IF($D$4=0,1,IFERROR(--INDEX('COOIS Raw'!$A:$GZ,ROW()-4,$D$4),1)))</f>
        <v>1</v>
      </c>
      <c r="E606" s="42" t="str">
        <f aca="false">IF(A606="","",INDEX('COOIS Raw'!$A:$GZ,ROW()-4,$E$4)&amp;"")</f>
        <v>REL PRT CNF DLV PRC GMPS MANC SETC</v>
      </c>
      <c r="F606" s="43" t="n">
        <f aca="false">IF(A606="","",IFERROR(DATEVALUE(INDEX('COOIS Raw'!$A:$GZ,ROW()-4,$F$4)),INDEX('COOIS Raw'!$A:$GZ,ROW()-4,$F$4)))</f>
        <v>46176</v>
      </c>
      <c r="G606" s="41" t="str">
        <f aca="false">IF(A606="","",IF(ISNA(MATCH(B606,'Kitting Plan'!$B$6:$B$19,0)),"Not in plan","Yes"))</f>
        <v>Yes</v>
      </c>
      <c r="H606" s="41" t="n">
        <f aca="false">IF(G606="Yes",INDEX('Kitting Plan'!$D$6:$D$19,MATCH(B606,'Kitting Plan'!$B$6:$B$19,0)),"")</f>
        <v>24</v>
      </c>
      <c r="I606" s="41" t="n">
        <f aca="false">IF(A606="","",IF(ISNUMBER(SEARCH("PRT",E606)),D606,0))</f>
        <v>1</v>
      </c>
      <c r="J606" s="41" t="n">
        <f aca="false">IF(A606="","",IF(ISNUMBER(SEARCH("GMPS",E606)),D606,0))</f>
        <v>1</v>
      </c>
      <c r="K606" s="41" t="n">
        <f aca="false">IF(A606="","",IF(ISNUMBER(SEARCH("DLV",E606)),D606,0))</f>
        <v>1</v>
      </c>
      <c r="L606" s="41" t="str">
        <f aca="false">IF(A606="","",IF(K606&gt;0,"Delivered",IF(ISNUMBER(SEARCH("CNF",E606)),"In production",IF(J606&gt;0,"Issued",IF(I606&gt;0,"Kitted","Released")))))</f>
        <v>Delivered</v>
      </c>
      <c r="M606" s="41" t="n">
        <f aca="false">IF(G606&lt;&gt;"Yes","",COUNTIFS($B$6:$B$1505,B606,$F$6:$F$1505,"&lt;"&amp;F606)+COUNTIFS($B$6:$B$1505,B606,$F$6:$F$1505,F606,$A$6:$A$1505,"&lt;="&amp;A606))</f>
        <v>25</v>
      </c>
      <c r="N606" s="41" t="n">
        <f aca="false">IF(M606="","",ROUNDUP(M606/H606,0))</f>
        <v>2</v>
      </c>
      <c r="O606" s="41" t="str">
        <f aca="false">IF(N606="","",IF(N606&lt;='Kitting Plan'!$C$3,"Rep "&amp;N606,"Surplus"))</f>
        <v>Rep 2</v>
      </c>
    </row>
    <row r="607" customFormat="false" ht="15" hidden="false" customHeight="false" outlineLevel="0" collapsed="false">
      <c r="A607" s="40" t="n">
        <f aca="false">IF(OR($A$4=0,INDEX('COOIS Raw'!$A:$GZ,ROW()-4,$A$4)=""),"",IFERROR(--INDEX('COOIS Raw'!$A:$GZ,ROW()-4,$A$4),INDEX('COOIS Raw'!$A:$GZ,ROW()-4,$A$4)))</f>
        <v>100865009</v>
      </c>
      <c r="B607" s="41" t="str">
        <f aca="false">IF(A607="","",TRIM(INDEX('COOIS Raw'!$A:$GZ,ROW()-4,$B$4)))</f>
        <v>92RRA00548AAA</v>
      </c>
      <c r="C607" s="42" t="str">
        <f aca="false">IF(OR(A607="",$C$4=0),"",INDEX('COOIS Raw'!$A:$GZ,ROW()-4,$C$4))</f>
        <v>R5B ERBIUM SPOOL ASSEMBLY - E2A</v>
      </c>
      <c r="D607" s="41" t="n">
        <f aca="false">IF(A607="","",IF($D$4=0,1,IFERROR(--INDEX('COOIS Raw'!$A:$GZ,ROW()-4,$D$4),1)))</f>
        <v>1</v>
      </c>
      <c r="E607" s="42" t="str">
        <f aca="false">IF(A607="","",INDEX('COOIS Raw'!$A:$GZ,ROW()-4,$E$4)&amp;"")</f>
        <v>REL PRT CNF DLV PRC GMPS MANC SETC</v>
      </c>
      <c r="F607" s="43" t="n">
        <f aca="false">IF(A607="","",IFERROR(DATEVALUE(INDEX('COOIS Raw'!$A:$GZ,ROW()-4,$F$4)),INDEX('COOIS Raw'!$A:$GZ,ROW()-4,$F$4)))</f>
        <v>46176</v>
      </c>
      <c r="G607" s="41" t="str">
        <f aca="false">IF(A607="","",IF(ISNA(MATCH(B607,'Kitting Plan'!$B$6:$B$19,0)),"Not in plan","Yes"))</f>
        <v>Yes</v>
      </c>
      <c r="H607" s="41" t="n">
        <f aca="false">IF(G607="Yes",INDEX('Kitting Plan'!$D$6:$D$19,MATCH(B607,'Kitting Plan'!$B$6:$B$19,0)),"")</f>
        <v>24</v>
      </c>
      <c r="I607" s="41" t="n">
        <f aca="false">IF(A607="","",IF(ISNUMBER(SEARCH("PRT",E607)),D607,0))</f>
        <v>1</v>
      </c>
      <c r="J607" s="41" t="n">
        <f aca="false">IF(A607="","",IF(ISNUMBER(SEARCH("GMPS",E607)),D607,0))</f>
        <v>1</v>
      </c>
      <c r="K607" s="41" t="n">
        <f aca="false">IF(A607="","",IF(ISNUMBER(SEARCH("DLV",E607)),D607,0))</f>
        <v>1</v>
      </c>
      <c r="L607" s="41" t="str">
        <f aca="false">IF(A607="","",IF(K607&gt;0,"Delivered",IF(ISNUMBER(SEARCH("CNF",E607)),"In production",IF(J607&gt;0,"Issued",IF(I607&gt;0,"Kitted","Released")))))</f>
        <v>Delivered</v>
      </c>
      <c r="M607" s="41" t="n">
        <f aca="false">IF(G607&lt;&gt;"Yes","",COUNTIFS($B$6:$B$1505,B607,$F$6:$F$1505,"&lt;"&amp;F607)+COUNTIFS($B$6:$B$1505,B607,$F$6:$F$1505,F607,$A$6:$A$1505,"&lt;="&amp;A607))</f>
        <v>26</v>
      </c>
      <c r="N607" s="41" t="n">
        <f aca="false">IF(M607="","",ROUNDUP(M607/H607,0))</f>
        <v>2</v>
      </c>
      <c r="O607" s="41" t="str">
        <f aca="false">IF(N607="","",IF(N607&lt;='Kitting Plan'!$C$3,"Rep "&amp;N607,"Surplus"))</f>
        <v>Rep 2</v>
      </c>
    </row>
    <row r="608" customFormat="false" ht="15" hidden="false" customHeight="false" outlineLevel="0" collapsed="false">
      <c r="A608" s="40" t="n">
        <f aca="false">IF(OR($A$4=0,INDEX('COOIS Raw'!$A:$GZ,ROW()-4,$A$4)=""),"",IFERROR(--INDEX('COOIS Raw'!$A:$GZ,ROW()-4,$A$4),INDEX('COOIS Raw'!$A:$GZ,ROW()-4,$A$4)))</f>
        <v>100865010</v>
      </c>
      <c r="B608" s="41" t="str">
        <f aca="false">IF(A608="","",TRIM(INDEX('COOIS Raw'!$A:$GZ,ROW()-4,$B$4)))</f>
        <v>92RRA00548AAA</v>
      </c>
      <c r="C608" s="42" t="str">
        <f aca="false">IF(OR(A608="",$C$4=0),"",INDEX('COOIS Raw'!$A:$GZ,ROW()-4,$C$4))</f>
        <v>R5B ERBIUM SPOOL ASSEMBLY - E2A</v>
      </c>
      <c r="D608" s="41" t="n">
        <f aca="false">IF(A608="","",IF($D$4=0,1,IFERROR(--INDEX('COOIS Raw'!$A:$GZ,ROW()-4,$D$4),1)))</f>
        <v>1</v>
      </c>
      <c r="E608" s="42" t="str">
        <f aca="false">IF(A608="","",INDEX('COOIS Raw'!$A:$GZ,ROW()-4,$E$4)&amp;"")</f>
        <v>REL PRT CNF DLV PRC GMPS MANC SETC</v>
      </c>
      <c r="F608" s="43" t="n">
        <f aca="false">IF(A608="","",IFERROR(DATEVALUE(INDEX('COOIS Raw'!$A:$GZ,ROW()-4,$F$4)),INDEX('COOIS Raw'!$A:$GZ,ROW()-4,$F$4)))</f>
        <v>46176</v>
      </c>
      <c r="G608" s="41" t="str">
        <f aca="false">IF(A608="","",IF(ISNA(MATCH(B608,'Kitting Plan'!$B$6:$B$19,0)),"Not in plan","Yes"))</f>
        <v>Yes</v>
      </c>
      <c r="H608" s="41" t="n">
        <f aca="false">IF(G608="Yes",INDEX('Kitting Plan'!$D$6:$D$19,MATCH(B608,'Kitting Plan'!$B$6:$B$19,0)),"")</f>
        <v>24</v>
      </c>
      <c r="I608" s="41" t="n">
        <f aca="false">IF(A608="","",IF(ISNUMBER(SEARCH("PRT",E608)),D608,0))</f>
        <v>1</v>
      </c>
      <c r="J608" s="41" t="n">
        <f aca="false">IF(A608="","",IF(ISNUMBER(SEARCH("GMPS",E608)),D608,0))</f>
        <v>1</v>
      </c>
      <c r="K608" s="41" t="n">
        <f aca="false">IF(A608="","",IF(ISNUMBER(SEARCH("DLV",E608)),D608,0))</f>
        <v>1</v>
      </c>
      <c r="L608" s="41" t="str">
        <f aca="false">IF(A608="","",IF(K608&gt;0,"Delivered",IF(ISNUMBER(SEARCH("CNF",E608)),"In production",IF(J608&gt;0,"Issued",IF(I608&gt;0,"Kitted","Released")))))</f>
        <v>Delivered</v>
      </c>
      <c r="M608" s="41" t="n">
        <f aca="false">IF(G608&lt;&gt;"Yes","",COUNTIFS($B$6:$B$1505,B608,$F$6:$F$1505,"&lt;"&amp;F608)+COUNTIFS($B$6:$B$1505,B608,$F$6:$F$1505,F608,$A$6:$A$1505,"&lt;="&amp;A608))</f>
        <v>27</v>
      </c>
      <c r="N608" s="41" t="n">
        <f aca="false">IF(M608="","",ROUNDUP(M608/H608,0))</f>
        <v>2</v>
      </c>
      <c r="O608" s="41" t="str">
        <f aca="false">IF(N608="","",IF(N608&lt;='Kitting Plan'!$C$3,"Rep "&amp;N608,"Surplus"))</f>
        <v>Rep 2</v>
      </c>
    </row>
    <row r="609" customFormat="false" ht="15" hidden="false" customHeight="false" outlineLevel="0" collapsed="false">
      <c r="A609" s="40" t="n">
        <f aca="false">IF(OR($A$4=0,INDEX('COOIS Raw'!$A:$GZ,ROW()-4,$A$4)=""),"",IFERROR(--INDEX('COOIS Raw'!$A:$GZ,ROW()-4,$A$4),INDEX('COOIS Raw'!$A:$GZ,ROW()-4,$A$4)))</f>
        <v>100865011</v>
      </c>
      <c r="B609" s="41" t="str">
        <f aca="false">IF(A609="","",TRIM(INDEX('COOIS Raw'!$A:$GZ,ROW()-4,$B$4)))</f>
        <v>92RRA00548AAA</v>
      </c>
      <c r="C609" s="42" t="str">
        <f aca="false">IF(OR(A609="",$C$4=0),"",INDEX('COOIS Raw'!$A:$GZ,ROW()-4,$C$4))</f>
        <v>R5B ERBIUM SPOOL ASSEMBLY - E2A</v>
      </c>
      <c r="D609" s="41" t="n">
        <f aca="false">IF(A609="","",IF($D$4=0,1,IFERROR(--INDEX('COOIS Raw'!$A:$GZ,ROW()-4,$D$4),1)))</f>
        <v>1</v>
      </c>
      <c r="E609" s="42" t="str">
        <f aca="false">IF(A609="","",INDEX('COOIS Raw'!$A:$GZ,ROW()-4,$E$4)&amp;"")</f>
        <v>REL PRT CNF DLV PRC GMPS MANC SETC</v>
      </c>
      <c r="F609" s="43" t="n">
        <f aca="false">IF(A609="","",IFERROR(DATEVALUE(INDEX('COOIS Raw'!$A:$GZ,ROW()-4,$F$4)),INDEX('COOIS Raw'!$A:$GZ,ROW()-4,$F$4)))</f>
        <v>46176</v>
      </c>
      <c r="G609" s="41" t="str">
        <f aca="false">IF(A609="","",IF(ISNA(MATCH(B609,'Kitting Plan'!$B$6:$B$19,0)),"Not in plan","Yes"))</f>
        <v>Yes</v>
      </c>
      <c r="H609" s="41" t="n">
        <f aca="false">IF(G609="Yes",INDEX('Kitting Plan'!$D$6:$D$19,MATCH(B609,'Kitting Plan'!$B$6:$B$19,0)),"")</f>
        <v>24</v>
      </c>
      <c r="I609" s="41" t="n">
        <f aca="false">IF(A609="","",IF(ISNUMBER(SEARCH("PRT",E609)),D609,0))</f>
        <v>1</v>
      </c>
      <c r="J609" s="41" t="n">
        <f aca="false">IF(A609="","",IF(ISNUMBER(SEARCH("GMPS",E609)),D609,0))</f>
        <v>1</v>
      </c>
      <c r="K609" s="41" t="n">
        <f aca="false">IF(A609="","",IF(ISNUMBER(SEARCH("DLV",E609)),D609,0))</f>
        <v>1</v>
      </c>
      <c r="L609" s="41" t="str">
        <f aca="false">IF(A609="","",IF(K609&gt;0,"Delivered",IF(ISNUMBER(SEARCH("CNF",E609)),"In production",IF(J609&gt;0,"Issued",IF(I609&gt;0,"Kitted","Released")))))</f>
        <v>Delivered</v>
      </c>
      <c r="M609" s="41" t="n">
        <f aca="false">IF(G609&lt;&gt;"Yes","",COUNTIFS($B$6:$B$1505,B609,$F$6:$F$1505,"&lt;"&amp;F609)+COUNTIFS($B$6:$B$1505,B609,$F$6:$F$1505,F609,$A$6:$A$1505,"&lt;="&amp;A609))</f>
        <v>28</v>
      </c>
      <c r="N609" s="41" t="n">
        <f aca="false">IF(M609="","",ROUNDUP(M609/H609,0))</f>
        <v>2</v>
      </c>
      <c r="O609" s="41" t="str">
        <f aca="false">IF(N609="","",IF(N609&lt;='Kitting Plan'!$C$3,"Rep "&amp;N609,"Surplus"))</f>
        <v>Rep 2</v>
      </c>
    </row>
    <row r="610" customFormat="false" ht="15" hidden="false" customHeight="false" outlineLevel="0" collapsed="false">
      <c r="A610" s="40" t="n">
        <f aca="false">IF(OR($A$4=0,INDEX('COOIS Raw'!$A:$GZ,ROW()-4,$A$4)=""),"",IFERROR(--INDEX('COOIS Raw'!$A:$GZ,ROW()-4,$A$4),INDEX('COOIS Raw'!$A:$GZ,ROW()-4,$A$4)))</f>
        <v>100865012</v>
      </c>
      <c r="B610" s="41" t="str">
        <f aca="false">IF(A610="","",TRIM(INDEX('COOIS Raw'!$A:$GZ,ROW()-4,$B$4)))</f>
        <v>92RRA00548AAA</v>
      </c>
      <c r="C610" s="42" t="str">
        <f aca="false">IF(OR(A610="",$C$4=0),"",INDEX('COOIS Raw'!$A:$GZ,ROW()-4,$C$4))</f>
        <v>R5B ERBIUM SPOOL ASSEMBLY - E2A</v>
      </c>
      <c r="D610" s="41" t="n">
        <f aca="false">IF(A610="","",IF($D$4=0,1,IFERROR(--INDEX('COOIS Raw'!$A:$GZ,ROW()-4,$D$4),1)))</f>
        <v>1</v>
      </c>
      <c r="E610" s="42" t="str">
        <f aca="false">IF(A610="","",INDEX('COOIS Raw'!$A:$GZ,ROW()-4,$E$4)&amp;"")</f>
        <v>REL PRT CNF DLV PRC GMPS MANC SETC</v>
      </c>
      <c r="F610" s="43" t="n">
        <f aca="false">IF(A610="","",IFERROR(DATEVALUE(INDEX('COOIS Raw'!$A:$GZ,ROW()-4,$F$4)),INDEX('COOIS Raw'!$A:$GZ,ROW()-4,$F$4)))</f>
        <v>46176</v>
      </c>
      <c r="G610" s="41" t="str">
        <f aca="false">IF(A610="","",IF(ISNA(MATCH(B610,'Kitting Plan'!$B$6:$B$19,0)),"Not in plan","Yes"))</f>
        <v>Yes</v>
      </c>
      <c r="H610" s="41" t="n">
        <f aca="false">IF(G610="Yes",INDEX('Kitting Plan'!$D$6:$D$19,MATCH(B610,'Kitting Plan'!$B$6:$B$19,0)),"")</f>
        <v>24</v>
      </c>
      <c r="I610" s="41" t="n">
        <f aca="false">IF(A610="","",IF(ISNUMBER(SEARCH("PRT",E610)),D610,0))</f>
        <v>1</v>
      </c>
      <c r="J610" s="41" t="n">
        <f aca="false">IF(A610="","",IF(ISNUMBER(SEARCH("GMPS",E610)),D610,0))</f>
        <v>1</v>
      </c>
      <c r="K610" s="41" t="n">
        <f aca="false">IF(A610="","",IF(ISNUMBER(SEARCH("DLV",E610)),D610,0))</f>
        <v>1</v>
      </c>
      <c r="L610" s="41" t="str">
        <f aca="false">IF(A610="","",IF(K610&gt;0,"Delivered",IF(ISNUMBER(SEARCH("CNF",E610)),"In production",IF(J610&gt;0,"Issued",IF(I610&gt;0,"Kitted","Released")))))</f>
        <v>Delivered</v>
      </c>
      <c r="M610" s="41" t="n">
        <f aca="false">IF(G610&lt;&gt;"Yes","",COUNTIFS($B$6:$B$1505,B610,$F$6:$F$1505,"&lt;"&amp;F610)+COUNTIFS($B$6:$B$1505,B610,$F$6:$F$1505,F610,$A$6:$A$1505,"&lt;="&amp;A610))</f>
        <v>29</v>
      </c>
      <c r="N610" s="41" t="n">
        <f aca="false">IF(M610="","",ROUNDUP(M610/H610,0))</f>
        <v>2</v>
      </c>
      <c r="O610" s="41" t="str">
        <f aca="false">IF(N610="","",IF(N610&lt;='Kitting Plan'!$C$3,"Rep "&amp;N610,"Surplus"))</f>
        <v>Rep 2</v>
      </c>
    </row>
    <row r="611" customFormat="false" ht="15" hidden="false" customHeight="false" outlineLevel="0" collapsed="false">
      <c r="A611" s="40" t="n">
        <f aca="false">IF(OR($A$4=0,INDEX('COOIS Raw'!$A:$GZ,ROW()-4,$A$4)=""),"",IFERROR(--INDEX('COOIS Raw'!$A:$GZ,ROW()-4,$A$4),INDEX('COOIS Raw'!$A:$GZ,ROW()-4,$A$4)))</f>
        <v>100865013</v>
      </c>
      <c r="B611" s="41" t="str">
        <f aca="false">IF(A611="","",TRIM(INDEX('COOIS Raw'!$A:$GZ,ROW()-4,$B$4)))</f>
        <v>92RRA00548AAA</v>
      </c>
      <c r="C611" s="42" t="str">
        <f aca="false">IF(OR(A611="",$C$4=0),"",INDEX('COOIS Raw'!$A:$GZ,ROW()-4,$C$4))</f>
        <v>R5B ERBIUM SPOOL ASSEMBLY - E2A</v>
      </c>
      <c r="D611" s="41" t="n">
        <f aca="false">IF(A611="","",IF($D$4=0,1,IFERROR(--INDEX('COOIS Raw'!$A:$GZ,ROW()-4,$D$4),1)))</f>
        <v>1</v>
      </c>
      <c r="E611" s="42" t="str">
        <f aca="false">IF(A611="","",INDEX('COOIS Raw'!$A:$GZ,ROW()-4,$E$4)&amp;"")</f>
        <v>REL PRT CNF DLV PRC GMPS MANC SETC</v>
      </c>
      <c r="F611" s="43" t="n">
        <f aca="false">IF(A611="","",IFERROR(DATEVALUE(INDEX('COOIS Raw'!$A:$GZ,ROW()-4,$F$4)),INDEX('COOIS Raw'!$A:$GZ,ROW()-4,$F$4)))</f>
        <v>46176</v>
      </c>
      <c r="G611" s="41" t="str">
        <f aca="false">IF(A611="","",IF(ISNA(MATCH(B611,'Kitting Plan'!$B$6:$B$19,0)),"Not in plan","Yes"))</f>
        <v>Yes</v>
      </c>
      <c r="H611" s="41" t="n">
        <f aca="false">IF(G611="Yes",INDEX('Kitting Plan'!$D$6:$D$19,MATCH(B611,'Kitting Plan'!$B$6:$B$19,0)),"")</f>
        <v>24</v>
      </c>
      <c r="I611" s="41" t="n">
        <f aca="false">IF(A611="","",IF(ISNUMBER(SEARCH("PRT",E611)),D611,0))</f>
        <v>1</v>
      </c>
      <c r="J611" s="41" t="n">
        <f aca="false">IF(A611="","",IF(ISNUMBER(SEARCH("GMPS",E611)),D611,0))</f>
        <v>1</v>
      </c>
      <c r="K611" s="41" t="n">
        <f aca="false">IF(A611="","",IF(ISNUMBER(SEARCH("DLV",E611)),D611,0))</f>
        <v>1</v>
      </c>
      <c r="L611" s="41" t="str">
        <f aca="false">IF(A611="","",IF(K611&gt;0,"Delivered",IF(ISNUMBER(SEARCH("CNF",E611)),"In production",IF(J611&gt;0,"Issued",IF(I611&gt;0,"Kitted","Released")))))</f>
        <v>Delivered</v>
      </c>
      <c r="M611" s="41" t="n">
        <f aca="false">IF(G611&lt;&gt;"Yes","",COUNTIFS($B$6:$B$1505,B611,$F$6:$F$1505,"&lt;"&amp;F611)+COUNTIFS($B$6:$B$1505,B611,$F$6:$F$1505,F611,$A$6:$A$1505,"&lt;="&amp;A611))</f>
        <v>30</v>
      </c>
      <c r="N611" s="41" t="n">
        <f aca="false">IF(M611="","",ROUNDUP(M611/H611,0))</f>
        <v>2</v>
      </c>
      <c r="O611" s="41" t="str">
        <f aca="false">IF(N611="","",IF(N611&lt;='Kitting Plan'!$C$3,"Rep "&amp;N611,"Surplus"))</f>
        <v>Rep 2</v>
      </c>
    </row>
    <row r="612" customFormat="false" ht="15" hidden="false" customHeight="false" outlineLevel="0" collapsed="false">
      <c r="A612" s="40" t="n">
        <f aca="false">IF(OR($A$4=0,INDEX('COOIS Raw'!$A:$GZ,ROW()-4,$A$4)=""),"",IFERROR(--INDEX('COOIS Raw'!$A:$GZ,ROW()-4,$A$4),INDEX('COOIS Raw'!$A:$GZ,ROW()-4,$A$4)))</f>
        <v>100865014</v>
      </c>
      <c r="B612" s="41" t="str">
        <f aca="false">IF(A612="","",TRIM(INDEX('COOIS Raw'!$A:$GZ,ROW()-4,$B$4)))</f>
        <v>92RRA00548AAA</v>
      </c>
      <c r="C612" s="42" t="str">
        <f aca="false">IF(OR(A612="",$C$4=0),"",INDEX('COOIS Raw'!$A:$GZ,ROW()-4,$C$4))</f>
        <v>R5B ERBIUM SPOOL ASSEMBLY - E2A</v>
      </c>
      <c r="D612" s="41" t="n">
        <f aca="false">IF(A612="","",IF($D$4=0,1,IFERROR(--INDEX('COOIS Raw'!$A:$GZ,ROW()-4,$D$4),1)))</f>
        <v>1</v>
      </c>
      <c r="E612" s="42" t="str">
        <f aca="false">IF(A612="","",INDEX('COOIS Raw'!$A:$GZ,ROW()-4,$E$4)&amp;"")</f>
        <v>REL PRT CNF DLV PRC GMPS MANC SETC</v>
      </c>
      <c r="F612" s="43" t="n">
        <f aca="false">IF(A612="","",IFERROR(DATEVALUE(INDEX('COOIS Raw'!$A:$GZ,ROW()-4,$F$4)),INDEX('COOIS Raw'!$A:$GZ,ROW()-4,$F$4)))</f>
        <v>46176</v>
      </c>
      <c r="G612" s="41" t="str">
        <f aca="false">IF(A612="","",IF(ISNA(MATCH(B612,'Kitting Plan'!$B$6:$B$19,0)),"Not in plan","Yes"))</f>
        <v>Yes</v>
      </c>
      <c r="H612" s="41" t="n">
        <f aca="false">IF(G612="Yes",INDEX('Kitting Plan'!$D$6:$D$19,MATCH(B612,'Kitting Plan'!$B$6:$B$19,0)),"")</f>
        <v>24</v>
      </c>
      <c r="I612" s="41" t="n">
        <f aca="false">IF(A612="","",IF(ISNUMBER(SEARCH("PRT",E612)),D612,0))</f>
        <v>1</v>
      </c>
      <c r="J612" s="41" t="n">
        <f aca="false">IF(A612="","",IF(ISNUMBER(SEARCH("GMPS",E612)),D612,0))</f>
        <v>1</v>
      </c>
      <c r="K612" s="41" t="n">
        <f aca="false">IF(A612="","",IF(ISNUMBER(SEARCH("DLV",E612)),D612,0))</f>
        <v>1</v>
      </c>
      <c r="L612" s="41" t="str">
        <f aca="false">IF(A612="","",IF(K612&gt;0,"Delivered",IF(ISNUMBER(SEARCH("CNF",E612)),"In production",IF(J612&gt;0,"Issued",IF(I612&gt;0,"Kitted","Released")))))</f>
        <v>Delivered</v>
      </c>
      <c r="M612" s="41" t="n">
        <f aca="false">IF(G612&lt;&gt;"Yes","",COUNTIFS($B$6:$B$1505,B612,$F$6:$F$1505,"&lt;"&amp;F612)+COUNTIFS($B$6:$B$1505,B612,$F$6:$F$1505,F612,$A$6:$A$1505,"&lt;="&amp;A612))</f>
        <v>31</v>
      </c>
      <c r="N612" s="41" t="n">
        <f aca="false">IF(M612="","",ROUNDUP(M612/H612,0))</f>
        <v>2</v>
      </c>
      <c r="O612" s="41" t="str">
        <f aca="false">IF(N612="","",IF(N612&lt;='Kitting Plan'!$C$3,"Rep "&amp;N612,"Surplus"))</f>
        <v>Rep 2</v>
      </c>
    </row>
    <row r="613" customFormat="false" ht="15" hidden="false" customHeight="false" outlineLevel="0" collapsed="false">
      <c r="A613" s="40" t="n">
        <f aca="false">IF(OR($A$4=0,INDEX('COOIS Raw'!$A:$GZ,ROW()-4,$A$4)=""),"",IFERROR(--INDEX('COOIS Raw'!$A:$GZ,ROW()-4,$A$4),INDEX('COOIS Raw'!$A:$GZ,ROW()-4,$A$4)))</f>
        <v>100865015</v>
      </c>
      <c r="B613" s="41" t="str">
        <f aca="false">IF(A613="","",TRIM(INDEX('COOIS Raw'!$A:$GZ,ROW()-4,$B$4)))</f>
        <v>92RRA00548AAA</v>
      </c>
      <c r="C613" s="42" t="str">
        <f aca="false">IF(OR(A613="",$C$4=0),"",INDEX('COOIS Raw'!$A:$GZ,ROW()-4,$C$4))</f>
        <v>R5B ERBIUM SPOOL ASSEMBLY - E2A</v>
      </c>
      <c r="D613" s="41" t="n">
        <f aca="false">IF(A613="","",IF($D$4=0,1,IFERROR(--INDEX('COOIS Raw'!$A:$GZ,ROW()-4,$D$4),1)))</f>
        <v>1</v>
      </c>
      <c r="E613" s="42" t="str">
        <f aca="false">IF(A613="","",INDEX('COOIS Raw'!$A:$GZ,ROW()-4,$E$4)&amp;"")</f>
        <v>REL PRT CNF DLV PRC GMPS MANC SETC</v>
      </c>
      <c r="F613" s="43" t="n">
        <f aca="false">IF(A613="","",IFERROR(DATEVALUE(INDEX('COOIS Raw'!$A:$GZ,ROW()-4,$F$4)),INDEX('COOIS Raw'!$A:$GZ,ROW()-4,$F$4)))</f>
        <v>46176</v>
      </c>
      <c r="G613" s="41" t="str">
        <f aca="false">IF(A613="","",IF(ISNA(MATCH(B613,'Kitting Plan'!$B$6:$B$19,0)),"Not in plan","Yes"))</f>
        <v>Yes</v>
      </c>
      <c r="H613" s="41" t="n">
        <f aca="false">IF(G613="Yes",INDEX('Kitting Plan'!$D$6:$D$19,MATCH(B613,'Kitting Plan'!$B$6:$B$19,0)),"")</f>
        <v>24</v>
      </c>
      <c r="I613" s="41" t="n">
        <f aca="false">IF(A613="","",IF(ISNUMBER(SEARCH("PRT",E613)),D613,0))</f>
        <v>1</v>
      </c>
      <c r="J613" s="41" t="n">
        <f aca="false">IF(A613="","",IF(ISNUMBER(SEARCH("GMPS",E613)),D613,0))</f>
        <v>1</v>
      </c>
      <c r="K613" s="41" t="n">
        <f aca="false">IF(A613="","",IF(ISNUMBER(SEARCH("DLV",E613)),D613,0))</f>
        <v>1</v>
      </c>
      <c r="L613" s="41" t="str">
        <f aca="false">IF(A613="","",IF(K613&gt;0,"Delivered",IF(ISNUMBER(SEARCH("CNF",E613)),"In production",IF(J613&gt;0,"Issued",IF(I613&gt;0,"Kitted","Released")))))</f>
        <v>Delivered</v>
      </c>
      <c r="M613" s="41" t="n">
        <f aca="false">IF(G613&lt;&gt;"Yes","",COUNTIFS($B$6:$B$1505,B613,$F$6:$F$1505,"&lt;"&amp;F613)+COUNTIFS($B$6:$B$1505,B613,$F$6:$F$1505,F613,$A$6:$A$1505,"&lt;="&amp;A613))</f>
        <v>32</v>
      </c>
      <c r="N613" s="41" t="n">
        <f aca="false">IF(M613="","",ROUNDUP(M613/H613,0))</f>
        <v>2</v>
      </c>
      <c r="O613" s="41" t="str">
        <f aca="false">IF(N613="","",IF(N613&lt;='Kitting Plan'!$C$3,"Rep "&amp;N613,"Surplus"))</f>
        <v>Rep 2</v>
      </c>
    </row>
    <row r="614" customFormat="false" ht="15" hidden="false" customHeight="false" outlineLevel="0" collapsed="false">
      <c r="A614" s="40" t="n">
        <f aca="false">IF(OR($A$4=0,INDEX('COOIS Raw'!$A:$GZ,ROW()-4,$A$4)=""),"",IFERROR(--INDEX('COOIS Raw'!$A:$GZ,ROW()-4,$A$4),INDEX('COOIS Raw'!$A:$GZ,ROW()-4,$A$4)))</f>
        <v>100865016</v>
      </c>
      <c r="B614" s="41" t="str">
        <f aca="false">IF(A614="","",TRIM(INDEX('COOIS Raw'!$A:$GZ,ROW()-4,$B$4)))</f>
        <v>92RRA00548AAA</v>
      </c>
      <c r="C614" s="42" t="str">
        <f aca="false">IF(OR(A614="",$C$4=0),"",INDEX('COOIS Raw'!$A:$GZ,ROW()-4,$C$4))</f>
        <v>R5B ERBIUM SPOOL ASSEMBLY - E2A</v>
      </c>
      <c r="D614" s="41" t="n">
        <f aca="false">IF(A614="","",IF($D$4=0,1,IFERROR(--INDEX('COOIS Raw'!$A:$GZ,ROW()-4,$D$4),1)))</f>
        <v>1</v>
      </c>
      <c r="E614" s="42" t="str">
        <f aca="false">IF(A614="","",INDEX('COOIS Raw'!$A:$GZ,ROW()-4,$E$4)&amp;"")</f>
        <v>REL PRT CNF DLV PRC GMPS MANC SETC</v>
      </c>
      <c r="F614" s="43" t="n">
        <f aca="false">IF(A614="","",IFERROR(DATEVALUE(INDEX('COOIS Raw'!$A:$GZ,ROW()-4,$F$4)),INDEX('COOIS Raw'!$A:$GZ,ROW()-4,$F$4)))</f>
        <v>46176</v>
      </c>
      <c r="G614" s="41" t="str">
        <f aca="false">IF(A614="","",IF(ISNA(MATCH(B614,'Kitting Plan'!$B$6:$B$19,0)),"Not in plan","Yes"))</f>
        <v>Yes</v>
      </c>
      <c r="H614" s="41" t="n">
        <f aca="false">IF(G614="Yes",INDEX('Kitting Plan'!$D$6:$D$19,MATCH(B614,'Kitting Plan'!$B$6:$B$19,0)),"")</f>
        <v>24</v>
      </c>
      <c r="I614" s="41" t="n">
        <f aca="false">IF(A614="","",IF(ISNUMBER(SEARCH("PRT",E614)),D614,0))</f>
        <v>1</v>
      </c>
      <c r="J614" s="41" t="n">
        <f aca="false">IF(A614="","",IF(ISNUMBER(SEARCH("GMPS",E614)),D614,0))</f>
        <v>1</v>
      </c>
      <c r="K614" s="41" t="n">
        <f aca="false">IF(A614="","",IF(ISNUMBER(SEARCH("DLV",E614)),D614,0))</f>
        <v>1</v>
      </c>
      <c r="L614" s="41" t="str">
        <f aca="false">IF(A614="","",IF(K614&gt;0,"Delivered",IF(ISNUMBER(SEARCH("CNF",E614)),"In production",IF(J614&gt;0,"Issued",IF(I614&gt;0,"Kitted","Released")))))</f>
        <v>Delivered</v>
      </c>
      <c r="M614" s="41" t="n">
        <f aca="false">IF(G614&lt;&gt;"Yes","",COUNTIFS($B$6:$B$1505,B614,$F$6:$F$1505,"&lt;"&amp;F614)+COUNTIFS($B$6:$B$1505,B614,$F$6:$F$1505,F614,$A$6:$A$1505,"&lt;="&amp;A614))</f>
        <v>33</v>
      </c>
      <c r="N614" s="41" t="n">
        <f aca="false">IF(M614="","",ROUNDUP(M614/H614,0))</f>
        <v>2</v>
      </c>
      <c r="O614" s="41" t="str">
        <f aca="false">IF(N614="","",IF(N614&lt;='Kitting Plan'!$C$3,"Rep "&amp;N614,"Surplus"))</f>
        <v>Rep 2</v>
      </c>
    </row>
    <row r="615" customFormat="false" ht="15" hidden="false" customHeight="false" outlineLevel="0" collapsed="false">
      <c r="A615" s="40" t="n">
        <f aca="false">IF(OR($A$4=0,INDEX('COOIS Raw'!$A:$GZ,ROW()-4,$A$4)=""),"",IFERROR(--INDEX('COOIS Raw'!$A:$GZ,ROW()-4,$A$4),INDEX('COOIS Raw'!$A:$GZ,ROW()-4,$A$4)))</f>
        <v>100865017</v>
      </c>
      <c r="B615" s="41" t="str">
        <f aca="false">IF(A615="","",TRIM(INDEX('COOIS Raw'!$A:$GZ,ROW()-4,$B$4)))</f>
        <v>92RRA00548AAA</v>
      </c>
      <c r="C615" s="42" t="str">
        <f aca="false">IF(OR(A615="",$C$4=0),"",INDEX('COOIS Raw'!$A:$GZ,ROW()-4,$C$4))</f>
        <v>R5B ERBIUM SPOOL ASSEMBLY - E2A</v>
      </c>
      <c r="D615" s="41" t="n">
        <f aca="false">IF(A615="","",IF($D$4=0,1,IFERROR(--INDEX('COOIS Raw'!$A:$GZ,ROW()-4,$D$4),1)))</f>
        <v>1</v>
      </c>
      <c r="E615" s="42" t="str">
        <f aca="false">IF(A615="","",INDEX('COOIS Raw'!$A:$GZ,ROW()-4,$E$4)&amp;"")</f>
        <v>REL PRT CNF DLV PRC GMPS MANC SETC</v>
      </c>
      <c r="F615" s="43" t="n">
        <f aca="false">IF(A615="","",IFERROR(DATEVALUE(INDEX('COOIS Raw'!$A:$GZ,ROW()-4,$F$4)),INDEX('COOIS Raw'!$A:$GZ,ROW()-4,$F$4)))</f>
        <v>46176</v>
      </c>
      <c r="G615" s="41" t="str">
        <f aca="false">IF(A615="","",IF(ISNA(MATCH(B615,'Kitting Plan'!$B$6:$B$19,0)),"Not in plan","Yes"))</f>
        <v>Yes</v>
      </c>
      <c r="H615" s="41" t="n">
        <f aca="false">IF(G615="Yes",INDEX('Kitting Plan'!$D$6:$D$19,MATCH(B615,'Kitting Plan'!$B$6:$B$19,0)),"")</f>
        <v>24</v>
      </c>
      <c r="I615" s="41" t="n">
        <f aca="false">IF(A615="","",IF(ISNUMBER(SEARCH("PRT",E615)),D615,0))</f>
        <v>1</v>
      </c>
      <c r="J615" s="41" t="n">
        <f aca="false">IF(A615="","",IF(ISNUMBER(SEARCH("GMPS",E615)),D615,0))</f>
        <v>1</v>
      </c>
      <c r="K615" s="41" t="n">
        <f aca="false">IF(A615="","",IF(ISNUMBER(SEARCH("DLV",E615)),D615,0))</f>
        <v>1</v>
      </c>
      <c r="L615" s="41" t="str">
        <f aca="false">IF(A615="","",IF(K615&gt;0,"Delivered",IF(ISNUMBER(SEARCH("CNF",E615)),"In production",IF(J615&gt;0,"Issued",IF(I615&gt;0,"Kitted","Released")))))</f>
        <v>Delivered</v>
      </c>
      <c r="M615" s="41" t="n">
        <f aca="false">IF(G615&lt;&gt;"Yes","",COUNTIFS($B$6:$B$1505,B615,$F$6:$F$1505,"&lt;"&amp;F615)+COUNTIFS($B$6:$B$1505,B615,$F$6:$F$1505,F615,$A$6:$A$1505,"&lt;="&amp;A615))</f>
        <v>34</v>
      </c>
      <c r="N615" s="41" t="n">
        <f aca="false">IF(M615="","",ROUNDUP(M615/H615,0))</f>
        <v>2</v>
      </c>
      <c r="O615" s="41" t="str">
        <f aca="false">IF(N615="","",IF(N615&lt;='Kitting Plan'!$C$3,"Rep "&amp;N615,"Surplus"))</f>
        <v>Rep 2</v>
      </c>
    </row>
    <row r="616" customFormat="false" ht="15" hidden="false" customHeight="false" outlineLevel="0" collapsed="false">
      <c r="A616" s="40" t="n">
        <f aca="false">IF(OR($A$4=0,INDEX('COOIS Raw'!$A:$GZ,ROW()-4,$A$4)=""),"",IFERROR(--INDEX('COOIS Raw'!$A:$GZ,ROW()-4,$A$4),INDEX('COOIS Raw'!$A:$GZ,ROW()-4,$A$4)))</f>
        <v>100865018</v>
      </c>
      <c r="B616" s="41" t="str">
        <f aca="false">IF(A616="","",TRIM(INDEX('COOIS Raw'!$A:$GZ,ROW()-4,$B$4)))</f>
        <v>92RRA00548AAA</v>
      </c>
      <c r="C616" s="42" t="str">
        <f aca="false">IF(OR(A616="",$C$4=0),"",INDEX('COOIS Raw'!$A:$GZ,ROW()-4,$C$4))</f>
        <v>R5B ERBIUM SPOOL ASSEMBLY - E2A</v>
      </c>
      <c r="D616" s="41" t="n">
        <f aca="false">IF(A616="","",IF($D$4=0,1,IFERROR(--INDEX('COOIS Raw'!$A:$GZ,ROW()-4,$D$4),1)))</f>
        <v>1</v>
      </c>
      <c r="E616" s="42" t="str">
        <f aca="false">IF(A616="","",INDEX('COOIS Raw'!$A:$GZ,ROW()-4,$E$4)&amp;"")</f>
        <v>REL PRT CNF DLV PRC GMPS MANC SETC</v>
      </c>
      <c r="F616" s="43" t="n">
        <f aca="false">IF(A616="","",IFERROR(DATEVALUE(INDEX('COOIS Raw'!$A:$GZ,ROW()-4,$F$4)),INDEX('COOIS Raw'!$A:$GZ,ROW()-4,$F$4)))</f>
        <v>46176</v>
      </c>
      <c r="G616" s="41" t="str">
        <f aca="false">IF(A616="","",IF(ISNA(MATCH(B616,'Kitting Plan'!$B$6:$B$19,0)),"Not in plan","Yes"))</f>
        <v>Yes</v>
      </c>
      <c r="H616" s="41" t="n">
        <f aca="false">IF(G616="Yes",INDEX('Kitting Plan'!$D$6:$D$19,MATCH(B616,'Kitting Plan'!$B$6:$B$19,0)),"")</f>
        <v>24</v>
      </c>
      <c r="I616" s="41" t="n">
        <f aca="false">IF(A616="","",IF(ISNUMBER(SEARCH("PRT",E616)),D616,0))</f>
        <v>1</v>
      </c>
      <c r="J616" s="41" t="n">
        <f aca="false">IF(A616="","",IF(ISNUMBER(SEARCH("GMPS",E616)),D616,0))</f>
        <v>1</v>
      </c>
      <c r="K616" s="41" t="n">
        <f aca="false">IF(A616="","",IF(ISNUMBER(SEARCH("DLV",E616)),D616,0))</f>
        <v>1</v>
      </c>
      <c r="L616" s="41" t="str">
        <f aca="false">IF(A616="","",IF(K616&gt;0,"Delivered",IF(ISNUMBER(SEARCH("CNF",E616)),"In production",IF(J616&gt;0,"Issued",IF(I616&gt;0,"Kitted","Released")))))</f>
        <v>Delivered</v>
      </c>
      <c r="M616" s="41" t="n">
        <f aca="false">IF(G616&lt;&gt;"Yes","",COUNTIFS($B$6:$B$1505,B616,$F$6:$F$1505,"&lt;"&amp;F616)+COUNTIFS($B$6:$B$1505,B616,$F$6:$F$1505,F616,$A$6:$A$1505,"&lt;="&amp;A616))</f>
        <v>35</v>
      </c>
      <c r="N616" s="41" t="n">
        <f aca="false">IF(M616="","",ROUNDUP(M616/H616,0))</f>
        <v>2</v>
      </c>
      <c r="O616" s="41" t="str">
        <f aca="false">IF(N616="","",IF(N616&lt;='Kitting Plan'!$C$3,"Rep "&amp;N616,"Surplus"))</f>
        <v>Rep 2</v>
      </c>
    </row>
    <row r="617" customFormat="false" ht="15" hidden="false" customHeight="false" outlineLevel="0" collapsed="false">
      <c r="A617" s="40" t="n">
        <f aca="false">IF(OR($A$4=0,INDEX('COOIS Raw'!$A:$GZ,ROW()-4,$A$4)=""),"",IFERROR(--INDEX('COOIS Raw'!$A:$GZ,ROW()-4,$A$4),INDEX('COOIS Raw'!$A:$GZ,ROW()-4,$A$4)))</f>
        <v>100865019</v>
      </c>
      <c r="B617" s="41" t="str">
        <f aca="false">IF(A617="","",TRIM(INDEX('COOIS Raw'!$A:$GZ,ROW()-4,$B$4)))</f>
        <v>92RRA00548AAA</v>
      </c>
      <c r="C617" s="42" t="str">
        <f aca="false">IF(OR(A617="",$C$4=0),"",INDEX('COOIS Raw'!$A:$GZ,ROW()-4,$C$4))</f>
        <v>R5B ERBIUM SPOOL ASSEMBLY - E2A</v>
      </c>
      <c r="D617" s="41" t="n">
        <f aca="false">IF(A617="","",IF($D$4=0,1,IFERROR(--INDEX('COOIS Raw'!$A:$GZ,ROW()-4,$D$4),1)))</f>
        <v>1</v>
      </c>
      <c r="E617" s="42" t="str">
        <f aca="false">IF(A617="","",INDEX('COOIS Raw'!$A:$GZ,ROW()-4,$E$4)&amp;"")</f>
        <v>REL PRT CNF DLV PRC GMPS MANC SETC</v>
      </c>
      <c r="F617" s="43" t="n">
        <f aca="false">IF(A617="","",IFERROR(DATEVALUE(INDEX('COOIS Raw'!$A:$GZ,ROW()-4,$F$4)),INDEX('COOIS Raw'!$A:$GZ,ROW()-4,$F$4)))</f>
        <v>46176</v>
      </c>
      <c r="G617" s="41" t="str">
        <f aca="false">IF(A617="","",IF(ISNA(MATCH(B617,'Kitting Plan'!$B$6:$B$19,0)),"Not in plan","Yes"))</f>
        <v>Yes</v>
      </c>
      <c r="H617" s="41" t="n">
        <f aca="false">IF(G617="Yes",INDEX('Kitting Plan'!$D$6:$D$19,MATCH(B617,'Kitting Plan'!$B$6:$B$19,0)),"")</f>
        <v>24</v>
      </c>
      <c r="I617" s="41" t="n">
        <f aca="false">IF(A617="","",IF(ISNUMBER(SEARCH("PRT",E617)),D617,0))</f>
        <v>1</v>
      </c>
      <c r="J617" s="41" t="n">
        <f aca="false">IF(A617="","",IF(ISNUMBER(SEARCH("GMPS",E617)),D617,0))</f>
        <v>1</v>
      </c>
      <c r="K617" s="41" t="n">
        <f aca="false">IF(A617="","",IF(ISNUMBER(SEARCH("DLV",E617)),D617,0))</f>
        <v>1</v>
      </c>
      <c r="L617" s="41" t="str">
        <f aca="false">IF(A617="","",IF(K617&gt;0,"Delivered",IF(ISNUMBER(SEARCH("CNF",E617)),"In production",IF(J617&gt;0,"Issued",IF(I617&gt;0,"Kitted","Released")))))</f>
        <v>Delivered</v>
      </c>
      <c r="M617" s="41" t="n">
        <f aca="false">IF(G617&lt;&gt;"Yes","",COUNTIFS($B$6:$B$1505,B617,$F$6:$F$1505,"&lt;"&amp;F617)+COUNTIFS($B$6:$B$1505,B617,$F$6:$F$1505,F617,$A$6:$A$1505,"&lt;="&amp;A617))</f>
        <v>36</v>
      </c>
      <c r="N617" s="41" t="n">
        <f aca="false">IF(M617="","",ROUNDUP(M617/H617,0))</f>
        <v>2</v>
      </c>
      <c r="O617" s="41" t="str">
        <f aca="false">IF(N617="","",IF(N617&lt;='Kitting Plan'!$C$3,"Rep "&amp;N617,"Surplus"))</f>
        <v>Rep 2</v>
      </c>
    </row>
    <row r="618" customFormat="false" ht="15" hidden="false" customHeight="false" outlineLevel="0" collapsed="false">
      <c r="A618" s="40" t="n">
        <f aca="false">IF(OR($A$4=0,INDEX('COOIS Raw'!$A:$GZ,ROW()-4,$A$4)=""),"",IFERROR(--INDEX('COOIS Raw'!$A:$GZ,ROW()-4,$A$4),INDEX('COOIS Raw'!$A:$GZ,ROW()-4,$A$4)))</f>
        <v>100865020</v>
      </c>
      <c r="B618" s="41" t="str">
        <f aca="false">IF(A618="","",TRIM(INDEX('COOIS Raw'!$A:$GZ,ROW()-4,$B$4)))</f>
        <v>92RRA00548AAA</v>
      </c>
      <c r="C618" s="42" t="str">
        <f aca="false">IF(OR(A618="",$C$4=0),"",INDEX('COOIS Raw'!$A:$GZ,ROW()-4,$C$4))</f>
        <v>R5B ERBIUM SPOOL ASSEMBLY - E2A</v>
      </c>
      <c r="D618" s="41" t="n">
        <f aca="false">IF(A618="","",IF($D$4=0,1,IFERROR(--INDEX('COOIS Raw'!$A:$GZ,ROW()-4,$D$4),1)))</f>
        <v>1</v>
      </c>
      <c r="E618" s="42" t="str">
        <f aca="false">IF(A618="","",INDEX('COOIS Raw'!$A:$GZ,ROW()-4,$E$4)&amp;"")</f>
        <v>REL PRT CNF DLV PRC GMPS MANC SETC</v>
      </c>
      <c r="F618" s="43" t="n">
        <f aca="false">IF(A618="","",IFERROR(DATEVALUE(INDEX('COOIS Raw'!$A:$GZ,ROW()-4,$F$4)),INDEX('COOIS Raw'!$A:$GZ,ROW()-4,$F$4)))</f>
        <v>46176</v>
      </c>
      <c r="G618" s="41" t="str">
        <f aca="false">IF(A618="","",IF(ISNA(MATCH(B618,'Kitting Plan'!$B$6:$B$19,0)),"Not in plan","Yes"))</f>
        <v>Yes</v>
      </c>
      <c r="H618" s="41" t="n">
        <f aca="false">IF(G618="Yes",INDEX('Kitting Plan'!$D$6:$D$19,MATCH(B618,'Kitting Plan'!$B$6:$B$19,0)),"")</f>
        <v>24</v>
      </c>
      <c r="I618" s="41" t="n">
        <f aca="false">IF(A618="","",IF(ISNUMBER(SEARCH("PRT",E618)),D618,0))</f>
        <v>1</v>
      </c>
      <c r="J618" s="41" t="n">
        <f aca="false">IF(A618="","",IF(ISNUMBER(SEARCH("GMPS",E618)),D618,0))</f>
        <v>1</v>
      </c>
      <c r="K618" s="41" t="n">
        <f aca="false">IF(A618="","",IF(ISNUMBER(SEARCH("DLV",E618)),D618,0))</f>
        <v>1</v>
      </c>
      <c r="L618" s="41" t="str">
        <f aca="false">IF(A618="","",IF(K618&gt;0,"Delivered",IF(ISNUMBER(SEARCH("CNF",E618)),"In production",IF(J618&gt;0,"Issued",IF(I618&gt;0,"Kitted","Released")))))</f>
        <v>Delivered</v>
      </c>
      <c r="M618" s="41" t="n">
        <f aca="false">IF(G618&lt;&gt;"Yes","",COUNTIFS($B$6:$B$1505,B618,$F$6:$F$1505,"&lt;"&amp;F618)+COUNTIFS($B$6:$B$1505,B618,$F$6:$F$1505,F618,$A$6:$A$1505,"&lt;="&amp;A618))</f>
        <v>37</v>
      </c>
      <c r="N618" s="41" t="n">
        <f aca="false">IF(M618="","",ROUNDUP(M618/H618,0))</f>
        <v>2</v>
      </c>
      <c r="O618" s="41" t="str">
        <f aca="false">IF(N618="","",IF(N618&lt;='Kitting Plan'!$C$3,"Rep "&amp;N618,"Surplus"))</f>
        <v>Rep 2</v>
      </c>
    </row>
    <row r="619" customFormat="false" ht="15" hidden="false" customHeight="false" outlineLevel="0" collapsed="false">
      <c r="A619" s="40" t="n">
        <f aca="false">IF(OR($A$4=0,INDEX('COOIS Raw'!$A:$GZ,ROW()-4,$A$4)=""),"",IFERROR(--INDEX('COOIS Raw'!$A:$GZ,ROW()-4,$A$4),INDEX('COOIS Raw'!$A:$GZ,ROW()-4,$A$4)))</f>
        <v>100865021</v>
      </c>
      <c r="B619" s="41" t="str">
        <f aca="false">IF(A619="","",TRIM(INDEX('COOIS Raw'!$A:$GZ,ROW()-4,$B$4)))</f>
        <v>92RRA00548AAA</v>
      </c>
      <c r="C619" s="42" t="str">
        <f aca="false">IF(OR(A619="",$C$4=0),"",INDEX('COOIS Raw'!$A:$GZ,ROW()-4,$C$4))</f>
        <v>R5B ERBIUM SPOOL ASSEMBLY - E2A</v>
      </c>
      <c r="D619" s="41" t="n">
        <f aca="false">IF(A619="","",IF($D$4=0,1,IFERROR(--INDEX('COOIS Raw'!$A:$GZ,ROW()-4,$D$4),1)))</f>
        <v>1</v>
      </c>
      <c r="E619" s="42" t="str">
        <f aca="false">IF(A619="","",INDEX('COOIS Raw'!$A:$GZ,ROW()-4,$E$4)&amp;"")</f>
        <v>REL PRT CNF DLV PRC GMPS MANC SETC</v>
      </c>
      <c r="F619" s="43" t="n">
        <f aca="false">IF(A619="","",IFERROR(DATEVALUE(INDEX('COOIS Raw'!$A:$GZ,ROW()-4,$F$4)),INDEX('COOIS Raw'!$A:$GZ,ROW()-4,$F$4)))</f>
        <v>46176</v>
      </c>
      <c r="G619" s="41" t="str">
        <f aca="false">IF(A619="","",IF(ISNA(MATCH(B619,'Kitting Plan'!$B$6:$B$19,0)),"Not in plan","Yes"))</f>
        <v>Yes</v>
      </c>
      <c r="H619" s="41" t="n">
        <f aca="false">IF(G619="Yes",INDEX('Kitting Plan'!$D$6:$D$19,MATCH(B619,'Kitting Plan'!$B$6:$B$19,0)),"")</f>
        <v>24</v>
      </c>
      <c r="I619" s="41" t="n">
        <f aca="false">IF(A619="","",IF(ISNUMBER(SEARCH("PRT",E619)),D619,0))</f>
        <v>1</v>
      </c>
      <c r="J619" s="41" t="n">
        <f aca="false">IF(A619="","",IF(ISNUMBER(SEARCH("GMPS",E619)),D619,0))</f>
        <v>1</v>
      </c>
      <c r="K619" s="41" t="n">
        <f aca="false">IF(A619="","",IF(ISNUMBER(SEARCH("DLV",E619)),D619,0))</f>
        <v>1</v>
      </c>
      <c r="L619" s="41" t="str">
        <f aca="false">IF(A619="","",IF(K619&gt;0,"Delivered",IF(ISNUMBER(SEARCH("CNF",E619)),"In production",IF(J619&gt;0,"Issued",IF(I619&gt;0,"Kitted","Released")))))</f>
        <v>Delivered</v>
      </c>
      <c r="M619" s="41" t="n">
        <f aca="false">IF(G619&lt;&gt;"Yes","",COUNTIFS($B$6:$B$1505,B619,$F$6:$F$1505,"&lt;"&amp;F619)+COUNTIFS($B$6:$B$1505,B619,$F$6:$F$1505,F619,$A$6:$A$1505,"&lt;="&amp;A619))</f>
        <v>38</v>
      </c>
      <c r="N619" s="41" t="n">
        <f aca="false">IF(M619="","",ROUNDUP(M619/H619,0))</f>
        <v>2</v>
      </c>
      <c r="O619" s="41" t="str">
        <f aca="false">IF(N619="","",IF(N619&lt;='Kitting Plan'!$C$3,"Rep "&amp;N619,"Surplus"))</f>
        <v>Rep 2</v>
      </c>
    </row>
    <row r="620" customFormat="false" ht="15" hidden="false" customHeight="false" outlineLevel="0" collapsed="false">
      <c r="A620" s="40" t="n">
        <f aca="false">IF(OR($A$4=0,INDEX('COOIS Raw'!$A:$GZ,ROW()-4,$A$4)=""),"",IFERROR(--INDEX('COOIS Raw'!$A:$GZ,ROW()-4,$A$4),INDEX('COOIS Raw'!$A:$GZ,ROW()-4,$A$4)))</f>
        <v>100865022</v>
      </c>
      <c r="B620" s="41" t="str">
        <f aca="false">IF(A620="","",TRIM(INDEX('COOIS Raw'!$A:$GZ,ROW()-4,$B$4)))</f>
        <v>92RRA00548AAA</v>
      </c>
      <c r="C620" s="42" t="str">
        <f aca="false">IF(OR(A620="",$C$4=0),"",INDEX('COOIS Raw'!$A:$GZ,ROW()-4,$C$4))</f>
        <v>R5B ERBIUM SPOOL ASSEMBLY - E2A</v>
      </c>
      <c r="D620" s="41" t="n">
        <f aca="false">IF(A620="","",IF($D$4=0,1,IFERROR(--INDEX('COOIS Raw'!$A:$GZ,ROW()-4,$D$4),1)))</f>
        <v>1</v>
      </c>
      <c r="E620" s="42" t="str">
        <f aca="false">IF(A620="","",INDEX('COOIS Raw'!$A:$GZ,ROW()-4,$E$4)&amp;"")</f>
        <v>REL PRT CNF DLV PRC GMPS MANC SETC</v>
      </c>
      <c r="F620" s="43" t="n">
        <f aca="false">IF(A620="","",IFERROR(DATEVALUE(INDEX('COOIS Raw'!$A:$GZ,ROW()-4,$F$4)),INDEX('COOIS Raw'!$A:$GZ,ROW()-4,$F$4)))</f>
        <v>46176</v>
      </c>
      <c r="G620" s="41" t="str">
        <f aca="false">IF(A620="","",IF(ISNA(MATCH(B620,'Kitting Plan'!$B$6:$B$19,0)),"Not in plan","Yes"))</f>
        <v>Yes</v>
      </c>
      <c r="H620" s="41" t="n">
        <f aca="false">IF(G620="Yes",INDEX('Kitting Plan'!$D$6:$D$19,MATCH(B620,'Kitting Plan'!$B$6:$B$19,0)),"")</f>
        <v>24</v>
      </c>
      <c r="I620" s="41" t="n">
        <f aca="false">IF(A620="","",IF(ISNUMBER(SEARCH("PRT",E620)),D620,0))</f>
        <v>1</v>
      </c>
      <c r="J620" s="41" t="n">
        <f aca="false">IF(A620="","",IF(ISNUMBER(SEARCH("GMPS",E620)),D620,0))</f>
        <v>1</v>
      </c>
      <c r="K620" s="41" t="n">
        <f aca="false">IF(A620="","",IF(ISNUMBER(SEARCH("DLV",E620)),D620,0))</f>
        <v>1</v>
      </c>
      <c r="L620" s="41" t="str">
        <f aca="false">IF(A620="","",IF(K620&gt;0,"Delivered",IF(ISNUMBER(SEARCH("CNF",E620)),"In production",IF(J620&gt;0,"Issued",IF(I620&gt;0,"Kitted","Released")))))</f>
        <v>Delivered</v>
      </c>
      <c r="M620" s="41" t="n">
        <f aca="false">IF(G620&lt;&gt;"Yes","",COUNTIFS($B$6:$B$1505,B620,$F$6:$F$1505,"&lt;"&amp;F620)+COUNTIFS($B$6:$B$1505,B620,$F$6:$F$1505,F620,$A$6:$A$1505,"&lt;="&amp;A620))</f>
        <v>39</v>
      </c>
      <c r="N620" s="41" t="n">
        <f aca="false">IF(M620="","",ROUNDUP(M620/H620,0))</f>
        <v>2</v>
      </c>
      <c r="O620" s="41" t="str">
        <f aca="false">IF(N620="","",IF(N620&lt;='Kitting Plan'!$C$3,"Rep "&amp;N620,"Surplus"))</f>
        <v>Rep 2</v>
      </c>
    </row>
    <row r="621" customFormat="false" ht="15" hidden="false" customHeight="false" outlineLevel="0" collapsed="false">
      <c r="A621" s="40" t="n">
        <f aca="false">IF(OR($A$4=0,INDEX('COOIS Raw'!$A:$GZ,ROW()-4,$A$4)=""),"",IFERROR(--INDEX('COOIS Raw'!$A:$GZ,ROW()-4,$A$4),INDEX('COOIS Raw'!$A:$GZ,ROW()-4,$A$4)))</f>
        <v>100865023</v>
      </c>
      <c r="B621" s="41" t="str">
        <f aca="false">IF(A621="","",TRIM(INDEX('COOIS Raw'!$A:$GZ,ROW()-4,$B$4)))</f>
        <v>92RRA00548AAA</v>
      </c>
      <c r="C621" s="42" t="str">
        <f aca="false">IF(OR(A621="",$C$4=0),"",INDEX('COOIS Raw'!$A:$GZ,ROW()-4,$C$4))</f>
        <v>R5B ERBIUM SPOOL ASSEMBLY - E2A</v>
      </c>
      <c r="D621" s="41" t="n">
        <f aca="false">IF(A621="","",IF($D$4=0,1,IFERROR(--INDEX('COOIS Raw'!$A:$GZ,ROW()-4,$D$4),1)))</f>
        <v>1</v>
      </c>
      <c r="E621" s="42" t="str">
        <f aca="false">IF(A621="","",INDEX('COOIS Raw'!$A:$GZ,ROW()-4,$E$4)&amp;"")</f>
        <v>REL PRT CNF DLV PRC GMPS MANC SETC</v>
      </c>
      <c r="F621" s="43" t="n">
        <f aca="false">IF(A621="","",IFERROR(DATEVALUE(INDEX('COOIS Raw'!$A:$GZ,ROW()-4,$F$4)),INDEX('COOIS Raw'!$A:$GZ,ROW()-4,$F$4)))</f>
        <v>46176</v>
      </c>
      <c r="G621" s="41" t="str">
        <f aca="false">IF(A621="","",IF(ISNA(MATCH(B621,'Kitting Plan'!$B$6:$B$19,0)),"Not in plan","Yes"))</f>
        <v>Yes</v>
      </c>
      <c r="H621" s="41" t="n">
        <f aca="false">IF(G621="Yes",INDEX('Kitting Plan'!$D$6:$D$19,MATCH(B621,'Kitting Plan'!$B$6:$B$19,0)),"")</f>
        <v>24</v>
      </c>
      <c r="I621" s="41" t="n">
        <f aca="false">IF(A621="","",IF(ISNUMBER(SEARCH("PRT",E621)),D621,0))</f>
        <v>1</v>
      </c>
      <c r="J621" s="41" t="n">
        <f aca="false">IF(A621="","",IF(ISNUMBER(SEARCH("GMPS",E621)),D621,0))</f>
        <v>1</v>
      </c>
      <c r="K621" s="41" t="n">
        <f aca="false">IF(A621="","",IF(ISNUMBER(SEARCH("DLV",E621)),D621,0))</f>
        <v>1</v>
      </c>
      <c r="L621" s="41" t="str">
        <f aca="false">IF(A621="","",IF(K621&gt;0,"Delivered",IF(ISNUMBER(SEARCH("CNF",E621)),"In production",IF(J621&gt;0,"Issued",IF(I621&gt;0,"Kitted","Released")))))</f>
        <v>Delivered</v>
      </c>
      <c r="M621" s="41" t="n">
        <f aca="false">IF(G621&lt;&gt;"Yes","",COUNTIFS($B$6:$B$1505,B621,$F$6:$F$1505,"&lt;"&amp;F621)+COUNTIFS($B$6:$B$1505,B621,$F$6:$F$1505,F621,$A$6:$A$1505,"&lt;="&amp;A621))</f>
        <v>40</v>
      </c>
      <c r="N621" s="41" t="n">
        <f aca="false">IF(M621="","",ROUNDUP(M621/H621,0))</f>
        <v>2</v>
      </c>
      <c r="O621" s="41" t="str">
        <f aca="false">IF(N621="","",IF(N621&lt;='Kitting Plan'!$C$3,"Rep "&amp;N621,"Surplus"))</f>
        <v>Rep 2</v>
      </c>
    </row>
    <row r="622" customFormat="false" ht="15" hidden="false" customHeight="false" outlineLevel="0" collapsed="false">
      <c r="A622" s="40" t="n">
        <f aca="false">IF(OR($A$4=0,INDEX('COOIS Raw'!$A:$GZ,ROW()-4,$A$4)=""),"",IFERROR(--INDEX('COOIS Raw'!$A:$GZ,ROW()-4,$A$4),INDEX('COOIS Raw'!$A:$GZ,ROW()-4,$A$4)))</f>
        <v>100865024</v>
      </c>
      <c r="B622" s="41" t="str">
        <f aca="false">IF(A622="","",TRIM(INDEX('COOIS Raw'!$A:$GZ,ROW()-4,$B$4)))</f>
        <v>92RRA00548AAA</v>
      </c>
      <c r="C622" s="42" t="str">
        <f aca="false">IF(OR(A622="",$C$4=0),"",INDEX('COOIS Raw'!$A:$GZ,ROW()-4,$C$4))</f>
        <v>R5B ERBIUM SPOOL ASSEMBLY - E2A</v>
      </c>
      <c r="D622" s="41" t="n">
        <f aca="false">IF(A622="","",IF($D$4=0,1,IFERROR(--INDEX('COOIS Raw'!$A:$GZ,ROW()-4,$D$4),1)))</f>
        <v>1</v>
      </c>
      <c r="E622" s="42" t="str">
        <f aca="false">IF(A622="","",INDEX('COOIS Raw'!$A:$GZ,ROW()-4,$E$4)&amp;"")</f>
        <v>REL PRT CNF DLV PRC GMPS MANC SETC</v>
      </c>
      <c r="F622" s="43" t="n">
        <f aca="false">IF(A622="","",IFERROR(DATEVALUE(INDEX('COOIS Raw'!$A:$GZ,ROW()-4,$F$4)),INDEX('COOIS Raw'!$A:$GZ,ROW()-4,$F$4)))</f>
        <v>46176</v>
      </c>
      <c r="G622" s="41" t="str">
        <f aca="false">IF(A622="","",IF(ISNA(MATCH(B622,'Kitting Plan'!$B$6:$B$19,0)),"Not in plan","Yes"))</f>
        <v>Yes</v>
      </c>
      <c r="H622" s="41" t="n">
        <f aca="false">IF(G622="Yes",INDEX('Kitting Plan'!$D$6:$D$19,MATCH(B622,'Kitting Plan'!$B$6:$B$19,0)),"")</f>
        <v>24</v>
      </c>
      <c r="I622" s="41" t="n">
        <f aca="false">IF(A622="","",IF(ISNUMBER(SEARCH("PRT",E622)),D622,0))</f>
        <v>1</v>
      </c>
      <c r="J622" s="41" t="n">
        <f aca="false">IF(A622="","",IF(ISNUMBER(SEARCH("GMPS",E622)),D622,0))</f>
        <v>1</v>
      </c>
      <c r="K622" s="41" t="n">
        <f aca="false">IF(A622="","",IF(ISNUMBER(SEARCH("DLV",E622)),D622,0))</f>
        <v>1</v>
      </c>
      <c r="L622" s="41" t="str">
        <f aca="false">IF(A622="","",IF(K622&gt;0,"Delivered",IF(ISNUMBER(SEARCH("CNF",E622)),"In production",IF(J622&gt;0,"Issued",IF(I622&gt;0,"Kitted","Released")))))</f>
        <v>Delivered</v>
      </c>
      <c r="M622" s="41" t="n">
        <f aca="false">IF(G622&lt;&gt;"Yes","",COUNTIFS($B$6:$B$1505,B622,$F$6:$F$1505,"&lt;"&amp;F622)+COUNTIFS($B$6:$B$1505,B622,$F$6:$F$1505,F622,$A$6:$A$1505,"&lt;="&amp;A622))</f>
        <v>41</v>
      </c>
      <c r="N622" s="41" t="n">
        <f aca="false">IF(M622="","",ROUNDUP(M622/H622,0))</f>
        <v>2</v>
      </c>
      <c r="O622" s="41" t="str">
        <f aca="false">IF(N622="","",IF(N622&lt;='Kitting Plan'!$C$3,"Rep "&amp;N622,"Surplus"))</f>
        <v>Rep 2</v>
      </c>
    </row>
    <row r="623" customFormat="false" ht="15" hidden="false" customHeight="false" outlineLevel="0" collapsed="false">
      <c r="A623" s="40" t="n">
        <f aca="false">IF(OR($A$4=0,INDEX('COOIS Raw'!$A:$GZ,ROW()-4,$A$4)=""),"",IFERROR(--INDEX('COOIS Raw'!$A:$GZ,ROW()-4,$A$4),INDEX('COOIS Raw'!$A:$GZ,ROW()-4,$A$4)))</f>
        <v>100865026</v>
      </c>
      <c r="B623" s="41" t="str">
        <f aca="false">IF(A623="","",TRIM(INDEX('COOIS Raw'!$A:$GZ,ROW()-4,$B$4)))</f>
        <v>92YRA01548AAA</v>
      </c>
      <c r="C623" s="42" t="str">
        <f aca="false">IF(OR(A623="",$C$4=0),"",INDEX('COOIS Raw'!$A:$GZ,ROW()-4,$C$4))</f>
        <v>R5B ERBIUM ASSEMBLY 1</v>
      </c>
      <c r="D623" s="41" t="n">
        <f aca="false">IF(A623="","",IF($D$4=0,1,IFERROR(--INDEX('COOIS Raw'!$A:$GZ,ROW()-4,$D$4),1)))</f>
        <v>1</v>
      </c>
      <c r="E623" s="42" t="str">
        <f aca="false">IF(A623="","",INDEX('COOIS Raw'!$A:$GZ,ROW()-4,$E$4)&amp;"")</f>
        <v>REL PRT CNF DLV PRC GMPS MANC RESA*</v>
      </c>
      <c r="F623" s="43" t="n">
        <f aca="false">IF(A623="","",IFERROR(DATEVALUE(INDEX('COOIS Raw'!$A:$GZ,ROW()-4,$F$4)),INDEX('COOIS Raw'!$A:$GZ,ROW()-4,$F$4)))</f>
        <v>46176</v>
      </c>
      <c r="G623" s="41" t="str">
        <f aca="false">IF(A623="","",IF(ISNA(MATCH(B623,'Kitting Plan'!$B$6:$B$19,0)),"Not in plan","Yes"))</f>
        <v>Yes</v>
      </c>
      <c r="H623" s="41" t="n">
        <f aca="false">IF(G623="Yes",INDEX('Kitting Plan'!$D$6:$D$19,MATCH(B623,'Kitting Plan'!$B$6:$B$19,0)),"")</f>
        <v>3</v>
      </c>
      <c r="I623" s="41" t="n">
        <f aca="false">IF(A623="","",IF(ISNUMBER(SEARCH("PRT",E623)),D623,0))</f>
        <v>1</v>
      </c>
      <c r="J623" s="41" t="n">
        <f aca="false">IF(A623="","",IF(ISNUMBER(SEARCH("GMPS",E623)),D623,0))</f>
        <v>1</v>
      </c>
      <c r="K623" s="41" t="n">
        <f aca="false">IF(A623="","",IF(ISNUMBER(SEARCH("DLV",E623)),D623,0))</f>
        <v>1</v>
      </c>
      <c r="L623" s="41" t="str">
        <f aca="false">IF(A623="","",IF(K623&gt;0,"Delivered",IF(ISNUMBER(SEARCH("CNF",E623)),"In production",IF(J623&gt;0,"Issued",IF(I623&gt;0,"Kitted","Released")))))</f>
        <v>Delivered</v>
      </c>
      <c r="M623" s="41" t="n">
        <f aca="false">IF(G623&lt;&gt;"Yes","",COUNTIFS($B$6:$B$1505,B623,$F$6:$F$1505,"&lt;"&amp;F623)+COUNTIFS($B$6:$B$1505,B623,$F$6:$F$1505,F623,$A$6:$A$1505,"&lt;="&amp;A623))</f>
        <v>4</v>
      </c>
      <c r="N623" s="41" t="n">
        <f aca="false">IF(M623="","",ROUNDUP(M623/H623,0))</f>
        <v>2</v>
      </c>
      <c r="O623" s="41" t="str">
        <f aca="false">IF(N623="","",IF(N623&lt;='Kitting Plan'!$C$3,"Rep "&amp;N623,"Surplus"))</f>
        <v>Rep 2</v>
      </c>
    </row>
    <row r="624" customFormat="false" ht="15" hidden="false" customHeight="false" outlineLevel="0" collapsed="false">
      <c r="A624" s="40" t="n">
        <f aca="false">IF(OR($A$4=0,INDEX('COOIS Raw'!$A:$GZ,ROW()-4,$A$4)=""),"",IFERROR(--INDEX('COOIS Raw'!$A:$GZ,ROW()-4,$A$4),INDEX('COOIS Raw'!$A:$GZ,ROW()-4,$A$4)))</f>
        <v>100865027</v>
      </c>
      <c r="B624" s="41" t="str">
        <f aca="false">IF(A624="","",TRIM(INDEX('COOIS Raw'!$A:$GZ,ROW()-4,$B$4)))</f>
        <v>92YRA01548AAA</v>
      </c>
      <c r="C624" s="42" t="str">
        <f aca="false">IF(OR(A624="",$C$4=0),"",INDEX('COOIS Raw'!$A:$GZ,ROW()-4,$C$4))</f>
        <v>R5B ERBIUM ASSEMBLY 1</v>
      </c>
      <c r="D624" s="41" t="n">
        <f aca="false">IF(A624="","",IF($D$4=0,1,IFERROR(--INDEX('COOIS Raw'!$A:$GZ,ROW()-4,$D$4),1)))</f>
        <v>1</v>
      </c>
      <c r="E624" s="42" t="str">
        <f aca="false">IF(A624="","",INDEX('COOIS Raw'!$A:$GZ,ROW()-4,$E$4)&amp;"")</f>
        <v>REL PRT CNF DLV PRC GMPS MANC RESA*</v>
      </c>
      <c r="F624" s="43" t="n">
        <f aca="false">IF(A624="","",IFERROR(DATEVALUE(INDEX('COOIS Raw'!$A:$GZ,ROW()-4,$F$4)),INDEX('COOIS Raw'!$A:$GZ,ROW()-4,$F$4)))</f>
        <v>46176</v>
      </c>
      <c r="G624" s="41" t="str">
        <f aca="false">IF(A624="","",IF(ISNA(MATCH(B624,'Kitting Plan'!$B$6:$B$19,0)),"Not in plan","Yes"))</f>
        <v>Yes</v>
      </c>
      <c r="H624" s="41" t="n">
        <f aca="false">IF(G624="Yes",INDEX('Kitting Plan'!$D$6:$D$19,MATCH(B624,'Kitting Plan'!$B$6:$B$19,0)),"")</f>
        <v>3</v>
      </c>
      <c r="I624" s="41" t="n">
        <f aca="false">IF(A624="","",IF(ISNUMBER(SEARCH("PRT",E624)),D624,0))</f>
        <v>1</v>
      </c>
      <c r="J624" s="41" t="n">
        <f aca="false">IF(A624="","",IF(ISNUMBER(SEARCH("GMPS",E624)),D624,0))</f>
        <v>1</v>
      </c>
      <c r="K624" s="41" t="n">
        <f aca="false">IF(A624="","",IF(ISNUMBER(SEARCH("DLV",E624)),D624,0))</f>
        <v>1</v>
      </c>
      <c r="L624" s="41" t="str">
        <f aca="false">IF(A624="","",IF(K624&gt;0,"Delivered",IF(ISNUMBER(SEARCH("CNF",E624)),"In production",IF(J624&gt;0,"Issued",IF(I624&gt;0,"Kitted","Released")))))</f>
        <v>Delivered</v>
      </c>
      <c r="M624" s="41" t="n">
        <f aca="false">IF(G624&lt;&gt;"Yes","",COUNTIFS($B$6:$B$1505,B624,$F$6:$F$1505,"&lt;"&amp;F624)+COUNTIFS($B$6:$B$1505,B624,$F$6:$F$1505,F624,$A$6:$A$1505,"&lt;="&amp;A624))</f>
        <v>5</v>
      </c>
      <c r="N624" s="41" t="n">
        <f aca="false">IF(M624="","",ROUNDUP(M624/H624,0))</f>
        <v>2</v>
      </c>
      <c r="O624" s="41" t="str">
        <f aca="false">IF(N624="","",IF(N624&lt;='Kitting Plan'!$C$3,"Rep "&amp;N624,"Surplus"))</f>
        <v>Rep 2</v>
      </c>
    </row>
    <row r="625" customFormat="false" ht="15" hidden="false" customHeight="false" outlineLevel="0" collapsed="false">
      <c r="A625" s="40" t="n">
        <f aca="false">IF(OR($A$4=0,INDEX('COOIS Raw'!$A:$GZ,ROW()-4,$A$4)=""),"",IFERROR(--INDEX('COOIS Raw'!$A:$GZ,ROW()-4,$A$4),INDEX('COOIS Raw'!$A:$GZ,ROW()-4,$A$4)))</f>
        <v>100865028</v>
      </c>
      <c r="B625" s="41" t="str">
        <f aca="false">IF(A625="","",TRIM(INDEX('COOIS Raw'!$A:$GZ,ROW()-4,$B$4)))</f>
        <v>92YRA01548AAA</v>
      </c>
      <c r="C625" s="42" t="str">
        <f aca="false">IF(OR(A625="",$C$4=0),"",INDEX('COOIS Raw'!$A:$GZ,ROW()-4,$C$4))</f>
        <v>R5B ERBIUM ASSEMBLY 1</v>
      </c>
      <c r="D625" s="41" t="n">
        <f aca="false">IF(A625="","",IF($D$4=0,1,IFERROR(--INDEX('COOIS Raw'!$A:$GZ,ROW()-4,$D$4),1)))</f>
        <v>1</v>
      </c>
      <c r="E625" s="42" t="str">
        <f aca="false">IF(A625="","",INDEX('COOIS Raw'!$A:$GZ,ROW()-4,$E$4)&amp;"")</f>
        <v>REL PRT CNF DLV PRC GMPS MANC RESA*</v>
      </c>
      <c r="F625" s="43" t="n">
        <f aca="false">IF(A625="","",IFERROR(DATEVALUE(INDEX('COOIS Raw'!$A:$GZ,ROW()-4,$F$4)),INDEX('COOIS Raw'!$A:$GZ,ROW()-4,$F$4)))</f>
        <v>46176</v>
      </c>
      <c r="G625" s="41" t="str">
        <f aca="false">IF(A625="","",IF(ISNA(MATCH(B625,'Kitting Plan'!$B$6:$B$19,0)),"Not in plan","Yes"))</f>
        <v>Yes</v>
      </c>
      <c r="H625" s="41" t="n">
        <f aca="false">IF(G625="Yes",INDEX('Kitting Plan'!$D$6:$D$19,MATCH(B625,'Kitting Plan'!$B$6:$B$19,0)),"")</f>
        <v>3</v>
      </c>
      <c r="I625" s="41" t="n">
        <f aca="false">IF(A625="","",IF(ISNUMBER(SEARCH("PRT",E625)),D625,0))</f>
        <v>1</v>
      </c>
      <c r="J625" s="41" t="n">
        <f aca="false">IF(A625="","",IF(ISNUMBER(SEARCH("GMPS",E625)),D625,0))</f>
        <v>1</v>
      </c>
      <c r="K625" s="41" t="n">
        <f aca="false">IF(A625="","",IF(ISNUMBER(SEARCH("DLV",E625)),D625,0))</f>
        <v>1</v>
      </c>
      <c r="L625" s="41" t="str">
        <f aca="false">IF(A625="","",IF(K625&gt;0,"Delivered",IF(ISNUMBER(SEARCH("CNF",E625)),"In production",IF(J625&gt;0,"Issued",IF(I625&gt;0,"Kitted","Released")))))</f>
        <v>Delivered</v>
      </c>
      <c r="M625" s="41" t="n">
        <f aca="false">IF(G625&lt;&gt;"Yes","",COUNTIFS($B$6:$B$1505,B625,$F$6:$F$1505,"&lt;"&amp;F625)+COUNTIFS($B$6:$B$1505,B625,$F$6:$F$1505,F625,$A$6:$A$1505,"&lt;="&amp;A625))</f>
        <v>6</v>
      </c>
      <c r="N625" s="41" t="n">
        <f aca="false">IF(M625="","",ROUNDUP(M625/H625,0))</f>
        <v>2</v>
      </c>
      <c r="O625" s="41" t="str">
        <f aca="false">IF(N625="","",IF(N625&lt;='Kitting Plan'!$C$3,"Rep "&amp;N625,"Surplus"))</f>
        <v>Rep 2</v>
      </c>
    </row>
    <row r="626" customFormat="false" ht="15" hidden="false" customHeight="false" outlineLevel="0" collapsed="false">
      <c r="A626" s="40" t="n">
        <f aca="false">IF(OR($A$4=0,INDEX('COOIS Raw'!$A:$GZ,ROW()-4,$A$4)=""),"",IFERROR(--INDEX('COOIS Raw'!$A:$GZ,ROW()-4,$A$4),INDEX('COOIS Raw'!$A:$GZ,ROW()-4,$A$4)))</f>
        <v>100865030</v>
      </c>
      <c r="B626" s="41" t="str">
        <f aca="false">IF(A626="","",TRIM(INDEX('COOIS Raw'!$A:$GZ,ROW()-4,$B$4)))</f>
        <v>92YRA03548AAA</v>
      </c>
      <c r="C626" s="42" t="str">
        <f aca="false">IF(OR(A626="",$C$4=0),"",INDEX('COOIS Raw'!$A:$GZ,ROW()-4,$C$4))</f>
        <v>R5B ERBIUM ASSEMBLY 3</v>
      </c>
      <c r="D626" s="41" t="n">
        <f aca="false">IF(A626="","",IF($D$4=0,1,IFERROR(--INDEX('COOIS Raw'!$A:$GZ,ROW()-4,$D$4),1)))</f>
        <v>1</v>
      </c>
      <c r="E626" s="42" t="str">
        <f aca="false">IF(A626="","",INDEX('COOIS Raw'!$A:$GZ,ROW()-4,$E$4)&amp;"")</f>
        <v>REL PRT CNF DLV PRC GMPS MANC RESA*</v>
      </c>
      <c r="F626" s="43" t="n">
        <f aca="false">IF(A626="","",IFERROR(DATEVALUE(INDEX('COOIS Raw'!$A:$GZ,ROW()-4,$F$4)),INDEX('COOIS Raw'!$A:$GZ,ROW()-4,$F$4)))</f>
        <v>46176</v>
      </c>
      <c r="G626" s="41" t="str">
        <f aca="false">IF(A626="","",IF(ISNA(MATCH(B626,'Kitting Plan'!$B$6:$B$19,0)),"Not in plan","Yes"))</f>
        <v>Yes</v>
      </c>
      <c r="H626" s="41" t="n">
        <f aca="false">IF(G626="Yes",INDEX('Kitting Plan'!$D$6:$D$19,MATCH(B626,'Kitting Plan'!$B$6:$B$19,0)),"")</f>
        <v>3</v>
      </c>
      <c r="I626" s="41" t="n">
        <f aca="false">IF(A626="","",IF(ISNUMBER(SEARCH("PRT",E626)),D626,0))</f>
        <v>1</v>
      </c>
      <c r="J626" s="41" t="n">
        <f aca="false">IF(A626="","",IF(ISNUMBER(SEARCH("GMPS",E626)),D626,0))</f>
        <v>1</v>
      </c>
      <c r="K626" s="41" t="n">
        <f aca="false">IF(A626="","",IF(ISNUMBER(SEARCH("DLV",E626)),D626,0))</f>
        <v>1</v>
      </c>
      <c r="L626" s="41" t="str">
        <f aca="false">IF(A626="","",IF(K626&gt;0,"Delivered",IF(ISNUMBER(SEARCH("CNF",E626)),"In production",IF(J626&gt;0,"Issued",IF(I626&gt;0,"Kitted","Released")))))</f>
        <v>Delivered</v>
      </c>
      <c r="M626" s="41" t="n">
        <f aca="false">IF(G626&lt;&gt;"Yes","",COUNTIFS($B$6:$B$1505,B626,$F$6:$F$1505,"&lt;"&amp;F626)+COUNTIFS($B$6:$B$1505,B626,$F$6:$F$1505,F626,$A$6:$A$1505,"&lt;="&amp;A626))</f>
        <v>4</v>
      </c>
      <c r="N626" s="41" t="n">
        <f aca="false">IF(M626="","",ROUNDUP(M626/H626,0))</f>
        <v>2</v>
      </c>
      <c r="O626" s="41" t="str">
        <f aca="false">IF(N626="","",IF(N626&lt;='Kitting Plan'!$C$3,"Rep "&amp;N626,"Surplus"))</f>
        <v>Rep 2</v>
      </c>
    </row>
    <row r="627" customFormat="false" ht="15" hidden="false" customHeight="false" outlineLevel="0" collapsed="false">
      <c r="A627" s="40" t="n">
        <f aca="false">IF(OR($A$4=0,INDEX('COOIS Raw'!$A:$GZ,ROW()-4,$A$4)=""),"",IFERROR(--INDEX('COOIS Raw'!$A:$GZ,ROW()-4,$A$4),INDEX('COOIS Raw'!$A:$GZ,ROW()-4,$A$4)))</f>
        <v>100865031</v>
      </c>
      <c r="B627" s="41" t="str">
        <f aca="false">IF(A627="","",TRIM(INDEX('COOIS Raw'!$A:$GZ,ROW()-4,$B$4)))</f>
        <v>92YRA03548AAA</v>
      </c>
      <c r="C627" s="42" t="str">
        <f aca="false">IF(OR(A627="",$C$4=0),"",INDEX('COOIS Raw'!$A:$GZ,ROW()-4,$C$4))</f>
        <v>R5B ERBIUM ASSEMBLY 3</v>
      </c>
      <c r="D627" s="41" t="n">
        <f aca="false">IF(A627="","",IF($D$4=0,1,IFERROR(--INDEX('COOIS Raw'!$A:$GZ,ROW()-4,$D$4),1)))</f>
        <v>1</v>
      </c>
      <c r="E627" s="42" t="str">
        <f aca="false">IF(A627="","",INDEX('COOIS Raw'!$A:$GZ,ROW()-4,$E$4)&amp;"")</f>
        <v>REL PRT CNF DLV PRC GMPS MANC RESA*</v>
      </c>
      <c r="F627" s="43" t="n">
        <f aca="false">IF(A627="","",IFERROR(DATEVALUE(INDEX('COOIS Raw'!$A:$GZ,ROW()-4,$F$4)),INDEX('COOIS Raw'!$A:$GZ,ROW()-4,$F$4)))</f>
        <v>46176</v>
      </c>
      <c r="G627" s="41" t="str">
        <f aca="false">IF(A627="","",IF(ISNA(MATCH(B627,'Kitting Plan'!$B$6:$B$19,0)),"Not in plan","Yes"))</f>
        <v>Yes</v>
      </c>
      <c r="H627" s="41" t="n">
        <f aca="false">IF(G627="Yes",INDEX('Kitting Plan'!$D$6:$D$19,MATCH(B627,'Kitting Plan'!$B$6:$B$19,0)),"")</f>
        <v>3</v>
      </c>
      <c r="I627" s="41" t="n">
        <f aca="false">IF(A627="","",IF(ISNUMBER(SEARCH("PRT",E627)),D627,0))</f>
        <v>1</v>
      </c>
      <c r="J627" s="41" t="n">
        <f aca="false">IF(A627="","",IF(ISNUMBER(SEARCH("GMPS",E627)),D627,0))</f>
        <v>1</v>
      </c>
      <c r="K627" s="41" t="n">
        <f aca="false">IF(A627="","",IF(ISNUMBER(SEARCH("DLV",E627)),D627,0))</f>
        <v>1</v>
      </c>
      <c r="L627" s="41" t="str">
        <f aca="false">IF(A627="","",IF(K627&gt;0,"Delivered",IF(ISNUMBER(SEARCH("CNF",E627)),"In production",IF(J627&gt;0,"Issued",IF(I627&gt;0,"Kitted","Released")))))</f>
        <v>Delivered</v>
      </c>
      <c r="M627" s="41" t="n">
        <f aca="false">IF(G627&lt;&gt;"Yes","",COUNTIFS($B$6:$B$1505,B627,$F$6:$F$1505,"&lt;"&amp;F627)+COUNTIFS($B$6:$B$1505,B627,$F$6:$F$1505,F627,$A$6:$A$1505,"&lt;="&amp;A627))</f>
        <v>5</v>
      </c>
      <c r="N627" s="41" t="n">
        <f aca="false">IF(M627="","",ROUNDUP(M627/H627,0))</f>
        <v>2</v>
      </c>
      <c r="O627" s="41" t="str">
        <f aca="false">IF(N627="","",IF(N627&lt;='Kitting Plan'!$C$3,"Rep "&amp;N627,"Surplus"))</f>
        <v>Rep 2</v>
      </c>
    </row>
    <row r="628" customFormat="false" ht="15" hidden="false" customHeight="false" outlineLevel="0" collapsed="false">
      <c r="A628" s="40" t="n">
        <f aca="false">IF(OR($A$4=0,INDEX('COOIS Raw'!$A:$GZ,ROW()-4,$A$4)=""),"",IFERROR(--INDEX('COOIS Raw'!$A:$GZ,ROW()-4,$A$4),INDEX('COOIS Raw'!$A:$GZ,ROW()-4,$A$4)))</f>
        <v>100865032</v>
      </c>
      <c r="B628" s="41" t="str">
        <f aca="false">IF(A628="","",TRIM(INDEX('COOIS Raw'!$A:$GZ,ROW()-4,$B$4)))</f>
        <v>92YRA03548AAA</v>
      </c>
      <c r="C628" s="42" t="str">
        <f aca="false">IF(OR(A628="",$C$4=0),"",INDEX('COOIS Raw'!$A:$GZ,ROW()-4,$C$4))</f>
        <v>R5B ERBIUM ASSEMBLY 3</v>
      </c>
      <c r="D628" s="41" t="n">
        <f aca="false">IF(A628="","",IF($D$4=0,1,IFERROR(--INDEX('COOIS Raw'!$A:$GZ,ROW()-4,$D$4),1)))</f>
        <v>1</v>
      </c>
      <c r="E628" s="42" t="str">
        <f aca="false">IF(A628="","",INDEX('COOIS Raw'!$A:$GZ,ROW()-4,$E$4)&amp;"")</f>
        <v>REL PRT CNF DLV PRC GMPS MANC RESA*</v>
      </c>
      <c r="F628" s="43" t="n">
        <f aca="false">IF(A628="","",IFERROR(DATEVALUE(INDEX('COOIS Raw'!$A:$GZ,ROW()-4,$F$4)),INDEX('COOIS Raw'!$A:$GZ,ROW()-4,$F$4)))</f>
        <v>46176</v>
      </c>
      <c r="G628" s="41" t="str">
        <f aca="false">IF(A628="","",IF(ISNA(MATCH(B628,'Kitting Plan'!$B$6:$B$19,0)),"Not in plan","Yes"))</f>
        <v>Yes</v>
      </c>
      <c r="H628" s="41" t="n">
        <f aca="false">IF(G628="Yes",INDEX('Kitting Plan'!$D$6:$D$19,MATCH(B628,'Kitting Plan'!$B$6:$B$19,0)),"")</f>
        <v>3</v>
      </c>
      <c r="I628" s="41" t="n">
        <f aca="false">IF(A628="","",IF(ISNUMBER(SEARCH("PRT",E628)),D628,0))</f>
        <v>1</v>
      </c>
      <c r="J628" s="41" t="n">
        <f aca="false">IF(A628="","",IF(ISNUMBER(SEARCH("GMPS",E628)),D628,0))</f>
        <v>1</v>
      </c>
      <c r="K628" s="41" t="n">
        <f aca="false">IF(A628="","",IF(ISNUMBER(SEARCH("DLV",E628)),D628,0))</f>
        <v>1</v>
      </c>
      <c r="L628" s="41" t="str">
        <f aca="false">IF(A628="","",IF(K628&gt;0,"Delivered",IF(ISNUMBER(SEARCH("CNF",E628)),"In production",IF(J628&gt;0,"Issued",IF(I628&gt;0,"Kitted","Released")))))</f>
        <v>Delivered</v>
      </c>
      <c r="M628" s="41" t="n">
        <f aca="false">IF(G628&lt;&gt;"Yes","",COUNTIFS($B$6:$B$1505,B628,$F$6:$F$1505,"&lt;"&amp;F628)+COUNTIFS($B$6:$B$1505,B628,$F$6:$F$1505,F628,$A$6:$A$1505,"&lt;="&amp;A628))</f>
        <v>6</v>
      </c>
      <c r="N628" s="41" t="n">
        <f aca="false">IF(M628="","",ROUNDUP(M628/H628,0))</f>
        <v>2</v>
      </c>
      <c r="O628" s="41" t="str">
        <f aca="false">IF(N628="","",IF(N628&lt;='Kitting Plan'!$C$3,"Rep "&amp;N628,"Surplus"))</f>
        <v>Rep 2</v>
      </c>
    </row>
    <row r="629" customFormat="false" ht="15" hidden="false" customHeight="false" outlineLevel="0" collapsed="false">
      <c r="A629" s="40" t="n">
        <f aca="false">IF(OR($A$4=0,INDEX('COOIS Raw'!$A:$GZ,ROW()-4,$A$4)=""),"",IFERROR(--INDEX('COOIS Raw'!$A:$GZ,ROW()-4,$A$4),INDEX('COOIS Raw'!$A:$GZ,ROW()-4,$A$4)))</f>
        <v>100865033</v>
      </c>
      <c r="B629" s="41" t="str">
        <f aca="false">IF(A629="","",TRIM(INDEX('COOIS Raw'!$A:$GZ,ROW()-4,$B$4)))</f>
        <v>92YRA04548AAA</v>
      </c>
      <c r="C629" s="42" t="str">
        <f aca="false">IF(OR(A629="",$C$4=0),"",INDEX('COOIS Raw'!$A:$GZ,ROW()-4,$C$4))</f>
        <v>R5B ERBIUM ASSEMBLY 4</v>
      </c>
      <c r="D629" s="41" t="n">
        <f aca="false">IF(A629="","",IF($D$4=0,1,IFERROR(--INDEX('COOIS Raw'!$A:$GZ,ROW()-4,$D$4),1)))</f>
        <v>1</v>
      </c>
      <c r="E629" s="42" t="str">
        <f aca="false">IF(A629="","",INDEX('COOIS Raw'!$A:$GZ,ROW()-4,$E$4)&amp;"")</f>
        <v>REL PRT CNF DLV PRC GMPS MANC RESA*</v>
      </c>
      <c r="F629" s="43" t="n">
        <f aca="false">IF(A629="","",IFERROR(DATEVALUE(INDEX('COOIS Raw'!$A:$GZ,ROW()-4,$F$4)),INDEX('COOIS Raw'!$A:$GZ,ROW()-4,$F$4)))</f>
        <v>46176</v>
      </c>
      <c r="G629" s="41" t="str">
        <f aca="false">IF(A629="","",IF(ISNA(MATCH(B629,'Kitting Plan'!$B$6:$B$19,0)),"Not in plan","Yes"))</f>
        <v>Yes</v>
      </c>
      <c r="H629" s="41" t="n">
        <f aca="false">IF(G629="Yes",INDEX('Kitting Plan'!$D$6:$D$19,MATCH(B629,'Kitting Plan'!$B$6:$B$19,0)),"")</f>
        <v>3</v>
      </c>
      <c r="I629" s="41" t="n">
        <f aca="false">IF(A629="","",IF(ISNUMBER(SEARCH("PRT",E629)),D629,0))</f>
        <v>1</v>
      </c>
      <c r="J629" s="41" t="n">
        <f aca="false">IF(A629="","",IF(ISNUMBER(SEARCH("GMPS",E629)),D629,0))</f>
        <v>1</v>
      </c>
      <c r="K629" s="41" t="n">
        <f aca="false">IF(A629="","",IF(ISNUMBER(SEARCH("DLV",E629)),D629,0))</f>
        <v>1</v>
      </c>
      <c r="L629" s="41" t="str">
        <f aca="false">IF(A629="","",IF(K629&gt;0,"Delivered",IF(ISNUMBER(SEARCH("CNF",E629)),"In production",IF(J629&gt;0,"Issued",IF(I629&gt;0,"Kitted","Released")))))</f>
        <v>Delivered</v>
      </c>
      <c r="M629" s="41" t="n">
        <f aca="false">IF(G629&lt;&gt;"Yes","",COUNTIFS($B$6:$B$1505,B629,$F$6:$F$1505,"&lt;"&amp;F629)+COUNTIFS($B$6:$B$1505,B629,$F$6:$F$1505,F629,$A$6:$A$1505,"&lt;="&amp;A629))</f>
        <v>4</v>
      </c>
      <c r="N629" s="41" t="n">
        <f aca="false">IF(M629="","",ROUNDUP(M629/H629,0))</f>
        <v>2</v>
      </c>
      <c r="O629" s="41" t="str">
        <f aca="false">IF(N629="","",IF(N629&lt;='Kitting Plan'!$C$3,"Rep "&amp;N629,"Surplus"))</f>
        <v>Rep 2</v>
      </c>
    </row>
    <row r="630" customFormat="false" ht="15" hidden="false" customHeight="false" outlineLevel="0" collapsed="false">
      <c r="A630" s="40" t="n">
        <f aca="false">IF(OR($A$4=0,INDEX('COOIS Raw'!$A:$GZ,ROW()-4,$A$4)=""),"",IFERROR(--INDEX('COOIS Raw'!$A:$GZ,ROW()-4,$A$4),INDEX('COOIS Raw'!$A:$GZ,ROW()-4,$A$4)))</f>
        <v>100865034</v>
      </c>
      <c r="B630" s="41" t="str">
        <f aca="false">IF(A630="","",TRIM(INDEX('COOIS Raw'!$A:$GZ,ROW()-4,$B$4)))</f>
        <v>92YRA04548AAA</v>
      </c>
      <c r="C630" s="42" t="str">
        <f aca="false">IF(OR(A630="",$C$4=0),"",INDEX('COOIS Raw'!$A:$GZ,ROW()-4,$C$4))</f>
        <v>R5B ERBIUM ASSEMBLY 4</v>
      </c>
      <c r="D630" s="41" t="n">
        <f aca="false">IF(A630="","",IF($D$4=0,1,IFERROR(--INDEX('COOIS Raw'!$A:$GZ,ROW()-4,$D$4),1)))</f>
        <v>1</v>
      </c>
      <c r="E630" s="42" t="str">
        <f aca="false">IF(A630="","",INDEX('COOIS Raw'!$A:$GZ,ROW()-4,$E$4)&amp;"")</f>
        <v>REL PRT CNF DLV PRC GMPS MANC RESA*</v>
      </c>
      <c r="F630" s="43" t="n">
        <f aca="false">IF(A630="","",IFERROR(DATEVALUE(INDEX('COOIS Raw'!$A:$GZ,ROW()-4,$F$4)),INDEX('COOIS Raw'!$A:$GZ,ROW()-4,$F$4)))</f>
        <v>46176</v>
      </c>
      <c r="G630" s="41" t="str">
        <f aca="false">IF(A630="","",IF(ISNA(MATCH(B630,'Kitting Plan'!$B$6:$B$19,0)),"Not in plan","Yes"))</f>
        <v>Yes</v>
      </c>
      <c r="H630" s="41" t="n">
        <f aca="false">IF(G630="Yes",INDEX('Kitting Plan'!$D$6:$D$19,MATCH(B630,'Kitting Plan'!$B$6:$B$19,0)),"")</f>
        <v>3</v>
      </c>
      <c r="I630" s="41" t="n">
        <f aca="false">IF(A630="","",IF(ISNUMBER(SEARCH("PRT",E630)),D630,0))</f>
        <v>1</v>
      </c>
      <c r="J630" s="41" t="n">
        <f aca="false">IF(A630="","",IF(ISNUMBER(SEARCH("GMPS",E630)),D630,0))</f>
        <v>1</v>
      </c>
      <c r="K630" s="41" t="n">
        <f aca="false">IF(A630="","",IF(ISNUMBER(SEARCH("DLV",E630)),D630,0))</f>
        <v>1</v>
      </c>
      <c r="L630" s="41" t="str">
        <f aca="false">IF(A630="","",IF(K630&gt;0,"Delivered",IF(ISNUMBER(SEARCH("CNF",E630)),"In production",IF(J630&gt;0,"Issued",IF(I630&gt;0,"Kitted","Released")))))</f>
        <v>Delivered</v>
      </c>
      <c r="M630" s="41" t="n">
        <f aca="false">IF(G630&lt;&gt;"Yes","",COUNTIFS($B$6:$B$1505,B630,$F$6:$F$1505,"&lt;"&amp;F630)+COUNTIFS($B$6:$B$1505,B630,$F$6:$F$1505,F630,$A$6:$A$1505,"&lt;="&amp;A630))</f>
        <v>5</v>
      </c>
      <c r="N630" s="41" t="n">
        <f aca="false">IF(M630="","",ROUNDUP(M630/H630,0))</f>
        <v>2</v>
      </c>
      <c r="O630" s="41" t="str">
        <f aca="false">IF(N630="","",IF(N630&lt;='Kitting Plan'!$C$3,"Rep "&amp;N630,"Surplus"))</f>
        <v>Rep 2</v>
      </c>
    </row>
    <row r="631" customFormat="false" ht="15" hidden="false" customHeight="false" outlineLevel="0" collapsed="false">
      <c r="A631" s="40" t="n">
        <f aca="false">IF(OR($A$4=0,INDEX('COOIS Raw'!$A:$GZ,ROW()-4,$A$4)=""),"",IFERROR(--INDEX('COOIS Raw'!$A:$GZ,ROW()-4,$A$4),INDEX('COOIS Raw'!$A:$GZ,ROW()-4,$A$4)))</f>
        <v>100865035</v>
      </c>
      <c r="B631" s="41" t="str">
        <f aca="false">IF(A631="","",TRIM(INDEX('COOIS Raw'!$A:$GZ,ROW()-4,$B$4)))</f>
        <v>92YRA04548AAA</v>
      </c>
      <c r="C631" s="42" t="str">
        <f aca="false">IF(OR(A631="",$C$4=0),"",INDEX('COOIS Raw'!$A:$GZ,ROW()-4,$C$4))</f>
        <v>R5B ERBIUM ASSEMBLY 4</v>
      </c>
      <c r="D631" s="41" t="n">
        <f aca="false">IF(A631="","",IF($D$4=0,1,IFERROR(--INDEX('COOIS Raw'!$A:$GZ,ROW()-4,$D$4),1)))</f>
        <v>1</v>
      </c>
      <c r="E631" s="42" t="str">
        <f aca="false">IF(A631="","",INDEX('COOIS Raw'!$A:$GZ,ROW()-4,$E$4)&amp;"")</f>
        <v>REL PRT CNF DLV PRC GMPS MANC RESA*</v>
      </c>
      <c r="F631" s="43" t="n">
        <f aca="false">IF(A631="","",IFERROR(DATEVALUE(INDEX('COOIS Raw'!$A:$GZ,ROW()-4,$F$4)),INDEX('COOIS Raw'!$A:$GZ,ROW()-4,$F$4)))</f>
        <v>46176</v>
      </c>
      <c r="G631" s="41" t="str">
        <f aca="false">IF(A631="","",IF(ISNA(MATCH(B631,'Kitting Plan'!$B$6:$B$19,0)),"Not in plan","Yes"))</f>
        <v>Yes</v>
      </c>
      <c r="H631" s="41" t="n">
        <f aca="false">IF(G631="Yes",INDEX('Kitting Plan'!$D$6:$D$19,MATCH(B631,'Kitting Plan'!$B$6:$B$19,0)),"")</f>
        <v>3</v>
      </c>
      <c r="I631" s="41" t="n">
        <f aca="false">IF(A631="","",IF(ISNUMBER(SEARCH("PRT",E631)),D631,0))</f>
        <v>1</v>
      </c>
      <c r="J631" s="41" t="n">
        <f aca="false">IF(A631="","",IF(ISNUMBER(SEARCH("GMPS",E631)),D631,0))</f>
        <v>1</v>
      </c>
      <c r="K631" s="41" t="n">
        <f aca="false">IF(A631="","",IF(ISNUMBER(SEARCH("DLV",E631)),D631,0))</f>
        <v>1</v>
      </c>
      <c r="L631" s="41" t="str">
        <f aca="false">IF(A631="","",IF(K631&gt;0,"Delivered",IF(ISNUMBER(SEARCH("CNF",E631)),"In production",IF(J631&gt;0,"Issued",IF(I631&gt;0,"Kitted","Released")))))</f>
        <v>Delivered</v>
      </c>
      <c r="M631" s="41" t="n">
        <f aca="false">IF(G631&lt;&gt;"Yes","",COUNTIFS($B$6:$B$1505,B631,$F$6:$F$1505,"&lt;"&amp;F631)+COUNTIFS($B$6:$B$1505,B631,$F$6:$F$1505,F631,$A$6:$A$1505,"&lt;="&amp;A631))</f>
        <v>6</v>
      </c>
      <c r="N631" s="41" t="n">
        <f aca="false">IF(M631="","",ROUNDUP(M631/H631,0))</f>
        <v>2</v>
      </c>
      <c r="O631" s="41" t="str">
        <f aca="false">IF(N631="","",IF(N631&lt;='Kitting Plan'!$C$3,"Rep "&amp;N631,"Surplus"))</f>
        <v>Rep 2</v>
      </c>
    </row>
    <row r="632" customFormat="false" ht="15" hidden="false" customHeight="false" outlineLevel="0" collapsed="false">
      <c r="A632" s="40" t="n">
        <f aca="false">IF(OR($A$4=0,INDEX('COOIS Raw'!$A:$GZ,ROW()-4,$A$4)=""),"",IFERROR(--INDEX('COOIS Raw'!$A:$GZ,ROW()-4,$A$4),INDEX('COOIS Raw'!$A:$GZ,ROW()-4,$A$4)))</f>
        <v>100864894</v>
      </c>
      <c r="B632" s="41" t="str">
        <f aca="false">IF(A632="","",TRIM(INDEX('COOIS Raw'!$A:$GZ,ROW()-4,$B$4)))</f>
        <v>91YAF03404AAA</v>
      </c>
      <c r="C632" s="42" t="str">
        <f aca="false">IF(OR(A632="",$C$4=0),"",INDEX('COOIS Raw'!$A:$GZ,ROW()-4,$C$4))</f>
        <v>R5B PSB SUB ASSEMBLY 4P-4FP</v>
      </c>
      <c r="D632" s="41" t="n">
        <f aca="false">IF(A632="","",IF($D$4=0,1,IFERROR(--INDEX('COOIS Raw'!$A:$GZ,ROW()-4,$D$4),1)))</f>
        <v>1</v>
      </c>
      <c r="E632" s="42" t="str">
        <f aca="false">IF(A632="","",INDEX('COOIS Raw'!$A:$GZ,ROW()-4,$E$4)&amp;"")</f>
        <v>REL PRT CNF DLV PRC GMPS MANC SETC*</v>
      </c>
      <c r="F632" s="43" t="n">
        <f aca="false">IF(A632="","",IFERROR(DATEVALUE(INDEX('COOIS Raw'!$A:$GZ,ROW()-4,$F$4)),INDEX('COOIS Raw'!$A:$GZ,ROW()-4,$F$4)))</f>
        <v>46174</v>
      </c>
      <c r="G632" s="41" t="str">
        <f aca="false">IF(A632="","",IF(ISNA(MATCH(B632,'Kitting Plan'!$B$6:$B$19,0)),"Not in plan","Yes"))</f>
        <v>Yes</v>
      </c>
      <c r="H632" s="41" t="n">
        <f aca="false">IF(G632="Yes",INDEX('Kitting Plan'!$D$6:$D$19,MATCH(B632,'Kitting Plan'!$B$6:$B$19,0)),"")</f>
        <v>3</v>
      </c>
      <c r="I632" s="41" t="n">
        <f aca="false">IF(A632="","",IF(ISNUMBER(SEARCH("PRT",E632)),D632,0))</f>
        <v>1</v>
      </c>
      <c r="J632" s="41" t="n">
        <f aca="false">IF(A632="","",IF(ISNUMBER(SEARCH("GMPS",E632)),D632,0))</f>
        <v>1</v>
      </c>
      <c r="K632" s="41" t="n">
        <f aca="false">IF(A632="","",IF(ISNUMBER(SEARCH("DLV",E632)),D632,0))</f>
        <v>1</v>
      </c>
      <c r="L632" s="41" t="str">
        <f aca="false">IF(A632="","",IF(K632&gt;0,"Delivered",IF(ISNUMBER(SEARCH("CNF",E632)),"In production",IF(J632&gt;0,"Issued",IF(I632&gt;0,"Kitted","Released")))))</f>
        <v>Delivered</v>
      </c>
      <c r="M632" s="41" t="n">
        <f aca="false">IF(G632&lt;&gt;"Yes","",COUNTIFS($B$6:$B$1505,B632,$F$6:$F$1505,"&lt;"&amp;F632)+COUNTIFS($B$6:$B$1505,B632,$F$6:$F$1505,F632,$A$6:$A$1505,"&lt;="&amp;A632))</f>
        <v>10</v>
      </c>
      <c r="N632" s="41" t="n">
        <f aca="false">IF(M632="","",ROUNDUP(M632/H632,0))</f>
        <v>4</v>
      </c>
      <c r="O632" s="41" t="str">
        <f aca="false">IF(N632="","",IF(N632&lt;='Kitting Plan'!$C$3,"Rep "&amp;N632,"Surplus"))</f>
        <v>Rep 4</v>
      </c>
    </row>
    <row r="633" customFormat="false" ht="15" hidden="false" customHeight="false" outlineLevel="0" collapsed="false">
      <c r="A633" s="40" t="n">
        <f aca="false">IF(OR($A$4=0,INDEX('COOIS Raw'!$A:$GZ,ROW()-4,$A$4)=""),"",IFERROR(--INDEX('COOIS Raw'!$A:$GZ,ROW()-4,$A$4),INDEX('COOIS Raw'!$A:$GZ,ROW()-4,$A$4)))</f>
        <v>100864269</v>
      </c>
      <c r="B633" s="41" t="str">
        <f aca="false">IF(A633="","",TRIM(INDEX('COOIS Raw'!$A:$GZ,ROW()-4,$B$4)))</f>
        <v>92YLS00548BBA</v>
      </c>
      <c r="C633" s="42" t="str">
        <f aca="false">IF(OR(A633="",$C$4=0),"",INDEX('COOIS Raw'!$A:$GZ,ROW()-4,$C$4))</f>
        <v>R5B LASER ASSEMBLY 4P BOAT 2/3 - E2A</v>
      </c>
      <c r="D633" s="41" t="n">
        <f aca="false">IF(A633="","",IF($D$4=0,1,IFERROR(--INDEX('COOIS Raw'!$A:$GZ,ROW()-4,$D$4),1)))</f>
        <v>1</v>
      </c>
      <c r="E633" s="42" t="str">
        <f aca="false">IF(A633="","",INDEX('COOIS Raw'!$A:$GZ,ROW()-4,$E$4)&amp;"")</f>
        <v>REL PPRT CNF DLV PRC GMPS MANC RESA*</v>
      </c>
      <c r="F633" s="43" t="n">
        <f aca="false">IF(A633="","",IFERROR(DATEVALUE(INDEX('COOIS Raw'!$A:$GZ,ROW()-4,$F$4)),INDEX('COOIS Raw'!$A:$GZ,ROW()-4,$F$4)))</f>
        <v>46171</v>
      </c>
      <c r="G633" s="41" t="str">
        <f aca="false">IF(A633="","",IF(ISNA(MATCH(B633,'Kitting Plan'!$B$6:$B$19,0)),"Not in plan","Yes"))</f>
        <v>Yes</v>
      </c>
      <c r="H633" s="41" t="n">
        <f aca="false">IF(G633="Yes",INDEX('Kitting Plan'!$D$6:$D$19,MATCH(B633,'Kitting Plan'!$B$6:$B$19,0)),"")</f>
        <v>2</v>
      </c>
      <c r="I633" s="41" t="n">
        <f aca="false">IF(A633="","",IF(ISNUMBER(SEARCH("PRT",E633)),D633,0))</f>
        <v>1</v>
      </c>
      <c r="J633" s="41" t="n">
        <f aca="false">IF(A633="","",IF(ISNUMBER(SEARCH("GMPS",E633)),D633,0))</f>
        <v>1</v>
      </c>
      <c r="K633" s="41" t="n">
        <f aca="false">IF(A633="","",IF(ISNUMBER(SEARCH("DLV",E633)),D633,0))</f>
        <v>1</v>
      </c>
      <c r="L633" s="41" t="str">
        <f aca="false">IF(A633="","",IF(K633&gt;0,"Delivered",IF(ISNUMBER(SEARCH("CNF",E633)),"In production",IF(J633&gt;0,"Issued",IF(I633&gt;0,"Kitted","Released")))))</f>
        <v>Delivered</v>
      </c>
      <c r="M633" s="41" t="n">
        <f aca="false">IF(G633&lt;&gt;"Yes","",COUNTIFS($B$6:$B$1505,B633,$F$6:$F$1505,"&lt;"&amp;F633)+COUNTIFS($B$6:$B$1505,B633,$F$6:$F$1505,F633,$A$6:$A$1505,"&lt;="&amp;A633))</f>
        <v>5</v>
      </c>
      <c r="N633" s="41" t="n">
        <f aca="false">IF(M633="","",ROUNDUP(M633/H633,0))</f>
        <v>3</v>
      </c>
      <c r="O633" s="41" t="str">
        <f aca="false">IF(N633="","",IF(N633&lt;='Kitting Plan'!$C$3,"Rep "&amp;N633,"Surplus"))</f>
        <v>Rep 3</v>
      </c>
    </row>
    <row r="634" customFormat="false" ht="15" hidden="false" customHeight="false" outlineLevel="0" collapsed="false">
      <c r="A634" s="40" t="n">
        <f aca="false">IF(OR($A$4=0,INDEX('COOIS Raw'!$A:$GZ,ROW()-4,$A$4)=""),"",IFERROR(--INDEX('COOIS Raw'!$A:$GZ,ROW()-4,$A$4),INDEX('COOIS Raw'!$A:$GZ,ROW()-4,$A$4)))</f>
        <v>100864270</v>
      </c>
      <c r="B634" s="41" t="str">
        <f aca="false">IF(A634="","",TRIM(INDEX('COOIS Raw'!$A:$GZ,ROW()-4,$B$4)))</f>
        <v>92YLS00548BBA</v>
      </c>
      <c r="C634" s="42" t="str">
        <f aca="false">IF(OR(A634="",$C$4=0),"",INDEX('COOIS Raw'!$A:$GZ,ROW()-4,$C$4))</f>
        <v>R5B LASER ASSEMBLY 4P BOAT 2/3 - E2A</v>
      </c>
      <c r="D634" s="41" t="n">
        <f aca="false">IF(A634="","",IF($D$4=0,1,IFERROR(--INDEX('COOIS Raw'!$A:$GZ,ROW()-4,$D$4),1)))</f>
        <v>1</v>
      </c>
      <c r="E634" s="42" t="str">
        <f aca="false">IF(A634="","",INDEX('COOIS Raw'!$A:$GZ,ROW()-4,$E$4)&amp;"")</f>
        <v>REL PRT CNF DLV PRC GMPS MANC RESA*</v>
      </c>
      <c r="F634" s="43" t="n">
        <f aca="false">IF(A634="","",IFERROR(DATEVALUE(INDEX('COOIS Raw'!$A:$GZ,ROW()-4,$F$4)),INDEX('COOIS Raw'!$A:$GZ,ROW()-4,$F$4)))</f>
        <v>46171</v>
      </c>
      <c r="G634" s="41" t="str">
        <f aca="false">IF(A634="","",IF(ISNA(MATCH(B634,'Kitting Plan'!$B$6:$B$19,0)),"Not in plan","Yes"))</f>
        <v>Yes</v>
      </c>
      <c r="H634" s="41" t="n">
        <f aca="false">IF(G634="Yes",INDEX('Kitting Plan'!$D$6:$D$19,MATCH(B634,'Kitting Plan'!$B$6:$B$19,0)),"")</f>
        <v>2</v>
      </c>
      <c r="I634" s="41" t="n">
        <f aca="false">IF(A634="","",IF(ISNUMBER(SEARCH("PRT",E634)),D634,0))</f>
        <v>1</v>
      </c>
      <c r="J634" s="41" t="n">
        <f aca="false">IF(A634="","",IF(ISNUMBER(SEARCH("GMPS",E634)),D634,0))</f>
        <v>1</v>
      </c>
      <c r="K634" s="41" t="n">
        <f aca="false">IF(A634="","",IF(ISNUMBER(SEARCH("DLV",E634)),D634,0))</f>
        <v>1</v>
      </c>
      <c r="L634" s="41" t="str">
        <f aca="false">IF(A634="","",IF(K634&gt;0,"Delivered",IF(ISNUMBER(SEARCH("CNF",E634)),"In production",IF(J634&gt;0,"Issued",IF(I634&gt;0,"Kitted","Released")))))</f>
        <v>Delivered</v>
      </c>
      <c r="M634" s="41" t="n">
        <f aca="false">IF(G634&lt;&gt;"Yes","",COUNTIFS($B$6:$B$1505,B634,$F$6:$F$1505,"&lt;"&amp;F634)+COUNTIFS($B$6:$B$1505,B634,$F$6:$F$1505,F634,$A$6:$A$1505,"&lt;="&amp;A634))</f>
        <v>6</v>
      </c>
      <c r="N634" s="41" t="n">
        <f aca="false">IF(M634="","",ROUNDUP(M634/H634,0))</f>
        <v>3</v>
      </c>
      <c r="O634" s="41" t="str">
        <f aca="false">IF(N634="","",IF(N634&lt;='Kitting Plan'!$C$3,"Rep "&amp;N634,"Surplus"))</f>
        <v>Rep 3</v>
      </c>
    </row>
    <row r="635" customFormat="false" ht="15" hidden="false" customHeight="false" outlineLevel="0" collapsed="false">
      <c r="A635" s="40" t="n">
        <f aca="false">IF(OR($A$4=0,INDEX('COOIS Raw'!$A:$GZ,ROW()-4,$A$4)=""),"",IFERROR(--INDEX('COOIS Raw'!$A:$GZ,ROW()-4,$A$4),INDEX('COOIS Raw'!$A:$GZ,ROW()-4,$A$4)))</f>
        <v>100864131</v>
      </c>
      <c r="B635" s="41" t="str">
        <f aca="false">IF(A635="","",TRIM(INDEX('COOIS Raw'!$A:$GZ,ROW()-4,$B$4)))</f>
        <v>92UAP04548BAA</v>
      </c>
      <c r="C635" s="42" t="str">
        <f aca="false">IF(OR(A635="",$C$4=0),"",INDEX('COOIS Raw'!$A:$GZ,ROW()-4,$C$4))</f>
        <v>R5B BOAT 1 ASSY (4P-4FP) L - E2A</v>
      </c>
      <c r="D635" s="41" t="n">
        <f aca="false">IF(A635="","",IF($D$4=0,1,IFERROR(--INDEX('COOIS Raw'!$A:$GZ,ROW()-4,$D$4),1)))</f>
        <v>1</v>
      </c>
      <c r="E635" s="42" t="str">
        <f aca="false">IF(A635="","",INDEX('COOIS Raw'!$A:$GZ,ROW()-4,$E$4)&amp;"")</f>
        <v>REL PRT CNF DLV PRC GMPS MANC RESA*</v>
      </c>
      <c r="F635" s="43" t="n">
        <f aca="false">IF(A635="","",IFERROR(DATEVALUE(INDEX('COOIS Raw'!$A:$GZ,ROW()-4,$F$4)),INDEX('COOIS Raw'!$A:$GZ,ROW()-4,$F$4)))</f>
        <v>46170</v>
      </c>
      <c r="G635" s="41" t="str">
        <f aca="false">IF(A635="","",IF(ISNA(MATCH(B635,'Kitting Plan'!$B$6:$B$19,0)),"Not in plan","Yes"))</f>
        <v>Yes</v>
      </c>
      <c r="H635" s="41" t="n">
        <f aca="false">IF(G635="Yes",INDEX('Kitting Plan'!$D$6:$D$19,MATCH(B635,'Kitting Plan'!$B$6:$B$19,0)),"")</f>
        <v>1</v>
      </c>
      <c r="I635" s="41" t="n">
        <f aca="false">IF(A635="","",IF(ISNUMBER(SEARCH("PRT",E635)),D635,0))</f>
        <v>1</v>
      </c>
      <c r="J635" s="41" t="n">
        <f aca="false">IF(A635="","",IF(ISNUMBER(SEARCH("GMPS",E635)),D635,0))</f>
        <v>1</v>
      </c>
      <c r="K635" s="41" t="n">
        <f aca="false">IF(A635="","",IF(ISNUMBER(SEARCH("DLV",E635)),D635,0))</f>
        <v>1</v>
      </c>
      <c r="L635" s="41" t="str">
        <f aca="false">IF(A635="","",IF(K635&gt;0,"Delivered",IF(ISNUMBER(SEARCH("CNF",E635)),"In production",IF(J635&gt;0,"Issued",IF(I635&gt;0,"Kitted","Released")))))</f>
        <v>Delivered</v>
      </c>
      <c r="M635" s="41" t="n">
        <f aca="false">IF(G635&lt;&gt;"Yes","",COUNTIFS($B$6:$B$1505,B635,$F$6:$F$1505,"&lt;"&amp;F635)+COUNTIFS($B$6:$B$1505,B635,$F$6:$F$1505,F635,$A$6:$A$1505,"&lt;="&amp;A635))</f>
        <v>2</v>
      </c>
      <c r="N635" s="41" t="n">
        <f aca="false">IF(M635="","",ROUNDUP(M635/H635,0))</f>
        <v>2</v>
      </c>
      <c r="O635" s="41" t="str">
        <f aca="false">IF(N635="","",IF(N635&lt;='Kitting Plan'!$C$3,"Rep "&amp;N635,"Surplus"))</f>
        <v>Rep 2</v>
      </c>
    </row>
    <row r="636" customFormat="false" ht="15" hidden="false" customHeight="false" outlineLevel="0" collapsed="false">
      <c r="A636" s="40" t="n">
        <f aca="false">IF(OR($A$4=0,INDEX('COOIS Raw'!$A:$GZ,ROW()-4,$A$4)=""),"",IFERROR(--INDEX('COOIS Raw'!$A:$GZ,ROW()-4,$A$4),INDEX('COOIS Raw'!$A:$GZ,ROW()-4,$A$4)))</f>
        <v>100864132</v>
      </c>
      <c r="B636" s="41" t="str">
        <f aca="false">IF(A636="","",TRIM(INDEX('COOIS Raw'!$A:$GZ,ROW()-4,$B$4)))</f>
        <v>92UAP04548BBA</v>
      </c>
      <c r="C636" s="42" t="str">
        <f aca="false">IF(OR(A636="",$C$4=0),"",INDEX('COOIS Raw'!$A:$GZ,ROW()-4,$C$4))</f>
        <v>R5B BOAT 2 ASSY (4P-4FP) L - E2A</v>
      </c>
      <c r="D636" s="41" t="n">
        <f aca="false">IF(A636="","",IF($D$4=0,1,IFERROR(--INDEX('COOIS Raw'!$A:$GZ,ROW()-4,$D$4),1)))</f>
        <v>1</v>
      </c>
      <c r="E636" s="42" t="str">
        <f aca="false">IF(A636="","",INDEX('COOIS Raw'!$A:$GZ,ROW()-4,$E$4)&amp;"")</f>
        <v>REL PRT CNF DLV PRC GMPS MANC RESA*</v>
      </c>
      <c r="F636" s="43" t="n">
        <f aca="false">IF(A636="","",IFERROR(DATEVALUE(INDEX('COOIS Raw'!$A:$GZ,ROW()-4,$F$4)),INDEX('COOIS Raw'!$A:$GZ,ROW()-4,$F$4)))</f>
        <v>46170</v>
      </c>
      <c r="G636" s="41" t="str">
        <f aca="false">IF(A636="","",IF(ISNA(MATCH(B636,'Kitting Plan'!$B$6:$B$19,0)),"Not in plan","Yes"))</f>
        <v>Yes</v>
      </c>
      <c r="H636" s="41" t="n">
        <f aca="false">IF(G636="Yes",INDEX('Kitting Plan'!$D$6:$D$19,MATCH(B636,'Kitting Plan'!$B$6:$B$19,0)),"")</f>
        <v>1</v>
      </c>
      <c r="I636" s="41" t="n">
        <f aca="false">IF(A636="","",IF(ISNUMBER(SEARCH("PRT",E636)),D636,0))</f>
        <v>1</v>
      </c>
      <c r="J636" s="41" t="n">
        <f aca="false">IF(A636="","",IF(ISNUMBER(SEARCH("GMPS",E636)),D636,0))</f>
        <v>1</v>
      </c>
      <c r="K636" s="41" t="n">
        <f aca="false">IF(A636="","",IF(ISNUMBER(SEARCH("DLV",E636)),D636,0))</f>
        <v>1</v>
      </c>
      <c r="L636" s="41" t="str">
        <f aca="false">IF(A636="","",IF(K636&gt;0,"Delivered",IF(ISNUMBER(SEARCH("CNF",E636)),"In production",IF(J636&gt;0,"Issued",IF(I636&gt;0,"Kitted","Released")))))</f>
        <v>Delivered</v>
      </c>
      <c r="M636" s="41" t="n">
        <f aca="false">IF(G636&lt;&gt;"Yes","",COUNTIFS($B$6:$B$1505,B636,$F$6:$F$1505,"&lt;"&amp;F636)+COUNTIFS($B$6:$B$1505,B636,$F$6:$F$1505,F636,$A$6:$A$1505,"&lt;="&amp;A636))</f>
        <v>2</v>
      </c>
      <c r="N636" s="41" t="n">
        <f aca="false">IF(M636="","",ROUNDUP(M636/H636,0))</f>
        <v>2</v>
      </c>
      <c r="O636" s="41" t="str">
        <f aca="false">IF(N636="","",IF(N636&lt;='Kitting Plan'!$C$3,"Rep "&amp;N636,"Surplus"))</f>
        <v>Rep 2</v>
      </c>
    </row>
    <row r="637" customFormat="false" ht="15" hidden="false" customHeight="false" outlineLevel="0" collapsed="false">
      <c r="A637" s="40" t="n">
        <f aca="false">IF(OR($A$4=0,INDEX('COOIS Raw'!$A:$GZ,ROW()-4,$A$4)=""),"",IFERROR(--INDEX('COOIS Raw'!$A:$GZ,ROW()-4,$A$4),INDEX('COOIS Raw'!$A:$GZ,ROW()-4,$A$4)))</f>
        <v>100864144</v>
      </c>
      <c r="B637" s="41" t="str">
        <f aca="false">IF(A637="","",TRIM(INDEX('COOIS Raw'!$A:$GZ,ROW()-4,$B$4)))</f>
        <v>92UAP04548BCA</v>
      </c>
      <c r="C637" s="42" t="str">
        <f aca="false">IF(OR(A637="",$C$4=0),"",INDEX('COOIS Raw'!$A:$GZ,ROW()-4,$C$4))</f>
        <v>R5B BOAT 3 ASSY (4P-4FP) L - E2A</v>
      </c>
      <c r="D637" s="41" t="n">
        <f aca="false">IF(A637="","",IF($D$4=0,1,IFERROR(--INDEX('COOIS Raw'!$A:$GZ,ROW()-4,$D$4),1)))</f>
        <v>1</v>
      </c>
      <c r="E637" s="42" t="str">
        <f aca="false">IF(A637="","",INDEX('COOIS Raw'!$A:$GZ,ROW()-4,$E$4)&amp;"")</f>
        <v>REL PRT CNF DLV PRC GMPS MANC RESA*</v>
      </c>
      <c r="F637" s="43" t="n">
        <f aca="false">IF(A637="","",IFERROR(DATEVALUE(INDEX('COOIS Raw'!$A:$GZ,ROW()-4,$F$4)),INDEX('COOIS Raw'!$A:$GZ,ROW()-4,$F$4)))</f>
        <v>46170</v>
      </c>
      <c r="G637" s="41" t="str">
        <f aca="false">IF(A637="","",IF(ISNA(MATCH(B637,'Kitting Plan'!$B$6:$B$19,0)),"Not in plan","Yes"))</f>
        <v>Yes</v>
      </c>
      <c r="H637" s="41" t="n">
        <f aca="false">IF(G637="Yes",INDEX('Kitting Plan'!$D$6:$D$19,MATCH(B637,'Kitting Plan'!$B$6:$B$19,0)),"")</f>
        <v>1</v>
      </c>
      <c r="I637" s="41" t="n">
        <f aca="false">IF(A637="","",IF(ISNUMBER(SEARCH("PRT",E637)),D637,0))</f>
        <v>1</v>
      </c>
      <c r="J637" s="41" t="n">
        <f aca="false">IF(A637="","",IF(ISNUMBER(SEARCH("GMPS",E637)),D637,0))</f>
        <v>1</v>
      </c>
      <c r="K637" s="41" t="n">
        <f aca="false">IF(A637="","",IF(ISNUMBER(SEARCH("DLV",E637)),D637,0))</f>
        <v>1</v>
      </c>
      <c r="L637" s="41" t="str">
        <f aca="false">IF(A637="","",IF(K637&gt;0,"Delivered",IF(ISNUMBER(SEARCH("CNF",E637)),"In production",IF(J637&gt;0,"Issued",IF(I637&gt;0,"Kitted","Released")))))</f>
        <v>Delivered</v>
      </c>
      <c r="M637" s="41" t="n">
        <f aca="false">IF(G637&lt;&gt;"Yes","",COUNTIFS($B$6:$B$1505,B637,$F$6:$F$1505,"&lt;"&amp;F637)+COUNTIFS($B$6:$B$1505,B637,$F$6:$F$1505,F637,$A$6:$A$1505,"&lt;="&amp;A637))</f>
        <v>2</v>
      </c>
      <c r="N637" s="41" t="n">
        <f aca="false">IF(M637="","",ROUNDUP(M637/H637,0))</f>
        <v>2</v>
      </c>
      <c r="O637" s="41" t="str">
        <f aca="false">IF(N637="","",IF(N637&lt;='Kitting Plan'!$C$3,"Rep "&amp;N637,"Surplus"))</f>
        <v>Rep 2</v>
      </c>
    </row>
    <row r="638" customFormat="false" ht="15" hidden="false" customHeight="false" outlineLevel="0" collapsed="false">
      <c r="A638" s="40" t="n">
        <f aca="false">IF(OR($A$4=0,INDEX('COOIS Raw'!$A:$GZ,ROW()-4,$A$4)=""),"",IFERROR(--INDEX('COOIS Raw'!$A:$GZ,ROW()-4,$A$4),INDEX('COOIS Raw'!$A:$GZ,ROW()-4,$A$4)))</f>
        <v>100864155</v>
      </c>
      <c r="B638" s="41" t="str">
        <f aca="false">IF(A638="","",TRIM(INDEX('COOIS Raw'!$A:$GZ,ROW()-4,$B$4)))</f>
        <v>91YAF03404AAA</v>
      </c>
      <c r="C638" s="42" t="str">
        <f aca="false">IF(OR(A638="",$C$4=0),"",INDEX('COOIS Raw'!$A:$GZ,ROW()-4,$C$4))</f>
        <v>R5B PSB SUB ASSEMBLY 4P-4FP</v>
      </c>
      <c r="D638" s="41" t="n">
        <f aca="false">IF(A638="","",IF($D$4=0,1,IFERROR(--INDEX('COOIS Raw'!$A:$GZ,ROW()-4,$D$4),1)))</f>
        <v>1</v>
      </c>
      <c r="E638" s="42" t="str">
        <f aca="false">IF(A638="","",INDEX('COOIS Raw'!$A:$GZ,ROW()-4,$E$4)&amp;"")</f>
        <v>REL PRT CNF DLV PRC GMPS MANC RESA*</v>
      </c>
      <c r="F638" s="43" t="n">
        <f aca="false">IF(A638="","",IFERROR(DATEVALUE(INDEX('COOIS Raw'!$A:$GZ,ROW()-4,$F$4)),INDEX('COOIS Raw'!$A:$GZ,ROW()-4,$F$4)))</f>
        <v>46170</v>
      </c>
      <c r="G638" s="41" t="str">
        <f aca="false">IF(A638="","",IF(ISNA(MATCH(B638,'Kitting Plan'!$B$6:$B$19,0)),"Not in plan","Yes"))</f>
        <v>Yes</v>
      </c>
      <c r="H638" s="41" t="n">
        <f aca="false">IF(G638="Yes",INDEX('Kitting Plan'!$D$6:$D$19,MATCH(B638,'Kitting Plan'!$B$6:$B$19,0)),"")</f>
        <v>3</v>
      </c>
      <c r="I638" s="41" t="n">
        <f aca="false">IF(A638="","",IF(ISNUMBER(SEARCH("PRT",E638)),D638,0))</f>
        <v>1</v>
      </c>
      <c r="J638" s="41" t="n">
        <f aca="false">IF(A638="","",IF(ISNUMBER(SEARCH("GMPS",E638)),D638,0))</f>
        <v>1</v>
      </c>
      <c r="K638" s="41" t="n">
        <f aca="false">IF(A638="","",IF(ISNUMBER(SEARCH("DLV",E638)),D638,0))</f>
        <v>1</v>
      </c>
      <c r="L638" s="41" t="str">
        <f aca="false">IF(A638="","",IF(K638&gt;0,"Delivered",IF(ISNUMBER(SEARCH("CNF",E638)),"In production",IF(J638&gt;0,"Issued",IF(I638&gt;0,"Kitted","Released")))))</f>
        <v>Delivered</v>
      </c>
      <c r="M638" s="41" t="n">
        <f aca="false">IF(G638&lt;&gt;"Yes","",COUNTIFS($B$6:$B$1505,B638,$F$6:$F$1505,"&lt;"&amp;F638)+COUNTIFS($B$6:$B$1505,B638,$F$6:$F$1505,F638,$A$6:$A$1505,"&lt;="&amp;A638))</f>
        <v>7</v>
      </c>
      <c r="N638" s="41" t="n">
        <f aca="false">IF(M638="","",ROUNDUP(M638/H638,0))</f>
        <v>3</v>
      </c>
      <c r="O638" s="41" t="str">
        <f aca="false">IF(N638="","",IF(N638&lt;='Kitting Plan'!$C$3,"Rep "&amp;N638,"Surplus"))</f>
        <v>Rep 3</v>
      </c>
    </row>
    <row r="639" customFormat="false" ht="15" hidden="false" customHeight="false" outlineLevel="0" collapsed="false">
      <c r="A639" s="40" t="n">
        <f aca="false">IF(OR($A$4=0,INDEX('COOIS Raw'!$A:$GZ,ROW()-4,$A$4)=""),"",IFERROR(--INDEX('COOIS Raw'!$A:$GZ,ROW()-4,$A$4),INDEX('COOIS Raw'!$A:$GZ,ROW()-4,$A$4)))</f>
        <v>100864156</v>
      </c>
      <c r="B639" s="41" t="str">
        <f aca="false">IF(A639="","",TRIM(INDEX('COOIS Raw'!$A:$GZ,ROW()-4,$B$4)))</f>
        <v>91YAF03404AAA</v>
      </c>
      <c r="C639" s="42" t="str">
        <f aca="false">IF(OR(A639="",$C$4=0),"",INDEX('COOIS Raw'!$A:$GZ,ROW()-4,$C$4))</f>
        <v>R5B PSB SUB ASSEMBLY 4P-4FP</v>
      </c>
      <c r="D639" s="41" t="n">
        <f aca="false">IF(A639="","",IF($D$4=0,1,IFERROR(--INDEX('COOIS Raw'!$A:$GZ,ROW()-4,$D$4),1)))</f>
        <v>1</v>
      </c>
      <c r="E639" s="42" t="str">
        <f aca="false">IF(A639="","",INDEX('COOIS Raw'!$A:$GZ,ROW()-4,$E$4)&amp;"")</f>
        <v>REL PRT CNF DLV PRC GMPS MANC RESA*</v>
      </c>
      <c r="F639" s="43" t="n">
        <f aca="false">IF(A639="","",IFERROR(DATEVALUE(INDEX('COOIS Raw'!$A:$GZ,ROW()-4,$F$4)),INDEX('COOIS Raw'!$A:$GZ,ROW()-4,$F$4)))</f>
        <v>46170</v>
      </c>
      <c r="G639" s="41" t="str">
        <f aca="false">IF(A639="","",IF(ISNA(MATCH(B639,'Kitting Plan'!$B$6:$B$19,0)),"Not in plan","Yes"))</f>
        <v>Yes</v>
      </c>
      <c r="H639" s="41" t="n">
        <f aca="false">IF(G639="Yes",INDEX('Kitting Plan'!$D$6:$D$19,MATCH(B639,'Kitting Plan'!$B$6:$B$19,0)),"")</f>
        <v>3</v>
      </c>
      <c r="I639" s="41" t="n">
        <f aca="false">IF(A639="","",IF(ISNUMBER(SEARCH("PRT",E639)),D639,0))</f>
        <v>1</v>
      </c>
      <c r="J639" s="41" t="n">
        <f aca="false">IF(A639="","",IF(ISNUMBER(SEARCH("GMPS",E639)),D639,0))</f>
        <v>1</v>
      </c>
      <c r="K639" s="41" t="n">
        <f aca="false">IF(A639="","",IF(ISNUMBER(SEARCH("DLV",E639)),D639,0))</f>
        <v>1</v>
      </c>
      <c r="L639" s="41" t="str">
        <f aca="false">IF(A639="","",IF(K639&gt;0,"Delivered",IF(ISNUMBER(SEARCH("CNF",E639)),"In production",IF(J639&gt;0,"Issued",IF(I639&gt;0,"Kitted","Released")))))</f>
        <v>Delivered</v>
      </c>
      <c r="M639" s="41" t="n">
        <f aca="false">IF(G639&lt;&gt;"Yes","",COUNTIFS($B$6:$B$1505,B639,$F$6:$F$1505,"&lt;"&amp;F639)+COUNTIFS($B$6:$B$1505,B639,$F$6:$F$1505,F639,$A$6:$A$1505,"&lt;="&amp;A639))</f>
        <v>8</v>
      </c>
      <c r="N639" s="41" t="n">
        <f aca="false">IF(M639="","",ROUNDUP(M639/H639,0))</f>
        <v>3</v>
      </c>
      <c r="O639" s="41" t="str">
        <f aca="false">IF(N639="","",IF(N639&lt;='Kitting Plan'!$C$3,"Rep "&amp;N639,"Surplus"))</f>
        <v>Rep 3</v>
      </c>
    </row>
    <row r="640" customFormat="false" ht="15" hidden="false" customHeight="false" outlineLevel="0" collapsed="false">
      <c r="A640" s="40" t="n">
        <f aca="false">IF(OR($A$4=0,INDEX('COOIS Raw'!$A:$GZ,ROW()-4,$A$4)=""),"",IFERROR(--INDEX('COOIS Raw'!$A:$GZ,ROW()-4,$A$4),INDEX('COOIS Raw'!$A:$GZ,ROW()-4,$A$4)))</f>
        <v>100864157</v>
      </c>
      <c r="B640" s="41" t="str">
        <f aca="false">IF(A640="","",TRIM(INDEX('COOIS Raw'!$A:$GZ,ROW()-4,$B$4)))</f>
        <v>91YAF03404AAA</v>
      </c>
      <c r="C640" s="42" t="str">
        <f aca="false">IF(OR(A640="",$C$4=0),"",INDEX('COOIS Raw'!$A:$GZ,ROW()-4,$C$4))</f>
        <v>R5B PSB SUB ASSEMBLY 4P-4FP</v>
      </c>
      <c r="D640" s="41" t="n">
        <f aca="false">IF(A640="","",IF($D$4=0,1,IFERROR(--INDEX('COOIS Raw'!$A:$GZ,ROW()-4,$D$4),1)))</f>
        <v>1</v>
      </c>
      <c r="E640" s="42" t="str">
        <f aca="false">IF(A640="","",INDEX('COOIS Raw'!$A:$GZ,ROW()-4,$E$4)&amp;"")</f>
        <v>REL PRT CNF DLV PRC GMPS MANC RESA*</v>
      </c>
      <c r="F640" s="43" t="n">
        <f aca="false">IF(A640="","",IFERROR(DATEVALUE(INDEX('COOIS Raw'!$A:$GZ,ROW()-4,$F$4)),INDEX('COOIS Raw'!$A:$GZ,ROW()-4,$F$4)))</f>
        <v>46170</v>
      </c>
      <c r="G640" s="41" t="str">
        <f aca="false">IF(A640="","",IF(ISNA(MATCH(B640,'Kitting Plan'!$B$6:$B$19,0)),"Not in plan","Yes"))</f>
        <v>Yes</v>
      </c>
      <c r="H640" s="41" t="n">
        <f aca="false">IF(G640="Yes",INDEX('Kitting Plan'!$D$6:$D$19,MATCH(B640,'Kitting Plan'!$B$6:$B$19,0)),"")</f>
        <v>3</v>
      </c>
      <c r="I640" s="41" t="n">
        <f aca="false">IF(A640="","",IF(ISNUMBER(SEARCH("PRT",E640)),D640,0))</f>
        <v>1</v>
      </c>
      <c r="J640" s="41" t="n">
        <f aca="false">IF(A640="","",IF(ISNUMBER(SEARCH("GMPS",E640)),D640,0))</f>
        <v>1</v>
      </c>
      <c r="K640" s="41" t="n">
        <f aca="false">IF(A640="","",IF(ISNUMBER(SEARCH("DLV",E640)),D640,0))</f>
        <v>1</v>
      </c>
      <c r="L640" s="41" t="str">
        <f aca="false">IF(A640="","",IF(K640&gt;0,"Delivered",IF(ISNUMBER(SEARCH("CNF",E640)),"In production",IF(J640&gt;0,"Issued",IF(I640&gt;0,"Kitted","Released")))))</f>
        <v>Delivered</v>
      </c>
      <c r="M640" s="41" t="n">
        <f aca="false">IF(G640&lt;&gt;"Yes","",COUNTIFS($B$6:$B$1505,B640,$F$6:$F$1505,"&lt;"&amp;F640)+COUNTIFS($B$6:$B$1505,B640,$F$6:$F$1505,F640,$A$6:$A$1505,"&lt;="&amp;A640))</f>
        <v>9</v>
      </c>
      <c r="N640" s="41" t="n">
        <f aca="false">IF(M640="","",ROUNDUP(M640/H640,0))</f>
        <v>3</v>
      </c>
      <c r="O640" s="41" t="str">
        <f aca="false">IF(N640="","",IF(N640&lt;='Kitting Plan'!$C$3,"Rep "&amp;N640,"Surplus"))</f>
        <v>Rep 3</v>
      </c>
    </row>
    <row r="641" customFormat="false" ht="15" hidden="false" customHeight="false" outlineLevel="0" collapsed="false">
      <c r="A641" s="40" t="n">
        <f aca="false">IF(OR($A$4=0,INDEX('COOIS Raw'!$A:$GZ,ROW()-4,$A$4)=""),"",IFERROR(--INDEX('COOIS Raw'!$A:$GZ,ROW()-4,$A$4),INDEX('COOIS Raw'!$A:$GZ,ROW()-4,$A$4)))</f>
        <v>100864260</v>
      </c>
      <c r="B641" s="41" t="str">
        <f aca="false">IF(A641="","",TRIM(INDEX('COOIS Raw'!$A:$GZ,ROW()-4,$B$4)))</f>
        <v>92YLS00548BAA</v>
      </c>
      <c r="C641" s="42" t="str">
        <f aca="false">IF(OR(A641="",$C$4=0),"",INDEX('COOIS Raw'!$A:$GZ,ROW()-4,$C$4))</f>
        <v>R5B LASER ASSEMBLY 4P BOAT 1 - E2A</v>
      </c>
      <c r="D641" s="41" t="n">
        <f aca="false">IF(A641="","",IF($D$4=0,1,IFERROR(--INDEX('COOIS Raw'!$A:$GZ,ROW()-4,$D$4),1)))</f>
        <v>1</v>
      </c>
      <c r="E641" s="42" t="str">
        <f aca="false">IF(A641="","",INDEX('COOIS Raw'!$A:$GZ,ROW()-4,$E$4)&amp;"")</f>
        <v>REL PPRT CNF DLV PRC GMPS MANC RESA*</v>
      </c>
      <c r="F641" s="43" t="n">
        <f aca="false">IF(A641="","",IFERROR(DATEVALUE(INDEX('COOIS Raw'!$A:$GZ,ROW()-4,$F$4)),INDEX('COOIS Raw'!$A:$GZ,ROW()-4,$F$4)))</f>
        <v>46170</v>
      </c>
      <c r="G641" s="41" t="str">
        <f aca="false">IF(A641="","",IF(ISNA(MATCH(B641,'Kitting Plan'!$B$6:$B$19,0)),"Not in plan","Yes"))</f>
        <v>Yes</v>
      </c>
      <c r="H641" s="41" t="n">
        <f aca="false">IF(G641="Yes",INDEX('Kitting Plan'!$D$6:$D$19,MATCH(B641,'Kitting Plan'!$B$6:$B$19,0)),"")</f>
        <v>1</v>
      </c>
      <c r="I641" s="41" t="n">
        <f aca="false">IF(A641="","",IF(ISNUMBER(SEARCH("PRT",E641)),D641,0))</f>
        <v>1</v>
      </c>
      <c r="J641" s="41" t="n">
        <f aca="false">IF(A641="","",IF(ISNUMBER(SEARCH("GMPS",E641)),D641,0))</f>
        <v>1</v>
      </c>
      <c r="K641" s="41" t="n">
        <f aca="false">IF(A641="","",IF(ISNUMBER(SEARCH("DLV",E641)),D641,0))</f>
        <v>1</v>
      </c>
      <c r="L641" s="41" t="str">
        <f aca="false">IF(A641="","",IF(K641&gt;0,"Delivered",IF(ISNUMBER(SEARCH("CNF",E641)),"In production",IF(J641&gt;0,"Issued",IF(I641&gt;0,"Kitted","Released")))))</f>
        <v>Delivered</v>
      </c>
      <c r="M641" s="41" t="n">
        <f aca="false">IF(G641&lt;&gt;"Yes","",COUNTIFS($B$6:$B$1505,B641,$F$6:$F$1505,"&lt;"&amp;F641)+COUNTIFS($B$6:$B$1505,B641,$F$6:$F$1505,F641,$A$6:$A$1505,"&lt;="&amp;A641))</f>
        <v>3</v>
      </c>
      <c r="N641" s="41" t="n">
        <f aca="false">IF(M641="","",ROUNDUP(M641/H641,0))</f>
        <v>3</v>
      </c>
      <c r="O641" s="41" t="str">
        <f aca="false">IF(N641="","",IF(N641&lt;='Kitting Plan'!$C$3,"Rep "&amp;N641,"Surplus"))</f>
        <v>Rep 3</v>
      </c>
    </row>
    <row r="642" customFormat="false" ht="15" hidden="false" customHeight="false" outlineLevel="0" collapsed="false">
      <c r="A642" s="40" t="n">
        <f aca="false">IF(OR($A$4=0,INDEX('COOIS Raw'!$A:$GZ,ROW()-4,$A$4)=""),"",IFERROR(--INDEX('COOIS Raw'!$A:$GZ,ROW()-4,$A$4),INDEX('COOIS Raw'!$A:$GZ,ROW()-4,$A$4)))</f>
        <v>100863682</v>
      </c>
      <c r="B642" s="41" t="str">
        <f aca="false">IF(A642="","",TRIM(INDEX('COOIS Raw'!$A:$GZ,ROW()-4,$B$4)))</f>
        <v>92RRA00548AAA</v>
      </c>
      <c r="C642" s="42" t="str">
        <f aca="false">IF(OR(A642="",$C$4=0),"",INDEX('COOIS Raw'!$A:$GZ,ROW()-4,$C$4))</f>
        <v>R5B ERBIUM SPOOL ASSEMBLY - E2A</v>
      </c>
      <c r="D642" s="41" t="n">
        <f aca="false">IF(A642="","",IF($D$4=0,1,IFERROR(--INDEX('COOIS Raw'!$A:$GZ,ROW()-4,$D$4),1)))</f>
        <v>1</v>
      </c>
      <c r="E642" s="42" t="str">
        <f aca="false">IF(A642="","",INDEX('COOIS Raw'!$A:$GZ,ROW()-4,$E$4)&amp;"")</f>
        <v>REL PRT CNF DLV PRC GMPS MANC SETC*</v>
      </c>
      <c r="F642" s="43" t="n">
        <f aca="false">IF(A642="","",IFERROR(DATEVALUE(INDEX('COOIS Raw'!$A:$GZ,ROW()-4,$F$4)),INDEX('COOIS Raw'!$A:$GZ,ROW()-4,$F$4)))</f>
        <v>46165</v>
      </c>
      <c r="G642" s="41" t="str">
        <f aca="false">IF(A642="","",IF(ISNA(MATCH(B642,'Kitting Plan'!$B$6:$B$19,0)),"Not in plan","Yes"))</f>
        <v>Yes</v>
      </c>
      <c r="H642" s="41" t="n">
        <f aca="false">IF(G642="Yes",INDEX('Kitting Plan'!$D$6:$D$19,MATCH(B642,'Kitting Plan'!$B$6:$B$19,0)),"")</f>
        <v>24</v>
      </c>
      <c r="I642" s="41" t="n">
        <f aca="false">IF(A642="","",IF(ISNUMBER(SEARCH("PRT",E642)),D642,0))</f>
        <v>1</v>
      </c>
      <c r="J642" s="41" t="n">
        <f aca="false">IF(A642="","",IF(ISNUMBER(SEARCH("GMPS",E642)),D642,0))</f>
        <v>1</v>
      </c>
      <c r="K642" s="41" t="n">
        <f aca="false">IF(A642="","",IF(ISNUMBER(SEARCH("DLV",E642)),D642,0))</f>
        <v>1</v>
      </c>
      <c r="L642" s="41" t="str">
        <f aca="false">IF(A642="","",IF(K642&gt;0,"Delivered",IF(ISNUMBER(SEARCH("CNF",E642)),"In production",IF(J642&gt;0,"Issued",IF(I642&gt;0,"Kitted","Released")))))</f>
        <v>Delivered</v>
      </c>
      <c r="M642" s="41" t="n">
        <f aca="false">IF(G642&lt;&gt;"Yes","",COUNTIFS($B$6:$B$1505,B642,$F$6:$F$1505,"&lt;"&amp;F642)+COUNTIFS($B$6:$B$1505,B642,$F$6:$F$1505,F642,$A$6:$A$1505,"&lt;="&amp;A642))</f>
        <v>1</v>
      </c>
      <c r="N642" s="41" t="n">
        <f aca="false">IF(M642="","",ROUNDUP(M642/H642,0))</f>
        <v>1</v>
      </c>
      <c r="O642" s="41" t="str">
        <f aca="false">IF(N642="","",IF(N642&lt;='Kitting Plan'!$C$3,"Rep "&amp;N642,"Surplus"))</f>
        <v>Rep 1</v>
      </c>
    </row>
    <row r="643" customFormat="false" ht="15" hidden="false" customHeight="false" outlineLevel="0" collapsed="false">
      <c r="A643" s="40" t="n">
        <f aca="false">IF(OR($A$4=0,INDEX('COOIS Raw'!$A:$GZ,ROW()-4,$A$4)=""),"",IFERROR(--INDEX('COOIS Raw'!$A:$GZ,ROW()-4,$A$4),INDEX('COOIS Raw'!$A:$GZ,ROW()-4,$A$4)))</f>
        <v>100863685</v>
      </c>
      <c r="B643" s="41" t="str">
        <f aca="false">IF(A643="","",TRIM(INDEX('COOIS Raw'!$A:$GZ,ROW()-4,$B$4)))</f>
        <v>92RRA00548AAA</v>
      </c>
      <c r="C643" s="42" t="str">
        <f aca="false">IF(OR(A643="",$C$4=0),"",INDEX('COOIS Raw'!$A:$GZ,ROW()-4,$C$4))</f>
        <v>R5B ERBIUM SPOOL ASSEMBLY - E2A</v>
      </c>
      <c r="D643" s="41" t="n">
        <f aca="false">IF(A643="","",IF($D$4=0,1,IFERROR(--INDEX('COOIS Raw'!$A:$GZ,ROW()-4,$D$4),1)))</f>
        <v>1</v>
      </c>
      <c r="E643" s="42" t="str">
        <f aca="false">IF(A643="","",INDEX('COOIS Raw'!$A:$GZ,ROW()-4,$E$4)&amp;"")</f>
        <v>REL PRT CNF DLV PRC GMPS MANC RESA*</v>
      </c>
      <c r="F643" s="43" t="n">
        <f aca="false">IF(A643="","",IFERROR(DATEVALUE(INDEX('COOIS Raw'!$A:$GZ,ROW()-4,$F$4)),INDEX('COOIS Raw'!$A:$GZ,ROW()-4,$F$4)))</f>
        <v>46165</v>
      </c>
      <c r="G643" s="41" t="str">
        <f aca="false">IF(A643="","",IF(ISNA(MATCH(B643,'Kitting Plan'!$B$6:$B$19,0)),"Not in plan","Yes"))</f>
        <v>Yes</v>
      </c>
      <c r="H643" s="41" t="n">
        <f aca="false">IF(G643="Yes",INDEX('Kitting Plan'!$D$6:$D$19,MATCH(B643,'Kitting Plan'!$B$6:$B$19,0)),"")</f>
        <v>24</v>
      </c>
      <c r="I643" s="41" t="n">
        <f aca="false">IF(A643="","",IF(ISNUMBER(SEARCH("PRT",E643)),D643,0))</f>
        <v>1</v>
      </c>
      <c r="J643" s="41" t="n">
        <f aca="false">IF(A643="","",IF(ISNUMBER(SEARCH("GMPS",E643)),D643,0))</f>
        <v>1</v>
      </c>
      <c r="K643" s="41" t="n">
        <f aca="false">IF(A643="","",IF(ISNUMBER(SEARCH("DLV",E643)),D643,0))</f>
        <v>1</v>
      </c>
      <c r="L643" s="41" t="str">
        <f aca="false">IF(A643="","",IF(K643&gt;0,"Delivered",IF(ISNUMBER(SEARCH("CNF",E643)),"In production",IF(J643&gt;0,"Issued",IF(I643&gt;0,"Kitted","Released")))))</f>
        <v>Delivered</v>
      </c>
      <c r="M643" s="41" t="n">
        <f aca="false">IF(G643&lt;&gt;"Yes","",COUNTIFS($B$6:$B$1505,B643,$F$6:$F$1505,"&lt;"&amp;F643)+COUNTIFS($B$6:$B$1505,B643,$F$6:$F$1505,F643,$A$6:$A$1505,"&lt;="&amp;A643))</f>
        <v>2</v>
      </c>
      <c r="N643" s="41" t="n">
        <f aca="false">IF(M643="","",ROUNDUP(M643/H643,0))</f>
        <v>1</v>
      </c>
      <c r="O643" s="41" t="str">
        <f aca="false">IF(N643="","",IF(N643&lt;='Kitting Plan'!$C$3,"Rep "&amp;N643,"Surplus"))</f>
        <v>Rep 1</v>
      </c>
    </row>
    <row r="644" customFormat="false" ht="15" hidden="false" customHeight="false" outlineLevel="0" collapsed="false">
      <c r="A644" s="40" t="n">
        <f aca="false">IF(OR($A$4=0,INDEX('COOIS Raw'!$A:$GZ,ROW()-4,$A$4)=""),"",IFERROR(--INDEX('COOIS Raw'!$A:$GZ,ROW()-4,$A$4),INDEX('COOIS Raw'!$A:$GZ,ROW()-4,$A$4)))</f>
        <v>100863686</v>
      </c>
      <c r="B644" s="41" t="str">
        <f aca="false">IF(A644="","",TRIM(INDEX('COOIS Raw'!$A:$GZ,ROW()-4,$B$4)))</f>
        <v>92RRA00548AAA</v>
      </c>
      <c r="C644" s="42" t="str">
        <f aca="false">IF(OR(A644="",$C$4=0),"",INDEX('COOIS Raw'!$A:$GZ,ROW()-4,$C$4))</f>
        <v>R5B ERBIUM SPOOL ASSEMBLY - E2A</v>
      </c>
      <c r="D644" s="41" t="n">
        <f aca="false">IF(A644="","",IF($D$4=0,1,IFERROR(--INDEX('COOIS Raw'!$A:$GZ,ROW()-4,$D$4),1)))</f>
        <v>1</v>
      </c>
      <c r="E644" s="42" t="str">
        <f aca="false">IF(A644="","",INDEX('COOIS Raw'!$A:$GZ,ROW()-4,$E$4)&amp;"")</f>
        <v>REL PRT CNF DLV PRC GMPS MANC RESA*</v>
      </c>
      <c r="F644" s="43" t="n">
        <f aca="false">IF(A644="","",IFERROR(DATEVALUE(INDEX('COOIS Raw'!$A:$GZ,ROW()-4,$F$4)),INDEX('COOIS Raw'!$A:$GZ,ROW()-4,$F$4)))</f>
        <v>46165</v>
      </c>
      <c r="G644" s="41" t="str">
        <f aca="false">IF(A644="","",IF(ISNA(MATCH(B644,'Kitting Plan'!$B$6:$B$19,0)),"Not in plan","Yes"))</f>
        <v>Yes</v>
      </c>
      <c r="H644" s="41" t="n">
        <f aca="false">IF(G644="Yes",INDEX('Kitting Plan'!$D$6:$D$19,MATCH(B644,'Kitting Plan'!$B$6:$B$19,0)),"")</f>
        <v>24</v>
      </c>
      <c r="I644" s="41" t="n">
        <f aca="false">IF(A644="","",IF(ISNUMBER(SEARCH("PRT",E644)),D644,0))</f>
        <v>1</v>
      </c>
      <c r="J644" s="41" t="n">
        <f aca="false">IF(A644="","",IF(ISNUMBER(SEARCH("GMPS",E644)),D644,0))</f>
        <v>1</v>
      </c>
      <c r="K644" s="41" t="n">
        <f aca="false">IF(A644="","",IF(ISNUMBER(SEARCH("DLV",E644)),D644,0))</f>
        <v>1</v>
      </c>
      <c r="L644" s="41" t="str">
        <f aca="false">IF(A644="","",IF(K644&gt;0,"Delivered",IF(ISNUMBER(SEARCH("CNF",E644)),"In production",IF(J644&gt;0,"Issued",IF(I644&gt;0,"Kitted","Released")))))</f>
        <v>Delivered</v>
      </c>
      <c r="M644" s="41" t="n">
        <f aca="false">IF(G644&lt;&gt;"Yes","",COUNTIFS($B$6:$B$1505,B644,$F$6:$F$1505,"&lt;"&amp;F644)+COUNTIFS($B$6:$B$1505,B644,$F$6:$F$1505,F644,$A$6:$A$1505,"&lt;="&amp;A644))</f>
        <v>3</v>
      </c>
      <c r="N644" s="41" t="n">
        <f aca="false">IF(M644="","",ROUNDUP(M644/H644,0))</f>
        <v>1</v>
      </c>
      <c r="O644" s="41" t="str">
        <f aca="false">IF(N644="","",IF(N644&lt;='Kitting Plan'!$C$3,"Rep "&amp;N644,"Surplus"))</f>
        <v>Rep 1</v>
      </c>
    </row>
    <row r="645" customFormat="false" ht="15" hidden="false" customHeight="false" outlineLevel="0" collapsed="false">
      <c r="A645" s="40" t="n">
        <f aca="false">IF(OR($A$4=0,INDEX('COOIS Raw'!$A:$GZ,ROW()-4,$A$4)=""),"",IFERROR(--INDEX('COOIS Raw'!$A:$GZ,ROW()-4,$A$4),INDEX('COOIS Raw'!$A:$GZ,ROW()-4,$A$4)))</f>
        <v>100863687</v>
      </c>
      <c r="B645" s="41" t="str">
        <f aca="false">IF(A645="","",TRIM(INDEX('COOIS Raw'!$A:$GZ,ROW()-4,$B$4)))</f>
        <v>92RRA00548AAA</v>
      </c>
      <c r="C645" s="42" t="str">
        <f aca="false">IF(OR(A645="",$C$4=0),"",INDEX('COOIS Raw'!$A:$GZ,ROW()-4,$C$4))</f>
        <v>R5B ERBIUM SPOOL ASSEMBLY - E2A</v>
      </c>
      <c r="D645" s="41" t="n">
        <f aca="false">IF(A645="","",IF($D$4=0,1,IFERROR(--INDEX('COOIS Raw'!$A:$GZ,ROW()-4,$D$4),1)))</f>
        <v>1</v>
      </c>
      <c r="E645" s="42" t="str">
        <f aca="false">IF(A645="","",INDEX('COOIS Raw'!$A:$GZ,ROW()-4,$E$4)&amp;"")</f>
        <v>REL PRT CNF DLV PRC GMPS MANC RESA*</v>
      </c>
      <c r="F645" s="43" t="n">
        <f aca="false">IF(A645="","",IFERROR(DATEVALUE(INDEX('COOIS Raw'!$A:$GZ,ROW()-4,$F$4)),INDEX('COOIS Raw'!$A:$GZ,ROW()-4,$F$4)))</f>
        <v>46165</v>
      </c>
      <c r="G645" s="41" t="str">
        <f aca="false">IF(A645="","",IF(ISNA(MATCH(B645,'Kitting Plan'!$B$6:$B$19,0)),"Not in plan","Yes"))</f>
        <v>Yes</v>
      </c>
      <c r="H645" s="41" t="n">
        <f aca="false">IF(G645="Yes",INDEX('Kitting Plan'!$D$6:$D$19,MATCH(B645,'Kitting Plan'!$B$6:$B$19,0)),"")</f>
        <v>24</v>
      </c>
      <c r="I645" s="41" t="n">
        <f aca="false">IF(A645="","",IF(ISNUMBER(SEARCH("PRT",E645)),D645,0))</f>
        <v>1</v>
      </c>
      <c r="J645" s="41" t="n">
        <f aca="false">IF(A645="","",IF(ISNUMBER(SEARCH("GMPS",E645)),D645,0))</f>
        <v>1</v>
      </c>
      <c r="K645" s="41" t="n">
        <f aca="false">IF(A645="","",IF(ISNUMBER(SEARCH("DLV",E645)),D645,0))</f>
        <v>1</v>
      </c>
      <c r="L645" s="41" t="str">
        <f aca="false">IF(A645="","",IF(K645&gt;0,"Delivered",IF(ISNUMBER(SEARCH("CNF",E645)),"In production",IF(J645&gt;0,"Issued",IF(I645&gt;0,"Kitted","Released")))))</f>
        <v>Delivered</v>
      </c>
      <c r="M645" s="41" t="n">
        <f aca="false">IF(G645&lt;&gt;"Yes","",COUNTIFS($B$6:$B$1505,B645,$F$6:$F$1505,"&lt;"&amp;F645)+COUNTIFS($B$6:$B$1505,B645,$F$6:$F$1505,F645,$A$6:$A$1505,"&lt;="&amp;A645))</f>
        <v>4</v>
      </c>
      <c r="N645" s="41" t="n">
        <f aca="false">IF(M645="","",ROUNDUP(M645/H645,0))</f>
        <v>1</v>
      </c>
      <c r="O645" s="41" t="str">
        <f aca="false">IF(N645="","",IF(N645&lt;='Kitting Plan'!$C$3,"Rep "&amp;N645,"Surplus"))</f>
        <v>Rep 1</v>
      </c>
    </row>
    <row r="646" customFormat="false" ht="15" hidden="false" customHeight="false" outlineLevel="0" collapsed="false">
      <c r="A646" s="40" t="n">
        <f aca="false">IF(OR($A$4=0,INDEX('COOIS Raw'!$A:$GZ,ROW()-4,$A$4)=""),"",IFERROR(--INDEX('COOIS Raw'!$A:$GZ,ROW()-4,$A$4),INDEX('COOIS Raw'!$A:$GZ,ROW()-4,$A$4)))</f>
        <v>100863692</v>
      </c>
      <c r="B646" s="41" t="str">
        <f aca="false">IF(A646="","",TRIM(INDEX('COOIS Raw'!$A:$GZ,ROW()-4,$B$4)))</f>
        <v>92RRA00548AAA</v>
      </c>
      <c r="C646" s="42" t="str">
        <f aca="false">IF(OR(A646="",$C$4=0),"",INDEX('COOIS Raw'!$A:$GZ,ROW()-4,$C$4))</f>
        <v>R5B ERBIUM SPOOL ASSEMBLY - E2A</v>
      </c>
      <c r="D646" s="41" t="n">
        <f aca="false">IF(A646="","",IF($D$4=0,1,IFERROR(--INDEX('COOIS Raw'!$A:$GZ,ROW()-4,$D$4),1)))</f>
        <v>1</v>
      </c>
      <c r="E646" s="42" t="str">
        <f aca="false">IF(A646="","",INDEX('COOIS Raw'!$A:$GZ,ROW()-4,$E$4)&amp;"")</f>
        <v>REL PRT CNF DLV PRC GMPS MANC RESA*</v>
      </c>
      <c r="F646" s="43" t="n">
        <f aca="false">IF(A646="","",IFERROR(DATEVALUE(INDEX('COOIS Raw'!$A:$GZ,ROW()-4,$F$4)),INDEX('COOIS Raw'!$A:$GZ,ROW()-4,$F$4)))</f>
        <v>46165</v>
      </c>
      <c r="G646" s="41" t="str">
        <f aca="false">IF(A646="","",IF(ISNA(MATCH(B646,'Kitting Plan'!$B$6:$B$19,0)),"Not in plan","Yes"))</f>
        <v>Yes</v>
      </c>
      <c r="H646" s="41" t="n">
        <f aca="false">IF(G646="Yes",INDEX('Kitting Plan'!$D$6:$D$19,MATCH(B646,'Kitting Plan'!$B$6:$B$19,0)),"")</f>
        <v>24</v>
      </c>
      <c r="I646" s="41" t="n">
        <f aca="false">IF(A646="","",IF(ISNUMBER(SEARCH("PRT",E646)),D646,0))</f>
        <v>1</v>
      </c>
      <c r="J646" s="41" t="n">
        <f aca="false">IF(A646="","",IF(ISNUMBER(SEARCH("GMPS",E646)),D646,0))</f>
        <v>1</v>
      </c>
      <c r="K646" s="41" t="n">
        <f aca="false">IF(A646="","",IF(ISNUMBER(SEARCH("DLV",E646)),D646,0))</f>
        <v>1</v>
      </c>
      <c r="L646" s="41" t="str">
        <f aca="false">IF(A646="","",IF(K646&gt;0,"Delivered",IF(ISNUMBER(SEARCH("CNF",E646)),"In production",IF(J646&gt;0,"Issued",IF(I646&gt;0,"Kitted","Released")))))</f>
        <v>Delivered</v>
      </c>
      <c r="M646" s="41" t="n">
        <f aca="false">IF(G646&lt;&gt;"Yes","",COUNTIFS($B$6:$B$1505,B646,$F$6:$F$1505,"&lt;"&amp;F646)+COUNTIFS($B$6:$B$1505,B646,$F$6:$F$1505,F646,$A$6:$A$1505,"&lt;="&amp;A646))</f>
        <v>5</v>
      </c>
      <c r="N646" s="41" t="n">
        <f aca="false">IF(M646="","",ROUNDUP(M646/H646,0))</f>
        <v>1</v>
      </c>
      <c r="O646" s="41" t="str">
        <f aca="false">IF(N646="","",IF(N646&lt;='Kitting Plan'!$C$3,"Rep "&amp;N646,"Surplus"))</f>
        <v>Rep 1</v>
      </c>
    </row>
    <row r="647" customFormat="false" ht="15" hidden="false" customHeight="false" outlineLevel="0" collapsed="false">
      <c r="A647" s="40" t="n">
        <f aca="false">IF(OR($A$4=0,INDEX('COOIS Raw'!$A:$GZ,ROW()-4,$A$4)=""),"",IFERROR(--INDEX('COOIS Raw'!$A:$GZ,ROW()-4,$A$4),INDEX('COOIS Raw'!$A:$GZ,ROW()-4,$A$4)))</f>
        <v>100863693</v>
      </c>
      <c r="B647" s="41" t="str">
        <f aca="false">IF(A647="","",TRIM(INDEX('COOIS Raw'!$A:$GZ,ROW()-4,$B$4)))</f>
        <v>92RRA00548AAA</v>
      </c>
      <c r="C647" s="42" t="str">
        <f aca="false">IF(OR(A647="",$C$4=0),"",INDEX('COOIS Raw'!$A:$GZ,ROW()-4,$C$4))</f>
        <v>R5B ERBIUM SPOOL ASSEMBLY - E2A</v>
      </c>
      <c r="D647" s="41" t="n">
        <f aca="false">IF(A647="","",IF($D$4=0,1,IFERROR(--INDEX('COOIS Raw'!$A:$GZ,ROW()-4,$D$4),1)))</f>
        <v>1</v>
      </c>
      <c r="E647" s="42" t="str">
        <f aca="false">IF(A647="","",INDEX('COOIS Raw'!$A:$GZ,ROW()-4,$E$4)&amp;"")</f>
        <v>REL PRT CNF DLV PRC GMPS MANC RESA*</v>
      </c>
      <c r="F647" s="43" t="n">
        <f aca="false">IF(A647="","",IFERROR(DATEVALUE(INDEX('COOIS Raw'!$A:$GZ,ROW()-4,$F$4)),INDEX('COOIS Raw'!$A:$GZ,ROW()-4,$F$4)))</f>
        <v>46165</v>
      </c>
      <c r="G647" s="41" t="str">
        <f aca="false">IF(A647="","",IF(ISNA(MATCH(B647,'Kitting Plan'!$B$6:$B$19,0)),"Not in plan","Yes"))</f>
        <v>Yes</v>
      </c>
      <c r="H647" s="41" t="n">
        <f aca="false">IF(G647="Yes",INDEX('Kitting Plan'!$D$6:$D$19,MATCH(B647,'Kitting Plan'!$B$6:$B$19,0)),"")</f>
        <v>24</v>
      </c>
      <c r="I647" s="41" t="n">
        <f aca="false">IF(A647="","",IF(ISNUMBER(SEARCH("PRT",E647)),D647,0))</f>
        <v>1</v>
      </c>
      <c r="J647" s="41" t="n">
        <f aca="false">IF(A647="","",IF(ISNUMBER(SEARCH("GMPS",E647)),D647,0))</f>
        <v>1</v>
      </c>
      <c r="K647" s="41" t="n">
        <f aca="false">IF(A647="","",IF(ISNUMBER(SEARCH("DLV",E647)),D647,0))</f>
        <v>1</v>
      </c>
      <c r="L647" s="41" t="str">
        <f aca="false">IF(A647="","",IF(K647&gt;0,"Delivered",IF(ISNUMBER(SEARCH("CNF",E647)),"In production",IF(J647&gt;0,"Issued",IF(I647&gt;0,"Kitted","Released")))))</f>
        <v>Delivered</v>
      </c>
      <c r="M647" s="41" t="n">
        <f aca="false">IF(G647&lt;&gt;"Yes","",COUNTIFS($B$6:$B$1505,B647,$F$6:$F$1505,"&lt;"&amp;F647)+COUNTIFS($B$6:$B$1505,B647,$F$6:$F$1505,F647,$A$6:$A$1505,"&lt;="&amp;A647))</f>
        <v>6</v>
      </c>
      <c r="N647" s="41" t="n">
        <f aca="false">IF(M647="","",ROUNDUP(M647/H647,0))</f>
        <v>1</v>
      </c>
      <c r="O647" s="41" t="str">
        <f aca="false">IF(N647="","",IF(N647&lt;='Kitting Plan'!$C$3,"Rep "&amp;N647,"Surplus"))</f>
        <v>Rep 1</v>
      </c>
    </row>
    <row r="648" customFormat="false" ht="15" hidden="false" customHeight="false" outlineLevel="0" collapsed="false">
      <c r="A648" s="40" t="n">
        <f aca="false">IF(OR($A$4=0,INDEX('COOIS Raw'!$A:$GZ,ROW()-4,$A$4)=""),"",IFERROR(--INDEX('COOIS Raw'!$A:$GZ,ROW()-4,$A$4),INDEX('COOIS Raw'!$A:$GZ,ROW()-4,$A$4)))</f>
        <v>100863694</v>
      </c>
      <c r="B648" s="41" t="str">
        <f aca="false">IF(A648="","",TRIM(INDEX('COOIS Raw'!$A:$GZ,ROW()-4,$B$4)))</f>
        <v>92RRA00548AAA</v>
      </c>
      <c r="C648" s="42" t="str">
        <f aca="false">IF(OR(A648="",$C$4=0),"",INDEX('COOIS Raw'!$A:$GZ,ROW()-4,$C$4))</f>
        <v>R5B ERBIUM SPOOL ASSEMBLY - E2A</v>
      </c>
      <c r="D648" s="41" t="n">
        <f aca="false">IF(A648="","",IF($D$4=0,1,IFERROR(--INDEX('COOIS Raw'!$A:$GZ,ROW()-4,$D$4),1)))</f>
        <v>1</v>
      </c>
      <c r="E648" s="42" t="str">
        <f aca="false">IF(A648="","",INDEX('COOIS Raw'!$A:$GZ,ROW()-4,$E$4)&amp;"")</f>
        <v>REL PRT CNF DLV PRC GMPS MANC RESA*</v>
      </c>
      <c r="F648" s="43" t="n">
        <f aca="false">IF(A648="","",IFERROR(DATEVALUE(INDEX('COOIS Raw'!$A:$GZ,ROW()-4,$F$4)),INDEX('COOIS Raw'!$A:$GZ,ROW()-4,$F$4)))</f>
        <v>46165</v>
      </c>
      <c r="G648" s="41" t="str">
        <f aca="false">IF(A648="","",IF(ISNA(MATCH(B648,'Kitting Plan'!$B$6:$B$19,0)),"Not in plan","Yes"))</f>
        <v>Yes</v>
      </c>
      <c r="H648" s="41" t="n">
        <f aca="false">IF(G648="Yes",INDEX('Kitting Plan'!$D$6:$D$19,MATCH(B648,'Kitting Plan'!$B$6:$B$19,0)),"")</f>
        <v>24</v>
      </c>
      <c r="I648" s="41" t="n">
        <f aca="false">IF(A648="","",IF(ISNUMBER(SEARCH("PRT",E648)),D648,0))</f>
        <v>1</v>
      </c>
      <c r="J648" s="41" t="n">
        <f aca="false">IF(A648="","",IF(ISNUMBER(SEARCH("GMPS",E648)),D648,0))</f>
        <v>1</v>
      </c>
      <c r="K648" s="41" t="n">
        <f aca="false">IF(A648="","",IF(ISNUMBER(SEARCH("DLV",E648)),D648,0))</f>
        <v>1</v>
      </c>
      <c r="L648" s="41" t="str">
        <f aca="false">IF(A648="","",IF(K648&gt;0,"Delivered",IF(ISNUMBER(SEARCH("CNF",E648)),"In production",IF(J648&gt;0,"Issued",IF(I648&gt;0,"Kitted","Released")))))</f>
        <v>Delivered</v>
      </c>
      <c r="M648" s="41" t="n">
        <f aca="false">IF(G648&lt;&gt;"Yes","",COUNTIFS($B$6:$B$1505,B648,$F$6:$F$1505,"&lt;"&amp;F648)+COUNTIFS($B$6:$B$1505,B648,$F$6:$F$1505,F648,$A$6:$A$1505,"&lt;="&amp;A648))</f>
        <v>7</v>
      </c>
      <c r="N648" s="41" t="n">
        <f aca="false">IF(M648="","",ROUNDUP(M648/H648,0))</f>
        <v>1</v>
      </c>
      <c r="O648" s="41" t="str">
        <f aca="false">IF(N648="","",IF(N648&lt;='Kitting Plan'!$C$3,"Rep "&amp;N648,"Surplus"))</f>
        <v>Rep 1</v>
      </c>
    </row>
    <row r="649" customFormat="false" ht="15" hidden="false" customHeight="false" outlineLevel="0" collapsed="false">
      <c r="A649" s="40" t="n">
        <f aca="false">IF(OR($A$4=0,INDEX('COOIS Raw'!$A:$GZ,ROW()-4,$A$4)=""),"",IFERROR(--INDEX('COOIS Raw'!$A:$GZ,ROW()-4,$A$4),INDEX('COOIS Raw'!$A:$GZ,ROW()-4,$A$4)))</f>
        <v>100863695</v>
      </c>
      <c r="B649" s="41" t="str">
        <f aca="false">IF(A649="","",TRIM(INDEX('COOIS Raw'!$A:$GZ,ROW()-4,$B$4)))</f>
        <v>92RRA00548AAA</v>
      </c>
      <c r="C649" s="42" t="str">
        <f aca="false">IF(OR(A649="",$C$4=0),"",INDEX('COOIS Raw'!$A:$GZ,ROW()-4,$C$4))</f>
        <v>R5B ERBIUM SPOOL ASSEMBLY - E2A</v>
      </c>
      <c r="D649" s="41" t="n">
        <f aca="false">IF(A649="","",IF($D$4=0,1,IFERROR(--INDEX('COOIS Raw'!$A:$GZ,ROW()-4,$D$4),1)))</f>
        <v>1</v>
      </c>
      <c r="E649" s="42" t="str">
        <f aca="false">IF(A649="","",INDEX('COOIS Raw'!$A:$GZ,ROW()-4,$E$4)&amp;"")</f>
        <v>REL PRT CNF DLV PRC GMPS MANC RESA*</v>
      </c>
      <c r="F649" s="43" t="n">
        <f aca="false">IF(A649="","",IFERROR(DATEVALUE(INDEX('COOIS Raw'!$A:$GZ,ROW()-4,$F$4)),INDEX('COOIS Raw'!$A:$GZ,ROW()-4,$F$4)))</f>
        <v>46165</v>
      </c>
      <c r="G649" s="41" t="str">
        <f aca="false">IF(A649="","",IF(ISNA(MATCH(B649,'Kitting Plan'!$B$6:$B$19,0)),"Not in plan","Yes"))</f>
        <v>Yes</v>
      </c>
      <c r="H649" s="41" t="n">
        <f aca="false">IF(G649="Yes",INDEX('Kitting Plan'!$D$6:$D$19,MATCH(B649,'Kitting Plan'!$B$6:$B$19,0)),"")</f>
        <v>24</v>
      </c>
      <c r="I649" s="41" t="n">
        <f aca="false">IF(A649="","",IF(ISNUMBER(SEARCH("PRT",E649)),D649,0))</f>
        <v>1</v>
      </c>
      <c r="J649" s="41" t="n">
        <f aca="false">IF(A649="","",IF(ISNUMBER(SEARCH("GMPS",E649)),D649,0))</f>
        <v>1</v>
      </c>
      <c r="K649" s="41" t="n">
        <f aca="false">IF(A649="","",IF(ISNUMBER(SEARCH("DLV",E649)),D649,0))</f>
        <v>1</v>
      </c>
      <c r="L649" s="41" t="str">
        <f aca="false">IF(A649="","",IF(K649&gt;0,"Delivered",IF(ISNUMBER(SEARCH("CNF",E649)),"In production",IF(J649&gt;0,"Issued",IF(I649&gt;0,"Kitted","Released")))))</f>
        <v>Delivered</v>
      </c>
      <c r="M649" s="41" t="n">
        <f aca="false">IF(G649&lt;&gt;"Yes","",COUNTIFS($B$6:$B$1505,B649,$F$6:$F$1505,"&lt;"&amp;F649)+COUNTIFS($B$6:$B$1505,B649,$F$6:$F$1505,F649,$A$6:$A$1505,"&lt;="&amp;A649))</f>
        <v>8</v>
      </c>
      <c r="N649" s="41" t="n">
        <f aca="false">IF(M649="","",ROUNDUP(M649/H649,0))</f>
        <v>1</v>
      </c>
      <c r="O649" s="41" t="str">
        <f aca="false">IF(N649="","",IF(N649&lt;='Kitting Plan'!$C$3,"Rep "&amp;N649,"Surplus"))</f>
        <v>Rep 1</v>
      </c>
    </row>
    <row r="650" customFormat="false" ht="15" hidden="false" customHeight="false" outlineLevel="0" collapsed="false">
      <c r="A650" s="40" t="n">
        <f aca="false">IF(OR($A$4=0,INDEX('COOIS Raw'!$A:$GZ,ROW()-4,$A$4)=""),"",IFERROR(--INDEX('COOIS Raw'!$A:$GZ,ROW()-4,$A$4),INDEX('COOIS Raw'!$A:$GZ,ROW()-4,$A$4)))</f>
        <v>100863696</v>
      </c>
      <c r="B650" s="41" t="str">
        <f aca="false">IF(A650="","",TRIM(INDEX('COOIS Raw'!$A:$GZ,ROW()-4,$B$4)))</f>
        <v>92RRA00548AAA</v>
      </c>
      <c r="C650" s="42" t="str">
        <f aca="false">IF(OR(A650="",$C$4=0),"",INDEX('COOIS Raw'!$A:$GZ,ROW()-4,$C$4))</f>
        <v>R5B ERBIUM SPOOL ASSEMBLY - E2A</v>
      </c>
      <c r="D650" s="41" t="n">
        <f aca="false">IF(A650="","",IF($D$4=0,1,IFERROR(--INDEX('COOIS Raw'!$A:$GZ,ROW()-4,$D$4),1)))</f>
        <v>1</v>
      </c>
      <c r="E650" s="42" t="str">
        <f aca="false">IF(A650="","",INDEX('COOIS Raw'!$A:$GZ,ROW()-4,$E$4)&amp;"")</f>
        <v>REL PRT CNF DLV PRC GMPS MANC RESA*</v>
      </c>
      <c r="F650" s="43" t="n">
        <f aca="false">IF(A650="","",IFERROR(DATEVALUE(INDEX('COOIS Raw'!$A:$GZ,ROW()-4,$F$4)),INDEX('COOIS Raw'!$A:$GZ,ROW()-4,$F$4)))</f>
        <v>46165</v>
      </c>
      <c r="G650" s="41" t="str">
        <f aca="false">IF(A650="","",IF(ISNA(MATCH(B650,'Kitting Plan'!$B$6:$B$19,0)),"Not in plan","Yes"))</f>
        <v>Yes</v>
      </c>
      <c r="H650" s="41" t="n">
        <f aca="false">IF(G650="Yes",INDEX('Kitting Plan'!$D$6:$D$19,MATCH(B650,'Kitting Plan'!$B$6:$B$19,0)),"")</f>
        <v>24</v>
      </c>
      <c r="I650" s="41" t="n">
        <f aca="false">IF(A650="","",IF(ISNUMBER(SEARCH("PRT",E650)),D650,0))</f>
        <v>1</v>
      </c>
      <c r="J650" s="41" t="n">
        <f aca="false">IF(A650="","",IF(ISNUMBER(SEARCH("GMPS",E650)),D650,0))</f>
        <v>1</v>
      </c>
      <c r="K650" s="41" t="n">
        <f aca="false">IF(A650="","",IF(ISNUMBER(SEARCH("DLV",E650)),D650,0))</f>
        <v>1</v>
      </c>
      <c r="L650" s="41" t="str">
        <f aca="false">IF(A650="","",IF(K650&gt;0,"Delivered",IF(ISNUMBER(SEARCH("CNF",E650)),"In production",IF(J650&gt;0,"Issued",IF(I650&gt;0,"Kitted","Released")))))</f>
        <v>Delivered</v>
      </c>
      <c r="M650" s="41" t="n">
        <f aca="false">IF(G650&lt;&gt;"Yes","",COUNTIFS($B$6:$B$1505,B650,$F$6:$F$1505,"&lt;"&amp;F650)+COUNTIFS($B$6:$B$1505,B650,$F$6:$F$1505,F650,$A$6:$A$1505,"&lt;="&amp;A650))</f>
        <v>9</v>
      </c>
      <c r="N650" s="41" t="n">
        <f aca="false">IF(M650="","",ROUNDUP(M650/H650,0))</f>
        <v>1</v>
      </c>
      <c r="O650" s="41" t="str">
        <f aca="false">IF(N650="","",IF(N650&lt;='Kitting Plan'!$C$3,"Rep "&amp;N650,"Surplus"))</f>
        <v>Rep 1</v>
      </c>
    </row>
    <row r="651" customFormat="false" ht="15" hidden="false" customHeight="false" outlineLevel="0" collapsed="false">
      <c r="A651" s="40" t="n">
        <f aca="false">IF(OR($A$4=0,INDEX('COOIS Raw'!$A:$GZ,ROW()-4,$A$4)=""),"",IFERROR(--INDEX('COOIS Raw'!$A:$GZ,ROW()-4,$A$4),INDEX('COOIS Raw'!$A:$GZ,ROW()-4,$A$4)))</f>
        <v>100863698</v>
      </c>
      <c r="B651" s="41" t="str">
        <f aca="false">IF(A651="","",TRIM(INDEX('COOIS Raw'!$A:$GZ,ROW()-4,$B$4)))</f>
        <v>92RRA00548AAA</v>
      </c>
      <c r="C651" s="42" t="str">
        <f aca="false">IF(OR(A651="",$C$4=0),"",INDEX('COOIS Raw'!$A:$GZ,ROW()-4,$C$4))</f>
        <v>R5B ERBIUM SPOOL ASSEMBLY - E2A</v>
      </c>
      <c r="D651" s="41" t="n">
        <f aca="false">IF(A651="","",IF($D$4=0,1,IFERROR(--INDEX('COOIS Raw'!$A:$GZ,ROW()-4,$D$4),1)))</f>
        <v>1</v>
      </c>
      <c r="E651" s="42" t="str">
        <f aca="false">IF(A651="","",INDEX('COOIS Raw'!$A:$GZ,ROW()-4,$E$4)&amp;"")</f>
        <v>REL PRT CNF DLV PRC GMPS MANC RESA*</v>
      </c>
      <c r="F651" s="43" t="n">
        <f aca="false">IF(A651="","",IFERROR(DATEVALUE(INDEX('COOIS Raw'!$A:$GZ,ROW()-4,$F$4)),INDEX('COOIS Raw'!$A:$GZ,ROW()-4,$F$4)))</f>
        <v>46165</v>
      </c>
      <c r="G651" s="41" t="str">
        <f aca="false">IF(A651="","",IF(ISNA(MATCH(B651,'Kitting Plan'!$B$6:$B$19,0)),"Not in plan","Yes"))</f>
        <v>Yes</v>
      </c>
      <c r="H651" s="41" t="n">
        <f aca="false">IF(G651="Yes",INDEX('Kitting Plan'!$D$6:$D$19,MATCH(B651,'Kitting Plan'!$B$6:$B$19,0)),"")</f>
        <v>24</v>
      </c>
      <c r="I651" s="41" t="n">
        <f aca="false">IF(A651="","",IF(ISNUMBER(SEARCH("PRT",E651)),D651,0))</f>
        <v>1</v>
      </c>
      <c r="J651" s="41" t="n">
        <f aca="false">IF(A651="","",IF(ISNUMBER(SEARCH("GMPS",E651)),D651,0))</f>
        <v>1</v>
      </c>
      <c r="K651" s="41" t="n">
        <f aca="false">IF(A651="","",IF(ISNUMBER(SEARCH("DLV",E651)),D651,0))</f>
        <v>1</v>
      </c>
      <c r="L651" s="41" t="str">
        <f aca="false">IF(A651="","",IF(K651&gt;0,"Delivered",IF(ISNUMBER(SEARCH("CNF",E651)),"In production",IF(J651&gt;0,"Issued",IF(I651&gt;0,"Kitted","Released")))))</f>
        <v>Delivered</v>
      </c>
      <c r="M651" s="41" t="n">
        <f aca="false">IF(G651&lt;&gt;"Yes","",COUNTIFS($B$6:$B$1505,B651,$F$6:$F$1505,"&lt;"&amp;F651)+COUNTIFS($B$6:$B$1505,B651,$F$6:$F$1505,F651,$A$6:$A$1505,"&lt;="&amp;A651))</f>
        <v>10</v>
      </c>
      <c r="N651" s="41" t="n">
        <f aca="false">IF(M651="","",ROUNDUP(M651/H651,0))</f>
        <v>1</v>
      </c>
      <c r="O651" s="41" t="str">
        <f aca="false">IF(N651="","",IF(N651&lt;='Kitting Plan'!$C$3,"Rep "&amp;N651,"Surplus"))</f>
        <v>Rep 1</v>
      </c>
    </row>
    <row r="652" customFormat="false" ht="15" hidden="false" customHeight="false" outlineLevel="0" collapsed="false">
      <c r="A652" s="40" t="n">
        <f aca="false">IF(OR($A$4=0,INDEX('COOIS Raw'!$A:$GZ,ROW()-4,$A$4)=""),"",IFERROR(--INDEX('COOIS Raw'!$A:$GZ,ROW()-4,$A$4),INDEX('COOIS Raw'!$A:$GZ,ROW()-4,$A$4)))</f>
        <v>100863699</v>
      </c>
      <c r="B652" s="41" t="str">
        <f aca="false">IF(A652="","",TRIM(INDEX('COOIS Raw'!$A:$GZ,ROW()-4,$B$4)))</f>
        <v>92RRA00548AAA</v>
      </c>
      <c r="C652" s="42" t="str">
        <f aca="false">IF(OR(A652="",$C$4=0),"",INDEX('COOIS Raw'!$A:$GZ,ROW()-4,$C$4))</f>
        <v>R5B ERBIUM SPOOL ASSEMBLY - E2A</v>
      </c>
      <c r="D652" s="41" t="n">
        <f aca="false">IF(A652="","",IF($D$4=0,1,IFERROR(--INDEX('COOIS Raw'!$A:$GZ,ROW()-4,$D$4),1)))</f>
        <v>1</v>
      </c>
      <c r="E652" s="42" t="str">
        <f aca="false">IF(A652="","",INDEX('COOIS Raw'!$A:$GZ,ROW()-4,$E$4)&amp;"")</f>
        <v>REL PRT CNF DLV PRC GMPS MANC RESA*</v>
      </c>
      <c r="F652" s="43" t="n">
        <f aca="false">IF(A652="","",IFERROR(DATEVALUE(INDEX('COOIS Raw'!$A:$GZ,ROW()-4,$F$4)),INDEX('COOIS Raw'!$A:$GZ,ROW()-4,$F$4)))</f>
        <v>46165</v>
      </c>
      <c r="G652" s="41" t="str">
        <f aca="false">IF(A652="","",IF(ISNA(MATCH(B652,'Kitting Plan'!$B$6:$B$19,0)),"Not in plan","Yes"))</f>
        <v>Yes</v>
      </c>
      <c r="H652" s="41" t="n">
        <f aca="false">IF(G652="Yes",INDEX('Kitting Plan'!$D$6:$D$19,MATCH(B652,'Kitting Plan'!$B$6:$B$19,0)),"")</f>
        <v>24</v>
      </c>
      <c r="I652" s="41" t="n">
        <f aca="false">IF(A652="","",IF(ISNUMBER(SEARCH("PRT",E652)),D652,0))</f>
        <v>1</v>
      </c>
      <c r="J652" s="41" t="n">
        <f aca="false">IF(A652="","",IF(ISNUMBER(SEARCH("GMPS",E652)),D652,0))</f>
        <v>1</v>
      </c>
      <c r="K652" s="41" t="n">
        <f aca="false">IF(A652="","",IF(ISNUMBER(SEARCH("DLV",E652)),D652,0))</f>
        <v>1</v>
      </c>
      <c r="L652" s="41" t="str">
        <f aca="false">IF(A652="","",IF(K652&gt;0,"Delivered",IF(ISNUMBER(SEARCH("CNF",E652)),"In production",IF(J652&gt;0,"Issued",IF(I652&gt;0,"Kitted","Released")))))</f>
        <v>Delivered</v>
      </c>
      <c r="M652" s="41" t="n">
        <f aca="false">IF(G652&lt;&gt;"Yes","",COUNTIFS($B$6:$B$1505,B652,$F$6:$F$1505,"&lt;"&amp;F652)+COUNTIFS($B$6:$B$1505,B652,$F$6:$F$1505,F652,$A$6:$A$1505,"&lt;="&amp;A652))</f>
        <v>11</v>
      </c>
      <c r="N652" s="41" t="n">
        <f aca="false">IF(M652="","",ROUNDUP(M652/H652,0))</f>
        <v>1</v>
      </c>
      <c r="O652" s="41" t="str">
        <f aca="false">IF(N652="","",IF(N652&lt;='Kitting Plan'!$C$3,"Rep "&amp;N652,"Surplus"))</f>
        <v>Rep 1</v>
      </c>
    </row>
    <row r="653" customFormat="false" ht="15" hidden="false" customHeight="false" outlineLevel="0" collapsed="false">
      <c r="A653" s="40" t="n">
        <f aca="false">IF(OR($A$4=0,INDEX('COOIS Raw'!$A:$GZ,ROW()-4,$A$4)=""),"",IFERROR(--INDEX('COOIS Raw'!$A:$GZ,ROW()-4,$A$4),INDEX('COOIS Raw'!$A:$GZ,ROW()-4,$A$4)))</f>
        <v>100863700</v>
      </c>
      <c r="B653" s="41" t="str">
        <f aca="false">IF(A653="","",TRIM(INDEX('COOIS Raw'!$A:$GZ,ROW()-4,$B$4)))</f>
        <v>92RRA00548AAA</v>
      </c>
      <c r="C653" s="42" t="str">
        <f aca="false">IF(OR(A653="",$C$4=0),"",INDEX('COOIS Raw'!$A:$GZ,ROW()-4,$C$4))</f>
        <v>R5B ERBIUM SPOOL ASSEMBLY - E2A</v>
      </c>
      <c r="D653" s="41" t="n">
        <f aca="false">IF(A653="","",IF($D$4=0,1,IFERROR(--INDEX('COOIS Raw'!$A:$GZ,ROW()-4,$D$4),1)))</f>
        <v>1</v>
      </c>
      <c r="E653" s="42" t="str">
        <f aca="false">IF(A653="","",INDEX('COOIS Raw'!$A:$GZ,ROW()-4,$E$4)&amp;"")</f>
        <v>REL PRT CNF DLV PRC GMPS MANC RESA*</v>
      </c>
      <c r="F653" s="43" t="n">
        <f aca="false">IF(A653="","",IFERROR(DATEVALUE(INDEX('COOIS Raw'!$A:$GZ,ROW()-4,$F$4)),INDEX('COOIS Raw'!$A:$GZ,ROW()-4,$F$4)))</f>
        <v>46165</v>
      </c>
      <c r="G653" s="41" t="str">
        <f aca="false">IF(A653="","",IF(ISNA(MATCH(B653,'Kitting Plan'!$B$6:$B$19,0)),"Not in plan","Yes"))</f>
        <v>Yes</v>
      </c>
      <c r="H653" s="41" t="n">
        <f aca="false">IF(G653="Yes",INDEX('Kitting Plan'!$D$6:$D$19,MATCH(B653,'Kitting Plan'!$B$6:$B$19,0)),"")</f>
        <v>24</v>
      </c>
      <c r="I653" s="41" t="n">
        <f aca="false">IF(A653="","",IF(ISNUMBER(SEARCH("PRT",E653)),D653,0))</f>
        <v>1</v>
      </c>
      <c r="J653" s="41" t="n">
        <f aca="false">IF(A653="","",IF(ISNUMBER(SEARCH("GMPS",E653)),D653,0))</f>
        <v>1</v>
      </c>
      <c r="K653" s="41" t="n">
        <f aca="false">IF(A653="","",IF(ISNUMBER(SEARCH("DLV",E653)),D653,0))</f>
        <v>1</v>
      </c>
      <c r="L653" s="41" t="str">
        <f aca="false">IF(A653="","",IF(K653&gt;0,"Delivered",IF(ISNUMBER(SEARCH("CNF",E653)),"In production",IF(J653&gt;0,"Issued",IF(I653&gt;0,"Kitted","Released")))))</f>
        <v>Delivered</v>
      </c>
      <c r="M653" s="41" t="n">
        <f aca="false">IF(G653&lt;&gt;"Yes","",COUNTIFS($B$6:$B$1505,B653,$F$6:$F$1505,"&lt;"&amp;F653)+COUNTIFS($B$6:$B$1505,B653,$F$6:$F$1505,F653,$A$6:$A$1505,"&lt;="&amp;A653))</f>
        <v>12</v>
      </c>
      <c r="N653" s="41" t="n">
        <f aca="false">IF(M653="","",ROUNDUP(M653/H653,0))</f>
        <v>1</v>
      </c>
      <c r="O653" s="41" t="str">
        <f aca="false">IF(N653="","",IF(N653&lt;='Kitting Plan'!$C$3,"Rep "&amp;N653,"Surplus"))</f>
        <v>Rep 1</v>
      </c>
    </row>
    <row r="654" customFormat="false" ht="15" hidden="false" customHeight="false" outlineLevel="0" collapsed="false">
      <c r="A654" s="40" t="n">
        <f aca="false">IF(OR($A$4=0,INDEX('COOIS Raw'!$A:$GZ,ROW()-4,$A$4)=""),"",IFERROR(--INDEX('COOIS Raw'!$A:$GZ,ROW()-4,$A$4),INDEX('COOIS Raw'!$A:$GZ,ROW()-4,$A$4)))</f>
        <v>100863701</v>
      </c>
      <c r="B654" s="41" t="str">
        <f aca="false">IF(A654="","",TRIM(INDEX('COOIS Raw'!$A:$GZ,ROW()-4,$B$4)))</f>
        <v>92RRA00548AAA</v>
      </c>
      <c r="C654" s="42" t="str">
        <f aca="false">IF(OR(A654="",$C$4=0),"",INDEX('COOIS Raw'!$A:$GZ,ROW()-4,$C$4))</f>
        <v>R5B ERBIUM SPOOL ASSEMBLY - E2A</v>
      </c>
      <c r="D654" s="41" t="n">
        <f aca="false">IF(A654="","",IF($D$4=0,1,IFERROR(--INDEX('COOIS Raw'!$A:$GZ,ROW()-4,$D$4),1)))</f>
        <v>1</v>
      </c>
      <c r="E654" s="42" t="str">
        <f aca="false">IF(A654="","",INDEX('COOIS Raw'!$A:$GZ,ROW()-4,$E$4)&amp;"")</f>
        <v>REL PRT CNF DLV PRC GMPS MANC RESA*</v>
      </c>
      <c r="F654" s="43" t="n">
        <f aca="false">IF(A654="","",IFERROR(DATEVALUE(INDEX('COOIS Raw'!$A:$GZ,ROW()-4,$F$4)),INDEX('COOIS Raw'!$A:$GZ,ROW()-4,$F$4)))</f>
        <v>46165</v>
      </c>
      <c r="G654" s="41" t="str">
        <f aca="false">IF(A654="","",IF(ISNA(MATCH(B654,'Kitting Plan'!$B$6:$B$19,0)),"Not in plan","Yes"))</f>
        <v>Yes</v>
      </c>
      <c r="H654" s="41" t="n">
        <f aca="false">IF(G654="Yes",INDEX('Kitting Plan'!$D$6:$D$19,MATCH(B654,'Kitting Plan'!$B$6:$B$19,0)),"")</f>
        <v>24</v>
      </c>
      <c r="I654" s="41" t="n">
        <f aca="false">IF(A654="","",IF(ISNUMBER(SEARCH("PRT",E654)),D654,0))</f>
        <v>1</v>
      </c>
      <c r="J654" s="41" t="n">
        <f aca="false">IF(A654="","",IF(ISNUMBER(SEARCH("GMPS",E654)),D654,0))</f>
        <v>1</v>
      </c>
      <c r="K654" s="41" t="n">
        <f aca="false">IF(A654="","",IF(ISNUMBER(SEARCH("DLV",E654)),D654,0))</f>
        <v>1</v>
      </c>
      <c r="L654" s="41" t="str">
        <f aca="false">IF(A654="","",IF(K654&gt;0,"Delivered",IF(ISNUMBER(SEARCH("CNF",E654)),"In production",IF(J654&gt;0,"Issued",IF(I654&gt;0,"Kitted","Released")))))</f>
        <v>Delivered</v>
      </c>
      <c r="M654" s="41" t="n">
        <f aca="false">IF(G654&lt;&gt;"Yes","",COUNTIFS($B$6:$B$1505,B654,$F$6:$F$1505,"&lt;"&amp;F654)+COUNTIFS($B$6:$B$1505,B654,$F$6:$F$1505,F654,$A$6:$A$1505,"&lt;="&amp;A654))</f>
        <v>13</v>
      </c>
      <c r="N654" s="41" t="n">
        <f aca="false">IF(M654="","",ROUNDUP(M654/H654,0))</f>
        <v>1</v>
      </c>
      <c r="O654" s="41" t="str">
        <f aca="false">IF(N654="","",IF(N654&lt;='Kitting Plan'!$C$3,"Rep "&amp;N654,"Surplus"))</f>
        <v>Rep 1</v>
      </c>
    </row>
    <row r="655" customFormat="false" ht="15" hidden="false" customHeight="false" outlineLevel="0" collapsed="false">
      <c r="A655" s="40" t="n">
        <f aca="false">IF(OR($A$4=0,INDEX('COOIS Raw'!$A:$GZ,ROW()-4,$A$4)=""),"",IFERROR(--INDEX('COOIS Raw'!$A:$GZ,ROW()-4,$A$4),INDEX('COOIS Raw'!$A:$GZ,ROW()-4,$A$4)))</f>
        <v>100863702</v>
      </c>
      <c r="B655" s="41" t="str">
        <f aca="false">IF(A655="","",TRIM(INDEX('COOIS Raw'!$A:$GZ,ROW()-4,$B$4)))</f>
        <v>92RRA00548AAA</v>
      </c>
      <c r="C655" s="42" t="str">
        <f aca="false">IF(OR(A655="",$C$4=0),"",INDEX('COOIS Raw'!$A:$GZ,ROW()-4,$C$4))</f>
        <v>R5B ERBIUM SPOOL ASSEMBLY - E2A</v>
      </c>
      <c r="D655" s="41" t="n">
        <f aca="false">IF(A655="","",IF($D$4=0,1,IFERROR(--INDEX('COOIS Raw'!$A:$GZ,ROW()-4,$D$4),1)))</f>
        <v>1</v>
      </c>
      <c r="E655" s="42" t="str">
        <f aca="false">IF(A655="","",INDEX('COOIS Raw'!$A:$GZ,ROW()-4,$E$4)&amp;"")</f>
        <v>REL PRT CNF DLV PRC GMPS MANC RESA*</v>
      </c>
      <c r="F655" s="43" t="n">
        <f aca="false">IF(A655="","",IFERROR(DATEVALUE(INDEX('COOIS Raw'!$A:$GZ,ROW()-4,$F$4)),INDEX('COOIS Raw'!$A:$GZ,ROW()-4,$F$4)))</f>
        <v>46165</v>
      </c>
      <c r="G655" s="41" t="str">
        <f aca="false">IF(A655="","",IF(ISNA(MATCH(B655,'Kitting Plan'!$B$6:$B$19,0)),"Not in plan","Yes"))</f>
        <v>Yes</v>
      </c>
      <c r="H655" s="41" t="n">
        <f aca="false">IF(G655="Yes",INDEX('Kitting Plan'!$D$6:$D$19,MATCH(B655,'Kitting Plan'!$B$6:$B$19,0)),"")</f>
        <v>24</v>
      </c>
      <c r="I655" s="41" t="n">
        <f aca="false">IF(A655="","",IF(ISNUMBER(SEARCH("PRT",E655)),D655,0))</f>
        <v>1</v>
      </c>
      <c r="J655" s="41" t="n">
        <f aca="false">IF(A655="","",IF(ISNUMBER(SEARCH("GMPS",E655)),D655,0))</f>
        <v>1</v>
      </c>
      <c r="K655" s="41" t="n">
        <f aca="false">IF(A655="","",IF(ISNUMBER(SEARCH("DLV",E655)),D655,0))</f>
        <v>1</v>
      </c>
      <c r="L655" s="41" t="str">
        <f aca="false">IF(A655="","",IF(K655&gt;0,"Delivered",IF(ISNUMBER(SEARCH("CNF",E655)),"In production",IF(J655&gt;0,"Issued",IF(I655&gt;0,"Kitted","Released")))))</f>
        <v>Delivered</v>
      </c>
      <c r="M655" s="41" t="n">
        <f aca="false">IF(G655&lt;&gt;"Yes","",COUNTIFS($B$6:$B$1505,B655,$F$6:$F$1505,"&lt;"&amp;F655)+COUNTIFS($B$6:$B$1505,B655,$F$6:$F$1505,F655,$A$6:$A$1505,"&lt;="&amp;A655))</f>
        <v>14</v>
      </c>
      <c r="N655" s="41" t="n">
        <f aca="false">IF(M655="","",ROUNDUP(M655/H655,0))</f>
        <v>1</v>
      </c>
      <c r="O655" s="41" t="str">
        <f aca="false">IF(N655="","",IF(N655&lt;='Kitting Plan'!$C$3,"Rep "&amp;N655,"Surplus"))</f>
        <v>Rep 1</v>
      </c>
    </row>
    <row r="656" customFormat="false" ht="15" hidden="false" customHeight="false" outlineLevel="0" collapsed="false">
      <c r="A656" s="40" t="n">
        <f aca="false">IF(OR($A$4=0,INDEX('COOIS Raw'!$A:$GZ,ROW()-4,$A$4)=""),"",IFERROR(--INDEX('COOIS Raw'!$A:$GZ,ROW()-4,$A$4),INDEX('COOIS Raw'!$A:$GZ,ROW()-4,$A$4)))</f>
        <v>100863703</v>
      </c>
      <c r="B656" s="41" t="str">
        <f aca="false">IF(A656="","",TRIM(INDEX('COOIS Raw'!$A:$GZ,ROW()-4,$B$4)))</f>
        <v>92RRA00548AAA</v>
      </c>
      <c r="C656" s="42" t="str">
        <f aca="false">IF(OR(A656="",$C$4=0),"",INDEX('COOIS Raw'!$A:$GZ,ROW()-4,$C$4))</f>
        <v>R5B ERBIUM SPOOL ASSEMBLY - E2A</v>
      </c>
      <c r="D656" s="41" t="n">
        <f aca="false">IF(A656="","",IF($D$4=0,1,IFERROR(--INDEX('COOIS Raw'!$A:$GZ,ROW()-4,$D$4),1)))</f>
        <v>1</v>
      </c>
      <c r="E656" s="42" t="str">
        <f aca="false">IF(A656="","",INDEX('COOIS Raw'!$A:$GZ,ROW()-4,$E$4)&amp;"")</f>
        <v>REL PRT CNF DLV PRC GMPS MANC RESA*</v>
      </c>
      <c r="F656" s="43" t="n">
        <f aca="false">IF(A656="","",IFERROR(DATEVALUE(INDEX('COOIS Raw'!$A:$GZ,ROW()-4,$F$4)),INDEX('COOIS Raw'!$A:$GZ,ROW()-4,$F$4)))</f>
        <v>46165</v>
      </c>
      <c r="G656" s="41" t="str">
        <f aca="false">IF(A656="","",IF(ISNA(MATCH(B656,'Kitting Plan'!$B$6:$B$19,0)),"Not in plan","Yes"))</f>
        <v>Yes</v>
      </c>
      <c r="H656" s="41" t="n">
        <f aca="false">IF(G656="Yes",INDEX('Kitting Plan'!$D$6:$D$19,MATCH(B656,'Kitting Plan'!$B$6:$B$19,0)),"")</f>
        <v>24</v>
      </c>
      <c r="I656" s="41" t="n">
        <f aca="false">IF(A656="","",IF(ISNUMBER(SEARCH("PRT",E656)),D656,0))</f>
        <v>1</v>
      </c>
      <c r="J656" s="41" t="n">
        <f aca="false">IF(A656="","",IF(ISNUMBER(SEARCH("GMPS",E656)),D656,0))</f>
        <v>1</v>
      </c>
      <c r="K656" s="41" t="n">
        <f aca="false">IF(A656="","",IF(ISNUMBER(SEARCH("DLV",E656)),D656,0))</f>
        <v>1</v>
      </c>
      <c r="L656" s="41" t="str">
        <f aca="false">IF(A656="","",IF(K656&gt;0,"Delivered",IF(ISNUMBER(SEARCH("CNF",E656)),"In production",IF(J656&gt;0,"Issued",IF(I656&gt;0,"Kitted","Released")))))</f>
        <v>Delivered</v>
      </c>
      <c r="M656" s="41" t="n">
        <f aca="false">IF(G656&lt;&gt;"Yes","",COUNTIFS($B$6:$B$1505,B656,$F$6:$F$1505,"&lt;"&amp;F656)+COUNTIFS($B$6:$B$1505,B656,$F$6:$F$1505,F656,$A$6:$A$1505,"&lt;="&amp;A656))</f>
        <v>15</v>
      </c>
      <c r="N656" s="41" t="n">
        <f aca="false">IF(M656="","",ROUNDUP(M656/H656,0))</f>
        <v>1</v>
      </c>
      <c r="O656" s="41" t="str">
        <f aca="false">IF(N656="","",IF(N656&lt;='Kitting Plan'!$C$3,"Rep "&amp;N656,"Surplus"))</f>
        <v>Rep 1</v>
      </c>
    </row>
    <row r="657" customFormat="false" ht="15" hidden="false" customHeight="false" outlineLevel="0" collapsed="false">
      <c r="A657" s="40" t="n">
        <f aca="false">IF(OR($A$4=0,INDEX('COOIS Raw'!$A:$GZ,ROW()-4,$A$4)=""),"",IFERROR(--INDEX('COOIS Raw'!$A:$GZ,ROW()-4,$A$4),INDEX('COOIS Raw'!$A:$GZ,ROW()-4,$A$4)))</f>
        <v>100863704</v>
      </c>
      <c r="B657" s="41" t="str">
        <f aca="false">IF(A657="","",TRIM(INDEX('COOIS Raw'!$A:$GZ,ROW()-4,$B$4)))</f>
        <v>92RRA00548AAA</v>
      </c>
      <c r="C657" s="42" t="str">
        <f aca="false">IF(OR(A657="",$C$4=0),"",INDEX('COOIS Raw'!$A:$GZ,ROW()-4,$C$4))</f>
        <v>R5B ERBIUM SPOOL ASSEMBLY - E2A</v>
      </c>
      <c r="D657" s="41" t="n">
        <f aca="false">IF(A657="","",IF($D$4=0,1,IFERROR(--INDEX('COOIS Raw'!$A:$GZ,ROW()-4,$D$4),1)))</f>
        <v>1</v>
      </c>
      <c r="E657" s="42" t="str">
        <f aca="false">IF(A657="","",INDEX('COOIS Raw'!$A:$GZ,ROW()-4,$E$4)&amp;"")</f>
        <v>REL PRT CNF DLV PRC GMPS MANC RESA*</v>
      </c>
      <c r="F657" s="43" t="n">
        <f aca="false">IF(A657="","",IFERROR(DATEVALUE(INDEX('COOIS Raw'!$A:$GZ,ROW()-4,$F$4)),INDEX('COOIS Raw'!$A:$GZ,ROW()-4,$F$4)))</f>
        <v>46165</v>
      </c>
      <c r="G657" s="41" t="str">
        <f aca="false">IF(A657="","",IF(ISNA(MATCH(B657,'Kitting Plan'!$B$6:$B$19,0)),"Not in plan","Yes"))</f>
        <v>Yes</v>
      </c>
      <c r="H657" s="41" t="n">
        <f aca="false">IF(G657="Yes",INDEX('Kitting Plan'!$D$6:$D$19,MATCH(B657,'Kitting Plan'!$B$6:$B$19,0)),"")</f>
        <v>24</v>
      </c>
      <c r="I657" s="41" t="n">
        <f aca="false">IF(A657="","",IF(ISNUMBER(SEARCH("PRT",E657)),D657,0))</f>
        <v>1</v>
      </c>
      <c r="J657" s="41" t="n">
        <f aca="false">IF(A657="","",IF(ISNUMBER(SEARCH("GMPS",E657)),D657,0))</f>
        <v>1</v>
      </c>
      <c r="K657" s="41" t="n">
        <f aca="false">IF(A657="","",IF(ISNUMBER(SEARCH("DLV",E657)),D657,0))</f>
        <v>1</v>
      </c>
      <c r="L657" s="41" t="str">
        <f aca="false">IF(A657="","",IF(K657&gt;0,"Delivered",IF(ISNUMBER(SEARCH("CNF",E657)),"In production",IF(J657&gt;0,"Issued",IF(I657&gt;0,"Kitted","Released")))))</f>
        <v>Delivered</v>
      </c>
      <c r="M657" s="41" t="n">
        <f aca="false">IF(G657&lt;&gt;"Yes","",COUNTIFS($B$6:$B$1505,B657,$F$6:$F$1505,"&lt;"&amp;F657)+COUNTIFS($B$6:$B$1505,B657,$F$6:$F$1505,F657,$A$6:$A$1505,"&lt;="&amp;A657))</f>
        <v>16</v>
      </c>
      <c r="N657" s="41" t="n">
        <f aca="false">IF(M657="","",ROUNDUP(M657/H657,0))</f>
        <v>1</v>
      </c>
      <c r="O657" s="41" t="str">
        <f aca="false">IF(N657="","",IF(N657&lt;='Kitting Plan'!$C$3,"Rep "&amp;N657,"Surplus"))</f>
        <v>Rep 1</v>
      </c>
    </row>
    <row r="658" customFormat="false" ht="15" hidden="false" customHeight="false" outlineLevel="0" collapsed="false">
      <c r="A658" s="40" t="n">
        <f aca="false">IF(OR($A$4=0,INDEX('COOIS Raw'!$A:$GZ,ROW()-4,$A$4)=""),"",IFERROR(--INDEX('COOIS Raw'!$A:$GZ,ROW()-4,$A$4),INDEX('COOIS Raw'!$A:$GZ,ROW()-4,$A$4)))</f>
        <v>100863705</v>
      </c>
      <c r="B658" s="41" t="str">
        <f aca="false">IF(A658="","",TRIM(INDEX('COOIS Raw'!$A:$GZ,ROW()-4,$B$4)))</f>
        <v>92RRA00548AAA</v>
      </c>
      <c r="C658" s="42" t="str">
        <f aca="false">IF(OR(A658="",$C$4=0),"",INDEX('COOIS Raw'!$A:$GZ,ROW()-4,$C$4))</f>
        <v>R5B ERBIUM SPOOL ASSEMBLY - E2A</v>
      </c>
      <c r="D658" s="41" t="n">
        <f aca="false">IF(A658="","",IF($D$4=0,1,IFERROR(--INDEX('COOIS Raw'!$A:$GZ,ROW()-4,$D$4),1)))</f>
        <v>1</v>
      </c>
      <c r="E658" s="42" t="str">
        <f aca="false">IF(A658="","",INDEX('COOIS Raw'!$A:$GZ,ROW()-4,$E$4)&amp;"")</f>
        <v>REL PRT CNF DLV PRC GMPS MANC RESA*</v>
      </c>
      <c r="F658" s="43" t="n">
        <f aca="false">IF(A658="","",IFERROR(DATEVALUE(INDEX('COOIS Raw'!$A:$GZ,ROW()-4,$F$4)),INDEX('COOIS Raw'!$A:$GZ,ROW()-4,$F$4)))</f>
        <v>46165</v>
      </c>
      <c r="G658" s="41" t="str">
        <f aca="false">IF(A658="","",IF(ISNA(MATCH(B658,'Kitting Plan'!$B$6:$B$19,0)),"Not in plan","Yes"))</f>
        <v>Yes</v>
      </c>
      <c r="H658" s="41" t="n">
        <f aca="false">IF(G658="Yes",INDEX('Kitting Plan'!$D$6:$D$19,MATCH(B658,'Kitting Plan'!$B$6:$B$19,0)),"")</f>
        <v>24</v>
      </c>
      <c r="I658" s="41" t="n">
        <f aca="false">IF(A658="","",IF(ISNUMBER(SEARCH("PRT",E658)),D658,0))</f>
        <v>1</v>
      </c>
      <c r="J658" s="41" t="n">
        <f aca="false">IF(A658="","",IF(ISNUMBER(SEARCH("GMPS",E658)),D658,0))</f>
        <v>1</v>
      </c>
      <c r="K658" s="41" t="n">
        <f aca="false">IF(A658="","",IF(ISNUMBER(SEARCH("DLV",E658)),D658,0))</f>
        <v>1</v>
      </c>
      <c r="L658" s="41" t="str">
        <f aca="false">IF(A658="","",IF(K658&gt;0,"Delivered",IF(ISNUMBER(SEARCH("CNF",E658)),"In production",IF(J658&gt;0,"Issued",IF(I658&gt;0,"Kitted","Released")))))</f>
        <v>Delivered</v>
      </c>
      <c r="M658" s="41" t="n">
        <f aca="false">IF(G658&lt;&gt;"Yes","",COUNTIFS($B$6:$B$1505,B658,$F$6:$F$1505,"&lt;"&amp;F658)+COUNTIFS($B$6:$B$1505,B658,$F$6:$F$1505,F658,$A$6:$A$1505,"&lt;="&amp;A658))</f>
        <v>17</v>
      </c>
      <c r="N658" s="41" t="n">
        <f aca="false">IF(M658="","",ROUNDUP(M658/H658,0))</f>
        <v>1</v>
      </c>
      <c r="O658" s="41" t="str">
        <f aca="false">IF(N658="","",IF(N658&lt;='Kitting Plan'!$C$3,"Rep "&amp;N658,"Surplus"))</f>
        <v>Rep 1</v>
      </c>
    </row>
    <row r="659" customFormat="false" ht="15" hidden="false" customHeight="false" outlineLevel="0" collapsed="false">
      <c r="A659" s="40" t="n">
        <f aca="false">IF(OR($A$4=0,INDEX('COOIS Raw'!$A:$GZ,ROW()-4,$A$4)=""),"",IFERROR(--INDEX('COOIS Raw'!$A:$GZ,ROW()-4,$A$4),INDEX('COOIS Raw'!$A:$GZ,ROW()-4,$A$4)))</f>
        <v>100863709</v>
      </c>
      <c r="B659" s="41" t="str">
        <f aca="false">IF(A659="","",TRIM(INDEX('COOIS Raw'!$A:$GZ,ROW()-4,$B$4)))</f>
        <v>92YRA01548AAA</v>
      </c>
      <c r="C659" s="42" t="str">
        <f aca="false">IF(OR(A659="",$C$4=0),"",INDEX('COOIS Raw'!$A:$GZ,ROW()-4,$C$4))</f>
        <v>R5B ERBIUM ASSEMBLY 1</v>
      </c>
      <c r="D659" s="41" t="n">
        <f aca="false">IF(A659="","",IF($D$4=0,1,IFERROR(--INDEX('COOIS Raw'!$A:$GZ,ROW()-4,$D$4),1)))</f>
        <v>1</v>
      </c>
      <c r="E659" s="42" t="str">
        <f aca="false">IF(A659="","",INDEX('COOIS Raw'!$A:$GZ,ROW()-4,$E$4)&amp;"")</f>
        <v>REL PRT CNF DLV PRC GMPS MANC RESA*</v>
      </c>
      <c r="F659" s="43" t="n">
        <f aca="false">IF(A659="","",IFERROR(DATEVALUE(INDEX('COOIS Raw'!$A:$GZ,ROW()-4,$F$4)),INDEX('COOIS Raw'!$A:$GZ,ROW()-4,$F$4)))</f>
        <v>46165</v>
      </c>
      <c r="G659" s="41" t="str">
        <f aca="false">IF(A659="","",IF(ISNA(MATCH(B659,'Kitting Plan'!$B$6:$B$19,0)),"Not in plan","Yes"))</f>
        <v>Yes</v>
      </c>
      <c r="H659" s="41" t="n">
        <f aca="false">IF(G659="Yes",INDEX('Kitting Plan'!$D$6:$D$19,MATCH(B659,'Kitting Plan'!$B$6:$B$19,0)),"")</f>
        <v>3</v>
      </c>
      <c r="I659" s="41" t="n">
        <f aca="false">IF(A659="","",IF(ISNUMBER(SEARCH("PRT",E659)),D659,0))</f>
        <v>1</v>
      </c>
      <c r="J659" s="41" t="n">
        <f aca="false">IF(A659="","",IF(ISNUMBER(SEARCH("GMPS",E659)),D659,0))</f>
        <v>1</v>
      </c>
      <c r="K659" s="41" t="n">
        <f aca="false">IF(A659="","",IF(ISNUMBER(SEARCH("DLV",E659)),D659,0))</f>
        <v>1</v>
      </c>
      <c r="L659" s="41" t="str">
        <f aca="false">IF(A659="","",IF(K659&gt;0,"Delivered",IF(ISNUMBER(SEARCH("CNF",E659)),"In production",IF(J659&gt;0,"Issued",IF(I659&gt;0,"Kitted","Released")))))</f>
        <v>Delivered</v>
      </c>
      <c r="M659" s="41" t="n">
        <f aca="false">IF(G659&lt;&gt;"Yes","",COUNTIFS($B$6:$B$1505,B659,$F$6:$F$1505,"&lt;"&amp;F659)+COUNTIFS($B$6:$B$1505,B659,$F$6:$F$1505,F659,$A$6:$A$1505,"&lt;="&amp;A659))</f>
        <v>1</v>
      </c>
      <c r="N659" s="41" t="n">
        <f aca="false">IF(M659="","",ROUNDUP(M659/H659,0))</f>
        <v>1</v>
      </c>
      <c r="O659" s="41" t="str">
        <f aca="false">IF(N659="","",IF(N659&lt;='Kitting Plan'!$C$3,"Rep "&amp;N659,"Surplus"))</f>
        <v>Rep 1</v>
      </c>
    </row>
    <row r="660" customFormat="false" ht="15" hidden="false" customHeight="false" outlineLevel="0" collapsed="false">
      <c r="A660" s="40" t="n">
        <f aca="false">IF(OR($A$4=0,INDEX('COOIS Raw'!$A:$GZ,ROW()-4,$A$4)=""),"",IFERROR(--INDEX('COOIS Raw'!$A:$GZ,ROW()-4,$A$4),INDEX('COOIS Raw'!$A:$GZ,ROW()-4,$A$4)))</f>
        <v>100863710</v>
      </c>
      <c r="B660" s="41" t="str">
        <f aca="false">IF(A660="","",TRIM(INDEX('COOIS Raw'!$A:$GZ,ROW()-4,$B$4)))</f>
        <v>92YRA01548AAA</v>
      </c>
      <c r="C660" s="42" t="str">
        <f aca="false">IF(OR(A660="",$C$4=0),"",INDEX('COOIS Raw'!$A:$GZ,ROW()-4,$C$4))</f>
        <v>R5B ERBIUM ASSEMBLY 1</v>
      </c>
      <c r="D660" s="41" t="n">
        <f aca="false">IF(A660="","",IF($D$4=0,1,IFERROR(--INDEX('COOIS Raw'!$A:$GZ,ROW()-4,$D$4),1)))</f>
        <v>1</v>
      </c>
      <c r="E660" s="42" t="str">
        <f aca="false">IF(A660="","",INDEX('COOIS Raw'!$A:$GZ,ROW()-4,$E$4)&amp;"")</f>
        <v>REL PRT CNF DLV PRC GMPS MANC RESA*</v>
      </c>
      <c r="F660" s="43" t="n">
        <f aca="false">IF(A660="","",IFERROR(DATEVALUE(INDEX('COOIS Raw'!$A:$GZ,ROW()-4,$F$4)),INDEX('COOIS Raw'!$A:$GZ,ROW()-4,$F$4)))</f>
        <v>46165</v>
      </c>
      <c r="G660" s="41" t="str">
        <f aca="false">IF(A660="","",IF(ISNA(MATCH(B660,'Kitting Plan'!$B$6:$B$19,0)),"Not in plan","Yes"))</f>
        <v>Yes</v>
      </c>
      <c r="H660" s="41" t="n">
        <f aca="false">IF(G660="Yes",INDEX('Kitting Plan'!$D$6:$D$19,MATCH(B660,'Kitting Plan'!$B$6:$B$19,0)),"")</f>
        <v>3</v>
      </c>
      <c r="I660" s="41" t="n">
        <f aca="false">IF(A660="","",IF(ISNUMBER(SEARCH("PRT",E660)),D660,0))</f>
        <v>1</v>
      </c>
      <c r="J660" s="41" t="n">
        <f aca="false">IF(A660="","",IF(ISNUMBER(SEARCH("GMPS",E660)),D660,0))</f>
        <v>1</v>
      </c>
      <c r="K660" s="41" t="n">
        <f aca="false">IF(A660="","",IF(ISNUMBER(SEARCH("DLV",E660)),D660,0))</f>
        <v>1</v>
      </c>
      <c r="L660" s="41" t="str">
        <f aca="false">IF(A660="","",IF(K660&gt;0,"Delivered",IF(ISNUMBER(SEARCH("CNF",E660)),"In production",IF(J660&gt;0,"Issued",IF(I660&gt;0,"Kitted","Released")))))</f>
        <v>Delivered</v>
      </c>
      <c r="M660" s="41" t="n">
        <f aca="false">IF(G660&lt;&gt;"Yes","",COUNTIFS($B$6:$B$1505,B660,$F$6:$F$1505,"&lt;"&amp;F660)+COUNTIFS($B$6:$B$1505,B660,$F$6:$F$1505,F660,$A$6:$A$1505,"&lt;="&amp;A660))</f>
        <v>2</v>
      </c>
      <c r="N660" s="41" t="n">
        <f aca="false">IF(M660="","",ROUNDUP(M660/H660,0))</f>
        <v>1</v>
      </c>
      <c r="O660" s="41" t="str">
        <f aca="false">IF(N660="","",IF(N660&lt;='Kitting Plan'!$C$3,"Rep "&amp;N660,"Surplus"))</f>
        <v>Rep 1</v>
      </c>
    </row>
    <row r="661" customFormat="false" ht="15" hidden="false" customHeight="false" outlineLevel="0" collapsed="false">
      <c r="A661" s="40" t="n">
        <f aca="false">IF(OR($A$4=0,INDEX('COOIS Raw'!$A:$GZ,ROW()-4,$A$4)=""),"",IFERROR(--INDEX('COOIS Raw'!$A:$GZ,ROW()-4,$A$4),INDEX('COOIS Raw'!$A:$GZ,ROW()-4,$A$4)))</f>
        <v>100863711</v>
      </c>
      <c r="B661" s="41" t="str">
        <f aca="false">IF(A661="","",TRIM(INDEX('COOIS Raw'!$A:$GZ,ROW()-4,$B$4)))</f>
        <v>92YRA01548AAA</v>
      </c>
      <c r="C661" s="42" t="str">
        <f aca="false">IF(OR(A661="",$C$4=0),"",INDEX('COOIS Raw'!$A:$GZ,ROW()-4,$C$4))</f>
        <v>R5B ERBIUM ASSEMBLY 1</v>
      </c>
      <c r="D661" s="41" t="n">
        <f aca="false">IF(A661="","",IF($D$4=0,1,IFERROR(--INDEX('COOIS Raw'!$A:$GZ,ROW()-4,$D$4),1)))</f>
        <v>1</v>
      </c>
      <c r="E661" s="42" t="str">
        <f aca="false">IF(A661="","",INDEX('COOIS Raw'!$A:$GZ,ROW()-4,$E$4)&amp;"")</f>
        <v>REL PRT CNF DLV PRC GMPS MANC SETC</v>
      </c>
      <c r="F661" s="43" t="n">
        <f aca="false">IF(A661="","",IFERROR(DATEVALUE(INDEX('COOIS Raw'!$A:$GZ,ROW()-4,$F$4)),INDEX('COOIS Raw'!$A:$GZ,ROW()-4,$F$4)))</f>
        <v>46165</v>
      </c>
      <c r="G661" s="41" t="str">
        <f aca="false">IF(A661="","",IF(ISNA(MATCH(B661,'Kitting Plan'!$B$6:$B$19,0)),"Not in plan","Yes"))</f>
        <v>Yes</v>
      </c>
      <c r="H661" s="41" t="n">
        <f aca="false">IF(G661="Yes",INDEX('Kitting Plan'!$D$6:$D$19,MATCH(B661,'Kitting Plan'!$B$6:$B$19,0)),"")</f>
        <v>3</v>
      </c>
      <c r="I661" s="41" t="n">
        <f aca="false">IF(A661="","",IF(ISNUMBER(SEARCH("PRT",E661)),D661,0))</f>
        <v>1</v>
      </c>
      <c r="J661" s="41" t="n">
        <f aca="false">IF(A661="","",IF(ISNUMBER(SEARCH("GMPS",E661)),D661,0))</f>
        <v>1</v>
      </c>
      <c r="K661" s="41" t="n">
        <f aca="false">IF(A661="","",IF(ISNUMBER(SEARCH("DLV",E661)),D661,0))</f>
        <v>1</v>
      </c>
      <c r="L661" s="41" t="str">
        <f aca="false">IF(A661="","",IF(K661&gt;0,"Delivered",IF(ISNUMBER(SEARCH("CNF",E661)),"In production",IF(J661&gt;0,"Issued",IF(I661&gt;0,"Kitted","Released")))))</f>
        <v>Delivered</v>
      </c>
      <c r="M661" s="41" t="n">
        <f aca="false">IF(G661&lt;&gt;"Yes","",COUNTIFS($B$6:$B$1505,B661,$F$6:$F$1505,"&lt;"&amp;F661)+COUNTIFS($B$6:$B$1505,B661,$F$6:$F$1505,F661,$A$6:$A$1505,"&lt;="&amp;A661))</f>
        <v>3</v>
      </c>
      <c r="N661" s="41" t="n">
        <f aca="false">IF(M661="","",ROUNDUP(M661/H661,0))</f>
        <v>1</v>
      </c>
      <c r="O661" s="41" t="str">
        <f aca="false">IF(N661="","",IF(N661&lt;='Kitting Plan'!$C$3,"Rep "&amp;N661,"Surplus"))</f>
        <v>Rep 1</v>
      </c>
    </row>
    <row r="662" customFormat="false" ht="15" hidden="false" customHeight="false" outlineLevel="0" collapsed="false">
      <c r="A662" s="40" t="n">
        <f aca="false">IF(OR($A$4=0,INDEX('COOIS Raw'!$A:$GZ,ROW()-4,$A$4)=""),"",IFERROR(--INDEX('COOIS Raw'!$A:$GZ,ROW()-4,$A$4),INDEX('COOIS Raw'!$A:$GZ,ROW()-4,$A$4)))</f>
        <v>100863713</v>
      </c>
      <c r="B662" s="41" t="str">
        <f aca="false">IF(A662="","",TRIM(INDEX('COOIS Raw'!$A:$GZ,ROW()-4,$B$4)))</f>
        <v>92YRA02548AAA</v>
      </c>
      <c r="C662" s="42" t="str">
        <f aca="false">IF(OR(A662="",$C$4=0),"",INDEX('COOIS Raw'!$A:$GZ,ROW()-4,$C$4))</f>
        <v>R5B ERBIUM ASSEMBLY 2</v>
      </c>
      <c r="D662" s="41" t="n">
        <f aca="false">IF(A662="","",IF($D$4=0,1,IFERROR(--INDEX('COOIS Raw'!$A:$GZ,ROW()-4,$D$4),1)))</f>
        <v>1</v>
      </c>
      <c r="E662" s="42" t="str">
        <f aca="false">IF(A662="","",INDEX('COOIS Raw'!$A:$GZ,ROW()-4,$E$4)&amp;"")</f>
        <v>REL PRT CNF DLV PRC GMPS MANC SETC</v>
      </c>
      <c r="F662" s="43" t="n">
        <f aca="false">IF(A662="","",IFERROR(DATEVALUE(INDEX('COOIS Raw'!$A:$GZ,ROW()-4,$F$4)),INDEX('COOIS Raw'!$A:$GZ,ROW()-4,$F$4)))</f>
        <v>46165</v>
      </c>
      <c r="G662" s="41" t="str">
        <f aca="false">IF(A662="","",IF(ISNA(MATCH(B662,'Kitting Plan'!$B$6:$B$19,0)),"Not in plan","Yes"))</f>
        <v>Yes</v>
      </c>
      <c r="H662" s="41" t="n">
        <f aca="false">IF(G662="Yes",INDEX('Kitting Plan'!$D$6:$D$19,MATCH(B662,'Kitting Plan'!$B$6:$B$19,0)),"")</f>
        <v>3</v>
      </c>
      <c r="I662" s="41" t="n">
        <f aca="false">IF(A662="","",IF(ISNUMBER(SEARCH("PRT",E662)),D662,0))</f>
        <v>1</v>
      </c>
      <c r="J662" s="41" t="n">
        <f aca="false">IF(A662="","",IF(ISNUMBER(SEARCH("GMPS",E662)),D662,0))</f>
        <v>1</v>
      </c>
      <c r="K662" s="41" t="n">
        <f aca="false">IF(A662="","",IF(ISNUMBER(SEARCH("DLV",E662)),D662,0))</f>
        <v>1</v>
      </c>
      <c r="L662" s="41" t="str">
        <f aca="false">IF(A662="","",IF(K662&gt;0,"Delivered",IF(ISNUMBER(SEARCH("CNF",E662)),"In production",IF(J662&gt;0,"Issued",IF(I662&gt;0,"Kitted","Released")))))</f>
        <v>Delivered</v>
      </c>
      <c r="M662" s="41" t="n">
        <f aca="false">IF(G662&lt;&gt;"Yes","",COUNTIFS($B$6:$B$1505,B662,$F$6:$F$1505,"&lt;"&amp;F662)+COUNTIFS($B$6:$B$1505,B662,$F$6:$F$1505,F662,$A$6:$A$1505,"&lt;="&amp;A662))</f>
        <v>1</v>
      </c>
      <c r="N662" s="41" t="n">
        <f aca="false">IF(M662="","",ROUNDUP(M662/H662,0))</f>
        <v>1</v>
      </c>
      <c r="O662" s="41" t="str">
        <f aca="false">IF(N662="","",IF(N662&lt;='Kitting Plan'!$C$3,"Rep "&amp;N662,"Surplus"))</f>
        <v>Rep 1</v>
      </c>
    </row>
    <row r="663" customFormat="false" ht="15" hidden="false" customHeight="false" outlineLevel="0" collapsed="false">
      <c r="A663" s="40" t="n">
        <f aca="false">IF(OR($A$4=0,INDEX('COOIS Raw'!$A:$GZ,ROW()-4,$A$4)=""),"",IFERROR(--INDEX('COOIS Raw'!$A:$GZ,ROW()-4,$A$4),INDEX('COOIS Raw'!$A:$GZ,ROW()-4,$A$4)))</f>
        <v>100863714</v>
      </c>
      <c r="B663" s="41" t="str">
        <f aca="false">IF(A663="","",TRIM(INDEX('COOIS Raw'!$A:$GZ,ROW()-4,$B$4)))</f>
        <v>92YRA02548AAA</v>
      </c>
      <c r="C663" s="42" t="str">
        <f aca="false">IF(OR(A663="",$C$4=0),"",INDEX('COOIS Raw'!$A:$GZ,ROW()-4,$C$4))</f>
        <v>R5B ERBIUM ASSEMBLY 2</v>
      </c>
      <c r="D663" s="41" t="n">
        <f aca="false">IF(A663="","",IF($D$4=0,1,IFERROR(--INDEX('COOIS Raw'!$A:$GZ,ROW()-4,$D$4),1)))</f>
        <v>1</v>
      </c>
      <c r="E663" s="42" t="str">
        <f aca="false">IF(A663="","",INDEX('COOIS Raw'!$A:$GZ,ROW()-4,$E$4)&amp;"")</f>
        <v>REL PRT CNF DLV PRC GMPS MANC SETC</v>
      </c>
      <c r="F663" s="43" t="n">
        <f aca="false">IF(A663="","",IFERROR(DATEVALUE(INDEX('COOIS Raw'!$A:$GZ,ROW()-4,$F$4)),INDEX('COOIS Raw'!$A:$GZ,ROW()-4,$F$4)))</f>
        <v>46165</v>
      </c>
      <c r="G663" s="41" t="str">
        <f aca="false">IF(A663="","",IF(ISNA(MATCH(B663,'Kitting Plan'!$B$6:$B$19,0)),"Not in plan","Yes"))</f>
        <v>Yes</v>
      </c>
      <c r="H663" s="41" t="n">
        <f aca="false">IF(G663="Yes",INDEX('Kitting Plan'!$D$6:$D$19,MATCH(B663,'Kitting Plan'!$B$6:$B$19,0)),"")</f>
        <v>3</v>
      </c>
      <c r="I663" s="41" t="n">
        <f aca="false">IF(A663="","",IF(ISNUMBER(SEARCH("PRT",E663)),D663,0))</f>
        <v>1</v>
      </c>
      <c r="J663" s="41" t="n">
        <f aca="false">IF(A663="","",IF(ISNUMBER(SEARCH("GMPS",E663)),D663,0))</f>
        <v>1</v>
      </c>
      <c r="K663" s="41" t="n">
        <f aca="false">IF(A663="","",IF(ISNUMBER(SEARCH("DLV",E663)),D663,0))</f>
        <v>1</v>
      </c>
      <c r="L663" s="41" t="str">
        <f aca="false">IF(A663="","",IF(K663&gt;0,"Delivered",IF(ISNUMBER(SEARCH("CNF",E663)),"In production",IF(J663&gt;0,"Issued",IF(I663&gt;0,"Kitted","Released")))))</f>
        <v>Delivered</v>
      </c>
      <c r="M663" s="41" t="n">
        <f aca="false">IF(G663&lt;&gt;"Yes","",COUNTIFS($B$6:$B$1505,B663,$F$6:$F$1505,"&lt;"&amp;F663)+COUNTIFS($B$6:$B$1505,B663,$F$6:$F$1505,F663,$A$6:$A$1505,"&lt;="&amp;A663))</f>
        <v>2</v>
      </c>
      <c r="N663" s="41" t="n">
        <f aca="false">IF(M663="","",ROUNDUP(M663/H663,0))</f>
        <v>1</v>
      </c>
      <c r="O663" s="41" t="str">
        <f aca="false">IF(N663="","",IF(N663&lt;='Kitting Plan'!$C$3,"Rep "&amp;N663,"Surplus"))</f>
        <v>Rep 1</v>
      </c>
    </row>
    <row r="664" customFormat="false" ht="15" hidden="false" customHeight="false" outlineLevel="0" collapsed="false">
      <c r="A664" s="40" t="n">
        <f aca="false">IF(OR($A$4=0,INDEX('COOIS Raw'!$A:$GZ,ROW()-4,$A$4)=""),"",IFERROR(--INDEX('COOIS Raw'!$A:$GZ,ROW()-4,$A$4),INDEX('COOIS Raw'!$A:$GZ,ROW()-4,$A$4)))</f>
        <v>100863715</v>
      </c>
      <c r="B664" s="41" t="str">
        <f aca="false">IF(A664="","",TRIM(INDEX('COOIS Raw'!$A:$GZ,ROW()-4,$B$4)))</f>
        <v>92YRA03548AAA</v>
      </c>
      <c r="C664" s="42" t="str">
        <f aca="false">IF(OR(A664="",$C$4=0),"",INDEX('COOIS Raw'!$A:$GZ,ROW()-4,$C$4))</f>
        <v>R5B ERBIUM ASSEMBLY 3</v>
      </c>
      <c r="D664" s="41" t="n">
        <f aca="false">IF(A664="","",IF($D$4=0,1,IFERROR(--INDEX('COOIS Raw'!$A:$GZ,ROW()-4,$D$4),1)))</f>
        <v>1</v>
      </c>
      <c r="E664" s="42" t="str">
        <f aca="false">IF(A664="","",INDEX('COOIS Raw'!$A:$GZ,ROW()-4,$E$4)&amp;"")</f>
        <v>REL PRT CNF DLV PRC GMPS MANC RESA*</v>
      </c>
      <c r="F664" s="43" t="n">
        <f aca="false">IF(A664="","",IFERROR(DATEVALUE(INDEX('COOIS Raw'!$A:$GZ,ROW()-4,$F$4)),INDEX('COOIS Raw'!$A:$GZ,ROW()-4,$F$4)))</f>
        <v>46165</v>
      </c>
      <c r="G664" s="41" t="str">
        <f aca="false">IF(A664="","",IF(ISNA(MATCH(B664,'Kitting Plan'!$B$6:$B$19,0)),"Not in plan","Yes"))</f>
        <v>Yes</v>
      </c>
      <c r="H664" s="41" t="n">
        <f aca="false">IF(G664="Yes",INDEX('Kitting Plan'!$D$6:$D$19,MATCH(B664,'Kitting Plan'!$B$6:$B$19,0)),"")</f>
        <v>3</v>
      </c>
      <c r="I664" s="41" t="n">
        <f aca="false">IF(A664="","",IF(ISNUMBER(SEARCH("PRT",E664)),D664,0))</f>
        <v>1</v>
      </c>
      <c r="J664" s="41" t="n">
        <f aca="false">IF(A664="","",IF(ISNUMBER(SEARCH("GMPS",E664)),D664,0))</f>
        <v>1</v>
      </c>
      <c r="K664" s="41" t="n">
        <f aca="false">IF(A664="","",IF(ISNUMBER(SEARCH("DLV",E664)),D664,0))</f>
        <v>1</v>
      </c>
      <c r="L664" s="41" t="str">
        <f aca="false">IF(A664="","",IF(K664&gt;0,"Delivered",IF(ISNUMBER(SEARCH("CNF",E664)),"In production",IF(J664&gt;0,"Issued",IF(I664&gt;0,"Kitted","Released")))))</f>
        <v>Delivered</v>
      </c>
      <c r="M664" s="41" t="n">
        <f aca="false">IF(G664&lt;&gt;"Yes","",COUNTIFS($B$6:$B$1505,B664,$F$6:$F$1505,"&lt;"&amp;F664)+COUNTIFS($B$6:$B$1505,B664,$F$6:$F$1505,F664,$A$6:$A$1505,"&lt;="&amp;A664))</f>
        <v>1</v>
      </c>
      <c r="N664" s="41" t="n">
        <f aca="false">IF(M664="","",ROUNDUP(M664/H664,0))</f>
        <v>1</v>
      </c>
      <c r="O664" s="41" t="str">
        <f aca="false">IF(N664="","",IF(N664&lt;='Kitting Plan'!$C$3,"Rep "&amp;N664,"Surplus"))</f>
        <v>Rep 1</v>
      </c>
    </row>
    <row r="665" customFormat="false" ht="15" hidden="false" customHeight="false" outlineLevel="0" collapsed="false">
      <c r="A665" s="40" t="n">
        <f aca="false">IF(OR($A$4=0,INDEX('COOIS Raw'!$A:$GZ,ROW()-4,$A$4)=""),"",IFERROR(--INDEX('COOIS Raw'!$A:$GZ,ROW()-4,$A$4),INDEX('COOIS Raw'!$A:$GZ,ROW()-4,$A$4)))</f>
        <v>100863716</v>
      </c>
      <c r="B665" s="41" t="str">
        <f aca="false">IF(A665="","",TRIM(INDEX('COOIS Raw'!$A:$GZ,ROW()-4,$B$4)))</f>
        <v>92YRA03548AAA</v>
      </c>
      <c r="C665" s="42" t="str">
        <f aca="false">IF(OR(A665="",$C$4=0),"",INDEX('COOIS Raw'!$A:$GZ,ROW()-4,$C$4))</f>
        <v>R5B ERBIUM ASSEMBLY 3</v>
      </c>
      <c r="D665" s="41" t="n">
        <f aca="false">IF(A665="","",IF($D$4=0,1,IFERROR(--INDEX('COOIS Raw'!$A:$GZ,ROW()-4,$D$4),1)))</f>
        <v>1</v>
      </c>
      <c r="E665" s="42" t="str">
        <f aca="false">IF(A665="","",INDEX('COOIS Raw'!$A:$GZ,ROW()-4,$E$4)&amp;"")</f>
        <v>REL PRT CNF DLV PRC GMPS MANC RESA*</v>
      </c>
      <c r="F665" s="43" t="n">
        <f aca="false">IF(A665="","",IFERROR(DATEVALUE(INDEX('COOIS Raw'!$A:$GZ,ROW()-4,$F$4)),INDEX('COOIS Raw'!$A:$GZ,ROW()-4,$F$4)))</f>
        <v>46165</v>
      </c>
      <c r="G665" s="41" t="str">
        <f aca="false">IF(A665="","",IF(ISNA(MATCH(B665,'Kitting Plan'!$B$6:$B$19,0)),"Not in plan","Yes"))</f>
        <v>Yes</v>
      </c>
      <c r="H665" s="41" t="n">
        <f aca="false">IF(G665="Yes",INDEX('Kitting Plan'!$D$6:$D$19,MATCH(B665,'Kitting Plan'!$B$6:$B$19,0)),"")</f>
        <v>3</v>
      </c>
      <c r="I665" s="41" t="n">
        <f aca="false">IF(A665="","",IF(ISNUMBER(SEARCH("PRT",E665)),D665,0))</f>
        <v>1</v>
      </c>
      <c r="J665" s="41" t="n">
        <f aca="false">IF(A665="","",IF(ISNUMBER(SEARCH("GMPS",E665)),D665,0))</f>
        <v>1</v>
      </c>
      <c r="K665" s="41" t="n">
        <f aca="false">IF(A665="","",IF(ISNUMBER(SEARCH("DLV",E665)),D665,0))</f>
        <v>1</v>
      </c>
      <c r="L665" s="41" t="str">
        <f aca="false">IF(A665="","",IF(K665&gt;0,"Delivered",IF(ISNUMBER(SEARCH("CNF",E665)),"In production",IF(J665&gt;0,"Issued",IF(I665&gt;0,"Kitted","Released")))))</f>
        <v>Delivered</v>
      </c>
      <c r="M665" s="41" t="n">
        <f aca="false">IF(G665&lt;&gt;"Yes","",COUNTIFS($B$6:$B$1505,B665,$F$6:$F$1505,"&lt;"&amp;F665)+COUNTIFS($B$6:$B$1505,B665,$F$6:$F$1505,F665,$A$6:$A$1505,"&lt;="&amp;A665))</f>
        <v>2</v>
      </c>
      <c r="N665" s="41" t="n">
        <f aca="false">IF(M665="","",ROUNDUP(M665/H665,0))</f>
        <v>1</v>
      </c>
      <c r="O665" s="41" t="str">
        <f aca="false">IF(N665="","",IF(N665&lt;='Kitting Plan'!$C$3,"Rep "&amp;N665,"Surplus"))</f>
        <v>Rep 1</v>
      </c>
    </row>
    <row r="666" customFormat="false" ht="15" hidden="false" customHeight="false" outlineLevel="0" collapsed="false">
      <c r="A666" s="40" t="n">
        <f aca="false">IF(OR($A$4=0,INDEX('COOIS Raw'!$A:$GZ,ROW()-4,$A$4)=""),"",IFERROR(--INDEX('COOIS Raw'!$A:$GZ,ROW()-4,$A$4),INDEX('COOIS Raw'!$A:$GZ,ROW()-4,$A$4)))</f>
        <v>100863717</v>
      </c>
      <c r="B666" s="41" t="str">
        <f aca="false">IF(A666="","",TRIM(INDEX('COOIS Raw'!$A:$GZ,ROW()-4,$B$4)))</f>
        <v>92YRA03548AAA</v>
      </c>
      <c r="C666" s="42" t="str">
        <f aca="false">IF(OR(A666="",$C$4=0),"",INDEX('COOIS Raw'!$A:$GZ,ROW()-4,$C$4))</f>
        <v>R5B ERBIUM ASSEMBLY 3</v>
      </c>
      <c r="D666" s="41" t="n">
        <f aca="false">IF(A666="","",IF($D$4=0,1,IFERROR(--INDEX('COOIS Raw'!$A:$GZ,ROW()-4,$D$4),1)))</f>
        <v>1</v>
      </c>
      <c r="E666" s="42" t="str">
        <f aca="false">IF(A666="","",INDEX('COOIS Raw'!$A:$GZ,ROW()-4,$E$4)&amp;"")</f>
        <v>REL PRT CNF DLV PRC GMPS MANC SETC</v>
      </c>
      <c r="F666" s="43" t="n">
        <f aca="false">IF(A666="","",IFERROR(DATEVALUE(INDEX('COOIS Raw'!$A:$GZ,ROW()-4,$F$4)),INDEX('COOIS Raw'!$A:$GZ,ROW()-4,$F$4)))</f>
        <v>46165</v>
      </c>
      <c r="G666" s="41" t="str">
        <f aca="false">IF(A666="","",IF(ISNA(MATCH(B666,'Kitting Plan'!$B$6:$B$19,0)),"Not in plan","Yes"))</f>
        <v>Yes</v>
      </c>
      <c r="H666" s="41" t="n">
        <f aca="false">IF(G666="Yes",INDEX('Kitting Plan'!$D$6:$D$19,MATCH(B666,'Kitting Plan'!$B$6:$B$19,0)),"")</f>
        <v>3</v>
      </c>
      <c r="I666" s="41" t="n">
        <f aca="false">IF(A666="","",IF(ISNUMBER(SEARCH("PRT",E666)),D666,0))</f>
        <v>1</v>
      </c>
      <c r="J666" s="41" t="n">
        <f aca="false">IF(A666="","",IF(ISNUMBER(SEARCH("GMPS",E666)),D666,0))</f>
        <v>1</v>
      </c>
      <c r="K666" s="41" t="n">
        <f aca="false">IF(A666="","",IF(ISNUMBER(SEARCH("DLV",E666)),D666,0))</f>
        <v>1</v>
      </c>
      <c r="L666" s="41" t="str">
        <f aca="false">IF(A666="","",IF(K666&gt;0,"Delivered",IF(ISNUMBER(SEARCH("CNF",E666)),"In production",IF(J666&gt;0,"Issued",IF(I666&gt;0,"Kitted","Released")))))</f>
        <v>Delivered</v>
      </c>
      <c r="M666" s="41" t="n">
        <f aca="false">IF(G666&lt;&gt;"Yes","",COUNTIFS($B$6:$B$1505,B666,$F$6:$F$1505,"&lt;"&amp;F666)+COUNTIFS($B$6:$B$1505,B666,$F$6:$F$1505,F666,$A$6:$A$1505,"&lt;="&amp;A666))</f>
        <v>3</v>
      </c>
      <c r="N666" s="41" t="n">
        <f aca="false">IF(M666="","",ROUNDUP(M666/H666,0))</f>
        <v>1</v>
      </c>
      <c r="O666" s="41" t="str">
        <f aca="false">IF(N666="","",IF(N666&lt;='Kitting Plan'!$C$3,"Rep "&amp;N666,"Surplus"))</f>
        <v>Rep 1</v>
      </c>
    </row>
    <row r="667" customFormat="false" ht="15" hidden="false" customHeight="false" outlineLevel="0" collapsed="false">
      <c r="A667" s="40" t="n">
        <f aca="false">IF(OR($A$4=0,INDEX('COOIS Raw'!$A:$GZ,ROW()-4,$A$4)=""),"",IFERROR(--INDEX('COOIS Raw'!$A:$GZ,ROW()-4,$A$4),INDEX('COOIS Raw'!$A:$GZ,ROW()-4,$A$4)))</f>
        <v>100863718</v>
      </c>
      <c r="B667" s="41" t="str">
        <f aca="false">IF(A667="","",TRIM(INDEX('COOIS Raw'!$A:$GZ,ROW()-4,$B$4)))</f>
        <v>92YRA04548AAA</v>
      </c>
      <c r="C667" s="42" t="str">
        <f aca="false">IF(OR(A667="",$C$4=0),"",INDEX('COOIS Raw'!$A:$GZ,ROW()-4,$C$4))</f>
        <v>R5B ERBIUM ASSEMBLY 4</v>
      </c>
      <c r="D667" s="41" t="n">
        <f aca="false">IF(A667="","",IF($D$4=0,1,IFERROR(--INDEX('COOIS Raw'!$A:$GZ,ROW()-4,$D$4),1)))</f>
        <v>1</v>
      </c>
      <c r="E667" s="42" t="str">
        <f aca="false">IF(A667="","",INDEX('COOIS Raw'!$A:$GZ,ROW()-4,$E$4)&amp;"")</f>
        <v>REL PRT CNF DLV PRC GMPS MANC SETC</v>
      </c>
      <c r="F667" s="43" t="n">
        <f aca="false">IF(A667="","",IFERROR(DATEVALUE(INDEX('COOIS Raw'!$A:$GZ,ROW()-4,$F$4)),INDEX('COOIS Raw'!$A:$GZ,ROW()-4,$F$4)))</f>
        <v>46165</v>
      </c>
      <c r="G667" s="41" t="str">
        <f aca="false">IF(A667="","",IF(ISNA(MATCH(B667,'Kitting Plan'!$B$6:$B$19,0)),"Not in plan","Yes"))</f>
        <v>Yes</v>
      </c>
      <c r="H667" s="41" t="n">
        <f aca="false">IF(G667="Yes",INDEX('Kitting Plan'!$D$6:$D$19,MATCH(B667,'Kitting Plan'!$B$6:$B$19,0)),"")</f>
        <v>3</v>
      </c>
      <c r="I667" s="41" t="n">
        <f aca="false">IF(A667="","",IF(ISNUMBER(SEARCH("PRT",E667)),D667,0))</f>
        <v>1</v>
      </c>
      <c r="J667" s="41" t="n">
        <f aca="false">IF(A667="","",IF(ISNUMBER(SEARCH("GMPS",E667)),D667,0))</f>
        <v>1</v>
      </c>
      <c r="K667" s="41" t="n">
        <f aca="false">IF(A667="","",IF(ISNUMBER(SEARCH("DLV",E667)),D667,0))</f>
        <v>1</v>
      </c>
      <c r="L667" s="41" t="str">
        <f aca="false">IF(A667="","",IF(K667&gt;0,"Delivered",IF(ISNUMBER(SEARCH("CNF",E667)),"In production",IF(J667&gt;0,"Issued",IF(I667&gt;0,"Kitted","Released")))))</f>
        <v>Delivered</v>
      </c>
      <c r="M667" s="41" t="n">
        <f aca="false">IF(G667&lt;&gt;"Yes","",COUNTIFS($B$6:$B$1505,B667,$F$6:$F$1505,"&lt;"&amp;F667)+COUNTIFS($B$6:$B$1505,B667,$F$6:$F$1505,F667,$A$6:$A$1505,"&lt;="&amp;A667))</f>
        <v>1</v>
      </c>
      <c r="N667" s="41" t="n">
        <f aca="false">IF(M667="","",ROUNDUP(M667/H667,0))</f>
        <v>1</v>
      </c>
      <c r="O667" s="41" t="str">
        <f aca="false">IF(N667="","",IF(N667&lt;='Kitting Plan'!$C$3,"Rep "&amp;N667,"Surplus"))</f>
        <v>Rep 1</v>
      </c>
    </row>
    <row r="668" customFormat="false" ht="15" hidden="false" customHeight="false" outlineLevel="0" collapsed="false">
      <c r="A668" s="40" t="n">
        <f aca="false">IF(OR($A$4=0,INDEX('COOIS Raw'!$A:$GZ,ROW()-4,$A$4)=""),"",IFERROR(--INDEX('COOIS Raw'!$A:$GZ,ROW()-4,$A$4),INDEX('COOIS Raw'!$A:$GZ,ROW()-4,$A$4)))</f>
        <v>100863719</v>
      </c>
      <c r="B668" s="41" t="str">
        <f aca="false">IF(A668="","",TRIM(INDEX('COOIS Raw'!$A:$GZ,ROW()-4,$B$4)))</f>
        <v>92YRA04548AAA</v>
      </c>
      <c r="C668" s="42" t="str">
        <f aca="false">IF(OR(A668="",$C$4=0),"",INDEX('COOIS Raw'!$A:$GZ,ROW()-4,$C$4))</f>
        <v>R5B ERBIUM ASSEMBLY 4</v>
      </c>
      <c r="D668" s="41" t="n">
        <f aca="false">IF(A668="","",IF($D$4=0,1,IFERROR(--INDEX('COOIS Raw'!$A:$GZ,ROW()-4,$D$4),1)))</f>
        <v>1</v>
      </c>
      <c r="E668" s="42" t="str">
        <f aca="false">IF(A668="","",INDEX('COOIS Raw'!$A:$GZ,ROW()-4,$E$4)&amp;"")</f>
        <v>REL PRT CNF DLV PRC GMPS MANC RESA*</v>
      </c>
      <c r="F668" s="43" t="n">
        <f aca="false">IF(A668="","",IFERROR(DATEVALUE(INDEX('COOIS Raw'!$A:$GZ,ROW()-4,$F$4)),INDEX('COOIS Raw'!$A:$GZ,ROW()-4,$F$4)))</f>
        <v>46165</v>
      </c>
      <c r="G668" s="41" t="str">
        <f aca="false">IF(A668="","",IF(ISNA(MATCH(B668,'Kitting Plan'!$B$6:$B$19,0)),"Not in plan","Yes"))</f>
        <v>Yes</v>
      </c>
      <c r="H668" s="41" t="n">
        <f aca="false">IF(G668="Yes",INDEX('Kitting Plan'!$D$6:$D$19,MATCH(B668,'Kitting Plan'!$B$6:$B$19,0)),"")</f>
        <v>3</v>
      </c>
      <c r="I668" s="41" t="n">
        <f aca="false">IF(A668="","",IF(ISNUMBER(SEARCH("PRT",E668)),D668,0))</f>
        <v>1</v>
      </c>
      <c r="J668" s="41" t="n">
        <f aca="false">IF(A668="","",IF(ISNUMBER(SEARCH("GMPS",E668)),D668,0))</f>
        <v>1</v>
      </c>
      <c r="K668" s="41" t="n">
        <f aca="false">IF(A668="","",IF(ISNUMBER(SEARCH("DLV",E668)),D668,0))</f>
        <v>1</v>
      </c>
      <c r="L668" s="41" t="str">
        <f aca="false">IF(A668="","",IF(K668&gt;0,"Delivered",IF(ISNUMBER(SEARCH("CNF",E668)),"In production",IF(J668&gt;0,"Issued",IF(I668&gt;0,"Kitted","Released")))))</f>
        <v>Delivered</v>
      </c>
      <c r="M668" s="41" t="n">
        <f aca="false">IF(G668&lt;&gt;"Yes","",COUNTIFS($B$6:$B$1505,B668,$F$6:$F$1505,"&lt;"&amp;F668)+COUNTIFS($B$6:$B$1505,B668,$F$6:$F$1505,F668,$A$6:$A$1505,"&lt;="&amp;A668))</f>
        <v>2</v>
      </c>
      <c r="N668" s="41" t="n">
        <f aca="false">IF(M668="","",ROUNDUP(M668/H668,0))</f>
        <v>1</v>
      </c>
      <c r="O668" s="41" t="str">
        <f aca="false">IF(N668="","",IF(N668&lt;='Kitting Plan'!$C$3,"Rep "&amp;N668,"Surplus"))</f>
        <v>Rep 1</v>
      </c>
    </row>
    <row r="669" customFormat="false" ht="15" hidden="false" customHeight="false" outlineLevel="0" collapsed="false">
      <c r="A669" s="40" t="n">
        <f aca="false">IF(OR($A$4=0,INDEX('COOIS Raw'!$A:$GZ,ROW()-4,$A$4)=""),"",IFERROR(--INDEX('COOIS Raw'!$A:$GZ,ROW()-4,$A$4),INDEX('COOIS Raw'!$A:$GZ,ROW()-4,$A$4)))</f>
        <v>100863720</v>
      </c>
      <c r="B669" s="41" t="str">
        <f aca="false">IF(A669="","",TRIM(INDEX('COOIS Raw'!$A:$GZ,ROW()-4,$B$4)))</f>
        <v>92YRA04548AAA</v>
      </c>
      <c r="C669" s="42" t="str">
        <f aca="false">IF(OR(A669="",$C$4=0),"",INDEX('COOIS Raw'!$A:$GZ,ROW()-4,$C$4))</f>
        <v>R5B ERBIUM ASSEMBLY 4</v>
      </c>
      <c r="D669" s="41" t="n">
        <f aca="false">IF(A669="","",IF($D$4=0,1,IFERROR(--INDEX('COOIS Raw'!$A:$GZ,ROW()-4,$D$4),1)))</f>
        <v>1</v>
      </c>
      <c r="E669" s="42" t="str">
        <f aca="false">IF(A669="","",INDEX('COOIS Raw'!$A:$GZ,ROW()-4,$E$4)&amp;"")</f>
        <v>REL PRT CNF DLV PRC GMPS MANC SETC</v>
      </c>
      <c r="F669" s="43" t="n">
        <f aca="false">IF(A669="","",IFERROR(DATEVALUE(INDEX('COOIS Raw'!$A:$GZ,ROW()-4,$F$4)),INDEX('COOIS Raw'!$A:$GZ,ROW()-4,$F$4)))</f>
        <v>46165</v>
      </c>
      <c r="G669" s="41" t="str">
        <f aca="false">IF(A669="","",IF(ISNA(MATCH(B669,'Kitting Plan'!$B$6:$B$19,0)),"Not in plan","Yes"))</f>
        <v>Yes</v>
      </c>
      <c r="H669" s="41" t="n">
        <f aca="false">IF(G669="Yes",INDEX('Kitting Plan'!$D$6:$D$19,MATCH(B669,'Kitting Plan'!$B$6:$B$19,0)),"")</f>
        <v>3</v>
      </c>
      <c r="I669" s="41" t="n">
        <f aca="false">IF(A669="","",IF(ISNUMBER(SEARCH("PRT",E669)),D669,0))</f>
        <v>1</v>
      </c>
      <c r="J669" s="41" t="n">
        <f aca="false">IF(A669="","",IF(ISNUMBER(SEARCH("GMPS",E669)),D669,0))</f>
        <v>1</v>
      </c>
      <c r="K669" s="41" t="n">
        <f aca="false">IF(A669="","",IF(ISNUMBER(SEARCH("DLV",E669)),D669,0))</f>
        <v>1</v>
      </c>
      <c r="L669" s="41" t="str">
        <f aca="false">IF(A669="","",IF(K669&gt;0,"Delivered",IF(ISNUMBER(SEARCH("CNF",E669)),"In production",IF(J669&gt;0,"Issued",IF(I669&gt;0,"Kitted","Released")))))</f>
        <v>Delivered</v>
      </c>
      <c r="M669" s="41" t="n">
        <f aca="false">IF(G669&lt;&gt;"Yes","",COUNTIFS($B$6:$B$1505,B669,$F$6:$F$1505,"&lt;"&amp;F669)+COUNTIFS($B$6:$B$1505,B669,$F$6:$F$1505,F669,$A$6:$A$1505,"&lt;="&amp;A669))</f>
        <v>3</v>
      </c>
      <c r="N669" s="41" t="n">
        <f aca="false">IF(M669="","",ROUNDUP(M669/H669,0))</f>
        <v>1</v>
      </c>
      <c r="O669" s="41" t="str">
        <f aca="false">IF(N669="","",IF(N669&lt;='Kitting Plan'!$C$3,"Rep "&amp;N669,"Surplus"))</f>
        <v>Rep 1</v>
      </c>
    </row>
    <row r="670" customFormat="false" ht="15" hidden="false" customHeight="false" outlineLevel="0" collapsed="false">
      <c r="A670" s="40" t="n">
        <f aca="false">IF(OR($A$4=0,INDEX('COOIS Raw'!$A:$GZ,ROW()-4,$A$4)=""),"",IFERROR(--INDEX('COOIS Raw'!$A:$GZ,ROW()-4,$A$4),INDEX('COOIS Raw'!$A:$GZ,ROW()-4,$A$4)))</f>
        <v>100863154</v>
      </c>
      <c r="B670" s="41" t="str">
        <f aca="false">IF(A670="","",TRIM(INDEX('COOIS Raw'!$A:$GZ,ROW()-4,$B$4)))</f>
        <v>92YFD04548BBA</v>
      </c>
      <c r="C670" s="42" t="str">
        <f aca="false">IF(OR(A670="",$C$4=0),"",INDEX('COOIS Raw'!$A:$GZ,ROW()-4,$C$4))</f>
        <v>R5B OPF ASSEMBLY (4P-4FP) BOAT 2/3 - E2A</v>
      </c>
      <c r="D670" s="41" t="n">
        <f aca="false">IF(A670="","",IF($D$4=0,1,IFERROR(--INDEX('COOIS Raw'!$A:$GZ,ROW()-4,$D$4),1)))</f>
        <v>1</v>
      </c>
      <c r="E670" s="42" t="str">
        <f aca="false">IF(A670="","",INDEX('COOIS Raw'!$A:$GZ,ROW()-4,$E$4)&amp;"")</f>
        <v>REL PRT PCNF DLV PRC GMPS MANC RESA*</v>
      </c>
      <c r="F670" s="43" t="n">
        <f aca="false">IF(A670="","",IFERROR(DATEVALUE(INDEX('COOIS Raw'!$A:$GZ,ROW()-4,$F$4)),INDEX('COOIS Raw'!$A:$GZ,ROW()-4,$F$4)))</f>
        <v>46163</v>
      </c>
      <c r="G670" s="41" t="str">
        <f aca="false">IF(A670="","",IF(ISNA(MATCH(B670,'Kitting Plan'!$B$6:$B$19,0)),"Not in plan","Yes"))</f>
        <v>Yes</v>
      </c>
      <c r="H670" s="41" t="n">
        <f aca="false">IF(G670="Yes",INDEX('Kitting Plan'!$D$6:$D$19,MATCH(B670,'Kitting Plan'!$B$6:$B$19,0)),"")</f>
        <v>2</v>
      </c>
      <c r="I670" s="41" t="n">
        <f aca="false">IF(A670="","",IF(ISNUMBER(SEARCH("PRT",E670)),D670,0))</f>
        <v>1</v>
      </c>
      <c r="J670" s="41" t="n">
        <f aca="false">IF(A670="","",IF(ISNUMBER(SEARCH("GMPS",E670)),D670,0))</f>
        <v>1</v>
      </c>
      <c r="K670" s="41" t="n">
        <f aca="false">IF(A670="","",IF(ISNUMBER(SEARCH("DLV",E670)),D670,0))</f>
        <v>1</v>
      </c>
      <c r="L670" s="41" t="str">
        <f aca="false">IF(A670="","",IF(K670&gt;0,"Delivered",IF(ISNUMBER(SEARCH("CNF",E670)),"In production",IF(J670&gt;0,"Issued",IF(I670&gt;0,"Kitted","Released")))))</f>
        <v>Delivered</v>
      </c>
      <c r="M670" s="41" t="n">
        <f aca="false">IF(G670&lt;&gt;"Yes","",COUNTIFS($B$6:$B$1505,B670,$F$6:$F$1505,"&lt;"&amp;F670)+COUNTIFS($B$6:$B$1505,B670,$F$6:$F$1505,F670,$A$6:$A$1505,"&lt;="&amp;A670))</f>
        <v>3</v>
      </c>
      <c r="N670" s="41" t="n">
        <f aca="false">IF(M670="","",ROUNDUP(M670/H670,0))</f>
        <v>2</v>
      </c>
      <c r="O670" s="41" t="str">
        <f aca="false">IF(N670="","",IF(N670&lt;='Kitting Plan'!$C$3,"Rep "&amp;N670,"Surplus"))</f>
        <v>Rep 2</v>
      </c>
    </row>
    <row r="671" customFormat="false" ht="15" hidden="false" customHeight="false" outlineLevel="0" collapsed="false">
      <c r="A671" s="40" t="n">
        <f aca="false">IF(OR($A$4=0,INDEX('COOIS Raw'!$A:$GZ,ROW()-4,$A$4)=""),"",IFERROR(--INDEX('COOIS Raw'!$A:$GZ,ROW()-4,$A$4),INDEX('COOIS Raw'!$A:$GZ,ROW()-4,$A$4)))</f>
        <v>100863155</v>
      </c>
      <c r="B671" s="41" t="str">
        <f aca="false">IF(A671="","",TRIM(INDEX('COOIS Raw'!$A:$GZ,ROW()-4,$B$4)))</f>
        <v>92YFD04548BBA</v>
      </c>
      <c r="C671" s="42" t="str">
        <f aca="false">IF(OR(A671="",$C$4=0),"",INDEX('COOIS Raw'!$A:$GZ,ROW()-4,$C$4))</f>
        <v>R5B OPF ASSEMBLY (4P-4FP) BOAT 2/3 - E2A</v>
      </c>
      <c r="D671" s="41" t="n">
        <f aca="false">IF(A671="","",IF($D$4=0,1,IFERROR(--INDEX('COOIS Raw'!$A:$GZ,ROW()-4,$D$4),1)))</f>
        <v>1</v>
      </c>
      <c r="E671" s="42" t="str">
        <f aca="false">IF(A671="","",INDEX('COOIS Raw'!$A:$GZ,ROW()-4,$E$4)&amp;"")</f>
        <v>REL PRT CNF DLV PRC GMPS MANC RESA*</v>
      </c>
      <c r="F671" s="43" t="n">
        <f aca="false">IF(A671="","",IFERROR(DATEVALUE(INDEX('COOIS Raw'!$A:$GZ,ROW()-4,$F$4)),INDEX('COOIS Raw'!$A:$GZ,ROW()-4,$F$4)))</f>
        <v>46163</v>
      </c>
      <c r="G671" s="41" t="str">
        <f aca="false">IF(A671="","",IF(ISNA(MATCH(B671,'Kitting Plan'!$B$6:$B$19,0)),"Not in plan","Yes"))</f>
        <v>Yes</v>
      </c>
      <c r="H671" s="41" t="n">
        <f aca="false">IF(G671="Yes",INDEX('Kitting Plan'!$D$6:$D$19,MATCH(B671,'Kitting Plan'!$B$6:$B$19,0)),"")</f>
        <v>2</v>
      </c>
      <c r="I671" s="41" t="n">
        <f aca="false">IF(A671="","",IF(ISNUMBER(SEARCH("PRT",E671)),D671,0))</f>
        <v>1</v>
      </c>
      <c r="J671" s="41" t="n">
        <f aca="false">IF(A671="","",IF(ISNUMBER(SEARCH("GMPS",E671)),D671,0))</f>
        <v>1</v>
      </c>
      <c r="K671" s="41" t="n">
        <f aca="false">IF(A671="","",IF(ISNUMBER(SEARCH("DLV",E671)),D671,0))</f>
        <v>1</v>
      </c>
      <c r="L671" s="41" t="str">
        <f aca="false">IF(A671="","",IF(K671&gt;0,"Delivered",IF(ISNUMBER(SEARCH("CNF",E671)),"In production",IF(J671&gt;0,"Issued",IF(I671&gt;0,"Kitted","Released")))))</f>
        <v>Delivered</v>
      </c>
      <c r="M671" s="41" t="n">
        <f aca="false">IF(G671&lt;&gt;"Yes","",COUNTIFS($B$6:$B$1505,B671,$F$6:$F$1505,"&lt;"&amp;F671)+COUNTIFS($B$6:$B$1505,B671,$F$6:$F$1505,F671,$A$6:$A$1505,"&lt;="&amp;A671))</f>
        <v>4</v>
      </c>
      <c r="N671" s="41" t="n">
        <f aca="false">IF(M671="","",ROUNDUP(M671/H671,0))</f>
        <v>2</v>
      </c>
      <c r="O671" s="41" t="str">
        <f aca="false">IF(N671="","",IF(N671&lt;='Kitting Plan'!$C$3,"Rep "&amp;N671,"Surplus"))</f>
        <v>Rep 2</v>
      </c>
    </row>
    <row r="672" customFormat="false" ht="15" hidden="false" customHeight="false" outlineLevel="0" collapsed="false">
      <c r="A672" s="40" t="n">
        <f aca="false">IF(OR($A$4=0,INDEX('COOIS Raw'!$A:$GZ,ROW()-4,$A$4)=""),"",IFERROR(--INDEX('COOIS Raw'!$A:$GZ,ROW()-4,$A$4),INDEX('COOIS Raw'!$A:$GZ,ROW()-4,$A$4)))</f>
        <v>100863156</v>
      </c>
      <c r="B672" s="41" t="str">
        <f aca="false">IF(A672="","",TRIM(INDEX('COOIS Raw'!$A:$GZ,ROW()-4,$B$4)))</f>
        <v>92YFD04548BAA</v>
      </c>
      <c r="C672" s="42" t="str">
        <f aca="false">IF(OR(A672="",$C$4=0),"",INDEX('COOIS Raw'!$A:$GZ,ROW()-4,$C$4))</f>
        <v>R5B OPF ASSEMBLY (4P-4FP) BOAT 1 - E2A</v>
      </c>
      <c r="D672" s="41" t="n">
        <f aca="false">IF(A672="","",IF($D$4=0,1,IFERROR(--INDEX('COOIS Raw'!$A:$GZ,ROW()-4,$D$4),1)))</f>
        <v>1</v>
      </c>
      <c r="E672" s="42" t="str">
        <f aca="false">IF(A672="","",INDEX('COOIS Raw'!$A:$GZ,ROW()-4,$E$4)&amp;"")</f>
        <v>REL PRT CNF DLV PRC GMPS MANC RESA*</v>
      </c>
      <c r="F672" s="43" t="n">
        <f aca="false">IF(A672="","",IFERROR(DATEVALUE(INDEX('COOIS Raw'!$A:$GZ,ROW()-4,$F$4)),INDEX('COOIS Raw'!$A:$GZ,ROW()-4,$F$4)))</f>
        <v>46163</v>
      </c>
      <c r="G672" s="41" t="str">
        <f aca="false">IF(A672="","",IF(ISNA(MATCH(B672,'Kitting Plan'!$B$6:$B$19,0)),"Not in plan","Yes"))</f>
        <v>Yes</v>
      </c>
      <c r="H672" s="41" t="n">
        <f aca="false">IF(G672="Yes",INDEX('Kitting Plan'!$D$6:$D$19,MATCH(B672,'Kitting Plan'!$B$6:$B$19,0)),"")</f>
        <v>1</v>
      </c>
      <c r="I672" s="41" t="n">
        <f aca="false">IF(A672="","",IF(ISNUMBER(SEARCH("PRT",E672)),D672,0))</f>
        <v>1</v>
      </c>
      <c r="J672" s="41" t="n">
        <f aca="false">IF(A672="","",IF(ISNUMBER(SEARCH("GMPS",E672)),D672,0))</f>
        <v>1</v>
      </c>
      <c r="K672" s="41" t="n">
        <f aca="false">IF(A672="","",IF(ISNUMBER(SEARCH("DLV",E672)),D672,0))</f>
        <v>1</v>
      </c>
      <c r="L672" s="41" t="str">
        <f aca="false">IF(A672="","",IF(K672&gt;0,"Delivered",IF(ISNUMBER(SEARCH("CNF",E672)),"In production",IF(J672&gt;0,"Issued",IF(I672&gt;0,"Kitted","Released")))))</f>
        <v>Delivered</v>
      </c>
      <c r="M672" s="41" t="n">
        <f aca="false">IF(G672&lt;&gt;"Yes","",COUNTIFS($B$6:$B$1505,B672,$F$6:$F$1505,"&lt;"&amp;F672)+COUNTIFS($B$6:$B$1505,B672,$F$6:$F$1505,F672,$A$6:$A$1505,"&lt;="&amp;A672))</f>
        <v>2</v>
      </c>
      <c r="N672" s="41" t="n">
        <f aca="false">IF(M672="","",ROUNDUP(M672/H672,0))</f>
        <v>2</v>
      </c>
      <c r="O672" s="41" t="str">
        <f aca="false">IF(N672="","",IF(N672&lt;='Kitting Plan'!$C$3,"Rep "&amp;N672,"Surplus"))</f>
        <v>Rep 2</v>
      </c>
    </row>
    <row r="673" customFormat="false" ht="15" hidden="false" customHeight="false" outlineLevel="0" collapsed="false">
      <c r="A673" s="40" t="n">
        <f aca="false">IF(OR($A$4=0,INDEX('COOIS Raw'!$A:$GZ,ROW()-4,$A$4)=""),"",IFERROR(--INDEX('COOIS Raw'!$A:$GZ,ROW()-4,$A$4),INDEX('COOIS Raw'!$A:$GZ,ROW()-4,$A$4)))</f>
        <v>100863126</v>
      </c>
      <c r="B673" s="41" t="str">
        <f aca="false">IF(A673="","",TRIM(INDEX('COOIS Raw'!$A:$GZ,ROW()-4,$B$4)))</f>
        <v>92YWS04548AAA</v>
      </c>
      <c r="C673" s="42" t="str">
        <f aca="false">IF(OR(A673="",$C$4=0),"",INDEX('COOIS Raw'!$A:$GZ,ROW()-4,$C$4))</f>
        <v>R5B 4FP POB LUMENTUM SUB ASSEMBLY - E2A</v>
      </c>
      <c r="D673" s="41" t="n">
        <f aca="false">IF(A673="","",IF($D$4=0,1,IFERROR(--INDEX('COOIS Raw'!$A:$GZ,ROW()-4,$D$4),1)))</f>
        <v>1</v>
      </c>
      <c r="E673" s="42" t="str">
        <f aca="false">IF(A673="","",INDEX('COOIS Raw'!$A:$GZ,ROW()-4,$E$4)&amp;"")</f>
        <v>REL PRT CNF DLV PRC GMPS MANC RESA*</v>
      </c>
      <c r="F673" s="43" t="n">
        <f aca="false">IF(A673="","",IFERROR(DATEVALUE(INDEX('COOIS Raw'!$A:$GZ,ROW()-4,$F$4)),INDEX('COOIS Raw'!$A:$GZ,ROW()-4,$F$4)))</f>
        <v>46162</v>
      </c>
      <c r="G673" s="41" t="str">
        <f aca="false">IF(A673="","",IF(ISNA(MATCH(B673,'Kitting Plan'!$B$6:$B$19,0)),"Not in plan","Yes"))</f>
        <v>Yes</v>
      </c>
      <c r="H673" s="41" t="n">
        <f aca="false">IF(G673="Yes",INDEX('Kitting Plan'!$D$6:$D$19,MATCH(B673,'Kitting Plan'!$B$6:$B$19,0)),"")</f>
        <v>3</v>
      </c>
      <c r="I673" s="41" t="n">
        <f aca="false">IF(A673="","",IF(ISNUMBER(SEARCH("PRT",E673)),D673,0))</f>
        <v>1</v>
      </c>
      <c r="J673" s="41" t="n">
        <f aca="false">IF(A673="","",IF(ISNUMBER(SEARCH("GMPS",E673)),D673,0))</f>
        <v>1</v>
      </c>
      <c r="K673" s="41" t="n">
        <f aca="false">IF(A673="","",IF(ISNUMBER(SEARCH("DLV",E673)),D673,0))</f>
        <v>1</v>
      </c>
      <c r="L673" s="41" t="str">
        <f aca="false">IF(A673="","",IF(K673&gt;0,"Delivered",IF(ISNUMBER(SEARCH("CNF",E673)),"In production",IF(J673&gt;0,"Issued",IF(I673&gt;0,"Kitted","Released")))))</f>
        <v>Delivered</v>
      </c>
      <c r="M673" s="41" t="n">
        <f aca="false">IF(G673&lt;&gt;"Yes","",COUNTIFS($B$6:$B$1505,B673,$F$6:$F$1505,"&lt;"&amp;F673)+COUNTIFS($B$6:$B$1505,B673,$F$6:$F$1505,F673,$A$6:$A$1505,"&lt;="&amp;A673))</f>
        <v>4</v>
      </c>
      <c r="N673" s="41" t="n">
        <f aca="false">IF(M673="","",ROUNDUP(M673/H673,0))</f>
        <v>2</v>
      </c>
      <c r="O673" s="41" t="str">
        <f aca="false">IF(N673="","",IF(N673&lt;='Kitting Plan'!$C$3,"Rep "&amp;N673,"Surplus"))</f>
        <v>Rep 2</v>
      </c>
    </row>
    <row r="674" customFormat="false" ht="15" hidden="false" customHeight="false" outlineLevel="0" collapsed="false">
      <c r="A674" s="40" t="n">
        <f aca="false">IF(OR($A$4=0,INDEX('COOIS Raw'!$A:$GZ,ROW()-4,$A$4)=""),"",IFERROR(--INDEX('COOIS Raw'!$A:$GZ,ROW()-4,$A$4),INDEX('COOIS Raw'!$A:$GZ,ROW()-4,$A$4)))</f>
        <v>100863127</v>
      </c>
      <c r="B674" s="41" t="str">
        <f aca="false">IF(A674="","",TRIM(INDEX('COOIS Raw'!$A:$GZ,ROW()-4,$B$4)))</f>
        <v>92YWS04548AAA</v>
      </c>
      <c r="C674" s="42" t="str">
        <f aca="false">IF(OR(A674="",$C$4=0),"",INDEX('COOIS Raw'!$A:$GZ,ROW()-4,$C$4))</f>
        <v>R5B 4FP POB LUMENTUM SUB ASSEMBLY - E2A</v>
      </c>
      <c r="D674" s="41" t="n">
        <f aca="false">IF(A674="","",IF($D$4=0,1,IFERROR(--INDEX('COOIS Raw'!$A:$GZ,ROW()-4,$D$4),1)))</f>
        <v>1</v>
      </c>
      <c r="E674" s="42" t="str">
        <f aca="false">IF(A674="","",INDEX('COOIS Raw'!$A:$GZ,ROW()-4,$E$4)&amp;"")</f>
        <v>REL PRT CNF DLV PRC GMPS MANC RESA*</v>
      </c>
      <c r="F674" s="43" t="n">
        <f aca="false">IF(A674="","",IFERROR(DATEVALUE(INDEX('COOIS Raw'!$A:$GZ,ROW()-4,$F$4)),INDEX('COOIS Raw'!$A:$GZ,ROW()-4,$F$4)))</f>
        <v>46162</v>
      </c>
      <c r="G674" s="41" t="str">
        <f aca="false">IF(A674="","",IF(ISNA(MATCH(B674,'Kitting Plan'!$B$6:$B$19,0)),"Not in plan","Yes"))</f>
        <v>Yes</v>
      </c>
      <c r="H674" s="41" t="n">
        <f aca="false">IF(G674="Yes",INDEX('Kitting Plan'!$D$6:$D$19,MATCH(B674,'Kitting Plan'!$B$6:$B$19,0)),"")</f>
        <v>3</v>
      </c>
      <c r="I674" s="41" t="n">
        <f aca="false">IF(A674="","",IF(ISNUMBER(SEARCH("PRT",E674)),D674,0))</f>
        <v>1</v>
      </c>
      <c r="J674" s="41" t="n">
        <f aca="false">IF(A674="","",IF(ISNUMBER(SEARCH("GMPS",E674)),D674,0))</f>
        <v>1</v>
      </c>
      <c r="K674" s="41" t="n">
        <f aca="false">IF(A674="","",IF(ISNUMBER(SEARCH("DLV",E674)),D674,0))</f>
        <v>1</v>
      </c>
      <c r="L674" s="41" t="str">
        <f aca="false">IF(A674="","",IF(K674&gt;0,"Delivered",IF(ISNUMBER(SEARCH("CNF",E674)),"In production",IF(J674&gt;0,"Issued",IF(I674&gt;0,"Kitted","Released")))))</f>
        <v>Delivered</v>
      </c>
      <c r="M674" s="41" t="n">
        <f aca="false">IF(G674&lt;&gt;"Yes","",COUNTIFS($B$6:$B$1505,B674,$F$6:$F$1505,"&lt;"&amp;F674)+COUNTIFS($B$6:$B$1505,B674,$F$6:$F$1505,F674,$A$6:$A$1505,"&lt;="&amp;A674))</f>
        <v>5</v>
      </c>
      <c r="N674" s="41" t="n">
        <f aca="false">IF(M674="","",ROUNDUP(M674/H674,0))</f>
        <v>2</v>
      </c>
      <c r="O674" s="41" t="str">
        <f aca="false">IF(N674="","",IF(N674&lt;='Kitting Plan'!$C$3,"Rep "&amp;N674,"Surplus"))</f>
        <v>Rep 2</v>
      </c>
    </row>
    <row r="675" customFormat="false" ht="15" hidden="false" customHeight="false" outlineLevel="0" collapsed="false">
      <c r="A675" s="40" t="n">
        <f aca="false">IF(OR($A$4=0,INDEX('COOIS Raw'!$A:$GZ,ROW()-4,$A$4)=""),"",IFERROR(--INDEX('COOIS Raw'!$A:$GZ,ROW()-4,$A$4),INDEX('COOIS Raw'!$A:$GZ,ROW()-4,$A$4)))</f>
        <v>100863128</v>
      </c>
      <c r="B675" s="41" t="str">
        <f aca="false">IF(A675="","",TRIM(INDEX('COOIS Raw'!$A:$GZ,ROW()-4,$B$4)))</f>
        <v>92YWS04548AAA</v>
      </c>
      <c r="C675" s="42" t="str">
        <f aca="false">IF(OR(A675="",$C$4=0),"",INDEX('COOIS Raw'!$A:$GZ,ROW()-4,$C$4))</f>
        <v>R5B 4FP POB LUMENTUM SUB ASSEMBLY - E2A</v>
      </c>
      <c r="D675" s="41" t="n">
        <f aca="false">IF(A675="","",IF($D$4=0,1,IFERROR(--INDEX('COOIS Raw'!$A:$GZ,ROW()-4,$D$4),1)))</f>
        <v>1</v>
      </c>
      <c r="E675" s="42" t="str">
        <f aca="false">IF(A675="","",INDEX('COOIS Raw'!$A:$GZ,ROW()-4,$E$4)&amp;"")</f>
        <v>REL PRT CNF DLV PRC GMPS MANC RESA*</v>
      </c>
      <c r="F675" s="43" t="n">
        <f aca="false">IF(A675="","",IFERROR(DATEVALUE(INDEX('COOIS Raw'!$A:$GZ,ROW()-4,$F$4)),INDEX('COOIS Raw'!$A:$GZ,ROW()-4,$F$4)))</f>
        <v>46162</v>
      </c>
      <c r="G675" s="41" t="str">
        <f aca="false">IF(A675="","",IF(ISNA(MATCH(B675,'Kitting Plan'!$B$6:$B$19,0)),"Not in plan","Yes"))</f>
        <v>Yes</v>
      </c>
      <c r="H675" s="41" t="n">
        <f aca="false">IF(G675="Yes",INDEX('Kitting Plan'!$D$6:$D$19,MATCH(B675,'Kitting Plan'!$B$6:$B$19,0)),"")</f>
        <v>3</v>
      </c>
      <c r="I675" s="41" t="n">
        <f aca="false">IF(A675="","",IF(ISNUMBER(SEARCH("PRT",E675)),D675,0))</f>
        <v>1</v>
      </c>
      <c r="J675" s="41" t="n">
        <f aca="false">IF(A675="","",IF(ISNUMBER(SEARCH("GMPS",E675)),D675,0))</f>
        <v>1</v>
      </c>
      <c r="K675" s="41" t="n">
        <f aca="false">IF(A675="","",IF(ISNUMBER(SEARCH("DLV",E675)),D675,0))</f>
        <v>1</v>
      </c>
      <c r="L675" s="41" t="str">
        <f aca="false">IF(A675="","",IF(K675&gt;0,"Delivered",IF(ISNUMBER(SEARCH("CNF",E675)),"In production",IF(J675&gt;0,"Issued",IF(I675&gt;0,"Kitted","Released")))))</f>
        <v>Delivered</v>
      </c>
      <c r="M675" s="41" t="n">
        <f aca="false">IF(G675&lt;&gt;"Yes","",COUNTIFS($B$6:$B$1505,B675,$F$6:$F$1505,"&lt;"&amp;F675)+COUNTIFS($B$6:$B$1505,B675,$F$6:$F$1505,F675,$A$6:$A$1505,"&lt;="&amp;A675))</f>
        <v>6</v>
      </c>
      <c r="N675" s="41" t="n">
        <f aca="false">IF(M675="","",ROUNDUP(M675/H675,0))</f>
        <v>2</v>
      </c>
      <c r="O675" s="41" t="str">
        <f aca="false">IF(N675="","",IF(N675&lt;='Kitting Plan'!$C$3,"Rep "&amp;N675,"Surplus"))</f>
        <v>Rep 2</v>
      </c>
    </row>
    <row r="676" customFormat="false" ht="15" hidden="false" customHeight="false" outlineLevel="0" collapsed="false">
      <c r="A676" s="40" t="n">
        <f aca="false">IF(OR($A$4=0,INDEX('COOIS Raw'!$A:$GZ,ROW()-4,$A$4)=""),"",IFERROR(--INDEX('COOIS Raw'!$A:$GZ,ROW()-4,$A$4),INDEX('COOIS Raw'!$A:$GZ,ROW()-4,$A$4)))</f>
        <v>100862965</v>
      </c>
      <c r="B676" s="41" t="str">
        <f aca="false">IF(A676="","",TRIM(INDEX('COOIS Raw'!$A:$GZ,ROW()-4,$B$4)))</f>
        <v>92YLS00548BBA</v>
      </c>
      <c r="C676" s="42" t="str">
        <f aca="false">IF(OR(A676="",$C$4=0),"",INDEX('COOIS Raw'!$A:$GZ,ROW()-4,$C$4))</f>
        <v>R5B LASER ASSEMBLY 4P BOAT 2/3 - E2A</v>
      </c>
      <c r="D676" s="41" t="n">
        <f aca="false">IF(A676="","",IF($D$4=0,1,IFERROR(--INDEX('COOIS Raw'!$A:$GZ,ROW()-4,$D$4),1)))</f>
        <v>1</v>
      </c>
      <c r="E676" s="42" t="str">
        <f aca="false">IF(A676="","",INDEX('COOIS Raw'!$A:$GZ,ROW()-4,$E$4)&amp;"")</f>
        <v>REL PPRT CNF DLV PRC GMPS MANC SETC*</v>
      </c>
      <c r="F676" s="43" t="n">
        <f aca="false">IF(A676="","",IFERROR(DATEVALUE(INDEX('COOIS Raw'!$A:$GZ,ROW()-4,$F$4)),INDEX('COOIS Raw'!$A:$GZ,ROW()-4,$F$4)))</f>
        <v>46161</v>
      </c>
      <c r="G676" s="41" t="str">
        <f aca="false">IF(A676="","",IF(ISNA(MATCH(B676,'Kitting Plan'!$B$6:$B$19,0)),"Not in plan","Yes"))</f>
        <v>Yes</v>
      </c>
      <c r="H676" s="41" t="n">
        <f aca="false">IF(G676="Yes",INDEX('Kitting Plan'!$D$6:$D$19,MATCH(B676,'Kitting Plan'!$B$6:$B$19,0)),"")</f>
        <v>2</v>
      </c>
      <c r="I676" s="41" t="n">
        <f aca="false">IF(A676="","",IF(ISNUMBER(SEARCH("PRT",E676)),D676,0))</f>
        <v>1</v>
      </c>
      <c r="J676" s="41" t="n">
        <f aca="false">IF(A676="","",IF(ISNUMBER(SEARCH("GMPS",E676)),D676,0))</f>
        <v>1</v>
      </c>
      <c r="K676" s="41" t="n">
        <f aca="false">IF(A676="","",IF(ISNUMBER(SEARCH("DLV",E676)),D676,0))</f>
        <v>1</v>
      </c>
      <c r="L676" s="41" t="str">
        <f aca="false">IF(A676="","",IF(K676&gt;0,"Delivered",IF(ISNUMBER(SEARCH("CNF",E676)),"In production",IF(J676&gt;0,"Issued",IF(I676&gt;0,"Kitted","Released")))))</f>
        <v>Delivered</v>
      </c>
      <c r="M676" s="41" t="n">
        <f aca="false">IF(G676&lt;&gt;"Yes","",COUNTIFS($B$6:$B$1505,B676,$F$6:$F$1505,"&lt;"&amp;F676)+COUNTIFS($B$6:$B$1505,B676,$F$6:$F$1505,F676,$A$6:$A$1505,"&lt;="&amp;A676))</f>
        <v>3</v>
      </c>
      <c r="N676" s="41" t="n">
        <f aca="false">IF(M676="","",ROUNDUP(M676/H676,0))</f>
        <v>2</v>
      </c>
      <c r="O676" s="41" t="str">
        <f aca="false">IF(N676="","",IF(N676&lt;='Kitting Plan'!$C$3,"Rep "&amp;N676,"Surplus"))</f>
        <v>Rep 2</v>
      </c>
    </row>
    <row r="677" customFormat="false" ht="15" hidden="false" customHeight="false" outlineLevel="0" collapsed="false">
      <c r="A677" s="40" t="n">
        <f aca="false">IF(OR($A$4=0,INDEX('COOIS Raw'!$A:$GZ,ROW()-4,$A$4)=""),"",IFERROR(--INDEX('COOIS Raw'!$A:$GZ,ROW()-4,$A$4),INDEX('COOIS Raw'!$A:$GZ,ROW()-4,$A$4)))</f>
        <v>100862967</v>
      </c>
      <c r="B677" s="41" t="str">
        <f aca="false">IF(A677="","",TRIM(INDEX('COOIS Raw'!$A:$GZ,ROW()-4,$B$4)))</f>
        <v>92YLS00548BBA</v>
      </c>
      <c r="C677" s="42" t="str">
        <f aca="false">IF(OR(A677="",$C$4=0),"",INDEX('COOIS Raw'!$A:$GZ,ROW()-4,$C$4))</f>
        <v>R5B LASER ASSEMBLY 4P BOAT 2/3 - E2A</v>
      </c>
      <c r="D677" s="41" t="n">
        <f aca="false">IF(A677="","",IF($D$4=0,1,IFERROR(--INDEX('COOIS Raw'!$A:$GZ,ROW()-4,$D$4),1)))</f>
        <v>1</v>
      </c>
      <c r="E677" s="42" t="str">
        <f aca="false">IF(A677="","",INDEX('COOIS Raw'!$A:$GZ,ROW()-4,$E$4)&amp;"")</f>
        <v>REL PPRT CNF DLV PRC GMPS MANC SETC*</v>
      </c>
      <c r="F677" s="43" t="n">
        <f aca="false">IF(A677="","",IFERROR(DATEVALUE(INDEX('COOIS Raw'!$A:$GZ,ROW()-4,$F$4)),INDEX('COOIS Raw'!$A:$GZ,ROW()-4,$F$4)))</f>
        <v>46161</v>
      </c>
      <c r="G677" s="41" t="str">
        <f aca="false">IF(A677="","",IF(ISNA(MATCH(B677,'Kitting Plan'!$B$6:$B$19,0)),"Not in plan","Yes"))</f>
        <v>Yes</v>
      </c>
      <c r="H677" s="41" t="n">
        <f aca="false">IF(G677="Yes",INDEX('Kitting Plan'!$D$6:$D$19,MATCH(B677,'Kitting Plan'!$B$6:$B$19,0)),"")</f>
        <v>2</v>
      </c>
      <c r="I677" s="41" t="n">
        <f aca="false">IF(A677="","",IF(ISNUMBER(SEARCH("PRT",E677)),D677,0))</f>
        <v>1</v>
      </c>
      <c r="J677" s="41" t="n">
        <f aca="false">IF(A677="","",IF(ISNUMBER(SEARCH("GMPS",E677)),D677,0))</f>
        <v>1</v>
      </c>
      <c r="K677" s="41" t="n">
        <f aca="false">IF(A677="","",IF(ISNUMBER(SEARCH("DLV",E677)),D677,0))</f>
        <v>1</v>
      </c>
      <c r="L677" s="41" t="str">
        <f aca="false">IF(A677="","",IF(K677&gt;0,"Delivered",IF(ISNUMBER(SEARCH("CNF",E677)),"In production",IF(J677&gt;0,"Issued",IF(I677&gt;0,"Kitted","Released")))))</f>
        <v>Delivered</v>
      </c>
      <c r="M677" s="41" t="n">
        <f aca="false">IF(G677&lt;&gt;"Yes","",COUNTIFS($B$6:$B$1505,B677,$F$6:$F$1505,"&lt;"&amp;F677)+COUNTIFS($B$6:$B$1505,B677,$F$6:$F$1505,F677,$A$6:$A$1505,"&lt;="&amp;A677))</f>
        <v>4</v>
      </c>
      <c r="N677" s="41" t="n">
        <f aca="false">IF(M677="","",ROUNDUP(M677/H677,0))</f>
        <v>2</v>
      </c>
      <c r="O677" s="41" t="str">
        <f aca="false">IF(N677="","",IF(N677&lt;='Kitting Plan'!$C$3,"Rep "&amp;N677,"Surplus"))</f>
        <v>Rep 2</v>
      </c>
    </row>
    <row r="678" customFormat="false" ht="15" hidden="false" customHeight="false" outlineLevel="0" collapsed="false">
      <c r="A678" s="40" t="n">
        <f aca="false">IF(OR($A$4=0,INDEX('COOIS Raw'!$A:$GZ,ROW()-4,$A$4)=""),"",IFERROR(--INDEX('COOIS Raw'!$A:$GZ,ROW()-4,$A$4),INDEX('COOIS Raw'!$A:$GZ,ROW()-4,$A$4)))</f>
        <v>100862601</v>
      </c>
      <c r="B678" s="41" t="str">
        <f aca="false">IF(A678="","",TRIM(INDEX('COOIS Raw'!$A:$GZ,ROW()-4,$B$4)))</f>
        <v>92UAP04548BBA</v>
      </c>
      <c r="C678" s="42" t="str">
        <f aca="false">IF(OR(A678="",$C$4=0),"",INDEX('COOIS Raw'!$A:$GZ,ROW()-4,$C$4))</f>
        <v>R5B BOAT 2 ASSY (4P-4FP) L - E2A</v>
      </c>
      <c r="D678" s="41" t="n">
        <f aca="false">IF(A678="","",IF($D$4=0,1,IFERROR(--INDEX('COOIS Raw'!$A:$GZ,ROW()-4,$D$4),1)))</f>
        <v>1</v>
      </c>
      <c r="E678" s="42" t="str">
        <f aca="false">IF(A678="","",INDEX('COOIS Raw'!$A:$GZ,ROW()-4,$E$4)&amp;"")</f>
        <v>REL PRT CNF DLV PRC GMPS MANC RESA*</v>
      </c>
      <c r="F678" s="43" t="n">
        <f aca="false">IF(A678="","",IFERROR(DATEVALUE(INDEX('COOIS Raw'!$A:$GZ,ROW()-4,$F$4)),INDEX('COOIS Raw'!$A:$GZ,ROW()-4,$F$4)))</f>
        <v>46160</v>
      </c>
      <c r="G678" s="41" t="str">
        <f aca="false">IF(A678="","",IF(ISNA(MATCH(B678,'Kitting Plan'!$B$6:$B$19,0)),"Not in plan","Yes"))</f>
        <v>Yes</v>
      </c>
      <c r="H678" s="41" t="n">
        <f aca="false">IF(G678="Yes",INDEX('Kitting Plan'!$D$6:$D$19,MATCH(B678,'Kitting Plan'!$B$6:$B$19,0)),"")</f>
        <v>1</v>
      </c>
      <c r="I678" s="41" t="n">
        <f aca="false">IF(A678="","",IF(ISNUMBER(SEARCH("PRT",E678)),D678,0))</f>
        <v>1</v>
      </c>
      <c r="J678" s="41" t="n">
        <f aca="false">IF(A678="","",IF(ISNUMBER(SEARCH("GMPS",E678)),D678,0))</f>
        <v>1</v>
      </c>
      <c r="K678" s="41" t="n">
        <f aca="false">IF(A678="","",IF(ISNUMBER(SEARCH("DLV",E678)),D678,0))</f>
        <v>1</v>
      </c>
      <c r="L678" s="41" t="str">
        <f aca="false">IF(A678="","",IF(K678&gt;0,"Delivered",IF(ISNUMBER(SEARCH("CNF",E678)),"In production",IF(J678&gt;0,"Issued",IF(I678&gt;0,"Kitted","Released")))))</f>
        <v>Delivered</v>
      </c>
      <c r="M678" s="41" t="n">
        <f aca="false">IF(G678&lt;&gt;"Yes","",COUNTIFS($B$6:$B$1505,B678,$F$6:$F$1505,"&lt;"&amp;F678)+COUNTIFS($B$6:$B$1505,B678,$F$6:$F$1505,F678,$A$6:$A$1505,"&lt;="&amp;A678))</f>
        <v>1</v>
      </c>
      <c r="N678" s="41" t="n">
        <f aca="false">IF(M678="","",ROUNDUP(M678/H678,0))</f>
        <v>1</v>
      </c>
      <c r="O678" s="41" t="str">
        <f aca="false">IF(N678="","",IF(N678&lt;='Kitting Plan'!$C$3,"Rep "&amp;N678,"Surplus"))</f>
        <v>Rep 1</v>
      </c>
    </row>
    <row r="679" customFormat="false" ht="15" hidden="false" customHeight="false" outlineLevel="0" collapsed="false">
      <c r="A679" s="40" t="n">
        <f aca="false">IF(OR($A$4=0,INDEX('COOIS Raw'!$A:$GZ,ROW()-4,$A$4)=""),"",IFERROR(--INDEX('COOIS Raw'!$A:$GZ,ROW()-4,$A$4),INDEX('COOIS Raw'!$A:$GZ,ROW()-4,$A$4)))</f>
        <v>100862602</v>
      </c>
      <c r="B679" s="41" t="str">
        <f aca="false">IF(A679="","",TRIM(INDEX('COOIS Raw'!$A:$GZ,ROW()-4,$B$4)))</f>
        <v>91YAF03404AAA</v>
      </c>
      <c r="C679" s="42" t="str">
        <f aca="false">IF(OR(A679="",$C$4=0),"",INDEX('COOIS Raw'!$A:$GZ,ROW()-4,$C$4))</f>
        <v>R5B PSB SUB ASSEMBLY 4P-4FP</v>
      </c>
      <c r="D679" s="41" t="n">
        <f aca="false">IF(A679="","",IF($D$4=0,1,IFERROR(--INDEX('COOIS Raw'!$A:$GZ,ROW()-4,$D$4),1)))</f>
        <v>1</v>
      </c>
      <c r="E679" s="42" t="str">
        <f aca="false">IF(A679="","",INDEX('COOIS Raw'!$A:$GZ,ROW()-4,$E$4)&amp;"")</f>
        <v>REL PRT CNF DLV PRC GMPS MANC SETC*</v>
      </c>
      <c r="F679" s="43" t="n">
        <f aca="false">IF(A679="","",IFERROR(DATEVALUE(INDEX('COOIS Raw'!$A:$GZ,ROW()-4,$F$4)),INDEX('COOIS Raw'!$A:$GZ,ROW()-4,$F$4)))</f>
        <v>46160</v>
      </c>
      <c r="G679" s="41" t="str">
        <f aca="false">IF(A679="","",IF(ISNA(MATCH(B679,'Kitting Plan'!$B$6:$B$19,0)),"Not in plan","Yes"))</f>
        <v>Yes</v>
      </c>
      <c r="H679" s="41" t="n">
        <f aca="false">IF(G679="Yes",INDEX('Kitting Plan'!$D$6:$D$19,MATCH(B679,'Kitting Plan'!$B$6:$B$19,0)),"")</f>
        <v>3</v>
      </c>
      <c r="I679" s="41" t="n">
        <f aca="false">IF(A679="","",IF(ISNUMBER(SEARCH("PRT",E679)),D679,0))</f>
        <v>1</v>
      </c>
      <c r="J679" s="41" t="n">
        <f aca="false">IF(A679="","",IF(ISNUMBER(SEARCH("GMPS",E679)),D679,0))</f>
        <v>1</v>
      </c>
      <c r="K679" s="41" t="n">
        <f aca="false">IF(A679="","",IF(ISNUMBER(SEARCH("DLV",E679)),D679,0))</f>
        <v>1</v>
      </c>
      <c r="L679" s="41" t="str">
        <f aca="false">IF(A679="","",IF(K679&gt;0,"Delivered",IF(ISNUMBER(SEARCH("CNF",E679)),"In production",IF(J679&gt;0,"Issued",IF(I679&gt;0,"Kitted","Released")))))</f>
        <v>Delivered</v>
      </c>
      <c r="M679" s="41" t="n">
        <f aca="false">IF(G679&lt;&gt;"Yes","",COUNTIFS($B$6:$B$1505,B679,$F$6:$F$1505,"&lt;"&amp;F679)+COUNTIFS($B$6:$B$1505,B679,$F$6:$F$1505,F679,$A$6:$A$1505,"&lt;="&amp;A679))</f>
        <v>4</v>
      </c>
      <c r="N679" s="41" t="n">
        <f aca="false">IF(M679="","",ROUNDUP(M679/H679,0))</f>
        <v>2</v>
      </c>
      <c r="O679" s="41" t="str">
        <f aca="false">IF(N679="","",IF(N679&lt;='Kitting Plan'!$C$3,"Rep "&amp;N679,"Surplus"))</f>
        <v>Rep 2</v>
      </c>
    </row>
    <row r="680" customFormat="false" ht="15" hidden="false" customHeight="false" outlineLevel="0" collapsed="false">
      <c r="A680" s="40" t="n">
        <f aca="false">IF(OR($A$4=0,INDEX('COOIS Raw'!$A:$GZ,ROW()-4,$A$4)=""),"",IFERROR(--INDEX('COOIS Raw'!$A:$GZ,ROW()-4,$A$4),INDEX('COOIS Raw'!$A:$GZ,ROW()-4,$A$4)))</f>
        <v>100862603</v>
      </c>
      <c r="B680" s="41" t="str">
        <f aca="false">IF(A680="","",TRIM(INDEX('COOIS Raw'!$A:$GZ,ROW()-4,$B$4)))</f>
        <v>91YAF03404AAA</v>
      </c>
      <c r="C680" s="42" t="str">
        <f aca="false">IF(OR(A680="",$C$4=0),"",INDEX('COOIS Raw'!$A:$GZ,ROW()-4,$C$4))</f>
        <v>R5B PSB SUB ASSEMBLY 4P-4FP</v>
      </c>
      <c r="D680" s="41" t="n">
        <f aca="false">IF(A680="","",IF($D$4=0,1,IFERROR(--INDEX('COOIS Raw'!$A:$GZ,ROW()-4,$D$4),1)))</f>
        <v>1</v>
      </c>
      <c r="E680" s="42" t="str">
        <f aca="false">IF(A680="","",INDEX('COOIS Raw'!$A:$GZ,ROW()-4,$E$4)&amp;"")</f>
        <v>REL PRT CNF DLV PRC GMPS MANC SETC*</v>
      </c>
      <c r="F680" s="43" t="n">
        <f aca="false">IF(A680="","",IFERROR(DATEVALUE(INDEX('COOIS Raw'!$A:$GZ,ROW()-4,$F$4)),INDEX('COOIS Raw'!$A:$GZ,ROW()-4,$F$4)))</f>
        <v>46160</v>
      </c>
      <c r="G680" s="41" t="str">
        <f aca="false">IF(A680="","",IF(ISNA(MATCH(B680,'Kitting Plan'!$B$6:$B$19,0)),"Not in plan","Yes"))</f>
        <v>Yes</v>
      </c>
      <c r="H680" s="41" t="n">
        <f aca="false">IF(G680="Yes",INDEX('Kitting Plan'!$D$6:$D$19,MATCH(B680,'Kitting Plan'!$B$6:$B$19,0)),"")</f>
        <v>3</v>
      </c>
      <c r="I680" s="41" t="n">
        <f aca="false">IF(A680="","",IF(ISNUMBER(SEARCH("PRT",E680)),D680,0))</f>
        <v>1</v>
      </c>
      <c r="J680" s="41" t="n">
        <f aca="false">IF(A680="","",IF(ISNUMBER(SEARCH("GMPS",E680)),D680,0))</f>
        <v>1</v>
      </c>
      <c r="K680" s="41" t="n">
        <f aca="false">IF(A680="","",IF(ISNUMBER(SEARCH("DLV",E680)),D680,0))</f>
        <v>1</v>
      </c>
      <c r="L680" s="41" t="str">
        <f aca="false">IF(A680="","",IF(K680&gt;0,"Delivered",IF(ISNUMBER(SEARCH("CNF",E680)),"In production",IF(J680&gt;0,"Issued",IF(I680&gt;0,"Kitted","Released")))))</f>
        <v>Delivered</v>
      </c>
      <c r="M680" s="41" t="n">
        <f aca="false">IF(G680&lt;&gt;"Yes","",COUNTIFS($B$6:$B$1505,B680,$F$6:$F$1505,"&lt;"&amp;F680)+COUNTIFS($B$6:$B$1505,B680,$F$6:$F$1505,F680,$A$6:$A$1505,"&lt;="&amp;A680))</f>
        <v>5</v>
      </c>
      <c r="N680" s="41" t="n">
        <f aca="false">IF(M680="","",ROUNDUP(M680/H680,0))</f>
        <v>2</v>
      </c>
      <c r="O680" s="41" t="str">
        <f aca="false">IF(N680="","",IF(N680&lt;='Kitting Plan'!$C$3,"Rep "&amp;N680,"Surplus"))</f>
        <v>Rep 2</v>
      </c>
    </row>
    <row r="681" customFormat="false" ht="15" hidden="false" customHeight="false" outlineLevel="0" collapsed="false">
      <c r="A681" s="40" t="n">
        <f aca="false">IF(OR($A$4=0,INDEX('COOIS Raw'!$A:$GZ,ROW()-4,$A$4)=""),"",IFERROR(--INDEX('COOIS Raw'!$A:$GZ,ROW()-4,$A$4),INDEX('COOIS Raw'!$A:$GZ,ROW()-4,$A$4)))</f>
        <v>100862604</v>
      </c>
      <c r="B681" s="41" t="str">
        <f aca="false">IF(A681="","",TRIM(INDEX('COOIS Raw'!$A:$GZ,ROW()-4,$B$4)))</f>
        <v>91YAF03404AAA</v>
      </c>
      <c r="C681" s="42" t="str">
        <f aca="false">IF(OR(A681="",$C$4=0),"",INDEX('COOIS Raw'!$A:$GZ,ROW()-4,$C$4))</f>
        <v>R5B PSB SUB ASSEMBLY 4P-4FP</v>
      </c>
      <c r="D681" s="41" t="n">
        <f aca="false">IF(A681="","",IF($D$4=0,1,IFERROR(--INDEX('COOIS Raw'!$A:$GZ,ROW()-4,$D$4),1)))</f>
        <v>1</v>
      </c>
      <c r="E681" s="42" t="str">
        <f aca="false">IF(A681="","",INDEX('COOIS Raw'!$A:$GZ,ROW()-4,$E$4)&amp;"")</f>
        <v>REL PRT CNF DLV PRC GMPS MANC SETC*</v>
      </c>
      <c r="F681" s="43" t="n">
        <f aca="false">IF(A681="","",IFERROR(DATEVALUE(INDEX('COOIS Raw'!$A:$GZ,ROW()-4,$F$4)),INDEX('COOIS Raw'!$A:$GZ,ROW()-4,$F$4)))</f>
        <v>46160</v>
      </c>
      <c r="G681" s="41" t="str">
        <f aca="false">IF(A681="","",IF(ISNA(MATCH(B681,'Kitting Plan'!$B$6:$B$19,0)),"Not in plan","Yes"))</f>
        <v>Yes</v>
      </c>
      <c r="H681" s="41" t="n">
        <f aca="false">IF(G681="Yes",INDEX('Kitting Plan'!$D$6:$D$19,MATCH(B681,'Kitting Plan'!$B$6:$B$19,0)),"")</f>
        <v>3</v>
      </c>
      <c r="I681" s="41" t="n">
        <f aca="false">IF(A681="","",IF(ISNUMBER(SEARCH("PRT",E681)),D681,0))</f>
        <v>1</v>
      </c>
      <c r="J681" s="41" t="n">
        <f aca="false">IF(A681="","",IF(ISNUMBER(SEARCH("GMPS",E681)),D681,0))</f>
        <v>1</v>
      </c>
      <c r="K681" s="41" t="n">
        <f aca="false">IF(A681="","",IF(ISNUMBER(SEARCH("DLV",E681)),D681,0))</f>
        <v>1</v>
      </c>
      <c r="L681" s="41" t="str">
        <f aca="false">IF(A681="","",IF(K681&gt;0,"Delivered",IF(ISNUMBER(SEARCH("CNF",E681)),"In production",IF(J681&gt;0,"Issued",IF(I681&gt;0,"Kitted","Released")))))</f>
        <v>Delivered</v>
      </c>
      <c r="M681" s="41" t="n">
        <f aca="false">IF(G681&lt;&gt;"Yes","",COUNTIFS($B$6:$B$1505,B681,$F$6:$F$1505,"&lt;"&amp;F681)+COUNTIFS($B$6:$B$1505,B681,$F$6:$F$1505,F681,$A$6:$A$1505,"&lt;="&amp;A681))</f>
        <v>6</v>
      </c>
      <c r="N681" s="41" t="n">
        <f aca="false">IF(M681="","",ROUNDUP(M681/H681,0))</f>
        <v>2</v>
      </c>
      <c r="O681" s="41" t="str">
        <f aca="false">IF(N681="","",IF(N681&lt;='Kitting Plan'!$C$3,"Rep "&amp;N681,"Surplus"))</f>
        <v>Rep 2</v>
      </c>
    </row>
    <row r="682" customFormat="false" ht="15" hidden="false" customHeight="false" outlineLevel="0" collapsed="false">
      <c r="A682" s="40" t="n">
        <f aca="false">IF(OR($A$4=0,INDEX('COOIS Raw'!$A:$GZ,ROW()-4,$A$4)=""),"",IFERROR(--INDEX('COOIS Raw'!$A:$GZ,ROW()-4,$A$4),INDEX('COOIS Raw'!$A:$GZ,ROW()-4,$A$4)))</f>
        <v>100862605</v>
      </c>
      <c r="B682" s="41" t="str">
        <f aca="false">IF(A682="","",TRIM(INDEX('COOIS Raw'!$A:$GZ,ROW()-4,$B$4)))</f>
        <v>92YLS00548BAA</v>
      </c>
      <c r="C682" s="42" t="str">
        <f aca="false">IF(OR(A682="",$C$4=0),"",INDEX('COOIS Raw'!$A:$GZ,ROW()-4,$C$4))</f>
        <v>R5B LASER ASSEMBLY 4P BOAT 1 - E2A</v>
      </c>
      <c r="D682" s="41" t="n">
        <f aca="false">IF(A682="","",IF($D$4=0,1,IFERROR(--INDEX('COOIS Raw'!$A:$GZ,ROW()-4,$D$4),1)))</f>
        <v>1</v>
      </c>
      <c r="E682" s="42" t="str">
        <f aca="false">IF(A682="","",INDEX('COOIS Raw'!$A:$GZ,ROW()-4,$E$4)&amp;"")</f>
        <v>REL PRT CNF DLV PRC GMPS MANC SETC*</v>
      </c>
      <c r="F682" s="43" t="n">
        <f aca="false">IF(A682="","",IFERROR(DATEVALUE(INDEX('COOIS Raw'!$A:$GZ,ROW()-4,$F$4)),INDEX('COOIS Raw'!$A:$GZ,ROW()-4,$F$4)))</f>
        <v>46160</v>
      </c>
      <c r="G682" s="41" t="str">
        <f aca="false">IF(A682="","",IF(ISNA(MATCH(B682,'Kitting Plan'!$B$6:$B$19,0)),"Not in plan","Yes"))</f>
        <v>Yes</v>
      </c>
      <c r="H682" s="41" t="n">
        <f aca="false">IF(G682="Yes",INDEX('Kitting Plan'!$D$6:$D$19,MATCH(B682,'Kitting Plan'!$B$6:$B$19,0)),"")</f>
        <v>1</v>
      </c>
      <c r="I682" s="41" t="n">
        <f aca="false">IF(A682="","",IF(ISNUMBER(SEARCH("PRT",E682)),D682,0))</f>
        <v>1</v>
      </c>
      <c r="J682" s="41" t="n">
        <f aca="false">IF(A682="","",IF(ISNUMBER(SEARCH("GMPS",E682)),D682,0))</f>
        <v>1</v>
      </c>
      <c r="K682" s="41" t="n">
        <f aca="false">IF(A682="","",IF(ISNUMBER(SEARCH("DLV",E682)),D682,0))</f>
        <v>1</v>
      </c>
      <c r="L682" s="41" t="str">
        <f aca="false">IF(A682="","",IF(K682&gt;0,"Delivered",IF(ISNUMBER(SEARCH("CNF",E682)),"In production",IF(J682&gt;0,"Issued",IF(I682&gt;0,"Kitted","Released")))))</f>
        <v>Delivered</v>
      </c>
      <c r="M682" s="41" t="n">
        <f aca="false">IF(G682&lt;&gt;"Yes","",COUNTIFS($B$6:$B$1505,B682,$F$6:$F$1505,"&lt;"&amp;F682)+COUNTIFS($B$6:$B$1505,B682,$F$6:$F$1505,F682,$A$6:$A$1505,"&lt;="&amp;A682))</f>
        <v>2</v>
      </c>
      <c r="N682" s="41" t="n">
        <f aca="false">IF(M682="","",ROUNDUP(M682/H682,0))</f>
        <v>2</v>
      </c>
      <c r="O682" s="41" t="str">
        <f aca="false">IF(N682="","",IF(N682&lt;='Kitting Plan'!$C$3,"Rep "&amp;N682,"Surplus"))</f>
        <v>Rep 2</v>
      </c>
    </row>
    <row r="683" customFormat="false" ht="15" hidden="false" customHeight="false" outlineLevel="0" collapsed="false">
      <c r="A683" s="40" t="n">
        <f aca="false">IF(OR($A$4=0,INDEX('COOIS Raw'!$A:$GZ,ROW()-4,$A$4)=""),"",IFERROR(--INDEX('COOIS Raw'!$A:$GZ,ROW()-4,$A$4),INDEX('COOIS Raw'!$A:$GZ,ROW()-4,$A$4)))</f>
        <v>100862386</v>
      </c>
      <c r="B683" s="41" t="str">
        <f aca="false">IF(A683="","",TRIM(INDEX('COOIS Raw'!$A:$GZ,ROW()-4,$B$4)))</f>
        <v>92UAP04548BCA</v>
      </c>
      <c r="C683" s="42" t="str">
        <f aca="false">IF(OR(A683="",$C$4=0),"",INDEX('COOIS Raw'!$A:$GZ,ROW()-4,$C$4))</f>
        <v>R5B BOAT 3 ASSY (4P-4FP) L - E2A</v>
      </c>
      <c r="D683" s="41" t="n">
        <f aca="false">IF(A683="","",IF($D$4=0,1,IFERROR(--INDEX('COOIS Raw'!$A:$GZ,ROW()-4,$D$4),1)))</f>
        <v>1</v>
      </c>
      <c r="E683" s="42" t="str">
        <f aca="false">IF(A683="","",INDEX('COOIS Raw'!$A:$GZ,ROW()-4,$E$4)&amp;"")</f>
        <v>REL PRT CNF DLV PRC GMPS MANC RESA*</v>
      </c>
      <c r="F683" s="43" t="n">
        <f aca="false">IF(A683="","",IFERROR(DATEVALUE(INDEX('COOIS Raw'!$A:$GZ,ROW()-4,$F$4)),INDEX('COOIS Raw'!$A:$GZ,ROW()-4,$F$4)))</f>
        <v>46158</v>
      </c>
      <c r="G683" s="41" t="str">
        <f aca="false">IF(A683="","",IF(ISNA(MATCH(B683,'Kitting Plan'!$B$6:$B$19,0)),"Not in plan","Yes"))</f>
        <v>Yes</v>
      </c>
      <c r="H683" s="41" t="n">
        <f aca="false">IF(G683="Yes",INDEX('Kitting Plan'!$D$6:$D$19,MATCH(B683,'Kitting Plan'!$B$6:$B$19,0)),"")</f>
        <v>1</v>
      </c>
      <c r="I683" s="41" t="n">
        <f aca="false">IF(A683="","",IF(ISNUMBER(SEARCH("PRT",E683)),D683,0))</f>
        <v>1</v>
      </c>
      <c r="J683" s="41" t="n">
        <f aca="false">IF(A683="","",IF(ISNUMBER(SEARCH("GMPS",E683)),D683,0))</f>
        <v>1</v>
      </c>
      <c r="K683" s="41" t="n">
        <f aca="false">IF(A683="","",IF(ISNUMBER(SEARCH("DLV",E683)),D683,0))</f>
        <v>1</v>
      </c>
      <c r="L683" s="41" t="str">
        <f aca="false">IF(A683="","",IF(K683&gt;0,"Delivered",IF(ISNUMBER(SEARCH("CNF",E683)),"In production",IF(J683&gt;0,"Issued",IF(I683&gt;0,"Kitted","Released")))))</f>
        <v>Delivered</v>
      </c>
      <c r="M683" s="41" t="n">
        <f aca="false">IF(G683&lt;&gt;"Yes","",COUNTIFS($B$6:$B$1505,B683,$F$6:$F$1505,"&lt;"&amp;F683)+COUNTIFS($B$6:$B$1505,B683,$F$6:$F$1505,F683,$A$6:$A$1505,"&lt;="&amp;A683))</f>
        <v>1</v>
      </c>
      <c r="N683" s="41" t="n">
        <f aca="false">IF(M683="","",ROUNDUP(M683/H683,0))</f>
        <v>1</v>
      </c>
      <c r="O683" s="41" t="str">
        <f aca="false">IF(N683="","",IF(N683&lt;='Kitting Plan'!$C$3,"Rep "&amp;N683,"Surplus"))</f>
        <v>Rep 1</v>
      </c>
    </row>
    <row r="684" customFormat="false" ht="15" hidden="false" customHeight="false" outlineLevel="0" collapsed="false">
      <c r="A684" s="40" t="n">
        <f aca="false">IF(OR($A$4=0,INDEX('COOIS Raw'!$A:$GZ,ROW()-4,$A$4)=""),"",IFERROR(--INDEX('COOIS Raw'!$A:$GZ,ROW()-4,$A$4),INDEX('COOIS Raw'!$A:$GZ,ROW()-4,$A$4)))</f>
        <v>100861926</v>
      </c>
      <c r="B684" s="41" t="str">
        <f aca="false">IF(A684="","",TRIM(INDEX('COOIS Raw'!$A:$GZ,ROW()-4,$B$4)))</f>
        <v>92YFD04548BAA</v>
      </c>
      <c r="C684" s="42" t="str">
        <f aca="false">IF(OR(A684="",$C$4=0),"",INDEX('COOIS Raw'!$A:$GZ,ROW()-4,$C$4))</f>
        <v>R5B OPF ASSEMBLY (4P-4FP) BOAT 1 - E2A</v>
      </c>
      <c r="D684" s="41" t="n">
        <f aca="false">IF(A684="","",IF($D$4=0,1,IFERROR(--INDEX('COOIS Raw'!$A:$GZ,ROW()-4,$D$4),1)))</f>
        <v>1</v>
      </c>
      <c r="E684" s="42" t="str">
        <f aca="false">IF(A684="","",INDEX('COOIS Raw'!$A:$GZ,ROW()-4,$E$4)&amp;"")</f>
        <v>REL PRT CNF DLV PRC GMPS MANC RESA*</v>
      </c>
      <c r="F684" s="43" t="n">
        <f aca="false">IF(A684="","",IFERROR(DATEVALUE(INDEX('COOIS Raw'!$A:$GZ,ROW()-4,$F$4)),INDEX('COOIS Raw'!$A:$GZ,ROW()-4,$F$4)))</f>
        <v>46156</v>
      </c>
      <c r="G684" s="41" t="str">
        <f aca="false">IF(A684="","",IF(ISNA(MATCH(B684,'Kitting Plan'!$B$6:$B$19,0)),"Not in plan","Yes"))</f>
        <v>Yes</v>
      </c>
      <c r="H684" s="41" t="n">
        <f aca="false">IF(G684="Yes",INDEX('Kitting Plan'!$D$6:$D$19,MATCH(B684,'Kitting Plan'!$B$6:$B$19,0)),"")</f>
        <v>1</v>
      </c>
      <c r="I684" s="41" t="n">
        <f aca="false">IF(A684="","",IF(ISNUMBER(SEARCH("PRT",E684)),D684,0))</f>
        <v>1</v>
      </c>
      <c r="J684" s="41" t="n">
        <f aca="false">IF(A684="","",IF(ISNUMBER(SEARCH("GMPS",E684)),D684,0))</f>
        <v>1</v>
      </c>
      <c r="K684" s="41" t="n">
        <f aca="false">IF(A684="","",IF(ISNUMBER(SEARCH("DLV",E684)),D684,0))</f>
        <v>1</v>
      </c>
      <c r="L684" s="41" t="str">
        <f aca="false">IF(A684="","",IF(K684&gt;0,"Delivered",IF(ISNUMBER(SEARCH("CNF",E684)),"In production",IF(J684&gt;0,"Issued",IF(I684&gt;0,"Kitted","Released")))))</f>
        <v>Delivered</v>
      </c>
      <c r="M684" s="41" t="n">
        <f aca="false">IF(G684&lt;&gt;"Yes","",COUNTIFS($B$6:$B$1505,B684,$F$6:$F$1505,"&lt;"&amp;F684)+COUNTIFS($B$6:$B$1505,B684,$F$6:$F$1505,F684,$A$6:$A$1505,"&lt;="&amp;A684))</f>
        <v>1</v>
      </c>
      <c r="N684" s="41" t="n">
        <f aca="false">IF(M684="","",ROUNDUP(M684/H684,0))</f>
        <v>1</v>
      </c>
      <c r="O684" s="41" t="str">
        <f aca="false">IF(N684="","",IF(N684&lt;='Kitting Plan'!$C$3,"Rep "&amp;N684,"Surplus"))</f>
        <v>Rep 1</v>
      </c>
    </row>
    <row r="685" customFormat="false" ht="15" hidden="false" customHeight="false" outlineLevel="0" collapsed="false">
      <c r="A685" s="40" t="n">
        <f aca="false">IF(OR($A$4=0,INDEX('COOIS Raw'!$A:$GZ,ROW()-4,$A$4)=""),"",IFERROR(--INDEX('COOIS Raw'!$A:$GZ,ROW()-4,$A$4),INDEX('COOIS Raw'!$A:$GZ,ROW()-4,$A$4)))</f>
        <v>100861927</v>
      </c>
      <c r="B685" s="41" t="str">
        <f aca="false">IF(A685="","",TRIM(INDEX('COOIS Raw'!$A:$GZ,ROW()-4,$B$4)))</f>
        <v>92YFD04548BBA</v>
      </c>
      <c r="C685" s="42" t="str">
        <f aca="false">IF(OR(A685="",$C$4=0),"",INDEX('COOIS Raw'!$A:$GZ,ROW()-4,$C$4))</f>
        <v>R5B OPF ASSEMBLY (4P-4FP) BOAT 2/3 - E2A</v>
      </c>
      <c r="D685" s="41" t="n">
        <f aca="false">IF(A685="","",IF($D$4=0,1,IFERROR(--INDEX('COOIS Raw'!$A:$GZ,ROW()-4,$D$4),1)))</f>
        <v>1</v>
      </c>
      <c r="E685" s="42" t="str">
        <f aca="false">IF(A685="","",INDEX('COOIS Raw'!$A:$GZ,ROW()-4,$E$4)&amp;"")</f>
        <v>REL PRT CNF DLV PRC GMPS MANC SETC*</v>
      </c>
      <c r="F685" s="43" t="n">
        <f aca="false">IF(A685="","",IFERROR(DATEVALUE(INDEX('COOIS Raw'!$A:$GZ,ROW()-4,$F$4)),INDEX('COOIS Raw'!$A:$GZ,ROW()-4,$F$4)))</f>
        <v>46156</v>
      </c>
      <c r="G685" s="41" t="str">
        <f aca="false">IF(A685="","",IF(ISNA(MATCH(B685,'Kitting Plan'!$B$6:$B$19,0)),"Not in plan","Yes"))</f>
        <v>Yes</v>
      </c>
      <c r="H685" s="41" t="n">
        <f aca="false">IF(G685="Yes",INDEX('Kitting Plan'!$D$6:$D$19,MATCH(B685,'Kitting Plan'!$B$6:$B$19,0)),"")</f>
        <v>2</v>
      </c>
      <c r="I685" s="41" t="n">
        <f aca="false">IF(A685="","",IF(ISNUMBER(SEARCH("PRT",E685)),D685,0))</f>
        <v>1</v>
      </c>
      <c r="J685" s="41" t="n">
        <f aca="false">IF(A685="","",IF(ISNUMBER(SEARCH("GMPS",E685)),D685,0))</f>
        <v>1</v>
      </c>
      <c r="K685" s="41" t="n">
        <f aca="false">IF(A685="","",IF(ISNUMBER(SEARCH("DLV",E685)),D685,0))</f>
        <v>1</v>
      </c>
      <c r="L685" s="41" t="str">
        <f aca="false">IF(A685="","",IF(K685&gt;0,"Delivered",IF(ISNUMBER(SEARCH("CNF",E685)),"In production",IF(J685&gt;0,"Issued",IF(I685&gt;0,"Kitted","Released")))))</f>
        <v>Delivered</v>
      </c>
      <c r="M685" s="41" t="n">
        <f aca="false">IF(G685&lt;&gt;"Yes","",COUNTIFS($B$6:$B$1505,B685,$F$6:$F$1505,"&lt;"&amp;F685)+COUNTIFS($B$6:$B$1505,B685,$F$6:$F$1505,F685,$A$6:$A$1505,"&lt;="&amp;A685))</f>
        <v>1</v>
      </c>
      <c r="N685" s="41" t="n">
        <f aca="false">IF(M685="","",ROUNDUP(M685/H685,0))</f>
        <v>1</v>
      </c>
      <c r="O685" s="41" t="str">
        <f aca="false">IF(N685="","",IF(N685&lt;='Kitting Plan'!$C$3,"Rep "&amp;N685,"Surplus"))</f>
        <v>Rep 1</v>
      </c>
    </row>
    <row r="686" customFormat="false" ht="15" hidden="false" customHeight="false" outlineLevel="0" collapsed="false">
      <c r="A686" s="40" t="n">
        <f aca="false">IF(OR($A$4=0,INDEX('COOIS Raw'!$A:$GZ,ROW()-4,$A$4)=""),"",IFERROR(--INDEX('COOIS Raw'!$A:$GZ,ROW()-4,$A$4),INDEX('COOIS Raw'!$A:$GZ,ROW()-4,$A$4)))</f>
        <v>100861928</v>
      </c>
      <c r="B686" s="41" t="str">
        <f aca="false">IF(A686="","",TRIM(INDEX('COOIS Raw'!$A:$GZ,ROW()-4,$B$4)))</f>
        <v>92YFD04548BBA</v>
      </c>
      <c r="C686" s="42" t="str">
        <f aca="false">IF(OR(A686="",$C$4=0),"",INDEX('COOIS Raw'!$A:$GZ,ROW()-4,$C$4))</f>
        <v>R5B OPF ASSEMBLY (4P-4FP) BOAT 2/3 - E2A</v>
      </c>
      <c r="D686" s="41" t="n">
        <f aca="false">IF(A686="","",IF($D$4=0,1,IFERROR(--INDEX('COOIS Raw'!$A:$GZ,ROW()-4,$D$4),1)))</f>
        <v>1</v>
      </c>
      <c r="E686" s="42" t="str">
        <f aca="false">IF(A686="","",INDEX('COOIS Raw'!$A:$GZ,ROW()-4,$E$4)&amp;"")</f>
        <v>REL PRT CNF DLV PRC GMPS MANC SETC*</v>
      </c>
      <c r="F686" s="43" t="n">
        <f aca="false">IF(A686="","",IFERROR(DATEVALUE(INDEX('COOIS Raw'!$A:$GZ,ROW()-4,$F$4)),INDEX('COOIS Raw'!$A:$GZ,ROW()-4,$F$4)))</f>
        <v>46156</v>
      </c>
      <c r="G686" s="41" t="str">
        <f aca="false">IF(A686="","",IF(ISNA(MATCH(B686,'Kitting Plan'!$B$6:$B$19,0)),"Not in plan","Yes"))</f>
        <v>Yes</v>
      </c>
      <c r="H686" s="41" t="n">
        <f aca="false">IF(G686="Yes",INDEX('Kitting Plan'!$D$6:$D$19,MATCH(B686,'Kitting Plan'!$B$6:$B$19,0)),"")</f>
        <v>2</v>
      </c>
      <c r="I686" s="41" t="n">
        <f aca="false">IF(A686="","",IF(ISNUMBER(SEARCH("PRT",E686)),D686,0))</f>
        <v>1</v>
      </c>
      <c r="J686" s="41" t="n">
        <f aca="false">IF(A686="","",IF(ISNUMBER(SEARCH("GMPS",E686)),D686,0))</f>
        <v>1</v>
      </c>
      <c r="K686" s="41" t="n">
        <f aca="false">IF(A686="","",IF(ISNUMBER(SEARCH("DLV",E686)),D686,0))</f>
        <v>1</v>
      </c>
      <c r="L686" s="41" t="str">
        <f aca="false">IF(A686="","",IF(K686&gt;0,"Delivered",IF(ISNUMBER(SEARCH("CNF",E686)),"In production",IF(J686&gt;0,"Issued",IF(I686&gt;0,"Kitted","Released")))))</f>
        <v>Delivered</v>
      </c>
      <c r="M686" s="41" t="n">
        <f aca="false">IF(G686&lt;&gt;"Yes","",COUNTIFS($B$6:$B$1505,B686,$F$6:$F$1505,"&lt;"&amp;F686)+COUNTIFS($B$6:$B$1505,B686,$F$6:$F$1505,F686,$A$6:$A$1505,"&lt;="&amp;A686))</f>
        <v>2</v>
      </c>
      <c r="N686" s="41" t="n">
        <f aca="false">IF(M686="","",ROUNDUP(M686/H686,0))</f>
        <v>1</v>
      </c>
      <c r="O686" s="41" t="str">
        <f aca="false">IF(N686="","",IF(N686&lt;='Kitting Plan'!$C$3,"Rep "&amp;N686,"Surplus"))</f>
        <v>Rep 1</v>
      </c>
    </row>
    <row r="687" customFormat="false" ht="15" hidden="false" customHeight="false" outlineLevel="0" collapsed="false">
      <c r="A687" s="40" t="n">
        <f aca="false">IF(OR($A$4=0,INDEX('COOIS Raw'!$A:$GZ,ROW()-4,$A$4)=""),"",IFERROR(--INDEX('COOIS Raw'!$A:$GZ,ROW()-4,$A$4),INDEX('COOIS Raw'!$A:$GZ,ROW()-4,$A$4)))</f>
        <v>100861961</v>
      </c>
      <c r="B687" s="41" t="str">
        <f aca="false">IF(A687="","",TRIM(INDEX('COOIS Raw'!$A:$GZ,ROW()-4,$B$4)))</f>
        <v>92UAP04548BAA</v>
      </c>
      <c r="C687" s="42" t="str">
        <f aca="false">IF(OR(A687="",$C$4=0),"",INDEX('COOIS Raw'!$A:$GZ,ROW()-4,$C$4))</f>
        <v>R5B BOAT 1 ASSY (4P-4FP) L - E2A</v>
      </c>
      <c r="D687" s="41" t="n">
        <f aca="false">IF(A687="","",IF($D$4=0,1,IFERROR(--INDEX('COOIS Raw'!$A:$GZ,ROW()-4,$D$4),1)))</f>
        <v>1</v>
      </c>
      <c r="E687" s="42" t="str">
        <f aca="false">IF(A687="","",INDEX('COOIS Raw'!$A:$GZ,ROW()-4,$E$4)&amp;"")</f>
        <v>REL PRT CNF DLV PRC GMPS MANC RESA*</v>
      </c>
      <c r="F687" s="43" t="n">
        <f aca="false">IF(A687="","",IFERROR(DATEVALUE(INDEX('COOIS Raw'!$A:$GZ,ROW()-4,$F$4)),INDEX('COOIS Raw'!$A:$GZ,ROW()-4,$F$4)))</f>
        <v>46156</v>
      </c>
      <c r="G687" s="41" t="str">
        <f aca="false">IF(A687="","",IF(ISNA(MATCH(B687,'Kitting Plan'!$B$6:$B$19,0)),"Not in plan","Yes"))</f>
        <v>Yes</v>
      </c>
      <c r="H687" s="41" t="n">
        <f aca="false">IF(G687="Yes",INDEX('Kitting Plan'!$D$6:$D$19,MATCH(B687,'Kitting Plan'!$B$6:$B$19,0)),"")</f>
        <v>1</v>
      </c>
      <c r="I687" s="41" t="n">
        <f aca="false">IF(A687="","",IF(ISNUMBER(SEARCH("PRT",E687)),D687,0))</f>
        <v>1</v>
      </c>
      <c r="J687" s="41" t="n">
        <f aca="false">IF(A687="","",IF(ISNUMBER(SEARCH("GMPS",E687)),D687,0))</f>
        <v>1</v>
      </c>
      <c r="K687" s="41" t="n">
        <f aca="false">IF(A687="","",IF(ISNUMBER(SEARCH("DLV",E687)),D687,0))</f>
        <v>1</v>
      </c>
      <c r="L687" s="41" t="str">
        <f aca="false">IF(A687="","",IF(K687&gt;0,"Delivered",IF(ISNUMBER(SEARCH("CNF",E687)),"In production",IF(J687&gt;0,"Issued",IF(I687&gt;0,"Kitted","Released")))))</f>
        <v>Delivered</v>
      </c>
      <c r="M687" s="41" t="n">
        <f aca="false">IF(G687&lt;&gt;"Yes","",COUNTIFS($B$6:$B$1505,B687,$F$6:$F$1505,"&lt;"&amp;F687)+COUNTIFS($B$6:$B$1505,B687,$F$6:$F$1505,F687,$A$6:$A$1505,"&lt;="&amp;A687))</f>
        <v>1</v>
      </c>
      <c r="N687" s="41" t="n">
        <f aca="false">IF(M687="","",ROUNDUP(M687/H687,0))</f>
        <v>1</v>
      </c>
      <c r="O687" s="41" t="str">
        <f aca="false">IF(N687="","",IF(N687&lt;='Kitting Plan'!$C$3,"Rep "&amp;N687,"Surplus"))</f>
        <v>Rep 1</v>
      </c>
    </row>
    <row r="688" customFormat="false" ht="15" hidden="false" customHeight="false" outlineLevel="0" collapsed="false">
      <c r="A688" s="40" t="n">
        <f aca="false">IF(OR($A$4=0,INDEX('COOIS Raw'!$A:$GZ,ROW()-4,$A$4)=""),"",IFERROR(--INDEX('COOIS Raw'!$A:$GZ,ROW()-4,$A$4),INDEX('COOIS Raw'!$A:$GZ,ROW()-4,$A$4)))</f>
        <v>100861120</v>
      </c>
      <c r="B688" s="41" t="str">
        <f aca="false">IF(A688="","",TRIM(INDEX('COOIS Raw'!$A:$GZ,ROW()-4,$B$4)))</f>
        <v>92YWS04548AAA</v>
      </c>
      <c r="C688" s="42" t="str">
        <f aca="false">IF(OR(A688="",$C$4=0),"",INDEX('COOIS Raw'!$A:$GZ,ROW()-4,$C$4))</f>
        <v>R5B 4FP POB LUMENTUM SUB ASSEMBLY - E2A</v>
      </c>
      <c r="D688" s="41" t="n">
        <f aca="false">IF(A688="","",IF($D$4=0,1,IFERROR(--INDEX('COOIS Raw'!$A:$GZ,ROW()-4,$D$4),1)))</f>
        <v>1</v>
      </c>
      <c r="E688" s="42" t="str">
        <f aca="false">IF(A688="","",INDEX('COOIS Raw'!$A:$GZ,ROW()-4,$E$4)&amp;"")</f>
        <v>REL PRT PCNF DLV PRC GMPS MANC RESA*</v>
      </c>
      <c r="F688" s="43" t="n">
        <f aca="false">IF(A688="","",IFERROR(DATEVALUE(INDEX('COOIS Raw'!$A:$GZ,ROW()-4,$F$4)),INDEX('COOIS Raw'!$A:$GZ,ROW()-4,$F$4)))</f>
        <v>46148</v>
      </c>
      <c r="G688" s="41" t="str">
        <f aca="false">IF(A688="","",IF(ISNA(MATCH(B688,'Kitting Plan'!$B$6:$B$19,0)),"Not in plan","Yes"))</f>
        <v>Yes</v>
      </c>
      <c r="H688" s="41" t="n">
        <f aca="false">IF(G688="Yes",INDEX('Kitting Plan'!$D$6:$D$19,MATCH(B688,'Kitting Plan'!$B$6:$B$19,0)),"")</f>
        <v>3</v>
      </c>
      <c r="I688" s="41" t="n">
        <f aca="false">IF(A688="","",IF(ISNUMBER(SEARCH("PRT",E688)),D688,0))</f>
        <v>1</v>
      </c>
      <c r="J688" s="41" t="n">
        <f aca="false">IF(A688="","",IF(ISNUMBER(SEARCH("GMPS",E688)),D688,0))</f>
        <v>1</v>
      </c>
      <c r="K688" s="41" t="n">
        <f aca="false">IF(A688="","",IF(ISNUMBER(SEARCH("DLV",E688)),D688,0))</f>
        <v>1</v>
      </c>
      <c r="L688" s="41" t="str">
        <f aca="false">IF(A688="","",IF(K688&gt;0,"Delivered",IF(ISNUMBER(SEARCH("CNF",E688)),"In production",IF(J688&gt;0,"Issued",IF(I688&gt;0,"Kitted","Released")))))</f>
        <v>Delivered</v>
      </c>
      <c r="M688" s="41" t="n">
        <f aca="false">IF(G688&lt;&gt;"Yes","",COUNTIFS($B$6:$B$1505,B688,$F$6:$F$1505,"&lt;"&amp;F688)+COUNTIFS($B$6:$B$1505,B688,$F$6:$F$1505,F688,$A$6:$A$1505,"&lt;="&amp;A688))</f>
        <v>1</v>
      </c>
      <c r="N688" s="41" t="n">
        <f aca="false">IF(M688="","",ROUNDUP(M688/H688,0))</f>
        <v>1</v>
      </c>
      <c r="O688" s="41" t="str">
        <f aca="false">IF(N688="","",IF(N688&lt;='Kitting Plan'!$C$3,"Rep "&amp;N688,"Surplus"))</f>
        <v>Rep 1</v>
      </c>
    </row>
    <row r="689" customFormat="false" ht="15" hidden="false" customHeight="false" outlineLevel="0" collapsed="false">
      <c r="A689" s="40" t="n">
        <f aca="false">IF(OR($A$4=0,INDEX('COOIS Raw'!$A:$GZ,ROW()-4,$A$4)=""),"",IFERROR(--INDEX('COOIS Raw'!$A:$GZ,ROW()-4,$A$4),INDEX('COOIS Raw'!$A:$GZ,ROW()-4,$A$4)))</f>
        <v>100861122</v>
      </c>
      <c r="B689" s="41" t="str">
        <f aca="false">IF(A689="","",TRIM(INDEX('COOIS Raw'!$A:$GZ,ROW()-4,$B$4)))</f>
        <v>92YWS04548AAA</v>
      </c>
      <c r="C689" s="42" t="str">
        <f aca="false">IF(OR(A689="",$C$4=0),"",INDEX('COOIS Raw'!$A:$GZ,ROW()-4,$C$4))</f>
        <v>R5B 4FP POB LUMENTUM SUB ASSEMBLY - E2A</v>
      </c>
      <c r="D689" s="41" t="n">
        <f aca="false">IF(A689="","",IF($D$4=0,1,IFERROR(--INDEX('COOIS Raw'!$A:$GZ,ROW()-4,$D$4),1)))</f>
        <v>1</v>
      </c>
      <c r="E689" s="42" t="str">
        <f aca="false">IF(A689="","",INDEX('COOIS Raw'!$A:$GZ,ROW()-4,$E$4)&amp;"")</f>
        <v>REL PRT CNF DLV PRC GMPS MANC RESA*</v>
      </c>
      <c r="F689" s="43" t="n">
        <f aca="false">IF(A689="","",IFERROR(DATEVALUE(INDEX('COOIS Raw'!$A:$GZ,ROW()-4,$F$4)),INDEX('COOIS Raw'!$A:$GZ,ROW()-4,$F$4)))</f>
        <v>46148</v>
      </c>
      <c r="G689" s="41" t="str">
        <f aca="false">IF(A689="","",IF(ISNA(MATCH(B689,'Kitting Plan'!$B$6:$B$19,0)),"Not in plan","Yes"))</f>
        <v>Yes</v>
      </c>
      <c r="H689" s="41" t="n">
        <f aca="false">IF(G689="Yes",INDEX('Kitting Plan'!$D$6:$D$19,MATCH(B689,'Kitting Plan'!$B$6:$B$19,0)),"")</f>
        <v>3</v>
      </c>
      <c r="I689" s="41" t="n">
        <f aca="false">IF(A689="","",IF(ISNUMBER(SEARCH("PRT",E689)),D689,0))</f>
        <v>1</v>
      </c>
      <c r="J689" s="41" t="n">
        <f aca="false">IF(A689="","",IF(ISNUMBER(SEARCH("GMPS",E689)),D689,0))</f>
        <v>1</v>
      </c>
      <c r="K689" s="41" t="n">
        <f aca="false">IF(A689="","",IF(ISNUMBER(SEARCH("DLV",E689)),D689,0))</f>
        <v>1</v>
      </c>
      <c r="L689" s="41" t="str">
        <f aca="false">IF(A689="","",IF(K689&gt;0,"Delivered",IF(ISNUMBER(SEARCH("CNF",E689)),"In production",IF(J689&gt;0,"Issued",IF(I689&gt;0,"Kitted","Released")))))</f>
        <v>Delivered</v>
      </c>
      <c r="M689" s="41" t="n">
        <f aca="false">IF(G689&lt;&gt;"Yes","",COUNTIFS($B$6:$B$1505,B689,$F$6:$F$1505,"&lt;"&amp;F689)+COUNTIFS($B$6:$B$1505,B689,$F$6:$F$1505,F689,$A$6:$A$1505,"&lt;="&amp;A689))</f>
        <v>2</v>
      </c>
      <c r="N689" s="41" t="n">
        <f aca="false">IF(M689="","",ROUNDUP(M689/H689,0))</f>
        <v>1</v>
      </c>
      <c r="O689" s="41" t="str">
        <f aca="false">IF(N689="","",IF(N689&lt;='Kitting Plan'!$C$3,"Rep "&amp;N689,"Surplus"))</f>
        <v>Rep 1</v>
      </c>
    </row>
    <row r="690" customFormat="false" ht="15" hidden="false" customHeight="false" outlineLevel="0" collapsed="false">
      <c r="A690" s="40" t="n">
        <f aca="false">IF(OR($A$4=0,INDEX('COOIS Raw'!$A:$GZ,ROW()-4,$A$4)=""),"",IFERROR(--INDEX('COOIS Raw'!$A:$GZ,ROW()-4,$A$4),INDEX('COOIS Raw'!$A:$GZ,ROW()-4,$A$4)))</f>
        <v>100861124</v>
      </c>
      <c r="B690" s="41" t="str">
        <f aca="false">IF(A690="","",TRIM(INDEX('COOIS Raw'!$A:$GZ,ROW()-4,$B$4)))</f>
        <v>92YWS04548AAA</v>
      </c>
      <c r="C690" s="42" t="str">
        <f aca="false">IF(OR(A690="",$C$4=0),"",INDEX('COOIS Raw'!$A:$GZ,ROW()-4,$C$4))</f>
        <v>R5B 4FP POB LUMENTUM SUB ASSEMBLY - E2A</v>
      </c>
      <c r="D690" s="41" t="n">
        <f aca="false">IF(A690="","",IF($D$4=0,1,IFERROR(--INDEX('COOIS Raw'!$A:$GZ,ROW()-4,$D$4),1)))</f>
        <v>1</v>
      </c>
      <c r="E690" s="42" t="str">
        <f aca="false">IF(A690="","",INDEX('COOIS Raw'!$A:$GZ,ROW()-4,$E$4)&amp;"")</f>
        <v>REL PRT CNF DLV PRC GMPS MANC SETC*</v>
      </c>
      <c r="F690" s="43" t="n">
        <f aca="false">IF(A690="","",IFERROR(DATEVALUE(INDEX('COOIS Raw'!$A:$GZ,ROW()-4,$F$4)),INDEX('COOIS Raw'!$A:$GZ,ROW()-4,$F$4)))</f>
        <v>46148</v>
      </c>
      <c r="G690" s="41" t="str">
        <f aca="false">IF(A690="","",IF(ISNA(MATCH(B690,'Kitting Plan'!$B$6:$B$19,0)),"Not in plan","Yes"))</f>
        <v>Yes</v>
      </c>
      <c r="H690" s="41" t="n">
        <f aca="false">IF(G690="Yes",INDEX('Kitting Plan'!$D$6:$D$19,MATCH(B690,'Kitting Plan'!$B$6:$B$19,0)),"")</f>
        <v>3</v>
      </c>
      <c r="I690" s="41" t="n">
        <f aca="false">IF(A690="","",IF(ISNUMBER(SEARCH("PRT",E690)),D690,0))</f>
        <v>1</v>
      </c>
      <c r="J690" s="41" t="n">
        <f aca="false">IF(A690="","",IF(ISNUMBER(SEARCH("GMPS",E690)),D690,0))</f>
        <v>1</v>
      </c>
      <c r="K690" s="41" t="n">
        <f aca="false">IF(A690="","",IF(ISNUMBER(SEARCH("DLV",E690)),D690,0))</f>
        <v>1</v>
      </c>
      <c r="L690" s="41" t="str">
        <f aca="false">IF(A690="","",IF(K690&gt;0,"Delivered",IF(ISNUMBER(SEARCH("CNF",E690)),"In production",IF(J690&gt;0,"Issued",IF(I690&gt;0,"Kitted","Released")))))</f>
        <v>Delivered</v>
      </c>
      <c r="M690" s="41" t="n">
        <f aca="false">IF(G690&lt;&gt;"Yes","",COUNTIFS($B$6:$B$1505,B690,$F$6:$F$1505,"&lt;"&amp;F690)+COUNTIFS($B$6:$B$1505,B690,$F$6:$F$1505,F690,$A$6:$A$1505,"&lt;="&amp;A690))</f>
        <v>3</v>
      </c>
      <c r="N690" s="41" t="n">
        <f aca="false">IF(M690="","",ROUNDUP(M690/H690,0))</f>
        <v>1</v>
      </c>
      <c r="O690" s="41" t="str">
        <f aca="false">IF(N690="","",IF(N690&lt;='Kitting Plan'!$C$3,"Rep "&amp;N690,"Surplus"))</f>
        <v>Rep 1</v>
      </c>
    </row>
    <row r="691" customFormat="false" ht="15" hidden="false" customHeight="false" outlineLevel="0" collapsed="false">
      <c r="A691" s="40" t="n">
        <f aca="false">IF(OR($A$4=0,INDEX('COOIS Raw'!$A:$GZ,ROW()-4,$A$4)=""),"",IFERROR(--INDEX('COOIS Raw'!$A:$GZ,ROW()-4,$A$4),INDEX('COOIS Raw'!$A:$GZ,ROW()-4,$A$4)))</f>
        <v>100861160</v>
      </c>
      <c r="B691" s="41" t="str">
        <f aca="false">IF(A691="","",TRIM(INDEX('COOIS Raw'!$A:$GZ,ROW()-4,$B$4)))</f>
        <v>92YLS00548BAA</v>
      </c>
      <c r="C691" s="42" t="str">
        <f aca="false">IF(OR(A691="",$C$4=0),"",INDEX('COOIS Raw'!$A:$GZ,ROW()-4,$C$4))</f>
        <v>R5B LASER ASSEMBLY 4P BOAT 1 - E2A</v>
      </c>
      <c r="D691" s="41" t="n">
        <f aca="false">IF(A691="","",IF($D$4=0,1,IFERROR(--INDEX('COOIS Raw'!$A:$GZ,ROW()-4,$D$4),1)))</f>
        <v>1</v>
      </c>
      <c r="E691" s="42" t="str">
        <f aca="false">IF(A691="","",INDEX('COOIS Raw'!$A:$GZ,ROW()-4,$E$4)&amp;"")</f>
        <v>REL PRT CNF DLV PRC GMPS MANC SETC*</v>
      </c>
      <c r="F691" s="43" t="n">
        <f aca="false">IF(A691="","",IFERROR(DATEVALUE(INDEX('COOIS Raw'!$A:$GZ,ROW()-4,$F$4)),INDEX('COOIS Raw'!$A:$GZ,ROW()-4,$F$4)))</f>
        <v>46148</v>
      </c>
      <c r="G691" s="41" t="str">
        <f aca="false">IF(A691="","",IF(ISNA(MATCH(B691,'Kitting Plan'!$B$6:$B$19,0)),"Not in plan","Yes"))</f>
        <v>Yes</v>
      </c>
      <c r="H691" s="41" t="n">
        <f aca="false">IF(G691="Yes",INDEX('Kitting Plan'!$D$6:$D$19,MATCH(B691,'Kitting Plan'!$B$6:$B$19,0)),"")</f>
        <v>1</v>
      </c>
      <c r="I691" s="41" t="n">
        <f aca="false">IF(A691="","",IF(ISNUMBER(SEARCH("PRT",E691)),D691,0))</f>
        <v>1</v>
      </c>
      <c r="J691" s="41" t="n">
        <f aca="false">IF(A691="","",IF(ISNUMBER(SEARCH("GMPS",E691)),D691,0))</f>
        <v>1</v>
      </c>
      <c r="K691" s="41" t="n">
        <f aca="false">IF(A691="","",IF(ISNUMBER(SEARCH("DLV",E691)),D691,0))</f>
        <v>1</v>
      </c>
      <c r="L691" s="41" t="str">
        <f aca="false">IF(A691="","",IF(K691&gt;0,"Delivered",IF(ISNUMBER(SEARCH("CNF",E691)),"In production",IF(J691&gt;0,"Issued",IF(I691&gt;0,"Kitted","Released")))))</f>
        <v>Delivered</v>
      </c>
      <c r="M691" s="41" t="n">
        <f aca="false">IF(G691&lt;&gt;"Yes","",COUNTIFS($B$6:$B$1505,B691,$F$6:$F$1505,"&lt;"&amp;F691)+COUNTIFS($B$6:$B$1505,B691,$F$6:$F$1505,F691,$A$6:$A$1505,"&lt;="&amp;A691))</f>
        <v>1</v>
      </c>
      <c r="N691" s="41" t="n">
        <f aca="false">IF(M691="","",ROUNDUP(M691/H691,0))</f>
        <v>1</v>
      </c>
      <c r="O691" s="41" t="str">
        <f aca="false">IF(N691="","",IF(N691&lt;='Kitting Plan'!$C$3,"Rep "&amp;N691,"Surplus"))</f>
        <v>Rep 1</v>
      </c>
    </row>
    <row r="692" customFormat="false" ht="15" hidden="false" customHeight="false" outlineLevel="0" collapsed="false">
      <c r="A692" s="40" t="n">
        <f aca="false">IF(OR($A$4=0,INDEX('COOIS Raw'!$A:$GZ,ROW()-4,$A$4)=""),"",IFERROR(--INDEX('COOIS Raw'!$A:$GZ,ROW()-4,$A$4),INDEX('COOIS Raw'!$A:$GZ,ROW()-4,$A$4)))</f>
        <v>100861300</v>
      </c>
      <c r="B692" s="41" t="str">
        <f aca="false">IF(A692="","",TRIM(INDEX('COOIS Raw'!$A:$GZ,ROW()-4,$B$4)))</f>
        <v>92YLS00548BBA</v>
      </c>
      <c r="C692" s="42" t="str">
        <f aca="false">IF(OR(A692="",$C$4=0),"",INDEX('COOIS Raw'!$A:$GZ,ROW()-4,$C$4))</f>
        <v>R5B LASER ASSEMBLY 4P BOAT 2/3 - E2A</v>
      </c>
      <c r="D692" s="41" t="n">
        <f aca="false">IF(A692="","",IF($D$4=0,1,IFERROR(--INDEX('COOIS Raw'!$A:$GZ,ROW()-4,$D$4),1)))</f>
        <v>1</v>
      </c>
      <c r="E692" s="42" t="str">
        <f aca="false">IF(A692="","",INDEX('COOIS Raw'!$A:$GZ,ROW()-4,$E$4)&amp;"")</f>
        <v>REL PPRT CNF DLV PRC GMPS MANC SETC*</v>
      </c>
      <c r="F692" s="43" t="n">
        <f aca="false">IF(A692="","",IFERROR(DATEVALUE(INDEX('COOIS Raw'!$A:$GZ,ROW()-4,$F$4)),INDEX('COOIS Raw'!$A:$GZ,ROW()-4,$F$4)))</f>
        <v>46148</v>
      </c>
      <c r="G692" s="41" t="str">
        <f aca="false">IF(A692="","",IF(ISNA(MATCH(B692,'Kitting Plan'!$B$6:$B$19,0)),"Not in plan","Yes"))</f>
        <v>Yes</v>
      </c>
      <c r="H692" s="41" t="n">
        <f aca="false">IF(G692="Yes",INDEX('Kitting Plan'!$D$6:$D$19,MATCH(B692,'Kitting Plan'!$B$6:$B$19,0)),"")</f>
        <v>2</v>
      </c>
      <c r="I692" s="41" t="n">
        <f aca="false">IF(A692="","",IF(ISNUMBER(SEARCH("PRT",E692)),D692,0))</f>
        <v>1</v>
      </c>
      <c r="J692" s="41" t="n">
        <f aca="false">IF(A692="","",IF(ISNUMBER(SEARCH("GMPS",E692)),D692,0))</f>
        <v>1</v>
      </c>
      <c r="K692" s="41" t="n">
        <f aca="false">IF(A692="","",IF(ISNUMBER(SEARCH("DLV",E692)),D692,0))</f>
        <v>1</v>
      </c>
      <c r="L692" s="41" t="str">
        <f aca="false">IF(A692="","",IF(K692&gt;0,"Delivered",IF(ISNUMBER(SEARCH("CNF",E692)),"In production",IF(J692&gt;0,"Issued",IF(I692&gt;0,"Kitted","Released")))))</f>
        <v>Delivered</v>
      </c>
      <c r="M692" s="41" t="n">
        <f aca="false">IF(G692&lt;&gt;"Yes","",COUNTIFS($B$6:$B$1505,B692,$F$6:$F$1505,"&lt;"&amp;F692)+COUNTIFS($B$6:$B$1505,B692,$F$6:$F$1505,F692,$A$6:$A$1505,"&lt;="&amp;A692))</f>
        <v>1</v>
      </c>
      <c r="N692" s="41" t="n">
        <f aca="false">IF(M692="","",ROUNDUP(M692/H692,0))</f>
        <v>1</v>
      </c>
      <c r="O692" s="41" t="str">
        <f aca="false">IF(N692="","",IF(N692&lt;='Kitting Plan'!$C$3,"Rep "&amp;N692,"Surplus"))</f>
        <v>Rep 1</v>
      </c>
    </row>
    <row r="693" customFormat="false" ht="15" hidden="false" customHeight="false" outlineLevel="0" collapsed="false">
      <c r="A693" s="40" t="n">
        <f aca="false">IF(OR($A$4=0,INDEX('COOIS Raw'!$A:$GZ,ROW()-4,$A$4)=""),"",IFERROR(--INDEX('COOIS Raw'!$A:$GZ,ROW()-4,$A$4),INDEX('COOIS Raw'!$A:$GZ,ROW()-4,$A$4)))</f>
        <v>100861301</v>
      </c>
      <c r="B693" s="41" t="str">
        <f aca="false">IF(A693="","",TRIM(INDEX('COOIS Raw'!$A:$GZ,ROW()-4,$B$4)))</f>
        <v>92YLS00548BBA</v>
      </c>
      <c r="C693" s="42" t="str">
        <f aca="false">IF(OR(A693="",$C$4=0),"",INDEX('COOIS Raw'!$A:$GZ,ROW()-4,$C$4))</f>
        <v>R5B LASER ASSEMBLY 4P BOAT 2/3 - E2A</v>
      </c>
      <c r="D693" s="41" t="n">
        <f aca="false">IF(A693="","",IF($D$4=0,1,IFERROR(--INDEX('COOIS Raw'!$A:$GZ,ROW()-4,$D$4),1)))</f>
        <v>1</v>
      </c>
      <c r="E693" s="42" t="str">
        <f aca="false">IF(A693="","",INDEX('COOIS Raw'!$A:$GZ,ROW()-4,$E$4)&amp;"")</f>
        <v>REL PPRT CNF DLV PRC GMPS MANC SETC*</v>
      </c>
      <c r="F693" s="43" t="n">
        <f aca="false">IF(A693="","",IFERROR(DATEVALUE(INDEX('COOIS Raw'!$A:$GZ,ROW()-4,$F$4)),INDEX('COOIS Raw'!$A:$GZ,ROW()-4,$F$4)))</f>
        <v>46148</v>
      </c>
      <c r="G693" s="41" t="str">
        <f aca="false">IF(A693="","",IF(ISNA(MATCH(B693,'Kitting Plan'!$B$6:$B$19,0)),"Not in plan","Yes"))</f>
        <v>Yes</v>
      </c>
      <c r="H693" s="41" t="n">
        <f aca="false">IF(G693="Yes",INDEX('Kitting Plan'!$D$6:$D$19,MATCH(B693,'Kitting Plan'!$B$6:$B$19,0)),"")</f>
        <v>2</v>
      </c>
      <c r="I693" s="41" t="n">
        <f aca="false">IF(A693="","",IF(ISNUMBER(SEARCH("PRT",E693)),D693,0))</f>
        <v>1</v>
      </c>
      <c r="J693" s="41" t="n">
        <f aca="false">IF(A693="","",IF(ISNUMBER(SEARCH("GMPS",E693)),D693,0))</f>
        <v>1</v>
      </c>
      <c r="K693" s="41" t="n">
        <f aca="false">IF(A693="","",IF(ISNUMBER(SEARCH("DLV",E693)),D693,0))</f>
        <v>1</v>
      </c>
      <c r="L693" s="41" t="str">
        <f aca="false">IF(A693="","",IF(K693&gt;0,"Delivered",IF(ISNUMBER(SEARCH("CNF",E693)),"In production",IF(J693&gt;0,"Issued",IF(I693&gt;0,"Kitted","Released")))))</f>
        <v>Delivered</v>
      </c>
      <c r="M693" s="41" t="n">
        <f aca="false">IF(G693&lt;&gt;"Yes","",COUNTIFS($B$6:$B$1505,B693,$F$6:$F$1505,"&lt;"&amp;F693)+COUNTIFS($B$6:$B$1505,B693,$F$6:$F$1505,F693,$A$6:$A$1505,"&lt;="&amp;A693))</f>
        <v>2</v>
      </c>
      <c r="N693" s="41" t="n">
        <f aca="false">IF(M693="","",ROUNDUP(M693/H693,0))</f>
        <v>1</v>
      </c>
      <c r="O693" s="41" t="str">
        <f aca="false">IF(N693="","",IF(N693&lt;='Kitting Plan'!$C$3,"Rep "&amp;N693,"Surplus"))</f>
        <v>Rep 1</v>
      </c>
    </row>
    <row r="694" customFormat="false" ht="15" hidden="false" customHeight="false" outlineLevel="0" collapsed="false">
      <c r="A694" s="40" t="n">
        <f aca="false">IF(OR($A$4=0,INDEX('COOIS Raw'!$A:$GZ,ROW()-4,$A$4)=""),"",IFERROR(--INDEX('COOIS Raw'!$A:$GZ,ROW()-4,$A$4),INDEX('COOIS Raw'!$A:$GZ,ROW()-4,$A$4)))</f>
        <v>100859014</v>
      </c>
      <c r="B694" s="41" t="str">
        <f aca="false">IF(A694="","",TRIM(INDEX('COOIS Raw'!$A:$GZ,ROW()-4,$B$4)))</f>
        <v>91YAF03404AAA</v>
      </c>
      <c r="C694" s="42" t="str">
        <f aca="false">IF(OR(A694="",$C$4=0),"",INDEX('COOIS Raw'!$A:$GZ,ROW()-4,$C$4))</f>
        <v>R5B PSB SUB ASSEMBLY 4P-4FP</v>
      </c>
      <c r="D694" s="41" t="n">
        <f aca="false">IF(A694="","",IF($D$4=0,1,IFERROR(--INDEX('COOIS Raw'!$A:$GZ,ROW()-4,$D$4),1)))</f>
        <v>1</v>
      </c>
      <c r="E694" s="42" t="str">
        <f aca="false">IF(A694="","",INDEX('COOIS Raw'!$A:$GZ,ROW()-4,$E$4)&amp;"")</f>
        <v>REL PRT CNF DLV PRC GMPS MANC RESA*</v>
      </c>
      <c r="F694" s="43" t="n">
        <f aca="false">IF(A694="","",IFERROR(DATEVALUE(INDEX('COOIS Raw'!$A:$GZ,ROW()-4,$F$4)),INDEX('COOIS Raw'!$A:$GZ,ROW()-4,$F$4)))</f>
        <v>46132</v>
      </c>
      <c r="G694" s="41" t="str">
        <f aca="false">IF(A694="","",IF(ISNA(MATCH(B694,'Kitting Plan'!$B$6:$B$19,0)),"Not in plan","Yes"))</f>
        <v>Yes</v>
      </c>
      <c r="H694" s="41" t="n">
        <f aca="false">IF(G694="Yes",INDEX('Kitting Plan'!$D$6:$D$19,MATCH(B694,'Kitting Plan'!$B$6:$B$19,0)),"")</f>
        <v>3</v>
      </c>
      <c r="I694" s="41" t="n">
        <f aca="false">IF(A694="","",IF(ISNUMBER(SEARCH("PRT",E694)),D694,0))</f>
        <v>1</v>
      </c>
      <c r="J694" s="41" t="n">
        <f aca="false">IF(A694="","",IF(ISNUMBER(SEARCH("GMPS",E694)),D694,0))</f>
        <v>1</v>
      </c>
      <c r="K694" s="41" t="n">
        <f aca="false">IF(A694="","",IF(ISNUMBER(SEARCH("DLV",E694)),D694,0))</f>
        <v>1</v>
      </c>
      <c r="L694" s="41" t="str">
        <f aca="false">IF(A694="","",IF(K694&gt;0,"Delivered",IF(ISNUMBER(SEARCH("CNF",E694)),"In production",IF(J694&gt;0,"Issued",IF(I694&gt;0,"Kitted","Released")))))</f>
        <v>Delivered</v>
      </c>
      <c r="M694" s="41" t="n">
        <f aca="false">IF(G694&lt;&gt;"Yes","",COUNTIFS($B$6:$B$1505,B694,$F$6:$F$1505,"&lt;"&amp;F694)+COUNTIFS($B$6:$B$1505,B694,$F$6:$F$1505,F694,$A$6:$A$1505,"&lt;="&amp;A694))</f>
        <v>1</v>
      </c>
      <c r="N694" s="41" t="n">
        <f aca="false">IF(M694="","",ROUNDUP(M694/H694,0))</f>
        <v>1</v>
      </c>
      <c r="O694" s="41" t="str">
        <f aca="false">IF(N694="","",IF(N694&lt;='Kitting Plan'!$C$3,"Rep "&amp;N694,"Surplus"))</f>
        <v>Rep 1</v>
      </c>
    </row>
    <row r="695" customFormat="false" ht="15" hidden="false" customHeight="false" outlineLevel="0" collapsed="false">
      <c r="A695" s="40" t="n">
        <f aca="false">IF(OR($A$4=0,INDEX('COOIS Raw'!$A:$GZ,ROW()-4,$A$4)=""),"",IFERROR(--INDEX('COOIS Raw'!$A:$GZ,ROW()-4,$A$4),INDEX('COOIS Raw'!$A:$GZ,ROW()-4,$A$4)))</f>
        <v>100859015</v>
      </c>
      <c r="B695" s="41" t="str">
        <f aca="false">IF(A695="","",TRIM(INDEX('COOIS Raw'!$A:$GZ,ROW()-4,$B$4)))</f>
        <v>91YAF03404AAA</v>
      </c>
      <c r="C695" s="42" t="str">
        <f aca="false">IF(OR(A695="",$C$4=0),"",INDEX('COOIS Raw'!$A:$GZ,ROW()-4,$C$4))</f>
        <v>R5B PSB SUB ASSEMBLY 4P-4FP</v>
      </c>
      <c r="D695" s="41" t="n">
        <f aca="false">IF(A695="","",IF($D$4=0,1,IFERROR(--INDEX('COOIS Raw'!$A:$GZ,ROW()-4,$D$4),1)))</f>
        <v>1</v>
      </c>
      <c r="E695" s="42" t="str">
        <f aca="false">IF(A695="","",INDEX('COOIS Raw'!$A:$GZ,ROW()-4,$E$4)&amp;"")</f>
        <v>REL PRT CNF DLV PRC GMPS MANC RESA*</v>
      </c>
      <c r="F695" s="43" t="n">
        <f aca="false">IF(A695="","",IFERROR(DATEVALUE(INDEX('COOIS Raw'!$A:$GZ,ROW()-4,$F$4)),INDEX('COOIS Raw'!$A:$GZ,ROW()-4,$F$4)))</f>
        <v>46132</v>
      </c>
      <c r="G695" s="41" t="str">
        <f aca="false">IF(A695="","",IF(ISNA(MATCH(B695,'Kitting Plan'!$B$6:$B$19,0)),"Not in plan","Yes"))</f>
        <v>Yes</v>
      </c>
      <c r="H695" s="41" t="n">
        <f aca="false">IF(G695="Yes",INDEX('Kitting Plan'!$D$6:$D$19,MATCH(B695,'Kitting Plan'!$B$6:$B$19,0)),"")</f>
        <v>3</v>
      </c>
      <c r="I695" s="41" t="n">
        <f aca="false">IF(A695="","",IF(ISNUMBER(SEARCH("PRT",E695)),D695,0))</f>
        <v>1</v>
      </c>
      <c r="J695" s="41" t="n">
        <f aca="false">IF(A695="","",IF(ISNUMBER(SEARCH("GMPS",E695)),D695,0))</f>
        <v>1</v>
      </c>
      <c r="K695" s="41" t="n">
        <f aca="false">IF(A695="","",IF(ISNUMBER(SEARCH("DLV",E695)),D695,0))</f>
        <v>1</v>
      </c>
      <c r="L695" s="41" t="str">
        <f aca="false">IF(A695="","",IF(K695&gt;0,"Delivered",IF(ISNUMBER(SEARCH("CNF",E695)),"In production",IF(J695&gt;0,"Issued",IF(I695&gt;0,"Kitted","Released")))))</f>
        <v>Delivered</v>
      </c>
      <c r="M695" s="41" t="n">
        <f aca="false">IF(G695&lt;&gt;"Yes","",COUNTIFS($B$6:$B$1505,B695,$F$6:$F$1505,"&lt;"&amp;F695)+COUNTIFS($B$6:$B$1505,B695,$F$6:$F$1505,F695,$A$6:$A$1505,"&lt;="&amp;A695))</f>
        <v>2</v>
      </c>
      <c r="N695" s="41" t="n">
        <f aca="false">IF(M695="","",ROUNDUP(M695/H695,0))</f>
        <v>1</v>
      </c>
      <c r="O695" s="41" t="str">
        <f aca="false">IF(N695="","",IF(N695&lt;='Kitting Plan'!$C$3,"Rep "&amp;N695,"Surplus"))</f>
        <v>Rep 1</v>
      </c>
    </row>
    <row r="696" customFormat="false" ht="15" hidden="false" customHeight="false" outlineLevel="0" collapsed="false">
      <c r="A696" s="40" t="n">
        <f aca="false">IF(OR($A$4=0,INDEX('COOIS Raw'!$A:$GZ,ROW()-4,$A$4)=""),"",IFERROR(--INDEX('COOIS Raw'!$A:$GZ,ROW()-4,$A$4),INDEX('COOIS Raw'!$A:$GZ,ROW()-4,$A$4)))</f>
        <v>100859016</v>
      </c>
      <c r="B696" s="41" t="str">
        <f aca="false">IF(A696="","",TRIM(INDEX('COOIS Raw'!$A:$GZ,ROW()-4,$B$4)))</f>
        <v>91YAF03404AAA</v>
      </c>
      <c r="C696" s="42" t="str">
        <f aca="false">IF(OR(A696="",$C$4=0),"",INDEX('COOIS Raw'!$A:$GZ,ROW()-4,$C$4))</f>
        <v>R5B PSB SUB ASSEMBLY 4P-4FP</v>
      </c>
      <c r="D696" s="41" t="n">
        <f aca="false">IF(A696="","",IF($D$4=0,1,IFERROR(--INDEX('COOIS Raw'!$A:$GZ,ROW()-4,$D$4),1)))</f>
        <v>1</v>
      </c>
      <c r="E696" s="42" t="str">
        <f aca="false">IF(A696="","",INDEX('COOIS Raw'!$A:$GZ,ROW()-4,$E$4)&amp;"")</f>
        <v>REL PRT CNF DLV PRC GMPS MANC RESA*</v>
      </c>
      <c r="F696" s="43" t="n">
        <f aca="false">IF(A696="","",IFERROR(DATEVALUE(INDEX('COOIS Raw'!$A:$GZ,ROW()-4,$F$4)),INDEX('COOIS Raw'!$A:$GZ,ROW()-4,$F$4)))</f>
        <v>46132</v>
      </c>
      <c r="G696" s="41" t="str">
        <f aca="false">IF(A696="","",IF(ISNA(MATCH(B696,'Kitting Plan'!$B$6:$B$19,0)),"Not in plan","Yes"))</f>
        <v>Yes</v>
      </c>
      <c r="H696" s="41" t="n">
        <f aca="false">IF(G696="Yes",INDEX('Kitting Plan'!$D$6:$D$19,MATCH(B696,'Kitting Plan'!$B$6:$B$19,0)),"")</f>
        <v>3</v>
      </c>
      <c r="I696" s="41" t="n">
        <f aca="false">IF(A696="","",IF(ISNUMBER(SEARCH("PRT",E696)),D696,0))</f>
        <v>1</v>
      </c>
      <c r="J696" s="41" t="n">
        <f aca="false">IF(A696="","",IF(ISNUMBER(SEARCH("GMPS",E696)),D696,0))</f>
        <v>1</v>
      </c>
      <c r="K696" s="41" t="n">
        <f aca="false">IF(A696="","",IF(ISNUMBER(SEARCH("DLV",E696)),D696,0))</f>
        <v>1</v>
      </c>
      <c r="L696" s="41" t="str">
        <f aca="false">IF(A696="","",IF(K696&gt;0,"Delivered",IF(ISNUMBER(SEARCH("CNF",E696)),"In production",IF(J696&gt;0,"Issued",IF(I696&gt;0,"Kitted","Released")))))</f>
        <v>Delivered</v>
      </c>
      <c r="M696" s="41" t="n">
        <f aca="false">IF(G696&lt;&gt;"Yes","",COUNTIFS($B$6:$B$1505,B696,$F$6:$F$1505,"&lt;"&amp;F696)+COUNTIFS($B$6:$B$1505,B696,$F$6:$F$1505,F696,$A$6:$A$1505,"&lt;="&amp;A696))</f>
        <v>3</v>
      </c>
      <c r="N696" s="41" t="n">
        <f aca="false">IF(M696="","",ROUNDUP(M696/H696,0))</f>
        <v>1</v>
      </c>
      <c r="O696" s="41" t="str">
        <f aca="false">IF(N696="","",IF(N696&lt;='Kitting Plan'!$C$3,"Rep "&amp;N696,"Surplus"))</f>
        <v>Rep 1</v>
      </c>
    </row>
    <row r="697" customFormat="false" ht="15" hidden="false" customHeight="false" outlineLevel="0" collapsed="false">
      <c r="A697" s="40" t="str">
        <f aca="false">IF(OR($A$4=0,INDEX('COOIS Raw'!$A:$GZ,ROW()-4,$A$4)=""),"",IFERROR(--INDEX('COOIS Raw'!$A:$GZ,ROW()-4,$A$4),INDEX('COOIS Raw'!$A:$GZ,ROW()-4,$A$4)))</f>
        <v/>
      </c>
      <c r="B697" s="41" t="str">
        <f aca="false">IF(A697="","",TRIM(INDEX('COOIS Raw'!$A:$GZ,ROW()-4,$B$4)))</f>
        <v/>
      </c>
      <c r="C697" s="42" t="str">
        <f aca="false">IF(OR(A697="",$C$4=0),"",INDEX('COOIS Raw'!$A:$GZ,ROW()-4,$C$4))</f>
        <v/>
      </c>
      <c r="D697" s="41" t="str">
        <f aca="false">IF(A697="","",IF($D$4=0,1,IFERROR(--INDEX('COOIS Raw'!$A:$GZ,ROW()-4,$D$4),1)))</f>
        <v/>
      </c>
      <c r="E697" s="42" t="str">
        <f aca="false">IF(A697="","",INDEX('COOIS Raw'!$A:$GZ,ROW()-4,$E$4)&amp;"")</f>
        <v/>
      </c>
      <c r="F697" s="43" t="str">
        <f aca="false">IF(A697="","",IFERROR(DATEVALUE(INDEX('COOIS Raw'!$A:$GZ,ROW()-4,$F$4)),INDEX('COOIS Raw'!$A:$GZ,ROW()-4,$F$4)))</f>
        <v/>
      </c>
      <c r="G697" s="41" t="str">
        <f aca="false">IF(A697="","",IF(ISNA(MATCH(B697,'Kitting Plan'!$B$6:$B$19,0)),"Not in plan","Yes"))</f>
        <v/>
      </c>
      <c r="H697" s="41" t="str">
        <f aca="false">IF(G697="Yes",INDEX('Kitting Plan'!$D$6:$D$19,MATCH(B697,'Kitting Plan'!$B$6:$B$19,0)),"")</f>
        <v/>
      </c>
      <c r="I697" s="41" t="str">
        <f aca="false">IF(A697="","",IF(ISNUMBER(SEARCH("PRT",E697)),D697,0))</f>
        <v/>
      </c>
      <c r="J697" s="41" t="str">
        <f aca="false">IF(A697="","",IF(ISNUMBER(SEARCH("GMPS",E697)),D697,0))</f>
        <v/>
      </c>
      <c r="K697" s="41" t="str">
        <f aca="false">IF(A697="","",IF(ISNUMBER(SEARCH("DLV",E697)),D697,0))</f>
        <v/>
      </c>
      <c r="L697" s="41" t="str">
        <f aca="false">IF(A697="","",IF(K697&gt;0,"Delivered",IF(ISNUMBER(SEARCH("CNF",E697)),"In production",IF(J697&gt;0,"Issued",IF(I697&gt;0,"Kitted","Released")))))</f>
        <v/>
      </c>
      <c r="M697" s="41" t="str">
        <f aca="false">IF(G697&lt;&gt;"Yes","",COUNTIFS($B$6:$B$1505,B697,$F$6:$F$1505,"&lt;"&amp;F697)+COUNTIFS($B$6:$B$1505,B697,$F$6:$F$1505,F697,$A$6:$A$1505,"&lt;="&amp;A697))</f>
        <v/>
      </c>
      <c r="N697" s="41" t="str">
        <f aca="false">IF(M697="","",ROUNDUP(M697/H697,0))</f>
        <v/>
      </c>
      <c r="O697" s="41" t="str">
        <f aca="false">IF(N697="","",IF(N697&lt;='Kitting Plan'!$C$3,"Rep "&amp;N697,"Surplus"))</f>
        <v/>
      </c>
    </row>
    <row r="698" customFormat="false" ht="15" hidden="false" customHeight="false" outlineLevel="0" collapsed="false">
      <c r="A698" s="40" t="str">
        <f aca="false">IF(OR($A$4=0,INDEX('COOIS Raw'!$A:$GZ,ROW()-4,$A$4)=""),"",IFERROR(--INDEX('COOIS Raw'!$A:$GZ,ROW()-4,$A$4),INDEX('COOIS Raw'!$A:$GZ,ROW()-4,$A$4)))</f>
        <v/>
      </c>
      <c r="B698" s="41" t="str">
        <f aca="false">IF(A698="","",TRIM(INDEX('COOIS Raw'!$A:$GZ,ROW()-4,$B$4)))</f>
        <v/>
      </c>
      <c r="C698" s="42" t="str">
        <f aca="false">IF(OR(A698="",$C$4=0),"",INDEX('COOIS Raw'!$A:$GZ,ROW()-4,$C$4))</f>
        <v/>
      </c>
      <c r="D698" s="41" t="str">
        <f aca="false">IF(A698="","",IF($D$4=0,1,IFERROR(--INDEX('COOIS Raw'!$A:$GZ,ROW()-4,$D$4),1)))</f>
        <v/>
      </c>
      <c r="E698" s="42" t="str">
        <f aca="false">IF(A698="","",INDEX('COOIS Raw'!$A:$GZ,ROW()-4,$E$4)&amp;"")</f>
        <v/>
      </c>
      <c r="F698" s="43" t="str">
        <f aca="false">IF(A698="","",IFERROR(DATEVALUE(INDEX('COOIS Raw'!$A:$GZ,ROW()-4,$F$4)),INDEX('COOIS Raw'!$A:$GZ,ROW()-4,$F$4)))</f>
        <v/>
      </c>
      <c r="G698" s="41" t="str">
        <f aca="false">IF(A698="","",IF(ISNA(MATCH(B698,'Kitting Plan'!$B$6:$B$19,0)),"Not in plan","Yes"))</f>
        <v/>
      </c>
      <c r="H698" s="41" t="str">
        <f aca="false">IF(G698="Yes",INDEX('Kitting Plan'!$D$6:$D$19,MATCH(B698,'Kitting Plan'!$B$6:$B$19,0)),"")</f>
        <v/>
      </c>
      <c r="I698" s="41" t="str">
        <f aca="false">IF(A698="","",IF(ISNUMBER(SEARCH("PRT",E698)),D698,0))</f>
        <v/>
      </c>
      <c r="J698" s="41" t="str">
        <f aca="false">IF(A698="","",IF(ISNUMBER(SEARCH("GMPS",E698)),D698,0))</f>
        <v/>
      </c>
      <c r="K698" s="41" t="str">
        <f aca="false">IF(A698="","",IF(ISNUMBER(SEARCH("DLV",E698)),D698,0))</f>
        <v/>
      </c>
      <c r="L698" s="41" t="str">
        <f aca="false">IF(A698="","",IF(K698&gt;0,"Delivered",IF(ISNUMBER(SEARCH("CNF",E698)),"In production",IF(J698&gt;0,"Issued",IF(I698&gt;0,"Kitted","Released")))))</f>
        <v/>
      </c>
      <c r="M698" s="41" t="str">
        <f aca="false">IF(G698&lt;&gt;"Yes","",COUNTIFS($B$6:$B$1505,B698,$F$6:$F$1505,"&lt;"&amp;F698)+COUNTIFS($B$6:$B$1505,B698,$F$6:$F$1505,F698,$A$6:$A$1505,"&lt;="&amp;A698))</f>
        <v/>
      </c>
      <c r="N698" s="41" t="str">
        <f aca="false">IF(M698="","",ROUNDUP(M698/H698,0))</f>
        <v/>
      </c>
      <c r="O698" s="41" t="str">
        <f aca="false">IF(N698="","",IF(N698&lt;='Kitting Plan'!$C$3,"Rep "&amp;N698,"Surplus"))</f>
        <v/>
      </c>
    </row>
    <row r="699" customFormat="false" ht="15" hidden="false" customHeight="false" outlineLevel="0" collapsed="false">
      <c r="A699" s="40" t="str">
        <f aca="false">IF(OR($A$4=0,INDEX('COOIS Raw'!$A:$GZ,ROW()-4,$A$4)=""),"",IFERROR(--INDEX('COOIS Raw'!$A:$GZ,ROW()-4,$A$4),INDEX('COOIS Raw'!$A:$GZ,ROW()-4,$A$4)))</f>
        <v/>
      </c>
      <c r="B699" s="41" t="str">
        <f aca="false">IF(A699="","",TRIM(INDEX('COOIS Raw'!$A:$GZ,ROW()-4,$B$4)))</f>
        <v/>
      </c>
      <c r="C699" s="42" t="str">
        <f aca="false">IF(OR(A699="",$C$4=0),"",INDEX('COOIS Raw'!$A:$GZ,ROW()-4,$C$4))</f>
        <v/>
      </c>
      <c r="D699" s="41" t="str">
        <f aca="false">IF(A699="","",IF($D$4=0,1,IFERROR(--INDEX('COOIS Raw'!$A:$GZ,ROW()-4,$D$4),1)))</f>
        <v/>
      </c>
      <c r="E699" s="42" t="str">
        <f aca="false">IF(A699="","",INDEX('COOIS Raw'!$A:$GZ,ROW()-4,$E$4)&amp;"")</f>
        <v/>
      </c>
      <c r="F699" s="43" t="str">
        <f aca="false">IF(A699="","",IFERROR(DATEVALUE(INDEX('COOIS Raw'!$A:$GZ,ROW()-4,$F$4)),INDEX('COOIS Raw'!$A:$GZ,ROW()-4,$F$4)))</f>
        <v/>
      </c>
      <c r="G699" s="41" t="str">
        <f aca="false">IF(A699="","",IF(ISNA(MATCH(B699,'Kitting Plan'!$B$6:$B$19,0)),"Not in plan","Yes"))</f>
        <v/>
      </c>
      <c r="H699" s="41" t="str">
        <f aca="false">IF(G699="Yes",INDEX('Kitting Plan'!$D$6:$D$19,MATCH(B699,'Kitting Plan'!$B$6:$B$19,0)),"")</f>
        <v/>
      </c>
      <c r="I699" s="41" t="str">
        <f aca="false">IF(A699="","",IF(ISNUMBER(SEARCH("PRT",E699)),D699,0))</f>
        <v/>
      </c>
      <c r="J699" s="41" t="str">
        <f aca="false">IF(A699="","",IF(ISNUMBER(SEARCH("GMPS",E699)),D699,0))</f>
        <v/>
      </c>
      <c r="K699" s="41" t="str">
        <f aca="false">IF(A699="","",IF(ISNUMBER(SEARCH("DLV",E699)),D699,0))</f>
        <v/>
      </c>
      <c r="L699" s="41" t="str">
        <f aca="false">IF(A699="","",IF(K699&gt;0,"Delivered",IF(ISNUMBER(SEARCH("CNF",E699)),"In production",IF(J699&gt;0,"Issued",IF(I699&gt;0,"Kitted","Released")))))</f>
        <v/>
      </c>
      <c r="M699" s="41" t="str">
        <f aca="false">IF(G699&lt;&gt;"Yes","",COUNTIFS($B$6:$B$1505,B699,$F$6:$F$1505,"&lt;"&amp;F699)+COUNTIFS($B$6:$B$1505,B699,$F$6:$F$1505,F699,$A$6:$A$1505,"&lt;="&amp;A699))</f>
        <v/>
      </c>
      <c r="N699" s="41" t="str">
        <f aca="false">IF(M699="","",ROUNDUP(M699/H699,0))</f>
        <v/>
      </c>
      <c r="O699" s="41" t="str">
        <f aca="false">IF(N699="","",IF(N699&lt;='Kitting Plan'!$C$3,"Rep "&amp;N699,"Surplus"))</f>
        <v/>
      </c>
    </row>
    <row r="700" customFormat="false" ht="15" hidden="false" customHeight="false" outlineLevel="0" collapsed="false">
      <c r="A700" s="40" t="str">
        <f aca="false">IF(OR($A$4=0,INDEX('COOIS Raw'!$A:$GZ,ROW()-4,$A$4)=""),"",IFERROR(--INDEX('COOIS Raw'!$A:$GZ,ROW()-4,$A$4),INDEX('COOIS Raw'!$A:$GZ,ROW()-4,$A$4)))</f>
        <v/>
      </c>
      <c r="B700" s="41" t="str">
        <f aca="false">IF(A700="","",TRIM(INDEX('COOIS Raw'!$A:$GZ,ROW()-4,$B$4)))</f>
        <v/>
      </c>
      <c r="C700" s="42" t="str">
        <f aca="false">IF(OR(A700="",$C$4=0),"",INDEX('COOIS Raw'!$A:$GZ,ROW()-4,$C$4))</f>
        <v/>
      </c>
      <c r="D700" s="41" t="str">
        <f aca="false">IF(A700="","",IF($D$4=0,1,IFERROR(--INDEX('COOIS Raw'!$A:$GZ,ROW()-4,$D$4),1)))</f>
        <v/>
      </c>
      <c r="E700" s="42" t="str">
        <f aca="false">IF(A700="","",INDEX('COOIS Raw'!$A:$GZ,ROW()-4,$E$4)&amp;"")</f>
        <v/>
      </c>
      <c r="F700" s="43" t="str">
        <f aca="false">IF(A700="","",IFERROR(DATEVALUE(INDEX('COOIS Raw'!$A:$GZ,ROW()-4,$F$4)),INDEX('COOIS Raw'!$A:$GZ,ROW()-4,$F$4)))</f>
        <v/>
      </c>
      <c r="G700" s="41" t="str">
        <f aca="false">IF(A700="","",IF(ISNA(MATCH(B700,'Kitting Plan'!$B$6:$B$19,0)),"Not in plan","Yes"))</f>
        <v/>
      </c>
      <c r="H700" s="41" t="str">
        <f aca="false">IF(G700="Yes",INDEX('Kitting Plan'!$D$6:$D$19,MATCH(B700,'Kitting Plan'!$B$6:$B$19,0)),"")</f>
        <v/>
      </c>
      <c r="I700" s="41" t="str">
        <f aca="false">IF(A700="","",IF(ISNUMBER(SEARCH("PRT",E700)),D700,0))</f>
        <v/>
      </c>
      <c r="J700" s="41" t="str">
        <f aca="false">IF(A700="","",IF(ISNUMBER(SEARCH("GMPS",E700)),D700,0))</f>
        <v/>
      </c>
      <c r="K700" s="41" t="str">
        <f aca="false">IF(A700="","",IF(ISNUMBER(SEARCH("DLV",E700)),D700,0))</f>
        <v/>
      </c>
      <c r="L700" s="41" t="str">
        <f aca="false">IF(A700="","",IF(K700&gt;0,"Delivered",IF(ISNUMBER(SEARCH("CNF",E700)),"In production",IF(J700&gt;0,"Issued",IF(I700&gt;0,"Kitted","Released")))))</f>
        <v/>
      </c>
      <c r="M700" s="41" t="str">
        <f aca="false">IF(G700&lt;&gt;"Yes","",COUNTIFS($B$6:$B$1505,B700,$F$6:$F$1505,"&lt;"&amp;F700)+COUNTIFS($B$6:$B$1505,B700,$F$6:$F$1505,F700,$A$6:$A$1505,"&lt;="&amp;A700))</f>
        <v/>
      </c>
      <c r="N700" s="41" t="str">
        <f aca="false">IF(M700="","",ROUNDUP(M700/H700,0))</f>
        <v/>
      </c>
      <c r="O700" s="41" t="str">
        <f aca="false">IF(N700="","",IF(N700&lt;='Kitting Plan'!$C$3,"Rep "&amp;N700,"Surplus"))</f>
        <v/>
      </c>
    </row>
    <row r="701" customFormat="false" ht="15" hidden="false" customHeight="false" outlineLevel="0" collapsed="false">
      <c r="A701" s="40" t="str">
        <f aca="false">IF(OR($A$4=0,INDEX('COOIS Raw'!$A:$GZ,ROW()-4,$A$4)=""),"",IFERROR(--INDEX('COOIS Raw'!$A:$GZ,ROW()-4,$A$4),INDEX('COOIS Raw'!$A:$GZ,ROW()-4,$A$4)))</f>
        <v/>
      </c>
      <c r="B701" s="41" t="str">
        <f aca="false">IF(A701="","",TRIM(INDEX('COOIS Raw'!$A:$GZ,ROW()-4,$B$4)))</f>
        <v/>
      </c>
      <c r="C701" s="42" t="str">
        <f aca="false">IF(OR(A701="",$C$4=0),"",INDEX('COOIS Raw'!$A:$GZ,ROW()-4,$C$4))</f>
        <v/>
      </c>
      <c r="D701" s="41" t="str">
        <f aca="false">IF(A701="","",IF($D$4=0,1,IFERROR(--INDEX('COOIS Raw'!$A:$GZ,ROW()-4,$D$4),1)))</f>
        <v/>
      </c>
      <c r="E701" s="42" t="str">
        <f aca="false">IF(A701="","",INDEX('COOIS Raw'!$A:$GZ,ROW()-4,$E$4)&amp;"")</f>
        <v/>
      </c>
      <c r="F701" s="43" t="str">
        <f aca="false">IF(A701="","",IFERROR(DATEVALUE(INDEX('COOIS Raw'!$A:$GZ,ROW()-4,$F$4)),INDEX('COOIS Raw'!$A:$GZ,ROW()-4,$F$4)))</f>
        <v/>
      </c>
      <c r="G701" s="41" t="str">
        <f aca="false">IF(A701="","",IF(ISNA(MATCH(B701,'Kitting Plan'!$B$6:$B$19,0)),"Not in plan","Yes"))</f>
        <v/>
      </c>
      <c r="H701" s="41" t="str">
        <f aca="false">IF(G701="Yes",INDEX('Kitting Plan'!$D$6:$D$19,MATCH(B701,'Kitting Plan'!$B$6:$B$19,0)),"")</f>
        <v/>
      </c>
      <c r="I701" s="41" t="str">
        <f aca="false">IF(A701="","",IF(ISNUMBER(SEARCH("PRT",E701)),D701,0))</f>
        <v/>
      </c>
      <c r="J701" s="41" t="str">
        <f aca="false">IF(A701="","",IF(ISNUMBER(SEARCH("GMPS",E701)),D701,0))</f>
        <v/>
      </c>
      <c r="K701" s="41" t="str">
        <f aca="false">IF(A701="","",IF(ISNUMBER(SEARCH("DLV",E701)),D701,0))</f>
        <v/>
      </c>
      <c r="L701" s="41" t="str">
        <f aca="false">IF(A701="","",IF(K701&gt;0,"Delivered",IF(ISNUMBER(SEARCH("CNF",E701)),"In production",IF(J701&gt;0,"Issued",IF(I701&gt;0,"Kitted","Released")))))</f>
        <v/>
      </c>
      <c r="M701" s="41" t="str">
        <f aca="false">IF(G701&lt;&gt;"Yes","",COUNTIFS($B$6:$B$1505,B701,$F$6:$F$1505,"&lt;"&amp;F701)+COUNTIFS($B$6:$B$1505,B701,$F$6:$F$1505,F701,$A$6:$A$1505,"&lt;="&amp;A701))</f>
        <v/>
      </c>
      <c r="N701" s="41" t="str">
        <f aca="false">IF(M701="","",ROUNDUP(M701/H701,0))</f>
        <v/>
      </c>
      <c r="O701" s="41" t="str">
        <f aca="false">IF(N701="","",IF(N701&lt;='Kitting Plan'!$C$3,"Rep "&amp;N701,"Surplus"))</f>
        <v/>
      </c>
    </row>
    <row r="702" customFormat="false" ht="15" hidden="false" customHeight="false" outlineLevel="0" collapsed="false">
      <c r="A702" s="40" t="str">
        <f aca="false">IF(OR($A$4=0,INDEX('COOIS Raw'!$A:$GZ,ROW()-4,$A$4)=""),"",IFERROR(--INDEX('COOIS Raw'!$A:$GZ,ROW()-4,$A$4),INDEX('COOIS Raw'!$A:$GZ,ROW()-4,$A$4)))</f>
        <v/>
      </c>
      <c r="B702" s="41" t="str">
        <f aca="false">IF(A702="","",TRIM(INDEX('COOIS Raw'!$A:$GZ,ROW()-4,$B$4)))</f>
        <v/>
      </c>
      <c r="C702" s="42" t="str">
        <f aca="false">IF(OR(A702="",$C$4=0),"",INDEX('COOIS Raw'!$A:$GZ,ROW()-4,$C$4))</f>
        <v/>
      </c>
      <c r="D702" s="41" t="str">
        <f aca="false">IF(A702="","",IF($D$4=0,1,IFERROR(--INDEX('COOIS Raw'!$A:$GZ,ROW()-4,$D$4),1)))</f>
        <v/>
      </c>
      <c r="E702" s="42" t="str">
        <f aca="false">IF(A702="","",INDEX('COOIS Raw'!$A:$GZ,ROW()-4,$E$4)&amp;"")</f>
        <v/>
      </c>
      <c r="F702" s="43" t="str">
        <f aca="false">IF(A702="","",IFERROR(DATEVALUE(INDEX('COOIS Raw'!$A:$GZ,ROW()-4,$F$4)),INDEX('COOIS Raw'!$A:$GZ,ROW()-4,$F$4)))</f>
        <v/>
      </c>
      <c r="G702" s="41" t="str">
        <f aca="false">IF(A702="","",IF(ISNA(MATCH(B702,'Kitting Plan'!$B$6:$B$19,0)),"Not in plan","Yes"))</f>
        <v/>
      </c>
      <c r="H702" s="41" t="str">
        <f aca="false">IF(G702="Yes",INDEX('Kitting Plan'!$D$6:$D$19,MATCH(B702,'Kitting Plan'!$B$6:$B$19,0)),"")</f>
        <v/>
      </c>
      <c r="I702" s="41" t="str">
        <f aca="false">IF(A702="","",IF(ISNUMBER(SEARCH("PRT",E702)),D702,0))</f>
        <v/>
      </c>
      <c r="J702" s="41" t="str">
        <f aca="false">IF(A702="","",IF(ISNUMBER(SEARCH("GMPS",E702)),D702,0))</f>
        <v/>
      </c>
      <c r="K702" s="41" t="str">
        <f aca="false">IF(A702="","",IF(ISNUMBER(SEARCH("DLV",E702)),D702,0))</f>
        <v/>
      </c>
      <c r="L702" s="41" t="str">
        <f aca="false">IF(A702="","",IF(K702&gt;0,"Delivered",IF(ISNUMBER(SEARCH("CNF",E702)),"In production",IF(J702&gt;0,"Issued",IF(I702&gt;0,"Kitted","Released")))))</f>
        <v/>
      </c>
      <c r="M702" s="41" t="str">
        <f aca="false">IF(G702&lt;&gt;"Yes","",COUNTIFS($B$6:$B$1505,B702,$F$6:$F$1505,"&lt;"&amp;F702)+COUNTIFS($B$6:$B$1505,B702,$F$6:$F$1505,F702,$A$6:$A$1505,"&lt;="&amp;A702))</f>
        <v/>
      </c>
      <c r="N702" s="41" t="str">
        <f aca="false">IF(M702="","",ROUNDUP(M702/H702,0))</f>
        <v/>
      </c>
      <c r="O702" s="41" t="str">
        <f aca="false">IF(N702="","",IF(N702&lt;='Kitting Plan'!$C$3,"Rep "&amp;N702,"Surplus"))</f>
        <v/>
      </c>
    </row>
    <row r="703" customFormat="false" ht="15" hidden="false" customHeight="false" outlineLevel="0" collapsed="false">
      <c r="A703" s="40" t="str">
        <f aca="false">IF(OR($A$4=0,INDEX('COOIS Raw'!$A:$GZ,ROW()-4,$A$4)=""),"",IFERROR(--INDEX('COOIS Raw'!$A:$GZ,ROW()-4,$A$4),INDEX('COOIS Raw'!$A:$GZ,ROW()-4,$A$4)))</f>
        <v/>
      </c>
      <c r="B703" s="41" t="str">
        <f aca="false">IF(A703="","",TRIM(INDEX('COOIS Raw'!$A:$GZ,ROW()-4,$B$4)))</f>
        <v/>
      </c>
      <c r="C703" s="42" t="str">
        <f aca="false">IF(OR(A703="",$C$4=0),"",INDEX('COOIS Raw'!$A:$GZ,ROW()-4,$C$4))</f>
        <v/>
      </c>
      <c r="D703" s="41" t="str">
        <f aca="false">IF(A703="","",IF($D$4=0,1,IFERROR(--INDEX('COOIS Raw'!$A:$GZ,ROW()-4,$D$4),1)))</f>
        <v/>
      </c>
      <c r="E703" s="42" t="str">
        <f aca="false">IF(A703="","",INDEX('COOIS Raw'!$A:$GZ,ROW()-4,$E$4)&amp;"")</f>
        <v/>
      </c>
      <c r="F703" s="43" t="str">
        <f aca="false">IF(A703="","",IFERROR(DATEVALUE(INDEX('COOIS Raw'!$A:$GZ,ROW()-4,$F$4)),INDEX('COOIS Raw'!$A:$GZ,ROW()-4,$F$4)))</f>
        <v/>
      </c>
      <c r="G703" s="41" t="str">
        <f aca="false">IF(A703="","",IF(ISNA(MATCH(B703,'Kitting Plan'!$B$6:$B$19,0)),"Not in plan","Yes"))</f>
        <v/>
      </c>
      <c r="H703" s="41" t="str">
        <f aca="false">IF(G703="Yes",INDEX('Kitting Plan'!$D$6:$D$19,MATCH(B703,'Kitting Plan'!$B$6:$B$19,0)),"")</f>
        <v/>
      </c>
      <c r="I703" s="41" t="str">
        <f aca="false">IF(A703="","",IF(ISNUMBER(SEARCH("PRT",E703)),D703,0))</f>
        <v/>
      </c>
      <c r="J703" s="41" t="str">
        <f aca="false">IF(A703="","",IF(ISNUMBER(SEARCH("GMPS",E703)),D703,0))</f>
        <v/>
      </c>
      <c r="K703" s="41" t="str">
        <f aca="false">IF(A703="","",IF(ISNUMBER(SEARCH("DLV",E703)),D703,0))</f>
        <v/>
      </c>
      <c r="L703" s="41" t="str">
        <f aca="false">IF(A703="","",IF(K703&gt;0,"Delivered",IF(ISNUMBER(SEARCH("CNF",E703)),"In production",IF(J703&gt;0,"Issued",IF(I703&gt;0,"Kitted","Released")))))</f>
        <v/>
      </c>
      <c r="M703" s="41" t="str">
        <f aca="false">IF(G703&lt;&gt;"Yes","",COUNTIFS($B$6:$B$1505,B703,$F$6:$F$1505,"&lt;"&amp;F703)+COUNTIFS($B$6:$B$1505,B703,$F$6:$F$1505,F703,$A$6:$A$1505,"&lt;="&amp;A703))</f>
        <v/>
      </c>
      <c r="N703" s="41" t="str">
        <f aca="false">IF(M703="","",ROUNDUP(M703/H703,0))</f>
        <v/>
      </c>
      <c r="O703" s="41" t="str">
        <f aca="false">IF(N703="","",IF(N703&lt;='Kitting Plan'!$C$3,"Rep "&amp;N703,"Surplus"))</f>
        <v/>
      </c>
    </row>
    <row r="704" customFormat="false" ht="15" hidden="false" customHeight="false" outlineLevel="0" collapsed="false">
      <c r="A704" s="40" t="str">
        <f aca="false">IF(OR($A$4=0,INDEX('COOIS Raw'!$A:$GZ,ROW()-4,$A$4)=""),"",IFERROR(--INDEX('COOIS Raw'!$A:$GZ,ROW()-4,$A$4),INDEX('COOIS Raw'!$A:$GZ,ROW()-4,$A$4)))</f>
        <v/>
      </c>
      <c r="B704" s="41" t="str">
        <f aca="false">IF(A704="","",TRIM(INDEX('COOIS Raw'!$A:$GZ,ROW()-4,$B$4)))</f>
        <v/>
      </c>
      <c r="C704" s="42" t="str">
        <f aca="false">IF(OR(A704="",$C$4=0),"",INDEX('COOIS Raw'!$A:$GZ,ROW()-4,$C$4))</f>
        <v/>
      </c>
      <c r="D704" s="41" t="str">
        <f aca="false">IF(A704="","",IF($D$4=0,1,IFERROR(--INDEX('COOIS Raw'!$A:$GZ,ROW()-4,$D$4),1)))</f>
        <v/>
      </c>
      <c r="E704" s="42" t="str">
        <f aca="false">IF(A704="","",INDEX('COOIS Raw'!$A:$GZ,ROW()-4,$E$4)&amp;"")</f>
        <v/>
      </c>
      <c r="F704" s="43" t="str">
        <f aca="false">IF(A704="","",IFERROR(DATEVALUE(INDEX('COOIS Raw'!$A:$GZ,ROW()-4,$F$4)),INDEX('COOIS Raw'!$A:$GZ,ROW()-4,$F$4)))</f>
        <v/>
      </c>
      <c r="G704" s="41" t="str">
        <f aca="false">IF(A704="","",IF(ISNA(MATCH(B704,'Kitting Plan'!$B$6:$B$19,0)),"Not in plan","Yes"))</f>
        <v/>
      </c>
      <c r="H704" s="41" t="str">
        <f aca="false">IF(G704="Yes",INDEX('Kitting Plan'!$D$6:$D$19,MATCH(B704,'Kitting Plan'!$B$6:$B$19,0)),"")</f>
        <v/>
      </c>
      <c r="I704" s="41" t="str">
        <f aca="false">IF(A704="","",IF(ISNUMBER(SEARCH("PRT",E704)),D704,0))</f>
        <v/>
      </c>
      <c r="J704" s="41" t="str">
        <f aca="false">IF(A704="","",IF(ISNUMBER(SEARCH("GMPS",E704)),D704,0))</f>
        <v/>
      </c>
      <c r="K704" s="41" t="str">
        <f aca="false">IF(A704="","",IF(ISNUMBER(SEARCH("DLV",E704)),D704,0))</f>
        <v/>
      </c>
      <c r="L704" s="41" t="str">
        <f aca="false">IF(A704="","",IF(K704&gt;0,"Delivered",IF(ISNUMBER(SEARCH("CNF",E704)),"In production",IF(J704&gt;0,"Issued",IF(I704&gt;0,"Kitted","Released")))))</f>
        <v/>
      </c>
      <c r="M704" s="41" t="str">
        <f aca="false">IF(G704&lt;&gt;"Yes","",COUNTIFS($B$6:$B$1505,B704,$F$6:$F$1505,"&lt;"&amp;F704)+COUNTIFS($B$6:$B$1505,B704,$F$6:$F$1505,F704,$A$6:$A$1505,"&lt;="&amp;A704))</f>
        <v/>
      </c>
      <c r="N704" s="41" t="str">
        <f aca="false">IF(M704="","",ROUNDUP(M704/H704,0))</f>
        <v/>
      </c>
      <c r="O704" s="41" t="str">
        <f aca="false">IF(N704="","",IF(N704&lt;='Kitting Plan'!$C$3,"Rep "&amp;N704,"Surplus"))</f>
        <v/>
      </c>
    </row>
    <row r="705" customFormat="false" ht="15" hidden="false" customHeight="false" outlineLevel="0" collapsed="false">
      <c r="A705" s="40" t="str">
        <f aca="false">IF(OR($A$4=0,INDEX('COOIS Raw'!$A:$GZ,ROW()-4,$A$4)=""),"",IFERROR(--INDEX('COOIS Raw'!$A:$GZ,ROW()-4,$A$4),INDEX('COOIS Raw'!$A:$GZ,ROW()-4,$A$4)))</f>
        <v/>
      </c>
      <c r="B705" s="41" t="str">
        <f aca="false">IF(A705="","",TRIM(INDEX('COOIS Raw'!$A:$GZ,ROW()-4,$B$4)))</f>
        <v/>
      </c>
      <c r="C705" s="42" t="str">
        <f aca="false">IF(OR(A705="",$C$4=0),"",INDEX('COOIS Raw'!$A:$GZ,ROW()-4,$C$4))</f>
        <v/>
      </c>
      <c r="D705" s="41" t="str">
        <f aca="false">IF(A705="","",IF($D$4=0,1,IFERROR(--INDEX('COOIS Raw'!$A:$GZ,ROW()-4,$D$4),1)))</f>
        <v/>
      </c>
      <c r="E705" s="42" t="str">
        <f aca="false">IF(A705="","",INDEX('COOIS Raw'!$A:$GZ,ROW()-4,$E$4)&amp;"")</f>
        <v/>
      </c>
      <c r="F705" s="43" t="str">
        <f aca="false">IF(A705="","",IFERROR(DATEVALUE(INDEX('COOIS Raw'!$A:$GZ,ROW()-4,$F$4)),INDEX('COOIS Raw'!$A:$GZ,ROW()-4,$F$4)))</f>
        <v/>
      </c>
      <c r="G705" s="41" t="str">
        <f aca="false">IF(A705="","",IF(ISNA(MATCH(B705,'Kitting Plan'!$B$6:$B$19,0)),"Not in plan","Yes"))</f>
        <v/>
      </c>
      <c r="H705" s="41" t="str">
        <f aca="false">IF(G705="Yes",INDEX('Kitting Plan'!$D$6:$D$19,MATCH(B705,'Kitting Plan'!$B$6:$B$19,0)),"")</f>
        <v/>
      </c>
      <c r="I705" s="41" t="str">
        <f aca="false">IF(A705="","",IF(ISNUMBER(SEARCH("PRT",E705)),D705,0))</f>
        <v/>
      </c>
      <c r="J705" s="41" t="str">
        <f aca="false">IF(A705="","",IF(ISNUMBER(SEARCH("GMPS",E705)),D705,0))</f>
        <v/>
      </c>
      <c r="K705" s="41" t="str">
        <f aca="false">IF(A705="","",IF(ISNUMBER(SEARCH("DLV",E705)),D705,0))</f>
        <v/>
      </c>
      <c r="L705" s="41" t="str">
        <f aca="false">IF(A705="","",IF(K705&gt;0,"Delivered",IF(ISNUMBER(SEARCH("CNF",E705)),"In production",IF(J705&gt;0,"Issued",IF(I705&gt;0,"Kitted","Released")))))</f>
        <v/>
      </c>
      <c r="M705" s="41" t="str">
        <f aca="false">IF(G705&lt;&gt;"Yes","",COUNTIFS($B$6:$B$1505,B705,$F$6:$F$1505,"&lt;"&amp;F705)+COUNTIFS($B$6:$B$1505,B705,$F$6:$F$1505,F705,$A$6:$A$1505,"&lt;="&amp;A705))</f>
        <v/>
      </c>
      <c r="N705" s="41" t="str">
        <f aca="false">IF(M705="","",ROUNDUP(M705/H705,0))</f>
        <v/>
      </c>
      <c r="O705" s="41" t="str">
        <f aca="false">IF(N705="","",IF(N705&lt;='Kitting Plan'!$C$3,"Rep "&amp;N705,"Surplus"))</f>
        <v/>
      </c>
    </row>
    <row r="706" customFormat="false" ht="15" hidden="false" customHeight="false" outlineLevel="0" collapsed="false">
      <c r="A706" s="40" t="str">
        <f aca="false">IF(OR($A$4=0,INDEX('COOIS Raw'!$A:$GZ,ROW()-4,$A$4)=""),"",IFERROR(--INDEX('COOIS Raw'!$A:$GZ,ROW()-4,$A$4),INDEX('COOIS Raw'!$A:$GZ,ROW()-4,$A$4)))</f>
        <v/>
      </c>
      <c r="B706" s="41" t="str">
        <f aca="false">IF(A706="","",TRIM(INDEX('COOIS Raw'!$A:$GZ,ROW()-4,$B$4)))</f>
        <v/>
      </c>
      <c r="C706" s="42" t="str">
        <f aca="false">IF(OR(A706="",$C$4=0),"",INDEX('COOIS Raw'!$A:$GZ,ROW()-4,$C$4))</f>
        <v/>
      </c>
      <c r="D706" s="41" t="str">
        <f aca="false">IF(A706="","",IF($D$4=0,1,IFERROR(--INDEX('COOIS Raw'!$A:$GZ,ROW()-4,$D$4),1)))</f>
        <v/>
      </c>
      <c r="E706" s="42" t="str">
        <f aca="false">IF(A706="","",INDEX('COOIS Raw'!$A:$GZ,ROW()-4,$E$4)&amp;"")</f>
        <v/>
      </c>
      <c r="F706" s="43" t="str">
        <f aca="false">IF(A706="","",IFERROR(DATEVALUE(INDEX('COOIS Raw'!$A:$GZ,ROW()-4,$F$4)),INDEX('COOIS Raw'!$A:$GZ,ROW()-4,$F$4)))</f>
        <v/>
      </c>
      <c r="G706" s="41" t="str">
        <f aca="false">IF(A706="","",IF(ISNA(MATCH(B706,'Kitting Plan'!$B$6:$B$19,0)),"Not in plan","Yes"))</f>
        <v/>
      </c>
      <c r="H706" s="41" t="str">
        <f aca="false">IF(G706="Yes",INDEX('Kitting Plan'!$D$6:$D$19,MATCH(B706,'Kitting Plan'!$B$6:$B$19,0)),"")</f>
        <v/>
      </c>
      <c r="I706" s="41" t="str">
        <f aca="false">IF(A706="","",IF(ISNUMBER(SEARCH("PRT",E706)),D706,0))</f>
        <v/>
      </c>
      <c r="J706" s="41" t="str">
        <f aca="false">IF(A706="","",IF(ISNUMBER(SEARCH("GMPS",E706)),D706,0))</f>
        <v/>
      </c>
      <c r="K706" s="41" t="str">
        <f aca="false">IF(A706="","",IF(ISNUMBER(SEARCH("DLV",E706)),D706,0))</f>
        <v/>
      </c>
      <c r="L706" s="41" t="str">
        <f aca="false">IF(A706="","",IF(K706&gt;0,"Delivered",IF(ISNUMBER(SEARCH("CNF",E706)),"In production",IF(J706&gt;0,"Issued",IF(I706&gt;0,"Kitted","Released")))))</f>
        <v/>
      </c>
      <c r="M706" s="41" t="str">
        <f aca="false">IF(G706&lt;&gt;"Yes","",COUNTIFS($B$6:$B$1505,B706,$F$6:$F$1505,"&lt;"&amp;F706)+COUNTIFS($B$6:$B$1505,B706,$F$6:$F$1505,F706,$A$6:$A$1505,"&lt;="&amp;A706))</f>
        <v/>
      </c>
      <c r="N706" s="41" t="str">
        <f aca="false">IF(M706="","",ROUNDUP(M706/H706,0))</f>
        <v/>
      </c>
      <c r="O706" s="41" t="str">
        <f aca="false">IF(N706="","",IF(N706&lt;='Kitting Plan'!$C$3,"Rep "&amp;N706,"Surplus"))</f>
        <v/>
      </c>
    </row>
    <row r="707" customFormat="false" ht="15" hidden="false" customHeight="false" outlineLevel="0" collapsed="false">
      <c r="A707" s="40" t="str">
        <f aca="false">IF(OR($A$4=0,INDEX('COOIS Raw'!$A:$GZ,ROW()-4,$A$4)=""),"",IFERROR(--INDEX('COOIS Raw'!$A:$GZ,ROW()-4,$A$4),INDEX('COOIS Raw'!$A:$GZ,ROW()-4,$A$4)))</f>
        <v/>
      </c>
      <c r="B707" s="41" t="str">
        <f aca="false">IF(A707="","",TRIM(INDEX('COOIS Raw'!$A:$GZ,ROW()-4,$B$4)))</f>
        <v/>
      </c>
      <c r="C707" s="42" t="str">
        <f aca="false">IF(OR(A707="",$C$4=0),"",INDEX('COOIS Raw'!$A:$GZ,ROW()-4,$C$4))</f>
        <v/>
      </c>
      <c r="D707" s="41" t="str">
        <f aca="false">IF(A707="","",IF($D$4=0,1,IFERROR(--INDEX('COOIS Raw'!$A:$GZ,ROW()-4,$D$4),1)))</f>
        <v/>
      </c>
      <c r="E707" s="42" t="str">
        <f aca="false">IF(A707="","",INDEX('COOIS Raw'!$A:$GZ,ROW()-4,$E$4)&amp;"")</f>
        <v/>
      </c>
      <c r="F707" s="43" t="str">
        <f aca="false">IF(A707="","",IFERROR(DATEVALUE(INDEX('COOIS Raw'!$A:$GZ,ROW()-4,$F$4)),INDEX('COOIS Raw'!$A:$GZ,ROW()-4,$F$4)))</f>
        <v/>
      </c>
      <c r="G707" s="41" t="str">
        <f aca="false">IF(A707="","",IF(ISNA(MATCH(B707,'Kitting Plan'!$B$6:$B$19,0)),"Not in plan","Yes"))</f>
        <v/>
      </c>
      <c r="H707" s="41" t="str">
        <f aca="false">IF(G707="Yes",INDEX('Kitting Plan'!$D$6:$D$19,MATCH(B707,'Kitting Plan'!$B$6:$B$19,0)),"")</f>
        <v/>
      </c>
      <c r="I707" s="41" t="str">
        <f aca="false">IF(A707="","",IF(ISNUMBER(SEARCH("PRT",E707)),D707,0))</f>
        <v/>
      </c>
      <c r="J707" s="41" t="str">
        <f aca="false">IF(A707="","",IF(ISNUMBER(SEARCH("GMPS",E707)),D707,0))</f>
        <v/>
      </c>
      <c r="K707" s="41" t="str">
        <f aca="false">IF(A707="","",IF(ISNUMBER(SEARCH("DLV",E707)),D707,0))</f>
        <v/>
      </c>
      <c r="L707" s="41" t="str">
        <f aca="false">IF(A707="","",IF(K707&gt;0,"Delivered",IF(ISNUMBER(SEARCH("CNF",E707)),"In production",IF(J707&gt;0,"Issued",IF(I707&gt;0,"Kitted","Released")))))</f>
        <v/>
      </c>
      <c r="M707" s="41" t="str">
        <f aca="false">IF(G707&lt;&gt;"Yes","",COUNTIFS($B$6:$B$1505,B707,$F$6:$F$1505,"&lt;"&amp;F707)+COUNTIFS($B$6:$B$1505,B707,$F$6:$F$1505,F707,$A$6:$A$1505,"&lt;="&amp;A707))</f>
        <v/>
      </c>
      <c r="N707" s="41" t="str">
        <f aca="false">IF(M707="","",ROUNDUP(M707/H707,0))</f>
        <v/>
      </c>
      <c r="O707" s="41" t="str">
        <f aca="false">IF(N707="","",IF(N707&lt;='Kitting Plan'!$C$3,"Rep "&amp;N707,"Surplus"))</f>
        <v/>
      </c>
    </row>
    <row r="708" customFormat="false" ht="15" hidden="false" customHeight="false" outlineLevel="0" collapsed="false">
      <c r="A708" s="40" t="str">
        <f aca="false">IF(OR($A$4=0,INDEX('COOIS Raw'!$A:$GZ,ROW()-4,$A$4)=""),"",IFERROR(--INDEX('COOIS Raw'!$A:$GZ,ROW()-4,$A$4),INDEX('COOIS Raw'!$A:$GZ,ROW()-4,$A$4)))</f>
        <v/>
      </c>
      <c r="B708" s="41" t="str">
        <f aca="false">IF(A708="","",TRIM(INDEX('COOIS Raw'!$A:$GZ,ROW()-4,$B$4)))</f>
        <v/>
      </c>
      <c r="C708" s="42" t="str">
        <f aca="false">IF(OR(A708="",$C$4=0),"",INDEX('COOIS Raw'!$A:$GZ,ROW()-4,$C$4))</f>
        <v/>
      </c>
      <c r="D708" s="41" t="str">
        <f aca="false">IF(A708="","",IF($D$4=0,1,IFERROR(--INDEX('COOIS Raw'!$A:$GZ,ROW()-4,$D$4),1)))</f>
        <v/>
      </c>
      <c r="E708" s="42" t="str">
        <f aca="false">IF(A708="","",INDEX('COOIS Raw'!$A:$GZ,ROW()-4,$E$4)&amp;"")</f>
        <v/>
      </c>
      <c r="F708" s="43" t="str">
        <f aca="false">IF(A708="","",IFERROR(DATEVALUE(INDEX('COOIS Raw'!$A:$GZ,ROW()-4,$F$4)),INDEX('COOIS Raw'!$A:$GZ,ROW()-4,$F$4)))</f>
        <v/>
      </c>
      <c r="G708" s="41" t="str">
        <f aca="false">IF(A708="","",IF(ISNA(MATCH(B708,'Kitting Plan'!$B$6:$B$19,0)),"Not in plan","Yes"))</f>
        <v/>
      </c>
      <c r="H708" s="41" t="str">
        <f aca="false">IF(G708="Yes",INDEX('Kitting Plan'!$D$6:$D$19,MATCH(B708,'Kitting Plan'!$B$6:$B$19,0)),"")</f>
        <v/>
      </c>
      <c r="I708" s="41" t="str">
        <f aca="false">IF(A708="","",IF(ISNUMBER(SEARCH("PRT",E708)),D708,0))</f>
        <v/>
      </c>
      <c r="J708" s="41" t="str">
        <f aca="false">IF(A708="","",IF(ISNUMBER(SEARCH("GMPS",E708)),D708,0))</f>
        <v/>
      </c>
      <c r="K708" s="41" t="str">
        <f aca="false">IF(A708="","",IF(ISNUMBER(SEARCH("DLV",E708)),D708,0))</f>
        <v/>
      </c>
      <c r="L708" s="41" t="str">
        <f aca="false">IF(A708="","",IF(K708&gt;0,"Delivered",IF(ISNUMBER(SEARCH("CNF",E708)),"In production",IF(J708&gt;0,"Issued",IF(I708&gt;0,"Kitted","Released")))))</f>
        <v/>
      </c>
      <c r="M708" s="41" t="str">
        <f aca="false">IF(G708&lt;&gt;"Yes","",COUNTIFS($B$6:$B$1505,B708,$F$6:$F$1505,"&lt;"&amp;F708)+COUNTIFS($B$6:$B$1505,B708,$F$6:$F$1505,F708,$A$6:$A$1505,"&lt;="&amp;A708))</f>
        <v/>
      </c>
      <c r="N708" s="41" t="str">
        <f aca="false">IF(M708="","",ROUNDUP(M708/H708,0))</f>
        <v/>
      </c>
      <c r="O708" s="41" t="str">
        <f aca="false">IF(N708="","",IF(N708&lt;='Kitting Plan'!$C$3,"Rep "&amp;N708,"Surplus"))</f>
        <v/>
      </c>
    </row>
    <row r="709" customFormat="false" ht="15" hidden="false" customHeight="false" outlineLevel="0" collapsed="false">
      <c r="A709" s="40" t="str">
        <f aca="false">IF(OR($A$4=0,INDEX('COOIS Raw'!$A:$GZ,ROW()-4,$A$4)=""),"",IFERROR(--INDEX('COOIS Raw'!$A:$GZ,ROW()-4,$A$4),INDEX('COOIS Raw'!$A:$GZ,ROW()-4,$A$4)))</f>
        <v/>
      </c>
      <c r="B709" s="41" t="str">
        <f aca="false">IF(A709="","",TRIM(INDEX('COOIS Raw'!$A:$GZ,ROW()-4,$B$4)))</f>
        <v/>
      </c>
      <c r="C709" s="42" t="str">
        <f aca="false">IF(OR(A709="",$C$4=0),"",INDEX('COOIS Raw'!$A:$GZ,ROW()-4,$C$4))</f>
        <v/>
      </c>
      <c r="D709" s="41" t="str">
        <f aca="false">IF(A709="","",IF($D$4=0,1,IFERROR(--INDEX('COOIS Raw'!$A:$GZ,ROW()-4,$D$4),1)))</f>
        <v/>
      </c>
      <c r="E709" s="42" t="str">
        <f aca="false">IF(A709="","",INDEX('COOIS Raw'!$A:$GZ,ROW()-4,$E$4)&amp;"")</f>
        <v/>
      </c>
      <c r="F709" s="43" t="str">
        <f aca="false">IF(A709="","",IFERROR(DATEVALUE(INDEX('COOIS Raw'!$A:$GZ,ROW()-4,$F$4)),INDEX('COOIS Raw'!$A:$GZ,ROW()-4,$F$4)))</f>
        <v/>
      </c>
      <c r="G709" s="41" t="str">
        <f aca="false">IF(A709="","",IF(ISNA(MATCH(B709,'Kitting Plan'!$B$6:$B$19,0)),"Not in plan","Yes"))</f>
        <v/>
      </c>
      <c r="H709" s="41" t="str">
        <f aca="false">IF(G709="Yes",INDEX('Kitting Plan'!$D$6:$D$19,MATCH(B709,'Kitting Plan'!$B$6:$B$19,0)),"")</f>
        <v/>
      </c>
      <c r="I709" s="41" t="str">
        <f aca="false">IF(A709="","",IF(ISNUMBER(SEARCH("PRT",E709)),D709,0))</f>
        <v/>
      </c>
      <c r="J709" s="41" t="str">
        <f aca="false">IF(A709="","",IF(ISNUMBER(SEARCH("GMPS",E709)),D709,0))</f>
        <v/>
      </c>
      <c r="K709" s="41" t="str">
        <f aca="false">IF(A709="","",IF(ISNUMBER(SEARCH("DLV",E709)),D709,0))</f>
        <v/>
      </c>
      <c r="L709" s="41" t="str">
        <f aca="false">IF(A709="","",IF(K709&gt;0,"Delivered",IF(ISNUMBER(SEARCH("CNF",E709)),"In production",IF(J709&gt;0,"Issued",IF(I709&gt;0,"Kitted","Released")))))</f>
        <v/>
      </c>
      <c r="M709" s="41" t="str">
        <f aca="false">IF(G709&lt;&gt;"Yes","",COUNTIFS($B$6:$B$1505,B709,$F$6:$F$1505,"&lt;"&amp;F709)+COUNTIFS($B$6:$B$1505,B709,$F$6:$F$1505,F709,$A$6:$A$1505,"&lt;="&amp;A709))</f>
        <v/>
      </c>
      <c r="N709" s="41" t="str">
        <f aca="false">IF(M709="","",ROUNDUP(M709/H709,0))</f>
        <v/>
      </c>
      <c r="O709" s="41" t="str">
        <f aca="false">IF(N709="","",IF(N709&lt;='Kitting Plan'!$C$3,"Rep "&amp;N709,"Surplus"))</f>
        <v/>
      </c>
    </row>
    <row r="710" customFormat="false" ht="15" hidden="false" customHeight="false" outlineLevel="0" collapsed="false">
      <c r="A710" s="40" t="str">
        <f aca="false">IF(OR($A$4=0,INDEX('COOIS Raw'!$A:$GZ,ROW()-4,$A$4)=""),"",IFERROR(--INDEX('COOIS Raw'!$A:$GZ,ROW()-4,$A$4),INDEX('COOIS Raw'!$A:$GZ,ROW()-4,$A$4)))</f>
        <v/>
      </c>
      <c r="B710" s="41" t="str">
        <f aca="false">IF(A710="","",TRIM(INDEX('COOIS Raw'!$A:$GZ,ROW()-4,$B$4)))</f>
        <v/>
      </c>
      <c r="C710" s="42" t="str">
        <f aca="false">IF(OR(A710="",$C$4=0),"",INDEX('COOIS Raw'!$A:$GZ,ROW()-4,$C$4))</f>
        <v/>
      </c>
      <c r="D710" s="41" t="str">
        <f aca="false">IF(A710="","",IF($D$4=0,1,IFERROR(--INDEX('COOIS Raw'!$A:$GZ,ROW()-4,$D$4),1)))</f>
        <v/>
      </c>
      <c r="E710" s="42" t="str">
        <f aca="false">IF(A710="","",INDEX('COOIS Raw'!$A:$GZ,ROW()-4,$E$4)&amp;"")</f>
        <v/>
      </c>
      <c r="F710" s="43" t="str">
        <f aca="false">IF(A710="","",IFERROR(DATEVALUE(INDEX('COOIS Raw'!$A:$GZ,ROW()-4,$F$4)),INDEX('COOIS Raw'!$A:$GZ,ROW()-4,$F$4)))</f>
        <v/>
      </c>
      <c r="G710" s="41" t="str">
        <f aca="false">IF(A710="","",IF(ISNA(MATCH(B710,'Kitting Plan'!$B$6:$B$19,0)),"Not in plan","Yes"))</f>
        <v/>
      </c>
      <c r="H710" s="41" t="str">
        <f aca="false">IF(G710="Yes",INDEX('Kitting Plan'!$D$6:$D$19,MATCH(B710,'Kitting Plan'!$B$6:$B$19,0)),"")</f>
        <v/>
      </c>
      <c r="I710" s="41" t="str">
        <f aca="false">IF(A710="","",IF(ISNUMBER(SEARCH("PRT",E710)),D710,0))</f>
        <v/>
      </c>
      <c r="J710" s="41" t="str">
        <f aca="false">IF(A710="","",IF(ISNUMBER(SEARCH("GMPS",E710)),D710,0))</f>
        <v/>
      </c>
      <c r="K710" s="41" t="str">
        <f aca="false">IF(A710="","",IF(ISNUMBER(SEARCH("DLV",E710)),D710,0))</f>
        <v/>
      </c>
      <c r="L710" s="41" t="str">
        <f aca="false">IF(A710="","",IF(K710&gt;0,"Delivered",IF(ISNUMBER(SEARCH("CNF",E710)),"In production",IF(J710&gt;0,"Issued",IF(I710&gt;0,"Kitted","Released")))))</f>
        <v/>
      </c>
      <c r="M710" s="41" t="str">
        <f aca="false">IF(G710&lt;&gt;"Yes","",COUNTIFS($B$6:$B$1505,B710,$F$6:$F$1505,"&lt;"&amp;F710)+COUNTIFS($B$6:$B$1505,B710,$F$6:$F$1505,F710,$A$6:$A$1505,"&lt;="&amp;A710))</f>
        <v/>
      </c>
      <c r="N710" s="41" t="str">
        <f aca="false">IF(M710="","",ROUNDUP(M710/H710,0))</f>
        <v/>
      </c>
      <c r="O710" s="41" t="str">
        <f aca="false">IF(N710="","",IF(N710&lt;='Kitting Plan'!$C$3,"Rep "&amp;N710,"Surplus"))</f>
        <v/>
      </c>
    </row>
    <row r="711" customFormat="false" ht="15" hidden="false" customHeight="false" outlineLevel="0" collapsed="false">
      <c r="A711" s="40" t="str">
        <f aca="false">IF(OR($A$4=0,INDEX('COOIS Raw'!$A:$GZ,ROW()-4,$A$4)=""),"",IFERROR(--INDEX('COOIS Raw'!$A:$GZ,ROW()-4,$A$4),INDEX('COOIS Raw'!$A:$GZ,ROW()-4,$A$4)))</f>
        <v/>
      </c>
      <c r="B711" s="41" t="str">
        <f aca="false">IF(A711="","",TRIM(INDEX('COOIS Raw'!$A:$GZ,ROW()-4,$B$4)))</f>
        <v/>
      </c>
      <c r="C711" s="42" t="str">
        <f aca="false">IF(OR(A711="",$C$4=0),"",INDEX('COOIS Raw'!$A:$GZ,ROW()-4,$C$4))</f>
        <v/>
      </c>
      <c r="D711" s="41" t="str">
        <f aca="false">IF(A711="","",IF($D$4=0,1,IFERROR(--INDEX('COOIS Raw'!$A:$GZ,ROW()-4,$D$4),1)))</f>
        <v/>
      </c>
      <c r="E711" s="42" t="str">
        <f aca="false">IF(A711="","",INDEX('COOIS Raw'!$A:$GZ,ROW()-4,$E$4)&amp;"")</f>
        <v/>
      </c>
      <c r="F711" s="43" t="str">
        <f aca="false">IF(A711="","",IFERROR(DATEVALUE(INDEX('COOIS Raw'!$A:$GZ,ROW()-4,$F$4)),INDEX('COOIS Raw'!$A:$GZ,ROW()-4,$F$4)))</f>
        <v/>
      </c>
      <c r="G711" s="41" t="str">
        <f aca="false">IF(A711="","",IF(ISNA(MATCH(B711,'Kitting Plan'!$B$6:$B$19,0)),"Not in plan","Yes"))</f>
        <v/>
      </c>
      <c r="H711" s="41" t="str">
        <f aca="false">IF(G711="Yes",INDEX('Kitting Plan'!$D$6:$D$19,MATCH(B711,'Kitting Plan'!$B$6:$B$19,0)),"")</f>
        <v/>
      </c>
      <c r="I711" s="41" t="str">
        <f aca="false">IF(A711="","",IF(ISNUMBER(SEARCH("PRT",E711)),D711,0))</f>
        <v/>
      </c>
      <c r="J711" s="41" t="str">
        <f aca="false">IF(A711="","",IF(ISNUMBER(SEARCH("GMPS",E711)),D711,0))</f>
        <v/>
      </c>
      <c r="K711" s="41" t="str">
        <f aca="false">IF(A711="","",IF(ISNUMBER(SEARCH("DLV",E711)),D711,0))</f>
        <v/>
      </c>
      <c r="L711" s="41" t="str">
        <f aca="false">IF(A711="","",IF(K711&gt;0,"Delivered",IF(ISNUMBER(SEARCH("CNF",E711)),"In production",IF(J711&gt;0,"Issued",IF(I711&gt;0,"Kitted","Released")))))</f>
        <v/>
      </c>
      <c r="M711" s="41" t="str">
        <f aca="false">IF(G711&lt;&gt;"Yes","",COUNTIFS($B$6:$B$1505,B711,$F$6:$F$1505,"&lt;"&amp;F711)+COUNTIFS($B$6:$B$1505,B711,$F$6:$F$1505,F711,$A$6:$A$1505,"&lt;="&amp;A711))</f>
        <v/>
      </c>
      <c r="N711" s="41" t="str">
        <f aca="false">IF(M711="","",ROUNDUP(M711/H711,0))</f>
        <v/>
      </c>
      <c r="O711" s="41" t="str">
        <f aca="false">IF(N711="","",IF(N711&lt;='Kitting Plan'!$C$3,"Rep "&amp;N711,"Surplus"))</f>
        <v/>
      </c>
    </row>
    <row r="712" customFormat="false" ht="15" hidden="false" customHeight="false" outlineLevel="0" collapsed="false">
      <c r="A712" s="40" t="str">
        <f aca="false">IF(OR($A$4=0,INDEX('COOIS Raw'!$A:$GZ,ROW()-4,$A$4)=""),"",IFERROR(--INDEX('COOIS Raw'!$A:$GZ,ROW()-4,$A$4),INDEX('COOIS Raw'!$A:$GZ,ROW()-4,$A$4)))</f>
        <v/>
      </c>
      <c r="B712" s="41" t="str">
        <f aca="false">IF(A712="","",TRIM(INDEX('COOIS Raw'!$A:$GZ,ROW()-4,$B$4)))</f>
        <v/>
      </c>
      <c r="C712" s="42" t="str">
        <f aca="false">IF(OR(A712="",$C$4=0),"",INDEX('COOIS Raw'!$A:$GZ,ROW()-4,$C$4))</f>
        <v/>
      </c>
      <c r="D712" s="41" t="str">
        <f aca="false">IF(A712="","",IF($D$4=0,1,IFERROR(--INDEX('COOIS Raw'!$A:$GZ,ROW()-4,$D$4),1)))</f>
        <v/>
      </c>
      <c r="E712" s="42" t="str">
        <f aca="false">IF(A712="","",INDEX('COOIS Raw'!$A:$GZ,ROW()-4,$E$4)&amp;"")</f>
        <v/>
      </c>
      <c r="F712" s="43" t="str">
        <f aca="false">IF(A712="","",IFERROR(DATEVALUE(INDEX('COOIS Raw'!$A:$GZ,ROW()-4,$F$4)),INDEX('COOIS Raw'!$A:$GZ,ROW()-4,$F$4)))</f>
        <v/>
      </c>
      <c r="G712" s="41" t="str">
        <f aca="false">IF(A712="","",IF(ISNA(MATCH(B712,'Kitting Plan'!$B$6:$B$19,0)),"Not in plan","Yes"))</f>
        <v/>
      </c>
      <c r="H712" s="41" t="str">
        <f aca="false">IF(G712="Yes",INDEX('Kitting Plan'!$D$6:$D$19,MATCH(B712,'Kitting Plan'!$B$6:$B$19,0)),"")</f>
        <v/>
      </c>
      <c r="I712" s="41" t="str">
        <f aca="false">IF(A712="","",IF(ISNUMBER(SEARCH("PRT",E712)),D712,0))</f>
        <v/>
      </c>
      <c r="J712" s="41" t="str">
        <f aca="false">IF(A712="","",IF(ISNUMBER(SEARCH("GMPS",E712)),D712,0))</f>
        <v/>
      </c>
      <c r="K712" s="41" t="str">
        <f aca="false">IF(A712="","",IF(ISNUMBER(SEARCH("DLV",E712)),D712,0))</f>
        <v/>
      </c>
      <c r="L712" s="41" t="str">
        <f aca="false">IF(A712="","",IF(K712&gt;0,"Delivered",IF(ISNUMBER(SEARCH("CNF",E712)),"In production",IF(J712&gt;0,"Issued",IF(I712&gt;0,"Kitted","Released")))))</f>
        <v/>
      </c>
      <c r="M712" s="41" t="str">
        <f aca="false">IF(G712&lt;&gt;"Yes","",COUNTIFS($B$6:$B$1505,B712,$F$6:$F$1505,"&lt;"&amp;F712)+COUNTIFS($B$6:$B$1505,B712,$F$6:$F$1505,F712,$A$6:$A$1505,"&lt;="&amp;A712))</f>
        <v/>
      </c>
      <c r="N712" s="41" t="str">
        <f aca="false">IF(M712="","",ROUNDUP(M712/H712,0))</f>
        <v/>
      </c>
      <c r="O712" s="41" t="str">
        <f aca="false">IF(N712="","",IF(N712&lt;='Kitting Plan'!$C$3,"Rep "&amp;N712,"Surplus"))</f>
        <v/>
      </c>
    </row>
    <row r="713" customFormat="false" ht="15" hidden="false" customHeight="false" outlineLevel="0" collapsed="false">
      <c r="A713" s="40" t="str">
        <f aca="false">IF(OR($A$4=0,INDEX('COOIS Raw'!$A:$GZ,ROW()-4,$A$4)=""),"",IFERROR(--INDEX('COOIS Raw'!$A:$GZ,ROW()-4,$A$4),INDEX('COOIS Raw'!$A:$GZ,ROW()-4,$A$4)))</f>
        <v/>
      </c>
      <c r="B713" s="41" t="str">
        <f aca="false">IF(A713="","",TRIM(INDEX('COOIS Raw'!$A:$GZ,ROW()-4,$B$4)))</f>
        <v/>
      </c>
      <c r="C713" s="42" t="str">
        <f aca="false">IF(OR(A713="",$C$4=0),"",INDEX('COOIS Raw'!$A:$GZ,ROW()-4,$C$4))</f>
        <v/>
      </c>
      <c r="D713" s="41" t="str">
        <f aca="false">IF(A713="","",IF($D$4=0,1,IFERROR(--INDEX('COOIS Raw'!$A:$GZ,ROW()-4,$D$4),1)))</f>
        <v/>
      </c>
      <c r="E713" s="42" t="str">
        <f aca="false">IF(A713="","",INDEX('COOIS Raw'!$A:$GZ,ROW()-4,$E$4)&amp;"")</f>
        <v/>
      </c>
      <c r="F713" s="43" t="str">
        <f aca="false">IF(A713="","",IFERROR(DATEVALUE(INDEX('COOIS Raw'!$A:$GZ,ROW()-4,$F$4)),INDEX('COOIS Raw'!$A:$GZ,ROW()-4,$F$4)))</f>
        <v/>
      </c>
      <c r="G713" s="41" t="str">
        <f aca="false">IF(A713="","",IF(ISNA(MATCH(B713,'Kitting Plan'!$B$6:$B$19,0)),"Not in plan","Yes"))</f>
        <v/>
      </c>
      <c r="H713" s="41" t="str">
        <f aca="false">IF(G713="Yes",INDEX('Kitting Plan'!$D$6:$D$19,MATCH(B713,'Kitting Plan'!$B$6:$B$19,0)),"")</f>
        <v/>
      </c>
      <c r="I713" s="41" t="str">
        <f aca="false">IF(A713="","",IF(ISNUMBER(SEARCH("PRT",E713)),D713,0))</f>
        <v/>
      </c>
      <c r="J713" s="41" t="str">
        <f aca="false">IF(A713="","",IF(ISNUMBER(SEARCH("GMPS",E713)),D713,0))</f>
        <v/>
      </c>
      <c r="K713" s="41" t="str">
        <f aca="false">IF(A713="","",IF(ISNUMBER(SEARCH("DLV",E713)),D713,0))</f>
        <v/>
      </c>
      <c r="L713" s="41" t="str">
        <f aca="false">IF(A713="","",IF(K713&gt;0,"Delivered",IF(ISNUMBER(SEARCH("CNF",E713)),"In production",IF(J713&gt;0,"Issued",IF(I713&gt;0,"Kitted","Released")))))</f>
        <v/>
      </c>
      <c r="M713" s="41" t="str">
        <f aca="false">IF(G713&lt;&gt;"Yes","",COUNTIFS($B$6:$B$1505,B713,$F$6:$F$1505,"&lt;"&amp;F713)+COUNTIFS($B$6:$B$1505,B713,$F$6:$F$1505,F713,$A$6:$A$1505,"&lt;="&amp;A713))</f>
        <v/>
      </c>
      <c r="N713" s="41" t="str">
        <f aca="false">IF(M713="","",ROUNDUP(M713/H713,0))</f>
        <v/>
      </c>
      <c r="O713" s="41" t="str">
        <f aca="false">IF(N713="","",IF(N713&lt;='Kitting Plan'!$C$3,"Rep "&amp;N713,"Surplus"))</f>
        <v/>
      </c>
    </row>
    <row r="714" customFormat="false" ht="15" hidden="false" customHeight="false" outlineLevel="0" collapsed="false">
      <c r="A714" s="40" t="str">
        <f aca="false">IF(OR($A$4=0,INDEX('COOIS Raw'!$A:$GZ,ROW()-4,$A$4)=""),"",IFERROR(--INDEX('COOIS Raw'!$A:$GZ,ROW()-4,$A$4),INDEX('COOIS Raw'!$A:$GZ,ROW()-4,$A$4)))</f>
        <v/>
      </c>
      <c r="B714" s="41" t="str">
        <f aca="false">IF(A714="","",TRIM(INDEX('COOIS Raw'!$A:$GZ,ROW()-4,$B$4)))</f>
        <v/>
      </c>
      <c r="C714" s="42" t="str">
        <f aca="false">IF(OR(A714="",$C$4=0),"",INDEX('COOIS Raw'!$A:$GZ,ROW()-4,$C$4))</f>
        <v/>
      </c>
      <c r="D714" s="41" t="str">
        <f aca="false">IF(A714="","",IF($D$4=0,1,IFERROR(--INDEX('COOIS Raw'!$A:$GZ,ROW()-4,$D$4),1)))</f>
        <v/>
      </c>
      <c r="E714" s="42" t="str">
        <f aca="false">IF(A714="","",INDEX('COOIS Raw'!$A:$GZ,ROW()-4,$E$4)&amp;"")</f>
        <v/>
      </c>
      <c r="F714" s="43" t="str">
        <f aca="false">IF(A714="","",IFERROR(DATEVALUE(INDEX('COOIS Raw'!$A:$GZ,ROW()-4,$F$4)),INDEX('COOIS Raw'!$A:$GZ,ROW()-4,$F$4)))</f>
        <v/>
      </c>
      <c r="G714" s="41" t="str">
        <f aca="false">IF(A714="","",IF(ISNA(MATCH(B714,'Kitting Plan'!$B$6:$B$19,0)),"Not in plan","Yes"))</f>
        <v/>
      </c>
      <c r="H714" s="41" t="str">
        <f aca="false">IF(G714="Yes",INDEX('Kitting Plan'!$D$6:$D$19,MATCH(B714,'Kitting Plan'!$B$6:$B$19,0)),"")</f>
        <v/>
      </c>
      <c r="I714" s="41" t="str">
        <f aca="false">IF(A714="","",IF(ISNUMBER(SEARCH("PRT",E714)),D714,0))</f>
        <v/>
      </c>
      <c r="J714" s="41" t="str">
        <f aca="false">IF(A714="","",IF(ISNUMBER(SEARCH("GMPS",E714)),D714,0))</f>
        <v/>
      </c>
      <c r="K714" s="41" t="str">
        <f aca="false">IF(A714="","",IF(ISNUMBER(SEARCH("DLV",E714)),D714,0))</f>
        <v/>
      </c>
      <c r="L714" s="41" t="str">
        <f aca="false">IF(A714="","",IF(K714&gt;0,"Delivered",IF(ISNUMBER(SEARCH("CNF",E714)),"In production",IF(J714&gt;0,"Issued",IF(I714&gt;0,"Kitted","Released")))))</f>
        <v/>
      </c>
      <c r="M714" s="41" t="str">
        <f aca="false">IF(G714&lt;&gt;"Yes","",COUNTIFS($B$6:$B$1505,B714,$F$6:$F$1505,"&lt;"&amp;F714)+COUNTIFS($B$6:$B$1505,B714,$F$6:$F$1505,F714,$A$6:$A$1505,"&lt;="&amp;A714))</f>
        <v/>
      </c>
      <c r="N714" s="41" t="str">
        <f aca="false">IF(M714="","",ROUNDUP(M714/H714,0))</f>
        <v/>
      </c>
      <c r="O714" s="41" t="str">
        <f aca="false">IF(N714="","",IF(N714&lt;='Kitting Plan'!$C$3,"Rep "&amp;N714,"Surplus"))</f>
        <v/>
      </c>
    </row>
    <row r="715" customFormat="false" ht="15" hidden="false" customHeight="false" outlineLevel="0" collapsed="false">
      <c r="A715" s="40" t="str">
        <f aca="false">IF(OR($A$4=0,INDEX('COOIS Raw'!$A:$GZ,ROW()-4,$A$4)=""),"",IFERROR(--INDEX('COOIS Raw'!$A:$GZ,ROW()-4,$A$4),INDEX('COOIS Raw'!$A:$GZ,ROW()-4,$A$4)))</f>
        <v/>
      </c>
      <c r="B715" s="41" t="str">
        <f aca="false">IF(A715="","",TRIM(INDEX('COOIS Raw'!$A:$GZ,ROW()-4,$B$4)))</f>
        <v/>
      </c>
      <c r="C715" s="42" t="str">
        <f aca="false">IF(OR(A715="",$C$4=0),"",INDEX('COOIS Raw'!$A:$GZ,ROW()-4,$C$4))</f>
        <v/>
      </c>
      <c r="D715" s="41" t="str">
        <f aca="false">IF(A715="","",IF($D$4=0,1,IFERROR(--INDEX('COOIS Raw'!$A:$GZ,ROW()-4,$D$4),1)))</f>
        <v/>
      </c>
      <c r="E715" s="42" t="str">
        <f aca="false">IF(A715="","",INDEX('COOIS Raw'!$A:$GZ,ROW()-4,$E$4)&amp;"")</f>
        <v/>
      </c>
      <c r="F715" s="43" t="str">
        <f aca="false">IF(A715="","",IFERROR(DATEVALUE(INDEX('COOIS Raw'!$A:$GZ,ROW()-4,$F$4)),INDEX('COOIS Raw'!$A:$GZ,ROW()-4,$F$4)))</f>
        <v/>
      </c>
      <c r="G715" s="41" t="str">
        <f aca="false">IF(A715="","",IF(ISNA(MATCH(B715,'Kitting Plan'!$B$6:$B$19,0)),"Not in plan","Yes"))</f>
        <v/>
      </c>
      <c r="H715" s="41" t="str">
        <f aca="false">IF(G715="Yes",INDEX('Kitting Plan'!$D$6:$D$19,MATCH(B715,'Kitting Plan'!$B$6:$B$19,0)),"")</f>
        <v/>
      </c>
      <c r="I715" s="41" t="str">
        <f aca="false">IF(A715="","",IF(ISNUMBER(SEARCH("PRT",E715)),D715,0))</f>
        <v/>
      </c>
      <c r="J715" s="41" t="str">
        <f aca="false">IF(A715="","",IF(ISNUMBER(SEARCH("GMPS",E715)),D715,0))</f>
        <v/>
      </c>
      <c r="K715" s="41" t="str">
        <f aca="false">IF(A715="","",IF(ISNUMBER(SEARCH("DLV",E715)),D715,0))</f>
        <v/>
      </c>
      <c r="L715" s="41" t="str">
        <f aca="false">IF(A715="","",IF(K715&gt;0,"Delivered",IF(ISNUMBER(SEARCH("CNF",E715)),"In production",IF(J715&gt;0,"Issued",IF(I715&gt;0,"Kitted","Released")))))</f>
        <v/>
      </c>
      <c r="M715" s="41" t="str">
        <f aca="false">IF(G715&lt;&gt;"Yes","",COUNTIFS($B$6:$B$1505,B715,$F$6:$F$1505,"&lt;"&amp;F715)+COUNTIFS($B$6:$B$1505,B715,$F$6:$F$1505,F715,$A$6:$A$1505,"&lt;="&amp;A715))</f>
        <v/>
      </c>
      <c r="N715" s="41" t="str">
        <f aca="false">IF(M715="","",ROUNDUP(M715/H715,0))</f>
        <v/>
      </c>
      <c r="O715" s="41" t="str">
        <f aca="false">IF(N715="","",IF(N715&lt;='Kitting Plan'!$C$3,"Rep "&amp;N715,"Surplus"))</f>
        <v/>
      </c>
    </row>
    <row r="716" customFormat="false" ht="15" hidden="false" customHeight="false" outlineLevel="0" collapsed="false">
      <c r="A716" s="40" t="str">
        <f aca="false">IF(OR($A$4=0,INDEX('COOIS Raw'!$A:$GZ,ROW()-4,$A$4)=""),"",IFERROR(--INDEX('COOIS Raw'!$A:$GZ,ROW()-4,$A$4),INDEX('COOIS Raw'!$A:$GZ,ROW()-4,$A$4)))</f>
        <v/>
      </c>
      <c r="B716" s="41" t="str">
        <f aca="false">IF(A716="","",TRIM(INDEX('COOIS Raw'!$A:$GZ,ROW()-4,$B$4)))</f>
        <v/>
      </c>
      <c r="C716" s="42" t="str">
        <f aca="false">IF(OR(A716="",$C$4=0),"",INDEX('COOIS Raw'!$A:$GZ,ROW()-4,$C$4))</f>
        <v/>
      </c>
      <c r="D716" s="41" t="str">
        <f aca="false">IF(A716="","",IF($D$4=0,1,IFERROR(--INDEX('COOIS Raw'!$A:$GZ,ROW()-4,$D$4),1)))</f>
        <v/>
      </c>
      <c r="E716" s="42" t="str">
        <f aca="false">IF(A716="","",INDEX('COOIS Raw'!$A:$GZ,ROW()-4,$E$4)&amp;"")</f>
        <v/>
      </c>
      <c r="F716" s="43" t="str">
        <f aca="false">IF(A716="","",IFERROR(DATEVALUE(INDEX('COOIS Raw'!$A:$GZ,ROW()-4,$F$4)),INDEX('COOIS Raw'!$A:$GZ,ROW()-4,$F$4)))</f>
        <v/>
      </c>
      <c r="G716" s="41" t="str">
        <f aca="false">IF(A716="","",IF(ISNA(MATCH(B716,'Kitting Plan'!$B$6:$B$19,0)),"Not in plan","Yes"))</f>
        <v/>
      </c>
      <c r="H716" s="41" t="str">
        <f aca="false">IF(G716="Yes",INDEX('Kitting Plan'!$D$6:$D$19,MATCH(B716,'Kitting Plan'!$B$6:$B$19,0)),"")</f>
        <v/>
      </c>
      <c r="I716" s="41" t="str">
        <f aca="false">IF(A716="","",IF(ISNUMBER(SEARCH("PRT",E716)),D716,0))</f>
        <v/>
      </c>
      <c r="J716" s="41" t="str">
        <f aca="false">IF(A716="","",IF(ISNUMBER(SEARCH("GMPS",E716)),D716,0))</f>
        <v/>
      </c>
      <c r="K716" s="41" t="str">
        <f aca="false">IF(A716="","",IF(ISNUMBER(SEARCH("DLV",E716)),D716,0))</f>
        <v/>
      </c>
      <c r="L716" s="41" t="str">
        <f aca="false">IF(A716="","",IF(K716&gt;0,"Delivered",IF(ISNUMBER(SEARCH("CNF",E716)),"In production",IF(J716&gt;0,"Issued",IF(I716&gt;0,"Kitted","Released")))))</f>
        <v/>
      </c>
      <c r="M716" s="41" t="str">
        <f aca="false">IF(G716&lt;&gt;"Yes","",COUNTIFS($B$6:$B$1505,B716,$F$6:$F$1505,"&lt;"&amp;F716)+COUNTIFS($B$6:$B$1505,B716,$F$6:$F$1505,F716,$A$6:$A$1505,"&lt;="&amp;A716))</f>
        <v/>
      </c>
      <c r="N716" s="41" t="str">
        <f aca="false">IF(M716="","",ROUNDUP(M716/H716,0))</f>
        <v/>
      </c>
      <c r="O716" s="41" t="str">
        <f aca="false">IF(N716="","",IF(N716&lt;='Kitting Plan'!$C$3,"Rep "&amp;N716,"Surplus"))</f>
        <v/>
      </c>
    </row>
    <row r="717" customFormat="false" ht="15" hidden="false" customHeight="false" outlineLevel="0" collapsed="false">
      <c r="A717" s="40" t="str">
        <f aca="false">IF(OR($A$4=0,INDEX('COOIS Raw'!$A:$GZ,ROW()-4,$A$4)=""),"",IFERROR(--INDEX('COOIS Raw'!$A:$GZ,ROW()-4,$A$4),INDEX('COOIS Raw'!$A:$GZ,ROW()-4,$A$4)))</f>
        <v/>
      </c>
      <c r="B717" s="41" t="str">
        <f aca="false">IF(A717="","",TRIM(INDEX('COOIS Raw'!$A:$GZ,ROW()-4,$B$4)))</f>
        <v/>
      </c>
      <c r="C717" s="42" t="str">
        <f aca="false">IF(OR(A717="",$C$4=0),"",INDEX('COOIS Raw'!$A:$GZ,ROW()-4,$C$4))</f>
        <v/>
      </c>
      <c r="D717" s="41" t="str">
        <f aca="false">IF(A717="","",IF($D$4=0,1,IFERROR(--INDEX('COOIS Raw'!$A:$GZ,ROW()-4,$D$4),1)))</f>
        <v/>
      </c>
      <c r="E717" s="42" t="str">
        <f aca="false">IF(A717="","",INDEX('COOIS Raw'!$A:$GZ,ROW()-4,$E$4)&amp;"")</f>
        <v/>
      </c>
      <c r="F717" s="43" t="str">
        <f aca="false">IF(A717="","",IFERROR(DATEVALUE(INDEX('COOIS Raw'!$A:$GZ,ROW()-4,$F$4)),INDEX('COOIS Raw'!$A:$GZ,ROW()-4,$F$4)))</f>
        <v/>
      </c>
      <c r="G717" s="41" t="str">
        <f aca="false">IF(A717="","",IF(ISNA(MATCH(B717,'Kitting Plan'!$B$6:$B$19,0)),"Not in plan","Yes"))</f>
        <v/>
      </c>
      <c r="H717" s="41" t="str">
        <f aca="false">IF(G717="Yes",INDEX('Kitting Plan'!$D$6:$D$19,MATCH(B717,'Kitting Plan'!$B$6:$B$19,0)),"")</f>
        <v/>
      </c>
      <c r="I717" s="41" t="str">
        <f aca="false">IF(A717="","",IF(ISNUMBER(SEARCH("PRT",E717)),D717,0))</f>
        <v/>
      </c>
      <c r="J717" s="41" t="str">
        <f aca="false">IF(A717="","",IF(ISNUMBER(SEARCH("GMPS",E717)),D717,0))</f>
        <v/>
      </c>
      <c r="K717" s="41" t="str">
        <f aca="false">IF(A717="","",IF(ISNUMBER(SEARCH("DLV",E717)),D717,0))</f>
        <v/>
      </c>
      <c r="L717" s="41" t="str">
        <f aca="false">IF(A717="","",IF(K717&gt;0,"Delivered",IF(ISNUMBER(SEARCH("CNF",E717)),"In production",IF(J717&gt;0,"Issued",IF(I717&gt;0,"Kitted","Released")))))</f>
        <v/>
      </c>
      <c r="M717" s="41" t="str">
        <f aca="false">IF(G717&lt;&gt;"Yes","",COUNTIFS($B$6:$B$1505,B717,$F$6:$F$1505,"&lt;"&amp;F717)+COUNTIFS($B$6:$B$1505,B717,$F$6:$F$1505,F717,$A$6:$A$1505,"&lt;="&amp;A717))</f>
        <v/>
      </c>
      <c r="N717" s="41" t="str">
        <f aca="false">IF(M717="","",ROUNDUP(M717/H717,0))</f>
        <v/>
      </c>
      <c r="O717" s="41" t="str">
        <f aca="false">IF(N717="","",IF(N717&lt;='Kitting Plan'!$C$3,"Rep "&amp;N717,"Surplus"))</f>
        <v/>
      </c>
    </row>
    <row r="718" customFormat="false" ht="15" hidden="false" customHeight="false" outlineLevel="0" collapsed="false">
      <c r="A718" s="40" t="str">
        <f aca="false">IF(OR($A$4=0,INDEX('COOIS Raw'!$A:$GZ,ROW()-4,$A$4)=""),"",IFERROR(--INDEX('COOIS Raw'!$A:$GZ,ROW()-4,$A$4),INDEX('COOIS Raw'!$A:$GZ,ROW()-4,$A$4)))</f>
        <v/>
      </c>
      <c r="B718" s="41" t="str">
        <f aca="false">IF(A718="","",TRIM(INDEX('COOIS Raw'!$A:$GZ,ROW()-4,$B$4)))</f>
        <v/>
      </c>
      <c r="C718" s="42" t="str">
        <f aca="false">IF(OR(A718="",$C$4=0),"",INDEX('COOIS Raw'!$A:$GZ,ROW()-4,$C$4))</f>
        <v/>
      </c>
      <c r="D718" s="41" t="str">
        <f aca="false">IF(A718="","",IF($D$4=0,1,IFERROR(--INDEX('COOIS Raw'!$A:$GZ,ROW()-4,$D$4),1)))</f>
        <v/>
      </c>
      <c r="E718" s="42" t="str">
        <f aca="false">IF(A718="","",INDEX('COOIS Raw'!$A:$GZ,ROW()-4,$E$4)&amp;"")</f>
        <v/>
      </c>
      <c r="F718" s="43" t="str">
        <f aca="false">IF(A718="","",IFERROR(DATEVALUE(INDEX('COOIS Raw'!$A:$GZ,ROW()-4,$F$4)),INDEX('COOIS Raw'!$A:$GZ,ROW()-4,$F$4)))</f>
        <v/>
      </c>
      <c r="G718" s="41" t="str">
        <f aca="false">IF(A718="","",IF(ISNA(MATCH(B718,'Kitting Plan'!$B$6:$B$19,0)),"Not in plan","Yes"))</f>
        <v/>
      </c>
      <c r="H718" s="41" t="str">
        <f aca="false">IF(G718="Yes",INDEX('Kitting Plan'!$D$6:$D$19,MATCH(B718,'Kitting Plan'!$B$6:$B$19,0)),"")</f>
        <v/>
      </c>
      <c r="I718" s="41" t="str">
        <f aca="false">IF(A718="","",IF(ISNUMBER(SEARCH("PRT",E718)),D718,0))</f>
        <v/>
      </c>
      <c r="J718" s="41" t="str">
        <f aca="false">IF(A718="","",IF(ISNUMBER(SEARCH("GMPS",E718)),D718,0))</f>
        <v/>
      </c>
      <c r="K718" s="41" t="str">
        <f aca="false">IF(A718="","",IF(ISNUMBER(SEARCH("DLV",E718)),D718,0))</f>
        <v/>
      </c>
      <c r="L718" s="41" t="str">
        <f aca="false">IF(A718="","",IF(K718&gt;0,"Delivered",IF(ISNUMBER(SEARCH("CNF",E718)),"In production",IF(J718&gt;0,"Issued",IF(I718&gt;0,"Kitted","Released")))))</f>
        <v/>
      </c>
      <c r="M718" s="41" t="str">
        <f aca="false">IF(G718&lt;&gt;"Yes","",COUNTIFS($B$6:$B$1505,B718,$F$6:$F$1505,"&lt;"&amp;F718)+COUNTIFS($B$6:$B$1505,B718,$F$6:$F$1505,F718,$A$6:$A$1505,"&lt;="&amp;A718))</f>
        <v/>
      </c>
      <c r="N718" s="41" t="str">
        <f aca="false">IF(M718="","",ROUNDUP(M718/H718,0))</f>
        <v/>
      </c>
      <c r="O718" s="41" t="str">
        <f aca="false">IF(N718="","",IF(N718&lt;='Kitting Plan'!$C$3,"Rep "&amp;N718,"Surplus"))</f>
        <v/>
      </c>
    </row>
    <row r="719" customFormat="false" ht="15" hidden="false" customHeight="false" outlineLevel="0" collapsed="false">
      <c r="A719" s="40" t="str">
        <f aca="false">IF(OR($A$4=0,INDEX('COOIS Raw'!$A:$GZ,ROW()-4,$A$4)=""),"",IFERROR(--INDEX('COOIS Raw'!$A:$GZ,ROW()-4,$A$4),INDEX('COOIS Raw'!$A:$GZ,ROW()-4,$A$4)))</f>
        <v/>
      </c>
      <c r="B719" s="41" t="str">
        <f aca="false">IF(A719="","",TRIM(INDEX('COOIS Raw'!$A:$GZ,ROW()-4,$B$4)))</f>
        <v/>
      </c>
      <c r="C719" s="42" t="str">
        <f aca="false">IF(OR(A719="",$C$4=0),"",INDEX('COOIS Raw'!$A:$GZ,ROW()-4,$C$4))</f>
        <v/>
      </c>
      <c r="D719" s="41" t="str">
        <f aca="false">IF(A719="","",IF($D$4=0,1,IFERROR(--INDEX('COOIS Raw'!$A:$GZ,ROW()-4,$D$4),1)))</f>
        <v/>
      </c>
      <c r="E719" s="42" t="str">
        <f aca="false">IF(A719="","",INDEX('COOIS Raw'!$A:$GZ,ROW()-4,$E$4)&amp;"")</f>
        <v/>
      </c>
      <c r="F719" s="43" t="str">
        <f aca="false">IF(A719="","",IFERROR(DATEVALUE(INDEX('COOIS Raw'!$A:$GZ,ROW()-4,$F$4)),INDEX('COOIS Raw'!$A:$GZ,ROW()-4,$F$4)))</f>
        <v/>
      </c>
      <c r="G719" s="41" t="str">
        <f aca="false">IF(A719="","",IF(ISNA(MATCH(B719,'Kitting Plan'!$B$6:$B$19,0)),"Not in plan","Yes"))</f>
        <v/>
      </c>
      <c r="H719" s="41" t="str">
        <f aca="false">IF(G719="Yes",INDEX('Kitting Plan'!$D$6:$D$19,MATCH(B719,'Kitting Plan'!$B$6:$B$19,0)),"")</f>
        <v/>
      </c>
      <c r="I719" s="41" t="str">
        <f aca="false">IF(A719="","",IF(ISNUMBER(SEARCH("PRT",E719)),D719,0))</f>
        <v/>
      </c>
      <c r="J719" s="41" t="str">
        <f aca="false">IF(A719="","",IF(ISNUMBER(SEARCH("GMPS",E719)),D719,0))</f>
        <v/>
      </c>
      <c r="K719" s="41" t="str">
        <f aca="false">IF(A719="","",IF(ISNUMBER(SEARCH("DLV",E719)),D719,0))</f>
        <v/>
      </c>
      <c r="L719" s="41" t="str">
        <f aca="false">IF(A719="","",IF(K719&gt;0,"Delivered",IF(ISNUMBER(SEARCH("CNF",E719)),"In production",IF(J719&gt;0,"Issued",IF(I719&gt;0,"Kitted","Released")))))</f>
        <v/>
      </c>
      <c r="M719" s="41" t="str">
        <f aca="false">IF(G719&lt;&gt;"Yes","",COUNTIFS($B$6:$B$1505,B719,$F$6:$F$1505,"&lt;"&amp;F719)+COUNTIFS($B$6:$B$1505,B719,$F$6:$F$1505,F719,$A$6:$A$1505,"&lt;="&amp;A719))</f>
        <v/>
      </c>
      <c r="N719" s="41" t="str">
        <f aca="false">IF(M719="","",ROUNDUP(M719/H719,0))</f>
        <v/>
      </c>
      <c r="O719" s="41" t="str">
        <f aca="false">IF(N719="","",IF(N719&lt;='Kitting Plan'!$C$3,"Rep "&amp;N719,"Surplus"))</f>
        <v/>
      </c>
    </row>
    <row r="720" customFormat="false" ht="15" hidden="false" customHeight="false" outlineLevel="0" collapsed="false">
      <c r="A720" s="40" t="str">
        <f aca="false">IF(OR($A$4=0,INDEX('COOIS Raw'!$A:$GZ,ROW()-4,$A$4)=""),"",IFERROR(--INDEX('COOIS Raw'!$A:$GZ,ROW()-4,$A$4),INDEX('COOIS Raw'!$A:$GZ,ROW()-4,$A$4)))</f>
        <v/>
      </c>
      <c r="B720" s="41" t="str">
        <f aca="false">IF(A720="","",TRIM(INDEX('COOIS Raw'!$A:$GZ,ROW()-4,$B$4)))</f>
        <v/>
      </c>
      <c r="C720" s="42" t="str">
        <f aca="false">IF(OR(A720="",$C$4=0),"",INDEX('COOIS Raw'!$A:$GZ,ROW()-4,$C$4))</f>
        <v/>
      </c>
      <c r="D720" s="41" t="str">
        <f aca="false">IF(A720="","",IF($D$4=0,1,IFERROR(--INDEX('COOIS Raw'!$A:$GZ,ROW()-4,$D$4),1)))</f>
        <v/>
      </c>
      <c r="E720" s="42" t="str">
        <f aca="false">IF(A720="","",INDEX('COOIS Raw'!$A:$GZ,ROW()-4,$E$4)&amp;"")</f>
        <v/>
      </c>
      <c r="F720" s="43" t="str">
        <f aca="false">IF(A720="","",IFERROR(DATEVALUE(INDEX('COOIS Raw'!$A:$GZ,ROW()-4,$F$4)),INDEX('COOIS Raw'!$A:$GZ,ROW()-4,$F$4)))</f>
        <v/>
      </c>
      <c r="G720" s="41" t="str">
        <f aca="false">IF(A720="","",IF(ISNA(MATCH(B720,'Kitting Plan'!$B$6:$B$19,0)),"Not in plan","Yes"))</f>
        <v/>
      </c>
      <c r="H720" s="41" t="str">
        <f aca="false">IF(G720="Yes",INDEX('Kitting Plan'!$D$6:$D$19,MATCH(B720,'Kitting Plan'!$B$6:$B$19,0)),"")</f>
        <v/>
      </c>
      <c r="I720" s="41" t="str">
        <f aca="false">IF(A720="","",IF(ISNUMBER(SEARCH("PRT",E720)),D720,0))</f>
        <v/>
      </c>
      <c r="J720" s="41" t="str">
        <f aca="false">IF(A720="","",IF(ISNUMBER(SEARCH("GMPS",E720)),D720,0))</f>
        <v/>
      </c>
      <c r="K720" s="41" t="str">
        <f aca="false">IF(A720="","",IF(ISNUMBER(SEARCH("DLV",E720)),D720,0))</f>
        <v/>
      </c>
      <c r="L720" s="41" t="str">
        <f aca="false">IF(A720="","",IF(K720&gt;0,"Delivered",IF(ISNUMBER(SEARCH("CNF",E720)),"In production",IF(J720&gt;0,"Issued",IF(I720&gt;0,"Kitted","Released")))))</f>
        <v/>
      </c>
      <c r="M720" s="41" t="str">
        <f aca="false">IF(G720&lt;&gt;"Yes","",COUNTIFS($B$6:$B$1505,B720,$F$6:$F$1505,"&lt;"&amp;F720)+COUNTIFS($B$6:$B$1505,B720,$F$6:$F$1505,F720,$A$6:$A$1505,"&lt;="&amp;A720))</f>
        <v/>
      </c>
      <c r="N720" s="41" t="str">
        <f aca="false">IF(M720="","",ROUNDUP(M720/H720,0))</f>
        <v/>
      </c>
      <c r="O720" s="41" t="str">
        <f aca="false">IF(N720="","",IF(N720&lt;='Kitting Plan'!$C$3,"Rep "&amp;N720,"Surplus"))</f>
        <v/>
      </c>
    </row>
    <row r="721" customFormat="false" ht="15" hidden="false" customHeight="false" outlineLevel="0" collapsed="false">
      <c r="A721" s="40" t="str">
        <f aca="false">IF(OR($A$4=0,INDEX('COOIS Raw'!$A:$GZ,ROW()-4,$A$4)=""),"",IFERROR(--INDEX('COOIS Raw'!$A:$GZ,ROW()-4,$A$4),INDEX('COOIS Raw'!$A:$GZ,ROW()-4,$A$4)))</f>
        <v/>
      </c>
      <c r="B721" s="41" t="str">
        <f aca="false">IF(A721="","",TRIM(INDEX('COOIS Raw'!$A:$GZ,ROW()-4,$B$4)))</f>
        <v/>
      </c>
      <c r="C721" s="42" t="str">
        <f aca="false">IF(OR(A721="",$C$4=0),"",INDEX('COOIS Raw'!$A:$GZ,ROW()-4,$C$4))</f>
        <v/>
      </c>
      <c r="D721" s="41" t="str">
        <f aca="false">IF(A721="","",IF($D$4=0,1,IFERROR(--INDEX('COOIS Raw'!$A:$GZ,ROW()-4,$D$4),1)))</f>
        <v/>
      </c>
      <c r="E721" s="42" t="str">
        <f aca="false">IF(A721="","",INDEX('COOIS Raw'!$A:$GZ,ROW()-4,$E$4)&amp;"")</f>
        <v/>
      </c>
      <c r="F721" s="43" t="str">
        <f aca="false">IF(A721="","",IFERROR(DATEVALUE(INDEX('COOIS Raw'!$A:$GZ,ROW()-4,$F$4)),INDEX('COOIS Raw'!$A:$GZ,ROW()-4,$F$4)))</f>
        <v/>
      </c>
      <c r="G721" s="41" t="str">
        <f aca="false">IF(A721="","",IF(ISNA(MATCH(B721,'Kitting Plan'!$B$6:$B$19,0)),"Not in plan","Yes"))</f>
        <v/>
      </c>
      <c r="H721" s="41" t="str">
        <f aca="false">IF(G721="Yes",INDEX('Kitting Plan'!$D$6:$D$19,MATCH(B721,'Kitting Plan'!$B$6:$B$19,0)),"")</f>
        <v/>
      </c>
      <c r="I721" s="41" t="str">
        <f aca="false">IF(A721="","",IF(ISNUMBER(SEARCH("PRT",E721)),D721,0))</f>
        <v/>
      </c>
      <c r="J721" s="41" t="str">
        <f aca="false">IF(A721="","",IF(ISNUMBER(SEARCH("GMPS",E721)),D721,0))</f>
        <v/>
      </c>
      <c r="K721" s="41" t="str">
        <f aca="false">IF(A721="","",IF(ISNUMBER(SEARCH("DLV",E721)),D721,0))</f>
        <v/>
      </c>
      <c r="L721" s="41" t="str">
        <f aca="false">IF(A721="","",IF(K721&gt;0,"Delivered",IF(ISNUMBER(SEARCH("CNF",E721)),"In production",IF(J721&gt;0,"Issued",IF(I721&gt;0,"Kitted","Released")))))</f>
        <v/>
      </c>
      <c r="M721" s="41" t="str">
        <f aca="false">IF(G721&lt;&gt;"Yes","",COUNTIFS($B$6:$B$1505,B721,$F$6:$F$1505,"&lt;"&amp;F721)+COUNTIFS($B$6:$B$1505,B721,$F$6:$F$1505,F721,$A$6:$A$1505,"&lt;="&amp;A721))</f>
        <v/>
      </c>
      <c r="N721" s="41" t="str">
        <f aca="false">IF(M721="","",ROUNDUP(M721/H721,0))</f>
        <v/>
      </c>
      <c r="O721" s="41" t="str">
        <f aca="false">IF(N721="","",IF(N721&lt;='Kitting Plan'!$C$3,"Rep "&amp;N721,"Surplus"))</f>
        <v/>
      </c>
    </row>
    <row r="722" customFormat="false" ht="15" hidden="false" customHeight="false" outlineLevel="0" collapsed="false">
      <c r="A722" s="40" t="str">
        <f aca="false">IF(OR($A$4=0,INDEX('COOIS Raw'!$A:$GZ,ROW()-4,$A$4)=""),"",IFERROR(--INDEX('COOIS Raw'!$A:$GZ,ROW()-4,$A$4),INDEX('COOIS Raw'!$A:$GZ,ROW()-4,$A$4)))</f>
        <v/>
      </c>
      <c r="B722" s="41" t="str">
        <f aca="false">IF(A722="","",TRIM(INDEX('COOIS Raw'!$A:$GZ,ROW()-4,$B$4)))</f>
        <v/>
      </c>
      <c r="C722" s="42" t="str">
        <f aca="false">IF(OR(A722="",$C$4=0),"",INDEX('COOIS Raw'!$A:$GZ,ROW()-4,$C$4))</f>
        <v/>
      </c>
      <c r="D722" s="41" t="str">
        <f aca="false">IF(A722="","",IF($D$4=0,1,IFERROR(--INDEX('COOIS Raw'!$A:$GZ,ROW()-4,$D$4),1)))</f>
        <v/>
      </c>
      <c r="E722" s="42" t="str">
        <f aca="false">IF(A722="","",INDEX('COOIS Raw'!$A:$GZ,ROW()-4,$E$4)&amp;"")</f>
        <v/>
      </c>
      <c r="F722" s="43" t="str">
        <f aca="false">IF(A722="","",IFERROR(DATEVALUE(INDEX('COOIS Raw'!$A:$GZ,ROW()-4,$F$4)),INDEX('COOIS Raw'!$A:$GZ,ROW()-4,$F$4)))</f>
        <v/>
      </c>
      <c r="G722" s="41" t="str">
        <f aca="false">IF(A722="","",IF(ISNA(MATCH(B722,'Kitting Plan'!$B$6:$B$19,0)),"Not in plan","Yes"))</f>
        <v/>
      </c>
      <c r="H722" s="41" t="str">
        <f aca="false">IF(G722="Yes",INDEX('Kitting Plan'!$D$6:$D$19,MATCH(B722,'Kitting Plan'!$B$6:$B$19,0)),"")</f>
        <v/>
      </c>
      <c r="I722" s="41" t="str">
        <f aca="false">IF(A722="","",IF(ISNUMBER(SEARCH("PRT",E722)),D722,0))</f>
        <v/>
      </c>
      <c r="J722" s="41" t="str">
        <f aca="false">IF(A722="","",IF(ISNUMBER(SEARCH("GMPS",E722)),D722,0))</f>
        <v/>
      </c>
      <c r="K722" s="41" t="str">
        <f aca="false">IF(A722="","",IF(ISNUMBER(SEARCH("DLV",E722)),D722,0))</f>
        <v/>
      </c>
      <c r="L722" s="41" t="str">
        <f aca="false">IF(A722="","",IF(K722&gt;0,"Delivered",IF(ISNUMBER(SEARCH("CNF",E722)),"In production",IF(J722&gt;0,"Issued",IF(I722&gt;0,"Kitted","Released")))))</f>
        <v/>
      </c>
      <c r="M722" s="41" t="str">
        <f aca="false">IF(G722&lt;&gt;"Yes","",COUNTIFS($B$6:$B$1505,B722,$F$6:$F$1505,"&lt;"&amp;F722)+COUNTIFS($B$6:$B$1505,B722,$F$6:$F$1505,F722,$A$6:$A$1505,"&lt;="&amp;A722))</f>
        <v/>
      </c>
      <c r="N722" s="41" t="str">
        <f aca="false">IF(M722="","",ROUNDUP(M722/H722,0))</f>
        <v/>
      </c>
      <c r="O722" s="41" t="str">
        <f aca="false">IF(N722="","",IF(N722&lt;='Kitting Plan'!$C$3,"Rep "&amp;N722,"Surplus"))</f>
        <v/>
      </c>
    </row>
    <row r="723" customFormat="false" ht="15" hidden="false" customHeight="false" outlineLevel="0" collapsed="false">
      <c r="A723" s="40" t="str">
        <f aca="false">IF(OR($A$4=0,INDEX('COOIS Raw'!$A:$GZ,ROW()-4,$A$4)=""),"",IFERROR(--INDEX('COOIS Raw'!$A:$GZ,ROW()-4,$A$4),INDEX('COOIS Raw'!$A:$GZ,ROW()-4,$A$4)))</f>
        <v/>
      </c>
      <c r="B723" s="41" t="str">
        <f aca="false">IF(A723="","",TRIM(INDEX('COOIS Raw'!$A:$GZ,ROW()-4,$B$4)))</f>
        <v/>
      </c>
      <c r="C723" s="42" t="str">
        <f aca="false">IF(OR(A723="",$C$4=0),"",INDEX('COOIS Raw'!$A:$GZ,ROW()-4,$C$4))</f>
        <v/>
      </c>
      <c r="D723" s="41" t="str">
        <f aca="false">IF(A723="","",IF($D$4=0,1,IFERROR(--INDEX('COOIS Raw'!$A:$GZ,ROW()-4,$D$4),1)))</f>
        <v/>
      </c>
      <c r="E723" s="42" t="str">
        <f aca="false">IF(A723="","",INDEX('COOIS Raw'!$A:$GZ,ROW()-4,$E$4)&amp;"")</f>
        <v/>
      </c>
      <c r="F723" s="43" t="str">
        <f aca="false">IF(A723="","",IFERROR(DATEVALUE(INDEX('COOIS Raw'!$A:$GZ,ROW()-4,$F$4)),INDEX('COOIS Raw'!$A:$GZ,ROW()-4,$F$4)))</f>
        <v/>
      </c>
      <c r="G723" s="41" t="str">
        <f aca="false">IF(A723="","",IF(ISNA(MATCH(B723,'Kitting Plan'!$B$6:$B$19,0)),"Not in plan","Yes"))</f>
        <v/>
      </c>
      <c r="H723" s="41" t="str">
        <f aca="false">IF(G723="Yes",INDEX('Kitting Plan'!$D$6:$D$19,MATCH(B723,'Kitting Plan'!$B$6:$B$19,0)),"")</f>
        <v/>
      </c>
      <c r="I723" s="41" t="str">
        <f aca="false">IF(A723="","",IF(ISNUMBER(SEARCH("PRT",E723)),D723,0))</f>
        <v/>
      </c>
      <c r="J723" s="41" t="str">
        <f aca="false">IF(A723="","",IF(ISNUMBER(SEARCH("GMPS",E723)),D723,0))</f>
        <v/>
      </c>
      <c r="K723" s="41" t="str">
        <f aca="false">IF(A723="","",IF(ISNUMBER(SEARCH("DLV",E723)),D723,0))</f>
        <v/>
      </c>
      <c r="L723" s="41" t="str">
        <f aca="false">IF(A723="","",IF(K723&gt;0,"Delivered",IF(ISNUMBER(SEARCH("CNF",E723)),"In production",IF(J723&gt;0,"Issued",IF(I723&gt;0,"Kitted","Released")))))</f>
        <v/>
      </c>
      <c r="M723" s="41" t="str">
        <f aca="false">IF(G723&lt;&gt;"Yes","",COUNTIFS($B$6:$B$1505,B723,$F$6:$F$1505,"&lt;"&amp;F723)+COUNTIFS($B$6:$B$1505,B723,$F$6:$F$1505,F723,$A$6:$A$1505,"&lt;="&amp;A723))</f>
        <v/>
      </c>
      <c r="N723" s="41" t="str">
        <f aca="false">IF(M723="","",ROUNDUP(M723/H723,0))</f>
        <v/>
      </c>
      <c r="O723" s="41" t="str">
        <f aca="false">IF(N723="","",IF(N723&lt;='Kitting Plan'!$C$3,"Rep "&amp;N723,"Surplus"))</f>
        <v/>
      </c>
    </row>
    <row r="724" customFormat="false" ht="15" hidden="false" customHeight="false" outlineLevel="0" collapsed="false">
      <c r="A724" s="40" t="str">
        <f aca="false">IF(OR($A$4=0,INDEX('COOIS Raw'!$A:$GZ,ROW()-4,$A$4)=""),"",IFERROR(--INDEX('COOIS Raw'!$A:$GZ,ROW()-4,$A$4),INDEX('COOIS Raw'!$A:$GZ,ROW()-4,$A$4)))</f>
        <v/>
      </c>
      <c r="B724" s="41" t="str">
        <f aca="false">IF(A724="","",TRIM(INDEX('COOIS Raw'!$A:$GZ,ROW()-4,$B$4)))</f>
        <v/>
      </c>
      <c r="C724" s="42" t="str">
        <f aca="false">IF(OR(A724="",$C$4=0),"",INDEX('COOIS Raw'!$A:$GZ,ROW()-4,$C$4))</f>
        <v/>
      </c>
      <c r="D724" s="41" t="str">
        <f aca="false">IF(A724="","",IF($D$4=0,1,IFERROR(--INDEX('COOIS Raw'!$A:$GZ,ROW()-4,$D$4),1)))</f>
        <v/>
      </c>
      <c r="E724" s="42" t="str">
        <f aca="false">IF(A724="","",INDEX('COOIS Raw'!$A:$GZ,ROW()-4,$E$4)&amp;"")</f>
        <v/>
      </c>
      <c r="F724" s="43" t="str">
        <f aca="false">IF(A724="","",IFERROR(DATEVALUE(INDEX('COOIS Raw'!$A:$GZ,ROW()-4,$F$4)),INDEX('COOIS Raw'!$A:$GZ,ROW()-4,$F$4)))</f>
        <v/>
      </c>
      <c r="G724" s="41" t="str">
        <f aca="false">IF(A724="","",IF(ISNA(MATCH(B724,'Kitting Plan'!$B$6:$B$19,0)),"Not in plan","Yes"))</f>
        <v/>
      </c>
      <c r="H724" s="41" t="str">
        <f aca="false">IF(G724="Yes",INDEX('Kitting Plan'!$D$6:$D$19,MATCH(B724,'Kitting Plan'!$B$6:$B$19,0)),"")</f>
        <v/>
      </c>
      <c r="I724" s="41" t="str">
        <f aca="false">IF(A724="","",IF(ISNUMBER(SEARCH("PRT",E724)),D724,0))</f>
        <v/>
      </c>
      <c r="J724" s="41" t="str">
        <f aca="false">IF(A724="","",IF(ISNUMBER(SEARCH("GMPS",E724)),D724,0))</f>
        <v/>
      </c>
      <c r="K724" s="41" t="str">
        <f aca="false">IF(A724="","",IF(ISNUMBER(SEARCH("DLV",E724)),D724,0))</f>
        <v/>
      </c>
      <c r="L724" s="41" t="str">
        <f aca="false">IF(A724="","",IF(K724&gt;0,"Delivered",IF(ISNUMBER(SEARCH("CNF",E724)),"In production",IF(J724&gt;0,"Issued",IF(I724&gt;0,"Kitted","Released")))))</f>
        <v/>
      </c>
      <c r="M724" s="41" t="str">
        <f aca="false">IF(G724&lt;&gt;"Yes","",COUNTIFS($B$6:$B$1505,B724,$F$6:$F$1505,"&lt;"&amp;F724)+COUNTIFS($B$6:$B$1505,B724,$F$6:$F$1505,F724,$A$6:$A$1505,"&lt;="&amp;A724))</f>
        <v/>
      </c>
      <c r="N724" s="41" t="str">
        <f aca="false">IF(M724="","",ROUNDUP(M724/H724,0))</f>
        <v/>
      </c>
      <c r="O724" s="41" t="str">
        <f aca="false">IF(N724="","",IF(N724&lt;='Kitting Plan'!$C$3,"Rep "&amp;N724,"Surplus"))</f>
        <v/>
      </c>
    </row>
    <row r="725" customFormat="false" ht="15" hidden="false" customHeight="false" outlineLevel="0" collapsed="false">
      <c r="A725" s="40" t="str">
        <f aca="false">IF(OR($A$4=0,INDEX('COOIS Raw'!$A:$GZ,ROW()-4,$A$4)=""),"",IFERROR(--INDEX('COOIS Raw'!$A:$GZ,ROW()-4,$A$4),INDEX('COOIS Raw'!$A:$GZ,ROW()-4,$A$4)))</f>
        <v/>
      </c>
      <c r="B725" s="41" t="str">
        <f aca="false">IF(A725="","",TRIM(INDEX('COOIS Raw'!$A:$GZ,ROW()-4,$B$4)))</f>
        <v/>
      </c>
      <c r="C725" s="42" t="str">
        <f aca="false">IF(OR(A725="",$C$4=0),"",INDEX('COOIS Raw'!$A:$GZ,ROW()-4,$C$4))</f>
        <v/>
      </c>
      <c r="D725" s="41" t="str">
        <f aca="false">IF(A725="","",IF($D$4=0,1,IFERROR(--INDEX('COOIS Raw'!$A:$GZ,ROW()-4,$D$4),1)))</f>
        <v/>
      </c>
      <c r="E725" s="42" t="str">
        <f aca="false">IF(A725="","",INDEX('COOIS Raw'!$A:$GZ,ROW()-4,$E$4)&amp;"")</f>
        <v/>
      </c>
      <c r="F725" s="43" t="str">
        <f aca="false">IF(A725="","",IFERROR(DATEVALUE(INDEX('COOIS Raw'!$A:$GZ,ROW()-4,$F$4)),INDEX('COOIS Raw'!$A:$GZ,ROW()-4,$F$4)))</f>
        <v/>
      </c>
      <c r="G725" s="41" t="str">
        <f aca="false">IF(A725="","",IF(ISNA(MATCH(B725,'Kitting Plan'!$B$6:$B$19,0)),"Not in plan","Yes"))</f>
        <v/>
      </c>
      <c r="H725" s="41" t="str">
        <f aca="false">IF(G725="Yes",INDEX('Kitting Plan'!$D$6:$D$19,MATCH(B725,'Kitting Plan'!$B$6:$B$19,0)),"")</f>
        <v/>
      </c>
      <c r="I725" s="41" t="str">
        <f aca="false">IF(A725="","",IF(ISNUMBER(SEARCH("PRT",E725)),D725,0))</f>
        <v/>
      </c>
      <c r="J725" s="41" t="str">
        <f aca="false">IF(A725="","",IF(ISNUMBER(SEARCH("GMPS",E725)),D725,0))</f>
        <v/>
      </c>
      <c r="K725" s="41" t="str">
        <f aca="false">IF(A725="","",IF(ISNUMBER(SEARCH("DLV",E725)),D725,0))</f>
        <v/>
      </c>
      <c r="L725" s="41" t="str">
        <f aca="false">IF(A725="","",IF(K725&gt;0,"Delivered",IF(ISNUMBER(SEARCH("CNF",E725)),"In production",IF(J725&gt;0,"Issued",IF(I725&gt;0,"Kitted","Released")))))</f>
        <v/>
      </c>
      <c r="M725" s="41" t="str">
        <f aca="false">IF(G725&lt;&gt;"Yes","",COUNTIFS($B$6:$B$1505,B725,$F$6:$F$1505,"&lt;"&amp;F725)+COUNTIFS($B$6:$B$1505,B725,$F$6:$F$1505,F725,$A$6:$A$1505,"&lt;="&amp;A725))</f>
        <v/>
      </c>
      <c r="N725" s="41" t="str">
        <f aca="false">IF(M725="","",ROUNDUP(M725/H725,0))</f>
        <v/>
      </c>
      <c r="O725" s="41" t="str">
        <f aca="false">IF(N725="","",IF(N725&lt;='Kitting Plan'!$C$3,"Rep "&amp;N725,"Surplus"))</f>
        <v/>
      </c>
    </row>
    <row r="726" customFormat="false" ht="15" hidden="false" customHeight="false" outlineLevel="0" collapsed="false">
      <c r="A726" s="40" t="str">
        <f aca="false">IF(OR($A$4=0,INDEX('COOIS Raw'!$A:$GZ,ROW()-4,$A$4)=""),"",IFERROR(--INDEX('COOIS Raw'!$A:$GZ,ROW()-4,$A$4),INDEX('COOIS Raw'!$A:$GZ,ROW()-4,$A$4)))</f>
        <v/>
      </c>
      <c r="B726" s="41" t="str">
        <f aca="false">IF(A726="","",TRIM(INDEX('COOIS Raw'!$A:$GZ,ROW()-4,$B$4)))</f>
        <v/>
      </c>
      <c r="C726" s="42" t="str">
        <f aca="false">IF(OR(A726="",$C$4=0),"",INDEX('COOIS Raw'!$A:$GZ,ROW()-4,$C$4))</f>
        <v/>
      </c>
      <c r="D726" s="41" t="str">
        <f aca="false">IF(A726="","",IF($D$4=0,1,IFERROR(--INDEX('COOIS Raw'!$A:$GZ,ROW()-4,$D$4),1)))</f>
        <v/>
      </c>
      <c r="E726" s="42" t="str">
        <f aca="false">IF(A726="","",INDEX('COOIS Raw'!$A:$GZ,ROW()-4,$E$4)&amp;"")</f>
        <v/>
      </c>
      <c r="F726" s="43" t="str">
        <f aca="false">IF(A726="","",IFERROR(DATEVALUE(INDEX('COOIS Raw'!$A:$GZ,ROW()-4,$F$4)),INDEX('COOIS Raw'!$A:$GZ,ROW()-4,$F$4)))</f>
        <v/>
      </c>
      <c r="G726" s="41" t="str">
        <f aca="false">IF(A726="","",IF(ISNA(MATCH(B726,'Kitting Plan'!$B$6:$B$19,0)),"Not in plan","Yes"))</f>
        <v/>
      </c>
      <c r="H726" s="41" t="str">
        <f aca="false">IF(G726="Yes",INDEX('Kitting Plan'!$D$6:$D$19,MATCH(B726,'Kitting Plan'!$B$6:$B$19,0)),"")</f>
        <v/>
      </c>
      <c r="I726" s="41" t="str">
        <f aca="false">IF(A726="","",IF(ISNUMBER(SEARCH("PRT",E726)),D726,0))</f>
        <v/>
      </c>
      <c r="J726" s="41" t="str">
        <f aca="false">IF(A726="","",IF(ISNUMBER(SEARCH("GMPS",E726)),D726,0))</f>
        <v/>
      </c>
      <c r="K726" s="41" t="str">
        <f aca="false">IF(A726="","",IF(ISNUMBER(SEARCH("DLV",E726)),D726,0))</f>
        <v/>
      </c>
      <c r="L726" s="41" t="str">
        <f aca="false">IF(A726="","",IF(K726&gt;0,"Delivered",IF(ISNUMBER(SEARCH("CNF",E726)),"In production",IF(J726&gt;0,"Issued",IF(I726&gt;0,"Kitted","Released")))))</f>
        <v/>
      </c>
      <c r="M726" s="41" t="str">
        <f aca="false">IF(G726&lt;&gt;"Yes","",COUNTIFS($B$6:$B$1505,B726,$F$6:$F$1505,"&lt;"&amp;F726)+COUNTIFS($B$6:$B$1505,B726,$F$6:$F$1505,F726,$A$6:$A$1505,"&lt;="&amp;A726))</f>
        <v/>
      </c>
      <c r="N726" s="41" t="str">
        <f aca="false">IF(M726="","",ROUNDUP(M726/H726,0))</f>
        <v/>
      </c>
      <c r="O726" s="41" t="str">
        <f aca="false">IF(N726="","",IF(N726&lt;='Kitting Plan'!$C$3,"Rep "&amp;N726,"Surplus"))</f>
        <v/>
      </c>
    </row>
    <row r="727" customFormat="false" ht="15" hidden="false" customHeight="false" outlineLevel="0" collapsed="false">
      <c r="A727" s="40" t="str">
        <f aca="false">IF(OR($A$4=0,INDEX('COOIS Raw'!$A:$GZ,ROW()-4,$A$4)=""),"",IFERROR(--INDEX('COOIS Raw'!$A:$GZ,ROW()-4,$A$4),INDEX('COOIS Raw'!$A:$GZ,ROW()-4,$A$4)))</f>
        <v/>
      </c>
      <c r="B727" s="41" t="str">
        <f aca="false">IF(A727="","",TRIM(INDEX('COOIS Raw'!$A:$GZ,ROW()-4,$B$4)))</f>
        <v/>
      </c>
      <c r="C727" s="42" t="str">
        <f aca="false">IF(OR(A727="",$C$4=0),"",INDEX('COOIS Raw'!$A:$GZ,ROW()-4,$C$4))</f>
        <v/>
      </c>
      <c r="D727" s="41" t="str">
        <f aca="false">IF(A727="","",IF($D$4=0,1,IFERROR(--INDEX('COOIS Raw'!$A:$GZ,ROW()-4,$D$4),1)))</f>
        <v/>
      </c>
      <c r="E727" s="42" t="str">
        <f aca="false">IF(A727="","",INDEX('COOIS Raw'!$A:$GZ,ROW()-4,$E$4)&amp;"")</f>
        <v/>
      </c>
      <c r="F727" s="43" t="str">
        <f aca="false">IF(A727="","",IFERROR(DATEVALUE(INDEX('COOIS Raw'!$A:$GZ,ROW()-4,$F$4)),INDEX('COOIS Raw'!$A:$GZ,ROW()-4,$F$4)))</f>
        <v/>
      </c>
      <c r="G727" s="41" t="str">
        <f aca="false">IF(A727="","",IF(ISNA(MATCH(B727,'Kitting Plan'!$B$6:$B$19,0)),"Not in plan","Yes"))</f>
        <v/>
      </c>
      <c r="H727" s="41" t="str">
        <f aca="false">IF(G727="Yes",INDEX('Kitting Plan'!$D$6:$D$19,MATCH(B727,'Kitting Plan'!$B$6:$B$19,0)),"")</f>
        <v/>
      </c>
      <c r="I727" s="41" t="str">
        <f aca="false">IF(A727="","",IF(ISNUMBER(SEARCH("PRT",E727)),D727,0))</f>
        <v/>
      </c>
      <c r="J727" s="41" t="str">
        <f aca="false">IF(A727="","",IF(ISNUMBER(SEARCH("GMPS",E727)),D727,0))</f>
        <v/>
      </c>
      <c r="K727" s="41" t="str">
        <f aca="false">IF(A727="","",IF(ISNUMBER(SEARCH("DLV",E727)),D727,0))</f>
        <v/>
      </c>
      <c r="L727" s="41" t="str">
        <f aca="false">IF(A727="","",IF(K727&gt;0,"Delivered",IF(ISNUMBER(SEARCH("CNF",E727)),"In production",IF(J727&gt;0,"Issued",IF(I727&gt;0,"Kitted","Released")))))</f>
        <v/>
      </c>
      <c r="M727" s="41" t="str">
        <f aca="false">IF(G727&lt;&gt;"Yes","",COUNTIFS($B$6:$B$1505,B727,$F$6:$F$1505,"&lt;"&amp;F727)+COUNTIFS($B$6:$B$1505,B727,$F$6:$F$1505,F727,$A$6:$A$1505,"&lt;="&amp;A727))</f>
        <v/>
      </c>
      <c r="N727" s="41" t="str">
        <f aca="false">IF(M727="","",ROUNDUP(M727/H727,0))</f>
        <v/>
      </c>
      <c r="O727" s="41" t="str">
        <f aca="false">IF(N727="","",IF(N727&lt;='Kitting Plan'!$C$3,"Rep "&amp;N727,"Surplus"))</f>
        <v/>
      </c>
    </row>
    <row r="728" customFormat="false" ht="15" hidden="false" customHeight="false" outlineLevel="0" collapsed="false">
      <c r="A728" s="40" t="str">
        <f aca="false">IF(OR($A$4=0,INDEX('COOIS Raw'!$A:$GZ,ROW()-4,$A$4)=""),"",IFERROR(--INDEX('COOIS Raw'!$A:$GZ,ROW()-4,$A$4),INDEX('COOIS Raw'!$A:$GZ,ROW()-4,$A$4)))</f>
        <v/>
      </c>
      <c r="B728" s="41" t="str">
        <f aca="false">IF(A728="","",TRIM(INDEX('COOIS Raw'!$A:$GZ,ROW()-4,$B$4)))</f>
        <v/>
      </c>
      <c r="C728" s="42" t="str">
        <f aca="false">IF(OR(A728="",$C$4=0),"",INDEX('COOIS Raw'!$A:$GZ,ROW()-4,$C$4))</f>
        <v/>
      </c>
      <c r="D728" s="41" t="str">
        <f aca="false">IF(A728="","",IF($D$4=0,1,IFERROR(--INDEX('COOIS Raw'!$A:$GZ,ROW()-4,$D$4),1)))</f>
        <v/>
      </c>
      <c r="E728" s="42" t="str">
        <f aca="false">IF(A728="","",INDEX('COOIS Raw'!$A:$GZ,ROW()-4,$E$4)&amp;"")</f>
        <v/>
      </c>
      <c r="F728" s="43" t="str">
        <f aca="false">IF(A728="","",IFERROR(DATEVALUE(INDEX('COOIS Raw'!$A:$GZ,ROW()-4,$F$4)),INDEX('COOIS Raw'!$A:$GZ,ROW()-4,$F$4)))</f>
        <v/>
      </c>
      <c r="G728" s="41" t="str">
        <f aca="false">IF(A728="","",IF(ISNA(MATCH(B728,'Kitting Plan'!$B$6:$B$19,0)),"Not in plan","Yes"))</f>
        <v/>
      </c>
      <c r="H728" s="41" t="str">
        <f aca="false">IF(G728="Yes",INDEX('Kitting Plan'!$D$6:$D$19,MATCH(B728,'Kitting Plan'!$B$6:$B$19,0)),"")</f>
        <v/>
      </c>
      <c r="I728" s="41" t="str">
        <f aca="false">IF(A728="","",IF(ISNUMBER(SEARCH("PRT",E728)),D728,0))</f>
        <v/>
      </c>
      <c r="J728" s="41" t="str">
        <f aca="false">IF(A728="","",IF(ISNUMBER(SEARCH("GMPS",E728)),D728,0))</f>
        <v/>
      </c>
      <c r="K728" s="41" t="str">
        <f aca="false">IF(A728="","",IF(ISNUMBER(SEARCH("DLV",E728)),D728,0))</f>
        <v/>
      </c>
      <c r="L728" s="41" t="str">
        <f aca="false">IF(A728="","",IF(K728&gt;0,"Delivered",IF(ISNUMBER(SEARCH("CNF",E728)),"In production",IF(J728&gt;0,"Issued",IF(I728&gt;0,"Kitted","Released")))))</f>
        <v/>
      </c>
      <c r="M728" s="41" t="str">
        <f aca="false">IF(G728&lt;&gt;"Yes","",COUNTIFS($B$6:$B$1505,B728,$F$6:$F$1505,"&lt;"&amp;F728)+COUNTIFS($B$6:$B$1505,B728,$F$6:$F$1505,F728,$A$6:$A$1505,"&lt;="&amp;A728))</f>
        <v/>
      </c>
      <c r="N728" s="41" t="str">
        <f aca="false">IF(M728="","",ROUNDUP(M728/H728,0))</f>
        <v/>
      </c>
      <c r="O728" s="41" t="str">
        <f aca="false">IF(N728="","",IF(N728&lt;='Kitting Plan'!$C$3,"Rep "&amp;N728,"Surplus"))</f>
        <v/>
      </c>
    </row>
    <row r="729" customFormat="false" ht="15" hidden="false" customHeight="false" outlineLevel="0" collapsed="false">
      <c r="A729" s="40" t="str">
        <f aca="false">IF(OR($A$4=0,INDEX('COOIS Raw'!$A:$GZ,ROW()-4,$A$4)=""),"",IFERROR(--INDEX('COOIS Raw'!$A:$GZ,ROW()-4,$A$4),INDEX('COOIS Raw'!$A:$GZ,ROW()-4,$A$4)))</f>
        <v/>
      </c>
      <c r="B729" s="41" t="str">
        <f aca="false">IF(A729="","",TRIM(INDEX('COOIS Raw'!$A:$GZ,ROW()-4,$B$4)))</f>
        <v/>
      </c>
      <c r="C729" s="42" t="str">
        <f aca="false">IF(OR(A729="",$C$4=0),"",INDEX('COOIS Raw'!$A:$GZ,ROW()-4,$C$4))</f>
        <v/>
      </c>
      <c r="D729" s="41" t="str">
        <f aca="false">IF(A729="","",IF($D$4=0,1,IFERROR(--INDEX('COOIS Raw'!$A:$GZ,ROW()-4,$D$4),1)))</f>
        <v/>
      </c>
      <c r="E729" s="42" t="str">
        <f aca="false">IF(A729="","",INDEX('COOIS Raw'!$A:$GZ,ROW()-4,$E$4)&amp;"")</f>
        <v/>
      </c>
      <c r="F729" s="43" t="str">
        <f aca="false">IF(A729="","",IFERROR(DATEVALUE(INDEX('COOIS Raw'!$A:$GZ,ROW()-4,$F$4)),INDEX('COOIS Raw'!$A:$GZ,ROW()-4,$F$4)))</f>
        <v/>
      </c>
      <c r="G729" s="41" t="str">
        <f aca="false">IF(A729="","",IF(ISNA(MATCH(B729,'Kitting Plan'!$B$6:$B$19,0)),"Not in plan","Yes"))</f>
        <v/>
      </c>
      <c r="H729" s="41" t="str">
        <f aca="false">IF(G729="Yes",INDEX('Kitting Plan'!$D$6:$D$19,MATCH(B729,'Kitting Plan'!$B$6:$B$19,0)),"")</f>
        <v/>
      </c>
      <c r="I729" s="41" t="str">
        <f aca="false">IF(A729="","",IF(ISNUMBER(SEARCH("PRT",E729)),D729,0))</f>
        <v/>
      </c>
      <c r="J729" s="41" t="str">
        <f aca="false">IF(A729="","",IF(ISNUMBER(SEARCH("GMPS",E729)),D729,0))</f>
        <v/>
      </c>
      <c r="K729" s="41" t="str">
        <f aca="false">IF(A729="","",IF(ISNUMBER(SEARCH("DLV",E729)),D729,0))</f>
        <v/>
      </c>
      <c r="L729" s="41" t="str">
        <f aca="false">IF(A729="","",IF(K729&gt;0,"Delivered",IF(ISNUMBER(SEARCH("CNF",E729)),"In production",IF(J729&gt;0,"Issued",IF(I729&gt;0,"Kitted","Released")))))</f>
        <v/>
      </c>
      <c r="M729" s="41" t="str">
        <f aca="false">IF(G729&lt;&gt;"Yes","",COUNTIFS($B$6:$B$1505,B729,$F$6:$F$1505,"&lt;"&amp;F729)+COUNTIFS($B$6:$B$1505,B729,$F$6:$F$1505,F729,$A$6:$A$1505,"&lt;="&amp;A729))</f>
        <v/>
      </c>
      <c r="N729" s="41" t="str">
        <f aca="false">IF(M729="","",ROUNDUP(M729/H729,0))</f>
        <v/>
      </c>
      <c r="O729" s="41" t="str">
        <f aca="false">IF(N729="","",IF(N729&lt;='Kitting Plan'!$C$3,"Rep "&amp;N729,"Surplus"))</f>
        <v/>
      </c>
    </row>
    <row r="730" customFormat="false" ht="15" hidden="false" customHeight="false" outlineLevel="0" collapsed="false">
      <c r="A730" s="40" t="str">
        <f aca="false">IF(OR($A$4=0,INDEX('COOIS Raw'!$A:$GZ,ROW()-4,$A$4)=""),"",IFERROR(--INDEX('COOIS Raw'!$A:$GZ,ROW()-4,$A$4),INDEX('COOIS Raw'!$A:$GZ,ROW()-4,$A$4)))</f>
        <v/>
      </c>
      <c r="B730" s="41" t="str">
        <f aca="false">IF(A730="","",TRIM(INDEX('COOIS Raw'!$A:$GZ,ROW()-4,$B$4)))</f>
        <v/>
      </c>
      <c r="C730" s="42" t="str">
        <f aca="false">IF(OR(A730="",$C$4=0),"",INDEX('COOIS Raw'!$A:$GZ,ROW()-4,$C$4))</f>
        <v/>
      </c>
      <c r="D730" s="41" t="str">
        <f aca="false">IF(A730="","",IF($D$4=0,1,IFERROR(--INDEX('COOIS Raw'!$A:$GZ,ROW()-4,$D$4),1)))</f>
        <v/>
      </c>
      <c r="E730" s="42" t="str">
        <f aca="false">IF(A730="","",INDEX('COOIS Raw'!$A:$GZ,ROW()-4,$E$4)&amp;"")</f>
        <v/>
      </c>
      <c r="F730" s="43" t="str">
        <f aca="false">IF(A730="","",IFERROR(DATEVALUE(INDEX('COOIS Raw'!$A:$GZ,ROW()-4,$F$4)),INDEX('COOIS Raw'!$A:$GZ,ROW()-4,$F$4)))</f>
        <v/>
      </c>
      <c r="G730" s="41" t="str">
        <f aca="false">IF(A730="","",IF(ISNA(MATCH(B730,'Kitting Plan'!$B$6:$B$19,0)),"Not in plan","Yes"))</f>
        <v/>
      </c>
      <c r="H730" s="41" t="str">
        <f aca="false">IF(G730="Yes",INDEX('Kitting Plan'!$D$6:$D$19,MATCH(B730,'Kitting Plan'!$B$6:$B$19,0)),"")</f>
        <v/>
      </c>
      <c r="I730" s="41" t="str">
        <f aca="false">IF(A730="","",IF(ISNUMBER(SEARCH("PRT",E730)),D730,0))</f>
        <v/>
      </c>
      <c r="J730" s="41" t="str">
        <f aca="false">IF(A730="","",IF(ISNUMBER(SEARCH("GMPS",E730)),D730,0))</f>
        <v/>
      </c>
      <c r="K730" s="41" t="str">
        <f aca="false">IF(A730="","",IF(ISNUMBER(SEARCH("DLV",E730)),D730,0))</f>
        <v/>
      </c>
      <c r="L730" s="41" t="str">
        <f aca="false">IF(A730="","",IF(K730&gt;0,"Delivered",IF(ISNUMBER(SEARCH("CNF",E730)),"In production",IF(J730&gt;0,"Issued",IF(I730&gt;0,"Kitted","Released")))))</f>
        <v/>
      </c>
      <c r="M730" s="41" t="str">
        <f aca="false">IF(G730&lt;&gt;"Yes","",COUNTIFS($B$6:$B$1505,B730,$F$6:$F$1505,"&lt;"&amp;F730)+COUNTIFS($B$6:$B$1505,B730,$F$6:$F$1505,F730,$A$6:$A$1505,"&lt;="&amp;A730))</f>
        <v/>
      </c>
      <c r="N730" s="41" t="str">
        <f aca="false">IF(M730="","",ROUNDUP(M730/H730,0))</f>
        <v/>
      </c>
      <c r="O730" s="41" t="str">
        <f aca="false">IF(N730="","",IF(N730&lt;='Kitting Plan'!$C$3,"Rep "&amp;N730,"Surplus"))</f>
        <v/>
      </c>
    </row>
    <row r="731" customFormat="false" ht="15" hidden="false" customHeight="false" outlineLevel="0" collapsed="false">
      <c r="A731" s="40" t="str">
        <f aca="false">IF(OR($A$4=0,INDEX('COOIS Raw'!$A:$GZ,ROW()-4,$A$4)=""),"",IFERROR(--INDEX('COOIS Raw'!$A:$GZ,ROW()-4,$A$4),INDEX('COOIS Raw'!$A:$GZ,ROW()-4,$A$4)))</f>
        <v/>
      </c>
      <c r="B731" s="41" t="str">
        <f aca="false">IF(A731="","",TRIM(INDEX('COOIS Raw'!$A:$GZ,ROW()-4,$B$4)))</f>
        <v/>
      </c>
      <c r="C731" s="42" t="str">
        <f aca="false">IF(OR(A731="",$C$4=0),"",INDEX('COOIS Raw'!$A:$GZ,ROW()-4,$C$4))</f>
        <v/>
      </c>
      <c r="D731" s="41" t="str">
        <f aca="false">IF(A731="","",IF($D$4=0,1,IFERROR(--INDEX('COOIS Raw'!$A:$GZ,ROW()-4,$D$4),1)))</f>
        <v/>
      </c>
      <c r="E731" s="42" t="str">
        <f aca="false">IF(A731="","",INDEX('COOIS Raw'!$A:$GZ,ROW()-4,$E$4)&amp;"")</f>
        <v/>
      </c>
      <c r="F731" s="43" t="str">
        <f aca="false">IF(A731="","",IFERROR(DATEVALUE(INDEX('COOIS Raw'!$A:$GZ,ROW()-4,$F$4)),INDEX('COOIS Raw'!$A:$GZ,ROW()-4,$F$4)))</f>
        <v/>
      </c>
      <c r="G731" s="41" t="str">
        <f aca="false">IF(A731="","",IF(ISNA(MATCH(B731,'Kitting Plan'!$B$6:$B$19,0)),"Not in plan","Yes"))</f>
        <v/>
      </c>
      <c r="H731" s="41" t="str">
        <f aca="false">IF(G731="Yes",INDEX('Kitting Plan'!$D$6:$D$19,MATCH(B731,'Kitting Plan'!$B$6:$B$19,0)),"")</f>
        <v/>
      </c>
      <c r="I731" s="41" t="str">
        <f aca="false">IF(A731="","",IF(ISNUMBER(SEARCH("PRT",E731)),D731,0))</f>
        <v/>
      </c>
      <c r="J731" s="41" t="str">
        <f aca="false">IF(A731="","",IF(ISNUMBER(SEARCH("GMPS",E731)),D731,0))</f>
        <v/>
      </c>
      <c r="K731" s="41" t="str">
        <f aca="false">IF(A731="","",IF(ISNUMBER(SEARCH("DLV",E731)),D731,0))</f>
        <v/>
      </c>
      <c r="L731" s="41" t="str">
        <f aca="false">IF(A731="","",IF(K731&gt;0,"Delivered",IF(ISNUMBER(SEARCH("CNF",E731)),"In production",IF(J731&gt;0,"Issued",IF(I731&gt;0,"Kitted","Released")))))</f>
        <v/>
      </c>
      <c r="M731" s="41" t="str">
        <f aca="false">IF(G731&lt;&gt;"Yes","",COUNTIFS($B$6:$B$1505,B731,$F$6:$F$1505,"&lt;"&amp;F731)+COUNTIFS($B$6:$B$1505,B731,$F$6:$F$1505,F731,$A$6:$A$1505,"&lt;="&amp;A731))</f>
        <v/>
      </c>
      <c r="N731" s="41" t="str">
        <f aca="false">IF(M731="","",ROUNDUP(M731/H731,0))</f>
        <v/>
      </c>
      <c r="O731" s="41" t="str">
        <f aca="false">IF(N731="","",IF(N731&lt;='Kitting Plan'!$C$3,"Rep "&amp;N731,"Surplus"))</f>
        <v/>
      </c>
    </row>
    <row r="732" customFormat="false" ht="15" hidden="false" customHeight="false" outlineLevel="0" collapsed="false">
      <c r="A732" s="40" t="str">
        <f aca="false">IF(OR($A$4=0,INDEX('COOIS Raw'!$A:$GZ,ROW()-4,$A$4)=""),"",IFERROR(--INDEX('COOIS Raw'!$A:$GZ,ROW()-4,$A$4),INDEX('COOIS Raw'!$A:$GZ,ROW()-4,$A$4)))</f>
        <v/>
      </c>
      <c r="B732" s="41" t="str">
        <f aca="false">IF(A732="","",TRIM(INDEX('COOIS Raw'!$A:$GZ,ROW()-4,$B$4)))</f>
        <v/>
      </c>
      <c r="C732" s="42" t="str">
        <f aca="false">IF(OR(A732="",$C$4=0),"",INDEX('COOIS Raw'!$A:$GZ,ROW()-4,$C$4))</f>
        <v/>
      </c>
      <c r="D732" s="41" t="str">
        <f aca="false">IF(A732="","",IF($D$4=0,1,IFERROR(--INDEX('COOIS Raw'!$A:$GZ,ROW()-4,$D$4),1)))</f>
        <v/>
      </c>
      <c r="E732" s="42" t="str">
        <f aca="false">IF(A732="","",INDEX('COOIS Raw'!$A:$GZ,ROW()-4,$E$4)&amp;"")</f>
        <v/>
      </c>
      <c r="F732" s="43" t="str">
        <f aca="false">IF(A732="","",IFERROR(DATEVALUE(INDEX('COOIS Raw'!$A:$GZ,ROW()-4,$F$4)),INDEX('COOIS Raw'!$A:$GZ,ROW()-4,$F$4)))</f>
        <v/>
      </c>
      <c r="G732" s="41" t="str">
        <f aca="false">IF(A732="","",IF(ISNA(MATCH(B732,'Kitting Plan'!$B$6:$B$19,0)),"Not in plan","Yes"))</f>
        <v/>
      </c>
      <c r="H732" s="41" t="str">
        <f aca="false">IF(G732="Yes",INDEX('Kitting Plan'!$D$6:$D$19,MATCH(B732,'Kitting Plan'!$B$6:$B$19,0)),"")</f>
        <v/>
      </c>
      <c r="I732" s="41" t="str">
        <f aca="false">IF(A732="","",IF(ISNUMBER(SEARCH("PRT",E732)),D732,0))</f>
        <v/>
      </c>
      <c r="J732" s="41" t="str">
        <f aca="false">IF(A732="","",IF(ISNUMBER(SEARCH("GMPS",E732)),D732,0))</f>
        <v/>
      </c>
      <c r="K732" s="41" t="str">
        <f aca="false">IF(A732="","",IF(ISNUMBER(SEARCH("DLV",E732)),D732,0))</f>
        <v/>
      </c>
      <c r="L732" s="41" t="str">
        <f aca="false">IF(A732="","",IF(K732&gt;0,"Delivered",IF(ISNUMBER(SEARCH("CNF",E732)),"In production",IF(J732&gt;0,"Issued",IF(I732&gt;0,"Kitted","Released")))))</f>
        <v/>
      </c>
      <c r="M732" s="41" t="str">
        <f aca="false">IF(G732&lt;&gt;"Yes","",COUNTIFS($B$6:$B$1505,B732,$F$6:$F$1505,"&lt;"&amp;F732)+COUNTIFS($B$6:$B$1505,B732,$F$6:$F$1505,F732,$A$6:$A$1505,"&lt;="&amp;A732))</f>
        <v/>
      </c>
      <c r="N732" s="41" t="str">
        <f aca="false">IF(M732="","",ROUNDUP(M732/H732,0))</f>
        <v/>
      </c>
      <c r="O732" s="41" t="str">
        <f aca="false">IF(N732="","",IF(N732&lt;='Kitting Plan'!$C$3,"Rep "&amp;N732,"Surplus"))</f>
        <v/>
      </c>
    </row>
    <row r="733" customFormat="false" ht="15" hidden="false" customHeight="false" outlineLevel="0" collapsed="false">
      <c r="A733" s="40" t="str">
        <f aca="false">IF(OR($A$4=0,INDEX('COOIS Raw'!$A:$GZ,ROW()-4,$A$4)=""),"",IFERROR(--INDEX('COOIS Raw'!$A:$GZ,ROW()-4,$A$4),INDEX('COOIS Raw'!$A:$GZ,ROW()-4,$A$4)))</f>
        <v/>
      </c>
      <c r="B733" s="41" t="str">
        <f aca="false">IF(A733="","",TRIM(INDEX('COOIS Raw'!$A:$GZ,ROW()-4,$B$4)))</f>
        <v/>
      </c>
      <c r="C733" s="42" t="str">
        <f aca="false">IF(OR(A733="",$C$4=0),"",INDEX('COOIS Raw'!$A:$GZ,ROW()-4,$C$4))</f>
        <v/>
      </c>
      <c r="D733" s="41" t="str">
        <f aca="false">IF(A733="","",IF($D$4=0,1,IFERROR(--INDEX('COOIS Raw'!$A:$GZ,ROW()-4,$D$4),1)))</f>
        <v/>
      </c>
      <c r="E733" s="42" t="str">
        <f aca="false">IF(A733="","",INDEX('COOIS Raw'!$A:$GZ,ROW()-4,$E$4)&amp;"")</f>
        <v/>
      </c>
      <c r="F733" s="43" t="str">
        <f aca="false">IF(A733="","",IFERROR(DATEVALUE(INDEX('COOIS Raw'!$A:$GZ,ROW()-4,$F$4)),INDEX('COOIS Raw'!$A:$GZ,ROW()-4,$F$4)))</f>
        <v/>
      </c>
      <c r="G733" s="41" t="str">
        <f aca="false">IF(A733="","",IF(ISNA(MATCH(B733,'Kitting Plan'!$B$6:$B$19,0)),"Not in plan","Yes"))</f>
        <v/>
      </c>
      <c r="H733" s="41" t="str">
        <f aca="false">IF(G733="Yes",INDEX('Kitting Plan'!$D$6:$D$19,MATCH(B733,'Kitting Plan'!$B$6:$B$19,0)),"")</f>
        <v/>
      </c>
      <c r="I733" s="41" t="str">
        <f aca="false">IF(A733="","",IF(ISNUMBER(SEARCH("PRT",E733)),D733,0))</f>
        <v/>
      </c>
      <c r="J733" s="41" t="str">
        <f aca="false">IF(A733="","",IF(ISNUMBER(SEARCH("GMPS",E733)),D733,0))</f>
        <v/>
      </c>
      <c r="K733" s="41" t="str">
        <f aca="false">IF(A733="","",IF(ISNUMBER(SEARCH("DLV",E733)),D733,0))</f>
        <v/>
      </c>
      <c r="L733" s="41" t="str">
        <f aca="false">IF(A733="","",IF(K733&gt;0,"Delivered",IF(ISNUMBER(SEARCH("CNF",E733)),"In production",IF(J733&gt;0,"Issued",IF(I733&gt;0,"Kitted","Released")))))</f>
        <v/>
      </c>
      <c r="M733" s="41" t="str">
        <f aca="false">IF(G733&lt;&gt;"Yes","",COUNTIFS($B$6:$B$1505,B733,$F$6:$F$1505,"&lt;"&amp;F733)+COUNTIFS($B$6:$B$1505,B733,$F$6:$F$1505,F733,$A$6:$A$1505,"&lt;="&amp;A733))</f>
        <v/>
      </c>
      <c r="N733" s="41" t="str">
        <f aca="false">IF(M733="","",ROUNDUP(M733/H733,0))</f>
        <v/>
      </c>
      <c r="O733" s="41" t="str">
        <f aca="false">IF(N733="","",IF(N733&lt;='Kitting Plan'!$C$3,"Rep "&amp;N733,"Surplus"))</f>
        <v/>
      </c>
    </row>
    <row r="734" customFormat="false" ht="15" hidden="false" customHeight="false" outlineLevel="0" collapsed="false">
      <c r="A734" s="40" t="str">
        <f aca="false">IF(OR($A$4=0,INDEX('COOIS Raw'!$A:$GZ,ROW()-4,$A$4)=""),"",IFERROR(--INDEX('COOIS Raw'!$A:$GZ,ROW()-4,$A$4),INDEX('COOIS Raw'!$A:$GZ,ROW()-4,$A$4)))</f>
        <v/>
      </c>
      <c r="B734" s="41" t="str">
        <f aca="false">IF(A734="","",TRIM(INDEX('COOIS Raw'!$A:$GZ,ROW()-4,$B$4)))</f>
        <v/>
      </c>
      <c r="C734" s="42" t="str">
        <f aca="false">IF(OR(A734="",$C$4=0),"",INDEX('COOIS Raw'!$A:$GZ,ROW()-4,$C$4))</f>
        <v/>
      </c>
      <c r="D734" s="41" t="str">
        <f aca="false">IF(A734="","",IF($D$4=0,1,IFERROR(--INDEX('COOIS Raw'!$A:$GZ,ROW()-4,$D$4),1)))</f>
        <v/>
      </c>
      <c r="E734" s="42" t="str">
        <f aca="false">IF(A734="","",INDEX('COOIS Raw'!$A:$GZ,ROW()-4,$E$4)&amp;"")</f>
        <v/>
      </c>
      <c r="F734" s="43" t="str">
        <f aca="false">IF(A734="","",IFERROR(DATEVALUE(INDEX('COOIS Raw'!$A:$GZ,ROW()-4,$F$4)),INDEX('COOIS Raw'!$A:$GZ,ROW()-4,$F$4)))</f>
        <v/>
      </c>
      <c r="G734" s="41" t="str">
        <f aca="false">IF(A734="","",IF(ISNA(MATCH(B734,'Kitting Plan'!$B$6:$B$19,0)),"Not in plan","Yes"))</f>
        <v/>
      </c>
      <c r="H734" s="41" t="str">
        <f aca="false">IF(G734="Yes",INDEX('Kitting Plan'!$D$6:$D$19,MATCH(B734,'Kitting Plan'!$B$6:$B$19,0)),"")</f>
        <v/>
      </c>
      <c r="I734" s="41" t="str">
        <f aca="false">IF(A734="","",IF(ISNUMBER(SEARCH("PRT",E734)),D734,0))</f>
        <v/>
      </c>
      <c r="J734" s="41" t="str">
        <f aca="false">IF(A734="","",IF(ISNUMBER(SEARCH("GMPS",E734)),D734,0))</f>
        <v/>
      </c>
      <c r="K734" s="41" t="str">
        <f aca="false">IF(A734="","",IF(ISNUMBER(SEARCH("DLV",E734)),D734,0))</f>
        <v/>
      </c>
      <c r="L734" s="41" t="str">
        <f aca="false">IF(A734="","",IF(K734&gt;0,"Delivered",IF(ISNUMBER(SEARCH("CNF",E734)),"In production",IF(J734&gt;0,"Issued",IF(I734&gt;0,"Kitted","Released")))))</f>
        <v/>
      </c>
      <c r="M734" s="41" t="str">
        <f aca="false">IF(G734&lt;&gt;"Yes","",COUNTIFS($B$6:$B$1505,B734,$F$6:$F$1505,"&lt;"&amp;F734)+COUNTIFS($B$6:$B$1505,B734,$F$6:$F$1505,F734,$A$6:$A$1505,"&lt;="&amp;A734))</f>
        <v/>
      </c>
      <c r="N734" s="41" t="str">
        <f aca="false">IF(M734="","",ROUNDUP(M734/H734,0))</f>
        <v/>
      </c>
      <c r="O734" s="41" t="str">
        <f aca="false">IF(N734="","",IF(N734&lt;='Kitting Plan'!$C$3,"Rep "&amp;N734,"Surplus"))</f>
        <v/>
      </c>
    </row>
    <row r="735" customFormat="false" ht="15" hidden="false" customHeight="false" outlineLevel="0" collapsed="false">
      <c r="A735" s="40" t="str">
        <f aca="false">IF(OR($A$4=0,INDEX('COOIS Raw'!$A:$GZ,ROW()-4,$A$4)=""),"",IFERROR(--INDEX('COOIS Raw'!$A:$GZ,ROW()-4,$A$4),INDEX('COOIS Raw'!$A:$GZ,ROW()-4,$A$4)))</f>
        <v/>
      </c>
      <c r="B735" s="41" t="str">
        <f aca="false">IF(A735="","",TRIM(INDEX('COOIS Raw'!$A:$GZ,ROW()-4,$B$4)))</f>
        <v/>
      </c>
      <c r="C735" s="42" t="str">
        <f aca="false">IF(OR(A735="",$C$4=0),"",INDEX('COOIS Raw'!$A:$GZ,ROW()-4,$C$4))</f>
        <v/>
      </c>
      <c r="D735" s="41" t="str">
        <f aca="false">IF(A735="","",IF($D$4=0,1,IFERROR(--INDEX('COOIS Raw'!$A:$GZ,ROW()-4,$D$4),1)))</f>
        <v/>
      </c>
      <c r="E735" s="42" t="str">
        <f aca="false">IF(A735="","",INDEX('COOIS Raw'!$A:$GZ,ROW()-4,$E$4)&amp;"")</f>
        <v/>
      </c>
      <c r="F735" s="43" t="str">
        <f aca="false">IF(A735="","",IFERROR(DATEVALUE(INDEX('COOIS Raw'!$A:$GZ,ROW()-4,$F$4)),INDEX('COOIS Raw'!$A:$GZ,ROW()-4,$F$4)))</f>
        <v/>
      </c>
      <c r="G735" s="41" t="str">
        <f aca="false">IF(A735="","",IF(ISNA(MATCH(B735,'Kitting Plan'!$B$6:$B$19,0)),"Not in plan","Yes"))</f>
        <v/>
      </c>
      <c r="H735" s="41" t="str">
        <f aca="false">IF(G735="Yes",INDEX('Kitting Plan'!$D$6:$D$19,MATCH(B735,'Kitting Plan'!$B$6:$B$19,0)),"")</f>
        <v/>
      </c>
      <c r="I735" s="41" t="str">
        <f aca="false">IF(A735="","",IF(ISNUMBER(SEARCH("PRT",E735)),D735,0))</f>
        <v/>
      </c>
      <c r="J735" s="41" t="str">
        <f aca="false">IF(A735="","",IF(ISNUMBER(SEARCH("GMPS",E735)),D735,0))</f>
        <v/>
      </c>
      <c r="K735" s="41" t="str">
        <f aca="false">IF(A735="","",IF(ISNUMBER(SEARCH("DLV",E735)),D735,0))</f>
        <v/>
      </c>
      <c r="L735" s="41" t="str">
        <f aca="false">IF(A735="","",IF(K735&gt;0,"Delivered",IF(ISNUMBER(SEARCH("CNF",E735)),"In production",IF(J735&gt;0,"Issued",IF(I735&gt;0,"Kitted","Released")))))</f>
        <v/>
      </c>
      <c r="M735" s="41" t="str">
        <f aca="false">IF(G735&lt;&gt;"Yes","",COUNTIFS($B$6:$B$1505,B735,$F$6:$F$1505,"&lt;"&amp;F735)+COUNTIFS($B$6:$B$1505,B735,$F$6:$F$1505,F735,$A$6:$A$1505,"&lt;="&amp;A735))</f>
        <v/>
      </c>
      <c r="N735" s="41" t="str">
        <f aca="false">IF(M735="","",ROUNDUP(M735/H735,0))</f>
        <v/>
      </c>
      <c r="O735" s="41" t="str">
        <f aca="false">IF(N735="","",IF(N735&lt;='Kitting Plan'!$C$3,"Rep "&amp;N735,"Surplus"))</f>
        <v/>
      </c>
    </row>
    <row r="736" customFormat="false" ht="15" hidden="false" customHeight="false" outlineLevel="0" collapsed="false">
      <c r="A736" s="40" t="str">
        <f aca="false">IF(OR($A$4=0,INDEX('COOIS Raw'!$A:$GZ,ROW()-4,$A$4)=""),"",IFERROR(--INDEX('COOIS Raw'!$A:$GZ,ROW()-4,$A$4),INDEX('COOIS Raw'!$A:$GZ,ROW()-4,$A$4)))</f>
        <v/>
      </c>
      <c r="B736" s="41" t="str">
        <f aca="false">IF(A736="","",TRIM(INDEX('COOIS Raw'!$A:$GZ,ROW()-4,$B$4)))</f>
        <v/>
      </c>
      <c r="C736" s="42" t="str">
        <f aca="false">IF(OR(A736="",$C$4=0),"",INDEX('COOIS Raw'!$A:$GZ,ROW()-4,$C$4))</f>
        <v/>
      </c>
      <c r="D736" s="41" t="str">
        <f aca="false">IF(A736="","",IF($D$4=0,1,IFERROR(--INDEX('COOIS Raw'!$A:$GZ,ROW()-4,$D$4),1)))</f>
        <v/>
      </c>
      <c r="E736" s="42" t="str">
        <f aca="false">IF(A736="","",INDEX('COOIS Raw'!$A:$GZ,ROW()-4,$E$4)&amp;"")</f>
        <v/>
      </c>
      <c r="F736" s="43" t="str">
        <f aca="false">IF(A736="","",IFERROR(DATEVALUE(INDEX('COOIS Raw'!$A:$GZ,ROW()-4,$F$4)),INDEX('COOIS Raw'!$A:$GZ,ROW()-4,$F$4)))</f>
        <v/>
      </c>
      <c r="G736" s="41" t="str">
        <f aca="false">IF(A736="","",IF(ISNA(MATCH(B736,'Kitting Plan'!$B$6:$B$19,0)),"Not in plan","Yes"))</f>
        <v/>
      </c>
      <c r="H736" s="41" t="str">
        <f aca="false">IF(G736="Yes",INDEX('Kitting Plan'!$D$6:$D$19,MATCH(B736,'Kitting Plan'!$B$6:$B$19,0)),"")</f>
        <v/>
      </c>
      <c r="I736" s="41" t="str">
        <f aca="false">IF(A736="","",IF(ISNUMBER(SEARCH("PRT",E736)),D736,0))</f>
        <v/>
      </c>
      <c r="J736" s="41" t="str">
        <f aca="false">IF(A736="","",IF(ISNUMBER(SEARCH("GMPS",E736)),D736,0))</f>
        <v/>
      </c>
      <c r="K736" s="41" t="str">
        <f aca="false">IF(A736="","",IF(ISNUMBER(SEARCH("DLV",E736)),D736,0))</f>
        <v/>
      </c>
      <c r="L736" s="41" t="str">
        <f aca="false">IF(A736="","",IF(K736&gt;0,"Delivered",IF(ISNUMBER(SEARCH("CNF",E736)),"In production",IF(J736&gt;0,"Issued",IF(I736&gt;0,"Kitted","Released")))))</f>
        <v/>
      </c>
      <c r="M736" s="41" t="str">
        <f aca="false">IF(G736&lt;&gt;"Yes","",COUNTIFS($B$6:$B$1505,B736,$F$6:$F$1505,"&lt;"&amp;F736)+COUNTIFS($B$6:$B$1505,B736,$F$6:$F$1505,F736,$A$6:$A$1505,"&lt;="&amp;A736))</f>
        <v/>
      </c>
      <c r="N736" s="41" t="str">
        <f aca="false">IF(M736="","",ROUNDUP(M736/H736,0))</f>
        <v/>
      </c>
      <c r="O736" s="41" t="str">
        <f aca="false">IF(N736="","",IF(N736&lt;='Kitting Plan'!$C$3,"Rep "&amp;N736,"Surplus"))</f>
        <v/>
      </c>
    </row>
    <row r="737" customFormat="false" ht="15" hidden="false" customHeight="false" outlineLevel="0" collapsed="false">
      <c r="A737" s="40" t="str">
        <f aca="false">IF(OR($A$4=0,INDEX('COOIS Raw'!$A:$GZ,ROW()-4,$A$4)=""),"",IFERROR(--INDEX('COOIS Raw'!$A:$GZ,ROW()-4,$A$4),INDEX('COOIS Raw'!$A:$GZ,ROW()-4,$A$4)))</f>
        <v/>
      </c>
      <c r="B737" s="41" t="str">
        <f aca="false">IF(A737="","",TRIM(INDEX('COOIS Raw'!$A:$GZ,ROW()-4,$B$4)))</f>
        <v/>
      </c>
      <c r="C737" s="42" t="str">
        <f aca="false">IF(OR(A737="",$C$4=0),"",INDEX('COOIS Raw'!$A:$GZ,ROW()-4,$C$4))</f>
        <v/>
      </c>
      <c r="D737" s="41" t="str">
        <f aca="false">IF(A737="","",IF($D$4=0,1,IFERROR(--INDEX('COOIS Raw'!$A:$GZ,ROW()-4,$D$4),1)))</f>
        <v/>
      </c>
      <c r="E737" s="42" t="str">
        <f aca="false">IF(A737="","",INDEX('COOIS Raw'!$A:$GZ,ROW()-4,$E$4)&amp;"")</f>
        <v/>
      </c>
      <c r="F737" s="43" t="str">
        <f aca="false">IF(A737="","",IFERROR(DATEVALUE(INDEX('COOIS Raw'!$A:$GZ,ROW()-4,$F$4)),INDEX('COOIS Raw'!$A:$GZ,ROW()-4,$F$4)))</f>
        <v/>
      </c>
      <c r="G737" s="41" t="str">
        <f aca="false">IF(A737="","",IF(ISNA(MATCH(B737,'Kitting Plan'!$B$6:$B$19,0)),"Not in plan","Yes"))</f>
        <v/>
      </c>
      <c r="H737" s="41" t="str">
        <f aca="false">IF(G737="Yes",INDEX('Kitting Plan'!$D$6:$D$19,MATCH(B737,'Kitting Plan'!$B$6:$B$19,0)),"")</f>
        <v/>
      </c>
      <c r="I737" s="41" t="str">
        <f aca="false">IF(A737="","",IF(ISNUMBER(SEARCH("PRT",E737)),D737,0))</f>
        <v/>
      </c>
      <c r="J737" s="41" t="str">
        <f aca="false">IF(A737="","",IF(ISNUMBER(SEARCH("GMPS",E737)),D737,0))</f>
        <v/>
      </c>
      <c r="K737" s="41" t="str">
        <f aca="false">IF(A737="","",IF(ISNUMBER(SEARCH("DLV",E737)),D737,0))</f>
        <v/>
      </c>
      <c r="L737" s="41" t="str">
        <f aca="false">IF(A737="","",IF(K737&gt;0,"Delivered",IF(ISNUMBER(SEARCH("CNF",E737)),"In production",IF(J737&gt;0,"Issued",IF(I737&gt;0,"Kitted","Released")))))</f>
        <v/>
      </c>
      <c r="M737" s="41" t="str">
        <f aca="false">IF(G737&lt;&gt;"Yes","",COUNTIFS($B$6:$B$1505,B737,$F$6:$F$1505,"&lt;"&amp;F737)+COUNTIFS($B$6:$B$1505,B737,$F$6:$F$1505,F737,$A$6:$A$1505,"&lt;="&amp;A737))</f>
        <v/>
      </c>
      <c r="N737" s="41" t="str">
        <f aca="false">IF(M737="","",ROUNDUP(M737/H737,0))</f>
        <v/>
      </c>
      <c r="O737" s="41" t="str">
        <f aca="false">IF(N737="","",IF(N737&lt;='Kitting Plan'!$C$3,"Rep "&amp;N737,"Surplus"))</f>
        <v/>
      </c>
    </row>
    <row r="738" customFormat="false" ht="15" hidden="false" customHeight="false" outlineLevel="0" collapsed="false">
      <c r="A738" s="40" t="str">
        <f aca="false">IF(OR($A$4=0,INDEX('COOIS Raw'!$A:$GZ,ROW()-4,$A$4)=""),"",IFERROR(--INDEX('COOIS Raw'!$A:$GZ,ROW()-4,$A$4),INDEX('COOIS Raw'!$A:$GZ,ROW()-4,$A$4)))</f>
        <v/>
      </c>
      <c r="B738" s="41" t="str">
        <f aca="false">IF(A738="","",TRIM(INDEX('COOIS Raw'!$A:$GZ,ROW()-4,$B$4)))</f>
        <v/>
      </c>
      <c r="C738" s="42" t="str">
        <f aca="false">IF(OR(A738="",$C$4=0),"",INDEX('COOIS Raw'!$A:$GZ,ROW()-4,$C$4))</f>
        <v/>
      </c>
      <c r="D738" s="41" t="str">
        <f aca="false">IF(A738="","",IF($D$4=0,1,IFERROR(--INDEX('COOIS Raw'!$A:$GZ,ROW()-4,$D$4),1)))</f>
        <v/>
      </c>
      <c r="E738" s="42" t="str">
        <f aca="false">IF(A738="","",INDEX('COOIS Raw'!$A:$GZ,ROW()-4,$E$4)&amp;"")</f>
        <v/>
      </c>
      <c r="F738" s="43" t="str">
        <f aca="false">IF(A738="","",IFERROR(DATEVALUE(INDEX('COOIS Raw'!$A:$GZ,ROW()-4,$F$4)),INDEX('COOIS Raw'!$A:$GZ,ROW()-4,$F$4)))</f>
        <v/>
      </c>
      <c r="G738" s="41" t="str">
        <f aca="false">IF(A738="","",IF(ISNA(MATCH(B738,'Kitting Plan'!$B$6:$B$19,0)),"Not in plan","Yes"))</f>
        <v/>
      </c>
      <c r="H738" s="41" t="str">
        <f aca="false">IF(G738="Yes",INDEX('Kitting Plan'!$D$6:$D$19,MATCH(B738,'Kitting Plan'!$B$6:$B$19,0)),"")</f>
        <v/>
      </c>
      <c r="I738" s="41" t="str">
        <f aca="false">IF(A738="","",IF(ISNUMBER(SEARCH("PRT",E738)),D738,0))</f>
        <v/>
      </c>
      <c r="J738" s="41" t="str">
        <f aca="false">IF(A738="","",IF(ISNUMBER(SEARCH("GMPS",E738)),D738,0))</f>
        <v/>
      </c>
      <c r="K738" s="41" t="str">
        <f aca="false">IF(A738="","",IF(ISNUMBER(SEARCH("DLV",E738)),D738,0))</f>
        <v/>
      </c>
      <c r="L738" s="41" t="str">
        <f aca="false">IF(A738="","",IF(K738&gt;0,"Delivered",IF(ISNUMBER(SEARCH("CNF",E738)),"In production",IF(J738&gt;0,"Issued",IF(I738&gt;0,"Kitted","Released")))))</f>
        <v/>
      </c>
      <c r="M738" s="41" t="str">
        <f aca="false">IF(G738&lt;&gt;"Yes","",COUNTIFS($B$6:$B$1505,B738,$F$6:$F$1505,"&lt;"&amp;F738)+COUNTIFS($B$6:$B$1505,B738,$F$6:$F$1505,F738,$A$6:$A$1505,"&lt;="&amp;A738))</f>
        <v/>
      </c>
      <c r="N738" s="41" t="str">
        <f aca="false">IF(M738="","",ROUNDUP(M738/H738,0))</f>
        <v/>
      </c>
      <c r="O738" s="41" t="str">
        <f aca="false">IF(N738="","",IF(N738&lt;='Kitting Plan'!$C$3,"Rep "&amp;N738,"Surplus"))</f>
        <v/>
      </c>
    </row>
    <row r="739" customFormat="false" ht="15" hidden="false" customHeight="false" outlineLevel="0" collapsed="false">
      <c r="A739" s="40" t="str">
        <f aca="false">IF(OR($A$4=0,INDEX('COOIS Raw'!$A:$GZ,ROW()-4,$A$4)=""),"",IFERROR(--INDEX('COOIS Raw'!$A:$GZ,ROW()-4,$A$4),INDEX('COOIS Raw'!$A:$GZ,ROW()-4,$A$4)))</f>
        <v/>
      </c>
      <c r="B739" s="41" t="str">
        <f aca="false">IF(A739="","",TRIM(INDEX('COOIS Raw'!$A:$GZ,ROW()-4,$B$4)))</f>
        <v/>
      </c>
      <c r="C739" s="42" t="str">
        <f aca="false">IF(OR(A739="",$C$4=0),"",INDEX('COOIS Raw'!$A:$GZ,ROW()-4,$C$4))</f>
        <v/>
      </c>
      <c r="D739" s="41" t="str">
        <f aca="false">IF(A739="","",IF($D$4=0,1,IFERROR(--INDEX('COOIS Raw'!$A:$GZ,ROW()-4,$D$4),1)))</f>
        <v/>
      </c>
      <c r="E739" s="42" t="str">
        <f aca="false">IF(A739="","",INDEX('COOIS Raw'!$A:$GZ,ROW()-4,$E$4)&amp;"")</f>
        <v/>
      </c>
      <c r="F739" s="43" t="str">
        <f aca="false">IF(A739="","",IFERROR(DATEVALUE(INDEX('COOIS Raw'!$A:$GZ,ROW()-4,$F$4)),INDEX('COOIS Raw'!$A:$GZ,ROW()-4,$F$4)))</f>
        <v/>
      </c>
      <c r="G739" s="41" t="str">
        <f aca="false">IF(A739="","",IF(ISNA(MATCH(B739,'Kitting Plan'!$B$6:$B$19,0)),"Not in plan","Yes"))</f>
        <v/>
      </c>
      <c r="H739" s="41" t="str">
        <f aca="false">IF(G739="Yes",INDEX('Kitting Plan'!$D$6:$D$19,MATCH(B739,'Kitting Plan'!$B$6:$B$19,0)),"")</f>
        <v/>
      </c>
      <c r="I739" s="41" t="str">
        <f aca="false">IF(A739="","",IF(ISNUMBER(SEARCH("PRT",E739)),D739,0))</f>
        <v/>
      </c>
      <c r="J739" s="41" t="str">
        <f aca="false">IF(A739="","",IF(ISNUMBER(SEARCH("GMPS",E739)),D739,0))</f>
        <v/>
      </c>
      <c r="K739" s="41" t="str">
        <f aca="false">IF(A739="","",IF(ISNUMBER(SEARCH("DLV",E739)),D739,0))</f>
        <v/>
      </c>
      <c r="L739" s="41" t="str">
        <f aca="false">IF(A739="","",IF(K739&gt;0,"Delivered",IF(ISNUMBER(SEARCH("CNF",E739)),"In production",IF(J739&gt;0,"Issued",IF(I739&gt;0,"Kitted","Released")))))</f>
        <v/>
      </c>
      <c r="M739" s="41" t="str">
        <f aca="false">IF(G739&lt;&gt;"Yes","",COUNTIFS($B$6:$B$1505,B739,$F$6:$F$1505,"&lt;"&amp;F739)+COUNTIFS($B$6:$B$1505,B739,$F$6:$F$1505,F739,$A$6:$A$1505,"&lt;="&amp;A739))</f>
        <v/>
      </c>
      <c r="N739" s="41" t="str">
        <f aca="false">IF(M739="","",ROUNDUP(M739/H739,0))</f>
        <v/>
      </c>
      <c r="O739" s="41" t="str">
        <f aca="false">IF(N739="","",IF(N739&lt;='Kitting Plan'!$C$3,"Rep "&amp;N739,"Surplus"))</f>
        <v/>
      </c>
    </row>
    <row r="740" customFormat="false" ht="15" hidden="false" customHeight="false" outlineLevel="0" collapsed="false">
      <c r="A740" s="40" t="str">
        <f aca="false">IF(OR($A$4=0,INDEX('COOIS Raw'!$A:$GZ,ROW()-4,$A$4)=""),"",IFERROR(--INDEX('COOIS Raw'!$A:$GZ,ROW()-4,$A$4),INDEX('COOIS Raw'!$A:$GZ,ROW()-4,$A$4)))</f>
        <v/>
      </c>
      <c r="B740" s="41" t="str">
        <f aca="false">IF(A740="","",TRIM(INDEX('COOIS Raw'!$A:$GZ,ROW()-4,$B$4)))</f>
        <v/>
      </c>
      <c r="C740" s="42" t="str">
        <f aca="false">IF(OR(A740="",$C$4=0),"",INDEX('COOIS Raw'!$A:$GZ,ROW()-4,$C$4))</f>
        <v/>
      </c>
      <c r="D740" s="41" t="str">
        <f aca="false">IF(A740="","",IF($D$4=0,1,IFERROR(--INDEX('COOIS Raw'!$A:$GZ,ROW()-4,$D$4),1)))</f>
        <v/>
      </c>
      <c r="E740" s="42" t="str">
        <f aca="false">IF(A740="","",INDEX('COOIS Raw'!$A:$GZ,ROW()-4,$E$4)&amp;"")</f>
        <v/>
      </c>
      <c r="F740" s="43" t="str">
        <f aca="false">IF(A740="","",IFERROR(DATEVALUE(INDEX('COOIS Raw'!$A:$GZ,ROW()-4,$F$4)),INDEX('COOIS Raw'!$A:$GZ,ROW()-4,$F$4)))</f>
        <v/>
      </c>
      <c r="G740" s="41" t="str">
        <f aca="false">IF(A740="","",IF(ISNA(MATCH(B740,'Kitting Plan'!$B$6:$B$19,0)),"Not in plan","Yes"))</f>
        <v/>
      </c>
      <c r="H740" s="41" t="str">
        <f aca="false">IF(G740="Yes",INDEX('Kitting Plan'!$D$6:$D$19,MATCH(B740,'Kitting Plan'!$B$6:$B$19,0)),"")</f>
        <v/>
      </c>
      <c r="I740" s="41" t="str">
        <f aca="false">IF(A740="","",IF(ISNUMBER(SEARCH("PRT",E740)),D740,0))</f>
        <v/>
      </c>
      <c r="J740" s="41" t="str">
        <f aca="false">IF(A740="","",IF(ISNUMBER(SEARCH("GMPS",E740)),D740,0))</f>
        <v/>
      </c>
      <c r="K740" s="41" t="str">
        <f aca="false">IF(A740="","",IF(ISNUMBER(SEARCH("DLV",E740)),D740,0))</f>
        <v/>
      </c>
      <c r="L740" s="41" t="str">
        <f aca="false">IF(A740="","",IF(K740&gt;0,"Delivered",IF(ISNUMBER(SEARCH("CNF",E740)),"In production",IF(J740&gt;0,"Issued",IF(I740&gt;0,"Kitted","Released")))))</f>
        <v/>
      </c>
      <c r="M740" s="41" t="str">
        <f aca="false">IF(G740&lt;&gt;"Yes","",COUNTIFS($B$6:$B$1505,B740,$F$6:$F$1505,"&lt;"&amp;F740)+COUNTIFS($B$6:$B$1505,B740,$F$6:$F$1505,F740,$A$6:$A$1505,"&lt;="&amp;A740))</f>
        <v/>
      </c>
      <c r="N740" s="41" t="str">
        <f aca="false">IF(M740="","",ROUNDUP(M740/H740,0))</f>
        <v/>
      </c>
      <c r="O740" s="41" t="str">
        <f aca="false">IF(N740="","",IF(N740&lt;='Kitting Plan'!$C$3,"Rep "&amp;N740,"Surplus"))</f>
        <v/>
      </c>
    </row>
    <row r="741" customFormat="false" ht="15" hidden="false" customHeight="false" outlineLevel="0" collapsed="false">
      <c r="A741" s="40" t="str">
        <f aca="false">IF(OR($A$4=0,INDEX('COOIS Raw'!$A:$GZ,ROW()-4,$A$4)=""),"",IFERROR(--INDEX('COOIS Raw'!$A:$GZ,ROW()-4,$A$4),INDEX('COOIS Raw'!$A:$GZ,ROW()-4,$A$4)))</f>
        <v/>
      </c>
      <c r="B741" s="41" t="str">
        <f aca="false">IF(A741="","",TRIM(INDEX('COOIS Raw'!$A:$GZ,ROW()-4,$B$4)))</f>
        <v/>
      </c>
      <c r="C741" s="42" t="str">
        <f aca="false">IF(OR(A741="",$C$4=0),"",INDEX('COOIS Raw'!$A:$GZ,ROW()-4,$C$4))</f>
        <v/>
      </c>
      <c r="D741" s="41" t="str">
        <f aca="false">IF(A741="","",IF($D$4=0,1,IFERROR(--INDEX('COOIS Raw'!$A:$GZ,ROW()-4,$D$4),1)))</f>
        <v/>
      </c>
      <c r="E741" s="42" t="str">
        <f aca="false">IF(A741="","",INDEX('COOIS Raw'!$A:$GZ,ROW()-4,$E$4)&amp;"")</f>
        <v/>
      </c>
      <c r="F741" s="43" t="str">
        <f aca="false">IF(A741="","",IFERROR(DATEVALUE(INDEX('COOIS Raw'!$A:$GZ,ROW()-4,$F$4)),INDEX('COOIS Raw'!$A:$GZ,ROW()-4,$F$4)))</f>
        <v/>
      </c>
      <c r="G741" s="41" t="str">
        <f aca="false">IF(A741="","",IF(ISNA(MATCH(B741,'Kitting Plan'!$B$6:$B$19,0)),"Not in plan","Yes"))</f>
        <v/>
      </c>
      <c r="H741" s="41" t="str">
        <f aca="false">IF(G741="Yes",INDEX('Kitting Plan'!$D$6:$D$19,MATCH(B741,'Kitting Plan'!$B$6:$B$19,0)),"")</f>
        <v/>
      </c>
      <c r="I741" s="41" t="str">
        <f aca="false">IF(A741="","",IF(ISNUMBER(SEARCH("PRT",E741)),D741,0))</f>
        <v/>
      </c>
      <c r="J741" s="41" t="str">
        <f aca="false">IF(A741="","",IF(ISNUMBER(SEARCH("GMPS",E741)),D741,0))</f>
        <v/>
      </c>
      <c r="K741" s="41" t="str">
        <f aca="false">IF(A741="","",IF(ISNUMBER(SEARCH("DLV",E741)),D741,0))</f>
        <v/>
      </c>
      <c r="L741" s="41" t="str">
        <f aca="false">IF(A741="","",IF(K741&gt;0,"Delivered",IF(ISNUMBER(SEARCH("CNF",E741)),"In production",IF(J741&gt;0,"Issued",IF(I741&gt;0,"Kitted","Released")))))</f>
        <v/>
      </c>
      <c r="M741" s="41" t="str">
        <f aca="false">IF(G741&lt;&gt;"Yes","",COUNTIFS($B$6:$B$1505,B741,$F$6:$F$1505,"&lt;"&amp;F741)+COUNTIFS($B$6:$B$1505,B741,$F$6:$F$1505,F741,$A$6:$A$1505,"&lt;="&amp;A741))</f>
        <v/>
      </c>
      <c r="N741" s="41" t="str">
        <f aca="false">IF(M741="","",ROUNDUP(M741/H741,0))</f>
        <v/>
      </c>
      <c r="O741" s="41" t="str">
        <f aca="false">IF(N741="","",IF(N741&lt;='Kitting Plan'!$C$3,"Rep "&amp;N741,"Surplus"))</f>
        <v/>
      </c>
    </row>
    <row r="742" customFormat="false" ht="15" hidden="false" customHeight="false" outlineLevel="0" collapsed="false">
      <c r="A742" s="40" t="str">
        <f aca="false">IF(OR($A$4=0,INDEX('COOIS Raw'!$A:$GZ,ROW()-4,$A$4)=""),"",IFERROR(--INDEX('COOIS Raw'!$A:$GZ,ROW()-4,$A$4),INDEX('COOIS Raw'!$A:$GZ,ROW()-4,$A$4)))</f>
        <v/>
      </c>
      <c r="B742" s="41" t="str">
        <f aca="false">IF(A742="","",TRIM(INDEX('COOIS Raw'!$A:$GZ,ROW()-4,$B$4)))</f>
        <v/>
      </c>
      <c r="C742" s="42" t="str">
        <f aca="false">IF(OR(A742="",$C$4=0),"",INDEX('COOIS Raw'!$A:$GZ,ROW()-4,$C$4))</f>
        <v/>
      </c>
      <c r="D742" s="41" t="str">
        <f aca="false">IF(A742="","",IF($D$4=0,1,IFERROR(--INDEX('COOIS Raw'!$A:$GZ,ROW()-4,$D$4),1)))</f>
        <v/>
      </c>
      <c r="E742" s="42" t="str">
        <f aca="false">IF(A742="","",INDEX('COOIS Raw'!$A:$GZ,ROW()-4,$E$4)&amp;"")</f>
        <v/>
      </c>
      <c r="F742" s="43" t="str">
        <f aca="false">IF(A742="","",IFERROR(DATEVALUE(INDEX('COOIS Raw'!$A:$GZ,ROW()-4,$F$4)),INDEX('COOIS Raw'!$A:$GZ,ROW()-4,$F$4)))</f>
        <v/>
      </c>
      <c r="G742" s="41" t="str">
        <f aca="false">IF(A742="","",IF(ISNA(MATCH(B742,'Kitting Plan'!$B$6:$B$19,0)),"Not in plan","Yes"))</f>
        <v/>
      </c>
      <c r="H742" s="41" t="str">
        <f aca="false">IF(G742="Yes",INDEX('Kitting Plan'!$D$6:$D$19,MATCH(B742,'Kitting Plan'!$B$6:$B$19,0)),"")</f>
        <v/>
      </c>
      <c r="I742" s="41" t="str">
        <f aca="false">IF(A742="","",IF(ISNUMBER(SEARCH("PRT",E742)),D742,0))</f>
        <v/>
      </c>
      <c r="J742" s="41" t="str">
        <f aca="false">IF(A742="","",IF(ISNUMBER(SEARCH("GMPS",E742)),D742,0))</f>
        <v/>
      </c>
      <c r="K742" s="41" t="str">
        <f aca="false">IF(A742="","",IF(ISNUMBER(SEARCH("DLV",E742)),D742,0))</f>
        <v/>
      </c>
      <c r="L742" s="41" t="str">
        <f aca="false">IF(A742="","",IF(K742&gt;0,"Delivered",IF(ISNUMBER(SEARCH("CNF",E742)),"In production",IF(J742&gt;0,"Issued",IF(I742&gt;0,"Kitted","Released")))))</f>
        <v/>
      </c>
      <c r="M742" s="41" t="str">
        <f aca="false">IF(G742&lt;&gt;"Yes","",COUNTIFS($B$6:$B$1505,B742,$F$6:$F$1505,"&lt;"&amp;F742)+COUNTIFS($B$6:$B$1505,B742,$F$6:$F$1505,F742,$A$6:$A$1505,"&lt;="&amp;A742))</f>
        <v/>
      </c>
      <c r="N742" s="41" t="str">
        <f aca="false">IF(M742="","",ROUNDUP(M742/H742,0))</f>
        <v/>
      </c>
      <c r="O742" s="41" t="str">
        <f aca="false">IF(N742="","",IF(N742&lt;='Kitting Plan'!$C$3,"Rep "&amp;N742,"Surplus"))</f>
        <v/>
      </c>
    </row>
    <row r="743" customFormat="false" ht="15" hidden="false" customHeight="false" outlineLevel="0" collapsed="false">
      <c r="A743" s="40" t="str">
        <f aca="false">IF(OR($A$4=0,INDEX('COOIS Raw'!$A:$GZ,ROW()-4,$A$4)=""),"",IFERROR(--INDEX('COOIS Raw'!$A:$GZ,ROW()-4,$A$4),INDEX('COOIS Raw'!$A:$GZ,ROW()-4,$A$4)))</f>
        <v/>
      </c>
      <c r="B743" s="41" t="str">
        <f aca="false">IF(A743="","",TRIM(INDEX('COOIS Raw'!$A:$GZ,ROW()-4,$B$4)))</f>
        <v/>
      </c>
      <c r="C743" s="42" t="str">
        <f aca="false">IF(OR(A743="",$C$4=0),"",INDEX('COOIS Raw'!$A:$GZ,ROW()-4,$C$4))</f>
        <v/>
      </c>
      <c r="D743" s="41" t="str">
        <f aca="false">IF(A743="","",IF($D$4=0,1,IFERROR(--INDEX('COOIS Raw'!$A:$GZ,ROW()-4,$D$4),1)))</f>
        <v/>
      </c>
      <c r="E743" s="42" t="str">
        <f aca="false">IF(A743="","",INDEX('COOIS Raw'!$A:$GZ,ROW()-4,$E$4)&amp;"")</f>
        <v/>
      </c>
      <c r="F743" s="43" t="str">
        <f aca="false">IF(A743="","",IFERROR(DATEVALUE(INDEX('COOIS Raw'!$A:$GZ,ROW()-4,$F$4)),INDEX('COOIS Raw'!$A:$GZ,ROW()-4,$F$4)))</f>
        <v/>
      </c>
      <c r="G743" s="41" t="str">
        <f aca="false">IF(A743="","",IF(ISNA(MATCH(B743,'Kitting Plan'!$B$6:$B$19,0)),"Not in plan","Yes"))</f>
        <v/>
      </c>
      <c r="H743" s="41" t="str">
        <f aca="false">IF(G743="Yes",INDEX('Kitting Plan'!$D$6:$D$19,MATCH(B743,'Kitting Plan'!$B$6:$B$19,0)),"")</f>
        <v/>
      </c>
      <c r="I743" s="41" t="str">
        <f aca="false">IF(A743="","",IF(ISNUMBER(SEARCH("PRT",E743)),D743,0))</f>
        <v/>
      </c>
      <c r="J743" s="41" t="str">
        <f aca="false">IF(A743="","",IF(ISNUMBER(SEARCH("GMPS",E743)),D743,0))</f>
        <v/>
      </c>
      <c r="K743" s="41" t="str">
        <f aca="false">IF(A743="","",IF(ISNUMBER(SEARCH("DLV",E743)),D743,0))</f>
        <v/>
      </c>
      <c r="L743" s="41" t="str">
        <f aca="false">IF(A743="","",IF(K743&gt;0,"Delivered",IF(ISNUMBER(SEARCH("CNF",E743)),"In production",IF(J743&gt;0,"Issued",IF(I743&gt;0,"Kitted","Released")))))</f>
        <v/>
      </c>
      <c r="M743" s="41" t="str">
        <f aca="false">IF(G743&lt;&gt;"Yes","",COUNTIFS($B$6:$B$1505,B743,$F$6:$F$1505,"&lt;"&amp;F743)+COUNTIFS($B$6:$B$1505,B743,$F$6:$F$1505,F743,$A$6:$A$1505,"&lt;="&amp;A743))</f>
        <v/>
      </c>
      <c r="N743" s="41" t="str">
        <f aca="false">IF(M743="","",ROUNDUP(M743/H743,0))</f>
        <v/>
      </c>
      <c r="O743" s="41" t="str">
        <f aca="false">IF(N743="","",IF(N743&lt;='Kitting Plan'!$C$3,"Rep "&amp;N743,"Surplus"))</f>
        <v/>
      </c>
    </row>
    <row r="744" customFormat="false" ht="15" hidden="false" customHeight="false" outlineLevel="0" collapsed="false">
      <c r="A744" s="40" t="str">
        <f aca="false">IF(OR($A$4=0,INDEX('COOIS Raw'!$A:$GZ,ROW()-4,$A$4)=""),"",IFERROR(--INDEX('COOIS Raw'!$A:$GZ,ROW()-4,$A$4),INDEX('COOIS Raw'!$A:$GZ,ROW()-4,$A$4)))</f>
        <v/>
      </c>
      <c r="B744" s="41" t="str">
        <f aca="false">IF(A744="","",TRIM(INDEX('COOIS Raw'!$A:$GZ,ROW()-4,$B$4)))</f>
        <v/>
      </c>
      <c r="C744" s="42" t="str">
        <f aca="false">IF(OR(A744="",$C$4=0),"",INDEX('COOIS Raw'!$A:$GZ,ROW()-4,$C$4))</f>
        <v/>
      </c>
      <c r="D744" s="41" t="str">
        <f aca="false">IF(A744="","",IF($D$4=0,1,IFERROR(--INDEX('COOIS Raw'!$A:$GZ,ROW()-4,$D$4),1)))</f>
        <v/>
      </c>
      <c r="E744" s="42" t="str">
        <f aca="false">IF(A744="","",INDEX('COOIS Raw'!$A:$GZ,ROW()-4,$E$4)&amp;"")</f>
        <v/>
      </c>
      <c r="F744" s="43" t="str">
        <f aca="false">IF(A744="","",IFERROR(DATEVALUE(INDEX('COOIS Raw'!$A:$GZ,ROW()-4,$F$4)),INDEX('COOIS Raw'!$A:$GZ,ROW()-4,$F$4)))</f>
        <v/>
      </c>
      <c r="G744" s="41" t="str">
        <f aca="false">IF(A744="","",IF(ISNA(MATCH(B744,'Kitting Plan'!$B$6:$B$19,0)),"Not in plan","Yes"))</f>
        <v/>
      </c>
      <c r="H744" s="41" t="str">
        <f aca="false">IF(G744="Yes",INDEX('Kitting Plan'!$D$6:$D$19,MATCH(B744,'Kitting Plan'!$B$6:$B$19,0)),"")</f>
        <v/>
      </c>
      <c r="I744" s="41" t="str">
        <f aca="false">IF(A744="","",IF(ISNUMBER(SEARCH("PRT",E744)),D744,0))</f>
        <v/>
      </c>
      <c r="J744" s="41" t="str">
        <f aca="false">IF(A744="","",IF(ISNUMBER(SEARCH("GMPS",E744)),D744,0))</f>
        <v/>
      </c>
      <c r="K744" s="41" t="str">
        <f aca="false">IF(A744="","",IF(ISNUMBER(SEARCH("DLV",E744)),D744,0))</f>
        <v/>
      </c>
      <c r="L744" s="41" t="str">
        <f aca="false">IF(A744="","",IF(K744&gt;0,"Delivered",IF(ISNUMBER(SEARCH("CNF",E744)),"In production",IF(J744&gt;0,"Issued",IF(I744&gt;0,"Kitted","Released")))))</f>
        <v/>
      </c>
      <c r="M744" s="41" t="str">
        <f aca="false">IF(G744&lt;&gt;"Yes","",COUNTIFS($B$6:$B$1505,B744,$F$6:$F$1505,"&lt;"&amp;F744)+COUNTIFS($B$6:$B$1505,B744,$F$6:$F$1505,F744,$A$6:$A$1505,"&lt;="&amp;A744))</f>
        <v/>
      </c>
      <c r="N744" s="41" t="str">
        <f aca="false">IF(M744="","",ROUNDUP(M744/H744,0))</f>
        <v/>
      </c>
      <c r="O744" s="41" t="str">
        <f aca="false">IF(N744="","",IF(N744&lt;='Kitting Plan'!$C$3,"Rep "&amp;N744,"Surplus"))</f>
        <v/>
      </c>
    </row>
    <row r="745" customFormat="false" ht="15" hidden="false" customHeight="false" outlineLevel="0" collapsed="false">
      <c r="A745" s="40" t="str">
        <f aca="false">IF(OR($A$4=0,INDEX('COOIS Raw'!$A:$GZ,ROW()-4,$A$4)=""),"",IFERROR(--INDEX('COOIS Raw'!$A:$GZ,ROW()-4,$A$4),INDEX('COOIS Raw'!$A:$GZ,ROW()-4,$A$4)))</f>
        <v/>
      </c>
      <c r="B745" s="41" t="str">
        <f aca="false">IF(A745="","",TRIM(INDEX('COOIS Raw'!$A:$GZ,ROW()-4,$B$4)))</f>
        <v/>
      </c>
      <c r="C745" s="42" t="str">
        <f aca="false">IF(OR(A745="",$C$4=0),"",INDEX('COOIS Raw'!$A:$GZ,ROW()-4,$C$4))</f>
        <v/>
      </c>
      <c r="D745" s="41" t="str">
        <f aca="false">IF(A745="","",IF($D$4=0,1,IFERROR(--INDEX('COOIS Raw'!$A:$GZ,ROW()-4,$D$4),1)))</f>
        <v/>
      </c>
      <c r="E745" s="42" t="str">
        <f aca="false">IF(A745="","",INDEX('COOIS Raw'!$A:$GZ,ROW()-4,$E$4)&amp;"")</f>
        <v/>
      </c>
      <c r="F745" s="43" t="str">
        <f aca="false">IF(A745="","",IFERROR(DATEVALUE(INDEX('COOIS Raw'!$A:$GZ,ROW()-4,$F$4)),INDEX('COOIS Raw'!$A:$GZ,ROW()-4,$F$4)))</f>
        <v/>
      </c>
      <c r="G745" s="41" t="str">
        <f aca="false">IF(A745="","",IF(ISNA(MATCH(B745,'Kitting Plan'!$B$6:$B$19,0)),"Not in plan","Yes"))</f>
        <v/>
      </c>
      <c r="H745" s="41" t="str">
        <f aca="false">IF(G745="Yes",INDEX('Kitting Plan'!$D$6:$D$19,MATCH(B745,'Kitting Plan'!$B$6:$B$19,0)),"")</f>
        <v/>
      </c>
      <c r="I745" s="41" t="str">
        <f aca="false">IF(A745="","",IF(ISNUMBER(SEARCH("PRT",E745)),D745,0))</f>
        <v/>
      </c>
      <c r="J745" s="41" t="str">
        <f aca="false">IF(A745="","",IF(ISNUMBER(SEARCH("GMPS",E745)),D745,0))</f>
        <v/>
      </c>
      <c r="K745" s="41" t="str">
        <f aca="false">IF(A745="","",IF(ISNUMBER(SEARCH("DLV",E745)),D745,0))</f>
        <v/>
      </c>
      <c r="L745" s="41" t="str">
        <f aca="false">IF(A745="","",IF(K745&gt;0,"Delivered",IF(ISNUMBER(SEARCH("CNF",E745)),"In production",IF(J745&gt;0,"Issued",IF(I745&gt;0,"Kitted","Released")))))</f>
        <v/>
      </c>
      <c r="M745" s="41" t="str">
        <f aca="false">IF(G745&lt;&gt;"Yes","",COUNTIFS($B$6:$B$1505,B745,$F$6:$F$1505,"&lt;"&amp;F745)+COUNTIFS($B$6:$B$1505,B745,$F$6:$F$1505,F745,$A$6:$A$1505,"&lt;="&amp;A745))</f>
        <v/>
      </c>
      <c r="N745" s="41" t="str">
        <f aca="false">IF(M745="","",ROUNDUP(M745/H745,0))</f>
        <v/>
      </c>
      <c r="O745" s="41" t="str">
        <f aca="false">IF(N745="","",IF(N745&lt;='Kitting Plan'!$C$3,"Rep "&amp;N745,"Surplus"))</f>
        <v/>
      </c>
    </row>
    <row r="746" customFormat="false" ht="15" hidden="false" customHeight="false" outlineLevel="0" collapsed="false">
      <c r="A746" s="40" t="str">
        <f aca="false">IF(OR($A$4=0,INDEX('COOIS Raw'!$A:$GZ,ROW()-4,$A$4)=""),"",IFERROR(--INDEX('COOIS Raw'!$A:$GZ,ROW()-4,$A$4),INDEX('COOIS Raw'!$A:$GZ,ROW()-4,$A$4)))</f>
        <v/>
      </c>
      <c r="B746" s="41" t="str">
        <f aca="false">IF(A746="","",TRIM(INDEX('COOIS Raw'!$A:$GZ,ROW()-4,$B$4)))</f>
        <v/>
      </c>
      <c r="C746" s="42" t="str">
        <f aca="false">IF(OR(A746="",$C$4=0),"",INDEX('COOIS Raw'!$A:$GZ,ROW()-4,$C$4))</f>
        <v/>
      </c>
      <c r="D746" s="41" t="str">
        <f aca="false">IF(A746="","",IF($D$4=0,1,IFERROR(--INDEX('COOIS Raw'!$A:$GZ,ROW()-4,$D$4),1)))</f>
        <v/>
      </c>
      <c r="E746" s="42" t="str">
        <f aca="false">IF(A746="","",INDEX('COOIS Raw'!$A:$GZ,ROW()-4,$E$4)&amp;"")</f>
        <v/>
      </c>
      <c r="F746" s="43" t="str">
        <f aca="false">IF(A746="","",IFERROR(DATEVALUE(INDEX('COOIS Raw'!$A:$GZ,ROW()-4,$F$4)),INDEX('COOIS Raw'!$A:$GZ,ROW()-4,$F$4)))</f>
        <v/>
      </c>
      <c r="G746" s="41" t="str">
        <f aca="false">IF(A746="","",IF(ISNA(MATCH(B746,'Kitting Plan'!$B$6:$B$19,0)),"Not in plan","Yes"))</f>
        <v/>
      </c>
      <c r="H746" s="41" t="str">
        <f aca="false">IF(G746="Yes",INDEX('Kitting Plan'!$D$6:$D$19,MATCH(B746,'Kitting Plan'!$B$6:$B$19,0)),"")</f>
        <v/>
      </c>
      <c r="I746" s="41" t="str">
        <f aca="false">IF(A746="","",IF(ISNUMBER(SEARCH("PRT",E746)),D746,0))</f>
        <v/>
      </c>
      <c r="J746" s="41" t="str">
        <f aca="false">IF(A746="","",IF(ISNUMBER(SEARCH("GMPS",E746)),D746,0))</f>
        <v/>
      </c>
      <c r="K746" s="41" t="str">
        <f aca="false">IF(A746="","",IF(ISNUMBER(SEARCH("DLV",E746)),D746,0))</f>
        <v/>
      </c>
      <c r="L746" s="41" t="str">
        <f aca="false">IF(A746="","",IF(K746&gt;0,"Delivered",IF(ISNUMBER(SEARCH("CNF",E746)),"In production",IF(J746&gt;0,"Issued",IF(I746&gt;0,"Kitted","Released")))))</f>
        <v/>
      </c>
      <c r="M746" s="41" t="str">
        <f aca="false">IF(G746&lt;&gt;"Yes","",COUNTIFS($B$6:$B$1505,B746,$F$6:$F$1505,"&lt;"&amp;F746)+COUNTIFS($B$6:$B$1505,B746,$F$6:$F$1505,F746,$A$6:$A$1505,"&lt;="&amp;A746))</f>
        <v/>
      </c>
      <c r="N746" s="41" t="str">
        <f aca="false">IF(M746="","",ROUNDUP(M746/H746,0))</f>
        <v/>
      </c>
      <c r="O746" s="41" t="str">
        <f aca="false">IF(N746="","",IF(N746&lt;='Kitting Plan'!$C$3,"Rep "&amp;N746,"Surplus"))</f>
        <v/>
      </c>
    </row>
    <row r="747" customFormat="false" ht="15" hidden="false" customHeight="false" outlineLevel="0" collapsed="false">
      <c r="A747" s="40" t="str">
        <f aca="false">IF(OR($A$4=0,INDEX('COOIS Raw'!$A:$GZ,ROW()-4,$A$4)=""),"",IFERROR(--INDEX('COOIS Raw'!$A:$GZ,ROW()-4,$A$4),INDEX('COOIS Raw'!$A:$GZ,ROW()-4,$A$4)))</f>
        <v/>
      </c>
      <c r="B747" s="41" t="str">
        <f aca="false">IF(A747="","",TRIM(INDEX('COOIS Raw'!$A:$GZ,ROW()-4,$B$4)))</f>
        <v/>
      </c>
      <c r="C747" s="42" t="str">
        <f aca="false">IF(OR(A747="",$C$4=0),"",INDEX('COOIS Raw'!$A:$GZ,ROW()-4,$C$4))</f>
        <v/>
      </c>
      <c r="D747" s="41" t="str">
        <f aca="false">IF(A747="","",IF($D$4=0,1,IFERROR(--INDEX('COOIS Raw'!$A:$GZ,ROW()-4,$D$4),1)))</f>
        <v/>
      </c>
      <c r="E747" s="42" t="str">
        <f aca="false">IF(A747="","",INDEX('COOIS Raw'!$A:$GZ,ROW()-4,$E$4)&amp;"")</f>
        <v/>
      </c>
      <c r="F747" s="43" t="str">
        <f aca="false">IF(A747="","",IFERROR(DATEVALUE(INDEX('COOIS Raw'!$A:$GZ,ROW()-4,$F$4)),INDEX('COOIS Raw'!$A:$GZ,ROW()-4,$F$4)))</f>
        <v/>
      </c>
      <c r="G747" s="41" t="str">
        <f aca="false">IF(A747="","",IF(ISNA(MATCH(B747,'Kitting Plan'!$B$6:$B$19,0)),"Not in plan","Yes"))</f>
        <v/>
      </c>
      <c r="H747" s="41" t="str">
        <f aca="false">IF(G747="Yes",INDEX('Kitting Plan'!$D$6:$D$19,MATCH(B747,'Kitting Plan'!$B$6:$B$19,0)),"")</f>
        <v/>
      </c>
      <c r="I747" s="41" t="str">
        <f aca="false">IF(A747="","",IF(ISNUMBER(SEARCH("PRT",E747)),D747,0))</f>
        <v/>
      </c>
      <c r="J747" s="41" t="str">
        <f aca="false">IF(A747="","",IF(ISNUMBER(SEARCH("GMPS",E747)),D747,0))</f>
        <v/>
      </c>
      <c r="K747" s="41" t="str">
        <f aca="false">IF(A747="","",IF(ISNUMBER(SEARCH("DLV",E747)),D747,0))</f>
        <v/>
      </c>
      <c r="L747" s="41" t="str">
        <f aca="false">IF(A747="","",IF(K747&gt;0,"Delivered",IF(ISNUMBER(SEARCH("CNF",E747)),"In production",IF(J747&gt;0,"Issued",IF(I747&gt;0,"Kitted","Released")))))</f>
        <v/>
      </c>
      <c r="M747" s="41" t="str">
        <f aca="false">IF(G747&lt;&gt;"Yes","",COUNTIFS($B$6:$B$1505,B747,$F$6:$F$1505,"&lt;"&amp;F747)+COUNTIFS($B$6:$B$1505,B747,$F$6:$F$1505,F747,$A$6:$A$1505,"&lt;="&amp;A747))</f>
        <v/>
      </c>
      <c r="N747" s="41" t="str">
        <f aca="false">IF(M747="","",ROUNDUP(M747/H747,0))</f>
        <v/>
      </c>
      <c r="O747" s="41" t="str">
        <f aca="false">IF(N747="","",IF(N747&lt;='Kitting Plan'!$C$3,"Rep "&amp;N747,"Surplus"))</f>
        <v/>
      </c>
    </row>
    <row r="748" customFormat="false" ht="15" hidden="false" customHeight="false" outlineLevel="0" collapsed="false">
      <c r="A748" s="40" t="str">
        <f aca="false">IF(OR($A$4=0,INDEX('COOIS Raw'!$A:$GZ,ROW()-4,$A$4)=""),"",IFERROR(--INDEX('COOIS Raw'!$A:$GZ,ROW()-4,$A$4),INDEX('COOIS Raw'!$A:$GZ,ROW()-4,$A$4)))</f>
        <v/>
      </c>
      <c r="B748" s="41" t="str">
        <f aca="false">IF(A748="","",TRIM(INDEX('COOIS Raw'!$A:$GZ,ROW()-4,$B$4)))</f>
        <v/>
      </c>
      <c r="C748" s="42" t="str">
        <f aca="false">IF(OR(A748="",$C$4=0),"",INDEX('COOIS Raw'!$A:$GZ,ROW()-4,$C$4))</f>
        <v/>
      </c>
      <c r="D748" s="41" t="str">
        <f aca="false">IF(A748="","",IF($D$4=0,1,IFERROR(--INDEX('COOIS Raw'!$A:$GZ,ROW()-4,$D$4),1)))</f>
        <v/>
      </c>
      <c r="E748" s="42" t="str">
        <f aca="false">IF(A748="","",INDEX('COOIS Raw'!$A:$GZ,ROW()-4,$E$4)&amp;"")</f>
        <v/>
      </c>
      <c r="F748" s="43" t="str">
        <f aca="false">IF(A748="","",IFERROR(DATEVALUE(INDEX('COOIS Raw'!$A:$GZ,ROW()-4,$F$4)),INDEX('COOIS Raw'!$A:$GZ,ROW()-4,$F$4)))</f>
        <v/>
      </c>
      <c r="G748" s="41" t="str">
        <f aca="false">IF(A748="","",IF(ISNA(MATCH(B748,'Kitting Plan'!$B$6:$B$19,0)),"Not in plan","Yes"))</f>
        <v/>
      </c>
      <c r="H748" s="41" t="str">
        <f aca="false">IF(G748="Yes",INDEX('Kitting Plan'!$D$6:$D$19,MATCH(B748,'Kitting Plan'!$B$6:$B$19,0)),"")</f>
        <v/>
      </c>
      <c r="I748" s="41" t="str">
        <f aca="false">IF(A748="","",IF(ISNUMBER(SEARCH("PRT",E748)),D748,0))</f>
        <v/>
      </c>
      <c r="J748" s="41" t="str">
        <f aca="false">IF(A748="","",IF(ISNUMBER(SEARCH("GMPS",E748)),D748,0))</f>
        <v/>
      </c>
      <c r="K748" s="41" t="str">
        <f aca="false">IF(A748="","",IF(ISNUMBER(SEARCH("DLV",E748)),D748,0))</f>
        <v/>
      </c>
      <c r="L748" s="41" t="str">
        <f aca="false">IF(A748="","",IF(K748&gt;0,"Delivered",IF(ISNUMBER(SEARCH("CNF",E748)),"In production",IF(J748&gt;0,"Issued",IF(I748&gt;0,"Kitted","Released")))))</f>
        <v/>
      </c>
      <c r="M748" s="41" t="str">
        <f aca="false">IF(G748&lt;&gt;"Yes","",COUNTIFS($B$6:$B$1505,B748,$F$6:$F$1505,"&lt;"&amp;F748)+COUNTIFS($B$6:$B$1505,B748,$F$6:$F$1505,F748,$A$6:$A$1505,"&lt;="&amp;A748))</f>
        <v/>
      </c>
      <c r="N748" s="41" t="str">
        <f aca="false">IF(M748="","",ROUNDUP(M748/H748,0))</f>
        <v/>
      </c>
      <c r="O748" s="41" t="str">
        <f aca="false">IF(N748="","",IF(N748&lt;='Kitting Plan'!$C$3,"Rep "&amp;N748,"Surplus"))</f>
        <v/>
      </c>
    </row>
    <row r="749" customFormat="false" ht="15" hidden="false" customHeight="false" outlineLevel="0" collapsed="false">
      <c r="A749" s="40" t="str">
        <f aca="false">IF(OR($A$4=0,INDEX('COOIS Raw'!$A:$GZ,ROW()-4,$A$4)=""),"",IFERROR(--INDEX('COOIS Raw'!$A:$GZ,ROW()-4,$A$4),INDEX('COOIS Raw'!$A:$GZ,ROW()-4,$A$4)))</f>
        <v/>
      </c>
      <c r="B749" s="41" t="str">
        <f aca="false">IF(A749="","",TRIM(INDEX('COOIS Raw'!$A:$GZ,ROW()-4,$B$4)))</f>
        <v/>
      </c>
      <c r="C749" s="42" t="str">
        <f aca="false">IF(OR(A749="",$C$4=0),"",INDEX('COOIS Raw'!$A:$GZ,ROW()-4,$C$4))</f>
        <v/>
      </c>
      <c r="D749" s="41" t="str">
        <f aca="false">IF(A749="","",IF($D$4=0,1,IFERROR(--INDEX('COOIS Raw'!$A:$GZ,ROW()-4,$D$4),1)))</f>
        <v/>
      </c>
      <c r="E749" s="42" t="str">
        <f aca="false">IF(A749="","",INDEX('COOIS Raw'!$A:$GZ,ROW()-4,$E$4)&amp;"")</f>
        <v/>
      </c>
      <c r="F749" s="43" t="str">
        <f aca="false">IF(A749="","",IFERROR(DATEVALUE(INDEX('COOIS Raw'!$A:$GZ,ROW()-4,$F$4)),INDEX('COOIS Raw'!$A:$GZ,ROW()-4,$F$4)))</f>
        <v/>
      </c>
      <c r="G749" s="41" t="str">
        <f aca="false">IF(A749="","",IF(ISNA(MATCH(B749,'Kitting Plan'!$B$6:$B$19,0)),"Not in plan","Yes"))</f>
        <v/>
      </c>
      <c r="H749" s="41" t="str">
        <f aca="false">IF(G749="Yes",INDEX('Kitting Plan'!$D$6:$D$19,MATCH(B749,'Kitting Plan'!$B$6:$B$19,0)),"")</f>
        <v/>
      </c>
      <c r="I749" s="41" t="str">
        <f aca="false">IF(A749="","",IF(ISNUMBER(SEARCH("PRT",E749)),D749,0))</f>
        <v/>
      </c>
      <c r="J749" s="41" t="str">
        <f aca="false">IF(A749="","",IF(ISNUMBER(SEARCH("GMPS",E749)),D749,0))</f>
        <v/>
      </c>
      <c r="K749" s="41" t="str">
        <f aca="false">IF(A749="","",IF(ISNUMBER(SEARCH("DLV",E749)),D749,0))</f>
        <v/>
      </c>
      <c r="L749" s="41" t="str">
        <f aca="false">IF(A749="","",IF(K749&gt;0,"Delivered",IF(ISNUMBER(SEARCH("CNF",E749)),"In production",IF(J749&gt;0,"Issued",IF(I749&gt;0,"Kitted","Released")))))</f>
        <v/>
      </c>
      <c r="M749" s="41" t="str">
        <f aca="false">IF(G749&lt;&gt;"Yes","",COUNTIFS($B$6:$B$1505,B749,$F$6:$F$1505,"&lt;"&amp;F749)+COUNTIFS($B$6:$B$1505,B749,$F$6:$F$1505,F749,$A$6:$A$1505,"&lt;="&amp;A749))</f>
        <v/>
      </c>
      <c r="N749" s="41" t="str">
        <f aca="false">IF(M749="","",ROUNDUP(M749/H749,0))</f>
        <v/>
      </c>
      <c r="O749" s="41" t="str">
        <f aca="false">IF(N749="","",IF(N749&lt;='Kitting Plan'!$C$3,"Rep "&amp;N749,"Surplus"))</f>
        <v/>
      </c>
    </row>
    <row r="750" customFormat="false" ht="15" hidden="false" customHeight="false" outlineLevel="0" collapsed="false">
      <c r="A750" s="40" t="str">
        <f aca="false">IF(OR($A$4=0,INDEX('COOIS Raw'!$A:$GZ,ROW()-4,$A$4)=""),"",IFERROR(--INDEX('COOIS Raw'!$A:$GZ,ROW()-4,$A$4),INDEX('COOIS Raw'!$A:$GZ,ROW()-4,$A$4)))</f>
        <v/>
      </c>
      <c r="B750" s="41" t="str">
        <f aca="false">IF(A750="","",TRIM(INDEX('COOIS Raw'!$A:$GZ,ROW()-4,$B$4)))</f>
        <v/>
      </c>
      <c r="C750" s="42" t="str">
        <f aca="false">IF(OR(A750="",$C$4=0),"",INDEX('COOIS Raw'!$A:$GZ,ROW()-4,$C$4))</f>
        <v/>
      </c>
      <c r="D750" s="41" t="str">
        <f aca="false">IF(A750="","",IF($D$4=0,1,IFERROR(--INDEX('COOIS Raw'!$A:$GZ,ROW()-4,$D$4),1)))</f>
        <v/>
      </c>
      <c r="E750" s="42" t="str">
        <f aca="false">IF(A750="","",INDEX('COOIS Raw'!$A:$GZ,ROW()-4,$E$4)&amp;"")</f>
        <v/>
      </c>
      <c r="F750" s="43" t="str">
        <f aca="false">IF(A750="","",IFERROR(DATEVALUE(INDEX('COOIS Raw'!$A:$GZ,ROW()-4,$F$4)),INDEX('COOIS Raw'!$A:$GZ,ROW()-4,$F$4)))</f>
        <v/>
      </c>
      <c r="G750" s="41" t="str">
        <f aca="false">IF(A750="","",IF(ISNA(MATCH(B750,'Kitting Plan'!$B$6:$B$19,0)),"Not in plan","Yes"))</f>
        <v/>
      </c>
      <c r="H750" s="41" t="str">
        <f aca="false">IF(G750="Yes",INDEX('Kitting Plan'!$D$6:$D$19,MATCH(B750,'Kitting Plan'!$B$6:$B$19,0)),"")</f>
        <v/>
      </c>
      <c r="I750" s="41" t="str">
        <f aca="false">IF(A750="","",IF(ISNUMBER(SEARCH("PRT",E750)),D750,0))</f>
        <v/>
      </c>
      <c r="J750" s="41" t="str">
        <f aca="false">IF(A750="","",IF(ISNUMBER(SEARCH("GMPS",E750)),D750,0))</f>
        <v/>
      </c>
      <c r="K750" s="41" t="str">
        <f aca="false">IF(A750="","",IF(ISNUMBER(SEARCH("DLV",E750)),D750,0))</f>
        <v/>
      </c>
      <c r="L750" s="41" t="str">
        <f aca="false">IF(A750="","",IF(K750&gt;0,"Delivered",IF(ISNUMBER(SEARCH("CNF",E750)),"In production",IF(J750&gt;0,"Issued",IF(I750&gt;0,"Kitted","Released")))))</f>
        <v/>
      </c>
      <c r="M750" s="41" t="str">
        <f aca="false">IF(G750&lt;&gt;"Yes","",COUNTIFS($B$6:$B$1505,B750,$F$6:$F$1505,"&lt;"&amp;F750)+COUNTIFS($B$6:$B$1505,B750,$F$6:$F$1505,F750,$A$6:$A$1505,"&lt;="&amp;A750))</f>
        <v/>
      </c>
      <c r="N750" s="41" t="str">
        <f aca="false">IF(M750="","",ROUNDUP(M750/H750,0))</f>
        <v/>
      </c>
      <c r="O750" s="41" t="str">
        <f aca="false">IF(N750="","",IF(N750&lt;='Kitting Plan'!$C$3,"Rep "&amp;N750,"Surplus"))</f>
        <v/>
      </c>
    </row>
    <row r="751" customFormat="false" ht="15" hidden="false" customHeight="false" outlineLevel="0" collapsed="false">
      <c r="A751" s="40" t="str">
        <f aca="false">IF(OR($A$4=0,INDEX('COOIS Raw'!$A:$GZ,ROW()-4,$A$4)=""),"",IFERROR(--INDEX('COOIS Raw'!$A:$GZ,ROW()-4,$A$4),INDEX('COOIS Raw'!$A:$GZ,ROW()-4,$A$4)))</f>
        <v/>
      </c>
      <c r="B751" s="41" t="str">
        <f aca="false">IF(A751="","",TRIM(INDEX('COOIS Raw'!$A:$GZ,ROW()-4,$B$4)))</f>
        <v/>
      </c>
      <c r="C751" s="42" t="str">
        <f aca="false">IF(OR(A751="",$C$4=0),"",INDEX('COOIS Raw'!$A:$GZ,ROW()-4,$C$4))</f>
        <v/>
      </c>
      <c r="D751" s="41" t="str">
        <f aca="false">IF(A751="","",IF($D$4=0,1,IFERROR(--INDEX('COOIS Raw'!$A:$GZ,ROW()-4,$D$4),1)))</f>
        <v/>
      </c>
      <c r="E751" s="42" t="str">
        <f aca="false">IF(A751="","",INDEX('COOIS Raw'!$A:$GZ,ROW()-4,$E$4)&amp;"")</f>
        <v/>
      </c>
      <c r="F751" s="43" t="str">
        <f aca="false">IF(A751="","",IFERROR(DATEVALUE(INDEX('COOIS Raw'!$A:$GZ,ROW()-4,$F$4)),INDEX('COOIS Raw'!$A:$GZ,ROW()-4,$F$4)))</f>
        <v/>
      </c>
      <c r="G751" s="41" t="str">
        <f aca="false">IF(A751="","",IF(ISNA(MATCH(B751,'Kitting Plan'!$B$6:$B$19,0)),"Not in plan","Yes"))</f>
        <v/>
      </c>
      <c r="H751" s="41" t="str">
        <f aca="false">IF(G751="Yes",INDEX('Kitting Plan'!$D$6:$D$19,MATCH(B751,'Kitting Plan'!$B$6:$B$19,0)),"")</f>
        <v/>
      </c>
      <c r="I751" s="41" t="str">
        <f aca="false">IF(A751="","",IF(ISNUMBER(SEARCH("PRT",E751)),D751,0))</f>
        <v/>
      </c>
      <c r="J751" s="41" t="str">
        <f aca="false">IF(A751="","",IF(ISNUMBER(SEARCH("GMPS",E751)),D751,0))</f>
        <v/>
      </c>
      <c r="K751" s="41" t="str">
        <f aca="false">IF(A751="","",IF(ISNUMBER(SEARCH("DLV",E751)),D751,0))</f>
        <v/>
      </c>
      <c r="L751" s="41" t="str">
        <f aca="false">IF(A751="","",IF(K751&gt;0,"Delivered",IF(ISNUMBER(SEARCH("CNF",E751)),"In production",IF(J751&gt;0,"Issued",IF(I751&gt;0,"Kitted","Released")))))</f>
        <v/>
      </c>
      <c r="M751" s="41" t="str">
        <f aca="false">IF(G751&lt;&gt;"Yes","",COUNTIFS($B$6:$B$1505,B751,$F$6:$F$1505,"&lt;"&amp;F751)+COUNTIFS($B$6:$B$1505,B751,$F$6:$F$1505,F751,$A$6:$A$1505,"&lt;="&amp;A751))</f>
        <v/>
      </c>
      <c r="N751" s="41" t="str">
        <f aca="false">IF(M751="","",ROUNDUP(M751/H751,0))</f>
        <v/>
      </c>
      <c r="O751" s="41" t="str">
        <f aca="false">IF(N751="","",IF(N751&lt;='Kitting Plan'!$C$3,"Rep "&amp;N751,"Surplus"))</f>
        <v/>
      </c>
    </row>
    <row r="752" customFormat="false" ht="15" hidden="false" customHeight="false" outlineLevel="0" collapsed="false">
      <c r="A752" s="40" t="str">
        <f aca="false">IF(OR($A$4=0,INDEX('COOIS Raw'!$A:$GZ,ROW()-4,$A$4)=""),"",IFERROR(--INDEX('COOIS Raw'!$A:$GZ,ROW()-4,$A$4),INDEX('COOIS Raw'!$A:$GZ,ROW()-4,$A$4)))</f>
        <v/>
      </c>
      <c r="B752" s="41" t="str">
        <f aca="false">IF(A752="","",TRIM(INDEX('COOIS Raw'!$A:$GZ,ROW()-4,$B$4)))</f>
        <v/>
      </c>
      <c r="C752" s="42" t="str">
        <f aca="false">IF(OR(A752="",$C$4=0),"",INDEX('COOIS Raw'!$A:$GZ,ROW()-4,$C$4))</f>
        <v/>
      </c>
      <c r="D752" s="41" t="str">
        <f aca="false">IF(A752="","",IF($D$4=0,1,IFERROR(--INDEX('COOIS Raw'!$A:$GZ,ROW()-4,$D$4),1)))</f>
        <v/>
      </c>
      <c r="E752" s="42" t="str">
        <f aca="false">IF(A752="","",INDEX('COOIS Raw'!$A:$GZ,ROW()-4,$E$4)&amp;"")</f>
        <v/>
      </c>
      <c r="F752" s="43" t="str">
        <f aca="false">IF(A752="","",IFERROR(DATEVALUE(INDEX('COOIS Raw'!$A:$GZ,ROW()-4,$F$4)),INDEX('COOIS Raw'!$A:$GZ,ROW()-4,$F$4)))</f>
        <v/>
      </c>
      <c r="G752" s="41" t="str">
        <f aca="false">IF(A752="","",IF(ISNA(MATCH(B752,'Kitting Plan'!$B$6:$B$19,0)),"Not in plan","Yes"))</f>
        <v/>
      </c>
      <c r="H752" s="41" t="str">
        <f aca="false">IF(G752="Yes",INDEX('Kitting Plan'!$D$6:$D$19,MATCH(B752,'Kitting Plan'!$B$6:$B$19,0)),"")</f>
        <v/>
      </c>
      <c r="I752" s="41" t="str">
        <f aca="false">IF(A752="","",IF(ISNUMBER(SEARCH("PRT",E752)),D752,0))</f>
        <v/>
      </c>
      <c r="J752" s="41" t="str">
        <f aca="false">IF(A752="","",IF(ISNUMBER(SEARCH("GMPS",E752)),D752,0))</f>
        <v/>
      </c>
      <c r="K752" s="41" t="str">
        <f aca="false">IF(A752="","",IF(ISNUMBER(SEARCH("DLV",E752)),D752,0))</f>
        <v/>
      </c>
      <c r="L752" s="41" t="str">
        <f aca="false">IF(A752="","",IF(K752&gt;0,"Delivered",IF(ISNUMBER(SEARCH("CNF",E752)),"In production",IF(J752&gt;0,"Issued",IF(I752&gt;0,"Kitted","Released")))))</f>
        <v/>
      </c>
      <c r="M752" s="41" t="str">
        <f aca="false">IF(G752&lt;&gt;"Yes","",COUNTIFS($B$6:$B$1505,B752,$F$6:$F$1505,"&lt;"&amp;F752)+COUNTIFS($B$6:$B$1505,B752,$F$6:$F$1505,F752,$A$6:$A$1505,"&lt;="&amp;A752))</f>
        <v/>
      </c>
      <c r="N752" s="41" t="str">
        <f aca="false">IF(M752="","",ROUNDUP(M752/H752,0))</f>
        <v/>
      </c>
      <c r="O752" s="41" t="str">
        <f aca="false">IF(N752="","",IF(N752&lt;='Kitting Plan'!$C$3,"Rep "&amp;N752,"Surplus"))</f>
        <v/>
      </c>
    </row>
    <row r="753" customFormat="false" ht="15" hidden="false" customHeight="false" outlineLevel="0" collapsed="false">
      <c r="A753" s="40" t="str">
        <f aca="false">IF(OR($A$4=0,INDEX('COOIS Raw'!$A:$GZ,ROW()-4,$A$4)=""),"",IFERROR(--INDEX('COOIS Raw'!$A:$GZ,ROW()-4,$A$4),INDEX('COOIS Raw'!$A:$GZ,ROW()-4,$A$4)))</f>
        <v/>
      </c>
      <c r="B753" s="41" t="str">
        <f aca="false">IF(A753="","",TRIM(INDEX('COOIS Raw'!$A:$GZ,ROW()-4,$B$4)))</f>
        <v/>
      </c>
      <c r="C753" s="42" t="str">
        <f aca="false">IF(OR(A753="",$C$4=0),"",INDEX('COOIS Raw'!$A:$GZ,ROW()-4,$C$4))</f>
        <v/>
      </c>
      <c r="D753" s="41" t="str">
        <f aca="false">IF(A753="","",IF($D$4=0,1,IFERROR(--INDEX('COOIS Raw'!$A:$GZ,ROW()-4,$D$4),1)))</f>
        <v/>
      </c>
      <c r="E753" s="42" t="str">
        <f aca="false">IF(A753="","",INDEX('COOIS Raw'!$A:$GZ,ROW()-4,$E$4)&amp;"")</f>
        <v/>
      </c>
      <c r="F753" s="43" t="str">
        <f aca="false">IF(A753="","",IFERROR(DATEVALUE(INDEX('COOIS Raw'!$A:$GZ,ROW()-4,$F$4)),INDEX('COOIS Raw'!$A:$GZ,ROW()-4,$F$4)))</f>
        <v/>
      </c>
      <c r="G753" s="41" t="str">
        <f aca="false">IF(A753="","",IF(ISNA(MATCH(B753,'Kitting Plan'!$B$6:$B$19,0)),"Not in plan","Yes"))</f>
        <v/>
      </c>
      <c r="H753" s="41" t="str">
        <f aca="false">IF(G753="Yes",INDEX('Kitting Plan'!$D$6:$D$19,MATCH(B753,'Kitting Plan'!$B$6:$B$19,0)),"")</f>
        <v/>
      </c>
      <c r="I753" s="41" t="str">
        <f aca="false">IF(A753="","",IF(ISNUMBER(SEARCH("PRT",E753)),D753,0))</f>
        <v/>
      </c>
      <c r="J753" s="41" t="str">
        <f aca="false">IF(A753="","",IF(ISNUMBER(SEARCH("GMPS",E753)),D753,0))</f>
        <v/>
      </c>
      <c r="K753" s="41" t="str">
        <f aca="false">IF(A753="","",IF(ISNUMBER(SEARCH("DLV",E753)),D753,0))</f>
        <v/>
      </c>
      <c r="L753" s="41" t="str">
        <f aca="false">IF(A753="","",IF(K753&gt;0,"Delivered",IF(ISNUMBER(SEARCH("CNF",E753)),"In production",IF(J753&gt;0,"Issued",IF(I753&gt;0,"Kitted","Released")))))</f>
        <v/>
      </c>
      <c r="M753" s="41" t="str">
        <f aca="false">IF(G753&lt;&gt;"Yes","",COUNTIFS($B$6:$B$1505,B753,$F$6:$F$1505,"&lt;"&amp;F753)+COUNTIFS($B$6:$B$1505,B753,$F$6:$F$1505,F753,$A$6:$A$1505,"&lt;="&amp;A753))</f>
        <v/>
      </c>
      <c r="N753" s="41" t="str">
        <f aca="false">IF(M753="","",ROUNDUP(M753/H753,0))</f>
        <v/>
      </c>
      <c r="O753" s="41" t="str">
        <f aca="false">IF(N753="","",IF(N753&lt;='Kitting Plan'!$C$3,"Rep "&amp;N753,"Surplus"))</f>
        <v/>
      </c>
    </row>
    <row r="754" customFormat="false" ht="15" hidden="false" customHeight="false" outlineLevel="0" collapsed="false">
      <c r="A754" s="40" t="str">
        <f aca="false">IF(OR($A$4=0,INDEX('COOIS Raw'!$A:$GZ,ROW()-4,$A$4)=""),"",IFERROR(--INDEX('COOIS Raw'!$A:$GZ,ROW()-4,$A$4),INDEX('COOIS Raw'!$A:$GZ,ROW()-4,$A$4)))</f>
        <v/>
      </c>
      <c r="B754" s="41" t="str">
        <f aca="false">IF(A754="","",TRIM(INDEX('COOIS Raw'!$A:$GZ,ROW()-4,$B$4)))</f>
        <v/>
      </c>
      <c r="C754" s="42" t="str">
        <f aca="false">IF(OR(A754="",$C$4=0),"",INDEX('COOIS Raw'!$A:$GZ,ROW()-4,$C$4))</f>
        <v/>
      </c>
      <c r="D754" s="41" t="str">
        <f aca="false">IF(A754="","",IF($D$4=0,1,IFERROR(--INDEX('COOIS Raw'!$A:$GZ,ROW()-4,$D$4),1)))</f>
        <v/>
      </c>
      <c r="E754" s="42" t="str">
        <f aca="false">IF(A754="","",INDEX('COOIS Raw'!$A:$GZ,ROW()-4,$E$4)&amp;"")</f>
        <v/>
      </c>
      <c r="F754" s="43" t="str">
        <f aca="false">IF(A754="","",IFERROR(DATEVALUE(INDEX('COOIS Raw'!$A:$GZ,ROW()-4,$F$4)),INDEX('COOIS Raw'!$A:$GZ,ROW()-4,$F$4)))</f>
        <v/>
      </c>
      <c r="G754" s="41" t="str">
        <f aca="false">IF(A754="","",IF(ISNA(MATCH(B754,'Kitting Plan'!$B$6:$B$19,0)),"Not in plan","Yes"))</f>
        <v/>
      </c>
      <c r="H754" s="41" t="str">
        <f aca="false">IF(G754="Yes",INDEX('Kitting Plan'!$D$6:$D$19,MATCH(B754,'Kitting Plan'!$B$6:$B$19,0)),"")</f>
        <v/>
      </c>
      <c r="I754" s="41" t="str">
        <f aca="false">IF(A754="","",IF(ISNUMBER(SEARCH("PRT",E754)),D754,0))</f>
        <v/>
      </c>
      <c r="J754" s="41" t="str">
        <f aca="false">IF(A754="","",IF(ISNUMBER(SEARCH("GMPS",E754)),D754,0))</f>
        <v/>
      </c>
      <c r="K754" s="41" t="str">
        <f aca="false">IF(A754="","",IF(ISNUMBER(SEARCH("DLV",E754)),D754,0))</f>
        <v/>
      </c>
      <c r="L754" s="41" t="str">
        <f aca="false">IF(A754="","",IF(K754&gt;0,"Delivered",IF(ISNUMBER(SEARCH("CNF",E754)),"In production",IF(J754&gt;0,"Issued",IF(I754&gt;0,"Kitted","Released")))))</f>
        <v/>
      </c>
      <c r="M754" s="41" t="str">
        <f aca="false">IF(G754&lt;&gt;"Yes","",COUNTIFS($B$6:$B$1505,B754,$F$6:$F$1505,"&lt;"&amp;F754)+COUNTIFS($B$6:$B$1505,B754,$F$6:$F$1505,F754,$A$6:$A$1505,"&lt;="&amp;A754))</f>
        <v/>
      </c>
      <c r="N754" s="41" t="str">
        <f aca="false">IF(M754="","",ROUNDUP(M754/H754,0))</f>
        <v/>
      </c>
      <c r="O754" s="41" t="str">
        <f aca="false">IF(N754="","",IF(N754&lt;='Kitting Plan'!$C$3,"Rep "&amp;N754,"Surplus"))</f>
        <v/>
      </c>
    </row>
    <row r="755" customFormat="false" ht="15" hidden="false" customHeight="false" outlineLevel="0" collapsed="false">
      <c r="A755" s="40" t="str">
        <f aca="false">IF(OR($A$4=0,INDEX('COOIS Raw'!$A:$GZ,ROW()-4,$A$4)=""),"",IFERROR(--INDEX('COOIS Raw'!$A:$GZ,ROW()-4,$A$4),INDEX('COOIS Raw'!$A:$GZ,ROW()-4,$A$4)))</f>
        <v/>
      </c>
      <c r="B755" s="41" t="str">
        <f aca="false">IF(A755="","",TRIM(INDEX('COOIS Raw'!$A:$GZ,ROW()-4,$B$4)))</f>
        <v/>
      </c>
      <c r="C755" s="42" t="str">
        <f aca="false">IF(OR(A755="",$C$4=0),"",INDEX('COOIS Raw'!$A:$GZ,ROW()-4,$C$4))</f>
        <v/>
      </c>
      <c r="D755" s="41" t="str">
        <f aca="false">IF(A755="","",IF($D$4=0,1,IFERROR(--INDEX('COOIS Raw'!$A:$GZ,ROW()-4,$D$4),1)))</f>
        <v/>
      </c>
      <c r="E755" s="42" t="str">
        <f aca="false">IF(A755="","",INDEX('COOIS Raw'!$A:$GZ,ROW()-4,$E$4)&amp;"")</f>
        <v/>
      </c>
      <c r="F755" s="43" t="str">
        <f aca="false">IF(A755="","",IFERROR(DATEVALUE(INDEX('COOIS Raw'!$A:$GZ,ROW()-4,$F$4)),INDEX('COOIS Raw'!$A:$GZ,ROW()-4,$F$4)))</f>
        <v/>
      </c>
      <c r="G755" s="41" t="str">
        <f aca="false">IF(A755="","",IF(ISNA(MATCH(B755,'Kitting Plan'!$B$6:$B$19,0)),"Not in plan","Yes"))</f>
        <v/>
      </c>
      <c r="H755" s="41" t="str">
        <f aca="false">IF(G755="Yes",INDEX('Kitting Plan'!$D$6:$D$19,MATCH(B755,'Kitting Plan'!$B$6:$B$19,0)),"")</f>
        <v/>
      </c>
      <c r="I755" s="41" t="str">
        <f aca="false">IF(A755="","",IF(ISNUMBER(SEARCH("PRT",E755)),D755,0))</f>
        <v/>
      </c>
      <c r="J755" s="41" t="str">
        <f aca="false">IF(A755="","",IF(ISNUMBER(SEARCH("GMPS",E755)),D755,0))</f>
        <v/>
      </c>
      <c r="K755" s="41" t="str">
        <f aca="false">IF(A755="","",IF(ISNUMBER(SEARCH("DLV",E755)),D755,0))</f>
        <v/>
      </c>
      <c r="L755" s="41" t="str">
        <f aca="false">IF(A755="","",IF(K755&gt;0,"Delivered",IF(ISNUMBER(SEARCH("CNF",E755)),"In production",IF(J755&gt;0,"Issued",IF(I755&gt;0,"Kitted","Released")))))</f>
        <v/>
      </c>
      <c r="M755" s="41" t="str">
        <f aca="false">IF(G755&lt;&gt;"Yes","",COUNTIFS($B$6:$B$1505,B755,$F$6:$F$1505,"&lt;"&amp;F755)+COUNTIFS($B$6:$B$1505,B755,$F$6:$F$1505,F755,$A$6:$A$1505,"&lt;="&amp;A755))</f>
        <v/>
      </c>
      <c r="N755" s="41" t="str">
        <f aca="false">IF(M755="","",ROUNDUP(M755/H755,0))</f>
        <v/>
      </c>
      <c r="O755" s="41" t="str">
        <f aca="false">IF(N755="","",IF(N755&lt;='Kitting Plan'!$C$3,"Rep "&amp;N755,"Surplus"))</f>
        <v/>
      </c>
    </row>
    <row r="756" customFormat="false" ht="15" hidden="false" customHeight="false" outlineLevel="0" collapsed="false">
      <c r="A756" s="40" t="str">
        <f aca="false">IF(OR($A$4=0,INDEX('COOIS Raw'!$A:$GZ,ROW()-4,$A$4)=""),"",IFERROR(--INDEX('COOIS Raw'!$A:$GZ,ROW()-4,$A$4),INDEX('COOIS Raw'!$A:$GZ,ROW()-4,$A$4)))</f>
        <v/>
      </c>
      <c r="B756" s="41" t="str">
        <f aca="false">IF(A756="","",TRIM(INDEX('COOIS Raw'!$A:$GZ,ROW()-4,$B$4)))</f>
        <v/>
      </c>
      <c r="C756" s="42" t="str">
        <f aca="false">IF(OR(A756="",$C$4=0),"",INDEX('COOIS Raw'!$A:$GZ,ROW()-4,$C$4))</f>
        <v/>
      </c>
      <c r="D756" s="41" t="str">
        <f aca="false">IF(A756="","",IF($D$4=0,1,IFERROR(--INDEX('COOIS Raw'!$A:$GZ,ROW()-4,$D$4),1)))</f>
        <v/>
      </c>
      <c r="E756" s="42" t="str">
        <f aca="false">IF(A756="","",INDEX('COOIS Raw'!$A:$GZ,ROW()-4,$E$4)&amp;"")</f>
        <v/>
      </c>
      <c r="F756" s="43" t="str">
        <f aca="false">IF(A756="","",IFERROR(DATEVALUE(INDEX('COOIS Raw'!$A:$GZ,ROW()-4,$F$4)),INDEX('COOIS Raw'!$A:$GZ,ROW()-4,$F$4)))</f>
        <v/>
      </c>
      <c r="G756" s="41" t="str">
        <f aca="false">IF(A756="","",IF(ISNA(MATCH(B756,'Kitting Plan'!$B$6:$B$19,0)),"Not in plan","Yes"))</f>
        <v/>
      </c>
      <c r="H756" s="41" t="str">
        <f aca="false">IF(G756="Yes",INDEX('Kitting Plan'!$D$6:$D$19,MATCH(B756,'Kitting Plan'!$B$6:$B$19,0)),"")</f>
        <v/>
      </c>
      <c r="I756" s="41" t="str">
        <f aca="false">IF(A756="","",IF(ISNUMBER(SEARCH("PRT",E756)),D756,0))</f>
        <v/>
      </c>
      <c r="J756" s="41" t="str">
        <f aca="false">IF(A756="","",IF(ISNUMBER(SEARCH("GMPS",E756)),D756,0))</f>
        <v/>
      </c>
      <c r="K756" s="41" t="str">
        <f aca="false">IF(A756="","",IF(ISNUMBER(SEARCH("DLV",E756)),D756,0))</f>
        <v/>
      </c>
      <c r="L756" s="41" t="str">
        <f aca="false">IF(A756="","",IF(K756&gt;0,"Delivered",IF(ISNUMBER(SEARCH("CNF",E756)),"In production",IF(J756&gt;0,"Issued",IF(I756&gt;0,"Kitted","Released")))))</f>
        <v/>
      </c>
      <c r="M756" s="41" t="str">
        <f aca="false">IF(G756&lt;&gt;"Yes","",COUNTIFS($B$6:$B$1505,B756,$F$6:$F$1505,"&lt;"&amp;F756)+COUNTIFS($B$6:$B$1505,B756,$F$6:$F$1505,F756,$A$6:$A$1505,"&lt;="&amp;A756))</f>
        <v/>
      </c>
      <c r="N756" s="41" t="str">
        <f aca="false">IF(M756="","",ROUNDUP(M756/H756,0))</f>
        <v/>
      </c>
      <c r="O756" s="41" t="str">
        <f aca="false">IF(N756="","",IF(N756&lt;='Kitting Plan'!$C$3,"Rep "&amp;N756,"Surplus"))</f>
        <v/>
      </c>
    </row>
    <row r="757" customFormat="false" ht="15" hidden="false" customHeight="false" outlineLevel="0" collapsed="false">
      <c r="A757" s="40" t="str">
        <f aca="false">IF(OR($A$4=0,INDEX('COOIS Raw'!$A:$GZ,ROW()-4,$A$4)=""),"",IFERROR(--INDEX('COOIS Raw'!$A:$GZ,ROW()-4,$A$4),INDEX('COOIS Raw'!$A:$GZ,ROW()-4,$A$4)))</f>
        <v/>
      </c>
      <c r="B757" s="41" t="str">
        <f aca="false">IF(A757="","",TRIM(INDEX('COOIS Raw'!$A:$GZ,ROW()-4,$B$4)))</f>
        <v/>
      </c>
      <c r="C757" s="42" t="str">
        <f aca="false">IF(OR(A757="",$C$4=0),"",INDEX('COOIS Raw'!$A:$GZ,ROW()-4,$C$4))</f>
        <v/>
      </c>
      <c r="D757" s="41" t="str">
        <f aca="false">IF(A757="","",IF($D$4=0,1,IFERROR(--INDEX('COOIS Raw'!$A:$GZ,ROW()-4,$D$4),1)))</f>
        <v/>
      </c>
      <c r="E757" s="42" t="str">
        <f aca="false">IF(A757="","",INDEX('COOIS Raw'!$A:$GZ,ROW()-4,$E$4)&amp;"")</f>
        <v/>
      </c>
      <c r="F757" s="43" t="str">
        <f aca="false">IF(A757="","",IFERROR(DATEVALUE(INDEX('COOIS Raw'!$A:$GZ,ROW()-4,$F$4)),INDEX('COOIS Raw'!$A:$GZ,ROW()-4,$F$4)))</f>
        <v/>
      </c>
      <c r="G757" s="41" t="str">
        <f aca="false">IF(A757="","",IF(ISNA(MATCH(B757,'Kitting Plan'!$B$6:$B$19,0)),"Not in plan","Yes"))</f>
        <v/>
      </c>
      <c r="H757" s="41" t="str">
        <f aca="false">IF(G757="Yes",INDEX('Kitting Plan'!$D$6:$D$19,MATCH(B757,'Kitting Plan'!$B$6:$B$19,0)),"")</f>
        <v/>
      </c>
      <c r="I757" s="41" t="str">
        <f aca="false">IF(A757="","",IF(ISNUMBER(SEARCH("PRT",E757)),D757,0))</f>
        <v/>
      </c>
      <c r="J757" s="41" t="str">
        <f aca="false">IF(A757="","",IF(ISNUMBER(SEARCH("GMPS",E757)),D757,0))</f>
        <v/>
      </c>
      <c r="K757" s="41" t="str">
        <f aca="false">IF(A757="","",IF(ISNUMBER(SEARCH("DLV",E757)),D757,0))</f>
        <v/>
      </c>
      <c r="L757" s="41" t="str">
        <f aca="false">IF(A757="","",IF(K757&gt;0,"Delivered",IF(ISNUMBER(SEARCH("CNF",E757)),"In production",IF(J757&gt;0,"Issued",IF(I757&gt;0,"Kitted","Released")))))</f>
        <v/>
      </c>
      <c r="M757" s="41" t="str">
        <f aca="false">IF(G757&lt;&gt;"Yes","",COUNTIFS($B$6:$B$1505,B757,$F$6:$F$1505,"&lt;"&amp;F757)+COUNTIFS($B$6:$B$1505,B757,$F$6:$F$1505,F757,$A$6:$A$1505,"&lt;="&amp;A757))</f>
        <v/>
      </c>
      <c r="N757" s="41" t="str">
        <f aca="false">IF(M757="","",ROUNDUP(M757/H757,0))</f>
        <v/>
      </c>
      <c r="O757" s="41" t="str">
        <f aca="false">IF(N757="","",IF(N757&lt;='Kitting Plan'!$C$3,"Rep "&amp;N757,"Surplus"))</f>
        <v/>
      </c>
    </row>
    <row r="758" customFormat="false" ht="15" hidden="false" customHeight="false" outlineLevel="0" collapsed="false">
      <c r="A758" s="40" t="str">
        <f aca="false">IF(OR($A$4=0,INDEX('COOIS Raw'!$A:$GZ,ROW()-4,$A$4)=""),"",IFERROR(--INDEX('COOIS Raw'!$A:$GZ,ROW()-4,$A$4),INDEX('COOIS Raw'!$A:$GZ,ROW()-4,$A$4)))</f>
        <v/>
      </c>
      <c r="B758" s="41" t="str">
        <f aca="false">IF(A758="","",TRIM(INDEX('COOIS Raw'!$A:$GZ,ROW()-4,$B$4)))</f>
        <v/>
      </c>
      <c r="C758" s="42" t="str">
        <f aca="false">IF(OR(A758="",$C$4=0),"",INDEX('COOIS Raw'!$A:$GZ,ROW()-4,$C$4))</f>
        <v/>
      </c>
      <c r="D758" s="41" t="str">
        <f aca="false">IF(A758="","",IF($D$4=0,1,IFERROR(--INDEX('COOIS Raw'!$A:$GZ,ROW()-4,$D$4),1)))</f>
        <v/>
      </c>
      <c r="E758" s="42" t="str">
        <f aca="false">IF(A758="","",INDEX('COOIS Raw'!$A:$GZ,ROW()-4,$E$4)&amp;"")</f>
        <v/>
      </c>
      <c r="F758" s="43" t="str">
        <f aca="false">IF(A758="","",IFERROR(DATEVALUE(INDEX('COOIS Raw'!$A:$GZ,ROW()-4,$F$4)),INDEX('COOIS Raw'!$A:$GZ,ROW()-4,$F$4)))</f>
        <v/>
      </c>
      <c r="G758" s="41" t="str">
        <f aca="false">IF(A758="","",IF(ISNA(MATCH(B758,'Kitting Plan'!$B$6:$B$19,0)),"Not in plan","Yes"))</f>
        <v/>
      </c>
      <c r="H758" s="41" t="str">
        <f aca="false">IF(G758="Yes",INDEX('Kitting Plan'!$D$6:$D$19,MATCH(B758,'Kitting Plan'!$B$6:$B$19,0)),"")</f>
        <v/>
      </c>
      <c r="I758" s="41" t="str">
        <f aca="false">IF(A758="","",IF(ISNUMBER(SEARCH("PRT",E758)),D758,0))</f>
        <v/>
      </c>
      <c r="J758" s="41" t="str">
        <f aca="false">IF(A758="","",IF(ISNUMBER(SEARCH("GMPS",E758)),D758,0))</f>
        <v/>
      </c>
      <c r="K758" s="41" t="str">
        <f aca="false">IF(A758="","",IF(ISNUMBER(SEARCH("DLV",E758)),D758,0))</f>
        <v/>
      </c>
      <c r="L758" s="41" t="str">
        <f aca="false">IF(A758="","",IF(K758&gt;0,"Delivered",IF(ISNUMBER(SEARCH("CNF",E758)),"In production",IF(J758&gt;0,"Issued",IF(I758&gt;0,"Kitted","Released")))))</f>
        <v/>
      </c>
      <c r="M758" s="41" t="str">
        <f aca="false">IF(G758&lt;&gt;"Yes","",COUNTIFS($B$6:$B$1505,B758,$F$6:$F$1505,"&lt;"&amp;F758)+COUNTIFS($B$6:$B$1505,B758,$F$6:$F$1505,F758,$A$6:$A$1505,"&lt;="&amp;A758))</f>
        <v/>
      </c>
      <c r="N758" s="41" t="str">
        <f aca="false">IF(M758="","",ROUNDUP(M758/H758,0))</f>
        <v/>
      </c>
      <c r="O758" s="41" t="str">
        <f aca="false">IF(N758="","",IF(N758&lt;='Kitting Plan'!$C$3,"Rep "&amp;N758,"Surplus"))</f>
        <v/>
      </c>
    </row>
    <row r="759" customFormat="false" ht="15" hidden="false" customHeight="false" outlineLevel="0" collapsed="false">
      <c r="A759" s="40" t="str">
        <f aca="false">IF(OR($A$4=0,INDEX('COOIS Raw'!$A:$GZ,ROW()-4,$A$4)=""),"",IFERROR(--INDEX('COOIS Raw'!$A:$GZ,ROW()-4,$A$4),INDEX('COOIS Raw'!$A:$GZ,ROW()-4,$A$4)))</f>
        <v/>
      </c>
      <c r="B759" s="41" t="str">
        <f aca="false">IF(A759="","",TRIM(INDEX('COOIS Raw'!$A:$GZ,ROW()-4,$B$4)))</f>
        <v/>
      </c>
      <c r="C759" s="42" t="str">
        <f aca="false">IF(OR(A759="",$C$4=0),"",INDEX('COOIS Raw'!$A:$GZ,ROW()-4,$C$4))</f>
        <v/>
      </c>
      <c r="D759" s="41" t="str">
        <f aca="false">IF(A759="","",IF($D$4=0,1,IFERROR(--INDEX('COOIS Raw'!$A:$GZ,ROW()-4,$D$4),1)))</f>
        <v/>
      </c>
      <c r="E759" s="42" t="str">
        <f aca="false">IF(A759="","",INDEX('COOIS Raw'!$A:$GZ,ROW()-4,$E$4)&amp;"")</f>
        <v/>
      </c>
      <c r="F759" s="43" t="str">
        <f aca="false">IF(A759="","",IFERROR(DATEVALUE(INDEX('COOIS Raw'!$A:$GZ,ROW()-4,$F$4)),INDEX('COOIS Raw'!$A:$GZ,ROW()-4,$F$4)))</f>
        <v/>
      </c>
      <c r="G759" s="41" t="str">
        <f aca="false">IF(A759="","",IF(ISNA(MATCH(B759,'Kitting Plan'!$B$6:$B$19,0)),"Not in plan","Yes"))</f>
        <v/>
      </c>
      <c r="H759" s="41" t="str">
        <f aca="false">IF(G759="Yes",INDEX('Kitting Plan'!$D$6:$D$19,MATCH(B759,'Kitting Plan'!$B$6:$B$19,0)),"")</f>
        <v/>
      </c>
      <c r="I759" s="41" t="str">
        <f aca="false">IF(A759="","",IF(ISNUMBER(SEARCH("PRT",E759)),D759,0))</f>
        <v/>
      </c>
      <c r="J759" s="41" t="str">
        <f aca="false">IF(A759="","",IF(ISNUMBER(SEARCH("GMPS",E759)),D759,0))</f>
        <v/>
      </c>
      <c r="K759" s="41" t="str">
        <f aca="false">IF(A759="","",IF(ISNUMBER(SEARCH("DLV",E759)),D759,0))</f>
        <v/>
      </c>
      <c r="L759" s="41" t="str">
        <f aca="false">IF(A759="","",IF(K759&gt;0,"Delivered",IF(ISNUMBER(SEARCH("CNF",E759)),"In production",IF(J759&gt;0,"Issued",IF(I759&gt;0,"Kitted","Released")))))</f>
        <v/>
      </c>
      <c r="M759" s="41" t="str">
        <f aca="false">IF(G759&lt;&gt;"Yes","",COUNTIFS($B$6:$B$1505,B759,$F$6:$F$1505,"&lt;"&amp;F759)+COUNTIFS($B$6:$B$1505,B759,$F$6:$F$1505,F759,$A$6:$A$1505,"&lt;="&amp;A759))</f>
        <v/>
      </c>
      <c r="N759" s="41" t="str">
        <f aca="false">IF(M759="","",ROUNDUP(M759/H759,0))</f>
        <v/>
      </c>
      <c r="O759" s="41" t="str">
        <f aca="false">IF(N759="","",IF(N759&lt;='Kitting Plan'!$C$3,"Rep "&amp;N759,"Surplus"))</f>
        <v/>
      </c>
    </row>
    <row r="760" customFormat="false" ht="15" hidden="false" customHeight="false" outlineLevel="0" collapsed="false">
      <c r="A760" s="40" t="str">
        <f aca="false">IF(OR($A$4=0,INDEX('COOIS Raw'!$A:$GZ,ROW()-4,$A$4)=""),"",IFERROR(--INDEX('COOIS Raw'!$A:$GZ,ROW()-4,$A$4),INDEX('COOIS Raw'!$A:$GZ,ROW()-4,$A$4)))</f>
        <v/>
      </c>
      <c r="B760" s="41" t="str">
        <f aca="false">IF(A760="","",TRIM(INDEX('COOIS Raw'!$A:$GZ,ROW()-4,$B$4)))</f>
        <v/>
      </c>
      <c r="C760" s="42" t="str">
        <f aca="false">IF(OR(A760="",$C$4=0),"",INDEX('COOIS Raw'!$A:$GZ,ROW()-4,$C$4))</f>
        <v/>
      </c>
      <c r="D760" s="41" t="str">
        <f aca="false">IF(A760="","",IF($D$4=0,1,IFERROR(--INDEX('COOIS Raw'!$A:$GZ,ROW()-4,$D$4),1)))</f>
        <v/>
      </c>
      <c r="E760" s="42" t="str">
        <f aca="false">IF(A760="","",INDEX('COOIS Raw'!$A:$GZ,ROW()-4,$E$4)&amp;"")</f>
        <v/>
      </c>
      <c r="F760" s="43" t="str">
        <f aca="false">IF(A760="","",IFERROR(DATEVALUE(INDEX('COOIS Raw'!$A:$GZ,ROW()-4,$F$4)),INDEX('COOIS Raw'!$A:$GZ,ROW()-4,$F$4)))</f>
        <v/>
      </c>
      <c r="G760" s="41" t="str">
        <f aca="false">IF(A760="","",IF(ISNA(MATCH(B760,'Kitting Plan'!$B$6:$B$19,0)),"Not in plan","Yes"))</f>
        <v/>
      </c>
      <c r="H760" s="41" t="str">
        <f aca="false">IF(G760="Yes",INDEX('Kitting Plan'!$D$6:$D$19,MATCH(B760,'Kitting Plan'!$B$6:$B$19,0)),"")</f>
        <v/>
      </c>
      <c r="I760" s="41" t="str">
        <f aca="false">IF(A760="","",IF(ISNUMBER(SEARCH("PRT",E760)),D760,0))</f>
        <v/>
      </c>
      <c r="J760" s="41" t="str">
        <f aca="false">IF(A760="","",IF(ISNUMBER(SEARCH("GMPS",E760)),D760,0))</f>
        <v/>
      </c>
      <c r="K760" s="41" t="str">
        <f aca="false">IF(A760="","",IF(ISNUMBER(SEARCH("DLV",E760)),D760,0))</f>
        <v/>
      </c>
      <c r="L760" s="41" t="str">
        <f aca="false">IF(A760="","",IF(K760&gt;0,"Delivered",IF(ISNUMBER(SEARCH("CNF",E760)),"In production",IF(J760&gt;0,"Issued",IF(I760&gt;0,"Kitted","Released")))))</f>
        <v/>
      </c>
      <c r="M760" s="41" t="str">
        <f aca="false">IF(G760&lt;&gt;"Yes","",COUNTIFS($B$6:$B$1505,B760,$F$6:$F$1505,"&lt;"&amp;F760)+COUNTIFS($B$6:$B$1505,B760,$F$6:$F$1505,F760,$A$6:$A$1505,"&lt;="&amp;A760))</f>
        <v/>
      </c>
      <c r="N760" s="41" t="str">
        <f aca="false">IF(M760="","",ROUNDUP(M760/H760,0))</f>
        <v/>
      </c>
      <c r="O760" s="41" t="str">
        <f aca="false">IF(N760="","",IF(N760&lt;='Kitting Plan'!$C$3,"Rep "&amp;N760,"Surplus"))</f>
        <v/>
      </c>
    </row>
    <row r="761" customFormat="false" ht="15" hidden="false" customHeight="false" outlineLevel="0" collapsed="false">
      <c r="A761" s="40" t="str">
        <f aca="false">IF(OR($A$4=0,INDEX('COOIS Raw'!$A:$GZ,ROW()-4,$A$4)=""),"",IFERROR(--INDEX('COOIS Raw'!$A:$GZ,ROW()-4,$A$4),INDEX('COOIS Raw'!$A:$GZ,ROW()-4,$A$4)))</f>
        <v/>
      </c>
      <c r="B761" s="41" t="str">
        <f aca="false">IF(A761="","",TRIM(INDEX('COOIS Raw'!$A:$GZ,ROW()-4,$B$4)))</f>
        <v/>
      </c>
      <c r="C761" s="42" t="str">
        <f aca="false">IF(OR(A761="",$C$4=0),"",INDEX('COOIS Raw'!$A:$GZ,ROW()-4,$C$4))</f>
        <v/>
      </c>
      <c r="D761" s="41" t="str">
        <f aca="false">IF(A761="","",IF($D$4=0,1,IFERROR(--INDEX('COOIS Raw'!$A:$GZ,ROW()-4,$D$4),1)))</f>
        <v/>
      </c>
      <c r="E761" s="42" t="str">
        <f aca="false">IF(A761="","",INDEX('COOIS Raw'!$A:$GZ,ROW()-4,$E$4)&amp;"")</f>
        <v/>
      </c>
      <c r="F761" s="43" t="str">
        <f aca="false">IF(A761="","",IFERROR(DATEVALUE(INDEX('COOIS Raw'!$A:$GZ,ROW()-4,$F$4)),INDEX('COOIS Raw'!$A:$GZ,ROW()-4,$F$4)))</f>
        <v/>
      </c>
      <c r="G761" s="41" t="str">
        <f aca="false">IF(A761="","",IF(ISNA(MATCH(B761,'Kitting Plan'!$B$6:$B$19,0)),"Not in plan","Yes"))</f>
        <v/>
      </c>
      <c r="H761" s="41" t="str">
        <f aca="false">IF(G761="Yes",INDEX('Kitting Plan'!$D$6:$D$19,MATCH(B761,'Kitting Plan'!$B$6:$B$19,0)),"")</f>
        <v/>
      </c>
      <c r="I761" s="41" t="str">
        <f aca="false">IF(A761="","",IF(ISNUMBER(SEARCH("PRT",E761)),D761,0))</f>
        <v/>
      </c>
      <c r="J761" s="41" t="str">
        <f aca="false">IF(A761="","",IF(ISNUMBER(SEARCH("GMPS",E761)),D761,0))</f>
        <v/>
      </c>
      <c r="K761" s="41" t="str">
        <f aca="false">IF(A761="","",IF(ISNUMBER(SEARCH("DLV",E761)),D761,0))</f>
        <v/>
      </c>
      <c r="L761" s="41" t="str">
        <f aca="false">IF(A761="","",IF(K761&gt;0,"Delivered",IF(ISNUMBER(SEARCH("CNF",E761)),"In production",IF(J761&gt;0,"Issued",IF(I761&gt;0,"Kitted","Released")))))</f>
        <v/>
      </c>
      <c r="M761" s="41" t="str">
        <f aca="false">IF(G761&lt;&gt;"Yes","",COUNTIFS($B$6:$B$1505,B761,$F$6:$F$1505,"&lt;"&amp;F761)+COUNTIFS($B$6:$B$1505,B761,$F$6:$F$1505,F761,$A$6:$A$1505,"&lt;="&amp;A761))</f>
        <v/>
      </c>
      <c r="N761" s="41" t="str">
        <f aca="false">IF(M761="","",ROUNDUP(M761/H761,0))</f>
        <v/>
      </c>
      <c r="O761" s="41" t="str">
        <f aca="false">IF(N761="","",IF(N761&lt;='Kitting Plan'!$C$3,"Rep "&amp;N761,"Surplus"))</f>
        <v/>
      </c>
    </row>
    <row r="762" customFormat="false" ht="15" hidden="false" customHeight="false" outlineLevel="0" collapsed="false">
      <c r="A762" s="40" t="str">
        <f aca="false">IF(OR($A$4=0,INDEX('COOIS Raw'!$A:$GZ,ROW()-4,$A$4)=""),"",IFERROR(--INDEX('COOIS Raw'!$A:$GZ,ROW()-4,$A$4),INDEX('COOIS Raw'!$A:$GZ,ROW()-4,$A$4)))</f>
        <v/>
      </c>
      <c r="B762" s="41" t="str">
        <f aca="false">IF(A762="","",TRIM(INDEX('COOIS Raw'!$A:$GZ,ROW()-4,$B$4)))</f>
        <v/>
      </c>
      <c r="C762" s="42" t="str">
        <f aca="false">IF(OR(A762="",$C$4=0),"",INDEX('COOIS Raw'!$A:$GZ,ROW()-4,$C$4))</f>
        <v/>
      </c>
      <c r="D762" s="41" t="str">
        <f aca="false">IF(A762="","",IF($D$4=0,1,IFERROR(--INDEX('COOIS Raw'!$A:$GZ,ROW()-4,$D$4),1)))</f>
        <v/>
      </c>
      <c r="E762" s="42" t="str">
        <f aca="false">IF(A762="","",INDEX('COOIS Raw'!$A:$GZ,ROW()-4,$E$4)&amp;"")</f>
        <v/>
      </c>
      <c r="F762" s="43" t="str">
        <f aca="false">IF(A762="","",IFERROR(DATEVALUE(INDEX('COOIS Raw'!$A:$GZ,ROW()-4,$F$4)),INDEX('COOIS Raw'!$A:$GZ,ROW()-4,$F$4)))</f>
        <v/>
      </c>
      <c r="G762" s="41" t="str">
        <f aca="false">IF(A762="","",IF(ISNA(MATCH(B762,'Kitting Plan'!$B$6:$B$19,0)),"Not in plan","Yes"))</f>
        <v/>
      </c>
      <c r="H762" s="41" t="str">
        <f aca="false">IF(G762="Yes",INDEX('Kitting Plan'!$D$6:$D$19,MATCH(B762,'Kitting Plan'!$B$6:$B$19,0)),"")</f>
        <v/>
      </c>
      <c r="I762" s="41" t="str">
        <f aca="false">IF(A762="","",IF(ISNUMBER(SEARCH("PRT",E762)),D762,0))</f>
        <v/>
      </c>
      <c r="J762" s="41" t="str">
        <f aca="false">IF(A762="","",IF(ISNUMBER(SEARCH("GMPS",E762)),D762,0))</f>
        <v/>
      </c>
      <c r="K762" s="41" t="str">
        <f aca="false">IF(A762="","",IF(ISNUMBER(SEARCH("DLV",E762)),D762,0))</f>
        <v/>
      </c>
      <c r="L762" s="41" t="str">
        <f aca="false">IF(A762="","",IF(K762&gt;0,"Delivered",IF(ISNUMBER(SEARCH("CNF",E762)),"In production",IF(J762&gt;0,"Issued",IF(I762&gt;0,"Kitted","Released")))))</f>
        <v/>
      </c>
      <c r="M762" s="41" t="str">
        <f aca="false">IF(G762&lt;&gt;"Yes","",COUNTIFS($B$6:$B$1505,B762,$F$6:$F$1505,"&lt;"&amp;F762)+COUNTIFS($B$6:$B$1505,B762,$F$6:$F$1505,F762,$A$6:$A$1505,"&lt;="&amp;A762))</f>
        <v/>
      </c>
      <c r="N762" s="41" t="str">
        <f aca="false">IF(M762="","",ROUNDUP(M762/H762,0))</f>
        <v/>
      </c>
      <c r="O762" s="41" t="str">
        <f aca="false">IF(N762="","",IF(N762&lt;='Kitting Plan'!$C$3,"Rep "&amp;N762,"Surplus"))</f>
        <v/>
      </c>
    </row>
    <row r="763" customFormat="false" ht="15" hidden="false" customHeight="false" outlineLevel="0" collapsed="false">
      <c r="A763" s="40" t="str">
        <f aca="false">IF(OR($A$4=0,INDEX('COOIS Raw'!$A:$GZ,ROW()-4,$A$4)=""),"",IFERROR(--INDEX('COOIS Raw'!$A:$GZ,ROW()-4,$A$4),INDEX('COOIS Raw'!$A:$GZ,ROW()-4,$A$4)))</f>
        <v/>
      </c>
      <c r="B763" s="41" t="str">
        <f aca="false">IF(A763="","",TRIM(INDEX('COOIS Raw'!$A:$GZ,ROW()-4,$B$4)))</f>
        <v/>
      </c>
      <c r="C763" s="42" t="str">
        <f aca="false">IF(OR(A763="",$C$4=0),"",INDEX('COOIS Raw'!$A:$GZ,ROW()-4,$C$4))</f>
        <v/>
      </c>
      <c r="D763" s="41" t="str">
        <f aca="false">IF(A763="","",IF($D$4=0,1,IFERROR(--INDEX('COOIS Raw'!$A:$GZ,ROW()-4,$D$4),1)))</f>
        <v/>
      </c>
      <c r="E763" s="42" t="str">
        <f aca="false">IF(A763="","",INDEX('COOIS Raw'!$A:$GZ,ROW()-4,$E$4)&amp;"")</f>
        <v/>
      </c>
      <c r="F763" s="43" t="str">
        <f aca="false">IF(A763="","",IFERROR(DATEVALUE(INDEX('COOIS Raw'!$A:$GZ,ROW()-4,$F$4)),INDEX('COOIS Raw'!$A:$GZ,ROW()-4,$F$4)))</f>
        <v/>
      </c>
      <c r="G763" s="41" t="str">
        <f aca="false">IF(A763="","",IF(ISNA(MATCH(B763,'Kitting Plan'!$B$6:$B$19,0)),"Not in plan","Yes"))</f>
        <v/>
      </c>
      <c r="H763" s="41" t="str">
        <f aca="false">IF(G763="Yes",INDEX('Kitting Plan'!$D$6:$D$19,MATCH(B763,'Kitting Plan'!$B$6:$B$19,0)),"")</f>
        <v/>
      </c>
      <c r="I763" s="41" t="str">
        <f aca="false">IF(A763="","",IF(ISNUMBER(SEARCH("PRT",E763)),D763,0))</f>
        <v/>
      </c>
      <c r="J763" s="41" t="str">
        <f aca="false">IF(A763="","",IF(ISNUMBER(SEARCH("GMPS",E763)),D763,0))</f>
        <v/>
      </c>
      <c r="K763" s="41" t="str">
        <f aca="false">IF(A763="","",IF(ISNUMBER(SEARCH("DLV",E763)),D763,0))</f>
        <v/>
      </c>
      <c r="L763" s="41" t="str">
        <f aca="false">IF(A763="","",IF(K763&gt;0,"Delivered",IF(ISNUMBER(SEARCH("CNF",E763)),"In production",IF(J763&gt;0,"Issued",IF(I763&gt;0,"Kitted","Released")))))</f>
        <v/>
      </c>
      <c r="M763" s="41" t="str">
        <f aca="false">IF(G763&lt;&gt;"Yes","",COUNTIFS($B$6:$B$1505,B763,$F$6:$F$1505,"&lt;"&amp;F763)+COUNTIFS($B$6:$B$1505,B763,$F$6:$F$1505,F763,$A$6:$A$1505,"&lt;="&amp;A763))</f>
        <v/>
      </c>
      <c r="N763" s="41" t="str">
        <f aca="false">IF(M763="","",ROUNDUP(M763/H763,0))</f>
        <v/>
      </c>
      <c r="O763" s="41" t="str">
        <f aca="false">IF(N763="","",IF(N763&lt;='Kitting Plan'!$C$3,"Rep "&amp;N763,"Surplus"))</f>
        <v/>
      </c>
    </row>
    <row r="764" customFormat="false" ht="15" hidden="false" customHeight="false" outlineLevel="0" collapsed="false">
      <c r="A764" s="40" t="str">
        <f aca="false">IF(OR($A$4=0,INDEX('COOIS Raw'!$A:$GZ,ROW()-4,$A$4)=""),"",IFERROR(--INDEX('COOIS Raw'!$A:$GZ,ROW()-4,$A$4),INDEX('COOIS Raw'!$A:$GZ,ROW()-4,$A$4)))</f>
        <v/>
      </c>
      <c r="B764" s="41" t="str">
        <f aca="false">IF(A764="","",TRIM(INDEX('COOIS Raw'!$A:$GZ,ROW()-4,$B$4)))</f>
        <v/>
      </c>
      <c r="C764" s="42" t="str">
        <f aca="false">IF(OR(A764="",$C$4=0),"",INDEX('COOIS Raw'!$A:$GZ,ROW()-4,$C$4))</f>
        <v/>
      </c>
      <c r="D764" s="41" t="str">
        <f aca="false">IF(A764="","",IF($D$4=0,1,IFERROR(--INDEX('COOIS Raw'!$A:$GZ,ROW()-4,$D$4),1)))</f>
        <v/>
      </c>
      <c r="E764" s="42" t="str">
        <f aca="false">IF(A764="","",INDEX('COOIS Raw'!$A:$GZ,ROW()-4,$E$4)&amp;"")</f>
        <v/>
      </c>
      <c r="F764" s="43" t="str">
        <f aca="false">IF(A764="","",IFERROR(DATEVALUE(INDEX('COOIS Raw'!$A:$GZ,ROW()-4,$F$4)),INDEX('COOIS Raw'!$A:$GZ,ROW()-4,$F$4)))</f>
        <v/>
      </c>
      <c r="G764" s="41" t="str">
        <f aca="false">IF(A764="","",IF(ISNA(MATCH(B764,'Kitting Plan'!$B$6:$B$19,0)),"Not in plan","Yes"))</f>
        <v/>
      </c>
      <c r="H764" s="41" t="str">
        <f aca="false">IF(G764="Yes",INDEX('Kitting Plan'!$D$6:$D$19,MATCH(B764,'Kitting Plan'!$B$6:$B$19,0)),"")</f>
        <v/>
      </c>
      <c r="I764" s="41" t="str">
        <f aca="false">IF(A764="","",IF(ISNUMBER(SEARCH("PRT",E764)),D764,0))</f>
        <v/>
      </c>
      <c r="J764" s="41" t="str">
        <f aca="false">IF(A764="","",IF(ISNUMBER(SEARCH("GMPS",E764)),D764,0))</f>
        <v/>
      </c>
      <c r="K764" s="41" t="str">
        <f aca="false">IF(A764="","",IF(ISNUMBER(SEARCH("DLV",E764)),D764,0))</f>
        <v/>
      </c>
      <c r="L764" s="41" t="str">
        <f aca="false">IF(A764="","",IF(K764&gt;0,"Delivered",IF(ISNUMBER(SEARCH("CNF",E764)),"In production",IF(J764&gt;0,"Issued",IF(I764&gt;0,"Kitted","Released")))))</f>
        <v/>
      </c>
      <c r="M764" s="41" t="str">
        <f aca="false">IF(G764&lt;&gt;"Yes","",COUNTIFS($B$6:$B$1505,B764,$F$6:$F$1505,"&lt;"&amp;F764)+COUNTIFS($B$6:$B$1505,B764,$F$6:$F$1505,F764,$A$6:$A$1505,"&lt;="&amp;A764))</f>
        <v/>
      </c>
      <c r="N764" s="41" t="str">
        <f aca="false">IF(M764="","",ROUNDUP(M764/H764,0))</f>
        <v/>
      </c>
      <c r="O764" s="41" t="str">
        <f aca="false">IF(N764="","",IF(N764&lt;='Kitting Plan'!$C$3,"Rep "&amp;N764,"Surplus"))</f>
        <v/>
      </c>
    </row>
    <row r="765" customFormat="false" ht="15" hidden="false" customHeight="false" outlineLevel="0" collapsed="false">
      <c r="A765" s="40" t="str">
        <f aca="false">IF(OR($A$4=0,INDEX('COOIS Raw'!$A:$GZ,ROW()-4,$A$4)=""),"",IFERROR(--INDEX('COOIS Raw'!$A:$GZ,ROW()-4,$A$4),INDEX('COOIS Raw'!$A:$GZ,ROW()-4,$A$4)))</f>
        <v/>
      </c>
      <c r="B765" s="41" t="str">
        <f aca="false">IF(A765="","",TRIM(INDEX('COOIS Raw'!$A:$GZ,ROW()-4,$B$4)))</f>
        <v/>
      </c>
      <c r="C765" s="42" t="str">
        <f aca="false">IF(OR(A765="",$C$4=0),"",INDEX('COOIS Raw'!$A:$GZ,ROW()-4,$C$4))</f>
        <v/>
      </c>
      <c r="D765" s="41" t="str">
        <f aca="false">IF(A765="","",IF($D$4=0,1,IFERROR(--INDEX('COOIS Raw'!$A:$GZ,ROW()-4,$D$4),1)))</f>
        <v/>
      </c>
      <c r="E765" s="42" t="str">
        <f aca="false">IF(A765="","",INDEX('COOIS Raw'!$A:$GZ,ROW()-4,$E$4)&amp;"")</f>
        <v/>
      </c>
      <c r="F765" s="43" t="str">
        <f aca="false">IF(A765="","",IFERROR(DATEVALUE(INDEX('COOIS Raw'!$A:$GZ,ROW()-4,$F$4)),INDEX('COOIS Raw'!$A:$GZ,ROW()-4,$F$4)))</f>
        <v/>
      </c>
      <c r="G765" s="41" t="str">
        <f aca="false">IF(A765="","",IF(ISNA(MATCH(B765,'Kitting Plan'!$B$6:$B$19,0)),"Not in plan","Yes"))</f>
        <v/>
      </c>
      <c r="H765" s="41" t="str">
        <f aca="false">IF(G765="Yes",INDEX('Kitting Plan'!$D$6:$D$19,MATCH(B765,'Kitting Plan'!$B$6:$B$19,0)),"")</f>
        <v/>
      </c>
      <c r="I765" s="41" t="str">
        <f aca="false">IF(A765="","",IF(ISNUMBER(SEARCH("PRT",E765)),D765,0))</f>
        <v/>
      </c>
      <c r="J765" s="41" t="str">
        <f aca="false">IF(A765="","",IF(ISNUMBER(SEARCH("GMPS",E765)),D765,0))</f>
        <v/>
      </c>
      <c r="K765" s="41" t="str">
        <f aca="false">IF(A765="","",IF(ISNUMBER(SEARCH("DLV",E765)),D765,0))</f>
        <v/>
      </c>
      <c r="L765" s="41" t="str">
        <f aca="false">IF(A765="","",IF(K765&gt;0,"Delivered",IF(ISNUMBER(SEARCH("CNF",E765)),"In production",IF(J765&gt;0,"Issued",IF(I765&gt;0,"Kitted","Released")))))</f>
        <v/>
      </c>
      <c r="M765" s="41" t="str">
        <f aca="false">IF(G765&lt;&gt;"Yes","",COUNTIFS($B$6:$B$1505,B765,$F$6:$F$1505,"&lt;"&amp;F765)+COUNTIFS($B$6:$B$1505,B765,$F$6:$F$1505,F765,$A$6:$A$1505,"&lt;="&amp;A765))</f>
        <v/>
      </c>
      <c r="N765" s="41" t="str">
        <f aca="false">IF(M765="","",ROUNDUP(M765/H765,0))</f>
        <v/>
      </c>
      <c r="O765" s="41" t="str">
        <f aca="false">IF(N765="","",IF(N765&lt;='Kitting Plan'!$C$3,"Rep "&amp;N765,"Surplus"))</f>
        <v/>
      </c>
    </row>
    <row r="766" customFormat="false" ht="15" hidden="false" customHeight="false" outlineLevel="0" collapsed="false">
      <c r="A766" s="40" t="str">
        <f aca="false">IF(OR($A$4=0,INDEX('COOIS Raw'!$A:$GZ,ROW()-4,$A$4)=""),"",IFERROR(--INDEX('COOIS Raw'!$A:$GZ,ROW()-4,$A$4),INDEX('COOIS Raw'!$A:$GZ,ROW()-4,$A$4)))</f>
        <v/>
      </c>
      <c r="B766" s="41" t="str">
        <f aca="false">IF(A766="","",TRIM(INDEX('COOIS Raw'!$A:$GZ,ROW()-4,$B$4)))</f>
        <v/>
      </c>
      <c r="C766" s="42" t="str">
        <f aca="false">IF(OR(A766="",$C$4=0),"",INDEX('COOIS Raw'!$A:$GZ,ROW()-4,$C$4))</f>
        <v/>
      </c>
      <c r="D766" s="41" t="str">
        <f aca="false">IF(A766="","",IF($D$4=0,1,IFERROR(--INDEX('COOIS Raw'!$A:$GZ,ROW()-4,$D$4),1)))</f>
        <v/>
      </c>
      <c r="E766" s="42" t="str">
        <f aca="false">IF(A766="","",INDEX('COOIS Raw'!$A:$GZ,ROW()-4,$E$4)&amp;"")</f>
        <v/>
      </c>
      <c r="F766" s="43" t="str">
        <f aca="false">IF(A766="","",IFERROR(DATEVALUE(INDEX('COOIS Raw'!$A:$GZ,ROW()-4,$F$4)),INDEX('COOIS Raw'!$A:$GZ,ROW()-4,$F$4)))</f>
        <v/>
      </c>
      <c r="G766" s="41" t="str">
        <f aca="false">IF(A766="","",IF(ISNA(MATCH(B766,'Kitting Plan'!$B$6:$B$19,0)),"Not in plan","Yes"))</f>
        <v/>
      </c>
      <c r="H766" s="41" t="str">
        <f aca="false">IF(G766="Yes",INDEX('Kitting Plan'!$D$6:$D$19,MATCH(B766,'Kitting Plan'!$B$6:$B$19,0)),"")</f>
        <v/>
      </c>
      <c r="I766" s="41" t="str">
        <f aca="false">IF(A766="","",IF(ISNUMBER(SEARCH("PRT",E766)),D766,0))</f>
        <v/>
      </c>
      <c r="J766" s="41" t="str">
        <f aca="false">IF(A766="","",IF(ISNUMBER(SEARCH("GMPS",E766)),D766,0))</f>
        <v/>
      </c>
      <c r="K766" s="41" t="str">
        <f aca="false">IF(A766="","",IF(ISNUMBER(SEARCH("DLV",E766)),D766,0))</f>
        <v/>
      </c>
      <c r="L766" s="41" t="str">
        <f aca="false">IF(A766="","",IF(K766&gt;0,"Delivered",IF(ISNUMBER(SEARCH("CNF",E766)),"In production",IF(J766&gt;0,"Issued",IF(I766&gt;0,"Kitted","Released")))))</f>
        <v/>
      </c>
      <c r="M766" s="41" t="str">
        <f aca="false">IF(G766&lt;&gt;"Yes","",COUNTIFS($B$6:$B$1505,B766,$F$6:$F$1505,"&lt;"&amp;F766)+COUNTIFS($B$6:$B$1505,B766,$F$6:$F$1505,F766,$A$6:$A$1505,"&lt;="&amp;A766))</f>
        <v/>
      </c>
      <c r="N766" s="41" t="str">
        <f aca="false">IF(M766="","",ROUNDUP(M766/H766,0))</f>
        <v/>
      </c>
      <c r="O766" s="41" t="str">
        <f aca="false">IF(N766="","",IF(N766&lt;='Kitting Plan'!$C$3,"Rep "&amp;N766,"Surplus"))</f>
        <v/>
      </c>
    </row>
    <row r="767" customFormat="false" ht="15" hidden="false" customHeight="false" outlineLevel="0" collapsed="false">
      <c r="A767" s="40" t="str">
        <f aca="false">IF(OR($A$4=0,INDEX('COOIS Raw'!$A:$GZ,ROW()-4,$A$4)=""),"",IFERROR(--INDEX('COOIS Raw'!$A:$GZ,ROW()-4,$A$4),INDEX('COOIS Raw'!$A:$GZ,ROW()-4,$A$4)))</f>
        <v/>
      </c>
      <c r="B767" s="41" t="str">
        <f aca="false">IF(A767="","",TRIM(INDEX('COOIS Raw'!$A:$GZ,ROW()-4,$B$4)))</f>
        <v/>
      </c>
      <c r="C767" s="42" t="str">
        <f aca="false">IF(OR(A767="",$C$4=0),"",INDEX('COOIS Raw'!$A:$GZ,ROW()-4,$C$4))</f>
        <v/>
      </c>
      <c r="D767" s="41" t="str">
        <f aca="false">IF(A767="","",IF($D$4=0,1,IFERROR(--INDEX('COOIS Raw'!$A:$GZ,ROW()-4,$D$4),1)))</f>
        <v/>
      </c>
      <c r="E767" s="42" t="str">
        <f aca="false">IF(A767="","",INDEX('COOIS Raw'!$A:$GZ,ROW()-4,$E$4)&amp;"")</f>
        <v/>
      </c>
      <c r="F767" s="43" t="str">
        <f aca="false">IF(A767="","",IFERROR(DATEVALUE(INDEX('COOIS Raw'!$A:$GZ,ROW()-4,$F$4)),INDEX('COOIS Raw'!$A:$GZ,ROW()-4,$F$4)))</f>
        <v/>
      </c>
      <c r="G767" s="41" t="str">
        <f aca="false">IF(A767="","",IF(ISNA(MATCH(B767,'Kitting Plan'!$B$6:$B$19,0)),"Not in plan","Yes"))</f>
        <v/>
      </c>
      <c r="H767" s="41" t="str">
        <f aca="false">IF(G767="Yes",INDEX('Kitting Plan'!$D$6:$D$19,MATCH(B767,'Kitting Plan'!$B$6:$B$19,0)),"")</f>
        <v/>
      </c>
      <c r="I767" s="41" t="str">
        <f aca="false">IF(A767="","",IF(ISNUMBER(SEARCH("PRT",E767)),D767,0))</f>
        <v/>
      </c>
      <c r="J767" s="41" t="str">
        <f aca="false">IF(A767="","",IF(ISNUMBER(SEARCH("GMPS",E767)),D767,0))</f>
        <v/>
      </c>
      <c r="K767" s="41" t="str">
        <f aca="false">IF(A767="","",IF(ISNUMBER(SEARCH("DLV",E767)),D767,0))</f>
        <v/>
      </c>
      <c r="L767" s="41" t="str">
        <f aca="false">IF(A767="","",IF(K767&gt;0,"Delivered",IF(ISNUMBER(SEARCH("CNF",E767)),"In production",IF(J767&gt;0,"Issued",IF(I767&gt;0,"Kitted","Released")))))</f>
        <v/>
      </c>
      <c r="M767" s="41" t="str">
        <f aca="false">IF(G767&lt;&gt;"Yes","",COUNTIFS($B$6:$B$1505,B767,$F$6:$F$1505,"&lt;"&amp;F767)+COUNTIFS($B$6:$B$1505,B767,$F$6:$F$1505,F767,$A$6:$A$1505,"&lt;="&amp;A767))</f>
        <v/>
      </c>
      <c r="N767" s="41" t="str">
        <f aca="false">IF(M767="","",ROUNDUP(M767/H767,0))</f>
        <v/>
      </c>
      <c r="O767" s="41" t="str">
        <f aca="false">IF(N767="","",IF(N767&lt;='Kitting Plan'!$C$3,"Rep "&amp;N767,"Surplus"))</f>
        <v/>
      </c>
    </row>
    <row r="768" customFormat="false" ht="15" hidden="false" customHeight="false" outlineLevel="0" collapsed="false">
      <c r="A768" s="40" t="str">
        <f aca="false">IF(OR($A$4=0,INDEX('COOIS Raw'!$A:$GZ,ROW()-4,$A$4)=""),"",IFERROR(--INDEX('COOIS Raw'!$A:$GZ,ROW()-4,$A$4),INDEX('COOIS Raw'!$A:$GZ,ROW()-4,$A$4)))</f>
        <v/>
      </c>
      <c r="B768" s="41" t="str">
        <f aca="false">IF(A768="","",TRIM(INDEX('COOIS Raw'!$A:$GZ,ROW()-4,$B$4)))</f>
        <v/>
      </c>
      <c r="C768" s="42" t="str">
        <f aca="false">IF(OR(A768="",$C$4=0),"",INDEX('COOIS Raw'!$A:$GZ,ROW()-4,$C$4))</f>
        <v/>
      </c>
      <c r="D768" s="41" t="str">
        <f aca="false">IF(A768="","",IF($D$4=0,1,IFERROR(--INDEX('COOIS Raw'!$A:$GZ,ROW()-4,$D$4),1)))</f>
        <v/>
      </c>
      <c r="E768" s="42" t="str">
        <f aca="false">IF(A768="","",INDEX('COOIS Raw'!$A:$GZ,ROW()-4,$E$4)&amp;"")</f>
        <v/>
      </c>
      <c r="F768" s="43" t="str">
        <f aca="false">IF(A768="","",IFERROR(DATEVALUE(INDEX('COOIS Raw'!$A:$GZ,ROW()-4,$F$4)),INDEX('COOIS Raw'!$A:$GZ,ROW()-4,$F$4)))</f>
        <v/>
      </c>
      <c r="G768" s="41" t="str">
        <f aca="false">IF(A768="","",IF(ISNA(MATCH(B768,'Kitting Plan'!$B$6:$B$19,0)),"Not in plan","Yes"))</f>
        <v/>
      </c>
      <c r="H768" s="41" t="str">
        <f aca="false">IF(G768="Yes",INDEX('Kitting Plan'!$D$6:$D$19,MATCH(B768,'Kitting Plan'!$B$6:$B$19,0)),"")</f>
        <v/>
      </c>
      <c r="I768" s="41" t="str">
        <f aca="false">IF(A768="","",IF(ISNUMBER(SEARCH("PRT",E768)),D768,0))</f>
        <v/>
      </c>
      <c r="J768" s="41" t="str">
        <f aca="false">IF(A768="","",IF(ISNUMBER(SEARCH("GMPS",E768)),D768,0))</f>
        <v/>
      </c>
      <c r="K768" s="41" t="str">
        <f aca="false">IF(A768="","",IF(ISNUMBER(SEARCH("DLV",E768)),D768,0))</f>
        <v/>
      </c>
      <c r="L768" s="41" t="str">
        <f aca="false">IF(A768="","",IF(K768&gt;0,"Delivered",IF(ISNUMBER(SEARCH("CNF",E768)),"In production",IF(J768&gt;0,"Issued",IF(I768&gt;0,"Kitted","Released")))))</f>
        <v/>
      </c>
      <c r="M768" s="41" t="str">
        <f aca="false">IF(G768&lt;&gt;"Yes","",COUNTIFS($B$6:$B$1505,B768,$F$6:$F$1505,"&lt;"&amp;F768)+COUNTIFS($B$6:$B$1505,B768,$F$6:$F$1505,F768,$A$6:$A$1505,"&lt;="&amp;A768))</f>
        <v/>
      </c>
      <c r="N768" s="41" t="str">
        <f aca="false">IF(M768="","",ROUNDUP(M768/H768,0))</f>
        <v/>
      </c>
      <c r="O768" s="41" t="str">
        <f aca="false">IF(N768="","",IF(N768&lt;='Kitting Plan'!$C$3,"Rep "&amp;N768,"Surplus"))</f>
        <v/>
      </c>
    </row>
    <row r="769" customFormat="false" ht="15" hidden="false" customHeight="false" outlineLevel="0" collapsed="false">
      <c r="A769" s="40" t="str">
        <f aca="false">IF(OR($A$4=0,INDEX('COOIS Raw'!$A:$GZ,ROW()-4,$A$4)=""),"",IFERROR(--INDEX('COOIS Raw'!$A:$GZ,ROW()-4,$A$4),INDEX('COOIS Raw'!$A:$GZ,ROW()-4,$A$4)))</f>
        <v/>
      </c>
      <c r="B769" s="41" t="str">
        <f aca="false">IF(A769="","",TRIM(INDEX('COOIS Raw'!$A:$GZ,ROW()-4,$B$4)))</f>
        <v/>
      </c>
      <c r="C769" s="42" t="str">
        <f aca="false">IF(OR(A769="",$C$4=0),"",INDEX('COOIS Raw'!$A:$GZ,ROW()-4,$C$4))</f>
        <v/>
      </c>
      <c r="D769" s="41" t="str">
        <f aca="false">IF(A769="","",IF($D$4=0,1,IFERROR(--INDEX('COOIS Raw'!$A:$GZ,ROW()-4,$D$4),1)))</f>
        <v/>
      </c>
      <c r="E769" s="42" t="str">
        <f aca="false">IF(A769="","",INDEX('COOIS Raw'!$A:$GZ,ROW()-4,$E$4)&amp;"")</f>
        <v/>
      </c>
      <c r="F769" s="43" t="str">
        <f aca="false">IF(A769="","",IFERROR(DATEVALUE(INDEX('COOIS Raw'!$A:$GZ,ROW()-4,$F$4)),INDEX('COOIS Raw'!$A:$GZ,ROW()-4,$F$4)))</f>
        <v/>
      </c>
      <c r="G769" s="41" t="str">
        <f aca="false">IF(A769="","",IF(ISNA(MATCH(B769,'Kitting Plan'!$B$6:$B$19,0)),"Not in plan","Yes"))</f>
        <v/>
      </c>
      <c r="H769" s="41" t="str">
        <f aca="false">IF(G769="Yes",INDEX('Kitting Plan'!$D$6:$D$19,MATCH(B769,'Kitting Plan'!$B$6:$B$19,0)),"")</f>
        <v/>
      </c>
      <c r="I769" s="41" t="str">
        <f aca="false">IF(A769="","",IF(ISNUMBER(SEARCH("PRT",E769)),D769,0))</f>
        <v/>
      </c>
      <c r="J769" s="41" t="str">
        <f aca="false">IF(A769="","",IF(ISNUMBER(SEARCH("GMPS",E769)),D769,0))</f>
        <v/>
      </c>
      <c r="K769" s="41" t="str">
        <f aca="false">IF(A769="","",IF(ISNUMBER(SEARCH("DLV",E769)),D769,0))</f>
        <v/>
      </c>
      <c r="L769" s="41" t="str">
        <f aca="false">IF(A769="","",IF(K769&gt;0,"Delivered",IF(ISNUMBER(SEARCH("CNF",E769)),"In production",IF(J769&gt;0,"Issued",IF(I769&gt;0,"Kitted","Released")))))</f>
        <v/>
      </c>
      <c r="M769" s="41" t="str">
        <f aca="false">IF(G769&lt;&gt;"Yes","",COUNTIFS($B$6:$B$1505,B769,$F$6:$F$1505,"&lt;"&amp;F769)+COUNTIFS($B$6:$B$1505,B769,$F$6:$F$1505,F769,$A$6:$A$1505,"&lt;="&amp;A769))</f>
        <v/>
      </c>
      <c r="N769" s="41" t="str">
        <f aca="false">IF(M769="","",ROUNDUP(M769/H769,0))</f>
        <v/>
      </c>
      <c r="O769" s="41" t="str">
        <f aca="false">IF(N769="","",IF(N769&lt;='Kitting Plan'!$C$3,"Rep "&amp;N769,"Surplus"))</f>
        <v/>
      </c>
    </row>
    <row r="770" customFormat="false" ht="15" hidden="false" customHeight="false" outlineLevel="0" collapsed="false">
      <c r="A770" s="40" t="str">
        <f aca="false">IF(OR($A$4=0,INDEX('COOIS Raw'!$A:$GZ,ROW()-4,$A$4)=""),"",IFERROR(--INDEX('COOIS Raw'!$A:$GZ,ROW()-4,$A$4),INDEX('COOIS Raw'!$A:$GZ,ROW()-4,$A$4)))</f>
        <v/>
      </c>
      <c r="B770" s="41" t="str">
        <f aca="false">IF(A770="","",TRIM(INDEX('COOIS Raw'!$A:$GZ,ROW()-4,$B$4)))</f>
        <v/>
      </c>
      <c r="C770" s="42" t="str">
        <f aca="false">IF(OR(A770="",$C$4=0),"",INDEX('COOIS Raw'!$A:$GZ,ROW()-4,$C$4))</f>
        <v/>
      </c>
      <c r="D770" s="41" t="str">
        <f aca="false">IF(A770="","",IF($D$4=0,1,IFERROR(--INDEX('COOIS Raw'!$A:$GZ,ROW()-4,$D$4),1)))</f>
        <v/>
      </c>
      <c r="E770" s="42" t="str">
        <f aca="false">IF(A770="","",INDEX('COOIS Raw'!$A:$GZ,ROW()-4,$E$4)&amp;"")</f>
        <v/>
      </c>
      <c r="F770" s="43" t="str">
        <f aca="false">IF(A770="","",IFERROR(DATEVALUE(INDEX('COOIS Raw'!$A:$GZ,ROW()-4,$F$4)),INDEX('COOIS Raw'!$A:$GZ,ROW()-4,$F$4)))</f>
        <v/>
      </c>
      <c r="G770" s="41" t="str">
        <f aca="false">IF(A770="","",IF(ISNA(MATCH(B770,'Kitting Plan'!$B$6:$B$19,0)),"Not in plan","Yes"))</f>
        <v/>
      </c>
      <c r="H770" s="41" t="str">
        <f aca="false">IF(G770="Yes",INDEX('Kitting Plan'!$D$6:$D$19,MATCH(B770,'Kitting Plan'!$B$6:$B$19,0)),"")</f>
        <v/>
      </c>
      <c r="I770" s="41" t="str">
        <f aca="false">IF(A770="","",IF(ISNUMBER(SEARCH("PRT",E770)),D770,0))</f>
        <v/>
      </c>
      <c r="J770" s="41" t="str">
        <f aca="false">IF(A770="","",IF(ISNUMBER(SEARCH("GMPS",E770)),D770,0))</f>
        <v/>
      </c>
      <c r="K770" s="41" t="str">
        <f aca="false">IF(A770="","",IF(ISNUMBER(SEARCH("DLV",E770)),D770,0))</f>
        <v/>
      </c>
      <c r="L770" s="41" t="str">
        <f aca="false">IF(A770="","",IF(K770&gt;0,"Delivered",IF(ISNUMBER(SEARCH("CNF",E770)),"In production",IF(J770&gt;0,"Issued",IF(I770&gt;0,"Kitted","Released")))))</f>
        <v/>
      </c>
      <c r="M770" s="41" t="str">
        <f aca="false">IF(G770&lt;&gt;"Yes","",COUNTIFS($B$6:$B$1505,B770,$F$6:$F$1505,"&lt;"&amp;F770)+COUNTIFS($B$6:$B$1505,B770,$F$6:$F$1505,F770,$A$6:$A$1505,"&lt;="&amp;A770))</f>
        <v/>
      </c>
      <c r="N770" s="41" t="str">
        <f aca="false">IF(M770="","",ROUNDUP(M770/H770,0))</f>
        <v/>
      </c>
      <c r="O770" s="41" t="str">
        <f aca="false">IF(N770="","",IF(N770&lt;='Kitting Plan'!$C$3,"Rep "&amp;N770,"Surplus"))</f>
        <v/>
      </c>
    </row>
    <row r="771" customFormat="false" ht="15" hidden="false" customHeight="false" outlineLevel="0" collapsed="false">
      <c r="A771" s="40" t="str">
        <f aca="false">IF(OR($A$4=0,INDEX('COOIS Raw'!$A:$GZ,ROW()-4,$A$4)=""),"",IFERROR(--INDEX('COOIS Raw'!$A:$GZ,ROW()-4,$A$4),INDEX('COOIS Raw'!$A:$GZ,ROW()-4,$A$4)))</f>
        <v/>
      </c>
      <c r="B771" s="41" t="str">
        <f aca="false">IF(A771="","",TRIM(INDEX('COOIS Raw'!$A:$GZ,ROW()-4,$B$4)))</f>
        <v/>
      </c>
      <c r="C771" s="42" t="str">
        <f aca="false">IF(OR(A771="",$C$4=0),"",INDEX('COOIS Raw'!$A:$GZ,ROW()-4,$C$4))</f>
        <v/>
      </c>
      <c r="D771" s="41" t="str">
        <f aca="false">IF(A771="","",IF($D$4=0,1,IFERROR(--INDEX('COOIS Raw'!$A:$GZ,ROW()-4,$D$4),1)))</f>
        <v/>
      </c>
      <c r="E771" s="42" t="str">
        <f aca="false">IF(A771="","",INDEX('COOIS Raw'!$A:$GZ,ROW()-4,$E$4)&amp;"")</f>
        <v/>
      </c>
      <c r="F771" s="43" t="str">
        <f aca="false">IF(A771="","",IFERROR(DATEVALUE(INDEX('COOIS Raw'!$A:$GZ,ROW()-4,$F$4)),INDEX('COOIS Raw'!$A:$GZ,ROW()-4,$F$4)))</f>
        <v/>
      </c>
      <c r="G771" s="41" t="str">
        <f aca="false">IF(A771="","",IF(ISNA(MATCH(B771,'Kitting Plan'!$B$6:$B$19,0)),"Not in plan","Yes"))</f>
        <v/>
      </c>
      <c r="H771" s="41" t="str">
        <f aca="false">IF(G771="Yes",INDEX('Kitting Plan'!$D$6:$D$19,MATCH(B771,'Kitting Plan'!$B$6:$B$19,0)),"")</f>
        <v/>
      </c>
      <c r="I771" s="41" t="str">
        <f aca="false">IF(A771="","",IF(ISNUMBER(SEARCH("PRT",E771)),D771,0))</f>
        <v/>
      </c>
      <c r="J771" s="41" t="str">
        <f aca="false">IF(A771="","",IF(ISNUMBER(SEARCH("GMPS",E771)),D771,0))</f>
        <v/>
      </c>
      <c r="K771" s="41" t="str">
        <f aca="false">IF(A771="","",IF(ISNUMBER(SEARCH("DLV",E771)),D771,0))</f>
        <v/>
      </c>
      <c r="L771" s="41" t="str">
        <f aca="false">IF(A771="","",IF(K771&gt;0,"Delivered",IF(ISNUMBER(SEARCH("CNF",E771)),"In production",IF(J771&gt;0,"Issued",IF(I771&gt;0,"Kitted","Released")))))</f>
        <v/>
      </c>
      <c r="M771" s="41" t="str">
        <f aca="false">IF(G771&lt;&gt;"Yes","",COUNTIFS($B$6:$B$1505,B771,$F$6:$F$1505,"&lt;"&amp;F771)+COUNTIFS($B$6:$B$1505,B771,$F$6:$F$1505,F771,$A$6:$A$1505,"&lt;="&amp;A771))</f>
        <v/>
      </c>
      <c r="N771" s="41" t="str">
        <f aca="false">IF(M771="","",ROUNDUP(M771/H771,0))</f>
        <v/>
      </c>
      <c r="O771" s="41" t="str">
        <f aca="false">IF(N771="","",IF(N771&lt;='Kitting Plan'!$C$3,"Rep "&amp;N771,"Surplus"))</f>
        <v/>
      </c>
    </row>
    <row r="772" customFormat="false" ht="15" hidden="false" customHeight="false" outlineLevel="0" collapsed="false">
      <c r="A772" s="40" t="str">
        <f aca="false">IF(OR($A$4=0,INDEX('COOIS Raw'!$A:$GZ,ROW()-4,$A$4)=""),"",IFERROR(--INDEX('COOIS Raw'!$A:$GZ,ROW()-4,$A$4),INDEX('COOIS Raw'!$A:$GZ,ROW()-4,$A$4)))</f>
        <v/>
      </c>
      <c r="B772" s="41" t="str">
        <f aca="false">IF(A772="","",TRIM(INDEX('COOIS Raw'!$A:$GZ,ROW()-4,$B$4)))</f>
        <v/>
      </c>
      <c r="C772" s="42" t="str">
        <f aca="false">IF(OR(A772="",$C$4=0),"",INDEX('COOIS Raw'!$A:$GZ,ROW()-4,$C$4))</f>
        <v/>
      </c>
      <c r="D772" s="41" t="str">
        <f aca="false">IF(A772="","",IF($D$4=0,1,IFERROR(--INDEX('COOIS Raw'!$A:$GZ,ROW()-4,$D$4),1)))</f>
        <v/>
      </c>
      <c r="E772" s="42" t="str">
        <f aca="false">IF(A772="","",INDEX('COOIS Raw'!$A:$GZ,ROW()-4,$E$4)&amp;"")</f>
        <v/>
      </c>
      <c r="F772" s="43" t="str">
        <f aca="false">IF(A772="","",IFERROR(DATEVALUE(INDEX('COOIS Raw'!$A:$GZ,ROW()-4,$F$4)),INDEX('COOIS Raw'!$A:$GZ,ROW()-4,$F$4)))</f>
        <v/>
      </c>
      <c r="G772" s="41" t="str">
        <f aca="false">IF(A772="","",IF(ISNA(MATCH(B772,'Kitting Plan'!$B$6:$B$19,0)),"Not in plan","Yes"))</f>
        <v/>
      </c>
      <c r="H772" s="41" t="str">
        <f aca="false">IF(G772="Yes",INDEX('Kitting Plan'!$D$6:$D$19,MATCH(B772,'Kitting Plan'!$B$6:$B$19,0)),"")</f>
        <v/>
      </c>
      <c r="I772" s="41" t="str">
        <f aca="false">IF(A772="","",IF(ISNUMBER(SEARCH("PRT",E772)),D772,0))</f>
        <v/>
      </c>
      <c r="J772" s="41" t="str">
        <f aca="false">IF(A772="","",IF(ISNUMBER(SEARCH("GMPS",E772)),D772,0))</f>
        <v/>
      </c>
      <c r="K772" s="41" t="str">
        <f aca="false">IF(A772="","",IF(ISNUMBER(SEARCH("DLV",E772)),D772,0))</f>
        <v/>
      </c>
      <c r="L772" s="41" t="str">
        <f aca="false">IF(A772="","",IF(K772&gt;0,"Delivered",IF(ISNUMBER(SEARCH("CNF",E772)),"In production",IF(J772&gt;0,"Issued",IF(I772&gt;0,"Kitted","Released")))))</f>
        <v/>
      </c>
      <c r="M772" s="41" t="str">
        <f aca="false">IF(G772&lt;&gt;"Yes","",COUNTIFS($B$6:$B$1505,B772,$F$6:$F$1505,"&lt;"&amp;F772)+COUNTIFS($B$6:$B$1505,B772,$F$6:$F$1505,F772,$A$6:$A$1505,"&lt;="&amp;A772))</f>
        <v/>
      </c>
      <c r="N772" s="41" t="str">
        <f aca="false">IF(M772="","",ROUNDUP(M772/H772,0))</f>
        <v/>
      </c>
      <c r="O772" s="41" t="str">
        <f aca="false">IF(N772="","",IF(N772&lt;='Kitting Plan'!$C$3,"Rep "&amp;N772,"Surplus"))</f>
        <v/>
      </c>
    </row>
    <row r="773" customFormat="false" ht="15" hidden="false" customHeight="false" outlineLevel="0" collapsed="false">
      <c r="A773" s="40" t="str">
        <f aca="false">IF(OR($A$4=0,INDEX('COOIS Raw'!$A:$GZ,ROW()-4,$A$4)=""),"",IFERROR(--INDEX('COOIS Raw'!$A:$GZ,ROW()-4,$A$4),INDEX('COOIS Raw'!$A:$GZ,ROW()-4,$A$4)))</f>
        <v/>
      </c>
      <c r="B773" s="41" t="str">
        <f aca="false">IF(A773="","",TRIM(INDEX('COOIS Raw'!$A:$GZ,ROW()-4,$B$4)))</f>
        <v/>
      </c>
      <c r="C773" s="42" t="str">
        <f aca="false">IF(OR(A773="",$C$4=0),"",INDEX('COOIS Raw'!$A:$GZ,ROW()-4,$C$4))</f>
        <v/>
      </c>
      <c r="D773" s="41" t="str">
        <f aca="false">IF(A773="","",IF($D$4=0,1,IFERROR(--INDEX('COOIS Raw'!$A:$GZ,ROW()-4,$D$4),1)))</f>
        <v/>
      </c>
      <c r="E773" s="42" t="str">
        <f aca="false">IF(A773="","",INDEX('COOIS Raw'!$A:$GZ,ROW()-4,$E$4)&amp;"")</f>
        <v/>
      </c>
      <c r="F773" s="43" t="str">
        <f aca="false">IF(A773="","",IFERROR(DATEVALUE(INDEX('COOIS Raw'!$A:$GZ,ROW()-4,$F$4)),INDEX('COOIS Raw'!$A:$GZ,ROW()-4,$F$4)))</f>
        <v/>
      </c>
      <c r="G773" s="41" t="str">
        <f aca="false">IF(A773="","",IF(ISNA(MATCH(B773,'Kitting Plan'!$B$6:$B$19,0)),"Not in plan","Yes"))</f>
        <v/>
      </c>
      <c r="H773" s="41" t="str">
        <f aca="false">IF(G773="Yes",INDEX('Kitting Plan'!$D$6:$D$19,MATCH(B773,'Kitting Plan'!$B$6:$B$19,0)),"")</f>
        <v/>
      </c>
      <c r="I773" s="41" t="str">
        <f aca="false">IF(A773="","",IF(ISNUMBER(SEARCH("PRT",E773)),D773,0))</f>
        <v/>
      </c>
      <c r="J773" s="41" t="str">
        <f aca="false">IF(A773="","",IF(ISNUMBER(SEARCH("GMPS",E773)),D773,0))</f>
        <v/>
      </c>
      <c r="K773" s="41" t="str">
        <f aca="false">IF(A773="","",IF(ISNUMBER(SEARCH("DLV",E773)),D773,0))</f>
        <v/>
      </c>
      <c r="L773" s="41" t="str">
        <f aca="false">IF(A773="","",IF(K773&gt;0,"Delivered",IF(ISNUMBER(SEARCH("CNF",E773)),"In production",IF(J773&gt;0,"Issued",IF(I773&gt;0,"Kitted","Released")))))</f>
        <v/>
      </c>
      <c r="M773" s="41" t="str">
        <f aca="false">IF(G773&lt;&gt;"Yes","",COUNTIFS($B$6:$B$1505,B773,$F$6:$F$1505,"&lt;"&amp;F773)+COUNTIFS($B$6:$B$1505,B773,$F$6:$F$1505,F773,$A$6:$A$1505,"&lt;="&amp;A773))</f>
        <v/>
      </c>
      <c r="N773" s="41" t="str">
        <f aca="false">IF(M773="","",ROUNDUP(M773/H773,0))</f>
        <v/>
      </c>
      <c r="O773" s="41" t="str">
        <f aca="false">IF(N773="","",IF(N773&lt;='Kitting Plan'!$C$3,"Rep "&amp;N773,"Surplus"))</f>
        <v/>
      </c>
    </row>
    <row r="774" customFormat="false" ht="15" hidden="false" customHeight="false" outlineLevel="0" collapsed="false">
      <c r="A774" s="40" t="str">
        <f aca="false">IF(OR($A$4=0,INDEX('COOIS Raw'!$A:$GZ,ROW()-4,$A$4)=""),"",IFERROR(--INDEX('COOIS Raw'!$A:$GZ,ROW()-4,$A$4),INDEX('COOIS Raw'!$A:$GZ,ROW()-4,$A$4)))</f>
        <v/>
      </c>
      <c r="B774" s="41" t="str">
        <f aca="false">IF(A774="","",TRIM(INDEX('COOIS Raw'!$A:$GZ,ROW()-4,$B$4)))</f>
        <v/>
      </c>
      <c r="C774" s="42" t="str">
        <f aca="false">IF(OR(A774="",$C$4=0),"",INDEX('COOIS Raw'!$A:$GZ,ROW()-4,$C$4))</f>
        <v/>
      </c>
      <c r="D774" s="41" t="str">
        <f aca="false">IF(A774="","",IF($D$4=0,1,IFERROR(--INDEX('COOIS Raw'!$A:$GZ,ROW()-4,$D$4),1)))</f>
        <v/>
      </c>
      <c r="E774" s="42" t="str">
        <f aca="false">IF(A774="","",INDEX('COOIS Raw'!$A:$GZ,ROW()-4,$E$4)&amp;"")</f>
        <v/>
      </c>
      <c r="F774" s="43" t="str">
        <f aca="false">IF(A774="","",IFERROR(DATEVALUE(INDEX('COOIS Raw'!$A:$GZ,ROW()-4,$F$4)),INDEX('COOIS Raw'!$A:$GZ,ROW()-4,$F$4)))</f>
        <v/>
      </c>
      <c r="G774" s="41" t="str">
        <f aca="false">IF(A774="","",IF(ISNA(MATCH(B774,'Kitting Plan'!$B$6:$B$19,0)),"Not in plan","Yes"))</f>
        <v/>
      </c>
      <c r="H774" s="41" t="str">
        <f aca="false">IF(G774="Yes",INDEX('Kitting Plan'!$D$6:$D$19,MATCH(B774,'Kitting Plan'!$B$6:$B$19,0)),"")</f>
        <v/>
      </c>
      <c r="I774" s="41" t="str">
        <f aca="false">IF(A774="","",IF(ISNUMBER(SEARCH("PRT",E774)),D774,0))</f>
        <v/>
      </c>
      <c r="J774" s="41" t="str">
        <f aca="false">IF(A774="","",IF(ISNUMBER(SEARCH("GMPS",E774)),D774,0))</f>
        <v/>
      </c>
      <c r="K774" s="41" t="str">
        <f aca="false">IF(A774="","",IF(ISNUMBER(SEARCH("DLV",E774)),D774,0))</f>
        <v/>
      </c>
      <c r="L774" s="41" t="str">
        <f aca="false">IF(A774="","",IF(K774&gt;0,"Delivered",IF(ISNUMBER(SEARCH("CNF",E774)),"In production",IF(J774&gt;0,"Issued",IF(I774&gt;0,"Kitted","Released")))))</f>
        <v/>
      </c>
      <c r="M774" s="41" t="str">
        <f aca="false">IF(G774&lt;&gt;"Yes","",COUNTIFS($B$6:$B$1505,B774,$F$6:$F$1505,"&lt;"&amp;F774)+COUNTIFS($B$6:$B$1505,B774,$F$6:$F$1505,F774,$A$6:$A$1505,"&lt;="&amp;A774))</f>
        <v/>
      </c>
      <c r="N774" s="41" t="str">
        <f aca="false">IF(M774="","",ROUNDUP(M774/H774,0))</f>
        <v/>
      </c>
      <c r="O774" s="41" t="str">
        <f aca="false">IF(N774="","",IF(N774&lt;='Kitting Plan'!$C$3,"Rep "&amp;N774,"Surplus"))</f>
        <v/>
      </c>
    </row>
    <row r="775" customFormat="false" ht="15" hidden="false" customHeight="false" outlineLevel="0" collapsed="false">
      <c r="A775" s="40" t="str">
        <f aca="false">IF(OR($A$4=0,INDEX('COOIS Raw'!$A:$GZ,ROW()-4,$A$4)=""),"",IFERROR(--INDEX('COOIS Raw'!$A:$GZ,ROW()-4,$A$4),INDEX('COOIS Raw'!$A:$GZ,ROW()-4,$A$4)))</f>
        <v/>
      </c>
      <c r="B775" s="41" t="str">
        <f aca="false">IF(A775="","",TRIM(INDEX('COOIS Raw'!$A:$GZ,ROW()-4,$B$4)))</f>
        <v/>
      </c>
      <c r="C775" s="42" t="str">
        <f aca="false">IF(OR(A775="",$C$4=0),"",INDEX('COOIS Raw'!$A:$GZ,ROW()-4,$C$4))</f>
        <v/>
      </c>
      <c r="D775" s="41" t="str">
        <f aca="false">IF(A775="","",IF($D$4=0,1,IFERROR(--INDEX('COOIS Raw'!$A:$GZ,ROW()-4,$D$4),1)))</f>
        <v/>
      </c>
      <c r="E775" s="42" t="str">
        <f aca="false">IF(A775="","",INDEX('COOIS Raw'!$A:$GZ,ROW()-4,$E$4)&amp;"")</f>
        <v/>
      </c>
      <c r="F775" s="43" t="str">
        <f aca="false">IF(A775="","",IFERROR(DATEVALUE(INDEX('COOIS Raw'!$A:$GZ,ROW()-4,$F$4)),INDEX('COOIS Raw'!$A:$GZ,ROW()-4,$F$4)))</f>
        <v/>
      </c>
      <c r="G775" s="41" t="str">
        <f aca="false">IF(A775="","",IF(ISNA(MATCH(B775,'Kitting Plan'!$B$6:$B$19,0)),"Not in plan","Yes"))</f>
        <v/>
      </c>
      <c r="H775" s="41" t="str">
        <f aca="false">IF(G775="Yes",INDEX('Kitting Plan'!$D$6:$D$19,MATCH(B775,'Kitting Plan'!$B$6:$B$19,0)),"")</f>
        <v/>
      </c>
      <c r="I775" s="41" t="str">
        <f aca="false">IF(A775="","",IF(ISNUMBER(SEARCH("PRT",E775)),D775,0))</f>
        <v/>
      </c>
      <c r="J775" s="41" t="str">
        <f aca="false">IF(A775="","",IF(ISNUMBER(SEARCH("GMPS",E775)),D775,0))</f>
        <v/>
      </c>
      <c r="K775" s="41" t="str">
        <f aca="false">IF(A775="","",IF(ISNUMBER(SEARCH("DLV",E775)),D775,0))</f>
        <v/>
      </c>
      <c r="L775" s="41" t="str">
        <f aca="false">IF(A775="","",IF(K775&gt;0,"Delivered",IF(ISNUMBER(SEARCH("CNF",E775)),"In production",IF(J775&gt;0,"Issued",IF(I775&gt;0,"Kitted","Released")))))</f>
        <v/>
      </c>
      <c r="M775" s="41" t="str">
        <f aca="false">IF(G775&lt;&gt;"Yes","",COUNTIFS($B$6:$B$1505,B775,$F$6:$F$1505,"&lt;"&amp;F775)+COUNTIFS($B$6:$B$1505,B775,$F$6:$F$1505,F775,$A$6:$A$1505,"&lt;="&amp;A775))</f>
        <v/>
      </c>
      <c r="N775" s="41" t="str">
        <f aca="false">IF(M775="","",ROUNDUP(M775/H775,0))</f>
        <v/>
      </c>
      <c r="O775" s="41" t="str">
        <f aca="false">IF(N775="","",IF(N775&lt;='Kitting Plan'!$C$3,"Rep "&amp;N775,"Surplus"))</f>
        <v/>
      </c>
    </row>
    <row r="776" customFormat="false" ht="15" hidden="false" customHeight="false" outlineLevel="0" collapsed="false">
      <c r="A776" s="40" t="str">
        <f aca="false">IF(OR($A$4=0,INDEX('COOIS Raw'!$A:$GZ,ROW()-4,$A$4)=""),"",IFERROR(--INDEX('COOIS Raw'!$A:$GZ,ROW()-4,$A$4),INDEX('COOIS Raw'!$A:$GZ,ROW()-4,$A$4)))</f>
        <v/>
      </c>
      <c r="B776" s="41" t="str">
        <f aca="false">IF(A776="","",TRIM(INDEX('COOIS Raw'!$A:$GZ,ROW()-4,$B$4)))</f>
        <v/>
      </c>
      <c r="C776" s="42" t="str">
        <f aca="false">IF(OR(A776="",$C$4=0),"",INDEX('COOIS Raw'!$A:$GZ,ROW()-4,$C$4))</f>
        <v/>
      </c>
      <c r="D776" s="41" t="str">
        <f aca="false">IF(A776="","",IF($D$4=0,1,IFERROR(--INDEX('COOIS Raw'!$A:$GZ,ROW()-4,$D$4),1)))</f>
        <v/>
      </c>
      <c r="E776" s="42" t="str">
        <f aca="false">IF(A776="","",INDEX('COOIS Raw'!$A:$GZ,ROW()-4,$E$4)&amp;"")</f>
        <v/>
      </c>
      <c r="F776" s="43" t="str">
        <f aca="false">IF(A776="","",IFERROR(DATEVALUE(INDEX('COOIS Raw'!$A:$GZ,ROW()-4,$F$4)),INDEX('COOIS Raw'!$A:$GZ,ROW()-4,$F$4)))</f>
        <v/>
      </c>
      <c r="G776" s="41" t="str">
        <f aca="false">IF(A776="","",IF(ISNA(MATCH(B776,'Kitting Plan'!$B$6:$B$19,0)),"Not in plan","Yes"))</f>
        <v/>
      </c>
      <c r="H776" s="41" t="str">
        <f aca="false">IF(G776="Yes",INDEX('Kitting Plan'!$D$6:$D$19,MATCH(B776,'Kitting Plan'!$B$6:$B$19,0)),"")</f>
        <v/>
      </c>
      <c r="I776" s="41" t="str">
        <f aca="false">IF(A776="","",IF(ISNUMBER(SEARCH("PRT",E776)),D776,0))</f>
        <v/>
      </c>
      <c r="J776" s="41" t="str">
        <f aca="false">IF(A776="","",IF(ISNUMBER(SEARCH("GMPS",E776)),D776,0))</f>
        <v/>
      </c>
      <c r="K776" s="41" t="str">
        <f aca="false">IF(A776="","",IF(ISNUMBER(SEARCH("DLV",E776)),D776,0))</f>
        <v/>
      </c>
      <c r="L776" s="41" t="str">
        <f aca="false">IF(A776="","",IF(K776&gt;0,"Delivered",IF(ISNUMBER(SEARCH("CNF",E776)),"In production",IF(J776&gt;0,"Issued",IF(I776&gt;0,"Kitted","Released")))))</f>
        <v/>
      </c>
      <c r="M776" s="41" t="str">
        <f aca="false">IF(G776&lt;&gt;"Yes","",COUNTIFS($B$6:$B$1505,B776,$F$6:$F$1505,"&lt;"&amp;F776)+COUNTIFS($B$6:$B$1505,B776,$F$6:$F$1505,F776,$A$6:$A$1505,"&lt;="&amp;A776))</f>
        <v/>
      </c>
      <c r="N776" s="41" t="str">
        <f aca="false">IF(M776="","",ROUNDUP(M776/H776,0))</f>
        <v/>
      </c>
      <c r="O776" s="41" t="str">
        <f aca="false">IF(N776="","",IF(N776&lt;='Kitting Plan'!$C$3,"Rep "&amp;N776,"Surplus"))</f>
        <v/>
      </c>
    </row>
    <row r="777" customFormat="false" ht="15" hidden="false" customHeight="false" outlineLevel="0" collapsed="false">
      <c r="A777" s="40" t="str">
        <f aca="false">IF(OR($A$4=0,INDEX('COOIS Raw'!$A:$GZ,ROW()-4,$A$4)=""),"",IFERROR(--INDEX('COOIS Raw'!$A:$GZ,ROW()-4,$A$4),INDEX('COOIS Raw'!$A:$GZ,ROW()-4,$A$4)))</f>
        <v/>
      </c>
      <c r="B777" s="41" t="str">
        <f aca="false">IF(A777="","",TRIM(INDEX('COOIS Raw'!$A:$GZ,ROW()-4,$B$4)))</f>
        <v/>
      </c>
      <c r="C777" s="42" t="str">
        <f aca="false">IF(OR(A777="",$C$4=0),"",INDEX('COOIS Raw'!$A:$GZ,ROW()-4,$C$4))</f>
        <v/>
      </c>
      <c r="D777" s="41" t="str">
        <f aca="false">IF(A777="","",IF($D$4=0,1,IFERROR(--INDEX('COOIS Raw'!$A:$GZ,ROW()-4,$D$4),1)))</f>
        <v/>
      </c>
      <c r="E777" s="42" t="str">
        <f aca="false">IF(A777="","",INDEX('COOIS Raw'!$A:$GZ,ROW()-4,$E$4)&amp;"")</f>
        <v/>
      </c>
      <c r="F777" s="43" t="str">
        <f aca="false">IF(A777="","",IFERROR(DATEVALUE(INDEX('COOIS Raw'!$A:$GZ,ROW()-4,$F$4)),INDEX('COOIS Raw'!$A:$GZ,ROW()-4,$F$4)))</f>
        <v/>
      </c>
      <c r="G777" s="41" t="str">
        <f aca="false">IF(A777="","",IF(ISNA(MATCH(B777,'Kitting Plan'!$B$6:$B$19,0)),"Not in plan","Yes"))</f>
        <v/>
      </c>
      <c r="H777" s="41" t="str">
        <f aca="false">IF(G777="Yes",INDEX('Kitting Plan'!$D$6:$D$19,MATCH(B777,'Kitting Plan'!$B$6:$B$19,0)),"")</f>
        <v/>
      </c>
      <c r="I777" s="41" t="str">
        <f aca="false">IF(A777="","",IF(ISNUMBER(SEARCH("PRT",E777)),D777,0))</f>
        <v/>
      </c>
      <c r="J777" s="41" t="str">
        <f aca="false">IF(A777="","",IF(ISNUMBER(SEARCH("GMPS",E777)),D777,0))</f>
        <v/>
      </c>
      <c r="K777" s="41" t="str">
        <f aca="false">IF(A777="","",IF(ISNUMBER(SEARCH("DLV",E777)),D777,0))</f>
        <v/>
      </c>
      <c r="L777" s="41" t="str">
        <f aca="false">IF(A777="","",IF(K777&gt;0,"Delivered",IF(ISNUMBER(SEARCH("CNF",E777)),"In production",IF(J777&gt;0,"Issued",IF(I777&gt;0,"Kitted","Released")))))</f>
        <v/>
      </c>
      <c r="M777" s="41" t="str">
        <f aca="false">IF(G777&lt;&gt;"Yes","",COUNTIFS($B$6:$B$1505,B777,$F$6:$F$1505,"&lt;"&amp;F777)+COUNTIFS($B$6:$B$1505,B777,$F$6:$F$1505,F777,$A$6:$A$1505,"&lt;="&amp;A777))</f>
        <v/>
      </c>
      <c r="N777" s="41" t="str">
        <f aca="false">IF(M777="","",ROUNDUP(M777/H777,0))</f>
        <v/>
      </c>
      <c r="O777" s="41" t="str">
        <f aca="false">IF(N777="","",IF(N777&lt;='Kitting Plan'!$C$3,"Rep "&amp;N777,"Surplus"))</f>
        <v/>
      </c>
    </row>
    <row r="778" customFormat="false" ht="15" hidden="false" customHeight="false" outlineLevel="0" collapsed="false">
      <c r="A778" s="40" t="str">
        <f aca="false">IF(OR($A$4=0,INDEX('COOIS Raw'!$A:$GZ,ROW()-4,$A$4)=""),"",IFERROR(--INDEX('COOIS Raw'!$A:$GZ,ROW()-4,$A$4),INDEX('COOIS Raw'!$A:$GZ,ROW()-4,$A$4)))</f>
        <v/>
      </c>
      <c r="B778" s="41" t="str">
        <f aca="false">IF(A778="","",TRIM(INDEX('COOIS Raw'!$A:$GZ,ROW()-4,$B$4)))</f>
        <v/>
      </c>
      <c r="C778" s="42" t="str">
        <f aca="false">IF(OR(A778="",$C$4=0),"",INDEX('COOIS Raw'!$A:$GZ,ROW()-4,$C$4))</f>
        <v/>
      </c>
      <c r="D778" s="41" t="str">
        <f aca="false">IF(A778="","",IF($D$4=0,1,IFERROR(--INDEX('COOIS Raw'!$A:$GZ,ROW()-4,$D$4),1)))</f>
        <v/>
      </c>
      <c r="E778" s="42" t="str">
        <f aca="false">IF(A778="","",INDEX('COOIS Raw'!$A:$GZ,ROW()-4,$E$4)&amp;"")</f>
        <v/>
      </c>
      <c r="F778" s="43" t="str">
        <f aca="false">IF(A778="","",IFERROR(DATEVALUE(INDEX('COOIS Raw'!$A:$GZ,ROW()-4,$F$4)),INDEX('COOIS Raw'!$A:$GZ,ROW()-4,$F$4)))</f>
        <v/>
      </c>
      <c r="G778" s="41" t="str">
        <f aca="false">IF(A778="","",IF(ISNA(MATCH(B778,'Kitting Plan'!$B$6:$B$19,0)),"Not in plan","Yes"))</f>
        <v/>
      </c>
      <c r="H778" s="41" t="str">
        <f aca="false">IF(G778="Yes",INDEX('Kitting Plan'!$D$6:$D$19,MATCH(B778,'Kitting Plan'!$B$6:$B$19,0)),"")</f>
        <v/>
      </c>
      <c r="I778" s="41" t="str">
        <f aca="false">IF(A778="","",IF(ISNUMBER(SEARCH("PRT",E778)),D778,0))</f>
        <v/>
      </c>
      <c r="J778" s="41" t="str">
        <f aca="false">IF(A778="","",IF(ISNUMBER(SEARCH("GMPS",E778)),D778,0))</f>
        <v/>
      </c>
      <c r="K778" s="41" t="str">
        <f aca="false">IF(A778="","",IF(ISNUMBER(SEARCH("DLV",E778)),D778,0))</f>
        <v/>
      </c>
      <c r="L778" s="41" t="str">
        <f aca="false">IF(A778="","",IF(K778&gt;0,"Delivered",IF(ISNUMBER(SEARCH("CNF",E778)),"In production",IF(J778&gt;0,"Issued",IF(I778&gt;0,"Kitted","Released")))))</f>
        <v/>
      </c>
      <c r="M778" s="41" t="str">
        <f aca="false">IF(G778&lt;&gt;"Yes","",COUNTIFS($B$6:$B$1505,B778,$F$6:$F$1505,"&lt;"&amp;F778)+COUNTIFS($B$6:$B$1505,B778,$F$6:$F$1505,F778,$A$6:$A$1505,"&lt;="&amp;A778))</f>
        <v/>
      </c>
      <c r="N778" s="41" t="str">
        <f aca="false">IF(M778="","",ROUNDUP(M778/H778,0))</f>
        <v/>
      </c>
      <c r="O778" s="41" t="str">
        <f aca="false">IF(N778="","",IF(N778&lt;='Kitting Plan'!$C$3,"Rep "&amp;N778,"Surplus"))</f>
        <v/>
      </c>
    </row>
    <row r="779" customFormat="false" ht="15" hidden="false" customHeight="false" outlineLevel="0" collapsed="false">
      <c r="A779" s="40" t="str">
        <f aca="false">IF(OR($A$4=0,INDEX('COOIS Raw'!$A:$GZ,ROW()-4,$A$4)=""),"",IFERROR(--INDEX('COOIS Raw'!$A:$GZ,ROW()-4,$A$4),INDEX('COOIS Raw'!$A:$GZ,ROW()-4,$A$4)))</f>
        <v/>
      </c>
      <c r="B779" s="41" t="str">
        <f aca="false">IF(A779="","",TRIM(INDEX('COOIS Raw'!$A:$GZ,ROW()-4,$B$4)))</f>
        <v/>
      </c>
      <c r="C779" s="42" t="str">
        <f aca="false">IF(OR(A779="",$C$4=0),"",INDEX('COOIS Raw'!$A:$GZ,ROW()-4,$C$4))</f>
        <v/>
      </c>
      <c r="D779" s="41" t="str">
        <f aca="false">IF(A779="","",IF($D$4=0,1,IFERROR(--INDEX('COOIS Raw'!$A:$GZ,ROW()-4,$D$4),1)))</f>
        <v/>
      </c>
      <c r="E779" s="42" t="str">
        <f aca="false">IF(A779="","",INDEX('COOIS Raw'!$A:$GZ,ROW()-4,$E$4)&amp;"")</f>
        <v/>
      </c>
      <c r="F779" s="43" t="str">
        <f aca="false">IF(A779="","",IFERROR(DATEVALUE(INDEX('COOIS Raw'!$A:$GZ,ROW()-4,$F$4)),INDEX('COOIS Raw'!$A:$GZ,ROW()-4,$F$4)))</f>
        <v/>
      </c>
      <c r="G779" s="41" t="str">
        <f aca="false">IF(A779="","",IF(ISNA(MATCH(B779,'Kitting Plan'!$B$6:$B$19,0)),"Not in plan","Yes"))</f>
        <v/>
      </c>
      <c r="H779" s="41" t="str">
        <f aca="false">IF(G779="Yes",INDEX('Kitting Plan'!$D$6:$D$19,MATCH(B779,'Kitting Plan'!$B$6:$B$19,0)),"")</f>
        <v/>
      </c>
      <c r="I779" s="41" t="str">
        <f aca="false">IF(A779="","",IF(ISNUMBER(SEARCH("PRT",E779)),D779,0))</f>
        <v/>
      </c>
      <c r="J779" s="41" t="str">
        <f aca="false">IF(A779="","",IF(ISNUMBER(SEARCH("GMPS",E779)),D779,0))</f>
        <v/>
      </c>
      <c r="K779" s="41" t="str">
        <f aca="false">IF(A779="","",IF(ISNUMBER(SEARCH("DLV",E779)),D779,0))</f>
        <v/>
      </c>
      <c r="L779" s="41" t="str">
        <f aca="false">IF(A779="","",IF(K779&gt;0,"Delivered",IF(ISNUMBER(SEARCH("CNF",E779)),"In production",IF(J779&gt;0,"Issued",IF(I779&gt;0,"Kitted","Released")))))</f>
        <v/>
      </c>
      <c r="M779" s="41" t="str">
        <f aca="false">IF(G779&lt;&gt;"Yes","",COUNTIFS($B$6:$B$1505,B779,$F$6:$F$1505,"&lt;"&amp;F779)+COUNTIFS($B$6:$B$1505,B779,$F$6:$F$1505,F779,$A$6:$A$1505,"&lt;="&amp;A779))</f>
        <v/>
      </c>
      <c r="N779" s="41" t="str">
        <f aca="false">IF(M779="","",ROUNDUP(M779/H779,0))</f>
        <v/>
      </c>
      <c r="O779" s="41" t="str">
        <f aca="false">IF(N779="","",IF(N779&lt;='Kitting Plan'!$C$3,"Rep "&amp;N779,"Surplus"))</f>
        <v/>
      </c>
    </row>
    <row r="780" customFormat="false" ht="15" hidden="false" customHeight="false" outlineLevel="0" collapsed="false">
      <c r="A780" s="40" t="str">
        <f aca="false">IF(OR($A$4=0,INDEX('COOIS Raw'!$A:$GZ,ROW()-4,$A$4)=""),"",IFERROR(--INDEX('COOIS Raw'!$A:$GZ,ROW()-4,$A$4),INDEX('COOIS Raw'!$A:$GZ,ROW()-4,$A$4)))</f>
        <v/>
      </c>
      <c r="B780" s="41" t="str">
        <f aca="false">IF(A780="","",TRIM(INDEX('COOIS Raw'!$A:$GZ,ROW()-4,$B$4)))</f>
        <v/>
      </c>
      <c r="C780" s="42" t="str">
        <f aca="false">IF(OR(A780="",$C$4=0),"",INDEX('COOIS Raw'!$A:$GZ,ROW()-4,$C$4))</f>
        <v/>
      </c>
      <c r="D780" s="41" t="str">
        <f aca="false">IF(A780="","",IF($D$4=0,1,IFERROR(--INDEX('COOIS Raw'!$A:$GZ,ROW()-4,$D$4),1)))</f>
        <v/>
      </c>
      <c r="E780" s="42" t="str">
        <f aca="false">IF(A780="","",INDEX('COOIS Raw'!$A:$GZ,ROW()-4,$E$4)&amp;"")</f>
        <v/>
      </c>
      <c r="F780" s="43" t="str">
        <f aca="false">IF(A780="","",IFERROR(DATEVALUE(INDEX('COOIS Raw'!$A:$GZ,ROW()-4,$F$4)),INDEX('COOIS Raw'!$A:$GZ,ROW()-4,$F$4)))</f>
        <v/>
      </c>
      <c r="G780" s="41" t="str">
        <f aca="false">IF(A780="","",IF(ISNA(MATCH(B780,'Kitting Plan'!$B$6:$B$19,0)),"Not in plan","Yes"))</f>
        <v/>
      </c>
      <c r="H780" s="41" t="str">
        <f aca="false">IF(G780="Yes",INDEX('Kitting Plan'!$D$6:$D$19,MATCH(B780,'Kitting Plan'!$B$6:$B$19,0)),"")</f>
        <v/>
      </c>
      <c r="I780" s="41" t="str">
        <f aca="false">IF(A780="","",IF(ISNUMBER(SEARCH("PRT",E780)),D780,0))</f>
        <v/>
      </c>
      <c r="J780" s="41" t="str">
        <f aca="false">IF(A780="","",IF(ISNUMBER(SEARCH("GMPS",E780)),D780,0))</f>
        <v/>
      </c>
      <c r="K780" s="41" t="str">
        <f aca="false">IF(A780="","",IF(ISNUMBER(SEARCH("DLV",E780)),D780,0))</f>
        <v/>
      </c>
      <c r="L780" s="41" t="str">
        <f aca="false">IF(A780="","",IF(K780&gt;0,"Delivered",IF(ISNUMBER(SEARCH("CNF",E780)),"In production",IF(J780&gt;0,"Issued",IF(I780&gt;0,"Kitted","Released")))))</f>
        <v/>
      </c>
      <c r="M780" s="41" t="str">
        <f aca="false">IF(G780&lt;&gt;"Yes","",COUNTIFS($B$6:$B$1505,B780,$F$6:$F$1505,"&lt;"&amp;F780)+COUNTIFS($B$6:$B$1505,B780,$F$6:$F$1505,F780,$A$6:$A$1505,"&lt;="&amp;A780))</f>
        <v/>
      </c>
      <c r="N780" s="41" t="str">
        <f aca="false">IF(M780="","",ROUNDUP(M780/H780,0))</f>
        <v/>
      </c>
      <c r="O780" s="41" t="str">
        <f aca="false">IF(N780="","",IF(N780&lt;='Kitting Plan'!$C$3,"Rep "&amp;N780,"Surplus"))</f>
        <v/>
      </c>
    </row>
    <row r="781" customFormat="false" ht="15" hidden="false" customHeight="false" outlineLevel="0" collapsed="false">
      <c r="A781" s="40" t="str">
        <f aca="false">IF(OR($A$4=0,INDEX('COOIS Raw'!$A:$GZ,ROW()-4,$A$4)=""),"",IFERROR(--INDEX('COOIS Raw'!$A:$GZ,ROW()-4,$A$4),INDEX('COOIS Raw'!$A:$GZ,ROW()-4,$A$4)))</f>
        <v/>
      </c>
      <c r="B781" s="41" t="str">
        <f aca="false">IF(A781="","",TRIM(INDEX('COOIS Raw'!$A:$GZ,ROW()-4,$B$4)))</f>
        <v/>
      </c>
      <c r="C781" s="42" t="str">
        <f aca="false">IF(OR(A781="",$C$4=0),"",INDEX('COOIS Raw'!$A:$GZ,ROW()-4,$C$4))</f>
        <v/>
      </c>
      <c r="D781" s="41" t="str">
        <f aca="false">IF(A781="","",IF($D$4=0,1,IFERROR(--INDEX('COOIS Raw'!$A:$GZ,ROW()-4,$D$4),1)))</f>
        <v/>
      </c>
      <c r="E781" s="42" t="str">
        <f aca="false">IF(A781="","",INDEX('COOIS Raw'!$A:$GZ,ROW()-4,$E$4)&amp;"")</f>
        <v/>
      </c>
      <c r="F781" s="43" t="str">
        <f aca="false">IF(A781="","",IFERROR(DATEVALUE(INDEX('COOIS Raw'!$A:$GZ,ROW()-4,$F$4)),INDEX('COOIS Raw'!$A:$GZ,ROW()-4,$F$4)))</f>
        <v/>
      </c>
      <c r="G781" s="41" t="str">
        <f aca="false">IF(A781="","",IF(ISNA(MATCH(B781,'Kitting Plan'!$B$6:$B$19,0)),"Not in plan","Yes"))</f>
        <v/>
      </c>
      <c r="H781" s="41" t="str">
        <f aca="false">IF(G781="Yes",INDEX('Kitting Plan'!$D$6:$D$19,MATCH(B781,'Kitting Plan'!$B$6:$B$19,0)),"")</f>
        <v/>
      </c>
      <c r="I781" s="41" t="str">
        <f aca="false">IF(A781="","",IF(ISNUMBER(SEARCH("PRT",E781)),D781,0))</f>
        <v/>
      </c>
      <c r="J781" s="41" t="str">
        <f aca="false">IF(A781="","",IF(ISNUMBER(SEARCH("GMPS",E781)),D781,0))</f>
        <v/>
      </c>
      <c r="K781" s="41" t="str">
        <f aca="false">IF(A781="","",IF(ISNUMBER(SEARCH("DLV",E781)),D781,0))</f>
        <v/>
      </c>
      <c r="L781" s="41" t="str">
        <f aca="false">IF(A781="","",IF(K781&gt;0,"Delivered",IF(ISNUMBER(SEARCH("CNF",E781)),"In production",IF(J781&gt;0,"Issued",IF(I781&gt;0,"Kitted","Released")))))</f>
        <v/>
      </c>
      <c r="M781" s="41" t="str">
        <f aca="false">IF(G781&lt;&gt;"Yes","",COUNTIFS($B$6:$B$1505,B781,$F$6:$F$1505,"&lt;"&amp;F781)+COUNTIFS($B$6:$B$1505,B781,$F$6:$F$1505,F781,$A$6:$A$1505,"&lt;="&amp;A781))</f>
        <v/>
      </c>
      <c r="N781" s="41" t="str">
        <f aca="false">IF(M781="","",ROUNDUP(M781/H781,0))</f>
        <v/>
      </c>
      <c r="O781" s="41" t="str">
        <f aca="false">IF(N781="","",IF(N781&lt;='Kitting Plan'!$C$3,"Rep "&amp;N781,"Surplus"))</f>
        <v/>
      </c>
    </row>
    <row r="782" customFormat="false" ht="15" hidden="false" customHeight="false" outlineLevel="0" collapsed="false">
      <c r="A782" s="40" t="str">
        <f aca="false">IF(OR($A$4=0,INDEX('COOIS Raw'!$A:$GZ,ROW()-4,$A$4)=""),"",IFERROR(--INDEX('COOIS Raw'!$A:$GZ,ROW()-4,$A$4),INDEX('COOIS Raw'!$A:$GZ,ROW()-4,$A$4)))</f>
        <v/>
      </c>
      <c r="B782" s="41" t="str">
        <f aca="false">IF(A782="","",TRIM(INDEX('COOIS Raw'!$A:$GZ,ROW()-4,$B$4)))</f>
        <v/>
      </c>
      <c r="C782" s="42" t="str">
        <f aca="false">IF(OR(A782="",$C$4=0),"",INDEX('COOIS Raw'!$A:$GZ,ROW()-4,$C$4))</f>
        <v/>
      </c>
      <c r="D782" s="41" t="str">
        <f aca="false">IF(A782="","",IF($D$4=0,1,IFERROR(--INDEX('COOIS Raw'!$A:$GZ,ROW()-4,$D$4),1)))</f>
        <v/>
      </c>
      <c r="E782" s="42" t="str">
        <f aca="false">IF(A782="","",INDEX('COOIS Raw'!$A:$GZ,ROW()-4,$E$4)&amp;"")</f>
        <v/>
      </c>
      <c r="F782" s="43" t="str">
        <f aca="false">IF(A782="","",IFERROR(DATEVALUE(INDEX('COOIS Raw'!$A:$GZ,ROW()-4,$F$4)),INDEX('COOIS Raw'!$A:$GZ,ROW()-4,$F$4)))</f>
        <v/>
      </c>
      <c r="G782" s="41" t="str">
        <f aca="false">IF(A782="","",IF(ISNA(MATCH(B782,'Kitting Plan'!$B$6:$B$19,0)),"Not in plan","Yes"))</f>
        <v/>
      </c>
      <c r="H782" s="41" t="str">
        <f aca="false">IF(G782="Yes",INDEX('Kitting Plan'!$D$6:$D$19,MATCH(B782,'Kitting Plan'!$B$6:$B$19,0)),"")</f>
        <v/>
      </c>
      <c r="I782" s="41" t="str">
        <f aca="false">IF(A782="","",IF(ISNUMBER(SEARCH("PRT",E782)),D782,0))</f>
        <v/>
      </c>
      <c r="J782" s="41" t="str">
        <f aca="false">IF(A782="","",IF(ISNUMBER(SEARCH("GMPS",E782)),D782,0))</f>
        <v/>
      </c>
      <c r="K782" s="41" t="str">
        <f aca="false">IF(A782="","",IF(ISNUMBER(SEARCH("DLV",E782)),D782,0))</f>
        <v/>
      </c>
      <c r="L782" s="41" t="str">
        <f aca="false">IF(A782="","",IF(K782&gt;0,"Delivered",IF(ISNUMBER(SEARCH("CNF",E782)),"In production",IF(J782&gt;0,"Issued",IF(I782&gt;0,"Kitted","Released")))))</f>
        <v/>
      </c>
      <c r="M782" s="41" t="str">
        <f aca="false">IF(G782&lt;&gt;"Yes","",COUNTIFS($B$6:$B$1505,B782,$F$6:$F$1505,"&lt;"&amp;F782)+COUNTIFS($B$6:$B$1505,B782,$F$6:$F$1505,F782,$A$6:$A$1505,"&lt;="&amp;A782))</f>
        <v/>
      </c>
      <c r="N782" s="41" t="str">
        <f aca="false">IF(M782="","",ROUNDUP(M782/H782,0))</f>
        <v/>
      </c>
      <c r="O782" s="41" t="str">
        <f aca="false">IF(N782="","",IF(N782&lt;='Kitting Plan'!$C$3,"Rep "&amp;N782,"Surplus"))</f>
        <v/>
      </c>
    </row>
    <row r="783" customFormat="false" ht="15" hidden="false" customHeight="false" outlineLevel="0" collapsed="false">
      <c r="A783" s="40" t="str">
        <f aca="false">IF(OR($A$4=0,INDEX('COOIS Raw'!$A:$GZ,ROW()-4,$A$4)=""),"",IFERROR(--INDEX('COOIS Raw'!$A:$GZ,ROW()-4,$A$4),INDEX('COOIS Raw'!$A:$GZ,ROW()-4,$A$4)))</f>
        <v/>
      </c>
      <c r="B783" s="41" t="str">
        <f aca="false">IF(A783="","",TRIM(INDEX('COOIS Raw'!$A:$GZ,ROW()-4,$B$4)))</f>
        <v/>
      </c>
      <c r="C783" s="42" t="str">
        <f aca="false">IF(OR(A783="",$C$4=0),"",INDEX('COOIS Raw'!$A:$GZ,ROW()-4,$C$4))</f>
        <v/>
      </c>
      <c r="D783" s="41" t="str">
        <f aca="false">IF(A783="","",IF($D$4=0,1,IFERROR(--INDEX('COOIS Raw'!$A:$GZ,ROW()-4,$D$4),1)))</f>
        <v/>
      </c>
      <c r="E783" s="42" t="str">
        <f aca="false">IF(A783="","",INDEX('COOIS Raw'!$A:$GZ,ROW()-4,$E$4)&amp;"")</f>
        <v/>
      </c>
      <c r="F783" s="43" t="str">
        <f aca="false">IF(A783="","",IFERROR(DATEVALUE(INDEX('COOIS Raw'!$A:$GZ,ROW()-4,$F$4)),INDEX('COOIS Raw'!$A:$GZ,ROW()-4,$F$4)))</f>
        <v/>
      </c>
      <c r="G783" s="41" t="str">
        <f aca="false">IF(A783="","",IF(ISNA(MATCH(B783,'Kitting Plan'!$B$6:$B$19,0)),"Not in plan","Yes"))</f>
        <v/>
      </c>
      <c r="H783" s="41" t="str">
        <f aca="false">IF(G783="Yes",INDEX('Kitting Plan'!$D$6:$D$19,MATCH(B783,'Kitting Plan'!$B$6:$B$19,0)),"")</f>
        <v/>
      </c>
      <c r="I783" s="41" t="str">
        <f aca="false">IF(A783="","",IF(ISNUMBER(SEARCH("PRT",E783)),D783,0))</f>
        <v/>
      </c>
      <c r="J783" s="41" t="str">
        <f aca="false">IF(A783="","",IF(ISNUMBER(SEARCH("GMPS",E783)),D783,0))</f>
        <v/>
      </c>
      <c r="K783" s="41" t="str">
        <f aca="false">IF(A783="","",IF(ISNUMBER(SEARCH("DLV",E783)),D783,0))</f>
        <v/>
      </c>
      <c r="L783" s="41" t="str">
        <f aca="false">IF(A783="","",IF(K783&gt;0,"Delivered",IF(ISNUMBER(SEARCH("CNF",E783)),"In production",IF(J783&gt;0,"Issued",IF(I783&gt;0,"Kitted","Released")))))</f>
        <v/>
      </c>
      <c r="M783" s="41" t="str">
        <f aca="false">IF(G783&lt;&gt;"Yes","",COUNTIFS($B$6:$B$1505,B783,$F$6:$F$1505,"&lt;"&amp;F783)+COUNTIFS($B$6:$B$1505,B783,$F$6:$F$1505,F783,$A$6:$A$1505,"&lt;="&amp;A783))</f>
        <v/>
      </c>
      <c r="N783" s="41" t="str">
        <f aca="false">IF(M783="","",ROUNDUP(M783/H783,0))</f>
        <v/>
      </c>
      <c r="O783" s="41" t="str">
        <f aca="false">IF(N783="","",IF(N783&lt;='Kitting Plan'!$C$3,"Rep "&amp;N783,"Surplus"))</f>
        <v/>
      </c>
    </row>
    <row r="784" customFormat="false" ht="15" hidden="false" customHeight="false" outlineLevel="0" collapsed="false">
      <c r="A784" s="40" t="str">
        <f aca="false">IF(OR($A$4=0,INDEX('COOIS Raw'!$A:$GZ,ROW()-4,$A$4)=""),"",IFERROR(--INDEX('COOIS Raw'!$A:$GZ,ROW()-4,$A$4),INDEX('COOIS Raw'!$A:$GZ,ROW()-4,$A$4)))</f>
        <v/>
      </c>
      <c r="B784" s="41" t="str">
        <f aca="false">IF(A784="","",TRIM(INDEX('COOIS Raw'!$A:$GZ,ROW()-4,$B$4)))</f>
        <v/>
      </c>
      <c r="C784" s="42" t="str">
        <f aca="false">IF(OR(A784="",$C$4=0),"",INDEX('COOIS Raw'!$A:$GZ,ROW()-4,$C$4))</f>
        <v/>
      </c>
      <c r="D784" s="41" t="str">
        <f aca="false">IF(A784="","",IF($D$4=0,1,IFERROR(--INDEX('COOIS Raw'!$A:$GZ,ROW()-4,$D$4),1)))</f>
        <v/>
      </c>
      <c r="E784" s="42" t="str">
        <f aca="false">IF(A784="","",INDEX('COOIS Raw'!$A:$GZ,ROW()-4,$E$4)&amp;"")</f>
        <v/>
      </c>
      <c r="F784" s="43" t="str">
        <f aca="false">IF(A784="","",IFERROR(DATEVALUE(INDEX('COOIS Raw'!$A:$GZ,ROW()-4,$F$4)),INDEX('COOIS Raw'!$A:$GZ,ROW()-4,$F$4)))</f>
        <v/>
      </c>
      <c r="G784" s="41" t="str">
        <f aca="false">IF(A784="","",IF(ISNA(MATCH(B784,'Kitting Plan'!$B$6:$B$19,0)),"Not in plan","Yes"))</f>
        <v/>
      </c>
      <c r="H784" s="41" t="str">
        <f aca="false">IF(G784="Yes",INDEX('Kitting Plan'!$D$6:$D$19,MATCH(B784,'Kitting Plan'!$B$6:$B$19,0)),"")</f>
        <v/>
      </c>
      <c r="I784" s="41" t="str">
        <f aca="false">IF(A784="","",IF(ISNUMBER(SEARCH("PRT",E784)),D784,0))</f>
        <v/>
      </c>
      <c r="J784" s="41" t="str">
        <f aca="false">IF(A784="","",IF(ISNUMBER(SEARCH("GMPS",E784)),D784,0))</f>
        <v/>
      </c>
      <c r="K784" s="41" t="str">
        <f aca="false">IF(A784="","",IF(ISNUMBER(SEARCH("DLV",E784)),D784,0))</f>
        <v/>
      </c>
      <c r="L784" s="41" t="str">
        <f aca="false">IF(A784="","",IF(K784&gt;0,"Delivered",IF(ISNUMBER(SEARCH("CNF",E784)),"In production",IF(J784&gt;0,"Issued",IF(I784&gt;0,"Kitted","Released")))))</f>
        <v/>
      </c>
      <c r="M784" s="41" t="str">
        <f aca="false">IF(G784&lt;&gt;"Yes","",COUNTIFS($B$6:$B$1505,B784,$F$6:$F$1505,"&lt;"&amp;F784)+COUNTIFS($B$6:$B$1505,B784,$F$6:$F$1505,F784,$A$6:$A$1505,"&lt;="&amp;A784))</f>
        <v/>
      </c>
      <c r="N784" s="41" t="str">
        <f aca="false">IF(M784="","",ROUNDUP(M784/H784,0))</f>
        <v/>
      </c>
      <c r="O784" s="41" t="str">
        <f aca="false">IF(N784="","",IF(N784&lt;='Kitting Plan'!$C$3,"Rep "&amp;N784,"Surplus"))</f>
        <v/>
      </c>
    </row>
    <row r="785" customFormat="false" ht="15" hidden="false" customHeight="false" outlineLevel="0" collapsed="false">
      <c r="A785" s="40" t="str">
        <f aca="false">IF(OR($A$4=0,INDEX('COOIS Raw'!$A:$GZ,ROW()-4,$A$4)=""),"",IFERROR(--INDEX('COOIS Raw'!$A:$GZ,ROW()-4,$A$4),INDEX('COOIS Raw'!$A:$GZ,ROW()-4,$A$4)))</f>
        <v/>
      </c>
      <c r="B785" s="41" t="str">
        <f aca="false">IF(A785="","",TRIM(INDEX('COOIS Raw'!$A:$GZ,ROW()-4,$B$4)))</f>
        <v/>
      </c>
      <c r="C785" s="42" t="str">
        <f aca="false">IF(OR(A785="",$C$4=0),"",INDEX('COOIS Raw'!$A:$GZ,ROW()-4,$C$4))</f>
        <v/>
      </c>
      <c r="D785" s="41" t="str">
        <f aca="false">IF(A785="","",IF($D$4=0,1,IFERROR(--INDEX('COOIS Raw'!$A:$GZ,ROW()-4,$D$4),1)))</f>
        <v/>
      </c>
      <c r="E785" s="42" t="str">
        <f aca="false">IF(A785="","",INDEX('COOIS Raw'!$A:$GZ,ROW()-4,$E$4)&amp;"")</f>
        <v/>
      </c>
      <c r="F785" s="43" t="str">
        <f aca="false">IF(A785="","",IFERROR(DATEVALUE(INDEX('COOIS Raw'!$A:$GZ,ROW()-4,$F$4)),INDEX('COOIS Raw'!$A:$GZ,ROW()-4,$F$4)))</f>
        <v/>
      </c>
      <c r="G785" s="41" t="str">
        <f aca="false">IF(A785="","",IF(ISNA(MATCH(B785,'Kitting Plan'!$B$6:$B$19,0)),"Not in plan","Yes"))</f>
        <v/>
      </c>
      <c r="H785" s="41" t="str">
        <f aca="false">IF(G785="Yes",INDEX('Kitting Plan'!$D$6:$D$19,MATCH(B785,'Kitting Plan'!$B$6:$B$19,0)),"")</f>
        <v/>
      </c>
      <c r="I785" s="41" t="str">
        <f aca="false">IF(A785="","",IF(ISNUMBER(SEARCH("PRT",E785)),D785,0))</f>
        <v/>
      </c>
      <c r="J785" s="41" t="str">
        <f aca="false">IF(A785="","",IF(ISNUMBER(SEARCH("GMPS",E785)),D785,0))</f>
        <v/>
      </c>
      <c r="K785" s="41" t="str">
        <f aca="false">IF(A785="","",IF(ISNUMBER(SEARCH("DLV",E785)),D785,0))</f>
        <v/>
      </c>
      <c r="L785" s="41" t="str">
        <f aca="false">IF(A785="","",IF(K785&gt;0,"Delivered",IF(ISNUMBER(SEARCH("CNF",E785)),"In production",IF(J785&gt;0,"Issued",IF(I785&gt;0,"Kitted","Released")))))</f>
        <v/>
      </c>
      <c r="M785" s="41" t="str">
        <f aca="false">IF(G785&lt;&gt;"Yes","",COUNTIFS($B$6:$B$1505,B785,$F$6:$F$1505,"&lt;"&amp;F785)+COUNTIFS($B$6:$B$1505,B785,$F$6:$F$1505,F785,$A$6:$A$1505,"&lt;="&amp;A785))</f>
        <v/>
      </c>
      <c r="N785" s="41" t="str">
        <f aca="false">IF(M785="","",ROUNDUP(M785/H785,0))</f>
        <v/>
      </c>
      <c r="O785" s="41" t="str">
        <f aca="false">IF(N785="","",IF(N785&lt;='Kitting Plan'!$C$3,"Rep "&amp;N785,"Surplus"))</f>
        <v/>
      </c>
    </row>
    <row r="786" customFormat="false" ht="15" hidden="false" customHeight="false" outlineLevel="0" collapsed="false">
      <c r="A786" s="40" t="str">
        <f aca="false">IF(OR($A$4=0,INDEX('COOIS Raw'!$A:$GZ,ROW()-4,$A$4)=""),"",IFERROR(--INDEX('COOIS Raw'!$A:$GZ,ROW()-4,$A$4),INDEX('COOIS Raw'!$A:$GZ,ROW()-4,$A$4)))</f>
        <v/>
      </c>
      <c r="B786" s="41" t="str">
        <f aca="false">IF(A786="","",TRIM(INDEX('COOIS Raw'!$A:$GZ,ROW()-4,$B$4)))</f>
        <v/>
      </c>
      <c r="C786" s="42" t="str">
        <f aca="false">IF(OR(A786="",$C$4=0),"",INDEX('COOIS Raw'!$A:$GZ,ROW()-4,$C$4))</f>
        <v/>
      </c>
      <c r="D786" s="41" t="str">
        <f aca="false">IF(A786="","",IF($D$4=0,1,IFERROR(--INDEX('COOIS Raw'!$A:$GZ,ROW()-4,$D$4),1)))</f>
        <v/>
      </c>
      <c r="E786" s="42" t="str">
        <f aca="false">IF(A786="","",INDEX('COOIS Raw'!$A:$GZ,ROW()-4,$E$4)&amp;"")</f>
        <v/>
      </c>
      <c r="F786" s="43" t="str">
        <f aca="false">IF(A786="","",IFERROR(DATEVALUE(INDEX('COOIS Raw'!$A:$GZ,ROW()-4,$F$4)),INDEX('COOIS Raw'!$A:$GZ,ROW()-4,$F$4)))</f>
        <v/>
      </c>
      <c r="G786" s="41" t="str">
        <f aca="false">IF(A786="","",IF(ISNA(MATCH(B786,'Kitting Plan'!$B$6:$B$19,0)),"Not in plan","Yes"))</f>
        <v/>
      </c>
      <c r="H786" s="41" t="str">
        <f aca="false">IF(G786="Yes",INDEX('Kitting Plan'!$D$6:$D$19,MATCH(B786,'Kitting Plan'!$B$6:$B$19,0)),"")</f>
        <v/>
      </c>
      <c r="I786" s="41" t="str">
        <f aca="false">IF(A786="","",IF(ISNUMBER(SEARCH("PRT",E786)),D786,0))</f>
        <v/>
      </c>
      <c r="J786" s="41" t="str">
        <f aca="false">IF(A786="","",IF(ISNUMBER(SEARCH("GMPS",E786)),D786,0))</f>
        <v/>
      </c>
      <c r="K786" s="41" t="str">
        <f aca="false">IF(A786="","",IF(ISNUMBER(SEARCH("DLV",E786)),D786,0))</f>
        <v/>
      </c>
      <c r="L786" s="41" t="str">
        <f aca="false">IF(A786="","",IF(K786&gt;0,"Delivered",IF(ISNUMBER(SEARCH("CNF",E786)),"In production",IF(J786&gt;0,"Issued",IF(I786&gt;0,"Kitted","Released")))))</f>
        <v/>
      </c>
      <c r="M786" s="41" t="str">
        <f aca="false">IF(G786&lt;&gt;"Yes","",COUNTIFS($B$6:$B$1505,B786,$F$6:$F$1505,"&lt;"&amp;F786)+COUNTIFS($B$6:$B$1505,B786,$F$6:$F$1505,F786,$A$6:$A$1505,"&lt;="&amp;A786))</f>
        <v/>
      </c>
      <c r="N786" s="41" t="str">
        <f aca="false">IF(M786="","",ROUNDUP(M786/H786,0))</f>
        <v/>
      </c>
      <c r="O786" s="41" t="str">
        <f aca="false">IF(N786="","",IF(N786&lt;='Kitting Plan'!$C$3,"Rep "&amp;N786,"Surplus"))</f>
        <v/>
      </c>
    </row>
    <row r="787" customFormat="false" ht="15" hidden="false" customHeight="false" outlineLevel="0" collapsed="false">
      <c r="A787" s="40" t="str">
        <f aca="false">IF(OR($A$4=0,INDEX('COOIS Raw'!$A:$GZ,ROW()-4,$A$4)=""),"",IFERROR(--INDEX('COOIS Raw'!$A:$GZ,ROW()-4,$A$4),INDEX('COOIS Raw'!$A:$GZ,ROW()-4,$A$4)))</f>
        <v/>
      </c>
      <c r="B787" s="41" t="str">
        <f aca="false">IF(A787="","",TRIM(INDEX('COOIS Raw'!$A:$GZ,ROW()-4,$B$4)))</f>
        <v/>
      </c>
      <c r="C787" s="42" t="str">
        <f aca="false">IF(OR(A787="",$C$4=0),"",INDEX('COOIS Raw'!$A:$GZ,ROW()-4,$C$4))</f>
        <v/>
      </c>
      <c r="D787" s="41" t="str">
        <f aca="false">IF(A787="","",IF($D$4=0,1,IFERROR(--INDEX('COOIS Raw'!$A:$GZ,ROW()-4,$D$4),1)))</f>
        <v/>
      </c>
      <c r="E787" s="42" t="str">
        <f aca="false">IF(A787="","",INDEX('COOIS Raw'!$A:$GZ,ROW()-4,$E$4)&amp;"")</f>
        <v/>
      </c>
      <c r="F787" s="43" t="str">
        <f aca="false">IF(A787="","",IFERROR(DATEVALUE(INDEX('COOIS Raw'!$A:$GZ,ROW()-4,$F$4)),INDEX('COOIS Raw'!$A:$GZ,ROW()-4,$F$4)))</f>
        <v/>
      </c>
      <c r="G787" s="41" t="str">
        <f aca="false">IF(A787="","",IF(ISNA(MATCH(B787,'Kitting Plan'!$B$6:$B$19,0)),"Not in plan","Yes"))</f>
        <v/>
      </c>
      <c r="H787" s="41" t="str">
        <f aca="false">IF(G787="Yes",INDEX('Kitting Plan'!$D$6:$D$19,MATCH(B787,'Kitting Plan'!$B$6:$B$19,0)),"")</f>
        <v/>
      </c>
      <c r="I787" s="41" t="str">
        <f aca="false">IF(A787="","",IF(ISNUMBER(SEARCH("PRT",E787)),D787,0))</f>
        <v/>
      </c>
      <c r="J787" s="41" t="str">
        <f aca="false">IF(A787="","",IF(ISNUMBER(SEARCH("GMPS",E787)),D787,0))</f>
        <v/>
      </c>
      <c r="K787" s="41" t="str">
        <f aca="false">IF(A787="","",IF(ISNUMBER(SEARCH("DLV",E787)),D787,0))</f>
        <v/>
      </c>
      <c r="L787" s="41" t="str">
        <f aca="false">IF(A787="","",IF(K787&gt;0,"Delivered",IF(ISNUMBER(SEARCH("CNF",E787)),"In production",IF(J787&gt;0,"Issued",IF(I787&gt;0,"Kitted","Released")))))</f>
        <v/>
      </c>
      <c r="M787" s="41" t="str">
        <f aca="false">IF(G787&lt;&gt;"Yes","",COUNTIFS($B$6:$B$1505,B787,$F$6:$F$1505,"&lt;"&amp;F787)+COUNTIFS($B$6:$B$1505,B787,$F$6:$F$1505,F787,$A$6:$A$1505,"&lt;="&amp;A787))</f>
        <v/>
      </c>
      <c r="N787" s="41" t="str">
        <f aca="false">IF(M787="","",ROUNDUP(M787/H787,0))</f>
        <v/>
      </c>
      <c r="O787" s="41" t="str">
        <f aca="false">IF(N787="","",IF(N787&lt;='Kitting Plan'!$C$3,"Rep "&amp;N787,"Surplus"))</f>
        <v/>
      </c>
    </row>
    <row r="788" customFormat="false" ht="15" hidden="false" customHeight="false" outlineLevel="0" collapsed="false">
      <c r="A788" s="40" t="str">
        <f aca="false">IF(OR($A$4=0,INDEX('COOIS Raw'!$A:$GZ,ROW()-4,$A$4)=""),"",IFERROR(--INDEX('COOIS Raw'!$A:$GZ,ROW()-4,$A$4),INDEX('COOIS Raw'!$A:$GZ,ROW()-4,$A$4)))</f>
        <v/>
      </c>
      <c r="B788" s="41" t="str">
        <f aca="false">IF(A788="","",TRIM(INDEX('COOIS Raw'!$A:$GZ,ROW()-4,$B$4)))</f>
        <v/>
      </c>
      <c r="C788" s="42" t="str">
        <f aca="false">IF(OR(A788="",$C$4=0),"",INDEX('COOIS Raw'!$A:$GZ,ROW()-4,$C$4))</f>
        <v/>
      </c>
      <c r="D788" s="41" t="str">
        <f aca="false">IF(A788="","",IF($D$4=0,1,IFERROR(--INDEX('COOIS Raw'!$A:$GZ,ROW()-4,$D$4),1)))</f>
        <v/>
      </c>
      <c r="E788" s="42" t="str">
        <f aca="false">IF(A788="","",INDEX('COOIS Raw'!$A:$GZ,ROW()-4,$E$4)&amp;"")</f>
        <v/>
      </c>
      <c r="F788" s="43" t="str">
        <f aca="false">IF(A788="","",IFERROR(DATEVALUE(INDEX('COOIS Raw'!$A:$GZ,ROW()-4,$F$4)),INDEX('COOIS Raw'!$A:$GZ,ROW()-4,$F$4)))</f>
        <v/>
      </c>
      <c r="G788" s="41" t="str">
        <f aca="false">IF(A788="","",IF(ISNA(MATCH(B788,'Kitting Plan'!$B$6:$B$19,0)),"Not in plan","Yes"))</f>
        <v/>
      </c>
      <c r="H788" s="41" t="str">
        <f aca="false">IF(G788="Yes",INDEX('Kitting Plan'!$D$6:$D$19,MATCH(B788,'Kitting Plan'!$B$6:$B$19,0)),"")</f>
        <v/>
      </c>
      <c r="I788" s="41" t="str">
        <f aca="false">IF(A788="","",IF(ISNUMBER(SEARCH("PRT",E788)),D788,0))</f>
        <v/>
      </c>
      <c r="J788" s="41" t="str">
        <f aca="false">IF(A788="","",IF(ISNUMBER(SEARCH("GMPS",E788)),D788,0))</f>
        <v/>
      </c>
      <c r="K788" s="41" t="str">
        <f aca="false">IF(A788="","",IF(ISNUMBER(SEARCH("DLV",E788)),D788,0))</f>
        <v/>
      </c>
      <c r="L788" s="41" t="str">
        <f aca="false">IF(A788="","",IF(K788&gt;0,"Delivered",IF(ISNUMBER(SEARCH("CNF",E788)),"In production",IF(J788&gt;0,"Issued",IF(I788&gt;0,"Kitted","Released")))))</f>
        <v/>
      </c>
      <c r="M788" s="41" t="str">
        <f aca="false">IF(G788&lt;&gt;"Yes","",COUNTIFS($B$6:$B$1505,B788,$F$6:$F$1505,"&lt;"&amp;F788)+COUNTIFS($B$6:$B$1505,B788,$F$6:$F$1505,F788,$A$6:$A$1505,"&lt;="&amp;A788))</f>
        <v/>
      </c>
      <c r="N788" s="41" t="str">
        <f aca="false">IF(M788="","",ROUNDUP(M788/H788,0))</f>
        <v/>
      </c>
      <c r="O788" s="41" t="str">
        <f aca="false">IF(N788="","",IF(N788&lt;='Kitting Plan'!$C$3,"Rep "&amp;N788,"Surplus"))</f>
        <v/>
      </c>
    </row>
    <row r="789" customFormat="false" ht="15" hidden="false" customHeight="false" outlineLevel="0" collapsed="false">
      <c r="A789" s="40" t="str">
        <f aca="false">IF(OR($A$4=0,INDEX('COOIS Raw'!$A:$GZ,ROW()-4,$A$4)=""),"",IFERROR(--INDEX('COOIS Raw'!$A:$GZ,ROW()-4,$A$4),INDEX('COOIS Raw'!$A:$GZ,ROW()-4,$A$4)))</f>
        <v/>
      </c>
      <c r="B789" s="41" t="str">
        <f aca="false">IF(A789="","",TRIM(INDEX('COOIS Raw'!$A:$GZ,ROW()-4,$B$4)))</f>
        <v/>
      </c>
      <c r="C789" s="42" t="str">
        <f aca="false">IF(OR(A789="",$C$4=0),"",INDEX('COOIS Raw'!$A:$GZ,ROW()-4,$C$4))</f>
        <v/>
      </c>
      <c r="D789" s="41" t="str">
        <f aca="false">IF(A789="","",IF($D$4=0,1,IFERROR(--INDEX('COOIS Raw'!$A:$GZ,ROW()-4,$D$4),1)))</f>
        <v/>
      </c>
      <c r="E789" s="42" t="str">
        <f aca="false">IF(A789="","",INDEX('COOIS Raw'!$A:$GZ,ROW()-4,$E$4)&amp;"")</f>
        <v/>
      </c>
      <c r="F789" s="43" t="str">
        <f aca="false">IF(A789="","",IFERROR(DATEVALUE(INDEX('COOIS Raw'!$A:$GZ,ROW()-4,$F$4)),INDEX('COOIS Raw'!$A:$GZ,ROW()-4,$F$4)))</f>
        <v/>
      </c>
      <c r="G789" s="41" t="str">
        <f aca="false">IF(A789="","",IF(ISNA(MATCH(B789,'Kitting Plan'!$B$6:$B$19,0)),"Not in plan","Yes"))</f>
        <v/>
      </c>
      <c r="H789" s="41" t="str">
        <f aca="false">IF(G789="Yes",INDEX('Kitting Plan'!$D$6:$D$19,MATCH(B789,'Kitting Plan'!$B$6:$B$19,0)),"")</f>
        <v/>
      </c>
      <c r="I789" s="41" t="str">
        <f aca="false">IF(A789="","",IF(ISNUMBER(SEARCH("PRT",E789)),D789,0))</f>
        <v/>
      </c>
      <c r="J789" s="41" t="str">
        <f aca="false">IF(A789="","",IF(ISNUMBER(SEARCH("GMPS",E789)),D789,0))</f>
        <v/>
      </c>
      <c r="K789" s="41" t="str">
        <f aca="false">IF(A789="","",IF(ISNUMBER(SEARCH("DLV",E789)),D789,0))</f>
        <v/>
      </c>
      <c r="L789" s="41" t="str">
        <f aca="false">IF(A789="","",IF(K789&gt;0,"Delivered",IF(ISNUMBER(SEARCH("CNF",E789)),"In production",IF(J789&gt;0,"Issued",IF(I789&gt;0,"Kitted","Released")))))</f>
        <v/>
      </c>
      <c r="M789" s="41" t="str">
        <f aca="false">IF(G789&lt;&gt;"Yes","",COUNTIFS($B$6:$B$1505,B789,$F$6:$F$1505,"&lt;"&amp;F789)+COUNTIFS($B$6:$B$1505,B789,$F$6:$F$1505,F789,$A$6:$A$1505,"&lt;="&amp;A789))</f>
        <v/>
      </c>
      <c r="N789" s="41" t="str">
        <f aca="false">IF(M789="","",ROUNDUP(M789/H789,0))</f>
        <v/>
      </c>
      <c r="O789" s="41" t="str">
        <f aca="false">IF(N789="","",IF(N789&lt;='Kitting Plan'!$C$3,"Rep "&amp;N789,"Surplus"))</f>
        <v/>
      </c>
    </row>
    <row r="790" customFormat="false" ht="15" hidden="false" customHeight="false" outlineLevel="0" collapsed="false">
      <c r="A790" s="40" t="str">
        <f aca="false">IF(OR($A$4=0,INDEX('COOIS Raw'!$A:$GZ,ROW()-4,$A$4)=""),"",IFERROR(--INDEX('COOIS Raw'!$A:$GZ,ROW()-4,$A$4),INDEX('COOIS Raw'!$A:$GZ,ROW()-4,$A$4)))</f>
        <v/>
      </c>
      <c r="B790" s="41" t="str">
        <f aca="false">IF(A790="","",TRIM(INDEX('COOIS Raw'!$A:$GZ,ROW()-4,$B$4)))</f>
        <v/>
      </c>
      <c r="C790" s="42" t="str">
        <f aca="false">IF(OR(A790="",$C$4=0),"",INDEX('COOIS Raw'!$A:$GZ,ROW()-4,$C$4))</f>
        <v/>
      </c>
      <c r="D790" s="41" t="str">
        <f aca="false">IF(A790="","",IF($D$4=0,1,IFERROR(--INDEX('COOIS Raw'!$A:$GZ,ROW()-4,$D$4),1)))</f>
        <v/>
      </c>
      <c r="E790" s="42" t="str">
        <f aca="false">IF(A790="","",INDEX('COOIS Raw'!$A:$GZ,ROW()-4,$E$4)&amp;"")</f>
        <v/>
      </c>
      <c r="F790" s="43" t="str">
        <f aca="false">IF(A790="","",IFERROR(DATEVALUE(INDEX('COOIS Raw'!$A:$GZ,ROW()-4,$F$4)),INDEX('COOIS Raw'!$A:$GZ,ROW()-4,$F$4)))</f>
        <v/>
      </c>
      <c r="G790" s="41" t="str">
        <f aca="false">IF(A790="","",IF(ISNA(MATCH(B790,'Kitting Plan'!$B$6:$B$19,0)),"Not in plan","Yes"))</f>
        <v/>
      </c>
      <c r="H790" s="41" t="str">
        <f aca="false">IF(G790="Yes",INDEX('Kitting Plan'!$D$6:$D$19,MATCH(B790,'Kitting Plan'!$B$6:$B$19,0)),"")</f>
        <v/>
      </c>
      <c r="I790" s="41" t="str">
        <f aca="false">IF(A790="","",IF(ISNUMBER(SEARCH("PRT",E790)),D790,0))</f>
        <v/>
      </c>
      <c r="J790" s="41" t="str">
        <f aca="false">IF(A790="","",IF(ISNUMBER(SEARCH("GMPS",E790)),D790,0))</f>
        <v/>
      </c>
      <c r="K790" s="41" t="str">
        <f aca="false">IF(A790="","",IF(ISNUMBER(SEARCH("DLV",E790)),D790,0))</f>
        <v/>
      </c>
      <c r="L790" s="41" t="str">
        <f aca="false">IF(A790="","",IF(K790&gt;0,"Delivered",IF(ISNUMBER(SEARCH("CNF",E790)),"In production",IF(J790&gt;0,"Issued",IF(I790&gt;0,"Kitted","Released")))))</f>
        <v/>
      </c>
      <c r="M790" s="41" t="str">
        <f aca="false">IF(G790&lt;&gt;"Yes","",COUNTIFS($B$6:$B$1505,B790,$F$6:$F$1505,"&lt;"&amp;F790)+COUNTIFS($B$6:$B$1505,B790,$F$6:$F$1505,F790,$A$6:$A$1505,"&lt;="&amp;A790))</f>
        <v/>
      </c>
      <c r="N790" s="41" t="str">
        <f aca="false">IF(M790="","",ROUNDUP(M790/H790,0))</f>
        <v/>
      </c>
      <c r="O790" s="41" t="str">
        <f aca="false">IF(N790="","",IF(N790&lt;='Kitting Plan'!$C$3,"Rep "&amp;N790,"Surplus"))</f>
        <v/>
      </c>
    </row>
    <row r="791" customFormat="false" ht="15" hidden="false" customHeight="false" outlineLevel="0" collapsed="false">
      <c r="A791" s="40" t="str">
        <f aca="false">IF(OR($A$4=0,INDEX('COOIS Raw'!$A:$GZ,ROW()-4,$A$4)=""),"",IFERROR(--INDEX('COOIS Raw'!$A:$GZ,ROW()-4,$A$4),INDEX('COOIS Raw'!$A:$GZ,ROW()-4,$A$4)))</f>
        <v/>
      </c>
      <c r="B791" s="41" t="str">
        <f aca="false">IF(A791="","",TRIM(INDEX('COOIS Raw'!$A:$GZ,ROW()-4,$B$4)))</f>
        <v/>
      </c>
      <c r="C791" s="42" t="str">
        <f aca="false">IF(OR(A791="",$C$4=0),"",INDEX('COOIS Raw'!$A:$GZ,ROW()-4,$C$4))</f>
        <v/>
      </c>
      <c r="D791" s="41" t="str">
        <f aca="false">IF(A791="","",IF($D$4=0,1,IFERROR(--INDEX('COOIS Raw'!$A:$GZ,ROW()-4,$D$4),1)))</f>
        <v/>
      </c>
      <c r="E791" s="42" t="str">
        <f aca="false">IF(A791="","",INDEX('COOIS Raw'!$A:$GZ,ROW()-4,$E$4)&amp;"")</f>
        <v/>
      </c>
      <c r="F791" s="43" t="str">
        <f aca="false">IF(A791="","",IFERROR(DATEVALUE(INDEX('COOIS Raw'!$A:$GZ,ROW()-4,$F$4)),INDEX('COOIS Raw'!$A:$GZ,ROW()-4,$F$4)))</f>
        <v/>
      </c>
      <c r="G791" s="41" t="str">
        <f aca="false">IF(A791="","",IF(ISNA(MATCH(B791,'Kitting Plan'!$B$6:$B$19,0)),"Not in plan","Yes"))</f>
        <v/>
      </c>
      <c r="H791" s="41" t="str">
        <f aca="false">IF(G791="Yes",INDEX('Kitting Plan'!$D$6:$D$19,MATCH(B791,'Kitting Plan'!$B$6:$B$19,0)),"")</f>
        <v/>
      </c>
      <c r="I791" s="41" t="str">
        <f aca="false">IF(A791="","",IF(ISNUMBER(SEARCH("PRT",E791)),D791,0))</f>
        <v/>
      </c>
      <c r="J791" s="41" t="str">
        <f aca="false">IF(A791="","",IF(ISNUMBER(SEARCH("GMPS",E791)),D791,0))</f>
        <v/>
      </c>
      <c r="K791" s="41" t="str">
        <f aca="false">IF(A791="","",IF(ISNUMBER(SEARCH("DLV",E791)),D791,0))</f>
        <v/>
      </c>
      <c r="L791" s="41" t="str">
        <f aca="false">IF(A791="","",IF(K791&gt;0,"Delivered",IF(ISNUMBER(SEARCH("CNF",E791)),"In production",IF(J791&gt;0,"Issued",IF(I791&gt;0,"Kitted","Released")))))</f>
        <v/>
      </c>
      <c r="M791" s="41" t="str">
        <f aca="false">IF(G791&lt;&gt;"Yes","",COUNTIFS($B$6:$B$1505,B791,$F$6:$F$1505,"&lt;"&amp;F791)+COUNTIFS($B$6:$B$1505,B791,$F$6:$F$1505,F791,$A$6:$A$1505,"&lt;="&amp;A791))</f>
        <v/>
      </c>
      <c r="N791" s="41" t="str">
        <f aca="false">IF(M791="","",ROUNDUP(M791/H791,0))</f>
        <v/>
      </c>
      <c r="O791" s="41" t="str">
        <f aca="false">IF(N791="","",IF(N791&lt;='Kitting Plan'!$C$3,"Rep "&amp;N791,"Surplus"))</f>
        <v/>
      </c>
    </row>
    <row r="792" customFormat="false" ht="15" hidden="false" customHeight="false" outlineLevel="0" collapsed="false">
      <c r="A792" s="40" t="str">
        <f aca="false">IF(OR($A$4=0,INDEX('COOIS Raw'!$A:$GZ,ROW()-4,$A$4)=""),"",IFERROR(--INDEX('COOIS Raw'!$A:$GZ,ROW()-4,$A$4),INDEX('COOIS Raw'!$A:$GZ,ROW()-4,$A$4)))</f>
        <v/>
      </c>
      <c r="B792" s="41" t="str">
        <f aca="false">IF(A792="","",TRIM(INDEX('COOIS Raw'!$A:$GZ,ROW()-4,$B$4)))</f>
        <v/>
      </c>
      <c r="C792" s="42" t="str">
        <f aca="false">IF(OR(A792="",$C$4=0),"",INDEX('COOIS Raw'!$A:$GZ,ROW()-4,$C$4))</f>
        <v/>
      </c>
      <c r="D792" s="41" t="str">
        <f aca="false">IF(A792="","",IF($D$4=0,1,IFERROR(--INDEX('COOIS Raw'!$A:$GZ,ROW()-4,$D$4),1)))</f>
        <v/>
      </c>
      <c r="E792" s="42" t="str">
        <f aca="false">IF(A792="","",INDEX('COOIS Raw'!$A:$GZ,ROW()-4,$E$4)&amp;"")</f>
        <v/>
      </c>
      <c r="F792" s="43" t="str">
        <f aca="false">IF(A792="","",IFERROR(DATEVALUE(INDEX('COOIS Raw'!$A:$GZ,ROW()-4,$F$4)),INDEX('COOIS Raw'!$A:$GZ,ROW()-4,$F$4)))</f>
        <v/>
      </c>
      <c r="G792" s="41" t="str">
        <f aca="false">IF(A792="","",IF(ISNA(MATCH(B792,'Kitting Plan'!$B$6:$B$19,0)),"Not in plan","Yes"))</f>
        <v/>
      </c>
      <c r="H792" s="41" t="str">
        <f aca="false">IF(G792="Yes",INDEX('Kitting Plan'!$D$6:$D$19,MATCH(B792,'Kitting Plan'!$B$6:$B$19,0)),"")</f>
        <v/>
      </c>
      <c r="I792" s="41" t="str">
        <f aca="false">IF(A792="","",IF(ISNUMBER(SEARCH("PRT",E792)),D792,0))</f>
        <v/>
      </c>
      <c r="J792" s="41" t="str">
        <f aca="false">IF(A792="","",IF(ISNUMBER(SEARCH("GMPS",E792)),D792,0))</f>
        <v/>
      </c>
      <c r="K792" s="41" t="str">
        <f aca="false">IF(A792="","",IF(ISNUMBER(SEARCH("DLV",E792)),D792,0))</f>
        <v/>
      </c>
      <c r="L792" s="41" t="str">
        <f aca="false">IF(A792="","",IF(K792&gt;0,"Delivered",IF(ISNUMBER(SEARCH("CNF",E792)),"In production",IF(J792&gt;0,"Issued",IF(I792&gt;0,"Kitted","Released")))))</f>
        <v/>
      </c>
      <c r="M792" s="41" t="str">
        <f aca="false">IF(G792&lt;&gt;"Yes","",COUNTIFS($B$6:$B$1505,B792,$F$6:$F$1505,"&lt;"&amp;F792)+COUNTIFS($B$6:$B$1505,B792,$F$6:$F$1505,F792,$A$6:$A$1505,"&lt;="&amp;A792))</f>
        <v/>
      </c>
      <c r="N792" s="41" t="str">
        <f aca="false">IF(M792="","",ROUNDUP(M792/H792,0))</f>
        <v/>
      </c>
      <c r="O792" s="41" t="str">
        <f aca="false">IF(N792="","",IF(N792&lt;='Kitting Plan'!$C$3,"Rep "&amp;N792,"Surplus"))</f>
        <v/>
      </c>
    </row>
    <row r="793" customFormat="false" ht="15" hidden="false" customHeight="false" outlineLevel="0" collapsed="false">
      <c r="A793" s="40" t="str">
        <f aca="false">IF(OR($A$4=0,INDEX('COOIS Raw'!$A:$GZ,ROW()-4,$A$4)=""),"",IFERROR(--INDEX('COOIS Raw'!$A:$GZ,ROW()-4,$A$4),INDEX('COOIS Raw'!$A:$GZ,ROW()-4,$A$4)))</f>
        <v/>
      </c>
      <c r="B793" s="41" t="str">
        <f aca="false">IF(A793="","",TRIM(INDEX('COOIS Raw'!$A:$GZ,ROW()-4,$B$4)))</f>
        <v/>
      </c>
      <c r="C793" s="42" t="str">
        <f aca="false">IF(OR(A793="",$C$4=0),"",INDEX('COOIS Raw'!$A:$GZ,ROW()-4,$C$4))</f>
        <v/>
      </c>
      <c r="D793" s="41" t="str">
        <f aca="false">IF(A793="","",IF($D$4=0,1,IFERROR(--INDEX('COOIS Raw'!$A:$GZ,ROW()-4,$D$4),1)))</f>
        <v/>
      </c>
      <c r="E793" s="42" t="str">
        <f aca="false">IF(A793="","",INDEX('COOIS Raw'!$A:$GZ,ROW()-4,$E$4)&amp;"")</f>
        <v/>
      </c>
      <c r="F793" s="43" t="str">
        <f aca="false">IF(A793="","",IFERROR(DATEVALUE(INDEX('COOIS Raw'!$A:$GZ,ROW()-4,$F$4)),INDEX('COOIS Raw'!$A:$GZ,ROW()-4,$F$4)))</f>
        <v/>
      </c>
      <c r="G793" s="41" t="str">
        <f aca="false">IF(A793="","",IF(ISNA(MATCH(B793,'Kitting Plan'!$B$6:$B$19,0)),"Not in plan","Yes"))</f>
        <v/>
      </c>
      <c r="H793" s="41" t="str">
        <f aca="false">IF(G793="Yes",INDEX('Kitting Plan'!$D$6:$D$19,MATCH(B793,'Kitting Plan'!$B$6:$B$19,0)),"")</f>
        <v/>
      </c>
      <c r="I793" s="41" t="str">
        <f aca="false">IF(A793="","",IF(ISNUMBER(SEARCH("PRT",E793)),D793,0))</f>
        <v/>
      </c>
      <c r="J793" s="41" t="str">
        <f aca="false">IF(A793="","",IF(ISNUMBER(SEARCH("GMPS",E793)),D793,0))</f>
        <v/>
      </c>
      <c r="K793" s="41" t="str">
        <f aca="false">IF(A793="","",IF(ISNUMBER(SEARCH("DLV",E793)),D793,0))</f>
        <v/>
      </c>
      <c r="L793" s="41" t="str">
        <f aca="false">IF(A793="","",IF(K793&gt;0,"Delivered",IF(ISNUMBER(SEARCH("CNF",E793)),"In production",IF(J793&gt;0,"Issued",IF(I793&gt;0,"Kitted","Released")))))</f>
        <v/>
      </c>
      <c r="M793" s="41" t="str">
        <f aca="false">IF(G793&lt;&gt;"Yes","",COUNTIFS($B$6:$B$1505,B793,$F$6:$F$1505,"&lt;"&amp;F793)+COUNTIFS($B$6:$B$1505,B793,$F$6:$F$1505,F793,$A$6:$A$1505,"&lt;="&amp;A793))</f>
        <v/>
      </c>
      <c r="N793" s="41" t="str">
        <f aca="false">IF(M793="","",ROUNDUP(M793/H793,0))</f>
        <v/>
      </c>
      <c r="O793" s="41" t="str">
        <f aca="false">IF(N793="","",IF(N793&lt;='Kitting Plan'!$C$3,"Rep "&amp;N793,"Surplus"))</f>
        <v/>
      </c>
    </row>
    <row r="794" customFormat="false" ht="15" hidden="false" customHeight="false" outlineLevel="0" collapsed="false">
      <c r="A794" s="40" t="str">
        <f aca="false">IF(OR($A$4=0,INDEX('COOIS Raw'!$A:$GZ,ROW()-4,$A$4)=""),"",IFERROR(--INDEX('COOIS Raw'!$A:$GZ,ROW()-4,$A$4),INDEX('COOIS Raw'!$A:$GZ,ROW()-4,$A$4)))</f>
        <v/>
      </c>
      <c r="B794" s="41" t="str">
        <f aca="false">IF(A794="","",TRIM(INDEX('COOIS Raw'!$A:$GZ,ROW()-4,$B$4)))</f>
        <v/>
      </c>
      <c r="C794" s="42" t="str">
        <f aca="false">IF(OR(A794="",$C$4=0),"",INDEX('COOIS Raw'!$A:$GZ,ROW()-4,$C$4))</f>
        <v/>
      </c>
      <c r="D794" s="41" t="str">
        <f aca="false">IF(A794="","",IF($D$4=0,1,IFERROR(--INDEX('COOIS Raw'!$A:$GZ,ROW()-4,$D$4),1)))</f>
        <v/>
      </c>
      <c r="E794" s="42" t="str">
        <f aca="false">IF(A794="","",INDEX('COOIS Raw'!$A:$GZ,ROW()-4,$E$4)&amp;"")</f>
        <v/>
      </c>
      <c r="F794" s="43" t="str">
        <f aca="false">IF(A794="","",IFERROR(DATEVALUE(INDEX('COOIS Raw'!$A:$GZ,ROW()-4,$F$4)),INDEX('COOIS Raw'!$A:$GZ,ROW()-4,$F$4)))</f>
        <v/>
      </c>
      <c r="G794" s="41" t="str">
        <f aca="false">IF(A794="","",IF(ISNA(MATCH(B794,'Kitting Plan'!$B$6:$B$19,0)),"Not in plan","Yes"))</f>
        <v/>
      </c>
      <c r="H794" s="41" t="str">
        <f aca="false">IF(G794="Yes",INDEX('Kitting Plan'!$D$6:$D$19,MATCH(B794,'Kitting Plan'!$B$6:$B$19,0)),"")</f>
        <v/>
      </c>
      <c r="I794" s="41" t="str">
        <f aca="false">IF(A794="","",IF(ISNUMBER(SEARCH("PRT",E794)),D794,0))</f>
        <v/>
      </c>
      <c r="J794" s="41" t="str">
        <f aca="false">IF(A794="","",IF(ISNUMBER(SEARCH("GMPS",E794)),D794,0))</f>
        <v/>
      </c>
      <c r="K794" s="41" t="str">
        <f aca="false">IF(A794="","",IF(ISNUMBER(SEARCH("DLV",E794)),D794,0))</f>
        <v/>
      </c>
      <c r="L794" s="41" t="str">
        <f aca="false">IF(A794="","",IF(K794&gt;0,"Delivered",IF(ISNUMBER(SEARCH("CNF",E794)),"In production",IF(J794&gt;0,"Issued",IF(I794&gt;0,"Kitted","Released")))))</f>
        <v/>
      </c>
      <c r="M794" s="41" t="str">
        <f aca="false">IF(G794&lt;&gt;"Yes","",COUNTIFS($B$6:$B$1505,B794,$F$6:$F$1505,"&lt;"&amp;F794)+COUNTIFS($B$6:$B$1505,B794,$F$6:$F$1505,F794,$A$6:$A$1505,"&lt;="&amp;A794))</f>
        <v/>
      </c>
      <c r="N794" s="41" t="str">
        <f aca="false">IF(M794="","",ROUNDUP(M794/H794,0))</f>
        <v/>
      </c>
      <c r="O794" s="41" t="str">
        <f aca="false">IF(N794="","",IF(N794&lt;='Kitting Plan'!$C$3,"Rep "&amp;N794,"Surplus"))</f>
        <v/>
      </c>
    </row>
    <row r="795" customFormat="false" ht="15" hidden="false" customHeight="false" outlineLevel="0" collapsed="false">
      <c r="A795" s="40" t="str">
        <f aca="false">IF(OR($A$4=0,INDEX('COOIS Raw'!$A:$GZ,ROW()-4,$A$4)=""),"",IFERROR(--INDEX('COOIS Raw'!$A:$GZ,ROW()-4,$A$4),INDEX('COOIS Raw'!$A:$GZ,ROW()-4,$A$4)))</f>
        <v/>
      </c>
      <c r="B795" s="41" t="str">
        <f aca="false">IF(A795="","",TRIM(INDEX('COOIS Raw'!$A:$GZ,ROW()-4,$B$4)))</f>
        <v/>
      </c>
      <c r="C795" s="42" t="str">
        <f aca="false">IF(OR(A795="",$C$4=0),"",INDEX('COOIS Raw'!$A:$GZ,ROW()-4,$C$4))</f>
        <v/>
      </c>
      <c r="D795" s="41" t="str">
        <f aca="false">IF(A795="","",IF($D$4=0,1,IFERROR(--INDEX('COOIS Raw'!$A:$GZ,ROW()-4,$D$4),1)))</f>
        <v/>
      </c>
      <c r="E795" s="42" t="str">
        <f aca="false">IF(A795="","",INDEX('COOIS Raw'!$A:$GZ,ROW()-4,$E$4)&amp;"")</f>
        <v/>
      </c>
      <c r="F795" s="43" t="str">
        <f aca="false">IF(A795="","",IFERROR(DATEVALUE(INDEX('COOIS Raw'!$A:$GZ,ROW()-4,$F$4)),INDEX('COOIS Raw'!$A:$GZ,ROW()-4,$F$4)))</f>
        <v/>
      </c>
      <c r="G795" s="41" t="str">
        <f aca="false">IF(A795="","",IF(ISNA(MATCH(B795,'Kitting Plan'!$B$6:$B$19,0)),"Not in plan","Yes"))</f>
        <v/>
      </c>
      <c r="H795" s="41" t="str">
        <f aca="false">IF(G795="Yes",INDEX('Kitting Plan'!$D$6:$D$19,MATCH(B795,'Kitting Plan'!$B$6:$B$19,0)),"")</f>
        <v/>
      </c>
      <c r="I795" s="41" t="str">
        <f aca="false">IF(A795="","",IF(ISNUMBER(SEARCH("PRT",E795)),D795,0))</f>
        <v/>
      </c>
      <c r="J795" s="41" t="str">
        <f aca="false">IF(A795="","",IF(ISNUMBER(SEARCH("GMPS",E795)),D795,0))</f>
        <v/>
      </c>
      <c r="K795" s="41" t="str">
        <f aca="false">IF(A795="","",IF(ISNUMBER(SEARCH("DLV",E795)),D795,0))</f>
        <v/>
      </c>
      <c r="L795" s="41" t="str">
        <f aca="false">IF(A795="","",IF(K795&gt;0,"Delivered",IF(ISNUMBER(SEARCH("CNF",E795)),"In production",IF(J795&gt;0,"Issued",IF(I795&gt;0,"Kitted","Released")))))</f>
        <v/>
      </c>
      <c r="M795" s="41" t="str">
        <f aca="false">IF(G795&lt;&gt;"Yes","",COUNTIFS($B$6:$B$1505,B795,$F$6:$F$1505,"&lt;"&amp;F795)+COUNTIFS($B$6:$B$1505,B795,$F$6:$F$1505,F795,$A$6:$A$1505,"&lt;="&amp;A795))</f>
        <v/>
      </c>
      <c r="N795" s="41" t="str">
        <f aca="false">IF(M795="","",ROUNDUP(M795/H795,0))</f>
        <v/>
      </c>
      <c r="O795" s="41" t="str">
        <f aca="false">IF(N795="","",IF(N795&lt;='Kitting Plan'!$C$3,"Rep "&amp;N795,"Surplus"))</f>
        <v/>
      </c>
    </row>
    <row r="796" customFormat="false" ht="15" hidden="false" customHeight="false" outlineLevel="0" collapsed="false">
      <c r="A796" s="40" t="str">
        <f aca="false">IF(OR($A$4=0,INDEX('COOIS Raw'!$A:$GZ,ROW()-4,$A$4)=""),"",IFERROR(--INDEX('COOIS Raw'!$A:$GZ,ROW()-4,$A$4),INDEX('COOIS Raw'!$A:$GZ,ROW()-4,$A$4)))</f>
        <v/>
      </c>
      <c r="B796" s="41" t="str">
        <f aca="false">IF(A796="","",TRIM(INDEX('COOIS Raw'!$A:$GZ,ROW()-4,$B$4)))</f>
        <v/>
      </c>
      <c r="C796" s="42" t="str">
        <f aca="false">IF(OR(A796="",$C$4=0),"",INDEX('COOIS Raw'!$A:$GZ,ROW()-4,$C$4))</f>
        <v/>
      </c>
      <c r="D796" s="41" t="str">
        <f aca="false">IF(A796="","",IF($D$4=0,1,IFERROR(--INDEX('COOIS Raw'!$A:$GZ,ROW()-4,$D$4),1)))</f>
        <v/>
      </c>
      <c r="E796" s="42" t="str">
        <f aca="false">IF(A796="","",INDEX('COOIS Raw'!$A:$GZ,ROW()-4,$E$4)&amp;"")</f>
        <v/>
      </c>
      <c r="F796" s="43" t="str">
        <f aca="false">IF(A796="","",IFERROR(DATEVALUE(INDEX('COOIS Raw'!$A:$GZ,ROW()-4,$F$4)),INDEX('COOIS Raw'!$A:$GZ,ROW()-4,$F$4)))</f>
        <v/>
      </c>
      <c r="G796" s="41" t="str">
        <f aca="false">IF(A796="","",IF(ISNA(MATCH(B796,'Kitting Plan'!$B$6:$B$19,0)),"Not in plan","Yes"))</f>
        <v/>
      </c>
      <c r="H796" s="41" t="str">
        <f aca="false">IF(G796="Yes",INDEX('Kitting Plan'!$D$6:$D$19,MATCH(B796,'Kitting Plan'!$B$6:$B$19,0)),"")</f>
        <v/>
      </c>
      <c r="I796" s="41" t="str">
        <f aca="false">IF(A796="","",IF(ISNUMBER(SEARCH("PRT",E796)),D796,0))</f>
        <v/>
      </c>
      <c r="J796" s="41" t="str">
        <f aca="false">IF(A796="","",IF(ISNUMBER(SEARCH("GMPS",E796)),D796,0))</f>
        <v/>
      </c>
      <c r="K796" s="41" t="str">
        <f aca="false">IF(A796="","",IF(ISNUMBER(SEARCH("DLV",E796)),D796,0))</f>
        <v/>
      </c>
      <c r="L796" s="41" t="str">
        <f aca="false">IF(A796="","",IF(K796&gt;0,"Delivered",IF(ISNUMBER(SEARCH("CNF",E796)),"In production",IF(J796&gt;0,"Issued",IF(I796&gt;0,"Kitted","Released")))))</f>
        <v/>
      </c>
      <c r="M796" s="41" t="str">
        <f aca="false">IF(G796&lt;&gt;"Yes","",COUNTIFS($B$6:$B$1505,B796,$F$6:$F$1505,"&lt;"&amp;F796)+COUNTIFS($B$6:$B$1505,B796,$F$6:$F$1505,F796,$A$6:$A$1505,"&lt;="&amp;A796))</f>
        <v/>
      </c>
      <c r="N796" s="41" t="str">
        <f aca="false">IF(M796="","",ROUNDUP(M796/H796,0))</f>
        <v/>
      </c>
      <c r="O796" s="41" t="str">
        <f aca="false">IF(N796="","",IF(N796&lt;='Kitting Plan'!$C$3,"Rep "&amp;N796,"Surplus"))</f>
        <v/>
      </c>
    </row>
    <row r="797" customFormat="false" ht="15" hidden="false" customHeight="false" outlineLevel="0" collapsed="false">
      <c r="A797" s="40" t="str">
        <f aca="false">IF(OR($A$4=0,INDEX('COOIS Raw'!$A:$GZ,ROW()-4,$A$4)=""),"",IFERROR(--INDEX('COOIS Raw'!$A:$GZ,ROW()-4,$A$4),INDEX('COOIS Raw'!$A:$GZ,ROW()-4,$A$4)))</f>
        <v/>
      </c>
      <c r="B797" s="41" t="str">
        <f aca="false">IF(A797="","",TRIM(INDEX('COOIS Raw'!$A:$GZ,ROW()-4,$B$4)))</f>
        <v/>
      </c>
      <c r="C797" s="42" t="str">
        <f aca="false">IF(OR(A797="",$C$4=0),"",INDEX('COOIS Raw'!$A:$GZ,ROW()-4,$C$4))</f>
        <v/>
      </c>
      <c r="D797" s="41" t="str">
        <f aca="false">IF(A797="","",IF($D$4=0,1,IFERROR(--INDEX('COOIS Raw'!$A:$GZ,ROW()-4,$D$4),1)))</f>
        <v/>
      </c>
      <c r="E797" s="42" t="str">
        <f aca="false">IF(A797="","",INDEX('COOIS Raw'!$A:$GZ,ROW()-4,$E$4)&amp;"")</f>
        <v/>
      </c>
      <c r="F797" s="43" t="str">
        <f aca="false">IF(A797="","",IFERROR(DATEVALUE(INDEX('COOIS Raw'!$A:$GZ,ROW()-4,$F$4)),INDEX('COOIS Raw'!$A:$GZ,ROW()-4,$F$4)))</f>
        <v/>
      </c>
      <c r="G797" s="41" t="str">
        <f aca="false">IF(A797="","",IF(ISNA(MATCH(B797,'Kitting Plan'!$B$6:$B$19,0)),"Not in plan","Yes"))</f>
        <v/>
      </c>
      <c r="H797" s="41" t="str">
        <f aca="false">IF(G797="Yes",INDEX('Kitting Plan'!$D$6:$D$19,MATCH(B797,'Kitting Plan'!$B$6:$B$19,0)),"")</f>
        <v/>
      </c>
      <c r="I797" s="41" t="str">
        <f aca="false">IF(A797="","",IF(ISNUMBER(SEARCH("PRT",E797)),D797,0))</f>
        <v/>
      </c>
      <c r="J797" s="41" t="str">
        <f aca="false">IF(A797="","",IF(ISNUMBER(SEARCH("GMPS",E797)),D797,0))</f>
        <v/>
      </c>
      <c r="K797" s="41" t="str">
        <f aca="false">IF(A797="","",IF(ISNUMBER(SEARCH("DLV",E797)),D797,0))</f>
        <v/>
      </c>
      <c r="L797" s="41" t="str">
        <f aca="false">IF(A797="","",IF(K797&gt;0,"Delivered",IF(ISNUMBER(SEARCH("CNF",E797)),"In production",IF(J797&gt;0,"Issued",IF(I797&gt;0,"Kitted","Released")))))</f>
        <v/>
      </c>
      <c r="M797" s="41" t="str">
        <f aca="false">IF(G797&lt;&gt;"Yes","",COUNTIFS($B$6:$B$1505,B797,$F$6:$F$1505,"&lt;"&amp;F797)+COUNTIFS($B$6:$B$1505,B797,$F$6:$F$1505,F797,$A$6:$A$1505,"&lt;="&amp;A797))</f>
        <v/>
      </c>
      <c r="N797" s="41" t="str">
        <f aca="false">IF(M797="","",ROUNDUP(M797/H797,0))</f>
        <v/>
      </c>
      <c r="O797" s="41" t="str">
        <f aca="false">IF(N797="","",IF(N797&lt;='Kitting Plan'!$C$3,"Rep "&amp;N797,"Surplus"))</f>
        <v/>
      </c>
    </row>
    <row r="798" customFormat="false" ht="15" hidden="false" customHeight="false" outlineLevel="0" collapsed="false">
      <c r="A798" s="40" t="str">
        <f aca="false">IF(OR($A$4=0,INDEX('COOIS Raw'!$A:$GZ,ROW()-4,$A$4)=""),"",IFERROR(--INDEX('COOIS Raw'!$A:$GZ,ROW()-4,$A$4),INDEX('COOIS Raw'!$A:$GZ,ROW()-4,$A$4)))</f>
        <v/>
      </c>
      <c r="B798" s="41" t="str">
        <f aca="false">IF(A798="","",TRIM(INDEX('COOIS Raw'!$A:$GZ,ROW()-4,$B$4)))</f>
        <v/>
      </c>
      <c r="C798" s="42" t="str">
        <f aca="false">IF(OR(A798="",$C$4=0),"",INDEX('COOIS Raw'!$A:$GZ,ROW()-4,$C$4))</f>
        <v/>
      </c>
      <c r="D798" s="41" t="str">
        <f aca="false">IF(A798="","",IF($D$4=0,1,IFERROR(--INDEX('COOIS Raw'!$A:$GZ,ROW()-4,$D$4),1)))</f>
        <v/>
      </c>
      <c r="E798" s="42" t="str">
        <f aca="false">IF(A798="","",INDEX('COOIS Raw'!$A:$GZ,ROW()-4,$E$4)&amp;"")</f>
        <v/>
      </c>
      <c r="F798" s="43" t="str">
        <f aca="false">IF(A798="","",IFERROR(DATEVALUE(INDEX('COOIS Raw'!$A:$GZ,ROW()-4,$F$4)),INDEX('COOIS Raw'!$A:$GZ,ROW()-4,$F$4)))</f>
        <v/>
      </c>
      <c r="G798" s="41" t="str">
        <f aca="false">IF(A798="","",IF(ISNA(MATCH(B798,'Kitting Plan'!$B$6:$B$19,0)),"Not in plan","Yes"))</f>
        <v/>
      </c>
      <c r="H798" s="41" t="str">
        <f aca="false">IF(G798="Yes",INDEX('Kitting Plan'!$D$6:$D$19,MATCH(B798,'Kitting Plan'!$B$6:$B$19,0)),"")</f>
        <v/>
      </c>
      <c r="I798" s="41" t="str">
        <f aca="false">IF(A798="","",IF(ISNUMBER(SEARCH("PRT",E798)),D798,0))</f>
        <v/>
      </c>
      <c r="J798" s="41" t="str">
        <f aca="false">IF(A798="","",IF(ISNUMBER(SEARCH("GMPS",E798)),D798,0))</f>
        <v/>
      </c>
      <c r="K798" s="41" t="str">
        <f aca="false">IF(A798="","",IF(ISNUMBER(SEARCH("DLV",E798)),D798,0))</f>
        <v/>
      </c>
      <c r="L798" s="41" t="str">
        <f aca="false">IF(A798="","",IF(K798&gt;0,"Delivered",IF(ISNUMBER(SEARCH("CNF",E798)),"In production",IF(J798&gt;0,"Issued",IF(I798&gt;0,"Kitted","Released")))))</f>
        <v/>
      </c>
      <c r="M798" s="41" t="str">
        <f aca="false">IF(G798&lt;&gt;"Yes","",COUNTIFS($B$6:$B$1505,B798,$F$6:$F$1505,"&lt;"&amp;F798)+COUNTIFS($B$6:$B$1505,B798,$F$6:$F$1505,F798,$A$6:$A$1505,"&lt;="&amp;A798))</f>
        <v/>
      </c>
      <c r="N798" s="41" t="str">
        <f aca="false">IF(M798="","",ROUNDUP(M798/H798,0))</f>
        <v/>
      </c>
      <c r="O798" s="41" t="str">
        <f aca="false">IF(N798="","",IF(N798&lt;='Kitting Plan'!$C$3,"Rep "&amp;N798,"Surplus"))</f>
        <v/>
      </c>
    </row>
    <row r="799" customFormat="false" ht="15" hidden="false" customHeight="false" outlineLevel="0" collapsed="false">
      <c r="A799" s="40" t="str">
        <f aca="false">IF(OR($A$4=0,INDEX('COOIS Raw'!$A:$GZ,ROW()-4,$A$4)=""),"",IFERROR(--INDEX('COOIS Raw'!$A:$GZ,ROW()-4,$A$4),INDEX('COOIS Raw'!$A:$GZ,ROW()-4,$A$4)))</f>
        <v/>
      </c>
      <c r="B799" s="41" t="str">
        <f aca="false">IF(A799="","",TRIM(INDEX('COOIS Raw'!$A:$GZ,ROW()-4,$B$4)))</f>
        <v/>
      </c>
      <c r="C799" s="42" t="str">
        <f aca="false">IF(OR(A799="",$C$4=0),"",INDEX('COOIS Raw'!$A:$GZ,ROW()-4,$C$4))</f>
        <v/>
      </c>
      <c r="D799" s="41" t="str">
        <f aca="false">IF(A799="","",IF($D$4=0,1,IFERROR(--INDEX('COOIS Raw'!$A:$GZ,ROW()-4,$D$4),1)))</f>
        <v/>
      </c>
      <c r="E799" s="42" t="str">
        <f aca="false">IF(A799="","",INDEX('COOIS Raw'!$A:$GZ,ROW()-4,$E$4)&amp;"")</f>
        <v/>
      </c>
      <c r="F799" s="43" t="str">
        <f aca="false">IF(A799="","",IFERROR(DATEVALUE(INDEX('COOIS Raw'!$A:$GZ,ROW()-4,$F$4)),INDEX('COOIS Raw'!$A:$GZ,ROW()-4,$F$4)))</f>
        <v/>
      </c>
      <c r="G799" s="41" t="str">
        <f aca="false">IF(A799="","",IF(ISNA(MATCH(B799,'Kitting Plan'!$B$6:$B$19,0)),"Not in plan","Yes"))</f>
        <v/>
      </c>
      <c r="H799" s="41" t="str">
        <f aca="false">IF(G799="Yes",INDEX('Kitting Plan'!$D$6:$D$19,MATCH(B799,'Kitting Plan'!$B$6:$B$19,0)),"")</f>
        <v/>
      </c>
      <c r="I799" s="41" t="str">
        <f aca="false">IF(A799="","",IF(ISNUMBER(SEARCH("PRT",E799)),D799,0))</f>
        <v/>
      </c>
      <c r="J799" s="41" t="str">
        <f aca="false">IF(A799="","",IF(ISNUMBER(SEARCH("GMPS",E799)),D799,0))</f>
        <v/>
      </c>
      <c r="K799" s="41" t="str">
        <f aca="false">IF(A799="","",IF(ISNUMBER(SEARCH("DLV",E799)),D799,0))</f>
        <v/>
      </c>
      <c r="L799" s="41" t="str">
        <f aca="false">IF(A799="","",IF(K799&gt;0,"Delivered",IF(ISNUMBER(SEARCH("CNF",E799)),"In production",IF(J799&gt;0,"Issued",IF(I799&gt;0,"Kitted","Released")))))</f>
        <v/>
      </c>
      <c r="M799" s="41" t="str">
        <f aca="false">IF(G799&lt;&gt;"Yes","",COUNTIFS($B$6:$B$1505,B799,$F$6:$F$1505,"&lt;"&amp;F799)+COUNTIFS($B$6:$B$1505,B799,$F$6:$F$1505,F799,$A$6:$A$1505,"&lt;="&amp;A799))</f>
        <v/>
      </c>
      <c r="N799" s="41" t="str">
        <f aca="false">IF(M799="","",ROUNDUP(M799/H799,0))</f>
        <v/>
      </c>
      <c r="O799" s="41" t="str">
        <f aca="false">IF(N799="","",IF(N799&lt;='Kitting Plan'!$C$3,"Rep "&amp;N799,"Surplus"))</f>
        <v/>
      </c>
    </row>
    <row r="800" customFormat="false" ht="15" hidden="false" customHeight="false" outlineLevel="0" collapsed="false">
      <c r="A800" s="40" t="str">
        <f aca="false">IF(OR($A$4=0,INDEX('COOIS Raw'!$A:$GZ,ROW()-4,$A$4)=""),"",IFERROR(--INDEX('COOIS Raw'!$A:$GZ,ROW()-4,$A$4),INDEX('COOIS Raw'!$A:$GZ,ROW()-4,$A$4)))</f>
        <v/>
      </c>
      <c r="B800" s="41" t="str">
        <f aca="false">IF(A800="","",TRIM(INDEX('COOIS Raw'!$A:$GZ,ROW()-4,$B$4)))</f>
        <v/>
      </c>
      <c r="C800" s="42" t="str">
        <f aca="false">IF(OR(A800="",$C$4=0),"",INDEX('COOIS Raw'!$A:$GZ,ROW()-4,$C$4))</f>
        <v/>
      </c>
      <c r="D800" s="41" t="str">
        <f aca="false">IF(A800="","",IF($D$4=0,1,IFERROR(--INDEX('COOIS Raw'!$A:$GZ,ROW()-4,$D$4),1)))</f>
        <v/>
      </c>
      <c r="E800" s="42" t="str">
        <f aca="false">IF(A800="","",INDEX('COOIS Raw'!$A:$GZ,ROW()-4,$E$4)&amp;"")</f>
        <v/>
      </c>
      <c r="F800" s="43" t="str">
        <f aca="false">IF(A800="","",IFERROR(DATEVALUE(INDEX('COOIS Raw'!$A:$GZ,ROW()-4,$F$4)),INDEX('COOIS Raw'!$A:$GZ,ROW()-4,$F$4)))</f>
        <v/>
      </c>
      <c r="G800" s="41" t="str">
        <f aca="false">IF(A800="","",IF(ISNA(MATCH(B800,'Kitting Plan'!$B$6:$B$19,0)),"Not in plan","Yes"))</f>
        <v/>
      </c>
      <c r="H800" s="41" t="str">
        <f aca="false">IF(G800="Yes",INDEX('Kitting Plan'!$D$6:$D$19,MATCH(B800,'Kitting Plan'!$B$6:$B$19,0)),"")</f>
        <v/>
      </c>
      <c r="I800" s="41" t="str">
        <f aca="false">IF(A800="","",IF(ISNUMBER(SEARCH("PRT",E800)),D800,0))</f>
        <v/>
      </c>
      <c r="J800" s="41" t="str">
        <f aca="false">IF(A800="","",IF(ISNUMBER(SEARCH("GMPS",E800)),D800,0))</f>
        <v/>
      </c>
      <c r="K800" s="41" t="str">
        <f aca="false">IF(A800="","",IF(ISNUMBER(SEARCH("DLV",E800)),D800,0))</f>
        <v/>
      </c>
      <c r="L800" s="41" t="str">
        <f aca="false">IF(A800="","",IF(K800&gt;0,"Delivered",IF(ISNUMBER(SEARCH("CNF",E800)),"In production",IF(J800&gt;0,"Issued",IF(I800&gt;0,"Kitted","Released")))))</f>
        <v/>
      </c>
      <c r="M800" s="41" t="str">
        <f aca="false">IF(G800&lt;&gt;"Yes","",COUNTIFS($B$6:$B$1505,B800,$F$6:$F$1505,"&lt;"&amp;F800)+COUNTIFS($B$6:$B$1505,B800,$F$6:$F$1505,F800,$A$6:$A$1505,"&lt;="&amp;A800))</f>
        <v/>
      </c>
      <c r="N800" s="41" t="str">
        <f aca="false">IF(M800="","",ROUNDUP(M800/H800,0))</f>
        <v/>
      </c>
      <c r="O800" s="41" t="str">
        <f aca="false">IF(N800="","",IF(N800&lt;='Kitting Plan'!$C$3,"Rep "&amp;N800,"Surplus"))</f>
        <v/>
      </c>
    </row>
    <row r="801" customFormat="false" ht="15" hidden="false" customHeight="false" outlineLevel="0" collapsed="false">
      <c r="A801" s="40" t="str">
        <f aca="false">IF(OR($A$4=0,INDEX('COOIS Raw'!$A:$GZ,ROW()-4,$A$4)=""),"",IFERROR(--INDEX('COOIS Raw'!$A:$GZ,ROW()-4,$A$4),INDEX('COOIS Raw'!$A:$GZ,ROW()-4,$A$4)))</f>
        <v/>
      </c>
      <c r="B801" s="41" t="str">
        <f aca="false">IF(A801="","",TRIM(INDEX('COOIS Raw'!$A:$GZ,ROW()-4,$B$4)))</f>
        <v/>
      </c>
      <c r="C801" s="42" t="str">
        <f aca="false">IF(OR(A801="",$C$4=0),"",INDEX('COOIS Raw'!$A:$GZ,ROW()-4,$C$4))</f>
        <v/>
      </c>
      <c r="D801" s="41" t="str">
        <f aca="false">IF(A801="","",IF($D$4=0,1,IFERROR(--INDEX('COOIS Raw'!$A:$GZ,ROW()-4,$D$4),1)))</f>
        <v/>
      </c>
      <c r="E801" s="42" t="str">
        <f aca="false">IF(A801="","",INDEX('COOIS Raw'!$A:$GZ,ROW()-4,$E$4)&amp;"")</f>
        <v/>
      </c>
      <c r="F801" s="43" t="str">
        <f aca="false">IF(A801="","",IFERROR(DATEVALUE(INDEX('COOIS Raw'!$A:$GZ,ROW()-4,$F$4)),INDEX('COOIS Raw'!$A:$GZ,ROW()-4,$F$4)))</f>
        <v/>
      </c>
      <c r="G801" s="41" t="str">
        <f aca="false">IF(A801="","",IF(ISNA(MATCH(B801,'Kitting Plan'!$B$6:$B$19,0)),"Not in plan","Yes"))</f>
        <v/>
      </c>
      <c r="H801" s="41" t="str">
        <f aca="false">IF(G801="Yes",INDEX('Kitting Plan'!$D$6:$D$19,MATCH(B801,'Kitting Plan'!$B$6:$B$19,0)),"")</f>
        <v/>
      </c>
      <c r="I801" s="41" t="str">
        <f aca="false">IF(A801="","",IF(ISNUMBER(SEARCH("PRT",E801)),D801,0))</f>
        <v/>
      </c>
      <c r="J801" s="41" t="str">
        <f aca="false">IF(A801="","",IF(ISNUMBER(SEARCH("GMPS",E801)),D801,0))</f>
        <v/>
      </c>
      <c r="K801" s="41" t="str">
        <f aca="false">IF(A801="","",IF(ISNUMBER(SEARCH("DLV",E801)),D801,0))</f>
        <v/>
      </c>
      <c r="L801" s="41" t="str">
        <f aca="false">IF(A801="","",IF(K801&gt;0,"Delivered",IF(ISNUMBER(SEARCH("CNF",E801)),"In production",IF(J801&gt;0,"Issued",IF(I801&gt;0,"Kitted","Released")))))</f>
        <v/>
      </c>
      <c r="M801" s="41" t="str">
        <f aca="false">IF(G801&lt;&gt;"Yes","",COUNTIFS($B$6:$B$1505,B801,$F$6:$F$1505,"&lt;"&amp;F801)+COUNTIFS($B$6:$B$1505,B801,$F$6:$F$1505,F801,$A$6:$A$1505,"&lt;="&amp;A801))</f>
        <v/>
      </c>
      <c r="N801" s="41" t="str">
        <f aca="false">IF(M801="","",ROUNDUP(M801/H801,0))</f>
        <v/>
      </c>
      <c r="O801" s="41" t="str">
        <f aca="false">IF(N801="","",IF(N801&lt;='Kitting Plan'!$C$3,"Rep "&amp;N801,"Surplus"))</f>
        <v/>
      </c>
    </row>
    <row r="802" customFormat="false" ht="15" hidden="false" customHeight="false" outlineLevel="0" collapsed="false">
      <c r="A802" s="40" t="str">
        <f aca="false">IF(OR($A$4=0,INDEX('COOIS Raw'!$A:$GZ,ROW()-4,$A$4)=""),"",IFERROR(--INDEX('COOIS Raw'!$A:$GZ,ROW()-4,$A$4),INDEX('COOIS Raw'!$A:$GZ,ROW()-4,$A$4)))</f>
        <v/>
      </c>
      <c r="B802" s="41" t="str">
        <f aca="false">IF(A802="","",TRIM(INDEX('COOIS Raw'!$A:$GZ,ROW()-4,$B$4)))</f>
        <v/>
      </c>
      <c r="C802" s="42" t="str">
        <f aca="false">IF(OR(A802="",$C$4=0),"",INDEX('COOIS Raw'!$A:$GZ,ROW()-4,$C$4))</f>
        <v/>
      </c>
      <c r="D802" s="41" t="str">
        <f aca="false">IF(A802="","",IF($D$4=0,1,IFERROR(--INDEX('COOIS Raw'!$A:$GZ,ROW()-4,$D$4),1)))</f>
        <v/>
      </c>
      <c r="E802" s="42" t="str">
        <f aca="false">IF(A802="","",INDEX('COOIS Raw'!$A:$GZ,ROW()-4,$E$4)&amp;"")</f>
        <v/>
      </c>
      <c r="F802" s="43" t="str">
        <f aca="false">IF(A802="","",IFERROR(DATEVALUE(INDEX('COOIS Raw'!$A:$GZ,ROW()-4,$F$4)),INDEX('COOIS Raw'!$A:$GZ,ROW()-4,$F$4)))</f>
        <v/>
      </c>
      <c r="G802" s="41" t="str">
        <f aca="false">IF(A802="","",IF(ISNA(MATCH(B802,'Kitting Plan'!$B$6:$B$19,0)),"Not in plan","Yes"))</f>
        <v/>
      </c>
      <c r="H802" s="41" t="str">
        <f aca="false">IF(G802="Yes",INDEX('Kitting Plan'!$D$6:$D$19,MATCH(B802,'Kitting Plan'!$B$6:$B$19,0)),"")</f>
        <v/>
      </c>
      <c r="I802" s="41" t="str">
        <f aca="false">IF(A802="","",IF(ISNUMBER(SEARCH("PRT",E802)),D802,0))</f>
        <v/>
      </c>
      <c r="J802" s="41" t="str">
        <f aca="false">IF(A802="","",IF(ISNUMBER(SEARCH("GMPS",E802)),D802,0))</f>
        <v/>
      </c>
      <c r="K802" s="41" t="str">
        <f aca="false">IF(A802="","",IF(ISNUMBER(SEARCH("DLV",E802)),D802,0))</f>
        <v/>
      </c>
      <c r="L802" s="41" t="str">
        <f aca="false">IF(A802="","",IF(K802&gt;0,"Delivered",IF(ISNUMBER(SEARCH("CNF",E802)),"In production",IF(J802&gt;0,"Issued",IF(I802&gt;0,"Kitted","Released")))))</f>
        <v/>
      </c>
      <c r="M802" s="41" t="str">
        <f aca="false">IF(G802&lt;&gt;"Yes","",COUNTIFS($B$6:$B$1505,B802,$F$6:$F$1505,"&lt;"&amp;F802)+COUNTIFS($B$6:$B$1505,B802,$F$6:$F$1505,F802,$A$6:$A$1505,"&lt;="&amp;A802))</f>
        <v/>
      </c>
      <c r="N802" s="41" t="str">
        <f aca="false">IF(M802="","",ROUNDUP(M802/H802,0))</f>
        <v/>
      </c>
      <c r="O802" s="41" t="str">
        <f aca="false">IF(N802="","",IF(N802&lt;='Kitting Plan'!$C$3,"Rep "&amp;N802,"Surplus"))</f>
        <v/>
      </c>
    </row>
    <row r="803" customFormat="false" ht="15" hidden="false" customHeight="false" outlineLevel="0" collapsed="false">
      <c r="A803" s="40" t="str">
        <f aca="false">IF(OR($A$4=0,INDEX('COOIS Raw'!$A:$GZ,ROW()-4,$A$4)=""),"",IFERROR(--INDEX('COOIS Raw'!$A:$GZ,ROW()-4,$A$4),INDEX('COOIS Raw'!$A:$GZ,ROW()-4,$A$4)))</f>
        <v/>
      </c>
      <c r="B803" s="41" t="str">
        <f aca="false">IF(A803="","",TRIM(INDEX('COOIS Raw'!$A:$GZ,ROW()-4,$B$4)))</f>
        <v/>
      </c>
      <c r="C803" s="42" t="str">
        <f aca="false">IF(OR(A803="",$C$4=0),"",INDEX('COOIS Raw'!$A:$GZ,ROW()-4,$C$4))</f>
        <v/>
      </c>
      <c r="D803" s="41" t="str">
        <f aca="false">IF(A803="","",IF($D$4=0,1,IFERROR(--INDEX('COOIS Raw'!$A:$GZ,ROW()-4,$D$4),1)))</f>
        <v/>
      </c>
      <c r="E803" s="42" t="str">
        <f aca="false">IF(A803="","",INDEX('COOIS Raw'!$A:$GZ,ROW()-4,$E$4)&amp;"")</f>
        <v/>
      </c>
      <c r="F803" s="43" t="str">
        <f aca="false">IF(A803="","",IFERROR(DATEVALUE(INDEX('COOIS Raw'!$A:$GZ,ROW()-4,$F$4)),INDEX('COOIS Raw'!$A:$GZ,ROW()-4,$F$4)))</f>
        <v/>
      </c>
      <c r="G803" s="41" t="str">
        <f aca="false">IF(A803="","",IF(ISNA(MATCH(B803,'Kitting Plan'!$B$6:$B$19,0)),"Not in plan","Yes"))</f>
        <v/>
      </c>
      <c r="H803" s="41" t="str">
        <f aca="false">IF(G803="Yes",INDEX('Kitting Plan'!$D$6:$D$19,MATCH(B803,'Kitting Plan'!$B$6:$B$19,0)),"")</f>
        <v/>
      </c>
      <c r="I803" s="41" t="str">
        <f aca="false">IF(A803="","",IF(ISNUMBER(SEARCH("PRT",E803)),D803,0))</f>
        <v/>
      </c>
      <c r="J803" s="41" t="str">
        <f aca="false">IF(A803="","",IF(ISNUMBER(SEARCH("GMPS",E803)),D803,0))</f>
        <v/>
      </c>
      <c r="K803" s="41" t="str">
        <f aca="false">IF(A803="","",IF(ISNUMBER(SEARCH("DLV",E803)),D803,0))</f>
        <v/>
      </c>
      <c r="L803" s="41" t="str">
        <f aca="false">IF(A803="","",IF(K803&gt;0,"Delivered",IF(ISNUMBER(SEARCH("CNF",E803)),"In production",IF(J803&gt;0,"Issued",IF(I803&gt;0,"Kitted","Released")))))</f>
        <v/>
      </c>
      <c r="M803" s="41" t="str">
        <f aca="false">IF(G803&lt;&gt;"Yes","",COUNTIFS($B$6:$B$1505,B803,$F$6:$F$1505,"&lt;"&amp;F803)+COUNTIFS($B$6:$B$1505,B803,$F$6:$F$1505,F803,$A$6:$A$1505,"&lt;="&amp;A803))</f>
        <v/>
      </c>
      <c r="N803" s="41" t="str">
        <f aca="false">IF(M803="","",ROUNDUP(M803/H803,0))</f>
        <v/>
      </c>
      <c r="O803" s="41" t="str">
        <f aca="false">IF(N803="","",IF(N803&lt;='Kitting Plan'!$C$3,"Rep "&amp;N803,"Surplus"))</f>
        <v/>
      </c>
    </row>
    <row r="804" customFormat="false" ht="15" hidden="false" customHeight="false" outlineLevel="0" collapsed="false">
      <c r="A804" s="40" t="str">
        <f aca="false">IF(OR($A$4=0,INDEX('COOIS Raw'!$A:$GZ,ROW()-4,$A$4)=""),"",IFERROR(--INDEX('COOIS Raw'!$A:$GZ,ROW()-4,$A$4),INDEX('COOIS Raw'!$A:$GZ,ROW()-4,$A$4)))</f>
        <v/>
      </c>
      <c r="B804" s="41" t="str">
        <f aca="false">IF(A804="","",TRIM(INDEX('COOIS Raw'!$A:$GZ,ROW()-4,$B$4)))</f>
        <v/>
      </c>
      <c r="C804" s="42" t="str">
        <f aca="false">IF(OR(A804="",$C$4=0),"",INDEX('COOIS Raw'!$A:$GZ,ROW()-4,$C$4))</f>
        <v/>
      </c>
      <c r="D804" s="41" t="str">
        <f aca="false">IF(A804="","",IF($D$4=0,1,IFERROR(--INDEX('COOIS Raw'!$A:$GZ,ROW()-4,$D$4),1)))</f>
        <v/>
      </c>
      <c r="E804" s="42" t="str">
        <f aca="false">IF(A804="","",INDEX('COOIS Raw'!$A:$GZ,ROW()-4,$E$4)&amp;"")</f>
        <v/>
      </c>
      <c r="F804" s="43" t="str">
        <f aca="false">IF(A804="","",IFERROR(DATEVALUE(INDEX('COOIS Raw'!$A:$GZ,ROW()-4,$F$4)),INDEX('COOIS Raw'!$A:$GZ,ROW()-4,$F$4)))</f>
        <v/>
      </c>
      <c r="G804" s="41" t="str">
        <f aca="false">IF(A804="","",IF(ISNA(MATCH(B804,'Kitting Plan'!$B$6:$B$19,0)),"Not in plan","Yes"))</f>
        <v/>
      </c>
      <c r="H804" s="41" t="str">
        <f aca="false">IF(G804="Yes",INDEX('Kitting Plan'!$D$6:$D$19,MATCH(B804,'Kitting Plan'!$B$6:$B$19,0)),"")</f>
        <v/>
      </c>
      <c r="I804" s="41" t="str">
        <f aca="false">IF(A804="","",IF(ISNUMBER(SEARCH("PRT",E804)),D804,0))</f>
        <v/>
      </c>
      <c r="J804" s="41" t="str">
        <f aca="false">IF(A804="","",IF(ISNUMBER(SEARCH("GMPS",E804)),D804,0))</f>
        <v/>
      </c>
      <c r="K804" s="41" t="str">
        <f aca="false">IF(A804="","",IF(ISNUMBER(SEARCH("DLV",E804)),D804,0))</f>
        <v/>
      </c>
      <c r="L804" s="41" t="str">
        <f aca="false">IF(A804="","",IF(K804&gt;0,"Delivered",IF(ISNUMBER(SEARCH("CNF",E804)),"In production",IF(J804&gt;0,"Issued",IF(I804&gt;0,"Kitted","Released")))))</f>
        <v/>
      </c>
      <c r="M804" s="41" t="str">
        <f aca="false">IF(G804&lt;&gt;"Yes","",COUNTIFS($B$6:$B$1505,B804,$F$6:$F$1505,"&lt;"&amp;F804)+COUNTIFS($B$6:$B$1505,B804,$F$6:$F$1505,F804,$A$6:$A$1505,"&lt;="&amp;A804))</f>
        <v/>
      </c>
      <c r="N804" s="41" t="str">
        <f aca="false">IF(M804="","",ROUNDUP(M804/H804,0))</f>
        <v/>
      </c>
      <c r="O804" s="41" t="str">
        <f aca="false">IF(N804="","",IF(N804&lt;='Kitting Plan'!$C$3,"Rep "&amp;N804,"Surplus"))</f>
        <v/>
      </c>
    </row>
    <row r="805" customFormat="false" ht="15" hidden="false" customHeight="false" outlineLevel="0" collapsed="false">
      <c r="A805" s="40" t="str">
        <f aca="false">IF(OR($A$4=0,INDEX('COOIS Raw'!$A:$GZ,ROW()-4,$A$4)=""),"",IFERROR(--INDEX('COOIS Raw'!$A:$GZ,ROW()-4,$A$4),INDEX('COOIS Raw'!$A:$GZ,ROW()-4,$A$4)))</f>
        <v/>
      </c>
      <c r="B805" s="41" t="str">
        <f aca="false">IF(A805="","",TRIM(INDEX('COOIS Raw'!$A:$GZ,ROW()-4,$B$4)))</f>
        <v/>
      </c>
      <c r="C805" s="42" t="str">
        <f aca="false">IF(OR(A805="",$C$4=0),"",INDEX('COOIS Raw'!$A:$GZ,ROW()-4,$C$4))</f>
        <v/>
      </c>
      <c r="D805" s="41" t="str">
        <f aca="false">IF(A805="","",IF($D$4=0,1,IFERROR(--INDEX('COOIS Raw'!$A:$GZ,ROW()-4,$D$4),1)))</f>
        <v/>
      </c>
      <c r="E805" s="42" t="str">
        <f aca="false">IF(A805="","",INDEX('COOIS Raw'!$A:$GZ,ROW()-4,$E$4)&amp;"")</f>
        <v/>
      </c>
      <c r="F805" s="43" t="str">
        <f aca="false">IF(A805="","",IFERROR(DATEVALUE(INDEX('COOIS Raw'!$A:$GZ,ROW()-4,$F$4)),INDEX('COOIS Raw'!$A:$GZ,ROW()-4,$F$4)))</f>
        <v/>
      </c>
      <c r="G805" s="41" t="str">
        <f aca="false">IF(A805="","",IF(ISNA(MATCH(B805,'Kitting Plan'!$B$6:$B$19,0)),"Not in plan","Yes"))</f>
        <v/>
      </c>
      <c r="H805" s="41" t="str">
        <f aca="false">IF(G805="Yes",INDEX('Kitting Plan'!$D$6:$D$19,MATCH(B805,'Kitting Plan'!$B$6:$B$19,0)),"")</f>
        <v/>
      </c>
      <c r="I805" s="41" t="str">
        <f aca="false">IF(A805="","",IF(ISNUMBER(SEARCH("PRT",E805)),D805,0))</f>
        <v/>
      </c>
      <c r="J805" s="41" t="str">
        <f aca="false">IF(A805="","",IF(ISNUMBER(SEARCH("GMPS",E805)),D805,0))</f>
        <v/>
      </c>
      <c r="K805" s="41" t="str">
        <f aca="false">IF(A805="","",IF(ISNUMBER(SEARCH("DLV",E805)),D805,0))</f>
        <v/>
      </c>
      <c r="L805" s="41" t="str">
        <f aca="false">IF(A805="","",IF(K805&gt;0,"Delivered",IF(ISNUMBER(SEARCH("CNF",E805)),"In production",IF(J805&gt;0,"Issued",IF(I805&gt;0,"Kitted","Released")))))</f>
        <v/>
      </c>
      <c r="M805" s="41" t="str">
        <f aca="false">IF(G805&lt;&gt;"Yes","",COUNTIFS($B$6:$B$1505,B805,$F$6:$F$1505,"&lt;"&amp;F805)+COUNTIFS($B$6:$B$1505,B805,$F$6:$F$1505,F805,$A$6:$A$1505,"&lt;="&amp;A805))</f>
        <v/>
      </c>
      <c r="N805" s="41" t="str">
        <f aca="false">IF(M805="","",ROUNDUP(M805/H805,0))</f>
        <v/>
      </c>
      <c r="O805" s="41" t="str">
        <f aca="false">IF(N805="","",IF(N805&lt;='Kitting Plan'!$C$3,"Rep "&amp;N805,"Surplus"))</f>
        <v/>
      </c>
    </row>
    <row r="806" customFormat="false" ht="15" hidden="false" customHeight="false" outlineLevel="0" collapsed="false">
      <c r="A806" s="40" t="str">
        <f aca="false">IF(OR($A$4=0,INDEX('COOIS Raw'!$A:$GZ,ROW()-4,$A$4)=""),"",IFERROR(--INDEX('COOIS Raw'!$A:$GZ,ROW()-4,$A$4),INDEX('COOIS Raw'!$A:$GZ,ROW()-4,$A$4)))</f>
        <v/>
      </c>
      <c r="B806" s="41" t="str">
        <f aca="false">IF(A806="","",TRIM(INDEX('COOIS Raw'!$A:$GZ,ROW()-4,$B$4)))</f>
        <v/>
      </c>
      <c r="C806" s="42" t="str">
        <f aca="false">IF(OR(A806="",$C$4=0),"",INDEX('COOIS Raw'!$A:$GZ,ROW()-4,$C$4))</f>
        <v/>
      </c>
      <c r="D806" s="41" t="str">
        <f aca="false">IF(A806="","",IF($D$4=0,1,IFERROR(--INDEX('COOIS Raw'!$A:$GZ,ROW()-4,$D$4),1)))</f>
        <v/>
      </c>
      <c r="E806" s="42" t="str">
        <f aca="false">IF(A806="","",INDEX('COOIS Raw'!$A:$GZ,ROW()-4,$E$4)&amp;"")</f>
        <v/>
      </c>
      <c r="F806" s="43" t="str">
        <f aca="false">IF(A806="","",IFERROR(DATEVALUE(INDEX('COOIS Raw'!$A:$GZ,ROW()-4,$F$4)),INDEX('COOIS Raw'!$A:$GZ,ROW()-4,$F$4)))</f>
        <v/>
      </c>
      <c r="G806" s="41" t="str">
        <f aca="false">IF(A806="","",IF(ISNA(MATCH(B806,'Kitting Plan'!$B$6:$B$19,0)),"Not in plan","Yes"))</f>
        <v/>
      </c>
      <c r="H806" s="41" t="str">
        <f aca="false">IF(G806="Yes",INDEX('Kitting Plan'!$D$6:$D$19,MATCH(B806,'Kitting Plan'!$B$6:$B$19,0)),"")</f>
        <v/>
      </c>
      <c r="I806" s="41" t="str">
        <f aca="false">IF(A806="","",IF(ISNUMBER(SEARCH("PRT",E806)),D806,0))</f>
        <v/>
      </c>
      <c r="J806" s="41" t="str">
        <f aca="false">IF(A806="","",IF(ISNUMBER(SEARCH("GMPS",E806)),D806,0))</f>
        <v/>
      </c>
      <c r="K806" s="41" t="str">
        <f aca="false">IF(A806="","",IF(ISNUMBER(SEARCH("DLV",E806)),D806,0))</f>
        <v/>
      </c>
      <c r="L806" s="41" t="str">
        <f aca="false">IF(A806="","",IF(K806&gt;0,"Delivered",IF(ISNUMBER(SEARCH("CNF",E806)),"In production",IF(J806&gt;0,"Issued",IF(I806&gt;0,"Kitted","Released")))))</f>
        <v/>
      </c>
      <c r="M806" s="41" t="str">
        <f aca="false">IF(G806&lt;&gt;"Yes","",COUNTIFS($B$6:$B$1505,B806,$F$6:$F$1505,"&lt;"&amp;F806)+COUNTIFS($B$6:$B$1505,B806,$F$6:$F$1505,F806,$A$6:$A$1505,"&lt;="&amp;A806))</f>
        <v/>
      </c>
      <c r="N806" s="41" t="str">
        <f aca="false">IF(M806="","",ROUNDUP(M806/H806,0))</f>
        <v/>
      </c>
      <c r="O806" s="41" t="str">
        <f aca="false">IF(N806="","",IF(N806&lt;='Kitting Plan'!$C$3,"Rep "&amp;N806,"Surplus"))</f>
        <v/>
      </c>
    </row>
    <row r="807" customFormat="false" ht="15" hidden="false" customHeight="false" outlineLevel="0" collapsed="false">
      <c r="A807" s="40" t="str">
        <f aca="false">IF(OR($A$4=0,INDEX('COOIS Raw'!$A:$GZ,ROW()-4,$A$4)=""),"",IFERROR(--INDEX('COOIS Raw'!$A:$GZ,ROW()-4,$A$4),INDEX('COOIS Raw'!$A:$GZ,ROW()-4,$A$4)))</f>
        <v/>
      </c>
      <c r="B807" s="41" t="str">
        <f aca="false">IF(A807="","",TRIM(INDEX('COOIS Raw'!$A:$GZ,ROW()-4,$B$4)))</f>
        <v/>
      </c>
      <c r="C807" s="42" t="str">
        <f aca="false">IF(OR(A807="",$C$4=0),"",INDEX('COOIS Raw'!$A:$GZ,ROW()-4,$C$4))</f>
        <v/>
      </c>
      <c r="D807" s="41" t="str">
        <f aca="false">IF(A807="","",IF($D$4=0,1,IFERROR(--INDEX('COOIS Raw'!$A:$GZ,ROW()-4,$D$4),1)))</f>
        <v/>
      </c>
      <c r="E807" s="42" t="str">
        <f aca="false">IF(A807="","",INDEX('COOIS Raw'!$A:$GZ,ROW()-4,$E$4)&amp;"")</f>
        <v/>
      </c>
      <c r="F807" s="43" t="str">
        <f aca="false">IF(A807="","",IFERROR(DATEVALUE(INDEX('COOIS Raw'!$A:$GZ,ROW()-4,$F$4)),INDEX('COOIS Raw'!$A:$GZ,ROW()-4,$F$4)))</f>
        <v/>
      </c>
      <c r="G807" s="41" t="str">
        <f aca="false">IF(A807="","",IF(ISNA(MATCH(B807,'Kitting Plan'!$B$6:$B$19,0)),"Not in plan","Yes"))</f>
        <v/>
      </c>
      <c r="H807" s="41" t="str">
        <f aca="false">IF(G807="Yes",INDEX('Kitting Plan'!$D$6:$D$19,MATCH(B807,'Kitting Plan'!$B$6:$B$19,0)),"")</f>
        <v/>
      </c>
      <c r="I807" s="41" t="str">
        <f aca="false">IF(A807="","",IF(ISNUMBER(SEARCH("PRT",E807)),D807,0))</f>
        <v/>
      </c>
      <c r="J807" s="41" t="str">
        <f aca="false">IF(A807="","",IF(ISNUMBER(SEARCH("GMPS",E807)),D807,0))</f>
        <v/>
      </c>
      <c r="K807" s="41" t="str">
        <f aca="false">IF(A807="","",IF(ISNUMBER(SEARCH("DLV",E807)),D807,0))</f>
        <v/>
      </c>
      <c r="L807" s="41" t="str">
        <f aca="false">IF(A807="","",IF(K807&gt;0,"Delivered",IF(ISNUMBER(SEARCH("CNF",E807)),"In production",IF(J807&gt;0,"Issued",IF(I807&gt;0,"Kitted","Released")))))</f>
        <v/>
      </c>
      <c r="M807" s="41" t="str">
        <f aca="false">IF(G807&lt;&gt;"Yes","",COUNTIFS($B$6:$B$1505,B807,$F$6:$F$1505,"&lt;"&amp;F807)+COUNTIFS($B$6:$B$1505,B807,$F$6:$F$1505,F807,$A$6:$A$1505,"&lt;="&amp;A807))</f>
        <v/>
      </c>
      <c r="N807" s="41" t="str">
        <f aca="false">IF(M807="","",ROUNDUP(M807/H807,0))</f>
        <v/>
      </c>
      <c r="O807" s="41" t="str">
        <f aca="false">IF(N807="","",IF(N807&lt;='Kitting Plan'!$C$3,"Rep "&amp;N807,"Surplus"))</f>
        <v/>
      </c>
    </row>
    <row r="808" customFormat="false" ht="15" hidden="false" customHeight="false" outlineLevel="0" collapsed="false">
      <c r="A808" s="40" t="str">
        <f aca="false">IF(OR($A$4=0,INDEX('COOIS Raw'!$A:$GZ,ROW()-4,$A$4)=""),"",IFERROR(--INDEX('COOIS Raw'!$A:$GZ,ROW()-4,$A$4),INDEX('COOIS Raw'!$A:$GZ,ROW()-4,$A$4)))</f>
        <v/>
      </c>
      <c r="B808" s="41" t="str">
        <f aca="false">IF(A808="","",TRIM(INDEX('COOIS Raw'!$A:$GZ,ROW()-4,$B$4)))</f>
        <v/>
      </c>
      <c r="C808" s="42" t="str">
        <f aca="false">IF(OR(A808="",$C$4=0),"",INDEX('COOIS Raw'!$A:$GZ,ROW()-4,$C$4))</f>
        <v/>
      </c>
      <c r="D808" s="41" t="str">
        <f aca="false">IF(A808="","",IF($D$4=0,1,IFERROR(--INDEX('COOIS Raw'!$A:$GZ,ROW()-4,$D$4),1)))</f>
        <v/>
      </c>
      <c r="E808" s="42" t="str">
        <f aca="false">IF(A808="","",INDEX('COOIS Raw'!$A:$GZ,ROW()-4,$E$4)&amp;"")</f>
        <v/>
      </c>
      <c r="F808" s="43" t="str">
        <f aca="false">IF(A808="","",IFERROR(DATEVALUE(INDEX('COOIS Raw'!$A:$GZ,ROW()-4,$F$4)),INDEX('COOIS Raw'!$A:$GZ,ROW()-4,$F$4)))</f>
        <v/>
      </c>
      <c r="G808" s="41" t="str">
        <f aca="false">IF(A808="","",IF(ISNA(MATCH(B808,'Kitting Plan'!$B$6:$B$19,0)),"Not in plan","Yes"))</f>
        <v/>
      </c>
      <c r="H808" s="41" t="str">
        <f aca="false">IF(G808="Yes",INDEX('Kitting Plan'!$D$6:$D$19,MATCH(B808,'Kitting Plan'!$B$6:$B$19,0)),"")</f>
        <v/>
      </c>
      <c r="I808" s="41" t="str">
        <f aca="false">IF(A808="","",IF(ISNUMBER(SEARCH("PRT",E808)),D808,0))</f>
        <v/>
      </c>
      <c r="J808" s="41" t="str">
        <f aca="false">IF(A808="","",IF(ISNUMBER(SEARCH("GMPS",E808)),D808,0))</f>
        <v/>
      </c>
      <c r="K808" s="41" t="str">
        <f aca="false">IF(A808="","",IF(ISNUMBER(SEARCH("DLV",E808)),D808,0))</f>
        <v/>
      </c>
      <c r="L808" s="41" t="str">
        <f aca="false">IF(A808="","",IF(K808&gt;0,"Delivered",IF(ISNUMBER(SEARCH("CNF",E808)),"In production",IF(J808&gt;0,"Issued",IF(I808&gt;0,"Kitted","Released")))))</f>
        <v/>
      </c>
      <c r="M808" s="41" t="str">
        <f aca="false">IF(G808&lt;&gt;"Yes","",COUNTIFS($B$6:$B$1505,B808,$F$6:$F$1505,"&lt;"&amp;F808)+COUNTIFS($B$6:$B$1505,B808,$F$6:$F$1505,F808,$A$6:$A$1505,"&lt;="&amp;A808))</f>
        <v/>
      </c>
      <c r="N808" s="41" t="str">
        <f aca="false">IF(M808="","",ROUNDUP(M808/H808,0))</f>
        <v/>
      </c>
      <c r="O808" s="41" t="str">
        <f aca="false">IF(N808="","",IF(N808&lt;='Kitting Plan'!$C$3,"Rep "&amp;N808,"Surplus"))</f>
        <v/>
      </c>
    </row>
    <row r="809" customFormat="false" ht="15" hidden="false" customHeight="false" outlineLevel="0" collapsed="false">
      <c r="A809" s="40" t="str">
        <f aca="false">IF(OR($A$4=0,INDEX('COOIS Raw'!$A:$GZ,ROW()-4,$A$4)=""),"",IFERROR(--INDEX('COOIS Raw'!$A:$GZ,ROW()-4,$A$4),INDEX('COOIS Raw'!$A:$GZ,ROW()-4,$A$4)))</f>
        <v/>
      </c>
      <c r="B809" s="41" t="str">
        <f aca="false">IF(A809="","",TRIM(INDEX('COOIS Raw'!$A:$GZ,ROW()-4,$B$4)))</f>
        <v/>
      </c>
      <c r="C809" s="42" t="str">
        <f aca="false">IF(OR(A809="",$C$4=0),"",INDEX('COOIS Raw'!$A:$GZ,ROW()-4,$C$4))</f>
        <v/>
      </c>
      <c r="D809" s="41" t="str">
        <f aca="false">IF(A809="","",IF($D$4=0,1,IFERROR(--INDEX('COOIS Raw'!$A:$GZ,ROW()-4,$D$4),1)))</f>
        <v/>
      </c>
      <c r="E809" s="42" t="str">
        <f aca="false">IF(A809="","",INDEX('COOIS Raw'!$A:$GZ,ROW()-4,$E$4)&amp;"")</f>
        <v/>
      </c>
      <c r="F809" s="43" t="str">
        <f aca="false">IF(A809="","",IFERROR(DATEVALUE(INDEX('COOIS Raw'!$A:$GZ,ROW()-4,$F$4)),INDEX('COOIS Raw'!$A:$GZ,ROW()-4,$F$4)))</f>
        <v/>
      </c>
      <c r="G809" s="41" t="str">
        <f aca="false">IF(A809="","",IF(ISNA(MATCH(B809,'Kitting Plan'!$B$6:$B$19,0)),"Not in plan","Yes"))</f>
        <v/>
      </c>
      <c r="H809" s="41" t="str">
        <f aca="false">IF(G809="Yes",INDEX('Kitting Plan'!$D$6:$D$19,MATCH(B809,'Kitting Plan'!$B$6:$B$19,0)),"")</f>
        <v/>
      </c>
      <c r="I809" s="41" t="str">
        <f aca="false">IF(A809="","",IF(ISNUMBER(SEARCH("PRT",E809)),D809,0))</f>
        <v/>
      </c>
      <c r="J809" s="41" t="str">
        <f aca="false">IF(A809="","",IF(ISNUMBER(SEARCH("GMPS",E809)),D809,0))</f>
        <v/>
      </c>
      <c r="K809" s="41" t="str">
        <f aca="false">IF(A809="","",IF(ISNUMBER(SEARCH("DLV",E809)),D809,0))</f>
        <v/>
      </c>
      <c r="L809" s="41" t="str">
        <f aca="false">IF(A809="","",IF(K809&gt;0,"Delivered",IF(ISNUMBER(SEARCH("CNF",E809)),"In production",IF(J809&gt;0,"Issued",IF(I809&gt;0,"Kitted","Released")))))</f>
        <v/>
      </c>
      <c r="M809" s="41" t="str">
        <f aca="false">IF(G809&lt;&gt;"Yes","",COUNTIFS($B$6:$B$1505,B809,$F$6:$F$1505,"&lt;"&amp;F809)+COUNTIFS($B$6:$B$1505,B809,$F$6:$F$1505,F809,$A$6:$A$1505,"&lt;="&amp;A809))</f>
        <v/>
      </c>
      <c r="N809" s="41" t="str">
        <f aca="false">IF(M809="","",ROUNDUP(M809/H809,0))</f>
        <v/>
      </c>
      <c r="O809" s="41" t="str">
        <f aca="false">IF(N809="","",IF(N809&lt;='Kitting Plan'!$C$3,"Rep "&amp;N809,"Surplus"))</f>
        <v/>
      </c>
    </row>
    <row r="810" customFormat="false" ht="15" hidden="false" customHeight="false" outlineLevel="0" collapsed="false">
      <c r="A810" s="40" t="str">
        <f aca="false">IF(OR($A$4=0,INDEX('COOIS Raw'!$A:$GZ,ROW()-4,$A$4)=""),"",IFERROR(--INDEX('COOIS Raw'!$A:$GZ,ROW()-4,$A$4),INDEX('COOIS Raw'!$A:$GZ,ROW()-4,$A$4)))</f>
        <v/>
      </c>
      <c r="B810" s="41" t="str">
        <f aca="false">IF(A810="","",TRIM(INDEX('COOIS Raw'!$A:$GZ,ROW()-4,$B$4)))</f>
        <v/>
      </c>
      <c r="C810" s="42" t="str">
        <f aca="false">IF(OR(A810="",$C$4=0),"",INDEX('COOIS Raw'!$A:$GZ,ROW()-4,$C$4))</f>
        <v/>
      </c>
      <c r="D810" s="41" t="str">
        <f aca="false">IF(A810="","",IF($D$4=0,1,IFERROR(--INDEX('COOIS Raw'!$A:$GZ,ROW()-4,$D$4),1)))</f>
        <v/>
      </c>
      <c r="E810" s="42" t="str">
        <f aca="false">IF(A810="","",INDEX('COOIS Raw'!$A:$GZ,ROW()-4,$E$4)&amp;"")</f>
        <v/>
      </c>
      <c r="F810" s="43" t="str">
        <f aca="false">IF(A810="","",IFERROR(DATEVALUE(INDEX('COOIS Raw'!$A:$GZ,ROW()-4,$F$4)),INDEX('COOIS Raw'!$A:$GZ,ROW()-4,$F$4)))</f>
        <v/>
      </c>
      <c r="G810" s="41" t="str">
        <f aca="false">IF(A810="","",IF(ISNA(MATCH(B810,'Kitting Plan'!$B$6:$B$19,0)),"Not in plan","Yes"))</f>
        <v/>
      </c>
      <c r="H810" s="41" t="str">
        <f aca="false">IF(G810="Yes",INDEX('Kitting Plan'!$D$6:$D$19,MATCH(B810,'Kitting Plan'!$B$6:$B$19,0)),"")</f>
        <v/>
      </c>
      <c r="I810" s="41" t="str">
        <f aca="false">IF(A810="","",IF(ISNUMBER(SEARCH("PRT",E810)),D810,0))</f>
        <v/>
      </c>
      <c r="J810" s="41" t="str">
        <f aca="false">IF(A810="","",IF(ISNUMBER(SEARCH("GMPS",E810)),D810,0))</f>
        <v/>
      </c>
      <c r="K810" s="41" t="str">
        <f aca="false">IF(A810="","",IF(ISNUMBER(SEARCH("DLV",E810)),D810,0))</f>
        <v/>
      </c>
      <c r="L810" s="41" t="str">
        <f aca="false">IF(A810="","",IF(K810&gt;0,"Delivered",IF(ISNUMBER(SEARCH("CNF",E810)),"In production",IF(J810&gt;0,"Issued",IF(I810&gt;0,"Kitted","Released")))))</f>
        <v/>
      </c>
      <c r="M810" s="41" t="str">
        <f aca="false">IF(G810&lt;&gt;"Yes","",COUNTIFS($B$6:$B$1505,B810,$F$6:$F$1505,"&lt;"&amp;F810)+COUNTIFS($B$6:$B$1505,B810,$F$6:$F$1505,F810,$A$6:$A$1505,"&lt;="&amp;A810))</f>
        <v/>
      </c>
      <c r="N810" s="41" t="str">
        <f aca="false">IF(M810="","",ROUNDUP(M810/H810,0))</f>
        <v/>
      </c>
      <c r="O810" s="41" t="str">
        <f aca="false">IF(N810="","",IF(N810&lt;='Kitting Plan'!$C$3,"Rep "&amp;N810,"Surplus"))</f>
        <v/>
      </c>
    </row>
    <row r="811" customFormat="false" ht="15" hidden="false" customHeight="false" outlineLevel="0" collapsed="false">
      <c r="A811" s="40" t="str">
        <f aca="false">IF(OR($A$4=0,INDEX('COOIS Raw'!$A:$GZ,ROW()-4,$A$4)=""),"",IFERROR(--INDEX('COOIS Raw'!$A:$GZ,ROW()-4,$A$4),INDEX('COOIS Raw'!$A:$GZ,ROW()-4,$A$4)))</f>
        <v/>
      </c>
      <c r="B811" s="41" t="str">
        <f aca="false">IF(A811="","",TRIM(INDEX('COOIS Raw'!$A:$GZ,ROW()-4,$B$4)))</f>
        <v/>
      </c>
      <c r="C811" s="42" t="str">
        <f aca="false">IF(OR(A811="",$C$4=0),"",INDEX('COOIS Raw'!$A:$GZ,ROW()-4,$C$4))</f>
        <v/>
      </c>
      <c r="D811" s="41" t="str">
        <f aca="false">IF(A811="","",IF($D$4=0,1,IFERROR(--INDEX('COOIS Raw'!$A:$GZ,ROW()-4,$D$4),1)))</f>
        <v/>
      </c>
      <c r="E811" s="42" t="str">
        <f aca="false">IF(A811="","",INDEX('COOIS Raw'!$A:$GZ,ROW()-4,$E$4)&amp;"")</f>
        <v/>
      </c>
      <c r="F811" s="43" t="str">
        <f aca="false">IF(A811="","",IFERROR(DATEVALUE(INDEX('COOIS Raw'!$A:$GZ,ROW()-4,$F$4)),INDEX('COOIS Raw'!$A:$GZ,ROW()-4,$F$4)))</f>
        <v/>
      </c>
      <c r="G811" s="41" t="str">
        <f aca="false">IF(A811="","",IF(ISNA(MATCH(B811,'Kitting Plan'!$B$6:$B$19,0)),"Not in plan","Yes"))</f>
        <v/>
      </c>
      <c r="H811" s="41" t="str">
        <f aca="false">IF(G811="Yes",INDEX('Kitting Plan'!$D$6:$D$19,MATCH(B811,'Kitting Plan'!$B$6:$B$19,0)),"")</f>
        <v/>
      </c>
      <c r="I811" s="41" t="str">
        <f aca="false">IF(A811="","",IF(ISNUMBER(SEARCH("PRT",E811)),D811,0))</f>
        <v/>
      </c>
      <c r="J811" s="41" t="str">
        <f aca="false">IF(A811="","",IF(ISNUMBER(SEARCH("GMPS",E811)),D811,0))</f>
        <v/>
      </c>
      <c r="K811" s="41" t="str">
        <f aca="false">IF(A811="","",IF(ISNUMBER(SEARCH("DLV",E811)),D811,0))</f>
        <v/>
      </c>
      <c r="L811" s="41" t="str">
        <f aca="false">IF(A811="","",IF(K811&gt;0,"Delivered",IF(ISNUMBER(SEARCH("CNF",E811)),"In production",IF(J811&gt;0,"Issued",IF(I811&gt;0,"Kitted","Released")))))</f>
        <v/>
      </c>
      <c r="M811" s="41" t="str">
        <f aca="false">IF(G811&lt;&gt;"Yes","",COUNTIFS($B$6:$B$1505,B811,$F$6:$F$1505,"&lt;"&amp;F811)+COUNTIFS($B$6:$B$1505,B811,$F$6:$F$1505,F811,$A$6:$A$1505,"&lt;="&amp;A811))</f>
        <v/>
      </c>
      <c r="N811" s="41" t="str">
        <f aca="false">IF(M811="","",ROUNDUP(M811/H811,0))</f>
        <v/>
      </c>
      <c r="O811" s="41" t="str">
        <f aca="false">IF(N811="","",IF(N811&lt;='Kitting Plan'!$C$3,"Rep "&amp;N811,"Surplus"))</f>
        <v/>
      </c>
    </row>
    <row r="812" customFormat="false" ht="15" hidden="false" customHeight="false" outlineLevel="0" collapsed="false">
      <c r="A812" s="40" t="str">
        <f aca="false">IF(OR($A$4=0,INDEX('COOIS Raw'!$A:$GZ,ROW()-4,$A$4)=""),"",IFERROR(--INDEX('COOIS Raw'!$A:$GZ,ROW()-4,$A$4),INDEX('COOIS Raw'!$A:$GZ,ROW()-4,$A$4)))</f>
        <v/>
      </c>
      <c r="B812" s="41" t="str">
        <f aca="false">IF(A812="","",TRIM(INDEX('COOIS Raw'!$A:$GZ,ROW()-4,$B$4)))</f>
        <v/>
      </c>
      <c r="C812" s="42" t="str">
        <f aca="false">IF(OR(A812="",$C$4=0),"",INDEX('COOIS Raw'!$A:$GZ,ROW()-4,$C$4))</f>
        <v/>
      </c>
      <c r="D812" s="41" t="str">
        <f aca="false">IF(A812="","",IF($D$4=0,1,IFERROR(--INDEX('COOIS Raw'!$A:$GZ,ROW()-4,$D$4),1)))</f>
        <v/>
      </c>
      <c r="E812" s="42" t="str">
        <f aca="false">IF(A812="","",INDEX('COOIS Raw'!$A:$GZ,ROW()-4,$E$4)&amp;"")</f>
        <v/>
      </c>
      <c r="F812" s="43" t="str">
        <f aca="false">IF(A812="","",IFERROR(DATEVALUE(INDEX('COOIS Raw'!$A:$GZ,ROW()-4,$F$4)),INDEX('COOIS Raw'!$A:$GZ,ROW()-4,$F$4)))</f>
        <v/>
      </c>
      <c r="G812" s="41" t="str">
        <f aca="false">IF(A812="","",IF(ISNA(MATCH(B812,'Kitting Plan'!$B$6:$B$19,0)),"Not in plan","Yes"))</f>
        <v/>
      </c>
      <c r="H812" s="41" t="str">
        <f aca="false">IF(G812="Yes",INDEX('Kitting Plan'!$D$6:$D$19,MATCH(B812,'Kitting Plan'!$B$6:$B$19,0)),"")</f>
        <v/>
      </c>
      <c r="I812" s="41" t="str">
        <f aca="false">IF(A812="","",IF(ISNUMBER(SEARCH("PRT",E812)),D812,0))</f>
        <v/>
      </c>
      <c r="J812" s="41" t="str">
        <f aca="false">IF(A812="","",IF(ISNUMBER(SEARCH("GMPS",E812)),D812,0))</f>
        <v/>
      </c>
      <c r="K812" s="41" t="str">
        <f aca="false">IF(A812="","",IF(ISNUMBER(SEARCH("DLV",E812)),D812,0))</f>
        <v/>
      </c>
      <c r="L812" s="41" t="str">
        <f aca="false">IF(A812="","",IF(K812&gt;0,"Delivered",IF(ISNUMBER(SEARCH("CNF",E812)),"In production",IF(J812&gt;0,"Issued",IF(I812&gt;0,"Kitted","Released")))))</f>
        <v/>
      </c>
      <c r="M812" s="41" t="str">
        <f aca="false">IF(G812&lt;&gt;"Yes","",COUNTIFS($B$6:$B$1505,B812,$F$6:$F$1505,"&lt;"&amp;F812)+COUNTIFS($B$6:$B$1505,B812,$F$6:$F$1505,F812,$A$6:$A$1505,"&lt;="&amp;A812))</f>
        <v/>
      </c>
      <c r="N812" s="41" t="str">
        <f aca="false">IF(M812="","",ROUNDUP(M812/H812,0))</f>
        <v/>
      </c>
      <c r="O812" s="41" t="str">
        <f aca="false">IF(N812="","",IF(N812&lt;='Kitting Plan'!$C$3,"Rep "&amp;N812,"Surplus"))</f>
        <v/>
      </c>
    </row>
    <row r="813" customFormat="false" ht="15" hidden="false" customHeight="false" outlineLevel="0" collapsed="false">
      <c r="A813" s="40" t="str">
        <f aca="false">IF(OR($A$4=0,INDEX('COOIS Raw'!$A:$GZ,ROW()-4,$A$4)=""),"",IFERROR(--INDEX('COOIS Raw'!$A:$GZ,ROW()-4,$A$4),INDEX('COOIS Raw'!$A:$GZ,ROW()-4,$A$4)))</f>
        <v/>
      </c>
      <c r="B813" s="41" t="str">
        <f aca="false">IF(A813="","",TRIM(INDEX('COOIS Raw'!$A:$GZ,ROW()-4,$B$4)))</f>
        <v/>
      </c>
      <c r="C813" s="42" t="str">
        <f aca="false">IF(OR(A813="",$C$4=0),"",INDEX('COOIS Raw'!$A:$GZ,ROW()-4,$C$4))</f>
        <v/>
      </c>
      <c r="D813" s="41" t="str">
        <f aca="false">IF(A813="","",IF($D$4=0,1,IFERROR(--INDEX('COOIS Raw'!$A:$GZ,ROW()-4,$D$4),1)))</f>
        <v/>
      </c>
      <c r="E813" s="42" t="str">
        <f aca="false">IF(A813="","",INDEX('COOIS Raw'!$A:$GZ,ROW()-4,$E$4)&amp;"")</f>
        <v/>
      </c>
      <c r="F813" s="43" t="str">
        <f aca="false">IF(A813="","",IFERROR(DATEVALUE(INDEX('COOIS Raw'!$A:$GZ,ROW()-4,$F$4)),INDEX('COOIS Raw'!$A:$GZ,ROW()-4,$F$4)))</f>
        <v/>
      </c>
      <c r="G813" s="41" t="str">
        <f aca="false">IF(A813="","",IF(ISNA(MATCH(B813,'Kitting Plan'!$B$6:$B$19,0)),"Not in plan","Yes"))</f>
        <v/>
      </c>
      <c r="H813" s="41" t="str">
        <f aca="false">IF(G813="Yes",INDEX('Kitting Plan'!$D$6:$D$19,MATCH(B813,'Kitting Plan'!$B$6:$B$19,0)),"")</f>
        <v/>
      </c>
      <c r="I813" s="41" t="str">
        <f aca="false">IF(A813="","",IF(ISNUMBER(SEARCH("PRT",E813)),D813,0))</f>
        <v/>
      </c>
      <c r="J813" s="41" t="str">
        <f aca="false">IF(A813="","",IF(ISNUMBER(SEARCH("GMPS",E813)),D813,0))</f>
        <v/>
      </c>
      <c r="K813" s="41" t="str">
        <f aca="false">IF(A813="","",IF(ISNUMBER(SEARCH("DLV",E813)),D813,0))</f>
        <v/>
      </c>
      <c r="L813" s="41" t="str">
        <f aca="false">IF(A813="","",IF(K813&gt;0,"Delivered",IF(ISNUMBER(SEARCH("CNF",E813)),"In production",IF(J813&gt;0,"Issued",IF(I813&gt;0,"Kitted","Released")))))</f>
        <v/>
      </c>
      <c r="M813" s="41" t="str">
        <f aca="false">IF(G813&lt;&gt;"Yes","",COUNTIFS($B$6:$B$1505,B813,$F$6:$F$1505,"&lt;"&amp;F813)+COUNTIFS($B$6:$B$1505,B813,$F$6:$F$1505,F813,$A$6:$A$1505,"&lt;="&amp;A813))</f>
        <v/>
      </c>
      <c r="N813" s="41" t="str">
        <f aca="false">IF(M813="","",ROUNDUP(M813/H813,0))</f>
        <v/>
      </c>
      <c r="O813" s="41" t="str">
        <f aca="false">IF(N813="","",IF(N813&lt;='Kitting Plan'!$C$3,"Rep "&amp;N813,"Surplus"))</f>
        <v/>
      </c>
    </row>
    <row r="814" customFormat="false" ht="15" hidden="false" customHeight="false" outlineLevel="0" collapsed="false">
      <c r="A814" s="40" t="str">
        <f aca="false">IF(OR($A$4=0,INDEX('COOIS Raw'!$A:$GZ,ROW()-4,$A$4)=""),"",IFERROR(--INDEX('COOIS Raw'!$A:$GZ,ROW()-4,$A$4),INDEX('COOIS Raw'!$A:$GZ,ROW()-4,$A$4)))</f>
        <v/>
      </c>
      <c r="B814" s="41" t="str">
        <f aca="false">IF(A814="","",TRIM(INDEX('COOIS Raw'!$A:$GZ,ROW()-4,$B$4)))</f>
        <v/>
      </c>
      <c r="C814" s="42" t="str">
        <f aca="false">IF(OR(A814="",$C$4=0),"",INDEX('COOIS Raw'!$A:$GZ,ROW()-4,$C$4))</f>
        <v/>
      </c>
      <c r="D814" s="41" t="str">
        <f aca="false">IF(A814="","",IF($D$4=0,1,IFERROR(--INDEX('COOIS Raw'!$A:$GZ,ROW()-4,$D$4),1)))</f>
        <v/>
      </c>
      <c r="E814" s="42" t="str">
        <f aca="false">IF(A814="","",INDEX('COOIS Raw'!$A:$GZ,ROW()-4,$E$4)&amp;"")</f>
        <v/>
      </c>
      <c r="F814" s="43" t="str">
        <f aca="false">IF(A814="","",IFERROR(DATEVALUE(INDEX('COOIS Raw'!$A:$GZ,ROW()-4,$F$4)),INDEX('COOIS Raw'!$A:$GZ,ROW()-4,$F$4)))</f>
        <v/>
      </c>
      <c r="G814" s="41" t="str">
        <f aca="false">IF(A814="","",IF(ISNA(MATCH(B814,'Kitting Plan'!$B$6:$B$19,0)),"Not in plan","Yes"))</f>
        <v/>
      </c>
      <c r="H814" s="41" t="str">
        <f aca="false">IF(G814="Yes",INDEX('Kitting Plan'!$D$6:$D$19,MATCH(B814,'Kitting Plan'!$B$6:$B$19,0)),"")</f>
        <v/>
      </c>
      <c r="I814" s="41" t="str">
        <f aca="false">IF(A814="","",IF(ISNUMBER(SEARCH("PRT",E814)),D814,0))</f>
        <v/>
      </c>
      <c r="J814" s="41" t="str">
        <f aca="false">IF(A814="","",IF(ISNUMBER(SEARCH("GMPS",E814)),D814,0))</f>
        <v/>
      </c>
      <c r="K814" s="41" t="str">
        <f aca="false">IF(A814="","",IF(ISNUMBER(SEARCH("DLV",E814)),D814,0))</f>
        <v/>
      </c>
      <c r="L814" s="41" t="str">
        <f aca="false">IF(A814="","",IF(K814&gt;0,"Delivered",IF(ISNUMBER(SEARCH("CNF",E814)),"In production",IF(J814&gt;0,"Issued",IF(I814&gt;0,"Kitted","Released")))))</f>
        <v/>
      </c>
      <c r="M814" s="41" t="str">
        <f aca="false">IF(G814&lt;&gt;"Yes","",COUNTIFS($B$6:$B$1505,B814,$F$6:$F$1505,"&lt;"&amp;F814)+COUNTIFS($B$6:$B$1505,B814,$F$6:$F$1505,F814,$A$6:$A$1505,"&lt;="&amp;A814))</f>
        <v/>
      </c>
      <c r="N814" s="41" t="str">
        <f aca="false">IF(M814="","",ROUNDUP(M814/H814,0))</f>
        <v/>
      </c>
      <c r="O814" s="41" t="str">
        <f aca="false">IF(N814="","",IF(N814&lt;='Kitting Plan'!$C$3,"Rep "&amp;N814,"Surplus"))</f>
        <v/>
      </c>
    </row>
    <row r="815" customFormat="false" ht="15" hidden="false" customHeight="false" outlineLevel="0" collapsed="false">
      <c r="A815" s="40" t="str">
        <f aca="false">IF(OR($A$4=0,INDEX('COOIS Raw'!$A:$GZ,ROW()-4,$A$4)=""),"",IFERROR(--INDEX('COOIS Raw'!$A:$GZ,ROW()-4,$A$4),INDEX('COOIS Raw'!$A:$GZ,ROW()-4,$A$4)))</f>
        <v/>
      </c>
      <c r="B815" s="41" t="str">
        <f aca="false">IF(A815="","",TRIM(INDEX('COOIS Raw'!$A:$GZ,ROW()-4,$B$4)))</f>
        <v/>
      </c>
      <c r="C815" s="42" t="str">
        <f aca="false">IF(OR(A815="",$C$4=0),"",INDEX('COOIS Raw'!$A:$GZ,ROW()-4,$C$4))</f>
        <v/>
      </c>
      <c r="D815" s="41" t="str">
        <f aca="false">IF(A815="","",IF($D$4=0,1,IFERROR(--INDEX('COOIS Raw'!$A:$GZ,ROW()-4,$D$4),1)))</f>
        <v/>
      </c>
      <c r="E815" s="42" t="str">
        <f aca="false">IF(A815="","",INDEX('COOIS Raw'!$A:$GZ,ROW()-4,$E$4)&amp;"")</f>
        <v/>
      </c>
      <c r="F815" s="43" t="str">
        <f aca="false">IF(A815="","",IFERROR(DATEVALUE(INDEX('COOIS Raw'!$A:$GZ,ROW()-4,$F$4)),INDEX('COOIS Raw'!$A:$GZ,ROW()-4,$F$4)))</f>
        <v/>
      </c>
      <c r="G815" s="41" t="str">
        <f aca="false">IF(A815="","",IF(ISNA(MATCH(B815,'Kitting Plan'!$B$6:$B$19,0)),"Not in plan","Yes"))</f>
        <v/>
      </c>
      <c r="H815" s="41" t="str">
        <f aca="false">IF(G815="Yes",INDEX('Kitting Plan'!$D$6:$D$19,MATCH(B815,'Kitting Plan'!$B$6:$B$19,0)),"")</f>
        <v/>
      </c>
      <c r="I815" s="41" t="str">
        <f aca="false">IF(A815="","",IF(ISNUMBER(SEARCH("PRT",E815)),D815,0))</f>
        <v/>
      </c>
      <c r="J815" s="41" t="str">
        <f aca="false">IF(A815="","",IF(ISNUMBER(SEARCH("GMPS",E815)),D815,0))</f>
        <v/>
      </c>
      <c r="K815" s="41" t="str">
        <f aca="false">IF(A815="","",IF(ISNUMBER(SEARCH("DLV",E815)),D815,0))</f>
        <v/>
      </c>
      <c r="L815" s="41" t="str">
        <f aca="false">IF(A815="","",IF(K815&gt;0,"Delivered",IF(ISNUMBER(SEARCH("CNF",E815)),"In production",IF(J815&gt;0,"Issued",IF(I815&gt;0,"Kitted","Released")))))</f>
        <v/>
      </c>
      <c r="M815" s="41" t="str">
        <f aca="false">IF(G815&lt;&gt;"Yes","",COUNTIFS($B$6:$B$1505,B815,$F$6:$F$1505,"&lt;"&amp;F815)+COUNTIFS($B$6:$B$1505,B815,$F$6:$F$1505,F815,$A$6:$A$1505,"&lt;="&amp;A815))</f>
        <v/>
      </c>
      <c r="N815" s="41" t="str">
        <f aca="false">IF(M815="","",ROUNDUP(M815/H815,0))</f>
        <v/>
      </c>
      <c r="O815" s="41" t="str">
        <f aca="false">IF(N815="","",IF(N815&lt;='Kitting Plan'!$C$3,"Rep "&amp;N815,"Surplus"))</f>
        <v/>
      </c>
    </row>
    <row r="816" customFormat="false" ht="15" hidden="false" customHeight="false" outlineLevel="0" collapsed="false">
      <c r="A816" s="40" t="str">
        <f aca="false">IF(OR($A$4=0,INDEX('COOIS Raw'!$A:$GZ,ROW()-4,$A$4)=""),"",IFERROR(--INDEX('COOIS Raw'!$A:$GZ,ROW()-4,$A$4),INDEX('COOIS Raw'!$A:$GZ,ROW()-4,$A$4)))</f>
        <v/>
      </c>
      <c r="B816" s="41" t="str">
        <f aca="false">IF(A816="","",TRIM(INDEX('COOIS Raw'!$A:$GZ,ROW()-4,$B$4)))</f>
        <v/>
      </c>
      <c r="C816" s="42" t="str">
        <f aca="false">IF(OR(A816="",$C$4=0),"",INDEX('COOIS Raw'!$A:$GZ,ROW()-4,$C$4))</f>
        <v/>
      </c>
      <c r="D816" s="41" t="str">
        <f aca="false">IF(A816="","",IF($D$4=0,1,IFERROR(--INDEX('COOIS Raw'!$A:$GZ,ROW()-4,$D$4),1)))</f>
        <v/>
      </c>
      <c r="E816" s="42" t="str">
        <f aca="false">IF(A816="","",INDEX('COOIS Raw'!$A:$GZ,ROW()-4,$E$4)&amp;"")</f>
        <v/>
      </c>
      <c r="F816" s="43" t="str">
        <f aca="false">IF(A816="","",IFERROR(DATEVALUE(INDEX('COOIS Raw'!$A:$GZ,ROW()-4,$F$4)),INDEX('COOIS Raw'!$A:$GZ,ROW()-4,$F$4)))</f>
        <v/>
      </c>
      <c r="G816" s="41" t="str">
        <f aca="false">IF(A816="","",IF(ISNA(MATCH(B816,'Kitting Plan'!$B$6:$B$19,0)),"Not in plan","Yes"))</f>
        <v/>
      </c>
      <c r="H816" s="41" t="str">
        <f aca="false">IF(G816="Yes",INDEX('Kitting Plan'!$D$6:$D$19,MATCH(B816,'Kitting Plan'!$B$6:$B$19,0)),"")</f>
        <v/>
      </c>
      <c r="I816" s="41" t="str">
        <f aca="false">IF(A816="","",IF(ISNUMBER(SEARCH("PRT",E816)),D816,0))</f>
        <v/>
      </c>
      <c r="J816" s="41" t="str">
        <f aca="false">IF(A816="","",IF(ISNUMBER(SEARCH("GMPS",E816)),D816,0))</f>
        <v/>
      </c>
      <c r="K816" s="41" t="str">
        <f aca="false">IF(A816="","",IF(ISNUMBER(SEARCH("DLV",E816)),D816,0))</f>
        <v/>
      </c>
      <c r="L816" s="41" t="str">
        <f aca="false">IF(A816="","",IF(K816&gt;0,"Delivered",IF(ISNUMBER(SEARCH("CNF",E816)),"In production",IF(J816&gt;0,"Issued",IF(I816&gt;0,"Kitted","Released")))))</f>
        <v/>
      </c>
      <c r="M816" s="41" t="str">
        <f aca="false">IF(G816&lt;&gt;"Yes","",COUNTIFS($B$6:$B$1505,B816,$F$6:$F$1505,"&lt;"&amp;F816)+COUNTIFS($B$6:$B$1505,B816,$F$6:$F$1505,F816,$A$6:$A$1505,"&lt;="&amp;A816))</f>
        <v/>
      </c>
      <c r="N816" s="41" t="str">
        <f aca="false">IF(M816="","",ROUNDUP(M816/H816,0))</f>
        <v/>
      </c>
      <c r="O816" s="41" t="str">
        <f aca="false">IF(N816="","",IF(N816&lt;='Kitting Plan'!$C$3,"Rep "&amp;N816,"Surplus"))</f>
        <v/>
      </c>
    </row>
    <row r="817" customFormat="false" ht="15" hidden="false" customHeight="false" outlineLevel="0" collapsed="false">
      <c r="A817" s="40" t="str">
        <f aca="false">IF(OR($A$4=0,INDEX('COOIS Raw'!$A:$GZ,ROW()-4,$A$4)=""),"",IFERROR(--INDEX('COOIS Raw'!$A:$GZ,ROW()-4,$A$4),INDEX('COOIS Raw'!$A:$GZ,ROW()-4,$A$4)))</f>
        <v/>
      </c>
      <c r="B817" s="41" t="str">
        <f aca="false">IF(A817="","",TRIM(INDEX('COOIS Raw'!$A:$GZ,ROW()-4,$B$4)))</f>
        <v/>
      </c>
      <c r="C817" s="42" t="str">
        <f aca="false">IF(OR(A817="",$C$4=0),"",INDEX('COOIS Raw'!$A:$GZ,ROW()-4,$C$4))</f>
        <v/>
      </c>
      <c r="D817" s="41" t="str">
        <f aca="false">IF(A817="","",IF($D$4=0,1,IFERROR(--INDEX('COOIS Raw'!$A:$GZ,ROW()-4,$D$4),1)))</f>
        <v/>
      </c>
      <c r="E817" s="42" t="str">
        <f aca="false">IF(A817="","",INDEX('COOIS Raw'!$A:$GZ,ROW()-4,$E$4)&amp;"")</f>
        <v/>
      </c>
      <c r="F817" s="43" t="str">
        <f aca="false">IF(A817="","",IFERROR(DATEVALUE(INDEX('COOIS Raw'!$A:$GZ,ROW()-4,$F$4)),INDEX('COOIS Raw'!$A:$GZ,ROW()-4,$F$4)))</f>
        <v/>
      </c>
      <c r="G817" s="41" t="str">
        <f aca="false">IF(A817="","",IF(ISNA(MATCH(B817,'Kitting Plan'!$B$6:$B$19,0)),"Not in plan","Yes"))</f>
        <v/>
      </c>
      <c r="H817" s="41" t="str">
        <f aca="false">IF(G817="Yes",INDEX('Kitting Plan'!$D$6:$D$19,MATCH(B817,'Kitting Plan'!$B$6:$B$19,0)),"")</f>
        <v/>
      </c>
      <c r="I817" s="41" t="str">
        <f aca="false">IF(A817="","",IF(ISNUMBER(SEARCH("PRT",E817)),D817,0))</f>
        <v/>
      </c>
      <c r="J817" s="41" t="str">
        <f aca="false">IF(A817="","",IF(ISNUMBER(SEARCH("GMPS",E817)),D817,0))</f>
        <v/>
      </c>
      <c r="K817" s="41" t="str">
        <f aca="false">IF(A817="","",IF(ISNUMBER(SEARCH("DLV",E817)),D817,0))</f>
        <v/>
      </c>
      <c r="L817" s="41" t="str">
        <f aca="false">IF(A817="","",IF(K817&gt;0,"Delivered",IF(ISNUMBER(SEARCH("CNF",E817)),"In production",IF(J817&gt;0,"Issued",IF(I817&gt;0,"Kitted","Released")))))</f>
        <v/>
      </c>
      <c r="M817" s="41" t="str">
        <f aca="false">IF(G817&lt;&gt;"Yes","",COUNTIFS($B$6:$B$1505,B817,$F$6:$F$1505,"&lt;"&amp;F817)+COUNTIFS($B$6:$B$1505,B817,$F$6:$F$1505,F817,$A$6:$A$1505,"&lt;="&amp;A817))</f>
        <v/>
      </c>
      <c r="N817" s="41" t="str">
        <f aca="false">IF(M817="","",ROUNDUP(M817/H817,0))</f>
        <v/>
      </c>
      <c r="O817" s="41" t="str">
        <f aca="false">IF(N817="","",IF(N817&lt;='Kitting Plan'!$C$3,"Rep "&amp;N817,"Surplus"))</f>
        <v/>
      </c>
    </row>
    <row r="818" customFormat="false" ht="15" hidden="false" customHeight="false" outlineLevel="0" collapsed="false">
      <c r="A818" s="40" t="str">
        <f aca="false">IF(OR($A$4=0,INDEX('COOIS Raw'!$A:$GZ,ROW()-4,$A$4)=""),"",IFERROR(--INDEX('COOIS Raw'!$A:$GZ,ROW()-4,$A$4),INDEX('COOIS Raw'!$A:$GZ,ROW()-4,$A$4)))</f>
        <v/>
      </c>
      <c r="B818" s="41" t="str">
        <f aca="false">IF(A818="","",TRIM(INDEX('COOIS Raw'!$A:$GZ,ROW()-4,$B$4)))</f>
        <v/>
      </c>
      <c r="C818" s="42" t="str">
        <f aca="false">IF(OR(A818="",$C$4=0),"",INDEX('COOIS Raw'!$A:$GZ,ROW()-4,$C$4))</f>
        <v/>
      </c>
      <c r="D818" s="41" t="str">
        <f aca="false">IF(A818="","",IF($D$4=0,1,IFERROR(--INDEX('COOIS Raw'!$A:$GZ,ROW()-4,$D$4),1)))</f>
        <v/>
      </c>
      <c r="E818" s="42" t="str">
        <f aca="false">IF(A818="","",INDEX('COOIS Raw'!$A:$GZ,ROW()-4,$E$4)&amp;"")</f>
        <v/>
      </c>
      <c r="F818" s="43" t="str">
        <f aca="false">IF(A818="","",IFERROR(DATEVALUE(INDEX('COOIS Raw'!$A:$GZ,ROW()-4,$F$4)),INDEX('COOIS Raw'!$A:$GZ,ROW()-4,$F$4)))</f>
        <v/>
      </c>
      <c r="G818" s="41" t="str">
        <f aca="false">IF(A818="","",IF(ISNA(MATCH(B818,'Kitting Plan'!$B$6:$B$19,0)),"Not in plan","Yes"))</f>
        <v/>
      </c>
      <c r="H818" s="41" t="str">
        <f aca="false">IF(G818="Yes",INDEX('Kitting Plan'!$D$6:$D$19,MATCH(B818,'Kitting Plan'!$B$6:$B$19,0)),"")</f>
        <v/>
      </c>
      <c r="I818" s="41" t="str">
        <f aca="false">IF(A818="","",IF(ISNUMBER(SEARCH("PRT",E818)),D818,0))</f>
        <v/>
      </c>
      <c r="J818" s="41" t="str">
        <f aca="false">IF(A818="","",IF(ISNUMBER(SEARCH("GMPS",E818)),D818,0))</f>
        <v/>
      </c>
      <c r="K818" s="41" t="str">
        <f aca="false">IF(A818="","",IF(ISNUMBER(SEARCH("DLV",E818)),D818,0))</f>
        <v/>
      </c>
      <c r="L818" s="41" t="str">
        <f aca="false">IF(A818="","",IF(K818&gt;0,"Delivered",IF(ISNUMBER(SEARCH("CNF",E818)),"In production",IF(J818&gt;0,"Issued",IF(I818&gt;0,"Kitted","Released")))))</f>
        <v/>
      </c>
      <c r="M818" s="41" t="str">
        <f aca="false">IF(G818&lt;&gt;"Yes","",COUNTIFS($B$6:$B$1505,B818,$F$6:$F$1505,"&lt;"&amp;F818)+COUNTIFS($B$6:$B$1505,B818,$F$6:$F$1505,F818,$A$6:$A$1505,"&lt;="&amp;A818))</f>
        <v/>
      </c>
      <c r="N818" s="41" t="str">
        <f aca="false">IF(M818="","",ROUNDUP(M818/H818,0))</f>
        <v/>
      </c>
      <c r="O818" s="41" t="str">
        <f aca="false">IF(N818="","",IF(N818&lt;='Kitting Plan'!$C$3,"Rep "&amp;N818,"Surplus"))</f>
        <v/>
      </c>
    </row>
    <row r="819" customFormat="false" ht="15" hidden="false" customHeight="false" outlineLevel="0" collapsed="false">
      <c r="A819" s="40" t="str">
        <f aca="false">IF(OR($A$4=0,INDEX('COOIS Raw'!$A:$GZ,ROW()-4,$A$4)=""),"",IFERROR(--INDEX('COOIS Raw'!$A:$GZ,ROW()-4,$A$4),INDEX('COOIS Raw'!$A:$GZ,ROW()-4,$A$4)))</f>
        <v/>
      </c>
      <c r="B819" s="41" t="str">
        <f aca="false">IF(A819="","",TRIM(INDEX('COOIS Raw'!$A:$GZ,ROW()-4,$B$4)))</f>
        <v/>
      </c>
      <c r="C819" s="42" t="str">
        <f aca="false">IF(OR(A819="",$C$4=0),"",INDEX('COOIS Raw'!$A:$GZ,ROW()-4,$C$4))</f>
        <v/>
      </c>
      <c r="D819" s="41" t="str">
        <f aca="false">IF(A819="","",IF($D$4=0,1,IFERROR(--INDEX('COOIS Raw'!$A:$GZ,ROW()-4,$D$4),1)))</f>
        <v/>
      </c>
      <c r="E819" s="42" t="str">
        <f aca="false">IF(A819="","",INDEX('COOIS Raw'!$A:$GZ,ROW()-4,$E$4)&amp;"")</f>
        <v/>
      </c>
      <c r="F819" s="43" t="str">
        <f aca="false">IF(A819="","",IFERROR(DATEVALUE(INDEX('COOIS Raw'!$A:$GZ,ROW()-4,$F$4)),INDEX('COOIS Raw'!$A:$GZ,ROW()-4,$F$4)))</f>
        <v/>
      </c>
      <c r="G819" s="41" t="str">
        <f aca="false">IF(A819="","",IF(ISNA(MATCH(B819,'Kitting Plan'!$B$6:$B$19,0)),"Not in plan","Yes"))</f>
        <v/>
      </c>
      <c r="H819" s="41" t="str">
        <f aca="false">IF(G819="Yes",INDEX('Kitting Plan'!$D$6:$D$19,MATCH(B819,'Kitting Plan'!$B$6:$B$19,0)),"")</f>
        <v/>
      </c>
      <c r="I819" s="41" t="str">
        <f aca="false">IF(A819="","",IF(ISNUMBER(SEARCH("PRT",E819)),D819,0))</f>
        <v/>
      </c>
      <c r="J819" s="41" t="str">
        <f aca="false">IF(A819="","",IF(ISNUMBER(SEARCH("GMPS",E819)),D819,0))</f>
        <v/>
      </c>
      <c r="K819" s="41" t="str">
        <f aca="false">IF(A819="","",IF(ISNUMBER(SEARCH("DLV",E819)),D819,0))</f>
        <v/>
      </c>
      <c r="L819" s="41" t="str">
        <f aca="false">IF(A819="","",IF(K819&gt;0,"Delivered",IF(ISNUMBER(SEARCH("CNF",E819)),"In production",IF(J819&gt;0,"Issued",IF(I819&gt;0,"Kitted","Released")))))</f>
        <v/>
      </c>
      <c r="M819" s="41" t="str">
        <f aca="false">IF(G819&lt;&gt;"Yes","",COUNTIFS($B$6:$B$1505,B819,$F$6:$F$1505,"&lt;"&amp;F819)+COUNTIFS($B$6:$B$1505,B819,$F$6:$F$1505,F819,$A$6:$A$1505,"&lt;="&amp;A819))</f>
        <v/>
      </c>
      <c r="N819" s="41" t="str">
        <f aca="false">IF(M819="","",ROUNDUP(M819/H819,0))</f>
        <v/>
      </c>
      <c r="O819" s="41" t="str">
        <f aca="false">IF(N819="","",IF(N819&lt;='Kitting Plan'!$C$3,"Rep "&amp;N819,"Surplus"))</f>
        <v/>
      </c>
    </row>
    <row r="820" customFormat="false" ht="15" hidden="false" customHeight="false" outlineLevel="0" collapsed="false">
      <c r="A820" s="40" t="str">
        <f aca="false">IF(OR($A$4=0,INDEX('COOIS Raw'!$A:$GZ,ROW()-4,$A$4)=""),"",IFERROR(--INDEX('COOIS Raw'!$A:$GZ,ROW()-4,$A$4),INDEX('COOIS Raw'!$A:$GZ,ROW()-4,$A$4)))</f>
        <v/>
      </c>
      <c r="B820" s="41" t="str">
        <f aca="false">IF(A820="","",TRIM(INDEX('COOIS Raw'!$A:$GZ,ROW()-4,$B$4)))</f>
        <v/>
      </c>
      <c r="C820" s="42" t="str">
        <f aca="false">IF(OR(A820="",$C$4=0),"",INDEX('COOIS Raw'!$A:$GZ,ROW()-4,$C$4))</f>
        <v/>
      </c>
      <c r="D820" s="41" t="str">
        <f aca="false">IF(A820="","",IF($D$4=0,1,IFERROR(--INDEX('COOIS Raw'!$A:$GZ,ROW()-4,$D$4),1)))</f>
        <v/>
      </c>
      <c r="E820" s="42" t="str">
        <f aca="false">IF(A820="","",INDEX('COOIS Raw'!$A:$GZ,ROW()-4,$E$4)&amp;"")</f>
        <v/>
      </c>
      <c r="F820" s="43" t="str">
        <f aca="false">IF(A820="","",IFERROR(DATEVALUE(INDEX('COOIS Raw'!$A:$GZ,ROW()-4,$F$4)),INDEX('COOIS Raw'!$A:$GZ,ROW()-4,$F$4)))</f>
        <v/>
      </c>
      <c r="G820" s="41" t="str">
        <f aca="false">IF(A820="","",IF(ISNA(MATCH(B820,'Kitting Plan'!$B$6:$B$19,0)),"Not in plan","Yes"))</f>
        <v/>
      </c>
      <c r="H820" s="41" t="str">
        <f aca="false">IF(G820="Yes",INDEX('Kitting Plan'!$D$6:$D$19,MATCH(B820,'Kitting Plan'!$B$6:$B$19,0)),"")</f>
        <v/>
      </c>
      <c r="I820" s="41" t="str">
        <f aca="false">IF(A820="","",IF(ISNUMBER(SEARCH("PRT",E820)),D820,0))</f>
        <v/>
      </c>
      <c r="J820" s="41" t="str">
        <f aca="false">IF(A820="","",IF(ISNUMBER(SEARCH("GMPS",E820)),D820,0))</f>
        <v/>
      </c>
      <c r="K820" s="41" t="str">
        <f aca="false">IF(A820="","",IF(ISNUMBER(SEARCH("DLV",E820)),D820,0))</f>
        <v/>
      </c>
      <c r="L820" s="41" t="str">
        <f aca="false">IF(A820="","",IF(K820&gt;0,"Delivered",IF(ISNUMBER(SEARCH("CNF",E820)),"In production",IF(J820&gt;0,"Issued",IF(I820&gt;0,"Kitted","Released")))))</f>
        <v/>
      </c>
      <c r="M820" s="41" t="str">
        <f aca="false">IF(G820&lt;&gt;"Yes","",COUNTIFS($B$6:$B$1505,B820,$F$6:$F$1505,"&lt;"&amp;F820)+COUNTIFS($B$6:$B$1505,B820,$F$6:$F$1505,F820,$A$6:$A$1505,"&lt;="&amp;A820))</f>
        <v/>
      </c>
      <c r="N820" s="41" t="str">
        <f aca="false">IF(M820="","",ROUNDUP(M820/H820,0))</f>
        <v/>
      </c>
      <c r="O820" s="41" t="str">
        <f aca="false">IF(N820="","",IF(N820&lt;='Kitting Plan'!$C$3,"Rep "&amp;N820,"Surplus"))</f>
        <v/>
      </c>
    </row>
    <row r="821" customFormat="false" ht="15" hidden="false" customHeight="false" outlineLevel="0" collapsed="false">
      <c r="A821" s="40" t="str">
        <f aca="false">IF(OR($A$4=0,INDEX('COOIS Raw'!$A:$GZ,ROW()-4,$A$4)=""),"",IFERROR(--INDEX('COOIS Raw'!$A:$GZ,ROW()-4,$A$4),INDEX('COOIS Raw'!$A:$GZ,ROW()-4,$A$4)))</f>
        <v/>
      </c>
      <c r="B821" s="41" t="str">
        <f aca="false">IF(A821="","",TRIM(INDEX('COOIS Raw'!$A:$GZ,ROW()-4,$B$4)))</f>
        <v/>
      </c>
      <c r="C821" s="42" t="str">
        <f aca="false">IF(OR(A821="",$C$4=0),"",INDEX('COOIS Raw'!$A:$GZ,ROW()-4,$C$4))</f>
        <v/>
      </c>
      <c r="D821" s="41" t="str">
        <f aca="false">IF(A821="","",IF($D$4=0,1,IFERROR(--INDEX('COOIS Raw'!$A:$GZ,ROW()-4,$D$4),1)))</f>
        <v/>
      </c>
      <c r="E821" s="42" t="str">
        <f aca="false">IF(A821="","",INDEX('COOIS Raw'!$A:$GZ,ROW()-4,$E$4)&amp;"")</f>
        <v/>
      </c>
      <c r="F821" s="43" t="str">
        <f aca="false">IF(A821="","",IFERROR(DATEVALUE(INDEX('COOIS Raw'!$A:$GZ,ROW()-4,$F$4)),INDEX('COOIS Raw'!$A:$GZ,ROW()-4,$F$4)))</f>
        <v/>
      </c>
      <c r="G821" s="41" t="str">
        <f aca="false">IF(A821="","",IF(ISNA(MATCH(B821,'Kitting Plan'!$B$6:$B$19,0)),"Not in plan","Yes"))</f>
        <v/>
      </c>
      <c r="H821" s="41" t="str">
        <f aca="false">IF(G821="Yes",INDEX('Kitting Plan'!$D$6:$D$19,MATCH(B821,'Kitting Plan'!$B$6:$B$19,0)),"")</f>
        <v/>
      </c>
      <c r="I821" s="41" t="str">
        <f aca="false">IF(A821="","",IF(ISNUMBER(SEARCH("PRT",E821)),D821,0))</f>
        <v/>
      </c>
      <c r="J821" s="41" t="str">
        <f aca="false">IF(A821="","",IF(ISNUMBER(SEARCH("GMPS",E821)),D821,0))</f>
        <v/>
      </c>
      <c r="K821" s="41" t="str">
        <f aca="false">IF(A821="","",IF(ISNUMBER(SEARCH("DLV",E821)),D821,0))</f>
        <v/>
      </c>
      <c r="L821" s="41" t="str">
        <f aca="false">IF(A821="","",IF(K821&gt;0,"Delivered",IF(ISNUMBER(SEARCH("CNF",E821)),"In production",IF(J821&gt;0,"Issued",IF(I821&gt;0,"Kitted","Released")))))</f>
        <v/>
      </c>
      <c r="M821" s="41" t="str">
        <f aca="false">IF(G821&lt;&gt;"Yes","",COUNTIFS($B$6:$B$1505,B821,$F$6:$F$1505,"&lt;"&amp;F821)+COUNTIFS($B$6:$B$1505,B821,$F$6:$F$1505,F821,$A$6:$A$1505,"&lt;="&amp;A821))</f>
        <v/>
      </c>
      <c r="N821" s="41" t="str">
        <f aca="false">IF(M821="","",ROUNDUP(M821/H821,0))</f>
        <v/>
      </c>
      <c r="O821" s="41" t="str">
        <f aca="false">IF(N821="","",IF(N821&lt;='Kitting Plan'!$C$3,"Rep "&amp;N821,"Surplus"))</f>
        <v/>
      </c>
    </row>
    <row r="822" customFormat="false" ht="15" hidden="false" customHeight="false" outlineLevel="0" collapsed="false">
      <c r="A822" s="40" t="str">
        <f aca="false">IF(OR($A$4=0,INDEX('COOIS Raw'!$A:$GZ,ROW()-4,$A$4)=""),"",IFERROR(--INDEX('COOIS Raw'!$A:$GZ,ROW()-4,$A$4),INDEX('COOIS Raw'!$A:$GZ,ROW()-4,$A$4)))</f>
        <v/>
      </c>
      <c r="B822" s="41" t="str">
        <f aca="false">IF(A822="","",TRIM(INDEX('COOIS Raw'!$A:$GZ,ROW()-4,$B$4)))</f>
        <v/>
      </c>
      <c r="C822" s="42" t="str">
        <f aca="false">IF(OR(A822="",$C$4=0),"",INDEX('COOIS Raw'!$A:$GZ,ROW()-4,$C$4))</f>
        <v/>
      </c>
      <c r="D822" s="41" t="str">
        <f aca="false">IF(A822="","",IF($D$4=0,1,IFERROR(--INDEX('COOIS Raw'!$A:$GZ,ROW()-4,$D$4),1)))</f>
        <v/>
      </c>
      <c r="E822" s="42" t="str">
        <f aca="false">IF(A822="","",INDEX('COOIS Raw'!$A:$GZ,ROW()-4,$E$4)&amp;"")</f>
        <v/>
      </c>
      <c r="F822" s="43" t="str">
        <f aca="false">IF(A822="","",IFERROR(DATEVALUE(INDEX('COOIS Raw'!$A:$GZ,ROW()-4,$F$4)),INDEX('COOIS Raw'!$A:$GZ,ROW()-4,$F$4)))</f>
        <v/>
      </c>
      <c r="G822" s="41" t="str">
        <f aca="false">IF(A822="","",IF(ISNA(MATCH(B822,'Kitting Plan'!$B$6:$B$19,0)),"Not in plan","Yes"))</f>
        <v/>
      </c>
      <c r="H822" s="41" t="str">
        <f aca="false">IF(G822="Yes",INDEX('Kitting Plan'!$D$6:$D$19,MATCH(B822,'Kitting Plan'!$B$6:$B$19,0)),"")</f>
        <v/>
      </c>
      <c r="I822" s="41" t="str">
        <f aca="false">IF(A822="","",IF(ISNUMBER(SEARCH("PRT",E822)),D822,0))</f>
        <v/>
      </c>
      <c r="J822" s="41" t="str">
        <f aca="false">IF(A822="","",IF(ISNUMBER(SEARCH("GMPS",E822)),D822,0))</f>
        <v/>
      </c>
      <c r="K822" s="41" t="str">
        <f aca="false">IF(A822="","",IF(ISNUMBER(SEARCH("DLV",E822)),D822,0))</f>
        <v/>
      </c>
      <c r="L822" s="41" t="str">
        <f aca="false">IF(A822="","",IF(K822&gt;0,"Delivered",IF(ISNUMBER(SEARCH("CNF",E822)),"In production",IF(J822&gt;0,"Issued",IF(I822&gt;0,"Kitted","Released")))))</f>
        <v/>
      </c>
      <c r="M822" s="41" t="str">
        <f aca="false">IF(G822&lt;&gt;"Yes","",COUNTIFS($B$6:$B$1505,B822,$F$6:$F$1505,"&lt;"&amp;F822)+COUNTIFS($B$6:$B$1505,B822,$F$6:$F$1505,F822,$A$6:$A$1505,"&lt;="&amp;A822))</f>
        <v/>
      </c>
      <c r="N822" s="41" t="str">
        <f aca="false">IF(M822="","",ROUNDUP(M822/H822,0))</f>
        <v/>
      </c>
      <c r="O822" s="41" t="str">
        <f aca="false">IF(N822="","",IF(N822&lt;='Kitting Plan'!$C$3,"Rep "&amp;N822,"Surplus"))</f>
        <v/>
      </c>
    </row>
    <row r="823" customFormat="false" ht="15" hidden="false" customHeight="false" outlineLevel="0" collapsed="false">
      <c r="A823" s="40" t="str">
        <f aca="false">IF(OR($A$4=0,INDEX('COOIS Raw'!$A:$GZ,ROW()-4,$A$4)=""),"",IFERROR(--INDEX('COOIS Raw'!$A:$GZ,ROW()-4,$A$4),INDEX('COOIS Raw'!$A:$GZ,ROW()-4,$A$4)))</f>
        <v/>
      </c>
      <c r="B823" s="41" t="str">
        <f aca="false">IF(A823="","",TRIM(INDEX('COOIS Raw'!$A:$GZ,ROW()-4,$B$4)))</f>
        <v/>
      </c>
      <c r="C823" s="42" t="str">
        <f aca="false">IF(OR(A823="",$C$4=0),"",INDEX('COOIS Raw'!$A:$GZ,ROW()-4,$C$4))</f>
        <v/>
      </c>
      <c r="D823" s="41" t="str">
        <f aca="false">IF(A823="","",IF($D$4=0,1,IFERROR(--INDEX('COOIS Raw'!$A:$GZ,ROW()-4,$D$4),1)))</f>
        <v/>
      </c>
      <c r="E823" s="42" t="str">
        <f aca="false">IF(A823="","",INDEX('COOIS Raw'!$A:$GZ,ROW()-4,$E$4)&amp;"")</f>
        <v/>
      </c>
      <c r="F823" s="43" t="str">
        <f aca="false">IF(A823="","",IFERROR(DATEVALUE(INDEX('COOIS Raw'!$A:$GZ,ROW()-4,$F$4)),INDEX('COOIS Raw'!$A:$GZ,ROW()-4,$F$4)))</f>
        <v/>
      </c>
      <c r="G823" s="41" t="str">
        <f aca="false">IF(A823="","",IF(ISNA(MATCH(B823,'Kitting Plan'!$B$6:$B$19,0)),"Not in plan","Yes"))</f>
        <v/>
      </c>
      <c r="H823" s="41" t="str">
        <f aca="false">IF(G823="Yes",INDEX('Kitting Plan'!$D$6:$D$19,MATCH(B823,'Kitting Plan'!$B$6:$B$19,0)),"")</f>
        <v/>
      </c>
      <c r="I823" s="41" t="str">
        <f aca="false">IF(A823="","",IF(ISNUMBER(SEARCH("PRT",E823)),D823,0))</f>
        <v/>
      </c>
      <c r="J823" s="41" t="str">
        <f aca="false">IF(A823="","",IF(ISNUMBER(SEARCH("GMPS",E823)),D823,0))</f>
        <v/>
      </c>
      <c r="K823" s="41" t="str">
        <f aca="false">IF(A823="","",IF(ISNUMBER(SEARCH("DLV",E823)),D823,0))</f>
        <v/>
      </c>
      <c r="L823" s="41" t="str">
        <f aca="false">IF(A823="","",IF(K823&gt;0,"Delivered",IF(ISNUMBER(SEARCH("CNF",E823)),"In production",IF(J823&gt;0,"Issued",IF(I823&gt;0,"Kitted","Released")))))</f>
        <v/>
      </c>
      <c r="M823" s="41" t="str">
        <f aca="false">IF(G823&lt;&gt;"Yes","",COUNTIFS($B$6:$B$1505,B823,$F$6:$F$1505,"&lt;"&amp;F823)+COUNTIFS($B$6:$B$1505,B823,$F$6:$F$1505,F823,$A$6:$A$1505,"&lt;="&amp;A823))</f>
        <v/>
      </c>
      <c r="N823" s="41" t="str">
        <f aca="false">IF(M823="","",ROUNDUP(M823/H823,0))</f>
        <v/>
      </c>
      <c r="O823" s="41" t="str">
        <f aca="false">IF(N823="","",IF(N823&lt;='Kitting Plan'!$C$3,"Rep "&amp;N823,"Surplus"))</f>
        <v/>
      </c>
    </row>
    <row r="824" customFormat="false" ht="15" hidden="false" customHeight="false" outlineLevel="0" collapsed="false">
      <c r="A824" s="40" t="str">
        <f aca="false">IF(OR($A$4=0,INDEX('COOIS Raw'!$A:$GZ,ROW()-4,$A$4)=""),"",IFERROR(--INDEX('COOIS Raw'!$A:$GZ,ROW()-4,$A$4),INDEX('COOIS Raw'!$A:$GZ,ROW()-4,$A$4)))</f>
        <v/>
      </c>
      <c r="B824" s="41" t="str">
        <f aca="false">IF(A824="","",TRIM(INDEX('COOIS Raw'!$A:$GZ,ROW()-4,$B$4)))</f>
        <v/>
      </c>
      <c r="C824" s="42" t="str">
        <f aca="false">IF(OR(A824="",$C$4=0),"",INDEX('COOIS Raw'!$A:$GZ,ROW()-4,$C$4))</f>
        <v/>
      </c>
      <c r="D824" s="41" t="str">
        <f aca="false">IF(A824="","",IF($D$4=0,1,IFERROR(--INDEX('COOIS Raw'!$A:$GZ,ROW()-4,$D$4),1)))</f>
        <v/>
      </c>
      <c r="E824" s="42" t="str">
        <f aca="false">IF(A824="","",INDEX('COOIS Raw'!$A:$GZ,ROW()-4,$E$4)&amp;"")</f>
        <v/>
      </c>
      <c r="F824" s="43" t="str">
        <f aca="false">IF(A824="","",IFERROR(DATEVALUE(INDEX('COOIS Raw'!$A:$GZ,ROW()-4,$F$4)),INDEX('COOIS Raw'!$A:$GZ,ROW()-4,$F$4)))</f>
        <v/>
      </c>
      <c r="G824" s="41" t="str">
        <f aca="false">IF(A824="","",IF(ISNA(MATCH(B824,'Kitting Plan'!$B$6:$B$19,0)),"Not in plan","Yes"))</f>
        <v/>
      </c>
      <c r="H824" s="41" t="str">
        <f aca="false">IF(G824="Yes",INDEX('Kitting Plan'!$D$6:$D$19,MATCH(B824,'Kitting Plan'!$B$6:$B$19,0)),"")</f>
        <v/>
      </c>
      <c r="I824" s="41" t="str">
        <f aca="false">IF(A824="","",IF(ISNUMBER(SEARCH("PRT",E824)),D824,0))</f>
        <v/>
      </c>
      <c r="J824" s="41" t="str">
        <f aca="false">IF(A824="","",IF(ISNUMBER(SEARCH("GMPS",E824)),D824,0))</f>
        <v/>
      </c>
      <c r="K824" s="41" t="str">
        <f aca="false">IF(A824="","",IF(ISNUMBER(SEARCH("DLV",E824)),D824,0))</f>
        <v/>
      </c>
      <c r="L824" s="41" t="str">
        <f aca="false">IF(A824="","",IF(K824&gt;0,"Delivered",IF(ISNUMBER(SEARCH("CNF",E824)),"In production",IF(J824&gt;0,"Issued",IF(I824&gt;0,"Kitted","Released")))))</f>
        <v/>
      </c>
      <c r="M824" s="41" t="str">
        <f aca="false">IF(G824&lt;&gt;"Yes","",COUNTIFS($B$6:$B$1505,B824,$F$6:$F$1505,"&lt;"&amp;F824)+COUNTIFS($B$6:$B$1505,B824,$F$6:$F$1505,F824,$A$6:$A$1505,"&lt;="&amp;A824))</f>
        <v/>
      </c>
      <c r="N824" s="41" t="str">
        <f aca="false">IF(M824="","",ROUNDUP(M824/H824,0))</f>
        <v/>
      </c>
      <c r="O824" s="41" t="str">
        <f aca="false">IF(N824="","",IF(N824&lt;='Kitting Plan'!$C$3,"Rep "&amp;N824,"Surplus"))</f>
        <v/>
      </c>
    </row>
    <row r="825" customFormat="false" ht="15" hidden="false" customHeight="false" outlineLevel="0" collapsed="false">
      <c r="A825" s="40" t="str">
        <f aca="false">IF(OR($A$4=0,INDEX('COOIS Raw'!$A:$GZ,ROW()-4,$A$4)=""),"",IFERROR(--INDEX('COOIS Raw'!$A:$GZ,ROW()-4,$A$4),INDEX('COOIS Raw'!$A:$GZ,ROW()-4,$A$4)))</f>
        <v/>
      </c>
      <c r="B825" s="41" t="str">
        <f aca="false">IF(A825="","",TRIM(INDEX('COOIS Raw'!$A:$GZ,ROW()-4,$B$4)))</f>
        <v/>
      </c>
      <c r="C825" s="42" t="str">
        <f aca="false">IF(OR(A825="",$C$4=0),"",INDEX('COOIS Raw'!$A:$GZ,ROW()-4,$C$4))</f>
        <v/>
      </c>
      <c r="D825" s="41" t="str">
        <f aca="false">IF(A825="","",IF($D$4=0,1,IFERROR(--INDEX('COOIS Raw'!$A:$GZ,ROW()-4,$D$4),1)))</f>
        <v/>
      </c>
      <c r="E825" s="42" t="str">
        <f aca="false">IF(A825="","",INDEX('COOIS Raw'!$A:$GZ,ROW()-4,$E$4)&amp;"")</f>
        <v/>
      </c>
      <c r="F825" s="43" t="str">
        <f aca="false">IF(A825="","",IFERROR(DATEVALUE(INDEX('COOIS Raw'!$A:$GZ,ROW()-4,$F$4)),INDEX('COOIS Raw'!$A:$GZ,ROW()-4,$F$4)))</f>
        <v/>
      </c>
      <c r="G825" s="41" t="str">
        <f aca="false">IF(A825="","",IF(ISNA(MATCH(B825,'Kitting Plan'!$B$6:$B$19,0)),"Not in plan","Yes"))</f>
        <v/>
      </c>
      <c r="H825" s="41" t="str">
        <f aca="false">IF(G825="Yes",INDEX('Kitting Plan'!$D$6:$D$19,MATCH(B825,'Kitting Plan'!$B$6:$B$19,0)),"")</f>
        <v/>
      </c>
      <c r="I825" s="41" t="str">
        <f aca="false">IF(A825="","",IF(ISNUMBER(SEARCH("PRT",E825)),D825,0))</f>
        <v/>
      </c>
      <c r="J825" s="41" t="str">
        <f aca="false">IF(A825="","",IF(ISNUMBER(SEARCH("GMPS",E825)),D825,0))</f>
        <v/>
      </c>
      <c r="K825" s="41" t="str">
        <f aca="false">IF(A825="","",IF(ISNUMBER(SEARCH("DLV",E825)),D825,0))</f>
        <v/>
      </c>
      <c r="L825" s="41" t="str">
        <f aca="false">IF(A825="","",IF(K825&gt;0,"Delivered",IF(ISNUMBER(SEARCH("CNF",E825)),"In production",IF(J825&gt;0,"Issued",IF(I825&gt;0,"Kitted","Released")))))</f>
        <v/>
      </c>
      <c r="M825" s="41" t="str">
        <f aca="false">IF(G825&lt;&gt;"Yes","",COUNTIFS($B$6:$B$1505,B825,$F$6:$F$1505,"&lt;"&amp;F825)+COUNTIFS($B$6:$B$1505,B825,$F$6:$F$1505,F825,$A$6:$A$1505,"&lt;="&amp;A825))</f>
        <v/>
      </c>
      <c r="N825" s="41" t="str">
        <f aca="false">IF(M825="","",ROUNDUP(M825/H825,0))</f>
        <v/>
      </c>
      <c r="O825" s="41" t="str">
        <f aca="false">IF(N825="","",IF(N825&lt;='Kitting Plan'!$C$3,"Rep "&amp;N825,"Surplus"))</f>
        <v/>
      </c>
    </row>
    <row r="826" customFormat="false" ht="15" hidden="false" customHeight="false" outlineLevel="0" collapsed="false">
      <c r="A826" s="40" t="str">
        <f aca="false">IF(OR($A$4=0,INDEX('COOIS Raw'!$A:$GZ,ROW()-4,$A$4)=""),"",IFERROR(--INDEX('COOIS Raw'!$A:$GZ,ROW()-4,$A$4),INDEX('COOIS Raw'!$A:$GZ,ROW()-4,$A$4)))</f>
        <v/>
      </c>
      <c r="B826" s="41" t="str">
        <f aca="false">IF(A826="","",TRIM(INDEX('COOIS Raw'!$A:$GZ,ROW()-4,$B$4)))</f>
        <v/>
      </c>
      <c r="C826" s="42" t="str">
        <f aca="false">IF(OR(A826="",$C$4=0),"",INDEX('COOIS Raw'!$A:$GZ,ROW()-4,$C$4))</f>
        <v/>
      </c>
      <c r="D826" s="41" t="str">
        <f aca="false">IF(A826="","",IF($D$4=0,1,IFERROR(--INDEX('COOIS Raw'!$A:$GZ,ROW()-4,$D$4),1)))</f>
        <v/>
      </c>
      <c r="E826" s="42" t="str">
        <f aca="false">IF(A826="","",INDEX('COOIS Raw'!$A:$GZ,ROW()-4,$E$4)&amp;"")</f>
        <v/>
      </c>
      <c r="F826" s="43" t="str">
        <f aca="false">IF(A826="","",IFERROR(DATEVALUE(INDEX('COOIS Raw'!$A:$GZ,ROW()-4,$F$4)),INDEX('COOIS Raw'!$A:$GZ,ROW()-4,$F$4)))</f>
        <v/>
      </c>
      <c r="G826" s="41" t="str">
        <f aca="false">IF(A826="","",IF(ISNA(MATCH(B826,'Kitting Plan'!$B$6:$B$19,0)),"Not in plan","Yes"))</f>
        <v/>
      </c>
      <c r="H826" s="41" t="str">
        <f aca="false">IF(G826="Yes",INDEX('Kitting Plan'!$D$6:$D$19,MATCH(B826,'Kitting Plan'!$B$6:$B$19,0)),"")</f>
        <v/>
      </c>
      <c r="I826" s="41" t="str">
        <f aca="false">IF(A826="","",IF(ISNUMBER(SEARCH("PRT",E826)),D826,0))</f>
        <v/>
      </c>
      <c r="J826" s="41" t="str">
        <f aca="false">IF(A826="","",IF(ISNUMBER(SEARCH("GMPS",E826)),D826,0))</f>
        <v/>
      </c>
      <c r="K826" s="41" t="str">
        <f aca="false">IF(A826="","",IF(ISNUMBER(SEARCH("DLV",E826)),D826,0))</f>
        <v/>
      </c>
      <c r="L826" s="41" t="str">
        <f aca="false">IF(A826="","",IF(K826&gt;0,"Delivered",IF(ISNUMBER(SEARCH("CNF",E826)),"In production",IF(J826&gt;0,"Issued",IF(I826&gt;0,"Kitted","Released")))))</f>
        <v/>
      </c>
      <c r="M826" s="41" t="str">
        <f aca="false">IF(G826&lt;&gt;"Yes","",COUNTIFS($B$6:$B$1505,B826,$F$6:$F$1505,"&lt;"&amp;F826)+COUNTIFS($B$6:$B$1505,B826,$F$6:$F$1505,F826,$A$6:$A$1505,"&lt;="&amp;A826))</f>
        <v/>
      </c>
      <c r="N826" s="41" t="str">
        <f aca="false">IF(M826="","",ROUNDUP(M826/H826,0))</f>
        <v/>
      </c>
      <c r="O826" s="41" t="str">
        <f aca="false">IF(N826="","",IF(N826&lt;='Kitting Plan'!$C$3,"Rep "&amp;N826,"Surplus"))</f>
        <v/>
      </c>
    </row>
    <row r="827" customFormat="false" ht="15" hidden="false" customHeight="false" outlineLevel="0" collapsed="false">
      <c r="A827" s="40" t="str">
        <f aca="false">IF(OR($A$4=0,INDEX('COOIS Raw'!$A:$GZ,ROW()-4,$A$4)=""),"",IFERROR(--INDEX('COOIS Raw'!$A:$GZ,ROW()-4,$A$4),INDEX('COOIS Raw'!$A:$GZ,ROW()-4,$A$4)))</f>
        <v/>
      </c>
      <c r="B827" s="41" t="str">
        <f aca="false">IF(A827="","",TRIM(INDEX('COOIS Raw'!$A:$GZ,ROW()-4,$B$4)))</f>
        <v/>
      </c>
      <c r="C827" s="42" t="str">
        <f aca="false">IF(OR(A827="",$C$4=0),"",INDEX('COOIS Raw'!$A:$GZ,ROW()-4,$C$4))</f>
        <v/>
      </c>
      <c r="D827" s="41" t="str">
        <f aca="false">IF(A827="","",IF($D$4=0,1,IFERROR(--INDEX('COOIS Raw'!$A:$GZ,ROW()-4,$D$4),1)))</f>
        <v/>
      </c>
      <c r="E827" s="42" t="str">
        <f aca="false">IF(A827="","",INDEX('COOIS Raw'!$A:$GZ,ROW()-4,$E$4)&amp;"")</f>
        <v/>
      </c>
      <c r="F827" s="43" t="str">
        <f aca="false">IF(A827="","",IFERROR(DATEVALUE(INDEX('COOIS Raw'!$A:$GZ,ROW()-4,$F$4)),INDEX('COOIS Raw'!$A:$GZ,ROW()-4,$F$4)))</f>
        <v/>
      </c>
      <c r="G827" s="41" t="str">
        <f aca="false">IF(A827="","",IF(ISNA(MATCH(B827,'Kitting Plan'!$B$6:$B$19,0)),"Not in plan","Yes"))</f>
        <v/>
      </c>
      <c r="H827" s="41" t="str">
        <f aca="false">IF(G827="Yes",INDEX('Kitting Plan'!$D$6:$D$19,MATCH(B827,'Kitting Plan'!$B$6:$B$19,0)),"")</f>
        <v/>
      </c>
      <c r="I827" s="41" t="str">
        <f aca="false">IF(A827="","",IF(ISNUMBER(SEARCH("PRT",E827)),D827,0))</f>
        <v/>
      </c>
      <c r="J827" s="41" t="str">
        <f aca="false">IF(A827="","",IF(ISNUMBER(SEARCH("GMPS",E827)),D827,0))</f>
        <v/>
      </c>
      <c r="K827" s="41" t="str">
        <f aca="false">IF(A827="","",IF(ISNUMBER(SEARCH("DLV",E827)),D827,0))</f>
        <v/>
      </c>
      <c r="L827" s="41" t="str">
        <f aca="false">IF(A827="","",IF(K827&gt;0,"Delivered",IF(ISNUMBER(SEARCH("CNF",E827)),"In production",IF(J827&gt;0,"Issued",IF(I827&gt;0,"Kitted","Released")))))</f>
        <v/>
      </c>
      <c r="M827" s="41" t="str">
        <f aca="false">IF(G827&lt;&gt;"Yes","",COUNTIFS($B$6:$B$1505,B827,$F$6:$F$1505,"&lt;"&amp;F827)+COUNTIFS($B$6:$B$1505,B827,$F$6:$F$1505,F827,$A$6:$A$1505,"&lt;="&amp;A827))</f>
        <v/>
      </c>
      <c r="N827" s="41" t="str">
        <f aca="false">IF(M827="","",ROUNDUP(M827/H827,0))</f>
        <v/>
      </c>
      <c r="O827" s="41" t="str">
        <f aca="false">IF(N827="","",IF(N827&lt;='Kitting Plan'!$C$3,"Rep "&amp;N827,"Surplus"))</f>
        <v/>
      </c>
    </row>
    <row r="828" customFormat="false" ht="15" hidden="false" customHeight="false" outlineLevel="0" collapsed="false">
      <c r="A828" s="40" t="str">
        <f aca="false">IF(OR($A$4=0,INDEX('COOIS Raw'!$A:$GZ,ROW()-4,$A$4)=""),"",IFERROR(--INDEX('COOIS Raw'!$A:$GZ,ROW()-4,$A$4),INDEX('COOIS Raw'!$A:$GZ,ROW()-4,$A$4)))</f>
        <v/>
      </c>
      <c r="B828" s="41" t="str">
        <f aca="false">IF(A828="","",TRIM(INDEX('COOIS Raw'!$A:$GZ,ROW()-4,$B$4)))</f>
        <v/>
      </c>
      <c r="C828" s="42" t="str">
        <f aca="false">IF(OR(A828="",$C$4=0),"",INDEX('COOIS Raw'!$A:$GZ,ROW()-4,$C$4))</f>
        <v/>
      </c>
      <c r="D828" s="41" t="str">
        <f aca="false">IF(A828="","",IF($D$4=0,1,IFERROR(--INDEX('COOIS Raw'!$A:$GZ,ROW()-4,$D$4),1)))</f>
        <v/>
      </c>
      <c r="E828" s="42" t="str">
        <f aca="false">IF(A828="","",INDEX('COOIS Raw'!$A:$GZ,ROW()-4,$E$4)&amp;"")</f>
        <v/>
      </c>
      <c r="F828" s="43" t="str">
        <f aca="false">IF(A828="","",IFERROR(DATEVALUE(INDEX('COOIS Raw'!$A:$GZ,ROW()-4,$F$4)),INDEX('COOIS Raw'!$A:$GZ,ROW()-4,$F$4)))</f>
        <v/>
      </c>
      <c r="G828" s="41" t="str">
        <f aca="false">IF(A828="","",IF(ISNA(MATCH(B828,'Kitting Plan'!$B$6:$B$19,0)),"Not in plan","Yes"))</f>
        <v/>
      </c>
      <c r="H828" s="41" t="str">
        <f aca="false">IF(G828="Yes",INDEX('Kitting Plan'!$D$6:$D$19,MATCH(B828,'Kitting Plan'!$B$6:$B$19,0)),"")</f>
        <v/>
      </c>
      <c r="I828" s="41" t="str">
        <f aca="false">IF(A828="","",IF(ISNUMBER(SEARCH("PRT",E828)),D828,0))</f>
        <v/>
      </c>
      <c r="J828" s="41" t="str">
        <f aca="false">IF(A828="","",IF(ISNUMBER(SEARCH("GMPS",E828)),D828,0))</f>
        <v/>
      </c>
      <c r="K828" s="41" t="str">
        <f aca="false">IF(A828="","",IF(ISNUMBER(SEARCH("DLV",E828)),D828,0))</f>
        <v/>
      </c>
      <c r="L828" s="41" t="str">
        <f aca="false">IF(A828="","",IF(K828&gt;0,"Delivered",IF(ISNUMBER(SEARCH("CNF",E828)),"In production",IF(J828&gt;0,"Issued",IF(I828&gt;0,"Kitted","Released")))))</f>
        <v/>
      </c>
      <c r="M828" s="41" t="str">
        <f aca="false">IF(G828&lt;&gt;"Yes","",COUNTIFS($B$6:$B$1505,B828,$F$6:$F$1505,"&lt;"&amp;F828)+COUNTIFS($B$6:$B$1505,B828,$F$6:$F$1505,F828,$A$6:$A$1505,"&lt;="&amp;A828))</f>
        <v/>
      </c>
      <c r="N828" s="41" t="str">
        <f aca="false">IF(M828="","",ROUNDUP(M828/H828,0))</f>
        <v/>
      </c>
      <c r="O828" s="41" t="str">
        <f aca="false">IF(N828="","",IF(N828&lt;='Kitting Plan'!$C$3,"Rep "&amp;N828,"Surplus"))</f>
        <v/>
      </c>
    </row>
    <row r="829" customFormat="false" ht="15" hidden="false" customHeight="false" outlineLevel="0" collapsed="false">
      <c r="A829" s="40" t="str">
        <f aca="false">IF(OR($A$4=0,INDEX('COOIS Raw'!$A:$GZ,ROW()-4,$A$4)=""),"",IFERROR(--INDEX('COOIS Raw'!$A:$GZ,ROW()-4,$A$4),INDEX('COOIS Raw'!$A:$GZ,ROW()-4,$A$4)))</f>
        <v/>
      </c>
      <c r="B829" s="41" t="str">
        <f aca="false">IF(A829="","",TRIM(INDEX('COOIS Raw'!$A:$GZ,ROW()-4,$B$4)))</f>
        <v/>
      </c>
      <c r="C829" s="42" t="str">
        <f aca="false">IF(OR(A829="",$C$4=0),"",INDEX('COOIS Raw'!$A:$GZ,ROW()-4,$C$4))</f>
        <v/>
      </c>
      <c r="D829" s="41" t="str">
        <f aca="false">IF(A829="","",IF($D$4=0,1,IFERROR(--INDEX('COOIS Raw'!$A:$GZ,ROW()-4,$D$4),1)))</f>
        <v/>
      </c>
      <c r="E829" s="42" t="str">
        <f aca="false">IF(A829="","",INDEX('COOIS Raw'!$A:$GZ,ROW()-4,$E$4)&amp;"")</f>
        <v/>
      </c>
      <c r="F829" s="43" t="str">
        <f aca="false">IF(A829="","",IFERROR(DATEVALUE(INDEX('COOIS Raw'!$A:$GZ,ROW()-4,$F$4)),INDEX('COOIS Raw'!$A:$GZ,ROW()-4,$F$4)))</f>
        <v/>
      </c>
      <c r="G829" s="41" t="str">
        <f aca="false">IF(A829="","",IF(ISNA(MATCH(B829,'Kitting Plan'!$B$6:$B$19,0)),"Not in plan","Yes"))</f>
        <v/>
      </c>
      <c r="H829" s="41" t="str">
        <f aca="false">IF(G829="Yes",INDEX('Kitting Plan'!$D$6:$D$19,MATCH(B829,'Kitting Plan'!$B$6:$B$19,0)),"")</f>
        <v/>
      </c>
      <c r="I829" s="41" t="str">
        <f aca="false">IF(A829="","",IF(ISNUMBER(SEARCH("PRT",E829)),D829,0))</f>
        <v/>
      </c>
      <c r="J829" s="41" t="str">
        <f aca="false">IF(A829="","",IF(ISNUMBER(SEARCH("GMPS",E829)),D829,0))</f>
        <v/>
      </c>
      <c r="K829" s="41" t="str">
        <f aca="false">IF(A829="","",IF(ISNUMBER(SEARCH("DLV",E829)),D829,0))</f>
        <v/>
      </c>
      <c r="L829" s="41" t="str">
        <f aca="false">IF(A829="","",IF(K829&gt;0,"Delivered",IF(ISNUMBER(SEARCH("CNF",E829)),"In production",IF(J829&gt;0,"Issued",IF(I829&gt;0,"Kitted","Released")))))</f>
        <v/>
      </c>
      <c r="M829" s="41" t="str">
        <f aca="false">IF(G829&lt;&gt;"Yes","",COUNTIFS($B$6:$B$1505,B829,$F$6:$F$1505,"&lt;"&amp;F829)+COUNTIFS($B$6:$B$1505,B829,$F$6:$F$1505,F829,$A$6:$A$1505,"&lt;="&amp;A829))</f>
        <v/>
      </c>
      <c r="N829" s="41" t="str">
        <f aca="false">IF(M829="","",ROUNDUP(M829/H829,0))</f>
        <v/>
      </c>
      <c r="O829" s="41" t="str">
        <f aca="false">IF(N829="","",IF(N829&lt;='Kitting Plan'!$C$3,"Rep "&amp;N829,"Surplus"))</f>
        <v/>
      </c>
    </row>
    <row r="830" customFormat="false" ht="15" hidden="false" customHeight="false" outlineLevel="0" collapsed="false">
      <c r="A830" s="40" t="str">
        <f aca="false">IF(OR($A$4=0,INDEX('COOIS Raw'!$A:$GZ,ROW()-4,$A$4)=""),"",IFERROR(--INDEX('COOIS Raw'!$A:$GZ,ROW()-4,$A$4),INDEX('COOIS Raw'!$A:$GZ,ROW()-4,$A$4)))</f>
        <v/>
      </c>
      <c r="B830" s="41" t="str">
        <f aca="false">IF(A830="","",TRIM(INDEX('COOIS Raw'!$A:$GZ,ROW()-4,$B$4)))</f>
        <v/>
      </c>
      <c r="C830" s="42" t="str">
        <f aca="false">IF(OR(A830="",$C$4=0),"",INDEX('COOIS Raw'!$A:$GZ,ROW()-4,$C$4))</f>
        <v/>
      </c>
      <c r="D830" s="41" t="str">
        <f aca="false">IF(A830="","",IF($D$4=0,1,IFERROR(--INDEX('COOIS Raw'!$A:$GZ,ROW()-4,$D$4),1)))</f>
        <v/>
      </c>
      <c r="E830" s="42" t="str">
        <f aca="false">IF(A830="","",INDEX('COOIS Raw'!$A:$GZ,ROW()-4,$E$4)&amp;"")</f>
        <v/>
      </c>
      <c r="F830" s="43" t="str">
        <f aca="false">IF(A830="","",IFERROR(DATEVALUE(INDEX('COOIS Raw'!$A:$GZ,ROW()-4,$F$4)),INDEX('COOIS Raw'!$A:$GZ,ROW()-4,$F$4)))</f>
        <v/>
      </c>
      <c r="G830" s="41" t="str">
        <f aca="false">IF(A830="","",IF(ISNA(MATCH(B830,'Kitting Plan'!$B$6:$B$19,0)),"Not in plan","Yes"))</f>
        <v/>
      </c>
      <c r="H830" s="41" t="str">
        <f aca="false">IF(G830="Yes",INDEX('Kitting Plan'!$D$6:$D$19,MATCH(B830,'Kitting Plan'!$B$6:$B$19,0)),"")</f>
        <v/>
      </c>
      <c r="I830" s="41" t="str">
        <f aca="false">IF(A830="","",IF(ISNUMBER(SEARCH("PRT",E830)),D830,0))</f>
        <v/>
      </c>
      <c r="J830" s="41" t="str">
        <f aca="false">IF(A830="","",IF(ISNUMBER(SEARCH("GMPS",E830)),D830,0))</f>
        <v/>
      </c>
      <c r="K830" s="41" t="str">
        <f aca="false">IF(A830="","",IF(ISNUMBER(SEARCH("DLV",E830)),D830,0))</f>
        <v/>
      </c>
      <c r="L830" s="41" t="str">
        <f aca="false">IF(A830="","",IF(K830&gt;0,"Delivered",IF(ISNUMBER(SEARCH("CNF",E830)),"In production",IF(J830&gt;0,"Issued",IF(I830&gt;0,"Kitted","Released")))))</f>
        <v/>
      </c>
      <c r="M830" s="41" t="str">
        <f aca="false">IF(G830&lt;&gt;"Yes","",COUNTIFS($B$6:$B$1505,B830,$F$6:$F$1505,"&lt;"&amp;F830)+COUNTIFS($B$6:$B$1505,B830,$F$6:$F$1505,F830,$A$6:$A$1505,"&lt;="&amp;A830))</f>
        <v/>
      </c>
      <c r="N830" s="41" t="str">
        <f aca="false">IF(M830="","",ROUNDUP(M830/H830,0))</f>
        <v/>
      </c>
      <c r="O830" s="41" t="str">
        <f aca="false">IF(N830="","",IF(N830&lt;='Kitting Plan'!$C$3,"Rep "&amp;N830,"Surplus"))</f>
        <v/>
      </c>
    </row>
    <row r="831" customFormat="false" ht="15" hidden="false" customHeight="false" outlineLevel="0" collapsed="false">
      <c r="A831" s="40" t="str">
        <f aca="false">IF(OR($A$4=0,INDEX('COOIS Raw'!$A:$GZ,ROW()-4,$A$4)=""),"",IFERROR(--INDEX('COOIS Raw'!$A:$GZ,ROW()-4,$A$4),INDEX('COOIS Raw'!$A:$GZ,ROW()-4,$A$4)))</f>
        <v/>
      </c>
      <c r="B831" s="41" t="str">
        <f aca="false">IF(A831="","",TRIM(INDEX('COOIS Raw'!$A:$GZ,ROW()-4,$B$4)))</f>
        <v/>
      </c>
      <c r="C831" s="42" t="str">
        <f aca="false">IF(OR(A831="",$C$4=0),"",INDEX('COOIS Raw'!$A:$GZ,ROW()-4,$C$4))</f>
        <v/>
      </c>
      <c r="D831" s="41" t="str">
        <f aca="false">IF(A831="","",IF($D$4=0,1,IFERROR(--INDEX('COOIS Raw'!$A:$GZ,ROW()-4,$D$4),1)))</f>
        <v/>
      </c>
      <c r="E831" s="42" t="str">
        <f aca="false">IF(A831="","",INDEX('COOIS Raw'!$A:$GZ,ROW()-4,$E$4)&amp;"")</f>
        <v/>
      </c>
      <c r="F831" s="43" t="str">
        <f aca="false">IF(A831="","",IFERROR(DATEVALUE(INDEX('COOIS Raw'!$A:$GZ,ROW()-4,$F$4)),INDEX('COOIS Raw'!$A:$GZ,ROW()-4,$F$4)))</f>
        <v/>
      </c>
      <c r="G831" s="41" t="str">
        <f aca="false">IF(A831="","",IF(ISNA(MATCH(B831,'Kitting Plan'!$B$6:$B$19,0)),"Not in plan","Yes"))</f>
        <v/>
      </c>
      <c r="H831" s="41" t="str">
        <f aca="false">IF(G831="Yes",INDEX('Kitting Plan'!$D$6:$D$19,MATCH(B831,'Kitting Plan'!$B$6:$B$19,0)),"")</f>
        <v/>
      </c>
      <c r="I831" s="41" t="str">
        <f aca="false">IF(A831="","",IF(ISNUMBER(SEARCH("PRT",E831)),D831,0))</f>
        <v/>
      </c>
      <c r="J831" s="41" t="str">
        <f aca="false">IF(A831="","",IF(ISNUMBER(SEARCH("GMPS",E831)),D831,0))</f>
        <v/>
      </c>
      <c r="K831" s="41" t="str">
        <f aca="false">IF(A831="","",IF(ISNUMBER(SEARCH("DLV",E831)),D831,0))</f>
        <v/>
      </c>
      <c r="L831" s="41" t="str">
        <f aca="false">IF(A831="","",IF(K831&gt;0,"Delivered",IF(ISNUMBER(SEARCH("CNF",E831)),"In production",IF(J831&gt;0,"Issued",IF(I831&gt;0,"Kitted","Released")))))</f>
        <v/>
      </c>
      <c r="M831" s="41" t="str">
        <f aca="false">IF(G831&lt;&gt;"Yes","",COUNTIFS($B$6:$B$1505,B831,$F$6:$F$1505,"&lt;"&amp;F831)+COUNTIFS($B$6:$B$1505,B831,$F$6:$F$1505,F831,$A$6:$A$1505,"&lt;="&amp;A831))</f>
        <v/>
      </c>
      <c r="N831" s="41" t="str">
        <f aca="false">IF(M831="","",ROUNDUP(M831/H831,0))</f>
        <v/>
      </c>
      <c r="O831" s="41" t="str">
        <f aca="false">IF(N831="","",IF(N831&lt;='Kitting Plan'!$C$3,"Rep "&amp;N831,"Surplus"))</f>
        <v/>
      </c>
    </row>
    <row r="832" customFormat="false" ht="15" hidden="false" customHeight="false" outlineLevel="0" collapsed="false">
      <c r="A832" s="40" t="str">
        <f aca="false">IF(OR($A$4=0,INDEX('COOIS Raw'!$A:$GZ,ROW()-4,$A$4)=""),"",IFERROR(--INDEX('COOIS Raw'!$A:$GZ,ROW()-4,$A$4),INDEX('COOIS Raw'!$A:$GZ,ROW()-4,$A$4)))</f>
        <v/>
      </c>
      <c r="B832" s="41" t="str">
        <f aca="false">IF(A832="","",TRIM(INDEX('COOIS Raw'!$A:$GZ,ROW()-4,$B$4)))</f>
        <v/>
      </c>
      <c r="C832" s="42" t="str">
        <f aca="false">IF(OR(A832="",$C$4=0),"",INDEX('COOIS Raw'!$A:$GZ,ROW()-4,$C$4))</f>
        <v/>
      </c>
      <c r="D832" s="41" t="str">
        <f aca="false">IF(A832="","",IF($D$4=0,1,IFERROR(--INDEX('COOIS Raw'!$A:$GZ,ROW()-4,$D$4),1)))</f>
        <v/>
      </c>
      <c r="E832" s="42" t="str">
        <f aca="false">IF(A832="","",INDEX('COOIS Raw'!$A:$GZ,ROW()-4,$E$4)&amp;"")</f>
        <v/>
      </c>
      <c r="F832" s="43" t="str">
        <f aca="false">IF(A832="","",IFERROR(DATEVALUE(INDEX('COOIS Raw'!$A:$GZ,ROW()-4,$F$4)),INDEX('COOIS Raw'!$A:$GZ,ROW()-4,$F$4)))</f>
        <v/>
      </c>
      <c r="G832" s="41" t="str">
        <f aca="false">IF(A832="","",IF(ISNA(MATCH(B832,'Kitting Plan'!$B$6:$B$19,0)),"Not in plan","Yes"))</f>
        <v/>
      </c>
      <c r="H832" s="41" t="str">
        <f aca="false">IF(G832="Yes",INDEX('Kitting Plan'!$D$6:$D$19,MATCH(B832,'Kitting Plan'!$B$6:$B$19,0)),"")</f>
        <v/>
      </c>
      <c r="I832" s="41" t="str">
        <f aca="false">IF(A832="","",IF(ISNUMBER(SEARCH("PRT",E832)),D832,0))</f>
        <v/>
      </c>
      <c r="J832" s="41" t="str">
        <f aca="false">IF(A832="","",IF(ISNUMBER(SEARCH("GMPS",E832)),D832,0))</f>
        <v/>
      </c>
      <c r="K832" s="41" t="str">
        <f aca="false">IF(A832="","",IF(ISNUMBER(SEARCH("DLV",E832)),D832,0))</f>
        <v/>
      </c>
      <c r="L832" s="41" t="str">
        <f aca="false">IF(A832="","",IF(K832&gt;0,"Delivered",IF(ISNUMBER(SEARCH("CNF",E832)),"In production",IF(J832&gt;0,"Issued",IF(I832&gt;0,"Kitted","Released")))))</f>
        <v/>
      </c>
      <c r="M832" s="41" t="str">
        <f aca="false">IF(G832&lt;&gt;"Yes","",COUNTIFS($B$6:$B$1505,B832,$F$6:$F$1505,"&lt;"&amp;F832)+COUNTIFS($B$6:$B$1505,B832,$F$6:$F$1505,F832,$A$6:$A$1505,"&lt;="&amp;A832))</f>
        <v/>
      </c>
      <c r="N832" s="41" t="str">
        <f aca="false">IF(M832="","",ROUNDUP(M832/H832,0))</f>
        <v/>
      </c>
      <c r="O832" s="41" t="str">
        <f aca="false">IF(N832="","",IF(N832&lt;='Kitting Plan'!$C$3,"Rep "&amp;N832,"Surplus"))</f>
        <v/>
      </c>
    </row>
    <row r="833" customFormat="false" ht="15" hidden="false" customHeight="false" outlineLevel="0" collapsed="false">
      <c r="A833" s="40" t="str">
        <f aca="false">IF(OR($A$4=0,INDEX('COOIS Raw'!$A:$GZ,ROW()-4,$A$4)=""),"",IFERROR(--INDEX('COOIS Raw'!$A:$GZ,ROW()-4,$A$4),INDEX('COOIS Raw'!$A:$GZ,ROW()-4,$A$4)))</f>
        <v/>
      </c>
      <c r="B833" s="41" t="str">
        <f aca="false">IF(A833="","",TRIM(INDEX('COOIS Raw'!$A:$GZ,ROW()-4,$B$4)))</f>
        <v/>
      </c>
      <c r="C833" s="42" t="str">
        <f aca="false">IF(OR(A833="",$C$4=0),"",INDEX('COOIS Raw'!$A:$GZ,ROW()-4,$C$4))</f>
        <v/>
      </c>
      <c r="D833" s="41" t="str">
        <f aca="false">IF(A833="","",IF($D$4=0,1,IFERROR(--INDEX('COOIS Raw'!$A:$GZ,ROW()-4,$D$4),1)))</f>
        <v/>
      </c>
      <c r="E833" s="42" t="str">
        <f aca="false">IF(A833="","",INDEX('COOIS Raw'!$A:$GZ,ROW()-4,$E$4)&amp;"")</f>
        <v/>
      </c>
      <c r="F833" s="43" t="str">
        <f aca="false">IF(A833="","",IFERROR(DATEVALUE(INDEX('COOIS Raw'!$A:$GZ,ROW()-4,$F$4)),INDEX('COOIS Raw'!$A:$GZ,ROW()-4,$F$4)))</f>
        <v/>
      </c>
      <c r="G833" s="41" t="str">
        <f aca="false">IF(A833="","",IF(ISNA(MATCH(B833,'Kitting Plan'!$B$6:$B$19,0)),"Not in plan","Yes"))</f>
        <v/>
      </c>
      <c r="H833" s="41" t="str">
        <f aca="false">IF(G833="Yes",INDEX('Kitting Plan'!$D$6:$D$19,MATCH(B833,'Kitting Plan'!$B$6:$B$19,0)),"")</f>
        <v/>
      </c>
      <c r="I833" s="41" t="str">
        <f aca="false">IF(A833="","",IF(ISNUMBER(SEARCH("PRT",E833)),D833,0))</f>
        <v/>
      </c>
      <c r="J833" s="41" t="str">
        <f aca="false">IF(A833="","",IF(ISNUMBER(SEARCH("GMPS",E833)),D833,0))</f>
        <v/>
      </c>
      <c r="K833" s="41" t="str">
        <f aca="false">IF(A833="","",IF(ISNUMBER(SEARCH("DLV",E833)),D833,0))</f>
        <v/>
      </c>
      <c r="L833" s="41" t="str">
        <f aca="false">IF(A833="","",IF(K833&gt;0,"Delivered",IF(ISNUMBER(SEARCH("CNF",E833)),"In production",IF(J833&gt;0,"Issued",IF(I833&gt;0,"Kitted","Released")))))</f>
        <v/>
      </c>
      <c r="M833" s="41" t="str">
        <f aca="false">IF(G833&lt;&gt;"Yes","",COUNTIFS($B$6:$B$1505,B833,$F$6:$F$1505,"&lt;"&amp;F833)+COUNTIFS($B$6:$B$1505,B833,$F$6:$F$1505,F833,$A$6:$A$1505,"&lt;="&amp;A833))</f>
        <v/>
      </c>
      <c r="N833" s="41" t="str">
        <f aca="false">IF(M833="","",ROUNDUP(M833/H833,0))</f>
        <v/>
      </c>
      <c r="O833" s="41" t="str">
        <f aca="false">IF(N833="","",IF(N833&lt;='Kitting Plan'!$C$3,"Rep "&amp;N833,"Surplus"))</f>
        <v/>
      </c>
    </row>
    <row r="834" customFormat="false" ht="15" hidden="false" customHeight="false" outlineLevel="0" collapsed="false">
      <c r="A834" s="40" t="str">
        <f aca="false">IF(OR($A$4=0,INDEX('COOIS Raw'!$A:$GZ,ROW()-4,$A$4)=""),"",IFERROR(--INDEX('COOIS Raw'!$A:$GZ,ROW()-4,$A$4),INDEX('COOIS Raw'!$A:$GZ,ROW()-4,$A$4)))</f>
        <v/>
      </c>
      <c r="B834" s="41" t="str">
        <f aca="false">IF(A834="","",TRIM(INDEX('COOIS Raw'!$A:$GZ,ROW()-4,$B$4)))</f>
        <v/>
      </c>
      <c r="C834" s="42" t="str">
        <f aca="false">IF(OR(A834="",$C$4=0),"",INDEX('COOIS Raw'!$A:$GZ,ROW()-4,$C$4))</f>
        <v/>
      </c>
      <c r="D834" s="41" t="str">
        <f aca="false">IF(A834="","",IF($D$4=0,1,IFERROR(--INDEX('COOIS Raw'!$A:$GZ,ROW()-4,$D$4),1)))</f>
        <v/>
      </c>
      <c r="E834" s="42" t="str">
        <f aca="false">IF(A834="","",INDEX('COOIS Raw'!$A:$GZ,ROW()-4,$E$4)&amp;"")</f>
        <v/>
      </c>
      <c r="F834" s="43" t="str">
        <f aca="false">IF(A834="","",IFERROR(DATEVALUE(INDEX('COOIS Raw'!$A:$GZ,ROW()-4,$F$4)),INDEX('COOIS Raw'!$A:$GZ,ROW()-4,$F$4)))</f>
        <v/>
      </c>
      <c r="G834" s="41" t="str">
        <f aca="false">IF(A834="","",IF(ISNA(MATCH(B834,'Kitting Plan'!$B$6:$B$19,0)),"Not in plan","Yes"))</f>
        <v/>
      </c>
      <c r="H834" s="41" t="str">
        <f aca="false">IF(G834="Yes",INDEX('Kitting Plan'!$D$6:$D$19,MATCH(B834,'Kitting Plan'!$B$6:$B$19,0)),"")</f>
        <v/>
      </c>
      <c r="I834" s="41" t="str">
        <f aca="false">IF(A834="","",IF(ISNUMBER(SEARCH("PRT",E834)),D834,0))</f>
        <v/>
      </c>
      <c r="J834" s="41" t="str">
        <f aca="false">IF(A834="","",IF(ISNUMBER(SEARCH("GMPS",E834)),D834,0))</f>
        <v/>
      </c>
      <c r="K834" s="41" t="str">
        <f aca="false">IF(A834="","",IF(ISNUMBER(SEARCH("DLV",E834)),D834,0))</f>
        <v/>
      </c>
      <c r="L834" s="41" t="str">
        <f aca="false">IF(A834="","",IF(K834&gt;0,"Delivered",IF(ISNUMBER(SEARCH("CNF",E834)),"In production",IF(J834&gt;0,"Issued",IF(I834&gt;0,"Kitted","Released")))))</f>
        <v/>
      </c>
      <c r="M834" s="41" t="str">
        <f aca="false">IF(G834&lt;&gt;"Yes","",COUNTIFS($B$6:$B$1505,B834,$F$6:$F$1505,"&lt;"&amp;F834)+COUNTIFS($B$6:$B$1505,B834,$F$6:$F$1505,F834,$A$6:$A$1505,"&lt;="&amp;A834))</f>
        <v/>
      </c>
      <c r="N834" s="41" t="str">
        <f aca="false">IF(M834="","",ROUNDUP(M834/H834,0))</f>
        <v/>
      </c>
      <c r="O834" s="41" t="str">
        <f aca="false">IF(N834="","",IF(N834&lt;='Kitting Plan'!$C$3,"Rep "&amp;N834,"Surplus"))</f>
        <v/>
      </c>
    </row>
    <row r="835" customFormat="false" ht="15" hidden="false" customHeight="false" outlineLevel="0" collapsed="false">
      <c r="A835" s="40" t="str">
        <f aca="false">IF(OR($A$4=0,INDEX('COOIS Raw'!$A:$GZ,ROW()-4,$A$4)=""),"",IFERROR(--INDEX('COOIS Raw'!$A:$GZ,ROW()-4,$A$4),INDEX('COOIS Raw'!$A:$GZ,ROW()-4,$A$4)))</f>
        <v/>
      </c>
      <c r="B835" s="41" t="str">
        <f aca="false">IF(A835="","",TRIM(INDEX('COOIS Raw'!$A:$GZ,ROW()-4,$B$4)))</f>
        <v/>
      </c>
      <c r="C835" s="42" t="str">
        <f aca="false">IF(OR(A835="",$C$4=0),"",INDEX('COOIS Raw'!$A:$GZ,ROW()-4,$C$4))</f>
        <v/>
      </c>
      <c r="D835" s="41" t="str">
        <f aca="false">IF(A835="","",IF($D$4=0,1,IFERROR(--INDEX('COOIS Raw'!$A:$GZ,ROW()-4,$D$4),1)))</f>
        <v/>
      </c>
      <c r="E835" s="42" t="str">
        <f aca="false">IF(A835="","",INDEX('COOIS Raw'!$A:$GZ,ROW()-4,$E$4)&amp;"")</f>
        <v/>
      </c>
      <c r="F835" s="43" t="str">
        <f aca="false">IF(A835="","",IFERROR(DATEVALUE(INDEX('COOIS Raw'!$A:$GZ,ROW()-4,$F$4)),INDEX('COOIS Raw'!$A:$GZ,ROW()-4,$F$4)))</f>
        <v/>
      </c>
      <c r="G835" s="41" t="str">
        <f aca="false">IF(A835="","",IF(ISNA(MATCH(B835,'Kitting Plan'!$B$6:$B$19,0)),"Not in plan","Yes"))</f>
        <v/>
      </c>
      <c r="H835" s="41" t="str">
        <f aca="false">IF(G835="Yes",INDEX('Kitting Plan'!$D$6:$D$19,MATCH(B835,'Kitting Plan'!$B$6:$B$19,0)),"")</f>
        <v/>
      </c>
      <c r="I835" s="41" t="str">
        <f aca="false">IF(A835="","",IF(ISNUMBER(SEARCH("PRT",E835)),D835,0))</f>
        <v/>
      </c>
      <c r="J835" s="41" t="str">
        <f aca="false">IF(A835="","",IF(ISNUMBER(SEARCH("GMPS",E835)),D835,0))</f>
        <v/>
      </c>
      <c r="K835" s="41" t="str">
        <f aca="false">IF(A835="","",IF(ISNUMBER(SEARCH("DLV",E835)),D835,0))</f>
        <v/>
      </c>
      <c r="L835" s="41" t="str">
        <f aca="false">IF(A835="","",IF(K835&gt;0,"Delivered",IF(ISNUMBER(SEARCH("CNF",E835)),"In production",IF(J835&gt;0,"Issued",IF(I835&gt;0,"Kitted","Released")))))</f>
        <v/>
      </c>
      <c r="M835" s="41" t="str">
        <f aca="false">IF(G835&lt;&gt;"Yes","",COUNTIFS($B$6:$B$1505,B835,$F$6:$F$1505,"&lt;"&amp;F835)+COUNTIFS($B$6:$B$1505,B835,$F$6:$F$1505,F835,$A$6:$A$1505,"&lt;="&amp;A835))</f>
        <v/>
      </c>
      <c r="N835" s="41" t="str">
        <f aca="false">IF(M835="","",ROUNDUP(M835/H835,0))</f>
        <v/>
      </c>
      <c r="O835" s="41" t="str">
        <f aca="false">IF(N835="","",IF(N835&lt;='Kitting Plan'!$C$3,"Rep "&amp;N835,"Surplus"))</f>
        <v/>
      </c>
    </row>
    <row r="836" customFormat="false" ht="15" hidden="false" customHeight="false" outlineLevel="0" collapsed="false">
      <c r="A836" s="40" t="str">
        <f aca="false">IF(OR($A$4=0,INDEX('COOIS Raw'!$A:$GZ,ROW()-4,$A$4)=""),"",IFERROR(--INDEX('COOIS Raw'!$A:$GZ,ROW()-4,$A$4),INDEX('COOIS Raw'!$A:$GZ,ROW()-4,$A$4)))</f>
        <v/>
      </c>
      <c r="B836" s="41" t="str">
        <f aca="false">IF(A836="","",TRIM(INDEX('COOIS Raw'!$A:$GZ,ROW()-4,$B$4)))</f>
        <v/>
      </c>
      <c r="C836" s="42" t="str">
        <f aca="false">IF(OR(A836="",$C$4=0),"",INDEX('COOIS Raw'!$A:$GZ,ROW()-4,$C$4))</f>
        <v/>
      </c>
      <c r="D836" s="41" t="str">
        <f aca="false">IF(A836="","",IF($D$4=0,1,IFERROR(--INDEX('COOIS Raw'!$A:$GZ,ROW()-4,$D$4),1)))</f>
        <v/>
      </c>
      <c r="E836" s="42" t="str">
        <f aca="false">IF(A836="","",INDEX('COOIS Raw'!$A:$GZ,ROW()-4,$E$4)&amp;"")</f>
        <v/>
      </c>
      <c r="F836" s="43" t="str">
        <f aca="false">IF(A836="","",IFERROR(DATEVALUE(INDEX('COOIS Raw'!$A:$GZ,ROW()-4,$F$4)),INDEX('COOIS Raw'!$A:$GZ,ROW()-4,$F$4)))</f>
        <v/>
      </c>
      <c r="G836" s="41" t="str">
        <f aca="false">IF(A836="","",IF(ISNA(MATCH(B836,'Kitting Plan'!$B$6:$B$19,0)),"Not in plan","Yes"))</f>
        <v/>
      </c>
      <c r="H836" s="41" t="str">
        <f aca="false">IF(G836="Yes",INDEX('Kitting Plan'!$D$6:$D$19,MATCH(B836,'Kitting Plan'!$B$6:$B$19,0)),"")</f>
        <v/>
      </c>
      <c r="I836" s="41" t="str">
        <f aca="false">IF(A836="","",IF(ISNUMBER(SEARCH("PRT",E836)),D836,0))</f>
        <v/>
      </c>
      <c r="J836" s="41" t="str">
        <f aca="false">IF(A836="","",IF(ISNUMBER(SEARCH("GMPS",E836)),D836,0))</f>
        <v/>
      </c>
      <c r="K836" s="41" t="str">
        <f aca="false">IF(A836="","",IF(ISNUMBER(SEARCH("DLV",E836)),D836,0))</f>
        <v/>
      </c>
      <c r="L836" s="41" t="str">
        <f aca="false">IF(A836="","",IF(K836&gt;0,"Delivered",IF(ISNUMBER(SEARCH("CNF",E836)),"In production",IF(J836&gt;0,"Issued",IF(I836&gt;0,"Kitted","Released")))))</f>
        <v/>
      </c>
      <c r="M836" s="41" t="str">
        <f aca="false">IF(G836&lt;&gt;"Yes","",COUNTIFS($B$6:$B$1505,B836,$F$6:$F$1505,"&lt;"&amp;F836)+COUNTIFS($B$6:$B$1505,B836,$F$6:$F$1505,F836,$A$6:$A$1505,"&lt;="&amp;A836))</f>
        <v/>
      </c>
      <c r="N836" s="41" t="str">
        <f aca="false">IF(M836="","",ROUNDUP(M836/H836,0))</f>
        <v/>
      </c>
      <c r="O836" s="41" t="str">
        <f aca="false">IF(N836="","",IF(N836&lt;='Kitting Plan'!$C$3,"Rep "&amp;N836,"Surplus"))</f>
        <v/>
      </c>
    </row>
    <row r="837" customFormat="false" ht="15" hidden="false" customHeight="false" outlineLevel="0" collapsed="false">
      <c r="A837" s="40" t="str">
        <f aca="false">IF(OR($A$4=0,INDEX('COOIS Raw'!$A:$GZ,ROW()-4,$A$4)=""),"",IFERROR(--INDEX('COOIS Raw'!$A:$GZ,ROW()-4,$A$4),INDEX('COOIS Raw'!$A:$GZ,ROW()-4,$A$4)))</f>
        <v/>
      </c>
      <c r="B837" s="41" t="str">
        <f aca="false">IF(A837="","",TRIM(INDEX('COOIS Raw'!$A:$GZ,ROW()-4,$B$4)))</f>
        <v/>
      </c>
      <c r="C837" s="42" t="str">
        <f aca="false">IF(OR(A837="",$C$4=0),"",INDEX('COOIS Raw'!$A:$GZ,ROW()-4,$C$4))</f>
        <v/>
      </c>
      <c r="D837" s="41" t="str">
        <f aca="false">IF(A837="","",IF($D$4=0,1,IFERROR(--INDEX('COOIS Raw'!$A:$GZ,ROW()-4,$D$4),1)))</f>
        <v/>
      </c>
      <c r="E837" s="42" t="str">
        <f aca="false">IF(A837="","",INDEX('COOIS Raw'!$A:$GZ,ROW()-4,$E$4)&amp;"")</f>
        <v/>
      </c>
      <c r="F837" s="43" t="str">
        <f aca="false">IF(A837="","",IFERROR(DATEVALUE(INDEX('COOIS Raw'!$A:$GZ,ROW()-4,$F$4)),INDEX('COOIS Raw'!$A:$GZ,ROW()-4,$F$4)))</f>
        <v/>
      </c>
      <c r="G837" s="41" t="str">
        <f aca="false">IF(A837="","",IF(ISNA(MATCH(B837,'Kitting Plan'!$B$6:$B$19,0)),"Not in plan","Yes"))</f>
        <v/>
      </c>
      <c r="H837" s="41" t="str">
        <f aca="false">IF(G837="Yes",INDEX('Kitting Plan'!$D$6:$D$19,MATCH(B837,'Kitting Plan'!$B$6:$B$19,0)),"")</f>
        <v/>
      </c>
      <c r="I837" s="41" t="str">
        <f aca="false">IF(A837="","",IF(ISNUMBER(SEARCH("PRT",E837)),D837,0))</f>
        <v/>
      </c>
      <c r="J837" s="41" t="str">
        <f aca="false">IF(A837="","",IF(ISNUMBER(SEARCH("GMPS",E837)),D837,0))</f>
        <v/>
      </c>
      <c r="K837" s="41" t="str">
        <f aca="false">IF(A837="","",IF(ISNUMBER(SEARCH("DLV",E837)),D837,0))</f>
        <v/>
      </c>
      <c r="L837" s="41" t="str">
        <f aca="false">IF(A837="","",IF(K837&gt;0,"Delivered",IF(ISNUMBER(SEARCH("CNF",E837)),"In production",IF(J837&gt;0,"Issued",IF(I837&gt;0,"Kitted","Released")))))</f>
        <v/>
      </c>
      <c r="M837" s="41" t="str">
        <f aca="false">IF(G837&lt;&gt;"Yes","",COUNTIFS($B$6:$B$1505,B837,$F$6:$F$1505,"&lt;"&amp;F837)+COUNTIFS($B$6:$B$1505,B837,$F$6:$F$1505,F837,$A$6:$A$1505,"&lt;="&amp;A837))</f>
        <v/>
      </c>
      <c r="N837" s="41" t="str">
        <f aca="false">IF(M837="","",ROUNDUP(M837/H837,0))</f>
        <v/>
      </c>
      <c r="O837" s="41" t="str">
        <f aca="false">IF(N837="","",IF(N837&lt;='Kitting Plan'!$C$3,"Rep "&amp;N837,"Surplus"))</f>
        <v/>
      </c>
    </row>
    <row r="838" customFormat="false" ht="15" hidden="false" customHeight="false" outlineLevel="0" collapsed="false">
      <c r="A838" s="40" t="str">
        <f aca="false">IF(OR($A$4=0,INDEX('COOIS Raw'!$A:$GZ,ROW()-4,$A$4)=""),"",IFERROR(--INDEX('COOIS Raw'!$A:$GZ,ROW()-4,$A$4),INDEX('COOIS Raw'!$A:$GZ,ROW()-4,$A$4)))</f>
        <v/>
      </c>
      <c r="B838" s="41" t="str">
        <f aca="false">IF(A838="","",TRIM(INDEX('COOIS Raw'!$A:$GZ,ROW()-4,$B$4)))</f>
        <v/>
      </c>
      <c r="C838" s="42" t="str">
        <f aca="false">IF(OR(A838="",$C$4=0),"",INDEX('COOIS Raw'!$A:$GZ,ROW()-4,$C$4))</f>
        <v/>
      </c>
      <c r="D838" s="41" t="str">
        <f aca="false">IF(A838="","",IF($D$4=0,1,IFERROR(--INDEX('COOIS Raw'!$A:$GZ,ROW()-4,$D$4),1)))</f>
        <v/>
      </c>
      <c r="E838" s="42" t="str">
        <f aca="false">IF(A838="","",INDEX('COOIS Raw'!$A:$GZ,ROW()-4,$E$4)&amp;"")</f>
        <v/>
      </c>
      <c r="F838" s="43" t="str">
        <f aca="false">IF(A838="","",IFERROR(DATEVALUE(INDEX('COOIS Raw'!$A:$GZ,ROW()-4,$F$4)),INDEX('COOIS Raw'!$A:$GZ,ROW()-4,$F$4)))</f>
        <v/>
      </c>
      <c r="G838" s="41" t="str">
        <f aca="false">IF(A838="","",IF(ISNA(MATCH(B838,'Kitting Plan'!$B$6:$B$19,0)),"Not in plan","Yes"))</f>
        <v/>
      </c>
      <c r="H838" s="41" t="str">
        <f aca="false">IF(G838="Yes",INDEX('Kitting Plan'!$D$6:$D$19,MATCH(B838,'Kitting Plan'!$B$6:$B$19,0)),"")</f>
        <v/>
      </c>
      <c r="I838" s="41" t="str">
        <f aca="false">IF(A838="","",IF(ISNUMBER(SEARCH("PRT",E838)),D838,0))</f>
        <v/>
      </c>
      <c r="J838" s="41" t="str">
        <f aca="false">IF(A838="","",IF(ISNUMBER(SEARCH("GMPS",E838)),D838,0))</f>
        <v/>
      </c>
      <c r="K838" s="41" t="str">
        <f aca="false">IF(A838="","",IF(ISNUMBER(SEARCH("DLV",E838)),D838,0))</f>
        <v/>
      </c>
      <c r="L838" s="41" t="str">
        <f aca="false">IF(A838="","",IF(K838&gt;0,"Delivered",IF(ISNUMBER(SEARCH("CNF",E838)),"In production",IF(J838&gt;0,"Issued",IF(I838&gt;0,"Kitted","Released")))))</f>
        <v/>
      </c>
      <c r="M838" s="41" t="str">
        <f aca="false">IF(G838&lt;&gt;"Yes","",COUNTIFS($B$6:$B$1505,B838,$F$6:$F$1505,"&lt;"&amp;F838)+COUNTIFS($B$6:$B$1505,B838,$F$6:$F$1505,F838,$A$6:$A$1505,"&lt;="&amp;A838))</f>
        <v/>
      </c>
      <c r="N838" s="41" t="str">
        <f aca="false">IF(M838="","",ROUNDUP(M838/H838,0))</f>
        <v/>
      </c>
      <c r="O838" s="41" t="str">
        <f aca="false">IF(N838="","",IF(N838&lt;='Kitting Plan'!$C$3,"Rep "&amp;N838,"Surplus"))</f>
        <v/>
      </c>
    </row>
    <row r="839" customFormat="false" ht="15" hidden="false" customHeight="false" outlineLevel="0" collapsed="false">
      <c r="A839" s="40" t="str">
        <f aca="false">IF(OR($A$4=0,INDEX('COOIS Raw'!$A:$GZ,ROW()-4,$A$4)=""),"",IFERROR(--INDEX('COOIS Raw'!$A:$GZ,ROW()-4,$A$4),INDEX('COOIS Raw'!$A:$GZ,ROW()-4,$A$4)))</f>
        <v/>
      </c>
      <c r="B839" s="41" t="str">
        <f aca="false">IF(A839="","",TRIM(INDEX('COOIS Raw'!$A:$GZ,ROW()-4,$B$4)))</f>
        <v/>
      </c>
      <c r="C839" s="42" t="str">
        <f aca="false">IF(OR(A839="",$C$4=0),"",INDEX('COOIS Raw'!$A:$GZ,ROW()-4,$C$4))</f>
        <v/>
      </c>
      <c r="D839" s="41" t="str">
        <f aca="false">IF(A839="","",IF($D$4=0,1,IFERROR(--INDEX('COOIS Raw'!$A:$GZ,ROW()-4,$D$4),1)))</f>
        <v/>
      </c>
      <c r="E839" s="42" t="str">
        <f aca="false">IF(A839="","",INDEX('COOIS Raw'!$A:$GZ,ROW()-4,$E$4)&amp;"")</f>
        <v/>
      </c>
      <c r="F839" s="43" t="str">
        <f aca="false">IF(A839="","",IFERROR(DATEVALUE(INDEX('COOIS Raw'!$A:$GZ,ROW()-4,$F$4)),INDEX('COOIS Raw'!$A:$GZ,ROW()-4,$F$4)))</f>
        <v/>
      </c>
      <c r="G839" s="41" t="str">
        <f aca="false">IF(A839="","",IF(ISNA(MATCH(B839,'Kitting Plan'!$B$6:$B$19,0)),"Not in plan","Yes"))</f>
        <v/>
      </c>
      <c r="H839" s="41" t="str">
        <f aca="false">IF(G839="Yes",INDEX('Kitting Plan'!$D$6:$D$19,MATCH(B839,'Kitting Plan'!$B$6:$B$19,0)),"")</f>
        <v/>
      </c>
      <c r="I839" s="41" t="str">
        <f aca="false">IF(A839="","",IF(ISNUMBER(SEARCH("PRT",E839)),D839,0))</f>
        <v/>
      </c>
      <c r="J839" s="41" t="str">
        <f aca="false">IF(A839="","",IF(ISNUMBER(SEARCH("GMPS",E839)),D839,0))</f>
        <v/>
      </c>
      <c r="K839" s="41" t="str">
        <f aca="false">IF(A839="","",IF(ISNUMBER(SEARCH("DLV",E839)),D839,0))</f>
        <v/>
      </c>
      <c r="L839" s="41" t="str">
        <f aca="false">IF(A839="","",IF(K839&gt;0,"Delivered",IF(ISNUMBER(SEARCH("CNF",E839)),"In production",IF(J839&gt;0,"Issued",IF(I839&gt;0,"Kitted","Released")))))</f>
        <v/>
      </c>
      <c r="M839" s="41" t="str">
        <f aca="false">IF(G839&lt;&gt;"Yes","",COUNTIFS($B$6:$B$1505,B839,$F$6:$F$1505,"&lt;"&amp;F839)+COUNTIFS($B$6:$B$1505,B839,$F$6:$F$1505,F839,$A$6:$A$1505,"&lt;="&amp;A839))</f>
        <v/>
      </c>
      <c r="N839" s="41" t="str">
        <f aca="false">IF(M839="","",ROUNDUP(M839/H839,0))</f>
        <v/>
      </c>
      <c r="O839" s="41" t="str">
        <f aca="false">IF(N839="","",IF(N839&lt;='Kitting Plan'!$C$3,"Rep "&amp;N839,"Surplus"))</f>
        <v/>
      </c>
    </row>
    <row r="840" customFormat="false" ht="15" hidden="false" customHeight="false" outlineLevel="0" collapsed="false">
      <c r="A840" s="40" t="str">
        <f aca="false">IF(OR($A$4=0,INDEX('COOIS Raw'!$A:$GZ,ROW()-4,$A$4)=""),"",IFERROR(--INDEX('COOIS Raw'!$A:$GZ,ROW()-4,$A$4),INDEX('COOIS Raw'!$A:$GZ,ROW()-4,$A$4)))</f>
        <v/>
      </c>
      <c r="B840" s="41" t="str">
        <f aca="false">IF(A840="","",TRIM(INDEX('COOIS Raw'!$A:$GZ,ROW()-4,$B$4)))</f>
        <v/>
      </c>
      <c r="C840" s="42" t="str">
        <f aca="false">IF(OR(A840="",$C$4=0),"",INDEX('COOIS Raw'!$A:$GZ,ROW()-4,$C$4))</f>
        <v/>
      </c>
      <c r="D840" s="41" t="str">
        <f aca="false">IF(A840="","",IF($D$4=0,1,IFERROR(--INDEX('COOIS Raw'!$A:$GZ,ROW()-4,$D$4),1)))</f>
        <v/>
      </c>
      <c r="E840" s="42" t="str">
        <f aca="false">IF(A840="","",INDEX('COOIS Raw'!$A:$GZ,ROW()-4,$E$4)&amp;"")</f>
        <v/>
      </c>
      <c r="F840" s="43" t="str">
        <f aca="false">IF(A840="","",IFERROR(DATEVALUE(INDEX('COOIS Raw'!$A:$GZ,ROW()-4,$F$4)),INDEX('COOIS Raw'!$A:$GZ,ROW()-4,$F$4)))</f>
        <v/>
      </c>
      <c r="G840" s="41" t="str">
        <f aca="false">IF(A840="","",IF(ISNA(MATCH(B840,'Kitting Plan'!$B$6:$B$19,0)),"Not in plan","Yes"))</f>
        <v/>
      </c>
      <c r="H840" s="41" t="str">
        <f aca="false">IF(G840="Yes",INDEX('Kitting Plan'!$D$6:$D$19,MATCH(B840,'Kitting Plan'!$B$6:$B$19,0)),"")</f>
        <v/>
      </c>
      <c r="I840" s="41" t="str">
        <f aca="false">IF(A840="","",IF(ISNUMBER(SEARCH("PRT",E840)),D840,0))</f>
        <v/>
      </c>
      <c r="J840" s="41" t="str">
        <f aca="false">IF(A840="","",IF(ISNUMBER(SEARCH("GMPS",E840)),D840,0))</f>
        <v/>
      </c>
      <c r="K840" s="41" t="str">
        <f aca="false">IF(A840="","",IF(ISNUMBER(SEARCH("DLV",E840)),D840,0))</f>
        <v/>
      </c>
      <c r="L840" s="41" t="str">
        <f aca="false">IF(A840="","",IF(K840&gt;0,"Delivered",IF(ISNUMBER(SEARCH("CNF",E840)),"In production",IF(J840&gt;0,"Issued",IF(I840&gt;0,"Kitted","Released")))))</f>
        <v/>
      </c>
      <c r="M840" s="41" t="str">
        <f aca="false">IF(G840&lt;&gt;"Yes","",COUNTIFS($B$6:$B$1505,B840,$F$6:$F$1505,"&lt;"&amp;F840)+COUNTIFS($B$6:$B$1505,B840,$F$6:$F$1505,F840,$A$6:$A$1505,"&lt;="&amp;A840))</f>
        <v/>
      </c>
      <c r="N840" s="41" t="str">
        <f aca="false">IF(M840="","",ROUNDUP(M840/H840,0))</f>
        <v/>
      </c>
      <c r="O840" s="41" t="str">
        <f aca="false">IF(N840="","",IF(N840&lt;='Kitting Plan'!$C$3,"Rep "&amp;N840,"Surplus"))</f>
        <v/>
      </c>
    </row>
    <row r="841" customFormat="false" ht="15" hidden="false" customHeight="false" outlineLevel="0" collapsed="false">
      <c r="A841" s="40" t="str">
        <f aca="false">IF(OR($A$4=0,INDEX('COOIS Raw'!$A:$GZ,ROW()-4,$A$4)=""),"",IFERROR(--INDEX('COOIS Raw'!$A:$GZ,ROW()-4,$A$4),INDEX('COOIS Raw'!$A:$GZ,ROW()-4,$A$4)))</f>
        <v/>
      </c>
      <c r="B841" s="41" t="str">
        <f aca="false">IF(A841="","",TRIM(INDEX('COOIS Raw'!$A:$GZ,ROW()-4,$B$4)))</f>
        <v/>
      </c>
      <c r="C841" s="42" t="str">
        <f aca="false">IF(OR(A841="",$C$4=0),"",INDEX('COOIS Raw'!$A:$GZ,ROW()-4,$C$4))</f>
        <v/>
      </c>
      <c r="D841" s="41" t="str">
        <f aca="false">IF(A841="","",IF($D$4=0,1,IFERROR(--INDEX('COOIS Raw'!$A:$GZ,ROW()-4,$D$4),1)))</f>
        <v/>
      </c>
      <c r="E841" s="42" t="str">
        <f aca="false">IF(A841="","",INDEX('COOIS Raw'!$A:$GZ,ROW()-4,$E$4)&amp;"")</f>
        <v/>
      </c>
      <c r="F841" s="43" t="str">
        <f aca="false">IF(A841="","",IFERROR(DATEVALUE(INDEX('COOIS Raw'!$A:$GZ,ROW()-4,$F$4)),INDEX('COOIS Raw'!$A:$GZ,ROW()-4,$F$4)))</f>
        <v/>
      </c>
      <c r="G841" s="41" t="str">
        <f aca="false">IF(A841="","",IF(ISNA(MATCH(B841,'Kitting Plan'!$B$6:$B$19,0)),"Not in plan","Yes"))</f>
        <v/>
      </c>
      <c r="H841" s="41" t="str">
        <f aca="false">IF(G841="Yes",INDEX('Kitting Plan'!$D$6:$D$19,MATCH(B841,'Kitting Plan'!$B$6:$B$19,0)),"")</f>
        <v/>
      </c>
      <c r="I841" s="41" t="str">
        <f aca="false">IF(A841="","",IF(ISNUMBER(SEARCH("PRT",E841)),D841,0))</f>
        <v/>
      </c>
      <c r="J841" s="41" t="str">
        <f aca="false">IF(A841="","",IF(ISNUMBER(SEARCH("GMPS",E841)),D841,0))</f>
        <v/>
      </c>
      <c r="K841" s="41" t="str">
        <f aca="false">IF(A841="","",IF(ISNUMBER(SEARCH("DLV",E841)),D841,0))</f>
        <v/>
      </c>
      <c r="L841" s="41" t="str">
        <f aca="false">IF(A841="","",IF(K841&gt;0,"Delivered",IF(ISNUMBER(SEARCH("CNF",E841)),"In production",IF(J841&gt;0,"Issued",IF(I841&gt;0,"Kitted","Released")))))</f>
        <v/>
      </c>
      <c r="M841" s="41" t="str">
        <f aca="false">IF(G841&lt;&gt;"Yes","",COUNTIFS($B$6:$B$1505,B841,$F$6:$F$1505,"&lt;"&amp;F841)+COUNTIFS($B$6:$B$1505,B841,$F$6:$F$1505,F841,$A$6:$A$1505,"&lt;="&amp;A841))</f>
        <v/>
      </c>
      <c r="N841" s="41" t="str">
        <f aca="false">IF(M841="","",ROUNDUP(M841/H841,0))</f>
        <v/>
      </c>
      <c r="O841" s="41" t="str">
        <f aca="false">IF(N841="","",IF(N841&lt;='Kitting Plan'!$C$3,"Rep "&amp;N841,"Surplus"))</f>
        <v/>
      </c>
    </row>
    <row r="842" customFormat="false" ht="15" hidden="false" customHeight="false" outlineLevel="0" collapsed="false">
      <c r="A842" s="40" t="str">
        <f aca="false">IF(OR($A$4=0,INDEX('COOIS Raw'!$A:$GZ,ROW()-4,$A$4)=""),"",IFERROR(--INDEX('COOIS Raw'!$A:$GZ,ROW()-4,$A$4),INDEX('COOIS Raw'!$A:$GZ,ROW()-4,$A$4)))</f>
        <v/>
      </c>
      <c r="B842" s="41" t="str">
        <f aca="false">IF(A842="","",TRIM(INDEX('COOIS Raw'!$A:$GZ,ROW()-4,$B$4)))</f>
        <v/>
      </c>
      <c r="C842" s="42" t="str">
        <f aca="false">IF(OR(A842="",$C$4=0),"",INDEX('COOIS Raw'!$A:$GZ,ROW()-4,$C$4))</f>
        <v/>
      </c>
      <c r="D842" s="41" t="str">
        <f aca="false">IF(A842="","",IF($D$4=0,1,IFERROR(--INDEX('COOIS Raw'!$A:$GZ,ROW()-4,$D$4),1)))</f>
        <v/>
      </c>
      <c r="E842" s="42" t="str">
        <f aca="false">IF(A842="","",INDEX('COOIS Raw'!$A:$GZ,ROW()-4,$E$4)&amp;"")</f>
        <v/>
      </c>
      <c r="F842" s="43" t="str">
        <f aca="false">IF(A842="","",IFERROR(DATEVALUE(INDEX('COOIS Raw'!$A:$GZ,ROW()-4,$F$4)),INDEX('COOIS Raw'!$A:$GZ,ROW()-4,$F$4)))</f>
        <v/>
      </c>
      <c r="G842" s="41" t="str">
        <f aca="false">IF(A842="","",IF(ISNA(MATCH(B842,'Kitting Plan'!$B$6:$B$19,0)),"Not in plan","Yes"))</f>
        <v/>
      </c>
      <c r="H842" s="41" t="str">
        <f aca="false">IF(G842="Yes",INDEX('Kitting Plan'!$D$6:$D$19,MATCH(B842,'Kitting Plan'!$B$6:$B$19,0)),"")</f>
        <v/>
      </c>
      <c r="I842" s="41" t="str">
        <f aca="false">IF(A842="","",IF(ISNUMBER(SEARCH("PRT",E842)),D842,0))</f>
        <v/>
      </c>
      <c r="J842" s="41" t="str">
        <f aca="false">IF(A842="","",IF(ISNUMBER(SEARCH("GMPS",E842)),D842,0))</f>
        <v/>
      </c>
      <c r="K842" s="41" t="str">
        <f aca="false">IF(A842="","",IF(ISNUMBER(SEARCH("DLV",E842)),D842,0))</f>
        <v/>
      </c>
      <c r="L842" s="41" t="str">
        <f aca="false">IF(A842="","",IF(K842&gt;0,"Delivered",IF(ISNUMBER(SEARCH("CNF",E842)),"In production",IF(J842&gt;0,"Issued",IF(I842&gt;0,"Kitted","Released")))))</f>
        <v/>
      </c>
      <c r="M842" s="41" t="str">
        <f aca="false">IF(G842&lt;&gt;"Yes","",COUNTIFS($B$6:$B$1505,B842,$F$6:$F$1505,"&lt;"&amp;F842)+COUNTIFS($B$6:$B$1505,B842,$F$6:$F$1505,F842,$A$6:$A$1505,"&lt;="&amp;A842))</f>
        <v/>
      </c>
      <c r="N842" s="41" t="str">
        <f aca="false">IF(M842="","",ROUNDUP(M842/H842,0))</f>
        <v/>
      </c>
      <c r="O842" s="41" t="str">
        <f aca="false">IF(N842="","",IF(N842&lt;='Kitting Plan'!$C$3,"Rep "&amp;N842,"Surplus"))</f>
        <v/>
      </c>
    </row>
    <row r="843" customFormat="false" ht="15" hidden="false" customHeight="false" outlineLevel="0" collapsed="false">
      <c r="A843" s="40" t="str">
        <f aca="false">IF(OR($A$4=0,INDEX('COOIS Raw'!$A:$GZ,ROW()-4,$A$4)=""),"",IFERROR(--INDEX('COOIS Raw'!$A:$GZ,ROW()-4,$A$4),INDEX('COOIS Raw'!$A:$GZ,ROW()-4,$A$4)))</f>
        <v/>
      </c>
      <c r="B843" s="41" t="str">
        <f aca="false">IF(A843="","",TRIM(INDEX('COOIS Raw'!$A:$GZ,ROW()-4,$B$4)))</f>
        <v/>
      </c>
      <c r="C843" s="42" t="str">
        <f aca="false">IF(OR(A843="",$C$4=0),"",INDEX('COOIS Raw'!$A:$GZ,ROW()-4,$C$4))</f>
        <v/>
      </c>
      <c r="D843" s="41" t="str">
        <f aca="false">IF(A843="","",IF($D$4=0,1,IFERROR(--INDEX('COOIS Raw'!$A:$GZ,ROW()-4,$D$4),1)))</f>
        <v/>
      </c>
      <c r="E843" s="42" t="str">
        <f aca="false">IF(A843="","",INDEX('COOIS Raw'!$A:$GZ,ROW()-4,$E$4)&amp;"")</f>
        <v/>
      </c>
      <c r="F843" s="43" t="str">
        <f aca="false">IF(A843="","",IFERROR(DATEVALUE(INDEX('COOIS Raw'!$A:$GZ,ROW()-4,$F$4)),INDEX('COOIS Raw'!$A:$GZ,ROW()-4,$F$4)))</f>
        <v/>
      </c>
      <c r="G843" s="41" t="str">
        <f aca="false">IF(A843="","",IF(ISNA(MATCH(B843,'Kitting Plan'!$B$6:$B$19,0)),"Not in plan","Yes"))</f>
        <v/>
      </c>
      <c r="H843" s="41" t="str">
        <f aca="false">IF(G843="Yes",INDEX('Kitting Plan'!$D$6:$D$19,MATCH(B843,'Kitting Plan'!$B$6:$B$19,0)),"")</f>
        <v/>
      </c>
      <c r="I843" s="41" t="str">
        <f aca="false">IF(A843="","",IF(ISNUMBER(SEARCH("PRT",E843)),D843,0))</f>
        <v/>
      </c>
      <c r="J843" s="41" t="str">
        <f aca="false">IF(A843="","",IF(ISNUMBER(SEARCH("GMPS",E843)),D843,0))</f>
        <v/>
      </c>
      <c r="K843" s="41" t="str">
        <f aca="false">IF(A843="","",IF(ISNUMBER(SEARCH("DLV",E843)),D843,0))</f>
        <v/>
      </c>
      <c r="L843" s="41" t="str">
        <f aca="false">IF(A843="","",IF(K843&gt;0,"Delivered",IF(ISNUMBER(SEARCH("CNF",E843)),"In production",IF(J843&gt;0,"Issued",IF(I843&gt;0,"Kitted","Released")))))</f>
        <v/>
      </c>
      <c r="M843" s="41" t="str">
        <f aca="false">IF(G843&lt;&gt;"Yes","",COUNTIFS($B$6:$B$1505,B843,$F$6:$F$1505,"&lt;"&amp;F843)+COUNTIFS($B$6:$B$1505,B843,$F$6:$F$1505,F843,$A$6:$A$1505,"&lt;="&amp;A843))</f>
        <v/>
      </c>
      <c r="N843" s="41" t="str">
        <f aca="false">IF(M843="","",ROUNDUP(M843/H843,0))</f>
        <v/>
      </c>
      <c r="O843" s="41" t="str">
        <f aca="false">IF(N843="","",IF(N843&lt;='Kitting Plan'!$C$3,"Rep "&amp;N843,"Surplus"))</f>
        <v/>
      </c>
    </row>
    <row r="844" customFormat="false" ht="15" hidden="false" customHeight="false" outlineLevel="0" collapsed="false">
      <c r="A844" s="40" t="str">
        <f aca="false">IF(OR($A$4=0,INDEX('COOIS Raw'!$A:$GZ,ROW()-4,$A$4)=""),"",IFERROR(--INDEX('COOIS Raw'!$A:$GZ,ROW()-4,$A$4),INDEX('COOIS Raw'!$A:$GZ,ROW()-4,$A$4)))</f>
        <v/>
      </c>
      <c r="B844" s="41" t="str">
        <f aca="false">IF(A844="","",TRIM(INDEX('COOIS Raw'!$A:$GZ,ROW()-4,$B$4)))</f>
        <v/>
      </c>
      <c r="C844" s="42" t="str">
        <f aca="false">IF(OR(A844="",$C$4=0),"",INDEX('COOIS Raw'!$A:$GZ,ROW()-4,$C$4))</f>
        <v/>
      </c>
      <c r="D844" s="41" t="str">
        <f aca="false">IF(A844="","",IF($D$4=0,1,IFERROR(--INDEX('COOIS Raw'!$A:$GZ,ROW()-4,$D$4),1)))</f>
        <v/>
      </c>
      <c r="E844" s="42" t="str">
        <f aca="false">IF(A844="","",INDEX('COOIS Raw'!$A:$GZ,ROW()-4,$E$4)&amp;"")</f>
        <v/>
      </c>
      <c r="F844" s="43" t="str">
        <f aca="false">IF(A844="","",IFERROR(DATEVALUE(INDEX('COOIS Raw'!$A:$GZ,ROW()-4,$F$4)),INDEX('COOIS Raw'!$A:$GZ,ROW()-4,$F$4)))</f>
        <v/>
      </c>
      <c r="G844" s="41" t="str">
        <f aca="false">IF(A844="","",IF(ISNA(MATCH(B844,'Kitting Plan'!$B$6:$B$19,0)),"Not in plan","Yes"))</f>
        <v/>
      </c>
      <c r="H844" s="41" t="str">
        <f aca="false">IF(G844="Yes",INDEX('Kitting Plan'!$D$6:$D$19,MATCH(B844,'Kitting Plan'!$B$6:$B$19,0)),"")</f>
        <v/>
      </c>
      <c r="I844" s="41" t="str">
        <f aca="false">IF(A844="","",IF(ISNUMBER(SEARCH("PRT",E844)),D844,0))</f>
        <v/>
      </c>
      <c r="J844" s="41" t="str">
        <f aca="false">IF(A844="","",IF(ISNUMBER(SEARCH("GMPS",E844)),D844,0))</f>
        <v/>
      </c>
      <c r="K844" s="41" t="str">
        <f aca="false">IF(A844="","",IF(ISNUMBER(SEARCH("DLV",E844)),D844,0))</f>
        <v/>
      </c>
      <c r="L844" s="41" t="str">
        <f aca="false">IF(A844="","",IF(K844&gt;0,"Delivered",IF(ISNUMBER(SEARCH("CNF",E844)),"In production",IF(J844&gt;0,"Issued",IF(I844&gt;0,"Kitted","Released")))))</f>
        <v/>
      </c>
      <c r="M844" s="41" t="str">
        <f aca="false">IF(G844&lt;&gt;"Yes","",COUNTIFS($B$6:$B$1505,B844,$F$6:$F$1505,"&lt;"&amp;F844)+COUNTIFS($B$6:$B$1505,B844,$F$6:$F$1505,F844,$A$6:$A$1505,"&lt;="&amp;A844))</f>
        <v/>
      </c>
      <c r="N844" s="41" t="str">
        <f aca="false">IF(M844="","",ROUNDUP(M844/H844,0))</f>
        <v/>
      </c>
      <c r="O844" s="41" t="str">
        <f aca="false">IF(N844="","",IF(N844&lt;='Kitting Plan'!$C$3,"Rep "&amp;N844,"Surplus"))</f>
        <v/>
      </c>
    </row>
    <row r="845" customFormat="false" ht="15" hidden="false" customHeight="false" outlineLevel="0" collapsed="false">
      <c r="A845" s="40" t="str">
        <f aca="false">IF(OR($A$4=0,INDEX('COOIS Raw'!$A:$GZ,ROW()-4,$A$4)=""),"",IFERROR(--INDEX('COOIS Raw'!$A:$GZ,ROW()-4,$A$4),INDEX('COOIS Raw'!$A:$GZ,ROW()-4,$A$4)))</f>
        <v/>
      </c>
      <c r="B845" s="41" t="str">
        <f aca="false">IF(A845="","",TRIM(INDEX('COOIS Raw'!$A:$GZ,ROW()-4,$B$4)))</f>
        <v/>
      </c>
      <c r="C845" s="42" t="str">
        <f aca="false">IF(OR(A845="",$C$4=0),"",INDEX('COOIS Raw'!$A:$GZ,ROW()-4,$C$4))</f>
        <v/>
      </c>
      <c r="D845" s="41" t="str">
        <f aca="false">IF(A845="","",IF($D$4=0,1,IFERROR(--INDEX('COOIS Raw'!$A:$GZ,ROW()-4,$D$4),1)))</f>
        <v/>
      </c>
      <c r="E845" s="42" t="str">
        <f aca="false">IF(A845="","",INDEX('COOIS Raw'!$A:$GZ,ROW()-4,$E$4)&amp;"")</f>
        <v/>
      </c>
      <c r="F845" s="43" t="str">
        <f aca="false">IF(A845="","",IFERROR(DATEVALUE(INDEX('COOIS Raw'!$A:$GZ,ROW()-4,$F$4)),INDEX('COOIS Raw'!$A:$GZ,ROW()-4,$F$4)))</f>
        <v/>
      </c>
      <c r="G845" s="41" t="str">
        <f aca="false">IF(A845="","",IF(ISNA(MATCH(B845,'Kitting Plan'!$B$6:$B$19,0)),"Not in plan","Yes"))</f>
        <v/>
      </c>
      <c r="H845" s="41" t="str">
        <f aca="false">IF(G845="Yes",INDEX('Kitting Plan'!$D$6:$D$19,MATCH(B845,'Kitting Plan'!$B$6:$B$19,0)),"")</f>
        <v/>
      </c>
      <c r="I845" s="41" t="str">
        <f aca="false">IF(A845="","",IF(ISNUMBER(SEARCH("PRT",E845)),D845,0))</f>
        <v/>
      </c>
      <c r="J845" s="41" t="str">
        <f aca="false">IF(A845="","",IF(ISNUMBER(SEARCH("GMPS",E845)),D845,0))</f>
        <v/>
      </c>
      <c r="K845" s="41" t="str">
        <f aca="false">IF(A845="","",IF(ISNUMBER(SEARCH("DLV",E845)),D845,0))</f>
        <v/>
      </c>
      <c r="L845" s="41" t="str">
        <f aca="false">IF(A845="","",IF(K845&gt;0,"Delivered",IF(ISNUMBER(SEARCH("CNF",E845)),"In production",IF(J845&gt;0,"Issued",IF(I845&gt;0,"Kitted","Released")))))</f>
        <v/>
      </c>
      <c r="M845" s="41" t="str">
        <f aca="false">IF(G845&lt;&gt;"Yes","",COUNTIFS($B$6:$B$1505,B845,$F$6:$F$1505,"&lt;"&amp;F845)+COUNTIFS($B$6:$B$1505,B845,$F$6:$F$1505,F845,$A$6:$A$1505,"&lt;="&amp;A845))</f>
        <v/>
      </c>
      <c r="N845" s="41" t="str">
        <f aca="false">IF(M845="","",ROUNDUP(M845/H845,0))</f>
        <v/>
      </c>
      <c r="O845" s="41" t="str">
        <f aca="false">IF(N845="","",IF(N845&lt;='Kitting Plan'!$C$3,"Rep "&amp;N845,"Surplus"))</f>
        <v/>
      </c>
    </row>
    <row r="846" customFormat="false" ht="15" hidden="false" customHeight="false" outlineLevel="0" collapsed="false">
      <c r="A846" s="40" t="str">
        <f aca="false">IF(OR($A$4=0,INDEX('COOIS Raw'!$A:$GZ,ROW()-4,$A$4)=""),"",IFERROR(--INDEX('COOIS Raw'!$A:$GZ,ROW()-4,$A$4),INDEX('COOIS Raw'!$A:$GZ,ROW()-4,$A$4)))</f>
        <v/>
      </c>
      <c r="B846" s="41" t="str">
        <f aca="false">IF(A846="","",TRIM(INDEX('COOIS Raw'!$A:$GZ,ROW()-4,$B$4)))</f>
        <v/>
      </c>
      <c r="C846" s="42" t="str">
        <f aca="false">IF(OR(A846="",$C$4=0),"",INDEX('COOIS Raw'!$A:$GZ,ROW()-4,$C$4))</f>
        <v/>
      </c>
      <c r="D846" s="41" t="str">
        <f aca="false">IF(A846="","",IF($D$4=0,1,IFERROR(--INDEX('COOIS Raw'!$A:$GZ,ROW()-4,$D$4),1)))</f>
        <v/>
      </c>
      <c r="E846" s="42" t="str">
        <f aca="false">IF(A846="","",INDEX('COOIS Raw'!$A:$GZ,ROW()-4,$E$4)&amp;"")</f>
        <v/>
      </c>
      <c r="F846" s="43" t="str">
        <f aca="false">IF(A846="","",IFERROR(DATEVALUE(INDEX('COOIS Raw'!$A:$GZ,ROW()-4,$F$4)),INDEX('COOIS Raw'!$A:$GZ,ROW()-4,$F$4)))</f>
        <v/>
      </c>
      <c r="G846" s="41" t="str">
        <f aca="false">IF(A846="","",IF(ISNA(MATCH(B846,'Kitting Plan'!$B$6:$B$19,0)),"Not in plan","Yes"))</f>
        <v/>
      </c>
      <c r="H846" s="41" t="str">
        <f aca="false">IF(G846="Yes",INDEX('Kitting Plan'!$D$6:$D$19,MATCH(B846,'Kitting Plan'!$B$6:$B$19,0)),"")</f>
        <v/>
      </c>
      <c r="I846" s="41" t="str">
        <f aca="false">IF(A846="","",IF(ISNUMBER(SEARCH("PRT",E846)),D846,0))</f>
        <v/>
      </c>
      <c r="J846" s="41" t="str">
        <f aca="false">IF(A846="","",IF(ISNUMBER(SEARCH("GMPS",E846)),D846,0))</f>
        <v/>
      </c>
      <c r="K846" s="41" t="str">
        <f aca="false">IF(A846="","",IF(ISNUMBER(SEARCH("DLV",E846)),D846,0))</f>
        <v/>
      </c>
      <c r="L846" s="41" t="str">
        <f aca="false">IF(A846="","",IF(K846&gt;0,"Delivered",IF(ISNUMBER(SEARCH("CNF",E846)),"In production",IF(J846&gt;0,"Issued",IF(I846&gt;0,"Kitted","Released")))))</f>
        <v/>
      </c>
      <c r="M846" s="41" t="str">
        <f aca="false">IF(G846&lt;&gt;"Yes","",COUNTIFS($B$6:$B$1505,B846,$F$6:$F$1505,"&lt;"&amp;F846)+COUNTIFS($B$6:$B$1505,B846,$F$6:$F$1505,F846,$A$6:$A$1505,"&lt;="&amp;A846))</f>
        <v/>
      </c>
      <c r="N846" s="41" t="str">
        <f aca="false">IF(M846="","",ROUNDUP(M846/H846,0))</f>
        <v/>
      </c>
      <c r="O846" s="41" t="str">
        <f aca="false">IF(N846="","",IF(N846&lt;='Kitting Plan'!$C$3,"Rep "&amp;N846,"Surplus"))</f>
        <v/>
      </c>
    </row>
    <row r="847" customFormat="false" ht="15" hidden="false" customHeight="false" outlineLevel="0" collapsed="false">
      <c r="A847" s="40" t="str">
        <f aca="false">IF(OR($A$4=0,INDEX('COOIS Raw'!$A:$GZ,ROW()-4,$A$4)=""),"",IFERROR(--INDEX('COOIS Raw'!$A:$GZ,ROW()-4,$A$4),INDEX('COOIS Raw'!$A:$GZ,ROW()-4,$A$4)))</f>
        <v/>
      </c>
      <c r="B847" s="41" t="str">
        <f aca="false">IF(A847="","",TRIM(INDEX('COOIS Raw'!$A:$GZ,ROW()-4,$B$4)))</f>
        <v/>
      </c>
      <c r="C847" s="42" t="str">
        <f aca="false">IF(OR(A847="",$C$4=0),"",INDEX('COOIS Raw'!$A:$GZ,ROW()-4,$C$4))</f>
        <v/>
      </c>
      <c r="D847" s="41" t="str">
        <f aca="false">IF(A847="","",IF($D$4=0,1,IFERROR(--INDEX('COOIS Raw'!$A:$GZ,ROW()-4,$D$4),1)))</f>
        <v/>
      </c>
      <c r="E847" s="42" t="str">
        <f aca="false">IF(A847="","",INDEX('COOIS Raw'!$A:$GZ,ROW()-4,$E$4)&amp;"")</f>
        <v/>
      </c>
      <c r="F847" s="43" t="str">
        <f aca="false">IF(A847="","",IFERROR(DATEVALUE(INDEX('COOIS Raw'!$A:$GZ,ROW()-4,$F$4)),INDEX('COOIS Raw'!$A:$GZ,ROW()-4,$F$4)))</f>
        <v/>
      </c>
      <c r="G847" s="41" t="str">
        <f aca="false">IF(A847="","",IF(ISNA(MATCH(B847,'Kitting Plan'!$B$6:$B$19,0)),"Not in plan","Yes"))</f>
        <v/>
      </c>
      <c r="H847" s="41" t="str">
        <f aca="false">IF(G847="Yes",INDEX('Kitting Plan'!$D$6:$D$19,MATCH(B847,'Kitting Plan'!$B$6:$B$19,0)),"")</f>
        <v/>
      </c>
      <c r="I847" s="41" t="str">
        <f aca="false">IF(A847="","",IF(ISNUMBER(SEARCH("PRT",E847)),D847,0))</f>
        <v/>
      </c>
      <c r="J847" s="41" t="str">
        <f aca="false">IF(A847="","",IF(ISNUMBER(SEARCH("GMPS",E847)),D847,0))</f>
        <v/>
      </c>
      <c r="K847" s="41" t="str">
        <f aca="false">IF(A847="","",IF(ISNUMBER(SEARCH("DLV",E847)),D847,0))</f>
        <v/>
      </c>
      <c r="L847" s="41" t="str">
        <f aca="false">IF(A847="","",IF(K847&gt;0,"Delivered",IF(ISNUMBER(SEARCH("CNF",E847)),"In production",IF(J847&gt;0,"Issued",IF(I847&gt;0,"Kitted","Released")))))</f>
        <v/>
      </c>
      <c r="M847" s="41" t="str">
        <f aca="false">IF(G847&lt;&gt;"Yes","",COUNTIFS($B$6:$B$1505,B847,$F$6:$F$1505,"&lt;"&amp;F847)+COUNTIFS($B$6:$B$1505,B847,$F$6:$F$1505,F847,$A$6:$A$1505,"&lt;="&amp;A847))</f>
        <v/>
      </c>
      <c r="N847" s="41" t="str">
        <f aca="false">IF(M847="","",ROUNDUP(M847/H847,0))</f>
        <v/>
      </c>
      <c r="O847" s="41" t="str">
        <f aca="false">IF(N847="","",IF(N847&lt;='Kitting Plan'!$C$3,"Rep "&amp;N847,"Surplus"))</f>
        <v/>
      </c>
    </row>
    <row r="848" customFormat="false" ht="15" hidden="false" customHeight="false" outlineLevel="0" collapsed="false">
      <c r="A848" s="40" t="str">
        <f aca="false">IF(OR($A$4=0,INDEX('COOIS Raw'!$A:$GZ,ROW()-4,$A$4)=""),"",IFERROR(--INDEX('COOIS Raw'!$A:$GZ,ROW()-4,$A$4),INDEX('COOIS Raw'!$A:$GZ,ROW()-4,$A$4)))</f>
        <v/>
      </c>
      <c r="B848" s="41" t="str">
        <f aca="false">IF(A848="","",TRIM(INDEX('COOIS Raw'!$A:$GZ,ROW()-4,$B$4)))</f>
        <v/>
      </c>
      <c r="C848" s="42" t="str">
        <f aca="false">IF(OR(A848="",$C$4=0),"",INDEX('COOIS Raw'!$A:$GZ,ROW()-4,$C$4))</f>
        <v/>
      </c>
      <c r="D848" s="41" t="str">
        <f aca="false">IF(A848="","",IF($D$4=0,1,IFERROR(--INDEX('COOIS Raw'!$A:$GZ,ROW()-4,$D$4),1)))</f>
        <v/>
      </c>
      <c r="E848" s="42" t="str">
        <f aca="false">IF(A848="","",INDEX('COOIS Raw'!$A:$GZ,ROW()-4,$E$4)&amp;"")</f>
        <v/>
      </c>
      <c r="F848" s="43" t="str">
        <f aca="false">IF(A848="","",IFERROR(DATEVALUE(INDEX('COOIS Raw'!$A:$GZ,ROW()-4,$F$4)),INDEX('COOIS Raw'!$A:$GZ,ROW()-4,$F$4)))</f>
        <v/>
      </c>
      <c r="G848" s="41" t="str">
        <f aca="false">IF(A848="","",IF(ISNA(MATCH(B848,'Kitting Plan'!$B$6:$B$19,0)),"Not in plan","Yes"))</f>
        <v/>
      </c>
      <c r="H848" s="41" t="str">
        <f aca="false">IF(G848="Yes",INDEX('Kitting Plan'!$D$6:$D$19,MATCH(B848,'Kitting Plan'!$B$6:$B$19,0)),"")</f>
        <v/>
      </c>
      <c r="I848" s="41" t="str">
        <f aca="false">IF(A848="","",IF(ISNUMBER(SEARCH("PRT",E848)),D848,0))</f>
        <v/>
      </c>
      <c r="J848" s="41" t="str">
        <f aca="false">IF(A848="","",IF(ISNUMBER(SEARCH("GMPS",E848)),D848,0))</f>
        <v/>
      </c>
      <c r="K848" s="41" t="str">
        <f aca="false">IF(A848="","",IF(ISNUMBER(SEARCH("DLV",E848)),D848,0))</f>
        <v/>
      </c>
      <c r="L848" s="41" t="str">
        <f aca="false">IF(A848="","",IF(K848&gt;0,"Delivered",IF(ISNUMBER(SEARCH("CNF",E848)),"In production",IF(J848&gt;0,"Issued",IF(I848&gt;0,"Kitted","Released")))))</f>
        <v/>
      </c>
      <c r="M848" s="41" t="str">
        <f aca="false">IF(G848&lt;&gt;"Yes","",COUNTIFS($B$6:$B$1505,B848,$F$6:$F$1505,"&lt;"&amp;F848)+COUNTIFS($B$6:$B$1505,B848,$F$6:$F$1505,F848,$A$6:$A$1505,"&lt;="&amp;A848))</f>
        <v/>
      </c>
      <c r="N848" s="41" t="str">
        <f aca="false">IF(M848="","",ROUNDUP(M848/H848,0))</f>
        <v/>
      </c>
      <c r="O848" s="41" t="str">
        <f aca="false">IF(N848="","",IF(N848&lt;='Kitting Plan'!$C$3,"Rep "&amp;N848,"Surplus"))</f>
        <v/>
      </c>
    </row>
    <row r="849" customFormat="false" ht="15" hidden="false" customHeight="false" outlineLevel="0" collapsed="false">
      <c r="A849" s="40" t="str">
        <f aca="false">IF(OR($A$4=0,INDEX('COOIS Raw'!$A:$GZ,ROW()-4,$A$4)=""),"",IFERROR(--INDEX('COOIS Raw'!$A:$GZ,ROW()-4,$A$4),INDEX('COOIS Raw'!$A:$GZ,ROW()-4,$A$4)))</f>
        <v/>
      </c>
      <c r="B849" s="41" t="str">
        <f aca="false">IF(A849="","",TRIM(INDEX('COOIS Raw'!$A:$GZ,ROW()-4,$B$4)))</f>
        <v/>
      </c>
      <c r="C849" s="42" t="str">
        <f aca="false">IF(OR(A849="",$C$4=0),"",INDEX('COOIS Raw'!$A:$GZ,ROW()-4,$C$4))</f>
        <v/>
      </c>
      <c r="D849" s="41" t="str">
        <f aca="false">IF(A849="","",IF($D$4=0,1,IFERROR(--INDEX('COOIS Raw'!$A:$GZ,ROW()-4,$D$4),1)))</f>
        <v/>
      </c>
      <c r="E849" s="42" t="str">
        <f aca="false">IF(A849="","",INDEX('COOIS Raw'!$A:$GZ,ROW()-4,$E$4)&amp;"")</f>
        <v/>
      </c>
      <c r="F849" s="43" t="str">
        <f aca="false">IF(A849="","",IFERROR(DATEVALUE(INDEX('COOIS Raw'!$A:$GZ,ROW()-4,$F$4)),INDEX('COOIS Raw'!$A:$GZ,ROW()-4,$F$4)))</f>
        <v/>
      </c>
      <c r="G849" s="41" t="str">
        <f aca="false">IF(A849="","",IF(ISNA(MATCH(B849,'Kitting Plan'!$B$6:$B$19,0)),"Not in plan","Yes"))</f>
        <v/>
      </c>
      <c r="H849" s="41" t="str">
        <f aca="false">IF(G849="Yes",INDEX('Kitting Plan'!$D$6:$D$19,MATCH(B849,'Kitting Plan'!$B$6:$B$19,0)),"")</f>
        <v/>
      </c>
      <c r="I849" s="41" t="str">
        <f aca="false">IF(A849="","",IF(ISNUMBER(SEARCH("PRT",E849)),D849,0))</f>
        <v/>
      </c>
      <c r="J849" s="41" t="str">
        <f aca="false">IF(A849="","",IF(ISNUMBER(SEARCH("GMPS",E849)),D849,0))</f>
        <v/>
      </c>
      <c r="K849" s="41" t="str">
        <f aca="false">IF(A849="","",IF(ISNUMBER(SEARCH("DLV",E849)),D849,0))</f>
        <v/>
      </c>
      <c r="L849" s="41" t="str">
        <f aca="false">IF(A849="","",IF(K849&gt;0,"Delivered",IF(ISNUMBER(SEARCH("CNF",E849)),"In production",IF(J849&gt;0,"Issued",IF(I849&gt;0,"Kitted","Released")))))</f>
        <v/>
      </c>
      <c r="M849" s="41" t="str">
        <f aca="false">IF(G849&lt;&gt;"Yes","",COUNTIFS($B$6:$B$1505,B849,$F$6:$F$1505,"&lt;"&amp;F849)+COUNTIFS($B$6:$B$1505,B849,$F$6:$F$1505,F849,$A$6:$A$1505,"&lt;="&amp;A849))</f>
        <v/>
      </c>
      <c r="N849" s="41" t="str">
        <f aca="false">IF(M849="","",ROUNDUP(M849/H849,0))</f>
        <v/>
      </c>
      <c r="O849" s="41" t="str">
        <f aca="false">IF(N849="","",IF(N849&lt;='Kitting Plan'!$C$3,"Rep "&amp;N849,"Surplus"))</f>
        <v/>
      </c>
    </row>
    <row r="850" customFormat="false" ht="15" hidden="false" customHeight="false" outlineLevel="0" collapsed="false">
      <c r="A850" s="40" t="str">
        <f aca="false">IF(OR($A$4=0,INDEX('COOIS Raw'!$A:$GZ,ROW()-4,$A$4)=""),"",IFERROR(--INDEX('COOIS Raw'!$A:$GZ,ROW()-4,$A$4),INDEX('COOIS Raw'!$A:$GZ,ROW()-4,$A$4)))</f>
        <v/>
      </c>
      <c r="B850" s="41" t="str">
        <f aca="false">IF(A850="","",TRIM(INDEX('COOIS Raw'!$A:$GZ,ROW()-4,$B$4)))</f>
        <v/>
      </c>
      <c r="C850" s="42" t="str">
        <f aca="false">IF(OR(A850="",$C$4=0),"",INDEX('COOIS Raw'!$A:$GZ,ROW()-4,$C$4))</f>
        <v/>
      </c>
      <c r="D850" s="41" t="str">
        <f aca="false">IF(A850="","",IF($D$4=0,1,IFERROR(--INDEX('COOIS Raw'!$A:$GZ,ROW()-4,$D$4),1)))</f>
        <v/>
      </c>
      <c r="E850" s="42" t="str">
        <f aca="false">IF(A850="","",INDEX('COOIS Raw'!$A:$GZ,ROW()-4,$E$4)&amp;"")</f>
        <v/>
      </c>
      <c r="F850" s="43" t="str">
        <f aca="false">IF(A850="","",IFERROR(DATEVALUE(INDEX('COOIS Raw'!$A:$GZ,ROW()-4,$F$4)),INDEX('COOIS Raw'!$A:$GZ,ROW()-4,$F$4)))</f>
        <v/>
      </c>
      <c r="G850" s="41" t="str">
        <f aca="false">IF(A850="","",IF(ISNA(MATCH(B850,'Kitting Plan'!$B$6:$B$19,0)),"Not in plan","Yes"))</f>
        <v/>
      </c>
      <c r="H850" s="41" t="str">
        <f aca="false">IF(G850="Yes",INDEX('Kitting Plan'!$D$6:$D$19,MATCH(B850,'Kitting Plan'!$B$6:$B$19,0)),"")</f>
        <v/>
      </c>
      <c r="I850" s="41" t="str">
        <f aca="false">IF(A850="","",IF(ISNUMBER(SEARCH("PRT",E850)),D850,0))</f>
        <v/>
      </c>
      <c r="J850" s="41" t="str">
        <f aca="false">IF(A850="","",IF(ISNUMBER(SEARCH("GMPS",E850)),D850,0))</f>
        <v/>
      </c>
      <c r="K850" s="41" t="str">
        <f aca="false">IF(A850="","",IF(ISNUMBER(SEARCH("DLV",E850)),D850,0))</f>
        <v/>
      </c>
      <c r="L850" s="41" t="str">
        <f aca="false">IF(A850="","",IF(K850&gt;0,"Delivered",IF(ISNUMBER(SEARCH("CNF",E850)),"In production",IF(J850&gt;0,"Issued",IF(I850&gt;0,"Kitted","Released")))))</f>
        <v/>
      </c>
      <c r="M850" s="41" t="str">
        <f aca="false">IF(G850&lt;&gt;"Yes","",COUNTIFS($B$6:$B$1505,B850,$F$6:$F$1505,"&lt;"&amp;F850)+COUNTIFS($B$6:$B$1505,B850,$F$6:$F$1505,F850,$A$6:$A$1505,"&lt;="&amp;A850))</f>
        <v/>
      </c>
      <c r="N850" s="41" t="str">
        <f aca="false">IF(M850="","",ROUNDUP(M850/H850,0))</f>
        <v/>
      </c>
      <c r="O850" s="41" t="str">
        <f aca="false">IF(N850="","",IF(N850&lt;='Kitting Plan'!$C$3,"Rep "&amp;N850,"Surplus"))</f>
        <v/>
      </c>
    </row>
    <row r="851" customFormat="false" ht="15" hidden="false" customHeight="false" outlineLevel="0" collapsed="false">
      <c r="A851" s="40" t="str">
        <f aca="false">IF(OR($A$4=0,INDEX('COOIS Raw'!$A:$GZ,ROW()-4,$A$4)=""),"",IFERROR(--INDEX('COOIS Raw'!$A:$GZ,ROW()-4,$A$4),INDEX('COOIS Raw'!$A:$GZ,ROW()-4,$A$4)))</f>
        <v/>
      </c>
      <c r="B851" s="41" t="str">
        <f aca="false">IF(A851="","",TRIM(INDEX('COOIS Raw'!$A:$GZ,ROW()-4,$B$4)))</f>
        <v/>
      </c>
      <c r="C851" s="42" t="str">
        <f aca="false">IF(OR(A851="",$C$4=0),"",INDEX('COOIS Raw'!$A:$GZ,ROW()-4,$C$4))</f>
        <v/>
      </c>
      <c r="D851" s="41" t="str">
        <f aca="false">IF(A851="","",IF($D$4=0,1,IFERROR(--INDEX('COOIS Raw'!$A:$GZ,ROW()-4,$D$4),1)))</f>
        <v/>
      </c>
      <c r="E851" s="42" t="str">
        <f aca="false">IF(A851="","",INDEX('COOIS Raw'!$A:$GZ,ROW()-4,$E$4)&amp;"")</f>
        <v/>
      </c>
      <c r="F851" s="43" t="str">
        <f aca="false">IF(A851="","",IFERROR(DATEVALUE(INDEX('COOIS Raw'!$A:$GZ,ROW()-4,$F$4)),INDEX('COOIS Raw'!$A:$GZ,ROW()-4,$F$4)))</f>
        <v/>
      </c>
      <c r="G851" s="41" t="str">
        <f aca="false">IF(A851="","",IF(ISNA(MATCH(B851,'Kitting Plan'!$B$6:$B$19,0)),"Not in plan","Yes"))</f>
        <v/>
      </c>
      <c r="H851" s="41" t="str">
        <f aca="false">IF(G851="Yes",INDEX('Kitting Plan'!$D$6:$D$19,MATCH(B851,'Kitting Plan'!$B$6:$B$19,0)),"")</f>
        <v/>
      </c>
      <c r="I851" s="41" t="str">
        <f aca="false">IF(A851="","",IF(ISNUMBER(SEARCH("PRT",E851)),D851,0))</f>
        <v/>
      </c>
      <c r="J851" s="41" t="str">
        <f aca="false">IF(A851="","",IF(ISNUMBER(SEARCH("GMPS",E851)),D851,0))</f>
        <v/>
      </c>
      <c r="K851" s="41" t="str">
        <f aca="false">IF(A851="","",IF(ISNUMBER(SEARCH("DLV",E851)),D851,0))</f>
        <v/>
      </c>
      <c r="L851" s="41" t="str">
        <f aca="false">IF(A851="","",IF(K851&gt;0,"Delivered",IF(ISNUMBER(SEARCH("CNF",E851)),"In production",IF(J851&gt;0,"Issued",IF(I851&gt;0,"Kitted","Released")))))</f>
        <v/>
      </c>
      <c r="M851" s="41" t="str">
        <f aca="false">IF(G851&lt;&gt;"Yes","",COUNTIFS($B$6:$B$1505,B851,$F$6:$F$1505,"&lt;"&amp;F851)+COUNTIFS($B$6:$B$1505,B851,$F$6:$F$1505,F851,$A$6:$A$1505,"&lt;="&amp;A851))</f>
        <v/>
      </c>
      <c r="N851" s="41" t="str">
        <f aca="false">IF(M851="","",ROUNDUP(M851/H851,0))</f>
        <v/>
      </c>
      <c r="O851" s="41" t="str">
        <f aca="false">IF(N851="","",IF(N851&lt;='Kitting Plan'!$C$3,"Rep "&amp;N851,"Surplus"))</f>
        <v/>
      </c>
    </row>
    <row r="852" customFormat="false" ht="15" hidden="false" customHeight="false" outlineLevel="0" collapsed="false">
      <c r="A852" s="40" t="str">
        <f aca="false">IF(OR($A$4=0,INDEX('COOIS Raw'!$A:$GZ,ROW()-4,$A$4)=""),"",IFERROR(--INDEX('COOIS Raw'!$A:$GZ,ROW()-4,$A$4),INDEX('COOIS Raw'!$A:$GZ,ROW()-4,$A$4)))</f>
        <v/>
      </c>
      <c r="B852" s="41" t="str">
        <f aca="false">IF(A852="","",TRIM(INDEX('COOIS Raw'!$A:$GZ,ROW()-4,$B$4)))</f>
        <v/>
      </c>
      <c r="C852" s="42" t="str">
        <f aca="false">IF(OR(A852="",$C$4=0),"",INDEX('COOIS Raw'!$A:$GZ,ROW()-4,$C$4))</f>
        <v/>
      </c>
      <c r="D852" s="41" t="str">
        <f aca="false">IF(A852="","",IF($D$4=0,1,IFERROR(--INDEX('COOIS Raw'!$A:$GZ,ROW()-4,$D$4),1)))</f>
        <v/>
      </c>
      <c r="E852" s="42" t="str">
        <f aca="false">IF(A852="","",INDEX('COOIS Raw'!$A:$GZ,ROW()-4,$E$4)&amp;"")</f>
        <v/>
      </c>
      <c r="F852" s="43" t="str">
        <f aca="false">IF(A852="","",IFERROR(DATEVALUE(INDEX('COOIS Raw'!$A:$GZ,ROW()-4,$F$4)),INDEX('COOIS Raw'!$A:$GZ,ROW()-4,$F$4)))</f>
        <v/>
      </c>
      <c r="G852" s="41" t="str">
        <f aca="false">IF(A852="","",IF(ISNA(MATCH(B852,'Kitting Plan'!$B$6:$B$19,0)),"Not in plan","Yes"))</f>
        <v/>
      </c>
      <c r="H852" s="41" t="str">
        <f aca="false">IF(G852="Yes",INDEX('Kitting Plan'!$D$6:$D$19,MATCH(B852,'Kitting Plan'!$B$6:$B$19,0)),"")</f>
        <v/>
      </c>
      <c r="I852" s="41" t="str">
        <f aca="false">IF(A852="","",IF(ISNUMBER(SEARCH("PRT",E852)),D852,0))</f>
        <v/>
      </c>
      <c r="J852" s="41" t="str">
        <f aca="false">IF(A852="","",IF(ISNUMBER(SEARCH("GMPS",E852)),D852,0))</f>
        <v/>
      </c>
      <c r="K852" s="41" t="str">
        <f aca="false">IF(A852="","",IF(ISNUMBER(SEARCH("DLV",E852)),D852,0))</f>
        <v/>
      </c>
      <c r="L852" s="41" t="str">
        <f aca="false">IF(A852="","",IF(K852&gt;0,"Delivered",IF(ISNUMBER(SEARCH("CNF",E852)),"In production",IF(J852&gt;0,"Issued",IF(I852&gt;0,"Kitted","Released")))))</f>
        <v/>
      </c>
      <c r="M852" s="41" t="str">
        <f aca="false">IF(G852&lt;&gt;"Yes","",COUNTIFS($B$6:$B$1505,B852,$F$6:$F$1505,"&lt;"&amp;F852)+COUNTIFS($B$6:$B$1505,B852,$F$6:$F$1505,F852,$A$6:$A$1505,"&lt;="&amp;A852))</f>
        <v/>
      </c>
      <c r="N852" s="41" t="str">
        <f aca="false">IF(M852="","",ROUNDUP(M852/H852,0))</f>
        <v/>
      </c>
      <c r="O852" s="41" t="str">
        <f aca="false">IF(N852="","",IF(N852&lt;='Kitting Plan'!$C$3,"Rep "&amp;N852,"Surplus"))</f>
        <v/>
      </c>
    </row>
    <row r="853" customFormat="false" ht="15" hidden="false" customHeight="false" outlineLevel="0" collapsed="false">
      <c r="A853" s="40" t="str">
        <f aca="false">IF(OR($A$4=0,INDEX('COOIS Raw'!$A:$GZ,ROW()-4,$A$4)=""),"",IFERROR(--INDEX('COOIS Raw'!$A:$GZ,ROW()-4,$A$4),INDEX('COOIS Raw'!$A:$GZ,ROW()-4,$A$4)))</f>
        <v/>
      </c>
      <c r="B853" s="41" t="str">
        <f aca="false">IF(A853="","",TRIM(INDEX('COOIS Raw'!$A:$GZ,ROW()-4,$B$4)))</f>
        <v/>
      </c>
      <c r="C853" s="42" t="str">
        <f aca="false">IF(OR(A853="",$C$4=0),"",INDEX('COOIS Raw'!$A:$GZ,ROW()-4,$C$4))</f>
        <v/>
      </c>
      <c r="D853" s="41" t="str">
        <f aca="false">IF(A853="","",IF($D$4=0,1,IFERROR(--INDEX('COOIS Raw'!$A:$GZ,ROW()-4,$D$4),1)))</f>
        <v/>
      </c>
      <c r="E853" s="42" t="str">
        <f aca="false">IF(A853="","",INDEX('COOIS Raw'!$A:$GZ,ROW()-4,$E$4)&amp;"")</f>
        <v/>
      </c>
      <c r="F853" s="43" t="str">
        <f aca="false">IF(A853="","",IFERROR(DATEVALUE(INDEX('COOIS Raw'!$A:$GZ,ROW()-4,$F$4)),INDEX('COOIS Raw'!$A:$GZ,ROW()-4,$F$4)))</f>
        <v/>
      </c>
      <c r="G853" s="41" t="str">
        <f aca="false">IF(A853="","",IF(ISNA(MATCH(B853,'Kitting Plan'!$B$6:$B$19,0)),"Not in plan","Yes"))</f>
        <v/>
      </c>
      <c r="H853" s="41" t="str">
        <f aca="false">IF(G853="Yes",INDEX('Kitting Plan'!$D$6:$D$19,MATCH(B853,'Kitting Plan'!$B$6:$B$19,0)),"")</f>
        <v/>
      </c>
      <c r="I853" s="41" t="str">
        <f aca="false">IF(A853="","",IF(ISNUMBER(SEARCH("PRT",E853)),D853,0))</f>
        <v/>
      </c>
      <c r="J853" s="41" t="str">
        <f aca="false">IF(A853="","",IF(ISNUMBER(SEARCH("GMPS",E853)),D853,0))</f>
        <v/>
      </c>
      <c r="K853" s="41" t="str">
        <f aca="false">IF(A853="","",IF(ISNUMBER(SEARCH("DLV",E853)),D853,0))</f>
        <v/>
      </c>
      <c r="L853" s="41" t="str">
        <f aca="false">IF(A853="","",IF(K853&gt;0,"Delivered",IF(ISNUMBER(SEARCH("CNF",E853)),"In production",IF(J853&gt;0,"Issued",IF(I853&gt;0,"Kitted","Released")))))</f>
        <v/>
      </c>
      <c r="M853" s="41" t="str">
        <f aca="false">IF(G853&lt;&gt;"Yes","",COUNTIFS($B$6:$B$1505,B853,$F$6:$F$1505,"&lt;"&amp;F853)+COUNTIFS($B$6:$B$1505,B853,$F$6:$F$1505,F853,$A$6:$A$1505,"&lt;="&amp;A853))</f>
        <v/>
      </c>
      <c r="N853" s="41" t="str">
        <f aca="false">IF(M853="","",ROUNDUP(M853/H853,0))</f>
        <v/>
      </c>
      <c r="O853" s="41" t="str">
        <f aca="false">IF(N853="","",IF(N853&lt;='Kitting Plan'!$C$3,"Rep "&amp;N853,"Surplus"))</f>
        <v/>
      </c>
    </row>
    <row r="854" customFormat="false" ht="15" hidden="false" customHeight="false" outlineLevel="0" collapsed="false">
      <c r="A854" s="40" t="str">
        <f aca="false">IF(OR($A$4=0,INDEX('COOIS Raw'!$A:$GZ,ROW()-4,$A$4)=""),"",IFERROR(--INDEX('COOIS Raw'!$A:$GZ,ROW()-4,$A$4),INDEX('COOIS Raw'!$A:$GZ,ROW()-4,$A$4)))</f>
        <v/>
      </c>
      <c r="B854" s="41" t="str">
        <f aca="false">IF(A854="","",TRIM(INDEX('COOIS Raw'!$A:$GZ,ROW()-4,$B$4)))</f>
        <v/>
      </c>
      <c r="C854" s="42" t="str">
        <f aca="false">IF(OR(A854="",$C$4=0),"",INDEX('COOIS Raw'!$A:$GZ,ROW()-4,$C$4))</f>
        <v/>
      </c>
      <c r="D854" s="41" t="str">
        <f aca="false">IF(A854="","",IF($D$4=0,1,IFERROR(--INDEX('COOIS Raw'!$A:$GZ,ROW()-4,$D$4),1)))</f>
        <v/>
      </c>
      <c r="E854" s="42" t="str">
        <f aca="false">IF(A854="","",INDEX('COOIS Raw'!$A:$GZ,ROW()-4,$E$4)&amp;"")</f>
        <v/>
      </c>
      <c r="F854" s="43" t="str">
        <f aca="false">IF(A854="","",IFERROR(DATEVALUE(INDEX('COOIS Raw'!$A:$GZ,ROW()-4,$F$4)),INDEX('COOIS Raw'!$A:$GZ,ROW()-4,$F$4)))</f>
        <v/>
      </c>
      <c r="G854" s="41" t="str">
        <f aca="false">IF(A854="","",IF(ISNA(MATCH(B854,'Kitting Plan'!$B$6:$B$19,0)),"Not in plan","Yes"))</f>
        <v/>
      </c>
      <c r="H854" s="41" t="str">
        <f aca="false">IF(G854="Yes",INDEX('Kitting Plan'!$D$6:$D$19,MATCH(B854,'Kitting Plan'!$B$6:$B$19,0)),"")</f>
        <v/>
      </c>
      <c r="I854" s="41" t="str">
        <f aca="false">IF(A854="","",IF(ISNUMBER(SEARCH("PRT",E854)),D854,0))</f>
        <v/>
      </c>
      <c r="J854" s="41" t="str">
        <f aca="false">IF(A854="","",IF(ISNUMBER(SEARCH("GMPS",E854)),D854,0))</f>
        <v/>
      </c>
      <c r="K854" s="41" t="str">
        <f aca="false">IF(A854="","",IF(ISNUMBER(SEARCH("DLV",E854)),D854,0))</f>
        <v/>
      </c>
      <c r="L854" s="41" t="str">
        <f aca="false">IF(A854="","",IF(K854&gt;0,"Delivered",IF(ISNUMBER(SEARCH("CNF",E854)),"In production",IF(J854&gt;0,"Issued",IF(I854&gt;0,"Kitted","Released")))))</f>
        <v/>
      </c>
      <c r="M854" s="41" t="str">
        <f aca="false">IF(G854&lt;&gt;"Yes","",COUNTIFS($B$6:$B$1505,B854,$F$6:$F$1505,"&lt;"&amp;F854)+COUNTIFS($B$6:$B$1505,B854,$F$6:$F$1505,F854,$A$6:$A$1505,"&lt;="&amp;A854))</f>
        <v/>
      </c>
      <c r="N854" s="41" t="str">
        <f aca="false">IF(M854="","",ROUNDUP(M854/H854,0))</f>
        <v/>
      </c>
      <c r="O854" s="41" t="str">
        <f aca="false">IF(N854="","",IF(N854&lt;='Kitting Plan'!$C$3,"Rep "&amp;N854,"Surplus"))</f>
        <v/>
      </c>
    </row>
    <row r="855" customFormat="false" ht="15" hidden="false" customHeight="false" outlineLevel="0" collapsed="false">
      <c r="A855" s="40" t="str">
        <f aca="false">IF(OR($A$4=0,INDEX('COOIS Raw'!$A:$GZ,ROW()-4,$A$4)=""),"",IFERROR(--INDEX('COOIS Raw'!$A:$GZ,ROW()-4,$A$4),INDEX('COOIS Raw'!$A:$GZ,ROW()-4,$A$4)))</f>
        <v/>
      </c>
      <c r="B855" s="41" t="str">
        <f aca="false">IF(A855="","",TRIM(INDEX('COOIS Raw'!$A:$GZ,ROW()-4,$B$4)))</f>
        <v/>
      </c>
      <c r="C855" s="42" t="str">
        <f aca="false">IF(OR(A855="",$C$4=0),"",INDEX('COOIS Raw'!$A:$GZ,ROW()-4,$C$4))</f>
        <v/>
      </c>
      <c r="D855" s="41" t="str">
        <f aca="false">IF(A855="","",IF($D$4=0,1,IFERROR(--INDEX('COOIS Raw'!$A:$GZ,ROW()-4,$D$4),1)))</f>
        <v/>
      </c>
      <c r="E855" s="42" t="str">
        <f aca="false">IF(A855="","",INDEX('COOIS Raw'!$A:$GZ,ROW()-4,$E$4)&amp;"")</f>
        <v/>
      </c>
      <c r="F855" s="43" t="str">
        <f aca="false">IF(A855="","",IFERROR(DATEVALUE(INDEX('COOIS Raw'!$A:$GZ,ROW()-4,$F$4)),INDEX('COOIS Raw'!$A:$GZ,ROW()-4,$F$4)))</f>
        <v/>
      </c>
      <c r="G855" s="41" t="str">
        <f aca="false">IF(A855="","",IF(ISNA(MATCH(B855,'Kitting Plan'!$B$6:$B$19,0)),"Not in plan","Yes"))</f>
        <v/>
      </c>
      <c r="H855" s="41" t="str">
        <f aca="false">IF(G855="Yes",INDEX('Kitting Plan'!$D$6:$D$19,MATCH(B855,'Kitting Plan'!$B$6:$B$19,0)),"")</f>
        <v/>
      </c>
      <c r="I855" s="41" t="str">
        <f aca="false">IF(A855="","",IF(ISNUMBER(SEARCH("PRT",E855)),D855,0))</f>
        <v/>
      </c>
      <c r="J855" s="41" t="str">
        <f aca="false">IF(A855="","",IF(ISNUMBER(SEARCH("GMPS",E855)),D855,0))</f>
        <v/>
      </c>
      <c r="K855" s="41" t="str">
        <f aca="false">IF(A855="","",IF(ISNUMBER(SEARCH("DLV",E855)),D855,0))</f>
        <v/>
      </c>
      <c r="L855" s="41" t="str">
        <f aca="false">IF(A855="","",IF(K855&gt;0,"Delivered",IF(ISNUMBER(SEARCH("CNF",E855)),"In production",IF(J855&gt;0,"Issued",IF(I855&gt;0,"Kitted","Released")))))</f>
        <v/>
      </c>
      <c r="M855" s="41" t="str">
        <f aca="false">IF(G855&lt;&gt;"Yes","",COUNTIFS($B$6:$B$1505,B855,$F$6:$F$1505,"&lt;"&amp;F855)+COUNTIFS($B$6:$B$1505,B855,$F$6:$F$1505,F855,$A$6:$A$1505,"&lt;="&amp;A855))</f>
        <v/>
      </c>
      <c r="N855" s="41" t="str">
        <f aca="false">IF(M855="","",ROUNDUP(M855/H855,0))</f>
        <v/>
      </c>
      <c r="O855" s="41" t="str">
        <f aca="false">IF(N855="","",IF(N855&lt;='Kitting Plan'!$C$3,"Rep "&amp;N855,"Surplus"))</f>
        <v/>
      </c>
    </row>
    <row r="856" customFormat="false" ht="15" hidden="false" customHeight="false" outlineLevel="0" collapsed="false">
      <c r="A856" s="40" t="str">
        <f aca="false">IF(OR($A$4=0,INDEX('COOIS Raw'!$A:$GZ,ROW()-4,$A$4)=""),"",IFERROR(--INDEX('COOIS Raw'!$A:$GZ,ROW()-4,$A$4),INDEX('COOIS Raw'!$A:$GZ,ROW()-4,$A$4)))</f>
        <v/>
      </c>
      <c r="B856" s="41" t="str">
        <f aca="false">IF(A856="","",TRIM(INDEX('COOIS Raw'!$A:$GZ,ROW()-4,$B$4)))</f>
        <v/>
      </c>
      <c r="C856" s="42" t="str">
        <f aca="false">IF(OR(A856="",$C$4=0),"",INDEX('COOIS Raw'!$A:$GZ,ROW()-4,$C$4))</f>
        <v/>
      </c>
      <c r="D856" s="41" t="str">
        <f aca="false">IF(A856="","",IF($D$4=0,1,IFERROR(--INDEX('COOIS Raw'!$A:$GZ,ROW()-4,$D$4),1)))</f>
        <v/>
      </c>
      <c r="E856" s="42" t="str">
        <f aca="false">IF(A856="","",INDEX('COOIS Raw'!$A:$GZ,ROW()-4,$E$4)&amp;"")</f>
        <v/>
      </c>
      <c r="F856" s="43" t="str">
        <f aca="false">IF(A856="","",IFERROR(DATEVALUE(INDEX('COOIS Raw'!$A:$GZ,ROW()-4,$F$4)),INDEX('COOIS Raw'!$A:$GZ,ROW()-4,$F$4)))</f>
        <v/>
      </c>
      <c r="G856" s="41" t="str">
        <f aca="false">IF(A856="","",IF(ISNA(MATCH(B856,'Kitting Plan'!$B$6:$B$19,0)),"Not in plan","Yes"))</f>
        <v/>
      </c>
      <c r="H856" s="41" t="str">
        <f aca="false">IF(G856="Yes",INDEX('Kitting Plan'!$D$6:$D$19,MATCH(B856,'Kitting Plan'!$B$6:$B$19,0)),"")</f>
        <v/>
      </c>
      <c r="I856" s="41" t="str">
        <f aca="false">IF(A856="","",IF(ISNUMBER(SEARCH("PRT",E856)),D856,0))</f>
        <v/>
      </c>
      <c r="J856" s="41" t="str">
        <f aca="false">IF(A856="","",IF(ISNUMBER(SEARCH("GMPS",E856)),D856,0))</f>
        <v/>
      </c>
      <c r="K856" s="41" t="str">
        <f aca="false">IF(A856="","",IF(ISNUMBER(SEARCH("DLV",E856)),D856,0))</f>
        <v/>
      </c>
      <c r="L856" s="41" t="str">
        <f aca="false">IF(A856="","",IF(K856&gt;0,"Delivered",IF(ISNUMBER(SEARCH("CNF",E856)),"In production",IF(J856&gt;0,"Issued",IF(I856&gt;0,"Kitted","Released")))))</f>
        <v/>
      </c>
      <c r="M856" s="41" t="str">
        <f aca="false">IF(G856&lt;&gt;"Yes","",COUNTIFS($B$6:$B$1505,B856,$F$6:$F$1505,"&lt;"&amp;F856)+COUNTIFS($B$6:$B$1505,B856,$F$6:$F$1505,F856,$A$6:$A$1505,"&lt;="&amp;A856))</f>
        <v/>
      </c>
      <c r="N856" s="41" t="str">
        <f aca="false">IF(M856="","",ROUNDUP(M856/H856,0))</f>
        <v/>
      </c>
      <c r="O856" s="41" t="str">
        <f aca="false">IF(N856="","",IF(N856&lt;='Kitting Plan'!$C$3,"Rep "&amp;N856,"Surplus"))</f>
        <v/>
      </c>
    </row>
    <row r="857" customFormat="false" ht="15" hidden="false" customHeight="false" outlineLevel="0" collapsed="false">
      <c r="A857" s="40" t="str">
        <f aca="false">IF(OR($A$4=0,INDEX('COOIS Raw'!$A:$GZ,ROW()-4,$A$4)=""),"",IFERROR(--INDEX('COOIS Raw'!$A:$GZ,ROW()-4,$A$4),INDEX('COOIS Raw'!$A:$GZ,ROW()-4,$A$4)))</f>
        <v/>
      </c>
      <c r="B857" s="41" t="str">
        <f aca="false">IF(A857="","",TRIM(INDEX('COOIS Raw'!$A:$GZ,ROW()-4,$B$4)))</f>
        <v/>
      </c>
      <c r="C857" s="42" t="str">
        <f aca="false">IF(OR(A857="",$C$4=0),"",INDEX('COOIS Raw'!$A:$GZ,ROW()-4,$C$4))</f>
        <v/>
      </c>
      <c r="D857" s="41" t="str">
        <f aca="false">IF(A857="","",IF($D$4=0,1,IFERROR(--INDEX('COOIS Raw'!$A:$GZ,ROW()-4,$D$4),1)))</f>
        <v/>
      </c>
      <c r="E857" s="42" t="str">
        <f aca="false">IF(A857="","",INDEX('COOIS Raw'!$A:$GZ,ROW()-4,$E$4)&amp;"")</f>
        <v/>
      </c>
      <c r="F857" s="43" t="str">
        <f aca="false">IF(A857="","",IFERROR(DATEVALUE(INDEX('COOIS Raw'!$A:$GZ,ROW()-4,$F$4)),INDEX('COOIS Raw'!$A:$GZ,ROW()-4,$F$4)))</f>
        <v/>
      </c>
      <c r="G857" s="41" t="str">
        <f aca="false">IF(A857="","",IF(ISNA(MATCH(B857,'Kitting Plan'!$B$6:$B$19,0)),"Not in plan","Yes"))</f>
        <v/>
      </c>
      <c r="H857" s="41" t="str">
        <f aca="false">IF(G857="Yes",INDEX('Kitting Plan'!$D$6:$D$19,MATCH(B857,'Kitting Plan'!$B$6:$B$19,0)),"")</f>
        <v/>
      </c>
      <c r="I857" s="41" t="str">
        <f aca="false">IF(A857="","",IF(ISNUMBER(SEARCH("PRT",E857)),D857,0))</f>
        <v/>
      </c>
      <c r="J857" s="41" t="str">
        <f aca="false">IF(A857="","",IF(ISNUMBER(SEARCH("GMPS",E857)),D857,0))</f>
        <v/>
      </c>
      <c r="K857" s="41" t="str">
        <f aca="false">IF(A857="","",IF(ISNUMBER(SEARCH("DLV",E857)),D857,0))</f>
        <v/>
      </c>
      <c r="L857" s="41" t="str">
        <f aca="false">IF(A857="","",IF(K857&gt;0,"Delivered",IF(ISNUMBER(SEARCH("CNF",E857)),"In production",IF(J857&gt;0,"Issued",IF(I857&gt;0,"Kitted","Released")))))</f>
        <v/>
      </c>
      <c r="M857" s="41" t="str">
        <f aca="false">IF(G857&lt;&gt;"Yes","",COUNTIFS($B$6:$B$1505,B857,$F$6:$F$1505,"&lt;"&amp;F857)+COUNTIFS($B$6:$B$1505,B857,$F$6:$F$1505,F857,$A$6:$A$1505,"&lt;="&amp;A857))</f>
        <v/>
      </c>
      <c r="N857" s="41" t="str">
        <f aca="false">IF(M857="","",ROUNDUP(M857/H857,0))</f>
        <v/>
      </c>
      <c r="O857" s="41" t="str">
        <f aca="false">IF(N857="","",IF(N857&lt;='Kitting Plan'!$C$3,"Rep "&amp;N857,"Surplus"))</f>
        <v/>
      </c>
    </row>
    <row r="858" customFormat="false" ht="15" hidden="false" customHeight="false" outlineLevel="0" collapsed="false">
      <c r="A858" s="40" t="str">
        <f aca="false">IF(OR($A$4=0,INDEX('COOIS Raw'!$A:$GZ,ROW()-4,$A$4)=""),"",IFERROR(--INDEX('COOIS Raw'!$A:$GZ,ROW()-4,$A$4),INDEX('COOIS Raw'!$A:$GZ,ROW()-4,$A$4)))</f>
        <v/>
      </c>
      <c r="B858" s="41" t="str">
        <f aca="false">IF(A858="","",TRIM(INDEX('COOIS Raw'!$A:$GZ,ROW()-4,$B$4)))</f>
        <v/>
      </c>
      <c r="C858" s="42" t="str">
        <f aca="false">IF(OR(A858="",$C$4=0),"",INDEX('COOIS Raw'!$A:$GZ,ROW()-4,$C$4))</f>
        <v/>
      </c>
      <c r="D858" s="41" t="str">
        <f aca="false">IF(A858="","",IF($D$4=0,1,IFERROR(--INDEX('COOIS Raw'!$A:$GZ,ROW()-4,$D$4),1)))</f>
        <v/>
      </c>
      <c r="E858" s="42" t="str">
        <f aca="false">IF(A858="","",INDEX('COOIS Raw'!$A:$GZ,ROW()-4,$E$4)&amp;"")</f>
        <v/>
      </c>
      <c r="F858" s="43" t="str">
        <f aca="false">IF(A858="","",IFERROR(DATEVALUE(INDEX('COOIS Raw'!$A:$GZ,ROW()-4,$F$4)),INDEX('COOIS Raw'!$A:$GZ,ROW()-4,$F$4)))</f>
        <v/>
      </c>
      <c r="G858" s="41" t="str">
        <f aca="false">IF(A858="","",IF(ISNA(MATCH(B858,'Kitting Plan'!$B$6:$B$19,0)),"Not in plan","Yes"))</f>
        <v/>
      </c>
      <c r="H858" s="41" t="str">
        <f aca="false">IF(G858="Yes",INDEX('Kitting Plan'!$D$6:$D$19,MATCH(B858,'Kitting Plan'!$B$6:$B$19,0)),"")</f>
        <v/>
      </c>
      <c r="I858" s="41" t="str">
        <f aca="false">IF(A858="","",IF(ISNUMBER(SEARCH("PRT",E858)),D858,0))</f>
        <v/>
      </c>
      <c r="J858" s="41" t="str">
        <f aca="false">IF(A858="","",IF(ISNUMBER(SEARCH("GMPS",E858)),D858,0))</f>
        <v/>
      </c>
      <c r="K858" s="41" t="str">
        <f aca="false">IF(A858="","",IF(ISNUMBER(SEARCH("DLV",E858)),D858,0))</f>
        <v/>
      </c>
      <c r="L858" s="41" t="str">
        <f aca="false">IF(A858="","",IF(K858&gt;0,"Delivered",IF(ISNUMBER(SEARCH("CNF",E858)),"In production",IF(J858&gt;0,"Issued",IF(I858&gt;0,"Kitted","Released")))))</f>
        <v/>
      </c>
      <c r="M858" s="41" t="str">
        <f aca="false">IF(G858&lt;&gt;"Yes","",COUNTIFS($B$6:$B$1505,B858,$F$6:$F$1505,"&lt;"&amp;F858)+COUNTIFS($B$6:$B$1505,B858,$F$6:$F$1505,F858,$A$6:$A$1505,"&lt;="&amp;A858))</f>
        <v/>
      </c>
      <c r="N858" s="41" t="str">
        <f aca="false">IF(M858="","",ROUNDUP(M858/H858,0))</f>
        <v/>
      </c>
      <c r="O858" s="41" t="str">
        <f aca="false">IF(N858="","",IF(N858&lt;='Kitting Plan'!$C$3,"Rep "&amp;N858,"Surplus"))</f>
        <v/>
      </c>
    </row>
    <row r="859" customFormat="false" ht="15" hidden="false" customHeight="false" outlineLevel="0" collapsed="false">
      <c r="A859" s="40" t="str">
        <f aca="false">IF(OR($A$4=0,INDEX('COOIS Raw'!$A:$GZ,ROW()-4,$A$4)=""),"",IFERROR(--INDEX('COOIS Raw'!$A:$GZ,ROW()-4,$A$4),INDEX('COOIS Raw'!$A:$GZ,ROW()-4,$A$4)))</f>
        <v/>
      </c>
      <c r="B859" s="41" t="str">
        <f aca="false">IF(A859="","",TRIM(INDEX('COOIS Raw'!$A:$GZ,ROW()-4,$B$4)))</f>
        <v/>
      </c>
      <c r="C859" s="42" t="str">
        <f aca="false">IF(OR(A859="",$C$4=0),"",INDEX('COOIS Raw'!$A:$GZ,ROW()-4,$C$4))</f>
        <v/>
      </c>
      <c r="D859" s="41" t="str">
        <f aca="false">IF(A859="","",IF($D$4=0,1,IFERROR(--INDEX('COOIS Raw'!$A:$GZ,ROW()-4,$D$4),1)))</f>
        <v/>
      </c>
      <c r="E859" s="42" t="str">
        <f aca="false">IF(A859="","",INDEX('COOIS Raw'!$A:$GZ,ROW()-4,$E$4)&amp;"")</f>
        <v/>
      </c>
      <c r="F859" s="43" t="str">
        <f aca="false">IF(A859="","",IFERROR(DATEVALUE(INDEX('COOIS Raw'!$A:$GZ,ROW()-4,$F$4)),INDEX('COOIS Raw'!$A:$GZ,ROW()-4,$F$4)))</f>
        <v/>
      </c>
      <c r="G859" s="41" t="str">
        <f aca="false">IF(A859="","",IF(ISNA(MATCH(B859,'Kitting Plan'!$B$6:$B$19,0)),"Not in plan","Yes"))</f>
        <v/>
      </c>
      <c r="H859" s="41" t="str">
        <f aca="false">IF(G859="Yes",INDEX('Kitting Plan'!$D$6:$D$19,MATCH(B859,'Kitting Plan'!$B$6:$B$19,0)),"")</f>
        <v/>
      </c>
      <c r="I859" s="41" t="str">
        <f aca="false">IF(A859="","",IF(ISNUMBER(SEARCH("PRT",E859)),D859,0))</f>
        <v/>
      </c>
      <c r="J859" s="41" t="str">
        <f aca="false">IF(A859="","",IF(ISNUMBER(SEARCH("GMPS",E859)),D859,0))</f>
        <v/>
      </c>
      <c r="K859" s="41" t="str">
        <f aca="false">IF(A859="","",IF(ISNUMBER(SEARCH("DLV",E859)),D859,0))</f>
        <v/>
      </c>
      <c r="L859" s="41" t="str">
        <f aca="false">IF(A859="","",IF(K859&gt;0,"Delivered",IF(ISNUMBER(SEARCH("CNF",E859)),"In production",IF(J859&gt;0,"Issued",IF(I859&gt;0,"Kitted","Released")))))</f>
        <v/>
      </c>
      <c r="M859" s="41" t="str">
        <f aca="false">IF(G859&lt;&gt;"Yes","",COUNTIFS($B$6:$B$1505,B859,$F$6:$F$1505,"&lt;"&amp;F859)+COUNTIFS($B$6:$B$1505,B859,$F$6:$F$1505,F859,$A$6:$A$1505,"&lt;="&amp;A859))</f>
        <v/>
      </c>
      <c r="N859" s="41" t="str">
        <f aca="false">IF(M859="","",ROUNDUP(M859/H859,0))</f>
        <v/>
      </c>
      <c r="O859" s="41" t="str">
        <f aca="false">IF(N859="","",IF(N859&lt;='Kitting Plan'!$C$3,"Rep "&amp;N859,"Surplus"))</f>
        <v/>
      </c>
    </row>
    <row r="860" customFormat="false" ht="15" hidden="false" customHeight="false" outlineLevel="0" collapsed="false">
      <c r="A860" s="40" t="str">
        <f aca="false">IF(OR($A$4=0,INDEX('COOIS Raw'!$A:$GZ,ROW()-4,$A$4)=""),"",IFERROR(--INDEX('COOIS Raw'!$A:$GZ,ROW()-4,$A$4),INDEX('COOIS Raw'!$A:$GZ,ROW()-4,$A$4)))</f>
        <v/>
      </c>
      <c r="B860" s="41" t="str">
        <f aca="false">IF(A860="","",TRIM(INDEX('COOIS Raw'!$A:$GZ,ROW()-4,$B$4)))</f>
        <v/>
      </c>
      <c r="C860" s="42" t="str">
        <f aca="false">IF(OR(A860="",$C$4=0),"",INDEX('COOIS Raw'!$A:$GZ,ROW()-4,$C$4))</f>
        <v/>
      </c>
      <c r="D860" s="41" t="str">
        <f aca="false">IF(A860="","",IF($D$4=0,1,IFERROR(--INDEX('COOIS Raw'!$A:$GZ,ROW()-4,$D$4),1)))</f>
        <v/>
      </c>
      <c r="E860" s="42" t="str">
        <f aca="false">IF(A860="","",INDEX('COOIS Raw'!$A:$GZ,ROW()-4,$E$4)&amp;"")</f>
        <v/>
      </c>
      <c r="F860" s="43" t="str">
        <f aca="false">IF(A860="","",IFERROR(DATEVALUE(INDEX('COOIS Raw'!$A:$GZ,ROW()-4,$F$4)),INDEX('COOIS Raw'!$A:$GZ,ROW()-4,$F$4)))</f>
        <v/>
      </c>
      <c r="G860" s="41" t="str">
        <f aca="false">IF(A860="","",IF(ISNA(MATCH(B860,'Kitting Plan'!$B$6:$B$19,0)),"Not in plan","Yes"))</f>
        <v/>
      </c>
      <c r="H860" s="41" t="str">
        <f aca="false">IF(G860="Yes",INDEX('Kitting Plan'!$D$6:$D$19,MATCH(B860,'Kitting Plan'!$B$6:$B$19,0)),"")</f>
        <v/>
      </c>
      <c r="I860" s="41" t="str">
        <f aca="false">IF(A860="","",IF(ISNUMBER(SEARCH("PRT",E860)),D860,0))</f>
        <v/>
      </c>
      <c r="J860" s="41" t="str">
        <f aca="false">IF(A860="","",IF(ISNUMBER(SEARCH("GMPS",E860)),D860,0))</f>
        <v/>
      </c>
      <c r="K860" s="41" t="str">
        <f aca="false">IF(A860="","",IF(ISNUMBER(SEARCH("DLV",E860)),D860,0))</f>
        <v/>
      </c>
      <c r="L860" s="41" t="str">
        <f aca="false">IF(A860="","",IF(K860&gt;0,"Delivered",IF(ISNUMBER(SEARCH("CNF",E860)),"In production",IF(J860&gt;0,"Issued",IF(I860&gt;0,"Kitted","Released")))))</f>
        <v/>
      </c>
      <c r="M860" s="41" t="str">
        <f aca="false">IF(G860&lt;&gt;"Yes","",COUNTIFS($B$6:$B$1505,B860,$F$6:$F$1505,"&lt;"&amp;F860)+COUNTIFS($B$6:$B$1505,B860,$F$6:$F$1505,F860,$A$6:$A$1505,"&lt;="&amp;A860))</f>
        <v/>
      </c>
      <c r="N860" s="41" t="str">
        <f aca="false">IF(M860="","",ROUNDUP(M860/H860,0))</f>
        <v/>
      </c>
      <c r="O860" s="41" t="str">
        <f aca="false">IF(N860="","",IF(N860&lt;='Kitting Plan'!$C$3,"Rep "&amp;N860,"Surplus"))</f>
        <v/>
      </c>
    </row>
    <row r="861" customFormat="false" ht="15" hidden="false" customHeight="false" outlineLevel="0" collapsed="false">
      <c r="A861" s="40" t="str">
        <f aca="false">IF(OR($A$4=0,INDEX('COOIS Raw'!$A:$GZ,ROW()-4,$A$4)=""),"",IFERROR(--INDEX('COOIS Raw'!$A:$GZ,ROW()-4,$A$4),INDEX('COOIS Raw'!$A:$GZ,ROW()-4,$A$4)))</f>
        <v/>
      </c>
      <c r="B861" s="41" t="str">
        <f aca="false">IF(A861="","",TRIM(INDEX('COOIS Raw'!$A:$GZ,ROW()-4,$B$4)))</f>
        <v/>
      </c>
      <c r="C861" s="42" t="str">
        <f aca="false">IF(OR(A861="",$C$4=0),"",INDEX('COOIS Raw'!$A:$GZ,ROW()-4,$C$4))</f>
        <v/>
      </c>
      <c r="D861" s="41" t="str">
        <f aca="false">IF(A861="","",IF($D$4=0,1,IFERROR(--INDEX('COOIS Raw'!$A:$GZ,ROW()-4,$D$4),1)))</f>
        <v/>
      </c>
      <c r="E861" s="42" t="str">
        <f aca="false">IF(A861="","",INDEX('COOIS Raw'!$A:$GZ,ROW()-4,$E$4)&amp;"")</f>
        <v/>
      </c>
      <c r="F861" s="43" t="str">
        <f aca="false">IF(A861="","",IFERROR(DATEVALUE(INDEX('COOIS Raw'!$A:$GZ,ROW()-4,$F$4)),INDEX('COOIS Raw'!$A:$GZ,ROW()-4,$F$4)))</f>
        <v/>
      </c>
      <c r="G861" s="41" t="str">
        <f aca="false">IF(A861="","",IF(ISNA(MATCH(B861,'Kitting Plan'!$B$6:$B$19,0)),"Not in plan","Yes"))</f>
        <v/>
      </c>
      <c r="H861" s="41" t="str">
        <f aca="false">IF(G861="Yes",INDEX('Kitting Plan'!$D$6:$D$19,MATCH(B861,'Kitting Plan'!$B$6:$B$19,0)),"")</f>
        <v/>
      </c>
      <c r="I861" s="41" t="str">
        <f aca="false">IF(A861="","",IF(ISNUMBER(SEARCH("PRT",E861)),D861,0))</f>
        <v/>
      </c>
      <c r="J861" s="41" t="str">
        <f aca="false">IF(A861="","",IF(ISNUMBER(SEARCH("GMPS",E861)),D861,0))</f>
        <v/>
      </c>
      <c r="K861" s="41" t="str">
        <f aca="false">IF(A861="","",IF(ISNUMBER(SEARCH("DLV",E861)),D861,0))</f>
        <v/>
      </c>
      <c r="L861" s="41" t="str">
        <f aca="false">IF(A861="","",IF(K861&gt;0,"Delivered",IF(ISNUMBER(SEARCH("CNF",E861)),"In production",IF(J861&gt;0,"Issued",IF(I861&gt;0,"Kitted","Released")))))</f>
        <v/>
      </c>
      <c r="M861" s="41" t="str">
        <f aca="false">IF(G861&lt;&gt;"Yes","",COUNTIFS($B$6:$B$1505,B861,$F$6:$F$1505,"&lt;"&amp;F861)+COUNTIFS($B$6:$B$1505,B861,$F$6:$F$1505,F861,$A$6:$A$1505,"&lt;="&amp;A861))</f>
        <v/>
      </c>
      <c r="N861" s="41" t="str">
        <f aca="false">IF(M861="","",ROUNDUP(M861/H861,0))</f>
        <v/>
      </c>
      <c r="O861" s="41" t="str">
        <f aca="false">IF(N861="","",IF(N861&lt;='Kitting Plan'!$C$3,"Rep "&amp;N861,"Surplus"))</f>
        <v/>
      </c>
    </row>
    <row r="862" customFormat="false" ht="15" hidden="false" customHeight="false" outlineLevel="0" collapsed="false">
      <c r="A862" s="40" t="str">
        <f aca="false">IF(OR($A$4=0,INDEX('COOIS Raw'!$A:$GZ,ROW()-4,$A$4)=""),"",IFERROR(--INDEX('COOIS Raw'!$A:$GZ,ROW()-4,$A$4),INDEX('COOIS Raw'!$A:$GZ,ROW()-4,$A$4)))</f>
        <v/>
      </c>
      <c r="B862" s="41" t="str">
        <f aca="false">IF(A862="","",TRIM(INDEX('COOIS Raw'!$A:$GZ,ROW()-4,$B$4)))</f>
        <v/>
      </c>
      <c r="C862" s="42" t="str">
        <f aca="false">IF(OR(A862="",$C$4=0),"",INDEX('COOIS Raw'!$A:$GZ,ROW()-4,$C$4))</f>
        <v/>
      </c>
      <c r="D862" s="41" t="str">
        <f aca="false">IF(A862="","",IF($D$4=0,1,IFERROR(--INDEX('COOIS Raw'!$A:$GZ,ROW()-4,$D$4),1)))</f>
        <v/>
      </c>
      <c r="E862" s="42" t="str">
        <f aca="false">IF(A862="","",INDEX('COOIS Raw'!$A:$GZ,ROW()-4,$E$4)&amp;"")</f>
        <v/>
      </c>
      <c r="F862" s="43" t="str">
        <f aca="false">IF(A862="","",IFERROR(DATEVALUE(INDEX('COOIS Raw'!$A:$GZ,ROW()-4,$F$4)),INDEX('COOIS Raw'!$A:$GZ,ROW()-4,$F$4)))</f>
        <v/>
      </c>
      <c r="G862" s="41" t="str">
        <f aca="false">IF(A862="","",IF(ISNA(MATCH(B862,'Kitting Plan'!$B$6:$B$19,0)),"Not in plan","Yes"))</f>
        <v/>
      </c>
      <c r="H862" s="41" t="str">
        <f aca="false">IF(G862="Yes",INDEX('Kitting Plan'!$D$6:$D$19,MATCH(B862,'Kitting Plan'!$B$6:$B$19,0)),"")</f>
        <v/>
      </c>
      <c r="I862" s="41" t="str">
        <f aca="false">IF(A862="","",IF(ISNUMBER(SEARCH("PRT",E862)),D862,0))</f>
        <v/>
      </c>
      <c r="J862" s="41" t="str">
        <f aca="false">IF(A862="","",IF(ISNUMBER(SEARCH("GMPS",E862)),D862,0))</f>
        <v/>
      </c>
      <c r="K862" s="41" t="str">
        <f aca="false">IF(A862="","",IF(ISNUMBER(SEARCH("DLV",E862)),D862,0))</f>
        <v/>
      </c>
      <c r="L862" s="41" t="str">
        <f aca="false">IF(A862="","",IF(K862&gt;0,"Delivered",IF(ISNUMBER(SEARCH("CNF",E862)),"In production",IF(J862&gt;0,"Issued",IF(I862&gt;0,"Kitted","Released")))))</f>
        <v/>
      </c>
      <c r="M862" s="41" t="str">
        <f aca="false">IF(G862&lt;&gt;"Yes","",COUNTIFS($B$6:$B$1505,B862,$F$6:$F$1505,"&lt;"&amp;F862)+COUNTIFS($B$6:$B$1505,B862,$F$6:$F$1505,F862,$A$6:$A$1505,"&lt;="&amp;A862))</f>
        <v/>
      </c>
      <c r="N862" s="41" t="str">
        <f aca="false">IF(M862="","",ROUNDUP(M862/H862,0))</f>
        <v/>
      </c>
      <c r="O862" s="41" t="str">
        <f aca="false">IF(N862="","",IF(N862&lt;='Kitting Plan'!$C$3,"Rep "&amp;N862,"Surplus"))</f>
        <v/>
      </c>
    </row>
    <row r="863" customFormat="false" ht="15" hidden="false" customHeight="false" outlineLevel="0" collapsed="false">
      <c r="A863" s="40" t="str">
        <f aca="false">IF(OR($A$4=0,INDEX('COOIS Raw'!$A:$GZ,ROW()-4,$A$4)=""),"",IFERROR(--INDEX('COOIS Raw'!$A:$GZ,ROW()-4,$A$4),INDEX('COOIS Raw'!$A:$GZ,ROW()-4,$A$4)))</f>
        <v/>
      </c>
      <c r="B863" s="41" t="str">
        <f aca="false">IF(A863="","",TRIM(INDEX('COOIS Raw'!$A:$GZ,ROW()-4,$B$4)))</f>
        <v/>
      </c>
      <c r="C863" s="42" t="str">
        <f aca="false">IF(OR(A863="",$C$4=0),"",INDEX('COOIS Raw'!$A:$GZ,ROW()-4,$C$4))</f>
        <v/>
      </c>
      <c r="D863" s="41" t="str">
        <f aca="false">IF(A863="","",IF($D$4=0,1,IFERROR(--INDEX('COOIS Raw'!$A:$GZ,ROW()-4,$D$4),1)))</f>
        <v/>
      </c>
      <c r="E863" s="42" t="str">
        <f aca="false">IF(A863="","",INDEX('COOIS Raw'!$A:$GZ,ROW()-4,$E$4)&amp;"")</f>
        <v/>
      </c>
      <c r="F863" s="43" t="str">
        <f aca="false">IF(A863="","",IFERROR(DATEVALUE(INDEX('COOIS Raw'!$A:$GZ,ROW()-4,$F$4)),INDEX('COOIS Raw'!$A:$GZ,ROW()-4,$F$4)))</f>
        <v/>
      </c>
      <c r="G863" s="41" t="str">
        <f aca="false">IF(A863="","",IF(ISNA(MATCH(B863,'Kitting Plan'!$B$6:$B$19,0)),"Not in plan","Yes"))</f>
        <v/>
      </c>
      <c r="H863" s="41" t="str">
        <f aca="false">IF(G863="Yes",INDEX('Kitting Plan'!$D$6:$D$19,MATCH(B863,'Kitting Plan'!$B$6:$B$19,0)),"")</f>
        <v/>
      </c>
      <c r="I863" s="41" t="str">
        <f aca="false">IF(A863="","",IF(ISNUMBER(SEARCH("PRT",E863)),D863,0))</f>
        <v/>
      </c>
      <c r="J863" s="41" t="str">
        <f aca="false">IF(A863="","",IF(ISNUMBER(SEARCH("GMPS",E863)),D863,0))</f>
        <v/>
      </c>
      <c r="K863" s="41" t="str">
        <f aca="false">IF(A863="","",IF(ISNUMBER(SEARCH("DLV",E863)),D863,0))</f>
        <v/>
      </c>
      <c r="L863" s="41" t="str">
        <f aca="false">IF(A863="","",IF(K863&gt;0,"Delivered",IF(ISNUMBER(SEARCH("CNF",E863)),"In production",IF(J863&gt;0,"Issued",IF(I863&gt;0,"Kitted","Released")))))</f>
        <v/>
      </c>
      <c r="M863" s="41" t="str">
        <f aca="false">IF(G863&lt;&gt;"Yes","",COUNTIFS($B$6:$B$1505,B863,$F$6:$F$1505,"&lt;"&amp;F863)+COUNTIFS($B$6:$B$1505,B863,$F$6:$F$1505,F863,$A$6:$A$1505,"&lt;="&amp;A863))</f>
        <v/>
      </c>
      <c r="N863" s="41" t="str">
        <f aca="false">IF(M863="","",ROUNDUP(M863/H863,0))</f>
        <v/>
      </c>
      <c r="O863" s="41" t="str">
        <f aca="false">IF(N863="","",IF(N863&lt;='Kitting Plan'!$C$3,"Rep "&amp;N863,"Surplus"))</f>
        <v/>
      </c>
    </row>
    <row r="864" customFormat="false" ht="15" hidden="false" customHeight="false" outlineLevel="0" collapsed="false">
      <c r="A864" s="40" t="str">
        <f aca="false">IF(OR($A$4=0,INDEX('COOIS Raw'!$A:$GZ,ROW()-4,$A$4)=""),"",IFERROR(--INDEX('COOIS Raw'!$A:$GZ,ROW()-4,$A$4),INDEX('COOIS Raw'!$A:$GZ,ROW()-4,$A$4)))</f>
        <v/>
      </c>
      <c r="B864" s="41" t="str">
        <f aca="false">IF(A864="","",TRIM(INDEX('COOIS Raw'!$A:$GZ,ROW()-4,$B$4)))</f>
        <v/>
      </c>
      <c r="C864" s="42" t="str">
        <f aca="false">IF(OR(A864="",$C$4=0),"",INDEX('COOIS Raw'!$A:$GZ,ROW()-4,$C$4))</f>
        <v/>
      </c>
      <c r="D864" s="41" t="str">
        <f aca="false">IF(A864="","",IF($D$4=0,1,IFERROR(--INDEX('COOIS Raw'!$A:$GZ,ROW()-4,$D$4),1)))</f>
        <v/>
      </c>
      <c r="E864" s="42" t="str">
        <f aca="false">IF(A864="","",INDEX('COOIS Raw'!$A:$GZ,ROW()-4,$E$4)&amp;"")</f>
        <v/>
      </c>
      <c r="F864" s="43" t="str">
        <f aca="false">IF(A864="","",IFERROR(DATEVALUE(INDEX('COOIS Raw'!$A:$GZ,ROW()-4,$F$4)),INDEX('COOIS Raw'!$A:$GZ,ROW()-4,$F$4)))</f>
        <v/>
      </c>
      <c r="G864" s="41" t="str">
        <f aca="false">IF(A864="","",IF(ISNA(MATCH(B864,'Kitting Plan'!$B$6:$B$19,0)),"Not in plan","Yes"))</f>
        <v/>
      </c>
      <c r="H864" s="41" t="str">
        <f aca="false">IF(G864="Yes",INDEX('Kitting Plan'!$D$6:$D$19,MATCH(B864,'Kitting Plan'!$B$6:$B$19,0)),"")</f>
        <v/>
      </c>
      <c r="I864" s="41" t="str">
        <f aca="false">IF(A864="","",IF(ISNUMBER(SEARCH("PRT",E864)),D864,0))</f>
        <v/>
      </c>
      <c r="J864" s="41" t="str">
        <f aca="false">IF(A864="","",IF(ISNUMBER(SEARCH("GMPS",E864)),D864,0))</f>
        <v/>
      </c>
      <c r="K864" s="41" t="str">
        <f aca="false">IF(A864="","",IF(ISNUMBER(SEARCH("DLV",E864)),D864,0))</f>
        <v/>
      </c>
      <c r="L864" s="41" t="str">
        <f aca="false">IF(A864="","",IF(K864&gt;0,"Delivered",IF(ISNUMBER(SEARCH("CNF",E864)),"In production",IF(J864&gt;0,"Issued",IF(I864&gt;0,"Kitted","Released")))))</f>
        <v/>
      </c>
      <c r="M864" s="41" t="str">
        <f aca="false">IF(G864&lt;&gt;"Yes","",COUNTIFS($B$6:$B$1505,B864,$F$6:$F$1505,"&lt;"&amp;F864)+COUNTIFS($B$6:$B$1505,B864,$F$6:$F$1505,F864,$A$6:$A$1505,"&lt;="&amp;A864))</f>
        <v/>
      </c>
      <c r="N864" s="41" t="str">
        <f aca="false">IF(M864="","",ROUNDUP(M864/H864,0))</f>
        <v/>
      </c>
      <c r="O864" s="41" t="str">
        <f aca="false">IF(N864="","",IF(N864&lt;='Kitting Plan'!$C$3,"Rep "&amp;N864,"Surplus"))</f>
        <v/>
      </c>
    </row>
    <row r="865" customFormat="false" ht="15" hidden="false" customHeight="false" outlineLevel="0" collapsed="false">
      <c r="A865" s="40" t="str">
        <f aca="false">IF(OR($A$4=0,INDEX('COOIS Raw'!$A:$GZ,ROW()-4,$A$4)=""),"",IFERROR(--INDEX('COOIS Raw'!$A:$GZ,ROW()-4,$A$4),INDEX('COOIS Raw'!$A:$GZ,ROW()-4,$A$4)))</f>
        <v/>
      </c>
      <c r="B865" s="41" t="str">
        <f aca="false">IF(A865="","",TRIM(INDEX('COOIS Raw'!$A:$GZ,ROW()-4,$B$4)))</f>
        <v/>
      </c>
      <c r="C865" s="42" t="str">
        <f aca="false">IF(OR(A865="",$C$4=0),"",INDEX('COOIS Raw'!$A:$GZ,ROW()-4,$C$4))</f>
        <v/>
      </c>
      <c r="D865" s="41" t="str">
        <f aca="false">IF(A865="","",IF($D$4=0,1,IFERROR(--INDEX('COOIS Raw'!$A:$GZ,ROW()-4,$D$4),1)))</f>
        <v/>
      </c>
      <c r="E865" s="42" t="str">
        <f aca="false">IF(A865="","",INDEX('COOIS Raw'!$A:$GZ,ROW()-4,$E$4)&amp;"")</f>
        <v/>
      </c>
      <c r="F865" s="43" t="str">
        <f aca="false">IF(A865="","",IFERROR(DATEVALUE(INDEX('COOIS Raw'!$A:$GZ,ROW()-4,$F$4)),INDEX('COOIS Raw'!$A:$GZ,ROW()-4,$F$4)))</f>
        <v/>
      </c>
      <c r="G865" s="41" t="str">
        <f aca="false">IF(A865="","",IF(ISNA(MATCH(B865,'Kitting Plan'!$B$6:$B$19,0)),"Not in plan","Yes"))</f>
        <v/>
      </c>
      <c r="H865" s="41" t="str">
        <f aca="false">IF(G865="Yes",INDEX('Kitting Plan'!$D$6:$D$19,MATCH(B865,'Kitting Plan'!$B$6:$B$19,0)),"")</f>
        <v/>
      </c>
      <c r="I865" s="41" t="str">
        <f aca="false">IF(A865="","",IF(ISNUMBER(SEARCH("PRT",E865)),D865,0))</f>
        <v/>
      </c>
      <c r="J865" s="41" t="str">
        <f aca="false">IF(A865="","",IF(ISNUMBER(SEARCH("GMPS",E865)),D865,0))</f>
        <v/>
      </c>
      <c r="K865" s="41" t="str">
        <f aca="false">IF(A865="","",IF(ISNUMBER(SEARCH("DLV",E865)),D865,0))</f>
        <v/>
      </c>
      <c r="L865" s="41" t="str">
        <f aca="false">IF(A865="","",IF(K865&gt;0,"Delivered",IF(ISNUMBER(SEARCH("CNF",E865)),"In production",IF(J865&gt;0,"Issued",IF(I865&gt;0,"Kitted","Released")))))</f>
        <v/>
      </c>
      <c r="M865" s="41" t="str">
        <f aca="false">IF(G865&lt;&gt;"Yes","",COUNTIFS($B$6:$B$1505,B865,$F$6:$F$1505,"&lt;"&amp;F865)+COUNTIFS($B$6:$B$1505,B865,$F$6:$F$1505,F865,$A$6:$A$1505,"&lt;="&amp;A865))</f>
        <v/>
      </c>
      <c r="N865" s="41" t="str">
        <f aca="false">IF(M865="","",ROUNDUP(M865/H865,0))</f>
        <v/>
      </c>
      <c r="O865" s="41" t="str">
        <f aca="false">IF(N865="","",IF(N865&lt;='Kitting Plan'!$C$3,"Rep "&amp;N865,"Surplus"))</f>
        <v/>
      </c>
    </row>
    <row r="866" customFormat="false" ht="15" hidden="false" customHeight="false" outlineLevel="0" collapsed="false">
      <c r="A866" s="40" t="str">
        <f aca="false">IF(OR($A$4=0,INDEX('COOIS Raw'!$A:$GZ,ROW()-4,$A$4)=""),"",IFERROR(--INDEX('COOIS Raw'!$A:$GZ,ROW()-4,$A$4),INDEX('COOIS Raw'!$A:$GZ,ROW()-4,$A$4)))</f>
        <v/>
      </c>
      <c r="B866" s="41" t="str">
        <f aca="false">IF(A866="","",TRIM(INDEX('COOIS Raw'!$A:$GZ,ROW()-4,$B$4)))</f>
        <v/>
      </c>
      <c r="C866" s="42" t="str">
        <f aca="false">IF(OR(A866="",$C$4=0),"",INDEX('COOIS Raw'!$A:$GZ,ROW()-4,$C$4))</f>
        <v/>
      </c>
      <c r="D866" s="41" t="str">
        <f aca="false">IF(A866="","",IF($D$4=0,1,IFERROR(--INDEX('COOIS Raw'!$A:$GZ,ROW()-4,$D$4),1)))</f>
        <v/>
      </c>
      <c r="E866" s="42" t="str">
        <f aca="false">IF(A866="","",INDEX('COOIS Raw'!$A:$GZ,ROW()-4,$E$4)&amp;"")</f>
        <v/>
      </c>
      <c r="F866" s="43" t="str">
        <f aca="false">IF(A866="","",IFERROR(DATEVALUE(INDEX('COOIS Raw'!$A:$GZ,ROW()-4,$F$4)),INDEX('COOIS Raw'!$A:$GZ,ROW()-4,$F$4)))</f>
        <v/>
      </c>
      <c r="G866" s="41" t="str">
        <f aca="false">IF(A866="","",IF(ISNA(MATCH(B866,'Kitting Plan'!$B$6:$B$19,0)),"Not in plan","Yes"))</f>
        <v/>
      </c>
      <c r="H866" s="41" t="str">
        <f aca="false">IF(G866="Yes",INDEX('Kitting Plan'!$D$6:$D$19,MATCH(B866,'Kitting Plan'!$B$6:$B$19,0)),"")</f>
        <v/>
      </c>
      <c r="I866" s="41" t="str">
        <f aca="false">IF(A866="","",IF(ISNUMBER(SEARCH("PRT",E866)),D866,0))</f>
        <v/>
      </c>
      <c r="J866" s="41" t="str">
        <f aca="false">IF(A866="","",IF(ISNUMBER(SEARCH("GMPS",E866)),D866,0))</f>
        <v/>
      </c>
      <c r="K866" s="41" t="str">
        <f aca="false">IF(A866="","",IF(ISNUMBER(SEARCH("DLV",E866)),D866,0))</f>
        <v/>
      </c>
      <c r="L866" s="41" t="str">
        <f aca="false">IF(A866="","",IF(K866&gt;0,"Delivered",IF(ISNUMBER(SEARCH("CNF",E866)),"In production",IF(J866&gt;0,"Issued",IF(I866&gt;0,"Kitted","Released")))))</f>
        <v/>
      </c>
      <c r="M866" s="41" t="str">
        <f aca="false">IF(G866&lt;&gt;"Yes","",COUNTIFS($B$6:$B$1505,B866,$F$6:$F$1505,"&lt;"&amp;F866)+COUNTIFS($B$6:$B$1505,B866,$F$6:$F$1505,F866,$A$6:$A$1505,"&lt;="&amp;A866))</f>
        <v/>
      </c>
      <c r="N866" s="41" t="str">
        <f aca="false">IF(M866="","",ROUNDUP(M866/H866,0))</f>
        <v/>
      </c>
      <c r="O866" s="41" t="str">
        <f aca="false">IF(N866="","",IF(N866&lt;='Kitting Plan'!$C$3,"Rep "&amp;N866,"Surplus"))</f>
        <v/>
      </c>
    </row>
    <row r="867" customFormat="false" ht="15" hidden="false" customHeight="false" outlineLevel="0" collapsed="false">
      <c r="A867" s="40" t="str">
        <f aca="false">IF(OR($A$4=0,INDEX('COOIS Raw'!$A:$GZ,ROW()-4,$A$4)=""),"",IFERROR(--INDEX('COOIS Raw'!$A:$GZ,ROW()-4,$A$4),INDEX('COOIS Raw'!$A:$GZ,ROW()-4,$A$4)))</f>
        <v/>
      </c>
      <c r="B867" s="41" t="str">
        <f aca="false">IF(A867="","",TRIM(INDEX('COOIS Raw'!$A:$GZ,ROW()-4,$B$4)))</f>
        <v/>
      </c>
      <c r="C867" s="42" t="str">
        <f aca="false">IF(OR(A867="",$C$4=0),"",INDEX('COOIS Raw'!$A:$GZ,ROW()-4,$C$4))</f>
        <v/>
      </c>
      <c r="D867" s="41" t="str">
        <f aca="false">IF(A867="","",IF($D$4=0,1,IFERROR(--INDEX('COOIS Raw'!$A:$GZ,ROW()-4,$D$4),1)))</f>
        <v/>
      </c>
      <c r="E867" s="42" t="str">
        <f aca="false">IF(A867="","",INDEX('COOIS Raw'!$A:$GZ,ROW()-4,$E$4)&amp;"")</f>
        <v/>
      </c>
      <c r="F867" s="43" t="str">
        <f aca="false">IF(A867="","",IFERROR(DATEVALUE(INDEX('COOIS Raw'!$A:$GZ,ROW()-4,$F$4)),INDEX('COOIS Raw'!$A:$GZ,ROW()-4,$F$4)))</f>
        <v/>
      </c>
      <c r="G867" s="41" t="str">
        <f aca="false">IF(A867="","",IF(ISNA(MATCH(B867,'Kitting Plan'!$B$6:$B$19,0)),"Not in plan","Yes"))</f>
        <v/>
      </c>
      <c r="H867" s="41" t="str">
        <f aca="false">IF(G867="Yes",INDEX('Kitting Plan'!$D$6:$D$19,MATCH(B867,'Kitting Plan'!$B$6:$B$19,0)),"")</f>
        <v/>
      </c>
      <c r="I867" s="41" t="str">
        <f aca="false">IF(A867="","",IF(ISNUMBER(SEARCH("PRT",E867)),D867,0))</f>
        <v/>
      </c>
      <c r="J867" s="41" t="str">
        <f aca="false">IF(A867="","",IF(ISNUMBER(SEARCH("GMPS",E867)),D867,0))</f>
        <v/>
      </c>
      <c r="K867" s="41" t="str">
        <f aca="false">IF(A867="","",IF(ISNUMBER(SEARCH("DLV",E867)),D867,0))</f>
        <v/>
      </c>
      <c r="L867" s="41" t="str">
        <f aca="false">IF(A867="","",IF(K867&gt;0,"Delivered",IF(ISNUMBER(SEARCH("CNF",E867)),"In production",IF(J867&gt;0,"Issued",IF(I867&gt;0,"Kitted","Released")))))</f>
        <v/>
      </c>
      <c r="M867" s="41" t="str">
        <f aca="false">IF(G867&lt;&gt;"Yes","",COUNTIFS($B$6:$B$1505,B867,$F$6:$F$1505,"&lt;"&amp;F867)+COUNTIFS($B$6:$B$1505,B867,$F$6:$F$1505,F867,$A$6:$A$1505,"&lt;="&amp;A867))</f>
        <v/>
      </c>
      <c r="N867" s="41" t="str">
        <f aca="false">IF(M867="","",ROUNDUP(M867/H867,0))</f>
        <v/>
      </c>
      <c r="O867" s="41" t="str">
        <f aca="false">IF(N867="","",IF(N867&lt;='Kitting Plan'!$C$3,"Rep "&amp;N867,"Surplus"))</f>
        <v/>
      </c>
    </row>
    <row r="868" customFormat="false" ht="15" hidden="false" customHeight="false" outlineLevel="0" collapsed="false">
      <c r="A868" s="40" t="str">
        <f aca="false">IF(OR($A$4=0,INDEX('COOIS Raw'!$A:$GZ,ROW()-4,$A$4)=""),"",IFERROR(--INDEX('COOIS Raw'!$A:$GZ,ROW()-4,$A$4),INDEX('COOIS Raw'!$A:$GZ,ROW()-4,$A$4)))</f>
        <v/>
      </c>
      <c r="B868" s="41" t="str">
        <f aca="false">IF(A868="","",TRIM(INDEX('COOIS Raw'!$A:$GZ,ROW()-4,$B$4)))</f>
        <v/>
      </c>
      <c r="C868" s="42" t="str">
        <f aca="false">IF(OR(A868="",$C$4=0),"",INDEX('COOIS Raw'!$A:$GZ,ROW()-4,$C$4))</f>
        <v/>
      </c>
      <c r="D868" s="41" t="str">
        <f aca="false">IF(A868="","",IF($D$4=0,1,IFERROR(--INDEX('COOIS Raw'!$A:$GZ,ROW()-4,$D$4),1)))</f>
        <v/>
      </c>
      <c r="E868" s="42" t="str">
        <f aca="false">IF(A868="","",INDEX('COOIS Raw'!$A:$GZ,ROW()-4,$E$4)&amp;"")</f>
        <v/>
      </c>
      <c r="F868" s="43" t="str">
        <f aca="false">IF(A868="","",IFERROR(DATEVALUE(INDEX('COOIS Raw'!$A:$GZ,ROW()-4,$F$4)),INDEX('COOIS Raw'!$A:$GZ,ROW()-4,$F$4)))</f>
        <v/>
      </c>
      <c r="G868" s="41" t="str">
        <f aca="false">IF(A868="","",IF(ISNA(MATCH(B868,'Kitting Plan'!$B$6:$B$19,0)),"Not in plan","Yes"))</f>
        <v/>
      </c>
      <c r="H868" s="41" t="str">
        <f aca="false">IF(G868="Yes",INDEX('Kitting Plan'!$D$6:$D$19,MATCH(B868,'Kitting Plan'!$B$6:$B$19,0)),"")</f>
        <v/>
      </c>
      <c r="I868" s="41" t="str">
        <f aca="false">IF(A868="","",IF(ISNUMBER(SEARCH("PRT",E868)),D868,0))</f>
        <v/>
      </c>
      <c r="J868" s="41" t="str">
        <f aca="false">IF(A868="","",IF(ISNUMBER(SEARCH("GMPS",E868)),D868,0))</f>
        <v/>
      </c>
      <c r="K868" s="41" t="str">
        <f aca="false">IF(A868="","",IF(ISNUMBER(SEARCH("DLV",E868)),D868,0))</f>
        <v/>
      </c>
      <c r="L868" s="41" t="str">
        <f aca="false">IF(A868="","",IF(K868&gt;0,"Delivered",IF(ISNUMBER(SEARCH("CNF",E868)),"In production",IF(J868&gt;0,"Issued",IF(I868&gt;0,"Kitted","Released")))))</f>
        <v/>
      </c>
      <c r="M868" s="41" t="str">
        <f aca="false">IF(G868&lt;&gt;"Yes","",COUNTIFS($B$6:$B$1505,B868,$F$6:$F$1505,"&lt;"&amp;F868)+COUNTIFS($B$6:$B$1505,B868,$F$6:$F$1505,F868,$A$6:$A$1505,"&lt;="&amp;A868))</f>
        <v/>
      </c>
      <c r="N868" s="41" t="str">
        <f aca="false">IF(M868="","",ROUNDUP(M868/H868,0))</f>
        <v/>
      </c>
      <c r="O868" s="41" t="str">
        <f aca="false">IF(N868="","",IF(N868&lt;='Kitting Plan'!$C$3,"Rep "&amp;N868,"Surplus"))</f>
        <v/>
      </c>
    </row>
    <row r="869" customFormat="false" ht="15" hidden="false" customHeight="false" outlineLevel="0" collapsed="false">
      <c r="A869" s="40" t="str">
        <f aca="false">IF(OR($A$4=0,INDEX('COOIS Raw'!$A:$GZ,ROW()-4,$A$4)=""),"",IFERROR(--INDEX('COOIS Raw'!$A:$GZ,ROW()-4,$A$4),INDEX('COOIS Raw'!$A:$GZ,ROW()-4,$A$4)))</f>
        <v/>
      </c>
      <c r="B869" s="41" t="str">
        <f aca="false">IF(A869="","",TRIM(INDEX('COOIS Raw'!$A:$GZ,ROW()-4,$B$4)))</f>
        <v/>
      </c>
      <c r="C869" s="42" t="str">
        <f aca="false">IF(OR(A869="",$C$4=0),"",INDEX('COOIS Raw'!$A:$GZ,ROW()-4,$C$4))</f>
        <v/>
      </c>
      <c r="D869" s="41" t="str">
        <f aca="false">IF(A869="","",IF($D$4=0,1,IFERROR(--INDEX('COOIS Raw'!$A:$GZ,ROW()-4,$D$4),1)))</f>
        <v/>
      </c>
      <c r="E869" s="42" t="str">
        <f aca="false">IF(A869="","",INDEX('COOIS Raw'!$A:$GZ,ROW()-4,$E$4)&amp;"")</f>
        <v/>
      </c>
      <c r="F869" s="43" t="str">
        <f aca="false">IF(A869="","",IFERROR(DATEVALUE(INDEX('COOIS Raw'!$A:$GZ,ROW()-4,$F$4)),INDEX('COOIS Raw'!$A:$GZ,ROW()-4,$F$4)))</f>
        <v/>
      </c>
      <c r="G869" s="41" t="str">
        <f aca="false">IF(A869="","",IF(ISNA(MATCH(B869,'Kitting Plan'!$B$6:$B$19,0)),"Not in plan","Yes"))</f>
        <v/>
      </c>
      <c r="H869" s="41" t="str">
        <f aca="false">IF(G869="Yes",INDEX('Kitting Plan'!$D$6:$D$19,MATCH(B869,'Kitting Plan'!$B$6:$B$19,0)),"")</f>
        <v/>
      </c>
      <c r="I869" s="41" t="str">
        <f aca="false">IF(A869="","",IF(ISNUMBER(SEARCH("PRT",E869)),D869,0))</f>
        <v/>
      </c>
      <c r="J869" s="41" t="str">
        <f aca="false">IF(A869="","",IF(ISNUMBER(SEARCH("GMPS",E869)),D869,0))</f>
        <v/>
      </c>
      <c r="K869" s="41" t="str">
        <f aca="false">IF(A869="","",IF(ISNUMBER(SEARCH("DLV",E869)),D869,0))</f>
        <v/>
      </c>
      <c r="L869" s="41" t="str">
        <f aca="false">IF(A869="","",IF(K869&gt;0,"Delivered",IF(ISNUMBER(SEARCH("CNF",E869)),"In production",IF(J869&gt;0,"Issued",IF(I869&gt;0,"Kitted","Released")))))</f>
        <v/>
      </c>
      <c r="M869" s="41" t="str">
        <f aca="false">IF(G869&lt;&gt;"Yes","",COUNTIFS($B$6:$B$1505,B869,$F$6:$F$1505,"&lt;"&amp;F869)+COUNTIFS($B$6:$B$1505,B869,$F$6:$F$1505,F869,$A$6:$A$1505,"&lt;="&amp;A869))</f>
        <v/>
      </c>
      <c r="N869" s="41" t="str">
        <f aca="false">IF(M869="","",ROUNDUP(M869/H869,0))</f>
        <v/>
      </c>
      <c r="O869" s="41" t="str">
        <f aca="false">IF(N869="","",IF(N869&lt;='Kitting Plan'!$C$3,"Rep "&amp;N869,"Surplus"))</f>
        <v/>
      </c>
    </row>
    <row r="870" customFormat="false" ht="15" hidden="false" customHeight="false" outlineLevel="0" collapsed="false">
      <c r="A870" s="40" t="str">
        <f aca="false">IF(OR($A$4=0,INDEX('COOIS Raw'!$A:$GZ,ROW()-4,$A$4)=""),"",IFERROR(--INDEX('COOIS Raw'!$A:$GZ,ROW()-4,$A$4),INDEX('COOIS Raw'!$A:$GZ,ROW()-4,$A$4)))</f>
        <v/>
      </c>
      <c r="B870" s="41" t="str">
        <f aca="false">IF(A870="","",TRIM(INDEX('COOIS Raw'!$A:$GZ,ROW()-4,$B$4)))</f>
        <v/>
      </c>
      <c r="C870" s="42" t="str">
        <f aca="false">IF(OR(A870="",$C$4=0),"",INDEX('COOIS Raw'!$A:$GZ,ROW()-4,$C$4))</f>
        <v/>
      </c>
      <c r="D870" s="41" t="str">
        <f aca="false">IF(A870="","",IF($D$4=0,1,IFERROR(--INDEX('COOIS Raw'!$A:$GZ,ROW()-4,$D$4),1)))</f>
        <v/>
      </c>
      <c r="E870" s="42" t="str">
        <f aca="false">IF(A870="","",INDEX('COOIS Raw'!$A:$GZ,ROW()-4,$E$4)&amp;"")</f>
        <v/>
      </c>
      <c r="F870" s="43" t="str">
        <f aca="false">IF(A870="","",IFERROR(DATEVALUE(INDEX('COOIS Raw'!$A:$GZ,ROW()-4,$F$4)),INDEX('COOIS Raw'!$A:$GZ,ROW()-4,$F$4)))</f>
        <v/>
      </c>
      <c r="G870" s="41" t="str">
        <f aca="false">IF(A870="","",IF(ISNA(MATCH(B870,'Kitting Plan'!$B$6:$B$19,0)),"Not in plan","Yes"))</f>
        <v/>
      </c>
      <c r="H870" s="41" t="str">
        <f aca="false">IF(G870="Yes",INDEX('Kitting Plan'!$D$6:$D$19,MATCH(B870,'Kitting Plan'!$B$6:$B$19,0)),"")</f>
        <v/>
      </c>
      <c r="I870" s="41" t="str">
        <f aca="false">IF(A870="","",IF(ISNUMBER(SEARCH("PRT",E870)),D870,0))</f>
        <v/>
      </c>
      <c r="J870" s="41" t="str">
        <f aca="false">IF(A870="","",IF(ISNUMBER(SEARCH("GMPS",E870)),D870,0))</f>
        <v/>
      </c>
      <c r="K870" s="41" t="str">
        <f aca="false">IF(A870="","",IF(ISNUMBER(SEARCH("DLV",E870)),D870,0))</f>
        <v/>
      </c>
      <c r="L870" s="41" t="str">
        <f aca="false">IF(A870="","",IF(K870&gt;0,"Delivered",IF(ISNUMBER(SEARCH("CNF",E870)),"In production",IF(J870&gt;0,"Issued",IF(I870&gt;0,"Kitted","Released")))))</f>
        <v/>
      </c>
      <c r="M870" s="41" t="str">
        <f aca="false">IF(G870&lt;&gt;"Yes","",COUNTIFS($B$6:$B$1505,B870,$F$6:$F$1505,"&lt;"&amp;F870)+COUNTIFS($B$6:$B$1505,B870,$F$6:$F$1505,F870,$A$6:$A$1505,"&lt;="&amp;A870))</f>
        <v/>
      </c>
      <c r="N870" s="41" t="str">
        <f aca="false">IF(M870="","",ROUNDUP(M870/H870,0))</f>
        <v/>
      </c>
      <c r="O870" s="41" t="str">
        <f aca="false">IF(N870="","",IF(N870&lt;='Kitting Plan'!$C$3,"Rep "&amp;N870,"Surplus"))</f>
        <v/>
      </c>
    </row>
    <row r="871" customFormat="false" ht="15" hidden="false" customHeight="false" outlineLevel="0" collapsed="false">
      <c r="A871" s="40" t="str">
        <f aca="false">IF(OR($A$4=0,INDEX('COOIS Raw'!$A:$GZ,ROW()-4,$A$4)=""),"",IFERROR(--INDEX('COOIS Raw'!$A:$GZ,ROW()-4,$A$4),INDEX('COOIS Raw'!$A:$GZ,ROW()-4,$A$4)))</f>
        <v/>
      </c>
      <c r="B871" s="41" t="str">
        <f aca="false">IF(A871="","",TRIM(INDEX('COOIS Raw'!$A:$GZ,ROW()-4,$B$4)))</f>
        <v/>
      </c>
      <c r="C871" s="42" t="str">
        <f aca="false">IF(OR(A871="",$C$4=0),"",INDEX('COOIS Raw'!$A:$GZ,ROW()-4,$C$4))</f>
        <v/>
      </c>
      <c r="D871" s="41" t="str">
        <f aca="false">IF(A871="","",IF($D$4=0,1,IFERROR(--INDEX('COOIS Raw'!$A:$GZ,ROW()-4,$D$4),1)))</f>
        <v/>
      </c>
      <c r="E871" s="42" t="str">
        <f aca="false">IF(A871="","",INDEX('COOIS Raw'!$A:$GZ,ROW()-4,$E$4)&amp;"")</f>
        <v/>
      </c>
      <c r="F871" s="43" t="str">
        <f aca="false">IF(A871="","",IFERROR(DATEVALUE(INDEX('COOIS Raw'!$A:$GZ,ROW()-4,$F$4)),INDEX('COOIS Raw'!$A:$GZ,ROW()-4,$F$4)))</f>
        <v/>
      </c>
      <c r="G871" s="41" t="str">
        <f aca="false">IF(A871="","",IF(ISNA(MATCH(B871,'Kitting Plan'!$B$6:$B$19,0)),"Not in plan","Yes"))</f>
        <v/>
      </c>
      <c r="H871" s="41" t="str">
        <f aca="false">IF(G871="Yes",INDEX('Kitting Plan'!$D$6:$D$19,MATCH(B871,'Kitting Plan'!$B$6:$B$19,0)),"")</f>
        <v/>
      </c>
      <c r="I871" s="41" t="str">
        <f aca="false">IF(A871="","",IF(ISNUMBER(SEARCH("PRT",E871)),D871,0))</f>
        <v/>
      </c>
      <c r="J871" s="41" t="str">
        <f aca="false">IF(A871="","",IF(ISNUMBER(SEARCH("GMPS",E871)),D871,0))</f>
        <v/>
      </c>
      <c r="K871" s="41" t="str">
        <f aca="false">IF(A871="","",IF(ISNUMBER(SEARCH("DLV",E871)),D871,0))</f>
        <v/>
      </c>
      <c r="L871" s="41" t="str">
        <f aca="false">IF(A871="","",IF(K871&gt;0,"Delivered",IF(ISNUMBER(SEARCH("CNF",E871)),"In production",IF(J871&gt;0,"Issued",IF(I871&gt;0,"Kitted","Released")))))</f>
        <v/>
      </c>
      <c r="M871" s="41" t="str">
        <f aca="false">IF(G871&lt;&gt;"Yes","",COUNTIFS($B$6:$B$1505,B871,$F$6:$F$1505,"&lt;"&amp;F871)+COUNTIFS($B$6:$B$1505,B871,$F$6:$F$1505,F871,$A$6:$A$1505,"&lt;="&amp;A871))</f>
        <v/>
      </c>
      <c r="N871" s="41" t="str">
        <f aca="false">IF(M871="","",ROUNDUP(M871/H871,0))</f>
        <v/>
      </c>
      <c r="O871" s="41" t="str">
        <f aca="false">IF(N871="","",IF(N871&lt;='Kitting Plan'!$C$3,"Rep "&amp;N871,"Surplus"))</f>
        <v/>
      </c>
    </row>
    <row r="872" customFormat="false" ht="15" hidden="false" customHeight="false" outlineLevel="0" collapsed="false">
      <c r="A872" s="40" t="str">
        <f aca="false">IF(OR($A$4=0,INDEX('COOIS Raw'!$A:$GZ,ROW()-4,$A$4)=""),"",IFERROR(--INDEX('COOIS Raw'!$A:$GZ,ROW()-4,$A$4),INDEX('COOIS Raw'!$A:$GZ,ROW()-4,$A$4)))</f>
        <v/>
      </c>
      <c r="B872" s="41" t="str">
        <f aca="false">IF(A872="","",TRIM(INDEX('COOIS Raw'!$A:$GZ,ROW()-4,$B$4)))</f>
        <v/>
      </c>
      <c r="C872" s="42" t="str">
        <f aca="false">IF(OR(A872="",$C$4=0),"",INDEX('COOIS Raw'!$A:$GZ,ROW()-4,$C$4))</f>
        <v/>
      </c>
      <c r="D872" s="41" t="str">
        <f aca="false">IF(A872="","",IF($D$4=0,1,IFERROR(--INDEX('COOIS Raw'!$A:$GZ,ROW()-4,$D$4),1)))</f>
        <v/>
      </c>
      <c r="E872" s="42" t="str">
        <f aca="false">IF(A872="","",INDEX('COOIS Raw'!$A:$GZ,ROW()-4,$E$4)&amp;"")</f>
        <v/>
      </c>
      <c r="F872" s="43" t="str">
        <f aca="false">IF(A872="","",IFERROR(DATEVALUE(INDEX('COOIS Raw'!$A:$GZ,ROW()-4,$F$4)),INDEX('COOIS Raw'!$A:$GZ,ROW()-4,$F$4)))</f>
        <v/>
      </c>
      <c r="G872" s="41" t="str">
        <f aca="false">IF(A872="","",IF(ISNA(MATCH(B872,'Kitting Plan'!$B$6:$B$19,0)),"Not in plan","Yes"))</f>
        <v/>
      </c>
      <c r="H872" s="41" t="str">
        <f aca="false">IF(G872="Yes",INDEX('Kitting Plan'!$D$6:$D$19,MATCH(B872,'Kitting Plan'!$B$6:$B$19,0)),"")</f>
        <v/>
      </c>
      <c r="I872" s="41" t="str">
        <f aca="false">IF(A872="","",IF(ISNUMBER(SEARCH("PRT",E872)),D872,0))</f>
        <v/>
      </c>
      <c r="J872" s="41" t="str">
        <f aca="false">IF(A872="","",IF(ISNUMBER(SEARCH("GMPS",E872)),D872,0))</f>
        <v/>
      </c>
      <c r="K872" s="41" t="str">
        <f aca="false">IF(A872="","",IF(ISNUMBER(SEARCH("DLV",E872)),D872,0))</f>
        <v/>
      </c>
      <c r="L872" s="41" t="str">
        <f aca="false">IF(A872="","",IF(K872&gt;0,"Delivered",IF(ISNUMBER(SEARCH("CNF",E872)),"In production",IF(J872&gt;0,"Issued",IF(I872&gt;0,"Kitted","Released")))))</f>
        <v/>
      </c>
      <c r="M872" s="41" t="str">
        <f aca="false">IF(G872&lt;&gt;"Yes","",COUNTIFS($B$6:$B$1505,B872,$F$6:$F$1505,"&lt;"&amp;F872)+COUNTIFS($B$6:$B$1505,B872,$F$6:$F$1505,F872,$A$6:$A$1505,"&lt;="&amp;A872))</f>
        <v/>
      </c>
      <c r="N872" s="41" t="str">
        <f aca="false">IF(M872="","",ROUNDUP(M872/H872,0))</f>
        <v/>
      </c>
      <c r="O872" s="41" t="str">
        <f aca="false">IF(N872="","",IF(N872&lt;='Kitting Plan'!$C$3,"Rep "&amp;N872,"Surplus"))</f>
        <v/>
      </c>
    </row>
    <row r="873" customFormat="false" ht="15" hidden="false" customHeight="false" outlineLevel="0" collapsed="false">
      <c r="A873" s="40" t="str">
        <f aca="false">IF(OR($A$4=0,INDEX('COOIS Raw'!$A:$GZ,ROW()-4,$A$4)=""),"",IFERROR(--INDEX('COOIS Raw'!$A:$GZ,ROW()-4,$A$4),INDEX('COOIS Raw'!$A:$GZ,ROW()-4,$A$4)))</f>
        <v/>
      </c>
      <c r="B873" s="41" t="str">
        <f aca="false">IF(A873="","",TRIM(INDEX('COOIS Raw'!$A:$GZ,ROW()-4,$B$4)))</f>
        <v/>
      </c>
      <c r="C873" s="42" t="str">
        <f aca="false">IF(OR(A873="",$C$4=0),"",INDEX('COOIS Raw'!$A:$GZ,ROW()-4,$C$4))</f>
        <v/>
      </c>
      <c r="D873" s="41" t="str">
        <f aca="false">IF(A873="","",IF($D$4=0,1,IFERROR(--INDEX('COOIS Raw'!$A:$GZ,ROW()-4,$D$4),1)))</f>
        <v/>
      </c>
      <c r="E873" s="42" t="str">
        <f aca="false">IF(A873="","",INDEX('COOIS Raw'!$A:$GZ,ROW()-4,$E$4)&amp;"")</f>
        <v/>
      </c>
      <c r="F873" s="43" t="str">
        <f aca="false">IF(A873="","",IFERROR(DATEVALUE(INDEX('COOIS Raw'!$A:$GZ,ROW()-4,$F$4)),INDEX('COOIS Raw'!$A:$GZ,ROW()-4,$F$4)))</f>
        <v/>
      </c>
      <c r="G873" s="41" t="str">
        <f aca="false">IF(A873="","",IF(ISNA(MATCH(B873,'Kitting Plan'!$B$6:$B$19,0)),"Not in plan","Yes"))</f>
        <v/>
      </c>
      <c r="H873" s="41" t="str">
        <f aca="false">IF(G873="Yes",INDEX('Kitting Plan'!$D$6:$D$19,MATCH(B873,'Kitting Plan'!$B$6:$B$19,0)),"")</f>
        <v/>
      </c>
      <c r="I873" s="41" t="str">
        <f aca="false">IF(A873="","",IF(ISNUMBER(SEARCH("PRT",E873)),D873,0))</f>
        <v/>
      </c>
      <c r="J873" s="41" t="str">
        <f aca="false">IF(A873="","",IF(ISNUMBER(SEARCH("GMPS",E873)),D873,0))</f>
        <v/>
      </c>
      <c r="K873" s="41" t="str">
        <f aca="false">IF(A873="","",IF(ISNUMBER(SEARCH("DLV",E873)),D873,0))</f>
        <v/>
      </c>
      <c r="L873" s="41" t="str">
        <f aca="false">IF(A873="","",IF(K873&gt;0,"Delivered",IF(ISNUMBER(SEARCH("CNF",E873)),"In production",IF(J873&gt;0,"Issued",IF(I873&gt;0,"Kitted","Released")))))</f>
        <v/>
      </c>
      <c r="M873" s="41" t="str">
        <f aca="false">IF(G873&lt;&gt;"Yes","",COUNTIFS($B$6:$B$1505,B873,$F$6:$F$1505,"&lt;"&amp;F873)+COUNTIFS($B$6:$B$1505,B873,$F$6:$F$1505,F873,$A$6:$A$1505,"&lt;="&amp;A873))</f>
        <v/>
      </c>
      <c r="N873" s="41" t="str">
        <f aca="false">IF(M873="","",ROUNDUP(M873/H873,0))</f>
        <v/>
      </c>
      <c r="O873" s="41" t="str">
        <f aca="false">IF(N873="","",IF(N873&lt;='Kitting Plan'!$C$3,"Rep "&amp;N873,"Surplus"))</f>
        <v/>
      </c>
    </row>
    <row r="874" customFormat="false" ht="15" hidden="false" customHeight="false" outlineLevel="0" collapsed="false">
      <c r="A874" s="40" t="str">
        <f aca="false">IF(OR($A$4=0,INDEX('COOIS Raw'!$A:$GZ,ROW()-4,$A$4)=""),"",IFERROR(--INDEX('COOIS Raw'!$A:$GZ,ROW()-4,$A$4),INDEX('COOIS Raw'!$A:$GZ,ROW()-4,$A$4)))</f>
        <v/>
      </c>
      <c r="B874" s="41" t="str">
        <f aca="false">IF(A874="","",TRIM(INDEX('COOIS Raw'!$A:$GZ,ROW()-4,$B$4)))</f>
        <v/>
      </c>
      <c r="C874" s="42" t="str">
        <f aca="false">IF(OR(A874="",$C$4=0),"",INDEX('COOIS Raw'!$A:$GZ,ROW()-4,$C$4))</f>
        <v/>
      </c>
      <c r="D874" s="41" t="str">
        <f aca="false">IF(A874="","",IF($D$4=0,1,IFERROR(--INDEX('COOIS Raw'!$A:$GZ,ROW()-4,$D$4),1)))</f>
        <v/>
      </c>
      <c r="E874" s="42" t="str">
        <f aca="false">IF(A874="","",INDEX('COOIS Raw'!$A:$GZ,ROW()-4,$E$4)&amp;"")</f>
        <v/>
      </c>
      <c r="F874" s="43" t="str">
        <f aca="false">IF(A874="","",IFERROR(DATEVALUE(INDEX('COOIS Raw'!$A:$GZ,ROW()-4,$F$4)),INDEX('COOIS Raw'!$A:$GZ,ROW()-4,$F$4)))</f>
        <v/>
      </c>
      <c r="G874" s="41" t="str">
        <f aca="false">IF(A874="","",IF(ISNA(MATCH(B874,'Kitting Plan'!$B$6:$B$19,0)),"Not in plan","Yes"))</f>
        <v/>
      </c>
      <c r="H874" s="41" t="str">
        <f aca="false">IF(G874="Yes",INDEX('Kitting Plan'!$D$6:$D$19,MATCH(B874,'Kitting Plan'!$B$6:$B$19,0)),"")</f>
        <v/>
      </c>
      <c r="I874" s="41" t="str">
        <f aca="false">IF(A874="","",IF(ISNUMBER(SEARCH("PRT",E874)),D874,0))</f>
        <v/>
      </c>
      <c r="J874" s="41" t="str">
        <f aca="false">IF(A874="","",IF(ISNUMBER(SEARCH("GMPS",E874)),D874,0))</f>
        <v/>
      </c>
      <c r="K874" s="41" t="str">
        <f aca="false">IF(A874="","",IF(ISNUMBER(SEARCH("DLV",E874)),D874,0))</f>
        <v/>
      </c>
      <c r="L874" s="41" t="str">
        <f aca="false">IF(A874="","",IF(K874&gt;0,"Delivered",IF(ISNUMBER(SEARCH("CNF",E874)),"In production",IF(J874&gt;0,"Issued",IF(I874&gt;0,"Kitted","Released")))))</f>
        <v/>
      </c>
      <c r="M874" s="41" t="str">
        <f aca="false">IF(G874&lt;&gt;"Yes","",COUNTIFS($B$6:$B$1505,B874,$F$6:$F$1505,"&lt;"&amp;F874)+COUNTIFS($B$6:$B$1505,B874,$F$6:$F$1505,F874,$A$6:$A$1505,"&lt;="&amp;A874))</f>
        <v/>
      </c>
      <c r="N874" s="41" t="str">
        <f aca="false">IF(M874="","",ROUNDUP(M874/H874,0))</f>
        <v/>
      </c>
      <c r="O874" s="41" t="str">
        <f aca="false">IF(N874="","",IF(N874&lt;='Kitting Plan'!$C$3,"Rep "&amp;N874,"Surplus"))</f>
        <v/>
      </c>
    </row>
    <row r="875" customFormat="false" ht="15" hidden="false" customHeight="false" outlineLevel="0" collapsed="false">
      <c r="A875" s="40" t="str">
        <f aca="false">IF(OR($A$4=0,INDEX('COOIS Raw'!$A:$GZ,ROW()-4,$A$4)=""),"",IFERROR(--INDEX('COOIS Raw'!$A:$GZ,ROW()-4,$A$4),INDEX('COOIS Raw'!$A:$GZ,ROW()-4,$A$4)))</f>
        <v/>
      </c>
      <c r="B875" s="41" t="str">
        <f aca="false">IF(A875="","",TRIM(INDEX('COOIS Raw'!$A:$GZ,ROW()-4,$B$4)))</f>
        <v/>
      </c>
      <c r="C875" s="42" t="str">
        <f aca="false">IF(OR(A875="",$C$4=0),"",INDEX('COOIS Raw'!$A:$GZ,ROW()-4,$C$4))</f>
        <v/>
      </c>
      <c r="D875" s="41" t="str">
        <f aca="false">IF(A875="","",IF($D$4=0,1,IFERROR(--INDEX('COOIS Raw'!$A:$GZ,ROW()-4,$D$4),1)))</f>
        <v/>
      </c>
      <c r="E875" s="42" t="str">
        <f aca="false">IF(A875="","",INDEX('COOIS Raw'!$A:$GZ,ROW()-4,$E$4)&amp;"")</f>
        <v/>
      </c>
      <c r="F875" s="43" t="str">
        <f aca="false">IF(A875="","",IFERROR(DATEVALUE(INDEX('COOIS Raw'!$A:$GZ,ROW()-4,$F$4)),INDEX('COOIS Raw'!$A:$GZ,ROW()-4,$F$4)))</f>
        <v/>
      </c>
      <c r="G875" s="41" t="str">
        <f aca="false">IF(A875="","",IF(ISNA(MATCH(B875,'Kitting Plan'!$B$6:$B$19,0)),"Not in plan","Yes"))</f>
        <v/>
      </c>
      <c r="H875" s="41" t="str">
        <f aca="false">IF(G875="Yes",INDEX('Kitting Plan'!$D$6:$D$19,MATCH(B875,'Kitting Plan'!$B$6:$B$19,0)),"")</f>
        <v/>
      </c>
      <c r="I875" s="41" t="str">
        <f aca="false">IF(A875="","",IF(ISNUMBER(SEARCH("PRT",E875)),D875,0))</f>
        <v/>
      </c>
      <c r="J875" s="41" t="str">
        <f aca="false">IF(A875="","",IF(ISNUMBER(SEARCH("GMPS",E875)),D875,0))</f>
        <v/>
      </c>
      <c r="K875" s="41" t="str">
        <f aca="false">IF(A875="","",IF(ISNUMBER(SEARCH("DLV",E875)),D875,0))</f>
        <v/>
      </c>
      <c r="L875" s="41" t="str">
        <f aca="false">IF(A875="","",IF(K875&gt;0,"Delivered",IF(ISNUMBER(SEARCH("CNF",E875)),"In production",IF(J875&gt;0,"Issued",IF(I875&gt;0,"Kitted","Released")))))</f>
        <v/>
      </c>
      <c r="M875" s="41" t="str">
        <f aca="false">IF(G875&lt;&gt;"Yes","",COUNTIFS($B$6:$B$1505,B875,$F$6:$F$1505,"&lt;"&amp;F875)+COUNTIFS($B$6:$B$1505,B875,$F$6:$F$1505,F875,$A$6:$A$1505,"&lt;="&amp;A875))</f>
        <v/>
      </c>
      <c r="N875" s="41" t="str">
        <f aca="false">IF(M875="","",ROUNDUP(M875/H875,0))</f>
        <v/>
      </c>
      <c r="O875" s="41" t="str">
        <f aca="false">IF(N875="","",IF(N875&lt;='Kitting Plan'!$C$3,"Rep "&amp;N875,"Surplus"))</f>
        <v/>
      </c>
    </row>
    <row r="876" customFormat="false" ht="15" hidden="false" customHeight="false" outlineLevel="0" collapsed="false">
      <c r="A876" s="40" t="str">
        <f aca="false">IF(OR($A$4=0,INDEX('COOIS Raw'!$A:$GZ,ROW()-4,$A$4)=""),"",IFERROR(--INDEX('COOIS Raw'!$A:$GZ,ROW()-4,$A$4),INDEX('COOIS Raw'!$A:$GZ,ROW()-4,$A$4)))</f>
        <v/>
      </c>
      <c r="B876" s="41" t="str">
        <f aca="false">IF(A876="","",TRIM(INDEX('COOIS Raw'!$A:$GZ,ROW()-4,$B$4)))</f>
        <v/>
      </c>
      <c r="C876" s="42" t="str">
        <f aca="false">IF(OR(A876="",$C$4=0),"",INDEX('COOIS Raw'!$A:$GZ,ROW()-4,$C$4))</f>
        <v/>
      </c>
      <c r="D876" s="41" t="str">
        <f aca="false">IF(A876="","",IF($D$4=0,1,IFERROR(--INDEX('COOIS Raw'!$A:$GZ,ROW()-4,$D$4),1)))</f>
        <v/>
      </c>
      <c r="E876" s="42" t="str">
        <f aca="false">IF(A876="","",INDEX('COOIS Raw'!$A:$GZ,ROW()-4,$E$4)&amp;"")</f>
        <v/>
      </c>
      <c r="F876" s="43" t="str">
        <f aca="false">IF(A876="","",IFERROR(DATEVALUE(INDEX('COOIS Raw'!$A:$GZ,ROW()-4,$F$4)),INDEX('COOIS Raw'!$A:$GZ,ROW()-4,$F$4)))</f>
        <v/>
      </c>
      <c r="G876" s="41" t="str">
        <f aca="false">IF(A876="","",IF(ISNA(MATCH(B876,'Kitting Plan'!$B$6:$B$19,0)),"Not in plan","Yes"))</f>
        <v/>
      </c>
      <c r="H876" s="41" t="str">
        <f aca="false">IF(G876="Yes",INDEX('Kitting Plan'!$D$6:$D$19,MATCH(B876,'Kitting Plan'!$B$6:$B$19,0)),"")</f>
        <v/>
      </c>
      <c r="I876" s="41" t="str">
        <f aca="false">IF(A876="","",IF(ISNUMBER(SEARCH("PRT",E876)),D876,0))</f>
        <v/>
      </c>
      <c r="J876" s="41" t="str">
        <f aca="false">IF(A876="","",IF(ISNUMBER(SEARCH("GMPS",E876)),D876,0))</f>
        <v/>
      </c>
      <c r="K876" s="41" t="str">
        <f aca="false">IF(A876="","",IF(ISNUMBER(SEARCH("DLV",E876)),D876,0))</f>
        <v/>
      </c>
      <c r="L876" s="41" t="str">
        <f aca="false">IF(A876="","",IF(K876&gt;0,"Delivered",IF(ISNUMBER(SEARCH("CNF",E876)),"In production",IF(J876&gt;0,"Issued",IF(I876&gt;0,"Kitted","Released")))))</f>
        <v/>
      </c>
      <c r="M876" s="41" t="str">
        <f aca="false">IF(G876&lt;&gt;"Yes","",COUNTIFS($B$6:$B$1505,B876,$F$6:$F$1505,"&lt;"&amp;F876)+COUNTIFS($B$6:$B$1505,B876,$F$6:$F$1505,F876,$A$6:$A$1505,"&lt;="&amp;A876))</f>
        <v/>
      </c>
      <c r="N876" s="41" t="str">
        <f aca="false">IF(M876="","",ROUNDUP(M876/H876,0))</f>
        <v/>
      </c>
      <c r="O876" s="41" t="str">
        <f aca="false">IF(N876="","",IF(N876&lt;='Kitting Plan'!$C$3,"Rep "&amp;N876,"Surplus"))</f>
        <v/>
      </c>
    </row>
    <row r="877" customFormat="false" ht="15" hidden="false" customHeight="false" outlineLevel="0" collapsed="false">
      <c r="A877" s="40" t="str">
        <f aca="false">IF(OR($A$4=0,INDEX('COOIS Raw'!$A:$GZ,ROW()-4,$A$4)=""),"",IFERROR(--INDEX('COOIS Raw'!$A:$GZ,ROW()-4,$A$4),INDEX('COOIS Raw'!$A:$GZ,ROW()-4,$A$4)))</f>
        <v/>
      </c>
      <c r="B877" s="41" t="str">
        <f aca="false">IF(A877="","",TRIM(INDEX('COOIS Raw'!$A:$GZ,ROW()-4,$B$4)))</f>
        <v/>
      </c>
      <c r="C877" s="42" t="str">
        <f aca="false">IF(OR(A877="",$C$4=0),"",INDEX('COOIS Raw'!$A:$GZ,ROW()-4,$C$4))</f>
        <v/>
      </c>
      <c r="D877" s="41" t="str">
        <f aca="false">IF(A877="","",IF($D$4=0,1,IFERROR(--INDEX('COOIS Raw'!$A:$GZ,ROW()-4,$D$4),1)))</f>
        <v/>
      </c>
      <c r="E877" s="42" t="str">
        <f aca="false">IF(A877="","",INDEX('COOIS Raw'!$A:$GZ,ROW()-4,$E$4)&amp;"")</f>
        <v/>
      </c>
      <c r="F877" s="43" t="str">
        <f aca="false">IF(A877="","",IFERROR(DATEVALUE(INDEX('COOIS Raw'!$A:$GZ,ROW()-4,$F$4)),INDEX('COOIS Raw'!$A:$GZ,ROW()-4,$F$4)))</f>
        <v/>
      </c>
      <c r="G877" s="41" t="str">
        <f aca="false">IF(A877="","",IF(ISNA(MATCH(B877,'Kitting Plan'!$B$6:$B$19,0)),"Not in plan","Yes"))</f>
        <v/>
      </c>
      <c r="H877" s="41" t="str">
        <f aca="false">IF(G877="Yes",INDEX('Kitting Plan'!$D$6:$D$19,MATCH(B877,'Kitting Plan'!$B$6:$B$19,0)),"")</f>
        <v/>
      </c>
      <c r="I877" s="41" t="str">
        <f aca="false">IF(A877="","",IF(ISNUMBER(SEARCH("PRT",E877)),D877,0))</f>
        <v/>
      </c>
      <c r="J877" s="41" t="str">
        <f aca="false">IF(A877="","",IF(ISNUMBER(SEARCH("GMPS",E877)),D877,0))</f>
        <v/>
      </c>
      <c r="K877" s="41" t="str">
        <f aca="false">IF(A877="","",IF(ISNUMBER(SEARCH("DLV",E877)),D877,0))</f>
        <v/>
      </c>
      <c r="L877" s="41" t="str">
        <f aca="false">IF(A877="","",IF(K877&gt;0,"Delivered",IF(ISNUMBER(SEARCH("CNF",E877)),"In production",IF(J877&gt;0,"Issued",IF(I877&gt;0,"Kitted","Released")))))</f>
        <v/>
      </c>
      <c r="M877" s="41" t="str">
        <f aca="false">IF(G877&lt;&gt;"Yes","",COUNTIFS($B$6:$B$1505,B877,$F$6:$F$1505,"&lt;"&amp;F877)+COUNTIFS($B$6:$B$1505,B877,$F$6:$F$1505,F877,$A$6:$A$1505,"&lt;="&amp;A877))</f>
        <v/>
      </c>
      <c r="N877" s="41" t="str">
        <f aca="false">IF(M877="","",ROUNDUP(M877/H877,0))</f>
        <v/>
      </c>
      <c r="O877" s="41" t="str">
        <f aca="false">IF(N877="","",IF(N877&lt;='Kitting Plan'!$C$3,"Rep "&amp;N877,"Surplus"))</f>
        <v/>
      </c>
    </row>
    <row r="878" customFormat="false" ht="15" hidden="false" customHeight="false" outlineLevel="0" collapsed="false">
      <c r="A878" s="40" t="str">
        <f aca="false">IF(OR($A$4=0,INDEX('COOIS Raw'!$A:$GZ,ROW()-4,$A$4)=""),"",IFERROR(--INDEX('COOIS Raw'!$A:$GZ,ROW()-4,$A$4),INDEX('COOIS Raw'!$A:$GZ,ROW()-4,$A$4)))</f>
        <v/>
      </c>
      <c r="B878" s="41" t="str">
        <f aca="false">IF(A878="","",TRIM(INDEX('COOIS Raw'!$A:$GZ,ROW()-4,$B$4)))</f>
        <v/>
      </c>
      <c r="C878" s="42" t="str">
        <f aca="false">IF(OR(A878="",$C$4=0),"",INDEX('COOIS Raw'!$A:$GZ,ROW()-4,$C$4))</f>
        <v/>
      </c>
      <c r="D878" s="41" t="str">
        <f aca="false">IF(A878="","",IF($D$4=0,1,IFERROR(--INDEX('COOIS Raw'!$A:$GZ,ROW()-4,$D$4),1)))</f>
        <v/>
      </c>
      <c r="E878" s="42" t="str">
        <f aca="false">IF(A878="","",INDEX('COOIS Raw'!$A:$GZ,ROW()-4,$E$4)&amp;"")</f>
        <v/>
      </c>
      <c r="F878" s="43" t="str">
        <f aca="false">IF(A878="","",IFERROR(DATEVALUE(INDEX('COOIS Raw'!$A:$GZ,ROW()-4,$F$4)),INDEX('COOIS Raw'!$A:$GZ,ROW()-4,$F$4)))</f>
        <v/>
      </c>
      <c r="G878" s="41" t="str">
        <f aca="false">IF(A878="","",IF(ISNA(MATCH(B878,'Kitting Plan'!$B$6:$B$19,0)),"Not in plan","Yes"))</f>
        <v/>
      </c>
      <c r="H878" s="41" t="str">
        <f aca="false">IF(G878="Yes",INDEX('Kitting Plan'!$D$6:$D$19,MATCH(B878,'Kitting Plan'!$B$6:$B$19,0)),"")</f>
        <v/>
      </c>
      <c r="I878" s="41" t="str">
        <f aca="false">IF(A878="","",IF(ISNUMBER(SEARCH("PRT",E878)),D878,0))</f>
        <v/>
      </c>
      <c r="J878" s="41" t="str">
        <f aca="false">IF(A878="","",IF(ISNUMBER(SEARCH("GMPS",E878)),D878,0))</f>
        <v/>
      </c>
      <c r="K878" s="41" t="str">
        <f aca="false">IF(A878="","",IF(ISNUMBER(SEARCH("DLV",E878)),D878,0))</f>
        <v/>
      </c>
      <c r="L878" s="41" t="str">
        <f aca="false">IF(A878="","",IF(K878&gt;0,"Delivered",IF(ISNUMBER(SEARCH("CNF",E878)),"In production",IF(J878&gt;0,"Issued",IF(I878&gt;0,"Kitted","Released")))))</f>
        <v/>
      </c>
      <c r="M878" s="41" t="str">
        <f aca="false">IF(G878&lt;&gt;"Yes","",COUNTIFS($B$6:$B$1505,B878,$F$6:$F$1505,"&lt;"&amp;F878)+COUNTIFS($B$6:$B$1505,B878,$F$6:$F$1505,F878,$A$6:$A$1505,"&lt;="&amp;A878))</f>
        <v/>
      </c>
      <c r="N878" s="41" t="str">
        <f aca="false">IF(M878="","",ROUNDUP(M878/H878,0))</f>
        <v/>
      </c>
      <c r="O878" s="41" t="str">
        <f aca="false">IF(N878="","",IF(N878&lt;='Kitting Plan'!$C$3,"Rep "&amp;N878,"Surplus"))</f>
        <v/>
      </c>
    </row>
    <row r="879" customFormat="false" ht="15" hidden="false" customHeight="false" outlineLevel="0" collapsed="false">
      <c r="A879" s="40" t="str">
        <f aca="false">IF(OR($A$4=0,INDEX('COOIS Raw'!$A:$GZ,ROW()-4,$A$4)=""),"",IFERROR(--INDEX('COOIS Raw'!$A:$GZ,ROW()-4,$A$4),INDEX('COOIS Raw'!$A:$GZ,ROW()-4,$A$4)))</f>
        <v/>
      </c>
      <c r="B879" s="41" t="str">
        <f aca="false">IF(A879="","",TRIM(INDEX('COOIS Raw'!$A:$GZ,ROW()-4,$B$4)))</f>
        <v/>
      </c>
      <c r="C879" s="42" t="str">
        <f aca="false">IF(OR(A879="",$C$4=0),"",INDEX('COOIS Raw'!$A:$GZ,ROW()-4,$C$4))</f>
        <v/>
      </c>
      <c r="D879" s="41" t="str">
        <f aca="false">IF(A879="","",IF($D$4=0,1,IFERROR(--INDEX('COOIS Raw'!$A:$GZ,ROW()-4,$D$4),1)))</f>
        <v/>
      </c>
      <c r="E879" s="42" t="str">
        <f aca="false">IF(A879="","",INDEX('COOIS Raw'!$A:$GZ,ROW()-4,$E$4)&amp;"")</f>
        <v/>
      </c>
      <c r="F879" s="43" t="str">
        <f aca="false">IF(A879="","",IFERROR(DATEVALUE(INDEX('COOIS Raw'!$A:$GZ,ROW()-4,$F$4)),INDEX('COOIS Raw'!$A:$GZ,ROW()-4,$F$4)))</f>
        <v/>
      </c>
      <c r="G879" s="41" t="str">
        <f aca="false">IF(A879="","",IF(ISNA(MATCH(B879,'Kitting Plan'!$B$6:$B$19,0)),"Not in plan","Yes"))</f>
        <v/>
      </c>
      <c r="H879" s="41" t="str">
        <f aca="false">IF(G879="Yes",INDEX('Kitting Plan'!$D$6:$D$19,MATCH(B879,'Kitting Plan'!$B$6:$B$19,0)),"")</f>
        <v/>
      </c>
      <c r="I879" s="41" t="str">
        <f aca="false">IF(A879="","",IF(ISNUMBER(SEARCH("PRT",E879)),D879,0))</f>
        <v/>
      </c>
      <c r="J879" s="41" t="str">
        <f aca="false">IF(A879="","",IF(ISNUMBER(SEARCH("GMPS",E879)),D879,0))</f>
        <v/>
      </c>
      <c r="K879" s="41" t="str">
        <f aca="false">IF(A879="","",IF(ISNUMBER(SEARCH("DLV",E879)),D879,0))</f>
        <v/>
      </c>
      <c r="L879" s="41" t="str">
        <f aca="false">IF(A879="","",IF(K879&gt;0,"Delivered",IF(ISNUMBER(SEARCH("CNF",E879)),"In production",IF(J879&gt;0,"Issued",IF(I879&gt;0,"Kitted","Released")))))</f>
        <v/>
      </c>
      <c r="M879" s="41" t="str">
        <f aca="false">IF(G879&lt;&gt;"Yes","",COUNTIFS($B$6:$B$1505,B879,$F$6:$F$1505,"&lt;"&amp;F879)+COUNTIFS($B$6:$B$1505,B879,$F$6:$F$1505,F879,$A$6:$A$1505,"&lt;="&amp;A879))</f>
        <v/>
      </c>
      <c r="N879" s="41" t="str">
        <f aca="false">IF(M879="","",ROUNDUP(M879/H879,0))</f>
        <v/>
      </c>
      <c r="O879" s="41" t="str">
        <f aca="false">IF(N879="","",IF(N879&lt;='Kitting Plan'!$C$3,"Rep "&amp;N879,"Surplus"))</f>
        <v/>
      </c>
    </row>
    <row r="880" customFormat="false" ht="15" hidden="false" customHeight="false" outlineLevel="0" collapsed="false">
      <c r="A880" s="40" t="str">
        <f aca="false">IF(OR($A$4=0,INDEX('COOIS Raw'!$A:$GZ,ROW()-4,$A$4)=""),"",IFERROR(--INDEX('COOIS Raw'!$A:$GZ,ROW()-4,$A$4),INDEX('COOIS Raw'!$A:$GZ,ROW()-4,$A$4)))</f>
        <v/>
      </c>
      <c r="B880" s="41" t="str">
        <f aca="false">IF(A880="","",TRIM(INDEX('COOIS Raw'!$A:$GZ,ROW()-4,$B$4)))</f>
        <v/>
      </c>
      <c r="C880" s="42" t="str">
        <f aca="false">IF(OR(A880="",$C$4=0),"",INDEX('COOIS Raw'!$A:$GZ,ROW()-4,$C$4))</f>
        <v/>
      </c>
      <c r="D880" s="41" t="str">
        <f aca="false">IF(A880="","",IF($D$4=0,1,IFERROR(--INDEX('COOIS Raw'!$A:$GZ,ROW()-4,$D$4),1)))</f>
        <v/>
      </c>
      <c r="E880" s="42" t="str">
        <f aca="false">IF(A880="","",INDEX('COOIS Raw'!$A:$GZ,ROW()-4,$E$4)&amp;"")</f>
        <v/>
      </c>
      <c r="F880" s="43" t="str">
        <f aca="false">IF(A880="","",IFERROR(DATEVALUE(INDEX('COOIS Raw'!$A:$GZ,ROW()-4,$F$4)),INDEX('COOIS Raw'!$A:$GZ,ROW()-4,$F$4)))</f>
        <v/>
      </c>
      <c r="G880" s="41" t="str">
        <f aca="false">IF(A880="","",IF(ISNA(MATCH(B880,'Kitting Plan'!$B$6:$B$19,0)),"Not in plan","Yes"))</f>
        <v/>
      </c>
      <c r="H880" s="41" t="str">
        <f aca="false">IF(G880="Yes",INDEX('Kitting Plan'!$D$6:$D$19,MATCH(B880,'Kitting Plan'!$B$6:$B$19,0)),"")</f>
        <v/>
      </c>
      <c r="I880" s="41" t="str">
        <f aca="false">IF(A880="","",IF(ISNUMBER(SEARCH("PRT",E880)),D880,0))</f>
        <v/>
      </c>
      <c r="J880" s="41" t="str">
        <f aca="false">IF(A880="","",IF(ISNUMBER(SEARCH("GMPS",E880)),D880,0))</f>
        <v/>
      </c>
      <c r="K880" s="41" t="str">
        <f aca="false">IF(A880="","",IF(ISNUMBER(SEARCH("DLV",E880)),D880,0))</f>
        <v/>
      </c>
      <c r="L880" s="41" t="str">
        <f aca="false">IF(A880="","",IF(K880&gt;0,"Delivered",IF(ISNUMBER(SEARCH("CNF",E880)),"In production",IF(J880&gt;0,"Issued",IF(I880&gt;0,"Kitted","Released")))))</f>
        <v/>
      </c>
      <c r="M880" s="41" t="str">
        <f aca="false">IF(G880&lt;&gt;"Yes","",COUNTIFS($B$6:$B$1505,B880,$F$6:$F$1505,"&lt;"&amp;F880)+COUNTIFS($B$6:$B$1505,B880,$F$6:$F$1505,F880,$A$6:$A$1505,"&lt;="&amp;A880))</f>
        <v/>
      </c>
      <c r="N880" s="41" t="str">
        <f aca="false">IF(M880="","",ROUNDUP(M880/H880,0))</f>
        <v/>
      </c>
      <c r="O880" s="41" t="str">
        <f aca="false">IF(N880="","",IF(N880&lt;='Kitting Plan'!$C$3,"Rep "&amp;N880,"Surplus"))</f>
        <v/>
      </c>
    </row>
    <row r="881" customFormat="false" ht="15" hidden="false" customHeight="false" outlineLevel="0" collapsed="false">
      <c r="A881" s="40" t="str">
        <f aca="false">IF(OR($A$4=0,INDEX('COOIS Raw'!$A:$GZ,ROW()-4,$A$4)=""),"",IFERROR(--INDEX('COOIS Raw'!$A:$GZ,ROW()-4,$A$4),INDEX('COOIS Raw'!$A:$GZ,ROW()-4,$A$4)))</f>
        <v/>
      </c>
      <c r="B881" s="41" t="str">
        <f aca="false">IF(A881="","",TRIM(INDEX('COOIS Raw'!$A:$GZ,ROW()-4,$B$4)))</f>
        <v/>
      </c>
      <c r="C881" s="42" t="str">
        <f aca="false">IF(OR(A881="",$C$4=0),"",INDEX('COOIS Raw'!$A:$GZ,ROW()-4,$C$4))</f>
        <v/>
      </c>
      <c r="D881" s="41" t="str">
        <f aca="false">IF(A881="","",IF($D$4=0,1,IFERROR(--INDEX('COOIS Raw'!$A:$GZ,ROW()-4,$D$4),1)))</f>
        <v/>
      </c>
      <c r="E881" s="42" t="str">
        <f aca="false">IF(A881="","",INDEX('COOIS Raw'!$A:$GZ,ROW()-4,$E$4)&amp;"")</f>
        <v/>
      </c>
      <c r="F881" s="43" t="str">
        <f aca="false">IF(A881="","",IFERROR(DATEVALUE(INDEX('COOIS Raw'!$A:$GZ,ROW()-4,$F$4)),INDEX('COOIS Raw'!$A:$GZ,ROW()-4,$F$4)))</f>
        <v/>
      </c>
      <c r="G881" s="41" t="str">
        <f aca="false">IF(A881="","",IF(ISNA(MATCH(B881,'Kitting Plan'!$B$6:$B$19,0)),"Not in plan","Yes"))</f>
        <v/>
      </c>
      <c r="H881" s="41" t="str">
        <f aca="false">IF(G881="Yes",INDEX('Kitting Plan'!$D$6:$D$19,MATCH(B881,'Kitting Plan'!$B$6:$B$19,0)),"")</f>
        <v/>
      </c>
      <c r="I881" s="41" t="str">
        <f aca="false">IF(A881="","",IF(ISNUMBER(SEARCH("PRT",E881)),D881,0))</f>
        <v/>
      </c>
      <c r="J881" s="41" t="str">
        <f aca="false">IF(A881="","",IF(ISNUMBER(SEARCH("GMPS",E881)),D881,0))</f>
        <v/>
      </c>
      <c r="K881" s="41" t="str">
        <f aca="false">IF(A881="","",IF(ISNUMBER(SEARCH("DLV",E881)),D881,0))</f>
        <v/>
      </c>
      <c r="L881" s="41" t="str">
        <f aca="false">IF(A881="","",IF(K881&gt;0,"Delivered",IF(ISNUMBER(SEARCH("CNF",E881)),"In production",IF(J881&gt;0,"Issued",IF(I881&gt;0,"Kitted","Released")))))</f>
        <v/>
      </c>
      <c r="M881" s="41" t="str">
        <f aca="false">IF(G881&lt;&gt;"Yes","",COUNTIFS($B$6:$B$1505,B881,$F$6:$F$1505,"&lt;"&amp;F881)+COUNTIFS($B$6:$B$1505,B881,$F$6:$F$1505,F881,$A$6:$A$1505,"&lt;="&amp;A881))</f>
        <v/>
      </c>
      <c r="N881" s="41" t="str">
        <f aca="false">IF(M881="","",ROUNDUP(M881/H881,0))</f>
        <v/>
      </c>
      <c r="O881" s="41" t="str">
        <f aca="false">IF(N881="","",IF(N881&lt;='Kitting Plan'!$C$3,"Rep "&amp;N881,"Surplus"))</f>
        <v/>
      </c>
    </row>
    <row r="882" customFormat="false" ht="15" hidden="false" customHeight="false" outlineLevel="0" collapsed="false">
      <c r="A882" s="40" t="str">
        <f aca="false">IF(OR($A$4=0,INDEX('COOIS Raw'!$A:$GZ,ROW()-4,$A$4)=""),"",IFERROR(--INDEX('COOIS Raw'!$A:$GZ,ROW()-4,$A$4),INDEX('COOIS Raw'!$A:$GZ,ROW()-4,$A$4)))</f>
        <v/>
      </c>
      <c r="B882" s="41" t="str">
        <f aca="false">IF(A882="","",TRIM(INDEX('COOIS Raw'!$A:$GZ,ROW()-4,$B$4)))</f>
        <v/>
      </c>
      <c r="C882" s="42" t="str">
        <f aca="false">IF(OR(A882="",$C$4=0),"",INDEX('COOIS Raw'!$A:$GZ,ROW()-4,$C$4))</f>
        <v/>
      </c>
      <c r="D882" s="41" t="str">
        <f aca="false">IF(A882="","",IF($D$4=0,1,IFERROR(--INDEX('COOIS Raw'!$A:$GZ,ROW()-4,$D$4),1)))</f>
        <v/>
      </c>
      <c r="E882" s="42" t="str">
        <f aca="false">IF(A882="","",INDEX('COOIS Raw'!$A:$GZ,ROW()-4,$E$4)&amp;"")</f>
        <v/>
      </c>
      <c r="F882" s="43" t="str">
        <f aca="false">IF(A882="","",IFERROR(DATEVALUE(INDEX('COOIS Raw'!$A:$GZ,ROW()-4,$F$4)),INDEX('COOIS Raw'!$A:$GZ,ROW()-4,$F$4)))</f>
        <v/>
      </c>
      <c r="G882" s="41" t="str">
        <f aca="false">IF(A882="","",IF(ISNA(MATCH(B882,'Kitting Plan'!$B$6:$B$19,0)),"Not in plan","Yes"))</f>
        <v/>
      </c>
      <c r="H882" s="41" t="str">
        <f aca="false">IF(G882="Yes",INDEX('Kitting Plan'!$D$6:$D$19,MATCH(B882,'Kitting Plan'!$B$6:$B$19,0)),"")</f>
        <v/>
      </c>
      <c r="I882" s="41" t="str">
        <f aca="false">IF(A882="","",IF(ISNUMBER(SEARCH("PRT",E882)),D882,0))</f>
        <v/>
      </c>
      <c r="J882" s="41" t="str">
        <f aca="false">IF(A882="","",IF(ISNUMBER(SEARCH("GMPS",E882)),D882,0))</f>
        <v/>
      </c>
      <c r="K882" s="41" t="str">
        <f aca="false">IF(A882="","",IF(ISNUMBER(SEARCH("DLV",E882)),D882,0))</f>
        <v/>
      </c>
      <c r="L882" s="41" t="str">
        <f aca="false">IF(A882="","",IF(K882&gt;0,"Delivered",IF(ISNUMBER(SEARCH("CNF",E882)),"In production",IF(J882&gt;0,"Issued",IF(I882&gt;0,"Kitted","Released")))))</f>
        <v/>
      </c>
      <c r="M882" s="41" t="str">
        <f aca="false">IF(G882&lt;&gt;"Yes","",COUNTIFS($B$6:$B$1505,B882,$F$6:$F$1505,"&lt;"&amp;F882)+COUNTIFS($B$6:$B$1505,B882,$F$6:$F$1505,F882,$A$6:$A$1505,"&lt;="&amp;A882))</f>
        <v/>
      </c>
      <c r="N882" s="41" t="str">
        <f aca="false">IF(M882="","",ROUNDUP(M882/H882,0))</f>
        <v/>
      </c>
      <c r="O882" s="41" t="str">
        <f aca="false">IF(N882="","",IF(N882&lt;='Kitting Plan'!$C$3,"Rep "&amp;N882,"Surplus"))</f>
        <v/>
      </c>
    </row>
    <row r="883" customFormat="false" ht="15" hidden="false" customHeight="false" outlineLevel="0" collapsed="false">
      <c r="A883" s="40" t="str">
        <f aca="false">IF(OR($A$4=0,INDEX('COOIS Raw'!$A:$GZ,ROW()-4,$A$4)=""),"",IFERROR(--INDEX('COOIS Raw'!$A:$GZ,ROW()-4,$A$4),INDEX('COOIS Raw'!$A:$GZ,ROW()-4,$A$4)))</f>
        <v/>
      </c>
      <c r="B883" s="41" t="str">
        <f aca="false">IF(A883="","",TRIM(INDEX('COOIS Raw'!$A:$GZ,ROW()-4,$B$4)))</f>
        <v/>
      </c>
      <c r="C883" s="42" t="str">
        <f aca="false">IF(OR(A883="",$C$4=0),"",INDEX('COOIS Raw'!$A:$GZ,ROW()-4,$C$4))</f>
        <v/>
      </c>
      <c r="D883" s="41" t="str">
        <f aca="false">IF(A883="","",IF($D$4=0,1,IFERROR(--INDEX('COOIS Raw'!$A:$GZ,ROW()-4,$D$4),1)))</f>
        <v/>
      </c>
      <c r="E883" s="42" t="str">
        <f aca="false">IF(A883="","",INDEX('COOIS Raw'!$A:$GZ,ROW()-4,$E$4)&amp;"")</f>
        <v/>
      </c>
      <c r="F883" s="43" t="str">
        <f aca="false">IF(A883="","",IFERROR(DATEVALUE(INDEX('COOIS Raw'!$A:$GZ,ROW()-4,$F$4)),INDEX('COOIS Raw'!$A:$GZ,ROW()-4,$F$4)))</f>
        <v/>
      </c>
      <c r="G883" s="41" t="str">
        <f aca="false">IF(A883="","",IF(ISNA(MATCH(B883,'Kitting Plan'!$B$6:$B$19,0)),"Not in plan","Yes"))</f>
        <v/>
      </c>
      <c r="H883" s="41" t="str">
        <f aca="false">IF(G883="Yes",INDEX('Kitting Plan'!$D$6:$D$19,MATCH(B883,'Kitting Plan'!$B$6:$B$19,0)),"")</f>
        <v/>
      </c>
      <c r="I883" s="41" t="str">
        <f aca="false">IF(A883="","",IF(ISNUMBER(SEARCH("PRT",E883)),D883,0))</f>
        <v/>
      </c>
      <c r="J883" s="41" t="str">
        <f aca="false">IF(A883="","",IF(ISNUMBER(SEARCH("GMPS",E883)),D883,0))</f>
        <v/>
      </c>
      <c r="K883" s="41" t="str">
        <f aca="false">IF(A883="","",IF(ISNUMBER(SEARCH("DLV",E883)),D883,0))</f>
        <v/>
      </c>
      <c r="L883" s="41" t="str">
        <f aca="false">IF(A883="","",IF(K883&gt;0,"Delivered",IF(ISNUMBER(SEARCH("CNF",E883)),"In production",IF(J883&gt;0,"Issued",IF(I883&gt;0,"Kitted","Released")))))</f>
        <v/>
      </c>
      <c r="M883" s="41" t="str">
        <f aca="false">IF(G883&lt;&gt;"Yes","",COUNTIFS($B$6:$B$1505,B883,$F$6:$F$1505,"&lt;"&amp;F883)+COUNTIFS($B$6:$B$1505,B883,$F$6:$F$1505,F883,$A$6:$A$1505,"&lt;="&amp;A883))</f>
        <v/>
      </c>
      <c r="N883" s="41" t="str">
        <f aca="false">IF(M883="","",ROUNDUP(M883/H883,0))</f>
        <v/>
      </c>
      <c r="O883" s="41" t="str">
        <f aca="false">IF(N883="","",IF(N883&lt;='Kitting Plan'!$C$3,"Rep "&amp;N883,"Surplus"))</f>
        <v/>
      </c>
    </row>
    <row r="884" customFormat="false" ht="15" hidden="false" customHeight="false" outlineLevel="0" collapsed="false">
      <c r="A884" s="40" t="str">
        <f aca="false">IF(OR($A$4=0,INDEX('COOIS Raw'!$A:$GZ,ROW()-4,$A$4)=""),"",IFERROR(--INDEX('COOIS Raw'!$A:$GZ,ROW()-4,$A$4),INDEX('COOIS Raw'!$A:$GZ,ROW()-4,$A$4)))</f>
        <v/>
      </c>
      <c r="B884" s="41" t="str">
        <f aca="false">IF(A884="","",TRIM(INDEX('COOIS Raw'!$A:$GZ,ROW()-4,$B$4)))</f>
        <v/>
      </c>
      <c r="C884" s="42" t="str">
        <f aca="false">IF(OR(A884="",$C$4=0),"",INDEX('COOIS Raw'!$A:$GZ,ROW()-4,$C$4))</f>
        <v/>
      </c>
      <c r="D884" s="41" t="str">
        <f aca="false">IF(A884="","",IF($D$4=0,1,IFERROR(--INDEX('COOIS Raw'!$A:$GZ,ROW()-4,$D$4),1)))</f>
        <v/>
      </c>
      <c r="E884" s="42" t="str">
        <f aca="false">IF(A884="","",INDEX('COOIS Raw'!$A:$GZ,ROW()-4,$E$4)&amp;"")</f>
        <v/>
      </c>
      <c r="F884" s="43" t="str">
        <f aca="false">IF(A884="","",IFERROR(DATEVALUE(INDEX('COOIS Raw'!$A:$GZ,ROW()-4,$F$4)),INDEX('COOIS Raw'!$A:$GZ,ROW()-4,$F$4)))</f>
        <v/>
      </c>
      <c r="G884" s="41" t="str">
        <f aca="false">IF(A884="","",IF(ISNA(MATCH(B884,'Kitting Plan'!$B$6:$B$19,0)),"Not in plan","Yes"))</f>
        <v/>
      </c>
      <c r="H884" s="41" t="str">
        <f aca="false">IF(G884="Yes",INDEX('Kitting Plan'!$D$6:$D$19,MATCH(B884,'Kitting Plan'!$B$6:$B$19,0)),"")</f>
        <v/>
      </c>
      <c r="I884" s="41" t="str">
        <f aca="false">IF(A884="","",IF(ISNUMBER(SEARCH("PRT",E884)),D884,0))</f>
        <v/>
      </c>
      <c r="J884" s="41" t="str">
        <f aca="false">IF(A884="","",IF(ISNUMBER(SEARCH("GMPS",E884)),D884,0))</f>
        <v/>
      </c>
      <c r="K884" s="41" t="str">
        <f aca="false">IF(A884="","",IF(ISNUMBER(SEARCH("DLV",E884)),D884,0))</f>
        <v/>
      </c>
      <c r="L884" s="41" t="str">
        <f aca="false">IF(A884="","",IF(K884&gt;0,"Delivered",IF(ISNUMBER(SEARCH("CNF",E884)),"In production",IF(J884&gt;0,"Issued",IF(I884&gt;0,"Kitted","Released")))))</f>
        <v/>
      </c>
      <c r="M884" s="41" t="str">
        <f aca="false">IF(G884&lt;&gt;"Yes","",COUNTIFS($B$6:$B$1505,B884,$F$6:$F$1505,"&lt;"&amp;F884)+COUNTIFS($B$6:$B$1505,B884,$F$6:$F$1505,F884,$A$6:$A$1505,"&lt;="&amp;A884))</f>
        <v/>
      </c>
      <c r="N884" s="41" t="str">
        <f aca="false">IF(M884="","",ROUNDUP(M884/H884,0))</f>
        <v/>
      </c>
      <c r="O884" s="41" t="str">
        <f aca="false">IF(N884="","",IF(N884&lt;='Kitting Plan'!$C$3,"Rep "&amp;N884,"Surplus"))</f>
        <v/>
      </c>
    </row>
    <row r="885" customFormat="false" ht="15" hidden="false" customHeight="false" outlineLevel="0" collapsed="false">
      <c r="A885" s="40" t="str">
        <f aca="false">IF(OR($A$4=0,INDEX('COOIS Raw'!$A:$GZ,ROW()-4,$A$4)=""),"",IFERROR(--INDEX('COOIS Raw'!$A:$GZ,ROW()-4,$A$4),INDEX('COOIS Raw'!$A:$GZ,ROW()-4,$A$4)))</f>
        <v/>
      </c>
      <c r="B885" s="41" t="str">
        <f aca="false">IF(A885="","",TRIM(INDEX('COOIS Raw'!$A:$GZ,ROW()-4,$B$4)))</f>
        <v/>
      </c>
      <c r="C885" s="42" t="str">
        <f aca="false">IF(OR(A885="",$C$4=0),"",INDEX('COOIS Raw'!$A:$GZ,ROW()-4,$C$4))</f>
        <v/>
      </c>
      <c r="D885" s="41" t="str">
        <f aca="false">IF(A885="","",IF($D$4=0,1,IFERROR(--INDEX('COOIS Raw'!$A:$GZ,ROW()-4,$D$4),1)))</f>
        <v/>
      </c>
      <c r="E885" s="42" t="str">
        <f aca="false">IF(A885="","",INDEX('COOIS Raw'!$A:$GZ,ROW()-4,$E$4)&amp;"")</f>
        <v/>
      </c>
      <c r="F885" s="43" t="str">
        <f aca="false">IF(A885="","",IFERROR(DATEVALUE(INDEX('COOIS Raw'!$A:$GZ,ROW()-4,$F$4)),INDEX('COOIS Raw'!$A:$GZ,ROW()-4,$F$4)))</f>
        <v/>
      </c>
      <c r="G885" s="41" t="str">
        <f aca="false">IF(A885="","",IF(ISNA(MATCH(B885,'Kitting Plan'!$B$6:$B$19,0)),"Not in plan","Yes"))</f>
        <v/>
      </c>
      <c r="H885" s="41" t="str">
        <f aca="false">IF(G885="Yes",INDEX('Kitting Plan'!$D$6:$D$19,MATCH(B885,'Kitting Plan'!$B$6:$B$19,0)),"")</f>
        <v/>
      </c>
      <c r="I885" s="41" t="str">
        <f aca="false">IF(A885="","",IF(ISNUMBER(SEARCH("PRT",E885)),D885,0))</f>
        <v/>
      </c>
      <c r="J885" s="41" t="str">
        <f aca="false">IF(A885="","",IF(ISNUMBER(SEARCH("GMPS",E885)),D885,0))</f>
        <v/>
      </c>
      <c r="K885" s="41" t="str">
        <f aca="false">IF(A885="","",IF(ISNUMBER(SEARCH("DLV",E885)),D885,0))</f>
        <v/>
      </c>
      <c r="L885" s="41" t="str">
        <f aca="false">IF(A885="","",IF(K885&gt;0,"Delivered",IF(ISNUMBER(SEARCH("CNF",E885)),"In production",IF(J885&gt;0,"Issued",IF(I885&gt;0,"Kitted","Released")))))</f>
        <v/>
      </c>
      <c r="M885" s="41" t="str">
        <f aca="false">IF(G885&lt;&gt;"Yes","",COUNTIFS($B$6:$B$1505,B885,$F$6:$F$1505,"&lt;"&amp;F885)+COUNTIFS($B$6:$B$1505,B885,$F$6:$F$1505,F885,$A$6:$A$1505,"&lt;="&amp;A885))</f>
        <v/>
      </c>
      <c r="N885" s="41" t="str">
        <f aca="false">IF(M885="","",ROUNDUP(M885/H885,0))</f>
        <v/>
      </c>
      <c r="O885" s="41" t="str">
        <f aca="false">IF(N885="","",IF(N885&lt;='Kitting Plan'!$C$3,"Rep "&amp;N885,"Surplus"))</f>
        <v/>
      </c>
    </row>
    <row r="886" customFormat="false" ht="15" hidden="false" customHeight="false" outlineLevel="0" collapsed="false">
      <c r="A886" s="40" t="str">
        <f aca="false">IF(OR($A$4=0,INDEX('COOIS Raw'!$A:$GZ,ROW()-4,$A$4)=""),"",IFERROR(--INDEX('COOIS Raw'!$A:$GZ,ROW()-4,$A$4),INDEX('COOIS Raw'!$A:$GZ,ROW()-4,$A$4)))</f>
        <v/>
      </c>
      <c r="B886" s="41" t="str">
        <f aca="false">IF(A886="","",TRIM(INDEX('COOIS Raw'!$A:$GZ,ROW()-4,$B$4)))</f>
        <v/>
      </c>
      <c r="C886" s="42" t="str">
        <f aca="false">IF(OR(A886="",$C$4=0),"",INDEX('COOIS Raw'!$A:$GZ,ROW()-4,$C$4))</f>
        <v/>
      </c>
      <c r="D886" s="41" t="str">
        <f aca="false">IF(A886="","",IF($D$4=0,1,IFERROR(--INDEX('COOIS Raw'!$A:$GZ,ROW()-4,$D$4),1)))</f>
        <v/>
      </c>
      <c r="E886" s="42" t="str">
        <f aca="false">IF(A886="","",INDEX('COOIS Raw'!$A:$GZ,ROW()-4,$E$4)&amp;"")</f>
        <v/>
      </c>
      <c r="F886" s="43" t="str">
        <f aca="false">IF(A886="","",IFERROR(DATEVALUE(INDEX('COOIS Raw'!$A:$GZ,ROW()-4,$F$4)),INDEX('COOIS Raw'!$A:$GZ,ROW()-4,$F$4)))</f>
        <v/>
      </c>
      <c r="G886" s="41" t="str">
        <f aca="false">IF(A886="","",IF(ISNA(MATCH(B886,'Kitting Plan'!$B$6:$B$19,0)),"Not in plan","Yes"))</f>
        <v/>
      </c>
      <c r="H886" s="41" t="str">
        <f aca="false">IF(G886="Yes",INDEX('Kitting Plan'!$D$6:$D$19,MATCH(B886,'Kitting Plan'!$B$6:$B$19,0)),"")</f>
        <v/>
      </c>
      <c r="I886" s="41" t="str">
        <f aca="false">IF(A886="","",IF(ISNUMBER(SEARCH("PRT",E886)),D886,0))</f>
        <v/>
      </c>
      <c r="J886" s="41" t="str">
        <f aca="false">IF(A886="","",IF(ISNUMBER(SEARCH("GMPS",E886)),D886,0))</f>
        <v/>
      </c>
      <c r="K886" s="41" t="str">
        <f aca="false">IF(A886="","",IF(ISNUMBER(SEARCH("DLV",E886)),D886,0))</f>
        <v/>
      </c>
      <c r="L886" s="41" t="str">
        <f aca="false">IF(A886="","",IF(K886&gt;0,"Delivered",IF(ISNUMBER(SEARCH("CNF",E886)),"In production",IF(J886&gt;0,"Issued",IF(I886&gt;0,"Kitted","Released")))))</f>
        <v/>
      </c>
      <c r="M886" s="41" t="str">
        <f aca="false">IF(G886&lt;&gt;"Yes","",COUNTIFS($B$6:$B$1505,B886,$F$6:$F$1505,"&lt;"&amp;F886)+COUNTIFS($B$6:$B$1505,B886,$F$6:$F$1505,F886,$A$6:$A$1505,"&lt;="&amp;A886))</f>
        <v/>
      </c>
      <c r="N886" s="41" t="str">
        <f aca="false">IF(M886="","",ROUNDUP(M886/H886,0))</f>
        <v/>
      </c>
      <c r="O886" s="41" t="str">
        <f aca="false">IF(N886="","",IF(N886&lt;='Kitting Plan'!$C$3,"Rep "&amp;N886,"Surplus"))</f>
        <v/>
      </c>
    </row>
    <row r="887" customFormat="false" ht="15" hidden="false" customHeight="false" outlineLevel="0" collapsed="false">
      <c r="A887" s="40" t="str">
        <f aca="false">IF(OR($A$4=0,INDEX('COOIS Raw'!$A:$GZ,ROW()-4,$A$4)=""),"",IFERROR(--INDEX('COOIS Raw'!$A:$GZ,ROW()-4,$A$4),INDEX('COOIS Raw'!$A:$GZ,ROW()-4,$A$4)))</f>
        <v/>
      </c>
      <c r="B887" s="41" t="str">
        <f aca="false">IF(A887="","",TRIM(INDEX('COOIS Raw'!$A:$GZ,ROW()-4,$B$4)))</f>
        <v/>
      </c>
      <c r="C887" s="42" t="str">
        <f aca="false">IF(OR(A887="",$C$4=0),"",INDEX('COOIS Raw'!$A:$GZ,ROW()-4,$C$4))</f>
        <v/>
      </c>
      <c r="D887" s="41" t="str">
        <f aca="false">IF(A887="","",IF($D$4=0,1,IFERROR(--INDEX('COOIS Raw'!$A:$GZ,ROW()-4,$D$4),1)))</f>
        <v/>
      </c>
      <c r="E887" s="42" t="str">
        <f aca="false">IF(A887="","",INDEX('COOIS Raw'!$A:$GZ,ROW()-4,$E$4)&amp;"")</f>
        <v/>
      </c>
      <c r="F887" s="43" t="str">
        <f aca="false">IF(A887="","",IFERROR(DATEVALUE(INDEX('COOIS Raw'!$A:$GZ,ROW()-4,$F$4)),INDEX('COOIS Raw'!$A:$GZ,ROW()-4,$F$4)))</f>
        <v/>
      </c>
      <c r="G887" s="41" t="str">
        <f aca="false">IF(A887="","",IF(ISNA(MATCH(B887,'Kitting Plan'!$B$6:$B$19,0)),"Not in plan","Yes"))</f>
        <v/>
      </c>
      <c r="H887" s="41" t="str">
        <f aca="false">IF(G887="Yes",INDEX('Kitting Plan'!$D$6:$D$19,MATCH(B887,'Kitting Plan'!$B$6:$B$19,0)),"")</f>
        <v/>
      </c>
      <c r="I887" s="41" t="str">
        <f aca="false">IF(A887="","",IF(ISNUMBER(SEARCH("PRT",E887)),D887,0))</f>
        <v/>
      </c>
      <c r="J887" s="41" t="str">
        <f aca="false">IF(A887="","",IF(ISNUMBER(SEARCH("GMPS",E887)),D887,0))</f>
        <v/>
      </c>
      <c r="K887" s="41" t="str">
        <f aca="false">IF(A887="","",IF(ISNUMBER(SEARCH("DLV",E887)),D887,0))</f>
        <v/>
      </c>
      <c r="L887" s="41" t="str">
        <f aca="false">IF(A887="","",IF(K887&gt;0,"Delivered",IF(ISNUMBER(SEARCH("CNF",E887)),"In production",IF(J887&gt;0,"Issued",IF(I887&gt;0,"Kitted","Released")))))</f>
        <v/>
      </c>
      <c r="M887" s="41" t="str">
        <f aca="false">IF(G887&lt;&gt;"Yes","",COUNTIFS($B$6:$B$1505,B887,$F$6:$F$1505,"&lt;"&amp;F887)+COUNTIFS($B$6:$B$1505,B887,$F$6:$F$1505,F887,$A$6:$A$1505,"&lt;="&amp;A887))</f>
        <v/>
      </c>
      <c r="N887" s="41" t="str">
        <f aca="false">IF(M887="","",ROUNDUP(M887/H887,0))</f>
        <v/>
      </c>
      <c r="O887" s="41" t="str">
        <f aca="false">IF(N887="","",IF(N887&lt;='Kitting Plan'!$C$3,"Rep "&amp;N887,"Surplus"))</f>
        <v/>
      </c>
    </row>
    <row r="888" customFormat="false" ht="15" hidden="false" customHeight="false" outlineLevel="0" collapsed="false">
      <c r="A888" s="40" t="str">
        <f aca="false">IF(OR($A$4=0,INDEX('COOIS Raw'!$A:$GZ,ROW()-4,$A$4)=""),"",IFERROR(--INDEX('COOIS Raw'!$A:$GZ,ROW()-4,$A$4),INDEX('COOIS Raw'!$A:$GZ,ROW()-4,$A$4)))</f>
        <v/>
      </c>
      <c r="B888" s="41" t="str">
        <f aca="false">IF(A888="","",TRIM(INDEX('COOIS Raw'!$A:$GZ,ROW()-4,$B$4)))</f>
        <v/>
      </c>
      <c r="C888" s="42" t="str">
        <f aca="false">IF(OR(A888="",$C$4=0),"",INDEX('COOIS Raw'!$A:$GZ,ROW()-4,$C$4))</f>
        <v/>
      </c>
      <c r="D888" s="41" t="str">
        <f aca="false">IF(A888="","",IF($D$4=0,1,IFERROR(--INDEX('COOIS Raw'!$A:$GZ,ROW()-4,$D$4),1)))</f>
        <v/>
      </c>
      <c r="E888" s="42" t="str">
        <f aca="false">IF(A888="","",INDEX('COOIS Raw'!$A:$GZ,ROW()-4,$E$4)&amp;"")</f>
        <v/>
      </c>
      <c r="F888" s="43" t="str">
        <f aca="false">IF(A888="","",IFERROR(DATEVALUE(INDEX('COOIS Raw'!$A:$GZ,ROW()-4,$F$4)),INDEX('COOIS Raw'!$A:$GZ,ROW()-4,$F$4)))</f>
        <v/>
      </c>
      <c r="G888" s="41" t="str">
        <f aca="false">IF(A888="","",IF(ISNA(MATCH(B888,'Kitting Plan'!$B$6:$B$19,0)),"Not in plan","Yes"))</f>
        <v/>
      </c>
      <c r="H888" s="41" t="str">
        <f aca="false">IF(G888="Yes",INDEX('Kitting Plan'!$D$6:$D$19,MATCH(B888,'Kitting Plan'!$B$6:$B$19,0)),"")</f>
        <v/>
      </c>
      <c r="I888" s="41" t="str">
        <f aca="false">IF(A888="","",IF(ISNUMBER(SEARCH("PRT",E888)),D888,0))</f>
        <v/>
      </c>
      <c r="J888" s="41" t="str">
        <f aca="false">IF(A888="","",IF(ISNUMBER(SEARCH("GMPS",E888)),D888,0))</f>
        <v/>
      </c>
      <c r="K888" s="41" t="str">
        <f aca="false">IF(A888="","",IF(ISNUMBER(SEARCH("DLV",E888)),D888,0))</f>
        <v/>
      </c>
      <c r="L888" s="41" t="str">
        <f aca="false">IF(A888="","",IF(K888&gt;0,"Delivered",IF(ISNUMBER(SEARCH("CNF",E888)),"In production",IF(J888&gt;0,"Issued",IF(I888&gt;0,"Kitted","Released")))))</f>
        <v/>
      </c>
      <c r="M888" s="41" t="str">
        <f aca="false">IF(G888&lt;&gt;"Yes","",COUNTIFS($B$6:$B$1505,B888,$F$6:$F$1505,"&lt;"&amp;F888)+COUNTIFS($B$6:$B$1505,B888,$F$6:$F$1505,F888,$A$6:$A$1505,"&lt;="&amp;A888))</f>
        <v/>
      </c>
      <c r="N888" s="41" t="str">
        <f aca="false">IF(M888="","",ROUNDUP(M888/H888,0))</f>
        <v/>
      </c>
      <c r="O888" s="41" t="str">
        <f aca="false">IF(N888="","",IF(N888&lt;='Kitting Plan'!$C$3,"Rep "&amp;N888,"Surplus"))</f>
        <v/>
      </c>
    </row>
    <row r="889" customFormat="false" ht="15" hidden="false" customHeight="false" outlineLevel="0" collapsed="false">
      <c r="A889" s="40" t="str">
        <f aca="false">IF(OR($A$4=0,INDEX('COOIS Raw'!$A:$GZ,ROW()-4,$A$4)=""),"",IFERROR(--INDEX('COOIS Raw'!$A:$GZ,ROW()-4,$A$4),INDEX('COOIS Raw'!$A:$GZ,ROW()-4,$A$4)))</f>
        <v/>
      </c>
      <c r="B889" s="41" t="str">
        <f aca="false">IF(A889="","",TRIM(INDEX('COOIS Raw'!$A:$GZ,ROW()-4,$B$4)))</f>
        <v/>
      </c>
      <c r="C889" s="42" t="str">
        <f aca="false">IF(OR(A889="",$C$4=0),"",INDEX('COOIS Raw'!$A:$GZ,ROW()-4,$C$4))</f>
        <v/>
      </c>
      <c r="D889" s="41" t="str">
        <f aca="false">IF(A889="","",IF($D$4=0,1,IFERROR(--INDEX('COOIS Raw'!$A:$GZ,ROW()-4,$D$4),1)))</f>
        <v/>
      </c>
      <c r="E889" s="42" t="str">
        <f aca="false">IF(A889="","",INDEX('COOIS Raw'!$A:$GZ,ROW()-4,$E$4)&amp;"")</f>
        <v/>
      </c>
      <c r="F889" s="43" t="str">
        <f aca="false">IF(A889="","",IFERROR(DATEVALUE(INDEX('COOIS Raw'!$A:$GZ,ROW()-4,$F$4)),INDEX('COOIS Raw'!$A:$GZ,ROW()-4,$F$4)))</f>
        <v/>
      </c>
      <c r="G889" s="41" t="str">
        <f aca="false">IF(A889="","",IF(ISNA(MATCH(B889,'Kitting Plan'!$B$6:$B$19,0)),"Not in plan","Yes"))</f>
        <v/>
      </c>
      <c r="H889" s="41" t="str">
        <f aca="false">IF(G889="Yes",INDEX('Kitting Plan'!$D$6:$D$19,MATCH(B889,'Kitting Plan'!$B$6:$B$19,0)),"")</f>
        <v/>
      </c>
      <c r="I889" s="41" t="str">
        <f aca="false">IF(A889="","",IF(ISNUMBER(SEARCH("PRT",E889)),D889,0))</f>
        <v/>
      </c>
      <c r="J889" s="41" t="str">
        <f aca="false">IF(A889="","",IF(ISNUMBER(SEARCH("GMPS",E889)),D889,0))</f>
        <v/>
      </c>
      <c r="K889" s="41" t="str">
        <f aca="false">IF(A889="","",IF(ISNUMBER(SEARCH("DLV",E889)),D889,0))</f>
        <v/>
      </c>
      <c r="L889" s="41" t="str">
        <f aca="false">IF(A889="","",IF(K889&gt;0,"Delivered",IF(ISNUMBER(SEARCH("CNF",E889)),"In production",IF(J889&gt;0,"Issued",IF(I889&gt;0,"Kitted","Released")))))</f>
        <v/>
      </c>
      <c r="M889" s="41" t="str">
        <f aca="false">IF(G889&lt;&gt;"Yes","",COUNTIFS($B$6:$B$1505,B889,$F$6:$F$1505,"&lt;"&amp;F889)+COUNTIFS($B$6:$B$1505,B889,$F$6:$F$1505,F889,$A$6:$A$1505,"&lt;="&amp;A889))</f>
        <v/>
      </c>
      <c r="N889" s="41" t="str">
        <f aca="false">IF(M889="","",ROUNDUP(M889/H889,0))</f>
        <v/>
      </c>
      <c r="O889" s="41" t="str">
        <f aca="false">IF(N889="","",IF(N889&lt;='Kitting Plan'!$C$3,"Rep "&amp;N889,"Surplus"))</f>
        <v/>
      </c>
    </row>
    <row r="890" customFormat="false" ht="15" hidden="false" customHeight="false" outlineLevel="0" collapsed="false">
      <c r="A890" s="40" t="str">
        <f aca="false">IF(OR($A$4=0,INDEX('COOIS Raw'!$A:$GZ,ROW()-4,$A$4)=""),"",IFERROR(--INDEX('COOIS Raw'!$A:$GZ,ROW()-4,$A$4),INDEX('COOIS Raw'!$A:$GZ,ROW()-4,$A$4)))</f>
        <v/>
      </c>
      <c r="B890" s="41" t="str">
        <f aca="false">IF(A890="","",TRIM(INDEX('COOIS Raw'!$A:$GZ,ROW()-4,$B$4)))</f>
        <v/>
      </c>
      <c r="C890" s="42" t="str">
        <f aca="false">IF(OR(A890="",$C$4=0),"",INDEX('COOIS Raw'!$A:$GZ,ROW()-4,$C$4))</f>
        <v/>
      </c>
      <c r="D890" s="41" t="str">
        <f aca="false">IF(A890="","",IF($D$4=0,1,IFERROR(--INDEX('COOIS Raw'!$A:$GZ,ROW()-4,$D$4),1)))</f>
        <v/>
      </c>
      <c r="E890" s="42" t="str">
        <f aca="false">IF(A890="","",INDEX('COOIS Raw'!$A:$GZ,ROW()-4,$E$4)&amp;"")</f>
        <v/>
      </c>
      <c r="F890" s="43" t="str">
        <f aca="false">IF(A890="","",IFERROR(DATEVALUE(INDEX('COOIS Raw'!$A:$GZ,ROW()-4,$F$4)),INDEX('COOIS Raw'!$A:$GZ,ROW()-4,$F$4)))</f>
        <v/>
      </c>
      <c r="G890" s="41" t="str">
        <f aca="false">IF(A890="","",IF(ISNA(MATCH(B890,'Kitting Plan'!$B$6:$B$19,0)),"Not in plan","Yes"))</f>
        <v/>
      </c>
      <c r="H890" s="41" t="str">
        <f aca="false">IF(G890="Yes",INDEX('Kitting Plan'!$D$6:$D$19,MATCH(B890,'Kitting Plan'!$B$6:$B$19,0)),"")</f>
        <v/>
      </c>
      <c r="I890" s="41" t="str">
        <f aca="false">IF(A890="","",IF(ISNUMBER(SEARCH("PRT",E890)),D890,0))</f>
        <v/>
      </c>
      <c r="J890" s="41" t="str">
        <f aca="false">IF(A890="","",IF(ISNUMBER(SEARCH("GMPS",E890)),D890,0))</f>
        <v/>
      </c>
      <c r="K890" s="41" t="str">
        <f aca="false">IF(A890="","",IF(ISNUMBER(SEARCH("DLV",E890)),D890,0))</f>
        <v/>
      </c>
      <c r="L890" s="41" t="str">
        <f aca="false">IF(A890="","",IF(K890&gt;0,"Delivered",IF(ISNUMBER(SEARCH("CNF",E890)),"In production",IF(J890&gt;0,"Issued",IF(I890&gt;0,"Kitted","Released")))))</f>
        <v/>
      </c>
      <c r="M890" s="41" t="str">
        <f aca="false">IF(G890&lt;&gt;"Yes","",COUNTIFS($B$6:$B$1505,B890,$F$6:$F$1505,"&lt;"&amp;F890)+COUNTIFS($B$6:$B$1505,B890,$F$6:$F$1505,F890,$A$6:$A$1505,"&lt;="&amp;A890))</f>
        <v/>
      </c>
      <c r="N890" s="41" t="str">
        <f aca="false">IF(M890="","",ROUNDUP(M890/H890,0))</f>
        <v/>
      </c>
      <c r="O890" s="41" t="str">
        <f aca="false">IF(N890="","",IF(N890&lt;='Kitting Plan'!$C$3,"Rep "&amp;N890,"Surplus"))</f>
        <v/>
      </c>
    </row>
    <row r="891" customFormat="false" ht="15" hidden="false" customHeight="false" outlineLevel="0" collapsed="false">
      <c r="A891" s="40" t="str">
        <f aca="false">IF(OR($A$4=0,INDEX('COOIS Raw'!$A:$GZ,ROW()-4,$A$4)=""),"",IFERROR(--INDEX('COOIS Raw'!$A:$GZ,ROW()-4,$A$4),INDEX('COOIS Raw'!$A:$GZ,ROW()-4,$A$4)))</f>
        <v/>
      </c>
      <c r="B891" s="41" t="str">
        <f aca="false">IF(A891="","",TRIM(INDEX('COOIS Raw'!$A:$GZ,ROW()-4,$B$4)))</f>
        <v/>
      </c>
      <c r="C891" s="42" t="str">
        <f aca="false">IF(OR(A891="",$C$4=0),"",INDEX('COOIS Raw'!$A:$GZ,ROW()-4,$C$4))</f>
        <v/>
      </c>
      <c r="D891" s="41" t="str">
        <f aca="false">IF(A891="","",IF($D$4=0,1,IFERROR(--INDEX('COOIS Raw'!$A:$GZ,ROW()-4,$D$4),1)))</f>
        <v/>
      </c>
      <c r="E891" s="42" t="str">
        <f aca="false">IF(A891="","",INDEX('COOIS Raw'!$A:$GZ,ROW()-4,$E$4)&amp;"")</f>
        <v/>
      </c>
      <c r="F891" s="43" t="str">
        <f aca="false">IF(A891="","",IFERROR(DATEVALUE(INDEX('COOIS Raw'!$A:$GZ,ROW()-4,$F$4)),INDEX('COOIS Raw'!$A:$GZ,ROW()-4,$F$4)))</f>
        <v/>
      </c>
      <c r="G891" s="41" t="str">
        <f aca="false">IF(A891="","",IF(ISNA(MATCH(B891,'Kitting Plan'!$B$6:$B$19,0)),"Not in plan","Yes"))</f>
        <v/>
      </c>
      <c r="H891" s="41" t="str">
        <f aca="false">IF(G891="Yes",INDEX('Kitting Plan'!$D$6:$D$19,MATCH(B891,'Kitting Plan'!$B$6:$B$19,0)),"")</f>
        <v/>
      </c>
      <c r="I891" s="41" t="str">
        <f aca="false">IF(A891="","",IF(ISNUMBER(SEARCH("PRT",E891)),D891,0))</f>
        <v/>
      </c>
      <c r="J891" s="41" t="str">
        <f aca="false">IF(A891="","",IF(ISNUMBER(SEARCH("GMPS",E891)),D891,0))</f>
        <v/>
      </c>
      <c r="K891" s="41" t="str">
        <f aca="false">IF(A891="","",IF(ISNUMBER(SEARCH("DLV",E891)),D891,0))</f>
        <v/>
      </c>
      <c r="L891" s="41" t="str">
        <f aca="false">IF(A891="","",IF(K891&gt;0,"Delivered",IF(ISNUMBER(SEARCH("CNF",E891)),"In production",IF(J891&gt;0,"Issued",IF(I891&gt;0,"Kitted","Released")))))</f>
        <v/>
      </c>
      <c r="M891" s="41" t="str">
        <f aca="false">IF(G891&lt;&gt;"Yes","",COUNTIFS($B$6:$B$1505,B891,$F$6:$F$1505,"&lt;"&amp;F891)+COUNTIFS($B$6:$B$1505,B891,$F$6:$F$1505,F891,$A$6:$A$1505,"&lt;="&amp;A891))</f>
        <v/>
      </c>
      <c r="N891" s="41" t="str">
        <f aca="false">IF(M891="","",ROUNDUP(M891/H891,0))</f>
        <v/>
      </c>
      <c r="O891" s="41" t="str">
        <f aca="false">IF(N891="","",IF(N891&lt;='Kitting Plan'!$C$3,"Rep "&amp;N891,"Surplus"))</f>
        <v/>
      </c>
    </row>
    <row r="892" customFormat="false" ht="15" hidden="false" customHeight="false" outlineLevel="0" collapsed="false">
      <c r="A892" s="40" t="str">
        <f aca="false">IF(OR($A$4=0,INDEX('COOIS Raw'!$A:$GZ,ROW()-4,$A$4)=""),"",IFERROR(--INDEX('COOIS Raw'!$A:$GZ,ROW()-4,$A$4),INDEX('COOIS Raw'!$A:$GZ,ROW()-4,$A$4)))</f>
        <v/>
      </c>
      <c r="B892" s="41" t="str">
        <f aca="false">IF(A892="","",TRIM(INDEX('COOIS Raw'!$A:$GZ,ROW()-4,$B$4)))</f>
        <v/>
      </c>
      <c r="C892" s="42" t="str">
        <f aca="false">IF(OR(A892="",$C$4=0),"",INDEX('COOIS Raw'!$A:$GZ,ROW()-4,$C$4))</f>
        <v/>
      </c>
      <c r="D892" s="41" t="str">
        <f aca="false">IF(A892="","",IF($D$4=0,1,IFERROR(--INDEX('COOIS Raw'!$A:$GZ,ROW()-4,$D$4),1)))</f>
        <v/>
      </c>
      <c r="E892" s="42" t="str">
        <f aca="false">IF(A892="","",INDEX('COOIS Raw'!$A:$GZ,ROW()-4,$E$4)&amp;"")</f>
        <v/>
      </c>
      <c r="F892" s="43" t="str">
        <f aca="false">IF(A892="","",IFERROR(DATEVALUE(INDEX('COOIS Raw'!$A:$GZ,ROW()-4,$F$4)),INDEX('COOIS Raw'!$A:$GZ,ROW()-4,$F$4)))</f>
        <v/>
      </c>
      <c r="G892" s="41" t="str">
        <f aca="false">IF(A892="","",IF(ISNA(MATCH(B892,'Kitting Plan'!$B$6:$B$19,0)),"Not in plan","Yes"))</f>
        <v/>
      </c>
      <c r="H892" s="41" t="str">
        <f aca="false">IF(G892="Yes",INDEX('Kitting Plan'!$D$6:$D$19,MATCH(B892,'Kitting Plan'!$B$6:$B$19,0)),"")</f>
        <v/>
      </c>
      <c r="I892" s="41" t="str">
        <f aca="false">IF(A892="","",IF(ISNUMBER(SEARCH("PRT",E892)),D892,0))</f>
        <v/>
      </c>
      <c r="J892" s="41" t="str">
        <f aca="false">IF(A892="","",IF(ISNUMBER(SEARCH("GMPS",E892)),D892,0))</f>
        <v/>
      </c>
      <c r="K892" s="41" t="str">
        <f aca="false">IF(A892="","",IF(ISNUMBER(SEARCH("DLV",E892)),D892,0))</f>
        <v/>
      </c>
      <c r="L892" s="41" t="str">
        <f aca="false">IF(A892="","",IF(K892&gt;0,"Delivered",IF(ISNUMBER(SEARCH("CNF",E892)),"In production",IF(J892&gt;0,"Issued",IF(I892&gt;0,"Kitted","Released")))))</f>
        <v/>
      </c>
      <c r="M892" s="41" t="str">
        <f aca="false">IF(G892&lt;&gt;"Yes","",COUNTIFS($B$6:$B$1505,B892,$F$6:$F$1505,"&lt;"&amp;F892)+COUNTIFS($B$6:$B$1505,B892,$F$6:$F$1505,F892,$A$6:$A$1505,"&lt;="&amp;A892))</f>
        <v/>
      </c>
      <c r="N892" s="41" t="str">
        <f aca="false">IF(M892="","",ROUNDUP(M892/H892,0))</f>
        <v/>
      </c>
      <c r="O892" s="41" t="str">
        <f aca="false">IF(N892="","",IF(N892&lt;='Kitting Plan'!$C$3,"Rep "&amp;N892,"Surplus"))</f>
        <v/>
      </c>
    </row>
    <row r="893" customFormat="false" ht="15" hidden="false" customHeight="false" outlineLevel="0" collapsed="false">
      <c r="A893" s="40" t="str">
        <f aca="false">IF(OR($A$4=0,INDEX('COOIS Raw'!$A:$GZ,ROW()-4,$A$4)=""),"",IFERROR(--INDEX('COOIS Raw'!$A:$GZ,ROW()-4,$A$4),INDEX('COOIS Raw'!$A:$GZ,ROW()-4,$A$4)))</f>
        <v/>
      </c>
      <c r="B893" s="41" t="str">
        <f aca="false">IF(A893="","",TRIM(INDEX('COOIS Raw'!$A:$GZ,ROW()-4,$B$4)))</f>
        <v/>
      </c>
      <c r="C893" s="42" t="str">
        <f aca="false">IF(OR(A893="",$C$4=0),"",INDEX('COOIS Raw'!$A:$GZ,ROW()-4,$C$4))</f>
        <v/>
      </c>
      <c r="D893" s="41" t="str">
        <f aca="false">IF(A893="","",IF($D$4=0,1,IFERROR(--INDEX('COOIS Raw'!$A:$GZ,ROW()-4,$D$4),1)))</f>
        <v/>
      </c>
      <c r="E893" s="42" t="str">
        <f aca="false">IF(A893="","",INDEX('COOIS Raw'!$A:$GZ,ROW()-4,$E$4)&amp;"")</f>
        <v/>
      </c>
      <c r="F893" s="43" t="str">
        <f aca="false">IF(A893="","",IFERROR(DATEVALUE(INDEX('COOIS Raw'!$A:$GZ,ROW()-4,$F$4)),INDEX('COOIS Raw'!$A:$GZ,ROW()-4,$F$4)))</f>
        <v/>
      </c>
      <c r="G893" s="41" t="str">
        <f aca="false">IF(A893="","",IF(ISNA(MATCH(B893,'Kitting Plan'!$B$6:$B$19,0)),"Not in plan","Yes"))</f>
        <v/>
      </c>
      <c r="H893" s="41" t="str">
        <f aca="false">IF(G893="Yes",INDEX('Kitting Plan'!$D$6:$D$19,MATCH(B893,'Kitting Plan'!$B$6:$B$19,0)),"")</f>
        <v/>
      </c>
      <c r="I893" s="41" t="str">
        <f aca="false">IF(A893="","",IF(ISNUMBER(SEARCH("PRT",E893)),D893,0))</f>
        <v/>
      </c>
      <c r="J893" s="41" t="str">
        <f aca="false">IF(A893="","",IF(ISNUMBER(SEARCH("GMPS",E893)),D893,0))</f>
        <v/>
      </c>
      <c r="K893" s="41" t="str">
        <f aca="false">IF(A893="","",IF(ISNUMBER(SEARCH("DLV",E893)),D893,0))</f>
        <v/>
      </c>
      <c r="L893" s="41" t="str">
        <f aca="false">IF(A893="","",IF(K893&gt;0,"Delivered",IF(ISNUMBER(SEARCH("CNF",E893)),"In production",IF(J893&gt;0,"Issued",IF(I893&gt;0,"Kitted","Released")))))</f>
        <v/>
      </c>
      <c r="M893" s="41" t="str">
        <f aca="false">IF(G893&lt;&gt;"Yes","",COUNTIFS($B$6:$B$1505,B893,$F$6:$F$1505,"&lt;"&amp;F893)+COUNTIFS($B$6:$B$1505,B893,$F$6:$F$1505,F893,$A$6:$A$1505,"&lt;="&amp;A893))</f>
        <v/>
      </c>
      <c r="N893" s="41" t="str">
        <f aca="false">IF(M893="","",ROUNDUP(M893/H893,0))</f>
        <v/>
      </c>
      <c r="O893" s="41" t="str">
        <f aca="false">IF(N893="","",IF(N893&lt;='Kitting Plan'!$C$3,"Rep "&amp;N893,"Surplus"))</f>
        <v/>
      </c>
    </row>
    <row r="894" customFormat="false" ht="15" hidden="false" customHeight="false" outlineLevel="0" collapsed="false">
      <c r="A894" s="40" t="str">
        <f aca="false">IF(OR($A$4=0,INDEX('COOIS Raw'!$A:$GZ,ROW()-4,$A$4)=""),"",IFERROR(--INDEX('COOIS Raw'!$A:$GZ,ROW()-4,$A$4),INDEX('COOIS Raw'!$A:$GZ,ROW()-4,$A$4)))</f>
        <v/>
      </c>
      <c r="B894" s="41" t="str">
        <f aca="false">IF(A894="","",TRIM(INDEX('COOIS Raw'!$A:$GZ,ROW()-4,$B$4)))</f>
        <v/>
      </c>
      <c r="C894" s="42" t="str">
        <f aca="false">IF(OR(A894="",$C$4=0),"",INDEX('COOIS Raw'!$A:$GZ,ROW()-4,$C$4))</f>
        <v/>
      </c>
      <c r="D894" s="41" t="str">
        <f aca="false">IF(A894="","",IF($D$4=0,1,IFERROR(--INDEX('COOIS Raw'!$A:$GZ,ROW()-4,$D$4),1)))</f>
        <v/>
      </c>
      <c r="E894" s="42" t="str">
        <f aca="false">IF(A894="","",INDEX('COOIS Raw'!$A:$GZ,ROW()-4,$E$4)&amp;"")</f>
        <v/>
      </c>
      <c r="F894" s="43" t="str">
        <f aca="false">IF(A894="","",IFERROR(DATEVALUE(INDEX('COOIS Raw'!$A:$GZ,ROW()-4,$F$4)),INDEX('COOIS Raw'!$A:$GZ,ROW()-4,$F$4)))</f>
        <v/>
      </c>
      <c r="G894" s="41" t="str">
        <f aca="false">IF(A894="","",IF(ISNA(MATCH(B894,'Kitting Plan'!$B$6:$B$19,0)),"Not in plan","Yes"))</f>
        <v/>
      </c>
      <c r="H894" s="41" t="str">
        <f aca="false">IF(G894="Yes",INDEX('Kitting Plan'!$D$6:$D$19,MATCH(B894,'Kitting Plan'!$B$6:$B$19,0)),"")</f>
        <v/>
      </c>
      <c r="I894" s="41" t="str">
        <f aca="false">IF(A894="","",IF(ISNUMBER(SEARCH("PRT",E894)),D894,0))</f>
        <v/>
      </c>
      <c r="J894" s="41" t="str">
        <f aca="false">IF(A894="","",IF(ISNUMBER(SEARCH("GMPS",E894)),D894,0))</f>
        <v/>
      </c>
      <c r="K894" s="41" t="str">
        <f aca="false">IF(A894="","",IF(ISNUMBER(SEARCH("DLV",E894)),D894,0))</f>
        <v/>
      </c>
      <c r="L894" s="41" t="str">
        <f aca="false">IF(A894="","",IF(K894&gt;0,"Delivered",IF(ISNUMBER(SEARCH("CNF",E894)),"In production",IF(J894&gt;0,"Issued",IF(I894&gt;0,"Kitted","Released")))))</f>
        <v/>
      </c>
      <c r="M894" s="41" t="str">
        <f aca="false">IF(G894&lt;&gt;"Yes","",COUNTIFS($B$6:$B$1505,B894,$F$6:$F$1505,"&lt;"&amp;F894)+COUNTIFS($B$6:$B$1505,B894,$F$6:$F$1505,F894,$A$6:$A$1505,"&lt;="&amp;A894))</f>
        <v/>
      </c>
      <c r="N894" s="41" t="str">
        <f aca="false">IF(M894="","",ROUNDUP(M894/H894,0))</f>
        <v/>
      </c>
      <c r="O894" s="41" t="str">
        <f aca="false">IF(N894="","",IF(N894&lt;='Kitting Plan'!$C$3,"Rep "&amp;N894,"Surplus"))</f>
        <v/>
      </c>
    </row>
    <row r="895" customFormat="false" ht="15" hidden="false" customHeight="false" outlineLevel="0" collapsed="false">
      <c r="A895" s="40" t="str">
        <f aca="false">IF(OR($A$4=0,INDEX('COOIS Raw'!$A:$GZ,ROW()-4,$A$4)=""),"",IFERROR(--INDEX('COOIS Raw'!$A:$GZ,ROW()-4,$A$4),INDEX('COOIS Raw'!$A:$GZ,ROW()-4,$A$4)))</f>
        <v/>
      </c>
      <c r="B895" s="41" t="str">
        <f aca="false">IF(A895="","",TRIM(INDEX('COOIS Raw'!$A:$GZ,ROW()-4,$B$4)))</f>
        <v/>
      </c>
      <c r="C895" s="42" t="str">
        <f aca="false">IF(OR(A895="",$C$4=0),"",INDEX('COOIS Raw'!$A:$GZ,ROW()-4,$C$4))</f>
        <v/>
      </c>
      <c r="D895" s="41" t="str">
        <f aca="false">IF(A895="","",IF($D$4=0,1,IFERROR(--INDEX('COOIS Raw'!$A:$GZ,ROW()-4,$D$4),1)))</f>
        <v/>
      </c>
      <c r="E895" s="42" t="str">
        <f aca="false">IF(A895="","",INDEX('COOIS Raw'!$A:$GZ,ROW()-4,$E$4)&amp;"")</f>
        <v/>
      </c>
      <c r="F895" s="43" t="str">
        <f aca="false">IF(A895="","",IFERROR(DATEVALUE(INDEX('COOIS Raw'!$A:$GZ,ROW()-4,$F$4)),INDEX('COOIS Raw'!$A:$GZ,ROW()-4,$F$4)))</f>
        <v/>
      </c>
      <c r="G895" s="41" t="str">
        <f aca="false">IF(A895="","",IF(ISNA(MATCH(B895,'Kitting Plan'!$B$6:$B$19,0)),"Not in plan","Yes"))</f>
        <v/>
      </c>
      <c r="H895" s="41" t="str">
        <f aca="false">IF(G895="Yes",INDEX('Kitting Plan'!$D$6:$D$19,MATCH(B895,'Kitting Plan'!$B$6:$B$19,0)),"")</f>
        <v/>
      </c>
      <c r="I895" s="41" t="str">
        <f aca="false">IF(A895="","",IF(ISNUMBER(SEARCH("PRT",E895)),D895,0))</f>
        <v/>
      </c>
      <c r="J895" s="41" t="str">
        <f aca="false">IF(A895="","",IF(ISNUMBER(SEARCH("GMPS",E895)),D895,0))</f>
        <v/>
      </c>
      <c r="K895" s="41" t="str">
        <f aca="false">IF(A895="","",IF(ISNUMBER(SEARCH("DLV",E895)),D895,0))</f>
        <v/>
      </c>
      <c r="L895" s="41" t="str">
        <f aca="false">IF(A895="","",IF(K895&gt;0,"Delivered",IF(ISNUMBER(SEARCH("CNF",E895)),"In production",IF(J895&gt;0,"Issued",IF(I895&gt;0,"Kitted","Released")))))</f>
        <v/>
      </c>
      <c r="M895" s="41" t="str">
        <f aca="false">IF(G895&lt;&gt;"Yes","",COUNTIFS($B$6:$B$1505,B895,$F$6:$F$1505,"&lt;"&amp;F895)+COUNTIFS($B$6:$B$1505,B895,$F$6:$F$1505,F895,$A$6:$A$1505,"&lt;="&amp;A895))</f>
        <v/>
      </c>
      <c r="N895" s="41" t="str">
        <f aca="false">IF(M895="","",ROUNDUP(M895/H895,0))</f>
        <v/>
      </c>
      <c r="O895" s="41" t="str">
        <f aca="false">IF(N895="","",IF(N895&lt;='Kitting Plan'!$C$3,"Rep "&amp;N895,"Surplus"))</f>
        <v/>
      </c>
    </row>
    <row r="896" customFormat="false" ht="15" hidden="false" customHeight="false" outlineLevel="0" collapsed="false">
      <c r="A896" s="40" t="str">
        <f aca="false">IF(OR($A$4=0,INDEX('COOIS Raw'!$A:$GZ,ROW()-4,$A$4)=""),"",IFERROR(--INDEX('COOIS Raw'!$A:$GZ,ROW()-4,$A$4),INDEX('COOIS Raw'!$A:$GZ,ROW()-4,$A$4)))</f>
        <v/>
      </c>
      <c r="B896" s="41" t="str">
        <f aca="false">IF(A896="","",TRIM(INDEX('COOIS Raw'!$A:$GZ,ROW()-4,$B$4)))</f>
        <v/>
      </c>
      <c r="C896" s="42" t="str">
        <f aca="false">IF(OR(A896="",$C$4=0),"",INDEX('COOIS Raw'!$A:$GZ,ROW()-4,$C$4))</f>
        <v/>
      </c>
      <c r="D896" s="41" t="str">
        <f aca="false">IF(A896="","",IF($D$4=0,1,IFERROR(--INDEX('COOIS Raw'!$A:$GZ,ROW()-4,$D$4),1)))</f>
        <v/>
      </c>
      <c r="E896" s="42" t="str">
        <f aca="false">IF(A896="","",INDEX('COOIS Raw'!$A:$GZ,ROW()-4,$E$4)&amp;"")</f>
        <v/>
      </c>
      <c r="F896" s="43" t="str">
        <f aca="false">IF(A896="","",IFERROR(DATEVALUE(INDEX('COOIS Raw'!$A:$GZ,ROW()-4,$F$4)),INDEX('COOIS Raw'!$A:$GZ,ROW()-4,$F$4)))</f>
        <v/>
      </c>
      <c r="G896" s="41" t="str">
        <f aca="false">IF(A896="","",IF(ISNA(MATCH(B896,'Kitting Plan'!$B$6:$B$19,0)),"Not in plan","Yes"))</f>
        <v/>
      </c>
      <c r="H896" s="41" t="str">
        <f aca="false">IF(G896="Yes",INDEX('Kitting Plan'!$D$6:$D$19,MATCH(B896,'Kitting Plan'!$B$6:$B$19,0)),"")</f>
        <v/>
      </c>
      <c r="I896" s="41" t="str">
        <f aca="false">IF(A896="","",IF(ISNUMBER(SEARCH("PRT",E896)),D896,0))</f>
        <v/>
      </c>
      <c r="J896" s="41" t="str">
        <f aca="false">IF(A896="","",IF(ISNUMBER(SEARCH("GMPS",E896)),D896,0))</f>
        <v/>
      </c>
      <c r="K896" s="41" t="str">
        <f aca="false">IF(A896="","",IF(ISNUMBER(SEARCH("DLV",E896)),D896,0))</f>
        <v/>
      </c>
      <c r="L896" s="41" t="str">
        <f aca="false">IF(A896="","",IF(K896&gt;0,"Delivered",IF(ISNUMBER(SEARCH("CNF",E896)),"In production",IF(J896&gt;0,"Issued",IF(I896&gt;0,"Kitted","Released")))))</f>
        <v/>
      </c>
      <c r="M896" s="41" t="str">
        <f aca="false">IF(G896&lt;&gt;"Yes","",COUNTIFS($B$6:$B$1505,B896,$F$6:$F$1505,"&lt;"&amp;F896)+COUNTIFS($B$6:$B$1505,B896,$F$6:$F$1505,F896,$A$6:$A$1505,"&lt;="&amp;A896))</f>
        <v/>
      </c>
      <c r="N896" s="41" t="str">
        <f aca="false">IF(M896="","",ROUNDUP(M896/H896,0))</f>
        <v/>
      </c>
      <c r="O896" s="41" t="str">
        <f aca="false">IF(N896="","",IF(N896&lt;='Kitting Plan'!$C$3,"Rep "&amp;N896,"Surplus"))</f>
        <v/>
      </c>
    </row>
    <row r="897" customFormat="false" ht="15" hidden="false" customHeight="false" outlineLevel="0" collapsed="false">
      <c r="A897" s="40" t="str">
        <f aca="false">IF(OR($A$4=0,INDEX('COOIS Raw'!$A:$GZ,ROW()-4,$A$4)=""),"",IFERROR(--INDEX('COOIS Raw'!$A:$GZ,ROW()-4,$A$4),INDEX('COOIS Raw'!$A:$GZ,ROW()-4,$A$4)))</f>
        <v/>
      </c>
      <c r="B897" s="41" t="str">
        <f aca="false">IF(A897="","",TRIM(INDEX('COOIS Raw'!$A:$GZ,ROW()-4,$B$4)))</f>
        <v/>
      </c>
      <c r="C897" s="42" t="str">
        <f aca="false">IF(OR(A897="",$C$4=0),"",INDEX('COOIS Raw'!$A:$GZ,ROW()-4,$C$4))</f>
        <v/>
      </c>
      <c r="D897" s="41" t="str">
        <f aca="false">IF(A897="","",IF($D$4=0,1,IFERROR(--INDEX('COOIS Raw'!$A:$GZ,ROW()-4,$D$4),1)))</f>
        <v/>
      </c>
      <c r="E897" s="42" t="str">
        <f aca="false">IF(A897="","",INDEX('COOIS Raw'!$A:$GZ,ROW()-4,$E$4)&amp;"")</f>
        <v/>
      </c>
      <c r="F897" s="43" t="str">
        <f aca="false">IF(A897="","",IFERROR(DATEVALUE(INDEX('COOIS Raw'!$A:$GZ,ROW()-4,$F$4)),INDEX('COOIS Raw'!$A:$GZ,ROW()-4,$F$4)))</f>
        <v/>
      </c>
      <c r="G897" s="41" t="str">
        <f aca="false">IF(A897="","",IF(ISNA(MATCH(B897,'Kitting Plan'!$B$6:$B$19,0)),"Not in plan","Yes"))</f>
        <v/>
      </c>
      <c r="H897" s="41" t="str">
        <f aca="false">IF(G897="Yes",INDEX('Kitting Plan'!$D$6:$D$19,MATCH(B897,'Kitting Plan'!$B$6:$B$19,0)),"")</f>
        <v/>
      </c>
      <c r="I897" s="41" t="str">
        <f aca="false">IF(A897="","",IF(ISNUMBER(SEARCH("PRT",E897)),D897,0))</f>
        <v/>
      </c>
      <c r="J897" s="41" t="str">
        <f aca="false">IF(A897="","",IF(ISNUMBER(SEARCH("GMPS",E897)),D897,0))</f>
        <v/>
      </c>
      <c r="K897" s="41" t="str">
        <f aca="false">IF(A897="","",IF(ISNUMBER(SEARCH("DLV",E897)),D897,0))</f>
        <v/>
      </c>
      <c r="L897" s="41" t="str">
        <f aca="false">IF(A897="","",IF(K897&gt;0,"Delivered",IF(ISNUMBER(SEARCH("CNF",E897)),"In production",IF(J897&gt;0,"Issued",IF(I897&gt;0,"Kitted","Released")))))</f>
        <v/>
      </c>
      <c r="M897" s="41" t="str">
        <f aca="false">IF(G897&lt;&gt;"Yes","",COUNTIFS($B$6:$B$1505,B897,$F$6:$F$1505,"&lt;"&amp;F897)+COUNTIFS($B$6:$B$1505,B897,$F$6:$F$1505,F897,$A$6:$A$1505,"&lt;="&amp;A897))</f>
        <v/>
      </c>
      <c r="N897" s="41" t="str">
        <f aca="false">IF(M897="","",ROUNDUP(M897/H897,0))</f>
        <v/>
      </c>
      <c r="O897" s="41" t="str">
        <f aca="false">IF(N897="","",IF(N897&lt;='Kitting Plan'!$C$3,"Rep "&amp;N897,"Surplus"))</f>
        <v/>
      </c>
    </row>
    <row r="898" customFormat="false" ht="15" hidden="false" customHeight="false" outlineLevel="0" collapsed="false">
      <c r="A898" s="40" t="str">
        <f aca="false">IF(OR($A$4=0,INDEX('COOIS Raw'!$A:$GZ,ROW()-4,$A$4)=""),"",IFERROR(--INDEX('COOIS Raw'!$A:$GZ,ROW()-4,$A$4),INDEX('COOIS Raw'!$A:$GZ,ROW()-4,$A$4)))</f>
        <v/>
      </c>
      <c r="B898" s="41" t="str">
        <f aca="false">IF(A898="","",TRIM(INDEX('COOIS Raw'!$A:$GZ,ROW()-4,$B$4)))</f>
        <v/>
      </c>
      <c r="C898" s="42" t="str">
        <f aca="false">IF(OR(A898="",$C$4=0),"",INDEX('COOIS Raw'!$A:$GZ,ROW()-4,$C$4))</f>
        <v/>
      </c>
      <c r="D898" s="41" t="str">
        <f aca="false">IF(A898="","",IF($D$4=0,1,IFERROR(--INDEX('COOIS Raw'!$A:$GZ,ROW()-4,$D$4),1)))</f>
        <v/>
      </c>
      <c r="E898" s="42" t="str">
        <f aca="false">IF(A898="","",INDEX('COOIS Raw'!$A:$GZ,ROW()-4,$E$4)&amp;"")</f>
        <v/>
      </c>
      <c r="F898" s="43" t="str">
        <f aca="false">IF(A898="","",IFERROR(DATEVALUE(INDEX('COOIS Raw'!$A:$GZ,ROW()-4,$F$4)),INDEX('COOIS Raw'!$A:$GZ,ROW()-4,$F$4)))</f>
        <v/>
      </c>
      <c r="G898" s="41" t="str">
        <f aca="false">IF(A898="","",IF(ISNA(MATCH(B898,'Kitting Plan'!$B$6:$B$19,0)),"Not in plan","Yes"))</f>
        <v/>
      </c>
      <c r="H898" s="41" t="str">
        <f aca="false">IF(G898="Yes",INDEX('Kitting Plan'!$D$6:$D$19,MATCH(B898,'Kitting Plan'!$B$6:$B$19,0)),"")</f>
        <v/>
      </c>
      <c r="I898" s="41" t="str">
        <f aca="false">IF(A898="","",IF(ISNUMBER(SEARCH("PRT",E898)),D898,0))</f>
        <v/>
      </c>
      <c r="J898" s="41" t="str">
        <f aca="false">IF(A898="","",IF(ISNUMBER(SEARCH("GMPS",E898)),D898,0))</f>
        <v/>
      </c>
      <c r="K898" s="41" t="str">
        <f aca="false">IF(A898="","",IF(ISNUMBER(SEARCH("DLV",E898)),D898,0))</f>
        <v/>
      </c>
      <c r="L898" s="41" t="str">
        <f aca="false">IF(A898="","",IF(K898&gt;0,"Delivered",IF(ISNUMBER(SEARCH("CNF",E898)),"In production",IF(J898&gt;0,"Issued",IF(I898&gt;0,"Kitted","Released")))))</f>
        <v/>
      </c>
      <c r="M898" s="41" t="str">
        <f aca="false">IF(G898&lt;&gt;"Yes","",COUNTIFS($B$6:$B$1505,B898,$F$6:$F$1505,"&lt;"&amp;F898)+COUNTIFS($B$6:$B$1505,B898,$F$6:$F$1505,F898,$A$6:$A$1505,"&lt;="&amp;A898))</f>
        <v/>
      </c>
      <c r="N898" s="41" t="str">
        <f aca="false">IF(M898="","",ROUNDUP(M898/H898,0))</f>
        <v/>
      </c>
      <c r="O898" s="41" t="str">
        <f aca="false">IF(N898="","",IF(N898&lt;='Kitting Plan'!$C$3,"Rep "&amp;N898,"Surplus"))</f>
        <v/>
      </c>
    </row>
    <row r="899" customFormat="false" ht="15" hidden="false" customHeight="false" outlineLevel="0" collapsed="false">
      <c r="A899" s="40" t="str">
        <f aca="false">IF(OR($A$4=0,INDEX('COOIS Raw'!$A:$GZ,ROW()-4,$A$4)=""),"",IFERROR(--INDEX('COOIS Raw'!$A:$GZ,ROW()-4,$A$4),INDEX('COOIS Raw'!$A:$GZ,ROW()-4,$A$4)))</f>
        <v/>
      </c>
      <c r="B899" s="41" t="str">
        <f aca="false">IF(A899="","",TRIM(INDEX('COOIS Raw'!$A:$GZ,ROW()-4,$B$4)))</f>
        <v/>
      </c>
      <c r="C899" s="42" t="str">
        <f aca="false">IF(OR(A899="",$C$4=0),"",INDEX('COOIS Raw'!$A:$GZ,ROW()-4,$C$4))</f>
        <v/>
      </c>
      <c r="D899" s="41" t="str">
        <f aca="false">IF(A899="","",IF($D$4=0,1,IFERROR(--INDEX('COOIS Raw'!$A:$GZ,ROW()-4,$D$4),1)))</f>
        <v/>
      </c>
      <c r="E899" s="42" t="str">
        <f aca="false">IF(A899="","",INDEX('COOIS Raw'!$A:$GZ,ROW()-4,$E$4)&amp;"")</f>
        <v/>
      </c>
      <c r="F899" s="43" t="str">
        <f aca="false">IF(A899="","",IFERROR(DATEVALUE(INDEX('COOIS Raw'!$A:$GZ,ROW()-4,$F$4)),INDEX('COOIS Raw'!$A:$GZ,ROW()-4,$F$4)))</f>
        <v/>
      </c>
      <c r="G899" s="41" t="str">
        <f aca="false">IF(A899="","",IF(ISNA(MATCH(B899,'Kitting Plan'!$B$6:$B$19,0)),"Not in plan","Yes"))</f>
        <v/>
      </c>
      <c r="H899" s="41" t="str">
        <f aca="false">IF(G899="Yes",INDEX('Kitting Plan'!$D$6:$D$19,MATCH(B899,'Kitting Plan'!$B$6:$B$19,0)),"")</f>
        <v/>
      </c>
      <c r="I899" s="41" t="str">
        <f aca="false">IF(A899="","",IF(ISNUMBER(SEARCH("PRT",E899)),D899,0))</f>
        <v/>
      </c>
      <c r="J899" s="41" t="str">
        <f aca="false">IF(A899="","",IF(ISNUMBER(SEARCH("GMPS",E899)),D899,0))</f>
        <v/>
      </c>
      <c r="K899" s="41" t="str">
        <f aca="false">IF(A899="","",IF(ISNUMBER(SEARCH("DLV",E899)),D899,0))</f>
        <v/>
      </c>
      <c r="L899" s="41" t="str">
        <f aca="false">IF(A899="","",IF(K899&gt;0,"Delivered",IF(ISNUMBER(SEARCH("CNF",E899)),"In production",IF(J899&gt;0,"Issued",IF(I899&gt;0,"Kitted","Released")))))</f>
        <v/>
      </c>
      <c r="M899" s="41" t="str">
        <f aca="false">IF(G899&lt;&gt;"Yes","",COUNTIFS($B$6:$B$1505,B899,$F$6:$F$1505,"&lt;"&amp;F899)+COUNTIFS($B$6:$B$1505,B899,$F$6:$F$1505,F899,$A$6:$A$1505,"&lt;="&amp;A899))</f>
        <v/>
      </c>
      <c r="N899" s="41" t="str">
        <f aca="false">IF(M899="","",ROUNDUP(M899/H899,0))</f>
        <v/>
      </c>
      <c r="O899" s="41" t="str">
        <f aca="false">IF(N899="","",IF(N899&lt;='Kitting Plan'!$C$3,"Rep "&amp;N899,"Surplus"))</f>
        <v/>
      </c>
    </row>
    <row r="900" customFormat="false" ht="15" hidden="false" customHeight="false" outlineLevel="0" collapsed="false">
      <c r="A900" s="40" t="str">
        <f aca="false">IF(OR($A$4=0,INDEX('COOIS Raw'!$A:$GZ,ROW()-4,$A$4)=""),"",IFERROR(--INDEX('COOIS Raw'!$A:$GZ,ROW()-4,$A$4),INDEX('COOIS Raw'!$A:$GZ,ROW()-4,$A$4)))</f>
        <v/>
      </c>
      <c r="B900" s="41" t="str">
        <f aca="false">IF(A900="","",TRIM(INDEX('COOIS Raw'!$A:$GZ,ROW()-4,$B$4)))</f>
        <v/>
      </c>
      <c r="C900" s="42" t="str">
        <f aca="false">IF(OR(A900="",$C$4=0),"",INDEX('COOIS Raw'!$A:$GZ,ROW()-4,$C$4))</f>
        <v/>
      </c>
      <c r="D900" s="41" t="str">
        <f aca="false">IF(A900="","",IF($D$4=0,1,IFERROR(--INDEX('COOIS Raw'!$A:$GZ,ROW()-4,$D$4),1)))</f>
        <v/>
      </c>
      <c r="E900" s="42" t="str">
        <f aca="false">IF(A900="","",INDEX('COOIS Raw'!$A:$GZ,ROW()-4,$E$4)&amp;"")</f>
        <v/>
      </c>
      <c r="F900" s="43" t="str">
        <f aca="false">IF(A900="","",IFERROR(DATEVALUE(INDEX('COOIS Raw'!$A:$GZ,ROW()-4,$F$4)),INDEX('COOIS Raw'!$A:$GZ,ROW()-4,$F$4)))</f>
        <v/>
      </c>
      <c r="G900" s="41" t="str">
        <f aca="false">IF(A900="","",IF(ISNA(MATCH(B900,'Kitting Plan'!$B$6:$B$19,0)),"Not in plan","Yes"))</f>
        <v/>
      </c>
      <c r="H900" s="41" t="str">
        <f aca="false">IF(G900="Yes",INDEX('Kitting Plan'!$D$6:$D$19,MATCH(B900,'Kitting Plan'!$B$6:$B$19,0)),"")</f>
        <v/>
      </c>
      <c r="I900" s="41" t="str">
        <f aca="false">IF(A900="","",IF(ISNUMBER(SEARCH("PRT",E900)),D900,0))</f>
        <v/>
      </c>
      <c r="J900" s="41" t="str">
        <f aca="false">IF(A900="","",IF(ISNUMBER(SEARCH("GMPS",E900)),D900,0))</f>
        <v/>
      </c>
      <c r="K900" s="41" t="str">
        <f aca="false">IF(A900="","",IF(ISNUMBER(SEARCH("DLV",E900)),D900,0))</f>
        <v/>
      </c>
      <c r="L900" s="41" t="str">
        <f aca="false">IF(A900="","",IF(K900&gt;0,"Delivered",IF(ISNUMBER(SEARCH("CNF",E900)),"In production",IF(J900&gt;0,"Issued",IF(I900&gt;0,"Kitted","Released")))))</f>
        <v/>
      </c>
      <c r="M900" s="41" t="str">
        <f aca="false">IF(G900&lt;&gt;"Yes","",COUNTIFS($B$6:$B$1505,B900,$F$6:$F$1505,"&lt;"&amp;F900)+COUNTIFS($B$6:$B$1505,B900,$F$6:$F$1505,F900,$A$6:$A$1505,"&lt;="&amp;A900))</f>
        <v/>
      </c>
      <c r="N900" s="41" t="str">
        <f aca="false">IF(M900="","",ROUNDUP(M900/H900,0))</f>
        <v/>
      </c>
      <c r="O900" s="41" t="str">
        <f aca="false">IF(N900="","",IF(N900&lt;='Kitting Plan'!$C$3,"Rep "&amp;N900,"Surplus"))</f>
        <v/>
      </c>
    </row>
    <row r="901" customFormat="false" ht="15" hidden="false" customHeight="false" outlineLevel="0" collapsed="false">
      <c r="A901" s="40" t="str">
        <f aca="false">IF(OR($A$4=0,INDEX('COOIS Raw'!$A:$GZ,ROW()-4,$A$4)=""),"",IFERROR(--INDEX('COOIS Raw'!$A:$GZ,ROW()-4,$A$4),INDEX('COOIS Raw'!$A:$GZ,ROW()-4,$A$4)))</f>
        <v/>
      </c>
      <c r="B901" s="41" t="str">
        <f aca="false">IF(A901="","",TRIM(INDEX('COOIS Raw'!$A:$GZ,ROW()-4,$B$4)))</f>
        <v/>
      </c>
      <c r="C901" s="42" t="str">
        <f aca="false">IF(OR(A901="",$C$4=0),"",INDEX('COOIS Raw'!$A:$GZ,ROW()-4,$C$4))</f>
        <v/>
      </c>
      <c r="D901" s="41" t="str">
        <f aca="false">IF(A901="","",IF($D$4=0,1,IFERROR(--INDEX('COOIS Raw'!$A:$GZ,ROW()-4,$D$4),1)))</f>
        <v/>
      </c>
      <c r="E901" s="42" t="str">
        <f aca="false">IF(A901="","",INDEX('COOIS Raw'!$A:$GZ,ROW()-4,$E$4)&amp;"")</f>
        <v/>
      </c>
      <c r="F901" s="43" t="str">
        <f aca="false">IF(A901="","",IFERROR(DATEVALUE(INDEX('COOIS Raw'!$A:$GZ,ROW()-4,$F$4)),INDEX('COOIS Raw'!$A:$GZ,ROW()-4,$F$4)))</f>
        <v/>
      </c>
      <c r="G901" s="41" t="str">
        <f aca="false">IF(A901="","",IF(ISNA(MATCH(B901,'Kitting Plan'!$B$6:$B$19,0)),"Not in plan","Yes"))</f>
        <v/>
      </c>
      <c r="H901" s="41" t="str">
        <f aca="false">IF(G901="Yes",INDEX('Kitting Plan'!$D$6:$D$19,MATCH(B901,'Kitting Plan'!$B$6:$B$19,0)),"")</f>
        <v/>
      </c>
      <c r="I901" s="41" t="str">
        <f aca="false">IF(A901="","",IF(ISNUMBER(SEARCH("PRT",E901)),D901,0))</f>
        <v/>
      </c>
      <c r="J901" s="41" t="str">
        <f aca="false">IF(A901="","",IF(ISNUMBER(SEARCH("GMPS",E901)),D901,0))</f>
        <v/>
      </c>
      <c r="K901" s="41" t="str">
        <f aca="false">IF(A901="","",IF(ISNUMBER(SEARCH("DLV",E901)),D901,0))</f>
        <v/>
      </c>
      <c r="L901" s="41" t="str">
        <f aca="false">IF(A901="","",IF(K901&gt;0,"Delivered",IF(ISNUMBER(SEARCH("CNF",E901)),"In production",IF(J901&gt;0,"Issued",IF(I901&gt;0,"Kitted","Released")))))</f>
        <v/>
      </c>
      <c r="M901" s="41" t="str">
        <f aca="false">IF(G901&lt;&gt;"Yes","",COUNTIFS($B$6:$B$1505,B901,$F$6:$F$1505,"&lt;"&amp;F901)+COUNTIFS($B$6:$B$1505,B901,$F$6:$F$1505,F901,$A$6:$A$1505,"&lt;="&amp;A901))</f>
        <v/>
      </c>
      <c r="N901" s="41" t="str">
        <f aca="false">IF(M901="","",ROUNDUP(M901/H901,0))</f>
        <v/>
      </c>
      <c r="O901" s="41" t="str">
        <f aca="false">IF(N901="","",IF(N901&lt;='Kitting Plan'!$C$3,"Rep "&amp;N901,"Surplus"))</f>
        <v/>
      </c>
    </row>
    <row r="902" customFormat="false" ht="15" hidden="false" customHeight="false" outlineLevel="0" collapsed="false">
      <c r="A902" s="40" t="str">
        <f aca="false">IF(OR($A$4=0,INDEX('COOIS Raw'!$A:$GZ,ROW()-4,$A$4)=""),"",IFERROR(--INDEX('COOIS Raw'!$A:$GZ,ROW()-4,$A$4),INDEX('COOIS Raw'!$A:$GZ,ROW()-4,$A$4)))</f>
        <v/>
      </c>
      <c r="B902" s="41" t="str">
        <f aca="false">IF(A902="","",TRIM(INDEX('COOIS Raw'!$A:$GZ,ROW()-4,$B$4)))</f>
        <v/>
      </c>
      <c r="C902" s="42" t="str">
        <f aca="false">IF(OR(A902="",$C$4=0),"",INDEX('COOIS Raw'!$A:$GZ,ROW()-4,$C$4))</f>
        <v/>
      </c>
      <c r="D902" s="41" t="str">
        <f aca="false">IF(A902="","",IF($D$4=0,1,IFERROR(--INDEX('COOIS Raw'!$A:$GZ,ROW()-4,$D$4),1)))</f>
        <v/>
      </c>
      <c r="E902" s="42" t="str">
        <f aca="false">IF(A902="","",INDEX('COOIS Raw'!$A:$GZ,ROW()-4,$E$4)&amp;"")</f>
        <v/>
      </c>
      <c r="F902" s="43" t="str">
        <f aca="false">IF(A902="","",IFERROR(DATEVALUE(INDEX('COOIS Raw'!$A:$GZ,ROW()-4,$F$4)),INDEX('COOIS Raw'!$A:$GZ,ROW()-4,$F$4)))</f>
        <v/>
      </c>
      <c r="G902" s="41" t="str">
        <f aca="false">IF(A902="","",IF(ISNA(MATCH(B902,'Kitting Plan'!$B$6:$B$19,0)),"Not in plan","Yes"))</f>
        <v/>
      </c>
      <c r="H902" s="41" t="str">
        <f aca="false">IF(G902="Yes",INDEX('Kitting Plan'!$D$6:$D$19,MATCH(B902,'Kitting Plan'!$B$6:$B$19,0)),"")</f>
        <v/>
      </c>
      <c r="I902" s="41" t="str">
        <f aca="false">IF(A902="","",IF(ISNUMBER(SEARCH("PRT",E902)),D902,0))</f>
        <v/>
      </c>
      <c r="J902" s="41" t="str">
        <f aca="false">IF(A902="","",IF(ISNUMBER(SEARCH("GMPS",E902)),D902,0))</f>
        <v/>
      </c>
      <c r="K902" s="41" t="str">
        <f aca="false">IF(A902="","",IF(ISNUMBER(SEARCH("DLV",E902)),D902,0))</f>
        <v/>
      </c>
      <c r="L902" s="41" t="str">
        <f aca="false">IF(A902="","",IF(K902&gt;0,"Delivered",IF(ISNUMBER(SEARCH("CNF",E902)),"In production",IF(J902&gt;0,"Issued",IF(I902&gt;0,"Kitted","Released")))))</f>
        <v/>
      </c>
      <c r="M902" s="41" t="str">
        <f aca="false">IF(G902&lt;&gt;"Yes","",COUNTIFS($B$6:$B$1505,B902,$F$6:$F$1505,"&lt;"&amp;F902)+COUNTIFS($B$6:$B$1505,B902,$F$6:$F$1505,F902,$A$6:$A$1505,"&lt;="&amp;A902))</f>
        <v/>
      </c>
      <c r="N902" s="41" t="str">
        <f aca="false">IF(M902="","",ROUNDUP(M902/H902,0))</f>
        <v/>
      </c>
      <c r="O902" s="41" t="str">
        <f aca="false">IF(N902="","",IF(N902&lt;='Kitting Plan'!$C$3,"Rep "&amp;N902,"Surplus"))</f>
        <v/>
      </c>
    </row>
    <row r="903" customFormat="false" ht="15" hidden="false" customHeight="false" outlineLevel="0" collapsed="false">
      <c r="A903" s="40" t="str">
        <f aca="false">IF(OR($A$4=0,INDEX('COOIS Raw'!$A:$GZ,ROW()-4,$A$4)=""),"",IFERROR(--INDEX('COOIS Raw'!$A:$GZ,ROW()-4,$A$4),INDEX('COOIS Raw'!$A:$GZ,ROW()-4,$A$4)))</f>
        <v/>
      </c>
      <c r="B903" s="41" t="str">
        <f aca="false">IF(A903="","",TRIM(INDEX('COOIS Raw'!$A:$GZ,ROW()-4,$B$4)))</f>
        <v/>
      </c>
      <c r="C903" s="42" t="str">
        <f aca="false">IF(OR(A903="",$C$4=0),"",INDEX('COOIS Raw'!$A:$GZ,ROW()-4,$C$4))</f>
        <v/>
      </c>
      <c r="D903" s="41" t="str">
        <f aca="false">IF(A903="","",IF($D$4=0,1,IFERROR(--INDEX('COOIS Raw'!$A:$GZ,ROW()-4,$D$4),1)))</f>
        <v/>
      </c>
      <c r="E903" s="42" t="str">
        <f aca="false">IF(A903="","",INDEX('COOIS Raw'!$A:$GZ,ROW()-4,$E$4)&amp;"")</f>
        <v/>
      </c>
      <c r="F903" s="43" t="str">
        <f aca="false">IF(A903="","",IFERROR(DATEVALUE(INDEX('COOIS Raw'!$A:$GZ,ROW()-4,$F$4)),INDEX('COOIS Raw'!$A:$GZ,ROW()-4,$F$4)))</f>
        <v/>
      </c>
      <c r="G903" s="41" t="str">
        <f aca="false">IF(A903="","",IF(ISNA(MATCH(B903,'Kitting Plan'!$B$6:$B$19,0)),"Not in plan","Yes"))</f>
        <v/>
      </c>
      <c r="H903" s="41" t="str">
        <f aca="false">IF(G903="Yes",INDEX('Kitting Plan'!$D$6:$D$19,MATCH(B903,'Kitting Plan'!$B$6:$B$19,0)),"")</f>
        <v/>
      </c>
      <c r="I903" s="41" t="str">
        <f aca="false">IF(A903="","",IF(ISNUMBER(SEARCH("PRT",E903)),D903,0))</f>
        <v/>
      </c>
      <c r="J903" s="41" t="str">
        <f aca="false">IF(A903="","",IF(ISNUMBER(SEARCH("GMPS",E903)),D903,0))</f>
        <v/>
      </c>
      <c r="K903" s="41" t="str">
        <f aca="false">IF(A903="","",IF(ISNUMBER(SEARCH("DLV",E903)),D903,0))</f>
        <v/>
      </c>
      <c r="L903" s="41" t="str">
        <f aca="false">IF(A903="","",IF(K903&gt;0,"Delivered",IF(ISNUMBER(SEARCH("CNF",E903)),"In production",IF(J903&gt;0,"Issued",IF(I903&gt;0,"Kitted","Released")))))</f>
        <v/>
      </c>
      <c r="M903" s="41" t="str">
        <f aca="false">IF(G903&lt;&gt;"Yes","",COUNTIFS($B$6:$B$1505,B903,$F$6:$F$1505,"&lt;"&amp;F903)+COUNTIFS($B$6:$B$1505,B903,$F$6:$F$1505,F903,$A$6:$A$1505,"&lt;="&amp;A903))</f>
        <v/>
      </c>
      <c r="N903" s="41" t="str">
        <f aca="false">IF(M903="","",ROUNDUP(M903/H903,0))</f>
        <v/>
      </c>
      <c r="O903" s="41" t="str">
        <f aca="false">IF(N903="","",IF(N903&lt;='Kitting Plan'!$C$3,"Rep "&amp;N903,"Surplus"))</f>
        <v/>
      </c>
    </row>
    <row r="904" customFormat="false" ht="15" hidden="false" customHeight="false" outlineLevel="0" collapsed="false">
      <c r="A904" s="40" t="str">
        <f aca="false">IF(OR($A$4=0,INDEX('COOIS Raw'!$A:$GZ,ROW()-4,$A$4)=""),"",IFERROR(--INDEX('COOIS Raw'!$A:$GZ,ROW()-4,$A$4),INDEX('COOIS Raw'!$A:$GZ,ROW()-4,$A$4)))</f>
        <v/>
      </c>
      <c r="B904" s="41" t="str">
        <f aca="false">IF(A904="","",TRIM(INDEX('COOIS Raw'!$A:$GZ,ROW()-4,$B$4)))</f>
        <v/>
      </c>
      <c r="C904" s="42" t="str">
        <f aca="false">IF(OR(A904="",$C$4=0),"",INDEX('COOIS Raw'!$A:$GZ,ROW()-4,$C$4))</f>
        <v/>
      </c>
      <c r="D904" s="41" t="str">
        <f aca="false">IF(A904="","",IF($D$4=0,1,IFERROR(--INDEX('COOIS Raw'!$A:$GZ,ROW()-4,$D$4),1)))</f>
        <v/>
      </c>
      <c r="E904" s="42" t="str">
        <f aca="false">IF(A904="","",INDEX('COOIS Raw'!$A:$GZ,ROW()-4,$E$4)&amp;"")</f>
        <v/>
      </c>
      <c r="F904" s="43" t="str">
        <f aca="false">IF(A904="","",IFERROR(DATEVALUE(INDEX('COOIS Raw'!$A:$GZ,ROW()-4,$F$4)),INDEX('COOIS Raw'!$A:$GZ,ROW()-4,$F$4)))</f>
        <v/>
      </c>
      <c r="G904" s="41" t="str">
        <f aca="false">IF(A904="","",IF(ISNA(MATCH(B904,'Kitting Plan'!$B$6:$B$19,0)),"Not in plan","Yes"))</f>
        <v/>
      </c>
      <c r="H904" s="41" t="str">
        <f aca="false">IF(G904="Yes",INDEX('Kitting Plan'!$D$6:$D$19,MATCH(B904,'Kitting Plan'!$B$6:$B$19,0)),"")</f>
        <v/>
      </c>
      <c r="I904" s="41" t="str">
        <f aca="false">IF(A904="","",IF(ISNUMBER(SEARCH("PRT",E904)),D904,0))</f>
        <v/>
      </c>
      <c r="J904" s="41" t="str">
        <f aca="false">IF(A904="","",IF(ISNUMBER(SEARCH("GMPS",E904)),D904,0))</f>
        <v/>
      </c>
      <c r="K904" s="41" t="str">
        <f aca="false">IF(A904="","",IF(ISNUMBER(SEARCH("DLV",E904)),D904,0))</f>
        <v/>
      </c>
      <c r="L904" s="41" t="str">
        <f aca="false">IF(A904="","",IF(K904&gt;0,"Delivered",IF(ISNUMBER(SEARCH("CNF",E904)),"In production",IF(J904&gt;0,"Issued",IF(I904&gt;0,"Kitted","Released")))))</f>
        <v/>
      </c>
      <c r="M904" s="41" t="str">
        <f aca="false">IF(G904&lt;&gt;"Yes","",COUNTIFS($B$6:$B$1505,B904,$F$6:$F$1505,"&lt;"&amp;F904)+COUNTIFS($B$6:$B$1505,B904,$F$6:$F$1505,F904,$A$6:$A$1505,"&lt;="&amp;A904))</f>
        <v/>
      </c>
      <c r="N904" s="41" t="str">
        <f aca="false">IF(M904="","",ROUNDUP(M904/H904,0))</f>
        <v/>
      </c>
      <c r="O904" s="41" t="str">
        <f aca="false">IF(N904="","",IF(N904&lt;='Kitting Plan'!$C$3,"Rep "&amp;N904,"Surplus"))</f>
        <v/>
      </c>
    </row>
    <row r="905" customFormat="false" ht="15" hidden="false" customHeight="false" outlineLevel="0" collapsed="false">
      <c r="A905" s="40" t="str">
        <f aca="false">IF(OR($A$4=0,INDEX('COOIS Raw'!$A:$GZ,ROW()-4,$A$4)=""),"",IFERROR(--INDEX('COOIS Raw'!$A:$GZ,ROW()-4,$A$4),INDEX('COOIS Raw'!$A:$GZ,ROW()-4,$A$4)))</f>
        <v/>
      </c>
      <c r="B905" s="41" t="str">
        <f aca="false">IF(A905="","",TRIM(INDEX('COOIS Raw'!$A:$GZ,ROW()-4,$B$4)))</f>
        <v/>
      </c>
      <c r="C905" s="42" t="str">
        <f aca="false">IF(OR(A905="",$C$4=0),"",INDEX('COOIS Raw'!$A:$GZ,ROW()-4,$C$4))</f>
        <v/>
      </c>
      <c r="D905" s="41" t="str">
        <f aca="false">IF(A905="","",IF($D$4=0,1,IFERROR(--INDEX('COOIS Raw'!$A:$GZ,ROW()-4,$D$4),1)))</f>
        <v/>
      </c>
      <c r="E905" s="42" t="str">
        <f aca="false">IF(A905="","",INDEX('COOIS Raw'!$A:$GZ,ROW()-4,$E$4)&amp;"")</f>
        <v/>
      </c>
      <c r="F905" s="43" t="str">
        <f aca="false">IF(A905="","",IFERROR(DATEVALUE(INDEX('COOIS Raw'!$A:$GZ,ROW()-4,$F$4)),INDEX('COOIS Raw'!$A:$GZ,ROW()-4,$F$4)))</f>
        <v/>
      </c>
      <c r="G905" s="41" t="str">
        <f aca="false">IF(A905="","",IF(ISNA(MATCH(B905,'Kitting Plan'!$B$6:$B$19,0)),"Not in plan","Yes"))</f>
        <v/>
      </c>
      <c r="H905" s="41" t="str">
        <f aca="false">IF(G905="Yes",INDEX('Kitting Plan'!$D$6:$D$19,MATCH(B905,'Kitting Plan'!$B$6:$B$19,0)),"")</f>
        <v/>
      </c>
      <c r="I905" s="41" t="str">
        <f aca="false">IF(A905="","",IF(ISNUMBER(SEARCH("PRT",E905)),D905,0))</f>
        <v/>
      </c>
      <c r="J905" s="41" t="str">
        <f aca="false">IF(A905="","",IF(ISNUMBER(SEARCH("GMPS",E905)),D905,0))</f>
        <v/>
      </c>
      <c r="K905" s="41" t="str">
        <f aca="false">IF(A905="","",IF(ISNUMBER(SEARCH("DLV",E905)),D905,0))</f>
        <v/>
      </c>
      <c r="L905" s="41" t="str">
        <f aca="false">IF(A905="","",IF(K905&gt;0,"Delivered",IF(ISNUMBER(SEARCH("CNF",E905)),"In production",IF(J905&gt;0,"Issued",IF(I905&gt;0,"Kitted","Released")))))</f>
        <v/>
      </c>
      <c r="M905" s="41" t="str">
        <f aca="false">IF(G905&lt;&gt;"Yes","",COUNTIFS($B$6:$B$1505,B905,$F$6:$F$1505,"&lt;"&amp;F905)+COUNTIFS($B$6:$B$1505,B905,$F$6:$F$1505,F905,$A$6:$A$1505,"&lt;="&amp;A905))</f>
        <v/>
      </c>
      <c r="N905" s="41" t="str">
        <f aca="false">IF(M905="","",ROUNDUP(M905/H905,0))</f>
        <v/>
      </c>
      <c r="O905" s="41" t="str">
        <f aca="false">IF(N905="","",IF(N905&lt;='Kitting Plan'!$C$3,"Rep "&amp;N905,"Surplus"))</f>
        <v/>
      </c>
    </row>
    <row r="906" customFormat="false" ht="15" hidden="false" customHeight="false" outlineLevel="0" collapsed="false">
      <c r="A906" s="40" t="str">
        <f aca="false">IF(OR($A$4=0,INDEX('COOIS Raw'!$A:$GZ,ROW()-4,$A$4)=""),"",IFERROR(--INDEX('COOIS Raw'!$A:$GZ,ROW()-4,$A$4),INDEX('COOIS Raw'!$A:$GZ,ROW()-4,$A$4)))</f>
        <v/>
      </c>
      <c r="B906" s="41" t="str">
        <f aca="false">IF(A906="","",TRIM(INDEX('COOIS Raw'!$A:$GZ,ROW()-4,$B$4)))</f>
        <v/>
      </c>
      <c r="C906" s="42" t="str">
        <f aca="false">IF(OR(A906="",$C$4=0),"",INDEX('COOIS Raw'!$A:$GZ,ROW()-4,$C$4))</f>
        <v/>
      </c>
      <c r="D906" s="41" t="str">
        <f aca="false">IF(A906="","",IF($D$4=0,1,IFERROR(--INDEX('COOIS Raw'!$A:$GZ,ROW()-4,$D$4),1)))</f>
        <v/>
      </c>
      <c r="E906" s="42" t="str">
        <f aca="false">IF(A906="","",INDEX('COOIS Raw'!$A:$GZ,ROW()-4,$E$4)&amp;"")</f>
        <v/>
      </c>
      <c r="F906" s="43" t="str">
        <f aca="false">IF(A906="","",IFERROR(DATEVALUE(INDEX('COOIS Raw'!$A:$GZ,ROW()-4,$F$4)),INDEX('COOIS Raw'!$A:$GZ,ROW()-4,$F$4)))</f>
        <v/>
      </c>
      <c r="G906" s="41" t="str">
        <f aca="false">IF(A906="","",IF(ISNA(MATCH(B906,'Kitting Plan'!$B$6:$B$19,0)),"Not in plan","Yes"))</f>
        <v/>
      </c>
      <c r="H906" s="41" t="str">
        <f aca="false">IF(G906="Yes",INDEX('Kitting Plan'!$D$6:$D$19,MATCH(B906,'Kitting Plan'!$B$6:$B$19,0)),"")</f>
        <v/>
      </c>
      <c r="I906" s="41" t="str">
        <f aca="false">IF(A906="","",IF(ISNUMBER(SEARCH("PRT",E906)),D906,0))</f>
        <v/>
      </c>
      <c r="J906" s="41" t="str">
        <f aca="false">IF(A906="","",IF(ISNUMBER(SEARCH("GMPS",E906)),D906,0))</f>
        <v/>
      </c>
      <c r="K906" s="41" t="str">
        <f aca="false">IF(A906="","",IF(ISNUMBER(SEARCH("DLV",E906)),D906,0))</f>
        <v/>
      </c>
      <c r="L906" s="41" t="str">
        <f aca="false">IF(A906="","",IF(K906&gt;0,"Delivered",IF(ISNUMBER(SEARCH("CNF",E906)),"In production",IF(J906&gt;0,"Issued",IF(I906&gt;0,"Kitted","Released")))))</f>
        <v/>
      </c>
      <c r="M906" s="41" t="str">
        <f aca="false">IF(G906&lt;&gt;"Yes","",COUNTIFS($B$6:$B$1505,B906,$F$6:$F$1505,"&lt;"&amp;F906)+COUNTIFS($B$6:$B$1505,B906,$F$6:$F$1505,F906,$A$6:$A$1505,"&lt;="&amp;A906))</f>
        <v/>
      </c>
      <c r="N906" s="41" t="str">
        <f aca="false">IF(M906="","",ROUNDUP(M906/H906,0))</f>
        <v/>
      </c>
      <c r="O906" s="41" t="str">
        <f aca="false">IF(N906="","",IF(N906&lt;='Kitting Plan'!$C$3,"Rep "&amp;N906,"Surplus"))</f>
        <v/>
      </c>
    </row>
    <row r="907" customFormat="false" ht="15" hidden="false" customHeight="false" outlineLevel="0" collapsed="false">
      <c r="A907" s="40" t="str">
        <f aca="false">IF(OR($A$4=0,INDEX('COOIS Raw'!$A:$GZ,ROW()-4,$A$4)=""),"",IFERROR(--INDEX('COOIS Raw'!$A:$GZ,ROW()-4,$A$4),INDEX('COOIS Raw'!$A:$GZ,ROW()-4,$A$4)))</f>
        <v/>
      </c>
      <c r="B907" s="41" t="str">
        <f aca="false">IF(A907="","",TRIM(INDEX('COOIS Raw'!$A:$GZ,ROW()-4,$B$4)))</f>
        <v/>
      </c>
      <c r="C907" s="42" t="str">
        <f aca="false">IF(OR(A907="",$C$4=0),"",INDEX('COOIS Raw'!$A:$GZ,ROW()-4,$C$4))</f>
        <v/>
      </c>
      <c r="D907" s="41" t="str">
        <f aca="false">IF(A907="","",IF($D$4=0,1,IFERROR(--INDEX('COOIS Raw'!$A:$GZ,ROW()-4,$D$4),1)))</f>
        <v/>
      </c>
      <c r="E907" s="42" t="str">
        <f aca="false">IF(A907="","",INDEX('COOIS Raw'!$A:$GZ,ROW()-4,$E$4)&amp;"")</f>
        <v/>
      </c>
      <c r="F907" s="43" t="str">
        <f aca="false">IF(A907="","",IFERROR(DATEVALUE(INDEX('COOIS Raw'!$A:$GZ,ROW()-4,$F$4)),INDEX('COOIS Raw'!$A:$GZ,ROW()-4,$F$4)))</f>
        <v/>
      </c>
      <c r="G907" s="41" t="str">
        <f aca="false">IF(A907="","",IF(ISNA(MATCH(B907,'Kitting Plan'!$B$6:$B$19,0)),"Not in plan","Yes"))</f>
        <v/>
      </c>
      <c r="H907" s="41" t="str">
        <f aca="false">IF(G907="Yes",INDEX('Kitting Plan'!$D$6:$D$19,MATCH(B907,'Kitting Plan'!$B$6:$B$19,0)),"")</f>
        <v/>
      </c>
      <c r="I907" s="41" t="str">
        <f aca="false">IF(A907="","",IF(ISNUMBER(SEARCH("PRT",E907)),D907,0))</f>
        <v/>
      </c>
      <c r="J907" s="41" t="str">
        <f aca="false">IF(A907="","",IF(ISNUMBER(SEARCH("GMPS",E907)),D907,0))</f>
        <v/>
      </c>
      <c r="K907" s="41" t="str">
        <f aca="false">IF(A907="","",IF(ISNUMBER(SEARCH("DLV",E907)),D907,0))</f>
        <v/>
      </c>
      <c r="L907" s="41" t="str">
        <f aca="false">IF(A907="","",IF(K907&gt;0,"Delivered",IF(ISNUMBER(SEARCH("CNF",E907)),"In production",IF(J907&gt;0,"Issued",IF(I907&gt;0,"Kitted","Released")))))</f>
        <v/>
      </c>
      <c r="M907" s="41" t="str">
        <f aca="false">IF(G907&lt;&gt;"Yes","",COUNTIFS($B$6:$B$1505,B907,$F$6:$F$1505,"&lt;"&amp;F907)+COUNTIFS($B$6:$B$1505,B907,$F$6:$F$1505,F907,$A$6:$A$1505,"&lt;="&amp;A907))</f>
        <v/>
      </c>
      <c r="N907" s="41" t="str">
        <f aca="false">IF(M907="","",ROUNDUP(M907/H907,0))</f>
        <v/>
      </c>
      <c r="O907" s="41" t="str">
        <f aca="false">IF(N907="","",IF(N907&lt;='Kitting Plan'!$C$3,"Rep "&amp;N907,"Surplus"))</f>
        <v/>
      </c>
    </row>
    <row r="908" customFormat="false" ht="15" hidden="false" customHeight="false" outlineLevel="0" collapsed="false">
      <c r="A908" s="40" t="str">
        <f aca="false">IF(OR($A$4=0,INDEX('COOIS Raw'!$A:$GZ,ROW()-4,$A$4)=""),"",IFERROR(--INDEX('COOIS Raw'!$A:$GZ,ROW()-4,$A$4),INDEX('COOIS Raw'!$A:$GZ,ROW()-4,$A$4)))</f>
        <v/>
      </c>
      <c r="B908" s="41" t="str">
        <f aca="false">IF(A908="","",TRIM(INDEX('COOIS Raw'!$A:$GZ,ROW()-4,$B$4)))</f>
        <v/>
      </c>
      <c r="C908" s="42" t="str">
        <f aca="false">IF(OR(A908="",$C$4=0),"",INDEX('COOIS Raw'!$A:$GZ,ROW()-4,$C$4))</f>
        <v/>
      </c>
      <c r="D908" s="41" t="str">
        <f aca="false">IF(A908="","",IF($D$4=0,1,IFERROR(--INDEX('COOIS Raw'!$A:$GZ,ROW()-4,$D$4),1)))</f>
        <v/>
      </c>
      <c r="E908" s="42" t="str">
        <f aca="false">IF(A908="","",INDEX('COOIS Raw'!$A:$GZ,ROW()-4,$E$4)&amp;"")</f>
        <v/>
      </c>
      <c r="F908" s="43" t="str">
        <f aca="false">IF(A908="","",IFERROR(DATEVALUE(INDEX('COOIS Raw'!$A:$GZ,ROW()-4,$F$4)),INDEX('COOIS Raw'!$A:$GZ,ROW()-4,$F$4)))</f>
        <v/>
      </c>
      <c r="G908" s="41" t="str">
        <f aca="false">IF(A908="","",IF(ISNA(MATCH(B908,'Kitting Plan'!$B$6:$B$19,0)),"Not in plan","Yes"))</f>
        <v/>
      </c>
      <c r="H908" s="41" t="str">
        <f aca="false">IF(G908="Yes",INDEX('Kitting Plan'!$D$6:$D$19,MATCH(B908,'Kitting Plan'!$B$6:$B$19,0)),"")</f>
        <v/>
      </c>
      <c r="I908" s="41" t="str">
        <f aca="false">IF(A908="","",IF(ISNUMBER(SEARCH("PRT",E908)),D908,0))</f>
        <v/>
      </c>
      <c r="J908" s="41" t="str">
        <f aca="false">IF(A908="","",IF(ISNUMBER(SEARCH("GMPS",E908)),D908,0))</f>
        <v/>
      </c>
      <c r="K908" s="41" t="str">
        <f aca="false">IF(A908="","",IF(ISNUMBER(SEARCH("DLV",E908)),D908,0))</f>
        <v/>
      </c>
      <c r="L908" s="41" t="str">
        <f aca="false">IF(A908="","",IF(K908&gt;0,"Delivered",IF(ISNUMBER(SEARCH("CNF",E908)),"In production",IF(J908&gt;0,"Issued",IF(I908&gt;0,"Kitted","Released")))))</f>
        <v/>
      </c>
      <c r="M908" s="41" t="str">
        <f aca="false">IF(G908&lt;&gt;"Yes","",COUNTIFS($B$6:$B$1505,B908,$F$6:$F$1505,"&lt;"&amp;F908)+COUNTIFS($B$6:$B$1505,B908,$F$6:$F$1505,F908,$A$6:$A$1505,"&lt;="&amp;A908))</f>
        <v/>
      </c>
      <c r="N908" s="41" t="str">
        <f aca="false">IF(M908="","",ROUNDUP(M908/H908,0))</f>
        <v/>
      </c>
      <c r="O908" s="41" t="str">
        <f aca="false">IF(N908="","",IF(N908&lt;='Kitting Plan'!$C$3,"Rep "&amp;N908,"Surplus"))</f>
        <v/>
      </c>
    </row>
    <row r="909" customFormat="false" ht="15" hidden="false" customHeight="false" outlineLevel="0" collapsed="false">
      <c r="A909" s="40" t="str">
        <f aca="false">IF(OR($A$4=0,INDEX('COOIS Raw'!$A:$GZ,ROW()-4,$A$4)=""),"",IFERROR(--INDEX('COOIS Raw'!$A:$GZ,ROW()-4,$A$4),INDEX('COOIS Raw'!$A:$GZ,ROW()-4,$A$4)))</f>
        <v/>
      </c>
      <c r="B909" s="41" t="str">
        <f aca="false">IF(A909="","",TRIM(INDEX('COOIS Raw'!$A:$GZ,ROW()-4,$B$4)))</f>
        <v/>
      </c>
      <c r="C909" s="42" t="str">
        <f aca="false">IF(OR(A909="",$C$4=0),"",INDEX('COOIS Raw'!$A:$GZ,ROW()-4,$C$4))</f>
        <v/>
      </c>
      <c r="D909" s="41" t="str">
        <f aca="false">IF(A909="","",IF($D$4=0,1,IFERROR(--INDEX('COOIS Raw'!$A:$GZ,ROW()-4,$D$4),1)))</f>
        <v/>
      </c>
      <c r="E909" s="42" t="str">
        <f aca="false">IF(A909="","",INDEX('COOIS Raw'!$A:$GZ,ROW()-4,$E$4)&amp;"")</f>
        <v/>
      </c>
      <c r="F909" s="43" t="str">
        <f aca="false">IF(A909="","",IFERROR(DATEVALUE(INDEX('COOIS Raw'!$A:$GZ,ROW()-4,$F$4)),INDEX('COOIS Raw'!$A:$GZ,ROW()-4,$F$4)))</f>
        <v/>
      </c>
      <c r="G909" s="41" t="str">
        <f aca="false">IF(A909="","",IF(ISNA(MATCH(B909,'Kitting Plan'!$B$6:$B$19,0)),"Not in plan","Yes"))</f>
        <v/>
      </c>
      <c r="H909" s="41" t="str">
        <f aca="false">IF(G909="Yes",INDEX('Kitting Plan'!$D$6:$D$19,MATCH(B909,'Kitting Plan'!$B$6:$B$19,0)),"")</f>
        <v/>
      </c>
      <c r="I909" s="41" t="str">
        <f aca="false">IF(A909="","",IF(ISNUMBER(SEARCH("PRT",E909)),D909,0))</f>
        <v/>
      </c>
      <c r="J909" s="41" t="str">
        <f aca="false">IF(A909="","",IF(ISNUMBER(SEARCH("GMPS",E909)),D909,0))</f>
        <v/>
      </c>
      <c r="K909" s="41" t="str">
        <f aca="false">IF(A909="","",IF(ISNUMBER(SEARCH("DLV",E909)),D909,0))</f>
        <v/>
      </c>
      <c r="L909" s="41" t="str">
        <f aca="false">IF(A909="","",IF(K909&gt;0,"Delivered",IF(ISNUMBER(SEARCH("CNF",E909)),"In production",IF(J909&gt;0,"Issued",IF(I909&gt;0,"Kitted","Released")))))</f>
        <v/>
      </c>
      <c r="M909" s="41" t="str">
        <f aca="false">IF(G909&lt;&gt;"Yes","",COUNTIFS($B$6:$B$1505,B909,$F$6:$F$1505,"&lt;"&amp;F909)+COUNTIFS($B$6:$B$1505,B909,$F$6:$F$1505,F909,$A$6:$A$1505,"&lt;="&amp;A909))</f>
        <v/>
      </c>
      <c r="N909" s="41" t="str">
        <f aca="false">IF(M909="","",ROUNDUP(M909/H909,0))</f>
        <v/>
      </c>
      <c r="O909" s="41" t="str">
        <f aca="false">IF(N909="","",IF(N909&lt;='Kitting Plan'!$C$3,"Rep "&amp;N909,"Surplus"))</f>
        <v/>
      </c>
    </row>
    <row r="910" customFormat="false" ht="15" hidden="false" customHeight="false" outlineLevel="0" collapsed="false">
      <c r="A910" s="40" t="str">
        <f aca="false">IF(OR($A$4=0,INDEX('COOIS Raw'!$A:$GZ,ROW()-4,$A$4)=""),"",IFERROR(--INDEX('COOIS Raw'!$A:$GZ,ROW()-4,$A$4),INDEX('COOIS Raw'!$A:$GZ,ROW()-4,$A$4)))</f>
        <v/>
      </c>
      <c r="B910" s="41" t="str">
        <f aca="false">IF(A910="","",TRIM(INDEX('COOIS Raw'!$A:$GZ,ROW()-4,$B$4)))</f>
        <v/>
      </c>
      <c r="C910" s="42" t="str">
        <f aca="false">IF(OR(A910="",$C$4=0),"",INDEX('COOIS Raw'!$A:$GZ,ROW()-4,$C$4))</f>
        <v/>
      </c>
      <c r="D910" s="41" t="str">
        <f aca="false">IF(A910="","",IF($D$4=0,1,IFERROR(--INDEX('COOIS Raw'!$A:$GZ,ROW()-4,$D$4),1)))</f>
        <v/>
      </c>
      <c r="E910" s="42" t="str">
        <f aca="false">IF(A910="","",INDEX('COOIS Raw'!$A:$GZ,ROW()-4,$E$4)&amp;"")</f>
        <v/>
      </c>
      <c r="F910" s="43" t="str">
        <f aca="false">IF(A910="","",IFERROR(DATEVALUE(INDEX('COOIS Raw'!$A:$GZ,ROW()-4,$F$4)),INDEX('COOIS Raw'!$A:$GZ,ROW()-4,$F$4)))</f>
        <v/>
      </c>
      <c r="G910" s="41" t="str">
        <f aca="false">IF(A910="","",IF(ISNA(MATCH(B910,'Kitting Plan'!$B$6:$B$19,0)),"Not in plan","Yes"))</f>
        <v/>
      </c>
      <c r="H910" s="41" t="str">
        <f aca="false">IF(G910="Yes",INDEX('Kitting Plan'!$D$6:$D$19,MATCH(B910,'Kitting Plan'!$B$6:$B$19,0)),"")</f>
        <v/>
      </c>
      <c r="I910" s="41" t="str">
        <f aca="false">IF(A910="","",IF(ISNUMBER(SEARCH("PRT",E910)),D910,0))</f>
        <v/>
      </c>
      <c r="J910" s="41" t="str">
        <f aca="false">IF(A910="","",IF(ISNUMBER(SEARCH("GMPS",E910)),D910,0))</f>
        <v/>
      </c>
      <c r="K910" s="41" t="str">
        <f aca="false">IF(A910="","",IF(ISNUMBER(SEARCH("DLV",E910)),D910,0))</f>
        <v/>
      </c>
      <c r="L910" s="41" t="str">
        <f aca="false">IF(A910="","",IF(K910&gt;0,"Delivered",IF(ISNUMBER(SEARCH("CNF",E910)),"In production",IF(J910&gt;0,"Issued",IF(I910&gt;0,"Kitted","Released")))))</f>
        <v/>
      </c>
      <c r="M910" s="41" t="str">
        <f aca="false">IF(G910&lt;&gt;"Yes","",COUNTIFS($B$6:$B$1505,B910,$F$6:$F$1505,"&lt;"&amp;F910)+COUNTIFS($B$6:$B$1505,B910,$F$6:$F$1505,F910,$A$6:$A$1505,"&lt;="&amp;A910))</f>
        <v/>
      </c>
      <c r="N910" s="41" t="str">
        <f aca="false">IF(M910="","",ROUNDUP(M910/H910,0))</f>
        <v/>
      </c>
      <c r="O910" s="41" t="str">
        <f aca="false">IF(N910="","",IF(N910&lt;='Kitting Plan'!$C$3,"Rep "&amp;N910,"Surplus"))</f>
        <v/>
      </c>
    </row>
    <row r="911" customFormat="false" ht="15" hidden="false" customHeight="false" outlineLevel="0" collapsed="false">
      <c r="A911" s="40" t="str">
        <f aca="false">IF(OR($A$4=0,INDEX('COOIS Raw'!$A:$GZ,ROW()-4,$A$4)=""),"",IFERROR(--INDEX('COOIS Raw'!$A:$GZ,ROW()-4,$A$4),INDEX('COOIS Raw'!$A:$GZ,ROW()-4,$A$4)))</f>
        <v/>
      </c>
      <c r="B911" s="41" t="str">
        <f aca="false">IF(A911="","",TRIM(INDEX('COOIS Raw'!$A:$GZ,ROW()-4,$B$4)))</f>
        <v/>
      </c>
      <c r="C911" s="42" t="str">
        <f aca="false">IF(OR(A911="",$C$4=0),"",INDEX('COOIS Raw'!$A:$GZ,ROW()-4,$C$4))</f>
        <v/>
      </c>
      <c r="D911" s="41" t="str">
        <f aca="false">IF(A911="","",IF($D$4=0,1,IFERROR(--INDEX('COOIS Raw'!$A:$GZ,ROW()-4,$D$4),1)))</f>
        <v/>
      </c>
      <c r="E911" s="42" t="str">
        <f aca="false">IF(A911="","",INDEX('COOIS Raw'!$A:$GZ,ROW()-4,$E$4)&amp;"")</f>
        <v/>
      </c>
      <c r="F911" s="43" t="str">
        <f aca="false">IF(A911="","",IFERROR(DATEVALUE(INDEX('COOIS Raw'!$A:$GZ,ROW()-4,$F$4)),INDEX('COOIS Raw'!$A:$GZ,ROW()-4,$F$4)))</f>
        <v/>
      </c>
      <c r="G911" s="41" t="str">
        <f aca="false">IF(A911="","",IF(ISNA(MATCH(B911,'Kitting Plan'!$B$6:$B$19,0)),"Not in plan","Yes"))</f>
        <v/>
      </c>
      <c r="H911" s="41" t="str">
        <f aca="false">IF(G911="Yes",INDEX('Kitting Plan'!$D$6:$D$19,MATCH(B911,'Kitting Plan'!$B$6:$B$19,0)),"")</f>
        <v/>
      </c>
      <c r="I911" s="41" t="str">
        <f aca="false">IF(A911="","",IF(ISNUMBER(SEARCH("PRT",E911)),D911,0))</f>
        <v/>
      </c>
      <c r="J911" s="41" t="str">
        <f aca="false">IF(A911="","",IF(ISNUMBER(SEARCH("GMPS",E911)),D911,0))</f>
        <v/>
      </c>
      <c r="K911" s="41" t="str">
        <f aca="false">IF(A911="","",IF(ISNUMBER(SEARCH("DLV",E911)),D911,0))</f>
        <v/>
      </c>
      <c r="L911" s="41" t="str">
        <f aca="false">IF(A911="","",IF(K911&gt;0,"Delivered",IF(ISNUMBER(SEARCH("CNF",E911)),"In production",IF(J911&gt;0,"Issued",IF(I911&gt;0,"Kitted","Released")))))</f>
        <v/>
      </c>
      <c r="M911" s="41" t="str">
        <f aca="false">IF(G911&lt;&gt;"Yes","",COUNTIFS($B$6:$B$1505,B911,$F$6:$F$1505,"&lt;"&amp;F911)+COUNTIFS($B$6:$B$1505,B911,$F$6:$F$1505,F911,$A$6:$A$1505,"&lt;="&amp;A911))</f>
        <v/>
      </c>
      <c r="N911" s="41" t="str">
        <f aca="false">IF(M911="","",ROUNDUP(M911/H911,0))</f>
        <v/>
      </c>
      <c r="O911" s="41" t="str">
        <f aca="false">IF(N911="","",IF(N911&lt;='Kitting Plan'!$C$3,"Rep "&amp;N911,"Surplus"))</f>
        <v/>
      </c>
    </row>
    <row r="912" customFormat="false" ht="15" hidden="false" customHeight="false" outlineLevel="0" collapsed="false">
      <c r="A912" s="40" t="str">
        <f aca="false">IF(OR($A$4=0,INDEX('COOIS Raw'!$A:$GZ,ROW()-4,$A$4)=""),"",IFERROR(--INDEX('COOIS Raw'!$A:$GZ,ROW()-4,$A$4),INDEX('COOIS Raw'!$A:$GZ,ROW()-4,$A$4)))</f>
        <v/>
      </c>
      <c r="B912" s="41" t="str">
        <f aca="false">IF(A912="","",TRIM(INDEX('COOIS Raw'!$A:$GZ,ROW()-4,$B$4)))</f>
        <v/>
      </c>
      <c r="C912" s="42" t="str">
        <f aca="false">IF(OR(A912="",$C$4=0),"",INDEX('COOIS Raw'!$A:$GZ,ROW()-4,$C$4))</f>
        <v/>
      </c>
      <c r="D912" s="41" t="str">
        <f aca="false">IF(A912="","",IF($D$4=0,1,IFERROR(--INDEX('COOIS Raw'!$A:$GZ,ROW()-4,$D$4),1)))</f>
        <v/>
      </c>
      <c r="E912" s="42" t="str">
        <f aca="false">IF(A912="","",INDEX('COOIS Raw'!$A:$GZ,ROW()-4,$E$4)&amp;"")</f>
        <v/>
      </c>
      <c r="F912" s="43" t="str">
        <f aca="false">IF(A912="","",IFERROR(DATEVALUE(INDEX('COOIS Raw'!$A:$GZ,ROW()-4,$F$4)),INDEX('COOIS Raw'!$A:$GZ,ROW()-4,$F$4)))</f>
        <v/>
      </c>
      <c r="G912" s="41" t="str">
        <f aca="false">IF(A912="","",IF(ISNA(MATCH(B912,'Kitting Plan'!$B$6:$B$19,0)),"Not in plan","Yes"))</f>
        <v/>
      </c>
      <c r="H912" s="41" t="str">
        <f aca="false">IF(G912="Yes",INDEX('Kitting Plan'!$D$6:$D$19,MATCH(B912,'Kitting Plan'!$B$6:$B$19,0)),"")</f>
        <v/>
      </c>
      <c r="I912" s="41" t="str">
        <f aca="false">IF(A912="","",IF(ISNUMBER(SEARCH("PRT",E912)),D912,0))</f>
        <v/>
      </c>
      <c r="J912" s="41" t="str">
        <f aca="false">IF(A912="","",IF(ISNUMBER(SEARCH("GMPS",E912)),D912,0))</f>
        <v/>
      </c>
      <c r="K912" s="41" t="str">
        <f aca="false">IF(A912="","",IF(ISNUMBER(SEARCH("DLV",E912)),D912,0))</f>
        <v/>
      </c>
      <c r="L912" s="41" t="str">
        <f aca="false">IF(A912="","",IF(K912&gt;0,"Delivered",IF(ISNUMBER(SEARCH("CNF",E912)),"In production",IF(J912&gt;0,"Issued",IF(I912&gt;0,"Kitted","Released")))))</f>
        <v/>
      </c>
      <c r="M912" s="41" t="str">
        <f aca="false">IF(G912&lt;&gt;"Yes","",COUNTIFS($B$6:$B$1505,B912,$F$6:$F$1505,"&lt;"&amp;F912)+COUNTIFS($B$6:$B$1505,B912,$F$6:$F$1505,F912,$A$6:$A$1505,"&lt;="&amp;A912))</f>
        <v/>
      </c>
      <c r="N912" s="41" t="str">
        <f aca="false">IF(M912="","",ROUNDUP(M912/H912,0))</f>
        <v/>
      </c>
      <c r="O912" s="41" t="str">
        <f aca="false">IF(N912="","",IF(N912&lt;='Kitting Plan'!$C$3,"Rep "&amp;N912,"Surplus"))</f>
        <v/>
      </c>
    </row>
    <row r="913" customFormat="false" ht="15" hidden="false" customHeight="false" outlineLevel="0" collapsed="false">
      <c r="A913" s="40" t="str">
        <f aca="false">IF(OR($A$4=0,INDEX('COOIS Raw'!$A:$GZ,ROW()-4,$A$4)=""),"",IFERROR(--INDEX('COOIS Raw'!$A:$GZ,ROW()-4,$A$4),INDEX('COOIS Raw'!$A:$GZ,ROW()-4,$A$4)))</f>
        <v/>
      </c>
      <c r="B913" s="41" t="str">
        <f aca="false">IF(A913="","",TRIM(INDEX('COOIS Raw'!$A:$GZ,ROW()-4,$B$4)))</f>
        <v/>
      </c>
      <c r="C913" s="42" t="str">
        <f aca="false">IF(OR(A913="",$C$4=0),"",INDEX('COOIS Raw'!$A:$GZ,ROW()-4,$C$4))</f>
        <v/>
      </c>
      <c r="D913" s="41" t="str">
        <f aca="false">IF(A913="","",IF($D$4=0,1,IFERROR(--INDEX('COOIS Raw'!$A:$GZ,ROW()-4,$D$4),1)))</f>
        <v/>
      </c>
      <c r="E913" s="42" t="str">
        <f aca="false">IF(A913="","",INDEX('COOIS Raw'!$A:$GZ,ROW()-4,$E$4)&amp;"")</f>
        <v/>
      </c>
      <c r="F913" s="43" t="str">
        <f aca="false">IF(A913="","",IFERROR(DATEVALUE(INDEX('COOIS Raw'!$A:$GZ,ROW()-4,$F$4)),INDEX('COOIS Raw'!$A:$GZ,ROW()-4,$F$4)))</f>
        <v/>
      </c>
      <c r="G913" s="41" t="str">
        <f aca="false">IF(A913="","",IF(ISNA(MATCH(B913,'Kitting Plan'!$B$6:$B$19,0)),"Not in plan","Yes"))</f>
        <v/>
      </c>
      <c r="H913" s="41" t="str">
        <f aca="false">IF(G913="Yes",INDEX('Kitting Plan'!$D$6:$D$19,MATCH(B913,'Kitting Plan'!$B$6:$B$19,0)),"")</f>
        <v/>
      </c>
      <c r="I913" s="41" t="str">
        <f aca="false">IF(A913="","",IF(ISNUMBER(SEARCH("PRT",E913)),D913,0))</f>
        <v/>
      </c>
      <c r="J913" s="41" t="str">
        <f aca="false">IF(A913="","",IF(ISNUMBER(SEARCH("GMPS",E913)),D913,0))</f>
        <v/>
      </c>
      <c r="K913" s="41" t="str">
        <f aca="false">IF(A913="","",IF(ISNUMBER(SEARCH("DLV",E913)),D913,0))</f>
        <v/>
      </c>
      <c r="L913" s="41" t="str">
        <f aca="false">IF(A913="","",IF(K913&gt;0,"Delivered",IF(ISNUMBER(SEARCH("CNF",E913)),"In production",IF(J913&gt;0,"Issued",IF(I913&gt;0,"Kitted","Released")))))</f>
        <v/>
      </c>
      <c r="M913" s="41" t="str">
        <f aca="false">IF(G913&lt;&gt;"Yes","",COUNTIFS($B$6:$B$1505,B913,$F$6:$F$1505,"&lt;"&amp;F913)+COUNTIFS($B$6:$B$1505,B913,$F$6:$F$1505,F913,$A$6:$A$1505,"&lt;="&amp;A913))</f>
        <v/>
      </c>
      <c r="N913" s="41" t="str">
        <f aca="false">IF(M913="","",ROUNDUP(M913/H913,0))</f>
        <v/>
      </c>
      <c r="O913" s="41" t="str">
        <f aca="false">IF(N913="","",IF(N913&lt;='Kitting Plan'!$C$3,"Rep "&amp;N913,"Surplus"))</f>
        <v/>
      </c>
    </row>
    <row r="914" customFormat="false" ht="15" hidden="false" customHeight="false" outlineLevel="0" collapsed="false">
      <c r="A914" s="40" t="str">
        <f aca="false">IF(OR($A$4=0,INDEX('COOIS Raw'!$A:$GZ,ROW()-4,$A$4)=""),"",IFERROR(--INDEX('COOIS Raw'!$A:$GZ,ROW()-4,$A$4),INDEX('COOIS Raw'!$A:$GZ,ROW()-4,$A$4)))</f>
        <v/>
      </c>
      <c r="B914" s="41" t="str">
        <f aca="false">IF(A914="","",TRIM(INDEX('COOIS Raw'!$A:$GZ,ROW()-4,$B$4)))</f>
        <v/>
      </c>
      <c r="C914" s="42" t="str">
        <f aca="false">IF(OR(A914="",$C$4=0),"",INDEX('COOIS Raw'!$A:$GZ,ROW()-4,$C$4))</f>
        <v/>
      </c>
      <c r="D914" s="41" t="str">
        <f aca="false">IF(A914="","",IF($D$4=0,1,IFERROR(--INDEX('COOIS Raw'!$A:$GZ,ROW()-4,$D$4),1)))</f>
        <v/>
      </c>
      <c r="E914" s="42" t="str">
        <f aca="false">IF(A914="","",INDEX('COOIS Raw'!$A:$GZ,ROW()-4,$E$4)&amp;"")</f>
        <v/>
      </c>
      <c r="F914" s="43" t="str">
        <f aca="false">IF(A914="","",IFERROR(DATEVALUE(INDEX('COOIS Raw'!$A:$GZ,ROW()-4,$F$4)),INDEX('COOIS Raw'!$A:$GZ,ROW()-4,$F$4)))</f>
        <v/>
      </c>
      <c r="G914" s="41" t="str">
        <f aca="false">IF(A914="","",IF(ISNA(MATCH(B914,'Kitting Plan'!$B$6:$B$19,0)),"Not in plan","Yes"))</f>
        <v/>
      </c>
      <c r="H914" s="41" t="str">
        <f aca="false">IF(G914="Yes",INDEX('Kitting Plan'!$D$6:$D$19,MATCH(B914,'Kitting Plan'!$B$6:$B$19,0)),"")</f>
        <v/>
      </c>
      <c r="I914" s="41" t="str">
        <f aca="false">IF(A914="","",IF(ISNUMBER(SEARCH("PRT",E914)),D914,0))</f>
        <v/>
      </c>
      <c r="J914" s="41" t="str">
        <f aca="false">IF(A914="","",IF(ISNUMBER(SEARCH("GMPS",E914)),D914,0))</f>
        <v/>
      </c>
      <c r="K914" s="41" t="str">
        <f aca="false">IF(A914="","",IF(ISNUMBER(SEARCH("DLV",E914)),D914,0))</f>
        <v/>
      </c>
      <c r="L914" s="41" t="str">
        <f aca="false">IF(A914="","",IF(K914&gt;0,"Delivered",IF(ISNUMBER(SEARCH("CNF",E914)),"In production",IF(J914&gt;0,"Issued",IF(I914&gt;0,"Kitted","Released")))))</f>
        <v/>
      </c>
      <c r="M914" s="41" t="str">
        <f aca="false">IF(G914&lt;&gt;"Yes","",COUNTIFS($B$6:$B$1505,B914,$F$6:$F$1505,"&lt;"&amp;F914)+COUNTIFS($B$6:$B$1505,B914,$F$6:$F$1505,F914,$A$6:$A$1505,"&lt;="&amp;A914))</f>
        <v/>
      </c>
      <c r="N914" s="41" t="str">
        <f aca="false">IF(M914="","",ROUNDUP(M914/H914,0))</f>
        <v/>
      </c>
      <c r="O914" s="41" t="str">
        <f aca="false">IF(N914="","",IF(N914&lt;='Kitting Plan'!$C$3,"Rep "&amp;N914,"Surplus"))</f>
        <v/>
      </c>
    </row>
    <row r="915" customFormat="false" ht="15" hidden="false" customHeight="false" outlineLevel="0" collapsed="false">
      <c r="A915" s="40" t="str">
        <f aca="false">IF(OR($A$4=0,INDEX('COOIS Raw'!$A:$GZ,ROW()-4,$A$4)=""),"",IFERROR(--INDEX('COOIS Raw'!$A:$GZ,ROW()-4,$A$4),INDEX('COOIS Raw'!$A:$GZ,ROW()-4,$A$4)))</f>
        <v/>
      </c>
      <c r="B915" s="41" t="str">
        <f aca="false">IF(A915="","",TRIM(INDEX('COOIS Raw'!$A:$GZ,ROW()-4,$B$4)))</f>
        <v/>
      </c>
      <c r="C915" s="42" t="str">
        <f aca="false">IF(OR(A915="",$C$4=0),"",INDEX('COOIS Raw'!$A:$GZ,ROW()-4,$C$4))</f>
        <v/>
      </c>
      <c r="D915" s="41" t="str">
        <f aca="false">IF(A915="","",IF($D$4=0,1,IFERROR(--INDEX('COOIS Raw'!$A:$GZ,ROW()-4,$D$4),1)))</f>
        <v/>
      </c>
      <c r="E915" s="42" t="str">
        <f aca="false">IF(A915="","",INDEX('COOIS Raw'!$A:$GZ,ROW()-4,$E$4)&amp;"")</f>
        <v/>
      </c>
      <c r="F915" s="43" t="str">
        <f aca="false">IF(A915="","",IFERROR(DATEVALUE(INDEX('COOIS Raw'!$A:$GZ,ROW()-4,$F$4)),INDEX('COOIS Raw'!$A:$GZ,ROW()-4,$F$4)))</f>
        <v/>
      </c>
      <c r="G915" s="41" t="str">
        <f aca="false">IF(A915="","",IF(ISNA(MATCH(B915,'Kitting Plan'!$B$6:$B$19,0)),"Not in plan","Yes"))</f>
        <v/>
      </c>
      <c r="H915" s="41" t="str">
        <f aca="false">IF(G915="Yes",INDEX('Kitting Plan'!$D$6:$D$19,MATCH(B915,'Kitting Plan'!$B$6:$B$19,0)),"")</f>
        <v/>
      </c>
      <c r="I915" s="41" t="str">
        <f aca="false">IF(A915="","",IF(ISNUMBER(SEARCH("PRT",E915)),D915,0))</f>
        <v/>
      </c>
      <c r="J915" s="41" t="str">
        <f aca="false">IF(A915="","",IF(ISNUMBER(SEARCH("GMPS",E915)),D915,0))</f>
        <v/>
      </c>
      <c r="K915" s="41" t="str">
        <f aca="false">IF(A915="","",IF(ISNUMBER(SEARCH("DLV",E915)),D915,0))</f>
        <v/>
      </c>
      <c r="L915" s="41" t="str">
        <f aca="false">IF(A915="","",IF(K915&gt;0,"Delivered",IF(ISNUMBER(SEARCH("CNF",E915)),"In production",IF(J915&gt;0,"Issued",IF(I915&gt;0,"Kitted","Released")))))</f>
        <v/>
      </c>
      <c r="M915" s="41" t="str">
        <f aca="false">IF(G915&lt;&gt;"Yes","",COUNTIFS($B$6:$B$1505,B915,$F$6:$F$1505,"&lt;"&amp;F915)+COUNTIFS($B$6:$B$1505,B915,$F$6:$F$1505,F915,$A$6:$A$1505,"&lt;="&amp;A915))</f>
        <v/>
      </c>
      <c r="N915" s="41" t="str">
        <f aca="false">IF(M915="","",ROUNDUP(M915/H915,0))</f>
        <v/>
      </c>
      <c r="O915" s="41" t="str">
        <f aca="false">IF(N915="","",IF(N915&lt;='Kitting Plan'!$C$3,"Rep "&amp;N915,"Surplus"))</f>
        <v/>
      </c>
    </row>
    <row r="916" customFormat="false" ht="15" hidden="false" customHeight="false" outlineLevel="0" collapsed="false">
      <c r="A916" s="40" t="str">
        <f aca="false">IF(OR($A$4=0,INDEX('COOIS Raw'!$A:$GZ,ROW()-4,$A$4)=""),"",IFERROR(--INDEX('COOIS Raw'!$A:$GZ,ROW()-4,$A$4),INDEX('COOIS Raw'!$A:$GZ,ROW()-4,$A$4)))</f>
        <v/>
      </c>
      <c r="B916" s="41" t="str">
        <f aca="false">IF(A916="","",TRIM(INDEX('COOIS Raw'!$A:$GZ,ROW()-4,$B$4)))</f>
        <v/>
      </c>
      <c r="C916" s="42" t="str">
        <f aca="false">IF(OR(A916="",$C$4=0),"",INDEX('COOIS Raw'!$A:$GZ,ROW()-4,$C$4))</f>
        <v/>
      </c>
      <c r="D916" s="41" t="str">
        <f aca="false">IF(A916="","",IF($D$4=0,1,IFERROR(--INDEX('COOIS Raw'!$A:$GZ,ROW()-4,$D$4),1)))</f>
        <v/>
      </c>
      <c r="E916" s="42" t="str">
        <f aca="false">IF(A916="","",INDEX('COOIS Raw'!$A:$GZ,ROW()-4,$E$4)&amp;"")</f>
        <v/>
      </c>
      <c r="F916" s="43" t="str">
        <f aca="false">IF(A916="","",IFERROR(DATEVALUE(INDEX('COOIS Raw'!$A:$GZ,ROW()-4,$F$4)),INDEX('COOIS Raw'!$A:$GZ,ROW()-4,$F$4)))</f>
        <v/>
      </c>
      <c r="G916" s="41" t="str">
        <f aca="false">IF(A916="","",IF(ISNA(MATCH(B916,'Kitting Plan'!$B$6:$B$19,0)),"Not in plan","Yes"))</f>
        <v/>
      </c>
      <c r="H916" s="41" t="str">
        <f aca="false">IF(G916="Yes",INDEX('Kitting Plan'!$D$6:$D$19,MATCH(B916,'Kitting Plan'!$B$6:$B$19,0)),"")</f>
        <v/>
      </c>
      <c r="I916" s="41" t="str">
        <f aca="false">IF(A916="","",IF(ISNUMBER(SEARCH("PRT",E916)),D916,0))</f>
        <v/>
      </c>
      <c r="J916" s="41" t="str">
        <f aca="false">IF(A916="","",IF(ISNUMBER(SEARCH("GMPS",E916)),D916,0))</f>
        <v/>
      </c>
      <c r="K916" s="41" t="str">
        <f aca="false">IF(A916="","",IF(ISNUMBER(SEARCH("DLV",E916)),D916,0))</f>
        <v/>
      </c>
      <c r="L916" s="41" t="str">
        <f aca="false">IF(A916="","",IF(K916&gt;0,"Delivered",IF(ISNUMBER(SEARCH("CNF",E916)),"In production",IF(J916&gt;0,"Issued",IF(I916&gt;0,"Kitted","Released")))))</f>
        <v/>
      </c>
      <c r="M916" s="41" t="str">
        <f aca="false">IF(G916&lt;&gt;"Yes","",COUNTIFS($B$6:$B$1505,B916,$F$6:$F$1505,"&lt;"&amp;F916)+COUNTIFS($B$6:$B$1505,B916,$F$6:$F$1505,F916,$A$6:$A$1505,"&lt;="&amp;A916))</f>
        <v/>
      </c>
      <c r="N916" s="41" t="str">
        <f aca="false">IF(M916="","",ROUNDUP(M916/H916,0))</f>
        <v/>
      </c>
      <c r="O916" s="41" t="str">
        <f aca="false">IF(N916="","",IF(N916&lt;='Kitting Plan'!$C$3,"Rep "&amp;N916,"Surplus"))</f>
        <v/>
      </c>
    </row>
    <row r="917" customFormat="false" ht="15" hidden="false" customHeight="false" outlineLevel="0" collapsed="false">
      <c r="A917" s="40" t="str">
        <f aca="false">IF(OR($A$4=0,INDEX('COOIS Raw'!$A:$GZ,ROW()-4,$A$4)=""),"",IFERROR(--INDEX('COOIS Raw'!$A:$GZ,ROW()-4,$A$4),INDEX('COOIS Raw'!$A:$GZ,ROW()-4,$A$4)))</f>
        <v/>
      </c>
      <c r="B917" s="41" t="str">
        <f aca="false">IF(A917="","",TRIM(INDEX('COOIS Raw'!$A:$GZ,ROW()-4,$B$4)))</f>
        <v/>
      </c>
      <c r="C917" s="42" t="str">
        <f aca="false">IF(OR(A917="",$C$4=0),"",INDEX('COOIS Raw'!$A:$GZ,ROW()-4,$C$4))</f>
        <v/>
      </c>
      <c r="D917" s="41" t="str">
        <f aca="false">IF(A917="","",IF($D$4=0,1,IFERROR(--INDEX('COOIS Raw'!$A:$GZ,ROW()-4,$D$4),1)))</f>
        <v/>
      </c>
      <c r="E917" s="42" t="str">
        <f aca="false">IF(A917="","",INDEX('COOIS Raw'!$A:$GZ,ROW()-4,$E$4)&amp;"")</f>
        <v/>
      </c>
      <c r="F917" s="43" t="str">
        <f aca="false">IF(A917="","",IFERROR(DATEVALUE(INDEX('COOIS Raw'!$A:$GZ,ROW()-4,$F$4)),INDEX('COOIS Raw'!$A:$GZ,ROW()-4,$F$4)))</f>
        <v/>
      </c>
      <c r="G917" s="41" t="str">
        <f aca="false">IF(A917="","",IF(ISNA(MATCH(B917,'Kitting Plan'!$B$6:$B$19,0)),"Not in plan","Yes"))</f>
        <v/>
      </c>
      <c r="H917" s="41" t="str">
        <f aca="false">IF(G917="Yes",INDEX('Kitting Plan'!$D$6:$D$19,MATCH(B917,'Kitting Plan'!$B$6:$B$19,0)),"")</f>
        <v/>
      </c>
      <c r="I917" s="41" t="str">
        <f aca="false">IF(A917="","",IF(ISNUMBER(SEARCH("PRT",E917)),D917,0))</f>
        <v/>
      </c>
      <c r="J917" s="41" t="str">
        <f aca="false">IF(A917="","",IF(ISNUMBER(SEARCH("GMPS",E917)),D917,0))</f>
        <v/>
      </c>
      <c r="K917" s="41" t="str">
        <f aca="false">IF(A917="","",IF(ISNUMBER(SEARCH("DLV",E917)),D917,0))</f>
        <v/>
      </c>
      <c r="L917" s="41" t="str">
        <f aca="false">IF(A917="","",IF(K917&gt;0,"Delivered",IF(ISNUMBER(SEARCH("CNF",E917)),"In production",IF(J917&gt;0,"Issued",IF(I917&gt;0,"Kitted","Released")))))</f>
        <v/>
      </c>
      <c r="M917" s="41" t="str">
        <f aca="false">IF(G917&lt;&gt;"Yes","",COUNTIFS($B$6:$B$1505,B917,$F$6:$F$1505,"&lt;"&amp;F917)+COUNTIFS($B$6:$B$1505,B917,$F$6:$F$1505,F917,$A$6:$A$1505,"&lt;="&amp;A917))</f>
        <v/>
      </c>
      <c r="N917" s="41" t="str">
        <f aca="false">IF(M917="","",ROUNDUP(M917/H917,0))</f>
        <v/>
      </c>
      <c r="O917" s="41" t="str">
        <f aca="false">IF(N917="","",IF(N917&lt;='Kitting Plan'!$C$3,"Rep "&amp;N917,"Surplus"))</f>
        <v/>
      </c>
    </row>
    <row r="918" customFormat="false" ht="15" hidden="false" customHeight="false" outlineLevel="0" collapsed="false">
      <c r="A918" s="40" t="str">
        <f aca="false">IF(OR($A$4=0,INDEX('COOIS Raw'!$A:$GZ,ROW()-4,$A$4)=""),"",IFERROR(--INDEX('COOIS Raw'!$A:$GZ,ROW()-4,$A$4),INDEX('COOIS Raw'!$A:$GZ,ROW()-4,$A$4)))</f>
        <v/>
      </c>
      <c r="B918" s="41" t="str">
        <f aca="false">IF(A918="","",TRIM(INDEX('COOIS Raw'!$A:$GZ,ROW()-4,$B$4)))</f>
        <v/>
      </c>
      <c r="C918" s="42" t="str">
        <f aca="false">IF(OR(A918="",$C$4=0),"",INDEX('COOIS Raw'!$A:$GZ,ROW()-4,$C$4))</f>
        <v/>
      </c>
      <c r="D918" s="41" t="str">
        <f aca="false">IF(A918="","",IF($D$4=0,1,IFERROR(--INDEX('COOIS Raw'!$A:$GZ,ROW()-4,$D$4),1)))</f>
        <v/>
      </c>
      <c r="E918" s="42" t="str">
        <f aca="false">IF(A918="","",INDEX('COOIS Raw'!$A:$GZ,ROW()-4,$E$4)&amp;"")</f>
        <v/>
      </c>
      <c r="F918" s="43" t="str">
        <f aca="false">IF(A918="","",IFERROR(DATEVALUE(INDEX('COOIS Raw'!$A:$GZ,ROW()-4,$F$4)),INDEX('COOIS Raw'!$A:$GZ,ROW()-4,$F$4)))</f>
        <v/>
      </c>
      <c r="G918" s="41" t="str">
        <f aca="false">IF(A918="","",IF(ISNA(MATCH(B918,'Kitting Plan'!$B$6:$B$19,0)),"Not in plan","Yes"))</f>
        <v/>
      </c>
      <c r="H918" s="41" t="str">
        <f aca="false">IF(G918="Yes",INDEX('Kitting Plan'!$D$6:$D$19,MATCH(B918,'Kitting Plan'!$B$6:$B$19,0)),"")</f>
        <v/>
      </c>
      <c r="I918" s="41" t="str">
        <f aca="false">IF(A918="","",IF(ISNUMBER(SEARCH("PRT",E918)),D918,0))</f>
        <v/>
      </c>
      <c r="J918" s="41" t="str">
        <f aca="false">IF(A918="","",IF(ISNUMBER(SEARCH("GMPS",E918)),D918,0))</f>
        <v/>
      </c>
      <c r="K918" s="41" t="str">
        <f aca="false">IF(A918="","",IF(ISNUMBER(SEARCH("DLV",E918)),D918,0))</f>
        <v/>
      </c>
      <c r="L918" s="41" t="str">
        <f aca="false">IF(A918="","",IF(K918&gt;0,"Delivered",IF(ISNUMBER(SEARCH("CNF",E918)),"In production",IF(J918&gt;0,"Issued",IF(I918&gt;0,"Kitted","Released")))))</f>
        <v/>
      </c>
      <c r="M918" s="41" t="str">
        <f aca="false">IF(G918&lt;&gt;"Yes","",COUNTIFS($B$6:$B$1505,B918,$F$6:$F$1505,"&lt;"&amp;F918)+COUNTIFS($B$6:$B$1505,B918,$F$6:$F$1505,F918,$A$6:$A$1505,"&lt;="&amp;A918))</f>
        <v/>
      </c>
      <c r="N918" s="41" t="str">
        <f aca="false">IF(M918="","",ROUNDUP(M918/H918,0))</f>
        <v/>
      </c>
      <c r="O918" s="41" t="str">
        <f aca="false">IF(N918="","",IF(N918&lt;='Kitting Plan'!$C$3,"Rep "&amp;N918,"Surplus"))</f>
        <v/>
      </c>
    </row>
    <row r="919" customFormat="false" ht="15" hidden="false" customHeight="false" outlineLevel="0" collapsed="false">
      <c r="A919" s="40" t="str">
        <f aca="false">IF(OR($A$4=0,INDEX('COOIS Raw'!$A:$GZ,ROW()-4,$A$4)=""),"",IFERROR(--INDEX('COOIS Raw'!$A:$GZ,ROW()-4,$A$4),INDEX('COOIS Raw'!$A:$GZ,ROW()-4,$A$4)))</f>
        <v/>
      </c>
      <c r="B919" s="41" t="str">
        <f aca="false">IF(A919="","",TRIM(INDEX('COOIS Raw'!$A:$GZ,ROW()-4,$B$4)))</f>
        <v/>
      </c>
      <c r="C919" s="42" t="str">
        <f aca="false">IF(OR(A919="",$C$4=0),"",INDEX('COOIS Raw'!$A:$GZ,ROW()-4,$C$4))</f>
        <v/>
      </c>
      <c r="D919" s="41" t="str">
        <f aca="false">IF(A919="","",IF($D$4=0,1,IFERROR(--INDEX('COOIS Raw'!$A:$GZ,ROW()-4,$D$4),1)))</f>
        <v/>
      </c>
      <c r="E919" s="42" t="str">
        <f aca="false">IF(A919="","",INDEX('COOIS Raw'!$A:$GZ,ROW()-4,$E$4)&amp;"")</f>
        <v/>
      </c>
      <c r="F919" s="43" t="str">
        <f aca="false">IF(A919="","",IFERROR(DATEVALUE(INDEX('COOIS Raw'!$A:$GZ,ROW()-4,$F$4)),INDEX('COOIS Raw'!$A:$GZ,ROW()-4,$F$4)))</f>
        <v/>
      </c>
      <c r="G919" s="41" t="str">
        <f aca="false">IF(A919="","",IF(ISNA(MATCH(B919,'Kitting Plan'!$B$6:$B$19,0)),"Not in plan","Yes"))</f>
        <v/>
      </c>
      <c r="H919" s="41" t="str">
        <f aca="false">IF(G919="Yes",INDEX('Kitting Plan'!$D$6:$D$19,MATCH(B919,'Kitting Plan'!$B$6:$B$19,0)),"")</f>
        <v/>
      </c>
      <c r="I919" s="41" t="str">
        <f aca="false">IF(A919="","",IF(ISNUMBER(SEARCH("PRT",E919)),D919,0))</f>
        <v/>
      </c>
      <c r="J919" s="41" t="str">
        <f aca="false">IF(A919="","",IF(ISNUMBER(SEARCH("GMPS",E919)),D919,0))</f>
        <v/>
      </c>
      <c r="K919" s="41" t="str">
        <f aca="false">IF(A919="","",IF(ISNUMBER(SEARCH("DLV",E919)),D919,0))</f>
        <v/>
      </c>
      <c r="L919" s="41" t="str">
        <f aca="false">IF(A919="","",IF(K919&gt;0,"Delivered",IF(ISNUMBER(SEARCH("CNF",E919)),"In production",IF(J919&gt;0,"Issued",IF(I919&gt;0,"Kitted","Released")))))</f>
        <v/>
      </c>
      <c r="M919" s="41" t="str">
        <f aca="false">IF(G919&lt;&gt;"Yes","",COUNTIFS($B$6:$B$1505,B919,$F$6:$F$1505,"&lt;"&amp;F919)+COUNTIFS($B$6:$B$1505,B919,$F$6:$F$1505,F919,$A$6:$A$1505,"&lt;="&amp;A919))</f>
        <v/>
      </c>
      <c r="N919" s="41" t="str">
        <f aca="false">IF(M919="","",ROUNDUP(M919/H919,0))</f>
        <v/>
      </c>
      <c r="O919" s="41" t="str">
        <f aca="false">IF(N919="","",IF(N919&lt;='Kitting Plan'!$C$3,"Rep "&amp;N919,"Surplus"))</f>
        <v/>
      </c>
    </row>
    <row r="920" customFormat="false" ht="15" hidden="false" customHeight="false" outlineLevel="0" collapsed="false">
      <c r="A920" s="40" t="str">
        <f aca="false">IF(OR($A$4=0,INDEX('COOIS Raw'!$A:$GZ,ROW()-4,$A$4)=""),"",IFERROR(--INDEX('COOIS Raw'!$A:$GZ,ROW()-4,$A$4),INDEX('COOIS Raw'!$A:$GZ,ROW()-4,$A$4)))</f>
        <v/>
      </c>
      <c r="B920" s="41" t="str">
        <f aca="false">IF(A920="","",TRIM(INDEX('COOIS Raw'!$A:$GZ,ROW()-4,$B$4)))</f>
        <v/>
      </c>
      <c r="C920" s="42" t="str">
        <f aca="false">IF(OR(A920="",$C$4=0),"",INDEX('COOIS Raw'!$A:$GZ,ROW()-4,$C$4))</f>
        <v/>
      </c>
      <c r="D920" s="41" t="str">
        <f aca="false">IF(A920="","",IF($D$4=0,1,IFERROR(--INDEX('COOIS Raw'!$A:$GZ,ROW()-4,$D$4),1)))</f>
        <v/>
      </c>
      <c r="E920" s="42" t="str">
        <f aca="false">IF(A920="","",INDEX('COOIS Raw'!$A:$GZ,ROW()-4,$E$4)&amp;"")</f>
        <v/>
      </c>
      <c r="F920" s="43" t="str">
        <f aca="false">IF(A920="","",IFERROR(DATEVALUE(INDEX('COOIS Raw'!$A:$GZ,ROW()-4,$F$4)),INDEX('COOIS Raw'!$A:$GZ,ROW()-4,$F$4)))</f>
        <v/>
      </c>
      <c r="G920" s="41" t="str">
        <f aca="false">IF(A920="","",IF(ISNA(MATCH(B920,'Kitting Plan'!$B$6:$B$19,0)),"Not in plan","Yes"))</f>
        <v/>
      </c>
      <c r="H920" s="41" t="str">
        <f aca="false">IF(G920="Yes",INDEX('Kitting Plan'!$D$6:$D$19,MATCH(B920,'Kitting Plan'!$B$6:$B$19,0)),"")</f>
        <v/>
      </c>
      <c r="I920" s="41" t="str">
        <f aca="false">IF(A920="","",IF(ISNUMBER(SEARCH("PRT",E920)),D920,0))</f>
        <v/>
      </c>
      <c r="J920" s="41" t="str">
        <f aca="false">IF(A920="","",IF(ISNUMBER(SEARCH("GMPS",E920)),D920,0))</f>
        <v/>
      </c>
      <c r="K920" s="41" t="str">
        <f aca="false">IF(A920="","",IF(ISNUMBER(SEARCH("DLV",E920)),D920,0))</f>
        <v/>
      </c>
      <c r="L920" s="41" t="str">
        <f aca="false">IF(A920="","",IF(K920&gt;0,"Delivered",IF(ISNUMBER(SEARCH("CNF",E920)),"In production",IF(J920&gt;0,"Issued",IF(I920&gt;0,"Kitted","Released")))))</f>
        <v/>
      </c>
      <c r="M920" s="41" t="str">
        <f aca="false">IF(G920&lt;&gt;"Yes","",COUNTIFS($B$6:$B$1505,B920,$F$6:$F$1505,"&lt;"&amp;F920)+COUNTIFS($B$6:$B$1505,B920,$F$6:$F$1505,F920,$A$6:$A$1505,"&lt;="&amp;A920))</f>
        <v/>
      </c>
      <c r="N920" s="41" t="str">
        <f aca="false">IF(M920="","",ROUNDUP(M920/H920,0))</f>
        <v/>
      </c>
      <c r="O920" s="41" t="str">
        <f aca="false">IF(N920="","",IF(N920&lt;='Kitting Plan'!$C$3,"Rep "&amp;N920,"Surplus"))</f>
        <v/>
      </c>
    </row>
    <row r="921" customFormat="false" ht="15" hidden="false" customHeight="false" outlineLevel="0" collapsed="false">
      <c r="A921" s="40" t="str">
        <f aca="false">IF(OR($A$4=0,INDEX('COOIS Raw'!$A:$GZ,ROW()-4,$A$4)=""),"",IFERROR(--INDEX('COOIS Raw'!$A:$GZ,ROW()-4,$A$4),INDEX('COOIS Raw'!$A:$GZ,ROW()-4,$A$4)))</f>
        <v/>
      </c>
      <c r="B921" s="41" t="str">
        <f aca="false">IF(A921="","",TRIM(INDEX('COOIS Raw'!$A:$GZ,ROW()-4,$B$4)))</f>
        <v/>
      </c>
      <c r="C921" s="42" t="str">
        <f aca="false">IF(OR(A921="",$C$4=0),"",INDEX('COOIS Raw'!$A:$GZ,ROW()-4,$C$4))</f>
        <v/>
      </c>
      <c r="D921" s="41" t="str">
        <f aca="false">IF(A921="","",IF($D$4=0,1,IFERROR(--INDEX('COOIS Raw'!$A:$GZ,ROW()-4,$D$4),1)))</f>
        <v/>
      </c>
      <c r="E921" s="42" t="str">
        <f aca="false">IF(A921="","",INDEX('COOIS Raw'!$A:$GZ,ROW()-4,$E$4)&amp;"")</f>
        <v/>
      </c>
      <c r="F921" s="43" t="str">
        <f aca="false">IF(A921="","",IFERROR(DATEVALUE(INDEX('COOIS Raw'!$A:$GZ,ROW()-4,$F$4)),INDEX('COOIS Raw'!$A:$GZ,ROW()-4,$F$4)))</f>
        <v/>
      </c>
      <c r="G921" s="41" t="str">
        <f aca="false">IF(A921="","",IF(ISNA(MATCH(B921,'Kitting Plan'!$B$6:$B$19,0)),"Not in plan","Yes"))</f>
        <v/>
      </c>
      <c r="H921" s="41" t="str">
        <f aca="false">IF(G921="Yes",INDEX('Kitting Plan'!$D$6:$D$19,MATCH(B921,'Kitting Plan'!$B$6:$B$19,0)),"")</f>
        <v/>
      </c>
      <c r="I921" s="41" t="str">
        <f aca="false">IF(A921="","",IF(ISNUMBER(SEARCH("PRT",E921)),D921,0))</f>
        <v/>
      </c>
      <c r="J921" s="41" t="str">
        <f aca="false">IF(A921="","",IF(ISNUMBER(SEARCH("GMPS",E921)),D921,0))</f>
        <v/>
      </c>
      <c r="K921" s="41" t="str">
        <f aca="false">IF(A921="","",IF(ISNUMBER(SEARCH("DLV",E921)),D921,0))</f>
        <v/>
      </c>
      <c r="L921" s="41" t="str">
        <f aca="false">IF(A921="","",IF(K921&gt;0,"Delivered",IF(ISNUMBER(SEARCH("CNF",E921)),"In production",IF(J921&gt;0,"Issued",IF(I921&gt;0,"Kitted","Released")))))</f>
        <v/>
      </c>
      <c r="M921" s="41" t="str">
        <f aca="false">IF(G921&lt;&gt;"Yes","",COUNTIFS($B$6:$B$1505,B921,$F$6:$F$1505,"&lt;"&amp;F921)+COUNTIFS($B$6:$B$1505,B921,$F$6:$F$1505,F921,$A$6:$A$1505,"&lt;="&amp;A921))</f>
        <v/>
      </c>
      <c r="N921" s="41" t="str">
        <f aca="false">IF(M921="","",ROUNDUP(M921/H921,0))</f>
        <v/>
      </c>
      <c r="O921" s="41" t="str">
        <f aca="false">IF(N921="","",IF(N921&lt;='Kitting Plan'!$C$3,"Rep "&amp;N921,"Surplus"))</f>
        <v/>
      </c>
    </row>
    <row r="922" customFormat="false" ht="15" hidden="false" customHeight="false" outlineLevel="0" collapsed="false">
      <c r="A922" s="40" t="str">
        <f aca="false">IF(OR($A$4=0,INDEX('COOIS Raw'!$A:$GZ,ROW()-4,$A$4)=""),"",IFERROR(--INDEX('COOIS Raw'!$A:$GZ,ROW()-4,$A$4),INDEX('COOIS Raw'!$A:$GZ,ROW()-4,$A$4)))</f>
        <v/>
      </c>
      <c r="B922" s="41" t="str">
        <f aca="false">IF(A922="","",TRIM(INDEX('COOIS Raw'!$A:$GZ,ROW()-4,$B$4)))</f>
        <v/>
      </c>
      <c r="C922" s="42" t="str">
        <f aca="false">IF(OR(A922="",$C$4=0),"",INDEX('COOIS Raw'!$A:$GZ,ROW()-4,$C$4))</f>
        <v/>
      </c>
      <c r="D922" s="41" t="str">
        <f aca="false">IF(A922="","",IF($D$4=0,1,IFERROR(--INDEX('COOIS Raw'!$A:$GZ,ROW()-4,$D$4),1)))</f>
        <v/>
      </c>
      <c r="E922" s="42" t="str">
        <f aca="false">IF(A922="","",INDEX('COOIS Raw'!$A:$GZ,ROW()-4,$E$4)&amp;"")</f>
        <v/>
      </c>
      <c r="F922" s="43" t="str">
        <f aca="false">IF(A922="","",IFERROR(DATEVALUE(INDEX('COOIS Raw'!$A:$GZ,ROW()-4,$F$4)),INDEX('COOIS Raw'!$A:$GZ,ROW()-4,$F$4)))</f>
        <v/>
      </c>
      <c r="G922" s="41" t="str">
        <f aca="false">IF(A922="","",IF(ISNA(MATCH(B922,'Kitting Plan'!$B$6:$B$19,0)),"Not in plan","Yes"))</f>
        <v/>
      </c>
      <c r="H922" s="41" t="str">
        <f aca="false">IF(G922="Yes",INDEX('Kitting Plan'!$D$6:$D$19,MATCH(B922,'Kitting Plan'!$B$6:$B$19,0)),"")</f>
        <v/>
      </c>
      <c r="I922" s="41" t="str">
        <f aca="false">IF(A922="","",IF(ISNUMBER(SEARCH("PRT",E922)),D922,0))</f>
        <v/>
      </c>
      <c r="J922" s="41" t="str">
        <f aca="false">IF(A922="","",IF(ISNUMBER(SEARCH("GMPS",E922)),D922,0))</f>
        <v/>
      </c>
      <c r="K922" s="41" t="str">
        <f aca="false">IF(A922="","",IF(ISNUMBER(SEARCH("DLV",E922)),D922,0))</f>
        <v/>
      </c>
      <c r="L922" s="41" t="str">
        <f aca="false">IF(A922="","",IF(K922&gt;0,"Delivered",IF(ISNUMBER(SEARCH("CNF",E922)),"In production",IF(J922&gt;0,"Issued",IF(I922&gt;0,"Kitted","Released")))))</f>
        <v/>
      </c>
      <c r="M922" s="41" t="str">
        <f aca="false">IF(G922&lt;&gt;"Yes","",COUNTIFS($B$6:$B$1505,B922,$F$6:$F$1505,"&lt;"&amp;F922)+COUNTIFS($B$6:$B$1505,B922,$F$6:$F$1505,F922,$A$6:$A$1505,"&lt;="&amp;A922))</f>
        <v/>
      </c>
      <c r="N922" s="41" t="str">
        <f aca="false">IF(M922="","",ROUNDUP(M922/H922,0))</f>
        <v/>
      </c>
      <c r="O922" s="41" t="str">
        <f aca="false">IF(N922="","",IF(N922&lt;='Kitting Plan'!$C$3,"Rep "&amp;N922,"Surplus"))</f>
        <v/>
      </c>
    </row>
    <row r="923" customFormat="false" ht="15" hidden="false" customHeight="false" outlineLevel="0" collapsed="false">
      <c r="A923" s="40" t="str">
        <f aca="false">IF(OR($A$4=0,INDEX('COOIS Raw'!$A:$GZ,ROW()-4,$A$4)=""),"",IFERROR(--INDEX('COOIS Raw'!$A:$GZ,ROW()-4,$A$4),INDEX('COOIS Raw'!$A:$GZ,ROW()-4,$A$4)))</f>
        <v/>
      </c>
      <c r="B923" s="41" t="str">
        <f aca="false">IF(A923="","",TRIM(INDEX('COOIS Raw'!$A:$GZ,ROW()-4,$B$4)))</f>
        <v/>
      </c>
      <c r="C923" s="42" t="str">
        <f aca="false">IF(OR(A923="",$C$4=0),"",INDEX('COOIS Raw'!$A:$GZ,ROW()-4,$C$4))</f>
        <v/>
      </c>
      <c r="D923" s="41" t="str">
        <f aca="false">IF(A923="","",IF($D$4=0,1,IFERROR(--INDEX('COOIS Raw'!$A:$GZ,ROW()-4,$D$4),1)))</f>
        <v/>
      </c>
      <c r="E923" s="42" t="str">
        <f aca="false">IF(A923="","",INDEX('COOIS Raw'!$A:$GZ,ROW()-4,$E$4)&amp;"")</f>
        <v/>
      </c>
      <c r="F923" s="43" t="str">
        <f aca="false">IF(A923="","",IFERROR(DATEVALUE(INDEX('COOIS Raw'!$A:$GZ,ROW()-4,$F$4)),INDEX('COOIS Raw'!$A:$GZ,ROW()-4,$F$4)))</f>
        <v/>
      </c>
      <c r="G923" s="41" t="str">
        <f aca="false">IF(A923="","",IF(ISNA(MATCH(B923,'Kitting Plan'!$B$6:$B$19,0)),"Not in plan","Yes"))</f>
        <v/>
      </c>
      <c r="H923" s="41" t="str">
        <f aca="false">IF(G923="Yes",INDEX('Kitting Plan'!$D$6:$D$19,MATCH(B923,'Kitting Plan'!$B$6:$B$19,0)),"")</f>
        <v/>
      </c>
      <c r="I923" s="41" t="str">
        <f aca="false">IF(A923="","",IF(ISNUMBER(SEARCH("PRT",E923)),D923,0))</f>
        <v/>
      </c>
      <c r="J923" s="41" t="str">
        <f aca="false">IF(A923="","",IF(ISNUMBER(SEARCH("GMPS",E923)),D923,0))</f>
        <v/>
      </c>
      <c r="K923" s="41" t="str">
        <f aca="false">IF(A923="","",IF(ISNUMBER(SEARCH("DLV",E923)),D923,0))</f>
        <v/>
      </c>
      <c r="L923" s="41" t="str">
        <f aca="false">IF(A923="","",IF(K923&gt;0,"Delivered",IF(ISNUMBER(SEARCH("CNF",E923)),"In production",IF(J923&gt;0,"Issued",IF(I923&gt;0,"Kitted","Released")))))</f>
        <v/>
      </c>
      <c r="M923" s="41" t="str">
        <f aca="false">IF(G923&lt;&gt;"Yes","",COUNTIFS($B$6:$B$1505,B923,$F$6:$F$1505,"&lt;"&amp;F923)+COUNTIFS($B$6:$B$1505,B923,$F$6:$F$1505,F923,$A$6:$A$1505,"&lt;="&amp;A923))</f>
        <v/>
      </c>
      <c r="N923" s="41" t="str">
        <f aca="false">IF(M923="","",ROUNDUP(M923/H923,0))</f>
        <v/>
      </c>
      <c r="O923" s="41" t="str">
        <f aca="false">IF(N923="","",IF(N923&lt;='Kitting Plan'!$C$3,"Rep "&amp;N923,"Surplus"))</f>
        <v/>
      </c>
    </row>
    <row r="924" customFormat="false" ht="15" hidden="false" customHeight="false" outlineLevel="0" collapsed="false">
      <c r="A924" s="40" t="str">
        <f aca="false">IF(OR($A$4=0,INDEX('COOIS Raw'!$A:$GZ,ROW()-4,$A$4)=""),"",IFERROR(--INDEX('COOIS Raw'!$A:$GZ,ROW()-4,$A$4),INDEX('COOIS Raw'!$A:$GZ,ROW()-4,$A$4)))</f>
        <v/>
      </c>
      <c r="B924" s="41" t="str">
        <f aca="false">IF(A924="","",TRIM(INDEX('COOIS Raw'!$A:$GZ,ROW()-4,$B$4)))</f>
        <v/>
      </c>
      <c r="C924" s="42" t="str">
        <f aca="false">IF(OR(A924="",$C$4=0),"",INDEX('COOIS Raw'!$A:$GZ,ROW()-4,$C$4))</f>
        <v/>
      </c>
      <c r="D924" s="41" t="str">
        <f aca="false">IF(A924="","",IF($D$4=0,1,IFERROR(--INDEX('COOIS Raw'!$A:$GZ,ROW()-4,$D$4),1)))</f>
        <v/>
      </c>
      <c r="E924" s="42" t="str">
        <f aca="false">IF(A924="","",INDEX('COOIS Raw'!$A:$GZ,ROW()-4,$E$4)&amp;"")</f>
        <v/>
      </c>
      <c r="F924" s="43" t="str">
        <f aca="false">IF(A924="","",IFERROR(DATEVALUE(INDEX('COOIS Raw'!$A:$GZ,ROW()-4,$F$4)),INDEX('COOIS Raw'!$A:$GZ,ROW()-4,$F$4)))</f>
        <v/>
      </c>
      <c r="G924" s="41" t="str">
        <f aca="false">IF(A924="","",IF(ISNA(MATCH(B924,'Kitting Plan'!$B$6:$B$19,0)),"Not in plan","Yes"))</f>
        <v/>
      </c>
      <c r="H924" s="41" t="str">
        <f aca="false">IF(G924="Yes",INDEX('Kitting Plan'!$D$6:$D$19,MATCH(B924,'Kitting Plan'!$B$6:$B$19,0)),"")</f>
        <v/>
      </c>
      <c r="I924" s="41" t="str">
        <f aca="false">IF(A924="","",IF(ISNUMBER(SEARCH("PRT",E924)),D924,0))</f>
        <v/>
      </c>
      <c r="J924" s="41" t="str">
        <f aca="false">IF(A924="","",IF(ISNUMBER(SEARCH("GMPS",E924)),D924,0))</f>
        <v/>
      </c>
      <c r="K924" s="41" t="str">
        <f aca="false">IF(A924="","",IF(ISNUMBER(SEARCH("DLV",E924)),D924,0))</f>
        <v/>
      </c>
      <c r="L924" s="41" t="str">
        <f aca="false">IF(A924="","",IF(K924&gt;0,"Delivered",IF(ISNUMBER(SEARCH("CNF",E924)),"In production",IF(J924&gt;0,"Issued",IF(I924&gt;0,"Kitted","Released")))))</f>
        <v/>
      </c>
      <c r="M924" s="41" t="str">
        <f aca="false">IF(G924&lt;&gt;"Yes","",COUNTIFS($B$6:$B$1505,B924,$F$6:$F$1505,"&lt;"&amp;F924)+COUNTIFS($B$6:$B$1505,B924,$F$6:$F$1505,F924,$A$6:$A$1505,"&lt;="&amp;A924))</f>
        <v/>
      </c>
      <c r="N924" s="41" t="str">
        <f aca="false">IF(M924="","",ROUNDUP(M924/H924,0))</f>
        <v/>
      </c>
      <c r="O924" s="41" t="str">
        <f aca="false">IF(N924="","",IF(N924&lt;='Kitting Plan'!$C$3,"Rep "&amp;N924,"Surplus"))</f>
        <v/>
      </c>
    </row>
    <row r="925" customFormat="false" ht="15" hidden="false" customHeight="false" outlineLevel="0" collapsed="false">
      <c r="A925" s="40" t="str">
        <f aca="false">IF(OR($A$4=0,INDEX('COOIS Raw'!$A:$GZ,ROW()-4,$A$4)=""),"",IFERROR(--INDEX('COOIS Raw'!$A:$GZ,ROW()-4,$A$4),INDEX('COOIS Raw'!$A:$GZ,ROW()-4,$A$4)))</f>
        <v/>
      </c>
      <c r="B925" s="41" t="str">
        <f aca="false">IF(A925="","",TRIM(INDEX('COOIS Raw'!$A:$GZ,ROW()-4,$B$4)))</f>
        <v/>
      </c>
      <c r="C925" s="42" t="str">
        <f aca="false">IF(OR(A925="",$C$4=0),"",INDEX('COOIS Raw'!$A:$GZ,ROW()-4,$C$4))</f>
        <v/>
      </c>
      <c r="D925" s="41" t="str">
        <f aca="false">IF(A925="","",IF($D$4=0,1,IFERROR(--INDEX('COOIS Raw'!$A:$GZ,ROW()-4,$D$4),1)))</f>
        <v/>
      </c>
      <c r="E925" s="42" t="str">
        <f aca="false">IF(A925="","",INDEX('COOIS Raw'!$A:$GZ,ROW()-4,$E$4)&amp;"")</f>
        <v/>
      </c>
      <c r="F925" s="43" t="str">
        <f aca="false">IF(A925="","",IFERROR(DATEVALUE(INDEX('COOIS Raw'!$A:$GZ,ROW()-4,$F$4)),INDEX('COOIS Raw'!$A:$GZ,ROW()-4,$F$4)))</f>
        <v/>
      </c>
      <c r="G925" s="41" t="str">
        <f aca="false">IF(A925="","",IF(ISNA(MATCH(B925,'Kitting Plan'!$B$6:$B$19,0)),"Not in plan","Yes"))</f>
        <v/>
      </c>
      <c r="H925" s="41" t="str">
        <f aca="false">IF(G925="Yes",INDEX('Kitting Plan'!$D$6:$D$19,MATCH(B925,'Kitting Plan'!$B$6:$B$19,0)),"")</f>
        <v/>
      </c>
      <c r="I925" s="41" t="str">
        <f aca="false">IF(A925="","",IF(ISNUMBER(SEARCH("PRT",E925)),D925,0))</f>
        <v/>
      </c>
      <c r="J925" s="41" t="str">
        <f aca="false">IF(A925="","",IF(ISNUMBER(SEARCH("GMPS",E925)),D925,0))</f>
        <v/>
      </c>
      <c r="K925" s="41" t="str">
        <f aca="false">IF(A925="","",IF(ISNUMBER(SEARCH("DLV",E925)),D925,0))</f>
        <v/>
      </c>
      <c r="L925" s="41" t="str">
        <f aca="false">IF(A925="","",IF(K925&gt;0,"Delivered",IF(ISNUMBER(SEARCH("CNF",E925)),"In production",IF(J925&gt;0,"Issued",IF(I925&gt;0,"Kitted","Released")))))</f>
        <v/>
      </c>
      <c r="M925" s="41" t="str">
        <f aca="false">IF(G925&lt;&gt;"Yes","",COUNTIFS($B$6:$B$1505,B925,$F$6:$F$1505,"&lt;"&amp;F925)+COUNTIFS($B$6:$B$1505,B925,$F$6:$F$1505,F925,$A$6:$A$1505,"&lt;="&amp;A925))</f>
        <v/>
      </c>
      <c r="N925" s="41" t="str">
        <f aca="false">IF(M925="","",ROUNDUP(M925/H925,0))</f>
        <v/>
      </c>
      <c r="O925" s="41" t="str">
        <f aca="false">IF(N925="","",IF(N925&lt;='Kitting Plan'!$C$3,"Rep "&amp;N925,"Surplus"))</f>
        <v/>
      </c>
    </row>
    <row r="926" customFormat="false" ht="15" hidden="false" customHeight="false" outlineLevel="0" collapsed="false">
      <c r="A926" s="40" t="str">
        <f aca="false">IF(OR($A$4=0,INDEX('COOIS Raw'!$A:$GZ,ROW()-4,$A$4)=""),"",IFERROR(--INDEX('COOIS Raw'!$A:$GZ,ROW()-4,$A$4),INDEX('COOIS Raw'!$A:$GZ,ROW()-4,$A$4)))</f>
        <v/>
      </c>
      <c r="B926" s="41" t="str">
        <f aca="false">IF(A926="","",TRIM(INDEX('COOIS Raw'!$A:$GZ,ROW()-4,$B$4)))</f>
        <v/>
      </c>
      <c r="C926" s="42" t="str">
        <f aca="false">IF(OR(A926="",$C$4=0),"",INDEX('COOIS Raw'!$A:$GZ,ROW()-4,$C$4))</f>
        <v/>
      </c>
      <c r="D926" s="41" t="str">
        <f aca="false">IF(A926="","",IF($D$4=0,1,IFERROR(--INDEX('COOIS Raw'!$A:$GZ,ROW()-4,$D$4),1)))</f>
        <v/>
      </c>
      <c r="E926" s="42" t="str">
        <f aca="false">IF(A926="","",INDEX('COOIS Raw'!$A:$GZ,ROW()-4,$E$4)&amp;"")</f>
        <v/>
      </c>
      <c r="F926" s="43" t="str">
        <f aca="false">IF(A926="","",IFERROR(DATEVALUE(INDEX('COOIS Raw'!$A:$GZ,ROW()-4,$F$4)),INDEX('COOIS Raw'!$A:$GZ,ROW()-4,$F$4)))</f>
        <v/>
      </c>
      <c r="G926" s="41" t="str">
        <f aca="false">IF(A926="","",IF(ISNA(MATCH(B926,'Kitting Plan'!$B$6:$B$19,0)),"Not in plan","Yes"))</f>
        <v/>
      </c>
      <c r="H926" s="41" t="str">
        <f aca="false">IF(G926="Yes",INDEX('Kitting Plan'!$D$6:$D$19,MATCH(B926,'Kitting Plan'!$B$6:$B$19,0)),"")</f>
        <v/>
      </c>
      <c r="I926" s="41" t="str">
        <f aca="false">IF(A926="","",IF(ISNUMBER(SEARCH("PRT",E926)),D926,0))</f>
        <v/>
      </c>
      <c r="J926" s="41" t="str">
        <f aca="false">IF(A926="","",IF(ISNUMBER(SEARCH("GMPS",E926)),D926,0))</f>
        <v/>
      </c>
      <c r="K926" s="41" t="str">
        <f aca="false">IF(A926="","",IF(ISNUMBER(SEARCH("DLV",E926)),D926,0))</f>
        <v/>
      </c>
      <c r="L926" s="41" t="str">
        <f aca="false">IF(A926="","",IF(K926&gt;0,"Delivered",IF(ISNUMBER(SEARCH("CNF",E926)),"In production",IF(J926&gt;0,"Issued",IF(I926&gt;0,"Kitted","Released")))))</f>
        <v/>
      </c>
      <c r="M926" s="41" t="str">
        <f aca="false">IF(G926&lt;&gt;"Yes","",COUNTIFS($B$6:$B$1505,B926,$F$6:$F$1505,"&lt;"&amp;F926)+COUNTIFS($B$6:$B$1505,B926,$F$6:$F$1505,F926,$A$6:$A$1505,"&lt;="&amp;A926))</f>
        <v/>
      </c>
      <c r="N926" s="41" t="str">
        <f aca="false">IF(M926="","",ROUNDUP(M926/H926,0))</f>
        <v/>
      </c>
      <c r="O926" s="41" t="str">
        <f aca="false">IF(N926="","",IF(N926&lt;='Kitting Plan'!$C$3,"Rep "&amp;N926,"Surplus"))</f>
        <v/>
      </c>
    </row>
    <row r="927" customFormat="false" ht="15" hidden="false" customHeight="false" outlineLevel="0" collapsed="false">
      <c r="A927" s="40" t="str">
        <f aca="false">IF(OR($A$4=0,INDEX('COOIS Raw'!$A:$GZ,ROW()-4,$A$4)=""),"",IFERROR(--INDEX('COOIS Raw'!$A:$GZ,ROW()-4,$A$4),INDEX('COOIS Raw'!$A:$GZ,ROW()-4,$A$4)))</f>
        <v/>
      </c>
      <c r="B927" s="41" t="str">
        <f aca="false">IF(A927="","",TRIM(INDEX('COOIS Raw'!$A:$GZ,ROW()-4,$B$4)))</f>
        <v/>
      </c>
      <c r="C927" s="42" t="str">
        <f aca="false">IF(OR(A927="",$C$4=0),"",INDEX('COOIS Raw'!$A:$GZ,ROW()-4,$C$4))</f>
        <v/>
      </c>
      <c r="D927" s="41" t="str">
        <f aca="false">IF(A927="","",IF($D$4=0,1,IFERROR(--INDEX('COOIS Raw'!$A:$GZ,ROW()-4,$D$4),1)))</f>
        <v/>
      </c>
      <c r="E927" s="42" t="str">
        <f aca="false">IF(A927="","",INDEX('COOIS Raw'!$A:$GZ,ROW()-4,$E$4)&amp;"")</f>
        <v/>
      </c>
      <c r="F927" s="43" t="str">
        <f aca="false">IF(A927="","",IFERROR(DATEVALUE(INDEX('COOIS Raw'!$A:$GZ,ROW()-4,$F$4)),INDEX('COOIS Raw'!$A:$GZ,ROW()-4,$F$4)))</f>
        <v/>
      </c>
      <c r="G927" s="41" t="str">
        <f aca="false">IF(A927="","",IF(ISNA(MATCH(B927,'Kitting Plan'!$B$6:$B$19,0)),"Not in plan","Yes"))</f>
        <v/>
      </c>
      <c r="H927" s="41" t="str">
        <f aca="false">IF(G927="Yes",INDEX('Kitting Plan'!$D$6:$D$19,MATCH(B927,'Kitting Plan'!$B$6:$B$19,0)),"")</f>
        <v/>
      </c>
      <c r="I927" s="41" t="str">
        <f aca="false">IF(A927="","",IF(ISNUMBER(SEARCH("PRT",E927)),D927,0))</f>
        <v/>
      </c>
      <c r="J927" s="41" t="str">
        <f aca="false">IF(A927="","",IF(ISNUMBER(SEARCH("GMPS",E927)),D927,0))</f>
        <v/>
      </c>
      <c r="K927" s="41" t="str">
        <f aca="false">IF(A927="","",IF(ISNUMBER(SEARCH("DLV",E927)),D927,0))</f>
        <v/>
      </c>
      <c r="L927" s="41" t="str">
        <f aca="false">IF(A927="","",IF(K927&gt;0,"Delivered",IF(ISNUMBER(SEARCH("CNF",E927)),"In production",IF(J927&gt;0,"Issued",IF(I927&gt;0,"Kitted","Released")))))</f>
        <v/>
      </c>
      <c r="M927" s="41" t="str">
        <f aca="false">IF(G927&lt;&gt;"Yes","",COUNTIFS($B$6:$B$1505,B927,$F$6:$F$1505,"&lt;"&amp;F927)+COUNTIFS($B$6:$B$1505,B927,$F$6:$F$1505,F927,$A$6:$A$1505,"&lt;="&amp;A927))</f>
        <v/>
      </c>
      <c r="N927" s="41" t="str">
        <f aca="false">IF(M927="","",ROUNDUP(M927/H927,0))</f>
        <v/>
      </c>
      <c r="O927" s="41" t="str">
        <f aca="false">IF(N927="","",IF(N927&lt;='Kitting Plan'!$C$3,"Rep "&amp;N927,"Surplus"))</f>
        <v/>
      </c>
    </row>
    <row r="928" customFormat="false" ht="15" hidden="false" customHeight="false" outlineLevel="0" collapsed="false">
      <c r="A928" s="40" t="str">
        <f aca="false">IF(OR($A$4=0,INDEX('COOIS Raw'!$A:$GZ,ROW()-4,$A$4)=""),"",IFERROR(--INDEX('COOIS Raw'!$A:$GZ,ROW()-4,$A$4),INDEX('COOIS Raw'!$A:$GZ,ROW()-4,$A$4)))</f>
        <v/>
      </c>
      <c r="B928" s="41" t="str">
        <f aca="false">IF(A928="","",TRIM(INDEX('COOIS Raw'!$A:$GZ,ROW()-4,$B$4)))</f>
        <v/>
      </c>
      <c r="C928" s="42" t="str">
        <f aca="false">IF(OR(A928="",$C$4=0),"",INDEX('COOIS Raw'!$A:$GZ,ROW()-4,$C$4))</f>
        <v/>
      </c>
      <c r="D928" s="41" t="str">
        <f aca="false">IF(A928="","",IF($D$4=0,1,IFERROR(--INDEX('COOIS Raw'!$A:$GZ,ROW()-4,$D$4),1)))</f>
        <v/>
      </c>
      <c r="E928" s="42" t="str">
        <f aca="false">IF(A928="","",INDEX('COOIS Raw'!$A:$GZ,ROW()-4,$E$4)&amp;"")</f>
        <v/>
      </c>
      <c r="F928" s="43" t="str">
        <f aca="false">IF(A928="","",IFERROR(DATEVALUE(INDEX('COOIS Raw'!$A:$GZ,ROW()-4,$F$4)),INDEX('COOIS Raw'!$A:$GZ,ROW()-4,$F$4)))</f>
        <v/>
      </c>
      <c r="G928" s="41" t="str">
        <f aca="false">IF(A928="","",IF(ISNA(MATCH(B928,'Kitting Plan'!$B$6:$B$19,0)),"Not in plan","Yes"))</f>
        <v/>
      </c>
      <c r="H928" s="41" t="str">
        <f aca="false">IF(G928="Yes",INDEX('Kitting Plan'!$D$6:$D$19,MATCH(B928,'Kitting Plan'!$B$6:$B$19,0)),"")</f>
        <v/>
      </c>
      <c r="I928" s="41" t="str">
        <f aca="false">IF(A928="","",IF(ISNUMBER(SEARCH("PRT",E928)),D928,0))</f>
        <v/>
      </c>
      <c r="J928" s="41" t="str">
        <f aca="false">IF(A928="","",IF(ISNUMBER(SEARCH("GMPS",E928)),D928,0))</f>
        <v/>
      </c>
      <c r="K928" s="41" t="str">
        <f aca="false">IF(A928="","",IF(ISNUMBER(SEARCH("DLV",E928)),D928,0))</f>
        <v/>
      </c>
      <c r="L928" s="41" t="str">
        <f aca="false">IF(A928="","",IF(K928&gt;0,"Delivered",IF(ISNUMBER(SEARCH("CNF",E928)),"In production",IF(J928&gt;0,"Issued",IF(I928&gt;0,"Kitted","Released")))))</f>
        <v/>
      </c>
      <c r="M928" s="41" t="str">
        <f aca="false">IF(G928&lt;&gt;"Yes","",COUNTIFS($B$6:$B$1505,B928,$F$6:$F$1505,"&lt;"&amp;F928)+COUNTIFS($B$6:$B$1505,B928,$F$6:$F$1505,F928,$A$6:$A$1505,"&lt;="&amp;A928))</f>
        <v/>
      </c>
      <c r="N928" s="41" t="str">
        <f aca="false">IF(M928="","",ROUNDUP(M928/H928,0))</f>
        <v/>
      </c>
      <c r="O928" s="41" t="str">
        <f aca="false">IF(N928="","",IF(N928&lt;='Kitting Plan'!$C$3,"Rep "&amp;N928,"Surplus"))</f>
        <v/>
      </c>
    </row>
    <row r="929" customFormat="false" ht="15" hidden="false" customHeight="false" outlineLevel="0" collapsed="false">
      <c r="A929" s="40" t="str">
        <f aca="false">IF(OR($A$4=0,INDEX('COOIS Raw'!$A:$GZ,ROW()-4,$A$4)=""),"",IFERROR(--INDEX('COOIS Raw'!$A:$GZ,ROW()-4,$A$4),INDEX('COOIS Raw'!$A:$GZ,ROW()-4,$A$4)))</f>
        <v/>
      </c>
      <c r="B929" s="41" t="str">
        <f aca="false">IF(A929="","",TRIM(INDEX('COOIS Raw'!$A:$GZ,ROW()-4,$B$4)))</f>
        <v/>
      </c>
      <c r="C929" s="42" t="str">
        <f aca="false">IF(OR(A929="",$C$4=0),"",INDEX('COOIS Raw'!$A:$GZ,ROW()-4,$C$4))</f>
        <v/>
      </c>
      <c r="D929" s="41" t="str">
        <f aca="false">IF(A929="","",IF($D$4=0,1,IFERROR(--INDEX('COOIS Raw'!$A:$GZ,ROW()-4,$D$4),1)))</f>
        <v/>
      </c>
      <c r="E929" s="42" t="str">
        <f aca="false">IF(A929="","",INDEX('COOIS Raw'!$A:$GZ,ROW()-4,$E$4)&amp;"")</f>
        <v/>
      </c>
      <c r="F929" s="43" t="str">
        <f aca="false">IF(A929="","",IFERROR(DATEVALUE(INDEX('COOIS Raw'!$A:$GZ,ROW()-4,$F$4)),INDEX('COOIS Raw'!$A:$GZ,ROW()-4,$F$4)))</f>
        <v/>
      </c>
      <c r="G929" s="41" t="str">
        <f aca="false">IF(A929="","",IF(ISNA(MATCH(B929,'Kitting Plan'!$B$6:$B$19,0)),"Not in plan","Yes"))</f>
        <v/>
      </c>
      <c r="H929" s="41" t="str">
        <f aca="false">IF(G929="Yes",INDEX('Kitting Plan'!$D$6:$D$19,MATCH(B929,'Kitting Plan'!$B$6:$B$19,0)),"")</f>
        <v/>
      </c>
      <c r="I929" s="41" t="str">
        <f aca="false">IF(A929="","",IF(ISNUMBER(SEARCH("PRT",E929)),D929,0))</f>
        <v/>
      </c>
      <c r="J929" s="41" t="str">
        <f aca="false">IF(A929="","",IF(ISNUMBER(SEARCH("GMPS",E929)),D929,0))</f>
        <v/>
      </c>
      <c r="K929" s="41" t="str">
        <f aca="false">IF(A929="","",IF(ISNUMBER(SEARCH("DLV",E929)),D929,0))</f>
        <v/>
      </c>
      <c r="L929" s="41" t="str">
        <f aca="false">IF(A929="","",IF(K929&gt;0,"Delivered",IF(ISNUMBER(SEARCH("CNF",E929)),"In production",IF(J929&gt;0,"Issued",IF(I929&gt;0,"Kitted","Released")))))</f>
        <v/>
      </c>
      <c r="M929" s="41" t="str">
        <f aca="false">IF(G929&lt;&gt;"Yes","",COUNTIFS($B$6:$B$1505,B929,$F$6:$F$1505,"&lt;"&amp;F929)+COUNTIFS($B$6:$B$1505,B929,$F$6:$F$1505,F929,$A$6:$A$1505,"&lt;="&amp;A929))</f>
        <v/>
      </c>
      <c r="N929" s="41" t="str">
        <f aca="false">IF(M929="","",ROUNDUP(M929/H929,0))</f>
        <v/>
      </c>
      <c r="O929" s="41" t="str">
        <f aca="false">IF(N929="","",IF(N929&lt;='Kitting Plan'!$C$3,"Rep "&amp;N929,"Surplus"))</f>
        <v/>
      </c>
    </row>
    <row r="930" customFormat="false" ht="15" hidden="false" customHeight="false" outlineLevel="0" collapsed="false">
      <c r="A930" s="40" t="str">
        <f aca="false">IF(OR($A$4=0,INDEX('COOIS Raw'!$A:$GZ,ROW()-4,$A$4)=""),"",IFERROR(--INDEX('COOIS Raw'!$A:$GZ,ROW()-4,$A$4),INDEX('COOIS Raw'!$A:$GZ,ROW()-4,$A$4)))</f>
        <v/>
      </c>
      <c r="B930" s="41" t="str">
        <f aca="false">IF(A930="","",TRIM(INDEX('COOIS Raw'!$A:$GZ,ROW()-4,$B$4)))</f>
        <v/>
      </c>
      <c r="C930" s="42" t="str">
        <f aca="false">IF(OR(A930="",$C$4=0),"",INDEX('COOIS Raw'!$A:$GZ,ROW()-4,$C$4))</f>
        <v/>
      </c>
      <c r="D930" s="41" t="str">
        <f aca="false">IF(A930="","",IF($D$4=0,1,IFERROR(--INDEX('COOIS Raw'!$A:$GZ,ROW()-4,$D$4),1)))</f>
        <v/>
      </c>
      <c r="E930" s="42" t="str">
        <f aca="false">IF(A930="","",INDEX('COOIS Raw'!$A:$GZ,ROW()-4,$E$4)&amp;"")</f>
        <v/>
      </c>
      <c r="F930" s="43" t="str">
        <f aca="false">IF(A930="","",IFERROR(DATEVALUE(INDEX('COOIS Raw'!$A:$GZ,ROW()-4,$F$4)),INDEX('COOIS Raw'!$A:$GZ,ROW()-4,$F$4)))</f>
        <v/>
      </c>
      <c r="G930" s="41" t="str">
        <f aca="false">IF(A930="","",IF(ISNA(MATCH(B930,'Kitting Plan'!$B$6:$B$19,0)),"Not in plan","Yes"))</f>
        <v/>
      </c>
      <c r="H930" s="41" t="str">
        <f aca="false">IF(G930="Yes",INDEX('Kitting Plan'!$D$6:$D$19,MATCH(B930,'Kitting Plan'!$B$6:$B$19,0)),"")</f>
        <v/>
      </c>
      <c r="I930" s="41" t="str">
        <f aca="false">IF(A930="","",IF(ISNUMBER(SEARCH("PRT",E930)),D930,0))</f>
        <v/>
      </c>
      <c r="J930" s="41" t="str">
        <f aca="false">IF(A930="","",IF(ISNUMBER(SEARCH("GMPS",E930)),D930,0))</f>
        <v/>
      </c>
      <c r="K930" s="41" t="str">
        <f aca="false">IF(A930="","",IF(ISNUMBER(SEARCH("DLV",E930)),D930,0))</f>
        <v/>
      </c>
      <c r="L930" s="41" t="str">
        <f aca="false">IF(A930="","",IF(K930&gt;0,"Delivered",IF(ISNUMBER(SEARCH("CNF",E930)),"In production",IF(J930&gt;0,"Issued",IF(I930&gt;0,"Kitted","Released")))))</f>
        <v/>
      </c>
      <c r="M930" s="41" t="str">
        <f aca="false">IF(G930&lt;&gt;"Yes","",COUNTIFS($B$6:$B$1505,B930,$F$6:$F$1505,"&lt;"&amp;F930)+COUNTIFS($B$6:$B$1505,B930,$F$6:$F$1505,F930,$A$6:$A$1505,"&lt;="&amp;A930))</f>
        <v/>
      </c>
      <c r="N930" s="41" t="str">
        <f aca="false">IF(M930="","",ROUNDUP(M930/H930,0))</f>
        <v/>
      </c>
      <c r="O930" s="41" t="str">
        <f aca="false">IF(N930="","",IF(N930&lt;='Kitting Plan'!$C$3,"Rep "&amp;N930,"Surplus"))</f>
        <v/>
      </c>
    </row>
    <row r="931" customFormat="false" ht="15" hidden="false" customHeight="false" outlineLevel="0" collapsed="false">
      <c r="A931" s="40" t="str">
        <f aca="false">IF(OR($A$4=0,INDEX('COOIS Raw'!$A:$GZ,ROW()-4,$A$4)=""),"",IFERROR(--INDEX('COOIS Raw'!$A:$GZ,ROW()-4,$A$4),INDEX('COOIS Raw'!$A:$GZ,ROW()-4,$A$4)))</f>
        <v/>
      </c>
      <c r="B931" s="41" t="str">
        <f aca="false">IF(A931="","",TRIM(INDEX('COOIS Raw'!$A:$GZ,ROW()-4,$B$4)))</f>
        <v/>
      </c>
      <c r="C931" s="42" t="str">
        <f aca="false">IF(OR(A931="",$C$4=0),"",INDEX('COOIS Raw'!$A:$GZ,ROW()-4,$C$4))</f>
        <v/>
      </c>
      <c r="D931" s="41" t="str">
        <f aca="false">IF(A931="","",IF($D$4=0,1,IFERROR(--INDEX('COOIS Raw'!$A:$GZ,ROW()-4,$D$4),1)))</f>
        <v/>
      </c>
      <c r="E931" s="42" t="str">
        <f aca="false">IF(A931="","",INDEX('COOIS Raw'!$A:$GZ,ROW()-4,$E$4)&amp;"")</f>
        <v/>
      </c>
      <c r="F931" s="43" t="str">
        <f aca="false">IF(A931="","",IFERROR(DATEVALUE(INDEX('COOIS Raw'!$A:$GZ,ROW()-4,$F$4)),INDEX('COOIS Raw'!$A:$GZ,ROW()-4,$F$4)))</f>
        <v/>
      </c>
      <c r="G931" s="41" t="str">
        <f aca="false">IF(A931="","",IF(ISNA(MATCH(B931,'Kitting Plan'!$B$6:$B$19,0)),"Not in plan","Yes"))</f>
        <v/>
      </c>
      <c r="H931" s="41" t="str">
        <f aca="false">IF(G931="Yes",INDEX('Kitting Plan'!$D$6:$D$19,MATCH(B931,'Kitting Plan'!$B$6:$B$19,0)),"")</f>
        <v/>
      </c>
      <c r="I931" s="41" t="str">
        <f aca="false">IF(A931="","",IF(ISNUMBER(SEARCH("PRT",E931)),D931,0))</f>
        <v/>
      </c>
      <c r="J931" s="41" t="str">
        <f aca="false">IF(A931="","",IF(ISNUMBER(SEARCH("GMPS",E931)),D931,0))</f>
        <v/>
      </c>
      <c r="K931" s="41" t="str">
        <f aca="false">IF(A931="","",IF(ISNUMBER(SEARCH("DLV",E931)),D931,0))</f>
        <v/>
      </c>
      <c r="L931" s="41" t="str">
        <f aca="false">IF(A931="","",IF(K931&gt;0,"Delivered",IF(ISNUMBER(SEARCH("CNF",E931)),"In production",IF(J931&gt;0,"Issued",IF(I931&gt;0,"Kitted","Released")))))</f>
        <v/>
      </c>
      <c r="M931" s="41" t="str">
        <f aca="false">IF(G931&lt;&gt;"Yes","",COUNTIFS($B$6:$B$1505,B931,$F$6:$F$1505,"&lt;"&amp;F931)+COUNTIFS($B$6:$B$1505,B931,$F$6:$F$1505,F931,$A$6:$A$1505,"&lt;="&amp;A931))</f>
        <v/>
      </c>
      <c r="N931" s="41" t="str">
        <f aca="false">IF(M931="","",ROUNDUP(M931/H931,0))</f>
        <v/>
      </c>
      <c r="O931" s="41" t="str">
        <f aca="false">IF(N931="","",IF(N931&lt;='Kitting Plan'!$C$3,"Rep "&amp;N931,"Surplus"))</f>
        <v/>
      </c>
    </row>
    <row r="932" customFormat="false" ht="15" hidden="false" customHeight="false" outlineLevel="0" collapsed="false">
      <c r="A932" s="40" t="str">
        <f aca="false">IF(OR($A$4=0,INDEX('COOIS Raw'!$A:$GZ,ROW()-4,$A$4)=""),"",IFERROR(--INDEX('COOIS Raw'!$A:$GZ,ROW()-4,$A$4),INDEX('COOIS Raw'!$A:$GZ,ROW()-4,$A$4)))</f>
        <v/>
      </c>
      <c r="B932" s="41" t="str">
        <f aca="false">IF(A932="","",TRIM(INDEX('COOIS Raw'!$A:$GZ,ROW()-4,$B$4)))</f>
        <v/>
      </c>
      <c r="C932" s="42" t="str">
        <f aca="false">IF(OR(A932="",$C$4=0),"",INDEX('COOIS Raw'!$A:$GZ,ROW()-4,$C$4))</f>
        <v/>
      </c>
      <c r="D932" s="41" t="str">
        <f aca="false">IF(A932="","",IF($D$4=0,1,IFERROR(--INDEX('COOIS Raw'!$A:$GZ,ROW()-4,$D$4),1)))</f>
        <v/>
      </c>
      <c r="E932" s="42" t="str">
        <f aca="false">IF(A932="","",INDEX('COOIS Raw'!$A:$GZ,ROW()-4,$E$4)&amp;"")</f>
        <v/>
      </c>
      <c r="F932" s="43" t="str">
        <f aca="false">IF(A932="","",IFERROR(DATEVALUE(INDEX('COOIS Raw'!$A:$GZ,ROW()-4,$F$4)),INDEX('COOIS Raw'!$A:$GZ,ROW()-4,$F$4)))</f>
        <v/>
      </c>
      <c r="G932" s="41" t="str">
        <f aca="false">IF(A932="","",IF(ISNA(MATCH(B932,'Kitting Plan'!$B$6:$B$19,0)),"Not in plan","Yes"))</f>
        <v/>
      </c>
      <c r="H932" s="41" t="str">
        <f aca="false">IF(G932="Yes",INDEX('Kitting Plan'!$D$6:$D$19,MATCH(B932,'Kitting Plan'!$B$6:$B$19,0)),"")</f>
        <v/>
      </c>
      <c r="I932" s="41" t="str">
        <f aca="false">IF(A932="","",IF(ISNUMBER(SEARCH("PRT",E932)),D932,0))</f>
        <v/>
      </c>
      <c r="J932" s="41" t="str">
        <f aca="false">IF(A932="","",IF(ISNUMBER(SEARCH("GMPS",E932)),D932,0))</f>
        <v/>
      </c>
      <c r="K932" s="41" t="str">
        <f aca="false">IF(A932="","",IF(ISNUMBER(SEARCH("DLV",E932)),D932,0))</f>
        <v/>
      </c>
      <c r="L932" s="41" t="str">
        <f aca="false">IF(A932="","",IF(K932&gt;0,"Delivered",IF(ISNUMBER(SEARCH("CNF",E932)),"In production",IF(J932&gt;0,"Issued",IF(I932&gt;0,"Kitted","Released")))))</f>
        <v/>
      </c>
      <c r="M932" s="41" t="str">
        <f aca="false">IF(G932&lt;&gt;"Yes","",COUNTIFS($B$6:$B$1505,B932,$F$6:$F$1505,"&lt;"&amp;F932)+COUNTIFS($B$6:$B$1505,B932,$F$6:$F$1505,F932,$A$6:$A$1505,"&lt;="&amp;A932))</f>
        <v/>
      </c>
      <c r="N932" s="41" t="str">
        <f aca="false">IF(M932="","",ROUNDUP(M932/H932,0))</f>
        <v/>
      </c>
      <c r="O932" s="41" t="str">
        <f aca="false">IF(N932="","",IF(N932&lt;='Kitting Plan'!$C$3,"Rep "&amp;N932,"Surplus"))</f>
        <v/>
      </c>
    </row>
    <row r="933" customFormat="false" ht="15" hidden="false" customHeight="false" outlineLevel="0" collapsed="false">
      <c r="A933" s="40" t="str">
        <f aca="false">IF(OR($A$4=0,INDEX('COOIS Raw'!$A:$GZ,ROW()-4,$A$4)=""),"",IFERROR(--INDEX('COOIS Raw'!$A:$GZ,ROW()-4,$A$4),INDEX('COOIS Raw'!$A:$GZ,ROW()-4,$A$4)))</f>
        <v/>
      </c>
      <c r="B933" s="41" t="str">
        <f aca="false">IF(A933="","",TRIM(INDEX('COOIS Raw'!$A:$GZ,ROW()-4,$B$4)))</f>
        <v/>
      </c>
      <c r="C933" s="42" t="str">
        <f aca="false">IF(OR(A933="",$C$4=0),"",INDEX('COOIS Raw'!$A:$GZ,ROW()-4,$C$4))</f>
        <v/>
      </c>
      <c r="D933" s="41" t="str">
        <f aca="false">IF(A933="","",IF($D$4=0,1,IFERROR(--INDEX('COOIS Raw'!$A:$GZ,ROW()-4,$D$4),1)))</f>
        <v/>
      </c>
      <c r="E933" s="42" t="str">
        <f aca="false">IF(A933="","",INDEX('COOIS Raw'!$A:$GZ,ROW()-4,$E$4)&amp;"")</f>
        <v/>
      </c>
      <c r="F933" s="43" t="str">
        <f aca="false">IF(A933="","",IFERROR(DATEVALUE(INDEX('COOIS Raw'!$A:$GZ,ROW()-4,$F$4)),INDEX('COOIS Raw'!$A:$GZ,ROW()-4,$F$4)))</f>
        <v/>
      </c>
      <c r="G933" s="41" t="str">
        <f aca="false">IF(A933="","",IF(ISNA(MATCH(B933,'Kitting Plan'!$B$6:$B$19,0)),"Not in plan","Yes"))</f>
        <v/>
      </c>
      <c r="H933" s="41" t="str">
        <f aca="false">IF(G933="Yes",INDEX('Kitting Plan'!$D$6:$D$19,MATCH(B933,'Kitting Plan'!$B$6:$B$19,0)),"")</f>
        <v/>
      </c>
      <c r="I933" s="41" t="str">
        <f aca="false">IF(A933="","",IF(ISNUMBER(SEARCH("PRT",E933)),D933,0))</f>
        <v/>
      </c>
      <c r="J933" s="41" t="str">
        <f aca="false">IF(A933="","",IF(ISNUMBER(SEARCH("GMPS",E933)),D933,0))</f>
        <v/>
      </c>
      <c r="K933" s="41" t="str">
        <f aca="false">IF(A933="","",IF(ISNUMBER(SEARCH("DLV",E933)),D933,0))</f>
        <v/>
      </c>
      <c r="L933" s="41" t="str">
        <f aca="false">IF(A933="","",IF(K933&gt;0,"Delivered",IF(ISNUMBER(SEARCH("CNF",E933)),"In production",IF(J933&gt;0,"Issued",IF(I933&gt;0,"Kitted","Released")))))</f>
        <v/>
      </c>
      <c r="M933" s="41" t="str">
        <f aca="false">IF(G933&lt;&gt;"Yes","",COUNTIFS($B$6:$B$1505,B933,$F$6:$F$1505,"&lt;"&amp;F933)+COUNTIFS($B$6:$B$1505,B933,$F$6:$F$1505,F933,$A$6:$A$1505,"&lt;="&amp;A933))</f>
        <v/>
      </c>
      <c r="N933" s="41" t="str">
        <f aca="false">IF(M933="","",ROUNDUP(M933/H933,0))</f>
        <v/>
      </c>
      <c r="O933" s="41" t="str">
        <f aca="false">IF(N933="","",IF(N933&lt;='Kitting Plan'!$C$3,"Rep "&amp;N933,"Surplus"))</f>
        <v/>
      </c>
    </row>
    <row r="934" customFormat="false" ht="15" hidden="false" customHeight="false" outlineLevel="0" collapsed="false">
      <c r="A934" s="40" t="str">
        <f aca="false">IF(OR($A$4=0,INDEX('COOIS Raw'!$A:$GZ,ROW()-4,$A$4)=""),"",IFERROR(--INDEX('COOIS Raw'!$A:$GZ,ROW()-4,$A$4),INDEX('COOIS Raw'!$A:$GZ,ROW()-4,$A$4)))</f>
        <v/>
      </c>
      <c r="B934" s="41" t="str">
        <f aca="false">IF(A934="","",TRIM(INDEX('COOIS Raw'!$A:$GZ,ROW()-4,$B$4)))</f>
        <v/>
      </c>
      <c r="C934" s="42" t="str">
        <f aca="false">IF(OR(A934="",$C$4=0),"",INDEX('COOIS Raw'!$A:$GZ,ROW()-4,$C$4))</f>
        <v/>
      </c>
      <c r="D934" s="41" t="str">
        <f aca="false">IF(A934="","",IF($D$4=0,1,IFERROR(--INDEX('COOIS Raw'!$A:$GZ,ROW()-4,$D$4),1)))</f>
        <v/>
      </c>
      <c r="E934" s="42" t="str">
        <f aca="false">IF(A934="","",INDEX('COOIS Raw'!$A:$GZ,ROW()-4,$E$4)&amp;"")</f>
        <v/>
      </c>
      <c r="F934" s="43" t="str">
        <f aca="false">IF(A934="","",IFERROR(DATEVALUE(INDEX('COOIS Raw'!$A:$GZ,ROW()-4,$F$4)),INDEX('COOIS Raw'!$A:$GZ,ROW()-4,$F$4)))</f>
        <v/>
      </c>
      <c r="G934" s="41" t="str">
        <f aca="false">IF(A934="","",IF(ISNA(MATCH(B934,'Kitting Plan'!$B$6:$B$19,0)),"Not in plan","Yes"))</f>
        <v/>
      </c>
      <c r="H934" s="41" t="str">
        <f aca="false">IF(G934="Yes",INDEX('Kitting Plan'!$D$6:$D$19,MATCH(B934,'Kitting Plan'!$B$6:$B$19,0)),"")</f>
        <v/>
      </c>
      <c r="I934" s="41" t="str">
        <f aca="false">IF(A934="","",IF(ISNUMBER(SEARCH("PRT",E934)),D934,0))</f>
        <v/>
      </c>
      <c r="J934" s="41" t="str">
        <f aca="false">IF(A934="","",IF(ISNUMBER(SEARCH("GMPS",E934)),D934,0))</f>
        <v/>
      </c>
      <c r="K934" s="41" t="str">
        <f aca="false">IF(A934="","",IF(ISNUMBER(SEARCH("DLV",E934)),D934,0))</f>
        <v/>
      </c>
      <c r="L934" s="41" t="str">
        <f aca="false">IF(A934="","",IF(K934&gt;0,"Delivered",IF(ISNUMBER(SEARCH("CNF",E934)),"In production",IF(J934&gt;0,"Issued",IF(I934&gt;0,"Kitted","Released")))))</f>
        <v/>
      </c>
      <c r="M934" s="41" t="str">
        <f aca="false">IF(G934&lt;&gt;"Yes","",COUNTIFS($B$6:$B$1505,B934,$F$6:$F$1505,"&lt;"&amp;F934)+COUNTIFS($B$6:$B$1505,B934,$F$6:$F$1505,F934,$A$6:$A$1505,"&lt;="&amp;A934))</f>
        <v/>
      </c>
      <c r="N934" s="41" t="str">
        <f aca="false">IF(M934="","",ROUNDUP(M934/H934,0))</f>
        <v/>
      </c>
      <c r="O934" s="41" t="str">
        <f aca="false">IF(N934="","",IF(N934&lt;='Kitting Plan'!$C$3,"Rep "&amp;N934,"Surplus"))</f>
        <v/>
      </c>
    </row>
    <row r="935" customFormat="false" ht="15" hidden="false" customHeight="false" outlineLevel="0" collapsed="false">
      <c r="A935" s="40" t="str">
        <f aca="false">IF(OR($A$4=0,INDEX('COOIS Raw'!$A:$GZ,ROW()-4,$A$4)=""),"",IFERROR(--INDEX('COOIS Raw'!$A:$GZ,ROW()-4,$A$4),INDEX('COOIS Raw'!$A:$GZ,ROW()-4,$A$4)))</f>
        <v/>
      </c>
      <c r="B935" s="41" t="str">
        <f aca="false">IF(A935="","",TRIM(INDEX('COOIS Raw'!$A:$GZ,ROW()-4,$B$4)))</f>
        <v/>
      </c>
      <c r="C935" s="42" t="str">
        <f aca="false">IF(OR(A935="",$C$4=0),"",INDEX('COOIS Raw'!$A:$GZ,ROW()-4,$C$4))</f>
        <v/>
      </c>
      <c r="D935" s="41" t="str">
        <f aca="false">IF(A935="","",IF($D$4=0,1,IFERROR(--INDEX('COOIS Raw'!$A:$GZ,ROW()-4,$D$4),1)))</f>
        <v/>
      </c>
      <c r="E935" s="42" t="str">
        <f aca="false">IF(A935="","",INDEX('COOIS Raw'!$A:$GZ,ROW()-4,$E$4)&amp;"")</f>
        <v/>
      </c>
      <c r="F935" s="43" t="str">
        <f aca="false">IF(A935="","",IFERROR(DATEVALUE(INDEX('COOIS Raw'!$A:$GZ,ROW()-4,$F$4)),INDEX('COOIS Raw'!$A:$GZ,ROW()-4,$F$4)))</f>
        <v/>
      </c>
      <c r="G935" s="41" t="str">
        <f aca="false">IF(A935="","",IF(ISNA(MATCH(B935,'Kitting Plan'!$B$6:$B$19,0)),"Not in plan","Yes"))</f>
        <v/>
      </c>
      <c r="H935" s="41" t="str">
        <f aca="false">IF(G935="Yes",INDEX('Kitting Plan'!$D$6:$D$19,MATCH(B935,'Kitting Plan'!$B$6:$B$19,0)),"")</f>
        <v/>
      </c>
      <c r="I935" s="41" t="str">
        <f aca="false">IF(A935="","",IF(ISNUMBER(SEARCH("PRT",E935)),D935,0))</f>
        <v/>
      </c>
      <c r="J935" s="41" t="str">
        <f aca="false">IF(A935="","",IF(ISNUMBER(SEARCH("GMPS",E935)),D935,0))</f>
        <v/>
      </c>
      <c r="K935" s="41" t="str">
        <f aca="false">IF(A935="","",IF(ISNUMBER(SEARCH("DLV",E935)),D935,0))</f>
        <v/>
      </c>
      <c r="L935" s="41" t="str">
        <f aca="false">IF(A935="","",IF(K935&gt;0,"Delivered",IF(ISNUMBER(SEARCH("CNF",E935)),"In production",IF(J935&gt;0,"Issued",IF(I935&gt;0,"Kitted","Released")))))</f>
        <v/>
      </c>
      <c r="M935" s="41" t="str">
        <f aca="false">IF(G935&lt;&gt;"Yes","",COUNTIFS($B$6:$B$1505,B935,$F$6:$F$1505,"&lt;"&amp;F935)+COUNTIFS($B$6:$B$1505,B935,$F$6:$F$1505,F935,$A$6:$A$1505,"&lt;="&amp;A935))</f>
        <v/>
      </c>
      <c r="N935" s="41" t="str">
        <f aca="false">IF(M935="","",ROUNDUP(M935/H935,0))</f>
        <v/>
      </c>
      <c r="O935" s="41" t="str">
        <f aca="false">IF(N935="","",IF(N935&lt;='Kitting Plan'!$C$3,"Rep "&amp;N935,"Surplus"))</f>
        <v/>
      </c>
    </row>
    <row r="936" customFormat="false" ht="15" hidden="false" customHeight="false" outlineLevel="0" collapsed="false">
      <c r="A936" s="40" t="str">
        <f aca="false">IF(OR($A$4=0,INDEX('COOIS Raw'!$A:$GZ,ROW()-4,$A$4)=""),"",IFERROR(--INDEX('COOIS Raw'!$A:$GZ,ROW()-4,$A$4),INDEX('COOIS Raw'!$A:$GZ,ROW()-4,$A$4)))</f>
        <v/>
      </c>
      <c r="B936" s="41" t="str">
        <f aca="false">IF(A936="","",TRIM(INDEX('COOIS Raw'!$A:$GZ,ROW()-4,$B$4)))</f>
        <v/>
      </c>
      <c r="C936" s="42" t="str">
        <f aca="false">IF(OR(A936="",$C$4=0),"",INDEX('COOIS Raw'!$A:$GZ,ROW()-4,$C$4))</f>
        <v/>
      </c>
      <c r="D936" s="41" t="str">
        <f aca="false">IF(A936="","",IF($D$4=0,1,IFERROR(--INDEX('COOIS Raw'!$A:$GZ,ROW()-4,$D$4),1)))</f>
        <v/>
      </c>
      <c r="E936" s="42" t="str">
        <f aca="false">IF(A936="","",INDEX('COOIS Raw'!$A:$GZ,ROW()-4,$E$4)&amp;"")</f>
        <v/>
      </c>
      <c r="F936" s="43" t="str">
        <f aca="false">IF(A936="","",IFERROR(DATEVALUE(INDEX('COOIS Raw'!$A:$GZ,ROW()-4,$F$4)),INDEX('COOIS Raw'!$A:$GZ,ROW()-4,$F$4)))</f>
        <v/>
      </c>
      <c r="G936" s="41" t="str">
        <f aca="false">IF(A936="","",IF(ISNA(MATCH(B936,'Kitting Plan'!$B$6:$B$19,0)),"Not in plan","Yes"))</f>
        <v/>
      </c>
      <c r="H936" s="41" t="str">
        <f aca="false">IF(G936="Yes",INDEX('Kitting Plan'!$D$6:$D$19,MATCH(B936,'Kitting Plan'!$B$6:$B$19,0)),"")</f>
        <v/>
      </c>
      <c r="I936" s="41" t="str">
        <f aca="false">IF(A936="","",IF(ISNUMBER(SEARCH("PRT",E936)),D936,0))</f>
        <v/>
      </c>
      <c r="J936" s="41" t="str">
        <f aca="false">IF(A936="","",IF(ISNUMBER(SEARCH("GMPS",E936)),D936,0))</f>
        <v/>
      </c>
      <c r="K936" s="41" t="str">
        <f aca="false">IF(A936="","",IF(ISNUMBER(SEARCH("DLV",E936)),D936,0))</f>
        <v/>
      </c>
      <c r="L936" s="41" t="str">
        <f aca="false">IF(A936="","",IF(K936&gt;0,"Delivered",IF(ISNUMBER(SEARCH("CNF",E936)),"In production",IF(J936&gt;0,"Issued",IF(I936&gt;0,"Kitted","Released")))))</f>
        <v/>
      </c>
      <c r="M936" s="41" t="str">
        <f aca="false">IF(G936&lt;&gt;"Yes","",COUNTIFS($B$6:$B$1505,B936,$F$6:$F$1505,"&lt;"&amp;F936)+COUNTIFS($B$6:$B$1505,B936,$F$6:$F$1505,F936,$A$6:$A$1505,"&lt;="&amp;A936))</f>
        <v/>
      </c>
      <c r="N936" s="41" t="str">
        <f aca="false">IF(M936="","",ROUNDUP(M936/H936,0))</f>
        <v/>
      </c>
      <c r="O936" s="41" t="str">
        <f aca="false">IF(N936="","",IF(N936&lt;='Kitting Plan'!$C$3,"Rep "&amp;N936,"Surplus"))</f>
        <v/>
      </c>
    </row>
    <row r="937" customFormat="false" ht="15" hidden="false" customHeight="false" outlineLevel="0" collapsed="false">
      <c r="A937" s="40" t="str">
        <f aca="false">IF(OR($A$4=0,INDEX('COOIS Raw'!$A:$GZ,ROW()-4,$A$4)=""),"",IFERROR(--INDEX('COOIS Raw'!$A:$GZ,ROW()-4,$A$4),INDEX('COOIS Raw'!$A:$GZ,ROW()-4,$A$4)))</f>
        <v/>
      </c>
      <c r="B937" s="41" t="str">
        <f aca="false">IF(A937="","",TRIM(INDEX('COOIS Raw'!$A:$GZ,ROW()-4,$B$4)))</f>
        <v/>
      </c>
      <c r="C937" s="42" t="str">
        <f aca="false">IF(OR(A937="",$C$4=0),"",INDEX('COOIS Raw'!$A:$GZ,ROW()-4,$C$4))</f>
        <v/>
      </c>
      <c r="D937" s="41" t="str">
        <f aca="false">IF(A937="","",IF($D$4=0,1,IFERROR(--INDEX('COOIS Raw'!$A:$GZ,ROW()-4,$D$4),1)))</f>
        <v/>
      </c>
      <c r="E937" s="42" t="str">
        <f aca="false">IF(A937="","",INDEX('COOIS Raw'!$A:$GZ,ROW()-4,$E$4)&amp;"")</f>
        <v/>
      </c>
      <c r="F937" s="43" t="str">
        <f aca="false">IF(A937="","",IFERROR(DATEVALUE(INDEX('COOIS Raw'!$A:$GZ,ROW()-4,$F$4)),INDEX('COOIS Raw'!$A:$GZ,ROW()-4,$F$4)))</f>
        <v/>
      </c>
      <c r="G937" s="41" t="str">
        <f aca="false">IF(A937="","",IF(ISNA(MATCH(B937,'Kitting Plan'!$B$6:$B$19,0)),"Not in plan","Yes"))</f>
        <v/>
      </c>
      <c r="H937" s="41" t="str">
        <f aca="false">IF(G937="Yes",INDEX('Kitting Plan'!$D$6:$D$19,MATCH(B937,'Kitting Plan'!$B$6:$B$19,0)),"")</f>
        <v/>
      </c>
      <c r="I937" s="41" t="str">
        <f aca="false">IF(A937="","",IF(ISNUMBER(SEARCH("PRT",E937)),D937,0))</f>
        <v/>
      </c>
      <c r="J937" s="41" t="str">
        <f aca="false">IF(A937="","",IF(ISNUMBER(SEARCH("GMPS",E937)),D937,0))</f>
        <v/>
      </c>
      <c r="K937" s="41" t="str">
        <f aca="false">IF(A937="","",IF(ISNUMBER(SEARCH("DLV",E937)),D937,0))</f>
        <v/>
      </c>
      <c r="L937" s="41" t="str">
        <f aca="false">IF(A937="","",IF(K937&gt;0,"Delivered",IF(ISNUMBER(SEARCH("CNF",E937)),"In production",IF(J937&gt;0,"Issued",IF(I937&gt;0,"Kitted","Released")))))</f>
        <v/>
      </c>
      <c r="M937" s="41" t="str">
        <f aca="false">IF(G937&lt;&gt;"Yes","",COUNTIFS($B$6:$B$1505,B937,$F$6:$F$1505,"&lt;"&amp;F937)+COUNTIFS($B$6:$B$1505,B937,$F$6:$F$1505,F937,$A$6:$A$1505,"&lt;="&amp;A937))</f>
        <v/>
      </c>
      <c r="N937" s="41" t="str">
        <f aca="false">IF(M937="","",ROUNDUP(M937/H937,0))</f>
        <v/>
      </c>
      <c r="O937" s="41" t="str">
        <f aca="false">IF(N937="","",IF(N937&lt;='Kitting Plan'!$C$3,"Rep "&amp;N937,"Surplus"))</f>
        <v/>
      </c>
    </row>
    <row r="938" customFormat="false" ht="15" hidden="false" customHeight="false" outlineLevel="0" collapsed="false">
      <c r="A938" s="40" t="str">
        <f aca="false">IF(OR($A$4=0,INDEX('COOIS Raw'!$A:$GZ,ROW()-4,$A$4)=""),"",IFERROR(--INDEX('COOIS Raw'!$A:$GZ,ROW()-4,$A$4),INDEX('COOIS Raw'!$A:$GZ,ROW()-4,$A$4)))</f>
        <v/>
      </c>
      <c r="B938" s="41" t="str">
        <f aca="false">IF(A938="","",TRIM(INDEX('COOIS Raw'!$A:$GZ,ROW()-4,$B$4)))</f>
        <v/>
      </c>
      <c r="C938" s="42" t="str">
        <f aca="false">IF(OR(A938="",$C$4=0),"",INDEX('COOIS Raw'!$A:$GZ,ROW()-4,$C$4))</f>
        <v/>
      </c>
      <c r="D938" s="41" t="str">
        <f aca="false">IF(A938="","",IF($D$4=0,1,IFERROR(--INDEX('COOIS Raw'!$A:$GZ,ROW()-4,$D$4),1)))</f>
        <v/>
      </c>
      <c r="E938" s="42" t="str">
        <f aca="false">IF(A938="","",INDEX('COOIS Raw'!$A:$GZ,ROW()-4,$E$4)&amp;"")</f>
        <v/>
      </c>
      <c r="F938" s="43" t="str">
        <f aca="false">IF(A938="","",IFERROR(DATEVALUE(INDEX('COOIS Raw'!$A:$GZ,ROW()-4,$F$4)),INDEX('COOIS Raw'!$A:$GZ,ROW()-4,$F$4)))</f>
        <v/>
      </c>
      <c r="G938" s="41" t="str">
        <f aca="false">IF(A938="","",IF(ISNA(MATCH(B938,'Kitting Plan'!$B$6:$B$19,0)),"Not in plan","Yes"))</f>
        <v/>
      </c>
      <c r="H938" s="41" t="str">
        <f aca="false">IF(G938="Yes",INDEX('Kitting Plan'!$D$6:$D$19,MATCH(B938,'Kitting Plan'!$B$6:$B$19,0)),"")</f>
        <v/>
      </c>
      <c r="I938" s="41" t="str">
        <f aca="false">IF(A938="","",IF(ISNUMBER(SEARCH("PRT",E938)),D938,0))</f>
        <v/>
      </c>
      <c r="J938" s="41" t="str">
        <f aca="false">IF(A938="","",IF(ISNUMBER(SEARCH("GMPS",E938)),D938,0))</f>
        <v/>
      </c>
      <c r="K938" s="41" t="str">
        <f aca="false">IF(A938="","",IF(ISNUMBER(SEARCH("DLV",E938)),D938,0))</f>
        <v/>
      </c>
      <c r="L938" s="41" t="str">
        <f aca="false">IF(A938="","",IF(K938&gt;0,"Delivered",IF(ISNUMBER(SEARCH("CNF",E938)),"In production",IF(J938&gt;0,"Issued",IF(I938&gt;0,"Kitted","Released")))))</f>
        <v/>
      </c>
      <c r="M938" s="41" t="str">
        <f aca="false">IF(G938&lt;&gt;"Yes","",COUNTIFS($B$6:$B$1505,B938,$F$6:$F$1505,"&lt;"&amp;F938)+COUNTIFS($B$6:$B$1505,B938,$F$6:$F$1505,F938,$A$6:$A$1505,"&lt;="&amp;A938))</f>
        <v/>
      </c>
      <c r="N938" s="41" t="str">
        <f aca="false">IF(M938="","",ROUNDUP(M938/H938,0))</f>
        <v/>
      </c>
      <c r="O938" s="41" t="str">
        <f aca="false">IF(N938="","",IF(N938&lt;='Kitting Plan'!$C$3,"Rep "&amp;N938,"Surplus"))</f>
        <v/>
      </c>
    </row>
    <row r="939" customFormat="false" ht="15" hidden="false" customHeight="false" outlineLevel="0" collapsed="false">
      <c r="A939" s="40" t="str">
        <f aca="false">IF(OR($A$4=0,INDEX('COOIS Raw'!$A:$GZ,ROW()-4,$A$4)=""),"",IFERROR(--INDEX('COOIS Raw'!$A:$GZ,ROW()-4,$A$4),INDEX('COOIS Raw'!$A:$GZ,ROW()-4,$A$4)))</f>
        <v/>
      </c>
      <c r="B939" s="41" t="str">
        <f aca="false">IF(A939="","",TRIM(INDEX('COOIS Raw'!$A:$GZ,ROW()-4,$B$4)))</f>
        <v/>
      </c>
      <c r="C939" s="42" t="str">
        <f aca="false">IF(OR(A939="",$C$4=0),"",INDEX('COOIS Raw'!$A:$GZ,ROW()-4,$C$4))</f>
        <v/>
      </c>
      <c r="D939" s="41" t="str">
        <f aca="false">IF(A939="","",IF($D$4=0,1,IFERROR(--INDEX('COOIS Raw'!$A:$GZ,ROW()-4,$D$4),1)))</f>
        <v/>
      </c>
      <c r="E939" s="42" t="str">
        <f aca="false">IF(A939="","",INDEX('COOIS Raw'!$A:$GZ,ROW()-4,$E$4)&amp;"")</f>
        <v/>
      </c>
      <c r="F939" s="43" t="str">
        <f aca="false">IF(A939="","",IFERROR(DATEVALUE(INDEX('COOIS Raw'!$A:$GZ,ROW()-4,$F$4)),INDEX('COOIS Raw'!$A:$GZ,ROW()-4,$F$4)))</f>
        <v/>
      </c>
      <c r="G939" s="41" t="str">
        <f aca="false">IF(A939="","",IF(ISNA(MATCH(B939,'Kitting Plan'!$B$6:$B$19,0)),"Not in plan","Yes"))</f>
        <v/>
      </c>
      <c r="H939" s="41" t="str">
        <f aca="false">IF(G939="Yes",INDEX('Kitting Plan'!$D$6:$D$19,MATCH(B939,'Kitting Plan'!$B$6:$B$19,0)),"")</f>
        <v/>
      </c>
      <c r="I939" s="41" t="str">
        <f aca="false">IF(A939="","",IF(ISNUMBER(SEARCH("PRT",E939)),D939,0))</f>
        <v/>
      </c>
      <c r="J939" s="41" t="str">
        <f aca="false">IF(A939="","",IF(ISNUMBER(SEARCH("GMPS",E939)),D939,0))</f>
        <v/>
      </c>
      <c r="K939" s="41" t="str">
        <f aca="false">IF(A939="","",IF(ISNUMBER(SEARCH("DLV",E939)),D939,0))</f>
        <v/>
      </c>
      <c r="L939" s="41" t="str">
        <f aca="false">IF(A939="","",IF(K939&gt;0,"Delivered",IF(ISNUMBER(SEARCH("CNF",E939)),"In production",IF(J939&gt;0,"Issued",IF(I939&gt;0,"Kitted","Released")))))</f>
        <v/>
      </c>
      <c r="M939" s="41" t="str">
        <f aca="false">IF(G939&lt;&gt;"Yes","",COUNTIFS($B$6:$B$1505,B939,$F$6:$F$1505,"&lt;"&amp;F939)+COUNTIFS($B$6:$B$1505,B939,$F$6:$F$1505,F939,$A$6:$A$1505,"&lt;="&amp;A939))</f>
        <v/>
      </c>
      <c r="N939" s="41" t="str">
        <f aca="false">IF(M939="","",ROUNDUP(M939/H939,0))</f>
        <v/>
      </c>
      <c r="O939" s="41" t="str">
        <f aca="false">IF(N939="","",IF(N939&lt;='Kitting Plan'!$C$3,"Rep "&amp;N939,"Surplus"))</f>
        <v/>
      </c>
    </row>
    <row r="940" customFormat="false" ht="15" hidden="false" customHeight="false" outlineLevel="0" collapsed="false">
      <c r="A940" s="40" t="str">
        <f aca="false">IF(OR($A$4=0,INDEX('COOIS Raw'!$A:$GZ,ROW()-4,$A$4)=""),"",IFERROR(--INDEX('COOIS Raw'!$A:$GZ,ROW()-4,$A$4),INDEX('COOIS Raw'!$A:$GZ,ROW()-4,$A$4)))</f>
        <v/>
      </c>
      <c r="B940" s="41" t="str">
        <f aca="false">IF(A940="","",TRIM(INDEX('COOIS Raw'!$A:$GZ,ROW()-4,$B$4)))</f>
        <v/>
      </c>
      <c r="C940" s="42" t="str">
        <f aca="false">IF(OR(A940="",$C$4=0),"",INDEX('COOIS Raw'!$A:$GZ,ROW()-4,$C$4))</f>
        <v/>
      </c>
      <c r="D940" s="41" t="str">
        <f aca="false">IF(A940="","",IF($D$4=0,1,IFERROR(--INDEX('COOIS Raw'!$A:$GZ,ROW()-4,$D$4),1)))</f>
        <v/>
      </c>
      <c r="E940" s="42" t="str">
        <f aca="false">IF(A940="","",INDEX('COOIS Raw'!$A:$GZ,ROW()-4,$E$4)&amp;"")</f>
        <v/>
      </c>
      <c r="F940" s="43" t="str">
        <f aca="false">IF(A940="","",IFERROR(DATEVALUE(INDEX('COOIS Raw'!$A:$GZ,ROW()-4,$F$4)),INDEX('COOIS Raw'!$A:$GZ,ROW()-4,$F$4)))</f>
        <v/>
      </c>
      <c r="G940" s="41" t="str">
        <f aca="false">IF(A940="","",IF(ISNA(MATCH(B940,'Kitting Plan'!$B$6:$B$19,0)),"Not in plan","Yes"))</f>
        <v/>
      </c>
      <c r="H940" s="41" t="str">
        <f aca="false">IF(G940="Yes",INDEX('Kitting Plan'!$D$6:$D$19,MATCH(B940,'Kitting Plan'!$B$6:$B$19,0)),"")</f>
        <v/>
      </c>
      <c r="I940" s="41" t="str">
        <f aca="false">IF(A940="","",IF(ISNUMBER(SEARCH("PRT",E940)),D940,0))</f>
        <v/>
      </c>
      <c r="J940" s="41" t="str">
        <f aca="false">IF(A940="","",IF(ISNUMBER(SEARCH("GMPS",E940)),D940,0))</f>
        <v/>
      </c>
      <c r="K940" s="41" t="str">
        <f aca="false">IF(A940="","",IF(ISNUMBER(SEARCH("DLV",E940)),D940,0))</f>
        <v/>
      </c>
      <c r="L940" s="41" t="str">
        <f aca="false">IF(A940="","",IF(K940&gt;0,"Delivered",IF(ISNUMBER(SEARCH("CNF",E940)),"In production",IF(J940&gt;0,"Issued",IF(I940&gt;0,"Kitted","Released")))))</f>
        <v/>
      </c>
      <c r="M940" s="41" t="str">
        <f aca="false">IF(G940&lt;&gt;"Yes","",COUNTIFS($B$6:$B$1505,B940,$F$6:$F$1505,"&lt;"&amp;F940)+COUNTIFS($B$6:$B$1505,B940,$F$6:$F$1505,F940,$A$6:$A$1505,"&lt;="&amp;A940))</f>
        <v/>
      </c>
      <c r="N940" s="41" t="str">
        <f aca="false">IF(M940="","",ROUNDUP(M940/H940,0))</f>
        <v/>
      </c>
      <c r="O940" s="41" t="str">
        <f aca="false">IF(N940="","",IF(N940&lt;='Kitting Plan'!$C$3,"Rep "&amp;N940,"Surplus"))</f>
        <v/>
      </c>
    </row>
    <row r="941" customFormat="false" ht="15" hidden="false" customHeight="false" outlineLevel="0" collapsed="false">
      <c r="A941" s="40" t="str">
        <f aca="false">IF(OR($A$4=0,INDEX('COOIS Raw'!$A:$GZ,ROW()-4,$A$4)=""),"",IFERROR(--INDEX('COOIS Raw'!$A:$GZ,ROW()-4,$A$4),INDEX('COOIS Raw'!$A:$GZ,ROW()-4,$A$4)))</f>
        <v/>
      </c>
      <c r="B941" s="41" t="str">
        <f aca="false">IF(A941="","",TRIM(INDEX('COOIS Raw'!$A:$GZ,ROW()-4,$B$4)))</f>
        <v/>
      </c>
      <c r="C941" s="42" t="str">
        <f aca="false">IF(OR(A941="",$C$4=0),"",INDEX('COOIS Raw'!$A:$GZ,ROW()-4,$C$4))</f>
        <v/>
      </c>
      <c r="D941" s="41" t="str">
        <f aca="false">IF(A941="","",IF($D$4=0,1,IFERROR(--INDEX('COOIS Raw'!$A:$GZ,ROW()-4,$D$4),1)))</f>
        <v/>
      </c>
      <c r="E941" s="42" t="str">
        <f aca="false">IF(A941="","",INDEX('COOIS Raw'!$A:$GZ,ROW()-4,$E$4)&amp;"")</f>
        <v/>
      </c>
      <c r="F941" s="43" t="str">
        <f aca="false">IF(A941="","",IFERROR(DATEVALUE(INDEX('COOIS Raw'!$A:$GZ,ROW()-4,$F$4)),INDEX('COOIS Raw'!$A:$GZ,ROW()-4,$F$4)))</f>
        <v/>
      </c>
      <c r="G941" s="41" t="str">
        <f aca="false">IF(A941="","",IF(ISNA(MATCH(B941,'Kitting Plan'!$B$6:$B$19,0)),"Not in plan","Yes"))</f>
        <v/>
      </c>
      <c r="H941" s="41" t="str">
        <f aca="false">IF(G941="Yes",INDEX('Kitting Plan'!$D$6:$D$19,MATCH(B941,'Kitting Plan'!$B$6:$B$19,0)),"")</f>
        <v/>
      </c>
      <c r="I941" s="41" t="str">
        <f aca="false">IF(A941="","",IF(ISNUMBER(SEARCH("PRT",E941)),D941,0))</f>
        <v/>
      </c>
      <c r="J941" s="41" t="str">
        <f aca="false">IF(A941="","",IF(ISNUMBER(SEARCH("GMPS",E941)),D941,0))</f>
        <v/>
      </c>
      <c r="K941" s="41" t="str">
        <f aca="false">IF(A941="","",IF(ISNUMBER(SEARCH("DLV",E941)),D941,0))</f>
        <v/>
      </c>
      <c r="L941" s="41" t="str">
        <f aca="false">IF(A941="","",IF(K941&gt;0,"Delivered",IF(ISNUMBER(SEARCH("CNF",E941)),"In production",IF(J941&gt;0,"Issued",IF(I941&gt;0,"Kitted","Released")))))</f>
        <v/>
      </c>
      <c r="M941" s="41" t="str">
        <f aca="false">IF(G941&lt;&gt;"Yes","",COUNTIFS($B$6:$B$1505,B941,$F$6:$F$1505,"&lt;"&amp;F941)+COUNTIFS($B$6:$B$1505,B941,$F$6:$F$1505,F941,$A$6:$A$1505,"&lt;="&amp;A941))</f>
        <v/>
      </c>
      <c r="N941" s="41" t="str">
        <f aca="false">IF(M941="","",ROUNDUP(M941/H941,0))</f>
        <v/>
      </c>
      <c r="O941" s="41" t="str">
        <f aca="false">IF(N941="","",IF(N941&lt;='Kitting Plan'!$C$3,"Rep "&amp;N941,"Surplus"))</f>
        <v/>
      </c>
    </row>
    <row r="942" customFormat="false" ht="15" hidden="false" customHeight="false" outlineLevel="0" collapsed="false">
      <c r="A942" s="40" t="str">
        <f aca="false">IF(OR($A$4=0,INDEX('COOIS Raw'!$A:$GZ,ROW()-4,$A$4)=""),"",IFERROR(--INDEX('COOIS Raw'!$A:$GZ,ROW()-4,$A$4),INDEX('COOIS Raw'!$A:$GZ,ROW()-4,$A$4)))</f>
        <v/>
      </c>
      <c r="B942" s="41" t="str">
        <f aca="false">IF(A942="","",TRIM(INDEX('COOIS Raw'!$A:$GZ,ROW()-4,$B$4)))</f>
        <v/>
      </c>
      <c r="C942" s="42" t="str">
        <f aca="false">IF(OR(A942="",$C$4=0),"",INDEX('COOIS Raw'!$A:$GZ,ROW()-4,$C$4))</f>
        <v/>
      </c>
      <c r="D942" s="41" t="str">
        <f aca="false">IF(A942="","",IF($D$4=0,1,IFERROR(--INDEX('COOIS Raw'!$A:$GZ,ROW()-4,$D$4),1)))</f>
        <v/>
      </c>
      <c r="E942" s="42" t="str">
        <f aca="false">IF(A942="","",INDEX('COOIS Raw'!$A:$GZ,ROW()-4,$E$4)&amp;"")</f>
        <v/>
      </c>
      <c r="F942" s="43" t="str">
        <f aca="false">IF(A942="","",IFERROR(DATEVALUE(INDEX('COOIS Raw'!$A:$GZ,ROW()-4,$F$4)),INDEX('COOIS Raw'!$A:$GZ,ROW()-4,$F$4)))</f>
        <v/>
      </c>
      <c r="G942" s="41" t="str">
        <f aca="false">IF(A942="","",IF(ISNA(MATCH(B942,'Kitting Plan'!$B$6:$B$19,0)),"Not in plan","Yes"))</f>
        <v/>
      </c>
      <c r="H942" s="41" t="str">
        <f aca="false">IF(G942="Yes",INDEX('Kitting Plan'!$D$6:$D$19,MATCH(B942,'Kitting Plan'!$B$6:$B$19,0)),"")</f>
        <v/>
      </c>
      <c r="I942" s="41" t="str">
        <f aca="false">IF(A942="","",IF(ISNUMBER(SEARCH("PRT",E942)),D942,0))</f>
        <v/>
      </c>
      <c r="J942" s="41" t="str">
        <f aca="false">IF(A942="","",IF(ISNUMBER(SEARCH("GMPS",E942)),D942,0))</f>
        <v/>
      </c>
      <c r="K942" s="41" t="str">
        <f aca="false">IF(A942="","",IF(ISNUMBER(SEARCH("DLV",E942)),D942,0))</f>
        <v/>
      </c>
      <c r="L942" s="41" t="str">
        <f aca="false">IF(A942="","",IF(K942&gt;0,"Delivered",IF(ISNUMBER(SEARCH("CNF",E942)),"In production",IF(J942&gt;0,"Issued",IF(I942&gt;0,"Kitted","Released")))))</f>
        <v/>
      </c>
      <c r="M942" s="41" t="str">
        <f aca="false">IF(G942&lt;&gt;"Yes","",COUNTIFS($B$6:$B$1505,B942,$F$6:$F$1505,"&lt;"&amp;F942)+COUNTIFS($B$6:$B$1505,B942,$F$6:$F$1505,F942,$A$6:$A$1505,"&lt;="&amp;A942))</f>
        <v/>
      </c>
      <c r="N942" s="41" t="str">
        <f aca="false">IF(M942="","",ROUNDUP(M942/H942,0))</f>
        <v/>
      </c>
      <c r="O942" s="41" t="str">
        <f aca="false">IF(N942="","",IF(N942&lt;='Kitting Plan'!$C$3,"Rep "&amp;N942,"Surplus"))</f>
        <v/>
      </c>
    </row>
    <row r="943" customFormat="false" ht="15" hidden="false" customHeight="false" outlineLevel="0" collapsed="false">
      <c r="A943" s="40" t="str">
        <f aca="false">IF(OR($A$4=0,INDEX('COOIS Raw'!$A:$GZ,ROW()-4,$A$4)=""),"",IFERROR(--INDEX('COOIS Raw'!$A:$GZ,ROW()-4,$A$4),INDEX('COOIS Raw'!$A:$GZ,ROW()-4,$A$4)))</f>
        <v/>
      </c>
      <c r="B943" s="41" t="str">
        <f aca="false">IF(A943="","",TRIM(INDEX('COOIS Raw'!$A:$GZ,ROW()-4,$B$4)))</f>
        <v/>
      </c>
      <c r="C943" s="42" t="str">
        <f aca="false">IF(OR(A943="",$C$4=0),"",INDEX('COOIS Raw'!$A:$GZ,ROW()-4,$C$4))</f>
        <v/>
      </c>
      <c r="D943" s="41" t="str">
        <f aca="false">IF(A943="","",IF($D$4=0,1,IFERROR(--INDEX('COOIS Raw'!$A:$GZ,ROW()-4,$D$4),1)))</f>
        <v/>
      </c>
      <c r="E943" s="42" t="str">
        <f aca="false">IF(A943="","",INDEX('COOIS Raw'!$A:$GZ,ROW()-4,$E$4)&amp;"")</f>
        <v/>
      </c>
      <c r="F943" s="43" t="str">
        <f aca="false">IF(A943="","",IFERROR(DATEVALUE(INDEX('COOIS Raw'!$A:$GZ,ROW()-4,$F$4)),INDEX('COOIS Raw'!$A:$GZ,ROW()-4,$F$4)))</f>
        <v/>
      </c>
      <c r="G943" s="41" t="str">
        <f aca="false">IF(A943="","",IF(ISNA(MATCH(B943,'Kitting Plan'!$B$6:$B$19,0)),"Not in plan","Yes"))</f>
        <v/>
      </c>
      <c r="H943" s="41" t="str">
        <f aca="false">IF(G943="Yes",INDEX('Kitting Plan'!$D$6:$D$19,MATCH(B943,'Kitting Plan'!$B$6:$B$19,0)),"")</f>
        <v/>
      </c>
      <c r="I943" s="41" t="str">
        <f aca="false">IF(A943="","",IF(ISNUMBER(SEARCH("PRT",E943)),D943,0))</f>
        <v/>
      </c>
      <c r="J943" s="41" t="str">
        <f aca="false">IF(A943="","",IF(ISNUMBER(SEARCH("GMPS",E943)),D943,0))</f>
        <v/>
      </c>
      <c r="K943" s="41" t="str">
        <f aca="false">IF(A943="","",IF(ISNUMBER(SEARCH("DLV",E943)),D943,0))</f>
        <v/>
      </c>
      <c r="L943" s="41" t="str">
        <f aca="false">IF(A943="","",IF(K943&gt;0,"Delivered",IF(ISNUMBER(SEARCH("CNF",E943)),"In production",IF(J943&gt;0,"Issued",IF(I943&gt;0,"Kitted","Released")))))</f>
        <v/>
      </c>
      <c r="M943" s="41" t="str">
        <f aca="false">IF(G943&lt;&gt;"Yes","",COUNTIFS($B$6:$B$1505,B943,$F$6:$F$1505,"&lt;"&amp;F943)+COUNTIFS($B$6:$B$1505,B943,$F$6:$F$1505,F943,$A$6:$A$1505,"&lt;="&amp;A943))</f>
        <v/>
      </c>
      <c r="N943" s="41" t="str">
        <f aca="false">IF(M943="","",ROUNDUP(M943/H943,0))</f>
        <v/>
      </c>
      <c r="O943" s="41" t="str">
        <f aca="false">IF(N943="","",IF(N943&lt;='Kitting Plan'!$C$3,"Rep "&amp;N943,"Surplus"))</f>
        <v/>
      </c>
    </row>
    <row r="944" customFormat="false" ht="15" hidden="false" customHeight="false" outlineLevel="0" collapsed="false">
      <c r="A944" s="40" t="str">
        <f aca="false">IF(OR($A$4=0,INDEX('COOIS Raw'!$A:$GZ,ROW()-4,$A$4)=""),"",IFERROR(--INDEX('COOIS Raw'!$A:$GZ,ROW()-4,$A$4),INDEX('COOIS Raw'!$A:$GZ,ROW()-4,$A$4)))</f>
        <v/>
      </c>
      <c r="B944" s="41" t="str">
        <f aca="false">IF(A944="","",TRIM(INDEX('COOIS Raw'!$A:$GZ,ROW()-4,$B$4)))</f>
        <v/>
      </c>
      <c r="C944" s="42" t="str">
        <f aca="false">IF(OR(A944="",$C$4=0),"",INDEX('COOIS Raw'!$A:$GZ,ROW()-4,$C$4))</f>
        <v/>
      </c>
      <c r="D944" s="41" t="str">
        <f aca="false">IF(A944="","",IF($D$4=0,1,IFERROR(--INDEX('COOIS Raw'!$A:$GZ,ROW()-4,$D$4),1)))</f>
        <v/>
      </c>
      <c r="E944" s="42" t="str">
        <f aca="false">IF(A944="","",INDEX('COOIS Raw'!$A:$GZ,ROW()-4,$E$4)&amp;"")</f>
        <v/>
      </c>
      <c r="F944" s="43" t="str">
        <f aca="false">IF(A944="","",IFERROR(DATEVALUE(INDEX('COOIS Raw'!$A:$GZ,ROW()-4,$F$4)),INDEX('COOIS Raw'!$A:$GZ,ROW()-4,$F$4)))</f>
        <v/>
      </c>
      <c r="G944" s="41" t="str">
        <f aca="false">IF(A944="","",IF(ISNA(MATCH(B944,'Kitting Plan'!$B$6:$B$19,0)),"Not in plan","Yes"))</f>
        <v/>
      </c>
      <c r="H944" s="41" t="str">
        <f aca="false">IF(G944="Yes",INDEX('Kitting Plan'!$D$6:$D$19,MATCH(B944,'Kitting Plan'!$B$6:$B$19,0)),"")</f>
        <v/>
      </c>
      <c r="I944" s="41" t="str">
        <f aca="false">IF(A944="","",IF(ISNUMBER(SEARCH("PRT",E944)),D944,0))</f>
        <v/>
      </c>
      <c r="J944" s="41" t="str">
        <f aca="false">IF(A944="","",IF(ISNUMBER(SEARCH("GMPS",E944)),D944,0))</f>
        <v/>
      </c>
      <c r="K944" s="41" t="str">
        <f aca="false">IF(A944="","",IF(ISNUMBER(SEARCH("DLV",E944)),D944,0))</f>
        <v/>
      </c>
      <c r="L944" s="41" t="str">
        <f aca="false">IF(A944="","",IF(K944&gt;0,"Delivered",IF(ISNUMBER(SEARCH("CNF",E944)),"In production",IF(J944&gt;0,"Issued",IF(I944&gt;0,"Kitted","Released")))))</f>
        <v/>
      </c>
      <c r="M944" s="41" t="str">
        <f aca="false">IF(G944&lt;&gt;"Yes","",COUNTIFS($B$6:$B$1505,B944,$F$6:$F$1505,"&lt;"&amp;F944)+COUNTIFS($B$6:$B$1505,B944,$F$6:$F$1505,F944,$A$6:$A$1505,"&lt;="&amp;A944))</f>
        <v/>
      </c>
      <c r="N944" s="41" t="str">
        <f aca="false">IF(M944="","",ROUNDUP(M944/H944,0))</f>
        <v/>
      </c>
      <c r="O944" s="41" t="str">
        <f aca="false">IF(N944="","",IF(N944&lt;='Kitting Plan'!$C$3,"Rep "&amp;N944,"Surplus"))</f>
        <v/>
      </c>
    </row>
    <row r="945" customFormat="false" ht="15" hidden="false" customHeight="false" outlineLevel="0" collapsed="false">
      <c r="A945" s="40" t="str">
        <f aca="false">IF(OR($A$4=0,INDEX('COOIS Raw'!$A:$GZ,ROW()-4,$A$4)=""),"",IFERROR(--INDEX('COOIS Raw'!$A:$GZ,ROW()-4,$A$4),INDEX('COOIS Raw'!$A:$GZ,ROW()-4,$A$4)))</f>
        <v/>
      </c>
      <c r="B945" s="41" t="str">
        <f aca="false">IF(A945="","",TRIM(INDEX('COOIS Raw'!$A:$GZ,ROW()-4,$B$4)))</f>
        <v/>
      </c>
      <c r="C945" s="42" t="str">
        <f aca="false">IF(OR(A945="",$C$4=0),"",INDEX('COOIS Raw'!$A:$GZ,ROW()-4,$C$4))</f>
        <v/>
      </c>
      <c r="D945" s="41" t="str">
        <f aca="false">IF(A945="","",IF($D$4=0,1,IFERROR(--INDEX('COOIS Raw'!$A:$GZ,ROW()-4,$D$4),1)))</f>
        <v/>
      </c>
      <c r="E945" s="42" t="str">
        <f aca="false">IF(A945="","",INDEX('COOIS Raw'!$A:$GZ,ROW()-4,$E$4)&amp;"")</f>
        <v/>
      </c>
      <c r="F945" s="43" t="str">
        <f aca="false">IF(A945="","",IFERROR(DATEVALUE(INDEX('COOIS Raw'!$A:$GZ,ROW()-4,$F$4)),INDEX('COOIS Raw'!$A:$GZ,ROW()-4,$F$4)))</f>
        <v/>
      </c>
      <c r="G945" s="41" t="str">
        <f aca="false">IF(A945="","",IF(ISNA(MATCH(B945,'Kitting Plan'!$B$6:$B$19,0)),"Not in plan","Yes"))</f>
        <v/>
      </c>
      <c r="H945" s="41" t="str">
        <f aca="false">IF(G945="Yes",INDEX('Kitting Plan'!$D$6:$D$19,MATCH(B945,'Kitting Plan'!$B$6:$B$19,0)),"")</f>
        <v/>
      </c>
      <c r="I945" s="41" t="str">
        <f aca="false">IF(A945="","",IF(ISNUMBER(SEARCH("PRT",E945)),D945,0))</f>
        <v/>
      </c>
      <c r="J945" s="41" t="str">
        <f aca="false">IF(A945="","",IF(ISNUMBER(SEARCH("GMPS",E945)),D945,0))</f>
        <v/>
      </c>
      <c r="K945" s="41" t="str">
        <f aca="false">IF(A945="","",IF(ISNUMBER(SEARCH("DLV",E945)),D945,0))</f>
        <v/>
      </c>
      <c r="L945" s="41" t="str">
        <f aca="false">IF(A945="","",IF(K945&gt;0,"Delivered",IF(ISNUMBER(SEARCH("CNF",E945)),"In production",IF(J945&gt;0,"Issued",IF(I945&gt;0,"Kitted","Released")))))</f>
        <v/>
      </c>
      <c r="M945" s="41" t="str">
        <f aca="false">IF(G945&lt;&gt;"Yes","",COUNTIFS($B$6:$B$1505,B945,$F$6:$F$1505,"&lt;"&amp;F945)+COUNTIFS($B$6:$B$1505,B945,$F$6:$F$1505,F945,$A$6:$A$1505,"&lt;="&amp;A945))</f>
        <v/>
      </c>
      <c r="N945" s="41" t="str">
        <f aca="false">IF(M945="","",ROUNDUP(M945/H945,0))</f>
        <v/>
      </c>
      <c r="O945" s="41" t="str">
        <f aca="false">IF(N945="","",IF(N945&lt;='Kitting Plan'!$C$3,"Rep "&amp;N945,"Surplus"))</f>
        <v/>
      </c>
    </row>
    <row r="946" customFormat="false" ht="15" hidden="false" customHeight="false" outlineLevel="0" collapsed="false">
      <c r="A946" s="40" t="str">
        <f aca="false">IF(OR($A$4=0,INDEX('COOIS Raw'!$A:$GZ,ROW()-4,$A$4)=""),"",IFERROR(--INDEX('COOIS Raw'!$A:$GZ,ROW()-4,$A$4),INDEX('COOIS Raw'!$A:$GZ,ROW()-4,$A$4)))</f>
        <v/>
      </c>
      <c r="B946" s="41" t="str">
        <f aca="false">IF(A946="","",TRIM(INDEX('COOIS Raw'!$A:$GZ,ROW()-4,$B$4)))</f>
        <v/>
      </c>
      <c r="C946" s="42" t="str">
        <f aca="false">IF(OR(A946="",$C$4=0),"",INDEX('COOIS Raw'!$A:$GZ,ROW()-4,$C$4))</f>
        <v/>
      </c>
      <c r="D946" s="41" t="str">
        <f aca="false">IF(A946="","",IF($D$4=0,1,IFERROR(--INDEX('COOIS Raw'!$A:$GZ,ROW()-4,$D$4),1)))</f>
        <v/>
      </c>
      <c r="E946" s="42" t="str">
        <f aca="false">IF(A946="","",INDEX('COOIS Raw'!$A:$GZ,ROW()-4,$E$4)&amp;"")</f>
        <v/>
      </c>
      <c r="F946" s="43" t="str">
        <f aca="false">IF(A946="","",IFERROR(DATEVALUE(INDEX('COOIS Raw'!$A:$GZ,ROW()-4,$F$4)),INDEX('COOIS Raw'!$A:$GZ,ROW()-4,$F$4)))</f>
        <v/>
      </c>
      <c r="G946" s="41" t="str">
        <f aca="false">IF(A946="","",IF(ISNA(MATCH(B946,'Kitting Plan'!$B$6:$B$19,0)),"Not in plan","Yes"))</f>
        <v/>
      </c>
      <c r="H946" s="41" t="str">
        <f aca="false">IF(G946="Yes",INDEX('Kitting Plan'!$D$6:$D$19,MATCH(B946,'Kitting Plan'!$B$6:$B$19,0)),"")</f>
        <v/>
      </c>
      <c r="I946" s="41" t="str">
        <f aca="false">IF(A946="","",IF(ISNUMBER(SEARCH("PRT",E946)),D946,0))</f>
        <v/>
      </c>
      <c r="J946" s="41" t="str">
        <f aca="false">IF(A946="","",IF(ISNUMBER(SEARCH("GMPS",E946)),D946,0))</f>
        <v/>
      </c>
      <c r="K946" s="41" t="str">
        <f aca="false">IF(A946="","",IF(ISNUMBER(SEARCH("DLV",E946)),D946,0))</f>
        <v/>
      </c>
      <c r="L946" s="41" t="str">
        <f aca="false">IF(A946="","",IF(K946&gt;0,"Delivered",IF(ISNUMBER(SEARCH("CNF",E946)),"In production",IF(J946&gt;0,"Issued",IF(I946&gt;0,"Kitted","Released")))))</f>
        <v/>
      </c>
      <c r="M946" s="41" t="str">
        <f aca="false">IF(G946&lt;&gt;"Yes","",COUNTIFS($B$6:$B$1505,B946,$F$6:$F$1505,"&lt;"&amp;F946)+COUNTIFS($B$6:$B$1505,B946,$F$6:$F$1505,F946,$A$6:$A$1505,"&lt;="&amp;A946))</f>
        <v/>
      </c>
      <c r="N946" s="41" t="str">
        <f aca="false">IF(M946="","",ROUNDUP(M946/H946,0))</f>
        <v/>
      </c>
      <c r="O946" s="41" t="str">
        <f aca="false">IF(N946="","",IF(N946&lt;='Kitting Plan'!$C$3,"Rep "&amp;N946,"Surplus"))</f>
        <v/>
      </c>
    </row>
    <row r="947" customFormat="false" ht="15" hidden="false" customHeight="false" outlineLevel="0" collapsed="false">
      <c r="A947" s="40" t="str">
        <f aca="false">IF(OR($A$4=0,INDEX('COOIS Raw'!$A:$GZ,ROW()-4,$A$4)=""),"",IFERROR(--INDEX('COOIS Raw'!$A:$GZ,ROW()-4,$A$4),INDEX('COOIS Raw'!$A:$GZ,ROW()-4,$A$4)))</f>
        <v/>
      </c>
      <c r="B947" s="41" t="str">
        <f aca="false">IF(A947="","",TRIM(INDEX('COOIS Raw'!$A:$GZ,ROW()-4,$B$4)))</f>
        <v/>
      </c>
      <c r="C947" s="42" t="str">
        <f aca="false">IF(OR(A947="",$C$4=0),"",INDEX('COOIS Raw'!$A:$GZ,ROW()-4,$C$4))</f>
        <v/>
      </c>
      <c r="D947" s="41" t="str">
        <f aca="false">IF(A947="","",IF($D$4=0,1,IFERROR(--INDEX('COOIS Raw'!$A:$GZ,ROW()-4,$D$4),1)))</f>
        <v/>
      </c>
      <c r="E947" s="42" t="str">
        <f aca="false">IF(A947="","",INDEX('COOIS Raw'!$A:$GZ,ROW()-4,$E$4)&amp;"")</f>
        <v/>
      </c>
      <c r="F947" s="43" t="str">
        <f aca="false">IF(A947="","",IFERROR(DATEVALUE(INDEX('COOIS Raw'!$A:$GZ,ROW()-4,$F$4)),INDEX('COOIS Raw'!$A:$GZ,ROW()-4,$F$4)))</f>
        <v/>
      </c>
      <c r="G947" s="41" t="str">
        <f aca="false">IF(A947="","",IF(ISNA(MATCH(B947,'Kitting Plan'!$B$6:$B$19,0)),"Not in plan","Yes"))</f>
        <v/>
      </c>
      <c r="H947" s="41" t="str">
        <f aca="false">IF(G947="Yes",INDEX('Kitting Plan'!$D$6:$D$19,MATCH(B947,'Kitting Plan'!$B$6:$B$19,0)),"")</f>
        <v/>
      </c>
      <c r="I947" s="41" t="str">
        <f aca="false">IF(A947="","",IF(ISNUMBER(SEARCH("PRT",E947)),D947,0))</f>
        <v/>
      </c>
      <c r="J947" s="41" t="str">
        <f aca="false">IF(A947="","",IF(ISNUMBER(SEARCH("GMPS",E947)),D947,0))</f>
        <v/>
      </c>
      <c r="K947" s="41" t="str">
        <f aca="false">IF(A947="","",IF(ISNUMBER(SEARCH("DLV",E947)),D947,0))</f>
        <v/>
      </c>
      <c r="L947" s="41" t="str">
        <f aca="false">IF(A947="","",IF(K947&gt;0,"Delivered",IF(ISNUMBER(SEARCH("CNF",E947)),"In production",IF(J947&gt;0,"Issued",IF(I947&gt;0,"Kitted","Released")))))</f>
        <v/>
      </c>
      <c r="M947" s="41" t="str">
        <f aca="false">IF(G947&lt;&gt;"Yes","",COUNTIFS($B$6:$B$1505,B947,$F$6:$F$1505,"&lt;"&amp;F947)+COUNTIFS($B$6:$B$1505,B947,$F$6:$F$1505,F947,$A$6:$A$1505,"&lt;="&amp;A947))</f>
        <v/>
      </c>
      <c r="N947" s="41" t="str">
        <f aca="false">IF(M947="","",ROUNDUP(M947/H947,0))</f>
        <v/>
      </c>
      <c r="O947" s="41" t="str">
        <f aca="false">IF(N947="","",IF(N947&lt;='Kitting Plan'!$C$3,"Rep "&amp;N947,"Surplus"))</f>
        <v/>
      </c>
    </row>
    <row r="948" customFormat="false" ht="15" hidden="false" customHeight="false" outlineLevel="0" collapsed="false">
      <c r="A948" s="40" t="str">
        <f aca="false">IF(OR($A$4=0,INDEX('COOIS Raw'!$A:$GZ,ROW()-4,$A$4)=""),"",IFERROR(--INDEX('COOIS Raw'!$A:$GZ,ROW()-4,$A$4),INDEX('COOIS Raw'!$A:$GZ,ROW()-4,$A$4)))</f>
        <v/>
      </c>
      <c r="B948" s="41" t="str">
        <f aca="false">IF(A948="","",TRIM(INDEX('COOIS Raw'!$A:$GZ,ROW()-4,$B$4)))</f>
        <v/>
      </c>
      <c r="C948" s="42" t="str">
        <f aca="false">IF(OR(A948="",$C$4=0),"",INDEX('COOIS Raw'!$A:$GZ,ROW()-4,$C$4))</f>
        <v/>
      </c>
      <c r="D948" s="41" t="str">
        <f aca="false">IF(A948="","",IF($D$4=0,1,IFERROR(--INDEX('COOIS Raw'!$A:$GZ,ROW()-4,$D$4),1)))</f>
        <v/>
      </c>
      <c r="E948" s="42" t="str">
        <f aca="false">IF(A948="","",INDEX('COOIS Raw'!$A:$GZ,ROW()-4,$E$4)&amp;"")</f>
        <v/>
      </c>
      <c r="F948" s="43" t="str">
        <f aca="false">IF(A948="","",IFERROR(DATEVALUE(INDEX('COOIS Raw'!$A:$GZ,ROW()-4,$F$4)),INDEX('COOIS Raw'!$A:$GZ,ROW()-4,$F$4)))</f>
        <v/>
      </c>
      <c r="G948" s="41" t="str">
        <f aca="false">IF(A948="","",IF(ISNA(MATCH(B948,'Kitting Plan'!$B$6:$B$19,0)),"Not in plan","Yes"))</f>
        <v/>
      </c>
      <c r="H948" s="41" t="str">
        <f aca="false">IF(G948="Yes",INDEX('Kitting Plan'!$D$6:$D$19,MATCH(B948,'Kitting Plan'!$B$6:$B$19,0)),"")</f>
        <v/>
      </c>
      <c r="I948" s="41" t="str">
        <f aca="false">IF(A948="","",IF(ISNUMBER(SEARCH("PRT",E948)),D948,0))</f>
        <v/>
      </c>
      <c r="J948" s="41" t="str">
        <f aca="false">IF(A948="","",IF(ISNUMBER(SEARCH("GMPS",E948)),D948,0))</f>
        <v/>
      </c>
      <c r="K948" s="41" t="str">
        <f aca="false">IF(A948="","",IF(ISNUMBER(SEARCH("DLV",E948)),D948,0))</f>
        <v/>
      </c>
      <c r="L948" s="41" t="str">
        <f aca="false">IF(A948="","",IF(K948&gt;0,"Delivered",IF(ISNUMBER(SEARCH("CNF",E948)),"In production",IF(J948&gt;0,"Issued",IF(I948&gt;0,"Kitted","Released")))))</f>
        <v/>
      </c>
      <c r="M948" s="41" t="str">
        <f aca="false">IF(G948&lt;&gt;"Yes","",COUNTIFS($B$6:$B$1505,B948,$F$6:$F$1505,"&lt;"&amp;F948)+COUNTIFS($B$6:$B$1505,B948,$F$6:$F$1505,F948,$A$6:$A$1505,"&lt;="&amp;A948))</f>
        <v/>
      </c>
      <c r="N948" s="41" t="str">
        <f aca="false">IF(M948="","",ROUNDUP(M948/H948,0))</f>
        <v/>
      </c>
      <c r="O948" s="41" t="str">
        <f aca="false">IF(N948="","",IF(N948&lt;='Kitting Plan'!$C$3,"Rep "&amp;N948,"Surplus"))</f>
        <v/>
      </c>
    </row>
    <row r="949" customFormat="false" ht="15" hidden="false" customHeight="false" outlineLevel="0" collapsed="false">
      <c r="A949" s="40" t="str">
        <f aca="false">IF(OR($A$4=0,INDEX('COOIS Raw'!$A:$GZ,ROW()-4,$A$4)=""),"",IFERROR(--INDEX('COOIS Raw'!$A:$GZ,ROW()-4,$A$4),INDEX('COOIS Raw'!$A:$GZ,ROW()-4,$A$4)))</f>
        <v/>
      </c>
      <c r="B949" s="41" t="str">
        <f aca="false">IF(A949="","",TRIM(INDEX('COOIS Raw'!$A:$GZ,ROW()-4,$B$4)))</f>
        <v/>
      </c>
      <c r="C949" s="42" t="str">
        <f aca="false">IF(OR(A949="",$C$4=0),"",INDEX('COOIS Raw'!$A:$GZ,ROW()-4,$C$4))</f>
        <v/>
      </c>
      <c r="D949" s="41" t="str">
        <f aca="false">IF(A949="","",IF($D$4=0,1,IFERROR(--INDEX('COOIS Raw'!$A:$GZ,ROW()-4,$D$4),1)))</f>
        <v/>
      </c>
      <c r="E949" s="42" t="str">
        <f aca="false">IF(A949="","",INDEX('COOIS Raw'!$A:$GZ,ROW()-4,$E$4)&amp;"")</f>
        <v/>
      </c>
      <c r="F949" s="43" t="str">
        <f aca="false">IF(A949="","",IFERROR(DATEVALUE(INDEX('COOIS Raw'!$A:$GZ,ROW()-4,$F$4)),INDEX('COOIS Raw'!$A:$GZ,ROW()-4,$F$4)))</f>
        <v/>
      </c>
      <c r="G949" s="41" t="str">
        <f aca="false">IF(A949="","",IF(ISNA(MATCH(B949,'Kitting Plan'!$B$6:$B$19,0)),"Not in plan","Yes"))</f>
        <v/>
      </c>
      <c r="H949" s="41" t="str">
        <f aca="false">IF(G949="Yes",INDEX('Kitting Plan'!$D$6:$D$19,MATCH(B949,'Kitting Plan'!$B$6:$B$19,0)),"")</f>
        <v/>
      </c>
      <c r="I949" s="41" t="str">
        <f aca="false">IF(A949="","",IF(ISNUMBER(SEARCH("PRT",E949)),D949,0))</f>
        <v/>
      </c>
      <c r="J949" s="41" t="str">
        <f aca="false">IF(A949="","",IF(ISNUMBER(SEARCH("GMPS",E949)),D949,0))</f>
        <v/>
      </c>
      <c r="K949" s="41" t="str">
        <f aca="false">IF(A949="","",IF(ISNUMBER(SEARCH("DLV",E949)),D949,0))</f>
        <v/>
      </c>
      <c r="L949" s="41" t="str">
        <f aca="false">IF(A949="","",IF(K949&gt;0,"Delivered",IF(ISNUMBER(SEARCH("CNF",E949)),"In production",IF(J949&gt;0,"Issued",IF(I949&gt;0,"Kitted","Released")))))</f>
        <v/>
      </c>
      <c r="M949" s="41" t="str">
        <f aca="false">IF(G949&lt;&gt;"Yes","",COUNTIFS($B$6:$B$1505,B949,$F$6:$F$1505,"&lt;"&amp;F949)+COUNTIFS($B$6:$B$1505,B949,$F$6:$F$1505,F949,$A$6:$A$1505,"&lt;="&amp;A949))</f>
        <v/>
      </c>
      <c r="N949" s="41" t="str">
        <f aca="false">IF(M949="","",ROUNDUP(M949/H949,0))</f>
        <v/>
      </c>
      <c r="O949" s="41" t="str">
        <f aca="false">IF(N949="","",IF(N949&lt;='Kitting Plan'!$C$3,"Rep "&amp;N949,"Surplus"))</f>
        <v/>
      </c>
    </row>
    <row r="950" customFormat="false" ht="15" hidden="false" customHeight="false" outlineLevel="0" collapsed="false">
      <c r="A950" s="40" t="str">
        <f aca="false">IF(OR($A$4=0,INDEX('COOIS Raw'!$A:$GZ,ROW()-4,$A$4)=""),"",IFERROR(--INDEX('COOIS Raw'!$A:$GZ,ROW()-4,$A$4),INDEX('COOIS Raw'!$A:$GZ,ROW()-4,$A$4)))</f>
        <v/>
      </c>
      <c r="B950" s="41" t="str">
        <f aca="false">IF(A950="","",TRIM(INDEX('COOIS Raw'!$A:$GZ,ROW()-4,$B$4)))</f>
        <v/>
      </c>
      <c r="C950" s="42" t="str">
        <f aca="false">IF(OR(A950="",$C$4=0),"",INDEX('COOIS Raw'!$A:$GZ,ROW()-4,$C$4))</f>
        <v/>
      </c>
      <c r="D950" s="41" t="str">
        <f aca="false">IF(A950="","",IF($D$4=0,1,IFERROR(--INDEX('COOIS Raw'!$A:$GZ,ROW()-4,$D$4),1)))</f>
        <v/>
      </c>
      <c r="E950" s="42" t="str">
        <f aca="false">IF(A950="","",INDEX('COOIS Raw'!$A:$GZ,ROW()-4,$E$4)&amp;"")</f>
        <v/>
      </c>
      <c r="F950" s="43" t="str">
        <f aca="false">IF(A950="","",IFERROR(DATEVALUE(INDEX('COOIS Raw'!$A:$GZ,ROW()-4,$F$4)),INDEX('COOIS Raw'!$A:$GZ,ROW()-4,$F$4)))</f>
        <v/>
      </c>
      <c r="G950" s="41" t="str">
        <f aca="false">IF(A950="","",IF(ISNA(MATCH(B950,'Kitting Plan'!$B$6:$B$19,0)),"Not in plan","Yes"))</f>
        <v/>
      </c>
      <c r="H950" s="41" t="str">
        <f aca="false">IF(G950="Yes",INDEX('Kitting Plan'!$D$6:$D$19,MATCH(B950,'Kitting Plan'!$B$6:$B$19,0)),"")</f>
        <v/>
      </c>
      <c r="I950" s="41" t="str">
        <f aca="false">IF(A950="","",IF(ISNUMBER(SEARCH("PRT",E950)),D950,0))</f>
        <v/>
      </c>
      <c r="J950" s="41" t="str">
        <f aca="false">IF(A950="","",IF(ISNUMBER(SEARCH("GMPS",E950)),D950,0))</f>
        <v/>
      </c>
      <c r="K950" s="41" t="str">
        <f aca="false">IF(A950="","",IF(ISNUMBER(SEARCH("DLV",E950)),D950,0))</f>
        <v/>
      </c>
      <c r="L950" s="41" t="str">
        <f aca="false">IF(A950="","",IF(K950&gt;0,"Delivered",IF(ISNUMBER(SEARCH("CNF",E950)),"In production",IF(J950&gt;0,"Issued",IF(I950&gt;0,"Kitted","Released")))))</f>
        <v/>
      </c>
      <c r="M950" s="41" t="str">
        <f aca="false">IF(G950&lt;&gt;"Yes","",COUNTIFS($B$6:$B$1505,B950,$F$6:$F$1505,"&lt;"&amp;F950)+COUNTIFS($B$6:$B$1505,B950,$F$6:$F$1505,F950,$A$6:$A$1505,"&lt;="&amp;A950))</f>
        <v/>
      </c>
      <c r="N950" s="41" t="str">
        <f aca="false">IF(M950="","",ROUNDUP(M950/H950,0))</f>
        <v/>
      </c>
      <c r="O950" s="41" t="str">
        <f aca="false">IF(N950="","",IF(N950&lt;='Kitting Plan'!$C$3,"Rep "&amp;N950,"Surplus"))</f>
        <v/>
      </c>
    </row>
    <row r="951" customFormat="false" ht="15" hidden="false" customHeight="false" outlineLevel="0" collapsed="false">
      <c r="A951" s="40" t="str">
        <f aca="false">IF(OR($A$4=0,INDEX('COOIS Raw'!$A:$GZ,ROW()-4,$A$4)=""),"",IFERROR(--INDEX('COOIS Raw'!$A:$GZ,ROW()-4,$A$4),INDEX('COOIS Raw'!$A:$GZ,ROW()-4,$A$4)))</f>
        <v/>
      </c>
      <c r="B951" s="41" t="str">
        <f aca="false">IF(A951="","",TRIM(INDEX('COOIS Raw'!$A:$GZ,ROW()-4,$B$4)))</f>
        <v/>
      </c>
      <c r="C951" s="42" t="str">
        <f aca="false">IF(OR(A951="",$C$4=0),"",INDEX('COOIS Raw'!$A:$GZ,ROW()-4,$C$4))</f>
        <v/>
      </c>
      <c r="D951" s="41" t="str">
        <f aca="false">IF(A951="","",IF($D$4=0,1,IFERROR(--INDEX('COOIS Raw'!$A:$GZ,ROW()-4,$D$4),1)))</f>
        <v/>
      </c>
      <c r="E951" s="42" t="str">
        <f aca="false">IF(A951="","",INDEX('COOIS Raw'!$A:$GZ,ROW()-4,$E$4)&amp;"")</f>
        <v/>
      </c>
      <c r="F951" s="43" t="str">
        <f aca="false">IF(A951="","",IFERROR(DATEVALUE(INDEX('COOIS Raw'!$A:$GZ,ROW()-4,$F$4)),INDEX('COOIS Raw'!$A:$GZ,ROW()-4,$F$4)))</f>
        <v/>
      </c>
      <c r="G951" s="41" t="str">
        <f aca="false">IF(A951="","",IF(ISNA(MATCH(B951,'Kitting Plan'!$B$6:$B$19,0)),"Not in plan","Yes"))</f>
        <v/>
      </c>
      <c r="H951" s="41" t="str">
        <f aca="false">IF(G951="Yes",INDEX('Kitting Plan'!$D$6:$D$19,MATCH(B951,'Kitting Plan'!$B$6:$B$19,0)),"")</f>
        <v/>
      </c>
      <c r="I951" s="41" t="str">
        <f aca="false">IF(A951="","",IF(ISNUMBER(SEARCH("PRT",E951)),D951,0))</f>
        <v/>
      </c>
      <c r="J951" s="41" t="str">
        <f aca="false">IF(A951="","",IF(ISNUMBER(SEARCH("GMPS",E951)),D951,0))</f>
        <v/>
      </c>
      <c r="K951" s="41" t="str">
        <f aca="false">IF(A951="","",IF(ISNUMBER(SEARCH("DLV",E951)),D951,0))</f>
        <v/>
      </c>
      <c r="L951" s="41" t="str">
        <f aca="false">IF(A951="","",IF(K951&gt;0,"Delivered",IF(ISNUMBER(SEARCH("CNF",E951)),"In production",IF(J951&gt;0,"Issued",IF(I951&gt;0,"Kitted","Released")))))</f>
        <v/>
      </c>
      <c r="M951" s="41" t="str">
        <f aca="false">IF(G951&lt;&gt;"Yes","",COUNTIFS($B$6:$B$1505,B951,$F$6:$F$1505,"&lt;"&amp;F951)+COUNTIFS($B$6:$B$1505,B951,$F$6:$F$1505,F951,$A$6:$A$1505,"&lt;="&amp;A951))</f>
        <v/>
      </c>
      <c r="N951" s="41" t="str">
        <f aca="false">IF(M951="","",ROUNDUP(M951/H951,0))</f>
        <v/>
      </c>
      <c r="O951" s="41" t="str">
        <f aca="false">IF(N951="","",IF(N951&lt;='Kitting Plan'!$C$3,"Rep "&amp;N951,"Surplus"))</f>
        <v/>
      </c>
    </row>
    <row r="952" customFormat="false" ht="15" hidden="false" customHeight="false" outlineLevel="0" collapsed="false">
      <c r="A952" s="40" t="str">
        <f aca="false">IF(OR($A$4=0,INDEX('COOIS Raw'!$A:$GZ,ROW()-4,$A$4)=""),"",IFERROR(--INDEX('COOIS Raw'!$A:$GZ,ROW()-4,$A$4),INDEX('COOIS Raw'!$A:$GZ,ROW()-4,$A$4)))</f>
        <v/>
      </c>
      <c r="B952" s="41" t="str">
        <f aca="false">IF(A952="","",TRIM(INDEX('COOIS Raw'!$A:$GZ,ROW()-4,$B$4)))</f>
        <v/>
      </c>
      <c r="C952" s="42" t="str">
        <f aca="false">IF(OR(A952="",$C$4=0),"",INDEX('COOIS Raw'!$A:$GZ,ROW()-4,$C$4))</f>
        <v/>
      </c>
      <c r="D952" s="41" t="str">
        <f aca="false">IF(A952="","",IF($D$4=0,1,IFERROR(--INDEX('COOIS Raw'!$A:$GZ,ROW()-4,$D$4),1)))</f>
        <v/>
      </c>
      <c r="E952" s="42" t="str">
        <f aca="false">IF(A952="","",INDEX('COOIS Raw'!$A:$GZ,ROW()-4,$E$4)&amp;"")</f>
        <v/>
      </c>
      <c r="F952" s="43" t="str">
        <f aca="false">IF(A952="","",IFERROR(DATEVALUE(INDEX('COOIS Raw'!$A:$GZ,ROW()-4,$F$4)),INDEX('COOIS Raw'!$A:$GZ,ROW()-4,$F$4)))</f>
        <v/>
      </c>
      <c r="G952" s="41" t="str">
        <f aca="false">IF(A952="","",IF(ISNA(MATCH(B952,'Kitting Plan'!$B$6:$B$19,0)),"Not in plan","Yes"))</f>
        <v/>
      </c>
      <c r="H952" s="41" t="str">
        <f aca="false">IF(G952="Yes",INDEX('Kitting Plan'!$D$6:$D$19,MATCH(B952,'Kitting Plan'!$B$6:$B$19,0)),"")</f>
        <v/>
      </c>
      <c r="I952" s="41" t="str">
        <f aca="false">IF(A952="","",IF(ISNUMBER(SEARCH("PRT",E952)),D952,0))</f>
        <v/>
      </c>
      <c r="J952" s="41" t="str">
        <f aca="false">IF(A952="","",IF(ISNUMBER(SEARCH("GMPS",E952)),D952,0))</f>
        <v/>
      </c>
      <c r="K952" s="41" t="str">
        <f aca="false">IF(A952="","",IF(ISNUMBER(SEARCH("DLV",E952)),D952,0))</f>
        <v/>
      </c>
      <c r="L952" s="41" t="str">
        <f aca="false">IF(A952="","",IF(K952&gt;0,"Delivered",IF(ISNUMBER(SEARCH("CNF",E952)),"In production",IF(J952&gt;0,"Issued",IF(I952&gt;0,"Kitted","Released")))))</f>
        <v/>
      </c>
      <c r="M952" s="41" t="str">
        <f aca="false">IF(G952&lt;&gt;"Yes","",COUNTIFS($B$6:$B$1505,B952,$F$6:$F$1505,"&lt;"&amp;F952)+COUNTIFS($B$6:$B$1505,B952,$F$6:$F$1505,F952,$A$6:$A$1505,"&lt;="&amp;A952))</f>
        <v/>
      </c>
      <c r="N952" s="41" t="str">
        <f aca="false">IF(M952="","",ROUNDUP(M952/H952,0))</f>
        <v/>
      </c>
      <c r="O952" s="41" t="str">
        <f aca="false">IF(N952="","",IF(N952&lt;='Kitting Plan'!$C$3,"Rep "&amp;N952,"Surplus"))</f>
        <v/>
      </c>
    </row>
    <row r="953" customFormat="false" ht="15" hidden="false" customHeight="false" outlineLevel="0" collapsed="false">
      <c r="A953" s="40" t="str">
        <f aca="false">IF(OR($A$4=0,INDEX('COOIS Raw'!$A:$GZ,ROW()-4,$A$4)=""),"",IFERROR(--INDEX('COOIS Raw'!$A:$GZ,ROW()-4,$A$4),INDEX('COOIS Raw'!$A:$GZ,ROW()-4,$A$4)))</f>
        <v/>
      </c>
      <c r="B953" s="41" t="str">
        <f aca="false">IF(A953="","",TRIM(INDEX('COOIS Raw'!$A:$GZ,ROW()-4,$B$4)))</f>
        <v/>
      </c>
      <c r="C953" s="42" t="str">
        <f aca="false">IF(OR(A953="",$C$4=0),"",INDEX('COOIS Raw'!$A:$GZ,ROW()-4,$C$4))</f>
        <v/>
      </c>
      <c r="D953" s="41" t="str">
        <f aca="false">IF(A953="","",IF($D$4=0,1,IFERROR(--INDEX('COOIS Raw'!$A:$GZ,ROW()-4,$D$4),1)))</f>
        <v/>
      </c>
      <c r="E953" s="42" t="str">
        <f aca="false">IF(A953="","",INDEX('COOIS Raw'!$A:$GZ,ROW()-4,$E$4)&amp;"")</f>
        <v/>
      </c>
      <c r="F953" s="43" t="str">
        <f aca="false">IF(A953="","",IFERROR(DATEVALUE(INDEX('COOIS Raw'!$A:$GZ,ROW()-4,$F$4)),INDEX('COOIS Raw'!$A:$GZ,ROW()-4,$F$4)))</f>
        <v/>
      </c>
      <c r="G953" s="41" t="str">
        <f aca="false">IF(A953="","",IF(ISNA(MATCH(B953,'Kitting Plan'!$B$6:$B$19,0)),"Not in plan","Yes"))</f>
        <v/>
      </c>
      <c r="H953" s="41" t="str">
        <f aca="false">IF(G953="Yes",INDEX('Kitting Plan'!$D$6:$D$19,MATCH(B953,'Kitting Plan'!$B$6:$B$19,0)),"")</f>
        <v/>
      </c>
      <c r="I953" s="41" t="str">
        <f aca="false">IF(A953="","",IF(ISNUMBER(SEARCH("PRT",E953)),D953,0))</f>
        <v/>
      </c>
      <c r="J953" s="41" t="str">
        <f aca="false">IF(A953="","",IF(ISNUMBER(SEARCH("GMPS",E953)),D953,0))</f>
        <v/>
      </c>
      <c r="K953" s="41" t="str">
        <f aca="false">IF(A953="","",IF(ISNUMBER(SEARCH("DLV",E953)),D953,0))</f>
        <v/>
      </c>
      <c r="L953" s="41" t="str">
        <f aca="false">IF(A953="","",IF(K953&gt;0,"Delivered",IF(ISNUMBER(SEARCH("CNF",E953)),"In production",IF(J953&gt;0,"Issued",IF(I953&gt;0,"Kitted","Released")))))</f>
        <v/>
      </c>
      <c r="M953" s="41" t="str">
        <f aca="false">IF(G953&lt;&gt;"Yes","",COUNTIFS($B$6:$B$1505,B953,$F$6:$F$1505,"&lt;"&amp;F953)+COUNTIFS($B$6:$B$1505,B953,$F$6:$F$1505,F953,$A$6:$A$1505,"&lt;="&amp;A953))</f>
        <v/>
      </c>
      <c r="N953" s="41" t="str">
        <f aca="false">IF(M953="","",ROUNDUP(M953/H953,0))</f>
        <v/>
      </c>
      <c r="O953" s="41" t="str">
        <f aca="false">IF(N953="","",IF(N953&lt;='Kitting Plan'!$C$3,"Rep "&amp;N953,"Surplus"))</f>
        <v/>
      </c>
    </row>
    <row r="954" customFormat="false" ht="15" hidden="false" customHeight="false" outlineLevel="0" collapsed="false">
      <c r="A954" s="40" t="str">
        <f aca="false">IF(OR($A$4=0,INDEX('COOIS Raw'!$A:$GZ,ROW()-4,$A$4)=""),"",IFERROR(--INDEX('COOIS Raw'!$A:$GZ,ROW()-4,$A$4),INDEX('COOIS Raw'!$A:$GZ,ROW()-4,$A$4)))</f>
        <v/>
      </c>
      <c r="B954" s="41" t="str">
        <f aca="false">IF(A954="","",TRIM(INDEX('COOIS Raw'!$A:$GZ,ROW()-4,$B$4)))</f>
        <v/>
      </c>
      <c r="C954" s="42" t="str">
        <f aca="false">IF(OR(A954="",$C$4=0),"",INDEX('COOIS Raw'!$A:$GZ,ROW()-4,$C$4))</f>
        <v/>
      </c>
      <c r="D954" s="41" t="str">
        <f aca="false">IF(A954="","",IF($D$4=0,1,IFERROR(--INDEX('COOIS Raw'!$A:$GZ,ROW()-4,$D$4),1)))</f>
        <v/>
      </c>
      <c r="E954" s="42" t="str">
        <f aca="false">IF(A954="","",INDEX('COOIS Raw'!$A:$GZ,ROW()-4,$E$4)&amp;"")</f>
        <v/>
      </c>
      <c r="F954" s="43" t="str">
        <f aca="false">IF(A954="","",IFERROR(DATEVALUE(INDEX('COOIS Raw'!$A:$GZ,ROW()-4,$F$4)),INDEX('COOIS Raw'!$A:$GZ,ROW()-4,$F$4)))</f>
        <v/>
      </c>
      <c r="G954" s="41" t="str">
        <f aca="false">IF(A954="","",IF(ISNA(MATCH(B954,'Kitting Plan'!$B$6:$B$19,0)),"Not in plan","Yes"))</f>
        <v/>
      </c>
      <c r="H954" s="41" t="str">
        <f aca="false">IF(G954="Yes",INDEX('Kitting Plan'!$D$6:$D$19,MATCH(B954,'Kitting Plan'!$B$6:$B$19,0)),"")</f>
        <v/>
      </c>
      <c r="I954" s="41" t="str">
        <f aca="false">IF(A954="","",IF(ISNUMBER(SEARCH("PRT",E954)),D954,0))</f>
        <v/>
      </c>
      <c r="J954" s="41" t="str">
        <f aca="false">IF(A954="","",IF(ISNUMBER(SEARCH("GMPS",E954)),D954,0))</f>
        <v/>
      </c>
      <c r="K954" s="41" t="str">
        <f aca="false">IF(A954="","",IF(ISNUMBER(SEARCH("DLV",E954)),D954,0))</f>
        <v/>
      </c>
      <c r="L954" s="41" t="str">
        <f aca="false">IF(A954="","",IF(K954&gt;0,"Delivered",IF(ISNUMBER(SEARCH("CNF",E954)),"In production",IF(J954&gt;0,"Issued",IF(I954&gt;0,"Kitted","Released")))))</f>
        <v/>
      </c>
      <c r="M954" s="41" t="str">
        <f aca="false">IF(G954&lt;&gt;"Yes","",COUNTIFS($B$6:$B$1505,B954,$F$6:$F$1505,"&lt;"&amp;F954)+COUNTIFS($B$6:$B$1505,B954,$F$6:$F$1505,F954,$A$6:$A$1505,"&lt;="&amp;A954))</f>
        <v/>
      </c>
      <c r="N954" s="41" t="str">
        <f aca="false">IF(M954="","",ROUNDUP(M954/H954,0))</f>
        <v/>
      </c>
      <c r="O954" s="41" t="str">
        <f aca="false">IF(N954="","",IF(N954&lt;='Kitting Plan'!$C$3,"Rep "&amp;N954,"Surplus"))</f>
        <v/>
      </c>
    </row>
    <row r="955" customFormat="false" ht="15" hidden="false" customHeight="false" outlineLevel="0" collapsed="false">
      <c r="A955" s="40" t="str">
        <f aca="false">IF(OR($A$4=0,INDEX('COOIS Raw'!$A:$GZ,ROW()-4,$A$4)=""),"",IFERROR(--INDEX('COOIS Raw'!$A:$GZ,ROW()-4,$A$4),INDEX('COOIS Raw'!$A:$GZ,ROW()-4,$A$4)))</f>
        <v/>
      </c>
      <c r="B955" s="41" t="str">
        <f aca="false">IF(A955="","",TRIM(INDEX('COOIS Raw'!$A:$GZ,ROW()-4,$B$4)))</f>
        <v/>
      </c>
      <c r="C955" s="42" t="str">
        <f aca="false">IF(OR(A955="",$C$4=0),"",INDEX('COOIS Raw'!$A:$GZ,ROW()-4,$C$4))</f>
        <v/>
      </c>
      <c r="D955" s="41" t="str">
        <f aca="false">IF(A955="","",IF($D$4=0,1,IFERROR(--INDEX('COOIS Raw'!$A:$GZ,ROW()-4,$D$4),1)))</f>
        <v/>
      </c>
      <c r="E955" s="42" t="str">
        <f aca="false">IF(A955="","",INDEX('COOIS Raw'!$A:$GZ,ROW()-4,$E$4)&amp;"")</f>
        <v/>
      </c>
      <c r="F955" s="43" t="str">
        <f aca="false">IF(A955="","",IFERROR(DATEVALUE(INDEX('COOIS Raw'!$A:$GZ,ROW()-4,$F$4)),INDEX('COOIS Raw'!$A:$GZ,ROW()-4,$F$4)))</f>
        <v/>
      </c>
      <c r="G955" s="41" t="str">
        <f aca="false">IF(A955="","",IF(ISNA(MATCH(B955,'Kitting Plan'!$B$6:$B$19,0)),"Not in plan","Yes"))</f>
        <v/>
      </c>
      <c r="H955" s="41" t="str">
        <f aca="false">IF(G955="Yes",INDEX('Kitting Plan'!$D$6:$D$19,MATCH(B955,'Kitting Plan'!$B$6:$B$19,0)),"")</f>
        <v/>
      </c>
      <c r="I955" s="41" t="str">
        <f aca="false">IF(A955="","",IF(ISNUMBER(SEARCH("PRT",E955)),D955,0))</f>
        <v/>
      </c>
      <c r="J955" s="41" t="str">
        <f aca="false">IF(A955="","",IF(ISNUMBER(SEARCH("GMPS",E955)),D955,0))</f>
        <v/>
      </c>
      <c r="K955" s="41" t="str">
        <f aca="false">IF(A955="","",IF(ISNUMBER(SEARCH("DLV",E955)),D955,0))</f>
        <v/>
      </c>
      <c r="L955" s="41" t="str">
        <f aca="false">IF(A955="","",IF(K955&gt;0,"Delivered",IF(ISNUMBER(SEARCH("CNF",E955)),"In production",IF(J955&gt;0,"Issued",IF(I955&gt;0,"Kitted","Released")))))</f>
        <v/>
      </c>
      <c r="M955" s="41" t="str">
        <f aca="false">IF(G955&lt;&gt;"Yes","",COUNTIFS($B$6:$B$1505,B955,$F$6:$F$1505,"&lt;"&amp;F955)+COUNTIFS($B$6:$B$1505,B955,$F$6:$F$1505,F955,$A$6:$A$1505,"&lt;="&amp;A955))</f>
        <v/>
      </c>
      <c r="N955" s="41" t="str">
        <f aca="false">IF(M955="","",ROUNDUP(M955/H955,0))</f>
        <v/>
      </c>
      <c r="O955" s="41" t="str">
        <f aca="false">IF(N955="","",IF(N955&lt;='Kitting Plan'!$C$3,"Rep "&amp;N955,"Surplus"))</f>
        <v/>
      </c>
    </row>
    <row r="956" customFormat="false" ht="15" hidden="false" customHeight="false" outlineLevel="0" collapsed="false">
      <c r="A956" s="40" t="str">
        <f aca="false">IF(OR($A$4=0,INDEX('COOIS Raw'!$A:$GZ,ROW()-4,$A$4)=""),"",IFERROR(--INDEX('COOIS Raw'!$A:$GZ,ROW()-4,$A$4),INDEX('COOIS Raw'!$A:$GZ,ROW()-4,$A$4)))</f>
        <v/>
      </c>
      <c r="B956" s="41" t="str">
        <f aca="false">IF(A956="","",TRIM(INDEX('COOIS Raw'!$A:$GZ,ROW()-4,$B$4)))</f>
        <v/>
      </c>
      <c r="C956" s="42" t="str">
        <f aca="false">IF(OR(A956="",$C$4=0),"",INDEX('COOIS Raw'!$A:$GZ,ROW()-4,$C$4))</f>
        <v/>
      </c>
      <c r="D956" s="41" t="str">
        <f aca="false">IF(A956="","",IF($D$4=0,1,IFERROR(--INDEX('COOIS Raw'!$A:$GZ,ROW()-4,$D$4),1)))</f>
        <v/>
      </c>
      <c r="E956" s="42" t="str">
        <f aca="false">IF(A956="","",INDEX('COOIS Raw'!$A:$GZ,ROW()-4,$E$4)&amp;"")</f>
        <v/>
      </c>
      <c r="F956" s="43" t="str">
        <f aca="false">IF(A956="","",IFERROR(DATEVALUE(INDEX('COOIS Raw'!$A:$GZ,ROW()-4,$F$4)),INDEX('COOIS Raw'!$A:$GZ,ROW()-4,$F$4)))</f>
        <v/>
      </c>
      <c r="G956" s="41" t="str">
        <f aca="false">IF(A956="","",IF(ISNA(MATCH(B956,'Kitting Plan'!$B$6:$B$19,0)),"Not in plan","Yes"))</f>
        <v/>
      </c>
      <c r="H956" s="41" t="str">
        <f aca="false">IF(G956="Yes",INDEX('Kitting Plan'!$D$6:$D$19,MATCH(B956,'Kitting Plan'!$B$6:$B$19,0)),"")</f>
        <v/>
      </c>
      <c r="I956" s="41" t="str">
        <f aca="false">IF(A956="","",IF(ISNUMBER(SEARCH("PRT",E956)),D956,0))</f>
        <v/>
      </c>
      <c r="J956" s="41" t="str">
        <f aca="false">IF(A956="","",IF(ISNUMBER(SEARCH("GMPS",E956)),D956,0))</f>
        <v/>
      </c>
      <c r="K956" s="41" t="str">
        <f aca="false">IF(A956="","",IF(ISNUMBER(SEARCH("DLV",E956)),D956,0))</f>
        <v/>
      </c>
      <c r="L956" s="41" t="str">
        <f aca="false">IF(A956="","",IF(K956&gt;0,"Delivered",IF(ISNUMBER(SEARCH("CNF",E956)),"In production",IF(J956&gt;0,"Issued",IF(I956&gt;0,"Kitted","Released")))))</f>
        <v/>
      </c>
      <c r="M956" s="41" t="str">
        <f aca="false">IF(G956&lt;&gt;"Yes","",COUNTIFS($B$6:$B$1505,B956,$F$6:$F$1505,"&lt;"&amp;F956)+COUNTIFS($B$6:$B$1505,B956,$F$6:$F$1505,F956,$A$6:$A$1505,"&lt;="&amp;A956))</f>
        <v/>
      </c>
      <c r="N956" s="41" t="str">
        <f aca="false">IF(M956="","",ROUNDUP(M956/H956,0))</f>
        <v/>
      </c>
      <c r="O956" s="41" t="str">
        <f aca="false">IF(N956="","",IF(N956&lt;='Kitting Plan'!$C$3,"Rep "&amp;N956,"Surplus"))</f>
        <v/>
      </c>
    </row>
    <row r="957" customFormat="false" ht="15" hidden="false" customHeight="false" outlineLevel="0" collapsed="false">
      <c r="A957" s="40" t="str">
        <f aca="false">IF(OR($A$4=0,INDEX('COOIS Raw'!$A:$GZ,ROW()-4,$A$4)=""),"",IFERROR(--INDEX('COOIS Raw'!$A:$GZ,ROW()-4,$A$4),INDEX('COOIS Raw'!$A:$GZ,ROW()-4,$A$4)))</f>
        <v/>
      </c>
      <c r="B957" s="41" t="str">
        <f aca="false">IF(A957="","",TRIM(INDEX('COOIS Raw'!$A:$GZ,ROW()-4,$B$4)))</f>
        <v/>
      </c>
      <c r="C957" s="42" t="str">
        <f aca="false">IF(OR(A957="",$C$4=0),"",INDEX('COOIS Raw'!$A:$GZ,ROW()-4,$C$4))</f>
        <v/>
      </c>
      <c r="D957" s="41" t="str">
        <f aca="false">IF(A957="","",IF($D$4=0,1,IFERROR(--INDEX('COOIS Raw'!$A:$GZ,ROW()-4,$D$4),1)))</f>
        <v/>
      </c>
      <c r="E957" s="42" t="str">
        <f aca="false">IF(A957="","",INDEX('COOIS Raw'!$A:$GZ,ROW()-4,$E$4)&amp;"")</f>
        <v/>
      </c>
      <c r="F957" s="43" t="str">
        <f aca="false">IF(A957="","",IFERROR(DATEVALUE(INDEX('COOIS Raw'!$A:$GZ,ROW()-4,$F$4)),INDEX('COOIS Raw'!$A:$GZ,ROW()-4,$F$4)))</f>
        <v/>
      </c>
      <c r="G957" s="41" t="str">
        <f aca="false">IF(A957="","",IF(ISNA(MATCH(B957,'Kitting Plan'!$B$6:$B$19,0)),"Not in plan","Yes"))</f>
        <v/>
      </c>
      <c r="H957" s="41" t="str">
        <f aca="false">IF(G957="Yes",INDEX('Kitting Plan'!$D$6:$D$19,MATCH(B957,'Kitting Plan'!$B$6:$B$19,0)),"")</f>
        <v/>
      </c>
      <c r="I957" s="41" t="str">
        <f aca="false">IF(A957="","",IF(ISNUMBER(SEARCH("PRT",E957)),D957,0))</f>
        <v/>
      </c>
      <c r="J957" s="41" t="str">
        <f aca="false">IF(A957="","",IF(ISNUMBER(SEARCH("GMPS",E957)),D957,0))</f>
        <v/>
      </c>
      <c r="K957" s="41" t="str">
        <f aca="false">IF(A957="","",IF(ISNUMBER(SEARCH("DLV",E957)),D957,0))</f>
        <v/>
      </c>
      <c r="L957" s="41" t="str">
        <f aca="false">IF(A957="","",IF(K957&gt;0,"Delivered",IF(ISNUMBER(SEARCH("CNF",E957)),"In production",IF(J957&gt;0,"Issued",IF(I957&gt;0,"Kitted","Released")))))</f>
        <v/>
      </c>
      <c r="M957" s="41" t="str">
        <f aca="false">IF(G957&lt;&gt;"Yes","",COUNTIFS($B$6:$B$1505,B957,$F$6:$F$1505,"&lt;"&amp;F957)+COUNTIFS($B$6:$B$1505,B957,$F$6:$F$1505,F957,$A$6:$A$1505,"&lt;="&amp;A957))</f>
        <v/>
      </c>
      <c r="N957" s="41" t="str">
        <f aca="false">IF(M957="","",ROUNDUP(M957/H957,0))</f>
        <v/>
      </c>
      <c r="O957" s="41" t="str">
        <f aca="false">IF(N957="","",IF(N957&lt;='Kitting Plan'!$C$3,"Rep "&amp;N957,"Surplus"))</f>
        <v/>
      </c>
    </row>
    <row r="958" customFormat="false" ht="15" hidden="false" customHeight="false" outlineLevel="0" collapsed="false">
      <c r="A958" s="40" t="str">
        <f aca="false">IF(OR($A$4=0,INDEX('COOIS Raw'!$A:$GZ,ROW()-4,$A$4)=""),"",IFERROR(--INDEX('COOIS Raw'!$A:$GZ,ROW()-4,$A$4),INDEX('COOIS Raw'!$A:$GZ,ROW()-4,$A$4)))</f>
        <v/>
      </c>
      <c r="B958" s="41" t="str">
        <f aca="false">IF(A958="","",TRIM(INDEX('COOIS Raw'!$A:$GZ,ROW()-4,$B$4)))</f>
        <v/>
      </c>
      <c r="C958" s="42" t="str">
        <f aca="false">IF(OR(A958="",$C$4=0),"",INDEX('COOIS Raw'!$A:$GZ,ROW()-4,$C$4))</f>
        <v/>
      </c>
      <c r="D958" s="41" t="str">
        <f aca="false">IF(A958="","",IF($D$4=0,1,IFERROR(--INDEX('COOIS Raw'!$A:$GZ,ROW()-4,$D$4),1)))</f>
        <v/>
      </c>
      <c r="E958" s="42" t="str">
        <f aca="false">IF(A958="","",INDEX('COOIS Raw'!$A:$GZ,ROW()-4,$E$4)&amp;"")</f>
        <v/>
      </c>
      <c r="F958" s="43" t="str">
        <f aca="false">IF(A958="","",IFERROR(DATEVALUE(INDEX('COOIS Raw'!$A:$GZ,ROW()-4,$F$4)),INDEX('COOIS Raw'!$A:$GZ,ROW()-4,$F$4)))</f>
        <v/>
      </c>
      <c r="G958" s="41" t="str">
        <f aca="false">IF(A958="","",IF(ISNA(MATCH(B958,'Kitting Plan'!$B$6:$B$19,0)),"Not in plan","Yes"))</f>
        <v/>
      </c>
      <c r="H958" s="41" t="str">
        <f aca="false">IF(G958="Yes",INDEX('Kitting Plan'!$D$6:$D$19,MATCH(B958,'Kitting Plan'!$B$6:$B$19,0)),"")</f>
        <v/>
      </c>
      <c r="I958" s="41" t="str">
        <f aca="false">IF(A958="","",IF(ISNUMBER(SEARCH("PRT",E958)),D958,0))</f>
        <v/>
      </c>
      <c r="J958" s="41" t="str">
        <f aca="false">IF(A958="","",IF(ISNUMBER(SEARCH("GMPS",E958)),D958,0))</f>
        <v/>
      </c>
      <c r="K958" s="41" t="str">
        <f aca="false">IF(A958="","",IF(ISNUMBER(SEARCH("DLV",E958)),D958,0))</f>
        <v/>
      </c>
      <c r="L958" s="41" t="str">
        <f aca="false">IF(A958="","",IF(K958&gt;0,"Delivered",IF(ISNUMBER(SEARCH("CNF",E958)),"In production",IF(J958&gt;0,"Issued",IF(I958&gt;0,"Kitted","Released")))))</f>
        <v/>
      </c>
      <c r="M958" s="41" t="str">
        <f aca="false">IF(G958&lt;&gt;"Yes","",COUNTIFS($B$6:$B$1505,B958,$F$6:$F$1505,"&lt;"&amp;F958)+COUNTIFS($B$6:$B$1505,B958,$F$6:$F$1505,F958,$A$6:$A$1505,"&lt;="&amp;A958))</f>
        <v/>
      </c>
      <c r="N958" s="41" t="str">
        <f aca="false">IF(M958="","",ROUNDUP(M958/H958,0))</f>
        <v/>
      </c>
      <c r="O958" s="41" t="str">
        <f aca="false">IF(N958="","",IF(N958&lt;='Kitting Plan'!$C$3,"Rep "&amp;N958,"Surplus"))</f>
        <v/>
      </c>
    </row>
    <row r="959" customFormat="false" ht="15" hidden="false" customHeight="false" outlineLevel="0" collapsed="false">
      <c r="A959" s="40" t="str">
        <f aca="false">IF(OR($A$4=0,INDEX('COOIS Raw'!$A:$GZ,ROW()-4,$A$4)=""),"",IFERROR(--INDEX('COOIS Raw'!$A:$GZ,ROW()-4,$A$4),INDEX('COOIS Raw'!$A:$GZ,ROW()-4,$A$4)))</f>
        <v/>
      </c>
      <c r="B959" s="41" t="str">
        <f aca="false">IF(A959="","",TRIM(INDEX('COOIS Raw'!$A:$GZ,ROW()-4,$B$4)))</f>
        <v/>
      </c>
      <c r="C959" s="42" t="str">
        <f aca="false">IF(OR(A959="",$C$4=0),"",INDEX('COOIS Raw'!$A:$GZ,ROW()-4,$C$4))</f>
        <v/>
      </c>
      <c r="D959" s="41" t="str">
        <f aca="false">IF(A959="","",IF($D$4=0,1,IFERROR(--INDEX('COOIS Raw'!$A:$GZ,ROW()-4,$D$4),1)))</f>
        <v/>
      </c>
      <c r="E959" s="42" t="str">
        <f aca="false">IF(A959="","",INDEX('COOIS Raw'!$A:$GZ,ROW()-4,$E$4)&amp;"")</f>
        <v/>
      </c>
      <c r="F959" s="43" t="str">
        <f aca="false">IF(A959="","",IFERROR(DATEVALUE(INDEX('COOIS Raw'!$A:$GZ,ROW()-4,$F$4)),INDEX('COOIS Raw'!$A:$GZ,ROW()-4,$F$4)))</f>
        <v/>
      </c>
      <c r="G959" s="41" t="str">
        <f aca="false">IF(A959="","",IF(ISNA(MATCH(B959,'Kitting Plan'!$B$6:$B$19,0)),"Not in plan","Yes"))</f>
        <v/>
      </c>
      <c r="H959" s="41" t="str">
        <f aca="false">IF(G959="Yes",INDEX('Kitting Plan'!$D$6:$D$19,MATCH(B959,'Kitting Plan'!$B$6:$B$19,0)),"")</f>
        <v/>
      </c>
      <c r="I959" s="41" t="str">
        <f aca="false">IF(A959="","",IF(ISNUMBER(SEARCH("PRT",E959)),D959,0))</f>
        <v/>
      </c>
      <c r="J959" s="41" t="str">
        <f aca="false">IF(A959="","",IF(ISNUMBER(SEARCH("GMPS",E959)),D959,0))</f>
        <v/>
      </c>
      <c r="K959" s="41" t="str">
        <f aca="false">IF(A959="","",IF(ISNUMBER(SEARCH("DLV",E959)),D959,0))</f>
        <v/>
      </c>
      <c r="L959" s="41" t="str">
        <f aca="false">IF(A959="","",IF(K959&gt;0,"Delivered",IF(ISNUMBER(SEARCH("CNF",E959)),"In production",IF(J959&gt;0,"Issued",IF(I959&gt;0,"Kitted","Released")))))</f>
        <v/>
      </c>
      <c r="M959" s="41" t="str">
        <f aca="false">IF(G959&lt;&gt;"Yes","",COUNTIFS($B$6:$B$1505,B959,$F$6:$F$1505,"&lt;"&amp;F959)+COUNTIFS($B$6:$B$1505,B959,$F$6:$F$1505,F959,$A$6:$A$1505,"&lt;="&amp;A959))</f>
        <v/>
      </c>
      <c r="N959" s="41" t="str">
        <f aca="false">IF(M959="","",ROUNDUP(M959/H959,0))</f>
        <v/>
      </c>
      <c r="O959" s="41" t="str">
        <f aca="false">IF(N959="","",IF(N959&lt;='Kitting Plan'!$C$3,"Rep "&amp;N959,"Surplus"))</f>
        <v/>
      </c>
    </row>
    <row r="960" customFormat="false" ht="15" hidden="false" customHeight="false" outlineLevel="0" collapsed="false">
      <c r="A960" s="40" t="str">
        <f aca="false">IF(OR($A$4=0,INDEX('COOIS Raw'!$A:$GZ,ROW()-4,$A$4)=""),"",IFERROR(--INDEX('COOIS Raw'!$A:$GZ,ROW()-4,$A$4),INDEX('COOIS Raw'!$A:$GZ,ROW()-4,$A$4)))</f>
        <v/>
      </c>
      <c r="B960" s="41" t="str">
        <f aca="false">IF(A960="","",TRIM(INDEX('COOIS Raw'!$A:$GZ,ROW()-4,$B$4)))</f>
        <v/>
      </c>
      <c r="C960" s="42" t="str">
        <f aca="false">IF(OR(A960="",$C$4=0),"",INDEX('COOIS Raw'!$A:$GZ,ROW()-4,$C$4))</f>
        <v/>
      </c>
      <c r="D960" s="41" t="str">
        <f aca="false">IF(A960="","",IF($D$4=0,1,IFERROR(--INDEX('COOIS Raw'!$A:$GZ,ROW()-4,$D$4),1)))</f>
        <v/>
      </c>
      <c r="E960" s="42" t="str">
        <f aca="false">IF(A960="","",INDEX('COOIS Raw'!$A:$GZ,ROW()-4,$E$4)&amp;"")</f>
        <v/>
      </c>
      <c r="F960" s="43" t="str">
        <f aca="false">IF(A960="","",IFERROR(DATEVALUE(INDEX('COOIS Raw'!$A:$GZ,ROW()-4,$F$4)),INDEX('COOIS Raw'!$A:$GZ,ROW()-4,$F$4)))</f>
        <v/>
      </c>
      <c r="G960" s="41" t="str">
        <f aca="false">IF(A960="","",IF(ISNA(MATCH(B960,'Kitting Plan'!$B$6:$B$19,0)),"Not in plan","Yes"))</f>
        <v/>
      </c>
      <c r="H960" s="41" t="str">
        <f aca="false">IF(G960="Yes",INDEX('Kitting Plan'!$D$6:$D$19,MATCH(B960,'Kitting Plan'!$B$6:$B$19,0)),"")</f>
        <v/>
      </c>
      <c r="I960" s="41" t="str">
        <f aca="false">IF(A960="","",IF(ISNUMBER(SEARCH("PRT",E960)),D960,0))</f>
        <v/>
      </c>
      <c r="J960" s="41" t="str">
        <f aca="false">IF(A960="","",IF(ISNUMBER(SEARCH("GMPS",E960)),D960,0))</f>
        <v/>
      </c>
      <c r="K960" s="41" t="str">
        <f aca="false">IF(A960="","",IF(ISNUMBER(SEARCH("DLV",E960)),D960,0))</f>
        <v/>
      </c>
      <c r="L960" s="41" t="str">
        <f aca="false">IF(A960="","",IF(K960&gt;0,"Delivered",IF(ISNUMBER(SEARCH("CNF",E960)),"In production",IF(J960&gt;0,"Issued",IF(I960&gt;0,"Kitted","Released")))))</f>
        <v/>
      </c>
      <c r="M960" s="41" t="str">
        <f aca="false">IF(G960&lt;&gt;"Yes","",COUNTIFS($B$6:$B$1505,B960,$F$6:$F$1505,"&lt;"&amp;F960)+COUNTIFS($B$6:$B$1505,B960,$F$6:$F$1505,F960,$A$6:$A$1505,"&lt;="&amp;A960))</f>
        <v/>
      </c>
      <c r="N960" s="41" t="str">
        <f aca="false">IF(M960="","",ROUNDUP(M960/H960,0))</f>
        <v/>
      </c>
      <c r="O960" s="41" t="str">
        <f aca="false">IF(N960="","",IF(N960&lt;='Kitting Plan'!$C$3,"Rep "&amp;N960,"Surplus"))</f>
        <v/>
      </c>
    </row>
    <row r="961" customFormat="false" ht="15" hidden="false" customHeight="false" outlineLevel="0" collapsed="false">
      <c r="A961" s="40" t="str">
        <f aca="false">IF(OR($A$4=0,INDEX('COOIS Raw'!$A:$GZ,ROW()-4,$A$4)=""),"",IFERROR(--INDEX('COOIS Raw'!$A:$GZ,ROW()-4,$A$4),INDEX('COOIS Raw'!$A:$GZ,ROW()-4,$A$4)))</f>
        <v/>
      </c>
      <c r="B961" s="41" t="str">
        <f aca="false">IF(A961="","",TRIM(INDEX('COOIS Raw'!$A:$GZ,ROW()-4,$B$4)))</f>
        <v/>
      </c>
      <c r="C961" s="42" t="str">
        <f aca="false">IF(OR(A961="",$C$4=0),"",INDEX('COOIS Raw'!$A:$GZ,ROW()-4,$C$4))</f>
        <v/>
      </c>
      <c r="D961" s="41" t="str">
        <f aca="false">IF(A961="","",IF($D$4=0,1,IFERROR(--INDEX('COOIS Raw'!$A:$GZ,ROW()-4,$D$4),1)))</f>
        <v/>
      </c>
      <c r="E961" s="42" t="str">
        <f aca="false">IF(A961="","",INDEX('COOIS Raw'!$A:$GZ,ROW()-4,$E$4)&amp;"")</f>
        <v/>
      </c>
      <c r="F961" s="43" t="str">
        <f aca="false">IF(A961="","",IFERROR(DATEVALUE(INDEX('COOIS Raw'!$A:$GZ,ROW()-4,$F$4)),INDEX('COOIS Raw'!$A:$GZ,ROW()-4,$F$4)))</f>
        <v/>
      </c>
      <c r="G961" s="41" t="str">
        <f aca="false">IF(A961="","",IF(ISNA(MATCH(B961,'Kitting Plan'!$B$6:$B$19,0)),"Not in plan","Yes"))</f>
        <v/>
      </c>
      <c r="H961" s="41" t="str">
        <f aca="false">IF(G961="Yes",INDEX('Kitting Plan'!$D$6:$D$19,MATCH(B961,'Kitting Plan'!$B$6:$B$19,0)),"")</f>
        <v/>
      </c>
      <c r="I961" s="41" t="str">
        <f aca="false">IF(A961="","",IF(ISNUMBER(SEARCH("PRT",E961)),D961,0))</f>
        <v/>
      </c>
      <c r="J961" s="41" t="str">
        <f aca="false">IF(A961="","",IF(ISNUMBER(SEARCH("GMPS",E961)),D961,0))</f>
        <v/>
      </c>
      <c r="K961" s="41" t="str">
        <f aca="false">IF(A961="","",IF(ISNUMBER(SEARCH("DLV",E961)),D961,0))</f>
        <v/>
      </c>
      <c r="L961" s="41" t="str">
        <f aca="false">IF(A961="","",IF(K961&gt;0,"Delivered",IF(ISNUMBER(SEARCH("CNF",E961)),"In production",IF(J961&gt;0,"Issued",IF(I961&gt;0,"Kitted","Released")))))</f>
        <v/>
      </c>
      <c r="M961" s="41" t="str">
        <f aca="false">IF(G961&lt;&gt;"Yes","",COUNTIFS($B$6:$B$1505,B961,$F$6:$F$1505,"&lt;"&amp;F961)+COUNTIFS($B$6:$B$1505,B961,$F$6:$F$1505,F961,$A$6:$A$1505,"&lt;="&amp;A961))</f>
        <v/>
      </c>
      <c r="N961" s="41" t="str">
        <f aca="false">IF(M961="","",ROUNDUP(M961/H961,0))</f>
        <v/>
      </c>
      <c r="O961" s="41" t="str">
        <f aca="false">IF(N961="","",IF(N961&lt;='Kitting Plan'!$C$3,"Rep "&amp;N961,"Surplus"))</f>
        <v/>
      </c>
    </row>
    <row r="962" customFormat="false" ht="15" hidden="false" customHeight="false" outlineLevel="0" collapsed="false">
      <c r="A962" s="40" t="str">
        <f aca="false">IF(OR($A$4=0,INDEX('COOIS Raw'!$A:$GZ,ROW()-4,$A$4)=""),"",IFERROR(--INDEX('COOIS Raw'!$A:$GZ,ROW()-4,$A$4),INDEX('COOIS Raw'!$A:$GZ,ROW()-4,$A$4)))</f>
        <v/>
      </c>
      <c r="B962" s="41" t="str">
        <f aca="false">IF(A962="","",TRIM(INDEX('COOIS Raw'!$A:$GZ,ROW()-4,$B$4)))</f>
        <v/>
      </c>
      <c r="C962" s="42" t="str">
        <f aca="false">IF(OR(A962="",$C$4=0),"",INDEX('COOIS Raw'!$A:$GZ,ROW()-4,$C$4))</f>
        <v/>
      </c>
      <c r="D962" s="41" t="str">
        <f aca="false">IF(A962="","",IF($D$4=0,1,IFERROR(--INDEX('COOIS Raw'!$A:$GZ,ROW()-4,$D$4),1)))</f>
        <v/>
      </c>
      <c r="E962" s="42" t="str">
        <f aca="false">IF(A962="","",INDEX('COOIS Raw'!$A:$GZ,ROW()-4,$E$4)&amp;"")</f>
        <v/>
      </c>
      <c r="F962" s="43" t="str">
        <f aca="false">IF(A962="","",IFERROR(DATEVALUE(INDEX('COOIS Raw'!$A:$GZ,ROW()-4,$F$4)),INDEX('COOIS Raw'!$A:$GZ,ROW()-4,$F$4)))</f>
        <v/>
      </c>
      <c r="G962" s="41" t="str">
        <f aca="false">IF(A962="","",IF(ISNA(MATCH(B962,'Kitting Plan'!$B$6:$B$19,0)),"Not in plan","Yes"))</f>
        <v/>
      </c>
      <c r="H962" s="41" t="str">
        <f aca="false">IF(G962="Yes",INDEX('Kitting Plan'!$D$6:$D$19,MATCH(B962,'Kitting Plan'!$B$6:$B$19,0)),"")</f>
        <v/>
      </c>
      <c r="I962" s="41" t="str">
        <f aca="false">IF(A962="","",IF(ISNUMBER(SEARCH("PRT",E962)),D962,0))</f>
        <v/>
      </c>
      <c r="J962" s="41" t="str">
        <f aca="false">IF(A962="","",IF(ISNUMBER(SEARCH("GMPS",E962)),D962,0))</f>
        <v/>
      </c>
      <c r="K962" s="41" t="str">
        <f aca="false">IF(A962="","",IF(ISNUMBER(SEARCH("DLV",E962)),D962,0))</f>
        <v/>
      </c>
      <c r="L962" s="41" t="str">
        <f aca="false">IF(A962="","",IF(K962&gt;0,"Delivered",IF(ISNUMBER(SEARCH("CNF",E962)),"In production",IF(J962&gt;0,"Issued",IF(I962&gt;0,"Kitted","Released")))))</f>
        <v/>
      </c>
      <c r="M962" s="41" t="str">
        <f aca="false">IF(G962&lt;&gt;"Yes","",COUNTIFS($B$6:$B$1505,B962,$F$6:$F$1505,"&lt;"&amp;F962)+COUNTIFS($B$6:$B$1505,B962,$F$6:$F$1505,F962,$A$6:$A$1505,"&lt;="&amp;A962))</f>
        <v/>
      </c>
      <c r="N962" s="41" t="str">
        <f aca="false">IF(M962="","",ROUNDUP(M962/H962,0))</f>
        <v/>
      </c>
      <c r="O962" s="41" t="str">
        <f aca="false">IF(N962="","",IF(N962&lt;='Kitting Plan'!$C$3,"Rep "&amp;N962,"Surplus"))</f>
        <v/>
      </c>
    </row>
    <row r="963" customFormat="false" ht="15" hidden="false" customHeight="false" outlineLevel="0" collapsed="false">
      <c r="A963" s="40" t="str">
        <f aca="false">IF(OR($A$4=0,INDEX('COOIS Raw'!$A:$GZ,ROW()-4,$A$4)=""),"",IFERROR(--INDEX('COOIS Raw'!$A:$GZ,ROW()-4,$A$4),INDEX('COOIS Raw'!$A:$GZ,ROW()-4,$A$4)))</f>
        <v/>
      </c>
      <c r="B963" s="41" t="str">
        <f aca="false">IF(A963="","",TRIM(INDEX('COOIS Raw'!$A:$GZ,ROW()-4,$B$4)))</f>
        <v/>
      </c>
      <c r="C963" s="42" t="str">
        <f aca="false">IF(OR(A963="",$C$4=0),"",INDEX('COOIS Raw'!$A:$GZ,ROW()-4,$C$4))</f>
        <v/>
      </c>
      <c r="D963" s="41" t="str">
        <f aca="false">IF(A963="","",IF($D$4=0,1,IFERROR(--INDEX('COOIS Raw'!$A:$GZ,ROW()-4,$D$4),1)))</f>
        <v/>
      </c>
      <c r="E963" s="42" t="str">
        <f aca="false">IF(A963="","",INDEX('COOIS Raw'!$A:$GZ,ROW()-4,$E$4)&amp;"")</f>
        <v/>
      </c>
      <c r="F963" s="43" t="str">
        <f aca="false">IF(A963="","",IFERROR(DATEVALUE(INDEX('COOIS Raw'!$A:$GZ,ROW()-4,$F$4)),INDEX('COOIS Raw'!$A:$GZ,ROW()-4,$F$4)))</f>
        <v/>
      </c>
      <c r="G963" s="41" t="str">
        <f aca="false">IF(A963="","",IF(ISNA(MATCH(B963,'Kitting Plan'!$B$6:$B$19,0)),"Not in plan","Yes"))</f>
        <v/>
      </c>
      <c r="H963" s="41" t="str">
        <f aca="false">IF(G963="Yes",INDEX('Kitting Plan'!$D$6:$D$19,MATCH(B963,'Kitting Plan'!$B$6:$B$19,0)),"")</f>
        <v/>
      </c>
      <c r="I963" s="41" t="str">
        <f aca="false">IF(A963="","",IF(ISNUMBER(SEARCH("PRT",E963)),D963,0))</f>
        <v/>
      </c>
      <c r="J963" s="41" t="str">
        <f aca="false">IF(A963="","",IF(ISNUMBER(SEARCH("GMPS",E963)),D963,0))</f>
        <v/>
      </c>
      <c r="K963" s="41" t="str">
        <f aca="false">IF(A963="","",IF(ISNUMBER(SEARCH("DLV",E963)),D963,0))</f>
        <v/>
      </c>
      <c r="L963" s="41" t="str">
        <f aca="false">IF(A963="","",IF(K963&gt;0,"Delivered",IF(ISNUMBER(SEARCH("CNF",E963)),"In production",IF(J963&gt;0,"Issued",IF(I963&gt;0,"Kitted","Released")))))</f>
        <v/>
      </c>
      <c r="M963" s="41" t="str">
        <f aca="false">IF(G963&lt;&gt;"Yes","",COUNTIFS($B$6:$B$1505,B963,$F$6:$F$1505,"&lt;"&amp;F963)+COUNTIFS($B$6:$B$1505,B963,$F$6:$F$1505,F963,$A$6:$A$1505,"&lt;="&amp;A963))</f>
        <v/>
      </c>
      <c r="N963" s="41" t="str">
        <f aca="false">IF(M963="","",ROUNDUP(M963/H963,0))</f>
        <v/>
      </c>
      <c r="O963" s="41" t="str">
        <f aca="false">IF(N963="","",IF(N963&lt;='Kitting Plan'!$C$3,"Rep "&amp;N963,"Surplus"))</f>
        <v/>
      </c>
    </row>
    <row r="964" customFormat="false" ht="15" hidden="false" customHeight="false" outlineLevel="0" collapsed="false">
      <c r="A964" s="40" t="str">
        <f aca="false">IF(OR($A$4=0,INDEX('COOIS Raw'!$A:$GZ,ROW()-4,$A$4)=""),"",IFERROR(--INDEX('COOIS Raw'!$A:$GZ,ROW()-4,$A$4),INDEX('COOIS Raw'!$A:$GZ,ROW()-4,$A$4)))</f>
        <v/>
      </c>
      <c r="B964" s="41" t="str">
        <f aca="false">IF(A964="","",TRIM(INDEX('COOIS Raw'!$A:$GZ,ROW()-4,$B$4)))</f>
        <v/>
      </c>
      <c r="C964" s="42" t="str">
        <f aca="false">IF(OR(A964="",$C$4=0),"",INDEX('COOIS Raw'!$A:$GZ,ROW()-4,$C$4))</f>
        <v/>
      </c>
      <c r="D964" s="41" t="str">
        <f aca="false">IF(A964="","",IF($D$4=0,1,IFERROR(--INDEX('COOIS Raw'!$A:$GZ,ROW()-4,$D$4),1)))</f>
        <v/>
      </c>
      <c r="E964" s="42" t="str">
        <f aca="false">IF(A964="","",INDEX('COOIS Raw'!$A:$GZ,ROW()-4,$E$4)&amp;"")</f>
        <v/>
      </c>
      <c r="F964" s="43" t="str">
        <f aca="false">IF(A964="","",IFERROR(DATEVALUE(INDEX('COOIS Raw'!$A:$GZ,ROW()-4,$F$4)),INDEX('COOIS Raw'!$A:$GZ,ROW()-4,$F$4)))</f>
        <v/>
      </c>
      <c r="G964" s="41" t="str">
        <f aca="false">IF(A964="","",IF(ISNA(MATCH(B964,'Kitting Plan'!$B$6:$B$19,0)),"Not in plan","Yes"))</f>
        <v/>
      </c>
      <c r="H964" s="41" t="str">
        <f aca="false">IF(G964="Yes",INDEX('Kitting Plan'!$D$6:$D$19,MATCH(B964,'Kitting Plan'!$B$6:$B$19,0)),"")</f>
        <v/>
      </c>
      <c r="I964" s="41" t="str">
        <f aca="false">IF(A964="","",IF(ISNUMBER(SEARCH("PRT",E964)),D964,0))</f>
        <v/>
      </c>
      <c r="J964" s="41" t="str">
        <f aca="false">IF(A964="","",IF(ISNUMBER(SEARCH("GMPS",E964)),D964,0))</f>
        <v/>
      </c>
      <c r="K964" s="41" t="str">
        <f aca="false">IF(A964="","",IF(ISNUMBER(SEARCH("DLV",E964)),D964,0))</f>
        <v/>
      </c>
      <c r="L964" s="41" t="str">
        <f aca="false">IF(A964="","",IF(K964&gt;0,"Delivered",IF(ISNUMBER(SEARCH("CNF",E964)),"In production",IF(J964&gt;0,"Issued",IF(I964&gt;0,"Kitted","Released")))))</f>
        <v/>
      </c>
      <c r="M964" s="41" t="str">
        <f aca="false">IF(G964&lt;&gt;"Yes","",COUNTIFS($B$6:$B$1505,B964,$F$6:$F$1505,"&lt;"&amp;F964)+COUNTIFS($B$6:$B$1505,B964,$F$6:$F$1505,F964,$A$6:$A$1505,"&lt;="&amp;A964))</f>
        <v/>
      </c>
      <c r="N964" s="41" t="str">
        <f aca="false">IF(M964="","",ROUNDUP(M964/H964,0))</f>
        <v/>
      </c>
      <c r="O964" s="41" t="str">
        <f aca="false">IF(N964="","",IF(N964&lt;='Kitting Plan'!$C$3,"Rep "&amp;N964,"Surplus"))</f>
        <v/>
      </c>
    </row>
    <row r="965" customFormat="false" ht="15" hidden="false" customHeight="false" outlineLevel="0" collapsed="false">
      <c r="A965" s="40" t="str">
        <f aca="false">IF(OR($A$4=0,INDEX('COOIS Raw'!$A:$GZ,ROW()-4,$A$4)=""),"",IFERROR(--INDEX('COOIS Raw'!$A:$GZ,ROW()-4,$A$4),INDEX('COOIS Raw'!$A:$GZ,ROW()-4,$A$4)))</f>
        <v/>
      </c>
      <c r="B965" s="41" t="str">
        <f aca="false">IF(A965="","",TRIM(INDEX('COOIS Raw'!$A:$GZ,ROW()-4,$B$4)))</f>
        <v/>
      </c>
      <c r="C965" s="42" t="str">
        <f aca="false">IF(OR(A965="",$C$4=0),"",INDEX('COOIS Raw'!$A:$GZ,ROW()-4,$C$4))</f>
        <v/>
      </c>
      <c r="D965" s="41" t="str">
        <f aca="false">IF(A965="","",IF($D$4=0,1,IFERROR(--INDEX('COOIS Raw'!$A:$GZ,ROW()-4,$D$4),1)))</f>
        <v/>
      </c>
      <c r="E965" s="42" t="str">
        <f aca="false">IF(A965="","",INDEX('COOIS Raw'!$A:$GZ,ROW()-4,$E$4)&amp;"")</f>
        <v/>
      </c>
      <c r="F965" s="43" t="str">
        <f aca="false">IF(A965="","",IFERROR(DATEVALUE(INDEX('COOIS Raw'!$A:$GZ,ROW()-4,$F$4)),INDEX('COOIS Raw'!$A:$GZ,ROW()-4,$F$4)))</f>
        <v/>
      </c>
      <c r="G965" s="41" t="str">
        <f aca="false">IF(A965="","",IF(ISNA(MATCH(B965,'Kitting Plan'!$B$6:$B$19,0)),"Not in plan","Yes"))</f>
        <v/>
      </c>
      <c r="H965" s="41" t="str">
        <f aca="false">IF(G965="Yes",INDEX('Kitting Plan'!$D$6:$D$19,MATCH(B965,'Kitting Plan'!$B$6:$B$19,0)),"")</f>
        <v/>
      </c>
      <c r="I965" s="41" t="str">
        <f aca="false">IF(A965="","",IF(ISNUMBER(SEARCH("PRT",E965)),D965,0))</f>
        <v/>
      </c>
      <c r="J965" s="41" t="str">
        <f aca="false">IF(A965="","",IF(ISNUMBER(SEARCH("GMPS",E965)),D965,0))</f>
        <v/>
      </c>
      <c r="K965" s="41" t="str">
        <f aca="false">IF(A965="","",IF(ISNUMBER(SEARCH("DLV",E965)),D965,0))</f>
        <v/>
      </c>
      <c r="L965" s="41" t="str">
        <f aca="false">IF(A965="","",IF(K965&gt;0,"Delivered",IF(ISNUMBER(SEARCH("CNF",E965)),"In production",IF(J965&gt;0,"Issued",IF(I965&gt;0,"Kitted","Released")))))</f>
        <v/>
      </c>
      <c r="M965" s="41" t="str">
        <f aca="false">IF(G965&lt;&gt;"Yes","",COUNTIFS($B$6:$B$1505,B965,$F$6:$F$1505,"&lt;"&amp;F965)+COUNTIFS($B$6:$B$1505,B965,$F$6:$F$1505,F965,$A$6:$A$1505,"&lt;="&amp;A965))</f>
        <v/>
      </c>
      <c r="N965" s="41" t="str">
        <f aca="false">IF(M965="","",ROUNDUP(M965/H965,0))</f>
        <v/>
      </c>
      <c r="O965" s="41" t="str">
        <f aca="false">IF(N965="","",IF(N965&lt;='Kitting Plan'!$C$3,"Rep "&amp;N965,"Surplus"))</f>
        <v/>
      </c>
    </row>
    <row r="966" customFormat="false" ht="15" hidden="false" customHeight="false" outlineLevel="0" collapsed="false">
      <c r="A966" s="40" t="str">
        <f aca="false">IF(OR($A$4=0,INDEX('COOIS Raw'!$A:$GZ,ROW()-4,$A$4)=""),"",IFERROR(--INDEX('COOIS Raw'!$A:$GZ,ROW()-4,$A$4),INDEX('COOIS Raw'!$A:$GZ,ROW()-4,$A$4)))</f>
        <v/>
      </c>
      <c r="B966" s="41" t="str">
        <f aca="false">IF(A966="","",TRIM(INDEX('COOIS Raw'!$A:$GZ,ROW()-4,$B$4)))</f>
        <v/>
      </c>
      <c r="C966" s="42" t="str">
        <f aca="false">IF(OR(A966="",$C$4=0),"",INDEX('COOIS Raw'!$A:$GZ,ROW()-4,$C$4))</f>
        <v/>
      </c>
      <c r="D966" s="41" t="str">
        <f aca="false">IF(A966="","",IF($D$4=0,1,IFERROR(--INDEX('COOIS Raw'!$A:$GZ,ROW()-4,$D$4),1)))</f>
        <v/>
      </c>
      <c r="E966" s="42" t="str">
        <f aca="false">IF(A966="","",INDEX('COOIS Raw'!$A:$GZ,ROW()-4,$E$4)&amp;"")</f>
        <v/>
      </c>
      <c r="F966" s="43" t="str">
        <f aca="false">IF(A966="","",IFERROR(DATEVALUE(INDEX('COOIS Raw'!$A:$GZ,ROW()-4,$F$4)),INDEX('COOIS Raw'!$A:$GZ,ROW()-4,$F$4)))</f>
        <v/>
      </c>
      <c r="G966" s="41" t="str">
        <f aca="false">IF(A966="","",IF(ISNA(MATCH(B966,'Kitting Plan'!$B$6:$B$19,0)),"Not in plan","Yes"))</f>
        <v/>
      </c>
      <c r="H966" s="41" t="str">
        <f aca="false">IF(G966="Yes",INDEX('Kitting Plan'!$D$6:$D$19,MATCH(B966,'Kitting Plan'!$B$6:$B$19,0)),"")</f>
        <v/>
      </c>
      <c r="I966" s="41" t="str">
        <f aca="false">IF(A966="","",IF(ISNUMBER(SEARCH("PRT",E966)),D966,0))</f>
        <v/>
      </c>
      <c r="J966" s="41" t="str">
        <f aca="false">IF(A966="","",IF(ISNUMBER(SEARCH("GMPS",E966)),D966,0))</f>
        <v/>
      </c>
      <c r="K966" s="41" t="str">
        <f aca="false">IF(A966="","",IF(ISNUMBER(SEARCH("DLV",E966)),D966,0))</f>
        <v/>
      </c>
      <c r="L966" s="41" t="str">
        <f aca="false">IF(A966="","",IF(K966&gt;0,"Delivered",IF(ISNUMBER(SEARCH("CNF",E966)),"In production",IF(J966&gt;0,"Issued",IF(I966&gt;0,"Kitted","Released")))))</f>
        <v/>
      </c>
      <c r="M966" s="41" t="str">
        <f aca="false">IF(G966&lt;&gt;"Yes","",COUNTIFS($B$6:$B$1505,B966,$F$6:$F$1505,"&lt;"&amp;F966)+COUNTIFS($B$6:$B$1505,B966,$F$6:$F$1505,F966,$A$6:$A$1505,"&lt;="&amp;A966))</f>
        <v/>
      </c>
      <c r="N966" s="41" t="str">
        <f aca="false">IF(M966="","",ROUNDUP(M966/H966,0))</f>
        <v/>
      </c>
      <c r="O966" s="41" t="str">
        <f aca="false">IF(N966="","",IF(N966&lt;='Kitting Plan'!$C$3,"Rep "&amp;N966,"Surplus"))</f>
        <v/>
      </c>
    </row>
    <row r="967" customFormat="false" ht="15" hidden="false" customHeight="false" outlineLevel="0" collapsed="false">
      <c r="A967" s="40" t="str">
        <f aca="false">IF(OR($A$4=0,INDEX('COOIS Raw'!$A:$GZ,ROW()-4,$A$4)=""),"",IFERROR(--INDEX('COOIS Raw'!$A:$GZ,ROW()-4,$A$4),INDEX('COOIS Raw'!$A:$GZ,ROW()-4,$A$4)))</f>
        <v/>
      </c>
      <c r="B967" s="41" t="str">
        <f aca="false">IF(A967="","",TRIM(INDEX('COOIS Raw'!$A:$GZ,ROW()-4,$B$4)))</f>
        <v/>
      </c>
      <c r="C967" s="42" t="str">
        <f aca="false">IF(OR(A967="",$C$4=0),"",INDEX('COOIS Raw'!$A:$GZ,ROW()-4,$C$4))</f>
        <v/>
      </c>
      <c r="D967" s="41" t="str">
        <f aca="false">IF(A967="","",IF($D$4=0,1,IFERROR(--INDEX('COOIS Raw'!$A:$GZ,ROW()-4,$D$4),1)))</f>
        <v/>
      </c>
      <c r="E967" s="42" t="str">
        <f aca="false">IF(A967="","",INDEX('COOIS Raw'!$A:$GZ,ROW()-4,$E$4)&amp;"")</f>
        <v/>
      </c>
      <c r="F967" s="43" t="str">
        <f aca="false">IF(A967="","",IFERROR(DATEVALUE(INDEX('COOIS Raw'!$A:$GZ,ROW()-4,$F$4)),INDEX('COOIS Raw'!$A:$GZ,ROW()-4,$F$4)))</f>
        <v/>
      </c>
      <c r="G967" s="41" t="str">
        <f aca="false">IF(A967="","",IF(ISNA(MATCH(B967,'Kitting Plan'!$B$6:$B$19,0)),"Not in plan","Yes"))</f>
        <v/>
      </c>
      <c r="H967" s="41" t="str">
        <f aca="false">IF(G967="Yes",INDEX('Kitting Plan'!$D$6:$D$19,MATCH(B967,'Kitting Plan'!$B$6:$B$19,0)),"")</f>
        <v/>
      </c>
      <c r="I967" s="41" t="str">
        <f aca="false">IF(A967="","",IF(ISNUMBER(SEARCH("PRT",E967)),D967,0))</f>
        <v/>
      </c>
      <c r="J967" s="41" t="str">
        <f aca="false">IF(A967="","",IF(ISNUMBER(SEARCH("GMPS",E967)),D967,0))</f>
        <v/>
      </c>
      <c r="K967" s="41" t="str">
        <f aca="false">IF(A967="","",IF(ISNUMBER(SEARCH("DLV",E967)),D967,0))</f>
        <v/>
      </c>
      <c r="L967" s="41" t="str">
        <f aca="false">IF(A967="","",IF(K967&gt;0,"Delivered",IF(ISNUMBER(SEARCH("CNF",E967)),"In production",IF(J967&gt;0,"Issued",IF(I967&gt;0,"Kitted","Released")))))</f>
        <v/>
      </c>
      <c r="M967" s="41" t="str">
        <f aca="false">IF(G967&lt;&gt;"Yes","",COUNTIFS($B$6:$B$1505,B967,$F$6:$F$1505,"&lt;"&amp;F967)+COUNTIFS($B$6:$B$1505,B967,$F$6:$F$1505,F967,$A$6:$A$1505,"&lt;="&amp;A967))</f>
        <v/>
      </c>
      <c r="N967" s="41" t="str">
        <f aca="false">IF(M967="","",ROUNDUP(M967/H967,0))</f>
        <v/>
      </c>
      <c r="O967" s="41" t="str">
        <f aca="false">IF(N967="","",IF(N967&lt;='Kitting Plan'!$C$3,"Rep "&amp;N967,"Surplus"))</f>
        <v/>
      </c>
    </row>
    <row r="968" customFormat="false" ht="15" hidden="false" customHeight="false" outlineLevel="0" collapsed="false">
      <c r="A968" s="40" t="str">
        <f aca="false">IF(OR($A$4=0,INDEX('COOIS Raw'!$A:$GZ,ROW()-4,$A$4)=""),"",IFERROR(--INDEX('COOIS Raw'!$A:$GZ,ROW()-4,$A$4),INDEX('COOIS Raw'!$A:$GZ,ROW()-4,$A$4)))</f>
        <v/>
      </c>
      <c r="B968" s="41" t="str">
        <f aca="false">IF(A968="","",TRIM(INDEX('COOIS Raw'!$A:$GZ,ROW()-4,$B$4)))</f>
        <v/>
      </c>
      <c r="C968" s="42" t="str">
        <f aca="false">IF(OR(A968="",$C$4=0),"",INDEX('COOIS Raw'!$A:$GZ,ROW()-4,$C$4))</f>
        <v/>
      </c>
      <c r="D968" s="41" t="str">
        <f aca="false">IF(A968="","",IF($D$4=0,1,IFERROR(--INDEX('COOIS Raw'!$A:$GZ,ROW()-4,$D$4),1)))</f>
        <v/>
      </c>
      <c r="E968" s="42" t="str">
        <f aca="false">IF(A968="","",INDEX('COOIS Raw'!$A:$GZ,ROW()-4,$E$4)&amp;"")</f>
        <v/>
      </c>
      <c r="F968" s="43" t="str">
        <f aca="false">IF(A968="","",IFERROR(DATEVALUE(INDEX('COOIS Raw'!$A:$GZ,ROW()-4,$F$4)),INDEX('COOIS Raw'!$A:$GZ,ROW()-4,$F$4)))</f>
        <v/>
      </c>
      <c r="G968" s="41" t="str">
        <f aca="false">IF(A968="","",IF(ISNA(MATCH(B968,'Kitting Plan'!$B$6:$B$19,0)),"Not in plan","Yes"))</f>
        <v/>
      </c>
      <c r="H968" s="41" t="str">
        <f aca="false">IF(G968="Yes",INDEX('Kitting Plan'!$D$6:$D$19,MATCH(B968,'Kitting Plan'!$B$6:$B$19,0)),"")</f>
        <v/>
      </c>
      <c r="I968" s="41" t="str">
        <f aca="false">IF(A968="","",IF(ISNUMBER(SEARCH("PRT",E968)),D968,0))</f>
        <v/>
      </c>
      <c r="J968" s="41" t="str">
        <f aca="false">IF(A968="","",IF(ISNUMBER(SEARCH("GMPS",E968)),D968,0))</f>
        <v/>
      </c>
      <c r="K968" s="41" t="str">
        <f aca="false">IF(A968="","",IF(ISNUMBER(SEARCH("DLV",E968)),D968,0))</f>
        <v/>
      </c>
      <c r="L968" s="41" t="str">
        <f aca="false">IF(A968="","",IF(K968&gt;0,"Delivered",IF(ISNUMBER(SEARCH("CNF",E968)),"In production",IF(J968&gt;0,"Issued",IF(I968&gt;0,"Kitted","Released")))))</f>
        <v/>
      </c>
      <c r="M968" s="41" t="str">
        <f aca="false">IF(G968&lt;&gt;"Yes","",COUNTIFS($B$6:$B$1505,B968,$F$6:$F$1505,"&lt;"&amp;F968)+COUNTIFS($B$6:$B$1505,B968,$F$6:$F$1505,F968,$A$6:$A$1505,"&lt;="&amp;A968))</f>
        <v/>
      </c>
      <c r="N968" s="41" t="str">
        <f aca="false">IF(M968="","",ROUNDUP(M968/H968,0))</f>
        <v/>
      </c>
      <c r="O968" s="41" t="str">
        <f aca="false">IF(N968="","",IF(N968&lt;='Kitting Plan'!$C$3,"Rep "&amp;N968,"Surplus"))</f>
        <v/>
      </c>
    </row>
    <row r="969" customFormat="false" ht="15" hidden="false" customHeight="false" outlineLevel="0" collapsed="false">
      <c r="A969" s="40" t="str">
        <f aca="false">IF(OR($A$4=0,INDEX('COOIS Raw'!$A:$GZ,ROW()-4,$A$4)=""),"",IFERROR(--INDEX('COOIS Raw'!$A:$GZ,ROW()-4,$A$4),INDEX('COOIS Raw'!$A:$GZ,ROW()-4,$A$4)))</f>
        <v/>
      </c>
      <c r="B969" s="41" t="str">
        <f aca="false">IF(A969="","",TRIM(INDEX('COOIS Raw'!$A:$GZ,ROW()-4,$B$4)))</f>
        <v/>
      </c>
      <c r="C969" s="42" t="str">
        <f aca="false">IF(OR(A969="",$C$4=0),"",INDEX('COOIS Raw'!$A:$GZ,ROW()-4,$C$4))</f>
        <v/>
      </c>
      <c r="D969" s="41" t="str">
        <f aca="false">IF(A969="","",IF($D$4=0,1,IFERROR(--INDEX('COOIS Raw'!$A:$GZ,ROW()-4,$D$4),1)))</f>
        <v/>
      </c>
      <c r="E969" s="42" t="str">
        <f aca="false">IF(A969="","",INDEX('COOIS Raw'!$A:$GZ,ROW()-4,$E$4)&amp;"")</f>
        <v/>
      </c>
      <c r="F969" s="43" t="str">
        <f aca="false">IF(A969="","",IFERROR(DATEVALUE(INDEX('COOIS Raw'!$A:$GZ,ROW()-4,$F$4)),INDEX('COOIS Raw'!$A:$GZ,ROW()-4,$F$4)))</f>
        <v/>
      </c>
      <c r="G969" s="41" t="str">
        <f aca="false">IF(A969="","",IF(ISNA(MATCH(B969,'Kitting Plan'!$B$6:$B$19,0)),"Not in plan","Yes"))</f>
        <v/>
      </c>
      <c r="H969" s="41" t="str">
        <f aca="false">IF(G969="Yes",INDEX('Kitting Plan'!$D$6:$D$19,MATCH(B969,'Kitting Plan'!$B$6:$B$19,0)),"")</f>
        <v/>
      </c>
      <c r="I969" s="41" t="str">
        <f aca="false">IF(A969="","",IF(ISNUMBER(SEARCH("PRT",E969)),D969,0))</f>
        <v/>
      </c>
      <c r="J969" s="41" t="str">
        <f aca="false">IF(A969="","",IF(ISNUMBER(SEARCH("GMPS",E969)),D969,0))</f>
        <v/>
      </c>
      <c r="K969" s="41" t="str">
        <f aca="false">IF(A969="","",IF(ISNUMBER(SEARCH("DLV",E969)),D969,0))</f>
        <v/>
      </c>
      <c r="L969" s="41" t="str">
        <f aca="false">IF(A969="","",IF(K969&gt;0,"Delivered",IF(ISNUMBER(SEARCH("CNF",E969)),"In production",IF(J969&gt;0,"Issued",IF(I969&gt;0,"Kitted","Released")))))</f>
        <v/>
      </c>
      <c r="M969" s="41" t="str">
        <f aca="false">IF(G969&lt;&gt;"Yes","",COUNTIFS($B$6:$B$1505,B969,$F$6:$F$1505,"&lt;"&amp;F969)+COUNTIFS($B$6:$B$1505,B969,$F$6:$F$1505,F969,$A$6:$A$1505,"&lt;="&amp;A969))</f>
        <v/>
      </c>
      <c r="N969" s="41" t="str">
        <f aca="false">IF(M969="","",ROUNDUP(M969/H969,0))</f>
        <v/>
      </c>
      <c r="O969" s="41" t="str">
        <f aca="false">IF(N969="","",IF(N969&lt;='Kitting Plan'!$C$3,"Rep "&amp;N969,"Surplus"))</f>
        <v/>
      </c>
    </row>
    <row r="970" customFormat="false" ht="15" hidden="false" customHeight="false" outlineLevel="0" collapsed="false">
      <c r="A970" s="40" t="str">
        <f aca="false">IF(OR($A$4=0,INDEX('COOIS Raw'!$A:$GZ,ROW()-4,$A$4)=""),"",IFERROR(--INDEX('COOIS Raw'!$A:$GZ,ROW()-4,$A$4),INDEX('COOIS Raw'!$A:$GZ,ROW()-4,$A$4)))</f>
        <v/>
      </c>
      <c r="B970" s="41" t="str">
        <f aca="false">IF(A970="","",TRIM(INDEX('COOIS Raw'!$A:$GZ,ROW()-4,$B$4)))</f>
        <v/>
      </c>
      <c r="C970" s="42" t="str">
        <f aca="false">IF(OR(A970="",$C$4=0),"",INDEX('COOIS Raw'!$A:$GZ,ROW()-4,$C$4))</f>
        <v/>
      </c>
      <c r="D970" s="41" t="str">
        <f aca="false">IF(A970="","",IF($D$4=0,1,IFERROR(--INDEX('COOIS Raw'!$A:$GZ,ROW()-4,$D$4),1)))</f>
        <v/>
      </c>
      <c r="E970" s="42" t="str">
        <f aca="false">IF(A970="","",INDEX('COOIS Raw'!$A:$GZ,ROW()-4,$E$4)&amp;"")</f>
        <v/>
      </c>
      <c r="F970" s="43" t="str">
        <f aca="false">IF(A970="","",IFERROR(DATEVALUE(INDEX('COOIS Raw'!$A:$GZ,ROW()-4,$F$4)),INDEX('COOIS Raw'!$A:$GZ,ROW()-4,$F$4)))</f>
        <v/>
      </c>
      <c r="G970" s="41" t="str">
        <f aca="false">IF(A970="","",IF(ISNA(MATCH(B970,'Kitting Plan'!$B$6:$B$19,0)),"Not in plan","Yes"))</f>
        <v/>
      </c>
      <c r="H970" s="41" t="str">
        <f aca="false">IF(G970="Yes",INDEX('Kitting Plan'!$D$6:$D$19,MATCH(B970,'Kitting Plan'!$B$6:$B$19,0)),"")</f>
        <v/>
      </c>
      <c r="I970" s="41" t="str">
        <f aca="false">IF(A970="","",IF(ISNUMBER(SEARCH("PRT",E970)),D970,0))</f>
        <v/>
      </c>
      <c r="J970" s="41" t="str">
        <f aca="false">IF(A970="","",IF(ISNUMBER(SEARCH("GMPS",E970)),D970,0))</f>
        <v/>
      </c>
      <c r="K970" s="41" t="str">
        <f aca="false">IF(A970="","",IF(ISNUMBER(SEARCH("DLV",E970)),D970,0))</f>
        <v/>
      </c>
      <c r="L970" s="41" t="str">
        <f aca="false">IF(A970="","",IF(K970&gt;0,"Delivered",IF(ISNUMBER(SEARCH("CNF",E970)),"In production",IF(J970&gt;0,"Issued",IF(I970&gt;0,"Kitted","Released")))))</f>
        <v/>
      </c>
      <c r="M970" s="41" t="str">
        <f aca="false">IF(G970&lt;&gt;"Yes","",COUNTIFS($B$6:$B$1505,B970,$F$6:$F$1505,"&lt;"&amp;F970)+COUNTIFS($B$6:$B$1505,B970,$F$6:$F$1505,F970,$A$6:$A$1505,"&lt;="&amp;A970))</f>
        <v/>
      </c>
      <c r="N970" s="41" t="str">
        <f aca="false">IF(M970="","",ROUNDUP(M970/H970,0))</f>
        <v/>
      </c>
      <c r="O970" s="41" t="str">
        <f aca="false">IF(N970="","",IF(N970&lt;='Kitting Plan'!$C$3,"Rep "&amp;N970,"Surplus"))</f>
        <v/>
      </c>
    </row>
    <row r="971" customFormat="false" ht="15" hidden="false" customHeight="false" outlineLevel="0" collapsed="false">
      <c r="A971" s="40" t="str">
        <f aca="false">IF(OR($A$4=0,INDEX('COOIS Raw'!$A:$GZ,ROW()-4,$A$4)=""),"",IFERROR(--INDEX('COOIS Raw'!$A:$GZ,ROW()-4,$A$4),INDEX('COOIS Raw'!$A:$GZ,ROW()-4,$A$4)))</f>
        <v/>
      </c>
      <c r="B971" s="41" t="str">
        <f aca="false">IF(A971="","",TRIM(INDEX('COOIS Raw'!$A:$GZ,ROW()-4,$B$4)))</f>
        <v/>
      </c>
      <c r="C971" s="42" t="str">
        <f aca="false">IF(OR(A971="",$C$4=0),"",INDEX('COOIS Raw'!$A:$GZ,ROW()-4,$C$4))</f>
        <v/>
      </c>
      <c r="D971" s="41" t="str">
        <f aca="false">IF(A971="","",IF($D$4=0,1,IFERROR(--INDEX('COOIS Raw'!$A:$GZ,ROW()-4,$D$4),1)))</f>
        <v/>
      </c>
      <c r="E971" s="42" t="str">
        <f aca="false">IF(A971="","",INDEX('COOIS Raw'!$A:$GZ,ROW()-4,$E$4)&amp;"")</f>
        <v/>
      </c>
      <c r="F971" s="43" t="str">
        <f aca="false">IF(A971="","",IFERROR(DATEVALUE(INDEX('COOIS Raw'!$A:$GZ,ROW()-4,$F$4)),INDEX('COOIS Raw'!$A:$GZ,ROW()-4,$F$4)))</f>
        <v/>
      </c>
      <c r="G971" s="41" t="str">
        <f aca="false">IF(A971="","",IF(ISNA(MATCH(B971,'Kitting Plan'!$B$6:$B$19,0)),"Not in plan","Yes"))</f>
        <v/>
      </c>
      <c r="H971" s="41" t="str">
        <f aca="false">IF(G971="Yes",INDEX('Kitting Plan'!$D$6:$D$19,MATCH(B971,'Kitting Plan'!$B$6:$B$19,0)),"")</f>
        <v/>
      </c>
      <c r="I971" s="41" t="str">
        <f aca="false">IF(A971="","",IF(ISNUMBER(SEARCH("PRT",E971)),D971,0))</f>
        <v/>
      </c>
      <c r="J971" s="41" t="str">
        <f aca="false">IF(A971="","",IF(ISNUMBER(SEARCH("GMPS",E971)),D971,0))</f>
        <v/>
      </c>
      <c r="K971" s="41" t="str">
        <f aca="false">IF(A971="","",IF(ISNUMBER(SEARCH("DLV",E971)),D971,0))</f>
        <v/>
      </c>
      <c r="L971" s="41" t="str">
        <f aca="false">IF(A971="","",IF(K971&gt;0,"Delivered",IF(ISNUMBER(SEARCH("CNF",E971)),"In production",IF(J971&gt;0,"Issued",IF(I971&gt;0,"Kitted","Released")))))</f>
        <v/>
      </c>
      <c r="M971" s="41" t="str">
        <f aca="false">IF(G971&lt;&gt;"Yes","",COUNTIFS($B$6:$B$1505,B971,$F$6:$F$1505,"&lt;"&amp;F971)+COUNTIFS($B$6:$B$1505,B971,$F$6:$F$1505,F971,$A$6:$A$1505,"&lt;="&amp;A971))</f>
        <v/>
      </c>
      <c r="N971" s="41" t="str">
        <f aca="false">IF(M971="","",ROUNDUP(M971/H971,0))</f>
        <v/>
      </c>
      <c r="O971" s="41" t="str">
        <f aca="false">IF(N971="","",IF(N971&lt;='Kitting Plan'!$C$3,"Rep "&amp;N971,"Surplus"))</f>
        <v/>
      </c>
    </row>
    <row r="972" customFormat="false" ht="15" hidden="false" customHeight="false" outlineLevel="0" collapsed="false">
      <c r="A972" s="40" t="str">
        <f aca="false">IF(OR($A$4=0,INDEX('COOIS Raw'!$A:$GZ,ROW()-4,$A$4)=""),"",IFERROR(--INDEX('COOIS Raw'!$A:$GZ,ROW()-4,$A$4),INDEX('COOIS Raw'!$A:$GZ,ROW()-4,$A$4)))</f>
        <v/>
      </c>
      <c r="B972" s="41" t="str">
        <f aca="false">IF(A972="","",TRIM(INDEX('COOIS Raw'!$A:$GZ,ROW()-4,$B$4)))</f>
        <v/>
      </c>
      <c r="C972" s="42" t="str">
        <f aca="false">IF(OR(A972="",$C$4=0),"",INDEX('COOIS Raw'!$A:$GZ,ROW()-4,$C$4))</f>
        <v/>
      </c>
      <c r="D972" s="41" t="str">
        <f aca="false">IF(A972="","",IF($D$4=0,1,IFERROR(--INDEX('COOIS Raw'!$A:$GZ,ROW()-4,$D$4),1)))</f>
        <v/>
      </c>
      <c r="E972" s="42" t="str">
        <f aca="false">IF(A972="","",INDEX('COOIS Raw'!$A:$GZ,ROW()-4,$E$4)&amp;"")</f>
        <v/>
      </c>
      <c r="F972" s="43" t="str">
        <f aca="false">IF(A972="","",IFERROR(DATEVALUE(INDEX('COOIS Raw'!$A:$GZ,ROW()-4,$F$4)),INDEX('COOIS Raw'!$A:$GZ,ROW()-4,$F$4)))</f>
        <v/>
      </c>
      <c r="G972" s="41" t="str">
        <f aca="false">IF(A972="","",IF(ISNA(MATCH(B972,'Kitting Plan'!$B$6:$B$19,0)),"Not in plan","Yes"))</f>
        <v/>
      </c>
      <c r="H972" s="41" t="str">
        <f aca="false">IF(G972="Yes",INDEX('Kitting Plan'!$D$6:$D$19,MATCH(B972,'Kitting Plan'!$B$6:$B$19,0)),"")</f>
        <v/>
      </c>
      <c r="I972" s="41" t="str">
        <f aca="false">IF(A972="","",IF(ISNUMBER(SEARCH("PRT",E972)),D972,0))</f>
        <v/>
      </c>
      <c r="J972" s="41" t="str">
        <f aca="false">IF(A972="","",IF(ISNUMBER(SEARCH("GMPS",E972)),D972,0))</f>
        <v/>
      </c>
      <c r="K972" s="41" t="str">
        <f aca="false">IF(A972="","",IF(ISNUMBER(SEARCH("DLV",E972)),D972,0))</f>
        <v/>
      </c>
      <c r="L972" s="41" t="str">
        <f aca="false">IF(A972="","",IF(K972&gt;0,"Delivered",IF(ISNUMBER(SEARCH("CNF",E972)),"In production",IF(J972&gt;0,"Issued",IF(I972&gt;0,"Kitted","Released")))))</f>
        <v/>
      </c>
      <c r="M972" s="41" t="str">
        <f aca="false">IF(G972&lt;&gt;"Yes","",COUNTIFS($B$6:$B$1505,B972,$F$6:$F$1505,"&lt;"&amp;F972)+COUNTIFS($B$6:$B$1505,B972,$F$6:$F$1505,F972,$A$6:$A$1505,"&lt;="&amp;A972))</f>
        <v/>
      </c>
      <c r="N972" s="41" t="str">
        <f aca="false">IF(M972="","",ROUNDUP(M972/H972,0))</f>
        <v/>
      </c>
      <c r="O972" s="41" t="str">
        <f aca="false">IF(N972="","",IF(N972&lt;='Kitting Plan'!$C$3,"Rep "&amp;N972,"Surplus"))</f>
        <v/>
      </c>
    </row>
    <row r="973" customFormat="false" ht="15" hidden="false" customHeight="false" outlineLevel="0" collapsed="false">
      <c r="A973" s="40" t="str">
        <f aca="false">IF(OR($A$4=0,INDEX('COOIS Raw'!$A:$GZ,ROW()-4,$A$4)=""),"",IFERROR(--INDEX('COOIS Raw'!$A:$GZ,ROW()-4,$A$4),INDEX('COOIS Raw'!$A:$GZ,ROW()-4,$A$4)))</f>
        <v/>
      </c>
      <c r="B973" s="41" t="str">
        <f aca="false">IF(A973="","",TRIM(INDEX('COOIS Raw'!$A:$GZ,ROW()-4,$B$4)))</f>
        <v/>
      </c>
      <c r="C973" s="42" t="str">
        <f aca="false">IF(OR(A973="",$C$4=0),"",INDEX('COOIS Raw'!$A:$GZ,ROW()-4,$C$4))</f>
        <v/>
      </c>
      <c r="D973" s="41" t="str">
        <f aca="false">IF(A973="","",IF($D$4=0,1,IFERROR(--INDEX('COOIS Raw'!$A:$GZ,ROW()-4,$D$4),1)))</f>
        <v/>
      </c>
      <c r="E973" s="42" t="str">
        <f aca="false">IF(A973="","",INDEX('COOIS Raw'!$A:$GZ,ROW()-4,$E$4)&amp;"")</f>
        <v/>
      </c>
      <c r="F973" s="43" t="str">
        <f aca="false">IF(A973="","",IFERROR(DATEVALUE(INDEX('COOIS Raw'!$A:$GZ,ROW()-4,$F$4)),INDEX('COOIS Raw'!$A:$GZ,ROW()-4,$F$4)))</f>
        <v/>
      </c>
      <c r="G973" s="41" t="str">
        <f aca="false">IF(A973="","",IF(ISNA(MATCH(B973,'Kitting Plan'!$B$6:$B$19,0)),"Not in plan","Yes"))</f>
        <v/>
      </c>
      <c r="H973" s="41" t="str">
        <f aca="false">IF(G973="Yes",INDEX('Kitting Plan'!$D$6:$D$19,MATCH(B973,'Kitting Plan'!$B$6:$B$19,0)),"")</f>
        <v/>
      </c>
      <c r="I973" s="41" t="str">
        <f aca="false">IF(A973="","",IF(ISNUMBER(SEARCH("PRT",E973)),D973,0))</f>
        <v/>
      </c>
      <c r="J973" s="41" t="str">
        <f aca="false">IF(A973="","",IF(ISNUMBER(SEARCH("GMPS",E973)),D973,0))</f>
        <v/>
      </c>
      <c r="K973" s="41" t="str">
        <f aca="false">IF(A973="","",IF(ISNUMBER(SEARCH("DLV",E973)),D973,0))</f>
        <v/>
      </c>
      <c r="L973" s="41" t="str">
        <f aca="false">IF(A973="","",IF(K973&gt;0,"Delivered",IF(ISNUMBER(SEARCH("CNF",E973)),"In production",IF(J973&gt;0,"Issued",IF(I973&gt;0,"Kitted","Released")))))</f>
        <v/>
      </c>
      <c r="M973" s="41" t="str">
        <f aca="false">IF(G973&lt;&gt;"Yes","",COUNTIFS($B$6:$B$1505,B973,$F$6:$F$1505,"&lt;"&amp;F973)+COUNTIFS($B$6:$B$1505,B973,$F$6:$F$1505,F973,$A$6:$A$1505,"&lt;="&amp;A973))</f>
        <v/>
      </c>
      <c r="N973" s="41" t="str">
        <f aca="false">IF(M973="","",ROUNDUP(M973/H973,0))</f>
        <v/>
      </c>
      <c r="O973" s="41" t="str">
        <f aca="false">IF(N973="","",IF(N973&lt;='Kitting Plan'!$C$3,"Rep "&amp;N973,"Surplus"))</f>
        <v/>
      </c>
    </row>
    <row r="974" customFormat="false" ht="15" hidden="false" customHeight="false" outlineLevel="0" collapsed="false">
      <c r="A974" s="40" t="str">
        <f aca="false">IF(OR($A$4=0,INDEX('COOIS Raw'!$A:$GZ,ROW()-4,$A$4)=""),"",IFERROR(--INDEX('COOIS Raw'!$A:$GZ,ROW()-4,$A$4),INDEX('COOIS Raw'!$A:$GZ,ROW()-4,$A$4)))</f>
        <v/>
      </c>
      <c r="B974" s="41" t="str">
        <f aca="false">IF(A974="","",TRIM(INDEX('COOIS Raw'!$A:$GZ,ROW()-4,$B$4)))</f>
        <v/>
      </c>
      <c r="C974" s="42" t="str">
        <f aca="false">IF(OR(A974="",$C$4=0),"",INDEX('COOIS Raw'!$A:$GZ,ROW()-4,$C$4))</f>
        <v/>
      </c>
      <c r="D974" s="41" t="str">
        <f aca="false">IF(A974="","",IF($D$4=0,1,IFERROR(--INDEX('COOIS Raw'!$A:$GZ,ROW()-4,$D$4),1)))</f>
        <v/>
      </c>
      <c r="E974" s="42" t="str">
        <f aca="false">IF(A974="","",INDEX('COOIS Raw'!$A:$GZ,ROW()-4,$E$4)&amp;"")</f>
        <v/>
      </c>
      <c r="F974" s="43" t="str">
        <f aca="false">IF(A974="","",IFERROR(DATEVALUE(INDEX('COOIS Raw'!$A:$GZ,ROW()-4,$F$4)),INDEX('COOIS Raw'!$A:$GZ,ROW()-4,$F$4)))</f>
        <v/>
      </c>
      <c r="G974" s="41" t="str">
        <f aca="false">IF(A974="","",IF(ISNA(MATCH(B974,'Kitting Plan'!$B$6:$B$19,0)),"Not in plan","Yes"))</f>
        <v/>
      </c>
      <c r="H974" s="41" t="str">
        <f aca="false">IF(G974="Yes",INDEX('Kitting Plan'!$D$6:$D$19,MATCH(B974,'Kitting Plan'!$B$6:$B$19,0)),"")</f>
        <v/>
      </c>
      <c r="I974" s="41" t="str">
        <f aca="false">IF(A974="","",IF(ISNUMBER(SEARCH("PRT",E974)),D974,0))</f>
        <v/>
      </c>
      <c r="J974" s="41" t="str">
        <f aca="false">IF(A974="","",IF(ISNUMBER(SEARCH("GMPS",E974)),D974,0))</f>
        <v/>
      </c>
      <c r="K974" s="41" t="str">
        <f aca="false">IF(A974="","",IF(ISNUMBER(SEARCH("DLV",E974)),D974,0))</f>
        <v/>
      </c>
      <c r="L974" s="41" t="str">
        <f aca="false">IF(A974="","",IF(K974&gt;0,"Delivered",IF(ISNUMBER(SEARCH("CNF",E974)),"In production",IF(J974&gt;0,"Issued",IF(I974&gt;0,"Kitted","Released")))))</f>
        <v/>
      </c>
      <c r="M974" s="41" t="str">
        <f aca="false">IF(G974&lt;&gt;"Yes","",COUNTIFS($B$6:$B$1505,B974,$F$6:$F$1505,"&lt;"&amp;F974)+COUNTIFS($B$6:$B$1505,B974,$F$6:$F$1505,F974,$A$6:$A$1505,"&lt;="&amp;A974))</f>
        <v/>
      </c>
      <c r="N974" s="41" t="str">
        <f aca="false">IF(M974="","",ROUNDUP(M974/H974,0))</f>
        <v/>
      </c>
      <c r="O974" s="41" t="str">
        <f aca="false">IF(N974="","",IF(N974&lt;='Kitting Plan'!$C$3,"Rep "&amp;N974,"Surplus"))</f>
        <v/>
      </c>
    </row>
    <row r="975" customFormat="false" ht="15" hidden="false" customHeight="false" outlineLevel="0" collapsed="false">
      <c r="A975" s="40" t="str">
        <f aca="false">IF(OR($A$4=0,INDEX('COOIS Raw'!$A:$GZ,ROW()-4,$A$4)=""),"",IFERROR(--INDEX('COOIS Raw'!$A:$GZ,ROW()-4,$A$4),INDEX('COOIS Raw'!$A:$GZ,ROW()-4,$A$4)))</f>
        <v/>
      </c>
      <c r="B975" s="41" t="str">
        <f aca="false">IF(A975="","",TRIM(INDEX('COOIS Raw'!$A:$GZ,ROW()-4,$B$4)))</f>
        <v/>
      </c>
      <c r="C975" s="42" t="str">
        <f aca="false">IF(OR(A975="",$C$4=0),"",INDEX('COOIS Raw'!$A:$GZ,ROW()-4,$C$4))</f>
        <v/>
      </c>
      <c r="D975" s="41" t="str">
        <f aca="false">IF(A975="","",IF($D$4=0,1,IFERROR(--INDEX('COOIS Raw'!$A:$GZ,ROW()-4,$D$4),1)))</f>
        <v/>
      </c>
      <c r="E975" s="42" t="str">
        <f aca="false">IF(A975="","",INDEX('COOIS Raw'!$A:$GZ,ROW()-4,$E$4)&amp;"")</f>
        <v/>
      </c>
      <c r="F975" s="43" t="str">
        <f aca="false">IF(A975="","",IFERROR(DATEVALUE(INDEX('COOIS Raw'!$A:$GZ,ROW()-4,$F$4)),INDEX('COOIS Raw'!$A:$GZ,ROW()-4,$F$4)))</f>
        <v/>
      </c>
      <c r="G975" s="41" t="str">
        <f aca="false">IF(A975="","",IF(ISNA(MATCH(B975,'Kitting Plan'!$B$6:$B$19,0)),"Not in plan","Yes"))</f>
        <v/>
      </c>
      <c r="H975" s="41" t="str">
        <f aca="false">IF(G975="Yes",INDEX('Kitting Plan'!$D$6:$D$19,MATCH(B975,'Kitting Plan'!$B$6:$B$19,0)),"")</f>
        <v/>
      </c>
      <c r="I975" s="41" t="str">
        <f aca="false">IF(A975="","",IF(ISNUMBER(SEARCH("PRT",E975)),D975,0))</f>
        <v/>
      </c>
      <c r="J975" s="41" t="str">
        <f aca="false">IF(A975="","",IF(ISNUMBER(SEARCH("GMPS",E975)),D975,0))</f>
        <v/>
      </c>
      <c r="K975" s="41" t="str">
        <f aca="false">IF(A975="","",IF(ISNUMBER(SEARCH("DLV",E975)),D975,0))</f>
        <v/>
      </c>
      <c r="L975" s="41" t="str">
        <f aca="false">IF(A975="","",IF(K975&gt;0,"Delivered",IF(ISNUMBER(SEARCH("CNF",E975)),"In production",IF(J975&gt;0,"Issued",IF(I975&gt;0,"Kitted","Released")))))</f>
        <v/>
      </c>
      <c r="M975" s="41" t="str">
        <f aca="false">IF(G975&lt;&gt;"Yes","",COUNTIFS($B$6:$B$1505,B975,$F$6:$F$1505,"&lt;"&amp;F975)+COUNTIFS($B$6:$B$1505,B975,$F$6:$F$1505,F975,$A$6:$A$1505,"&lt;="&amp;A975))</f>
        <v/>
      </c>
      <c r="N975" s="41" t="str">
        <f aca="false">IF(M975="","",ROUNDUP(M975/H975,0))</f>
        <v/>
      </c>
      <c r="O975" s="41" t="str">
        <f aca="false">IF(N975="","",IF(N975&lt;='Kitting Plan'!$C$3,"Rep "&amp;N975,"Surplus"))</f>
        <v/>
      </c>
    </row>
    <row r="976" customFormat="false" ht="15" hidden="false" customHeight="false" outlineLevel="0" collapsed="false">
      <c r="A976" s="40" t="str">
        <f aca="false">IF(OR($A$4=0,INDEX('COOIS Raw'!$A:$GZ,ROW()-4,$A$4)=""),"",IFERROR(--INDEX('COOIS Raw'!$A:$GZ,ROW()-4,$A$4),INDEX('COOIS Raw'!$A:$GZ,ROW()-4,$A$4)))</f>
        <v/>
      </c>
      <c r="B976" s="41" t="str">
        <f aca="false">IF(A976="","",TRIM(INDEX('COOIS Raw'!$A:$GZ,ROW()-4,$B$4)))</f>
        <v/>
      </c>
      <c r="C976" s="42" t="str">
        <f aca="false">IF(OR(A976="",$C$4=0),"",INDEX('COOIS Raw'!$A:$GZ,ROW()-4,$C$4))</f>
        <v/>
      </c>
      <c r="D976" s="41" t="str">
        <f aca="false">IF(A976="","",IF($D$4=0,1,IFERROR(--INDEX('COOIS Raw'!$A:$GZ,ROW()-4,$D$4),1)))</f>
        <v/>
      </c>
      <c r="E976" s="42" t="str">
        <f aca="false">IF(A976="","",INDEX('COOIS Raw'!$A:$GZ,ROW()-4,$E$4)&amp;"")</f>
        <v/>
      </c>
      <c r="F976" s="43" t="str">
        <f aca="false">IF(A976="","",IFERROR(DATEVALUE(INDEX('COOIS Raw'!$A:$GZ,ROW()-4,$F$4)),INDEX('COOIS Raw'!$A:$GZ,ROW()-4,$F$4)))</f>
        <v/>
      </c>
      <c r="G976" s="41" t="str">
        <f aca="false">IF(A976="","",IF(ISNA(MATCH(B976,'Kitting Plan'!$B$6:$B$19,0)),"Not in plan","Yes"))</f>
        <v/>
      </c>
      <c r="H976" s="41" t="str">
        <f aca="false">IF(G976="Yes",INDEX('Kitting Plan'!$D$6:$D$19,MATCH(B976,'Kitting Plan'!$B$6:$B$19,0)),"")</f>
        <v/>
      </c>
      <c r="I976" s="41" t="str">
        <f aca="false">IF(A976="","",IF(ISNUMBER(SEARCH("PRT",E976)),D976,0))</f>
        <v/>
      </c>
      <c r="J976" s="41" t="str">
        <f aca="false">IF(A976="","",IF(ISNUMBER(SEARCH("GMPS",E976)),D976,0))</f>
        <v/>
      </c>
      <c r="K976" s="41" t="str">
        <f aca="false">IF(A976="","",IF(ISNUMBER(SEARCH("DLV",E976)),D976,0))</f>
        <v/>
      </c>
      <c r="L976" s="41" t="str">
        <f aca="false">IF(A976="","",IF(K976&gt;0,"Delivered",IF(ISNUMBER(SEARCH("CNF",E976)),"In production",IF(J976&gt;0,"Issued",IF(I976&gt;0,"Kitted","Released")))))</f>
        <v/>
      </c>
      <c r="M976" s="41" t="str">
        <f aca="false">IF(G976&lt;&gt;"Yes","",COUNTIFS($B$6:$B$1505,B976,$F$6:$F$1505,"&lt;"&amp;F976)+COUNTIFS($B$6:$B$1505,B976,$F$6:$F$1505,F976,$A$6:$A$1505,"&lt;="&amp;A976))</f>
        <v/>
      </c>
      <c r="N976" s="41" t="str">
        <f aca="false">IF(M976="","",ROUNDUP(M976/H976,0))</f>
        <v/>
      </c>
      <c r="O976" s="41" t="str">
        <f aca="false">IF(N976="","",IF(N976&lt;='Kitting Plan'!$C$3,"Rep "&amp;N976,"Surplus"))</f>
        <v/>
      </c>
    </row>
    <row r="977" customFormat="false" ht="15" hidden="false" customHeight="false" outlineLevel="0" collapsed="false">
      <c r="A977" s="40" t="str">
        <f aca="false">IF(OR($A$4=0,INDEX('COOIS Raw'!$A:$GZ,ROW()-4,$A$4)=""),"",IFERROR(--INDEX('COOIS Raw'!$A:$GZ,ROW()-4,$A$4),INDEX('COOIS Raw'!$A:$GZ,ROW()-4,$A$4)))</f>
        <v/>
      </c>
      <c r="B977" s="41" t="str">
        <f aca="false">IF(A977="","",TRIM(INDEX('COOIS Raw'!$A:$GZ,ROW()-4,$B$4)))</f>
        <v/>
      </c>
      <c r="C977" s="42" t="str">
        <f aca="false">IF(OR(A977="",$C$4=0),"",INDEX('COOIS Raw'!$A:$GZ,ROW()-4,$C$4))</f>
        <v/>
      </c>
      <c r="D977" s="41" t="str">
        <f aca="false">IF(A977="","",IF($D$4=0,1,IFERROR(--INDEX('COOIS Raw'!$A:$GZ,ROW()-4,$D$4),1)))</f>
        <v/>
      </c>
      <c r="E977" s="42" t="str">
        <f aca="false">IF(A977="","",INDEX('COOIS Raw'!$A:$GZ,ROW()-4,$E$4)&amp;"")</f>
        <v/>
      </c>
      <c r="F977" s="43" t="str">
        <f aca="false">IF(A977="","",IFERROR(DATEVALUE(INDEX('COOIS Raw'!$A:$GZ,ROW()-4,$F$4)),INDEX('COOIS Raw'!$A:$GZ,ROW()-4,$F$4)))</f>
        <v/>
      </c>
      <c r="G977" s="41" t="str">
        <f aca="false">IF(A977="","",IF(ISNA(MATCH(B977,'Kitting Plan'!$B$6:$B$19,0)),"Not in plan","Yes"))</f>
        <v/>
      </c>
      <c r="H977" s="41" t="str">
        <f aca="false">IF(G977="Yes",INDEX('Kitting Plan'!$D$6:$D$19,MATCH(B977,'Kitting Plan'!$B$6:$B$19,0)),"")</f>
        <v/>
      </c>
      <c r="I977" s="41" t="str">
        <f aca="false">IF(A977="","",IF(ISNUMBER(SEARCH("PRT",E977)),D977,0))</f>
        <v/>
      </c>
      <c r="J977" s="41" t="str">
        <f aca="false">IF(A977="","",IF(ISNUMBER(SEARCH("GMPS",E977)),D977,0))</f>
        <v/>
      </c>
      <c r="K977" s="41" t="str">
        <f aca="false">IF(A977="","",IF(ISNUMBER(SEARCH("DLV",E977)),D977,0))</f>
        <v/>
      </c>
      <c r="L977" s="41" t="str">
        <f aca="false">IF(A977="","",IF(K977&gt;0,"Delivered",IF(ISNUMBER(SEARCH("CNF",E977)),"In production",IF(J977&gt;0,"Issued",IF(I977&gt;0,"Kitted","Released")))))</f>
        <v/>
      </c>
      <c r="M977" s="41" t="str">
        <f aca="false">IF(G977&lt;&gt;"Yes","",COUNTIFS($B$6:$B$1505,B977,$F$6:$F$1505,"&lt;"&amp;F977)+COUNTIFS($B$6:$B$1505,B977,$F$6:$F$1505,F977,$A$6:$A$1505,"&lt;="&amp;A977))</f>
        <v/>
      </c>
      <c r="N977" s="41" t="str">
        <f aca="false">IF(M977="","",ROUNDUP(M977/H977,0))</f>
        <v/>
      </c>
      <c r="O977" s="41" t="str">
        <f aca="false">IF(N977="","",IF(N977&lt;='Kitting Plan'!$C$3,"Rep "&amp;N977,"Surplus"))</f>
        <v/>
      </c>
    </row>
    <row r="978" customFormat="false" ht="15" hidden="false" customHeight="false" outlineLevel="0" collapsed="false">
      <c r="A978" s="40" t="str">
        <f aca="false">IF(OR($A$4=0,INDEX('COOIS Raw'!$A:$GZ,ROW()-4,$A$4)=""),"",IFERROR(--INDEX('COOIS Raw'!$A:$GZ,ROW()-4,$A$4),INDEX('COOIS Raw'!$A:$GZ,ROW()-4,$A$4)))</f>
        <v/>
      </c>
      <c r="B978" s="41" t="str">
        <f aca="false">IF(A978="","",TRIM(INDEX('COOIS Raw'!$A:$GZ,ROW()-4,$B$4)))</f>
        <v/>
      </c>
      <c r="C978" s="42" t="str">
        <f aca="false">IF(OR(A978="",$C$4=0),"",INDEX('COOIS Raw'!$A:$GZ,ROW()-4,$C$4))</f>
        <v/>
      </c>
      <c r="D978" s="41" t="str">
        <f aca="false">IF(A978="","",IF($D$4=0,1,IFERROR(--INDEX('COOIS Raw'!$A:$GZ,ROW()-4,$D$4),1)))</f>
        <v/>
      </c>
      <c r="E978" s="42" t="str">
        <f aca="false">IF(A978="","",INDEX('COOIS Raw'!$A:$GZ,ROW()-4,$E$4)&amp;"")</f>
        <v/>
      </c>
      <c r="F978" s="43" t="str">
        <f aca="false">IF(A978="","",IFERROR(DATEVALUE(INDEX('COOIS Raw'!$A:$GZ,ROW()-4,$F$4)),INDEX('COOIS Raw'!$A:$GZ,ROW()-4,$F$4)))</f>
        <v/>
      </c>
      <c r="G978" s="41" t="str">
        <f aca="false">IF(A978="","",IF(ISNA(MATCH(B978,'Kitting Plan'!$B$6:$B$19,0)),"Not in plan","Yes"))</f>
        <v/>
      </c>
      <c r="H978" s="41" t="str">
        <f aca="false">IF(G978="Yes",INDEX('Kitting Plan'!$D$6:$D$19,MATCH(B978,'Kitting Plan'!$B$6:$B$19,0)),"")</f>
        <v/>
      </c>
      <c r="I978" s="41" t="str">
        <f aca="false">IF(A978="","",IF(ISNUMBER(SEARCH("PRT",E978)),D978,0))</f>
        <v/>
      </c>
      <c r="J978" s="41" t="str">
        <f aca="false">IF(A978="","",IF(ISNUMBER(SEARCH("GMPS",E978)),D978,0))</f>
        <v/>
      </c>
      <c r="K978" s="41" t="str">
        <f aca="false">IF(A978="","",IF(ISNUMBER(SEARCH("DLV",E978)),D978,0))</f>
        <v/>
      </c>
      <c r="L978" s="41" t="str">
        <f aca="false">IF(A978="","",IF(K978&gt;0,"Delivered",IF(ISNUMBER(SEARCH("CNF",E978)),"In production",IF(J978&gt;0,"Issued",IF(I978&gt;0,"Kitted","Released")))))</f>
        <v/>
      </c>
      <c r="M978" s="41" t="str">
        <f aca="false">IF(G978&lt;&gt;"Yes","",COUNTIFS($B$6:$B$1505,B978,$F$6:$F$1505,"&lt;"&amp;F978)+COUNTIFS($B$6:$B$1505,B978,$F$6:$F$1505,F978,$A$6:$A$1505,"&lt;="&amp;A978))</f>
        <v/>
      </c>
      <c r="N978" s="41" t="str">
        <f aca="false">IF(M978="","",ROUNDUP(M978/H978,0))</f>
        <v/>
      </c>
      <c r="O978" s="41" t="str">
        <f aca="false">IF(N978="","",IF(N978&lt;='Kitting Plan'!$C$3,"Rep "&amp;N978,"Surplus"))</f>
        <v/>
      </c>
    </row>
    <row r="979" customFormat="false" ht="15" hidden="false" customHeight="false" outlineLevel="0" collapsed="false">
      <c r="A979" s="40" t="str">
        <f aca="false">IF(OR($A$4=0,INDEX('COOIS Raw'!$A:$GZ,ROW()-4,$A$4)=""),"",IFERROR(--INDEX('COOIS Raw'!$A:$GZ,ROW()-4,$A$4),INDEX('COOIS Raw'!$A:$GZ,ROW()-4,$A$4)))</f>
        <v/>
      </c>
      <c r="B979" s="41" t="str">
        <f aca="false">IF(A979="","",TRIM(INDEX('COOIS Raw'!$A:$GZ,ROW()-4,$B$4)))</f>
        <v/>
      </c>
      <c r="C979" s="42" t="str">
        <f aca="false">IF(OR(A979="",$C$4=0),"",INDEX('COOIS Raw'!$A:$GZ,ROW()-4,$C$4))</f>
        <v/>
      </c>
      <c r="D979" s="41" t="str">
        <f aca="false">IF(A979="","",IF($D$4=0,1,IFERROR(--INDEX('COOIS Raw'!$A:$GZ,ROW()-4,$D$4),1)))</f>
        <v/>
      </c>
      <c r="E979" s="42" t="str">
        <f aca="false">IF(A979="","",INDEX('COOIS Raw'!$A:$GZ,ROW()-4,$E$4)&amp;"")</f>
        <v/>
      </c>
      <c r="F979" s="43" t="str">
        <f aca="false">IF(A979="","",IFERROR(DATEVALUE(INDEX('COOIS Raw'!$A:$GZ,ROW()-4,$F$4)),INDEX('COOIS Raw'!$A:$GZ,ROW()-4,$F$4)))</f>
        <v/>
      </c>
      <c r="G979" s="41" t="str">
        <f aca="false">IF(A979="","",IF(ISNA(MATCH(B979,'Kitting Plan'!$B$6:$B$19,0)),"Not in plan","Yes"))</f>
        <v/>
      </c>
      <c r="H979" s="41" t="str">
        <f aca="false">IF(G979="Yes",INDEX('Kitting Plan'!$D$6:$D$19,MATCH(B979,'Kitting Plan'!$B$6:$B$19,0)),"")</f>
        <v/>
      </c>
      <c r="I979" s="41" t="str">
        <f aca="false">IF(A979="","",IF(ISNUMBER(SEARCH("PRT",E979)),D979,0))</f>
        <v/>
      </c>
      <c r="J979" s="41" t="str">
        <f aca="false">IF(A979="","",IF(ISNUMBER(SEARCH("GMPS",E979)),D979,0))</f>
        <v/>
      </c>
      <c r="K979" s="41" t="str">
        <f aca="false">IF(A979="","",IF(ISNUMBER(SEARCH("DLV",E979)),D979,0))</f>
        <v/>
      </c>
      <c r="L979" s="41" t="str">
        <f aca="false">IF(A979="","",IF(K979&gt;0,"Delivered",IF(ISNUMBER(SEARCH("CNF",E979)),"In production",IF(J979&gt;0,"Issued",IF(I979&gt;0,"Kitted","Released")))))</f>
        <v/>
      </c>
      <c r="M979" s="41" t="str">
        <f aca="false">IF(G979&lt;&gt;"Yes","",COUNTIFS($B$6:$B$1505,B979,$F$6:$F$1505,"&lt;"&amp;F979)+COUNTIFS($B$6:$B$1505,B979,$F$6:$F$1505,F979,$A$6:$A$1505,"&lt;="&amp;A979))</f>
        <v/>
      </c>
      <c r="N979" s="41" t="str">
        <f aca="false">IF(M979="","",ROUNDUP(M979/H979,0))</f>
        <v/>
      </c>
      <c r="O979" s="41" t="str">
        <f aca="false">IF(N979="","",IF(N979&lt;='Kitting Plan'!$C$3,"Rep "&amp;N979,"Surplus"))</f>
        <v/>
      </c>
    </row>
    <row r="980" customFormat="false" ht="15" hidden="false" customHeight="false" outlineLevel="0" collapsed="false">
      <c r="A980" s="40" t="str">
        <f aca="false">IF(OR($A$4=0,INDEX('COOIS Raw'!$A:$GZ,ROW()-4,$A$4)=""),"",IFERROR(--INDEX('COOIS Raw'!$A:$GZ,ROW()-4,$A$4),INDEX('COOIS Raw'!$A:$GZ,ROW()-4,$A$4)))</f>
        <v/>
      </c>
      <c r="B980" s="41" t="str">
        <f aca="false">IF(A980="","",TRIM(INDEX('COOIS Raw'!$A:$GZ,ROW()-4,$B$4)))</f>
        <v/>
      </c>
      <c r="C980" s="42" t="str">
        <f aca="false">IF(OR(A980="",$C$4=0),"",INDEX('COOIS Raw'!$A:$GZ,ROW()-4,$C$4))</f>
        <v/>
      </c>
      <c r="D980" s="41" t="str">
        <f aca="false">IF(A980="","",IF($D$4=0,1,IFERROR(--INDEX('COOIS Raw'!$A:$GZ,ROW()-4,$D$4),1)))</f>
        <v/>
      </c>
      <c r="E980" s="42" t="str">
        <f aca="false">IF(A980="","",INDEX('COOIS Raw'!$A:$GZ,ROW()-4,$E$4)&amp;"")</f>
        <v/>
      </c>
      <c r="F980" s="43" t="str">
        <f aca="false">IF(A980="","",IFERROR(DATEVALUE(INDEX('COOIS Raw'!$A:$GZ,ROW()-4,$F$4)),INDEX('COOIS Raw'!$A:$GZ,ROW()-4,$F$4)))</f>
        <v/>
      </c>
      <c r="G980" s="41" t="str">
        <f aca="false">IF(A980="","",IF(ISNA(MATCH(B980,'Kitting Plan'!$B$6:$B$19,0)),"Not in plan","Yes"))</f>
        <v/>
      </c>
      <c r="H980" s="41" t="str">
        <f aca="false">IF(G980="Yes",INDEX('Kitting Plan'!$D$6:$D$19,MATCH(B980,'Kitting Plan'!$B$6:$B$19,0)),"")</f>
        <v/>
      </c>
      <c r="I980" s="41" t="str">
        <f aca="false">IF(A980="","",IF(ISNUMBER(SEARCH("PRT",E980)),D980,0))</f>
        <v/>
      </c>
      <c r="J980" s="41" t="str">
        <f aca="false">IF(A980="","",IF(ISNUMBER(SEARCH("GMPS",E980)),D980,0))</f>
        <v/>
      </c>
      <c r="K980" s="41" t="str">
        <f aca="false">IF(A980="","",IF(ISNUMBER(SEARCH("DLV",E980)),D980,0))</f>
        <v/>
      </c>
      <c r="L980" s="41" t="str">
        <f aca="false">IF(A980="","",IF(K980&gt;0,"Delivered",IF(ISNUMBER(SEARCH("CNF",E980)),"In production",IF(J980&gt;0,"Issued",IF(I980&gt;0,"Kitted","Released")))))</f>
        <v/>
      </c>
      <c r="M980" s="41" t="str">
        <f aca="false">IF(G980&lt;&gt;"Yes","",COUNTIFS($B$6:$B$1505,B980,$F$6:$F$1505,"&lt;"&amp;F980)+COUNTIFS($B$6:$B$1505,B980,$F$6:$F$1505,F980,$A$6:$A$1505,"&lt;="&amp;A980))</f>
        <v/>
      </c>
      <c r="N980" s="41" t="str">
        <f aca="false">IF(M980="","",ROUNDUP(M980/H980,0))</f>
        <v/>
      </c>
      <c r="O980" s="41" t="str">
        <f aca="false">IF(N980="","",IF(N980&lt;='Kitting Plan'!$C$3,"Rep "&amp;N980,"Surplus"))</f>
        <v/>
      </c>
    </row>
    <row r="981" customFormat="false" ht="15" hidden="false" customHeight="false" outlineLevel="0" collapsed="false">
      <c r="A981" s="40" t="str">
        <f aca="false">IF(OR($A$4=0,INDEX('COOIS Raw'!$A:$GZ,ROW()-4,$A$4)=""),"",IFERROR(--INDEX('COOIS Raw'!$A:$GZ,ROW()-4,$A$4),INDEX('COOIS Raw'!$A:$GZ,ROW()-4,$A$4)))</f>
        <v/>
      </c>
      <c r="B981" s="41" t="str">
        <f aca="false">IF(A981="","",TRIM(INDEX('COOIS Raw'!$A:$GZ,ROW()-4,$B$4)))</f>
        <v/>
      </c>
      <c r="C981" s="42" t="str">
        <f aca="false">IF(OR(A981="",$C$4=0),"",INDEX('COOIS Raw'!$A:$GZ,ROW()-4,$C$4))</f>
        <v/>
      </c>
      <c r="D981" s="41" t="str">
        <f aca="false">IF(A981="","",IF($D$4=0,1,IFERROR(--INDEX('COOIS Raw'!$A:$GZ,ROW()-4,$D$4),1)))</f>
        <v/>
      </c>
      <c r="E981" s="42" t="str">
        <f aca="false">IF(A981="","",INDEX('COOIS Raw'!$A:$GZ,ROW()-4,$E$4)&amp;"")</f>
        <v/>
      </c>
      <c r="F981" s="43" t="str">
        <f aca="false">IF(A981="","",IFERROR(DATEVALUE(INDEX('COOIS Raw'!$A:$GZ,ROW()-4,$F$4)),INDEX('COOIS Raw'!$A:$GZ,ROW()-4,$F$4)))</f>
        <v/>
      </c>
      <c r="G981" s="41" t="str">
        <f aca="false">IF(A981="","",IF(ISNA(MATCH(B981,'Kitting Plan'!$B$6:$B$19,0)),"Not in plan","Yes"))</f>
        <v/>
      </c>
      <c r="H981" s="41" t="str">
        <f aca="false">IF(G981="Yes",INDEX('Kitting Plan'!$D$6:$D$19,MATCH(B981,'Kitting Plan'!$B$6:$B$19,0)),"")</f>
        <v/>
      </c>
      <c r="I981" s="41" t="str">
        <f aca="false">IF(A981="","",IF(ISNUMBER(SEARCH("PRT",E981)),D981,0))</f>
        <v/>
      </c>
      <c r="J981" s="41" t="str">
        <f aca="false">IF(A981="","",IF(ISNUMBER(SEARCH("GMPS",E981)),D981,0))</f>
        <v/>
      </c>
      <c r="K981" s="41" t="str">
        <f aca="false">IF(A981="","",IF(ISNUMBER(SEARCH("DLV",E981)),D981,0))</f>
        <v/>
      </c>
      <c r="L981" s="41" t="str">
        <f aca="false">IF(A981="","",IF(K981&gt;0,"Delivered",IF(ISNUMBER(SEARCH("CNF",E981)),"In production",IF(J981&gt;0,"Issued",IF(I981&gt;0,"Kitted","Released")))))</f>
        <v/>
      </c>
      <c r="M981" s="41" t="str">
        <f aca="false">IF(G981&lt;&gt;"Yes","",COUNTIFS($B$6:$B$1505,B981,$F$6:$F$1505,"&lt;"&amp;F981)+COUNTIFS($B$6:$B$1505,B981,$F$6:$F$1505,F981,$A$6:$A$1505,"&lt;="&amp;A981))</f>
        <v/>
      </c>
      <c r="N981" s="41" t="str">
        <f aca="false">IF(M981="","",ROUNDUP(M981/H981,0))</f>
        <v/>
      </c>
      <c r="O981" s="41" t="str">
        <f aca="false">IF(N981="","",IF(N981&lt;='Kitting Plan'!$C$3,"Rep "&amp;N981,"Surplus"))</f>
        <v/>
      </c>
    </row>
    <row r="982" customFormat="false" ht="15" hidden="false" customHeight="false" outlineLevel="0" collapsed="false">
      <c r="A982" s="40" t="str">
        <f aca="false">IF(OR($A$4=0,INDEX('COOIS Raw'!$A:$GZ,ROW()-4,$A$4)=""),"",IFERROR(--INDEX('COOIS Raw'!$A:$GZ,ROW()-4,$A$4),INDEX('COOIS Raw'!$A:$GZ,ROW()-4,$A$4)))</f>
        <v/>
      </c>
      <c r="B982" s="41" t="str">
        <f aca="false">IF(A982="","",TRIM(INDEX('COOIS Raw'!$A:$GZ,ROW()-4,$B$4)))</f>
        <v/>
      </c>
      <c r="C982" s="42" t="str">
        <f aca="false">IF(OR(A982="",$C$4=0),"",INDEX('COOIS Raw'!$A:$GZ,ROW()-4,$C$4))</f>
        <v/>
      </c>
      <c r="D982" s="41" t="str">
        <f aca="false">IF(A982="","",IF($D$4=0,1,IFERROR(--INDEX('COOIS Raw'!$A:$GZ,ROW()-4,$D$4),1)))</f>
        <v/>
      </c>
      <c r="E982" s="42" t="str">
        <f aca="false">IF(A982="","",INDEX('COOIS Raw'!$A:$GZ,ROW()-4,$E$4)&amp;"")</f>
        <v/>
      </c>
      <c r="F982" s="43" t="str">
        <f aca="false">IF(A982="","",IFERROR(DATEVALUE(INDEX('COOIS Raw'!$A:$GZ,ROW()-4,$F$4)),INDEX('COOIS Raw'!$A:$GZ,ROW()-4,$F$4)))</f>
        <v/>
      </c>
      <c r="G982" s="41" t="str">
        <f aca="false">IF(A982="","",IF(ISNA(MATCH(B982,'Kitting Plan'!$B$6:$B$19,0)),"Not in plan","Yes"))</f>
        <v/>
      </c>
      <c r="H982" s="41" t="str">
        <f aca="false">IF(G982="Yes",INDEX('Kitting Plan'!$D$6:$D$19,MATCH(B982,'Kitting Plan'!$B$6:$B$19,0)),"")</f>
        <v/>
      </c>
      <c r="I982" s="41" t="str">
        <f aca="false">IF(A982="","",IF(ISNUMBER(SEARCH("PRT",E982)),D982,0))</f>
        <v/>
      </c>
      <c r="J982" s="41" t="str">
        <f aca="false">IF(A982="","",IF(ISNUMBER(SEARCH("GMPS",E982)),D982,0))</f>
        <v/>
      </c>
      <c r="K982" s="41" t="str">
        <f aca="false">IF(A982="","",IF(ISNUMBER(SEARCH("DLV",E982)),D982,0))</f>
        <v/>
      </c>
      <c r="L982" s="41" t="str">
        <f aca="false">IF(A982="","",IF(K982&gt;0,"Delivered",IF(ISNUMBER(SEARCH("CNF",E982)),"In production",IF(J982&gt;0,"Issued",IF(I982&gt;0,"Kitted","Released")))))</f>
        <v/>
      </c>
      <c r="M982" s="41" t="str">
        <f aca="false">IF(G982&lt;&gt;"Yes","",COUNTIFS($B$6:$B$1505,B982,$F$6:$F$1505,"&lt;"&amp;F982)+COUNTIFS($B$6:$B$1505,B982,$F$6:$F$1505,F982,$A$6:$A$1505,"&lt;="&amp;A982))</f>
        <v/>
      </c>
      <c r="N982" s="41" t="str">
        <f aca="false">IF(M982="","",ROUNDUP(M982/H982,0))</f>
        <v/>
      </c>
      <c r="O982" s="41" t="str">
        <f aca="false">IF(N982="","",IF(N982&lt;='Kitting Plan'!$C$3,"Rep "&amp;N982,"Surplus"))</f>
        <v/>
      </c>
    </row>
    <row r="983" customFormat="false" ht="15" hidden="false" customHeight="false" outlineLevel="0" collapsed="false">
      <c r="A983" s="40" t="str">
        <f aca="false">IF(OR($A$4=0,INDEX('COOIS Raw'!$A:$GZ,ROW()-4,$A$4)=""),"",IFERROR(--INDEX('COOIS Raw'!$A:$GZ,ROW()-4,$A$4),INDEX('COOIS Raw'!$A:$GZ,ROW()-4,$A$4)))</f>
        <v/>
      </c>
      <c r="B983" s="41" t="str">
        <f aca="false">IF(A983="","",TRIM(INDEX('COOIS Raw'!$A:$GZ,ROW()-4,$B$4)))</f>
        <v/>
      </c>
      <c r="C983" s="42" t="str">
        <f aca="false">IF(OR(A983="",$C$4=0),"",INDEX('COOIS Raw'!$A:$GZ,ROW()-4,$C$4))</f>
        <v/>
      </c>
      <c r="D983" s="41" t="str">
        <f aca="false">IF(A983="","",IF($D$4=0,1,IFERROR(--INDEX('COOIS Raw'!$A:$GZ,ROW()-4,$D$4),1)))</f>
        <v/>
      </c>
      <c r="E983" s="42" t="str">
        <f aca="false">IF(A983="","",INDEX('COOIS Raw'!$A:$GZ,ROW()-4,$E$4)&amp;"")</f>
        <v/>
      </c>
      <c r="F983" s="43" t="str">
        <f aca="false">IF(A983="","",IFERROR(DATEVALUE(INDEX('COOIS Raw'!$A:$GZ,ROW()-4,$F$4)),INDEX('COOIS Raw'!$A:$GZ,ROW()-4,$F$4)))</f>
        <v/>
      </c>
      <c r="G983" s="41" t="str">
        <f aca="false">IF(A983="","",IF(ISNA(MATCH(B983,'Kitting Plan'!$B$6:$B$19,0)),"Not in plan","Yes"))</f>
        <v/>
      </c>
      <c r="H983" s="41" t="str">
        <f aca="false">IF(G983="Yes",INDEX('Kitting Plan'!$D$6:$D$19,MATCH(B983,'Kitting Plan'!$B$6:$B$19,0)),"")</f>
        <v/>
      </c>
      <c r="I983" s="41" t="str">
        <f aca="false">IF(A983="","",IF(ISNUMBER(SEARCH("PRT",E983)),D983,0))</f>
        <v/>
      </c>
      <c r="J983" s="41" t="str">
        <f aca="false">IF(A983="","",IF(ISNUMBER(SEARCH("GMPS",E983)),D983,0))</f>
        <v/>
      </c>
      <c r="K983" s="41" t="str">
        <f aca="false">IF(A983="","",IF(ISNUMBER(SEARCH("DLV",E983)),D983,0))</f>
        <v/>
      </c>
      <c r="L983" s="41" t="str">
        <f aca="false">IF(A983="","",IF(K983&gt;0,"Delivered",IF(ISNUMBER(SEARCH("CNF",E983)),"In production",IF(J983&gt;0,"Issued",IF(I983&gt;0,"Kitted","Released")))))</f>
        <v/>
      </c>
      <c r="M983" s="41" t="str">
        <f aca="false">IF(G983&lt;&gt;"Yes","",COUNTIFS($B$6:$B$1505,B983,$F$6:$F$1505,"&lt;"&amp;F983)+COUNTIFS($B$6:$B$1505,B983,$F$6:$F$1505,F983,$A$6:$A$1505,"&lt;="&amp;A983))</f>
        <v/>
      </c>
      <c r="N983" s="41" t="str">
        <f aca="false">IF(M983="","",ROUNDUP(M983/H983,0))</f>
        <v/>
      </c>
      <c r="O983" s="41" t="str">
        <f aca="false">IF(N983="","",IF(N983&lt;='Kitting Plan'!$C$3,"Rep "&amp;N983,"Surplus"))</f>
        <v/>
      </c>
    </row>
    <row r="984" customFormat="false" ht="15" hidden="false" customHeight="false" outlineLevel="0" collapsed="false">
      <c r="A984" s="40" t="str">
        <f aca="false">IF(OR($A$4=0,INDEX('COOIS Raw'!$A:$GZ,ROW()-4,$A$4)=""),"",IFERROR(--INDEX('COOIS Raw'!$A:$GZ,ROW()-4,$A$4),INDEX('COOIS Raw'!$A:$GZ,ROW()-4,$A$4)))</f>
        <v/>
      </c>
      <c r="B984" s="41" t="str">
        <f aca="false">IF(A984="","",TRIM(INDEX('COOIS Raw'!$A:$GZ,ROW()-4,$B$4)))</f>
        <v/>
      </c>
      <c r="C984" s="42" t="str">
        <f aca="false">IF(OR(A984="",$C$4=0),"",INDEX('COOIS Raw'!$A:$GZ,ROW()-4,$C$4))</f>
        <v/>
      </c>
      <c r="D984" s="41" t="str">
        <f aca="false">IF(A984="","",IF($D$4=0,1,IFERROR(--INDEX('COOIS Raw'!$A:$GZ,ROW()-4,$D$4),1)))</f>
        <v/>
      </c>
      <c r="E984" s="42" t="str">
        <f aca="false">IF(A984="","",INDEX('COOIS Raw'!$A:$GZ,ROW()-4,$E$4)&amp;"")</f>
        <v/>
      </c>
      <c r="F984" s="43" t="str">
        <f aca="false">IF(A984="","",IFERROR(DATEVALUE(INDEX('COOIS Raw'!$A:$GZ,ROW()-4,$F$4)),INDEX('COOIS Raw'!$A:$GZ,ROW()-4,$F$4)))</f>
        <v/>
      </c>
      <c r="G984" s="41" t="str">
        <f aca="false">IF(A984="","",IF(ISNA(MATCH(B984,'Kitting Plan'!$B$6:$B$19,0)),"Not in plan","Yes"))</f>
        <v/>
      </c>
      <c r="H984" s="41" t="str">
        <f aca="false">IF(G984="Yes",INDEX('Kitting Plan'!$D$6:$D$19,MATCH(B984,'Kitting Plan'!$B$6:$B$19,0)),"")</f>
        <v/>
      </c>
      <c r="I984" s="41" t="str">
        <f aca="false">IF(A984="","",IF(ISNUMBER(SEARCH("PRT",E984)),D984,0))</f>
        <v/>
      </c>
      <c r="J984" s="41" t="str">
        <f aca="false">IF(A984="","",IF(ISNUMBER(SEARCH("GMPS",E984)),D984,0))</f>
        <v/>
      </c>
      <c r="K984" s="41" t="str">
        <f aca="false">IF(A984="","",IF(ISNUMBER(SEARCH("DLV",E984)),D984,0))</f>
        <v/>
      </c>
      <c r="L984" s="41" t="str">
        <f aca="false">IF(A984="","",IF(K984&gt;0,"Delivered",IF(ISNUMBER(SEARCH("CNF",E984)),"In production",IF(J984&gt;0,"Issued",IF(I984&gt;0,"Kitted","Released")))))</f>
        <v/>
      </c>
      <c r="M984" s="41" t="str">
        <f aca="false">IF(G984&lt;&gt;"Yes","",COUNTIFS($B$6:$B$1505,B984,$F$6:$F$1505,"&lt;"&amp;F984)+COUNTIFS($B$6:$B$1505,B984,$F$6:$F$1505,F984,$A$6:$A$1505,"&lt;="&amp;A984))</f>
        <v/>
      </c>
      <c r="N984" s="41" t="str">
        <f aca="false">IF(M984="","",ROUNDUP(M984/H984,0))</f>
        <v/>
      </c>
      <c r="O984" s="41" t="str">
        <f aca="false">IF(N984="","",IF(N984&lt;='Kitting Plan'!$C$3,"Rep "&amp;N984,"Surplus"))</f>
        <v/>
      </c>
    </row>
    <row r="985" customFormat="false" ht="15" hidden="false" customHeight="false" outlineLevel="0" collapsed="false">
      <c r="A985" s="40" t="str">
        <f aca="false">IF(OR($A$4=0,INDEX('COOIS Raw'!$A:$GZ,ROW()-4,$A$4)=""),"",IFERROR(--INDEX('COOIS Raw'!$A:$GZ,ROW()-4,$A$4),INDEX('COOIS Raw'!$A:$GZ,ROW()-4,$A$4)))</f>
        <v/>
      </c>
      <c r="B985" s="41" t="str">
        <f aca="false">IF(A985="","",TRIM(INDEX('COOIS Raw'!$A:$GZ,ROW()-4,$B$4)))</f>
        <v/>
      </c>
      <c r="C985" s="42" t="str">
        <f aca="false">IF(OR(A985="",$C$4=0),"",INDEX('COOIS Raw'!$A:$GZ,ROW()-4,$C$4))</f>
        <v/>
      </c>
      <c r="D985" s="41" t="str">
        <f aca="false">IF(A985="","",IF($D$4=0,1,IFERROR(--INDEX('COOIS Raw'!$A:$GZ,ROW()-4,$D$4),1)))</f>
        <v/>
      </c>
      <c r="E985" s="42" t="str">
        <f aca="false">IF(A985="","",INDEX('COOIS Raw'!$A:$GZ,ROW()-4,$E$4)&amp;"")</f>
        <v/>
      </c>
      <c r="F985" s="43" t="str">
        <f aca="false">IF(A985="","",IFERROR(DATEVALUE(INDEX('COOIS Raw'!$A:$GZ,ROW()-4,$F$4)),INDEX('COOIS Raw'!$A:$GZ,ROW()-4,$F$4)))</f>
        <v/>
      </c>
      <c r="G985" s="41" t="str">
        <f aca="false">IF(A985="","",IF(ISNA(MATCH(B985,'Kitting Plan'!$B$6:$B$19,0)),"Not in plan","Yes"))</f>
        <v/>
      </c>
      <c r="H985" s="41" t="str">
        <f aca="false">IF(G985="Yes",INDEX('Kitting Plan'!$D$6:$D$19,MATCH(B985,'Kitting Plan'!$B$6:$B$19,0)),"")</f>
        <v/>
      </c>
      <c r="I985" s="41" t="str">
        <f aca="false">IF(A985="","",IF(ISNUMBER(SEARCH("PRT",E985)),D985,0))</f>
        <v/>
      </c>
      <c r="J985" s="41" t="str">
        <f aca="false">IF(A985="","",IF(ISNUMBER(SEARCH("GMPS",E985)),D985,0))</f>
        <v/>
      </c>
      <c r="K985" s="41" t="str">
        <f aca="false">IF(A985="","",IF(ISNUMBER(SEARCH("DLV",E985)),D985,0))</f>
        <v/>
      </c>
      <c r="L985" s="41" t="str">
        <f aca="false">IF(A985="","",IF(K985&gt;0,"Delivered",IF(ISNUMBER(SEARCH("CNF",E985)),"In production",IF(J985&gt;0,"Issued",IF(I985&gt;0,"Kitted","Released")))))</f>
        <v/>
      </c>
      <c r="M985" s="41" t="str">
        <f aca="false">IF(G985&lt;&gt;"Yes","",COUNTIFS($B$6:$B$1505,B985,$F$6:$F$1505,"&lt;"&amp;F985)+COUNTIFS($B$6:$B$1505,B985,$F$6:$F$1505,F985,$A$6:$A$1505,"&lt;="&amp;A985))</f>
        <v/>
      </c>
      <c r="N985" s="41" t="str">
        <f aca="false">IF(M985="","",ROUNDUP(M985/H985,0))</f>
        <v/>
      </c>
      <c r="O985" s="41" t="str">
        <f aca="false">IF(N985="","",IF(N985&lt;='Kitting Plan'!$C$3,"Rep "&amp;N985,"Surplus"))</f>
        <v/>
      </c>
    </row>
    <row r="986" customFormat="false" ht="15" hidden="false" customHeight="false" outlineLevel="0" collapsed="false">
      <c r="A986" s="40" t="str">
        <f aca="false">IF(OR($A$4=0,INDEX('COOIS Raw'!$A:$GZ,ROW()-4,$A$4)=""),"",IFERROR(--INDEX('COOIS Raw'!$A:$GZ,ROW()-4,$A$4),INDEX('COOIS Raw'!$A:$GZ,ROW()-4,$A$4)))</f>
        <v/>
      </c>
      <c r="B986" s="41" t="str">
        <f aca="false">IF(A986="","",TRIM(INDEX('COOIS Raw'!$A:$GZ,ROW()-4,$B$4)))</f>
        <v/>
      </c>
      <c r="C986" s="42" t="str">
        <f aca="false">IF(OR(A986="",$C$4=0),"",INDEX('COOIS Raw'!$A:$GZ,ROW()-4,$C$4))</f>
        <v/>
      </c>
      <c r="D986" s="41" t="str">
        <f aca="false">IF(A986="","",IF($D$4=0,1,IFERROR(--INDEX('COOIS Raw'!$A:$GZ,ROW()-4,$D$4),1)))</f>
        <v/>
      </c>
      <c r="E986" s="42" t="str">
        <f aca="false">IF(A986="","",INDEX('COOIS Raw'!$A:$GZ,ROW()-4,$E$4)&amp;"")</f>
        <v/>
      </c>
      <c r="F986" s="43" t="str">
        <f aca="false">IF(A986="","",IFERROR(DATEVALUE(INDEX('COOIS Raw'!$A:$GZ,ROW()-4,$F$4)),INDEX('COOIS Raw'!$A:$GZ,ROW()-4,$F$4)))</f>
        <v/>
      </c>
      <c r="G986" s="41" t="str">
        <f aca="false">IF(A986="","",IF(ISNA(MATCH(B986,'Kitting Plan'!$B$6:$B$19,0)),"Not in plan","Yes"))</f>
        <v/>
      </c>
      <c r="H986" s="41" t="str">
        <f aca="false">IF(G986="Yes",INDEX('Kitting Plan'!$D$6:$D$19,MATCH(B986,'Kitting Plan'!$B$6:$B$19,0)),"")</f>
        <v/>
      </c>
      <c r="I986" s="41" t="str">
        <f aca="false">IF(A986="","",IF(ISNUMBER(SEARCH("PRT",E986)),D986,0))</f>
        <v/>
      </c>
      <c r="J986" s="41" t="str">
        <f aca="false">IF(A986="","",IF(ISNUMBER(SEARCH("GMPS",E986)),D986,0))</f>
        <v/>
      </c>
      <c r="K986" s="41" t="str">
        <f aca="false">IF(A986="","",IF(ISNUMBER(SEARCH("DLV",E986)),D986,0))</f>
        <v/>
      </c>
      <c r="L986" s="41" t="str">
        <f aca="false">IF(A986="","",IF(K986&gt;0,"Delivered",IF(ISNUMBER(SEARCH("CNF",E986)),"In production",IF(J986&gt;0,"Issued",IF(I986&gt;0,"Kitted","Released")))))</f>
        <v/>
      </c>
      <c r="M986" s="41" t="str">
        <f aca="false">IF(G986&lt;&gt;"Yes","",COUNTIFS($B$6:$B$1505,B986,$F$6:$F$1505,"&lt;"&amp;F986)+COUNTIFS($B$6:$B$1505,B986,$F$6:$F$1505,F986,$A$6:$A$1505,"&lt;="&amp;A986))</f>
        <v/>
      </c>
      <c r="N986" s="41" t="str">
        <f aca="false">IF(M986="","",ROUNDUP(M986/H986,0))</f>
        <v/>
      </c>
      <c r="O986" s="41" t="str">
        <f aca="false">IF(N986="","",IF(N986&lt;='Kitting Plan'!$C$3,"Rep "&amp;N986,"Surplus"))</f>
        <v/>
      </c>
    </row>
    <row r="987" customFormat="false" ht="15" hidden="false" customHeight="false" outlineLevel="0" collapsed="false">
      <c r="A987" s="40" t="str">
        <f aca="false">IF(OR($A$4=0,INDEX('COOIS Raw'!$A:$GZ,ROW()-4,$A$4)=""),"",IFERROR(--INDEX('COOIS Raw'!$A:$GZ,ROW()-4,$A$4),INDEX('COOIS Raw'!$A:$GZ,ROW()-4,$A$4)))</f>
        <v/>
      </c>
      <c r="B987" s="41" t="str">
        <f aca="false">IF(A987="","",TRIM(INDEX('COOIS Raw'!$A:$GZ,ROW()-4,$B$4)))</f>
        <v/>
      </c>
      <c r="C987" s="42" t="str">
        <f aca="false">IF(OR(A987="",$C$4=0),"",INDEX('COOIS Raw'!$A:$GZ,ROW()-4,$C$4))</f>
        <v/>
      </c>
      <c r="D987" s="41" t="str">
        <f aca="false">IF(A987="","",IF($D$4=0,1,IFERROR(--INDEX('COOIS Raw'!$A:$GZ,ROW()-4,$D$4),1)))</f>
        <v/>
      </c>
      <c r="E987" s="42" t="str">
        <f aca="false">IF(A987="","",INDEX('COOIS Raw'!$A:$GZ,ROW()-4,$E$4)&amp;"")</f>
        <v/>
      </c>
      <c r="F987" s="43" t="str">
        <f aca="false">IF(A987="","",IFERROR(DATEVALUE(INDEX('COOIS Raw'!$A:$GZ,ROW()-4,$F$4)),INDEX('COOIS Raw'!$A:$GZ,ROW()-4,$F$4)))</f>
        <v/>
      </c>
      <c r="G987" s="41" t="str">
        <f aca="false">IF(A987="","",IF(ISNA(MATCH(B987,'Kitting Plan'!$B$6:$B$19,0)),"Not in plan","Yes"))</f>
        <v/>
      </c>
      <c r="H987" s="41" t="str">
        <f aca="false">IF(G987="Yes",INDEX('Kitting Plan'!$D$6:$D$19,MATCH(B987,'Kitting Plan'!$B$6:$B$19,0)),"")</f>
        <v/>
      </c>
      <c r="I987" s="41" t="str">
        <f aca="false">IF(A987="","",IF(ISNUMBER(SEARCH("PRT",E987)),D987,0))</f>
        <v/>
      </c>
      <c r="J987" s="41" t="str">
        <f aca="false">IF(A987="","",IF(ISNUMBER(SEARCH("GMPS",E987)),D987,0))</f>
        <v/>
      </c>
      <c r="K987" s="41" t="str">
        <f aca="false">IF(A987="","",IF(ISNUMBER(SEARCH("DLV",E987)),D987,0))</f>
        <v/>
      </c>
      <c r="L987" s="41" t="str">
        <f aca="false">IF(A987="","",IF(K987&gt;0,"Delivered",IF(ISNUMBER(SEARCH("CNF",E987)),"In production",IF(J987&gt;0,"Issued",IF(I987&gt;0,"Kitted","Released")))))</f>
        <v/>
      </c>
      <c r="M987" s="41" t="str">
        <f aca="false">IF(G987&lt;&gt;"Yes","",COUNTIFS($B$6:$B$1505,B987,$F$6:$F$1505,"&lt;"&amp;F987)+COUNTIFS($B$6:$B$1505,B987,$F$6:$F$1505,F987,$A$6:$A$1505,"&lt;="&amp;A987))</f>
        <v/>
      </c>
      <c r="N987" s="41" t="str">
        <f aca="false">IF(M987="","",ROUNDUP(M987/H987,0))</f>
        <v/>
      </c>
      <c r="O987" s="41" t="str">
        <f aca="false">IF(N987="","",IF(N987&lt;='Kitting Plan'!$C$3,"Rep "&amp;N987,"Surplus"))</f>
        <v/>
      </c>
    </row>
    <row r="988" customFormat="false" ht="15" hidden="false" customHeight="false" outlineLevel="0" collapsed="false">
      <c r="A988" s="40" t="str">
        <f aca="false">IF(OR($A$4=0,INDEX('COOIS Raw'!$A:$GZ,ROW()-4,$A$4)=""),"",IFERROR(--INDEX('COOIS Raw'!$A:$GZ,ROW()-4,$A$4),INDEX('COOIS Raw'!$A:$GZ,ROW()-4,$A$4)))</f>
        <v/>
      </c>
      <c r="B988" s="41" t="str">
        <f aca="false">IF(A988="","",TRIM(INDEX('COOIS Raw'!$A:$GZ,ROW()-4,$B$4)))</f>
        <v/>
      </c>
      <c r="C988" s="42" t="str">
        <f aca="false">IF(OR(A988="",$C$4=0),"",INDEX('COOIS Raw'!$A:$GZ,ROW()-4,$C$4))</f>
        <v/>
      </c>
      <c r="D988" s="41" t="str">
        <f aca="false">IF(A988="","",IF($D$4=0,1,IFERROR(--INDEX('COOIS Raw'!$A:$GZ,ROW()-4,$D$4),1)))</f>
        <v/>
      </c>
      <c r="E988" s="42" t="str">
        <f aca="false">IF(A988="","",INDEX('COOIS Raw'!$A:$GZ,ROW()-4,$E$4)&amp;"")</f>
        <v/>
      </c>
      <c r="F988" s="43" t="str">
        <f aca="false">IF(A988="","",IFERROR(DATEVALUE(INDEX('COOIS Raw'!$A:$GZ,ROW()-4,$F$4)),INDEX('COOIS Raw'!$A:$GZ,ROW()-4,$F$4)))</f>
        <v/>
      </c>
      <c r="G988" s="41" t="str">
        <f aca="false">IF(A988="","",IF(ISNA(MATCH(B988,'Kitting Plan'!$B$6:$B$19,0)),"Not in plan","Yes"))</f>
        <v/>
      </c>
      <c r="H988" s="41" t="str">
        <f aca="false">IF(G988="Yes",INDEX('Kitting Plan'!$D$6:$D$19,MATCH(B988,'Kitting Plan'!$B$6:$B$19,0)),"")</f>
        <v/>
      </c>
      <c r="I988" s="41" t="str">
        <f aca="false">IF(A988="","",IF(ISNUMBER(SEARCH("PRT",E988)),D988,0))</f>
        <v/>
      </c>
      <c r="J988" s="41" t="str">
        <f aca="false">IF(A988="","",IF(ISNUMBER(SEARCH("GMPS",E988)),D988,0))</f>
        <v/>
      </c>
      <c r="K988" s="41" t="str">
        <f aca="false">IF(A988="","",IF(ISNUMBER(SEARCH("DLV",E988)),D988,0))</f>
        <v/>
      </c>
      <c r="L988" s="41" t="str">
        <f aca="false">IF(A988="","",IF(K988&gt;0,"Delivered",IF(ISNUMBER(SEARCH("CNF",E988)),"In production",IF(J988&gt;0,"Issued",IF(I988&gt;0,"Kitted","Released")))))</f>
        <v/>
      </c>
      <c r="M988" s="41" t="str">
        <f aca="false">IF(G988&lt;&gt;"Yes","",COUNTIFS($B$6:$B$1505,B988,$F$6:$F$1505,"&lt;"&amp;F988)+COUNTIFS($B$6:$B$1505,B988,$F$6:$F$1505,F988,$A$6:$A$1505,"&lt;="&amp;A988))</f>
        <v/>
      </c>
      <c r="N988" s="41" t="str">
        <f aca="false">IF(M988="","",ROUNDUP(M988/H988,0))</f>
        <v/>
      </c>
      <c r="O988" s="41" t="str">
        <f aca="false">IF(N988="","",IF(N988&lt;='Kitting Plan'!$C$3,"Rep "&amp;N988,"Surplus"))</f>
        <v/>
      </c>
    </row>
    <row r="989" customFormat="false" ht="15" hidden="false" customHeight="false" outlineLevel="0" collapsed="false">
      <c r="A989" s="40" t="str">
        <f aca="false">IF(OR($A$4=0,INDEX('COOIS Raw'!$A:$GZ,ROW()-4,$A$4)=""),"",IFERROR(--INDEX('COOIS Raw'!$A:$GZ,ROW()-4,$A$4),INDEX('COOIS Raw'!$A:$GZ,ROW()-4,$A$4)))</f>
        <v/>
      </c>
      <c r="B989" s="41" t="str">
        <f aca="false">IF(A989="","",TRIM(INDEX('COOIS Raw'!$A:$GZ,ROW()-4,$B$4)))</f>
        <v/>
      </c>
      <c r="C989" s="42" t="str">
        <f aca="false">IF(OR(A989="",$C$4=0),"",INDEX('COOIS Raw'!$A:$GZ,ROW()-4,$C$4))</f>
        <v/>
      </c>
      <c r="D989" s="41" t="str">
        <f aca="false">IF(A989="","",IF($D$4=0,1,IFERROR(--INDEX('COOIS Raw'!$A:$GZ,ROW()-4,$D$4),1)))</f>
        <v/>
      </c>
      <c r="E989" s="42" t="str">
        <f aca="false">IF(A989="","",INDEX('COOIS Raw'!$A:$GZ,ROW()-4,$E$4)&amp;"")</f>
        <v/>
      </c>
      <c r="F989" s="43" t="str">
        <f aca="false">IF(A989="","",IFERROR(DATEVALUE(INDEX('COOIS Raw'!$A:$GZ,ROW()-4,$F$4)),INDEX('COOIS Raw'!$A:$GZ,ROW()-4,$F$4)))</f>
        <v/>
      </c>
      <c r="G989" s="41" t="str">
        <f aca="false">IF(A989="","",IF(ISNA(MATCH(B989,'Kitting Plan'!$B$6:$B$19,0)),"Not in plan","Yes"))</f>
        <v/>
      </c>
      <c r="H989" s="41" t="str">
        <f aca="false">IF(G989="Yes",INDEX('Kitting Plan'!$D$6:$D$19,MATCH(B989,'Kitting Plan'!$B$6:$B$19,0)),"")</f>
        <v/>
      </c>
      <c r="I989" s="41" t="str">
        <f aca="false">IF(A989="","",IF(ISNUMBER(SEARCH("PRT",E989)),D989,0))</f>
        <v/>
      </c>
      <c r="J989" s="41" t="str">
        <f aca="false">IF(A989="","",IF(ISNUMBER(SEARCH("GMPS",E989)),D989,0))</f>
        <v/>
      </c>
      <c r="K989" s="41" t="str">
        <f aca="false">IF(A989="","",IF(ISNUMBER(SEARCH("DLV",E989)),D989,0))</f>
        <v/>
      </c>
      <c r="L989" s="41" t="str">
        <f aca="false">IF(A989="","",IF(K989&gt;0,"Delivered",IF(ISNUMBER(SEARCH("CNF",E989)),"In production",IF(J989&gt;0,"Issued",IF(I989&gt;0,"Kitted","Released")))))</f>
        <v/>
      </c>
      <c r="M989" s="41" t="str">
        <f aca="false">IF(G989&lt;&gt;"Yes","",COUNTIFS($B$6:$B$1505,B989,$F$6:$F$1505,"&lt;"&amp;F989)+COUNTIFS($B$6:$B$1505,B989,$F$6:$F$1505,F989,$A$6:$A$1505,"&lt;="&amp;A989))</f>
        <v/>
      </c>
      <c r="N989" s="41" t="str">
        <f aca="false">IF(M989="","",ROUNDUP(M989/H989,0))</f>
        <v/>
      </c>
      <c r="O989" s="41" t="str">
        <f aca="false">IF(N989="","",IF(N989&lt;='Kitting Plan'!$C$3,"Rep "&amp;N989,"Surplus"))</f>
        <v/>
      </c>
    </row>
    <row r="990" customFormat="false" ht="15" hidden="false" customHeight="false" outlineLevel="0" collapsed="false">
      <c r="A990" s="40" t="str">
        <f aca="false">IF(OR($A$4=0,INDEX('COOIS Raw'!$A:$GZ,ROW()-4,$A$4)=""),"",IFERROR(--INDEX('COOIS Raw'!$A:$GZ,ROW()-4,$A$4),INDEX('COOIS Raw'!$A:$GZ,ROW()-4,$A$4)))</f>
        <v/>
      </c>
      <c r="B990" s="41" t="str">
        <f aca="false">IF(A990="","",TRIM(INDEX('COOIS Raw'!$A:$GZ,ROW()-4,$B$4)))</f>
        <v/>
      </c>
      <c r="C990" s="42" t="str">
        <f aca="false">IF(OR(A990="",$C$4=0),"",INDEX('COOIS Raw'!$A:$GZ,ROW()-4,$C$4))</f>
        <v/>
      </c>
      <c r="D990" s="41" t="str">
        <f aca="false">IF(A990="","",IF($D$4=0,1,IFERROR(--INDEX('COOIS Raw'!$A:$GZ,ROW()-4,$D$4),1)))</f>
        <v/>
      </c>
      <c r="E990" s="42" t="str">
        <f aca="false">IF(A990="","",INDEX('COOIS Raw'!$A:$GZ,ROW()-4,$E$4)&amp;"")</f>
        <v/>
      </c>
      <c r="F990" s="43" t="str">
        <f aca="false">IF(A990="","",IFERROR(DATEVALUE(INDEX('COOIS Raw'!$A:$GZ,ROW()-4,$F$4)),INDEX('COOIS Raw'!$A:$GZ,ROW()-4,$F$4)))</f>
        <v/>
      </c>
      <c r="G990" s="41" t="str">
        <f aca="false">IF(A990="","",IF(ISNA(MATCH(B990,'Kitting Plan'!$B$6:$B$19,0)),"Not in plan","Yes"))</f>
        <v/>
      </c>
      <c r="H990" s="41" t="str">
        <f aca="false">IF(G990="Yes",INDEX('Kitting Plan'!$D$6:$D$19,MATCH(B990,'Kitting Plan'!$B$6:$B$19,0)),"")</f>
        <v/>
      </c>
      <c r="I990" s="41" t="str">
        <f aca="false">IF(A990="","",IF(ISNUMBER(SEARCH("PRT",E990)),D990,0))</f>
        <v/>
      </c>
      <c r="J990" s="41" t="str">
        <f aca="false">IF(A990="","",IF(ISNUMBER(SEARCH("GMPS",E990)),D990,0))</f>
        <v/>
      </c>
      <c r="K990" s="41" t="str">
        <f aca="false">IF(A990="","",IF(ISNUMBER(SEARCH("DLV",E990)),D990,0))</f>
        <v/>
      </c>
      <c r="L990" s="41" t="str">
        <f aca="false">IF(A990="","",IF(K990&gt;0,"Delivered",IF(ISNUMBER(SEARCH("CNF",E990)),"In production",IF(J990&gt;0,"Issued",IF(I990&gt;0,"Kitted","Released")))))</f>
        <v/>
      </c>
      <c r="M990" s="41" t="str">
        <f aca="false">IF(G990&lt;&gt;"Yes","",COUNTIFS($B$6:$B$1505,B990,$F$6:$F$1505,"&lt;"&amp;F990)+COUNTIFS($B$6:$B$1505,B990,$F$6:$F$1505,F990,$A$6:$A$1505,"&lt;="&amp;A990))</f>
        <v/>
      </c>
      <c r="N990" s="41" t="str">
        <f aca="false">IF(M990="","",ROUNDUP(M990/H990,0))</f>
        <v/>
      </c>
      <c r="O990" s="41" t="str">
        <f aca="false">IF(N990="","",IF(N990&lt;='Kitting Plan'!$C$3,"Rep "&amp;N990,"Surplus"))</f>
        <v/>
      </c>
    </row>
    <row r="991" customFormat="false" ht="15" hidden="false" customHeight="false" outlineLevel="0" collapsed="false">
      <c r="A991" s="40" t="str">
        <f aca="false">IF(OR($A$4=0,INDEX('COOIS Raw'!$A:$GZ,ROW()-4,$A$4)=""),"",IFERROR(--INDEX('COOIS Raw'!$A:$GZ,ROW()-4,$A$4),INDEX('COOIS Raw'!$A:$GZ,ROW()-4,$A$4)))</f>
        <v/>
      </c>
      <c r="B991" s="41" t="str">
        <f aca="false">IF(A991="","",TRIM(INDEX('COOIS Raw'!$A:$GZ,ROW()-4,$B$4)))</f>
        <v/>
      </c>
      <c r="C991" s="42" t="str">
        <f aca="false">IF(OR(A991="",$C$4=0),"",INDEX('COOIS Raw'!$A:$GZ,ROW()-4,$C$4))</f>
        <v/>
      </c>
      <c r="D991" s="41" t="str">
        <f aca="false">IF(A991="","",IF($D$4=0,1,IFERROR(--INDEX('COOIS Raw'!$A:$GZ,ROW()-4,$D$4),1)))</f>
        <v/>
      </c>
      <c r="E991" s="42" t="str">
        <f aca="false">IF(A991="","",INDEX('COOIS Raw'!$A:$GZ,ROW()-4,$E$4)&amp;"")</f>
        <v/>
      </c>
      <c r="F991" s="43" t="str">
        <f aca="false">IF(A991="","",IFERROR(DATEVALUE(INDEX('COOIS Raw'!$A:$GZ,ROW()-4,$F$4)),INDEX('COOIS Raw'!$A:$GZ,ROW()-4,$F$4)))</f>
        <v/>
      </c>
      <c r="G991" s="41" t="str">
        <f aca="false">IF(A991="","",IF(ISNA(MATCH(B991,'Kitting Plan'!$B$6:$B$19,0)),"Not in plan","Yes"))</f>
        <v/>
      </c>
      <c r="H991" s="41" t="str">
        <f aca="false">IF(G991="Yes",INDEX('Kitting Plan'!$D$6:$D$19,MATCH(B991,'Kitting Plan'!$B$6:$B$19,0)),"")</f>
        <v/>
      </c>
      <c r="I991" s="41" t="str">
        <f aca="false">IF(A991="","",IF(ISNUMBER(SEARCH("PRT",E991)),D991,0))</f>
        <v/>
      </c>
      <c r="J991" s="41" t="str">
        <f aca="false">IF(A991="","",IF(ISNUMBER(SEARCH("GMPS",E991)),D991,0))</f>
        <v/>
      </c>
      <c r="K991" s="41" t="str">
        <f aca="false">IF(A991="","",IF(ISNUMBER(SEARCH("DLV",E991)),D991,0))</f>
        <v/>
      </c>
      <c r="L991" s="41" t="str">
        <f aca="false">IF(A991="","",IF(K991&gt;0,"Delivered",IF(ISNUMBER(SEARCH("CNF",E991)),"In production",IF(J991&gt;0,"Issued",IF(I991&gt;0,"Kitted","Released")))))</f>
        <v/>
      </c>
      <c r="M991" s="41" t="str">
        <f aca="false">IF(G991&lt;&gt;"Yes","",COUNTIFS($B$6:$B$1505,B991,$F$6:$F$1505,"&lt;"&amp;F991)+COUNTIFS($B$6:$B$1505,B991,$F$6:$F$1505,F991,$A$6:$A$1505,"&lt;="&amp;A991))</f>
        <v/>
      </c>
      <c r="N991" s="41" t="str">
        <f aca="false">IF(M991="","",ROUNDUP(M991/H991,0))</f>
        <v/>
      </c>
      <c r="O991" s="41" t="str">
        <f aca="false">IF(N991="","",IF(N991&lt;='Kitting Plan'!$C$3,"Rep "&amp;N991,"Surplus"))</f>
        <v/>
      </c>
    </row>
    <row r="992" customFormat="false" ht="15" hidden="false" customHeight="false" outlineLevel="0" collapsed="false">
      <c r="A992" s="40" t="str">
        <f aca="false">IF(OR($A$4=0,INDEX('COOIS Raw'!$A:$GZ,ROW()-4,$A$4)=""),"",IFERROR(--INDEX('COOIS Raw'!$A:$GZ,ROW()-4,$A$4),INDEX('COOIS Raw'!$A:$GZ,ROW()-4,$A$4)))</f>
        <v/>
      </c>
      <c r="B992" s="41" t="str">
        <f aca="false">IF(A992="","",TRIM(INDEX('COOIS Raw'!$A:$GZ,ROW()-4,$B$4)))</f>
        <v/>
      </c>
      <c r="C992" s="42" t="str">
        <f aca="false">IF(OR(A992="",$C$4=0),"",INDEX('COOIS Raw'!$A:$GZ,ROW()-4,$C$4))</f>
        <v/>
      </c>
      <c r="D992" s="41" t="str">
        <f aca="false">IF(A992="","",IF($D$4=0,1,IFERROR(--INDEX('COOIS Raw'!$A:$GZ,ROW()-4,$D$4),1)))</f>
        <v/>
      </c>
      <c r="E992" s="42" t="str">
        <f aca="false">IF(A992="","",INDEX('COOIS Raw'!$A:$GZ,ROW()-4,$E$4)&amp;"")</f>
        <v/>
      </c>
      <c r="F992" s="43" t="str">
        <f aca="false">IF(A992="","",IFERROR(DATEVALUE(INDEX('COOIS Raw'!$A:$GZ,ROW()-4,$F$4)),INDEX('COOIS Raw'!$A:$GZ,ROW()-4,$F$4)))</f>
        <v/>
      </c>
      <c r="G992" s="41" t="str">
        <f aca="false">IF(A992="","",IF(ISNA(MATCH(B992,'Kitting Plan'!$B$6:$B$19,0)),"Not in plan","Yes"))</f>
        <v/>
      </c>
      <c r="H992" s="41" t="str">
        <f aca="false">IF(G992="Yes",INDEX('Kitting Plan'!$D$6:$D$19,MATCH(B992,'Kitting Plan'!$B$6:$B$19,0)),"")</f>
        <v/>
      </c>
      <c r="I992" s="41" t="str">
        <f aca="false">IF(A992="","",IF(ISNUMBER(SEARCH("PRT",E992)),D992,0))</f>
        <v/>
      </c>
      <c r="J992" s="41" t="str">
        <f aca="false">IF(A992="","",IF(ISNUMBER(SEARCH("GMPS",E992)),D992,0))</f>
        <v/>
      </c>
      <c r="K992" s="41" t="str">
        <f aca="false">IF(A992="","",IF(ISNUMBER(SEARCH("DLV",E992)),D992,0))</f>
        <v/>
      </c>
      <c r="L992" s="41" t="str">
        <f aca="false">IF(A992="","",IF(K992&gt;0,"Delivered",IF(ISNUMBER(SEARCH("CNF",E992)),"In production",IF(J992&gt;0,"Issued",IF(I992&gt;0,"Kitted","Released")))))</f>
        <v/>
      </c>
      <c r="M992" s="41" t="str">
        <f aca="false">IF(G992&lt;&gt;"Yes","",COUNTIFS($B$6:$B$1505,B992,$F$6:$F$1505,"&lt;"&amp;F992)+COUNTIFS($B$6:$B$1505,B992,$F$6:$F$1505,F992,$A$6:$A$1505,"&lt;="&amp;A992))</f>
        <v/>
      </c>
      <c r="N992" s="41" t="str">
        <f aca="false">IF(M992="","",ROUNDUP(M992/H992,0))</f>
        <v/>
      </c>
      <c r="O992" s="41" t="str">
        <f aca="false">IF(N992="","",IF(N992&lt;='Kitting Plan'!$C$3,"Rep "&amp;N992,"Surplus"))</f>
        <v/>
      </c>
    </row>
    <row r="993" customFormat="false" ht="15" hidden="false" customHeight="false" outlineLevel="0" collapsed="false">
      <c r="A993" s="40" t="str">
        <f aca="false">IF(OR($A$4=0,INDEX('COOIS Raw'!$A:$GZ,ROW()-4,$A$4)=""),"",IFERROR(--INDEX('COOIS Raw'!$A:$GZ,ROW()-4,$A$4),INDEX('COOIS Raw'!$A:$GZ,ROW()-4,$A$4)))</f>
        <v/>
      </c>
      <c r="B993" s="41" t="str">
        <f aca="false">IF(A993="","",TRIM(INDEX('COOIS Raw'!$A:$GZ,ROW()-4,$B$4)))</f>
        <v/>
      </c>
      <c r="C993" s="42" t="str">
        <f aca="false">IF(OR(A993="",$C$4=0),"",INDEX('COOIS Raw'!$A:$GZ,ROW()-4,$C$4))</f>
        <v/>
      </c>
      <c r="D993" s="41" t="str">
        <f aca="false">IF(A993="","",IF($D$4=0,1,IFERROR(--INDEX('COOIS Raw'!$A:$GZ,ROW()-4,$D$4),1)))</f>
        <v/>
      </c>
      <c r="E993" s="42" t="str">
        <f aca="false">IF(A993="","",INDEX('COOIS Raw'!$A:$GZ,ROW()-4,$E$4)&amp;"")</f>
        <v/>
      </c>
      <c r="F993" s="43" t="str">
        <f aca="false">IF(A993="","",IFERROR(DATEVALUE(INDEX('COOIS Raw'!$A:$GZ,ROW()-4,$F$4)),INDEX('COOIS Raw'!$A:$GZ,ROW()-4,$F$4)))</f>
        <v/>
      </c>
      <c r="G993" s="41" t="str">
        <f aca="false">IF(A993="","",IF(ISNA(MATCH(B993,'Kitting Plan'!$B$6:$B$19,0)),"Not in plan","Yes"))</f>
        <v/>
      </c>
      <c r="H993" s="41" t="str">
        <f aca="false">IF(G993="Yes",INDEX('Kitting Plan'!$D$6:$D$19,MATCH(B993,'Kitting Plan'!$B$6:$B$19,0)),"")</f>
        <v/>
      </c>
      <c r="I993" s="41" t="str">
        <f aca="false">IF(A993="","",IF(ISNUMBER(SEARCH("PRT",E993)),D993,0))</f>
        <v/>
      </c>
      <c r="J993" s="41" t="str">
        <f aca="false">IF(A993="","",IF(ISNUMBER(SEARCH("GMPS",E993)),D993,0))</f>
        <v/>
      </c>
      <c r="K993" s="41" t="str">
        <f aca="false">IF(A993="","",IF(ISNUMBER(SEARCH("DLV",E993)),D993,0))</f>
        <v/>
      </c>
      <c r="L993" s="41" t="str">
        <f aca="false">IF(A993="","",IF(K993&gt;0,"Delivered",IF(ISNUMBER(SEARCH("CNF",E993)),"In production",IF(J993&gt;0,"Issued",IF(I993&gt;0,"Kitted","Released")))))</f>
        <v/>
      </c>
      <c r="M993" s="41" t="str">
        <f aca="false">IF(G993&lt;&gt;"Yes","",COUNTIFS($B$6:$B$1505,B993,$F$6:$F$1505,"&lt;"&amp;F993)+COUNTIFS($B$6:$B$1505,B993,$F$6:$F$1505,F993,$A$6:$A$1505,"&lt;="&amp;A993))</f>
        <v/>
      </c>
      <c r="N993" s="41" t="str">
        <f aca="false">IF(M993="","",ROUNDUP(M993/H993,0))</f>
        <v/>
      </c>
      <c r="O993" s="41" t="str">
        <f aca="false">IF(N993="","",IF(N993&lt;='Kitting Plan'!$C$3,"Rep "&amp;N993,"Surplus"))</f>
        <v/>
      </c>
    </row>
    <row r="994" customFormat="false" ht="15" hidden="false" customHeight="false" outlineLevel="0" collapsed="false">
      <c r="A994" s="40" t="str">
        <f aca="false">IF(OR($A$4=0,INDEX('COOIS Raw'!$A:$GZ,ROW()-4,$A$4)=""),"",IFERROR(--INDEX('COOIS Raw'!$A:$GZ,ROW()-4,$A$4),INDEX('COOIS Raw'!$A:$GZ,ROW()-4,$A$4)))</f>
        <v/>
      </c>
      <c r="B994" s="41" t="str">
        <f aca="false">IF(A994="","",TRIM(INDEX('COOIS Raw'!$A:$GZ,ROW()-4,$B$4)))</f>
        <v/>
      </c>
      <c r="C994" s="42" t="str">
        <f aca="false">IF(OR(A994="",$C$4=0),"",INDEX('COOIS Raw'!$A:$GZ,ROW()-4,$C$4))</f>
        <v/>
      </c>
      <c r="D994" s="41" t="str">
        <f aca="false">IF(A994="","",IF($D$4=0,1,IFERROR(--INDEX('COOIS Raw'!$A:$GZ,ROW()-4,$D$4),1)))</f>
        <v/>
      </c>
      <c r="E994" s="42" t="str">
        <f aca="false">IF(A994="","",INDEX('COOIS Raw'!$A:$GZ,ROW()-4,$E$4)&amp;"")</f>
        <v/>
      </c>
      <c r="F994" s="43" t="str">
        <f aca="false">IF(A994="","",IFERROR(DATEVALUE(INDEX('COOIS Raw'!$A:$GZ,ROW()-4,$F$4)),INDEX('COOIS Raw'!$A:$GZ,ROW()-4,$F$4)))</f>
        <v/>
      </c>
      <c r="G994" s="41" t="str">
        <f aca="false">IF(A994="","",IF(ISNA(MATCH(B994,'Kitting Plan'!$B$6:$B$19,0)),"Not in plan","Yes"))</f>
        <v/>
      </c>
      <c r="H994" s="41" t="str">
        <f aca="false">IF(G994="Yes",INDEX('Kitting Plan'!$D$6:$D$19,MATCH(B994,'Kitting Plan'!$B$6:$B$19,0)),"")</f>
        <v/>
      </c>
      <c r="I994" s="41" t="str">
        <f aca="false">IF(A994="","",IF(ISNUMBER(SEARCH("PRT",E994)),D994,0))</f>
        <v/>
      </c>
      <c r="J994" s="41" t="str">
        <f aca="false">IF(A994="","",IF(ISNUMBER(SEARCH("GMPS",E994)),D994,0))</f>
        <v/>
      </c>
      <c r="K994" s="41" t="str">
        <f aca="false">IF(A994="","",IF(ISNUMBER(SEARCH("DLV",E994)),D994,0))</f>
        <v/>
      </c>
      <c r="L994" s="41" t="str">
        <f aca="false">IF(A994="","",IF(K994&gt;0,"Delivered",IF(ISNUMBER(SEARCH("CNF",E994)),"In production",IF(J994&gt;0,"Issued",IF(I994&gt;0,"Kitted","Released")))))</f>
        <v/>
      </c>
      <c r="M994" s="41" t="str">
        <f aca="false">IF(G994&lt;&gt;"Yes","",COUNTIFS($B$6:$B$1505,B994,$F$6:$F$1505,"&lt;"&amp;F994)+COUNTIFS($B$6:$B$1505,B994,$F$6:$F$1505,F994,$A$6:$A$1505,"&lt;="&amp;A994))</f>
        <v/>
      </c>
      <c r="N994" s="41" t="str">
        <f aca="false">IF(M994="","",ROUNDUP(M994/H994,0))</f>
        <v/>
      </c>
      <c r="O994" s="41" t="str">
        <f aca="false">IF(N994="","",IF(N994&lt;='Kitting Plan'!$C$3,"Rep "&amp;N994,"Surplus"))</f>
        <v/>
      </c>
    </row>
    <row r="995" customFormat="false" ht="15" hidden="false" customHeight="false" outlineLevel="0" collapsed="false">
      <c r="A995" s="40" t="str">
        <f aca="false">IF(OR($A$4=0,INDEX('COOIS Raw'!$A:$GZ,ROW()-4,$A$4)=""),"",IFERROR(--INDEX('COOIS Raw'!$A:$GZ,ROW()-4,$A$4),INDEX('COOIS Raw'!$A:$GZ,ROW()-4,$A$4)))</f>
        <v/>
      </c>
      <c r="B995" s="41" t="str">
        <f aca="false">IF(A995="","",TRIM(INDEX('COOIS Raw'!$A:$GZ,ROW()-4,$B$4)))</f>
        <v/>
      </c>
      <c r="C995" s="42" t="str">
        <f aca="false">IF(OR(A995="",$C$4=0),"",INDEX('COOIS Raw'!$A:$GZ,ROW()-4,$C$4))</f>
        <v/>
      </c>
      <c r="D995" s="41" t="str">
        <f aca="false">IF(A995="","",IF($D$4=0,1,IFERROR(--INDEX('COOIS Raw'!$A:$GZ,ROW()-4,$D$4),1)))</f>
        <v/>
      </c>
      <c r="E995" s="42" t="str">
        <f aca="false">IF(A995="","",INDEX('COOIS Raw'!$A:$GZ,ROW()-4,$E$4)&amp;"")</f>
        <v/>
      </c>
      <c r="F995" s="43" t="str">
        <f aca="false">IF(A995="","",IFERROR(DATEVALUE(INDEX('COOIS Raw'!$A:$GZ,ROW()-4,$F$4)),INDEX('COOIS Raw'!$A:$GZ,ROW()-4,$F$4)))</f>
        <v/>
      </c>
      <c r="G995" s="41" t="str">
        <f aca="false">IF(A995="","",IF(ISNA(MATCH(B995,'Kitting Plan'!$B$6:$B$19,0)),"Not in plan","Yes"))</f>
        <v/>
      </c>
      <c r="H995" s="41" t="str">
        <f aca="false">IF(G995="Yes",INDEX('Kitting Plan'!$D$6:$D$19,MATCH(B995,'Kitting Plan'!$B$6:$B$19,0)),"")</f>
        <v/>
      </c>
      <c r="I995" s="41" t="str">
        <f aca="false">IF(A995="","",IF(ISNUMBER(SEARCH("PRT",E995)),D995,0))</f>
        <v/>
      </c>
      <c r="J995" s="41" t="str">
        <f aca="false">IF(A995="","",IF(ISNUMBER(SEARCH("GMPS",E995)),D995,0))</f>
        <v/>
      </c>
      <c r="K995" s="41" t="str">
        <f aca="false">IF(A995="","",IF(ISNUMBER(SEARCH("DLV",E995)),D995,0))</f>
        <v/>
      </c>
      <c r="L995" s="41" t="str">
        <f aca="false">IF(A995="","",IF(K995&gt;0,"Delivered",IF(ISNUMBER(SEARCH("CNF",E995)),"In production",IF(J995&gt;0,"Issued",IF(I995&gt;0,"Kitted","Released")))))</f>
        <v/>
      </c>
      <c r="M995" s="41" t="str">
        <f aca="false">IF(G995&lt;&gt;"Yes","",COUNTIFS($B$6:$B$1505,B995,$F$6:$F$1505,"&lt;"&amp;F995)+COUNTIFS($B$6:$B$1505,B995,$F$6:$F$1505,F995,$A$6:$A$1505,"&lt;="&amp;A995))</f>
        <v/>
      </c>
      <c r="N995" s="41" t="str">
        <f aca="false">IF(M995="","",ROUNDUP(M995/H995,0))</f>
        <v/>
      </c>
      <c r="O995" s="41" t="str">
        <f aca="false">IF(N995="","",IF(N995&lt;='Kitting Plan'!$C$3,"Rep "&amp;N995,"Surplus"))</f>
        <v/>
      </c>
    </row>
    <row r="996" customFormat="false" ht="15" hidden="false" customHeight="false" outlineLevel="0" collapsed="false">
      <c r="A996" s="40" t="str">
        <f aca="false">IF(OR($A$4=0,INDEX('COOIS Raw'!$A:$GZ,ROW()-4,$A$4)=""),"",IFERROR(--INDEX('COOIS Raw'!$A:$GZ,ROW()-4,$A$4),INDEX('COOIS Raw'!$A:$GZ,ROW()-4,$A$4)))</f>
        <v/>
      </c>
      <c r="B996" s="41" t="str">
        <f aca="false">IF(A996="","",TRIM(INDEX('COOIS Raw'!$A:$GZ,ROW()-4,$B$4)))</f>
        <v/>
      </c>
      <c r="C996" s="42" t="str">
        <f aca="false">IF(OR(A996="",$C$4=0),"",INDEX('COOIS Raw'!$A:$GZ,ROW()-4,$C$4))</f>
        <v/>
      </c>
      <c r="D996" s="41" t="str">
        <f aca="false">IF(A996="","",IF($D$4=0,1,IFERROR(--INDEX('COOIS Raw'!$A:$GZ,ROW()-4,$D$4),1)))</f>
        <v/>
      </c>
      <c r="E996" s="42" t="str">
        <f aca="false">IF(A996="","",INDEX('COOIS Raw'!$A:$GZ,ROW()-4,$E$4)&amp;"")</f>
        <v/>
      </c>
      <c r="F996" s="43" t="str">
        <f aca="false">IF(A996="","",IFERROR(DATEVALUE(INDEX('COOIS Raw'!$A:$GZ,ROW()-4,$F$4)),INDEX('COOIS Raw'!$A:$GZ,ROW()-4,$F$4)))</f>
        <v/>
      </c>
      <c r="G996" s="41" t="str">
        <f aca="false">IF(A996="","",IF(ISNA(MATCH(B996,'Kitting Plan'!$B$6:$B$19,0)),"Not in plan","Yes"))</f>
        <v/>
      </c>
      <c r="H996" s="41" t="str">
        <f aca="false">IF(G996="Yes",INDEX('Kitting Plan'!$D$6:$D$19,MATCH(B996,'Kitting Plan'!$B$6:$B$19,0)),"")</f>
        <v/>
      </c>
      <c r="I996" s="41" t="str">
        <f aca="false">IF(A996="","",IF(ISNUMBER(SEARCH("PRT",E996)),D996,0))</f>
        <v/>
      </c>
      <c r="J996" s="41" t="str">
        <f aca="false">IF(A996="","",IF(ISNUMBER(SEARCH("GMPS",E996)),D996,0))</f>
        <v/>
      </c>
      <c r="K996" s="41" t="str">
        <f aca="false">IF(A996="","",IF(ISNUMBER(SEARCH("DLV",E996)),D996,0))</f>
        <v/>
      </c>
      <c r="L996" s="41" t="str">
        <f aca="false">IF(A996="","",IF(K996&gt;0,"Delivered",IF(ISNUMBER(SEARCH("CNF",E996)),"In production",IF(J996&gt;0,"Issued",IF(I996&gt;0,"Kitted","Released")))))</f>
        <v/>
      </c>
      <c r="M996" s="41" t="str">
        <f aca="false">IF(G996&lt;&gt;"Yes","",COUNTIFS($B$6:$B$1505,B996,$F$6:$F$1505,"&lt;"&amp;F996)+COUNTIFS($B$6:$B$1505,B996,$F$6:$F$1505,F996,$A$6:$A$1505,"&lt;="&amp;A996))</f>
        <v/>
      </c>
      <c r="N996" s="41" t="str">
        <f aca="false">IF(M996="","",ROUNDUP(M996/H996,0))</f>
        <v/>
      </c>
      <c r="O996" s="41" t="str">
        <f aca="false">IF(N996="","",IF(N996&lt;='Kitting Plan'!$C$3,"Rep "&amp;N996,"Surplus"))</f>
        <v/>
      </c>
    </row>
    <row r="997" customFormat="false" ht="15" hidden="false" customHeight="false" outlineLevel="0" collapsed="false">
      <c r="A997" s="40" t="str">
        <f aca="false">IF(OR($A$4=0,INDEX('COOIS Raw'!$A:$GZ,ROW()-4,$A$4)=""),"",IFERROR(--INDEX('COOIS Raw'!$A:$GZ,ROW()-4,$A$4),INDEX('COOIS Raw'!$A:$GZ,ROW()-4,$A$4)))</f>
        <v/>
      </c>
      <c r="B997" s="41" t="str">
        <f aca="false">IF(A997="","",TRIM(INDEX('COOIS Raw'!$A:$GZ,ROW()-4,$B$4)))</f>
        <v/>
      </c>
      <c r="C997" s="42" t="str">
        <f aca="false">IF(OR(A997="",$C$4=0),"",INDEX('COOIS Raw'!$A:$GZ,ROW()-4,$C$4))</f>
        <v/>
      </c>
      <c r="D997" s="41" t="str">
        <f aca="false">IF(A997="","",IF($D$4=0,1,IFERROR(--INDEX('COOIS Raw'!$A:$GZ,ROW()-4,$D$4),1)))</f>
        <v/>
      </c>
      <c r="E997" s="42" t="str">
        <f aca="false">IF(A997="","",INDEX('COOIS Raw'!$A:$GZ,ROW()-4,$E$4)&amp;"")</f>
        <v/>
      </c>
      <c r="F997" s="43" t="str">
        <f aca="false">IF(A997="","",IFERROR(DATEVALUE(INDEX('COOIS Raw'!$A:$GZ,ROW()-4,$F$4)),INDEX('COOIS Raw'!$A:$GZ,ROW()-4,$F$4)))</f>
        <v/>
      </c>
      <c r="G997" s="41" t="str">
        <f aca="false">IF(A997="","",IF(ISNA(MATCH(B997,'Kitting Plan'!$B$6:$B$19,0)),"Not in plan","Yes"))</f>
        <v/>
      </c>
      <c r="H997" s="41" t="str">
        <f aca="false">IF(G997="Yes",INDEX('Kitting Plan'!$D$6:$D$19,MATCH(B997,'Kitting Plan'!$B$6:$B$19,0)),"")</f>
        <v/>
      </c>
      <c r="I997" s="41" t="str">
        <f aca="false">IF(A997="","",IF(ISNUMBER(SEARCH("PRT",E997)),D997,0))</f>
        <v/>
      </c>
      <c r="J997" s="41" t="str">
        <f aca="false">IF(A997="","",IF(ISNUMBER(SEARCH("GMPS",E997)),D997,0))</f>
        <v/>
      </c>
      <c r="K997" s="41" t="str">
        <f aca="false">IF(A997="","",IF(ISNUMBER(SEARCH("DLV",E997)),D997,0))</f>
        <v/>
      </c>
      <c r="L997" s="41" t="str">
        <f aca="false">IF(A997="","",IF(K997&gt;0,"Delivered",IF(ISNUMBER(SEARCH("CNF",E997)),"In production",IF(J997&gt;0,"Issued",IF(I997&gt;0,"Kitted","Released")))))</f>
        <v/>
      </c>
      <c r="M997" s="41" t="str">
        <f aca="false">IF(G997&lt;&gt;"Yes","",COUNTIFS($B$6:$B$1505,B997,$F$6:$F$1505,"&lt;"&amp;F997)+COUNTIFS($B$6:$B$1505,B997,$F$6:$F$1505,F997,$A$6:$A$1505,"&lt;="&amp;A997))</f>
        <v/>
      </c>
      <c r="N997" s="41" t="str">
        <f aca="false">IF(M997="","",ROUNDUP(M997/H997,0))</f>
        <v/>
      </c>
      <c r="O997" s="41" t="str">
        <f aca="false">IF(N997="","",IF(N997&lt;='Kitting Plan'!$C$3,"Rep "&amp;N997,"Surplus"))</f>
        <v/>
      </c>
    </row>
    <row r="998" customFormat="false" ht="15" hidden="false" customHeight="false" outlineLevel="0" collapsed="false">
      <c r="A998" s="40" t="str">
        <f aca="false">IF(OR($A$4=0,INDEX('COOIS Raw'!$A:$GZ,ROW()-4,$A$4)=""),"",IFERROR(--INDEX('COOIS Raw'!$A:$GZ,ROW()-4,$A$4),INDEX('COOIS Raw'!$A:$GZ,ROW()-4,$A$4)))</f>
        <v/>
      </c>
      <c r="B998" s="41" t="str">
        <f aca="false">IF(A998="","",TRIM(INDEX('COOIS Raw'!$A:$GZ,ROW()-4,$B$4)))</f>
        <v/>
      </c>
      <c r="C998" s="42" t="str">
        <f aca="false">IF(OR(A998="",$C$4=0),"",INDEX('COOIS Raw'!$A:$GZ,ROW()-4,$C$4))</f>
        <v/>
      </c>
      <c r="D998" s="41" t="str">
        <f aca="false">IF(A998="","",IF($D$4=0,1,IFERROR(--INDEX('COOIS Raw'!$A:$GZ,ROW()-4,$D$4),1)))</f>
        <v/>
      </c>
      <c r="E998" s="42" t="str">
        <f aca="false">IF(A998="","",INDEX('COOIS Raw'!$A:$GZ,ROW()-4,$E$4)&amp;"")</f>
        <v/>
      </c>
      <c r="F998" s="43" t="str">
        <f aca="false">IF(A998="","",IFERROR(DATEVALUE(INDEX('COOIS Raw'!$A:$GZ,ROW()-4,$F$4)),INDEX('COOIS Raw'!$A:$GZ,ROW()-4,$F$4)))</f>
        <v/>
      </c>
      <c r="G998" s="41" t="str">
        <f aca="false">IF(A998="","",IF(ISNA(MATCH(B998,'Kitting Plan'!$B$6:$B$19,0)),"Not in plan","Yes"))</f>
        <v/>
      </c>
      <c r="H998" s="41" t="str">
        <f aca="false">IF(G998="Yes",INDEX('Kitting Plan'!$D$6:$D$19,MATCH(B998,'Kitting Plan'!$B$6:$B$19,0)),"")</f>
        <v/>
      </c>
      <c r="I998" s="41" t="str">
        <f aca="false">IF(A998="","",IF(ISNUMBER(SEARCH("PRT",E998)),D998,0))</f>
        <v/>
      </c>
      <c r="J998" s="41" t="str">
        <f aca="false">IF(A998="","",IF(ISNUMBER(SEARCH("GMPS",E998)),D998,0))</f>
        <v/>
      </c>
      <c r="K998" s="41" t="str">
        <f aca="false">IF(A998="","",IF(ISNUMBER(SEARCH("DLV",E998)),D998,0))</f>
        <v/>
      </c>
      <c r="L998" s="41" t="str">
        <f aca="false">IF(A998="","",IF(K998&gt;0,"Delivered",IF(ISNUMBER(SEARCH("CNF",E998)),"In production",IF(J998&gt;0,"Issued",IF(I998&gt;0,"Kitted","Released")))))</f>
        <v/>
      </c>
      <c r="M998" s="41" t="str">
        <f aca="false">IF(G998&lt;&gt;"Yes","",COUNTIFS($B$6:$B$1505,B998,$F$6:$F$1505,"&lt;"&amp;F998)+COUNTIFS($B$6:$B$1505,B998,$F$6:$F$1505,F998,$A$6:$A$1505,"&lt;="&amp;A998))</f>
        <v/>
      </c>
      <c r="N998" s="41" t="str">
        <f aca="false">IF(M998="","",ROUNDUP(M998/H998,0))</f>
        <v/>
      </c>
      <c r="O998" s="41" t="str">
        <f aca="false">IF(N998="","",IF(N998&lt;='Kitting Plan'!$C$3,"Rep "&amp;N998,"Surplus"))</f>
        <v/>
      </c>
    </row>
    <row r="999" customFormat="false" ht="15" hidden="false" customHeight="false" outlineLevel="0" collapsed="false">
      <c r="A999" s="40" t="str">
        <f aca="false">IF(OR($A$4=0,INDEX('COOIS Raw'!$A:$GZ,ROW()-4,$A$4)=""),"",IFERROR(--INDEX('COOIS Raw'!$A:$GZ,ROW()-4,$A$4),INDEX('COOIS Raw'!$A:$GZ,ROW()-4,$A$4)))</f>
        <v/>
      </c>
      <c r="B999" s="41" t="str">
        <f aca="false">IF(A999="","",TRIM(INDEX('COOIS Raw'!$A:$GZ,ROW()-4,$B$4)))</f>
        <v/>
      </c>
      <c r="C999" s="42" t="str">
        <f aca="false">IF(OR(A999="",$C$4=0),"",INDEX('COOIS Raw'!$A:$GZ,ROW()-4,$C$4))</f>
        <v/>
      </c>
      <c r="D999" s="41" t="str">
        <f aca="false">IF(A999="","",IF($D$4=0,1,IFERROR(--INDEX('COOIS Raw'!$A:$GZ,ROW()-4,$D$4),1)))</f>
        <v/>
      </c>
      <c r="E999" s="42" t="str">
        <f aca="false">IF(A999="","",INDEX('COOIS Raw'!$A:$GZ,ROW()-4,$E$4)&amp;"")</f>
        <v/>
      </c>
      <c r="F999" s="43" t="str">
        <f aca="false">IF(A999="","",IFERROR(DATEVALUE(INDEX('COOIS Raw'!$A:$GZ,ROW()-4,$F$4)),INDEX('COOIS Raw'!$A:$GZ,ROW()-4,$F$4)))</f>
        <v/>
      </c>
      <c r="G999" s="41" t="str">
        <f aca="false">IF(A999="","",IF(ISNA(MATCH(B999,'Kitting Plan'!$B$6:$B$19,0)),"Not in plan","Yes"))</f>
        <v/>
      </c>
      <c r="H999" s="41" t="str">
        <f aca="false">IF(G999="Yes",INDEX('Kitting Plan'!$D$6:$D$19,MATCH(B999,'Kitting Plan'!$B$6:$B$19,0)),"")</f>
        <v/>
      </c>
      <c r="I999" s="41" t="str">
        <f aca="false">IF(A999="","",IF(ISNUMBER(SEARCH("PRT",E999)),D999,0))</f>
        <v/>
      </c>
      <c r="J999" s="41" t="str">
        <f aca="false">IF(A999="","",IF(ISNUMBER(SEARCH("GMPS",E999)),D999,0))</f>
        <v/>
      </c>
      <c r="K999" s="41" t="str">
        <f aca="false">IF(A999="","",IF(ISNUMBER(SEARCH("DLV",E999)),D999,0))</f>
        <v/>
      </c>
      <c r="L999" s="41" t="str">
        <f aca="false">IF(A999="","",IF(K999&gt;0,"Delivered",IF(ISNUMBER(SEARCH("CNF",E999)),"In production",IF(J999&gt;0,"Issued",IF(I999&gt;0,"Kitted","Released")))))</f>
        <v/>
      </c>
      <c r="M999" s="41" t="str">
        <f aca="false">IF(G999&lt;&gt;"Yes","",COUNTIFS($B$6:$B$1505,B999,$F$6:$F$1505,"&lt;"&amp;F999)+COUNTIFS($B$6:$B$1505,B999,$F$6:$F$1505,F999,$A$6:$A$1505,"&lt;="&amp;A999))</f>
        <v/>
      </c>
      <c r="N999" s="41" t="str">
        <f aca="false">IF(M999="","",ROUNDUP(M999/H999,0))</f>
        <v/>
      </c>
      <c r="O999" s="41" t="str">
        <f aca="false">IF(N999="","",IF(N999&lt;='Kitting Plan'!$C$3,"Rep "&amp;N999,"Surplus"))</f>
        <v/>
      </c>
    </row>
    <row r="1000" customFormat="false" ht="15" hidden="false" customHeight="false" outlineLevel="0" collapsed="false">
      <c r="A1000" s="40" t="str">
        <f aca="false">IF(OR($A$4=0,INDEX('COOIS Raw'!$A:$GZ,ROW()-4,$A$4)=""),"",IFERROR(--INDEX('COOIS Raw'!$A:$GZ,ROW()-4,$A$4),INDEX('COOIS Raw'!$A:$GZ,ROW()-4,$A$4)))</f>
        <v/>
      </c>
      <c r="B1000" s="41" t="str">
        <f aca="false">IF(A1000="","",TRIM(INDEX('COOIS Raw'!$A:$GZ,ROW()-4,$B$4)))</f>
        <v/>
      </c>
      <c r="C1000" s="42" t="str">
        <f aca="false">IF(OR(A1000="",$C$4=0),"",INDEX('COOIS Raw'!$A:$GZ,ROW()-4,$C$4))</f>
        <v/>
      </c>
      <c r="D1000" s="41" t="str">
        <f aca="false">IF(A1000="","",IF($D$4=0,1,IFERROR(--INDEX('COOIS Raw'!$A:$GZ,ROW()-4,$D$4),1)))</f>
        <v/>
      </c>
      <c r="E1000" s="42" t="str">
        <f aca="false">IF(A1000="","",INDEX('COOIS Raw'!$A:$GZ,ROW()-4,$E$4)&amp;"")</f>
        <v/>
      </c>
      <c r="F1000" s="43" t="str">
        <f aca="false">IF(A1000="","",IFERROR(DATEVALUE(INDEX('COOIS Raw'!$A:$GZ,ROW()-4,$F$4)),INDEX('COOIS Raw'!$A:$GZ,ROW()-4,$F$4)))</f>
        <v/>
      </c>
      <c r="G1000" s="41" t="str">
        <f aca="false">IF(A1000="","",IF(ISNA(MATCH(B1000,'Kitting Plan'!$B$6:$B$19,0)),"Not in plan","Yes"))</f>
        <v/>
      </c>
      <c r="H1000" s="41" t="str">
        <f aca="false">IF(G1000="Yes",INDEX('Kitting Plan'!$D$6:$D$19,MATCH(B1000,'Kitting Plan'!$B$6:$B$19,0)),"")</f>
        <v/>
      </c>
      <c r="I1000" s="41" t="str">
        <f aca="false">IF(A1000="","",IF(ISNUMBER(SEARCH("PRT",E1000)),D1000,0))</f>
        <v/>
      </c>
      <c r="J1000" s="41" t="str">
        <f aca="false">IF(A1000="","",IF(ISNUMBER(SEARCH("GMPS",E1000)),D1000,0))</f>
        <v/>
      </c>
      <c r="K1000" s="41" t="str">
        <f aca="false">IF(A1000="","",IF(ISNUMBER(SEARCH("DLV",E1000)),D1000,0))</f>
        <v/>
      </c>
      <c r="L1000" s="41" t="str">
        <f aca="false">IF(A1000="","",IF(K1000&gt;0,"Delivered",IF(ISNUMBER(SEARCH("CNF",E1000)),"In production",IF(J1000&gt;0,"Issued",IF(I1000&gt;0,"Kitted","Released")))))</f>
        <v/>
      </c>
      <c r="M1000" s="41" t="str">
        <f aca="false">IF(G1000&lt;&gt;"Yes","",COUNTIFS($B$6:$B$1505,B1000,$F$6:$F$1505,"&lt;"&amp;F1000)+COUNTIFS($B$6:$B$1505,B1000,$F$6:$F$1505,F1000,$A$6:$A$1505,"&lt;="&amp;A1000))</f>
        <v/>
      </c>
      <c r="N1000" s="41" t="str">
        <f aca="false">IF(M1000="","",ROUNDUP(M1000/H1000,0))</f>
        <v/>
      </c>
      <c r="O1000" s="41" t="str">
        <f aca="false">IF(N1000="","",IF(N1000&lt;='Kitting Plan'!$C$3,"Rep "&amp;N1000,"Surplus"))</f>
        <v/>
      </c>
    </row>
    <row r="1001" customFormat="false" ht="15" hidden="false" customHeight="false" outlineLevel="0" collapsed="false">
      <c r="A1001" s="40" t="str">
        <f aca="false">IF(OR($A$4=0,INDEX('COOIS Raw'!$A:$GZ,ROW()-4,$A$4)=""),"",IFERROR(--INDEX('COOIS Raw'!$A:$GZ,ROW()-4,$A$4),INDEX('COOIS Raw'!$A:$GZ,ROW()-4,$A$4)))</f>
        <v/>
      </c>
      <c r="B1001" s="41" t="str">
        <f aca="false">IF(A1001="","",TRIM(INDEX('COOIS Raw'!$A:$GZ,ROW()-4,$B$4)))</f>
        <v/>
      </c>
      <c r="C1001" s="42" t="str">
        <f aca="false">IF(OR(A1001="",$C$4=0),"",INDEX('COOIS Raw'!$A:$GZ,ROW()-4,$C$4))</f>
        <v/>
      </c>
      <c r="D1001" s="41" t="str">
        <f aca="false">IF(A1001="","",IF($D$4=0,1,IFERROR(--INDEX('COOIS Raw'!$A:$GZ,ROW()-4,$D$4),1)))</f>
        <v/>
      </c>
      <c r="E1001" s="42" t="str">
        <f aca="false">IF(A1001="","",INDEX('COOIS Raw'!$A:$GZ,ROW()-4,$E$4)&amp;"")</f>
        <v/>
      </c>
      <c r="F1001" s="43" t="str">
        <f aca="false">IF(A1001="","",IFERROR(DATEVALUE(INDEX('COOIS Raw'!$A:$GZ,ROW()-4,$F$4)),INDEX('COOIS Raw'!$A:$GZ,ROW()-4,$F$4)))</f>
        <v/>
      </c>
      <c r="G1001" s="41" t="str">
        <f aca="false">IF(A1001="","",IF(ISNA(MATCH(B1001,'Kitting Plan'!$B$6:$B$19,0)),"Not in plan","Yes"))</f>
        <v/>
      </c>
      <c r="H1001" s="41" t="str">
        <f aca="false">IF(G1001="Yes",INDEX('Kitting Plan'!$D$6:$D$19,MATCH(B1001,'Kitting Plan'!$B$6:$B$19,0)),"")</f>
        <v/>
      </c>
      <c r="I1001" s="41" t="str">
        <f aca="false">IF(A1001="","",IF(ISNUMBER(SEARCH("PRT",E1001)),D1001,0))</f>
        <v/>
      </c>
      <c r="J1001" s="41" t="str">
        <f aca="false">IF(A1001="","",IF(ISNUMBER(SEARCH("GMPS",E1001)),D1001,0))</f>
        <v/>
      </c>
      <c r="K1001" s="41" t="str">
        <f aca="false">IF(A1001="","",IF(ISNUMBER(SEARCH("DLV",E1001)),D1001,0))</f>
        <v/>
      </c>
      <c r="L1001" s="41" t="str">
        <f aca="false">IF(A1001="","",IF(K1001&gt;0,"Delivered",IF(ISNUMBER(SEARCH("CNF",E1001)),"In production",IF(J1001&gt;0,"Issued",IF(I1001&gt;0,"Kitted","Released")))))</f>
        <v/>
      </c>
      <c r="M1001" s="41" t="str">
        <f aca="false">IF(G1001&lt;&gt;"Yes","",COUNTIFS($B$6:$B$1505,B1001,$F$6:$F$1505,"&lt;"&amp;F1001)+COUNTIFS($B$6:$B$1505,B1001,$F$6:$F$1505,F1001,$A$6:$A$1505,"&lt;="&amp;A1001))</f>
        <v/>
      </c>
      <c r="N1001" s="41" t="str">
        <f aca="false">IF(M1001="","",ROUNDUP(M1001/H1001,0))</f>
        <v/>
      </c>
      <c r="O1001" s="41" t="str">
        <f aca="false">IF(N1001="","",IF(N1001&lt;='Kitting Plan'!$C$3,"Rep "&amp;N1001,"Surplus"))</f>
        <v/>
      </c>
    </row>
    <row r="1002" customFormat="false" ht="15" hidden="false" customHeight="false" outlineLevel="0" collapsed="false">
      <c r="A1002" s="40" t="str">
        <f aca="false">IF(OR($A$4=0,INDEX('COOIS Raw'!$A:$GZ,ROW()-4,$A$4)=""),"",IFERROR(--INDEX('COOIS Raw'!$A:$GZ,ROW()-4,$A$4),INDEX('COOIS Raw'!$A:$GZ,ROW()-4,$A$4)))</f>
        <v/>
      </c>
      <c r="B1002" s="41" t="str">
        <f aca="false">IF(A1002="","",TRIM(INDEX('COOIS Raw'!$A:$GZ,ROW()-4,$B$4)))</f>
        <v/>
      </c>
      <c r="C1002" s="42" t="str">
        <f aca="false">IF(OR(A1002="",$C$4=0),"",INDEX('COOIS Raw'!$A:$GZ,ROW()-4,$C$4))</f>
        <v/>
      </c>
      <c r="D1002" s="41" t="str">
        <f aca="false">IF(A1002="","",IF($D$4=0,1,IFERROR(--INDEX('COOIS Raw'!$A:$GZ,ROW()-4,$D$4),1)))</f>
        <v/>
      </c>
      <c r="E1002" s="42" t="str">
        <f aca="false">IF(A1002="","",INDEX('COOIS Raw'!$A:$GZ,ROW()-4,$E$4)&amp;"")</f>
        <v/>
      </c>
      <c r="F1002" s="43" t="str">
        <f aca="false">IF(A1002="","",IFERROR(DATEVALUE(INDEX('COOIS Raw'!$A:$GZ,ROW()-4,$F$4)),INDEX('COOIS Raw'!$A:$GZ,ROW()-4,$F$4)))</f>
        <v/>
      </c>
      <c r="G1002" s="41" t="str">
        <f aca="false">IF(A1002="","",IF(ISNA(MATCH(B1002,'Kitting Plan'!$B$6:$B$19,0)),"Not in plan","Yes"))</f>
        <v/>
      </c>
      <c r="H1002" s="41" t="str">
        <f aca="false">IF(G1002="Yes",INDEX('Kitting Plan'!$D$6:$D$19,MATCH(B1002,'Kitting Plan'!$B$6:$B$19,0)),"")</f>
        <v/>
      </c>
      <c r="I1002" s="41" t="str">
        <f aca="false">IF(A1002="","",IF(ISNUMBER(SEARCH("PRT",E1002)),D1002,0))</f>
        <v/>
      </c>
      <c r="J1002" s="41" t="str">
        <f aca="false">IF(A1002="","",IF(ISNUMBER(SEARCH("GMPS",E1002)),D1002,0))</f>
        <v/>
      </c>
      <c r="K1002" s="41" t="str">
        <f aca="false">IF(A1002="","",IF(ISNUMBER(SEARCH("DLV",E1002)),D1002,0))</f>
        <v/>
      </c>
      <c r="L1002" s="41" t="str">
        <f aca="false">IF(A1002="","",IF(K1002&gt;0,"Delivered",IF(ISNUMBER(SEARCH("CNF",E1002)),"In production",IF(J1002&gt;0,"Issued",IF(I1002&gt;0,"Kitted","Released")))))</f>
        <v/>
      </c>
      <c r="M1002" s="41" t="str">
        <f aca="false">IF(G1002&lt;&gt;"Yes","",COUNTIFS($B$6:$B$1505,B1002,$F$6:$F$1505,"&lt;"&amp;F1002)+COUNTIFS($B$6:$B$1505,B1002,$F$6:$F$1505,F1002,$A$6:$A$1505,"&lt;="&amp;A1002))</f>
        <v/>
      </c>
      <c r="N1002" s="41" t="str">
        <f aca="false">IF(M1002="","",ROUNDUP(M1002/H1002,0))</f>
        <v/>
      </c>
      <c r="O1002" s="41" t="str">
        <f aca="false">IF(N1002="","",IF(N1002&lt;='Kitting Plan'!$C$3,"Rep "&amp;N1002,"Surplus"))</f>
        <v/>
      </c>
    </row>
    <row r="1003" customFormat="false" ht="15" hidden="false" customHeight="false" outlineLevel="0" collapsed="false">
      <c r="A1003" s="40" t="str">
        <f aca="false">IF(OR($A$4=0,INDEX('COOIS Raw'!$A:$GZ,ROW()-4,$A$4)=""),"",IFERROR(--INDEX('COOIS Raw'!$A:$GZ,ROW()-4,$A$4),INDEX('COOIS Raw'!$A:$GZ,ROW()-4,$A$4)))</f>
        <v/>
      </c>
      <c r="B1003" s="41" t="str">
        <f aca="false">IF(A1003="","",TRIM(INDEX('COOIS Raw'!$A:$GZ,ROW()-4,$B$4)))</f>
        <v/>
      </c>
      <c r="C1003" s="42" t="str">
        <f aca="false">IF(OR(A1003="",$C$4=0),"",INDEX('COOIS Raw'!$A:$GZ,ROW()-4,$C$4))</f>
        <v/>
      </c>
      <c r="D1003" s="41" t="str">
        <f aca="false">IF(A1003="","",IF($D$4=0,1,IFERROR(--INDEX('COOIS Raw'!$A:$GZ,ROW()-4,$D$4),1)))</f>
        <v/>
      </c>
      <c r="E1003" s="42" t="str">
        <f aca="false">IF(A1003="","",INDEX('COOIS Raw'!$A:$GZ,ROW()-4,$E$4)&amp;"")</f>
        <v/>
      </c>
      <c r="F1003" s="43" t="str">
        <f aca="false">IF(A1003="","",IFERROR(DATEVALUE(INDEX('COOIS Raw'!$A:$GZ,ROW()-4,$F$4)),INDEX('COOIS Raw'!$A:$GZ,ROW()-4,$F$4)))</f>
        <v/>
      </c>
      <c r="G1003" s="41" t="str">
        <f aca="false">IF(A1003="","",IF(ISNA(MATCH(B1003,'Kitting Plan'!$B$6:$B$19,0)),"Not in plan","Yes"))</f>
        <v/>
      </c>
      <c r="H1003" s="41" t="str">
        <f aca="false">IF(G1003="Yes",INDEX('Kitting Plan'!$D$6:$D$19,MATCH(B1003,'Kitting Plan'!$B$6:$B$19,0)),"")</f>
        <v/>
      </c>
      <c r="I1003" s="41" t="str">
        <f aca="false">IF(A1003="","",IF(ISNUMBER(SEARCH("PRT",E1003)),D1003,0))</f>
        <v/>
      </c>
      <c r="J1003" s="41" t="str">
        <f aca="false">IF(A1003="","",IF(ISNUMBER(SEARCH("GMPS",E1003)),D1003,0))</f>
        <v/>
      </c>
      <c r="K1003" s="41" t="str">
        <f aca="false">IF(A1003="","",IF(ISNUMBER(SEARCH("DLV",E1003)),D1003,0))</f>
        <v/>
      </c>
      <c r="L1003" s="41" t="str">
        <f aca="false">IF(A1003="","",IF(K1003&gt;0,"Delivered",IF(ISNUMBER(SEARCH("CNF",E1003)),"In production",IF(J1003&gt;0,"Issued",IF(I1003&gt;0,"Kitted","Released")))))</f>
        <v/>
      </c>
      <c r="M1003" s="41" t="str">
        <f aca="false">IF(G1003&lt;&gt;"Yes","",COUNTIFS($B$6:$B$1505,B1003,$F$6:$F$1505,"&lt;"&amp;F1003)+COUNTIFS($B$6:$B$1505,B1003,$F$6:$F$1505,F1003,$A$6:$A$1505,"&lt;="&amp;A1003))</f>
        <v/>
      </c>
      <c r="N1003" s="41" t="str">
        <f aca="false">IF(M1003="","",ROUNDUP(M1003/H1003,0))</f>
        <v/>
      </c>
      <c r="O1003" s="41" t="str">
        <f aca="false">IF(N1003="","",IF(N1003&lt;='Kitting Plan'!$C$3,"Rep "&amp;N1003,"Surplus"))</f>
        <v/>
      </c>
    </row>
    <row r="1004" customFormat="false" ht="15" hidden="false" customHeight="false" outlineLevel="0" collapsed="false">
      <c r="A1004" s="40" t="str">
        <f aca="false">IF(OR($A$4=0,INDEX('COOIS Raw'!$A:$GZ,ROW()-4,$A$4)=""),"",IFERROR(--INDEX('COOIS Raw'!$A:$GZ,ROW()-4,$A$4),INDEX('COOIS Raw'!$A:$GZ,ROW()-4,$A$4)))</f>
        <v/>
      </c>
      <c r="B1004" s="41" t="str">
        <f aca="false">IF(A1004="","",TRIM(INDEX('COOIS Raw'!$A:$GZ,ROW()-4,$B$4)))</f>
        <v/>
      </c>
      <c r="C1004" s="42" t="str">
        <f aca="false">IF(OR(A1004="",$C$4=0),"",INDEX('COOIS Raw'!$A:$GZ,ROW()-4,$C$4))</f>
        <v/>
      </c>
      <c r="D1004" s="41" t="str">
        <f aca="false">IF(A1004="","",IF($D$4=0,1,IFERROR(--INDEX('COOIS Raw'!$A:$GZ,ROW()-4,$D$4),1)))</f>
        <v/>
      </c>
      <c r="E1004" s="42" t="str">
        <f aca="false">IF(A1004="","",INDEX('COOIS Raw'!$A:$GZ,ROW()-4,$E$4)&amp;"")</f>
        <v/>
      </c>
      <c r="F1004" s="43" t="str">
        <f aca="false">IF(A1004="","",IFERROR(DATEVALUE(INDEX('COOIS Raw'!$A:$GZ,ROW()-4,$F$4)),INDEX('COOIS Raw'!$A:$GZ,ROW()-4,$F$4)))</f>
        <v/>
      </c>
      <c r="G1004" s="41" t="str">
        <f aca="false">IF(A1004="","",IF(ISNA(MATCH(B1004,'Kitting Plan'!$B$6:$B$19,0)),"Not in plan","Yes"))</f>
        <v/>
      </c>
      <c r="H1004" s="41" t="str">
        <f aca="false">IF(G1004="Yes",INDEX('Kitting Plan'!$D$6:$D$19,MATCH(B1004,'Kitting Plan'!$B$6:$B$19,0)),"")</f>
        <v/>
      </c>
      <c r="I1004" s="41" t="str">
        <f aca="false">IF(A1004="","",IF(ISNUMBER(SEARCH("PRT",E1004)),D1004,0))</f>
        <v/>
      </c>
      <c r="J1004" s="41" t="str">
        <f aca="false">IF(A1004="","",IF(ISNUMBER(SEARCH("GMPS",E1004)),D1004,0))</f>
        <v/>
      </c>
      <c r="K1004" s="41" t="str">
        <f aca="false">IF(A1004="","",IF(ISNUMBER(SEARCH("DLV",E1004)),D1004,0))</f>
        <v/>
      </c>
      <c r="L1004" s="41" t="str">
        <f aca="false">IF(A1004="","",IF(K1004&gt;0,"Delivered",IF(ISNUMBER(SEARCH("CNF",E1004)),"In production",IF(J1004&gt;0,"Issued",IF(I1004&gt;0,"Kitted","Released")))))</f>
        <v/>
      </c>
      <c r="M1004" s="41" t="str">
        <f aca="false">IF(G1004&lt;&gt;"Yes","",COUNTIFS($B$6:$B$1505,B1004,$F$6:$F$1505,"&lt;"&amp;F1004)+COUNTIFS($B$6:$B$1505,B1004,$F$6:$F$1505,F1004,$A$6:$A$1505,"&lt;="&amp;A1004))</f>
        <v/>
      </c>
      <c r="N1004" s="41" t="str">
        <f aca="false">IF(M1004="","",ROUNDUP(M1004/H1004,0))</f>
        <v/>
      </c>
      <c r="O1004" s="41" t="str">
        <f aca="false">IF(N1004="","",IF(N1004&lt;='Kitting Plan'!$C$3,"Rep "&amp;N1004,"Surplus"))</f>
        <v/>
      </c>
    </row>
    <row r="1005" customFormat="false" ht="15" hidden="false" customHeight="false" outlineLevel="0" collapsed="false">
      <c r="A1005" s="40" t="str">
        <f aca="false">IF(OR($A$4=0,INDEX('COOIS Raw'!$A:$GZ,ROW()-4,$A$4)=""),"",IFERROR(--INDEX('COOIS Raw'!$A:$GZ,ROW()-4,$A$4),INDEX('COOIS Raw'!$A:$GZ,ROW()-4,$A$4)))</f>
        <v/>
      </c>
      <c r="B1005" s="41" t="str">
        <f aca="false">IF(A1005="","",TRIM(INDEX('COOIS Raw'!$A:$GZ,ROW()-4,$B$4)))</f>
        <v/>
      </c>
      <c r="C1005" s="42" t="str">
        <f aca="false">IF(OR(A1005="",$C$4=0),"",INDEX('COOIS Raw'!$A:$GZ,ROW()-4,$C$4))</f>
        <v/>
      </c>
      <c r="D1005" s="41" t="str">
        <f aca="false">IF(A1005="","",IF($D$4=0,1,IFERROR(--INDEX('COOIS Raw'!$A:$GZ,ROW()-4,$D$4),1)))</f>
        <v/>
      </c>
      <c r="E1005" s="42" t="str">
        <f aca="false">IF(A1005="","",INDEX('COOIS Raw'!$A:$GZ,ROW()-4,$E$4)&amp;"")</f>
        <v/>
      </c>
      <c r="F1005" s="43" t="str">
        <f aca="false">IF(A1005="","",IFERROR(DATEVALUE(INDEX('COOIS Raw'!$A:$GZ,ROW()-4,$F$4)),INDEX('COOIS Raw'!$A:$GZ,ROW()-4,$F$4)))</f>
        <v/>
      </c>
      <c r="G1005" s="41" t="str">
        <f aca="false">IF(A1005="","",IF(ISNA(MATCH(B1005,'Kitting Plan'!$B$6:$B$19,0)),"Not in plan","Yes"))</f>
        <v/>
      </c>
      <c r="H1005" s="41" t="str">
        <f aca="false">IF(G1005="Yes",INDEX('Kitting Plan'!$D$6:$D$19,MATCH(B1005,'Kitting Plan'!$B$6:$B$19,0)),"")</f>
        <v/>
      </c>
      <c r="I1005" s="41" t="str">
        <f aca="false">IF(A1005="","",IF(ISNUMBER(SEARCH("PRT",E1005)),D1005,0))</f>
        <v/>
      </c>
      <c r="J1005" s="41" t="str">
        <f aca="false">IF(A1005="","",IF(ISNUMBER(SEARCH("GMPS",E1005)),D1005,0))</f>
        <v/>
      </c>
      <c r="K1005" s="41" t="str">
        <f aca="false">IF(A1005="","",IF(ISNUMBER(SEARCH("DLV",E1005)),D1005,0))</f>
        <v/>
      </c>
      <c r="L1005" s="41" t="str">
        <f aca="false">IF(A1005="","",IF(K1005&gt;0,"Delivered",IF(ISNUMBER(SEARCH("CNF",E1005)),"In production",IF(J1005&gt;0,"Issued",IF(I1005&gt;0,"Kitted","Released")))))</f>
        <v/>
      </c>
      <c r="M1005" s="41" t="str">
        <f aca="false">IF(G1005&lt;&gt;"Yes","",COUNTIFS($B$6:$B$1505,B1005,$F$6:$F$1505,"&lt;"&amp;F1005)+COUNTIFS($B$6:$B$1505,B1005,$F$6:$F$1505,F1005,$A$6:$A$1505,"&lt;="&amp;A1005))</f>
        <v/>
      </c>
      <c r="N1005" s="41" t="str">
        <f aca="false">IF(M1005="","",ROUNDUP(M1005/H1005,0))</f>
        <v/>
      </c>
      <c r="O1005" s="41" t="str">
        <f aca="false">IF(N1005="","",IF(N1005&lt;='Kitting Plan'!$C$3,"Rep "&amp;N1005,"Surplus"))</f>
        <v/>
      </c>
    </row>
    <row r="1006" customFormat="false" ht="15" hidden="false" customHeight="false" outlineLevel="0" collapsed="false">
      <c r="A1006" s="40" t="str">
        <f aca="false">IF(OR($A$4=0,INDEX('COOIS Raw'!$A:$GZ,ROW()-4,$A$4)=""),"",IFERROR(--INDEX('COOIS Raw'!$A:$GZ,ROW()-4,$A$4),INDEX('COOIS Raw'!$A:$GZ,ROW()-4,$A$4)))</f>
        <v/>
      </c>
      <c r="B1006" s="41" t="str">
        <f aca="false">IF(A1006="","",TRIM(INDEX('COOIS Raw'!$A:$GZ,ROW()-4,$B$4)))</f>
        <v/>
      </c>
      <c r="C1006" s="42" t="str">
        <f aca="false">IF(OR(A1006="",$C$4=0),"",INDEX('COOIS Raw'!$A:$GZ,ROW()-4,$C$4))</f>
        <v/>
      </c>
      <c r="D1006" s="41" t="str">
        <f aca="false">IF(A1006="","",IF($D$4=0,1,IFERROR(--INDEX('COOIS Raw'!$A:$GZ,ROW()-4,$D$4),1)))</f>
        <v/>
      </c>
      <c r="E1006" s="42" t="str">
        <f aca="false">IF(A1006="","",INDEX('COOIS Raw'!$A:$GZ,ROW()-4,$E$4)&amp;"")</f>
        <v/>
      </c>
      <c r="F1006" s="43" t="str">
        <f aca="false">IF(A1006="","",IFERROR(DATEVALUE(INDEX('COOIS Raw'!$A:$GZ,ROW()-4,$F$4)),INDEX('COOIS Raw'!$A:$GZ,ROW()-4,$F$4)))</f>
        <v/>
      </c>
      <c r="G1006" s="41" t="str">
        <f aca="false">IF(A1006="","",IF(ISNA(MATCH(B1006,'Kitting Plan'!$B$6:$B$19,0)),"Not in plan","Yes"))</f>
        <v/>
      </c>
      <c r="H1006" s="41" t="str">
        <f aca="false">IF(G1006="Yes",INDEX('Kitting Plan'!$D$6:$D$19,MATCH(B1006,'Kitting Plan'!$B$6:$B$19,0)),"")</f>
        <v/>
      </c>
      <c r="I1006" s="41" t="str">
        <f aca="false">IF(A1006="","",IF(ISNUMBER(SEARCH("PRT",E1006)),D1006,0))</f>
        <v/>
      </c>
      <c r="J1006" s="41" t="str">
        <f aca="false">IF(A1006="","",IF(ISNUMBER(SEARCH("GMPS",E1006)),D1006,0))</f>
        <v/>
      </c>
      <c r="K1006" s="41" t="str">
        <f aca="false">IF(A1006="","",IF(ISNUMBER(SEARCH("DLV",E1006)),D1006,0))</f>
        <v/>
      </c>
      <c r="L1006" s="41" t="str">
        <f aca="false">IF(A1006="","",IF(K1006&gt;0,"Delivered",IF(ISNUMBER(SEARCH("CNF",E1006)),"In production",IF(J1006&gt;0,"Issued",IF(I1006&gt;0,"Kitted","Released")))))</f>
        <v/>
      </c>
      <c r="M1006" s="41" t="str">
        <f aca="false">IF(G1006&lt;&gt;"Yes","",COUNTIFS($B$6:$B$1505,B1006,$F$6:$F$1505,"&lt;"&amp;F1006)+COUNTIFS($B$6:$B$1505,B1006,$F$6:$F$1505,F1006,$A$6:$A$1505,"&lt;="&amp;A1006))</f>
        <v/>
      </c>
      <c r="N1006" s="41" t="str">
        <f aca="false">IF(M1006="","",ROUNDUP(M1006/H1006,0))</f>
        <v/>
      </c>
      <c r="O1006" s="41" t="str">
        <f aca="false">IF(N1006="","",IF(N1006&lt;='Kitting Plan'!$C$3,"Rep "&amp;N1006,"Surplus"))</f>
        <v/>
      </c>
    </row>
    <row r="1007" customFormat="false" ht="15" hidden="false" customHeight="false" outlineLevel="0" collapsed="false">
      <c r="A1007" s="40" t="str">
        <f aca="false">IF(OR($A$4=0,INDEX('COOIS Raw'!$A:$GZ,ROW()-4,$A$4)=""),"",IFERROR(--INDEX('COOIS Raw'!$A:$GZ,ROW()-4,$A$4),INDEX('COOIS Raw'!$A:$GZ,ROW()-4,$A$4)))</f>
        <v/>
      </c>
      <c r="B1007" s="41" t="str">
        <f aca="false">IF(A1007="","",TRIM(INDEX('COOIS Raw'!$A:$GZ,ROW()-4,$B$4)))</f>
        <v/>
      </c>
      <c r="C1007" s="42" t="str">
        <f aca="false">IF(OR(A1007="",$C$4=0),"",INDEX('COOIS Raw'!$A:$GZ,ROW()-4,$C$4))</f>
        <v/>
      </c>
      <c r="D1007" s="41" t="str">
        <f aca="false">IF(A1007="","",IF($D$4=0,1,IFERROR(--INDEX('COOIS Raw'!$A:$GZ,ROW()-4,$D$4),1)))</f>
        <v/>
      </c>
      <c r="E1007" s="42" t="str">
        <f aca="false">IF(A1007="","",INDEX('COOIS Raw'!$A:$GZ,ROW()-4,$E$4)&amp;"")</f>
        <v/>
      </c>
      <c r="F1007" s="43" t="str">
        <f aca="false">IF(A1007="","",IFERROR(DATEVALUE(INDEX('COOIS Raw'!$A:$GZ,ROW()-4,$F$4)),INDEX('COOIS Raw'!$A:$GZ,ROW()-4,$F$4)))</f>
        <v/>
      </c>
      <c r="G1007" s="41" t="str">
        <f aca="false">IF(A1007="","",IF(ISNA(MATCH(B1007,'Kitting Plan'!$B$6:$B$19,0)),"Not in plan","Yes"))</f>
        <v/>
      </c>
      <c r="H1007" s="41" t="str">
        <f aca="false">IF(G1007="Yes",INDEX('Kitting Plan'!$D$6:$D$19,MATCH(B1007,'Kitting Plan'!$B$6:$B$19,0)),"")</f>
        <v/>
      </c>
      <c r="I1007" s="41" t="str">
        <f aca="false">IF(A1007="","",IF(ISNUMBER(SEARCH("PRT",E1007)),D1007,0))</f>
        <v/>
      </c>
      <c r="J1007" s="41" t="str">
        <f aca="false">IF(A1007="","",IF(ISNUMBER(SEARCH("GMPS",E1007)),D1007,0))</f>
        <v/>
      </c>
      <c r="K1007" s="41" t="str">
        <f aca="false">IF(A1007="","",IF(ISNUMBER(SEARCH("DLV",E1007)),D1007,0))</f>
        <v/>
      </c>
      <c r="L1007" s="41" t="str">
        <f aca="false">IF(A1007="","",IF(K1007&gt;0,"Delivered",IF(ISNUMBER(SEARCH("CNF",E1007)),"In production",IF(J1007&gt;0,"Issued",IF(I1007&gt;0,"Kitted","Released")))))</f>
        <v/>
      </c>
      <c r="M1007" s="41" t="str">
        <f aca="false">IF(G1007&lt;&gt;"Yes","",COUNTIFS($B$6:$B$1505,B1007,$F$6:$F$1505,"&lt;"&amp;F1007)+COUNTIFS($B$6:$B$1505,B1007,$F$6:$F$1505,F1007,$A$6:$A$1505,"&lt;="&amp;A1007))</f>
        <v/>
      </c>
      <c r="N1007" s="41" t="str">
        <f aca="false">IF(M1007="","",ROUNDUP(M1007/H1007,0))</f>
        <v/>
      </c>
      <c r="O1007" s="41" t="str">
        <f aca="false">IF(N1007="","",IF(N1007&lt;='Kitting Plan'!$C$3,"Rep "&amp;N1007,"Surplus"))</f>
        <v/>
      </c>
    </row>
    <row r="1008" customFormat="false" ht="15" hidden="false" customHeight="false" outlineLevel="0" collapsed="false">
      <c r="A1008" s="40" t="str">
        <f aca="false">IF(OR($A$4=0,INDEX('COOIS Raw'!$A:$GZ,ROW()-4,$A$4)=""),"",IFERROR(--INDEX('COOIS Raw'!$A:$GZ,ROW()-4,$A$4),INDEX('COOIS Raw'!$A:$GZ,ROW()-4,$A$4)))</f>
        <v/>
      </c>
      <c r="B1008" s="41" t="str">
        <f aca="false">IF(A1008="","",TRIM(INDEX('COOIS Raw'!$A:$GZ,ROW()-4,$B$4)))</f>
        <v/>
      </c>
      <c r="C1008" s="42" t="str">
        <f aca="false">IF(OR(A1008="",$C$4=0),"",INDEX('COOIS Raw'!$A:$GZ,ROW()-4,$C$4))</f>
        <v/>
      </c>
      <c r="D1008" s="41" t="str">
        <f aca="false">IF(A1008="","",IF($D$4=0,1,IFERROR(--INDEX('COOIS Raw'!$A:$GZ,ROW()-4,$D$4),1)))</f>
        <v/>
      </c>
      <c r="E1008" s="42" t="str">
        <f aca="false">IF(A1008="","",INDEX('COOIS Raw'!$A:$GZ,ROW()-4,$E$4)&amp;"")</f>
        <v/>
      </c>
      <c r="F1008" s="43" t="str">
        <f aca="false">IF(A1008="","",IFERROR(DATEVALUE(INDEX('COOIS Raw'!$A:$GZ,ROW()-4,$F$4)),INDEX('COOIS Raw'!$A:$GZ,ROW()-4,$F$4)))</f>
        <v/>
      </c>
      <c r="G1008" s="41" t="str">
        <f aca="false">IF(A1008="","",IF(ISNA(MATCH(B1008,'Kitting Plan'!$B$6:$B$19,0)),"Not in plan","Yes"))</f>
        <v/>
      </c>
      <c r="H1008" s="41" t="str">
        <f aca="false">IF(G1008="Yes",INDEX('Kitting Plan'!$D$6:$D$19,MATCH(B1008,'Kitting Plan'!$B$6:$B$19,0)),"")</f>
        <v/>
      </c>
      <c r="I1008" s="41" t="str">
        <f aca="false">IF(A1008="","",IF(ISNUMBER(SEARCH("PRT",E1008)),D1008,0))</f>
        <v/>
      </c>
      <c r="J1008" s="41" t="str">
        <f aca="false">IF(A1008="","",IF(ISNUMBER(SEARCH("GMPS",E1008)),D1008,0))</f>
        <v/>
      </c>
      <c r="K1008" s="41" t="str">
        <f aca="false">IF(A1008="","",IF(ISNUMBER(SEARCH("DLV",E1008)),D1008,0))</f>
        <v/>
      </c>
      <c r="L1008" s="41" t="str">
        <f aca="false">IF(A1008="","",IF(K1008&gt;0,"Delivered",IF(ISNUMBER(SEARCH("CNF",E1008)),"In production",IF(J1008&gt;0,"Issued",IF(I1008&gt;0,"Kitted","Released")))))</f>
        <v/>
      </c>
      <c r="M1008" s="41" t="str">
        <f aca="false">IF(G1008&lt;&gt;"Yes","",COUNTIFS($B$6:$B$1505,B1008,$F$6:$F$1505,"&lt;"&amp;F1008)+COUNTIFS($B$6:$B$1505,B1008,$F$6:$F$1505,F1008,$A$6:$A$1505,"&lt;="&amp;A1008))</f>
        <v/>
      </c>
      <c r="N1008" s="41" t="str">
        <f aca="false">IF(M1008="","",ROUNDUP(M1008/H1008,0))</f>
        <v/>
      </c>
      <c r="O1008" s="41" t="str">
        <f aca="false">IF(N1008="","",IF(N1008&lt;='Kitting Plan'!$C$3,"Rep "&amp;N1008,"Surplus"))</f>
        <v/>
      </c>
    </row>
    <row r="1009" customFormat="false" ht="15" hidden="false" customHeight="false" outlineLevel="0" collapsed="false">
      <c r="A1009" s="40" t="str">
        <f aca="false">IF(OR($A$4=0,INDEX('COOIS Raw'!$A:$GZ,ROW()-4,$A$4)=""),"",IFERROR(--INDEX('COOIS Raw'!$A:$GZ,ROW()-4,$A$4),INDEX('COOIS Raw'!$A:$GZ,ROW()-4,$A$4)))</f>
        <v/>
      </c>
      <c r="B1009" s="41" t="str">
        <f aca="false">IF(A1009="","",TRIM(INDEX('COOIS Raw'!$A:$GZ,ROW()-4,$B$4)))</f>
        <v/>
      </c>
      <c r="C1009" s="42" t="str">
        <f aca="false">IF(OR(A1009="",$C$4=0),"",INDEX('COOIS Raw'!$A:$GZ,ROW()-4,$C$4))</f>
        <v/>
      </c>
      <c r="D1009" s="41" t="str">
        <f aca="false">IF(A1009="","",IF($D$4=0,1,IFERROR(--INDEX('COOIS Raw'!$A:$GZ,ROW()-4,$D$4),1)))</f>
        <v/>
      </c>
      <c r="E1009" s="42" t="str">
        <f aca="false">IF(A1009="","",INDEX('COOIS Raw'!$A:$GZ,ROW()-4,$E$4)&amp;"")</f>
        <v/>
      </c>
      <c r="F1009" s="43" t="str">
        <f aca="false">IF(A1009="","",IFERROR(DATEVALUE(INDEX('COOIS Raw'!$A:$GZ,ROW()-4,$F$4)),INDEX('COOIS Raw'!$A:$GZ,ROW()-4,$F$4)))</f>
        <v/>
      </c>
      <c r="G1009" s="41" t="str">
        <f aca="false">IF(A1009="","",IF(ISNA(MATCH(B1009,'Kitting Plan'!$B$6:$B$19,0)),"Not in plan","Yes"))</f>
        <v/>
      </c>
      <c r="H1009" s="41" t="str">
        <f aca="false">IF(G1009="Yes",INDEX('Kitting Plan'!$D$6:$D$19,MATCH(B1009,'Kitting Plan'!$B$6:$B$19,0)),"")</f>
        <v/>
      </c>
      <c r="I1009" s="41" t="str">
        <f aca="false">IF(A1009="","",IF(ISNUMBER(SEARCH("PRT",E1009)),D1009,0))</f>
        <v/>
      </c>
      <c r="J1009" s="41" t="str">
        <f aca="false">IF(A1009="","",IF(ISNUMBER(SEARCH("GMPS",E1009)),D1009,0))</f>
        <v/>
      </c>
      <c r="K1009" s="41" t="str">
        <f aca="false">IF(A1009="","",IF(ISNUMBER(SEARCH("DLV",E1009)),D1009,0))</f>
        <v/>
      </c>
      <c r="L1009" s="41" t="str">
        <f aca="false">IF(A1009="","",IF(K1009&gt;0,"Delivered",IF(ISNUMBER(SEARCH("CNF",E1009)),"In production",IF(J1009&gt;0,"Issued",IF(I1009&gt;0,"Kitted","Released")))))</f>
        <v/>
      </c>
      <c r="M1009" s="41" t="str">
        <f aca="false">IF(G1009&lt;&gt;"Yes","",COUNTIFS($B$6:$B$1505,B1009,$F$6:$F$1505,"&lt;"&amp;F1009)+COUNTIFS($B$6:$B$1505,B1009,$F$6:$F$1505,F1009,$A$6:$A$1505,"&lt;="&amp;A1009))</f>
        <v/>
      </c>
      <c r="N1009" s="41" t="str">
        <f aca="false">IF(M1009="","",ROUNDUP(M1009/H1009,0))</f>
        <v/>
      </c>
      <c r="O1009" s="41" t="str">
        <f aca="false">IF(N1009="","",IF(N1009&lt;='Kitting Plan'!$C$3,"Rep "&amp;N1009,"Surplus"))</f>
        <v/>
      </c>
    </row>
    <row r="1010" customFormat="false" ht="15" hidden="false" customHeight="false" outlineLevel="0" collapsed="false">
      <c r="A1010" s="40" t="str">
        <f aca="false">IF(OR($A$4=0,INDEX('COOIS Raw'!$A:$GZ,ROW()-4,$A$4)=""),"",IFERROR(--INDEX('COOIS Raw'!$A:$GZ,ROW()-4,$A$4),INDEX('COOIS Raw'!$A:$GZ,ROW()-4,$A$4)))</f>
        <v/>
      </c>
      <c r="B1010" s="41" t="str">
        <f aca="false">IF(A1010="","",TRIM(INDEX('COOIS Raw'!$A:$GZ,ROW()-4,$B$4)))</f>
        <v/>
      </c>
      <c r="C1010" s="42" t="str">
        <f aca="false">IF(OR(A1010="",$C$4=0),"",INDEX('COOIS Raw'!$A:$GZ,ROW()-4,$C$4))</f>
        <v/>
      </c>
      <c r="D1010" s="41" t="str">
        <f aca="false">IF(A1010="","",IF($D$4=0,1,IFERROR(--INDEX('COOIS Raw'!$A:$GZ,ROW()-4,$D$4),1)))</f>
        <v/>
      </c>
      <c r="E1010" s="42" t="str">
        <f aca="false">IF(A1010="","",INDEX('COOIS Raw'!$A:$GZ,ROW()-4,$E$4)&amp;"")</f>
        <v/>
      </c>
      <c r="F1010" s="43" t="str">
        <f aca="false">IF(A1010="","",IFERROR(DATEVALUE(INDEX('COOIS Raw'!$A:$GZ,ROW()-4,$F$4)),INDEX('COOIS Raw'!$A:$GZ,ROW()-4,$F$4)))</f>
        <v/>
      </c>
      <c r="G1010" s="41" t="str">
        <f aca="false">IF(A1010="","",IF(ISNA(MATCH(B1010,'Kitting Plan'!$B$6:$B$19,0)),"Not in plan","Yes"))</f>
        <v/>
      </c>
      <c r="H1010" s="41" t="str">
        <f aca="false">IF(G1010="Yes",INDEX('Kitting Plan'!$D$6:$D$19,MATCH(B1010,'Kitting Plan'!$B$6:$B$19,0)),"")</f>
        <v/>
      </c>
      <c r="I1010" s="41" t="str">
        <f aca="false">IF(A1010="","",IF(ISNUMBER(SEARCH("PRT",E1010)),D1010,0))</f>
        <v/>
      </c>
      <c r="J1010" s="41" t="str">
        <f aca="false">IF(A1010="","",IF(ISNUMBER(SEARCH("GMPS",E1010)),D1010,0))</f>
        <v/>
      </c>
      <c r="K1010" s="41" t="str">
        <f aca="false">IF(A1010="","",IF(ISNUMBER(SEARCH("DLV",E1010)),D1010,0))</f>
        <v/>
      </c>
      <c r="L1010" s="41" t="str">
        <f aca="false">IF(A1010="","",IF(K1010&gt;0,"Delivered",IF(ISNUMBER(SEARCH("CNF",E1010)),"In production",IF(J1010&gt;0,"Issued",IF(I1010&gt;0,"Kitted","Released")))))</f>
        <v/>
      </c>
      <c r="M1010" s="41" t="str">
        <f aca="false">IF(G1010&lt;&gt;"Yes","",COUNTIFS($B$6:$B$1505,B1010,$F$6:$F$1505,"&lt;"&amp;F1010)+COUNTIFS($B$6:$B$1505,B1010,$F$6:$F$1505,F1010,$A$6:$A$1505,"&lt;="&amp;A1010))</f>
        <v/>
      </c>
      <c r="N1010" s="41" t="str">
        <f aca="false">IF(M1010="","",ROUNDUP(M1010/H1010,0))</f>
        <v/>
      </c>
      <c r="O1010" s="41" t="str">
        <f aca="false">IF(N1010="","",IF(N1010&lt;='Kitting Plan'!$C$3,"Rep "&amp;N1010,"Surplus"))</f>
        <v/>
      </c>
    </row>
    <row r="1011" customFormat="false" ht="15" hidden="false" customHeight="false" outlineLevel="0" collapsed="false">
      <c r="A1011" s="40" t="str">
        <f aca="false">IF(OR($A$4=0,INDEX('COOIS Raw'!$A:$GZ,ROW()-4,$A$4)=""),"",IFERROR(--INDEX('COOIS Raw'!$A:$GZ,ROW()-4,$A$4),INDEX('COOIS Raw'!$A:$GZ,ROW()-4,$A$4)))</f>
        <v/>
      </c>
      <c r="B1011" s="41" t="str">
        <f aca="false">IF(A1011="","",TRIM(INDEX('COOIS Raw'!$A:$GZ,ROW()-4,$B$4)))</f>
        <v/>
      </c>
      <c r="C1011" s="42" t="str">
        <f aca="false">IF(OR(A1011="",$C$4=0),"",INDEX('COOIS Raw'!$A:$GZ,ROW()-4,$C$4))</f>
        <v/>
      </c>
      <c r="D1011" s="41" t="str">
        <f aca="false">IF(A1011="","",IF($D$4=0,1,IFERROR(--INDEX('COOIS Raw'!$A:$GZ,ROW()-4,$D$4),1)))</f>
        <v/>
      </c>
      <c r="E1011" s="42" t="str">
        <f aca="false">IF(A1011="","",INDEX('COOIS Raw'!$A:$GZ,ROW()-4,$E$4)&amp;"")</f>
        <v/>
      </c>
      <c r="F1011" s="43" t="str">
        <f aca="false">IF(A1011="","",IFERROR(DATEVALUE(INDEX('COOIS Raw'!$A:$GZ,ROW()-4,$F$4)),INDEX('COOIS Raw'!$A:$GZ,ROW()-4,$F$4)))</f>
        <v/>
      </c>
      <c r="G1011" s="41" t="str">
        <f aca="false">IF(A1011="","",IF(ISNA(MATCH(B1011,'Kitting Plan'!$B$6:$B$19,0)),"Not in plan","Yes"))</f>
        <v/>
      </c>
      <c r="H1011" s="41" t="str">
        <f aca="false">IF(G1011="Yes",INDEX('Kitting Plan'!$D$6:$D$19,MATCH(B1011,'Kitting Plan'!$B$6:$B$19,0)),"")</f>
        <v/>
      </c>
      <c r="I1011" s="41" t="str">
        <f aca="false">IF(A1011="","",IF(ISNUMBER(SEARCH("PRT",E1011)),D1011,0))</f>
        <v/>
      </c>
      <c r="J1011" s="41" t="str">
        <f aca="false">IF(A1011="","",IF(ISNUMBER(SEARCH("GMPS",E1011)),D1011,0))</f>
        <v/>
      </c>
      <c r="K1011" s="41" t="str">
        <f aca="false">IF(A1011="","",IF(ISNUMBER(SEARCH("DLV",E1011)),D1011,0))</f>
        <v/>
      </c>
      <c r="L1011" s="41" t="str">
        <f aca="false">IF(A1011="","",IF(K1011&gt;0,"Delivered",IF(ISNUMBER(SEARCH("CNF",E1011)),"In production",IF(J1011&gt;0,"Issued",IF(I1011&gt;0,"Kitted","Released")))))</f>
        <v/>
      </c>
      <c r="M1011" s="41" t="str">
        <f aca="false">IF(G1011&lt;&gt;"Yes","",COUNTIFS($B$6:$B$1505,B1011,$F$6:$F$1505,"&lt;"&amp;F1011)+COUNTIFS($B$6:$B$1505,B1011,$F$6:$F$1505,F1011,$A$6:$A$1505,"&lt;="&amp;A1011))</f>
        <v/>
      </c>
      <c r="N1011" s="41" t="str">
        <f aca="false">IF(M1011="","",ROUNDUP(M1011/H1011,0))</f>
        <v/>
      </c>
      <c r="O1011" s="41" t="str">
        <f aca="false">IF(N1011="","",IF(N1011&lt;='Kitting Plan'!$C$3,"Rep "&amp;N1011,"Surplus"))</f>
        <v/>
      </c>
    </row>
    <row r="1012" customFormat="false" ht="15" hidden="false" customHeight="false" outlineLevel="0" collapsed="false">
      <c r="A1012" s="40" t="str">
        <f aca="false">IF(OR($A$4=0,INDEX('COOIS Raw'!$A:$GZ,ROW()-4,$A$4)=""),"",IFERROR(--INDEX('COOIS Raw'!$A:$GZ,ROW()-4,$A$4),INDEX('COOIS Raw'!$A:$GZ,ROW()-4,$A$4)))</f>
        <v/>
      </c>
      <c r="B1012" s="41" t="str">
        <f aca="false">IF(A1012="","",TRIM(INDEX('COOIS Raw'!$A:$GZ,ROW()-4,$B$4)))</f>
        <v/>
      </c>
      <c r="C1012" s="42" t="str">
        <f aca="false">IF(OR(A1012="",$C$4=0),"",INDEX('COOIS Raw'!$A:$GZ,ROW()-4,$C$4))</f>
        <v/>
      </c>
      <c r="D1012" s="41" t="str">
        <f aca="false">IF(A1012="","",IF($D$4=0,1,IFERROR(--INDEX('COOIS Raw'!$A:$GZ,ROW()-4,$D$4),1)))</f>
        <v/>
      </c>
      <c r="E1012" s="42" t="str">
        <f aca="false">IF(A1012="","",INDEX('COOIS Raw'!$A:$GZ,ROW()-4,$E$4)&amp;"")</f>
        <v/>
      </c>
      <c r="F1012" s="43" t="str">
        <f aca="false">IF(A1012="","",IFERROR(DATEVALUE(INDEX('COOIS Raw'!$A:$GZ,ROW()-4,$F$4)),INDEX('COOIS Raw'!$A:$GZ,ROW()-4,$F$4)))</f>
        <v/>
      </c>
      <c r="G1012" s="41" t="str">
        <f aca="false">IF(A1012="","",IF(ISNA(MATCH(B1012,'Kitting Plan'!$B$6:$B$19,0)),"Not in plan","Yes"))</f>
        <v/>
      </c>
      <c r="H1012" s="41" t="str">
        <f aca="false">IF(G1012="Yes",INDEX('Kitting Plan'!$D$6:$D$19,MATCH(B1012,'Kitting Plan'!$B$6:$B$19,0)),"")</f>
        <v/>
      </c>
      <c r="I1012" s="41" t="str">
        <f aca="false">IF(A1012="","",IF(ISNUMBER(SEARCH("PRT",E1012)),D1012,0))</f>
        <v/>
      </c>
      <c r="J1012" s="41" t="str">
        <f aca="false">IF(A1012="","",IF(ISNUMBER(SEARCH("GMPS",E1012)),D1012,0))</f>
        <v/>
      </c>
      <c r="K1012" s="41" t="str">
        <f aca="false">IF(A1012="","",IF(ISNUMBER(SEARCH("DLV",E1012)),D1012,0))</f>
        <v/>
      </c>
      <c r="L1012" s="41" t="str">
        <f aca="false">IF(A1012="","",IF(K1012&gt;0,"Delivered",IF(ISNUMBER(SEARCH("CNF",E1012)),"In production",IF(J1012&gt;0,"Issued",IF(I1012&gt;0,"Kitted","Released")))))</f>
        <v/>
      </c>
      <c r="M1012" s="41" t="str">
        <f aca="false">IF(G1012&lt;&gt;"Yes","",COUNTIFS($B$6:$B$1505,B1012,$F$6:$F$1505,"&lt;"&amp;F1012)+COUNTIFS($B$6:$B$1505,B1012,$F$6:$F$1505,F1012,$A$6:$A$1505,"&lt;="&amp;A1012))</f>
        <v/>
      </c>
      <c r="N1012" s="41" t="str">
        <f aca="false">IF(M1012="","",ROUNDUP(M1012/H1012,0))</f>
        <v/>
      </c>
      <c r="O1012" s="41" t="str">
        <f aca="false">IF(N1012="","",IF(N1012&lt;='Kitting Plan'!$C$3,"Rep "&amp;N1012,"Surplus"))</f>
        <v/>
      </c>
    </row>
    <row r="1013" customFormat="false" ht="15" hidden="false" customHeight="false" outlineLevel="0" collapsed="false">
      <c r="A1013" s="40" t="str">
        <f aca="false">IF(OR($A$4=0,INDEX('COOIS Raw'!$A:$GZ,ROW()-4,$A$4)=""),"",IFERROR(--INDEX('COOIS Raw'!$A:$GZ,ROW()-4,$A$4),INDEX('COOIS Raw'!$A:$GZ,ROW()-4,$A$4)))</f>
        <v/>
      </c>
      <c r="B1013" s="41" t="str">
        <f aca="false">IF(A1013="","",TRIM(INDEX('COOIS Raw'!$A:$GZ,ROW()-4,$B$4)))</f>
        <v/>
      </c>
      <c r="C1013" s="42" t="str">
        <f aca="false">IF(OR(A1013="",$C$4=0),"",INDEX('COOIS Raw'!$A:$GZ,ROW()-4,$C$4))</f>
        <v/>
      </c>
      <c r="D1013" s="41" t="str">
        <f aca="false">IF(A1013="","",IF($D$4=0,1,IFERROR(--INDEX('COOIS Raw'!$A:$GZ,ROW()-4,$D$4),1)))</f>
        <v/>
      </c>
      <c r="E1013" s="42" t="str">
        <f aca="false">IF(A1013="","",INDEX('COOIS Raw'!$A:$GZ,ROW()-4,$E$4)&amp;"")</f>
        <v/>
      </c>
      <c r="F1013" s="43" t="str">
        <f aca="false">IF(A1013="","",IFERROR(DATEVALUE(INDEX('COOIS Raw'!$A:$GZ,ROW()-4,$F$4)),INDEX('COOIS Raw'!$A:$GZ,ROW()-4,$F$4)))</f>
        <v/>
      </c>
      <c r="G1013" s="41" t="str">
        <f aca="false">IF(A1013="","",IF(ISNA(MATCH(B1013,'Kitting Plan'!$B$6:$B$19,0)),"Not in plan","Yes"))</f>
        <v/>
      </c>
      <c r="H1013" s="41" t="str">
        <f aca="false">IF(G1013="Yes",INDEX('Kitting Plan'!$D$6:$D$19,MATCH(B1013,'Kitting Plan'!$B$6:$B$19,0)),"")</f>
        <v/>
      </c>
      <c r="I1013" s="41" t="str">
        <f aca="false">IF(A1013="","",IF(ISNUMBER(SEARCH("PRT",E1013)),D1013,0))</f>
        <v/>
      </c>
      <c r="J1013" s="41" t="str">
        <f aca="false">IF(A1013="","",IF(ISNUMBER(SEARCH("GMPS",E1013)),D1013,0))</f>
        <v/>
      </c>
      <c r="K1013" s="41" t="str">
        <f aca="false">IF(A1013="","",IF(ISNUMBER(SEARCH("DLV",E1013)),D1013,0))</f>
        <v/>
      </c>
      <c r="L1013" s="41" t="str">
        <f aca="false">IF(A1013="","",IF(K1013&gt;0,"Delivered",IF(ISNUMBER(SEARCH("CNF",E1013)),"In production",IF(J1013&gt;0,"Issued",IF(I1013&gt;0,"Kitted","Released")))))</f>
        <v/>
      </c>
      <c r="M1013" s="41" t="str">
        <f aca="false">IF(G1013&lt;&gt;"Yes","",COUNTIFS($B$6:$B$1505,B1013,$F$6:$F$1505,"&lt;"&amp;F1013)+COUNTIFS($B$6:$B$1505,B1013,$F$6:$F$1505,F1013,$A$6:$A$1505,"&lt;="&amp;A1013))</f>
        <v/>
      </c>
      <c r="N1013" s="41" t="str">
        <f aca="false">IF(M1013="","",ROUNDUP(M1013/H1013,0))</f>
        <v/>
      </c>
      <c r="O1013" s="41" t="str">
        <f aca="false">IF(N1013="","",IF(N1013&lt;='Kitting Plan'!$C$3,"Rep "&amp;N1013,"Surplus"))</f>
        <v/>
      </c>
    </row>
    <row r="1014" customFormat="false" ht="15" hidden="false" customHeight="false" outlineLevel="0" collapsed="false">
      <c r="A1014" s="40" t="str">
        <f aca="false">IF(OR($A$4=0,INDEX('COOIS Raw'!$A:$GZ,ROW()-4,$A$4)=""),"",IFERROR(--INDEX('COOIS Raw'!$A:$GZ,ROW()-4,$A$4),INDEX('COOIS Raw'!$A:$GZ,ROW()-4,$A$4)))</f>
        <v/>
      </c>
      <c r="B1014" s="41" t="str">
        <f aca="false">IF(A1014="","",TRIM(INDEX('COOIS Raw'!$A:$GZ,ROW()-4,$B$4)))</f>
        <v/>
      </c>
      <c r="C1014" s="42" t="str">
        <f aca="false">IF(OR(A1014="",$C$4=0),"",INDEX('COOIS Raw'!$A:$GZ,ROW()-4,$C$4))</f>
        <v/>
      </c>
      <c r="D1014" s="41" t="str">
        <f aca="false">IF(A1014="","",IF($D$4=0,1,IFERROR(--INDEX('COOIS Raw'!$A:$GZ,ROW()-4,$D$4),1)))</f>
        <v/>
      </c>
      <c r="E1014" s="42" t="str">
        <f aca="false">IF(A1014="","",INDEX('COOIS Raw'!$A:$GZ,ROW()-4,$E$4)&amp;"")</f>
        <v/>
      </c>
      <c r="F1014" s="43" t="str">
        <f aca="false">IF(A1014="","",IFERROR(DATEVALUE(INDEX('COOIS Raw'!$A:$GZ,ROW()-4,$F$4)),INDEX('COOIS Raw'!$A:$GZ,ROW()-4,$F$4)))</f>
        <v/>
      </c>
      <c r="G1014" s="41" t="str">
        <f aca="false">IF(A1014="","",IF(ISNA(MATCH(B1014,'Kitting Plan'!$B$6:$B$19,0)),"Not in plan","Yes"))</f>
        <v/>
      </c>
      <c r="H1014" s="41" t="str">
        <f aca="false">IF(G1014="Yes",INDEX('Kitting Plan'!$D$6:$D$19,MATCH(B1014,'Kitting Plan'!$B$6:$B$19,0)),"")</f>
        <v/>
      </c>
      <c r="I1014" s="41" t="str">
        <f aca="false">IF(A1014="","",IF(ISNUMBER(SEARCH("PRT",E1014)),D1014,0))</f>
        <v/>
      </c>
      <c r="J1014" s="41" t="str">
        <f aca="false">IF(A1014="","",IF(ISNUMBER(SEARCH("GMPS",E1014)),D1014,0))</f>
        <v/>
      </c>
      <c r="K1014" s="41" t="str">
        <f aca="false">IF(A1014="","",IF(ISNUMBER(SEARCH("DLV",E1014)),D1014,0))</f>
        <v/>
      </c>
      <c r="L1014" s="41" t="str">
        <f aca="false">IF(A1014="","",IF(K1014&gt;0,"Delivered",IF(ISNUMBER(SEARCH("CNF",E1014)),"In production",IF(J1014&gt;0,"Issued",IF(I1014&gt;0,"Kitted","Released")))))</f>
        <v/>
      </c>
      <c r="M1014" s="41" t="str">
        <f aca="false">IF(G1014&lt;&gt;"Yes","",COUNTIFS($B$6:$B$1505,B1014,$F$6:$F$1505,"&lt;"&amp;F1014)+COUNTIFS($B$6:$B$1505,B1014,$F$6:$F$1505,F1014,$A$6:$A$1505,"&lt;="&amp;A1014))</f>
        <v/>
      </c>
      <c r="N1014" s="41" t="str">
        <f aca="false">IF(M1014="","",ROUNDUP(M1014/H1014,0))</f>
        <v/>
      </c>
      <c r="O1014" s="41" t="str">
        <f aca="false">IF(N1014="","",IF(N1014&lt;='Kitting Plan'!$C$3,"Rep "&amp;N1014,"Surplus"))</f>
        <v/>
      </c>
    </row>
    <row r="1015" customFormat="false" ht="15" hidden="false" customHeight="false" outlineLevel="0" collapsed="false">
      <c r="A1015" s="40" t="str">
        <f aca="false">IF(OR($A$4=0,INDEX('COOIS Raw'!$A:$GZ,ROW()-4,$A$4)=""),"",IFERROR(--INDEX('COOIS Raw'!$A:$GZ,ROW()-4,$A$4),INDEX('COOIS Raw'!$A:$GZ,ROW()-4,$A$4)))</f>
        <v/>
      </c>
      <c r="B1015" s="41" t="str">
        <f aca="false">IF(A1015="","",TRIM(INDEX('COOIS Raw'!$A:$GZ,ROW()-4,$B$4)))</f>
        <v/>
      </c>
      <c r="C1015" s="42" t="str">
        <f aca="false">IF(OR(A1015="",$C$4=0),"",INDEX('COOIS Raw'!$A:$GZ,ROW()-4,$C$4))</f>
        <v/>
      </c>
      <c r="D1015" s="41" t="str">
        <f aca="false">IF(A1015="","",IF($D$4=0,1,IFERROR(--INDEX('COOIS Raw'!$A:$GZ,ROW()-4,$D$4),1)))</f>
        <v/>
      </c>
      <c r="E1015" s="42" t="str">
        <f aca="false">IF(A1015="","",INDEX('COOIS Raw'!$A:$GZ,ROW()-4,$E$4)&amp;"")</f>
        <v/>
      </c>
      <c r="F1015" s="43" t="str">
        <f aca="false">IF(A1015="","",IFERROR(DATEVALUE(INDEX('COOIS Raw'!$A:$GZ,ROW()-4,$F$4)),INDEX('COOIS Raw'!$A:$GZ,ROW()-4,$F$4)))</f>
        <v/>
      </c>
      <c r="G1015" s="41" t="str">
        <f aca="false">IF(A1015="","",IF(ISNA(MATCH(B1015,'Kitting Plan'!$B$6:$B$19,0)),"Not in plan","Yes"))</f>
        <v/>
      </c>
      <c r="H1015" s="41" t="str">
        <f aca="false">IF(G1015="Yes",INDEX('Kitting Plan'!$D$6:$D$19,MATCH(B1015,'Kitting Plan'!$B$6:$B$19,0)),"")</f>
        <v/>
      </c>
      <c r="I1015" s="41" t="str">
        <f aca="false">IF(A1015="","",IF(ISNUMBER(SEARCH("PRT",E1015)),D1015,0))</f>
        <v/>
      </c>
      <c r="J1015" s="41" t="str">
        <f aca="false">IF(A1015="","",IF(ISNUMBER(SEARCH("GMPS",E1015)),D1015,0))</f>
        <v/>
      </c>
      <c r="K1015" s="41" t="str">
        <f aca="false">IF(A1015="","",IF(ISNUMBER(SEARCH("DLV",E1015)),D1015,0))</f>
        <v/>
      </c>
      <c r="L1015" s="41" t="str">
        <f aca="false">IF(A1015="","",IF(K1015&gt;0,"Delivered",IF(ISNUMBER(SEARCH("CNF",E1015)),"In production",IF(J1015&gt;0,"Issued",IF(I1015&gt;0,"Kitted","Released")))))</f>
        <v/>
      </c>
      <c r="M1015" s="41" t="str">
        <f aca="false">IF(G1015&lt;&gt;"Yes","",COUNTIFS($B$6:$B$1505,B1015,$F$6:$F$1505,"&lt;"&amp;F1015)+COUNTIFS($B$6:$B$1505,B1015,$F$6:$F$1505,F1015,$A$6:$A$1505,"&lt;="&amp;A1015))</f>
        <v/>
      </c>
      <c r="N1015" s="41" t="str">
        <f aca="false">IF(M1015="","",ROUNDUP(M1015/H1015,0))</f>
        <v/>
      </c>
      <c r="O1015" s="41" t="str">
        <f aca="false">IF(N1015="","",IF(N1015&lt;='Kitting Plan'!$C$3,"Rep "&amp;N1015,"Surplus"))</f>
        <v/>
      </c>
    </row>
    <row r="1016" customFormat="false" ht="15" hidden="false" customHeight="false" outlineLevel="0" collapsed="false">
      <c r="A1016" s="40" t="str">
        <f aca="false">IF(OR($A$4=0,INDEX('COOIS Raw'!$A:$GZ,ROW()-4,$A$4)=""),"",IFERROR(--INDEX('COOIS Raw'!$A:$GZ,ROW()-4,$A$4),INDEX('COOIS Raw'!$A:$GZ,ROW()-4,$A$4)))</f>
        <v/>
      </c>
      <c r="B1016" s="41" t="str">
        <f aca="false">IF(A1016="","",TRIM(INDEX('COOIS Raw'!$A:$GZ,ROW()-4,$B$4)))</f>
        <v/>
      </c>
      <c r="C1016" s="42" t="str">
        <f aca="false">IF(OR(A1016="",$C$4=0),"",INDEX('COOIS Raw'!$A:$GZ,ROW()-4,$C$4))</f>
        <v/>
      </c>
      <c r="D1016" s="41" t="str">
        <f aca="false">IF(A1016="","",IF($D$4=0,1,IFERROR(--INDEX('COOIS Raw'!$A:$GZ,ROW()-4,$D$4),1)))</f>
        <v/>
      </c>
      <c r="E1016" s="42" t="str">
        <f aca="false">IF(A1016="","",INDEX('COOIS Raw'!$A:$GZ,ROW()-4,$E$4)&amp;"")</f>
        <v/>
      </c>
      <c r="F1016" s="43" t="str">
        <f aca="false">IF(A1016="","",IFERROR(DATEVALUE(INDEX('COOIS Raw'!$A:$GZ,ROW()-4,$F$4)),INDEX('COOIS Raw'!$A:$GZ,ROW()-4,$F$4)))</f>
        <v/>
      </c>
      <c r="G1016" s="41" t="str">
        <f aca="false">IF(A1016="","",IF(ISNA(MATCH(B1016,'Kitting Plan'!$B$6:$B$19,0)),"Not in plan","Yes"))</f>
        <v/>
      </c>
      <c r="H1016" s="41" t="str">
        <f aca="false">IF(G1016="Yes",INDEX('Kitting Plan'!$D$6:$D$19,MATCH(B1016,'Kitting Plan'!$B$6:$B$19,0)),"")</f>
        <v/>
      </c>
      <c r="I1016" s="41" t="str">
        <f aca="false">IF(A1016="","",IF(ISNUMBER(SEARCH("PRT",E1016)),D1016,0))</f>
        <v/>
      </c>
      <c r="J1016" s="41" t="str">
        <f aca="false">IF(A1016="","",IF(ISNUMBER(SEARCH("GMPS",E1016)),D1016,0))</f>
        <v/>
      </c>
      <c r="K1016" s="41" t="str">
        <f aca="false">IF(A1016="","",IF(ISNUMBER(SEARCH("DLV",E1016)),D1016,0))</f>
        <v/>
      </c>
      <c r="L1016" s="41" t="str">
        <f aca="false">IF(A1016="","",IF(K1016&gt;0,"Delivered",IF(ISNUMBER(SEARCH("CNF",E1016)),"In production",IF(J1016&gt;0,"Issued",IF(I1016&gt;0,"Kitted","Released")))))</f>
        <v/>
      </c>
      <c r="M1016" s="41" t="str">
        <f aca="false">IF(G1016&lt;&gt;"Yes","",COUNTIFS($B$6:$B$1505,B1016,$F$6:$F$1505,"&lt;"&amp;F1016)+COUNTIFS($B$6:$B$1505,B1016,$F$6:$F$1505,F1016,$A$6:$A$1505,"&lt;="&amp;A1016))</f>
        <v/>
      </c>
      <c r="N1016" s="41" t="str">
        <f aca="false">IF(M1016="","",ROUNDUP(M1016/H1016,0))</f>
        <v/>
      </c>
      <c r="O1016" s="41" t="str">
        <f aca="false">IF(N1016="","",IF(N1016&lt;='Kitting Plan'!$C$3,"Rep "&amp;N1016,"Surplus"))</f>
        <v/>
      </c>
    </row>
    <row r="1017" customFormat="false" ht="15" hidden="false" customHeight="false" outlineLevel="0" collapsed="false">
      <c r="A1017" s="40" t="str">
        <f aca="false">IF(OR($A$4=0,INDEX('COOIS Raw'!$A:$GZ,ROW()-4,$A$4)=""),"",IFERROR(--INDEX('COOIS Raw'!$A:$GZ,ROW()-4,$A$4),INDEX('COOIS Raw'!$A:$GZ,ROW()-4,$A$4)))</f>
        <v/>
      </c>
      <c r="B1017" s="41" t="str">
        <f aca="false">IF(A1017="","",TRIM(INDEX('COOIS Raw'!$A:$GZ,ROW()-4,$B$4)))</f>
        <v/>
      </c>
      <c r="C1017" s="42" t="str">
        <f aca="false">IF(OR(A1017="",$C$4=0),"",INDEX('COOIS Raw'!$A:$GZ,ROW()-4,$C$4))</f>
        <v/>
      </c>
      <c r="D1017" s="41" t="str">
        <f aca="false">IF(A1017="","",IF($D$4=0,1,IFERROR(--INDEX('COOIS Raw'!$A:$GZ,ROW()-4,$D$4),1)))</f>
        <v/>
      </c>
      <c r="E1017" s="42" t="str">
        <f aca="false">IF(A1017="","",INDEX('COOIS Raw'!$A:$GZ,ROW()-4,$E$4)&amp;"")</f>
        <v/>
      </c>
      <c r="F1017" s="43" t="str">
        <f aca="false">IF(A1017="","",IFERROR(DATEVALUE(INDEX('COOIS Raw'!$A:$GZ,ROW()-4,$F$4)),INDEX('COOIS Raw'!$A:$GZ,ROW()-4,$F$4)))</f>
        <v/>
      </c>
      <c r="G1017" s="41" t="str">
        <f aca="false">IF(A1017="","",IF(ISNA(MATCH(B1017,'Kitting Plan'!$B$6:$B$19,0)),"Not in plan","Yes"))</f>
        <v/>
      </c>
      <c r="H1017" s="41" t="str">
        <f aca="false">IF(G1017="Yes",INDEX('Kitting Plan'!$D$6:$D$19,MATCH(B1017,'Kitting Plan'!$B$6:$B$19,0)),"")</f>
        <v/>
      </c>
      <c r="I1017" s="41" t="str">
        <f aca="false">IF(A1017="","",IF(ISNUMBER(SEARCH("PRT",E1017)),D1017,0))</f>
        <v/>
      </c>
      <c r="J1017" s="41" t="str">
        <f aca="false">IF(A1017="","",IF(ISNUMBER(SEARCH("GMPS",E1017)),D1017,0))</f>
        <v/>
      </c>
      <c r="K1017" s="41" t="str">
        <f aca="false">IF(A1017="","",IF(ISNUMBER(SEARCH("DLV",E1017)),D1017,0))</f>
        <v/>
      </c>
      <c r="L1017" s="41" t="str">
        <f aca="false">IF(A1017="","",IF(K1017&gt;0,"Delivered",IF(ISNUMBER(SEARCH("CNF",E1017)),"In production",IF(J1017&gt;0,"Issued",IF(I1017&gt;0,"Kitted","Released")))))</f>
        <v/>
      </c>
      <c r="M1017" s="41" t="str">
        <f aca="false">IF(G1017&lt;&gt;"Yes","",COUNTIFS($B$6:$B$1505,B1017,$F$6:$F$1505,"&lt;"&amp;F1017)+COUNTIFS($B$6:$B$1505,B1017,$F$6:$F$1505,F1017,$A$6:$A$1505,"&lt;="&amp;A1017))</f>
        <v/>
      </c>
      <c r="N1017" s="41" t="str">
        <f aca="false">IF(M1017="","",ROUNDUP(M1017/H1017,0))</f>
        <v/>
      </c>
      <c r="O1017" s="41" t="str">
        <f aca="false">IF(N1017="","",IF(N1017&lt;='Kitting Plan'!$C$3,"Rep "&amp;N1017,"Surplus"))</f>
        <v/>
      </c>
    </row>
    <row r="1018" customFormat="false" ht="15" hidden="false" customHeight="false" outlineLevel="0" collapsed="false">
      <c r="A1018" s="40" t="str">
        <f aca="false">IF(OR($A$4=0,INDEX('COOIS Raw'!$A:$GZ,ROW()-4,$A$4)=""),"",IFERROR(--INDEX('COOIS Raw'!$A:$GZ,ROW()-4,$A$4),INDEX('COOIS Raw'!$A:$GZ,ROW()-4,$A$4)))</f>
        <v/>
      </c>
      <c r="B1018" s="41" t="str">
        <f aca="false">IF(A1018="","",TRIM(INDEX('COOIS Raw'!$A:$GZ,ROW()-4,$B$4)))</f>
        <v/>
      </c>
      <c r="C1018" s="42" t="str">
        <f aca="false">IF(OR(A1018="",$C$4=0),"",INDEX('COOIS Raw'!$A:$GZ,ROW()-4,$C$4))</f>
        <v/>
      </c>
      <c r="D1018" s="41" t="str">
        <f aca="false">IF(A1018="","",IF($D$4=0,1,IFERROR(--INDEX('COOIS Raw'!$A:$GZ,ROW()-4,$D$4),1)))</f>
        <v/>
      </c>
      <c r="E1018" s="42" t="str">
        <f aca="false">IF(A1018="","",INDEX('COOIS Raw'!$A:$GZ,ROW()-4,$E$4)&amp;"")</f>
        <v/>
      </c>
      <c r="F1018" s="43" t="str">
        <f aca="false">IF(A1018="","",IFERROR(DATEVALUE(INDEX('COOIS Raw'!$A:$GZ,ROW()-4,$F$4)),INDEX('COOIS Raw'!$A:$GZ,ROW()-4,$F$4)))</f>
        <v/>
      </c>
      <c r="G1018" s="41" t="str">
        <f aca="false">IF(A1018="","",IF(ISNA(MATCH(B1018,'Kitting Plan'!$B$6:$B$19,0)),"Not in plan","Yes"))</f>
        <v/>
      </c>
      <c r="H1018" s="41" t="str">
        <f aca="false">IF(G1018="Yes",INDEX('Kitting Plan'!$D$6:$D$19,MATCH(B1018,'Kitting Plan'!$B$6:$B$19,0)),"")</f>
        <v/>
      </c>
      <c r="I1018" s="41" t="str">
        <f aca="false">IF(A1018="","",IF(ISNUMBER(SEARCH("PRT",E1018)),D1018,0))</f>
        <v/>
      </c>
      <c r="J1018" s="41" t="str">
        <f aca="false">IF(A1018="","",IF(ISNUMBER(SEARCH("GMPS",E1018)),D1018,0))</f>
        <v/>
      </c>
      <c r="K1018" s="41" t="str">
        <f aca="false">IF(A1018="","",IF(ISNUMBER(SEARCH("DLV",E1018)),D1018,0))</f>
        <v/>
      </c>
      <c r="L1018" s="41" t="str">
        <f aca="false">IF(A1018="","",IF(K1018&gt;0,"Delivered",IF(ISNUMBER(SEARCH("CNF",E1018)),"In production",IF(J1018&gt;0,"Issued",IF(I1018&gt;0,"Kitted","Released")))))</f>
        <v/>
      </c>
      <c r="M1018" s="41" t="str">
        <f aca="false">IF(G1018&lt;&gt;"Yes","",COUNTIFS($B$6:$B$1505,B1018,$F$6:$F$1505,"&lt;"&amp;F1018)+COUNTIFS($B$6:$B$1505,B1018,$F$6:$F$1505,F1018,$A$6:$A$1505,"&lt;="&amp;A1018))</f>
        <v/>
      </c>
      <c r="N1018" s="41" t="str">
        <f aca="false">IF(M1018="","",ROUNDUP(M1018/H1018,0))</f>
        <v/>
      </c>
      <c r="O1018" s="41" t="str">
        <f aca="false">IF(N1018="","",IF(N1018&lt;='Kitting Plan'!$C$3,"Rep "&amp;N1018,"Surplus"))</f>
        <v/>
      </c>
    </row>
    <row r="1019" customFormat="false" ht="15" hidden="false" customHeight="false" outlineLevel="0" collapsed="false">
      <c r="A1019" s="40" t="str">
        <f aca="false">IF(OR($A$4=0,INDEX('COOIS Raw'!$A:$GZ,ROW()-4,$A$4)=""),"",IFERROR(--INDEX('COOIS Raw'!$A:$GZ,ROW()-4,$A$4),INDEX('COOIS Raw'!$A:$GZ,ROW()-4,$A$4)))</f>
        <v/>
      </c>
      <c r="B1019" s="41" t="str">
        <f aca="false">IF(A1019="","",TRIM(INDEX('COOIS Raw'!$A:$GZ,ROW()-4,$B$4)))</f>
        <v/>
      </c>
      <c r="C1019" s="42" t="str">
        <f aca="false">IF(OR(A1019="",$C$4=0),"",INDEX('COOIS Raw'!$A:$GZ,ROW()-4,$C$4))</f>
        <v/>
      </c>
      <c r="D1019" s="41" t="str">
        <f aca="false">IF(A1019="","",IF($D$4=0,1,IFERROR(--INDEX('COOIS Raw'!$A:$GZ,ROW()-4,$D$4),1)))</f>
        <v/>
      </c>
      <c r="E1019" s="42" t="str">
        <f aca="false">IF(A1019="","",INDEX('COOIS Raw'!$A:$GZ,ROW()-4,$E$4)&amp;"")</f>
        <v/>
      </c>
      <c r="F1019" s="43" t="str">
        <f aca="false">IF(A1019="","",IFERROR(DATEVALUE(INDEX('COOIS Raw'!$A:$GZ,ROW()-4,$F$4)),INDEX('COOIS Raw'!$A:$GZ,ROW()-4,$F$4)))</f>
        <v/>
      </c>
      <c r="G1019" s="41" t="str">
        <f aca="false">IF(A1019="","",IF(ISNA(MATCH(B1019,'Kitting Plan'!$B$6:$B$19,0)),"Not in plan","Yes"))</f>
        <v/>
      </c>
      <c r="H1019" s="41" t="str">
        <f aca="false">IF(G1019="Yes",INDEX('Kitting Plan'!$D$6:$D$19,MATCH(B1019,'Kitting Plan'!$B$6:$B$19,0)),"")</f>
        <v/>
      </c>
      <c r="I1019" s="41" t="str">
        <f aca="false">IF(A1019="","",IF(ISNUMBER(SEARCH("PRT",E1019)),D1019,0))</f>
        <v/>
      </c>
      <c r="J1019" s="41" t="str">
        <f aca="false">IF(A1019="","",IF(ISNUMBER(SEARCH("GMPS",E1019)),D1019,0))</f>
        <v/>
      </c>
      <c r="K1019" s="41" t="str">
        <f aca="false">IF(A1019="","",IF(ISNUMBER(SEARCH("DLV",E1019)),D1019,0))</f>
        <v/>
      </c>
      <c r="L1019" s="41" t="str">
        <f aca="false">IF(A1019="","",IF(K1019&gt;0,"Delivered",IF(ISNUMBER(SEARCH("CNF",E1019)),"In production",IF(J1019&gt;0,"Issued",IF(I1019&gt;0,"Kitted","Released")))))</f>
        <v/>
      </c>
      <c r="M1019" s="41" t="str">
        <f aca="false">IF(G1019&lt;&gt;"Yes","",COUNTIFS($B$6:$B$1505,B1019,$F$6:$F$1505,"&lt;"&amp;F1019)+COUNTIFS($B$6:$B$1505,B1019,$F$6:$F$1505,F1019,$A$6:$A$1505,"&lt;="&amp;A1019))</f>
        <v/>
      </c>
      <c r="N1019" s="41" t="str">
        <f aca="false">IF(M1019="","",ROUNDUP(M1019/H1019,0))</f>
        <v/>
      </c>
      <c r="O1019" s="41" t="str">
        <f aca="false">IF(N1019="","",IF(N1019&lt;='Kitting Plan'!$C$3,"Rep "&amp;N1019,"Surplus"))</f>
        <v/>
      </c>
    </row>
    <row r="1020" customFormat="false" ht="15" hidden="false" customHeight="false" outlineLevel="0" collapsed="false">
      <c r="A1020" s="40" t="str">
        <f aca="false">IF(OR($A$4=0,INDEX('COOIS Raw'!$A:$GZ,ROW()-4,$A$4)=""),"",IFERROR(--INDEX('COOIS Raw'!$A:$GZ,ROW()-4,$A$4),INDEX('COOIS Raw'!$A:$GZ,ROW()-4,$A$4)))</f>
        <v/>
      </c>
      <c r="B1020" s="41" t="str">
        <f aca="false">IF(A1020="","",TRIM(INDEX('COOIS Raw'!$A:$GZ,ROW()-4,$B$4)))</f>
        <v/>
      </c>
      <c r="C1020" s="42" t="str">
        <f aca="false">IF(OR(A1020="",$C$4=0),"",INDEX('COOIS Raw'!$A:$GZ,ROW()-4,$C$4))</f>
        <v/>
      </c>
      <c r="D1020" s="41" t="str">
        <f aca="false">IF(A1020="","",IF($D$4=0,1,IFERROR(--INDEX('COOIS Raw'!$A:$GZ,ROW()-4,$D$4),1)))</f>
        <v/>
      </c>
      <c r="E1020" s="42" t="str">
        <f aca="false">IF(A1020="","",INDEX('COOIS Raw'!$A:$GZ,ROW()-4,$E$4)&amp;"")</f>
        <v/>
      </c>
      <c r="F1020" s="43" t="str">
        <f aca="false">IF(A1020="","",IFERROR(DATEVALUE(INDEX('COOIS Raw'!$A:$GZ,ROW()-4,$F$4)),INDEX('COOIS Raw'!$A:$GZ,ROW()-4,$F$4)))</f>
        <v/>
      </c>
      <c r="G1020" s="41" t="str">
        <f aca="false">IF(A1020="","",IF(ISNA(MATCH(B1020,'Kitting Plan'!$B$6:$B$19,0)),"Not in plan","Yes"))</f>
        <v/>
      </c>
      <c r="H1020" s="41" t="str">
        <f aca="false">IF(G1020="Yes",INDEX('Kitting Plan'!$D$6:$D$19,MATCH(B1020,'Kitting Plan'!$B$6:$B$19,0)),"")</f>
        <v/>
      </c>
      <c r="I1020" s="41" t="str">
        <f aca="false">IF(A1020="","",IF(ISNUMBER(SEARCH("PRT",E1020)),D1020,0))</f>
        <v/>
      </c>
      <c r="J1020" s="41" t="str">
        <f aca="false">IF(A1020="","",IF(ISNUMBER(SEARCH("GMPS",E1020)),D1020,0))</f>
        <v/>
      </c>
      <c r="K1020" s="41" t="str">
        <f aca="false">IF(A1020="","",IF(ISNUMBER(SEARCH("DLV",E1020)),D1020,0))</f>
        <v/>
      </c>
      <c r="L1020" s="41" t="str">
        <f aca="false">IF(A1020="","",IF(K1020&gt;0,"Delivered",IF(ISNUMBER(SEARCH("CNF",E1020)),"In production",IF(J1020&gt;0,"Issued",IF(I1020&gt;0,"Kitted","Released")))))</f>
        <v/>
      </c>
      <c r="M1020" s="41" t="str">
        <f aca="false">IF(G1020&lt;&gt;"Yes","",COUNTIFS($B$6:$B$1505,B1020,$F$6:$F$1505,"&lt;"&amp;F1020)+COUNTIFS($B$6:$B$1505,B1020,$F$6:$F$1505,F1020,$A$6:$A$1505,"&lt;="&amp;A1020))</f>
        <v/>
      </c>
      <c r="N1020" s="41" t="str">
        <f aca="false">IF(M1020="","",ROUNDUP(M1020/H1020,0))</f>
        <v/>
      </c>
      <c r="O1020" s="41" t="str">
        <f aca="false">IF(N1020="","",IF(N1020&lt;='Kitting Plan'!$C$3,"Rep "&amp;N1020,"Surplus"))</f>
        <v/>
      </c>
    </row>
    <row r="1021" customFormat="false" ht="15" hidden="false" customHeight="false" outlineLevel="0" collapsed="false">
      <c r="A1021" s="40" t="str">
        <f aca="false">IF(OR($A$4=0,INDEX('COOIS Raw'!$A:$GZ,ROW()-4,$A$4)=""),"",IFERROR(--INDEX('COOIS Raw'!$A:$GZ,ROW()-4,$A$4),INDEX('COOIS Raw'!$A:$GZ,ROW()-4,$A$4)))</f>
        <v/>
      </c>
      <c r="B1021" s="41" t="str">
        <f aca="false">IF(A1021="","",TRIM(INDEX('COOIS Raw'!$A:$GZ,ROW()-4,$B$4)))</f>
        <v/>
      </c>
      <c r="C1021" s="42" t="str">
        <f aca="false">IF(OR(A1021="",$C$4=0),"",INDEX('COOIS Raw'!$A:$GZ,ROW()-4,$C$4))</f>
        <v/>
      </c>
      <c r="D1021" s="41" t="str">
        <f aca="false">IF(A1021="","",IF($D$4=0,1,IFERROR(--INDEX('COOIS Raw'!$A:$GZ,ROW()-4,$D$4),1)))</f>
        <v/>
      </c>
      <c r="E1021" s="42" t="str">
        <f aca="false">IF(A1021="","",INDEX('COOIS Raw'!$A:$GZ,ROW()-4,$E$4)&amp;"")</f>
        <v/>
      </c>
      <c r="F1021" s="43" t="str">
        <f aca="false">IF(A1021="","",IFERROR(DATEVALUE(INDEX('COOIS Raw'!$A:$GZ,ROW()-4,$F$4)),INDEX('COOIS Raw'!$A:$GZ,ROW()-4,$F$4)))</f>
        <v/>
      </c>
      <c r="G1021" s="41" t="str">
        <f aca="false">IF(A1021="","",IF(ISNA(MATCH(B1021,'Kitting Plan'!$B$6:$B$19,0)),"Not in plan","Yes"))</f>
        <v/>
      </c>
      <c r="H1021" s="41" t="str">
        <f aca="false">IF(G1021="Yes",INDEX('Kitting Plan'!$D$6:$D$19,MATCH(B1021,'Kitting Plan'!$B$6:$B$19,0)),"")</f>
        <v/>
      </c>
      <c r="I1021" s="41" t="str">
        <f aca="false">IF(A1021="","",IF(ISNUMBER(SEARCH("PRT",E1021)),D1021,0))</f>
        <v/>
      </c>
      <c r="J1021" s="41" t="str">
        <f aca="false">IF(A1021="","",IF(ISNUMBER(SEARCH("GMPS",E1021)),D1021,0))</f>
        <v/>
      </c>
      <c r="K1021" s="41" t="str">
        <f aca="false">IF(A1021="","",IF(ISNUMBER(SEARCH("DLV",E1021)),D1021,0))</f>
        <v/>
      </c>
      <c r="L1021" s="41" t="str">
        <f aca="false">IF(A1021="","",IF(K1021&gt;0,"Delivered",IF(ISNUMBER(SEARCH("CNF",E1021)),"In production",IF(J1021&gt;0,"Issued",IF(I1021&gt;0,"Kitted","Released")))))</f>
        <v/>
      </c>
      <c r="M1021" s="41" t="str">
        <f aca="false">IF(G1021&lt;&gt;"Yes","",COUNTIFS($B$6:$B$1505,B1021,$F$6:$F$1505,"&lt;"&amp;F1021)+COUNTIFS($B$6:$B$1505,B1021,$F$6:$F$1505,F1021,$A$6:$A$1505,"&lt;="&amp;A1021))</f>
        <v/>
      </c>
      <c r="N1021" s="41" t="str">
        <f aca="false">IF(M1021="","",ROUNDUP(M1021/H1021,0))</f>
        <v/>
      </c>
      <c r="O1021" s="41" t="str">
        <f aca="false">IF(N1021="","",IF(N1021&lt;='Kitting Plan'!$C$3,"Rep "&amp;N1021,"Surplus"))</f>
        <v/>
      </c>
    </row>
    <row r="1022" customFormat="false" ht="15" hidden="false" customHeight="false" outlineLevel="0" collapsed="false">
      <c r="A1022" s="40" t="str">
        <f aca="false">IF(OR($A$4=0,INDEX('COOIS Raw'!$A:$GZ,ROW()-4,$A$4)=""),"",IFERROR(--INDEX('COOIS Raw'!$A:$GZ,ROW()-4,$A$4),INDEX('COOIS Raw'!$A:$GZ,ROW()-4,$A$4)))</f>
        <v/>
      </c>
      <c r="B1022" s="41" t="str">
        <f aca="false">IF(A1022="","",TRIM(INDEX('COOIS Raw'!$A:$GZ,ROW()-4,$B$4)))</f>
        <v/>
      </c>
      <c r="C1022" s="42" t="str">
        <f aca="false">IF(OR(A1022="",$C$4=0),"",INDEX('COOIS Raw'!$A:$GZ,ROW()-4,$C$4))</f>
        <v/>
      </c>
      <c r="D1022" s="41" t="str">
        <f aca="false">IF(A1022="","",IF($D$4=0,1,IFERROR(--INDEX('COOIS Raw'!$A:$GZ,ROW()-4,$D$4),1)))</f>
        <v/>
      </c>
      <c r="E1022" s="42" t="str">
        <f aca="false">IF(A1022="","",INDEX('COOIS Raw'!$A:$GZ,ROW()-4,$E$4)&amp;"")</f>
        <v/>
      </c>
      <c r="F1022" s="43" t="str">
        <f aca="false">IF(A1022="","",IFERROR(DATEVALUE(INDEX('COOIS Raw'!$A:$GZ,ROW()-4,$F$4)),INDEX('COOIS Raw'!$A:$GZ,ROW()-4,$F$4)))</f>
        <v/>
      </c>
      <c r="G1022" s="41" t="str">
        <f aca="false">IF(A1022="","",IF(ISNA(MATCH(B1022,'Kitting Plan'!$B$6:$B$19,0)),"Not in plan","Yes"))</f>
        <v/>
      </c>
      <c r="H1022" s="41" t="str">
        <f aca="false">IF(G1022="Yes",INDEX('Kitting Plan'!$D$6:$D$19,MATCH(B1022,'Kitting Plan'!$B$6:$B$19,0)),"")</f>
        <v/>
      </c>
      <c r="I1022" s="41" t="str">
        <f aca="false">IF(A1022="","",IF(ISNUMBER(SEARCH("PRT",E1022)),D1022,0))</f>
        <v/>
      </c>
      <c r="J1022" s="41" t="str">
        <f aca="false">IF(A1022="","",IF(ISNUMBER(SEARCH("GMPS",E1022)),D1022,0))</f>
        <v/>
      </c>
      <c r="K1022" s="41" t="str">
        <f aca="false">IF(A1022="","",IF(ISNUMBER(SEARCH("DLV",E1022)),D1022,0))</f>
        <v/>
      </c>
      <c r="L1022" s="41" t="str">
        <f aca="false">IF(A1022="","",IF(K1022&gt;0,"Delivered",IF(ISNUMBER(SEARCH("CNF",E1022)),"In production",IF(J1022&gt;0,"Issued",IF(I1022&gt;0,"Kitted","Released")))))</f>
        <v/>
      </c>
      <c r="M1022" s="41" t="str">
        <f aca="false">IF(G1022&lt;&gt;"Yes","",COUNTIFS($B$6:$B$1505,B1022,$F$6:$F$1505,"&lt;"&amp;F1022)+COUNTIFS($B$6:$B$1505,B1022,$F$6:$F$1505,F1022,$A$6:$A$1505,"&lt;="&amp;A1022))</f>
        <v/>
      </c>
      <c r="N1022" s="41" t="str">
        <f aca="false">IF(M1022="","",ROUNDUP(M1022/H1022,0))</f>
        <v/>
      </c>
      <c r="O1022" s="41" t="str">
        <f aca="false">IF(N1022="","",IF(N1022&lt;='Kitting Plan'!$C$3,"Rep "&amp;N1022,"Surplus"))</f>
        <v/>
      </c>
    </row>
    <row r="1023" customFormat="false" ht="15" hidden="false" customHeight="false" outlineLevel="0" collapsed="false">
      <c r="A1023" s="40" t="str">
        <f aca="false">IF(OR($A$4=0,INDEX('COOIS Raw'!$A:$GZ,ROW()-4,$A$4)=""),"",IFERROR(--INDEX('COOIS Raw'!$A:$GZ,ROW()-4,$A$4),INDEX('COOIS Raw'!$A:$GZ,ROW()-4,$A$4)))</f>
        <v/>
      </c>
      <c r="B1023" s="41" t="str">
        <f aca="false">IF(A1023="","",TRIM(INDEX('COOIS Raw'!$A:$GZ,ROW()-4,$B$4)))</f>
        <v/>
      </c>
      <c r="C1023" s="42" t="str">
        <f aca="false">IF(OR(A1023="",$C$4=0),"",INDEX('COOIS Raw'!$A:$GZ,ROW()-4,$C$4))</f>
        <v/>
      </c>
      <c r="D1023" s="41" t="str">
        <f aca="false">IF(A1023="","",IF($D$4=0,1,IFERROR(--INDEX('COOIS Raw'!$A:$GZ,ROW()-4,$D$4),1)))</f>
        <v/>
      </c>
      <c r="E1023" s="42" t="str">
        <f aca="false">IF(A1023="","",INDEX('COOIS Raw'!$A:$GZ,ROW()-4,$E$4)&amp;"")</f>
        <v/>
      </c>
      <c r="F1023" s="43" t="str">
        <f aca="false">IF(A1023="","",IFERROR(DATEVALUE(INDEX('COOIS Raw'!$A:$GZ,ROW()-4,$F$4)),INDEX('COOIS Raw'!$A:$GZ,ROW()-4,$F$4)))</f>
        <v/>
      </c>
      <c r="G1023" s="41" t="str">
        <f aca="false">IF(A1023="","",IF(ISNA(MATCH(B1023,'Kitting Plan'!$B$6:$B$19,0)),"Not in plan","Yes"))</f>
        <v/>
      </c>
      <c r="H1023" s="41" t="str">
        <f aca="false">IF(G1023="Yes",INDEX('Kitting Plan'!$D$6:$D$19,MATCH(B1023,'Kitting Plan'!$B$6:$B$19,0)),"")</f>
        <v/>
      </c>
      <c r="I1023" s="41" t="str">
        <f aca="false">IF(A1023="","",IF(ISNUMBER(SEARCH("PRT",E1023)),D1023,0))</f>
        <v/>
      </c>
      <c r="J1023" s="41" t="str">
        <f aca="false">IF(A1023="","",IF(ISNUMBER(SEARCH("GMPS",E1023)),D1023,0))</f>
        <v/>
      </c>
      <c r="K1023" s="41" t="str">
        <f aca="false">IF(A1023="","",IF(ISNUMBER(SEARCH("DLV",E1023)),D1023,0))</f>
        <v/>
      </c>
      <c r="L1023" s="41" t="str">
        <f aca="false">IF(A1023="","",IF(K1023&gt;0,"Delivered",IF(ISNUMBER(SEARCH("CNF",E1023)),"In production",IF(J1023&gt;0,"Issued",IF(I1023&gt;0,"Kitted","Released")))))</f>
        <v/>
      </c>
      <c r="M1023" s="41" t="str">
        <f aca="false">IF(G1023&lt;&gt;"Yes","",COUNTIFS($B$6:$B$1505,B1023,$F$6:$F$1505,"&lt;"&amp;F1023)+COUNTIFS($B$6:$B$1505,B1023,$F$6:$F$1505,F1023,$A$6:$A$1505,"&lt;="&amp;A1023))</f>
        <v/>
      </c>
      <c r="N1023" s="41" t="str">
        <f aca="false">IF(M1023="","",ROUNDUP(M1023/H1023,0))</f>
        <v/>
      </c>
      <c r="O1023" s="41" t="str">
        <f aca="false">IF(N1023="","",IF(N1023&lt;='Kitting Plan'!$C$3,"Rep "&amp;N1023,"Surplus"))</f>
        <v/>
      </c>
    </row>
    <row r="1024" customFormat="false" ht="15" hidden="false" customHeight="false" outlineLevel="0" collapsed="false">
      <c r="A1024" s="40" t="str">
        <f aca="false">IF(OR($A$4=0,INDEX('COOIS Raw'!$A:$GZ,ROW()-4,$A$4)=""),"",IFERROR(--INDEX('COOIS Raw'!$A:$GZ,ROW()-4,$A$4),INDEX('COOIS Raw'!$A:$GZ,ROW()-4,$A$4)))</f>
        <v/>
      </c>
      <c r="B1024" s="41" t="str">
        <f aca="false">IF(A1024="","",TRIM(INDEX('COOIS Raw'!$A:$GZ,ROW()-4,$B$4)))</f>
        <v/>
      </c>
      <c r="C1024" s="42" t="str">
        <f aca="false">IF(OR(A1024="",$C$4=0),"",INDEX('COOIS Raw'!$A:$GZ,ROW()-4,$C$4))</f>
        <v/>
      </c>
      <c r="D1024" s="41" t="str">
        <f aca="false">IF(A1024="","",IF($D$4=0,1,IFERROR(--INDEX('COOIS Raw'!$A:$GZ,ROW()-4,$D$4),1)))</f>
        <v/>
      </c>
      <c r="E1024" s="42" t="str">
        <f aca="false">IF(A1024="","",INDEX('COOIS Raw'!$A:$GZ,ROW()-4,$E$4)&amp;"")</f>
        <v/>
      </c>
      <c r="F1024" s="43" t="str">
        <f aca="false">IF(A1024="","",IFERROR(DATEVALUE(INDEX('COOIS Raw'!$A:$GZ,ROW()-4,$F$4)),INDEX('COOIS Raw'!$A:$GZ,ROW()-4,$F$4)))</f>
        <v/>
      </c>
      <c r="G1024" s="41" t="str">
        <f aca="false">IF(A1024="","",IF(ISNA(MATCH(B1024,'Kitting Plan'!$B$6:$B$19,0)),"Not in plan","Yes"))</f>
        <v/>
      </c>
      <c r="H1024" s="41" t="str">
        <f aca="false">IF(G1024="Yes",INDEX('Kitting Plan'!$D$6:$D$19,MATCH(B1024,'Kitting Plan'!$B$6:$B$19,0)),"")</f>
        <v/>
      </c>
      <c r="I1024" s="41" t="str">
        <f aca="false">IF(A1024="","",IF(ISNUMBER(SEARCH("PRT",E1024)),D1024,0))</f>
        <v/>
      </c>
      <c r="J1024" s="41" t="str">
        <f aca="false">IF(A1024="","",IF(ISNUMBER(SEARCH("GMPS",E1024)),D1024,0))</f>
        <v/>
      </c>
      <c r="K1024" s="41" t="str">
        <f aca="false">IF(A1024="","",IF(ISNUMBER(SEARCH("DLV",E1024)),D1024,0))</f>
        <v/>
      </c>
      <c r="L1024" s="41" t="str">
        <f aca="false">IF(A1024="","",IF(K1024&gt;0,"Delivered",IF(ISNUMBER(SEARCH("CNF",E1024)),"In production",IF(J1024&gt;0,"Issued",IF(I1024&gt;0,"Kitted","Released")))))</f>
        <v/>
      </c>
      <c r="M1024" s="41" t="str">
        <f aca="false">IF(G1024&lt;&gt;"Yes","",COUNTIFS($B$6:$B$1505,B1024,$F$6:$F$1505,"&lt;"&amp;F1024)+COUNTIFS($B$6:$B$1505,B1024,$F$6:$F$1505,F1024,$A$6:$A$1505,"&lt;="&amp;A1024))</f>
        <v/>
      </c>
      <c r="N1024" s="41" t="str">
        <f aca="false">IF(M1024="","",ROUNDUP(M1024/H1024,0))</f>
        <v/>
      </c>
      <c r="O1024" s="41" t="str">
        <f aca="false">IF(N1024="","",IF(N1024&lt;='Kitting Plan'!$C$3,"Rep "&amp;N1024,"Surplus"))</f>
        <v/>
      </c>
    </row>
    <row r="1025" customFormat="false" ht="15" hidden="false" customHeight="false" outlineLevel="0" collapsed="false">
      <c r="A1025" s="40" t="str">
        <f aca="false">IF(OR($A$4=0,INDEX('COOIS Raw'!$A:$GZ,ROW()-4,$A$4)=""),"",IFERROR(--INDEX('COOIS Raw'!$A:$GZ,ROW()-4,$A$4),INDEX('COOIS Raw'!$A:$GZ,ROW()-4,$A$4)))</f>
        <v/>
      </c>
      <c r="B1025" s="41" t="str">
        <f aca="false">IF(A1025="","",TRIM(INDEX('COOIS Raw'!$A:$GZ,ROW()-4,$B$4)))</f>
        <v/>
      </c>
      <c r="C1025" s="42" t="str">
        <f aca="false">IF(OR(A1025="",$C$4=0),"",INDEX('COOIS Raw'!$A:$GZ,ROW()-4,$C$4))</f>
        <v/>
      </c>
      <c r="D1025" s="41" t="str">
        <f aca="false">IF(A1025="","",IF($D$4=0,1,IFERROR(--INDEX('COOIS Raw'!$A:$GZ,ROW()-4,$D$4),1)))</f>
        <v/>
      </c>
      <c r="E1025" s="42" t="str">
        <f aca="false">IF(A1025="","",INDEX('COOIS Raw'!$A:$GZ,ROW()-4,$E$4)&amp;"")</f>
        <v/>
      </c>
      <c r="F1025" s="43" t="str">
        <f aca="false">IF(A1025="","",IFERROR(DATEVALUE(INDEX('COOIS Raw'!$A:$GZ,ROW()-4,$F$4)),INDEX('COOIS Raw'!$A:$GZ,ROW()-4,$F$4)))</f>
        <v/>
      </c>
      <c r="G1025" s="41" t="str">
        <f aca="false">IF(A1025="","",IF(ISNA(MATCH(B1025,'Kitting Plan'!$B$6:$B$19,0)),"Not in plan","Yes"))</f>
        <v/>
      </c>
      <c r="H1025" s="41" t="str">
        <f aca="false">IF(G1025="Yes",INDEX('Kitting Plan'!$D$6:$D$19,MATCH(B1025,'Kitting Plan'!$B$6:$B$19,0)),"")</f>
        <v/>
      </c>
      <c r="I1025" s="41" t="str">
        <f aca="false">IF(A1025="","",IF(ISNUMBER(SEARCH("PRT",E1025)),D1025,0))</f>
        <v/>
      </c>
      <c r="J1025" s="41" t="str">
        <f aca="false">IF(A1025="","",IF(ISNUMBER(SEARCH("GMPS",E1025)),D1025,0))</f>
        <v/>
      </c>
      <c r="K1025" s="41" t="str">
        <f aca="false">IF(A1025="","",IF(ISNUMBER(SEARCH("DLV",E1025)),D1025,0))</f>
        <v/>
      </c>
      <c r="L1025" s="41" t="str">
        <f aca="false">IF(A1025="","",IF(K1025&gt;0,"Delivered",IF(ISNUMBER(SEARCH("CNF",E1025)),"In production",IF(J1025&gt;0,"Issued",IF(I1025&gt;0,"Kitted","Released")))))</f>
        <v/>
      </c>
      <c r="M1025" s="41" t="str">
        <f aca="false">IF(G1025&lt;&gt;"Yes","",COUNTIFS($B$6:$B$1505,B1025,$F$6:$F$1505,"&lt;"&amp;F1025)+COUNTIFS($B$6:$B$1505,B1025,$F$6:$F$1505,F1025,$A$6:$A$1505,"&lt;="&amp;A1025))</f>
        <v/>
      </c>
      <c r="N1025" s="41" t="str">
        <f aca="false">IF(M1025="","",ROUNDUP(M1025/H1025,0))</f>
        <v/>
      </c>
      <c r="O1025" s="41" t="str">
        <f aca="false">IF(N1025="","",IF(N1025&lt;='Kitting Plan'!$C$3,"Rep "&amp;N1025,"Surplus"))</f>
        <v/>
      </c>
    </row>
    <row r="1026" customFormat="false" ht="15" hidden="false" customHeight="false" outlineLevel="0" collapsed="false">
      <c r="A1026" s="40" t="str">
        <f aca="false">IF(OR($A$4=0,INDEX('COOIS Raw'!$A:$GZ,ROW()-4,$A$4)=""),"",IFERROR(--INDEX('COOIS Raw'!$A:$GZ,ROW()-4,$A$4),INDEX('COOIS Raw'!$A:$GZ,ROW()-4,$A$4)))</f>
        <v/>
      </c>
      <c r="B1026" s="41" t="str">
        <f aca="false">IF(A1026="","",TRIM(INDEX('COOIS Raw'!$A:$GZ,ROW()-4,$B$4)))</f>
        <v/>
      </c>
      <c r="C1026" s="42" t="str">
        <f aca="false">IF(OR(A1026="",$C$4=0),"",INDEX('COOIS Raw'!$A:$GZ,ROW()-4,$C$4))</f>
        <v/>
      </c>
      <c r="D1026" s="41" t="str">
        <f aca="false">IF(A1026="","",IF($D$4=0,1,IFERROR(--INDEX('COOIS Raw'!$A:$GZ,ROW()-4,$D$4),1)))</f>
        <v/>
      </c>
      <c r="E1026" s="42" t="str">
        <f aca="false">IF(A1026="","",INDEX('COOIS Raw'!$A:$GZ,ROW()-4,$E$4)&amp;"")</f>
        <v/>
      </c>
      <c r="F1026" s="43" t="str">
        <f aca="false">IF(A1026="","",IFERROR(DATEVALUE(INDEX('COOIS Raw'!$A:$GZ,ROW()-4,$F$4)),INDEX('COOIS Raw'!$A:$GZ,ROW()-4,$F$4)))</f>
        <v/>
      </c>
      <c r="G1026" s="41" t="str">
        <f aca="false">IF(A1026="","",IF(ISNA(MATCH(B1026,'Kitting Plan'!$B$6:$B$19,0)),"Not in plan","Yes"))</f>
        <v/>
      </c>
      <c r="H1026" s="41" t="str">
        <f aca="false">IF(G1026="Yes",INDEX('Kitting Plan'!$D$6:$D$19,MATCH(B1026,'Kitting Plan'!$B$6:$B$19,0)),"")</f>
        <v/>
      </c>
      <c r="I1026" s="41" t="str">
        <f aca="false">IF(A1026="","",IF(ISNUMBER(SEARCH("PRT",E1026)),D1026,0))</f>
        <v/>
      </c>
      <c r="J1026" s="41" t="str">
        <f aca="false">IF(A1026="","",IF(ISNUMBER(SEARCH("GMPS",E1026)),D1026,0))</f>
        <v/>
      </c>
      <c r="K1026" s="41" t="str">
        <f aca="false">IF(A1026="","",IF(ISNUMBER(SEARCH("DLV",E1026)),D1026,0))</f>
        <v/>
      </c>
      <c r="L1026" s="41" t="str">
        <f aca="false">IF(A1026="","",IF(K1026&gt;0,"Delivered",IF(ISNUMBER(SEARCH("CNF",E1026)),"In production",IF(J1026&gt;0,"Issued",IF(I1026&gt;0,"Kitted","Released")))))</f>
        <v/>
      </c>
      <c r="M1026" s="41" t="str">
        <f aca="false">IF(G1026&lt;&gt;"Yes","",COUNTIFS($B$6:$B$1505,B1026,$F$6:$F$1505,"&lt;"&amp;F1026)+COUNTIFS($B$6:$B$1505,B1026,$F$6:$F$1505,F1026,$A$6:$A$1505,"&lt;="&amp;A1026))</f>
        <v/>
      </c>
      <c r="N1026" s="41" t="str">
        <f aca="false">IF(M1026="","",ROUNDUP(M1026/H1026,0))</f>
        <v/>
      </c>
      <c r="O1026" s="41" t="str">
        <f aca="false">IF(N1026="","",IF(N1026&lt;='Kitting Plan'!$C$3,"Rep "&amp;N1026,"Surplus"))</f>
        <v/>
      </c>
    </row>
    <row r="1027" customFormat="false" ht="15" hidden="false" customHeight="false" outlineLevel="0" collapsed="false">
      <c r="A1027" s="40" t="str">
        <f aca="false">IF(OR($A$4=0,INDEX('COOIS Raw'!$A:$GZ,ROW()-4,$A$4)=""),"",IFERROR(--INDEX('COOIS Raw'!$A:$GZ,ROW()-4,$A$4),INDEX('COOIS Raw'!$A:$GZ,ROW()-4,$A$4)))</f>
        <v/>
      </c>
      <c r="B1027" s="41" t="str">
        <f aca="false">IF(A1027="","",TRIM(INDEX('COOIS Raw'!$A:$GZ,ROW()-4,$B$4)))</f>
        <v/>
      </c>
      <c r="C1027" s="42" t="str">
        <f aca="false">IF(OR(A1027="",$C$4=0),"",INDEX('COOIS Raw'!$A:$GZ,ROW()-4,$C$4))</f>
        <v/>
      </c>
      <c r="D1027" s="41" t="str">
        <f aca="false">IF(A1027="","",IF($D$4=0,1,IFERROR(--INDEX('COOIS Raw'!$A:$GZ,ROW()-4,$D$4),1)))</f>
        <v/>
      </c>
      <c r="E1027" s="42" t="str">
        <f aca="false">IF(A1027="","",INDEX('COOIS Raw'!$A:$GZ,ROW()-4,$E$4)&amp;"")</f>
        <v/>
      </c>
      <c r="F1027" s="43" t="str">
        <f aca="false">IF(A1027="","",IFERROR(DATEVALUE(INDEX('COOIS Raw'!$A:$GZ,ROW()-4,$F$4)),INDEX('COOIS Raw'!$A:$GZ,ROW()-4,$F$4)))</f>
        <v/>
      </c>
      <c r="G1027" s="41" t="str">
        <f aca="false">IF(A1027="","",IF(ISNA(MATCH(B1027,'Kitting Plan'!$B$6:$B$19,0)),"Not in plan","Yes"))</f>
        <v/>
      </c>
      <c r="H1027" s="41" t="str">
        <f aca="false">IF(G1027="Yes",INDEX('Kitting Plan'!$D$6:$D$19,MATCH(B1027,'Kitting Plan'!$B$6:$B$19,0)),"")</f>
        <v/>
      </c>
      <c r="I1027" s="41" t="str">
        <f aca="false">IF(A1027="","",IF(ISNUMBER(SEARCH("PRT",E1027)),D1027,0))</f>
        <v/>
      </c>
      <c r="J1027" s="41" t="str">
        <f aca="false">IF(A1027="","",IF(ISNUMBER(SEARCH("GMPS",E1027)),D1027,0))</f>
        <v/>
      </c>
      <c r="K1027" s="41" t="str">
        <f aca="false">IF(A1027="","",IF(ISNUMBER(SEARCH("DLV",E1027)),D1027,0))</f>
        <v/>
      </c>
      <c r="L1027" s="41" t="str">
        <f aca="false">IF(A1027="","",IF(K1027&gt;0,"Delivered",IF(ISNUMBER(SEARCH("CNF",E1027)),"In production",IF(J1027&gt;0,"Issued",IF(I1027&gt;0,"Kitted","Released")))))</f>
        <v/>
      </c>
      <c r="M1027" s="41" t="str">
        <f aca="false">IF(G1027&lt;&gt;"Yes","",COUNTIFS($B$6:$B$1505,B1027,$F$6:$F$1505,"&lt;"&amp;F1027)+COUNTIFS($B$6:$B$1505,B1027,$F$6:$F$1505,F1027,$A$6:$A$1505,"&lt;="&amp;A1027))</f>
        <v/>
      </c>
      <c r="N1027" s="41" t="str">
        <f aca="false">IF(M1027="","",ROUNDUP(M1027/H1027,0))</f>
        <v/>
      </c>
      <c r="O1027" s="41" t="str">
        <f aca="false">IF(N1027="","",IF(N1027&lt;='Kitting Plan'!$C$3,"Rep "&amp;N1027,"Surplus"))</f>
        <v/>
      </c>
    </row>
    <row r="1028" customFormat="false" ht="15" hidden="false" customHeight="false" outlineLevel="0" collapsed="false">
      <c r="A1028" s="40" t="str">
        <f aca="false">IF(OR($A$4=0,INDEX('COOIS Raw'!$A:$GZ,ROW()-4,$A$4)=""),"",IFERROR(--INDEX('COOIS Raw'!$A:$GZ,ROW()-4,$A$4),INDEX('COOIS Raw'!$A:$GZ,ROW()-4,$A$4)))</f>
        <v/>
      </c>
      <c r="B1028" s="41" t="str">
        <f aca="false">IF(A1028="","",TRIM(INDEX('COOIS Raw'!$A:$GZ,ROW()-4,$B$4)))</f>
        <v/>
      </c>
      <c r="C1028" s="42" t="str">
        <f aca="false">IF(OR(A1028="",$C$4=0),"",INDEX('COOIS Raw'!$A:$GZ,ROW()-4,$C$4))</f>
        <v/>
      </c>
      <c r="D1028" s="41" t="str">
        <f aca="false">IF(A1028="","",IF($D$4=0,1,IFERROR(--INDEX('COOIS Raw'!$A:$GZ,ROW()-4,$D$4),1)))</f>
        <v/>
      </c>
      <c r="E1028" s="42" t="str">
        <f aca="false">IF(A1028="","",INDEX('COOIS Raw'!$A:$GZ,ROW()-4,$E$4)&amp;"")</f>
        <v/>
      </c>
      <c r="F1028" s="43" t="str">
        <f aca="false">IF(A1028="","",IFERROR(DATEVALUE(INDEX('COOIS Raw'!$A:$GZ,ROW()-4,$F$4)),INDEX('COOIS Raw'!$A:$GZ,ROW()-4,$F$4)))</f>
        <v/>
      </c>
      <c r="G1028" s="41" t="str">
        <f aca="false">IF(A1028="","",IF(ISNA(MATCH(B1028,'Kitting Plan'!$B$6:$B$19,0)),"Not in plan","Yes"))</f>
        <v/>
      </c>
      <c r="H1028" s="41" t="str">
        <f aca="false">IF(G1028="Yes",INDEX('Kitting Plan'!$D$6:$D$19,MATCH(B1028,'Kitting Plan'!$B$6:$B$19,0)),"")</f>
        <v/>
      </c>
      <c r="I1028" s="41" t="str">
        <f aca="false">IF(A1028="","",IF(ISNUMBER(SEARCH("PRT",E1028)),D1028,0))</f>
        <v/>
      </c>
      <c r="J1028" s="41" t="str">
        <f aca="false">IF(A1028="","",IF(ISNUMBER(SEARCH("GMPS",E1028)),D1028,0))</f>
        <v/>
      </c>
      <c r="K1028" s="41" t="str">
        <f aca="false">IF(A1028="","",IF(ISNUMBER(SEARCH("DLV",E1028)),D1028,0))</f>
        <v/>
      </c>
      <c r="L1028" s="41" t="str">
        <f aca="false">IF(A1028="","",IF(K1028&gt;0,"Delivered",IF(ISNUMBER(SEARCH("CNF",E1028)),"In production",IF(J1028&gt;0,"Issued",IF(I1028&gt;0,"Kitted","Released")))))</f>
        <v/>
      </c>
      <c r="M1028" s="41" t="str">
        <f aca="false">IF(G1028&lt;&gt;"Yes","",COUNTIFS($B$6:$B$1505,B1028,$F$6:$F$1505,"&lt;"&amp;F1028)+COUNTIFS($B$6:$B$1505,B1028,$F$6:$F$1505,F1028,$A$6:$A$1505,"&lt;="&amp;A1028))</f>
        <v/>
      </c>
      <c r="N1028" s="41" t="str">
        <f aca="false">IF(M1028="","",ROUNDUP(M1028/H1028,0))</f>
        <v/>
      </c>
      <c r="O1028" s="41" t="str">
        <f aca="false">IF(N1028="","",IF(N1028&lt;='Kitting Plan'!$C$3,"Rep "&amp;N1028,"Surplus"))</f>
        <v/>
      </c>
    </row>
    <row r="1029" customFormat="false" ht="15" hidden="false" customHeight="false" outlineLevel="0" collapsed="false">
      <c r="A1029" s="40" t="str">
        <f aca="false">IF(OR($A$4=0,INDEX('COOIS Raw'!$A:$GZ,ROW()-4,$A$4)=""),"",IFERROR(--INDEX('COOIS Raw'!$A:$GZ,ROW()-4,$A$4),INDEX('COOIS Raw'!$A:$GZ,ROW()-4,$A$4)))</f>
        <v/>
      </c>
      <c r="B1029" s="41" t="str">
        <f aca="false">IF(A1029="","",TRIM(INDEX('COOIS Raw'!$A:$GZ,ROW()-4,$B$4)))</f>
        <v/>
      </c>
      <c r="C1029" s="42" t="str">
        <f aca="false">IF(OR(A1029="",$C$4=0),"",INDEX('COOIS Raw'!$A:$GZ,ROW()-4,$C$4))</f>
        <v/>
      </c>
      <c r="D1029" s="41" t="str">
        <f aca="false">IF(A1029="","",IF($D$4=0,1,IFERROR(--INDEX('COOIS Raw'!$A:$GZ,ROW()-4,$D$4),1)))</f>
        <v/>
      </c>
      <c r="E1029" s="42" t="str">
        <f aca="false">IF(A1029="","",INDEX('COOIS Raw'!$A:$GZ,ROW()-4,$E$4)&amp;"")</f>
        <v/>
      </c>
      <c r="F1029" s="43" t="str">
        <f aca="false">IF(A1029="","",IFERROR(DATEVALUE(INDEX('COOIS Raw'!$A:$GZ,ROW()-4,$F$4)),INDEX('COOIS Raw'!$A:$GZ,ROW()-4,$F$4)))</f>
        <v/>
      </c>
      <c r="G1029" s="41" t="str">
        <f aca="false">IF(A1029="","",IF(ISNA(MATCH(B1029,'Kitting Plan'!$B$6:$B$19,0)),"Not in plan","Yes"))</f>
        <v/>
      </c>
      <c r="H1029" s="41" t="str">
        <f aca="false">IF(G1029="Yes",INDEX('Kitting Plan'!$D$6:$D$19,MATCH(B1029,'Kitting Plan'!$B$6:$B$19,0)),"")</f>
        <v/>
      </c>
      <c r="I1029" s="41" t="str">
        <f aca="false">IF(A1029="","",IF(ISNUMBER(SEARCH("PRT",E1029)),D1029,0))</f>
        <v/>
      </c>
      <c r="J1029" s="41" t="str">
        <f aca="false">IF(A1029="","",IF(ISNUMBER(SEARCH("GMPS",E1029)),D1029,0))</f>
        <v/>
      </c>
      <c r="K1029" s="41" t="str">
        <f aca="false">IF(A1029="","",IF(ISNUMBER(SEARCH("DLV",E1029)),D1029,0))</f>
        <v/>
      </c>
      <c r="L1029" s="41" t="str">
        <f aca="false">IF(A1029="","",IF(K1029&gt;0,"Delivered",IF(ISNUMBER(SEARCH("CNF",E1029)),"In production",IF(J1029&gt;0,"Issued",IF(I1029&gt;0,"Kitted","Released")))))</f>
        <v/>
      </c>
      <c r="M1029" s="41" t="str">
        <f aca="false">IF(G1029&lt;&gt;"Yes","",COUNTIFS($B$6:$B$1505,B1029,$F$6:$F$1505,"&lt;"&amp;F1029)+COUNTIFS($B$6:$B$1505,B1029,$F$6:$F$1505,F1029,$A$6:$A$1505,"&lt;="&amp;A1029))</f>
        <v/>
      </c>
      <c r="N1029" s="41" t="str">
        <f aca="false">IF(M1029="","",ROUNDUP(M1029/H1029,0))</f>
        <v/>
      </c>
      <c r="O1029" s="41" t="str">
        <f aca="false">IF(N1029="","",IF(N1029&lt;='Kitting Plan'!$C$3,"Rep "&amp;N1029,"Surplus"))</f>
        <v/>
      </c>
    </row>
    <row r="1030" customFormat="false" ht="15" hidden="false" customHeight="false" outlineLevel="0" collapsed="false">
      <c r="A1030" s="40" t="str">
        <f aca="false">IF(OR($A$4=0,INDEX('COOIS Raw'!$A:$GZ,ROW()-4,$A$4)=""),"",IFERROR(--INDEX('COOIS Raw'!$A:$GZ,ROW()-4,$A$4),INDEX('COOIS Raw'!$A:$GZ,ROW()-4,$A$4)))</f>
        <v/>
      </c>
      <c r="B1030" s="41" t="str">
        <f aca="false">IF(A1030="","",TRIM(INDEX('COOIS Raw'!$A:$GZ,ROW()-4,$B$4)))</f>
        <v/>
      </c>
      <c r="C1030" s="42" t="str">
        <f aca="false">IF(OR(A1030="",$C$4=0),"",INDEX('COOIS Raw'!$A:$GZ,ROW()-4,$C$4))</f>
        <v/>
      </c>
      <c r="D1030" s="41" t="str">
        <f aca="false">IF(A1030="","",IF($D$4=0,1,IFERROR(--INDEX('COOIS Raw'!$A:$GZ,ROW()-4,$D$4),1)))</f>
        <v/>
      </c>
      <c r="E1030" s="42" t="str">
        <f aca="false">IF(A1030="","",INDEX('COOIS Raw'!$A:$GZ,ROW()-4,$E$4)&amp;"")</f>
        <v/>
      </c>
      <c r="F1030" s="43" t="str">
        <f aca="false">IF(A1030="","",IFERROR(DATEVALUE(INDEX('COOIS Raw'!$A:$GZ,ROW()-4,$F$4)),INDEX('COOIS Raw'!$A:$GZ,ROW()-4,$F$4)))</f>
        <v/>
      </c>
      <c r="G1030" s="41" t="str">
        <f aca="false">IF(A1030="","",IF(ISNA(MATCH(B1030,'Kitting Plan'!$B$6:$B$19,0)),"Not in plan","Yes"))</f>
        <v/>
      </c>
      <c r="H1030" s="41" t="str">
        <f aca="false">IF(G1030="Yes",INDEX('Kitting Plan'!$D$6:$D$19,MATCH(B1030,'Kitting Plan'!$B$6:$B$19,0)),"")</f>
        <v/>
      </c>
      <c r="I1030" s="41" t="str">
        <f aca="false">IF(A1030="","",IF(ISNUMBER(SEARCH("PRT",E1030)),D1030,0))</f>
        <v/>
      </c>
      <c r="J1030" s="41" t="str">
        <f aca="false">IF(A1030="","",IF(ISNUMBER(SEARCH("GMPS",E1030)),D1030,0))</f>
        <v/>
      </c>
      <c r="K1030" s="41" t="str">
        <f aca="false">IF(A1030="","",IF(ISNUMBER(SEARCH("DLV",E1030)),D1030,0))</f>
        <v/>
      </c>
      <c r="L1030" s="41" t="str">
        <f aca="false">IF(A1030="","",IF(K1030&gt;0,"Delivered",IF(ISNUMBER(SEARCH("CNF",E1030)),"In production",IF(J1030&gt;0,"Issued",IF(I1030&gt;0,"Kitted","Released")))))</f>
        <v/>
      </c>
      <c r="M1030" s="41" t="str">
        <f aca="false">IF(G1030&lt;&gt;"Yes","",COUNTIFS($B$6:$B$1505,B1030,$F$6:$F$1505,"&lt;"&amp;F1030)+COUNTIFS($B$6:$B$1505,B1030,$F$6:$F$1505,F1030,$A$6:$A$1505,"&lt;="&amp;A1030))</f>
        <v/>
      </c>
      <c r="N1030" s="41" t="str">
        <f aca="false">IF(M1030="","",ROUNDUP(M1030/H1030,0))</f>
        <v/>
      </c>
      <c r="O1030" s="41" t="str">
        <f aca="false">IF(N1030="","",IF(N1030&lt;='Kitting Plan'!$C$3,"Rep "&amp;N1030,"Surplus"))</f>
        <v/>
      </c>
    </row>
    <row r="1031" customFormat="false" ht="15" hidden="false" customHeight="false" outlineLevel="0" collapsed="false">
      <c r="A1031" s="40" t="str">
        <f aca="false">IF(OR($A$4=0,INDEX('COOIS Raw'!$A:$GZ,ROW()-4,$A$4)=""),"",IFERROR(--INDEX('COOIS Raw'!$A:$GZ,ROW()-4,$A$4),INDEX('COOIS Raw'!$A:$GZ,ROW()-4,$A$4)))</f>
        <v/>
      </c>
      <c r="B1031" s="41" t="str">
        <f aca="false">IF(A1031="","",TRIM(INDEX('COOIS Raw'!$A:$GZ,ROW()-4,$B$4)))</f>
        <v/>
      </c>
      <c r="C1031" s="42" t="str">
        <f aca="false">IF(OR(A1031="",$C$4=0),"",INDEX('COOIS Raw'!$A:$GZ,ROW()-4,$C$4))</f>
        <v/>
      </c>
      <c r="D1031" s="41" t="str">
        <f aca="false">IF(A1031="","",IF($D$4=0,1,IFERROR(--INDEX('COOIS Raw'!$A:$GZ,ROW()-4,$D$4),1)))</f>
        <v/>
      </c>
      <c r="E1031" s="42" t="str">
        <f aca="false">IF(A1031="","",INDEX('COOIS Raw'!$A:$GZ,ROW()-4,$E$4)&amp;"")</f>
        <v/>
      </c>
      <c r="F1031" s="43" t="str">
        <f aca="false">IF(A1031="","",IFERROR(DATEVALUE(INDEX('COOIS Raw'!$A:$GZ,ROW()-4,$F$4)),INDEX('COOIS Raw'!$A:$GZ,ROW()-4,$F$4)))</f>
        <v/>
      </c>
      <c r="G1031" s="41" t="str">
        <f aca="false">IF(A1031="","",IF(ISNA(MATCH(B1031,'Kitting Plan'!$B$6:$B$19,0)),"Not in plan","Yes"))</f>
        <v/>
      </c>
      <c r="H1031" s="41" t="str">
        <f aca="false">IF(G1031="Yes",INDEX('Kitting Plan'!$D$6:$D$19,MATCH(B1031,'Kitting Plan'!$B$6:$B$19,0)),"")</f>
        <v/>
      </c>
      <c r="I1031" s="41" t="str">
        <f aca="false">IF(A1031="","",IF(ISNUMBER(SEARCH("PRT",E1031)),D1031,0))</f>
        <v/>
      </c>
      <c r="J1031" s="41" t="str">
        <f aca="false">IF(A1031="","",IF(ISNUMBER(SEARCH("GMPS",E1031)),D1031,0))</f>
        <v/>
      </c>
      <c r="K1031" s="41" t="str">
        <f aca="false">IF(A1031="","",IF(ISNUMBER(SEARCH("DLV",E1031)),D1031,0))</f>
        <v/>
      </c>
      <c r="L1031" s="41" t="str">
        <f aca="false">IF(A1031="","",IF(K1031&gt;0,"Delivered",IF(ISNUMBER(SEARCH("CNF",E1031)),"In production",IF(J1031&gt;0,"Issued",IF(I1031&gt;0,"Kitted","Released")))))</f>
        <v/>
      </c>
      <c r="M1031" s="41" t="str">
        <f aca="false">IF(G1031&lt;&gt;"Yes","",COUNTIFS($B$6:$B$1505,B1031,$F$6:$F$1505,"&lt;"&amp;F1031)+COUNTIFS($B$6:$B$1505,B1031,$F$6:$F$1505,F1031,$A$6:$A$1505,"&lt;="&amp;A1031))</f>
        <v/>
      </c>
      <c r="N1031" s="41" t="str">
        <f aca="false">IF(M1031="","",ROUNDUP(M1031/H1031,0))</f>
        <v/>
      </c>
      <c r="O1031" s="41" t="str">
        <f aca="false">IF(N1031="","",IF(N1031&lt;='Kitting Plan'!$C$3,"Rep "&amp;N1031,"Surplus"))</f>
        <v/>
      </c>
    </row>
    <row r="1032" customFormat="false" ht="15" hidden="false" customHeight="false" outlineLevel="0" collapsed="false">
      <c r="A1032" s="40" t="str">
        <f aca="false">IF(OR($A$4=0,INDEX('COOIS Raw'!$A:$GZ,ROW()-4,$A$4)=""),"",IFERROR(--INDEX('COOIS Raw'!$A:$GZ,ROW()-4,$A$4),INDEX('COOIS Raw'!$A:$GZ,ROW()-4,$A$4)))</f>
        <v/>
      </c>
      <c r="B1032" s="41" t="str">
        <f aca="false">IF(A1032="","",TRIM(INDEX('COOIS Raw'!$A:$GZ,ROW()-4,$B$4)))</f>
        <v/>
      </c>
      <c r="C1032" s="42" t="str">
        <f aca="false">IF(OR(A1032="",$C$4=0),"",INDEX('COOIS Raw'!$A:$GZ,ROW()-4,$C$4))</f>
        <v/>
      </c>
      <c r="D1032" s="41" t="str">
        <f aca="false">IF(A1032="","",IF($D$4=0,1,IFERROR(--INDEX('COOIS Raw'!$A:$GZ,ROW()-4,$D$4),1)))</f>
        <v/>
      </c>
      <c r="E1032" s="42" t="str">
        <f aca="false">IF(A1032="","",INDEX('COOIS Raw'!$A:$GZ,ROW()-4,$E$4)&amp;"")</f>
        <v/>
      </c>
      <c r="F1032" s="43" t="str">
        <f aca="false">IF(A1032="","",IFERROR(DATEVALUE(INDEX('COOIS Raw'!$A:$GZ,ROW()-4,$F$4)),INDEX('COOIS Raw'!$A:$GZ,ROW()-4,$F$4)))</f>
        <v/>
      </c>
      <c r="G1032" s="41" t="str">
        <f aca="false">IF(A1032="","",IF(ISNA(MATCH(B1032,'Kitting Plan'!$B$6:$B$19,0)),"Not in plan","Yes"))</f>
        <v/>
      </c>
      <c r="H1032" s="41" t="str">
        <f aca="false">IF(G1032="Yes",INDEX('Kitting Plan'!$D$6:$D$19,MATCH(B1032,'Kitting Plan'!$B$6:$B$19,0)),"")</f>
        <v/>
      </c>
      <c r="I1032" s="41" t="str">
        <f aca="false">IF(A1032="","",IF(ISNUMBER(SEARCH("PRT",E1032)),D1032,0))</f>
        <v/>
      </c>
      <c r="J1032" s="41" t="str">
        <f aca="false">IF(A1032="","",IF(ISNUMBER(SEARCH("GMPS",E1032)),D1032,0))</f>
        <v/>
      </c>
      <c r="K1032" s="41" t="str">
        <f aca="false">IF(A1032="","",IF(ISNUMBER(SEARCH("DLV",E1032)),D1032,0))</f>
        <v/>
      </c>
      <c r="L1032" s="41" t="str">
        <f aca="false">IF(A1032="","",IF(K1032&gt;0,"Delivered",IF(ISNUMBER(SEARCH("CNF",E1032)),"In production",IF(J1032&gt;0,"Issued",IF(I1032&gt;0,"Kitted","Released")))))</f>
        <v/>
      </c>
      <c r="M1032" s="41" t="str">
        <f aca="false">IF(G1032&lt;&gt;"Yes","",COUNTIFS($B$6:$B$1505,B1032,$F$6:$F$1505,"&lt;"&amp;F1032)+COUNTIFS($B$6:$B$1505,B1032,$F$6:$F$1505,F1032,$A$6:$A$1505,"&lt;="&amp;A1032))</f>
        <v/>
      </c>
      <c r="N1032" s="41" t="str">
        <f aca="false">IF(M1032="","",ROUNDUP(M1032/H1032,0))</f>
        <v/>
      </c>
      <c r="O1032" s="41" t="str">
        <f aca="false">IF(N1032="","",IF(N1032&lt;='Kitting Plan'!$C$3,"Rep "&amp;N1032,"Surplus"))</f>
        <v/>
      </c>
    </row>
    <row r="1033" customFormat="false" ht="15" hidden="false" customHeight="false" outlineLevel="0" collapsed="false">
      <c r="A1033" s="40" t="str">
        <f aca="false">IF(OR($A$4=0,INDEX('COOIS Raw'!$A:$GZ,ROW()-4,$A$4)=""),"",IFERROR(--INDEX('COOIS Raw'!$A:$GZ,ROW()-4,$A$4),INDEX('COOIS Raw'!$A:$GZ,ROW()-4,$A$4)))</f>
        <v/>
      </c>
      <c r="B1033" s="41" t="str">
        <f aca="false">IF(A1033="","",TRIM(INDEX('COOIS Raw'!$A:$GZ,ROW()-4,$B$4)))</f>
        <v/>
      </c>
      <c r="C1033" s="42" t="str">
        <f aca="false">IF(OR(A1033="",$C$4=0),"",INDEX('COOIS Raw'!$A:$GZ,ROW()-4,$C$4))</f>
        <v/>
      </c>
      <c r="D1033" s="41" t="str">
        <f aca="false">IF(A1033="","",IF($D$4=0,1,IFERROR(--INDEX('COOIS Raw'!$A:$GZ,ROW()-4,$D$4),1)))</f>
        <v/>
      </c>
      <c r="E1033" s="42" t="str">
        <f aca="false">IF(A1033="","",INDEX('COOIS Raw'!$A:$GZ,ROW()-4,$E$4)&amp;"")</f>
        <v/>
      </c>
      <c r="F1033" s="43" t="str">
        <f aca="false">IF(A1033="","",IFERROR(DATEVALUE(INDEX('COOIS Raw'!$A:$GZ,ROW()-4,$F$4)),INDEX('COOIS Raw'!$A:$GZ,ROW()-4,$F$4)))</f>
        <v/>
      </c>
      <c r="G1033" s="41" t="str">
        <f aca="false">IF(A1033="","",IF(ISNA(MATCH(B1033,'Kitting Plan'!$B$6:$B$19,0)),"Not in plan","Yes"))</f>
        <v/>
      </c>
      <c r="H1033" s="41" t="str">
        <f aca="false">IF(G1033="Yes",INDEX('Kitting Plan'!$D$6:$D$19,MATCH(B1033,'Kitting Plan'!$B$6:$B$19,0)),"")</f>
        <v/>
      </c>
      <c r="I1033" s="41" t="str">
        <f aca="false">IF(A1033="","",IF(ISNUMBER(SEARCH("PRT",E1033)),D1033,0))</f>
        <v/>
      </c>
      <c r="J1033" s="41" t="str">
        <f aca="false">IF(A1033="","",IF(ISNUMBER(SEARCH("GMPS",E1033)),D1033,0))</f>
        <v/>
      </c>
      <c r="K1033" s="41" t="str">
        <f aca="false">IF(A1033="","",IF(ISNUMBER(SEARCH("DLV",E1033)),D1033,0))</f>
        <v/>
      </c>
      <c r="L1033" s="41" t="str">
        <f aca="false">IF(A1033="","",IF(K1033&gt;0,"Delivered",IF(ISNUMBER(SEARCH("CNF",E1033)),"In production",IF(J1033&gt;0,"Issued",IF(I1033&gt;0,"Kitted","Released")))))</f>
        <v/>
      </c>
      <c r="M1033" s="41" t="str">
        <f aca="false">IF(G1033&lt;&gt;"Yes","",COUNTIFS($B$6:$B$1505,B1033,$F$6:$F$1505,"&lt;"&amp;F1033)+COUNTIFS($B$6:$B$1505,B1033,$F$6:$F$1505,F1033,$A$6:$A$1505,"&lt;="&amp;A1033))</f>
        <v/>
      </c>
      <c r="N1033" s="41" t="str">
        <f aca="false">IF(M1033="","",ROUNDUP(M1033/H1033,0))</f>
        <v/>
      </c>
      <c r="O1033" s="41" t="str">
        <f aca="false">IF(N1033="","",IF(N1033&lt;='Kitting Plan'!$C$3,"Rep "&amp;N1033,"Surplus"))</f>
        <v/>
      </c>
    </row>
    <row r="1034" customFormat="false" ht="15" hidden="false" customHeight="false" outlineLevel="0" collapsed="false">
      <c r="A1034" s="40" t="str">
        <f aca="false">IF(OR($A$4=0,INDEX('COOIS Raw'!$A:$GZ,ROW()-4,$A$4)=""),"",IFERROR(--INDEX('COOIS Raw'!$A:$GZ,ROW()-4,$A$4),INDEX('COOIS Raw'!$A:$GZ,ROW()-4,$A$4)))</f>
        <v/>
      </c>
      <c r="B1034" s="41" t="str">
        <f aca="false">IF(A1034="","",TRIM(INDEX('COOIS Raw'!$A:$GZ,ROW()-4,$B$4)))</f>
        <v/>
      </c>
      <c r="C1034" s="42" t="str">
        <f aca="false">IF(OR(A1034="",$C$4=0),"",INDEX('COOIS Raw'!$A:$GZ,ROW()-4,$C$4))</f>
        <v/>
      </c>
      <c r="D1034" s="41" t="str">
        <f aca="false">IF(A1034="","",IF($D$4=0,1,IFERROR(--INDEX('COOIS Raw'!$A:$GZ,ROW()-4,$D$4),1)))</f>
        <v/>
      </c>
      <c r="E1034" s="42" t="str">
        <f aca="false">IF(A1034="","",INDEX('COOIS Raw'!$A:$GZ,ROW()-4,$E$4)&amp;"")</f>
        <v/>
      </c>
      <c r="F1034" s="43" t="str">
        <f aca="false">IF(A1034="","",IFERROR(DATEVALUE(INDEX('COOIS Raw'!$A:$GZ,ROW()-4,$F$4)),INDEX('COOIS Raw'!$A:$GZ,ROW()-4,$F$4)))</f>
        <v/>
      </c>
      <c r="G1034" s="41" t="str">
        <f aca="false">IF(A1034="","",IF(ISNA(MATCH(B1034,'Kitting Plan'!$B$6:$B$19,0)),"Not in plan","Yes"))</f>
        <v/>
      </c>
      <c r="H1034" s="41" t="str">
        <f aca="false">IF(G1034="Yes",INDEX('Kitting Plan'!$D$6:$D$19,MATCH(B1034,'Kitting Plan'!$B$6:$B$19,0)),"")</f>
        <v/>
      </c>
      <c r="I1034" s="41" t="str">
        <f aca="false">IF(A1034="","",IF(ISNUMBER(SEARCH("PRT",E1034)),D1034,0))</f>
        <v/>
      </c>
      <c r="J1034" s="41" t="str">
        <f aca="false">IF(A1034="","",IF(ISNUMBER(SEARCH("GMPS",E1034)),D1034,0))</f>
        <v/>
      </c>
      <c r="K1034" s="41" t="str">
        <f aca="false">IF(A1034="","",IF(ISNUMBER(SEARCH("DLV",E1034)),D1034,0))</f>
        <v/>
      </c>
      <c r="L1034" s="41" t="str">
        <f aca="false">IF(A1034="","",IF(K1034&gt;0,"Delivered",IF(ISNUMBER(SEARCH("CNF",E1034)),"In production",IF(J1034&gt;0,"Issued",IF(I1034&gt;0,"Kitted","Released")))))</f>
        <v/>
      </c>
      <c r="M1034" s="41" t="str">
        <f aca="false">IF(G1034&lt;&gt;"Yes","",COUNTIFS($B$6:$B$1505,B1034,$F$6:$F$1505,"&lt;"&amp;F1034)+COUNTIFS($B$6:$B$1505,B1034,$F$6:$F$1505,F1034,$A$6:$A$1505,"&lt;="&amp;A1034))</f>
        <v/>
      </c>
      <c r="N1034" s="41" t="str">
        <f aca="false">IF(M1034="","",ROUNDUP(M1034/H1034,0))</f>
        <v/>
      </c>
      <c r="O1034" s="41" t="str">
        <f aca="false">IF(N1034="","",IF(N1034&lt;='Kitting Plan'!$C$3,"Rep "&amp;N1034,"Surplus"))</f>
        <v/>
      </c>
    </row>
    <row r="1035" customFormat="false" ht="15" hidden="false" customHeight="false" outlineLevel="0" collapsed="false">
      <c r="A1035" s="40" t="str">
        <f aca="false">IF(OR($A$4=0,INDEX('COOIS Raw'!$A:$GZ,ROW()-4,$A$4)=""),"",IFERROR(--INDEX('COOIS Raw'!$A:$GZ,ROW()-4,$A$4),INDEX('COOIS Raw'!$A:$GZ,ROW()-4,$A$4)))</f>
        <v/>
      </c>
      <c r="B1035" s="41" t="str">
        <f aca="false">IF(A1035="","",TRIM(INDEX('COOIS Raw'!$A:$GZ,ROW()-4,$B$4)))</f>
        <v/>
      </c>
      <c r="C1035" s="42" t="str">
        <f aca="false">IF(OR(A1035="",$C$4=0),"",INDEX('COOIS Raw'!$A:$GZ,ROW()-4,$C$4))</f>
        <v/>
      </c>
      <c r="D1035" s="41" t="str">
        <f aca="false">IF(A1035="","",IF($D$4=0,1,IFERROR(--INDEX('COOIS Raw'!$A:$GZ,ROW()-4,$D$4),1)))</f>
        <v/>
      </c>
      <c r="E1035" s="42" t="str">
        <f aca="false">IF(A1035="","",INDEX('COOIS Raw'!$A:$GZ,ROW()-4,$E$4)&amp;"")</f>
        <v/>
      </c>
      <c r="F1035" s="43" t="str">
        <f aca="false">IF(A1035="","",IFERROR(DATEVALUE(INDEX('COOIS Raw'!$A:$GZ,ROW()-4,$F$4)),INDEX('COOIS Raw'!$A:$GZ,ROW()-4,$F$4)))</f>
        <v/>
      </c>
      <c r="G1035" s="41" t="str">
        <f aca="false">IF(A1035="","",IF(ISNA(MATCH(B1035,'Kitting Plan'!$B$6:$B$19,0)),"Not in plan","Yes"))</f>
        <v/>
      </c>
      <c r="H1035" s="41" t="str">
        <f aca="false">IF(G1035="Yes",INDEX('Kitting Plan'!$D$6:$D$19,MATCH(B1035,'Kitting Plan'!$B$6:$B$19,0)),"")</f>
        <v/>
      </c>
      <c r="I1035" s="41" t="str">
        <f aca="false">IF(A1035="","",IF(ISNUMBER(SEARCH("PRT",E1035)),D1035,0))</f>
        <v/>
      </c>
      <c r="J1035" s="41" t="str">
        <f aca="false">IF(A1035="","",IF(ISNUMBER(SEARCH("GMPS",E1035)),D1035,0))</f>
        <v/>
      </c>
      <c r="K1035" s="41" t="str">
        <f aca="false">IF(A1035="","",IF(ISNUMBER(SEARCH("DLV",E1035)),D1035,0))</f>
        <v/>
      </c>
      <c r="L1035" s="41" t="str">
        <f aca="false">IF(A1035="","",IF(K1035&gt;0,"Delivered",IF(ISNUMBER(SEARCH("CNF",E1035)),"In production",IF(J1035&gt;0,"Issued",IF(I1035&gt;0,"Kitted","Released")))))</f>
        <v/>
      </c>
      <c r="M1035" s="41" t="str">
        <f aca="false">IF(G1035&lt;&gt;"Yes","",COUNTIFS($B$6:$B$1505,B1035,$F$6:$F$1505,"&lt;"&amp;F1035)+COUNTIFS($B$6:$B$1505,B1035,$F$6:$F$1505,F1035,$A$6:$A$1505,"&lt;="&amp;A1035))</f>
        <v/>
      </c>
      <c r="N1035" s="41" t="str">
        <f aca="false">IF(M1035="","",ROUNDUP(M1035/H1035,0))</f>
        <v/>
      </c>
      <c r="O1035" s="41" t="str">
        <f aca="false">IF(N1035="","",IF(N1035&lt;='Kitting Plan'!$C$3,"Rep "&amp;N1035,"Surplus"))</f>
        <v/>
      </c>
    </row>
    <row r="1036" customFormat="false" ht="15" hidden="false" customHeight="false" outlineLevel="0" collapsed="false">
      <c r="A1036" s="40" t="str">
        <f aca="false">IF(OR($A$4=0,INDEX('COOIS Raw'!$A:$GZ,ROW()-4,$A$4)=""),"",IFERROR(--INDEX('COOIS Raw'!$A:$GZ,ROW()-4,$A$4),INDEX('COOIS Raw'!$A:$GZ,ROW()-4,$A$4)))</f>
        <v/>
      </c>
      <c r="B1036" s="41" t="str">
        <f aca="false">IF(A1036="","",TRIM(INDEX('COOIS Raw'!$A:$GZ,ROW()-4,$B$4)))</f>
        <v/>
      </c>
      <c r="C1036" s="42" t="str">
        <f aca="false">IF(OR(A1036="",$C$4=0),"",INDEX('COOIS Raw'!$A:$GZ,ROW()-4,$C$4))</f>
        <v/>
      </c>
      <c r="D1036" s="41" t="str">
        <f aca="false">IF(A1036="","",IF($D$4=0,1,IFERROR(--INDEX('COOIS Raw'!$A:$GZ,ROW()-4,$D$4),1)))</f>
        <v/>
      </c>
      <c r="E1036" s="42" t="str">
        <f aca="false">IF(A1036="","",INDEX('COOIS Raw'!$A:$GZ,ROW()-4,$E$4)&amp;"")</f>
        <v/>
      </c>
      <c r="F1036" s="43" t="str">
        <f aca="false">IF(A1036="","",IFERROR(DATEVALUE(INDEX('COOIS Raw'!$A:$GZ,ROW()-4,$F$4)),INDEX('COOIS Raw'!$A:$GZ,ROW()-4,$F$4)))</f>
        <v/>
      </c>
      <c r="G1036" s="41" t="str">
        <f aca="false">IF(A1036="","",IF(ISNA(MATCH(B1036,'Kitting Plan'!$B$6:$B$19,0)),"Not in plan","Yes"))</f>
        <v/>
      </c>
      <c r="H1036" s="41" t="str">
        <f aca="false">IF(G1036="Yes",INDEX('Kitting Plan'!$D$6:$D$19,MATCH(B1036,'Kitting Plan'!$B$6:$B$19,0)),"")</f>
        <v/>
      </c>
      <c r="I1036" s="41" t="str">
        <f aca="false">IF(A1036="","",IF(ISNUMBER(SEARCH("PRT",E1036)),D1036,0))</f>
        <v/>
      </c>
      <c r="J1036" s="41" t="str">
        <f aca="false">IF(A1036="","",IF(ISNUMBER(SEARCH("GMPS",E1036)),D1036,0))</f>
        <v/>
      </c>
      <c r="K1036" s="41" t="str">
        <f aca="false">IF(A1036="","",IF(ISNUMBER(SEARCH("DLV",E1036)),D1036,0))</f>
        <v/>
      </c>
      <c r="L1036" s="41" t="str">
        <f aca="false">IF(A1036="","",IF(K1036&gt;0,"Delivered",IF(ISNUMBER(SEARCH("CNF",E1036)),"In production",IF(J1036&gt;0,"Issued",IF(I1036&gt;0,"Kitted","Released")))))</f>
        <v/>
      </c>
      <c r="M1036" s="41" t="str">
        <f aca="false">IF(G1036&lt;&gt;"Yes","",COUNTIFS($B$6:$B$1505,B1036,$F$6:$F$1505,"&lt;"&amp;F1036)+COUNTIFS($B$6:$B$1505,B1036,$F$6:$F$1505,F1036,$A$6:$A$1505,"&lt;="&amp;A1036))</f>
        <v/>
      </c>
      <c r="N1036" s="41" t="str">
        <f aca="false">IF(M1036="","",ROUNDUP(M1036/H1036,0))</f>
        <v/>
      </c>
      <c r="O1036" s="41" t="str">
        <f aca="false">IF(N1036="","",IF(N1036&lt;='Kitting Plan'!$C$3,"Rep "&amp;N1036,"Surplus"))</f>
        <v/>
      </c>
    </row>
    <row r="1037" customFormat="false" ht="15" hidden="false" customHeight="false" outlineLevel="0" collapsed="false">
      <c r="A1037" s="40" t="str">
        <f aca="false">IF(OR($A$4=0,INDEX('COOIS Raw'!$A:$GZ,ROW()-4,$A$4)=""),"",IFERROR(--INDEX('COOIS Raw'!$A:$GZ,ROW()-4,$A$4),INDEX('COOIS Raw'!$A:$GZ,ROW()-4,$A$4)))</f>
        <v/>
      </c>
      <c r="B1037" s="41" t="str">
        <f aca="false">IF(A1037="","",TRIM(INDEX('COOIS Raw'!$A:$GZ,ROW()-4,$B$4)))</f>
        <v/>
      </c>
      <c r="C1037" s="42" t="str">
        <f aca="false">IF(OR(A1037="",$C$4=0),"",INDEX('COOIS Raw'!$A:$GZ,ROW()-4,$C$4))</f>
        <v/>
      </c>
      <c r="D1037" s="41" t="str">
        <f aca="false">IF(A1037="","",IF($D$4=0,1,IFERROR(--INDEX('COOIS Raw'!$A:$GZ,ROW()-4,$D$4),1)))</f>
        <v/>
      </c>
      <c r="E1037" s="42" t="str">
        <f aca="false">IF(A1037="","",INDEX('COOIS Raw'!$A:$GZ,ROW()-4,$E$4)&amp;"")</f>
        <v/>
      </c>
      <c r="F1037" s="43" t="str">
        <f aca="false">IF(A1037="","",IFERROR(DATEVALUE(INDEX('COOIS Raw'!$A:$GZ,ROW()-4,$F$4)),INDEX('COOIS Raw'!$A:$GZ,ROW()-4,$F$4)))</f>
        <v/>
      </c>
      <c r="G1037" s="41" t="str">
        <f aca="false">IF(A1037="","",IF(ISNA(MATCH(B1037,'Kitting Plan'!$B$6:$B$19,0)),"Not in plan","Yes"))</f>
        <v/>
      </c>
      <c r="H1037" s="41" t="str">
        <f aca="false">IF(G1037="Yes",INDEX('Kitting Plan'!$D$6:$D$19,MATCH(B1037,'Kitting Plan'!$B$6:$B$19,0)),"")</f>
        <v/>
      </c>
      <c r="I1037" s="41" t="str">
        <f aca="false">IF(A1037="","",IF(ISNUMBER(SEARCH("PRT",E1037)),D1037,0))</f>
        <v/>
      </c>
      <c r="J1037" s="41" t="str">
        <f aca="false">IF(A1037="","",IF(ISNUMBER(SEARCH("GMPS",E1037)),D1037,0))</f>
        <v/>
      </c>
      <c r="K1037" s="41" t="str">
        <f aca="false">IF(A1037="","",IF(ISNUMBER(SEARCH("DLV",E1037)),D1037,0))</f>
        <v/>
      </c>
      <c r="L1037" s="41" t="str">
        <f aca="false">IF(A1037="","",IF(K1037&gt;0,"Delivered",IF(ISNUMBER(SEARCH("CNF",E1037)),"In production",IF(J1037&gt;0,"Issued",IF(I1037&gt;0,"Kitted","Released")))))</f>
        <v/>
      </c>
      <c r="M1037" s="41" t="str">
        <f aca="false">IF(G1037&lt;&gt;"Yes","",COUNTIFS($B$6:$B$1505,B1037,$F$6:$F$1505,"&lt;"&amp;F1037)+COUNTIFS($B$6:$B$1505,B1037,$F$6:$F$1505,F1037,$A$6:$A$1505,"&lt;="&amp;A1037))</f>
        <v/>
      </c>
      <c r="N1037" s="41" t="str">
        <f aca="false">IF(M1037="","",ROUNDUP(M1037/H1037,0))</f>
        <v/>
      </c>
      <c r="O1037" s="41" t="str">
        <f aca="false">IF(N1037="","",IF(N1037&lt;='Kitting Plan'!$C$3,"Rep "&amp;N1037,"Surplus"))</f>
        <v/>
      </c>
    </row>
    <row r="1038" customFormat="false" ht="15" hidden="false" customHeight="false" outlineLevel="0" collapsed="false">
      <c r="A1038" s="40" t="str">
        <f aca="false">IF(OR($A$4=0,INDEX('COOIS Raw'!$A:$GZ,ROW()-4,$A$4)=""),"",IFERROR(--INDEX('COOIS Raw'!$A:$GZ,ROW()-4,$A$4),INDEX('COOIS Raw'!$A:$GZ,ROW()-4,$A$4)))</f>
        <v/>
      </c>
      <c r="B1038" s="41" t="str">
        <f aca="false">IF(A1038="","",TRIM(INDEX('COOIS Raw'!$A:$GZ,ROW()-4,$B$4)))</f>
        <v/>
      </c>
      <c r="C1038" s="42" t="str">
        <f aca="false">IF(OR(A1038="",$C$4=0),"",INDEX('COOIS Raw'!$A:$GZ,ROW()-4,$C$4))</f>
        <v/>
      </c>
      <c r="D1038" s="41" t="str">
        <f aca="false">IF(A1038="","",IF($D$4=0,1,IFERROR(--INDEX('COOIS Raw'!$A:$GZ,ROW()-4,$D$4),1)))</f>
        <v/>
      </c>
      <c r="E1038" s="42" t="str">
        <f aca="false">IF(A1038="","",INDEX('COOIS Raw'!$A:$GZ,ROW()-4,$E$4)&amp;"")</f>
        <v/>
      </c>
      <c r="F1038" s="43" t="str">
        <f aca="false">IF(A1038="","",IFERROR(DATEVALUE(INDEX('COOIS Raw'!$A:$GZ,ROW()-4,$F$4)),INDEX('COOIS Raw'!$A:$GZ,ROW()-4,$F$4)))</f>
        <v/>
      </c>
      <c r="G1038" s="41" t="str">
        <f aca="false">IF(A1038="","",IF(ISNA(MATCH(B1038,'Kitting Plan'!$B$6:$B$19,0)),"Not in plan","Yes"))</f>
        <v/>
      </c>
      <c r="H1038" s="41" t="str">
        <f aca="false">IF(G1038="Yes",INDEX('Kitting Plan'!$D$6:$D$19,MATCH(B1038,'Kitting Plan'!$B$6:$B$19,0)),"")</f>
        <v/>
      </c>
      <c r="I1038" s="41" t="str">
        <f aca="false">IF(A1038="","",IF(ISNUMBER(SEARCH("PRT",E1038)),D1038,0))</f>
        <v/>
      </c>
      <c r="J1038" s="41" t="str">
        <f aca="false">IF(A1038="","",IF(ISNUMBER(SEARCH("GMPS",E1038)),D1038,0))</f>
        <v/>
      </c>
      <c r="K1038" s="41" t="str">
        <f aca="false">IF(A1038="","",IF(ISNUMBER(SEARCH("DLV",E1038)),D1038,0))</f>
        <v/>
      </c>
      <c r="L1038" s="41" t="str">
        <f aca="false">IF(A1038="","",IF(K1038&gt;0,"Delivered",IF(ISNUMBER(SEARCH("CNF",E1038)),"In production",IF(J1038&gt;0,"Issued",IF(I1038&gt;0,"Kitted","Released")))))</f>
        <v/>
      </c>
      <c r="M1038" s="41" t="str">
        <f aca="false">IF(G1038&lt;&gt;"Yes","",COUNTIFS($B$6:$B$1505,B1038,$F$6:$F$1505,"&lt;"&amp;F1038)+COUNTIFS($B$6:$B$1505,B1038,$F$6:$F$1505,F1038,$A$6:$A$1505,"&lt;="&amp;A1038))</f>
        <v/>
      </c>
      <c r="N1038" s="41" t="str">
        <f aca="false">IF(M1038="","",ROUNDUP(M1038/H1038,0))</f>
        <v/>
      </c>
      <c r="O1038" s="41" t="str">
        <f aca="false">IF(N1038="","",IF(N1038&lt;='Kitting Plan'!$C$3,"Rep "&amp;N1038,"Surplus"))</f>
        <v/>
      </c>
    </row>
    <row r="1039" customFormat="false" ht="15" hidden="false" customHeight="false" outlineLevel="0" collapsed="false">
      <c r="A1039" s="40" t="str">
        <f aca="false">IF(OR($A$4=0,INDEX('COOIS Raw'!$A:$GZ,ROW()-4,$A$4)=""),"",IFERROR(--INDEX('COOIS Raw'!$A:$GZ,ROW()-4,$A$4),INDEX('COOIS Raw'!$A:$GZ,ROW()-4,$A$4)))</f>
        <v/>
      </c>
      <c r="B1039" s="41" t="str">
        <f aca="false">IF(A1039="","",TRIM(INDEX('COOIS Raw'!$A:$GZ,ROW()-4,$B$4)))</f>
        <v/>
      </c>
      <c r="C1039" s="42" t="str">
        <f aca="false">IF(OR(A1039="",$C$4=0),"",INDEX('COOIS Raw'!$A:$GZ,ROW()-4,$C$4))</f>
        <v/>
      </c>
      <c r="D1039" s="41" t="str">
        <f aca="false">IF(A1039="","",IF($D$4=0,1,IFERROR(--INDEX('COOIS Raw'!$A:$GZ,ROW()-4,$D$4),1)))</f>
        <v/>
      </c>
      <c r="E1039" s="42" t="str">
        <f aca="false">IF(A1039="","",INDEX('COOIS Raw'!$A:$GZ,ROW()-4,$E$4)&amp;"")</f>
        <v/>
      </c>
      <c r="F1039" s="43" t="str">
        <f aca="false">IF(A1039="","",IFERROR(DATEVALUE(INDEX('COOIS Raw'!$A:$GZ,ROW()-4,$F$4)),INDEX('COOIS Raw'!$A:$GZ,ROW()-4,$F$4)))</f>
        <v/>
      </c>
      <c r="G1039" s="41" t="str">
        <f aca="false">IF(A1039="","",IF(ISNA(MATCH(B1039,'Kitting Plan'!$B$6:$B$19,0)),"Not in plan","Yes"))</f>
        <v/>
      </c>
      <c r="H1039" s="41" t="str">
        <f aca="false">IF(G1039="Yes",INDEX('Kitting Plan'!$D$6:$D$19,MATCH(B1039,'Kitting Plan'!$B$6:$B$19,0)),"")</f>
        <v/>
      </c>
      <c r="I1039" s="41" t="str">
        <f aca="false">IF(A1039="","",IF(ISNUMBER(SEARCH("PRT",E1039)),D1039,0))</f>
        <v/>
      </c>
      <c r="J1039" s="41" t="str">
        <f aca="false">IF(A1039="","",IF(ISNUMBER(SEARCH("GMPS",E1039)),D1039,0))</f>
        <v/>
      </c>
      <c r="K1039" s="41" t="str">
        <f aca="false">IF(A1039="","",IF(ISNUMBER(SEARCH("DLV",E1039)),D1039,0))</f>
        <v/>
      </c>
      <c r="L1039" s="41" t="str">
        <f aca="false">IF(A1039="","",IF(K1039&gt;0,"Delivered",IF(ISNUMBER(SEARCH("CNF",E1039)),"In production",IF(J1039&gt;0,"Issued",IF(I1039&gt;0,"Kitted","Released")))))</f>
        <v/>
      </c>
      <c r="M1039" s="41" t="str">
        <f aca="false">IF(G1039&lt;&gt;"Yes","",COUNTIFS($B$6:$B$1505,B1039,$F$6:$F$1505,"&lt;"&amp;F1039)+COUNTIFS($B$6:$B$1505,B1039,$F$6:$F$1505,F1039,$A$6:$A$1505,"&lt;="&amp;A1039))</f>
        <v/>
      </c>
      <c r="N1039" s="41" t="str">
        <f aca="false">IF(M1039="","",ROUNDUP(M1039/H1039,0))</f>
        <v/>
      </c>
      <c r="O1039" s="41" t="str">
        <f aca="false">IF(N1039="","",IF(N1039&lt;='Kitting Plan'!$C$3,"Rep "&amp;N1039,"Surplus"))</f>
        <v/>
      </c>
    </row>
    <row r="1040" customFormat="false" ht="15" hidden="false" customHeight="false" outlineLevel="0" collapsed="false">
      <c r="A1040" s="40" t="str">
        <f aca="false">IF(OR($A$4=0,INDEX('COOIS Raw'!$A:$GZ,ROW()-4,$A$4)=""),"",IFERROR(--INDEX('COOIS Raw'!$A:$GZ,ROW()-4,$A$4),INDEX('COOIS Raw'!$A:$GZ,ROW()-4,$A$4)))</f>
        <v/>
      </c>
      <c r="B1040" s="41" t="str">
        <f aca="false">IF(A1040="","",TRIM(INDEX('COOIS Raw'!$A:$GZ,ROW()-4,$B$4)))</f>
        <v/>
      </c>
      <c r="C1040" s="42" t="str">
        <f aca="false">IF(OR(A1040="",$C$4=0),"",INDEX('COOIS Raw'!$A:$GZ,ROW()-4,$C$4))</f>
        <v/>
      </c>
      <c r="D1040" s="41" t="str">
        <f aca="false">IF(A1040="","",IF($D$4=0,1,IFERROR(--INDEX('COOIS Raw'!$A:$GZ,ROW()-4,$D$4),1)))</f>
        <v/>
      </c>
      <c r="E1040" s="42" t="str">
        <f aca="false">IF(A1040="","",INDEX('COOIS Raw'!$A:$GZ,ROW()-4,$E$4)&amp;"")</f>
        <v/>
      </c>
      <c r="F1040" s="43" t="str">
        <f aca="false">IF(A1040="","",IFERROR(DATEVALUE(INDEX('COOIS Raw'!$A:$GZ,ROW()-4,$F$4)),INDEX('COOIS Raw'!$A:$GZ,ROW()-4,$F$4)))</f>
        <v/>
      </c>
      <c r="G1040" s="41" t="str">
        <f aca="false">IF(A1040="","",IF(ISNA(MATCH(B1040,'Kitting Plan'!$B$6:$B$19,0)),"Not in plan","Yes"))</f>
        <v/>
      </c>
      <c r="H1040" s="41" t="str">
        <f aca="false">IF(G1040="Yes",INDEX('Kitting Plan'!$D$6:$D$19,MATCH(B1040,'Kitting Plan'!$B$6:$B$19,0)),"")</f>
        <v/>
      </c>
      <c r="I1040" s="41" t="str">
        <f aca="false">IF(A1040="","",IF(ISNUMBER(SEARCH("PRT",E1040)),D1040,0))</f>
        <v/>
      </c>
      <c r="J1040" s="41" t="str">
        <f aca="false">IF(A1040="","",IF(ISNUMBER(SEARCH("GMPS",E1040)),D1040,0))</f>
        <v/>
      </c>
      <c r="K1040" s="41" t="str">
        <f aca="false">IF(A1040="","",IF(ISNUMBER(SEARCH("DLV",E1040)),D1040,0))</f>
        <v/>
      </c>
      <c r="L1040" s="41" t="str">
        <f aca="false">IF(A1040="","",IF(K1040&gt;0,"Delivered",IF(ISNUMBER(SEARCH("CNF",E1040)),"In production",IF(J1040&gt;0,"Issued",IF(I1040&gt;0,"Kitted","Released")))))</f>
        <v/>
      </c>
      <c r="M1040" s="41" t="str">
        <f aca="false">IF(G1040&lt;&gt;"Yes","",COUNTIFS($B$6:$B$1505,B1040,$F$6:$F$1505,"&lt;"&amp;F1040)+COUNTIFS($B$6:$B$1505,B1040,$F$6:$F$1505,F1040,$A$6:$A$1505,"&lt;="&amp;A1040))</f>
        <v/>
      </c>
      <c r="N1040" s="41" t="str">
        <f aca="false">IF(M1040="","",ROUNDUP(M1040/H1040,0))</f>
        <v/>
      </c>
      <c r="O1040" s="41" t="str">
        <f aca="false">IF(N1040="","",IF(N1040&lt;='Kitting Plan'!$C$3,"Rep "&amp;N1040,"Surplus"))</f>
        <v/>
      </c>
    </row>
    <row r="1041" customFormat="false" ht="15" hidden="false" customHeight="false" outlineLevel="0" collapsed="false">
      <c r="A1041" s="40" t="str">
        <f aca="false">IF(OR($A$4=0,INDEX('COOIS Raw'!$A:$GZ,ROW()-4,$A$4)=""),"",IFERROR(--INDEX('COOIS Raw'!$A:$GZ,ROW()-4,$A$4),INDEX('COOIS Raw'!$A:$GZ,ROW()-4,$A$4)))</f>
        <v/>
      </c>
      <c r="B1041" s="41" t="str">
        <f aca="false">IF(A1041="","",TRIM(INDEX('COOIS Raw'!$A:$GZ,ROW()-4,$B$4)))</f>
        <v/>
      </c>
      <c r="C1041" s="42" t="str">
        <f aca="false">IF(OR(A1041="",$C$4=0),"",INDEX('COOIS Raw'!$A:$GZ,ROW()-4,$C$4))</f>
        <v/>
      </c>
      <c r="D1041" s="41" t="str">
        <f aca="false">IF(A1041="","",IF($D$4=0,1,IFERROR(--INDEX('COOIS Raw'!$A:$GZ,ROW()-4,$D$4),1)))</f>
        <v/>
      </c>
      <c r="E1041" s="42" t="str">
        <f aca="false">IF(A1041="","",INDEX('COOIS Raw'!$A:$GZ,ROW()-4,$E$4)&amp;"")</f>
        <v/>
      </c>
      <c r="F1041" s="43" t="str">
        <f aca="false">IF(A1041="","",IFERROR(DATEVALUE(INDEX('COOIS Raw'!$A:$GZ,ROW()-4,$F$4)),INDEX('COOIS Raw'!$A:$GZ,ROW()-4,$F$4)))</f>
        <v/>
      </c>
      <c r="G1041" s="41" t="str">
        <f aca="false">IF(A1041="","",IF(ISNA(MATCH(B1041,'Kitting Plan'!$B$6:$B$19,0)),"Not in plan","Yes"))</f>
        <v/>
      </c>
      <c r="H1041" s="41" t="str">
        <f aca="false">IF(G1041="Yes",INDEX('Kitting Plan'!$D$6:$D$19,MATCH(B1041,'Kitting Plan'!$B$6:$B$19,0)),"")</f>
        <v/>
      </c>
      <c r="I1041" s="41" t="str">
        <f aca="false">IF(A1041="","",IF(ISNUMBER(SEARCH("PRT",E1041)),D1041,0))</f>
        <v/>
      </c>
      <c r="J1041" s="41" t="str">
        <f aca="false">IF(A1041="","",IF(ISNUMBER(SEARCH("GMPS",E1041)),D1041,0))</f>
        <v/>
      </c>
      <c r="K1041" s="41" t="str">
        <f aca="false">IF(A1041="","",IF(ISNUMBER(SEARCH("DLV",E1041)),D1041,0))</f>
        <v/>
      </c>
      <c r="L1041" s="41" t="str">
        <f aca="false">IF(A1041="","",IF(K1041&gt;0,"Delivered",IF(ISNUMBER(SEARCH("CNF",E1041)),"In production",IF(J1041&gt;0,"Issued",IF(I1041&gt;0,"Kitted","Released")))))</f>
        <v/>
      </c>
      <c r="M1041" s="41" t="str">
        <f aca="false">IF(G1041&lt;&gt;"Yes","",COUNTIFS($B$6:$B$1505,B1041,$F$6:$F$1505,"&lt;"&amp;F1041)+COUNTIFS($B$6:$B$1505,B1041,$F$6:$F$1505,F1041,$A$6:$A$1505,"&lt;="&amp;A1041))</f>
        <v/>
      </c>
      <c r="N1041" s="41" t="str">
        <f aca="false">IF(M1041="","",ROUNDUP(M1041/H1041,0))</f>
        <v/>
      </c>
      <c r="O1041" s="41" t="str">
        <f aca="false">IF(N1041="","",IF(N1041&lt;='Kitting Plan'!$C$3,"Rep "&amp;N1041,"Surplus"))</f>
        <v/>
      </c>
    </row>
    <row r="1042" customFormat="false" ht="15" hidden="false" customHeight="false" outlineLevel="0" collapsed="false">
      <c r="A1042" s="40" t="str">
        <f aca="false">IF(OR($A$4=0,INDEX('COOIS Raw'!$A:$GZ,ROW()-4,$A$4)=""),"",IFERROR(--INDEX('COOIS Raw'!$A:$GZ,ROW()-4,$A$4),INDEX('COOIS Raw'!$A:$GZ,ROW()-4,$A$4)))</f>
        <v/>
      </c>
      <c r="B1042" s="41" t="str">
        <f aca="false">IF(A1042="","",TRIM(INDEX('COOIS Raw'!$A:$GZ,ROW()-4,$B$4)))</f>
        <v/>
      </c>
      <c r="C1042" s="42" t="str">
        <f aca="false">IF(OR(A1042="",$C$4=0),"",INDEX('COOIS Raw'!$A:$GZ,ROW()-4,$C$4))</f>
        <v/>
      </c>
      <c r="D1042" s="41" t="str">
        <f aca="false">IF(A1042="","",IF($D$4=0,1,IFERROR(--INDEX('COOIS Raw'!$A:$GZ,ROW()-4,$D$4),1)))</f>
        <v/>
      </c>
      <c r="E1042" s="42" t="str">
        <f aca="false">IF(A1042="","",INDEX('COOIS Raw'!$A:$GZ,ROW()-4,$E$4)&amp;"")</f>
        <v/>
      </c>
      <c r="F1042" s="43" t="str">
        <f aca="false">IF(A1042="","",IFERROR(DATEVALUE(INDEX('COOIS Raw'!$A:$GZ,ROW()-4,$F$4)),INDEX('COOIS Raw'!$A:$GZ,ROW()-4,$F$4)))</f>
        <v/>
      </c>
      <c r="G1042" s="41" t="str">
        <f aca="false">IF(A1042="","",IF(ISNA(MATCH(B1042,'Kitting Plan'!$B$6:$B$19,0)),"Not in plan","Yes"))</f>
        <v/>
      </c>
      <c r="H1042" s="41" t="str">
        <f aca="false">IF(G1042="Yes",INDEX('Kitting Plan'!$D$6:$D$19,MATCH(B1042,'Kitting Plan'!$B$6:$B$19,0)),"")</f>
        <v/>
      </c>
      <c r="I1042" s="41" t="str">
        <f aca="false">IF(A1042="","",IF(ISNUMBER(SEARCH("PRT",E1042)),D1042,0))</f>
        <v/>
      </c>
      <c r="J1042" s="41" t="str">
        <f aca="false">IF(A1042="","",IF(ISNUMBER(SEARCH("GMPS",E1042)),D1042,0))</f>
        <v/>
      </c>
      <c r="K1042" s="41" t="str">
        <f aca="false">IF(A1042="","",IF(ISNUMBER(SEARCH("DLV",E1042)),D1042,0))</f>
        <v/>
      </c>
      <c r="L1042" s="41" t="str">
        <f aca="false">IF(A1042="","",IF(K1042&gt;0,"Delivered",IF(ISNUMBER(SEARCH("CNF",E1042)),"In production",IF(J1042&gt;0,"Issued",IF(I1042&gt;0,"Kitted","Released")))))</f>
        <v/>
      </c>
      <c r="M1042" s="41" t="str">
        <f aca="false">IF(G1042&lt;&gt;"Yes","",COUNTIFS($B$6:$B$1505,B1042,$F$6:$F$1505,"&lt;"&amp;F1042)+COUNTIFS($B$6:$B$1505,B1042,$F$6:$F$1505,F1042,$A$6:$A$1505,"&lt;="&amp;A1042))</f>
        <v/>
      </c>
      <c r="N1042" s="41" t="str">
        <f aca="false">IF(M1042="","",ROUNDUP(M1042/H1042,0))</f>
        <v/>
      </c>
      <c r="O1042" s="41" t="str">
        <f aca="false">IF(N1042="","",IF(N1042&lt;='Kitting Plan'!$C$3,"Rep "&amp;N1042,"Surplus"))</f>
        <v/>
      </c>
    </row>
    <row r="1043" customFormat="false" ht="15" hidden="false" customHeight="false" outlineLevel="0" collapsed="false">
      <c r="A1043" s="40" t="str">
        <f aca="false">IF(OR($A$4=0,INDEX('COOIS Raw'!$A:$GZ,ROW()-4,$A$4)=""),"",IFERROR(--INDEX('COOIS Raw'!$A:$GZ,ROW()-4,$A$4),INDEX('COOIS Raw'!$A:$GZ,ROW()-4,$A$4)))</f>
        <v/>
      </c>
      <c r="B1043" s="41" t="str">
        <f aca="false">IF(A1043="","",TRIM(INDEX('COOIS Raw'!$A:$GZ,ROW()-4,$B$4)))</f>
        <v/>
      </c>
      <c r="C1043" s="42" t="str">
        <f aca="false">IF(OR(A1043="",$C$4=0),"",INDEX('COOIS Raw'!$A:$GZ,ROW()-4,$C$4))</f>
        <v/>
      </c>
      <c r="D1043" s="41" t="str">
        <f aca="false">IF(A1043="","",IF($D$4=0,1,IFERROR(--INDEX('COOIS Raw'!$A:$GZ,ROW()-4,$D$4),1)))</f>
        <v/>
      </c>
      <c r="E1043" s="42" t="str">
        <f aca="false">IF(A1043="","",INDEX('COOIS Raw'!$A:$GZ,ROW()-4,$E$4)&amp;"")</f>
        <v/>
      </c>
      <c r="F1043" s="43" t="str">
        <f aca="false">IF(A1043="","",IFERROR(DATEVALUE(INDEX('COOIS Raw'!$A:$GZ,ROW()-4,$F$4)),INDEX('COOIS Raw'!$A:$GZ,ROW()-4,$F$4)))</f>
        <v/>
      </c>
      <c r="G1043" s="41" t="str">
        <f aca="false">IF(A1043="","",IF(ISNA(MATCH(B1043,'Kitting Plan'!$B$6:$B$19,0)),"Not in plan","Yes"))</f>
        <v/>
      </c>
      <c r="H1043" s="41" t="str">
        <f aca="false">IF(G1043="Yes",INDEX('Kitting Plan'!$D$6:$D$19,MATCH(B1043,'Kitting Plan'!$B$6:$B$19,0)),"")</f>
        <v/>
      </c>
      <c r="I1043" s="41" t="str">
        <f aca="false">IF(A1043="","",IF(ISNUMBER(SEARCH("PRT",E1043)),D1043,0))</f>
        <v/>
      </c>
      <c r="J1043" s="41" t="str">
        <f aca="false">IF(A1043="","",IF(ISNUMBER(SEARCH("GMPS",E1043)),D1043,0))</f>
        <v/>
      </c>
      <c r="K1043" s="41" t="str">
        <f aca="false">IF(A1043="","",IF(ISNUMBER(SEARCH("DLV",E1043)),D1043,0))</f>
        <v/>
      </c>
      <c r="L1043" s="41" t="str">
        <f aca="false">IF(A1043="","",IF(K1043&gt;0,"Delivered",IF(ISNUMBER(SEARCH("CNF",E1043)),"In production",IF(J1043&gt;0,"Issued",IF(I1043&gt;0,"Kitted","Released")))))</f>
        <v/>
      </c>
      <c r="M1043" s="41" t="str">
        <f aca="false">IF(G1043&lt;&gt;"Yes","",COUNTIFS($B$6:$B$1505,B1043,$F$6:$F$1505,"&lt;"&amp;F1043)+COUNTIFS($B$6:$B$1505,B1043,$F$6:$F$1505,F1043,$A$6:$A$1505,"&lt;="&amp;A1043))</f>
        <v/>
      </c>
      <c r="N1043" s="41" t="str">
        <f aca="false">IF(M1043="","",ROUNDUP(M1043/H1043,0))</f>
        <v/>
      </c>
      <c r="O1043" s="41" t="str">
        <f aca="false">IF(N1043="","",IF(N1043&lt;='Kitting Plan'!$C$3,"Rep "&amp;N1043,"Surplus"))</f>
        <v/>
      </c>
    </row>
    <row r="1044" customFormat="false" ht="15" hidden="false" customHeight="false" outlineLevel="0" collapsed="false">
      <c r="A1044" s="40" t="str">
        <f aca="false">IF(OR($A$4=0,INDEX('COOIS Raw'!$A:$GZ,ROW()-4,$A$4)=""),"",IFERROR(--INDEX('COOIS Raw'!$A:$GZ,ROW()-4,$A$4),INDEX('COOIS Raw'!$A:$GZ,ROW()-4,$A$4)))</f>
        <v/>
      </c>
      <c r="B1044" s="41" t="str">
        <f aca="false">IF(A1044="","",TRIM(INDEX('COOIS Raw'!$A:$GZ,ROW()-4,$B$4)))</f>
        <v/>
      </c>
      <c r="C1044" s="42" t="str">
        <f aca="false">IF(OR(A1044="",$C$4=0),"",INDEX('COOIS Raw'!$A:$GZ,ROW()-4,$C$4))</f>
        <v/>
      </c>
      <c r="D1044" s="41" t="str">
        <f aca="false">IF(A1044="","",IF($D$4=0,1,IFERROR(--INDEX('COOIS Raw'!$A:$GZ,ROW()-4,$D$4),1)))</f>
        <v/>
      </c>
      <c r="E1044" s="42" t="str">
        <f aca="false">IF(A1044="","",INDEX('COOIS Raw'!$A:$GZ,ROW()-4,$E$4)&amp;"")</f>
        <v/>
      </c>
      <c r="F1044" s="43" t="str">
        <f aca="false">IF(A1044="","",IFERROR(DATEVALUE(INDEX('COOIS Raw'!$A:$GZ,ROW()-4,$F$4)),INDEX('COOIS Raw'!$A:$GZ,ROW()-4,$F$4)))</f>
        <v/>
      </c>
      <c r="G1044" s="41" t="str">
        <f aca="false">IF(A1044="","",IF(ISNA(MATCH(B1044,'Kitting Plan'!$B$6:$B$19,0)),"Not in plan","Yes"))</f>
        <v/>
      </c>
      <c r="H1044" s="41" t="str">
        <f aca="false">IF(G1044="Yes",INDEX('Kitting Plan'!$D$6:$D$19,MATCH(B1044,'Kitting Plan'!$B$6:$B$19,0)),"")</f>
        <v/>
      </c>
      <c r="I1044" s="41" t="str">
        <f aca="false">IF(A1044="","",IF(ISNUMBER(SEARCH("PRT",E1044)),D1044,0))</f>
        <v/>
      </c>
      <c r="J1044" s="41" t="str">
        <f aca="false">IF(A1044="","",IF(ISNUMBER(SEARCH("GMPS",E1044)),D1044,0))</f>
        <v/>
      </c>
      <c r="K1044" s="41" t="str">
        <f aca="false">IF(A1044="","",IF(ISNUMBER(SEARCH("DLV",E1044)),D1044,0))</f>
        <v/>
      </c>
      <c r="L1044" s="41" t="str">
        <f aca="false">IF(A1044="","",IF(K1044&gt;0,"Delivered",IF(ISNUMBER(SEARCH("CNF",E1044)),"In production",IF(J1044&gt;0,"Issued",IF(I1044&gt;0,"Kitted","Released")))))</f>
        <v/>
      </c>
      <c r="M1044" s="41" t="str">
        <f aca="false">IF(G1044&lt;&gt;"Yes","",COUNTIFS($B$6:$B$1505,B1044,$F$6:$F$1505,"&lt;"&amp;F1044)+COUNTIFS($B$6:$B$1505,B1044,$F$6:$F$1505,F1044,$A$6:$A$1505,"&lt;="&amp;A1044))</f>
        <v/>
      </c>
      <c r="N1044" s="41" t="str">
        <f aca="false">IF(M1044="","",ROUNDUP(M1044/H1044,0))</f>
        <v/>
      </c>
      <c r="O1044" s="41" t="str">
        <f aca="false">IF(N1044="","",IF(N1044&lt;='Kitting Plan'!$C$3,"Rep "&amp;N1044,"Surplus"))</f>
        <v/>
      </c>
    </row>
    <row r="1045" customFormat="false" ht="15" hidden="false" customHeight="false" outlineLevel="0" collapsed="false">
      <c r="A1045" s="40" t="str">
        <f aca="false">IF(OR($A$4=0,INDEX('COOIS Raw'!$A:$GZ,ROW()-4,$A$4)=""),"",IFERROR(--INDEX('COOIS Raw'!$A:$GZ,ROW()-4,$A$4),INDEX('COOIS Raw'!$A:$GZ,ROW()-4,$A$4)))</f>
        <v/>
      </c>
      <c r="B1045" s="41" t="str">
        <f aca="false">IF(A1045="","",TRIM(INDEX('COOIS Raw'!$A:$GZ,ROW()-4,$B$4)))</f>
        <v/>
      </c>
      <c r="C1045" s="42" t="str">
        <f aca="false">IF(OR(A1045="",$C$4=0),"",INDEX('COOIS Raw'!$A:$GZ,ROW()-4,$C$4))</f>
        <v/>
      </c>
      <c r="D1045" s="41" t="str">
        <f aca="false">IF(A1045="","",IF($D$4=0,1,IFERROR(--INDEX('COOIS Raw'!$A:$GZ,ROW()-4,$D$4),1)))</f>
        <v/>
      </c>
      <c r="E1045" s="42" t="str">
        <f aca="false">IF(A1045="","",INDEX('COOIS Raw'!$A:$GZ,ROW()-4,$E$4)&amp;"")</f>
        <v/>
      </c>
      <c r="F1045" s="43" t="str">
        <f aca="false">IF(A1045="","",IFERROR(DATEVALUE(INDEX('COOIS Raw'!$A:$GZ,ROW()-4,$F$4)),INDEX('COOIS Raw'!$A:$GZ,ROW()-4,$F$4)))</f>
        <v/>
      </c>
      <c r="G1045" s="41" t="str">
        <f aca="false">IF(A1045="","",IF(ISNA(MATCH(B1045,'Kitting Plan'!$B$6:$B$19,0)),"Not in plan","Yes"))</f>
        <v/>
      </c>
      <c r="H1045" s="41" t="str">
        <f aca="false">IF(G1045="Yes",INDEX('Kitting Plan'!$D$6:$D$19,MATCH(B1045,'Kitting Plan'!$B$6:$B$19,0)),"")</f>
        <v/>
      </c>
      <c r="I1045" s="41" t="str">
        <f aca="false">IF(A1045="","",IF(ISNUMBER(SEARCH("PRT",E1045)),D1045,0))</f>
        <v/>
      </c>
      <c r="J1045" s="41" t="str">
        <f aca="false">IF(A1045="","",IF(ISNUMBER(SEARCH("GMPS",E1045)),D1045,0))</f>
        <v/>
      </c>
      <c r="K1045" s="41" t="str">
        <f aca="false">IF(A1045="","",IF(ISNUMBER(SEARCH("DLV",E1045)),D1045,0))</f>
        <v/>
      </c>
      <c r="L1045" s="41" t="str">
        <f aca="false">IF(A1045="","",IF(K1045&gt;0,"Delivered",IF(ISNUMBER(SEARCH("CNF",E1045)),"In production",IF(J1045&gt;0,"Issued",IF(I1045&gt;0,"Kitted","Released")))))</f>
        <v/>
      </c>
      <c r="M1045" s="41" t="str">
        <f aca="false">IF(G1045&lt;&gt;"Yes","",COUNTIFS($B$6:$B$1505,B1045,$F$6:$F$1505,"&lt;"&amp;F1045)+COUNTIFS($B$6:$B$1505,B1045,$F$6:$F$1505,F1045,$A$6:$A$1505,"&lt;="&amp;A1045))</f>
        <v/>
      </c>
      <c r="N1045" s="41" t="str">
        <f aca="false">IF(M1045="","",ROUNDUP(M1045/H1045,0))</f>
        <v/>
      </c>
      <c r="O1045" s="41" t="str">
        <f aca="false">IF(N1045="","",IF(N1045&lt;='Kitting Plan'!$C$3,"Rep "&amp;N1045,"Surplus"))</f>
        <v/>
      </c>
    </row>
    <row r="1046" customFormat="false" ht="15" hidden="false" customHeight="false" outlineLevel="0" collapsed="false">
      <c r="A1046" s="40" t="str">
        <f aca="false">IF(OR($A$4=0,INDEX('COOIS Raw'!$A:$GZ,ROW()-4,$A$4)=""),"",IFERROR(--INDEX('COOIS Raw'!$A:$GZ,ROW()-4,$A$4),INDEX('COOIS Raw'!$A:$GZ,ROW()-4,$A$4)))</f>
        <v/>
      </c>
      <c r="B1046" s="41" t="str">
        <f aca="false">IF(A1046="","",TRIM(INDEX('COOIS Raw'!$A:$GZ,ROW()-4,$B$4)))</f>
        <v/>
      </c>
      <c r="C1046" s="42" t="str">
        <f aca="false">IF(OR(A1046="",$C$4=0),"",INDEX('COOIS Raw'!$A:$GZ,ROW()-4,$C$4))</f>
        <v/>
      </c>
      <c r="D1046" s="41" t="str">
        <f aca="false">IF(A1046="","",IF($D$4=0,1,IFERROR(--INDEX('COOIS Raw'!$A:$GZ,ROW()-4,$D$4),1)))</f>
        <v/>
      </c>
      <c r="E1046" s="42" t="str">
        <f aca="false">IF(A1046="","",INDEX('COOIS Raw'!$A:$GZ,ROW()-4,$E$4)&amp;"")</f>
        <v/>
      </c>
      <c r="F1046" s="43" t="str">
        <f aca="false">IF(A1046="","",IFERROR(DATEVALUE(INDEX('COOIS Raw'!$A:$GZ,ROW()-4,$F$4)),INDEX('COOIS Raw'!$A:$GZ,ROW()-4,$F$4)))</f>
        <v/>
      </c>
      <c r="G1046" s="41" t="str">
        <f aca="false">IF(A1046="","",IF(ISNA(MATCH(B1046,'Kitting Plan'!$B$6:$B$19,0)),"Not in plan","Yes"))</f>
        <v/>
      </c>
      <c r="H1046" s="41" t="str">
        <f aca="false">IF(G1046="Yes",INDEX('Kitting Plan'!$D$6:$D$19,MATCH(B1046,'Kitting Plan'!$B$6:$B$19,0)),"")</f>
        <v/>
      </c>
      <c r="I1046" s="41" t="str">
        <f aca="false">IF(A1046="","",IF(ISNUMBER(SEARCH("PRT",E1046)),D1046,0))</f>
        <v/>
      </c>
      <c r="J1046" s="41" t="str">
        <f aca="false">IF(A1046="","",IF(ISNUMBER(SEARCH("GMPS",E1046)),D1046,0))</f>
        <v/>
      </c>
      <c r="K1046" s="41" t="str">
        <f aca="false">IF(A1046="","",IF(ISNUMBER(SEARCH("DLV",E1046)),D1046,0))</f>
        <v/>
      </c>
      <c r="L1046" s="41" t="str">
        <f aca="false">IF(A1046="","",IF(K1046&gt;0,"Delivered",IF(ISNUMBER(SEARCH("CNF",E1046)),"In production",IF(J1046&gt;0,"Issued",IF(I1046&gt;0,"Kitted","Released")))))</f>
        <v/>
      </c>
      <c r="M1046" s="41" t="str">
        <f aca="false">IF(G1046&lt;&gt;"Yes","",COUNTIFS($B$6:$B$1505,B1046,$F$6:$F$1505,"&lt;"&amp;F1046)+COUNTIFS($B$6:$B$1505,B1046,$F$6:$F$1505,F1046,$A$6:$A$1505,"&lt;="&amp;A1046))</f>
        <v/>
      </c>
      <c r="N1046" s="41" t="str">
        <f aca="false">IF(M1046="","",ROUNDUP(M1046/H1046,0))</f>
        <v/>
      </c>
      <c r="O1046" s="41" t="str">
        <f aca="false">IF(N1046="","",IF(N1046&lt;='Kitting Plan'!$C$3,"Rep "&amp;N1046,"Surplus"))</f>
        <v/>
      </c>
    </row>
    <row r="1047" customFormat="false" ht="15" hidden="false" customHeight="false" outlineLevel="0" collapsed="false">
      <c r="A1047" s="40" t="str">
        <f aca="false">IF(OR($A$4=0,INDEX('COOIS Raw'!$A:$GZ,ROW()-4,$A$4)=""),"",IFERROR(--INDEX('COOIS Raw'!$A:$GZ,ROW()-4,$A$4),INDEX('COOIS Raw'!$A:$GZ,ROW()-4,$A$4)))</f>
        <v/>
      </c>
      <c r="B1047" s="41" t="str">
        <f aca="false">IF(A1047="","",TRIM(INDEX('COOIS Raw'!$A:$GZ,ROW()-4,$B$4)))</f>
        <v/>
      </c>
      <c r="C1047" s="42" t="str">
        <f aca="false">IF(OR(A1047="",$C$4=0),"",INDEX('COOIS Raw'!$A:$GZ,ROW()-4,$C$4))</f>
        <v/>
      </c>
      <c r="D1047" s="41" t="str">
        <f aca="false">IF(A1047="","",IF($D$4=0,1,IFERROR(--INDEX('COOIS Raw'!$A:$GZ,ROW()-4,$D$4),1)))</f>
        <v/>
      </c>
      <c r="E1047" s="42" t="str">
        <f aca="false">IF(A1047="","",INDEX('COOIS Raw'!$A:$GZ,ROW()-4,$E$4)&amp;"")</f>
        <v/>
      </c>
      <c r="F1047" s="43" t="str">
        <f aca="false">IF(A1047="","",IFERROR(DATEVALUE(INDEX('COOIS Raw'!$A:$GZ,ROW()-4,$F$4)),INDEX('COOIS Raw'!$A:$GZ,ROW()-4,$F$4)))</f>
        <v/>
      </c>
      <c r="G1047" s="41" t="str">
        <f aca="false">IF(A1047="","",IF(ISNA(MATCH(B1047,'Kitting Plan'!$B$6:$B$19,0)),"Not in plan","Yes"))</f>
        <v/>
      </c>
      <c r="H1047" s="41" t="str">
        <f aca="false">IF(G1047="Yes",INDEX('Kitting Plan'!$D$6:$D$19,MATCH(B1047,'Kitting Plan'!$B$6:$B$19,0)),"")</f>
        <v/>
      </c>
      <c r="I1047" s="41" t="str">
        <f aca="false">IF(A1047="","",IF(ISNUMBER(SEARCH("PRT",E1047)),D1047,0))</f>
        <v/>
      </c>
      <c r="J1047" s="41" t="str">
        <f aca="false">IF(A1047="","",IF(ISNUMBER(SEARCH("GMPS",E1047)),D1047,0))</f>
        <v/>
      </c>
      <c r="K1047" s="41" t="str">
        <f aca="false">IF(A1047="","",IF(ISNUMBER(SEARCH("DLV",E1047)),D1047,0))</f>
        <v/>
      </c>
      <c r="L1047" s="41" t="str">
        <f aca="false">IF(A1047="","",IF(K1047&gt;0,"Delivered",IF(ISNUMBER(SEARCH("CNF",E1047)),"In production",IF(J1047&gt;0,"Issued",IF(I1047&gt;0,"Kitted","Released")))))</f>
        <v/>
      </c>
      <c r="M1047" s="41" t="str">
        <f aca="false">IF(G1047&lt;&gt;"Yes","",COUNTIFS($B$6:$B$1505,B1047,$F$6:$F$1505,"&lt;"&amp;F1047)+COUNTIFS($B$6:$B$1505,B1047,$F$6:$F$1505,F1047,$A$6:$A$1505,"&lt;="&amp;A1047))</f>
        <v/>
      </c>
      <c r="N1047" s="41" t="str">
        <f aca="false">IF(M1047="","",ROUNDUP(M1047/H1047,0))</f>
        <v/>
      </c>
      <c r="O1047" s="41" t="str">
        <f aca="false">IF(N1047="","",IF(N1047&lt;='Kitting Plan'!$C$3,"Rep "&amp;N1047,"Surplus"))</f>
        <v/>
      </c>
    </row>
    <row r="1048" customFormat="false" ht="15" hidden="false" customHeight="false" outlineLevel="0" collapsed="false">
      <c r="A1048" s="40" t="str">
        <f aca="false">IF(OR($A$4=0,INDEX('COOIS Raw'!$A:$GZ,ROW()-4,$A$4)=""),"",IFERROR(--INDEX('COOIS Raw'!$A:$GZ,ROW()-4,$A$4),INDEX('COOIS Raw'!$A:$GZ,ROW()-4,$A$4)))</f>
        <v/>
      </c>
      <c r="B1048" s="41" t="str">
        <f aca="false">IF(A1048="","",TRIM(INDEX('COOIS Raw'!$A:$GZ,ROW()-4,$B$4)))</f>
        <v/>
      </c>
      <c r="C1048" s="42" t="str">
        <f aca="false">IF(OR(A1048="",$C$4=0),"",INDEX('COOIS Raw'!$A:$GZ,ROW()-4,$C$4))</f>
        <v/>
      </c>
      <c r="D1048" s="41" t="str">
        <f aca="false">IF(A1048="","",IF($D$4=0,1,IFERROR(--INDEX('COOIS Raw'!$A:$GZ,ROW()-4,$D$4),1)))</f>
        <v/>
      </c>
      <c r="E1048" s="42" t="str">
        <f aca="false">IF(A1048="","",INDEX('COOIS Raw'!$A:$GZ,ROW()-4,$E$4)&amp;"")</f>
        <v/>
      </c>
      <c r="F1048" s="43" t="str">
        <f aca="false">IF(A1048="","",IFERROR(DATEVALUE(INDEX('COOIS Raw'!$A:$GZ,ROW()-4,$F$4)),INDEX('COOIS Raw'!$A:$GZ,ROW()-4,$F$4)))</f>
        <v/>
      </c>
      <c r="G1048" s="41" t="str">
        <f aca="false">IF(A1048="","",IF(ISNA(MATCH(B1048,'Kitting Plan'!$B$6:$B$19,0)),"Not in plan","Yes"))</f>
        <v/>
      </c>
      <c r="H1048" s="41" t="str">
        <f aca="false">IF(G1048="Yes",INDEX('Kitting Plan'!$D$6:$D$19,MATCH(B1048,'Kitting Plan'!$B$6:$B$19,0)),"")</f>
        <v/>
      </c>
      <c r="I1048" s="41" t="str">
        <f aca="false">IF(A1048="","",IF(ISNUMBER(SEARCH("PRT",E1048)),D1048,0))</f>
        <v/>
      </c>
      <c r="J1048" s="41" t="str">
        <f aca="false">IF(A1048="","",IF(ISNUMBER(SEARCH("GMPS",E1048)),D1048,0))</f>
        <v/>
      </c>
      <c r="K1048" s="41" t="str">
        <f aca="false">IF(A1048="","",IF(ISNUMBER(SEARCH("DLV",E1048)),D1048,0))</f>
        <v/>
      </c>
      <c r="L1048" s="41" t="str">
        <f aca="false">IF(A1048="","",IF(K1048&gt;0,"Delivered",IF(ISNUMBER(SEARCH("CNF",E1048)),"In production",IF(J1048&gt;0,"Issued",IF(I1048&gt;0,"Kitted","Released")))))</f>
        <v/>
      </c>
      <c r="M1048" s="41" t="str">
        <f aca="false">IF(G1048&lt;&gt;"Yes","",COUNTIFS($B$6:$B$1505,B1048,$F$6:$F$1505,"&lt;"&amp;F1048)+COUNTIFS($B$6:$B$1505,B1048,$F$6:$F$1505,F1048,$A$6:$A$1505,"&lt;="&amp;A1048))</f>
        <v/>
      </c>
      <c r="N1048" s="41" t="str">
        <f aca="false">IF(M1048="","",ROUNDUP(M1048/H1048,0))</f>
        <v/>
      </c>
      <c r="O1048" s="41" t="str">
        <f aca="false">IF(N1048="","",IF(N1048&lt;='Kitting Plan'!$C$3,"Rep "&amp;N1048,"Surplus"))</f>
        <v/>
      </c>
    </row>
    <row r="1049" customFormat="false" ht="15" hidden="false" customHeight="false" outlineLevel="0" collapsed="false">
      <c r="A1049" s="40" t="str">
        <f aca="false">IF(OR($A$4=0,INDEX('COOIS Raw'!$A:$GZ,ROW()-4,$A$4)=""),"",IFERROR(--INDEX('COOIS Raw'!$A:$GZ,ROW()-4,$A$4),INDEX('COOIS Raw'!$A:$GZ,ROW()-4,$A$4)))</f>
        <v/>
      </c>
      <c r="B1049" s="41" t="str">
        <f aca="false">IF(A1049="","",TRIM(INDEX('COOIS Raw'!$A:$GZ,ROW()-4,$B$4)))</f>
        <v/>
      </c>
      <c r="C1049" s="42" t="str">
        <f aca="false">IF(OR(A1049="",$C$4=0),"",INDEX('COOIS Raw'!$A:$GZ,ROW()-4,$C$4))</f>
        <v/>
      </c>
      <c r="D1049" s="41" t="str">
        <f aca="false">IF(A1049="","",IF($D$4=0,1,IFERROR(--INDEX('COOIS Raw'!$A:$GZ,ROW()-4,$D$4),1)))</f>
        <v/>
      </c>
      <c r="E1049" s="42" t="str">
        <f aca="false">IF(A1049="","",INDEX('COOIS Raw'!$A:$GZ,ROW()-4,$E$4)&amp;"")</f>
        <v/>
      </c>
      <c r="F1049" s="43" t="str">
        <f aca="false">IF(A1049="","",IFERROR(DATEVALUE(INDEX('COOIS Raw'!$A:$GZ,ROW()-4,$F$4)),INDEX('COOIS Raw'!$A:$GZ,ROW()-4,$F$4)))</f>
        <v/>
      </c>
      <c r="G1049" s="41" t="str">
        <f aca="false">IF(A1049="","",IF(ISNA(MATCH(B1049,'Kitting Plan'!$B$6:$B$19,0)),"Not in plan","Yes"))</f>
        <v/>
      </c>
      <c r="H1049" s="41" t="str">
        <f aca="false">IF(G1049="Yes",INDEX('Kitting Plan'!$D$6:$D$19,MATCH(B1049,'Kitting Plan'!$B$6:$B$19,0)),"")</f>
        <v/>
      </c>
      <c r="I1049" s="41" t="str">
        <f aca="false">IF(A1049="","",IF(ISNUMBER(SEARCH("PRT",E1049)),D1049,0))</f>
        <v/>
      </c>
      <c r="J1049" s="41" t="str">
        <f aca="false">IF(A1049="","",IF(ISNUMBER(SEARCH("GMPS",E1049)),D1049,0))</f>
        <v/>
      </c>
      <c r="K1049" s="41" t="str">
        <f aca="false">IF(A1049="","",IF(ISNUMBER(SEARCH("DLV",E1049)),D1049,0))</f>
        <v/>
      </c>
      <c r="L1049" s="41" t="str">
        <f aca="false">IF(A1049="","",IF(K1049&gt;0,"Delivered",IF(ISNUMBER(SEARCH("CNF",E1049)),"In production",IF(J1049&gt;0,"Issued",IF(I1049&gt;0,"Kitted","Released")))))</f>
        <v/>
      </c>
      <c r="M1049" s="41" t="str">
        <f aca="false">IF(G1049&lt;&gt;"Yes","",COUNTIFS($B$6:$B$1505,B1049,$F$6:$F$1505,"&lt;"&amp;F1049)+COUNTIFS($B$6:$B$1505,B1049,$F$6:$F$1505,F1049,$A$6:$A$1505,"&lt;="&amp;A1049))</f>
        <v/>
      </c>
      <c r="N1049" s="41" t="str">
        <f aca="false">IF(M1049="","",ROUNDUP(M1049/H1049,0))</f>
        <v/>
      </c>
      <c r="O1049" s="41" t="str">
        <f aca="false">IF(N1049="","",IF(N1049&lt;='Kitting Plan'!$C$3,"Rep "&amp;N1049,"Surplus"))</f>
        <v/>
      </c>
    </row>
    <row r="1050" customFormat="false" ht="15" hidden="false" customHeight="false" outlineLevel="0" collapsed="false">
      <c r="A1050" s="40" t="str">
        <f aca="false">IF(OR($A$4=0,INDEX('COOIS Raw'!$A:$GZ,ROW()-4,$A$4)=""),"",IFERROR(--INDEX('COOIS Raw'!$A:$GZ,ROW()-4,$A$4),INDEX('COOIS Raw'!$A:$GZ,ROW()-4,$A$4)))</f>
        <v/>
      </c>
      <c r="B1050" s="41" t="str">
        <f aca="false">IF(A1050="","",TRIM(INDEX('COOIS Raw'!$A:$GZ,ROW()-4,$B$4)))</f>
        <v/>
      </c>
      <c r="C1050" s="42" t="str">
        <f aca="false">IF(OR(A1050="",$C$4=0),"",INDEX('COOIS Raw'!$A:$GZ,ROW()-4,$C$4))</f>
        <v/>
      </c>
      <c r="D1050" s="41" t="str">
        <f aca="false">IF(A1050="","",IF($D$4=0,1,IFERROR(--INDEX('COOIS Raw'!$A:$GZ,ROW()-4,$D$4),1)))</f>
        <v/>
      </c>
      <c r="E1050" s="42" t="str">
        <f aca="false">IF(A1050="","",INDEX('COOIS Raw'!$A:$GZ,ROW()-4,$E$4)&amp;"")</f>
        <v/>
      </c>
      <c r="F1050" s="43" t="str">
        <f aca="false">IF(A1050="","",IFERROR(DATEVALUE(INDEX('COOIS Raw'!$A:$GZ,ROW()-4,$F$4)),INDEX('COOIS Raw'!$A:$GZ,ROW()-4,$F$4)))</f>
        <v/>
      </c>
      <c r="G1050" s="41" t="str">
        <f aca="false">IF(A1050="","",IF(ISNA(MATCH(B1050,'Kitting Plan'!$B$6:$B$19,0)),"Not in plan","Yes"))</f>
        <v/>
      </c>
      <c r="H1050" s="41" t="str">
        <f aca="false">IF(G1050="Yes",INDEX('Kitting Plan'!$D$6:$D$19,MATCH(B1050,'Kitting Plan'!$B$6:$B$19,0)),"")</f>
        <v/>
      </c>
      <c r="I1050" s="41" t="str">
        <f aca="false">IF(A1050="","",IF(ISNUMBER(SEARCH("PRT",E1050)),D1050,0))</f>
        <v/>
      </c>
      <c r="J1050" s="41" t="str">
        <f aca="false">IF(A1050="","",IF(ISNUMBER(SEARCH("GMPS",E1050)),D1050,0))</f>
        <v/>
      </c>
      <c r="K1050" s="41" t="str">
        <f aca="false">IF(A1050="","",IF(ISNUMBER(SEARCH("DLV",E1050)),D1050,0))</f>
        <v/>
      </c>
      <c r="L1050" s="41" t="str">
        <f aca="false">IF(A1050="","",IF(K1050&gt;0,"Delivered",IF(ISNUMBER(SEARCH("CNF",E1050)),"In production",IF(J1050&gt;0,"Issued",IF(I1050&gt;0,"Kitted","Released")))))</f>
        <v/>
      </c>
      <c r="M1050" s="41" t="str">
        <f aca="false">IF(G1050&lt;&gt;"Yes","",COUNTIFS($B$6:$B$1505,B1050,$F$6:$F$1505,"&lt;"&amp;F1050)+COUNTIFS($B$6:$B$1505,B1050,$F$6:$F$1505,F1050,$A$6:$A$1505,"&lt;="&amp;A1050))</f>
        <v/>
      </c>
      <c r="N1050" s="41" t="str">
        <f aca="false">IF(M1050="","",ROUNDUP(M1050/H1050,0))</f>
        <v/>
      </c>
      <c r="O1050" s="41" t="str">
        <f aca="false">IF(N1050="","",IF(N1050&lt;='Kitting Plan'!$C$3,"Rep "&amp;N1050,"Surplus"))</f>
        <v/>
      </c>
    </row>
    <row r="1051" customFormat="false" ht="15" hidden="false" customHeight="false" outlineLevel="0" collapsed="false">
      <c r="A1051" s="40" t="str">
        <f aca="false">IF(OR($A$4=0,INDEX('COOIS Raw'!$A:$GZ,ROW()-4,$A$4)=""),"",IFERROR(--INDEX('COOIS Raw'!$A:$GZ,ROW()-4,$A$4),INDEX('COOIS Raw'!$A:$GZ,ROW()-4,$A$4)))</f>
        <v/>
      </c>
      <c r="B1051" s="41" t="str">
        <f aca="false">IF(A1051="","",TRIM(INDEX('COOIS Raw'!$A:$GZ,ROW()-4,$B$4)))</f>
        <v/>
      </c>
      <c r="C1051" s="42" t="str">
        <f aca="false">IF(OR(A1051="",$C$4=0),"",INDEX('COOIS Raw'!$A:$GZ,ROW()-4,$C$4))</f>
        <v/>
      </c>
      <c r="D1051" s="41" t="str">
        <f aca="false">IF(A1051="","",IF($D$4=0,1,IFERROR(--INDEX('COOIS Raw'!$A:$GZ,ROW()-4,$D$4),1)))</f>
        <v/>
      </c>
      <c r="E1051" s="42" t="str">
        <f aca="false">IF(A1051="","",INDEX('COOIS Raw'!$A:$GZ,ROW()-4,$E$4)&amp;"")</f>
        <v/>
      </c>
      <c r="F1051" s="43" t="str">
        <f aca="false">IF(A1051="","",IFERROR(DATEVALUE(INDEX('COOIS Raw'!$A:$GZ,ROW()-4,$F$4)),INDEX('COOIS Raw'!$A:$GZ,ROW()-4,$F$4)))</f>
        <v/>
      </c>
      <c r="G1051" s="41" t="str">
        <f aca="false">IF(A1051="","",IF(ISNA(MATCH(B1051,'Kitting Plan'!$B$6:$B$19,0)),"Not in plan","Yes"))</f>
        <v/>
      </c>
      <c r="H1051" s="41" t="str">
        <f aca="false">IF(G1051="Yes",INDEX('Kitting Plan'!$D$6:$D$19,MATCH(B1051,'Kitting Plan'!$B$6:$B$19,0)),"")</f>
        <v/>
      </c>
      <c r="I1051" s="41" t="str">
        <f aca="false">IF(A1051="","",IF(ISNUMBER(SEARCH("PRT",E1051)),D1051,0))</f>
        <v/>
      </c>
      <c r="J1051" s="41" t="str">
        <f aca="false">IF(A1051="","",IF(ISNUMBER(SEARCH("GMPS",E1051)),D1051,0))</f>
        <v/>
      </c>
      <c r="K1051" s="41" t="str">
        <f aca="false">IF(A1051="","",IF(ISNUMBER(SEARCH("DLV",E1051)),D1051,0))</f>
        <v/>
      </c>
      <c r="L1051" s="41" t="str">
        <f aca="false">IF(A1051="","",IF(K1051&gt;0,"Delivered",IF(ISNUMBER(SEARCH("CNF",E1051)),"In production",IF(J1051&gt;0,"Issued",IF(I1051&gt;0,"Kitted","Released")))))</f>
        <v/>
      </c>
      <c r="M1051" s="41" t="str">
        <f aca="false">IF(G1051&lt;&gt;"Yes","",COUNTIFS($B$6:$B$1505,B1051,$F$6:$F$1505,"&lt;"&amp;F1051)+COUNTIFS($B$6:$B$1505,B1051,$F$6:$F$1505,F1051,$A$6:$A$1505,"&lt;="&amp;A1051))</f>
        <v/>
      </c>
      <c r="N1051" s="41" t="str">
        <f aca="false">IF(M1051="","",ROUNDUP(M1051/H1051,0))</f>
        <v/>
      </c>
      <c r="O1051" s="41" t="str">
        <f aca="false">IF(N1051="","",IF(N1051&lt;='Kitting Plan'!$C$3,"Rep "&amp;N1051,"Surplus"))</f>
        <v/>
      </c>
    </row>
    <row r="1052" customFormat="false" ht="15" hidden="false" customHeight="false" outlineLevel="0" collapsed="false">
      <c r="A1052" s="40" t="str">
        <f aca="false">IF(OR($A$4=0,INDEX('COOIS Raw'!$A:$GZ,ROW()-4,$A$4)=""),"",IFERROR(--INDEX('COOIS Raw'!$A:$GZ,ROW()-4,$A$4),INDEX('COOIS Raw'!$A:$GZ,ROW()-4,$A$4)))</f>
        <v/>
      </c>
      <c r="B1052" s="41" t="str">
        <f aca="false">IF(A1052="","",TRIM(INDEX('COOIS Raw'!$A:$GZ,ROW()-4,$B$4)))</f>
        <v/>
      </c>
      <c r="C1052" s="42" t="str">
        <f aca="false">IF(OR(A1052="",$C$4=0),"",INDEX('COOIS Raw'!$A:$GZ,ROW()-4,$C$4))</f>
        <v/>
      </c>
      <c r="D1052" s="41" t="str">
        <f aca="false">IF(A1052="","",IF($D$4=0,1,IFERROR(--INDEX('COOIS Raw'!$A:$GZ,ROW()-4,$D$4),1)))</f>
        <v/>
      </c>
      <c r="E1052" s="42" t="str">
        <f aca="false">IF(A1052="","",INDEX('COOIS Raw'!$A:$GZ,ROW()-4,$E$4)&amp;"")</f>
        <v/>
      </c>
      <c r="F1052" s="43" t="str">
        <f aca="false">IF(A1052="","",IFERROR(DATEVALUE(INDEX('COOIS Raw'!$A:$GZ,ROW()-4,$F$4)),INDEX('COOIS Raw'!$A:$GZ,ROW()-4,$F$4)))</f>
        <v/>
      </c>
      <c r="G1052" s="41" t="str">
        <f aca="false">IF(A1052="","",IF(ISNA(MATCH(B1052,'Kitting Plan'!$B$6:$B$19,0)),"Not in plan","Yes"))</f>
        <v/>
      </c>
      <c r="H1052" s="41" t="str">
        <f aca="false">IF(G1052="Yes",INDEX('Kitting Plan'!$D$6:$D$19,MATCH(B1052,'Kitting Plan'!$B$6:$B$19,0)),"")</f>
        <v/>
      </c>
      <c r="I1052" s="41" t="str">
        <f aca="false">IF(A1052="","",IF(ISNUMBER(SEARCH("PRT",E1052)),D1052,0))</f>
        <v/>
      </c>
      <c r="J1052" s="41" t="str">
        <f aca="false">IF(A1052="","",IF(ISNUMBER(SEARCH("GMPS",E1052)),D1052,0))</f>
        <v/>
      </c>
      <c r="K1052" s="41" t="str">
        <f aca="false">IF(A1052="","",IF(ISNUMBER(SEARCH("DLV",E1052)),D1052,0))</f>
        <v/>
      </c>
      <c r="L1052" s="41" t="str">
        <f aca="false">IF(A1052="","",IF(K1052&gt;0,"Delivered",IF(ISNUMBER(SEARCH("CNF",E1052)),"In production",IF(J1052&gt;0,"Issued",IF(I1052&gt;0,"Kitted","Released")))))</f>
        <v/>
      </c>
      <c r="M1052" s="41" t="str">
        <f aca="false">IF(G1052&lt;&gt;"Yes","",COUNTIFS($B$6:$B$1505,B1052,$F$6:$F$1505,"&lt;"&amp;F1052)+COUNTIFS($B$6:$B$1505,B1052,$F$6:$F$1505,F1052,$A$6:$A$1505,"&lt;="&amp;A1052))</f>
        <v/>
      </c>
      <c r="N1052" s="41" t="str">
        <f aca="false">IF(M1052="","",ROUNDUP(M1052/H1052,0))</f>
        <v/>
      </c>
      <c r="O1052" s="41" t="str">
        <f aca="false">IF(N1052="","",IF(N1052&lt;='Kitting Plan'!$C$3,"Rep "&amp;N1052,"Surplus"))</f>
        <v/>
      </c>
    </row>
    <row r="1053" customFormat="false" ht="15" hidden="false" customHeight="false" outlineLevel="0" collapsed="false">
      <c r="A1053" s="40" t="str">
        <f aca="false">IF(OR($A$4=0,INDEX('COOIS Raw'!$A:$GZ,ROW()-4,$A$4)=""),"",IFERROR(--INDEX('COOIS Raw'!$A:$GZ,ROW()-4,$A$4),INDEX('COOIS Raw'!$A:$GZ,ROW()-4,$A$4)))</f>
        <v/>
      </c>
      <c r="B1053" s="41" t="str">
        <f aca="false">IF(A1053="","",TRIM(INDEX('COOIS Raw'!$A:$GZ,ROW()-4,$B$4)))</f>
        <v/>
      </c>
      <c r="C1053" s="42" t="str">
        <f aca="false">IF(OR(A1053="",$C$4=0),"",INDEX('COOIS Raw'!$A:$GZ,ROW()-4,$C$4))</f>
        <v/>
      </c>
      <c r="D1053" s="41" t="str">
        <f aca="false">IF(A1053="","",IF($D$4=0,1,IFERROR(--INDEX('COOIS Raw'!$A:$GZ,ROW()-4,$D$4),1)))</f>
        <v/>
      </c>
      <c r="E1053" s="42" t="str">
        <f aca="false">IF(A1053="","",INDEX('COOIS Raw'!$A:$GZ,ROW()-4,$E$4)&amp;"")</f>
        <v/>
      </c>
      <c r="F1053" s="43" t="str">
        <f aca="false">IF(A1053="","",IFERROR(DATEVALUE(INDEX('COOIS Raw'!$A:$GZ,ROW()-4,$F$4)),INDEX('COOIS Raw'!$A:$GZ,ROW()-4,$F$4)))</f>
        <v/>
      </c>
      <c r="G1053" s="41" t="str">
        <f aca="false">IF(A1053="","",IF(ISNA(MATCH(B1053,'Kitting Plan'!$B$6:$B$19,0)),"Not in plan","Yes"))</f>
        <v/>
      </c>
      <c r="H1053" s="41" t="str">
        <f aca="false">IF(G1053="Yes",INDEX('Kitting Plan'!$D$6:$D$19,MATCH(B1053,'Kitting Plan'!$B$6:$B$19,0)),"")</f>
        <v/>
      </c>
      <c r="I1053" s="41" t="str">
        <f aca="false">IF(A1053="","",IF(ISNUMBER(SEARCH("PRT",E1053)),D1053,0))</f>
        <v/>
      </c>
      <c r="J1053" s="41" t="str">
        <f aca="false">IF(A1053="","",IF(ISNUMBER(SEARCH("GMPS",E1053)),D1053,0))</f>
        <v/>
      </c>
      <c r="K1053" s="41" t="str">
        <f aca="false">IF(A1053="","",IF(ISNUMBER(SEARCH("DLV",E1053)),D1053,0))</f>
        <v/>
      </c>
      <c r="L1053" s="41" t="str">
        <f aca="false">IF(A1053="","",IF(K1053&gt;0,"Delivered",IF(ISNUMBER(SEARCH("CNF",E1053)),"In production",IF(J1053&gt;0,"Issued",IF(I1053&gt;0,"Kitted","Released")))))</f>
        <v/>
      </c>
      <c r="M1053" s="41" t="str">
        <f aca="false">IF(G1053&lt;&gt;"Yes","",COUNTIFS($B$6:$B$1505,B1053,$F$6:$F$1505,"&lt;"&amp;F1053)+COUNTIFS($B$6:$B$1505,B1053,$F$6:$F$1505,F1053,$A$6:$A$1505,"&lt;="&amp;A1053))</f>
        <v/>
      </c>
      <c r="N1053" s="41" t="str">
        <f aca="false">IF(M1053="","",ROUNDUP(M1053/H1053,0))</f>
        <v/>
      </c>
      <c r="O1053" s="41" t="str">
        <f aca="false">IF(N1053="","",IF(N1053&lt;='Kitting Plan'!$C$3,"Rep "&amp;N1053,"Surplus"))</f>
        <v/>
      </c>
    </row>
    <row r="1054" customFormat="false" ht="15" hidden="false" customHeight="false" outlineLevel="0" collapsed="false">
      <c r="A1054" s="40" t="str">
        <f aca="false">IF(OR($A$4=0,INDEX('COOIS Raw'!$A:$GZ,ROW()-4,$A$4)=""),"",IFERROR(--INDEX('COOIS Raw'!$A:$GZ,ROW()-4,$A$4),INDEX('COOIS Raw'!$A:$GZ,ROW()-4,$A$4)))</f>
        <v/>
      </c>
      <c r="B1054" s="41" t="str">
        <f aca="false">IF(A1054="","",TRIM(INDEX('COOIS Raw'!$A:$GZ,ROW()-4,$B$4)))</f>
        <v/>
      </c>
      <c r="C1054" s="42" t="str">
        <f aca="false">IF(OR(A1054="",$C$4=0),"",INDEX('COOIS Raw'!$A:$GZ,ROW()-4,$C$4))</f>
        <v/>
      </c>
      <c r="D1054" s="41" t="str">
        <f aca="false">IF(A1054="","",IF($D$4=0,1,IFERROR(--INDEX('COOIS Raw'!$A:$GZ,ROW()-4,$D$4),1)))</f>
        <v/>
      </c>
      <c r="E1054" s="42" t="str">
        <f aca="false">IF(A1054="","",INDEX('COOIS Raw'!$A:$GZ,ROW()-4,$E$4)&amp;"")</f>
        <v/>
      </c>
      <c r="F1054" s="43" t="str">
        <f aca="false">IF(A1054="","",IFERROR(DATEVALUE(INDEX('COOIS Raw'!$A:$GZ,ROW()-4,$F$4)),INDEX('COOIS Raw'!$A:$GZ,ROW()-4,$F$4)))</f>
        <v/>
      </c>
      <c r="G1054" s="41" t="str">
        <f aca="false">IF(A1054="","",IF(ISNA(MATCH(B1054,'Kitting Plan'!$B$6:$B$19,0)),"Not in plan","Yes"))</f>
        <v/>
      </c>
      <c r="H1054" s="41" t="str">
        <f aca="false">IF(G1054="Yes",INDEX('Kitting Plan'!$D$6:$D$19,MATCH(B1054,'Kitting Plan'!$B$6:$B$19,0)),"")</f>
        <v/>
      </c>
      <c r="I1054" s="41" t="str">
        <f aca="false">IF(A1054="","",IF(ISNUMBER(SEARCH("PRT",E1054)),D1054,0))</f>
        <v/>
      </c>
      <c r="J1054" s="41" t="str">
        <f aca="false">IF(A1054="","",IF(ISNUMBER(SEARCH("GMPS",E1054)),D1054,0))</f>
        <v/>
      </c>
      <c r="K1054" s="41" t="str">
        <f aca="false">IF(A1054="","",IF(ISNUMBER(SEARCH("DLV",E1054)),D1054,0))</f>
        <v/>
      </c>
      <c r="L1054" s="41" t="str">
        <f aca="false">IF(A1054="","",IF(K1054&gt;0,"Delivered",IF(ISNUMBER(SEARCH("CNF",E1054)),"In production",IF(J1054&gt;0,"Issued",IF(I1054&gt;0,"Kitted","Released")))))</f>
        <v/>
      </c>
      <c r="M1054" s="41" t="str">
        <f aca="false">IF(G1054&lt;&gt;"Yes","",COUNTIFS($B$6:$B$1505,B1054,$F$6:$F$1505,"&lt;"&amp;F1054)+COUNTIFS($B$6:$B$1505,B1054,$F$6:$F$1505,F1054,$A$6:$A$1505,"&lt;="&amp;A1054))</f>
        <v/>
      </c>
      <c r="N1054" s="41" t="str">
        <f aca="false">IF(M1054="","",ROUNDUP(M1054/H1054,0))</f>
        <v/>
      </c>
      <c r="O1054" s="41" t="str">
        <f aca="false">IF(N1054="","",IF(N1054&lt;='Kitting Plan'!$C$3,"Rep "&amp;N1054,"Surplus"))</f>
        <v/>
      </c>
    </row>
    <row r="1055" customFormat="false" ht="15" hidden="false" customHeight="false" outlineLevel="0" collapsed="false">
      <c r="A1055" s="40" t="str">
        <f aca="false">IF(OR($A$4=0,INDEX('COOIS Raw'!$A:$GZ,ROW()-4,$A$4)=""),"",IFERROR(--INDEX('COOIS Raw'!$A:$GZ,ROW()-4,$A$4),INDEX('COOIS Raw'!$A:$GZ,ROW()-4,$A$4)))</f>
        <v/>
      </c>
      <c r="B1055" s="41" t="str">
        <f aca="false">IF(A1055="","",TRIM(INDEX('COOIS Raw'!$A:$GZ,ROW()-4,$B$4)))</f>
        <v/>
      </c>
      <c r="C1055" s="42" t="str">
        <f aca="false">IF(OR(A1055="",$C$4=0),"",INDEX('COOIS Raw'!$A:$GZ,ROW()-4,$C$4))</f>
        <v/>
      </c>
      <c r="D1055" s="41" t="str">
        <f aca="false">IF(A1055="","",IF($D$4=0,1,IFERROR(--INDEX('COOIS Raw'!$A:$GZ,ROW()-4,$D$4),1)))</f>
        <v/>
      </c>
      <c r="E1055" s="42" t="str">
        <f aca="false">IF(A1055="","",INDEX('COOIS Raw'!$A:$GZ,ROW()-4,$E$4)&amp;"")</f>
        <v/>
      </c>
      <c r="F1055" s="43" t="str">
        <f aca="false">IF(A1055="","",IFERROR(DATEVALUE(INDEX('COOIS Raw'!$A:$GZ,ROW()-4,$F$4)),INDEX('COOIS Raw'!$A:$GZ,ROW()-4,$F$4)))</f>
        <v/>
      </c>
      <c r="G1055" s="41" t="str">
        <f aca="false">IF(A1055="","",IF(ISNA(MATCH(B1055,'Kitting Plan'!$B$6:$B$19,0)),"Not in plan","Yes"))</f>
        <v/>
      </c>
      <c r="H1055" s="41" t="str">
        <f aca="false">IF(G1055="Yes",INDEX('Kitting Plan'!$D$6:$D$19,MATCH(B1055,'Kitting Plan'!$B$6:$B$19,0)),"")</f>
        <v/>
      </c>
      <c r="I1055" s="41" t="str">
        <f aca="false">IF(A1055="","",IF(ISNUMBER(SEARCH("PRT",E1055)),D1055,0))</f>
        <v/>
      </c>
      <c r="J1055" s="41" t="str">
        <f aca="false">IF(A1055="","",IF(ISNUMBER(SEARCH("GMPS",E1055)),D1055,0))</f>
        <v/>
      </c>
      <c r="K1055" s="41" t="str">
        <f aca="false">IF(A1055="","",IF(ISNUMBER(SEARCH("DLV",E1055)),D1055,0))</f>
        <v/>
      </c>
      <c r="L1055" s="41" t="str">
        <f aca="false">IF(A1055="","",IF(K1055&gt;0,"Delivered",IF(ISNUMBER(SEARCH("CNF",E1055)),"In production",IF(J1055&gt;0,"Issued",IF(I1055&gt;0,"Kitted","Released")))))</f>
        <v/>
      </c>
      <c r="M1055" s="41" t="str">
        <f aca="false">IF(G1055&lt;&gt;"Yes","",COUNTIFS($B$6:$B$1505,B1055,$F$6:$F$1505,"&lt;"&amp;F1055)+COUNTIFS($B$6:$B$1505,B1055,$F$6:$F$1505,F1055,$A$6:$A$1505,"&lt;="&amp;A1055))</f>
        <v/>
      </c>
      <c r="N1055" s="41" t="str">
        <f aca="false">IF(M1055="","",ROUNDUP(M1055/H1055,0))</f>
        <v/>
      </c>
      <c r="O1055" s="41" t="str">
        <f aca="false">IF(N1055="","",IF(N1055&lt;='Kitting Plan'!$C$3,"Rep "&amp;N1055,"Surplus"))</f>
        <v/>
      </c>
    </row>
    <row r="1056" customFormat="false" ht="15" hidden="false" customHeight="false" outlineLevel="0" collapsed="false">
      <c r="A1056" s="40" t="str">
        <f aca="false">IF(OR($A$4=0,INDEX('COOIS Raw'!$A:$GZ,ROW()-4,$A$4)=""),"",IFERROR(--INDEX('COOIS Raw'!$A:$GZ,ROW()-4,$A$4),INDEX('COOIS Raw'!$A:$GZ,ROW()-4,$A$4)))</f>
        <v/>
      </c>
      <c r="B1056" s="41" t="str">
        <f aca="false">IF(A1056="","",TRIM(INDEX('COOIS Raw'!$A:$GZ,ROW()-4,$B$4)))</f>
        <v/>
      </c>
      <c r="C1056" s="42" t="str">
        <f aca="false">IF(OR(A1056="",$C$4=0),"",INDEX('COOIS Raw'!$A:$GZ,ROW()-4,$C$4))</f>
        <v/>
      </c>
      <c r="D1056" s="41" t="str">
        <f aca="false">IF(A1056="","",IF($D$4=0,1,IFERROR(--INDEX('COOIS Raw'!$A:$GZ,ROW()-4,$D$4),1)))</f>
        <v/>
      </c>
      <c r="E1056" s="42" t="str">
        <f aca="false">IF(A1056="","",INDEX('COOIS Raw'!$A:$GZ,ROW()-4,$E$4)&amp;"")</f>
        <v/>
      </c>
      <c r="F1056" s="43" t="str">
        <f aca="false">IF(A1056="","",IFERROR(DATEVALUE(INDEX('COOIS Raw'!$A:$GZ,ROW()-4,$F$4)),INDEX('COOIS Raw'!$A:$GZ,ROW()-4,$F$4)))</f>
        <v/>
      </c>
      <c r="G1056" s="41" t="str">
        <f aca="false">IF(A1056="","",IF(ISNA(MATCH(B1056,'Kitting Plan'!$B$6:$B$19,0)),"Not in plan","Yes"))</f>
        <v/>
      </c>
      <c r="H1056" s="41" t="str">
        <f aca="false">IF(G1056="Yes",INDEX('Kitting Plan'!$D$6:$D$19,MATCH(B1056,'Kitting Plan'!$B$6:$B$19,0)),"")</f>
        <v/>
      </c>
      <c r="I1056" s="41" t="str">
        <f aca="false">IF(A1056="","",IF(ISNUMBER(SEARCH("PRT",E1056)),D1056,0))</f>
        <v/>
      </c>
      <c r="J1056" s="41" t="str">
        <f aca="false">IF(A1056="","",IF(ISNUMBER(SEARCH("GMPS",E1056)),D1056,0))</f>
        <v/>
      </c>
      <c r="K1056" s="41" t="str">
        <f aca="false">IF(A1056="","",IF(ISNUMBER(SEARCH("DLV",E1056)),D1056,0))</f>
        <v/>
      </c>
      <c r="L1056" s="41" t="str">
        <f aca="false">IF(A1056="","",IF(K1056&gt;0,"Delivered",IF(ISNUMBER(SEARCH("CNF",E1056)),"In production",IF(J1056&gt;0,"Issued",IF(I1056&gt;0,"Kitted","Released")))))</f>
        <v/>
      </c>
      <c r="M1056" s="41" t="str">
        <f aca="false">IF(G1056&lt;&gt;"Yes","",COUNTIFS($B$6:$B$1505,B1056,$F$6:$F$1505,"&lt;"&amp;F1056)+COUNTIFS($B$6:$B$1505,B1056,$F$6:$F$1505,F1056,$A$6:$A$1505,"&lt;="&amp;A1056))</f>
        <v/>
      </c>
      <c r="N1056" s="41" t="str">
        <f aca="false">IF(M1056="","",ROUNDUP(M1056/H1056,0))</f>
        <v/>
      </c>
      <c r="O1056" s="41" t="str">
        <f aca="false">IF(N1056="","",IF(N1056&lt;='Kitting Plan'!$C$3,"Rep "&amp;N1056,"Surplus"))</f>
        <v/>
      </c>
    </row>
    <row r="1057" customFormat="false" ht="15" hidden="false" customHeight="false" outlineLevel="0" collapsed="false">
      <c r="A1057" s="40" t="str">
        <f aca="false">IF(OR($A$4=0,INDEX('COOIS Raw'!$A:$GZ,ROW()-4,$A$4)=""),"",IFERROR(--INDEX('COOIS Raw'!$A:$GZ,ROW()-4,$A$4),INDEX('COOIS Raw'!$A:$GZ,ROW()-4,$A$4)))</f>
        <v/>
      </c>
      <c r="B1057" s="41" t="str">
        <f aca="false">IF(A1057="","",TRIM(INDEX('COOIS Raw'!$A:$GZ,ROW()-4,$B$4)))</f>
        <v/>
      </c>
      <c r="C1057" s="42" t="str">
        <f aca="false">IF(OR(A1057="",$C$4=0),"",INDEX('COOIS Raw'!$A:$GZ,ROW()-4,$C$4))</f>
        <v/>
      </c>
      <c r="D1057" s="41" t="str">
        <f aca="false">IF(A1057="","",IF($D$4=0,1,IFERROR(--INDEX('COOIS Raw'!$A:$GZ,ROW()-4,$D$4),1)))</f>
        <v/>
      </c>
      <c r="E1057" s="42" t="str">
        <f aca="false">IF(A1057="","",INDEX('COOIS Raw'!$A:$GZ,ROW()-4,$E$4)&amp;"")</f>
        <v/>
      </c>
      <c r="F1057" s="43" t="str">
        <f aca="false">IF(A1057="","",IFERROR(DATEVALUE(INDEX('COOIS Raw'!$A:$GZ,ROW()-4,$F$4)),INDEX('COOIS Raw'!$A:$GZ,ROW()-4,$F$4)))</f>
        <v/>
      </c>
      <c r="G1057" s="41" t="str">
        <f aca="false">IF(A1057="","",IF(ISNA(MATCH(B1057,'Kitting Plan'!$B$6:$B$19,0)),"Not in plan","Yes"))</f>
        <v/>
      </c>
      <c r="H1057" s="41" t="str">
        <f aca="false">IF(G1057="Yes",INDEX('Kitting Plan'!$D$6:$D$19,MATCH(B1057,'Kitting Plan'!$B$6:$B$19,0)),"")</f>
        <v/>
      </c>
      <c r="I1057" s="41" t="str">
        <f aca="false">IF(A1057="","",IF(ISNUMBER(SEARCH("PRT",E1057)),D1057,0))</f>
        <v/>
      </c>
      <c r="J1057" s="41" t="str">
        <f aca="false">IF(A1057="","",IF(ISNUMBER(SEARCH("GMPS",E1057)),D1057,0))</f>
        <v/>
      </c>
      <c r="K1057" s="41" t="str">
        <f aca="false">IF(A1057="","",IF(ISNUMBER(SEARCH("DLV",E1057)),D1057,0))</f>
        <v/>
      </c>
      <c r="L1057" s="41" t="str">
        <f aca="false">IF(A1057="","",IF(K1057&gt;0,"Delivered",IF(ISNUMBER(SEARCH("CNF",E1057)),"In production",IF(J1057&gt;0,"Issued",IF(I1057&gt;0,"Kitted","Released")))))</f>
        <v/>
      </c>
      <c r="M1057" s="41" t="str">
        <f aca="false">IF(G1057&lt;&gt;"Yes","",COUNTIFS($B$6:$B$1505,B1057,$F$6:$F$1505,"&lt;"&amp;F1057)+COUNTIFS($B$6:$B$1505,B1057,$F$6:$F$1505,F1057,$A$6:$A$1505,"&lt;="&amp;A1057))</f>
        <v/>
      </c>
      <c r="N1057" s="41" t="str">
        <f aca="false">IF(M1057="","",ROUNDUP(M1057/H1057,0))</f>
        <v/>
      </c>
      <c r="O1057" s="41" t="str">
        <f aca="false">IF(N1057="","",IF(N1057&lt;='Kitting Plan'!$C$3,"Rep "&amp;N1057,"Surplus"))</f>
        <v/>
      </c>
    </row>
    <row r="1058" customFormat="false" ht="15" hidden="false" customHeight="false" outlineLevel="0" collapsed="false">
      <c r="A1058" s="40" t="str">
        <f aca="false">IF(OR($A$4=0,INDEX('COOIS Raw'!$A:$GZ,ROW()-4,$A$4)=""),"",IFERROR(--INDEX('COOIS Raw'!$A:$GZ,ROW()-4,$A$4),INDEX('COOIS Raw'!$A:$GZ,ROW()-4,$A$4)))</f>
        <v/>
      </c>
      <c r="B1058" s="41" t="str">
        <f aca="false">IF(A1058="","",TRIM(INDEX('COOIS Raw'!$A:$GZ,ROW()-4,$B$4)))</f>
        <v/>
      </c>
      <c r="C1058" s="42" t="str">
        <f aca="false">IF(OR(A1058="",$C$4=0),"",INDEX('COOIS Raw'!$A:$GZ,ROW()-4,$C$4))</f>
        <v/>
      </c>
      <c r="D1058" s="41" t="str">
        <f aca="false">IF(A1058="","",IF($D$4=0,1,IFERROR(--INDEX('COOIS Raw'!$A:$GZ,ROW()-4,$D$4),1)))</f>
        <v/>
      </c>
      <c r="E1058" s="42" t="str">
        <f aca="false">IF(A1058="","",INDEX('COOIS Raw'!$A:$GZ,ROW()-4,$E$4)&amp;"")</f>
        <v/>
      </c>
      <c r="F1058" s="43" t="str">
        <f aca="false">IF(A1058="","",IFERROR(DATEVALUE(INDEX('COOIS Raw'!$A:$GZ,ROW()-4,$F$4)),INDEX('COOIS Raw'!$A:$GZ,ROW()-4,$F$4)))</f>
        <v/>
      </c>
      <c r="G1058" s="41" t="str">
        <f aca="false">IF(A1058="","",IF(ISNA(MATCH(B1058,'Kitting Plan'!$B$6:$B$19,0)),"Not in plan","Yes"))</f>
        <v/>
      </c>
      <c r="H1058" s="41" t="str">
        <f aca="false">IF(G1058="Yes",INDEX('Kitting Plan'!$D$6:$D$19,MATCH(B1058,'Kitting Plan'!$B$6:$B$19,0)),"")</f>
        <v/>
      </c>
      <c r="I1058" s="41" t="str">
        <f aca="false">IF(A1058="","",IF(ISNUMBER(SEARCH("PRT",E1058)),D1058,0))</f>
        <v/>
      </c>
      <c r="J1058" s="41" t="str">
        <f aca="false">IF(A1058="","",IF(ISNUMBER(SEARCH("GMPS",E1058)),D1058,0))</f>
        <v/>
      </c>
      <c r="K1058" s="41" t="str">
        <f aca="false">IF(A1058="","",IF(ISNUMBER(SEARCH("DLV",E1058)),D1058,0))</f>
        <v/>
      </c>
      <c r="L1058" s="41" t="str">
        <f aca="false">IF(A1058="","",IF(K1058&gt;0,"Delivered",IF(ISNUMBER(SEARCH("CNF",E1058)),"In production",IF(J1058&gt;0,"Issued",IF(I1058&gt;0,"Kitted","Released")))))</f>
        <v/>
      </c>
      <c r="M1058" s="41" t="str">
        <f aca="false">IF(G1058&lt;&gt;"Yes","",COUNTIFS($B$6:$B$1505,B1058,$F$6:$F$1505,"&lt;"&amp;F1058)+COUNTIFS($B$6:$B$1505,B1058,$F$6:$F$1505,F1058,$A$6:$A$1505,"&lt;="&amp;A1058))</f>
        <v/>
      </c>
      <c r="N1058" s="41" t="str">
        <f aca="false">IF(M1058="","",ROUNDUP(M1058/H1058,0))</f>
        <v/>
      </c>
      <c r="O1058" s="41" t="str">
        <f aca="false">IF(N1058="","",IF(N1058&lt;='Kitting Plan'!$C$3,"Rep "&amp;N1058,"Surplus"))</f>
        <v/>
      </c>
    </row>
    <row r="1059" customFormat="false" ht="15" hidden="false" customHeight="false" outlineLevel="0" collapsed="false">
      <c r="A1059" s="40" t="str">
        <f aca="false">IF(OR($A$4=0,INDEX('COOIS Raw'!$A:$GZ,ROW()-4,$A$4)=""),"",IFERROR(--INDEX('COOIS Raw'!$A:$GZ,ROW()-4,$A$4),INDEX('COOIS Raw'!$A:$GZ,ROW()-4,$A$4)))</f>
        <v/>
      </c>
      <c r="B1059" s="41" t="str">
        <f aca="false">IF(A1059="","",TRIM(INDEX('COOIS Raw'!$A:$GZ,ROW()-4,$B$4)))</f>
        <v/>
      </c>
      <c r="C1059" s="42" t="str">
        <f aca="false">IF(OR(A1059="",$C$4=0),"",INDEX('COOIS Raw'!$A:$GZ,ROW()-4,$C$4))</f>
        <v/>
      </c>
      <c r="D1059" s="41" t="str">
        <f aca="false">IF(A1059="","",IF($D$4=0,1,IFERROR(--INDEX('COOIS Raw'!$A:$GZ,ROW()-4,$D$4),1)))</f>
        <v/>
      </c>
      <c r="E1059" s="42" t="str">
        <f aca="false">IF(A1059="","",INDEX('COOIS Raw'!$A:$GZ,ROW()-4,$E$4)&amp;"")</f>
        <v/>
      </c>
      <c r="F1059" s="43" t="str">
        <f aca="false">IF(A1059="","",IFERROR(DATEVALUE(INDEX('COOIS Raw'!$A:$GZ,ROW()-4,$F$4)),INDEX('COOIS Raw'!$A:$GZ,ROW()-4,$F$4)))</f>
        <v/>
      </c>
      <c r="G1059" s="41" t="str">
        <f aca="false">IF(A1059="","",IF(ISNA(MATCH(B1059,'Kitting Plan'!$B$6:$B$19,0)),"Not in plan","Yes"))</f>
        <v/>
      </c>
      <c r="H1059" s="41" t="str">
        <f aca="false">IF(G1059="Yes",INDEX('Kitting Plan'!$D$6:$D$19,MATCH(B1059,'Kitting Plan'!$B$6:$B$19,0)),"")</f>
        <v/>
      </c>
      <c r="I1059" s="41" t="str">
        <f aca="false">IF(A1059="","",IF(ISNUMBER(SEARCH("PRT",E1059)),D1059,0))</f>
        <v/>
      </c>
      <c r="J1059" s="41" t="str">
        <f aca="false">IF(A1059="","",IF(ISNUMBER(SEARCH("GMPS",E1059)),D1059,0))</f>
        <v/>
      </c>
      <c r="K1059" s="41" t="str">
        <f aca="false">IF(A1059="","",IF(ISNUMBER(SEARCH("DLV",E1059)),D1059,0))</f>
        <v/>
      </c>
      <c r="L1059" s="41" t="str">
        <f aca="false">IF(A1059="","",IF(K1059&gt;0,"Delivered",IF(ISNUMBER(SEARCH("CNF",E1059)),"In production",IF(J1059&gt;0,"Issued",IF(I1059&gt;0,"Kitted","Released")))))</f>
        <v/>
      </c>
      <c r="M1059" s="41" t="str">
        <f aca="false">IF(G1059&lt;&gt;"Yes","",COUNTIFS($B$6:$B$1505,B1059,$F$6:$F$1505,"&lt;"&amp;F1059)+COUNTIFS($B$6:$B$1505,B1059,$F$6:$F$1505,F1059,$A$6:$A$1505,"&lt;="&amp;A1059))</f>
        <v/>
      </c>
      <c r="N1059" s="41" t="str">
        <f aca="false">IF(M1059="","",ROUNDUP(M1059/H1059,0))</f>
        <v/>
      </c>
      <c r="O1059" s="41" t="str">
        <f aca="false">IF(N1059="","",IF(N1059&lt;='Kitting Plan'!$C$3,"Rep "&amp;N1059,"Surplus"))</f>
        <v/>
      </c>
    </row>
    <row r="1060" customFormat="false" ht="15" hidden="false" customHeight="false" outlineLevel="0" collapsed="false">
      <c r="A1060" s="40" t="str">
        <f aca="false">IF(OR($A$4=0,INDEX('COOIS Raw'!$A:$GZ,ROW()-4,$A$4)=""),"",IFERROR(--INDEX('COOIS Raw'!$A:$GZ,ROW()-4,$A$4),INDEX('COOIS Raw'!$A:$GZ,ROW()-4,$A$4)))</f>
        <v/>
      </c>
      <c r="B1060" s="41" t="str">
        <f aca="false">IF(A1060="","",TRIM(INDEX('COOIS Raw'!$A:$GZ,ROW()-4,$B$4)))</f>
        <v/>
      </c>
      <c r="C1060" s="42" t="str">
        <f aca="false">IF(OR(A1060="",$C$4=0),"",INDEX('COOIS Raw'!$A:$GZ,ROW()-4,$C$4))</f>
        <v/>
      </c>
      <c r="D1060" s="41" t="str">
        <f aca="false">IF(A1060="","",IF($D$4=0,1,IFERROR(--INDEX('COOIS Raw'!$A:$GZ,ROW()-4,$D$4),1)))</f>
        <v/>
      </c>
      <c r="E1060" s="42" t="str">
        <f aca="false">IF(A1060="","",INDEX('COOIS Raw'!$A:$GZ,ROW()-4,$E$4)&amp;"")</f>
        <v/>
      </c>
      <c r="F1060" s="43" t="str">
        <f aca="false">IF(A1060="","",IFERROR(DATEVALUE(INDEX('COOIS Raw'!$A:$GZ,ROW()-4,$F$4)),INDEX('COOIS Raw'!$A:$GZ,ROW()-4,$F$4)))</f>
        <v/>
      </c>
      <c r="G1060" s="41" t="str">
        <f aca="false">IF(A1060="","",IF(ISNA(MATCH(B1060,'Kitting Plan'!$B$6:$B$19,0)),"Not in plan","Yes"))</f>
        <v/>
      </c>
      <c r="H1060" s="41" t="str">
        <f aca="false">IF(G1060="Yes",INDEX('Kitting Plan'!$D$6:$D$19,MATCH(B1060,'Kitting Plan'!$B$6:$B$19,0)),"")</f>
        <v/>
      </c>
      <c r="I1060" s="41" t="str">
        <f aca="false">IF(A1060="","",IF(ISNUMBER(SEARCH("PRT",E1060)),D1060,0))</f>
        <v/>
      </c>
      <c r="J1060" s="41" t="str">
        <f aca="false">IF(A1060="","",IF(ISNUMBER(SEARCH("GMPS",E1060)),D1060,0))</f>
        <v/>
      </c>
      <c r="K1060" s="41" t="str">
        <f aca="false">IF(A1060="","",IF(ISNUMBER(SEARCH("DLV",E1060)),D1060,0))</f>
        <v/>
      </c>
      <c r="L1060" s="41" t="str">
        <f aca="false">IF(A1060="","",IF(K1060&gt;0,"Delivered",IF(ISNUMBER(SEARCH("CNF",E1060)),"In production",IF(J1060&gt;0,"Issued",IF(I1060&gt;0,"Kitted","Released")))))</f>
        <v/>
      </c>
      <c r="M1060" s="41" t="str">
        <f aca="false">IF(G1060&lt;&gt;"Yes","",COUNTIFS($B$6:$B$1505,B1060,$F$6:$F$1505,"&lt;"&amp;F1060)+COUNTIFS($B$6:$B$1505,B1060,$F$6:$F$1505,F1060,$A$6:$A$1505,"&lt;="&amp;A1060))</f>
        <v/>
      </c>
      <c r="N1060" s="41" t="str">
        <f aca="false">IF(M1060="","",ROUNDUP(M1060/H1060,0))</f>
        <v/>
      </c>
      <c r="O1060" s="41" t="str">
        <f aca="false">IF(N1060="","",IF(N1060&lt;='Kitting Plan'!$C$3,"Rep "&amp;N1060,"Surplus"))</f>
        <v/>
      </c>
    </row>
    <row r="1061" customFormat="false" ht="15" hidden="false" customHeight="false" outlineLevel="0" collapsed="false">
      <c r="A1061" s="40" t="str">
        <f aca="false">IF(OR($A$4=0,INDEX('COOIS Raw'!$A:$GZ,ROW()-4,$A$4)=""),"",IFERROR(--INDEX('COOIS Raw'!$A:$GZ,ROW()-4,$A$4),INDEX('COOIS Raw'!$A:$GZ,ROW()-4,$A$4)))</f>
        <v/>
      </c>
      <c r="B1061" s="41" t="str">
        <f aca="false">IF(A1061="","",TRIM(INDEX('COOIS Raw'!$A:$GZ,ROW()-4,$B$4)))</f>
        <v/>
      </c>
      <c r="C1061" s="42" t="str">
        <f aca="false">IF(OR(A1061="",$C$4=0),"",INDEX('COOIS Raw'!$A:$GZ,ROW()-4,$C$4))</f>
        <v/>
      </c>
      <c r="D1061" s="41" t="str">
        <f aca="false">IF(A1061="","",IF($D$4=0,1,IFERROR(--INDEX('COOIS Raw'!$A:$GZ,ROW()-4,$D$4),1)))</f>
        <v/>
      </c>
      <c r="E1061" s="42" t="str">
        <f aca="false">IF(A1061="","",INDEX('COOIS Raw'!$A:$GZ,ROW()-4,$E$4)&amp;"")</f>
        <v/>
      </c>
      <c r="F1061" s="43" t="str">
        <f aca="false">IF(A1061="","",IFERROR(DATEVALUE(INDEX('COOIS Raw'!$A:$GZ,ROW()-4,$F$4)),INDEX('COOIS Raw'!$A:$GZ,ROW()-4,$F$4)))</f>
        <v/>
      </c>
      <c r="G1061" s="41" t="str">
        <f aca="false">IF(A1061="","",IF(ISNA(MATCH(B1061,'Kitting Plan'!$B$6:$B$19,0)),"Not in plan","Yes"))</f>
        <v/>
      </c>
      <c r="H1061" s="41" t="str">
        <f aca="false">IF(G1061="Yes",INDEX('Kitting Plan'!$D$6:$D$19,MATCH(B1061,'Kitting Plan'!$B$6:$B$19,0)),"")</f>
        <v/>
      </c>
      <c r="I1061" s="41" t="str">
        <f aca="false">IF(A1061="","",IF(ISNUMBER(SEARCH("PRT",E1061)),D1061,0))</f>
        <v/>
      </c>
      <c r="J1061" s="41" t="str">
        <f aca="false">IF(A1061="","",IF(ISNUMBER(SEARCH("GMPS",E1061)),D1061,0))</f>
        <v/>
      </c>
      <c r="K1061" s="41" t="str">
        <f aca="false">IF(A1061="","",IF(ISNUMBER(SEARCH("DLV",E1061)),D1061,0))</f>
        <v/>
      </c>
      <c r="L1061" s="41" t="str">
        <f aca="false">IF(A1061="","",IF(K1061&gt;0,"Delivered",IF(ISNUMBER(SEARCH("CNF",E1061)),"In production",IF(J1061&gt;0,"Issued",IF(I1061&gt;0,"Kitted","Released")))))</f>
        <v/>
      </c>
      <c r="M1061" s="41" t="str">
        <f aca="false">IF(G1061&lt;&gt;"Yes","",COUNTIFS($B$6:$B$1505,B1061,$F$6:$F$1505,"&lt;"&amp;F1061)+COUNTIFS($B$6:$B$1505,B1061,$F$6:$F$1505,F1061,$A$6:$A$1505,"&lt;="&amp;A1061))</f>
        <v/>
      </c>
      <c r="N1061" s="41" t="str">
        <f aca="false">IF(M1061="","",ROUNDUP(M1061/H1061,0))</f>
        <v/>
      </c>
      <c r="O1061" s="41" t="str">
        <f aca="false">IF(N1061="","",IF(N1061&lt;='Kitting Plan'!$C$3,"Rep "&amp;N1061,"Surplus"))</f>
        <v/>
      </c>
    </row>
    <row r="1062" customFormat="false" ht="15" hidden="false" customHeight="false" outlineLevel="0" collapsed="false">
      <c r="A1062" s="40" t="str">
        <f aca="false">IF(OR($A$4=0,INDEX('COOIS Raw'!$A:$GZ,ROW()-4,$A$4)=""),"",IFERROR(--INDEX('COOIS Raw'!$A:$GZ,ROW()-4,$A$4),INDEX('COOIS Raw'!$A:$GZ,ROW()-4,$A$4)))</f>
        <v/>
      </c>
      <c r="B1062" s="41" t="str">
        <f aca="false">IF(A1062="","",TRIM(INDEX('COOIS Raw'!$A:$GZ,ROW()-4,$B$4)))</f>
        <v/>
      </c>
      <c r="C1062" s="42" t="str">
        <f aca="false">IF(OR(A1062="",$C$4=0),"",INDEX('COOIS Raw'!$A:$GZ,ROW()-4,$C$4))</f>
        <v/>
      </c>
      <c r="D1062" s="41" t="str">
        <f aca="false">IF(A1062="","",IF($D$4=0,1,IFERROR(--INDEX('COOIS Raw'!$A:$GZ,ROW()-4,$D$4),1)))</f>
        <v/>
      </c>
      <c r="E1062" s="42" t="str">
        <f aca="false">IF(A1062="","",INDEX('COOIS Raw'!$A:$GZ,ROW()-4,$E$4)&amp;"")</f>
        <v/>
      </c>
      <c r="F1062" s="43" t="str">
        <f aca="false">IF(A1062="","",IFERROR(DATEVALUE(INDEX('COOIS Raw'!$A:$GZ,ROW()-4,$F$4)),INDEX('COOIS Raw'!$A:$GZ,ROW()-4,$F$4)))</f>
        <v/>
      </c>
      <c r="G1062" s="41" t="str">
        <f aca="false">IF(A1062="","",IF(ISNA(MATCH(B1062,'Kitting Plan'!$B$6:$B$19,0)),"Not in plan","Yes"))</f>
        <v/>
      </c>
      <c r="H1062" s="41" t="str">
        <f aca="false">IF(G1062="Yes",INDEX('Kitting Plan'!$D$6:$D$19,MATCH(B1062,'Kitting Plan'!$B$6:$B$19,0)),"")</f>
        <v/>
      </c>
      <c r="I1062" s="41" t="str">
        <f aca="false">IF(A1062="","",IF(ISNUMBER(SEARCH("PRT",E1062)),D1062,0))</f>
        <v/>
      </c>
      <c r="J1062" s="41" t="str">
        <f aca="false">IF(A1062="","",IF(ISNUMBER(SEARCH("GMPS",E1062)),D1062,0))</f>
        <v/>
      </c>
      <c r="K1062" s="41" t="str">
        <f aca="false">IF(A1062="","",IF(ISNUMBER(SEARCH("DLV",E1062)),D1062,0))</f>
        <v/>
      </c>
      <c r="L1062" s="41" t="str">
        <f aca="false">IF(A1062="","",IF(K1062&gt;0,"Delivered",IF(ISNUMBER(SEARCH("CNF",E1062)),"In production",IF(J1062&gt;0,"Issued",IF(I1062&gt;0,"Kitted","Released")))))</f>
        <v/>
      </c>
      <c r="M1062" s="41" t="str">
        <f aca="false">IF(G1062&lt;&gt;"Yes","",COUNTIFS($B$6:$B$1505,B1062,$F$6:$F$1505,"&lt;"&amp;F1062)+COUNTIFS($B$6:$B$1505,B1062,$F$6:$F$1505,F1062,$A$6:$A$1505,"&lt;="&amp;A1062))</f>
        <v/>
      </c>
      <c r="N1062" s="41" t="str">
        <f aca="false">IF(M1062="","",ROUNDUP(M1062/H1062,0))</f>
        <v/>
      </c>
      <c r="O1062" s="41" t="str">
        <f aca="false">IF(N1062="","",IF(N1062&lt;='Kitting Plan'!$C$3,"Rep "&amp;N1062,"Surplus"))</f>
        <v/>
      </c>
    </row>
    <row r="1063" customFormat="false" ht="15" hidden="false" customHeight="false" outlineLevel="0" collapsed="false">
      <c r="A1063" s="40" t="str">
        <f aca="false">IF(OR($A$4=0,INDEX('COOIS Raw'!$A:$GZ,ROW()-4,$A$4)=""),"",IFERROR(--INDEX('COOIS Raw'!$A:$GZ,ROW()-4,$A$4),INDEX('COOIS Raw'!$A:$GZ,ROW()-4,$A$4)))</f>
        <v/>
      </c>
      <c r="B1063" s="41" t="str">
        <f aca="false">IF(A1063="","",TRIM(INDEX('COOIS Raw'!$A:$GZ,ROW()-4,$B$4)))</f>
        <v/>
      </c>
      <c r="C1063" s="42" t="str">
        <f aca="false">IF(OR(A1063="",$C$4=0),"",INDEX('COOIS Raw'!$A:$GZ,ROW()-4,$C$4))</f>
        <v/>
      </c>
      <c r="D1063" s="41" t="str">
        <f aca="false">IF(A1063="","",IF($D$4=0,1,IFERROR(--INDEX('COOIS Raw'!$A:$GZ,ROW()-4,$D$4),1)))</f>
        <v/>
      </c>
      <c r="E1063" s="42" t="str">
        <f aca="false">IF(A1063="","",INDEX('COOIS Raw'!$A:$GZ,ROW()-4,$E$4)&amp;"")</f>
        <v/>
      </c>
      <c r="F1063" s="43" t="str">
        <f aca="false">IF(A1063="","",IFERROR(DATEVALUE(INDEX('COOIS Raw'!$A:$GZ,ROW()-4,$F$4)),INDEX('COOIS Raw'!$A:$GZ,ROW()-4,$F$4)))</f>
        <v/>
      </c>
      <c r="G1063" s="41" t="str">
        <f aca="false">IF(A1063="","",IF(ISNA(MATCH(B1063,'Kitting Plan'!$B$6:$B$19,0)),"Not in plan","Yes"))</f>
        <v/>
      </c>
      <c r="H1063" s="41" t="str">
        <f aca="false">IF(G1063="Yes",INDEX('Kitting Plan'!$D$6:$D$19,MATCH(B1063,'Kitting Plan'!$B$6:$B$19,0)),"")</f>
        <v/>
      </c>
      <c r="I1063" s="41" t="str">
        <f aca="false">IF(A1063="","",IF(ISNUMBER(SEARCH("PRT",E1063)),D1063,0))</f>
        <v/>
      </c>
      <c r="J1063" s="41" t="str">
        <f aca="false">IF(A1063="","",IF(ISNUMBER(SEARCH("GMPS",E1063)),D1063,0))</f>
        <v/>
      </c>
      <c r="K1063" s="41" t="str">
        <f aca="false">IF(A1063="","",IF(ISNUMBER(SEARCH("DLV",E1063)),D1063,0))</f>
        <v/>
      </c>
      <c r="L1063" s="41" t="str">
        <f aca="false">IF(A1063="","",IF(K1063&gt;0,"Delivered",IF(ISNUMBER(SEARCH("CNF",E1063)),"In production",IF(J1063&gt;0,"Issued",IF(I1063&gt;0,"Kitted","Released")))))</f>
        <v/>
      </c>
      <c r="M1063" s="41" t="str">
        <f aca="false">IF(G1063&lt;&gt;"Yes","",COUNTIFS($B$6:$B$1505,B1063,$F$6:$F$1505,"&lt;"&amp;F1063)+COUNTIFS($B$6:$B$1505,B1063,$F$6:$F$1505,F1063,$A$6:$A$1505,"&lt;="&amp;A1063))</f>
        <v/>
      </c>
      <c r="N1063" s="41" t="str">
        <f aca="false">IF(M1063="","",ROUNDUP(M1063/H1063,0))</f>
        <v/>
      </c>
      <c r="O1063" s="41" t="str">
        <f aca="false">IF(N1063="","",IF(N1063&lt;='Kitting Plan'!$C$3,"Rep "&amp;N1063,"Surplus"))</f>
        <v/>
      </c>
    </row>
    <row r="1064" customFormat="false" ht="15" hidden="false" customHeight="false" outlineLevel="0" collapsed="false">
      <c r="A1064" s="40" t="str">
        <f aca="false">IF(OR($A$4=0,INDEX('COOIS Raw'!$A:$GZ,ROW()-4,$A$4)=""),"",IFERROR(--INDEX('COOIS Raw'!$A:$GZ,ROW()-4,$A$4),INDEX('COOIS Raw'!$A:$GZ,ROW()-4,$A$4)))</f>
        <v/>
      </c>
      <c r="B1064" s="41" t="str">
        <f aca="false">IF(A1064="","",TRIM(INDEX('COOIS Raw'!$A:$GZ,ROW()-4,$B$4)))</f>
        <v/>
      </c>
      <c r="C1064" s="42" t="str">
        <f aca="false">IF(OR(A1064="",$C$4=0),"",INDEX('COOIS Raw'!$A:$GZ,ROW()-4,$C$4))</f>
        <v/>
      </c>
      <c r="D1064" s="41" t="str">
        <f aca="false">IF(A1064="","",IF($D$4=0,1,IFERROR(--INDEX('COOIS Raw'!$A:$GZ,ROW()-4,$D$4),1)))</f>
        <v/>
      </c>
      <c r="E1064" s="42" t="str">
        <f aca="false">IF(A1064="","",INDEX('COOIS Raw'!$A:$GZ,ROW()-4,$E$4)&amp;"")</f>
        <v/>
      </c>
      <c r="F1064" s="43" t="str">
        <f aca="false">IF(A1064="","",IFERROR(DATEVALUE(INDEX('COOIS Raw'!$A:$GZ,ROW()-4,$F$4)),INDEX('COOIS Raw'!$A:$GZ,ROW()-4,$F$4)))</f>
        <v/>
      </c>
      <c r="G1064" s="41" t="str">
        <f aca="false">IF(A1064="","",IF(ISNA(MATCH(B1064,'Kitting Plan'!$B$6:$B$19,0)),"Not in plan","Yes"))</f>
        <v/>
      </c>
      <c r="H1064" s="41" t="str">
        <f aca="false">IF(G1064="Yes",INDEX('Kitting Plan'!$D$6:$D$19,MATCH(B1064,'Kitting Plan'!$B$6:$B$19,0)),"")</f>
        <v/>
      </c>
      <c r="I1064" s="41" t="str">
        <f aca="false">IF(A1064="","",IF(ISNUMBER(SEARCH("PRT",E1064)),D1064,0))</f>
        <v/>
      </c>
      <c r="J1064" s="41" t="str">
        <f aca="false">IF(A1064="","",IF(ISNUMBER(SEARCH("GMPS",E1064)),D1064,0))</f>
        <v/>
      </c>
      <c r="K1064" s="41" t="str">
        <f aca="false">IF(A1064="","",IF(ISNUMBER(SEARCH("DLV",E1064)),D1064,0))</f>
        <v/>
      </c>
      <c r="L1064" s="41" t="str">
        <f aca="false">IF(A1064="","",IF(K1064&gt;0,"Delivered",IF(ISNUMBER(SEARCH("CNF",E1064)),"In production",IF(J1064&gt;0,"Issued",IF(I1064&gt;0,"Kitted","Released")))))</f>
        <v/>
      </c>
      <c r="M1064" s="41" t="str">
        <f aca="false">IF(G1064&lt;&gt;"Yes","",COUNTIFS($B$6:$B$1505,B1064,$F$6:$F$1505,"&lt;"&amp;F1064)+COUNTIFS($B$6:$B$1505,B1064,$F$6:$F$1505,F1064,$A$6:$A$1505,"&lt;="&amp;A1064))</f>
        <v/>
      </c>
      <c r="N1064" s="41" t="str">
        <f aca="false">IF(M1064="","",ROUNDUP(M1064/H1064,0))</f>
        <v/>
      </c>
      <c r="O1064" s="41" t="str">
        <f aca="false">IF(N1064="","",IF(N1064&lt;='Kitting Plan'!$C$3,"Rep "&amp;N1064,"Surplus"))</f>
        <v/>
      </c>
    </row>
    <row r="1065" customFormat="false" ht="15" hidden="false" customHeight="false" outlineLevel="0" collapsed="false">
      <c r="A1065" s="40" t="str">
        <f aca="false">IF(OR($A$4=0,INDEX('COOIS Raw'!$A:$GZ,ROW()-4,$A$4)=""),"",IFERROR(--INDEX('COOIS Raw'!$A:$GZ,ROW()-4,$A$4),INDEX('COOIS Raw'!$A:$GZ,ROW()-4,$A$4)))</f>
        <v/>
      </c>
      <c r="B1065" s="41" t="str">
        <f aca="false">IF(A1065="","",TRIM(INDEX('COOIS Raw'!$A:$GZ,ROW()-4,$B$4)))</f>
        <v/>
      </c>
      <c r="C1065" s="42" t="str">
        <f aca="false">IF(OR(A1065="",$C$4=0),"",INDEX('COOIS Raw'!$A:$GZ,ROW()-4,$C$4))</f>
        <v/>
      </c>
      <c r="D1065" s="41" t="str">
        <f aca="false">IF(A1065="","",IF($D$4=0,1,IFERROR(--INDEX('COOIS Raw'!$A:$GZ,ROW()-4,$D$4),1)))</f>
        <v/>
      </c>
      <c r="E1065" s="42" t="str">
        <f aca="false">IF(A1065="","",INDEX('COOIS Raw'!$A:$GZ,ROW()-4,$E$4)&amp;"")</f>
        <v/>
      </c>
      <c r="F1065" s="43" t="str">
        <f aca="false">IF(A1065="","",IFERROR(DATEVALUE(INDEX('COOIS Raw'!$A:$GZ,ROW()-4,$F$4)),INDEX('COOIS Raw'!$A:$GZ,ROW()-4,$F$4)))</f>
        <v/>
      </c>
      <c r="G1065" s="41" t="str">
        <f aca="false">IF(A1065="","",IF(ISNA(MATCH(B1065,'Kitting Plan'!$B$6:$B$19,0)),"Not in plan","Yes"))</f>
        <v/>
      </c>
      <c r="H1065" s="41" t="str">
        <f aca="false">IF(G1065="Yes",INDEX('Kitting Plan'!$D$6:$D$19,MATCH(B1065,'Kitting Plan'!$B$6:$B$19,0)),"")</f>
        <v/>
      </c>
      <c r="I1065" s="41" t="str">
        <f aca="false">IF(A1065="","",IF(ISNUMBER(SEARCH("PRT",E1065)),D1065,0))</f>
        <v/>
      </c>
      <c r="J1065" s="41" t="str">
        <f aca="false">IF(A1065="","",IF(ISNUMBER(SEARCH("GMPS",E1065)),D1065,0))</f>
        <v/>
      </c>
      <c r="K1065" s="41" t="str">
        <f aca="false">IF(A1065="","",IF(ISNUMBER(SEARCH("DLV",E1065)),D1065,0))</f>
        <v/>
      </c>
      <c r="L1065" s="41" t="str">
        <f aca="false">IF(A1065="","",IF(K1065&gt;0,"Delivered",IF(ISNUMBER(SEARCH("CNF",E1065)),"In production",IF(J1065&gt;0,"Issued",IF(I1065&gt;0,"Kitted","Released")))))</f>
        <v/>
      </c>
      <c r="M1065" s="41" t="str">
        <f aca="false">IF(G1065&lt;&gt;"Yes","",COUNTIFS($B$6:$B$1505,B1065,$F$6:$F$1505,"&lt;"&amp;F1065)+COUNTIFS($B$6:$B$1505,B1065,$F$6:$F$1505,F1065,$A$6:$A$1505,"&lt;="&amp;A1065))</f>
        <v/>
      </c>
      <c r="N1065" s="41" t="str">
        <f aca="false">IF(M1065="","",ROUNDUP(M1065/H1065,0))</f>
        <v/>
      </c>
      <c r="O1065" s="41" t="str">
        <f aca="false">IF(N1065="","",IF(N1065&lt;='Kitting Plan'!$C$3,"Rep "&amp;N1065,"Surplus"))</f>
        <v/>
      </c>
    </row>
    <row r="1066" customFormat="false" ht="15" hidden="false" customHeight="false" outlineLevel="0" collapsed="false">
      <c r="A1066" s="40" t="str">
        <f aca="false">IF(OR($A$4=0,INDEX('COOIS Raw'!$A:$GZ,ROW()-4,$A$4)=""),"",IFERROR(--INDEX('COOIS Raw'!$A:$GZ,ROW()-4,$A$4),INDEX('COOIS Raw'!$A:$GZ,ROW()-4,$A$4)))</f>
        <v/>
      </c>
      <c r="B1066" s="41" t="str">
        <f aca="false">IF(A1066="","",TRIM(INDEX('COOIS Raw'!$A:$GZ,ROW()-4,$B$4)))</f>
        <v/>
      </c>
      <c r="C1066" s="42" t="str">
        <f aca="false">IF(OR(A1066="",$C$4=0),"",INDEX('COOIS Raw'!$A:$GZ,ROW()-4,$C$4))</f>
        <v/>
      </c>
      <c r="D1066" s="41" t="str">
        <f aca="false">IF(A1066="","",IF($D$4=0,1,IFERROR(--INDEX('COOIS Raw'!$A:$GZ,ROW()-4,$D$4),1)))</f>
        <v/>
      </c>
      <c r="E1066" s="42" t="str">
        <f aca="false">IF(A1066="","",INDEX('COOIS Raw'!$A:$GZ,ROW()-4,$E$4)&amp;"")</f>
        <v/>
      </c>
      <c r="F1066" s="43" t="str">
        <f aca="false">IF(A1066="","",IFERROR(DATEVALUE(INDEX('COOIS Raw'!$A:$GZ,ROW()-4,$F$4)),INDEX('COOIS Raw'!$A:$GZ,ROW()-4,$F$4)))</f>
        <v/>
      </c>
      <c r="G1066" s="41" t="str">
        <f aca="false">IF(A1066="","",IF(ISNA(MATCH(B1066,'Kitting Plan'!$B$6:$B$19,0)),"Not in plan","Yes"))</f>
        <v/>
      </c>
      <c r="H1066" s="41" t="str">
        <f aca="false">IF(G1066="Yes",INDEX('Kitting Plan'!$D$6:$D$19,MATCH(B1066,'Kitting Plan'!$B$6:$B$19,0)),"")</f>
        <v/>
      </c>
      <c r="I1066" s="41" t="str">
        <f aca="false">IF(A1066="","",IF(ISNUMBER(SEARCH("PRT",E1066)),D1066,0))</f>
        <v/>
      </c>
      <c r="J1066" s="41" t="str">
        <f aca="false">IF(A1066="","",IF(ISNUMBER(SEARCH("GMPS",E1066)),D1066,0))</f>
        <v/>
      </c>
      <c r="K1066" s="41" t="str">
        <f aca="false">IF(A1066="","",IF(ISNUMBER(SEARCH("DLV",E1066)),D1066,0))</f>
        <v/>
      </c>
      <c r="L1066" s="41" t="str">
        <f aca="false">IF(A1066="","",IF(K1066&gt;0,"Delivered",IF(ISNUMBER(SEARCH("CNF",E1066)),"In production",IF(J1066&gt;0,"Issued",IF(I1066&gt;0,"Kitted","Released")))))</f>
        <v/>
      </c>
      <c r="M1066" s="41" t="str">
        <f aca="false">IF(G1066&lt;&gt;"Yes","",COUNTIFS($B$6:$B$1505,B1066,$F$6:$F$1505,"&lt;"&amp;F1066)+COUNTIFS($B$6:$B$1505,B1066,$F$6:$F$1505,F1066,$A$6:$A$1505,"&lt;="&amp;A1066))</f>
        <v/>
      </c>
      <c r="N1066" s="41" t="str">
        <f aca="false">IF(M1066="","",ROUNDUP(M1066/H1066,0))</f>
        <v/>
      </c>
      <c r="O1066" s="41" t="str">
        <f aca="false">IF(N1066="","",IF(N1066&lt;='Kitting Plan'!$C$3,"Rep "&amp;N1066,"Surplus"))</f>
        <v/>
      </c>
    </row>
    <row r="1067" customFormat="false" ht="15" hidden="false" customHeight="false" outlineLevel="0" collapsed="false">
      <c r="A1067" s="40" t="str">
        <f aca="false">IF(OR($A$4=0,INDEX('COOIS Raw'!$A:$GZ,ROW()-4,$A$4)=""),"",IFERROR(--INDEX('COOIS Raw'!$A:$GZ,ROW()-4,$A$4),INDEX('COOIS Raw'!$A:$GZ,ROW()-4,$A$4)))</f>
        <v/>
      </c>
      <c r="B1067" s="41" t="str">
        <f aca="false">IF(A1067="","",TRIM(INDEX('COOIS Raw'!$A:$GZ,ROW()-4,$B$4)))</f>
        <v/>
      </c>
      <c r="C1067" s="42" t="str">
        <f aca="false">IF(OR(A1067="",$C$4=0),"",INDEX('COOIS Raw'!$A:$GZ,ROW()-4,$C$4))</f>
        <v/>
      </c>
      <c r="D1067" s="41" t="str">
        <f aca="false">IF(A1067="","",IF($D$4=0,1,IFERROR(--INDEX('COOIS Raw'!$A:$GZ,ROW()-4,$D$4),1)))</f>
        <v/>
      </c>
      <c r="E1067" s="42" t="str">
        <f aca="false">IF(A1067="","",INDEX('COOIS Raw'!$A:$GZ,ROW()-4,$E$4)&amp;"")</f>
        <v/>
      </c>
      <c r="F1067" s="43" t="str">
        <f aca="false">IF(A1067="","",IFERROR(DATEVALUE(INDEX('COOIS Raw'!$A:$GZ,ROW()-4,$F$4)),INDEX('COOIS Raw'!$A:$GZ,ROW()-4,$F$4)))</f>
        <v/>
      </c>
      <c r="G1067" s="41" t="str">
        <f aca="false">IF(A1067="","",IF(ISNA(MATCH(B1067,'Kitting Plan'!$B$6:$B$19,0)),"Not in plan","Yes"))</f>
        <v/>
      </c>
      <c r="H1067" s="41" t="str">
        <f aca="false">IF(G1067="Yes",INDEX('Kitting Plan'!$D$6:$D$19,MATCH(B1067,'Kitting Plan'!$B$6:$B$19,0)),"")</f>
        <v/>
      </c>
      <c r="I1067" s="41" t="str">
        <f aca="false">IF(A1067="","",IF(ISNUMBER(SEARCH("PRT",E1067)),D1067,0))</f>
        <v/>
      </c>
      <c r="J1067" s="41" t="str">
        <f aca="false">IF(A1067="","",IF(ISNUMBER(SEARCH("GMPS",E1067)),D1067,0))</f>
        <v/>
      </c>
      <c r="K1067" s="41" t="str">
        <f aca="false">IF(A1067="","",IF(ISNUMBER(SEARCH("DLV",E1067)),D1067,0))</f>
        <v/>
      </c>
      <c r="L1067" s="41" t="str">
        <f aca="false">IF(A1067="","",IF(K1067&gt;0,"Delivered",IF(ISNUMBER(SEARCH("CNF",E1067)),"In production",IF(J1067&gt;0,"Issued",IF(I1067&gt;0,"Kitted","Released")))))</f>
        <v/>
      </c>
      <c r="M1067" s="41" t="str">
        <f aca="false">IF(G1067&lt;&gt;"Yes","",COUNTIFS($B$6:$B$1505,B1067,$F$6:$F$1505,"&lt;"&amp;F1067)+COUNTIFS($B$6:$B$1505,B1067,$F$6:$F$1505,F1067,$A$6:$A$1505,"&lt;="&amp;A1067))</f>
        <v/>
      </c>
      <c r="N1067" s="41" t="str">
        <f aca="false">IF(M1067="","",ROUNDUP(M1067/H1067,0))</f>
        <v/>
      </c>
      <c r="O1067" s="41" t="str">
        <f aca="false">IF(N1067="","",IF(N1067&lt;='Kitting Plan'!$C$3,"Rep "&amp;N1067,"Surplus"))</f>
        <v/>
      </c>
    </row>
    <row r="1068" customFormat="false" ht="15" hidden="false" customHeight="false" outlineLevel="0" collapsed="false">
      <c r="A1068" s="40" t="str">
        <f aca="false">IF(OR($A$4=0,INDEX('COOIS Raw'!$A:$GZ,ROW()-4,$A$4)=""),"",IFERROR(--INDEX('COOIS Raw'!$A:$GZ,ROW()-4,$A$4),INDEX('COOIS Raw'!$A:$GZ,ROW()-4,$A$4)))</f>
        <v/>
      </c>
      <c r="B1068" s="41" t="str">
        <f aca="false">IF(A1068="","",TRIM(INDEX('COOIS Raw'!$A:$GZ,ROW()-4,$B$4)))</f>
        <v/>
      </c>
      <c r="C1068" s="42" t="str">
        <f aca="false">IF(OR(A1068="",$C$4=0),"",INDEX('COOIS Raw'!$A:$GZ,ROW()-4,$C$4))</f>
        <v/>
      </c>
      <c r="D1068" s="41" t="str">
        <f aca="false">IF(A1068="","",IF($D$4=0,1,IFERROR(--INDEX('COOIS Raw'!$A:$GZ,ROW()-4,$D$4),1)))</f>
        <v/>
      </c>
      <c r="E1068" s="42" t="str">
        <f aca="false">IF(A1068="","",INDEX('COOIS Raw'!$A:$GZ,ROW()-4,$E$4)&amp;"")</f>
        <v/>
      </c>
      <c r="F1068" s="43" t="str">
        <f aca="false">IF(A1068="","",IFERROR(DATEVALUE(INDEX('COOIS Raw'!$A:$GZ,ROW()-4,$F$4)),INDEX('COOIS Raw'!$A:$GZ,ROW()-4,$F$4)))</f>
        <v/>
      </c>
      <c r="G1068" s="41" t="str">
        <f aca="false">IF(A1068="","",IF(ISNA(MATCH(B1068,'Kitting Plan'!$B$6:$B$19,0)),"Not in plan","Yes"))</f>
        <v/>
      </c>
      <c r="H1068" s="41" t="str">
        <f aca="false">IF(G1068="Yes",INDEX('Kitting Plan'!$D$6:$D$19,MATCH(B1068,'Kitting Plan'!$B$6:$B$19,0)),"")</f>
        <v/>
      </c>
      <c r="I1068" s="41" t="str">
        <f aca="false">IF(A1068="","",IF(ISNUMBER(SEARCH("PRT",E1068)),D1068,0))</f>
        <v/>
      </c>
      <c r="J1068" s="41" t="str">
        <f aca="false">IF(A1068="","",IF(ISNUMBER(SEARCH("GMPS",E1068)),D1068,0))</f>
        <v/>
      </c>
      <c r="K1068" s="41" t="str">
        <f aca="false">IF(A1068="","",IF(ISNUMBER(SEARCH("DLV",E1068)),D1068,0))</f>
        <v/>
      </c>
      <c r="L1068" s="41" t="str">
        <f aca="false">IF(A1068="","",IF(K1068&gt;0,"Delivered",IF(ISNUMBER(SEARCH("CNF",E1068)),"In production",IF(J1068&gt;0,"Issued",IF(I1068&gt;0,"Kitted","Released")))))</f>
        <v/>
      </c>
      <c r="M1068" s="41" t="str">
        <f aca="false">IF(G1068&lt;&gt;"Yes","",COUNTIFS($B$6:$B$1505,B1068,$F$6:$F$1505,"&lt;"&amp;F1068)+COUNTIFS($B$6:$B$1505,B1068,$F$6:$F$1505,F1068,$A$6:$A$1505,"&lt;="&amp;A1068))</f>
        <v/>
      </c>
      <c r="N1068" s="41" t="str">
        <f aca="false">IF(M1068="","",ROUNDUP(M1068/H1068,0))</f>
        <v/>
      </c>
      <c r="O1068" s="41" t="str">
        <f aca="false">IF(N1068="","",IF(N1068&lt;='Kitting Plan'!$C$3,"Rep "&amp;N1068,"Surplus"))</f>
        <v/>
      </c>
    </row>
    <row r="1069" customFormat="false" ht="15" hidden="false" customHeight="false" outlineLevel="0" collapsed="false">
      <c r="A1069" s="40" t="str">
        <f aca="false">IF(OR($A$4=0,INDEX('COOIS Raw'!$A:$GZ,ROW()-4,$A$4)=""),"",IFERROR(--INDEX('COOIS Raw'!$A:$GZ,ROW()-4,$A$4),INDEX('COOIS Raw'!$A:$GZ,ROW()-4,$A$4)))</f>
        <v/>
      </c>
      <c r="B1069" s="41" t="str">
        <f aca="false">IF(A1069="","",TRIM(INDEX('COOIS Raw'!$A:$GZ,ROW()-4,$B$4)))</f>
        <v/>
      </c>
      <c r="C1069" s="42" t="str">
        <f aca="false">IF(OR(A1069="",$C$4=0),"",INDEX('COOIS Raw'!$A:$GZ,ROW()-4,$C$4))</f>
        <v/>
      </c>
      <c r="D1069" s="41" t="str">
        <f aca="false">IF(A1069="","",IF($D$4=0,1,IFERROR(--INDEX('COOIS Raw'!$A:$GZ,ROW()-4,$D$4),1)))</f>
        <v/>
      </c>
      <c r="E1069" s="42" t="str">
        <f aca="false">IF(A1069="","",INDEX('COOIS Raw'!$A:$GZ,ROW()-4,$E$4)&amp;"")</f>
        <v/>
      </c>
      <c r="F1069" s="43" t="str">
        <f aca="false">IF(A1069="","",IFERROR(DATEVALUE(INDEX('COOIS Raw'!$A:$GZ,ROW()-4,$F$4)),INDEX('COOIS Raw'!$A:$GZ,ROW()-4,$F$4)))</f>
        <v/>
      </c>
      <c r="G1069" s="41" t="str">
        <f aca="false">IF(A1069="","",IF(ISNA(MATCH(B1069,'Kitting Plan'!$B$6:$B$19,0)),"Not in plan","Yes"))</f>
        <v/>
      </c>
      <c r="H1069" s="41" t="str">
        <f aca="false">IF(G1069="Yes",INDEX('Kitting Plan'!$D$6:$D$19,MATCH(B1069,'Kitting Plan'!$B$6:$B$19,0)),"")</f>
        <v/>
      </c>
      <c r="I1069" s="41" t="str">
        <f aca="false">IF(A1069="","",IF(ISNUMBER(SEARCH("PRT",E1069)),D1069,0))</f>
        <v/>
      </c>
      <c r="J1069" s="41" t="str">
        <f aca="false">IF(A1069="","",IF(ISNUMBER(SEARCH("GMPS",E1069)),D1069,0))</f>
        <v/>
      </c>
      <c r="K1069" s="41" t="str">
        <f aca="false">IF(A1069="","",IF(ISNUMBER(SEARCH("DLV",E1069)),D1069,0))</f>
        <v/>
      </c>
      <c r="L1069" s="41" t="str">
        <f aca="false">IF(A1069="","",IF(K1069&gt;0,"Delivered",IF(ISNUMBER(SEARCH("CNF",E1069)),"In production",IF(J1069&gt;0,"Issued",IF(I1069&gt;0,"Kitted","Released")))))</f>
        <v/>
      </c>
      <c r="M1069" s="41" t="str">
        <f aca="false">IF(G1069&lt;&gt;"Yes","",COUNTIFS($B$6:$B$1505,B1069,$F$6:$F$1505,"&lt;"&amp;F1069)+COUNTIFS($B$6:$B$1505,B1069,$F$6:$F$1505,F1069,$A$6:$A$1505,"&lt;="&amp;A1069))</f>
        <v/>
      </c>
      <c r="N1069" s="41" t="str">
        <f aca="false">IF(M1069="","",ROUNDUP(M1069/H1069,0))</f>
        <v/>
      </c>
      <c r="O1069" s="41" t="str">
        <f aca="false">IF(N1069="","",IF(N1069&lt;='Kitting Plan'!$C$3,"Rep "&amp;N1069,"Surplus"))</f>
        <v/>
      </c>
    </row>
    <row r="1070" customFormat="false" ht="15" hidden="false" customHeight="false" outlineLevel="0" collapsed="false">
      <c r="A1070" s="40" t="str">
        <f aca="false">IF(OR($A$4=0,INDEX('COOIS Raw'!$A:$GZ,ROW()-4,$A$4)=""),"",IFERROR(--INDEX('COOIS Raw'!$A:$GZ,ROW()-4,$A$4),INDEX('COOIS Raw'!$A:$GZ,ROW()-4,$A$4)))</f>
        <v/>
      </c>
      <c r="B1070" s="41" t="str">
        <f aca="false">IF(A1070="","",TRIM(INDEX('COOIS Raw'!$A:$GZ,ROW()-4,$B$4)))</f>
        <v/>
      </c>
      <c r="C1070" s="42" t="str">
        <f aca="false">IF(OR(A1070="",$C$4=0),"",INDEX('COOIS Raw'!$A:$GZ,ROW()-4,$C$4))</f>
        <v/>
      </c>
      <c r="D1070" s="41" t="str">
        <f aca="false">IF(A1070="","",IF($D$4=0,1,IFERROR(--INDEX('COOIS Raw'!$A:$GZ,ROW()-4,$D$4),1)))</f>
        <v/>
      </c>
      <c r="E1070" s="42" t="str">
        <f aca="false">IF(A1070="","",INDEX('COOIS Raw'!$A:$GZ,ROW()-4,$E$4)&amp;"")</f>
        <v/>
      </c>
      <c r="F1070" s="43" t="str">
        <f aca="false">IF(A1070="","",IFERROR(DATEVALUE(INDEX('COOIS Raw'!$A:$GZ,ROW()-4,$F$4)),INDEX('COOIS Raw'!$A:$GZ,ROW()-4,$F$4)))</f>
        <v/>
      </c>
      <c r="G1070" s="41" t="str">
        <f aca="false">IF(A1070="","",IF(ISNA(MATCH(B1070,'Kitting Plan'!$B$6:$B$19,0)),"Not in plan","Yes"))</f>
        <v/>
      </c>
      <c r="H1070" s="41" t="str">
        <f aca="false">IF(G1070="Yes",INDEX('Kitting Plan'!$D$6:$D$19,MATCH(B1070,'Kitting Plan'!$B$6:$B$19,0)),"")</f>
        <v/>
      </c>
      <c r="I1070" s="41" t="str">
        <f aca="false">IF(A1070="","",IF(ISNUMBER(SEARCH("PRT",E1070)),D1070,0))</f>
        <v/>
      </c>
      <c r="J1070" s="41" t="str">
        <f aca="false">IF(A1070="","",IF(ISNUMBER(SEARCH("GMPS",E1070)),D1070,0))</f>
        <v/>
      </c>
      <c r="K1070" s="41" t="str">
        <f aca="false">IF(A1070="","",IF(ISNUMBER(SEARCH("DLV",E1070)),D1070,0))</f>
        <v/>
      </c>
      <c r="L1070" s="41" t="str">
        <f aca="false">IF(A1070="","",IF(K1070&gt;0,"Delivered",IF(ISNUMBER(SEARCH("CNF",E1070)),"In production",IF(J1070&gt;0,"Issued",IF(I1070&gt;0,"Kitted","Released")))))</f>
        <v/>
      </c>
      <c r="M1070" s="41" t="str">
        <f aca="false">IF(G1070&lt;&gt;"Yes","",COUNTIFS($B$6:$B$1505,B1070,$F$6:$F$1505,"&lt;"&amp;F1070)+COUNTIFS($B$6:$B$1505,B1070,$F$6:$F$1505,F1070,$A$6:$A$1505,"&lt;="&amp;A1070))</f>
        <v/>
      </c>
      <c r="N1070" s="41" t="str">
        <f aca="false">IF(M1070="","",ROUNDUP(M1070/H1070,0))</f>
        <v/>
      </c>
      <c r="O1070" s="41" t="str">
        <f aca="false">IF(N1070="","",IF(N1070&lt;='Kitting Plan'!$C$3,"Rep "&amp;N1070,"Surplus"))</f>
        <v/>
      </c>
    </row>
    <row r="1071" customFormat="false" ht="15" hidden="false" customHeight="false" outlineLevel="0" collapsed="false">
      <c r="A1071" s="40" t="str">
        <f aca="false">IF(OR($A$4=0,INDEX('COOIS Raw'!$A:$GZ,ROW()-4,$A$4)=""),"",IFERROR(--INDEX('COOIS Raw'!$A:$GZ,ROW()-4,$A$4),INDEX('COOIS Raw'!$A:$GZ,ROW()-4,$A$4)))</f>
        <v/>
      </c>
      <c r="B1071" s="41" t="str">
        <f aca="false">IF(A1071="","",TRIM(INDEX('COOIS Raw'!$A:$GZ,ROW()-4,$B$4)))</f>
        <v/>
      </c>
      <c r="C1071" s="42" t="str">
        <f aca="false">IF(OR(A1071="",$C$4=0),"",INDEX('COOIS Raw'!$A:$GZ,ROW()-4,$C$4))</f>
        <v/>
      </c>
      <c r="D1071" s="41" t="str">
        <f aca="false">IF(A1071="","",IF($D$4=0,1,IFERROR(--INDEX('COOIS Raw'!$A:$GZ,ROW()-4,$D$4),1)))</f>
        <v/>
      </c>
      <c r="E1071" s="42" t="str">
        <f aca="false">IF(A1071="","",INDEX('COOIS Raw'!$A:$GZ,ROW()-4,$E$4)&amp;"")</f>
        <v/>
      </c>
      <c r="F1071" s="43" t="str">
        <f aca="false">IF(A1071="","",IFERROR(DATEVALUE(INDEX('COOIS Raw'!$A:$GZ,ROW()-4,$F$4)),INDEX('COOIS Raw'!$A:$GZ,ROW()-4,$F$4)))</f>
        <v/>
      </c>
      <c r="G1071" s="41" t="str">
        <f aca="false">IF(A1071="","",IF(ISNA(MATCH(B1071,'Kitting Plan'!$B$6:$B$19,0)),"Not in plan","Yes"))</f>
        <v/>
      </c>
      <c r="H1071" s="41" t="str">
        <f aca="false">IF(G1071="Yes",INDEX('Kitting Plan'!$D$6:$D$19,MATCH(B1071,'Kitting Plan'!$B$6:$B$19,0)),"")</f>
        <v/>
      </c>
      <c r="I1071" s="41" t="str">
        <f aca="false">IF(A1071="","",IF(ISNUMBER(SEARCH("PRT",E1071)),D1071,0))</f>
        <v/>
      </c>
      <c r="J1071" s="41" t="str">
        <f aca="false">IF(A1071="","",IF(ISNUMBER(SEARCH("GMPS",E1071)),D1071,0))</f>
        <v/>
      </c>
      <c r="K1071" s="41" t="str">
        <f aca="false">IF(A1071="","",IF(ISNUMBER(SEARCH("DLV",E1071)),D1071,0))</f>
        <v/>
      </c>
      <c r="L1071" s="41" t="str">
        <f aca="false">IF(A1071="","",IF(K1071&gt;0,"Delivered",IF(ISNUMBER(SEARCH("CNF",E1071)),"In production",IF(J1071&gt;0,"Issued",IF(I1071&gt;0,"Kitted","Released")))))</f>
        <v/>
      </c>
      <c r="M1071" s="41" t="str">
        <f aca="false">IF(G1071&lt;&gt;"Yes","",COUNTIFS($B$6:$B$1505,B1071,$F$6:$F$1505,"&lt;"&amp;F1071)+COUNTIFS($B$6:$B$1505,B1071,$F$6:$F$1505,F1071,$A$6:$A$1505,"&lt;="&amp;A1071))</f>
        <v/>
      </c>
      <c r="N1071" s="41" t="str">
        <f aca="false">IF(M1071="","",ROUNDUP(M1071/H1071,0))</f>
        <v/>
      </c>
      <c r="O1071" s="41" t="str">
        <f aca="false">IF(N1071="","",IF(N1071&lt;='Kitting Plan'!$C$3,"Rep "&amp;N1071,"Surplus"))</f>
        <v/>
      </c>
    </row>
    <row r="1072" customFormat="false" ht="15" hidden="false" customHeight="false" outlineLevel="0" collapsed="false">
      <c r="A1072" s="40" t="str">
        <f aca="false">IF(OR($A$4=0,INDEX('COOIS Raw'!$A:$GZ,ROW()-4,$A$4)=""),"",IFERROR(--INDEX('COOIS Raw'!$A:$GZ,ROW()-4,$A$4),INDEX('COOIS Raw'!$A:$GZ,ROW()-4,$A$4)))</f>
        <v/>
      </c>
      <c r="B1072" s="41" t="str">
        <f aca="false">IF(A1072="","",TRIM(INDEX('COOIS Raw'!$A:$GZ,ROW()-4,$B$4)))</f>
        <v/>
      </c>
      <c r="C1072" s="42" t="str">
        <f aca="false">IF(OR(A1072="",$C$4=0),"",INDEX('COOIS Raw'!$A:$GZ,ROW()-4,$C$4))</f>
        <v/>
      </c>
      <c r="D1072" s="41" t="str">
        <f aca="false">IF(A1072="","",IF($D$4=0,1,IFERROR(--INDEX('COOIS Raw'!$A:$GZ,ROW()-4,$D$4),1)))</f>
        <v/>
      </c>
      <c r="E1072" s="42" t="str">
        <f aca="false">IF(A1072="","",INDEX('COOIS Raw'!$A:$GZ,ROW()-4,$E$4)&amp;"")</f>
        <v/>
      </c>
      <c r="F1072" s="43" t="str">
        <f aca="false">IF(A1072="","",IFERROR(DATEVALUE(INDEX('COOIS Raw'!$A:$GZ,ROW()-4,$F$4)),INDEX('COOIS Raw'!$A:$GZ,ROW()-4,$F$4)))</f>
        <v/>
      </c>
      <c r="G1072" s="41" t="str">
        <f aca="false">IF(A1072="","",IF(ISNA(MATCH(B1072,'Kitting Plan'!$B$6:$B$19,0)),"Not in plan","Yes"))</f>
        <v/>
      </c>
      <c r="H1072" s="41" t="str">
        <f aca="false">IF(G1072="Yes",INDEX('Kitting Plan'!$D$6:$D$19,MATCH(B1072,'Kitting Plan'!$B$6:$B$19,0)),"")</f>
        <v/>
      </c>
      <c r="I1072" s="41" t="str">
        <f aca="false">IF(A1072="","",IF(ISNUMBER(SEARCH("PRT",E1072)),D1072,0))</f>
        <v/>
      </c>
      <c r="J1072" s="41" t="str">
        <f aca="false">IF(A1072="","",IF(ISNUMBER(SEARCH("GMPS",E1072)),D1072,0))</f>
        <v/>
      </c>
      <c r="K1072" s="41" t="str">
        <f aca="false">IF(A1072="","",IF(ISNUMBER(SEARCH("DLV",E1072)),D1072,0))</f>
        <v/>
      </c>
      <c r="L1072" s="41" t="str">
        <f aca="false">IF(A1072="","",IF(K1072&gt;0,"Delivered",IF(ISNUMBER(SEARCH("CNF",E1072)),"In production",IF(J1072&gt;0,"Issued",IF(I1072&gt;0,"Kitted","Released")))))</f>
        <v/>
      </c>
      <c r="M1072" s="41" t="str">
        <f aca="false">IF(G1072&lt;&gt;"Yes","",COUNTIFS($B$6:$B$1505,B1072,$F$6:$F$1505,"&lt;"&amp;F1072)+COUNTIFS($B$6:$B$1505,B1072,$F$6:$F$1505,F1072,$A$6:$A$1505,"&lt;="&amp;A1072))</f>
        <v/>
      </c>
      <c r="N1072" s="41" t="str">
        <f aca="false">IF(M1072="","",ROUNDUP(M1072/H1072,0))</f>
        <v/>
      </c>
      <c r="O1072" s="41" t="str">
        <f aca="false">IF(N1072="","",IF(N1072&lt;='Kitting Plan'!$C$3,"Rep "&amp;N1072,"Surplus"))</f>
        <v/>
      </c>
    </row>
    <row r="1073" customFormat="false" ht="15" hidden="false" customHeight="false" outlineLevel="0" collapsed="false">
      <c r="A1073" s="40" t="str">
        <f aca="false">IF(OR($A$4=0,INDEX('COOIS Raw'!$A:$GZ,ROW()-4,$A$4)=""),"",IFERROR(--INDEX('COOIS Raw'!$A:$GZ,ROW()-4,$A$4),INDEX('COOIS Raw'!$A:$GZ,ROW()-4,$A$4)))</f>
        <v/>
      </c>
      <c r="B1073" s="41" t="str">
        <f aca="false">IF(A1073="","",TRIM(INDEX('COOIS Raw'!$A:$GZ,ROW()-4,$B$4)))</f>
        <v/>
      </c>
      <c r="C1073" s="42" t="str">
        <f aca="false">IF(OR(A1073="",$C$4=0),"",INDEX('COOIS Raw'!$A:$GZ,ROW()-4,$C$4))</f>
        <v/>
      </c>
      <c r="D1073" s="41" t="str">
        <f aca="false">IF(A1073="","",IF($D$4=0,1,IFERROR(--INDEX('COOIS Raw'!$A:$GZ,ROW()-4,$D$4),1)))</f>
        <v/>
      </c>
      <c r="E1073" s="42" t="str">
        <f aca="false">IF(A1073="","",INDEX('COOIS Raw'!$A:$GZ,ROW()-4,$E$4)&amp;"")</f>
        <v/>
      </c>
      <c r="F1073" s="43" t="str">
        <f aca="false">IF(A1073="","",IFERROR(DATEVALUE(INDEX('COOIS Raw'!$A:$GZ,ROW()-4,$F$4)),INDEX('COOIS Raw'!$A:$GZ,ROW()-4,$F$4)))</f>
        <v/>
      </c>
      <c r="G1073" s="41" t="str">
        <f aca="false">IF(A1073="","",IF(ISNA(MATCH(B1073,'Kitting Plan'!$B$6:$B$19,0)),"Not in plan","Yes"))</f>
        <v/>
      </c>
      <c r="H1073" s="41" t="str">
        <f aca="false">IF(G1073="Yes",INDEX('Kitting Plan'!$D$6:$D$19,MATCH(B1073,'Kitting Plan'!$B$6:$B$19,0)),"")</f>
        <v/>
      </c>
      <c r="I1073" s="41" t="str">
        <f aca="false">IF(A1073="","",IF(ISNUMBER(SEARCH("PRT",E1073)),D1073,0))</f>
        <v/>
      </c>
      <c r="J1073" s="41" t="str">
        <f aca="false">IF(A1073="","",IF(ISNUMBER(SEARCH("GMPS",E1073)),D1073,0))</f>
        <v/>
      </c>
      <c r="K1073" s="41" t="str">
        <f aca="false">IF(A1073="","",IF(ISNUMBER(SEARCH("DLV",E1073)),D1073,0))</f>
        <v/>
      </c>
      <c r="L1073" s="41" t="str">
        <f aca="false">IF(A1073="","",IF(K1073&gt;0,"Delivered",IF(ISNUMBER(SEARCH("CNF",E1073)),"In production",IF(J1073&gt;0,"Issued",IF(I1073&gt;0,"Kitted","Released")))))</f>
        <v/>
      </c>
      <c r="M1073" s="41" t="str">
        <f aca="false">IF(G1073&lt;&gt;"Yes","",COUNTIFS($B$6:$B$1505,B1073,$F$6:$F$1505,"&lt;"&amp;F1073)+COUNTIFS($B$6:$B$1505,B1073,$F$6:$F$1505,F1073,$A$6:$A$1505,"&lt;="&amp;A1073))</f>
        <v/>
      </c>
      <c r="N1073" s="41" t="str">
        <f aca="false">IF(M1073="","",ROUNDUP(M1073/H1073,0))</f>
        <v/>
      </c>
      <c r="O1073" s="41" t="str">
        <f aca="false">IF(N1073="","",IF(N1073&lt;='Kitting Plan'!$C$3,"Rep "&amp;N1073,"Surplus"))</f>
        <v/>
      </c>
    </row>
    <row r="1074" customFormat="false" ht="15" hidden="false" customHeight="false" outlineLevel="0" collapsed="false">
      <c r="A1074" s="40" t="str">
        <f aca="false">IF(OR($A$4=0,INDEX('COOIS Raw'!$A:$GZ,ROW()-4,$A$4)=""),"",IFERROR(--INDEX('COOIS Raw'!$A:$GZ,ROW()-4,$A$4),INDEX('COOIS Raw'!$A:$GZ,ROW()-4,$A$4)))</f>
        <v/>
      </c>
      <c r="B1074" s="41" t="str">
        <f aca="false">IF(A1074="","",TRIM(INDEX('COOIS Raw'!$A:$GZ,ROW()-4,$B$4)))</f>
        <v/>
      </c>
      <c r="C1074" s="42" t="str">
        <f aca="false">IF(OR(A1074="",$C$4=0),"",INDEX('COOIS Raw'!$A:$GZ,ROW()-4,$C$4))</f>
        <v/>
      </c>
      <c r="D1074" s="41" t="str">
        <f aca="false">IF(A1074="","",IF($D$4=0,1,IFERROR(--INDEX('COOIS Raw'!$A:$GZ,ROW()-4,$D$4),1)))</f>
        <v/>
      </c>
      <c r="E1074" s="42" t="str">
        <f aca="false">IF(A1074="","",INDEX('COOIS Raw'!$A:$GZ,ROW()-4,$E$4)&amp;"")</f>
        <v/>
      </c>
      <c r="F1074" s="43" t="str">
        <f aca="false">IF(A1074="","",IFERROR(DATEVALUE(INDEX('COOIS Raw'!$A:$GZ,ROW()-4,$F$4)),INDEX('COOIS Raw'!$A:$GZ,ROW()-4,$F$4)))</f>
        <v/>
      </c>
      <c r="G1074" s="41" t="str">
        <f aca="false">IF(A1074="","",IF(ISNA(MATCH(B1074,'Kitting Plan'!$B$6:$B$19,0)),"Not in plan","Yes"))</f>
        <v/>
      </c>
      <c r="H1074" s="41" t="str">
        <f aca="false">IF(G1074="Yes",INDEX('Kitting Plan'!$D$6:$D$19,MATCH(B1074,'Kitting Plan'!$B$6:$B$19,0)),"")</f>
        <v/>
      </c>
      <c r="I1074" s="41" t="str">
        <f aca="false">IF(A1074="","",IF(ISNUMBER(SEARCH("PRT",E1074)),D1074,0))</f>
        <v/>
      </c>
      <c r="J1074" s="41" t="str">
        <f aca="false">IF(A1074="","",IF(ISNUMBER(SEARCH("GMPS",E1074)),D1074,0))</f>
        <v/>
      </c>
      <c r="K1074" s="41" t="str">
        <f aca="false">IF(A1074="","",IF(ISNUMBER(SEARCH("DLV",E1074)),D1074,0))</f>
        <v/>
      </c>
      <c r="L1074" s="41" t="str">
        <f aca="false">IF(A1074="","",IF(K1074&gt;0,"Delivered",IF(ISNUMBER(SEARCH("CNF",E1074)),"In production",IF(J1074&gt;0,"Issued",IF(I1074&gt;0,"Kitted","Released")))))</f>
        <v/>
      </c>
      <c r="M1074" s="41" t="str">
        <f aca="false">IF(G1074&lt;&gt;"Yes","",COUNTIFS($B$6:$B$1505,B1074,$F$6:$F$1505,"&lt;"&amp;F1074)+COUNTIFS($B$6:$B$1505,B1074,$F$6:$F$1505,F1074,$A$6:$A$1505,"&lt;="&amp;A1074))</f>
        <v/>
      </c>
      <c r="N1074" s="41" t="str">
        <f aca="false">IF(M1074="","",ROUNDUP(M1074/H1074,0))</f>
        <v/>
      </c>
      <c r="O1074" s="41" t="str">
        <f aca="false">IF(N1074="","",IF(N1074&lt;='Kitting Plan'!$C$3,"Rep "&amp;N1074,"Surplus"))</f>
        <v/>
      </c>
    </row>
    <row r="1075" customFormat="false" ht="15" hidden="false" customHeight="false" outlineLevel="0" collapsed="false">
      <c r="A1075" s="40" t="str">
        <f aca="false">IF(OR($A$4=0,INDEX('COOIS Raw'!$A:$GZ,ROW()-4,$A$4)=""),"",IFERROR(--INDEX('COOIS Raw'!$A:$GZ,ROW()-4,$A$4),INDEX('COOIS Raw'!$A:$GZ,ROW()-4,$A$4)))</f>
        <v/>
      </c>
      <c r="B1075" s="41" t="str">
        <f aca="false">IF(A1075="","",TRIM(INDEX('COOIS Raw'!$A:$GZ,ROW()-4,$B$4)))</f>
        <v/>
      </c>
      <c r="C1075" s="42" t="str">
        <f aca="false">IF(OR(A1075="",$C$4=0),"",INDEX('COOIS Raw'!$A:$GZ,ROW()-4,$C$4))</f>
        <v/>
      </c>
      <c r="D1075" s="41" t="str">
        <f aca="false">IF(A1075="","",IF($D$4=0,1,IFERROR(--INDEX('COOIS Raw'!$A:$GZ,ROW()-4,$D$4),1)))</f>
        <v/>
      </c>
      <c r="E1075" s="42" t="str">
        <f aca="false">IF(A1075="","",INDEX('COOIS Raw'!$A:$GZ,ROW()-4,$E$4)&amp;"")</f>
        <v/>
      </c>
      <c r="F1075" s="43" t="str">
        <f aca="false">IF(A1075="","",IFERROR(DATEVALUE(INDEX('COOIS Raw'!$A:$GZ,ROW()-4,$F$4)),INDEX('COOIS Raw'!$A:$GZ,ROW()-4,$F$4)))</f>
        <v/>
      </c>
      <c r="G1075" s="41" t="str">
        <f aca="false">IF(A1075="","",IF(ISNA(MATCH(B1075,'Kitting Plan'!$B$6:$B$19,0)),"Not in plan","Yes"))</f>
        <v/>
      </c>
      <c r="H1075" s="41" t="str">
        <f aca="false">IF(G1075="Yes",INDEX('Kitting Plan'!$D$6:$D$19,MATCH(B1075,'Kitting Plan'!$B$6:$B$19,0)),"")</f>
        <v/>
      </c>
      <c r="I1075" s="41" t="str">
        <f aca="false">IF(A1075="","",IF(ISNUMBER(SEARCH("PRT",E1075)),D1075,0))</f>
        <v/>
      </c>
      <c r="J1075" s="41" t="str">
        <f aca="false">IF(A1075="","",IF(ISNUMBER(SEARCH("GMPS",E1075)),D1075,0))</f>
        <v/>
      </c>
      <c r="K1075" s="41" t="str">
        <f aca="false">IF(A1075="","",IF(ISNUMBER(SEARCH("DLV",E1075)),D1075,0))</f>
        <v/>
      </c>
      <c r="L1075" s="41" t="str">
        <f aca="false">IF(A1075="","",IF(K1075&gt;0,"Delivered",IF(ISNUMBER(SEARCH("CNF",E1075)),"In production",IF(J1075&gt;0,"Issued",IF(I1075&gt;0,"Kitted","Released")))))</f>
        <v/>
      </c>
      <c r="M1075" s="41" t="str">
        <f aca="false">IF(G1075&lt;&gt;"Yes","",COUNTIFS($B$6:$B$1505,B1075,$F$6:$F$1505,"&lt;"&amp;F1075)+COUNTIFS($B$6:$B$1505,B1075,$F$6:$F$1505,F1075,$A$6:$A$1505,"&lt;="&amp;A1075))</f>
        <v/>
      </c>
      <c r="N1075" s="41" t="str">
        <f aca="false">IF(M1075="","",ROUNDUP(M1075/H1075,0))</f>
        <v/>
      </c>
      <c r="O1075" s="41" t="str">
        <f aca="false">IF(N1075="","",IF(N1075&lt;='Kitting Plan'!$C$3,"Rep "&amp;N1075,"Surplus"))</f>
        <v/>
      </c>
    </row>
    <row r="1076" customFormat="false" ht="15" hidden="false" customHeight="false" outlineLevel="0" collapsed="false">
      <c r="A1076" s="40" t="str">
        <f aca="false">IF(OR($A$4=0,INDEX('COOIS Raw'!$A:$GZ,ROW()-4,$A$4)=""),"",IFERROR(--INDEX('COOIS Raw'!$A:$GZ,ROW()-4,$A$4),INDEX('COOIS Raw'!$A:$GZ,ROW()-4,$A$4)))</f>
        <v/>
      </c>
      <c r="B1076" s="41" t="str">
        <f aca="false">IF(A1076="","",TRIM(INDEX('COOIS Raw'!$A:$GZ,ROW()-4,$B$4)))</f>
        <v/>
      </c>
      <c r="C1076" s="42" t="str">
        <f aca="false">IF(OR(A1076="",$C$4=0),"",INDEX('COOIS Raw'!$A:$GZ,ROW()-4,$C$4))</f>
        <v/>
      </c>
      <c r="D1076" s="41" t="str">
        <f aca="false">IF(A1076="","",IF($D$4=0,1,IFERROR(--INDEX('COOIS Raw'!$A:$GZ,ROW()-4,$D$4),1)))</f>
        <v/>
      </c>
      <c r="E1076" s="42" t="str">
        <f aca="false">IF(A1076="","",INDEX('COOIS Raw'!$A:$GZ,ROW()-4,$E$4)&amp;"")</f>
        <v/>
      </c>
      <c r="F1076" s="43" t="str">
        <f aca="false">IF(A1076="","",IFERROR(DATEVALUE(INDEX('COOIS Raw'!$A:$GZ,ROW()-4,$F$4)),INDEX('COOIS Raw'!$A:$GZ,ROW()-4,$F$4)))</f>
        <v/>
      </c>
      <c r="G1076" s="41" t="str">
        <f aca="false">IF(A1076="","",IF(ISNA(MATCH(B1076,'Kitting Plan'!$B$6:$B$19,0)),"Not in plan","Yes"))</f>
        <v/>
      </c>
      <c r="H1076" s="41" t="str">
        <f aca="false">IF(G1076="Yes",INDEX('Kitting Plan'!$D$6:$D$19,MATCH(B1076,'Kitting Plan'!$B$6:$B$19,0)),"")</f>
        <v/>
      </c>
      <c r="I1076" s="41" t="str">
        <f aca="false">IF(A1076="","",IF(ISNUMBER(SEARCH("PRT",E1076)),D1076,0))</f>
        <v/>
      </c>
      <c r="J1076" s="41" t="str">
        <f aca="false">IF(A1076="","",IF(ISNUMBER(SEARCH("GMPS",E1076)),D1076,0))</f>
        <v/>
      </c>
      <c r="K1076" s="41" t="str">
        <f aca="false">IF(A1076="","",IF(ISNUMBER(SEARCH("DLV",E1076)),D1076,0))</f>
        <v/>
      </c>
      <c r="L1076" s="41" t="str">
        <f aca="false">IF(A1076="","",IF(K1076&gt;0,"Delivered",IF(ISNUMBER(SEARCH("CNF",E1076)),"In production",IF(J1076&gt;0,"Issued",IF(I1076&gt;0,"Kitted","Released")))))</f>
        <v/>
      </c>
      <c r="M1076" s="41" t="str">
        <f aca="false">IF(G1076&lt;&gt;"Yes","",COUNTIFS($B$6:$B$1505,B1076,$F$6:$F$1505,"&lt;"&amp;F1076)+COUNTIFS($B$6:$B$1505,B1076,$F$6:$F$1505,F1076,$A$6:$A$1505,"&lt;="&amp;A1076))</f>
        <v/>
      </c>
      <c r="N1076" s="41" t="str">
        <f aca="false">IF(M1076="","",ROUNDUP(M1076/H1076,0))</f>
        <v/>
      </c>
      <c r="O1076" s="41" t="str">
        <f aca="false">IF(N1076="","",IF(N1076&lt;='Kitting Plan'!$C$3,"Rep "&amp;N1076,"Surplus"))</f>
        <v/>
      </c>
    </row>
    <row r="1077" customFormat="false" ht="15" hidden="false" customHeight="false" outlineLevel="0" collapsed="false">
      <c r="A1077" s="40" t="str">
        <f aca="false">IF(OR($A$4=0,INDEX('COOIS Raw'!$A:$GZ,ROW()-4,$A$4)=""),"",IFERROR(--INDEX('COOIS Raw'!$A:$GZ,ROW()-4,$A$4),INDEX('COOIS Raw'!$A:$GZ,ROW()-4,$A$4)))</f>
        <v/>
      </c>
      <c r="B1077" s="41" t="str">
        <f aca="false">IF(A1077="","",TRIM(INDEX('COOIS Raw'!$A:$GZ,ROW()-4,$B$4)))</f>
        <v/>
      </c>
      <c r="C1077" s="42" t="str">
        <f aca="false">IF(OR(A1077="",$C$4=0),"",INDEX('COOIS Raw'!$A:$GZ,ROW()-4,$C$4))</f>
        <v/>
      </c>
      <c r="D1077" s="41" t="str">
        <f aca="false">IF(A1077="","",IF($D$4=0,1,IFERROR(--INDEX('COOIS Raw'!$A:$GZ,ROW()-4,$D$4),1)))</f>
        <v/>
      </c>
      <c r="E1077" s="42" t="str">
        <f aca="false">IF(A1077="","",INDEX('COOIS Raw'!$A:$GZ,ROW()-4,$E$4)&amp;"")</f>
        <v/>
      </c>
      <c r="F1077" s="43" t="str">
        <f aca="false">IF(A1077="","",IFERROR(DATEVALUE(INDEX('COOIS Raw'!$A:$GZ,ROW()-4,$F$4)),INDEX('COOIS Raw'!$A:$GZ,ROW()-4,$F$4)))</f>
        <v/>
      </c>
      <c r="G1077" s="41" t="str">
        <f aca="false">IF(A1077="","",IF(ISNA(MATCH(B1077,'Kitting Plan'!$B$6:$B$19,0)),"Not in plan","Yes"))</f>
        <v/>
      </c>
      <c r="H1077" s="41" t="str">
        <f aca="false">IF(G1077="Yes",INDEX('Kitting Plan'!$D$6:$D$19,MATCH(B1077,'Kitting Plan'!$B$6:$B$19,0)),"")</f>
        <v/>
      </c>
      <c r="I1077" s="41" t="str">
        <f aca="false">IF(A1077="","",IF(ISNUMBER(SEARCH("PRT",E1077)),D1077,0))</f>
        <v/>
      </c>
      <c r="J1077" s="41" t="str">
        <f aca="false">IF(A1077="","",IF(ISNUMBER(SEARCH("GMPS",E1077)),D1077,0))</f>
        <v/>
      </c>
      <c r="K1077" s="41" t="str">
        <f aca="false">IF(A1077="","",IF(ISNUMBER(SEARCH("DLV",E1077)),D1077,0))</f>
        <v/>
      </c>
      <c r="L1077" s="41" t="str">
        <f aca="false">IF(A1077="","",IF(K1077&gt;0,"Delivered",IF(ISNUMBER(SEARCH("CNF",E1077)),"In production",IF(J1077&gt;0,"Issued",IF(I1077&gt;0,"Kitted","Released")))))</f>
        <v/>
      </c>
      <c r="M1077" s="41" t="str">
        <f aca="false">IF(G1077&lt;&gt;"Yes","",COUNTIFS($B$6:$B$1505,B1077,$F$6:$F$1505,"&lt;"&amp;F1077)+COUNTIFS($B$6:$B$1505,B1077,$F$6:$F$1505,F1077,$A$6:$A$1505,"&lt;="&amp;A1077))</f>
        <v/>
      </c>
      <c r="N1077" s="41" t="str">
        <f aca="false">IF(M1077="","",ROUNDUP(M1077/H1077,0))</f>
        <v/>
      </c>
      <c r="O1077" s="41" t="str">
        <f aca="false">IF(N1077="","",IF(N1077&lt;='Kitting Plan'!$C$3,"Rep "&amp;N1077,"Surplus"))</f>
        <v/>
      </c>
    </row>
    <row r="1078" customFormat="false" ht="15" hidden="false" customHeight="false" outlineLevel="0" collapsed="false">
      <c r="A1078" s="40" t="str">
        <f aca="false">IF(OR($A$4=0,INDEX('COOIS Raw'!$A:$GZ,ROW()-4,$A$4)=""),"",IFERROR(--INDEX('COOIS Raw'!$A:$GZ,ROW()-4,$A$4),INDEX('COOIS Raw'!$A:$GZ,ROW()-4,$A$4)))</f>
        <v/>
      </c>
      <c r="B1078" s="41" t="str">
        <f aca="false">IF(A1078="","",TRIM(INDEX('COOIS Raw'!$A:$GZ,ROW()-4,$B$4)))</f>
        <v/>
      </c>
      <c r="C1078" s="42" t="str">
        <f aca="false">IF(OR(A1078="",$C$4=0),"",INDEX('COOIS Raw'!$A:$GZ,ROW()-4,$C$4))</f>
        <v/>
      </c>
      <c r="D1078" s="41" t="str">
        <f aca="false">IF(A1078="","",IF($D$4=0,1,IFERROR(--INDEX('COOIS Raw'!$A:$GZ,ROW()-4,$D$4),1)))</f>
        <v/>
      </c>
      <c r="E1078" s="42" t="str">
        <f aca="false">IF(A1078="","",INDEX('COOIS Raw'!$A:$GZ,ROW()-4,$E$4)&amp;"")</f>
        <v/>
      </c>
      <c r="F1078" s="43" t="str">
        <f aca="false">IF(A1078="","",IFERROR(DATEVALUE(INDEX('COOIS Raw'!$A:$GZ,ROW()-4,$F$4)),INDEX('COOIS Raw'!$A:$GZ,ROW()-4,$F$4)))</f>
        <v/>
      </c>
      <c r="G1078" s="41" t="str">
        <f aca="false">IF(A1078="","",IF(ISNA(MATCH(B1078,'Kitting Plan'!$B$6:$B$19,0)),"Not in plan","Yes"))</f>
        <v/>
      </c>
      <c r="H1078" s="41" t="str">
        <f aca="false">IF(G1078="Yes",INDEX('Kitting Plan'!$D$6:$D$19,MATCH(B1078,'Kitting Plan'!$B$6:$B$19,0)),"")</f>
        <v/>
      </c>
      <c r="I1078" s="41" t="str">
        <f aca="false">IF(A1078="","",IF(ISNUMBER(SEARCH("PRT",E1078)),D1078,0))</f>
        <v/>
      </c>
      <c r="J1078" s="41" t="str">
        <f aca="false">IF(A1078="","",IF(ISNUMBER(SEARCH("GMPS",E1078)),D1078,0))</f>
        <v/>
      </c>
      <c r="K1078" s="41" t="str">
        <f aca="false">IF(A1078="","",IF(ISNUMBER(SEARCH("DLV",E1078)),D1078,0))</f>
        <v/>
      </c>
      <c r="L1078" s="41" t="str">
        <f aca="false">IF(A1078="","",IF(K1078&gt;0,"Delivered",IF(ISNUMBER(SEARCH("CNF",E1078)),"In production",IF(J1078&gt;0,"Issued",IF(I1078&gt;0,"Kitted","Released")))))</f>
        <v/>
      </c>
      <c r="M1078" s="41" t="str">
        <f aca="false">IF(G1078&lt;&gt;"Yes","",COUNTIFS($B$6:$B$1505,B1078,$F$6:$F$1505,"&lt;"&amp;F1078)+COUNTIFS($B$6:$B$1505,B1078,$F$6:$F$1505,F1078,$A$6:$A$1505,"&lt;="&amp;A1078))</f>
        <v/>
      </c>
      <c r="N1078" s="41" t="str">
        <f aca="false">IF(M1078="","",ROUNDUP(M1078/H1078,0))</f>
        <v/>
      </c>
      <c r="O1078" s="41" t="str">
        <f aca="false">IF(N1078="","",IF(N1078&lt;='Kitting Plan'!$C$3,"Rep "&amp;N1078,"Surplus"))</f>
        <v/>
      </c>
    </row>
    <row r="1079" customFormat="false" ht="15" hidden="false" customHeight="false" outlineLevel="0" collapsed="false">
      <c r="A1079" s="40" t="str">
        <f aca="false">IF(OR($A$4=0,INDEX('COOIS Raw'!$A:$GZ,ROW()-4,$A$4)=""),"",IFERROR(--INDEX('COOIS Raw'!$A:$GZ,ROW()-4,$A$4),INDEX('COOIS Raw'!$A:$GZ,ROW()-4,$A$4)))</f>
        <v/>
      </c>
      <c r="B1079" s="41" t="str">
        <f aca="false">IF(A1079="","",TRIM(INDEX('COOIS Raw'!$A:$GZ,ROW()-4,$B$4)))</f>
        <v/>
      </c>
      <c r="C1079" s="42" t="str">
        <f aca="false">IF(OR(A1079="",$C$4=0),"",INDEX('COOIS Raw'!$A:$GZ,ROW()-4,$C$4))</f>
        <v/>
      </c>
      <c r="D1079" s="41" t="str">
        <f aca="false">IF(A1079="","",IF($D$4=0,1,IFERROR(--INDEX('COOIS Raw'!$A:$GZ,ROW()-4,$D$4),1)))</f>
        <v/>
      </c>
      <c r="E1079" s="42" t="str">
        <f aca="false">IF(A1079="","",INDEX('COOIS Raw'!$A:$GZ,ROW()-4,$E$4)&amp;"")</f>
        <v/>
      </c>
      <c r="F1079" s="43" t="str">
        <f aca="false">IF(A1079="","",IFERROR(DATEVALUE(INDEX('COOIS Raw'!$A:$GZ,ROW()-4,$F$4)),INDEX('COOIS Raw'!$A:$GZ,ROW()-4,$F$4)))</f>
        <v/>
      </c>
      <c r="G1079" s="41" t="str">
        <f aca="false">IF(A1079="","",IF(ISNA(MATCH(B1079,'Kitting Plan'!$B$6:$B$19,0)),"Not in plan","Yes"))</f>
        <v/>
      </c>
      <c r="H1079" s="41" t="str">
        <f aca="false">IF(G1079="Yes",INDEX('Kitting Plan'!$D$6:$D$19,MATCH(B1079,'Kitting Plan'!$B$6:$B$19,0)),"")</f>
        <v/>
      </c>
      <c r="I1079" s="41" t="str">
        <f aca="false">IF(A1079="","",IF(ISNUMBER(SEARCH("PRT",E1079)),D1079,0))</f>
        <v/>
      </c>
      <c r="J1079" s="41" t="str">
        <f aca="false">IF(A1079="","",IF(ISNUMBER(SEARCH("GMPS",E1079)),D1079,0))</f>
        <v/>
      </c>
      <c r="K1079" s="41" t="str">
        <f aca="false">IF(A1079="","",IF(ISNUMBER(SEARCH("DLV",E1079)),D1079,0))</f>
        <v/>
      </c>
      <c r="L1079" s="41" t="str">
        <f aca="false">IF(A1079="","",IF(K1079&gt;0,"Delivered",IF(ISNUMBER(SEARCH("CNF",E1079)),"In production",IF(J1079&gt;0,"Issued",IF(I1079&gt;0,"Kitted","Released")))))</f>
        <v/>
      </c>
      <c r="M1079" s="41" t="str">
        <f aca="false">IF(G1079&lt;&gt;"Yes","",COUNTIFS($B$6:$B$1505,B1079,$F$6:$F$1505,"&lt;"&amp;F1079)+COUNTIFS($B$6:$B$1505,B1079,$F$6:$F$1505,F1079,$A$6:$A$1505,"&lt;="&amp;A1079))</f>
        <v/>
      </c>
      <c r="N1079" s="41" t="str">
        <f aca="false">IF(M1079="","",ROUNDUP(M1079/H1079,0))</f>
        <v/>
      </c>
      <c r="O1079" s="41" t="str">
        <f aca="false">IF(N1079="","",IF(N1079&lt;='Kitting Plan'!$C$3,"Rep "&amp;N1079,"Surplus"))</f>
        <v/>
      </c>
    </row>
    <row r="1080" customFormat="false" ht="15" hidden="false" customHeight="false" outlineLevel="0" collapsed="false">
      <c r="A1080" s="40" t="str">
        <f aca="false">IF(OR($A$4=0,INDEX('COOIS Raw'!$A:$GZ,ROW()-4,$A$4)=""),"",IFERROR(--INDEX('COOIS Raw'!$A:$GZ,ROW()-4,$A$4),INDEX('COOIS Raw'!$A:$GZ,ROW()-4,$A$4)))</f>
        <v/>
      </c>
      <c r="B1080" s="41" t="str">
        <f aca="false">IF(A1080="","",TRIM(INDEX('COOIS Raw'!$A:$GZ,ROW()-4,$B$4)))</f>
        <v/>
      </c>
      <c r="C1080" s="42" t="str">
        <f aca="false">IF(OR(A1080="",$C$4=0),"",INDEX('COOIS Raw'!$A:$GZ,ROW()-4,$C$4))</f>
        <v/>
      </c>
      <c r="D1080" s="41" t="str">
        <f aca="false">IF(A1080="","",IF($D$4=0,1,IFERROR(--INDEX('COOIS Raw'!$A:$GZ,ROW()-4,$D$4),1)))</f>
        <v/>
      </c>
      <c r="E1080" s="42" t="str">
        <f aca="false">IF(A1080="","",INDEX('COOIS Raw'!$A:$GZ,ROW()-4,$E$4)&amp;"")</f>
        <v/>
      </c>
      <c r="F1080" s="43" t="str">
        <f aca="false">IF(A1080="","",IFERROR(DATEVALUE(INDEX('COOIS Raw'!$A:$GZ,ROW()-4,$F$4)),INDEX('COOIS Raw'!$A:$GZ,ROW()-4,$F$4)))</f>
        <v/>
      </c>
      <c r="G1080" s="41" t="str">
        <f aca="false">IF(A1080="","",IF(ISNA(MATCH(B1080,'Kitting Plan'!$B$6:$B$19,0)),"Not in plan","Yes"))</f>
        <v/>
      </c>
      <c r="H1080" s="41" t="str">
        <f aca="false">IF(G1080="Yes",INDEX('Kitting Plan'!$D$6:$D$19,MATCH(B1080,'Kitting Plan'!$B$6:$B$19,0)),"")</f>
        <v/>
      </c>
      <c r="I1080" s="41" t="str">
        <f aca="false">IF(A1080="","",IF(ISNUMBER(SEARCH("PRT",E1080)),D1080,0))</f>
        <v/>
      </c>
      <c r="J1080" s="41" t="str">
        <f aca="false">IF(A1080="","",IF(ISNUMBER(SEARCH("GMPS",E1080)),D1080,0))</f>
        <v/>
      </c>
      <c r="K1080" s="41" t="str">
        <f aca="false">IF(A1080="","",IF(ISNUMBER(SEARCH("DLV",E1080)),D1080,0))</f>
        <v/>
      </c>
      <c r="L1080" s="41" t="str">
        <f aca="false">IF(A1080="","",IF(K1080&gt;0,"Delivered",IF(ISNUMBER(SEARCH("CNF",E1080)),"In production",IF(J1080&gt;0,"Issued",IF(I1080&gt;0,"Kitted","Released")))))</f>
        <v/>
      </c>
      <c r="M1080" s="41" t="str">
        <f aca="false">IF(G1080&lt;&gt;"Yes","",COUNTIFS($B$6:$B$1505,B1080,$F$6:$F$1505,"&lt;"&amp;F1080)+COUNTIFS($B$6:$B$1505,B1080,$F$6:$F$1505,F1080,$A$6:$A$1505,"&lt;="&amp;A1080))</f>
        <v/>
      </c>
      <c r="N1080" s="41" t="str">
        <f aca="false">IF(M1080="","",ROUNDUP(M1080/H1080,0))</f>
        <v/>
      </c>
      <c r="O1080" s="41" t="str">
        <f aca="false">IF(N1080="","",IF(N1080&lt;='Kitting Plan'!$C$3,"Rep "&amp;N1080,"Surplus"))</f>
        <v/>
      </c>
    </row>
    <row r="1081" customFormat="false" ht="15" hidden="false" customHeight="false" outlineLevel="0" collapsed="false">
      <c r="A1081" s="40" t="str">
        <f aca="false">IF(OR($A$4=0,INDEX('COOIS Raw'!$A:$GZ,ROW()-4,$A$4)=""),"",IFERROR(--INDEX('COOIS Raw'!$A:$GZ,ROW()-4,$A$4),INDEX('COOIS Raw'!$A:$GZ,ROW()-4,$A$4)))</f>
        <v/>
      </c>
      <c r="B1081" s="41" t="str">
        <f aca="false">IF(A1081="","",TRIM(INDEX('COOIS Raw'!$A:$GZ,ROW()-4,$B$4)))</f>
        <v/>
      </c>
      <c r="C1081" s="42" t="str">
        <f aca="false">IF(OR(A1081="",$C$4=0),"",INDEX('COOIS Raw'!$A:$GZ,ROW()-4,$C$4))</f>
        <v/>
      </c>
      <c r="D1081" s="41" t="str">
        <f aca="false">IF(A1081="","",IF($D$4=0,1,IFERROR(--INDEX('COOIS Raw'!$A:$GZ,ROW()-4,$D$4),1)))</f>
        <v/>
      </c>
      <c r="E1081" s="42" t="str">
        <f aca="false">IF(A1081="","",INDEX('COOIS Raw'!$A:$GZ,ROW()-4,$E$4)&amp;"")</f>
        <v/>
      </c>
      <c r="F1081" s="43" t="str">
        <f aca="false">IF(A1081="","",IFERROR(DATEVALUE(INDEX('COOIS Raw'!$A:$GZ,ROW()-4,$F$4)),INDEX('COOIS Raw'!$A:$GZ,ROW()-4,$F$4)))</f>
        <v/>
      </c>
      <c r="G1081" s="41" t="str">
        <f aca="false">IF(A1081="","",IF(ISNA(MATCH(B1081,'Kitting Plan'!$B$6:$B$19,0)),"Not in plan","Yes"))</f>
        <v/>
      </c>
      <c r="H1081" s="41" t="str">
        <f aca="false">IF(G1081="Yes",INDEX('Kitting Plan'!$D$6:$D$19,MATCH(B1081,'Kitting Plan'!$B$6:$B$19,0)),"")</f>
        <v/>
      </c>
      <c r="I1081" s="41" t="str">
        <f aca="false">IF(A1081="","",IF(ISNUMBER(SEARCH("PRT",E1081)),D1081,0))</f>
        <v/>
      </c>
      <c r="J1081" s="41" t="str">
        <f aca="false">IF(A1081="","",IF(ISNUMBER(SEARCH("GMPS",E1081)),D1081,0))</f>
        <v/>
      </c>
      <c r="K1081" s="41" t="str">
        <f aca="false">IF(A1081="","",IF(ISNUMBER(SEARCH("DLV",E1081)),D1081,0))</f>
        <v/>
      </c>
      <c r="L1081" s="41" t="str">
        <f aca="false">IF(A1081="","",IF(K1081&gt;0,"Delivered",IF(ISNUMBER(SEARCH("CNF",E1081)),"In production",IF(J1081&gt;0,"Issued",IF(I1081&gt;0,"Kitted","Released")))))</f>
        <v/>
      </c>
      <c r="M1081" s="41" t="str">
        <f aca="false">IF(G1081&lt;&gt;"Yes","",COUNTIFS($B$6:$B$1505,B1081,$F$6:$F$1505,"&lt;"&amp;F1081)+COUNTIFS($B$6:$B$1505,B1081,$F$6:$F$1505,F1081,$A$6:$A$1505,"&lt;="&amp;A1081))</f>
        <v/>
      </c>
      <c r="N1081" s="41" t="str">
        <f aca="false">IF(M1081="","",ROUNDUP(M1081/H1081,0))</f>
        <v/>
      </c>
      <c r="O1081" s="41" t="str">
        <f aca="false">IF(N1081="","",IF(N1081&lt;='Kitting Plan'!$C$3,"Rep "&amp;N1081,"Surplus"))</f>
        <v/>
      </c>
    </row>
    <row r="1082" customFormat="false" ht="15" hidden="false" customHeight="false" outlineLevel="0" collapsed="false">
      <c r="A1082" s="40" t="str">
        <f aca="false">IF(OR($A$4=0,INDEX('COOIS Raw'!$A:$GZ,ROW()-4,$A$4)=""),"",IFERROR(--INDEX('COOIS Raw'!$A:$GZ,ROW()-4,$A$4),INDEX('COOIS Raw'!$A:$GZ,ROW()-4,$A$4)))</f>
        <v/>
      </c>
      <c r="B1082" s="41" t="str">
        <f aca="false">IF(A1082="","",TRIM(INDEX('COOIS Raw'!$A:$GZ,ROW()-4,$B$4)))</f>
        <v/>
      </c>
      <c r="C1082" s="42" t="str">
        <f aca="false">IF(OR(A1082="",$C$4=0),"",INDEX('COOIS Raw'!$A:$GZ,ROW()-4,$C$4))</f>
        <v/>
      </c>
      <c r="D1082" s="41" t="str">
        <f aca="false">IF(A1082="","",IF($D$4=0,1,IFERROR(--INDEX('COOIS Raw'!$A:$GZ,ROW()-4,$D$4),1)))</f>
        <v/>
      </c>
      <c r="E1082" s="42" t="str">
        <f aca="false">IF(A1082="","",INDEX('COOIS Raw'!$A:$GZ,ROW()-4,$E$4)&amp;"")</f>
        <v/>
      </c>
      <c r="F1082" s="43" t="str">
        <f aca="false">IF(A1082="","",IFERROR(DATEVALUE(INDEX('COOIS Raw'!$A:$GZ,ROW()-4,$F$4)),INDEX('COOIS Raw'!$A:$GZ,ROW()-4,$F$4)))</f>
        <v/>
      </c>
      <c r="G1082" s="41" t="str">
        <f aca="false">IF(A1082="","",IF(ISNA(MATCH(B1082,'Kitting Plan'!$B$6:$B$19,0)),"Not in plan","Yes"))</f>
        <v/>
      </c>
      <c r="H1082" s="41" t="str">
        <f aca="false">IF(G1082="Yes",INDEX('Kitting Plan'!$D$6:$D$19,MATCH(B1082,'Kitting Plan'!$B$6:$B$19,0)),"")</f>
        <v/>
      </c>
      <c r="I1082" s="41" t="str">
        <f aca="false">IF(A1082="","",IF(ISNUMBER(SEARCH("PRT",E1082)),D1082,0))</f>
        <v/>
      </c>
      <c r="J1082" s="41" t="str">
        <f aca="false">IF(A1082="","",IF(ISNUMBER(SEARCH("GMPS",E1082)),D1082,0))</f>
        <v/>
      </c>
      <c r="K1082" s="41" t="str">
        <f aca="false">IF(A1082="","",IF(ISNUMBER(SEARCH("DLV",E1082)),D1082,0))</f>
        <v/>
      </c>
      <c r="L1082" s="41" t="str">
        <f aca="false">IF(A1082="","",IF(K1082&gt;0,"Delivered",IF(ISNUMBER(SEARCH("CNF",E1082)),"In production",IF(J1082&gt;0,"Issued",IF(I1082&gt;0,"Kitted","Released")))))</f>
        <v/>
      </c>
      <c r="M1082" s="41" t="str">
        <f aca="false">IF(G1082&lt;&gt;"Yes","",COUNTIFS($B$6:$B$1505,B1082,$F$6:$F$1505,"&lt;"&amp;F1082)+COUNTIFS($B$6:$B$1505,B1082,$F$6:$F$1505,F1082,$A$6:$A$1505,"&lt;="&amp;A1082))</f>
        <v/>
      </c>
      <c r="N1082" s="41" t="str">
        <f aca="false">IF(M1082="","",ROUNDUP(M1082/H1082,0))</f>
        <v/>
      </c>
      <c r="O1082" s="41" t="str">
        <f aca="false">IF(N1082="","",IF(N1082&lt;='Kitting Plan'!$C$3,"Rep "&amp;N1082,"Surplus"))</f>
        <v/>
      </c>
    </row>
    <row r="1083" customFormat="false" ht="15" hidden="false" customHeight="false" outlineLevel="0" collapsed="false">
      <c r="A1083" s="40" t="str">
        <f aca="false">IF(OR($A$4=0,INDEX('COOIS Raw'!$A:$GZ,ROW()-4,$A$4)=""),"",IFERROR(--INDEX('COOIS Raw'!$A:$GZ,ROW()-4,$A$4),INDEX('COOIS Raw'!$A:$GZ,ROW()-4,$A$4)))</f>
        <v/>
      </c>
      <c r="B1083" s="41" t="str">
        <f aca="false">IF(A1083="","",TRIM(INDEX('COOIS Raw'!$A:$GZ,ROW()-4,$B$4)))</f>
        <v/>
      </c>
      <c r="C1083" s="42" t="str">
        <f aca="false">IF(OR(A1083="",$C$4=0),"",INDEX('COOIS Raw'!$A:$GZ,ROW()-4,$C$4))</f>
        <v/>
      </c>
      <c r="D1083" s="41" t="str">
        <f aca="false">IF(A1083="","",IF($D$4=0,1,IFERROR(--INDEX('COOIS Raw'!$A:$GZ,ROW()-4,$D$4),1)))</f>
        <v/>
      </c>
      <c r="E1083" s="42" t="str">
        <f aca="false">IF(A1083="","",INDEX('COOIS Raw'!$A:$GZ,ROW()-4,$E$4)&amp;"")</f>
        <v/>
      </c>
      <c r="F1083" s="43" t="str">
        <f aca="false">IF(A1083="","",IFERROR(DATEVALUE(INDEX('COOIS Raw'!$A:$GZ,ROW()-4,$F$4)),INDEX('COOIS Raw'!$A:$GZ,ROW()-4,$F$4)))</f>
        <v/>
      </c>
      <c r="G1083" s="41" t="str">
        <f aca="false">IF(A1083="","",IF(ISNA(MATCH(B1083,'Kitting Plan'!$B$6:$B$19,0)),"Not in plan","Yes"))</f>
        <v/>
      </c>
      <c r="H1083" s="41" t="str">
        <f aca="false">IF(G1083="Yes",INDEX('Kitting Plan'!$D$6:$D$19,MATCH(B1083,'Kitting Plan'!$B$6:$B$19,0)),"")</f>
        <v/>
      </c>
      <c r="I1083" s="41" t="str">
        <f aca="false">IF(A1083="","",IF(ISNUMBER(SEARCH("PRT",E1083)),D1083,0))</f>
        <v/>
      </c>
      <c r="J1083" s="41" t="str">
        <f aca="false">IF(A1083="","",IF(ISNUMBER(SEARCH("GMPS",E1083)),D1083,0))</f>
        <v/>
      </c>
      <c r="K1083" s="41" t="str">
        <f aca="false">IF(A1083="","",IF(ISNUMBER(SEARCH("DLV",E1083)),D1083,0))</f>
        <v/>
      </c>
      <c r="L1083" s="41" t="str">
        <f aca="false">IF(A1083="","",IF(K1083&gt;0,"Delivered",IF(ISNUMBER(SEARCH("CNF",E1083)),"In production",IF(J1083&gt;0,"Issued",IF(I1083&gt;0,"Kitted","Released")))))</f>
        <v/>
      </c>
      <c r="M1083" s="41" t="str">
        <f aca="false">IF(G1083&lt;&gt;"Yes","",COUNTIFS($B$6:$B$1505,B1083,$F$6:$F$1505,"&lt;"&amp;F1083)+COUNTIFS($B$6:$B$1505,B1083,$F$6:$F$1505,F1083,$A$6:$A$1505,"&lt;="&amp;A1083))</f>
        <v/>
      </c>
      <c r="N1083" s="41" t="str">
        <f aca="false">IF(M1083="","",ROUNDUP(M1083/H1083,0))</f>
        <v/>
      </c>
      <c r="O1083" s="41" t="str">
        <f aca="false">IF(N1083="","",IF(N1083&lt;='Kitting Plan'!$C$3,"Rep "&amp;N1083,"Surplus"))</f>
        <v/>
      </c>
    </row>
    <row r="1084" customFormat="false" ht="15" hidden="false" customHeight="false" outlineLevel="0" collapsed="false">
      <c r="A1084" s="40" t="str">
        <f aca="false">IF(OR($A$4=0,INDEX('COOIS Raw'!$A:$GZ,ROW()-4,$A$4)=""),"",IFERROR(--INDEX('COOIS Raw'!$A:$GZ,ROW()-4,$A$4),INDEX('COOIS Raw'!$A:$GZ,ROW()-4,$A$4)))</f>
        <v/>
      </c>
      <c r="B1084" s="41" t="str">
        <f aca="false">IF(A1084="","",TRIM(INDEX('COOIS Raw'!$A:$GZ,ROW()-4,$B$4)))</f>
        <v/>
      </c>
      <c r="C1084" s="42" t="str">
        <f aca="false">IF(OR(A1084="",$C$4=0),"",INDEX('COOIS Raw'!$A:$GZ,ROW()-4,$C$4))</f>
        <v/>
      </c>
      <c r="D1084" s="41" t="str">
        <f aca="false">IF(A1084="","",IF($D$4=0,1,IFERROR(--INDEX('COOIS Raw'!$A:$GZ,ROW()-4,$D$4),1)))</f>
        <v/>
      </c>
      <c r="E1084" s="42" t="str">
        <f aca="false">IF(A1084="","",INDEX('COOIS Raw'!$A:$GZ,ROW()-4,$E$4)&amp;"")</f>
        <v/>
      </c>
      <c r="F1084" s="43" t="str">
        <f aca="false">IF(A1084="","",IFERROR(DATEVALUE(INDEX('COOIS Raw'!$A:$GZ,ROW()-4,$F$4)),INDEX('COOIS Raw'!$A:$GZ,ROW()-4,$F$4)))</f>
        <v/>
      </c>
      <c r="G1084" s="41" t="str">
        <f aca="false">IF(A1084="","",IF(ISNA(MATCH(B1084,'Kitting Plan'!$B$6:$B$19,0)),"Not in plan","Yes"))</f>
        <v/>
      </c>
      <c r="H1084" s="41" t="str">
        <f aca="false">IF(G1084="Yes",INDEX('Kitting Plan'!$D$6:$D$19,MATCH(B1084,'Kitting Plan'!$B$6:$B$19,0)),"")</f>
        <v/>
      </c>
      <c r="I1084" s="41" t="str">
        <f aca="false">IF(A1084="","",IF(ISNUMBER(SEARCH("PRT",E1084)),D1084,0))</f>
        <v/>
      </c>
      <c r="J1084" s="41" t="str">
        <f aca="false">IF(A1084="","",IF(ISNUMBER(SEARCH("GMPS",E1084)),D1084,0))</f>
        <v/>
      </c>
      <c r="K1084" s="41" t="str">
        <f aca="false">IF(A1084="","",IF(ISNUMBER(SEARCH("DLV",E1084)),D1084,0))</f>
        <v/>
      </c>
      <c r="L1084" s="41" t="str">
        <f aca="false">IF(A1084="","",IF(K1084&gt;0,"Delivered",IF(ISNUMBER(SEARCH("CNF",E1084)),"In production",IF(J1084&gt;0,"Issued",IF(I1084&gt;0,"Kitted","Released")))))</f>
        <v/>
      </c>
      <c r="M1084" s="41" t="str">
        <f aca="false">IF(G1084&lt;&gt;"Yes","",COUNTIFS($B$6:$B$1505,B1084,$F$6:$F$1505,"&lt;"&amp;F1084)+COUNTIFS($B$6:$B$1505,B1084,$F$6:$F$1505,F1084,$A$6:$A$1505,"&lt;="&amp;A1084))</f>
        <v/>
      </c>
      <c r="N1084" s="41" t="str">
        <f aca="false">IF(M1084="","",ROUNDUP(M1084/H1084,0))</f>
        <v/>
      </c>
      <c r="O1084" s="41" t="str">
        <f aca="false">IF(N1084="","",IF(N1084&lt;='Kitting Plan'!$C$3,"Rep "&amp;N1084,"Surplus"))</f>
        <v/>
      </c>
    </row>
    <row r="1085" customFormat="false" ht="15" hidden="false" customHeight="false" outlineLevel="0" collapsed="false">
      <c r="A1085" s="40" t="str">
        <f aca="false">IF(OR($A$4=0,INDEX('COOIS Raw'!$A:$GZ,ROW()-4,$A$4)=""),"",IFERROR(--INDEX('COOIS Raw'!$A:$GZ,ROW()-4,$A$4),INDEX('COOIS Raw'!$A:$GZ,ROW()-4,$A$4)))</f>
        <v/>
      </c>
      <c r="B1085" s="41" t="str">
        <f aca="false">IF(A1085="","",TRIM(INDEX('COOIS Raw'!$A:$GZ,ROW()-4,$B$4)))</f>
        <v/>
      </c>
      <c r="C1085" s="42" t="str">
        <f aca="false">IF(OR(A1085="",$C$4=0),"",INDEX('COOIS Raw'!$A:$GZ,ROW()-4,$C$4))</f>
        <v/>
      </c>
      <c r="D1085" s="41" t="str">
        <f aca="false">IF(A1085="","",IF($D$4=0,1,IFERROR(--INDEX('COOIS Raw'!$A:$GZ,ROW()-4,$D$4),1)))</f>
        <v/>
      </c>
      <c r="E1085" s="42" t="str">
        <f aca="false">IF(A1085="","",INDEX('COOIS Raw'!$A:$GZ,ROW()-4,$E$4)&amp;"")</f>
        <v/>
      </c>
      <c r="F1085" s="43" t="str">
        <f aca="false">IF(A1085="","",IFERROR(DATEVALUE(INDEX('COOIS Raw'!$A:$GZ,ROW()-4,$F$4)),INDEX('COOIS Raw'!$A:$GZ,ROW()-4,$F$4)))</f>
        <v/>
      </c>
      <c r="G1085" s="41" t="str">
        <f aca="false">IF(A1085="","",IF(ISNA(MATCH(B1085,'Kitting Plan'!$B$6:$B$19,0)),"Not in plan","Yes"))</f>
        <v/>
      </c>
      <c r="H1085" s="41" t="str">
        <f aca="false">IF(G1085="Yes",INDEX('Kitting Plan'!$D$6:$D$19,MATCH(B1085,'Kitting Plan'!$B$6:$B$19,0)),"")</f>
        <v/>
      </c>
      <c r="I1085" s="41" t="str">
        <f aca="false">IF(A1085="","",IF(ISNUMBER(SEARCH("PRT",E1085)),D1085,0))</f>
        <v/>
      </c>
      <c r="J1085" s="41" t="str">
        <f aca="false">IF(A1085="","",IF(ISNUMBER(SEARCH("GMPS",E1085)),D1085,0))</f>
        <v/>
      </c>
      <c r="K1085" s="41" t="str">
        <f aca="false">IF(A1085="","",IF(ISNUMBER(SEARCH("DLV",E1085)),D1085,0))</f>
        <v/>
      </c>
      <c r="L1085" s="41" t="str">
        <f aca="false">IF(A1085="","",IF(K1085&gt;0,"Delivered",IF(ISNUMBER(SEARCH("CNF",E1085)),"In production",IF(J1085&gt;0,"Issued",IF(I1085&gt;0,"Kitted","Released")))))</f>
        <v/>
      </c>
      <c r="M1085" s="41" t="str">
        <f aca="false">IF(G1085&lt;&gt;"Yes","",COUNTIFS($B$6:$B$1505,B1085,$F$6:$F$1505,"&lt;"&amp;F1085)+COUNTIFS($B$6:$B$1505,B1085,$F$6:$F$1505,F1085,$A$6:$A$1505,"&lt;="&amp;A1085))</f>
        <v/>
      </c>
      <c r="N1085" s="41" t="str">
        <f aca="false">IF(M1085="","",ROUNDUP(M1085/H1085,0))</f>
        <v/>
      </c>
      <c r="O1085" s="41" t="str">
        <f aca="false">IF(N1085="","",IF(N1085&lt;='Kitting Plan'!$C$3,"Rep "&amp;N1085,"Surplus"))</f>
        <v/>
      </c>
    </row>
    <row r="1086" customFormat="false" ht="15" hidden="false" customHeight="false" outlineLevel="0" collapsed="false">
      <c r="A1086" s="40" t="str">
        <f aca="false">IF(OR($A$4=0,INDEX('COOIS Raw'!$A:$GZ,ROW()-4,$A$4)=""),"",IFERROR(--INDEX('COOIS Raw'!$A:$GZ,ROW()-4,$A$4),INDEX('COOIS Raw'!$A:$GZ,ROW()-4,$A$4)))</f>
        <v/>
      </c>
      <c r="B1086" s="41" t="str">
        <f aca="false">IF(A1086="","",TRIM(INDEX('COOIS Raw'!$A:$GZ,ROW()-4,$B$4)))</f>
        <v/>
      </c>
      <c r="C1086" s="42" t="str">
        <f aca="false">IF(OR(A1086="",$C$4=0),"",INDEX('COOIS Raw'!$A:$GZ,ROW()-4,$C$4))</f>
        <v/>
      </c>
      <c r="D1086" s="41" t="str">
        <f aca="false">IF(A1086="","",IF($D$4=0,1,IFERROR(--INDEX('COOIS Raw'!$A:$GZ,ROW()-4,$D$4),1)))</f>
        <v/>
      </c>
      <c r="E1086" s="42" t="str">
        <f aca="false">IF(A1086="","",INDEX('COOIS Raw'!$A:$GZ,ROW()-4,$E$4)&amp;"")</f>
        <v/>
      </c>
      <c r="F1086" s="43" t="str">
        <f aca="false">IF(A1086="","",IFERROR(DATEVALUE(INDEX('COOIS Raw'!$A:$GZ,ROW()-4,$F$4)),INDEX('COOIS Raw'!$A:$GZ,ROW()-4,$F$4)))</f>
        <v/>
      </c>
      <c r="G1086" s="41" t="str">
        <f aca="false">IF(A1086="","",IF(ISNA(MATCH(B1086,'Kitting Plan'!$B$6:$B$19,0)),"Not in plan","Yes"))</f>
        <v/>
      </c>
      <c r="H1086" s="41" t="str">
        <f aca="false">IF(G1086="Yes",INDEX('Kitting Plan'!$D$6:$D$19,MATCH(B1086,'Kitting Plan'!$B$6:$B$19,0)),"")</f>
        <v/>
      </c>
      <c r="I1086" s="41" t="str">
        <f aca="false">IF(A1086="","",IF(ISNUMBER(SEARCH("PRT",E1086)),D1086,0))</f>
        <v/>
      </c>
      <c r="J1086" s="41" t="str">
        <f aca="false">IF(A1086="","",IF(ISNUMBER(SEARCH("GMPS",E1086)),D1086,0))</f>
        <v/>
      </c>
      <c r="K1086" s="41" t="str">
        <f aca="false">IF(A1086="","",IF(ISNUMBER(SEARCH("DLV",E1086)),D1086,0))</f>
        <v/>
      </c>
      <c r="L1086" s="41" t="str">
        <f aca="false">IF(A1086="","",IF(K1086&gt;0,"Delivered",IF(ISNUMBER(SEARCH("CNF",E1086)),"In production",IF(J1086&gt;0,"Issued",IF(I1086&gt;0,"Kitted","Released")))))</f>
        <v/>
      </c>
      <c r="M1086" s="41" t="str">
        <f aca="false">IF(G1086&lt;&gt;"Yes","",COUNTIFS($B$6:$B$1505,B1086,$F$6:$F$1505,"&lt;"&amp;F1086)+COUNTIFS($B$6:$B$1505,B1086,$F$6:$F$1505,F1086,$A$6:$A$1505,"&lt;="&amp;A1086))</f>
        <v/>
      </c>
      <c r="N1086" s="41" t="str">
        <f aca="false">IF(M1086="","",ROUNDUP(M1086/H1086,0))</f>
        <v/>
      </c>
      <c r="O1086" s="41" t="str">
        <f aca="false">IF(N1086="","",IF(N1086&lt;='Kitting Plan'!$C$3,"Rep "&amp;N1086,"Surplus"))</f>
        <v/>
      </c>
    </row>
    <row r="1087" customFormat="false" ht="15" hidden="false" customHeight="false" outlineLevel="0" collapsed="false">
      <c r="A1087" s="40" t="str">
        <f aca="false">IF(OR($A$4=0,INDEX('COOIS Raw'!$A:$GZ,ROW()-4,$A$4)=""),"",IFERROR(--INDEX('COOIS Raw'!$A:$GZ,ROW()-4,$A$4),INDEX('COOIS Raw'!$A:$GZ,ROW()-4,$A$4)))</f>
        <v/>
      </c>
      <c r="B1087" s="41" t="str">
        <f aca="false">IF(A1087="","",TRIM(INDEX('COOIS Raw'!$A:$GZ,ROW()-4,$B$4)))</f>
        <v/>
      </c>
      <c r="C1087" s="42" t="str">
        <f aca="false">IF(OR(A1087="",$C$4=0),"",INDEX('COOIS Raw'!$A:$GZ,ROW()-4,$C$4))</f>
        <v/>
      </c>
      <c r="D1087" s="41" t="str">
        <f aca="false">IF(A1087="","",IF($D$4=0,1,IFERROR(--INDEX('COOIS Raw'!$A:$GZ,ROW()-4,$D$4),1)))</f>
        <v/>
      </c>
      <c r="E1087" s="42" t="str">
        <f aca="false">IF(A1087="","",INDEX('COOIS Raw'!$A:$GZ,ROW()-4,$E$4)&amp;"")</f>
        <v/>
      </c>
      <c r="F1087" s="43" t="str">
        <f aca="false">IF(A1087="","",IFERROR(DATEVALUE(INDEX('COOIS Raw'!$A:$GZ,ROW()-4,$F$4)),INDEX('COOIS Raw'!$A:$GZ,ROW()-4,$F$4)))</f>
        <v/>
      </c>
      <c r="G1087" s="41" t="str">
        <f aca="false">IF(A1087="","",IF(ISNA(MATCH(B1087,'Kitting Plan'!$B$6:$B$19,0)),"Not in plan","Yes"))</f>
        <v/>
      </c>
      <c r="H1087" s="41" t="str">
        <f aca="false">IF(G1087="Yes",INDEX('Kitting Plan'!$D$6:$D$19,MATCH(B1087,'Kitting Plan'!$B$6:$B$19,0)),"")</f>
        <v/>
      </c>
      <c r="I1087" s="41" t="str">
        <f aca="false">IF(A1087="","",IF(ISNUMBER(SEARCH("PRT",E1087)),D1087,0))</f>
        <v/>
      </c>
      <c r="J1087" s="41" t="str">
        <f aca="false">IF(A1087="","",IF(ISNUMBER(SEARCH("GMPS",E1087)),D1087,0))</f>
        <v/>
      </c>
      <c r="K1087" s="41" t="str">
        <f aca="false">IF(A1087="","",IF(ISNUMBER(SEARCH("DLV",E1087)),D1087,0))</f>
        <v/>
      </c>
      <c r="L1087" s="41" t="str">
        <f aca="false">IF(A1087="","",IF(K1087&gt;0,"Delivered",IF(ISNUMBER(SEARCH("CNF",E1087)),"In production",IF(J1087&gt;0,"Issued",IF(I1087&gt;0,"Kitted","Released")))))</f>
        <v/>
      </c>
      <c r="M1087" s="41" t="str">
        <f aca="false">IF(G1087&lt;&gt;"Yes","",COUNTIFS($B$6:$B$1505,B1087,$F$6:$F$1505,"&lt;"&amp;F1087)+COUNTIFS($B$6:$B$1505,B1087,$F$6:$F$1505,F1087,$A$6:$A$1505,"&lt;="&amp;A1087))</f>
        <v/>
      </c>
      <c r="N1087" s="41" t="str">
        <f aca="false">IF(M1087="","",ROUNDUP(M1087/H1087,0))</f>
        <v/>
      </c>
      <c r="O1087" s="41" t="str">
        <f aca="false">IF(N1087="","",IF(N1087&lt;='Kitting Plan'!$C$3,"Rep "&amp;N1087,"Surplus"))</f>
        <v/>
      </c>
    </row>
    <row r="1088" customFormat="false" ht="15" hidden="false" customHeight="false" outlineLevel="0" collapsed="false">
      <c r="A1088" s="40" t="str">
        <f aca="false">IF(OR($A$4=0,INDEX('COOIS Raw'!$A:$GZ,ROW()-4,$A$4)=""),"",IFERROR(--INDEX('COOIS Raw'!$A:$GZ,ROW()-4,$A$4),INDEX('COOIS Raw'!$A:$GZ,ROW()-4,$A$4)))</f>
        <v/>
      </c>
      <c r="B1088" s="41" t="str">
        <f aca="false">IF(A1088="","",TRIM(INDEX('COOIS Raw'!$A:$GZ,ROW()-4,$B$4)))</f>
        <v/>
      </c>
      <c r="C1088" s="42" t="str">
        <f aca="false">IF(OR(A1088="",$C$4=0),"",INDEX('COOIS Raw'!$A:$GZ,ROW()-4,$C$4))</f>
        <v/>
      </c>
      <c r="D1088" s="41" t="str">
        <f aca="false">IF(A1088="","",IF($D$4=0,1,IFERROR(--INDEX('COOIS Raw'!$A:$GZ,ROW()-4,$D$4),1)))</f>
        <v/>
      </c>
      <c r="E1088" s="42" t="str">
        <f aca="false">IF(A1088="","",INDEX('COOIS Raw'!$A:$GZ,ROW()-4,$E$4)&amp;"")</f>
        <v/>
      </c>
      <c r="F1088" s="43" t="str">
        <f aca="false">IF(A1088="","",IFERROR(DATEVALUE(INDEX('COOIS Raw'!$A:$GZ,ROW()-4,$F$4)),INDEX('COOIS Raw'!$A:$GZ,ROW()-4,$F$4)))</f>
        <v/>
      </c>
      <c r="G1088" s="41" t="str">
        <f aca="false">IF(A1088="","",IF(ISNA(MATCH(B1088,'Kitting Plan'!$B$6:$B$19,0)),"Not in plan","Yes"))</f>
        <v/>
      </c>
      <c r="H1088" s="41" t="str">
        <f aca="false">IF(G1088="Yes",INDEX('Kitting Plan'!$D$6:$D$19,MATCH(B1088,'Kitting Plan'!$B$6:$B$19,0)),"")</f>
        <v/>
      </c>
      <c r="I1088" s="41" t="str">
        <f aca="false">IF(A1088="","",IF(ISNUMBER(SEARCH("PRT",E1088)),D1088,0))</f>
        <v/>
      </c>
      <c r="J1088" s="41" t="str">
        <f aca="false">IF(A1088="","",IF(ISNUMBER(SEARCH("GMPS",E1088)),D1088,0))</f>
        <v/>
      </c>
      <c r="K1088" s="41" t="str">
        <f aca="false">IF(A1088="","",IF(ISNUMBER(SEARCH("DLV",E1088)),D1088,0))</f>
        <v/>
      </c>
      <c r="L1088" s="41" t="str">
        <f aca="false">IF(A1088="","",IF(K1088&gt;0,"Delivered",IF(ISNUMBER(SEARCH("CNF",E1088)),"In production",IF(J1088&gt;0,"Issued",IF(I1088&gt;0,"Kitted","Released")))))</f>
        <v/>
      </c>
      <c r="M1088" s="41" t="str">
        <f aca="false">IF(G1088&lt;&gt;"Yes","",COUNTIFS($B$6:$B$1505,B1088,$F$6:$F$1505,"&lt;"&amp;F1088)+COUNTIFS($B$6:$B$1505,B1088,$F$6:$F$1505,F1088,$A$6:$A$1505,"&lt;="&amp;A1088))</f>
        <v/>
      </c>
      <c r="N1088" s="41" t="str">
        <f aca="false">IF(M1088="","",ROUNDUP(M1088/H1088,0))</f>
        <v/>
      </c>
      <c r="O1088" s="41" t="str">
        <f aca="false">IF(N1088="","",IF(N1088&lt;='Kitting Plan'!$C$3,"Rep "&amp;N1088,"Surplus"))</f>
        <v/>
      </c>
    </row>
    <row r="1089" customFormat="false" ht="15" hidden="false" customHeight="false" outlineLevel="0" collapsed="false">
      <c r="A1089" s="40" t="str">
        <f aca="false">IF(OR($A$4=0,INDEX('COOIS Raw'!$A:$GZ,ROW()-4,$A$4)=""),"",IFERROR(--INDEX('COOIS Raw'!$A:$GZ,ROW()-4,$A$4),INDEX('COOIS Raw'!$A:$GZ,ROW()-4,$A$4)))</f>
        <v/>
      </c>
      <c r="B1089" s="41" t="str">
        <f aca="false">IF(A1089="","",TRIM(INDEX('COOIS Raw'!$A:$GZ,ROW()-4,$B$4)))</f>
        <v/>
      </c>
      <c r="C1089" s="42" t="str">
        <f aca="false">IF(OR(A1089="",$C$4=0),"",INDEX('COOIS Raw'!$A:$GZ,ROW()-4,$C$4))</f>
        <v/>
      </c>
      <c r="D1089" s="41" t="str">
        <f aca="false">IF(A1089="","",IF($D$4=0,1,IFERROR(--INDEX('COOIS Raw'!$A:$GZ,ROW()-4,$D$4),1)))</f>
        <v/>
      </c>
      <c r="E1089" s="42" t="str">
        <f aca="false">IF(A1089="","",INDEX('COOIS Raw'!$A:$GZ,ROW()-4,$E$4)&amp;"")</f>
        <v/>
      </c>
      <c r="F1089" s="43" t="str">
        <f aca="false">IF(A1089="","",IFERROR(DATEVALUE(INDEX('COOIS Raw'!$A:$GZ,ROW()-4,$F$4)),INDEX('COOIS Raw'!$A:$GZ,ROW()-4,$F$4)))</f>
        <v/>
      </c>
      <c r="G1089" s="41" t="str">
        <f aca="false">IF(A1089="","",IF(ISNA(MATCH(B1089,'Kitting Plan'!$B$6:$B$19,0)),"Not in plan","Yes"))</f>
        <v/>
      </c>
      <c r="H1089" s="41" t="str">
        <f aca="false">IF(G1089="Yes",INDEX('Kitting Plan'!$D$6:$D$19,MATCH(B1089,'Kitting Plan'!$B$6:$B$19,0)),"")</f>
        <v/>
      </c>
      <c r="I1089" s="41" t="str">
        <f aca="false">IF(A1089="","",IF(ISNUMBER(SEARCH("PRT",E1089)),D1089,0))</f>
        <v/>
      </c>
      <c r="J1089" s="41" t="str">
        <f aca="false">IF(A1089="","",IF(ISNUMBER(SEARCH("GMPS",E1089)),D1089,0))</f>
        <v/>
      </c>
      <c r="K1089" s="41" t="str">
        <f aca="false">IF(A1089="","",IF(ISNUMBER(SEARCH("DLV",E1089)),D1089,0))</f>
        <v/>
      </c>
      <c r="L1089" s="41" t="str">
        <f aca="false">IF(A1089="","",IF(K1089&gt;0,"Delivered",IF(ISNUMBER(SEARCH("CNF",E1089)),"In production",IF(J1089&gt;0,"Issued",IF(I1089&gt;0,"Kitted","Released")))))</f>
        <v/>
      </c>
      <c r="M1089" s="41" t="str">
        <f aca="false">IF(G1089&lt;&gt;"Yes","",COUNTIFS($B$6:$B$1505,B1089,$F$6:$F$1505,"&lt;"&amp;F1089)+COUNTIFS($B$6:$B$1505,B1089,$F$6:$F$1505,F1089,$A$6:$A$1505,"&lt;="&amp;A1089))</f>
        <v/>
      </c>
      <c r="N1089" s="41" t="str">
        <f aca="false">IF(M1089="","",ROUNDUP(M1089/H1089,0))</f>
        <v/>
      </c>
      <c r="O1089" s="41" t="str">
        <f aca="false">IF(N1089="","",IF(N1089&lt;='Kitting Plan'!$C$3,"Rep "&amp;N1089,"Surplus"))</f>
        <v/>
      </c>
    </row>
    <row r="1090" customFormat="false" ht="15" hidden="false" customHeight="false" outlineLevel="0" collapsed="false">
      <c r="A1090" s="40" t="str">
        <f aca="false">IF(OR($A$4=0,INDEX('COOIS Raw'!$A:$GZ,ROW()-4,$A$4)=""),"",IFERROR(--INDEX('COOIS Raw'!$A:$GZ,ROW()-4,$A$4),INDEX('COOIS Raw'!$A:$GZ,ROW()-4,$A$4)))</f>
        <v/>
      </c>
      <c r="B1090" s="41" t="str">
        <f aca="false">IF(A1090="","",TRIM(INDEX('COOIS Raw'!$A:$GZ,ROW()-4,$B$4)))</f>
        <v/>
      </c>
      <c r="C1090" s="42" t="str">
        <f aca="false">IF(OR(A1090="",$C$4=0),"",INDEX('COOIS Raw'!$A:$GZ,ROW()-4,$C$4))</f>
        <v/>
      </c>
      <c r="D1090" s="41" t="str">
        <f aca="false">IF(A1090="","",IF($D$4=0,1,IFERROR(--INDEX('COOIS Raw'!$A:$GZ,ROW()-4,$D$4),1)))</f>
        <v/>
      </c>
      <c r="E1090" s="42" t="str">
        <f aca="false">IF(A1090="","",INDEX('COOIS Raw'!$A:$GZ,ROW()-4,$E$4)&amp;"")</f>
        <v/>
      </c>
      <c r="F1090" s="43" t="str">
        <f aca="false">IF(A1090="","",IFERROR(DATEVALUE(INDEX('COOIS Raw'!$A:$GZ,ROW()-4,$F$4)),INDEX('COOIS Raw'!$A:$GZ,ROW()-4,$F$4)))</f>
        <v/>
      </c>
      <c r="G1090" s="41" t="str">
        <f aca="false">IF(A1090="","",IF(ISNA(MATCH(B1090,'Kitting Plan'!$B$6:$B$19,0)),"Not in plan","Yes"))</f>
        <v/>
      </c>
      <c r="H1090" s="41" t="str">
        <f aca="false">IF(G1090="Yes",INDEX('Kitting Plan'!$D$6:$D$19,MATCH(B1090,'Kitting Plan'!$B$6:$B$19,0)),"")</f>
        <v/>
      </c>
      <c r="I1090" s="41" t="str">
        <f aca="false">IF(A1090="","",IF(ISNUMBER(SEARCH("PRT",E1090)),D1090,0))</f>
        <v/>
      </c>
      <c r="J1090" s="41" t="str">
        <f aca="false">IF(A1090="","",IF(ISNUMBER(SEARCH("GMPS",E1090)),D1090,0))</f>
        <v/>
      </c>
      <c r="K1090" s="41" t="str">
        <f aca="false">IF(A1090="","",IF(ISNUMBER(SEARCH("DLV",E1090)),D1090,0))</f>
        <v/>
      </c>
      <c r="L1090" s="41" t="str">
        <f aca="false">IF(A1090="","",IF(K1090&gt;0,"Delivered",IF(ISNUMBER(SEARCH("CNF",E1090)),"In production",IF(J1090&gt;0,"Issued",IF(I1090&gt;0,"Kitted","Released")))))</f>
        <v/>
      </c>
      <c r="M1090" s="41" t="str">
        <f aca="false">IF(G1090&lt;&gt;"Yes","",COUNTIFS($B$6:$B$1505,B1090,$F$6:$F$1505,"&lt;"&amp;F1090)+COUNTIFS($B$6:$B$1505,B1090,$F$6:$F$1505,F1090,$A$6:$A$1505,"&lt;="&amp;A1090))</f>
        <v/>
      </c>
      <c r="N1090" s="41" t="str">
        <f aca="false">IF(M1090="","",ROUNDUP(M1090/H1090,0))</f>
        <v/>
      </c>
      <c r="O1090" s="41" t="str">
        <f aca="false">IF(N1090="","",IF(N1090&lt;='Kitting Plan'!$C$3,"Rep "&amp;N1090,"Surplus"))</f>
        <v/>
      </c>
    </row>
    <row r="1091" customFormat="false" ht="15" hidden="false" customHeight="false" outlineLevel="0" collapsed="false">
      <c r="A1091" s="40" t="str">
        <f aca="false">IF(OR($A$4=0,INDEX('COOIS Raw'!$A:$GZ,ROW()-4,$A$4)=""),"",IFERROR(--INDEX('COOIS Raw'!$A:$GZ,ROW()-4,$A$4),INDEX('COOIS Raw'!$A:$GZ,ROW()-4,$A$4)))</f>
        <v/>
      </c>
      <c r="B1091" s="41" t="str">
        <f aca="false">IF(A1091="","",TRIM(INDEX('COOIS Raw'!$A:$GZ,ROW()-4,$B$4)))</f>
        <v/>
      </c>
      <c r="C1091" s="42" t="str">
        <f aca="false">IF(OR(A1091="",$C$4=0),"",INDEX('COOIS Raw'!$A:$GZ,ROW()-4,$C$4))</f>
        <v/>
      </c>
      <c r="D1091" s="41" t="str">
        <f aca="false">IF(A1091="","",IF($D$4=0,1,IFERROR(--INDEX('COOIS Raw'!$A:$GZ,ROW()-4,$D$4),1)))</f>
        <v/>
      </c>
      <c r="E1091" s="42" t="str">
        <f aca="false">IF(A1091="","",INDEX('COOIS Raw'!$A:$GZ,ROW()-4,$E$4)&amp;"")</f>
        <v/>
      </c>
      <c r="F1091" s="43" t="str">
        <f aca="false">IF(A1091="","",IFERROR(DATEVALUE(INDEX('COOIS Raw'!$A:$GZ,ROW()-4,$F$4)),INDEX('COOIS Raw'!$A:$GZ,ROW()-4,$F$4)))</f>
        <v/>
      </c>
      <c r="G1091" s="41" t="str">
        <f aca="false">IF(A1091="","",IF(ISNA(MATCH(B1091,'Kitting Plan'!$B$6:$B$19,0)),"Not in plan","Yes"))</f>
        <v/>
      </c>
      <c r="H1091" s="41" t="str">
        <f aca="false">IF(G1091="Yes",INDEX('Kitting Plan'!$D$6:$D$19,MATCH(B1091,'Kitting Plan'!$B$6:$B$19,0)),"")</f>
        <v/>
      </c>
      <c r="I1091" s="41" t="str">
        <f aca="false">IF(A1091="","",IF(ISNUMBER(SEARCH("PRT",E1091)),D1091,0))</f>
        <v/>
      </c>
      <c r="J1091" s="41" t="str">
        <f aca="false">IF(A1091="","",IF(ISNUMBER(SEARCH("GMPS",E1091)),D1091,0))</f>
        <v/>
      </c>
      <c r="K1091" s="41" t="str">
        <f aca="false">IF(A1091="","",IF(ISNUMBER(SEARCH("DLV",E1091)),D1091,0))</f>
        <v/>
      </c>
      <c r="L1091" s="41" t="str">
        <f aca="false">IF(A1091="","",IF(K1091&gt;0,"Delivered",IF(ISNUMBER(SEARCH("CNF",E1091)),"In production",IF(J1091&gt;0,"Issued",IF(I1091&gt;0,"Kitted","Released")))))</f>
        <v/>
      </c>
      <c r="M1091" s="41" t="str">
        <f aca="false">IF(G1091&lt;&gt;"Yes","",COUNTIFS($B$6:$B$1505,B1091,$F$6:$F$1505,"&lt;"&amp;F1091)+COUNTIFS($B$6:$B$1505,B1091,$F$6:$F$1505,F1091,$A$6:$A$1505,"&lt;="&amp;A1091))</f>
        <v/>
      </c>
      <c r="N1091" s="41" t="str">
        <f aca="false">IF(M1091="","",ROUNDUP(M1091/H1091,0))</f>
        <v/>
      </c>
      <c r="O1091" s="41" t="str">
        <f aca="false">IF(N1091="","",IF(N1091&lt;='Kitting Plan'!$C$3,"Rep "&amp;N1091,"Surplus"))</f>
        <v/>
      </c>
    </row>
    <row r="1092" customFormat="false" ht="15" hidden="false" customHeight="false" outlineLevel="0" collapsed="false">
      <c r="A1092" s="40" t="str">
        <f aca="false">IF(OR($A$4=0,INDEX('COOIS Raw'!$A:$GZ,ROW()-4,$A$4)=""),"",IFERROR(--INDEX('COOIS Raw'!$A:$GZ,ROW()-4,$A$4),INDEX('COOIS Raw'!$A:$GZ,ROW()-4,$A$4)))</f>
        <v/>
      </c>
      <c r="B1092" s="41" t="str">
        <f aca="false">IF(A1092="","",TRIM(INDEX('COOIS Raw'!$A:$GZ,ROW()-4,$B$4)))</f>
        <v/>
      </c>
      <c r="C1092" s="42" t="str">
        <f aca="false">IF(OR(A1092="",$C$4=0),"",INDEX('COOIS Raw'!$A:$GZ,ROW()-4,$C$4))</f>
        <v/>
      </c>
      <c r="D1092" s="41" t="str">
        <f aca="false">IF(A1092="","",IF($D$4=0,1,IFERROR(--INDEX('COOIS Raw'!$A:$GZ,ROW()-4,$D$4),1)))</f>
        <v/>
      </c>
      <c r="E1092" s="42" t="str">
        <f aca="false">IF(A1092="","",INDEX('COOIS Raw'!$A:$GZ,ROW()-4,$E$4)&amp;"")</f>
        <v/>
      </c>
      <c r="F1092" s="43" t="str">
        <f aca="false">IF(A1092="","",IFERROR(DATEVALUE(INDEX('COOIS Raw'!$A:$GZ,ROW()-4,$F$4)),INDEX('COOIS Raw'!$A:$GZ,ROW()-4,$F$4)))</f>
        <v/>
      </c>
      <c r="G1092" s="41" t="str">
        <f aca="false">IF(A1092="","",IF(ISNA(MATCH(B1092,'Kitting Plan'!$B$6:$B$19,0)),"Not in plan","Yes"))</f>
        <v/>
      </c>
      <c r="H1092" s="41" t="str">
        <f aca="false">IF(G1092="Yes",INDEX('Kitting Plan'!$D$6:$D$19,MATCH(B1092,'Kitting Plan'!$B$6:$B$19,0)),"")</f>
        <v/>
      </c>
      <c r="I1092" s="41" t="str">
        <f aca="false">IF(A1092="","",IF(ISNUMBER(SEARCH("PRT",E1092)),D1092,0))</f>
        <v/>
      </c>
      <c r="J1092" s="41" t="str">
        <f aca="false">IF(A1092="","",IF(ISNUMBER(SEARCH("GMPS",E1092)),D1092,0))</f>
        <v/>
      </c>
      <c r="K1092" s="41" t="str">
        <f aca="false">IF(A1092="","",IF(ISNUMBER(SEARCH("DLV",E1092)),D1092,0))</f>
        <v/>
      </c>
      <c r="L1092" s="41" t="str">
        <f aca="false">IF(A1092="","",IF(K1092&gt;0,"Delivered",IF(ISNUMBER(SEARCH("CNF",E1092)),"In production",IF(J1092&gt;0,"Issued",IF(I1092&gt;0,"Kitted","Released")))))</f>
        <v/>
      </c>
      <c r="M1092" s="41" t="str">
        <f aca="false">IF(G1092&lt;&gt;"Yes","",COUNTIFS($B$6:$B$1505,B1092,$F$6:$F$1505,"&lt;"&amp;F1092)+COUNTIFS($B$6:$B$1505,B1092,$F$6:$F$1505,F1092,$A$6:$A$1505,"&lt;="&amp;A1092))</f>
        <v/>
      </c>
      <c r="N1092" s="41" t="str">
        <f aca="false">IF(M1092="","",ROUNDUP(M1092/H1092,0))</f>
        <v/>
      </c>
      <c r="O1092" s="41" t="str">
        <f aca="false">IF(N1092="","",IF(N1092&lt;='Kitting Plan'!$C$3,"Rep "&amp;N1092,"Surplus"))</f>
        <v/>
      </c>
    </row>
    <row r="1093" customFormat="false" ht="15" hidden="false" customHeight="false" outlineLevel="0" collapsed="false">
      <c r="A1093" s="40" t="str">
        <f aca="false">IF(OR($A$4=0,INDEX('COOIS Raw'!$A:$GZ,ROW()-4,$A$4)=""),"",IFERROR(--INDEX('COOIS Raw'!$A:$GZ,ROW()-4,$A$4),INDEX('COOIS Raw'!$A:$GZ,ROW()-4,$A$4)))</f>
        <v/>
      </c>
      <c r="B1093" s="41" t="str">
        <f aca="false">IF(A1093="","",TRIM(INDEX('COOIS Raw'!$A:$GZ,ROW()-4,$B$4)))</f>
        <v/>
      </c>
      <c r="C1093" s="42" t="str">
        <f aca="false">IF(OR(A1093="",$C$4=0),"",INDEX('COOIS Raw'!$A:$GZ,ROW()-4,$C$4))</f>
        <v/>
      </c>
      <c r="D1093" s="41" t="str">
        <f aca="false">IF(A1093="","",IF($D$4=0,1,IFERROR(--INDEX('COOIS Raw'!$A:$GZ,ROW()-4,$D$4),1)))</f>
        <v/>
      </c>
      <c r="E1093" s="42" t="str">
        <f aca="false">IF(A1093="","",INDEX('COOIS Raw'!$A:$GZ,ROW()-4,$E$4)&amp;"")</f>
        <v/>
      </c>
      <c r="F1093" s="43" t="str">
        <f aca="false">IF(A1093="","",IFERROR(DATEVALUE(INDEX('COOIS Raw'!$A:$GZ,ROW()-4,$F$4)),INDEX('COOIS Raw'!$A:$GZ,ROW()-4,$F$4)))</f>
        <v/>
      </c>
      <c r="G1093" s="41" t="str">
        <f aca="false">IF(A1093="","",IF(ISNA(MATCH(B1093,'Kitting Plan'!$B$6:$B$19,0)),"Not in plan","Yes"))</f>
        <v/>
      </c>
      <c r="H1093" s="41" t="str">
        <f aca="false">IF(G1093="Yes",INDEX('Kitting Plan'!$D$6:$D$19,MATCH(B1093,'Kitting Plan'!$B$6:$B$19,0)),"")</f>
        <v/>
      </c>
      <c r="I1093" s="41" t="str">
        <f aca="false">IF(A1093="","",IF(ISNUMBER(SEARCH("PRT",E1093)),D1093,0))</f>
        <v/>
      </c>
      <c r="J1093" s="41" t="str">
        <f aca="false">IF(A1093="","",IF(ISNUMBER(SEARCH("GMPS",E1093)),D1093,0))</f>
        <v/>
      </c>
      <c r="K1093" s="41" t="str">
        <f aca="false">IF(A1093="","",IF(ISNUMBER(SEARCH("DLV",E1093)),D1093,0))</f>
        <v/>
      </c>
      <c r="L1093" s="41" t="str">
        <f aca="false">IF(A1093="","",IF(K1093&gt;0,"Delivered",IF(ISNUMBER(SEARCH("CNF",E1093)),"In production",IF(J1093&gt;0,"Issued",IF(I1093&gt;0,"Kitted","Released")))))</f>
        <v/>
      </c>
      <c r="M1093" s="41" t="str">
        <f aca="false">IF(G1093&lt;&gt;"Yes","",COUNTIFS($B$6:$B$1505,B1093,$F$6:$F$1505,"&lt;"&amp;F1093)+COUNTIFS($B$6:$B$1505,B1093,$F$6:$F$1505,F1093,$A$6:$A$1505,"&lt;="&amp;A1093))</f>
        <v/>
      </c>
      <c r="N1093" s="41" t="str">
        <f aca="false">IF(M1093="","",ROUNDUP(M1093/H1093,0))</f>
        <v/>
      </c>
      <c r="O1093" s="41" t="str">
        <f aca="false">IF(N1093="","",IF(N1093&lt;='Kitting Plan'!$C$3,"Rep "&amp;N1093,"Surplus"))</f>
        <v/>
      </c>
    </row>
    <row r="1094" customFormat="false" ht="15" hidden="false" customHeight="false" outlineLevel="0" collapsed="false">
      <c r="A1094" s="40" t="str">
        <f aca="false">IF(OR($A$4=0,INDEX('COOIS Raw'!$A:$GZ,ROW()-4,$A$4)=""),"",IFERROR(--INDEX('COOIS Raw'!$A:$GZ,ROW()-4,$A$4),INDEX('COOIS Raw'!$A:$GZ,ROW()-4,$A$4)))</f>
        <v/>
      </c>
      <c r="B1094" s="41" t="str">
        <f aca="false">IF(A1094="","",TRIM(INDEX('COOIS Raw'!$A:$GZ,ROW()-4,$B$4)))</f>
        <v/>
      </c>
      <c r="C1094" s="42" t="str">
        <f aca="false">IF(OR(A1094="",$C$4=0),"",INDEX('COOIS Raw'!$A:$GZ,ROW()-4,$C$4))</f>
        <v/>
      </c>
      <c r="D1094" s="41" t="str">
        <f aca="false">IF(A1094="","",IF($D$4=0,1,IFERROR(--INDEX('COOIS Raw'!$A:$GZ,ROW()-4,$D$4),1)))</f>
        <v/>
      </c>
      <c r="E1094" s="42" t="str">
        <f aca="false">IF(A1094="","",INDEX('COOIS Raw'!$A:$GZ,ROW()-4,$E$4)&amp;"")</f>
        <v/>
      </c>
      <c r="F1094" s="43" t="str">
        <f aca="false">IF(A1094="","",IFERROR(DATEVALUE(INDEX('COOIS Raw'!$A:$GZ,ROW()-4,$F$4)),INDEX('COOIS Raw'!$A:$GZ,ROW()-4,$F$4)))</f>
        <v/>
      </c>
      <c r="G1094" s="41" t="str">
        <f aca="false">IF(A1094="","",IF(ISNA(MATCH(B1094,'Kitting Plan'!$B$6:$B$19,0)),"Not in plan","Yes"))</f>
        <v/>
      </c>
      <c r="H1094" s="41" t="str">
        <f aca="false">IF(G1094="Yes",INDEX('Kitting Plan'!$D$6:$D$19,MATCH(B1094,'Kitting Plan'!$B$6:$B$19,0)),"")</f>
        <v/>
      </c>
      <c r="I1094" s="41" t="str">
        <f aca="false">IF(A1094="","",IF(ISNUMBER(SEARCH("PRT",E1094)),D1094,0))</f>
        <v/>
      </c>
      <c r="J1094" s="41" t="str">
        <f aca="false">IF(A1094="","",IF(ISNUMBER(SEARCH("GMPS",E1094)),D1094,0))</f>
        <v/>
      </c>
      <c r="K1094" s="41" t="str">
        <f aca="false">IF(A1094="","",IF(ISNUMBER(SEARCH("DLV",E1094)),D1094,0))</f>
        <v/>
      </c>
      <c r="L1094" s="41" t="str">
        <f aca="false">IF(A1094="","",IF(K1094&gt;0,"Delivered",IF(ISNUMBER(SEARCH("CNF",E1094)),"In production",IF(J1094&gt;0,"Issued",IF(I1094&gt;0,"Kitted","Released")))))</f>
        <v/>
      </c>
      <c r="M1094" s="41" t="str">
        <f aca="false">IF(G1094&lt;&gt;"Yes","",COUNTIFS($B$6:$B$1505,B1094,$F$6:$F$1505,"&lt;"&amp;F1094)+COUNTIFS($B$6:$B$1505,B1094,$F$6:$F$1505,F1094,$A$6:$A$1505,"&lt;="&amp;A1094))</f>
        <v/>
      </c>
      <c r="N1094" s="41" t="str">
        <f aca="false">IF(M1094="","",ROUNDUP(M1094/H1094,0))</f>
        <v/>
      </c>
      <c r="O1094" s="41" t="str">
        <f aca="false">IF(N1094="","",IF(N1094&lt;='Kitting Plan'!$C$3,"Rep "&amp;N1094,"Surplus"))</f>
        <v/>
      </c>
    </row>
    <row r="1095" customFormat="false" ht="15" hidden="false" customHeight="false" outlineLevel="0" collapsed="false">
      <c r="A1095" s="40" t="str">
        <f aca="false">IF(OR($A$4=0,INDEX('COOIS Raw'!$A:$GZ,ROW()-4,$A$4)=""),"",IFERROR(--INDEX('COOIS Raw'!$A:$GZ,ROW()-4,$A$4),INDEX('COOIS Raw'!$A:$GZ,ROW()-4,$A$4)))</f>
        <v/>
      </c>
      <c r="B1095" s="41" t="str">
        <f aca="false">IF(A1095="","",TRIM(INDEX('COOIS Raw'!$A:$GZ,ROW()-4,$B$4)))</f>
        <v/>
      </c>
      <c r="C1095" s="42" t="str">
        <f aca="false">IF(OR(A1095="",$C$4=0),"",INDEX('COOIS Raw'!$A:$GZ,ROW()-4,$C$4))</f>
        <v/>
      </c>
      <c r="D1095" s="41" t="str">
        <f aca="false">IF(A1095="","",IF($D$4=0,1,IFERROR(--INDEX('COOIS Raw'!$A:$GZ,ROW()-4,$D$4),1)))</f>
        <v/>
      </c>
      <c r="E1095" s="42" t="str">
        <f aca="false">IF(A1095="","",INDEX('COOIS Raw'!$A:$GZ,ROW()-4,$E$4)&amp;"")</f>
        <v/>
      </c>
      <c r="F1095" s="43" t="str">
        <f aca="false">IF(A1095="","",IFERROR(DATEVALUE(INDEX('COOIS Raw'!$A:$GZ,ROW()-4,$F$4)),INDEX('COOIS Raw'!$A:$GZ,ROW()-4,$F$4)))</f>
        <v/>
      </c>
      <c r="G1095" s="41" t="str">
        <f aca="false">IF(A1095="","",IF(ISNA(MATCH(B1095,'Kitting Plan'!$B$6:$B$19,0)),"Not in plan","Yes"))</f>
        <v/>
      </c>
      <c r="H1095" s="41" t="str">
        <f aca="false">IF(G1095="Yes",INDEX('Kitting Plan'!$D$6:$D$19,MATCH(B1095,'Kitting Plan'!$B$6:$B$19,0)),"")</f>
        <v/>
      </c>
      <c r="I1095" s="41" t="str">
        <f aca="false">IF(A1095="","",IF(ISNUMBER(SEARCH("PRT",E1095)),D1095,0))</f>
        <v/>
      </c>
      <c r="J1095" s="41" t="str">
        <f aca="false">IF(A1095="","",IF(ISNUMBER(SEARCH("GMPS",E1095)),D1095,0))</f>
        <v/>
      </c>
      <c r="K1095" s="41" t="str">
        <f aca="false">IF(A1095="","",IF(ISNUMBER(SEARCH("DLV",E1095)),D1095,0))</f>
        <v/>
      </c>
      <c r="L1095" s="41" t="str">
        <f aca="false">IF(A1095="","",IF(K1095&gt;0,"Delivered",IF(ISNUMBER(SEARCH("CNF",E1095)),"In production",IF(J1095&gt;0,"Issued",IF(I1095&gt;0,"Kitted","Released")))))</f>
        <v/>
      </c>
      <c r="M1095" s="41" t="str">
        <f aca="false">IF(G1095&lt;&gt;"Yes","",COUNTIFS($B$6:$B$1505,B1095,$F$6:$F$1505,"&lt;"&amp;F1095)+COUNTIFS($B$6:$B$1505,B1095,$F$6:$F$1505,F1095,$A$6:$A$1505,"&lt;="&amp;A1095))</f>
        <v/>
      </c>
      <c r="N1095" s="41" t="str">
        <f aca="false">IF(M1095="","",ROUNDUP(M1095/H1095,0))</f>
        <v/>
      </c>
      <c r="O1095" s="41" t="str">
        <f aca="false">IF(N1095="","",IF(N1095&lt;='Kitting Plan'!$C$3,"Rep "&amp;N1095,"Surplus"))</f>
        <v/>
      </c>
    </row>
    <row r="1096" customFormat="false" ht="15" hidden="false" customHeight="false" outlineLevel="0" collapsed="false">
      <c r="A1096" s="40" t="str">
        <f aca="false">IF(OR($A$4=0,INDEX('COOIS Raw'!$A:$GZ,ROW()-4,$A$4)=""),"",IFERROR(--INDEX('COOIS Raw'!$A:$GZ,ROW()-4,$A$4),INDEX('COOIS Raw'!$A:$GZ,ROW()-4,$A$4)))</f>
        <v/>
      </c>
      <c r="B1096" s="41" t="str">
        <f aca="false">IF(A1096="","",TRIM(INDEX('COOIS Raw'!$A:$GZ,ROW()-4,$B$4)))</f>
        <v/>
      </c>
      <c r="C1096" s="42" t="str">
        <f aca="false">IF(OR(A1096="",$C$4=0),"",INDEX('COOIS Raw'!$A:$GZ,ROW()-4,$C$4))</f>
        <v/>
      </c>
      <c r="D1096" s="41" t="str">
        <f aca="false">IF(A1096="","",IF($D$4=0,1,IFERROR(--INDEX('COOIS Raw'!$A:$GZ,ROW()-4,$D$4),1)))</f>
        <v/>
      </c>
      <c r="E1096" s="42" t="str">
        <f aca="false">IF(A1096="","",INDEX('COOIS Raw'!$A:$GZ,ROW()-4,$E$4)&amp;"")</f>
        <v/>
      </c>
      <c r="F1096" s="43" t="str">
        <f aca="false">IF(A1096="","",IFERROR(DATEVALUE(INDEX('COOIS Raw'!$A:$GZ,ROW()-4,$F$4)),INDEX('COOIS Raw'!$A:$GZ,ROW()-4,$F$4)))</f>
        <v/>
      </c>
      <c r="G1096" s="41" t="str">
        <f aca="false">IF(A1096="","",IF(ISNA(MATCH(B1096,'Kitting Plan'!$B$6:$B$19,0)),"Not in plan","Yes"))</f>
        <v/>
      </c>
      <c r="H1096" s="41" t="str">
        <f aca="false">IF(G1096="Yes",INDEX('Kitting Plan'!$D$6:$D$19,MATCH(B1096,'Kitting Plan'!$B$6:$B$19,0)),"")</f>
        <v/>
      </c>
      <c r="I1096" s="41" t="str">
        <f aca="false">IF(A1096="","",IF(ISNUMBER(SEARCH("PRT",E1096)),D1096,0))</f>
        <v/>
      </c>
      <c r="J1096" s="41" t="str">
        <f aca="false">IF(A1096="","",IF(ISNUMBER(SEARCH("GMPS",E1096)),D1096,0))</f>
        <v/>
      </c>
      <c r="K1096" s="41" t="str">
        <f aca="false">IF(A1096="","",IF(ISNUMBER(SEARCH("DLV",E1096)),D1096,0))</f>
        <v/>
      </c>
      <c r="L1096" s="41" t="str">
        <f aca="false">IF(A1096="","",IF(K1096&gt;0,"Delivered",IF(ISNUMBER(SEARCH("CNF",E1096)),"In production",IF(J1096&gt;0,"Issued",IF(I1096&gt;0,"Kitted","Released")))))</f>
        <v/>
      </c>
      <c r="M1096" s="41" t="str">
        <f aca="false">IF(G1096&lt;&gt;"Yes","",COUNTIFS($B$6:$B$1505,B1096,$F$6:$F$1505,"&lt;"&amp;F1096)+COUNTIFS($B$6:$B$1505,B1096,$F$6:$F$1505,F1096,$A$6:$A$1505,"&lt;="&amp;A1096))</f>
        <v/>
      </c>
      <c r="N1096" s="41" t="str">
        <f aca="false">IF(M1096="","",ROUNDUP(M1096/H1096,0))</f>
        <v/>
      </c>
      <c r="O1096" s="41" t="str">
        <f aca="false">IF(N1096="","",IF(N1096&lt;='Kitting Plan'!$C$3,"Rep "&amp;N1096,"Surplus"))</f>
        <v/>
      </c>
    </row>
    <row r="1097" customFormat="false" ht="15" hidden="false" customHeight="false" outlineLevel="0" collapsed="false">
      <c r="A1097" s="40" t="str">
        <f aca="false">IF(OR($A$4=0,INDEX('COOIS Raw'!$A:$GZ,ROW()-4,$A$4)=""),"",IFERROR(--INDEX('COOIS Raw'!$A:$GZ,ROW()-4,$A$4),INDEX('COOIS Raw'!$A:$GZ,ROW()-4,$A$4)))</f>
        <v/>
      </c>
      <c r="B1097" s="41" t="str">
        <f aca="false">IF(A1097="","",TRIM(INDEX('COOIS Raw'!$A:$GZ,ROW()-4,$B$4)))</f>
        <v/>
      </c>
      <c r="C1097" s="42" t="str">
        <f aca="false">IF(OR(A1097="",$C$4=0),"",INDEX('COOIS Raw'!$A:$GZ,ROW()-4,$C$4))</f>
        <v/>
      </c>
      <c r="D1097" s="41" t="str">
        <f aca="false">IF(A1097="","",IF($D$4=0,1,IFERROR(--INDEX('COOIS Raw'!$A:$GZ,ROW()-4,$D$4),1)))</f>
        <v/>
      </c>
      <c r="E1097" s="42" t="str">
        <f aca="false">IF(A1097="","",INDEX('COOIS Raw'!$A:$GZ,ROW()-4,$E$4)&amp;"")</f>
        <v/>
      </c>
      <c r="F1097" s="43" t="str">
        <f aca="false">IF(A1097="","",IFERROR(DATEVALUE(INDEX('COOIS Raw'!$A:$GZ,ROW()-4,$F$4)),INDEX('COOIS Raw'!$A:$GZ,ROW()-4,$F$4)))</f>
        <v/>
      </c>
      <c r="G1097" s="41" t="str">
        <f aca="false">IF(A1097="","",IF(ISNA(MATCH(B1097,'Kitting Plan'!$B$6:$B$19,0)),"Not in plan","Yes"))</f>
        <v/>
      </c>
      <c r="H1097" s="41" t="str">
        <f aca="false">IF(G1097="Yes",INDEX('Kitting Plan'!$D$6:$D$19,MATCH(B1097,'Kitting Plan'!$B$6:$B$19,0)),"")</f>
        <v/>
      </c>
      <c r="I1097" s="41" t="str">
        <f aca="false">IF(A1097="","",IF(ISNUMBER(SEARCH("PRT",E1097)),D1097,0))</f>
        <v/>
      </c>
      <c r="J1097" s="41" t="str">
        <f aca="false">IF(A1097="","",IF(ISNUMBER(SEARCH("GMPS",E1097)),D1097,0))</f>
        <v/>
      </c>
      <c r="K1097" s="41" t="str">
        <f aca="false">IF(A1097="","",IF(ISNUMBER(SEARCH("DLV",E1097)),D1097,0))</f>
        <v/>
      </c>
      <c r="L1097" s="41" t="str">
        <f aca="false">IF(A1097="","",IF(K1097&gt;0,"Delivered",IF(ISNUMBER(SEARCH("CNF",E1097)),"In production",IF(J1097&gt;0,"Issued",IF(I1097&gt;0,"Kitted","Released")))))</f>
        <v/>
      </c>
      <c r="M1097" s="41" t="str">
        <f aca="false">IF(G1097&lt;&gt;"Yes","",COUNTIFS($B$6:$B$1505,B1097,$F$6:$F$1505,"&lt;"&amp;F1097)+COUNTIFS($B$6:$B$1505,B1097,$F$6:$F$1505,F1097,$A$6:$A$1505,"&lt;="&amp;A1097))</f>
        <v/>
      </c>
      <c r="N1097" s="41" t="str">
        <f aca="false">IF(M1097="","",ROUNDUP(M1097/H1097,0))</f>
        <v/>
      </c>
      <c r="O1097" s="41" t="str">
        <f aca="false">IF(N1097="","",IF(N1097&lt;='Kitting Plan'!$C$3,"Rep "&amp;N1097,"Surplus"))</f>
        <v/>
      </c>
    </row>
    <row r="1098" customFormat="false" ht="15" hidden="false" customHeight="false" outlineLevel="0" collapsed="false">
      <c r="A1098" s="40" t="str">
        <f aca="false">IF(OR($A$4=0,INDEX('COOIS Raw'!$A:$GZ,ROW()-4,$A$4)=""),"",IFERROR(--INDEX('COOIS Raw'!$A:$GZ,ROW()-4,$A$4),INDEX('COOIS Raw'!$A:$GZ,ROW()-4,$A$4)))</f>
        <v/>
      </c>
      <c r="B1098" s="41" t="str">
        <f aca="false">IF(A1098="","",TRIM(INDEX('COOIS Raw'!$A:$GZ,ROW()-4,$B$4)))</f>
        <v/>
      </c>
      <c r="C1098" s="42" t="str">
        <f aca="false">IF(OR(A1098="",$C$4=0),"",INDEX('COOIS Raw'!$A:$GZ,ROW()-4,$C$4))</f>
        <v/>
      </c>
      <c r="D1098" s="41" t="str">
        <f aca="false">IF(A1098="","",IF($D$4=0,1,IFERROR(--INDEX('COOIS Raw'!$A:$GZ,ROW()-4,$D$4),1)))</f>
        <v/>
      </c>
      <c r="E1098" s="42" t="str">
        <f aca="false">IF(A1098="","",INDEX('COOIS Raw'!$A:$GZ,ROW()-4,$E$4)&amp;"")</f>
        <v/>
      </c>
      <c r="F1098" s="43" t="str">
        <f aca="false">IF(A1098="","",IFERROR(DATEVALUE(INDEX('COOIS Raw'!$A:$GZ,ROW()-4,$F$4)),INDEX('COOIS Raw'!$A:$GZ,ROW()-4,$F$4)))</f>
        <v/>
      </c>
      <c r="G1098" s="41" t="str">
        <f aca="false">IF(A1098="","",IF(ISNA(MATCH(B1098,'Kitting Plan'!$B$6:$B$19,0)),"Not in plan","Yes"))</f>
        <v/>
      </c>
      <c r="H1098" s="41" t="str">
        <f aca="false">IF(G1098="Yes",INDEX('Kitting Plan'!$D$6:$D$19,MATCH(B1098,'Kitting Plan'!$B$6:$B$19,0)),"")</f>
        <v/>
      </c>
      <c r="I1098" s="41" t="str">
        <f aca="false">IF(A1098="","",IF(ISNUMBER(SEARCH("PRT",E1098)),D1098,0))</f>
        <v/>
      </c>
      <c r="J1098" s="41" t="str">
        <f aca="false">IF(A1098="","",IF(ISNUMBER(SEARCH("GMPS",E1098)),D1098,0))</f>
        <v/>
      </c>
      <c r="K1098" s="41" t="str">
        <f aca="false">IF(A1098="","",IF(ISNUMBER(SEARCH("DLV",E1098)),D1098,0))</f>
        <v/>
      </c>
      <c r="L1098" s="41" t="str">
        <f aca="false">IF(A1098="","",IF(K1098&gt;0,"Delivered",IF(ISNUMBER(SEARCH("CNF",E1098)),"In production",IF(J1098&gt;0,"Issued",IF(I1098&gt;0,"Kitted","Released")))))</f>
        <v/>
      </c>
      <c r="M1098" s="41" t="str">
        <f aca="false">IF(G1098&lt;&gt;"Yes","",COUNTIFS($B$6:$B$1505,B1098,$F$6:$F$1505,"&lt;"&amp;F1098)+COUNTIFS($B$6:$B$1505,B1098,$F$6:$F$1505,F1098,$A$6:$A$1505,"&lt;="&amp;A1098))</f>
        <v/>
      </c>
      <c r="N1098" s="41" t="str">
        <f aca="false">IF(M1098="","",ROUNDUP(M1098/H1098,0))</f>
        <v/>
      </c>
      <c r="O1098" s="41" t="str">
        <f aca="false">IF(N1098="","",IF(N1098&lt;='Kitting Plan'!$C$3,"Rep "&amp;N1098,"Surplus"))</f>
        <v/>
      </c>
    </row>
    <row r="1099" customFormat="false" ht="15" hidden="false" customHeight="false" outlineLevel="0" collapsed="false">
      <c r="A1099" s="40" t="str">
        <f aca="false">IF(OR($A$4=0,INDEX('COOIS Raw'!$A:$GZ,ROW()-4,$A$4)=""),"",IFERROR(--INDEX('COOIS Raw'!$A:$GZ,ROW()-4,$A$4),INDEX('COOIS Raw'!$A:$GZ,ROW()-4,$A$4)))</f>
        <v/>
      </c>
      <c r="B1099" s="41" t="str">
        <f aca="false">IF(A1099="","",TRIM(INDEX('COOIS Raw'!$A:$GZ,ROW()-4,$B$4)))</f>
        <v/>
      </c>
      <c r="C1099" s="42" t="str">
        <f aca="false">IF(OR(A1099="",$C$4=0),"",INDEX('COOIS Raw'!$A:$GZ,ROW()-4,$C$4))</f>
        <v/>
      </c>
      <c r="D1099" s="41" t="str">
        <f aca="false">IF(A1099="","",IF($D$4=0,1,IFERROR(--INDEX('COOIS Raw'!$A:$GZ,ROW()-4,$D$4),1)))</f>
        <v/>
      </c>
      <c r="E1099" s="42" t="str">
        <f aca="false">IF(A1099="","",INDEX('COOIS Raw'!$A:$GZ,ROW()-4,$E$4)&amp;"")</f>
        <v/>
      </c>
      <c r="F1099" s="43" t="str">
        <f aca="false">IF(A1099="","",IFERROR(DATEVALUE(INDEX('COOIS Raw'!$A:$GZ,ROW()-4,$F$4)),INDEX('COOIS Raw'!$A:$GZ,ROW()-4,$F$4)))</f>
        <v/>
      </c>
      <c r="G1099" s="41" t="str">
        <f aca="false">IF(A1099="","",IF(ISNA(MATCH(B1099,'Kitting Plan'!$B$6:$B$19,0)),"Not in plan","Yes"))</f>
        <v/>
      </c>
      <c r="H1099" s="41" t="str">
        <f aca="false">IF(G1099="Yes",INDEX('Kitting Plan'!$D$6:$D$19,MATCH(B1099,'Kitting Plan'!$B$6:$B$19,0)),"")</f>
        <v/>
      </c>
      <c r="I1099" s="41" t="str">
        <f aca="false">IF(A1099="","",IF(ISNUMBER(SEARCH("PRT",E1099)),D1099,0))</f>
        <v/>
      </c>
      <c r="J1099" s="41" t="str">
        <f aca="false">IF(A1099="","",IF(ISNUMBER(SEARCH("GMPS",E1099)),D1099,0))</f>
        <v/>
      </c>
      <c r="K1099" s="41" t="str">
        <f aca="false">IF(A1099="","",IF(ISNUMBER(SEARCH("DLV",E1099)),D1099,0))</f>
        <v/>
      </c>
      <c r="L1099" s="41" t="str">
        <f aca="false">IF(A1099="","",IF(K1099&gt;0,"Delivered",IF(ISNUMBER(SEARCH("CNF",E1099)),"In production",IF(J1099&gt;0,"Issued",IF(I1099&gt;0,"Kitted","Released")))))</f>
        <v/>
      </c>
      <c r="M1099" s="41" t="str">
        <f aca="false">IF(G1099&lt;&gt;"Yes","",COUNTIFS($B$6:$B$1505,B1099,$F$6:$F$1505,"&lt;"&amp;F1099)+COUNTIFS($B$6:$B$1505,B1099,$F$6:$F$1505,F1099,$A$6:$A$1505,"&lt;="&amp;A1099))</f>
        <v/>
      </c>
      <c r="N1099" s="41" t="str">
        <f aca="false">IF(M1099="","",ROUNDUP(M1099/H1099,0))</f>
        <v/>
      </c>
      <c r="O1099" s="41" t="str">
        <f aca="false">IF(N1099="","",IF(N1099&lt;='Kitting Plan'!$C$3,"Rep "&amp;N1099,"Surplus"))</f>
        <v/>
      </c>
    </row>
    <row r="1100" customFormat="false" ht="15" hidden="false" customHeight="false" outlineLevel="0" collapsed="false">
      <c r="A1100" s="40" t="str">
        <f aca="false">IF(OR($A$4=0,INDEX('COOIS Raw'!$A:$GZ,ROW()-4,$A$4)=""),"",IFERROR(--INDEX('COOIS Raw'!$A:$GZ,ROW()-4,$A$4),INDEX('COOIS Raw'!$A:$GZ,ROW()-4,$A$4)))</f>
        <v/>
      </c>
      <c r="B1100" s="41" t="str">
        <f aca="false">IF(A1100="","",TRIM(INDEX('COOIS Raw'!$A:$GZ,ROW()-4,$B$4)))</f>
        <v/>
      </c>
      <c r="C1100" s="42" t="str">
        <f aca="false">IF(OR(A1100="",$C$4=0),"",INDEX('COOIS Raw'!$A:$GZ,ROW()-4,$C$4))</f>
        <v/>
      </c>
      <c r="D1100" s="41" t="str">
        <f aca="false">IF(A1100="","",IF($D$4=0,1,IFERROR(--INDEX('COOIS Raw'!$A:$GZ,ROW()-4,$D$4),1)))</f>
        <v/>
      </c>
      <c r="E1100" s="42" t="str">
        <f aca="false">IF(A1100="","",INDEX('COOIS Raw'!$A:$GZ,ROW()-4,$E$4)&amp;"")</f>
        <v/>
      </c>
      <c r="F1100" s="43" t="str">
        <f aca="false">IF(A1100="","",IFERROR(DATEVALUE(INDEX('COOIS Raw'!$A:$GZ,ROW()-4,$F$4)),INDEX('COOIS Raw'!$A:$GZ,ROW()-4,$F$4)))</f>
        <v/>
      </c>
      <c r="G1100" s="41" t="str">
        <f aca="false">IF(A1100="","",IF(ISNA(MATCH(B1100,'Kitting Plan'!$B$6:$B$19,0)),"Not in plan","Yes"))</f>
        <v/>
      </c>
      <c r="H1100" s="41" t="str">
        <f aca="false">IF(G1100="Yes",INDEX('Kitting Plan'!$D$6:$D$19,MATCH(B1100,'Kitting Plan'!$B$6:$B$19,0)),"")</f>
        <v/>
      </c>
      <c r="I1100" s="41" t="str">
        <f aca="false">IF(A1100="","",IF(ISNUMBER(SEARCH("PRT",E1100)),D1100,0))</f>
        <v/>
      </c>
      <c r="J1100" s="41" t="str">
        <f aca="false">IF(A1100="","",IF(ISNUMBER(SEARCH("GMPS",E1100)),D1100,0))</f>
        <v/>
      </c>
      <c r="K1100" s="41" t="str">
        <f aca="false">IF(A1100="","",IF(ISNUMBER(SEARCH("DLV",E1100)),D1100,0))</f>
        <v/>
      </c>
      <c r="L1100" s="41" t="str">
        <f aca="false">IF(A1100="","",IF(K1100&gt;0,"Delivered",IF(ISNUMBER(SEARCH("CNF",E1100)),"In production",IF(J1100&gt;0,"Issued",IF(I1100&gt;0,"Kitted","Released")))))</f>
        <v/>
      </c>
      <c r="M1100" s="41" t="str">
        <f aca="false">IF(G1100&lt;&gt;"Yes","",COUNTIFS($B$6:$B$1505,B1100,$F$6:$F$1505,"&lt;"&amp;F1100)+COUNTIFS($B$6:$B$1505,B1100,$F$6:$F$1505,F1100,$A$6:$A$1505,"&lt;="&amp;A1100))</f>
        <v/>
      </c>
      <c r="N1100" s="41" t="str">
        <f aca="false">IF(M1100="","",ROUNDUP(M1100/H1100,0))</f>
        <v/>
      </c>
      <c r="O1100" s="41" t="str">
        <f aca="false">IF(N1100="","",IF(N1100&lt;='Kitting Plan'!$C$3,"Rep "&amp;N1100,"Surplus"))</f>
        <v/>
      </c>
    </row>
    <row r="1101" customFormat="false" ht="15" hidden="false" customHeight="false" outlineLevel="0" collapsed="false">
      <c r="A1101" s="40" t="str">
        <f aca="false">IF(OR($A$4=0,INDEX('COOIS Raw'!$A:$GZ,ROW()-4,$A$4)=""),"",IFERROR(--INDEX('COOIS Raw'!$A:$GZ,ROW()-4,$A$4),INDEX('COOIS Raw'!$A:$GZ,ROW()-4,$A$4)))</f>
        <v/>
      </c>
      <c r="B1101" s="41" t="str">
        <f aca="false">IF(A1101="","",TRIM(INDEX('COOIS Raw'!$A:$GZ,ROW()-4,$B$4)))</f>
        <v/>
      </c>
      <c r="C1101" s="42" t="str">
        <f aca="false">IF(OR(A1101="",$C$4=0),"",INDEX('COOIS Raw'!$A:$GZ,ROW()-4,$C$4))</f>
        <v/>
      </c>
      <c r="D1101" s="41" t="str">
        <f aca="false">IF(A1101="","",IF($D$4=0,1,IFERROR(--INDEX('COOIS Raw'!$A:$GZ,ROW()-4,$D$4),1)))</f>
        <v/>
      </c>
      <c r="E1101" s="42" t="str">
        <f aca="false">IF(A1101="","",INDEX('COOIS Raw'!$A:$GZ,ROW()-4,$E$4)&amp;"")</f>
        <v/>
      </c>
      <c r="F1101" s="43" t="str">
        <f aca="false">IF(A1101="","",IFERROR(DATEVALUE(INDEX('COOIS Raw'!$A:$GZ,ROW()-4,$F$4)),INDEX('COOIS Raw'!$A:$GZ,ROW()-4,$F$4)))</f>
        <v/>
      </c>
      <c r="G1101" s="41" t="str">
        <f aca="false">IF(A1101="","",IF(ISNA(MATCH(B1101,'Kitting Plan'!$B$6:$B$19,0)),"Not in plan","Yes"))</f>
        <v/>
      </c>
      <c r="H1101" s="41" t="str">
        <f aca="false">IF(G1101="Yes",INDEX('Kitting Plan'!$D$6:$D$19,MATCH(B1101,'Kitting Plan'!$B$6:$B$19,0)),"")</f>
        <v/>
      </c>
      <c r="I1101" s="41" t="str">
        <f aca="false">IF(A1101="","",IF(ISNUMBER(SEARCH("PRT",E1101)),D1101,0))</f>
        <v/>
      </c>
      <c r="J1101" s="41" t="str">
        <f aca="false">IF(A1101="","",IF(ISNUMBER(SEARCH("GMPS",E1101)),D1101,0))</f>
        <v/>
      </c>
      <c r="K1101" s="41" t="str">
        <f aca="false">IF(A1101="","",IF(ISNUMBER(SEARCH("DLV",E1101)),D1101,0))</f>
        <v/>
      </c>
      <c r="L1101" s="41" t="str">
        <f aca="false">IF(A1101="","",IF(K1101&gt;0,"Delivered",IF(ISNUMBER(SEARCH("CNF",E1101)),"In production",IF(J1101&gt;0,"Issued",IF(I1101&gt;0,"Kitted","Released")))))</f>
        <v/>
      </c>
      <c r="M1101" s="41" t="str">
        <f aca="false">IF(G1101&lt;&gt;"Yes","",COUNTIFS($B$6:$B$1505,B1101,$F$6:$F$1505,"&lt;"&amp;F1101)+COUNTIFS($B$6:$B$1505,B1101,$F$6:$F$1505,F1101,$A$6:$A$1505,"&lt;="&amp;A1101))</f>
        <v/>
      </c>
      <c r="N1101" s="41" t="str">
        <f aca="false">IF(M1101="","",ROUNDUP(M1101/H1101,0))</f>
        <v/>
      </c>
      <c r="O1101" s="41" t="str">
        <f aca="false">IF(N1101="","",IF(N1101&lt;='Kitting Plan'!$C$3,"Rep "&amp;N1101,"Surplus"))</f>
        <v/>
      </c>
    </row>
    <row r="1102" customFormat="false" ht="15" hidden="false" customHeight="false" outlineLevel="0" collapsed="false">
      <c r="A1102" s="40" t="str">
        <f aca="false">IF(OR($A$4=0,INDEX('COOIS Raw'!$A:$GZ,ROW()-4,$A$4)=""),"",IFERROR(--INDEX('COOIS Raw'!$A:$GZ,ROW()-4,$A$4),INDEX('COOIS Raw'!$A:$GZ,ROW()-4,$A$4)))</f>
        <v/>
      </c>
      <c r="B1102" s="41" t="str">
        <f aca="false">IF(A1102="","",TRIM(INDEX('COOIS Raw'!$A:$GZ,ROW()-4,$B$4)))</f>
        <v/>
      </c>
      <c r="C1102" s="42" t="str">
        <f aca="false">IF(OR(A1102="",$C$4=0),"",INDEX('COOIS Raw'!$A:$GZ,ROW()-4,$C$4))</f>
        <v/>
      </c>
      <c r="D1102" s="41" t="str">
        <f aca="false">IF(A1102="","",IF($D$4=0,1,IFERROR(--INDEX('COOIS Raw'!$A:$GZ,ROW()-4,$D$4),1)))</f>
        <v/>
      </c>
      <c r="E1102" s="42" t="str">
        <f aca="false">IF(A1102="","",INDEX('COOIS Raw'!$A:$GZ,ROW()-4,$E$4)&amp;"")</f>
        <v/>
      </c>
      <c r="F1102" s="43" t="str">
        <f aca="false">IF(A1102="","",IFERROR(DATEVALUE(INDEX('COOIS Raw'!$A:$GZ,ROW()-4,$F$4)),INDEX('COOIS Raw'!$A:$GZ,ROW()-4,$F$4)))</f>
        <v/>
      </c>
      <c r="G1102" s="41" t="str">
        <f aca="false">IF(A1102="","",IF(ISNA(MATCH(B1102,'Kitting Plan'!$B$6:$B$19,0)),"Not in plan","Yes"))</f>
        <v/>
      </c>
      <c r="H1102" s="41" t="str">
        <f aca="false">IF(G1102="Yes",INDEX('Kitting Plan'!$D$6:$D$19,MATCH(B1102,'Kitting Plan'!$B$6:$B$19,0)),"")</f>
        <v/>
      </c>
      <c r="I1102" s="41" t="str">
        <f aca="false">IF(A1102="","",IF(ISNUMBER(SEARCH("PRT",E1102)),D1102,0))</f>
        <v/>
      </c>
      <c r="J1102" s="41" t="str">
        <f aca="false">IF(A1102="","",IF(ISNUMBER(SEARCH("GMPS",E1102)),D1102,0))</f>
        <v/>
      </c>
      <c r="K1102" s="41" t="str">
        <f aca="false">IF(A1102="","",IF(ISNUMBER(SEARCH("DLV",E1102)),D1102,0))</f>
        <v/>
      </c>
      <c r="L1102" s="41" t="str">
        <f aca="false">IF(A1102="","",IF(K1102&gt;0,"Delivered",IF(ISNUMBER(SEARCH("CNF",E1102)),"In production",IF(J1102&gt;0,"Issued",IF(I1102&gt;0,"Kitted","Released")))))</f>
        <v/>
      </c>
      <c r="M1102" s="41" t="str">
        <f aca="false">IF(G1102&lt;&gt;"Yes","",COUNTIFS($B$6:$B$1505,B1102,$F$6:$F$1505,"&lt;"&amp;F1102)+COUNTIFS($B$6:$B$1505,B1102,$F$6:$F$1505,F1102,$A$6:$A$1505,"&lt;="&amp;A1102))</f>
        <v/>
      </c>
      <c r="N1102" s="41" t="str">
        <f aca="false">IF(M1102="","",ROUNDUP(M1102/H1102,0))</f>
        <v/>
      </c>
      <c r="O1102" s="41" t="str">
        <f aca="false">IF(N1102="","",IF(N1102&lt;='Kitting Plan'!$C$3,"Rep "&amp;N1102,"Surplus"))</f>
        <v/>
      </c>
    </row>
    <row r="1103" customFormat="false" ht="15" hidden="false" customHeight="false" outlineLevel="0" collapsed="false">
      <c r="A1103" s="40" t="str">
        <f aca="false">IF(OR($A$4=0,INDEX('COOIS Raw'!$A:$GZ,ROW()-4,$A$4)=""),"",IFERROR(--INDEX('COOIS Raw'!$A:$GZ,ROW()-4,$A$4),INDEX('COOIS Raw'!$A:$GZ,ROW()-4,$A$4)))</f>
        <v/>
      </c>
      <c r="B1103" s="41" t="str">
        <f aca="false">IF(A1103="","",TRIM(INDEX('COOIS Raw'!$A:$GZ,ROW()-4,$B$4)))</f>
        <v/>
      </c>
      <c r="C1103" s="42" t="str">
        <f aca="false">IF(OR(A1103="",$C$4=0),"",INDEX('COOIS Raw'!$A:$GZ,ROW()-4,$C$4))</f>
        <v/>
      </c>
      <c r="D1103" s="41" t="str">
        <f aca="false">IF(A1103="","",IF($D$4=0,1,IFERROR(--INDEX('COOIS Raw'!$A:$GZ,ROW()-4,$D$4),1)))</f>
        <v/>
      </c>
      <c r="E1103" s="42" t="str">
        <f aca="false">IF(A1103="","",INDEX('COOIS Raw'!$A:$GZ,ROW()-4,$E$4)&amp;"")</f>
        <v/>
      </c>
      <c r="F1103" s="43" t="str">
        <f aca="false">IF(A1103="","",IFERROR(DATEVALUE(INDEX('COOIS Raw'!$A:$GZ,ROW()-4,$F$4)),INDEX('COOIS Raw'!$A:$GZ,ROW()-4,$F$4)))</f>
        <v/>
      </c>
      <c r="G1103" s="41" t="str">
        <f aca="false">IF(A1103="","",IF(ISNA(MATCH(B1103,'Kitting Plan'!$B$6:$B$19,0)),"Not in plan","Yes"))</f>
        <v/>
      </c>
      <c r="H1103" s="41" t="str">
        <f aca="false">IF(G1103="Yes",INDEX('Kitting Plan'!$D$6:$D$19,MATCH(B1103,'Kitting Plan'!$B$6:$B$19,0)),"")</f>
        <v/>
      </c>
      <c r="I1103" s="41" t="str">
        <f aca="false">IF(A1103="","",IF(ISNUMBER(SEARCH("PRT",E1103)),D1103,0))</f>
        <v/>
      </c>
      <c r="J1103" s="41" t="str">
        <f aca="false">IF(A1103="","",IF(ISNUMBER(SEARCH("GMPS",E1103)),D1103,0))</f>
        <v/>
      </c>
      <c r="K1103" s="41" t="str">
        <f aca="false">IF(A1103="","",IF(ISNUMBER(SEARCH("DLV",E1103)),D1103,0))</f>
        <v/>
      </c>
      <c r="L1103" s="41" t="str">
        <f aca="false">IF(A1103="","",IF(K1103&gt;0,"Delivered",IF(ISNUMBER(SEARCH("CNF",E1103)),"In production",IF(J1103&gt;0,"Issued",IF(I1103&gt;0,"Kitted","Released")))))</f>
        <v/>
      </c>
      <c r="M1103" s="41" t="str">
        <f aca="false">IF(G1103&lt;&gt;"Yes","",COUNTIFS($B$6:$B$1505,B1103,$F$6:$F$1505,"&lt;"&amp;F1103)+COUNTIFS($B$6:$B$1505,B1103,$F$6:$F$1505,F1103,$A$6:$A$1505,"&lt;="&amp;A1103))</f>
        <v/>
      </c>
      <c r="N1103" s="41" t="str">
        <f aca="false">IF(M1103="","",ROUNDUP(M1103/H1103,0))</f>
        <v/>
      </c>
      <c r="O1103" s="41" t="str">
        <f aca="false">IF(N1103="","",IF(N1103&lt;='Kitting Plan'!$C$3,"Rep "&amp;N1103,"Surplus"))</f>
        <v/>
      </c>
    </row>
    <row r="1104" customFormat="false" ht="15" hidden="false" customHeight="false" outlineLevel="0" collapsed="false">
      <c r="A1104" s="40" t="str">
        <f aca="false">IF(OR($A$4=0,INDEX('COOIS Raw'!$A:$GZ,ROW()-4,$A$4)=""),"",IFERROR(--INDEX('COOIS Raw'!$A:$GZ,ROW()-4,$A$4),INDEX('COOIS Raw'!$A:$GZ,ROW()-4,$A$4)))</f>
        <v/>
      </c>
      <c r="B1104" s="41" t="str">
        <f aca="false">IF(A1104="","",TRIM(INDEX('COOIS Raw'!$A:$GZ,ROW()-4,$B$4)))</f>
        <v/>
      </c>
      <c r="C1104" s="42" t="str">
        <f aca="false">IF(OR(A1104="",$C$4=0),"",INDEX('COOIS Raw'!$A:$GZ,ROW()-4,$C$4))</f>
        <v/>
      </c>
      <c r="D1104" s="41" t="str">
        <f aca="false">IF(A1104="","",IF($D$4=0,1,IFERROR(--INDEX('COOIS Raw'!$A:$GZ,ROW()-4,$D$4),1)))</f>
        <v/>
      </c>
      <c r="E1104" s="42" t="str">
        <f aca="false">IF(A1104="","",INDEX('COOIS Raw'!$A:$GZ,ROW()-4,$E$4)&amp;"")</f>
        <v/>
      </c>
      <c r="F1104" s="43" t="str">
        <f aca="false">IF(A1104="","",IFERROR(DATEVALUE(INDEX('COOIS Raw'!$A:$GZ,ROW()-4,$F$4)),INDEX('COOIS Raw'!$A:$GZ,ROW()-4,$F$4)))</f>
        <v/>
      </c>
      <c r="G1104" s="41" t="str">
        <f aca="false">IF(A1104="","",IF(ISNA(MATCH(B1104,'Kitting Plan'!$B$6:$B$19,0)),"Not in plan","Yes"))</f>
        <v/>
      </c>
      <c r="H1104" s="41" t="str">
        <f aca="false">IF(G1104="Yes",INDEX('Kitting Plan'!$D$6:$D$19,MATCH(B1104,'Kitting Plan'!$B$6:$B$19,0)),"")</f>
        <v/>
      </c>
      <c r="I1104" s="41" t="str">
        <f aca="false">IF(A1104="","",IF(ISNUMBER(SEARCH("PRT",E1104)),D1104,0))</f>
        <v/>
      </c>
      <c r="J1104" s="41" t="str">
        <f aca="false">IF(A1104="","",IF(ISNUMBER(SEARCH("GMPS",E1104)),D1104,0))</f>
        <v/>
      </c>
      <c r="K1104" s="41" t="str">
        <f aca="false">IF(A1104="","",IF(ISNUMBER(SEARCH("DLV",E1104)),D1104,0))</f>
        <v/>
      </c>
      <c r="L1104" s="41" t="str">
        <f aca="false">IF(A1104="","",IF(K1104&gt;0,"Delivered",IF(ISNUMBER(SEARCH("CNF",E1104)),"In production",IF(J1104&gt;0,"Issued",IF(I1104&gt;0,"Kitted","Released")))))</f>
        <v/>
      </c>
      <c r="M1104" s="41" t="str">
        <f aca="false">IF(G1104&lt;&gt;"Yes","",COUNTIFS($B$6:$B$1505,B1104,$F$6:$F$1505,"&lt;"&amp;F1104)+COUNTIFS($B$6:$B$1505,B1104,$F$6:$F$1505,F1104,$A$6:$A$1505,"&lt;="&amp;A1104))</f>
        <v/>
      </c>
      <c r="N1104" s="41" t="str">
        <f aca="false">IF(M1104="","",ROUNDUP(M1104/H1104,0))</f>
        <v/>
      </c>
      <c r="O1104" s="41" t="str">
        <f aca="false">IF(N1104="","",IF(N1104&lt;='Kitting Plan'!$C$3,"Rep "&amp;N1104,"Surplus"))</f>
        <v/>
      </c>
    </row>
    <row r="1105" customFormat="false" ht="15" hidden="false" customHeight="false" outlineLevel="0" collapsed="false">
      <c r="A1105" s="40" t="str">
        <f aca="false">IF(OR($A$4=0,INDEX('COOIS Raw'!$A:$GZ,ROW()-4,$A$4)=""),"",IFERROR(--INDEX('COOIS Raw'!$A:$GZ,ROW()-4,$A$4),INDEX('COOIS Raw'!$A:$GZ,ROW()-4,$A$4)))</f>
        <v/>
      </c>
      <c r="B1105" s="41" t="str">
        <f aca="false">IF(A1105="","",TRIM(INDEX('COOIS Raw'!$A:$GZ,ROW()-4,$B$4)))</f>
        <v/>
      </c>
      <c r="C1105" s="42" t="str">
        <f aca="false">IF(OR(A1105="",$C$4=0),"",INDEX('COOIS Raw'!$A:$GZ,ROW()-4,$C$4))</f>
        <v/>
      </c>
      <c r="D1105" s="41" t="str">
        <f aca="false">IF(A1105="","",IF($D$4=0,1,IFERROR(--INDEX('COOIS Raw'!$A:$GZ,ROW()-4,$D$4),1)))</f>
        <v/>
      </c>
      <c r="E1105" s="42" t="str">
        <f aca="false">IF(A1105="","",INDEX('COOIS Raw'!$A:$GZ,ROW()-4,$E$4)&amp;"")</f>
        <v/>
      </c>
      <c r="F1105" s="43" t="str">
        <f aca="false">IF(A1105="","",IFERROR(DATEVALUE(INDEX('COOIS Raw'!$A:$GZ,ROW()-4,$F$4)),INDEX('COOIS Raw'!$A:$GZ,ROW()-4,$F$4)))</f>
        <v/>
      </c>
      <c r="G1105" s="41" t="str">
        <f aca="false">IF(A1105="","",IF(ISNA(MATCH(B1105,'Kitting Plan'!$B$6:$B$19,0)),"Not in plan","Yes"))</f>
        <v/>
      </c>
      <c r="H1105" s="41" t="str">
        <f aca="false">IF(G1105="Yes",INDEX('Kitting Plan'!$D$6:$D$19,MATCH(B1105,'Kitting Plan'!$B$6:$B$19,0)),"")</f>
        <v/>
      </c>
      <c r="I1105" s="41" t="str">
        <f aca="false">IF(A1105="","",IF(ISNUMBER(SEARCH("PRT",E1105)),D1105,0))</f>
        <v/>
      </c>
      <c r="J1105" s="41" t="str">
        <f aca="false">IF(A1105="","",IF(ISNUMBER(SEARCH("GMPS",E1105)),D1105,0))</f>
        <v/>
      </c>
      <c r="K1105" s="41" t="str">
        <f aca="false">IF(A1105="","",IF(ISNUMBER(SEARCH("DLV",E1105)),D1105,0))</f>
        <v/>
      </c>
      <c r="L1105" s="41" t="str">
        <f aca="false">IF(A1105="","",IF(K1105&gt;0,"Delivered",IF(ISNUMBER(SEARCH("CNF",E1105)),"In production",IF(J1105&gt;0,"Issued",IF(I1105&gt;0,"Kitted","Released")))))</f>
        <v/>
      </c>
      <c r="M1105" s="41" t="str">
        <f aca="false">IF(G1105&lt;&gt;"Yes","",COUNTIFS($B$6:$B$1505,B1105,$F$6:$F$1505,"&lt;"&amp;F1105)+COUNTIFS($B$6:$B$1505,B1105,$F$6:$F$1505,F1105,$A$6:$A$1505,"&lt;="&amp;A1105))</f>
        <v/>
      </c>
      <c r="N1105" s="41" t="str">
        <f aca="false">IF(M1105="","",ROUNDUP(M1105/H1105,0))</f>
        <v/>
      </c>
      <c r="O1105" s="41" t="str">
        <f aca="false">IF(N1105="","",IF(N1105&lt;='Kitting Plan'!$C$3,"Rep "&amp;N1105,"Surplus"))</f>
        <v/>
      </c>
    </row>
    <row r="1106" customFormat="false" ht="15" hidden="false" customHeight="false" outlineLevel="0" collapsed="false">
      <c r="A1106" s="40" t="str">
        <f aca="false">IF(OR($A$4=0,INDEX('COOIS Raw'!$A:$GZ,ROW()-4,$A$4)=""),"",IFERROR(--INDEX('COOIS Raw'!$A:$GZ,ROW()-4,$A$4),INDEX('COOIS Raw'!$A:$GZ,ROW()-4,$A$4)))</f>
        <v/>
      </c>
      <c r="B1106" s="41" t="str">
        <f aca="false">IF(A1106="","",TRIM(INDEX('COOIS Raw'!$A:$GZ,ROW()-4,$B$4)))</f>
        <v/>
      </c>
      <c r="C1106" s="42" t="str">
        <f aca="false">IF(OR(A1106="",$C$4=0),"",INDEX('COOIS Raw'!$A:$GZ,ROW()-4,$C$4))</f>
        <v/>
      </c>
      <c r="D1106" s="41" t="str">
        <f aca="false">IF(A1106="","",IF($D$4=0,1,IFERROR(--INDEX('COOIS Raw'!$A:$GZ,ROW()-4,$D$4),1)))</f>
        <v/>
      </c>
      <c r="E1106" s="42" t="str">
        <f aca="false">IF(A1106="","",INDEX('COOIS Raw'!$A:$GZ,ROW()-4,$E$4)&amp;"")</f>
        <v/>
      </c>
      <c r="F1106" s="43" t="str">
        <f aca="false">IF(A1106="","",IFERROR(DATEVALUE(INDEX('COOIS Raw'!$A:$GZ,ROW()-4,$F$4)),INDEX('COOIS Raw'!$A:$GZ,ROW()-4,$F$4)))</f>
        <v/>
      </c>
      <c r="G1106" s="41" t="str">
        <f aca="false">IF(A1106="","",IF(ISNA(MATCH(B1106,'Kitting Plan'!$B$6:$B$19,0)),"Not in plan","Yes"))</f>
        <v/>
      </c>
      <c r="H1106" s="41" t="str">
        <f aca="false">IF(G1106="Yes",INDEX('Kitting Plan'!$D$6:$D$19,MATCH(B1106,'Kitting Plan'!$B$6:$B$19,0)),"")</f>
        <v/>
      </c>
      <c r="I1106" s="41" t="str">
        <f aca="false">IF(A1106="","",IF(ISNUMBER(SEARCH("PRT",E1106)),D1106,0))</f>
        <v/>
      </c>
      <c r="J1106" s="41" t="str">
        <f aca="false">IF(A1106="","",IF(ISNUMBER(SEARCH("GMPS",E1106)),D1106,0))</f>
        <v/>
      </c>
      <c r="K1106" s="41" t="str">
        <f aca="false">IF(A1106="","",IF(ISNUMBER(SEARCH("DLV",E1106)),D1106,0))</f>
        <v/>
      </c>
      <c r="L1106" s="41" t="str">
        <f aca="false">IF(A1106="","",IF(K1106&gt;0,"Delivered",IF(ISNUMBER(SEARCH("CNF",E1106)),"In production",IF(J1106&gt;0,"Issued",IF(I1106&gt;0,"Kitted","Released")))))</f>
        <v/>
      </c>
      <c r="M1106" s="41" t="str">
        <f aca="false">IF(G1106&lt;&gt;"Yes","",COUNTIFS($B$6:$B$1505,B1106,$F$6:$F$1505,"&lt;"&amp;F1106)+COUNTIFS($B$6:$B$1505,B1106,$F$6:$F$1505,F1106,$A$6:$A$1505,"&lt;="&amp;A1106))</f>
        <v/>
      </c>
      <c r="N1106" s="41" t="str">
        <f aca="false">IF(M1106="","",ROUNDUP(M1106/H1106,0))</f>
        <v/>
      </c>
      <c r="O1106" s="41" t="str">
        <f aca="false">IF(N1106="","",IF(N1106&lt;='Kitting Plan'!$C$3,"Rep "&amp;N1106,"Surplus"))</f>
        <v/>
      </c>
    </row>
    <row r="1107" customFormat="false" ht="15" hidden="false" customHeight="false" outlineLevel="0" collapsed="false">
      <c r="A1107" s="40" t="str">
        <f aca="false">IF(OR($A$4=0,INDEX('COOIS Raw'!$A:$GZ,ROW()-4,$A$4)=""),"",IFERROR(--INDEX('COOIS Raw'!$A:$GZ,ROW()-4,$A$4),INDEX('COOIS Raw'!$A:$GZ,ROW()-4,$A$4)))</f>
        <v/>
      </c>
      <c r="B1107" s="41" t="str">
        <f aca="false">IF(A1107="","",TRIM(INDEX('COOIS Raw'!$A:$GZ,ROW()-4,$B$4)))</f>
        <v/>
      </c>
      <c r="C1107" s="42" t="str">
        <f aca="false">IF(OR(A1107="",$C$4=0),"",INDEX('COOIS Raw'!$A:$GZ,ROW()-4,$C$4))</f>
        <v/>
      </c>
      <c r="D1107" s="41" t="str">
        <f aca="false">IF(A1107="","",IF($D$4=0,1,IFERROR(--INDEX('COOIS Raw'!$A:$GZ,ROW()-4,$D$4),1)))</f>
        <v/>
      </c>
      <c r="E1107" s="42" t="str">
        <f aca="false">IF(A1107="","",INDEX('COOIS Raw'!$A:$GZ,ROW()-4,$E$4)&amp;"")</f>
        <v/>
      </c>
      <c r="F1107" s="43" t="str">
        <f aca="false">IF(A1107="","",IFERROR(DATEVALUE(INDEX('COOIS Raw'!$A:$GZ,ROW()-4,$F$4)),INDEX('COOIS Raw'!$A:$GZ,ROW()-4,$F$4)))</f>
        <v/>
      </c>
      <c r="G1107" s="41" t="str">
        <f aca="false">IF(A1107="","",IF(ISNA(MATCH(B1107,'Kitting Plan'!$B$6:$B$19,0)),"Not in plan","Yes"))</f>
        <v/>
      </c>
      <c r="H1107" s="41" t="str">
        <f aca="false">IF(G1107="Yes",INDEX('Kitting Plan'!$D$6:$D$19,MATCH(B1107,'Kitting Plan'!$B$6:$B$19,0)),"")</f>
        <v/>
      </c>
      <c r="I1107" s="41" t="str">
        <f aca="false">IF(A1107="","",IF(ISNUMBER(SEARCH("PRT",E1107)),D1107,0))</f>
        <v/>
      </c>
      <c r="J1107" s="41" t="str">
        <f aca="false">IF(A1107="","",IF(ISNUMBER(SEARCH("GMPS",E1107)),D1107,0))</f>
        <v/>
      </c>
      <c r="K1107" s="41" t="str">
        <f aca="false">IF(A1107="","",IF(ISNUMBER(SEARCH("DLV",E1107)),D1107,0))</f>
        <v/>
      </c>
      <c r="L1107" s="41" t="str">
        <f aca="false">IF(A1107="","",IF(K1107&gt;0,"Delivered",IF(ISNUMBER(SEARCH("CNF",E1107)),"In production",IF(J1107&gt;0,"Issued",IF(I1107&gt;0,"Kitted","Released")))))</f>
        <v/>
      </c>
      <c r="M1107" s="41" t="str">
        <f aca="false">IF(G1107&lt;&gt;"Yes","",COUNTIFS($B$6:$B$1505,B1107,$F$6:$F$1505,"&lt;"&amp;F1107)+COUNTIFS($B$6:$B$1505,B1107,$F$6:$F$1505,F1107,$A$6:$A$1505,"&lt;="&amp;A1107))</f>
        <v/>
      </c>
      <c r="N1107" s="41" t="str">
        <f aca="false">IF(M1107="","",ROUNDUP(M1107/H1107,0))</f>
        <v/>
      </c>
      <c r="O1107" s="41" t="str">
        <f aca="false">IF(N1107="","",IF(N1107&lt;='Kitting Plan'!$C$3,"Rep "&amp;N1107,"Surplus"))</f>
        <v/>
      </c>
    </row>
    <row r="1108" customFormat="false" ht="15" hidden="false" customHeight="false" outlineLevel="0" collapsed="false">
      <c r="A1108" s="40" t="str">
        <f aca="false">IF(OR($A$4=0,INDEX('COOIS Raw'!$A:$GZ,ROW()-4,$A$4)=""),"",IFERROR(--INDEX('COOIS Raw'!$A:$GZ,ROW()-4,$A$4),INDEX('COOIS Raw'!$A:$GZ,ROW()-4,$A$4)))</f>
        <v/>
      </c>
      <c r="B1108" s="41" t="str">
        <f aca="false">IF(A1108="","",TRIM(INDEX('COOIS Raw'!$A:$GZ,ROW()-4,$B$4)))</f>
        <v/>
      </c>
      <c r="C1108" s="42" t="str">
        <f aca="false">IF(OR(A1108="",$C$4=0),"",INDEX('COOIS Raw'!$A:$GZ,ROW()-4,$C$4))</f>
        <v/>
      </c>
      <c r="D1108" s="41" t="str">
        <f aca="false">IF(A1108="","",IF($D$4=0,1,IFERROR(--INDEX('COOIS Raw'!$A:$GZ,ROW()-4,$D$4),1)))</f>
        <v/>
      </c>
      <c r="E1108" s="42" t="str">
        <f aca="false">IF(A1108="","",INDEX('COOIS Raw'!$A:$GZ,ROW()-4,$E$4)&amp;"")</f>
        <v/>
      </c>
      <c r="F1108" s="43" t="str">
        <f aca="false">IF(A1108="","",IFERROR(DATEVALUE(INDEX('COOIS Raw'!$A:$GZ,ROW()-4,$F$4)),INDEX('COOIS Raw'!$A:$GZ,ROW()-4,$F$4)))</f>
        <v/>
      </c>
      <c r="G1108" s="41" t="str">
        <f aca="false">IF(A1108="","",IF(ISNA(MATCH(B1108,'Kitting Plan'!$B$6:$B$19,0)),"Not in plan","Yes"))</f>
        <v/>
      </c>
      <c r="H1108" s="41" t="str">
        <f aca="false">IF(G1108="Yes",INDEX('Kitting Plan'!$D$6:$D$19,MATCH(B1108,'Kitting Plan'!$B$6:$B$19,0)),"")</f>
        <v/>
      </c>
      <c r="I1108" s="41" t="str">
        <f aca="false">IF(A1108="","",IF(ISNUMBER(SEARCH("PRT",E1108)),D1108,0))</f>
        <v/>
      </c>
      <c r="J1108" s="41" t="str">
        <f aca="false">IF(A1108="","",IF(ISNUMBER(SEARCH("GMPS",E1108)),D1108,0))</f>
        <v/>
      </c>
      <c r="K1108" s="41" t="str">
        <f aca="false">IF(A1108="","",IF(ISNUMBER(SEARCH("DLV",E1108)),D1108,0))</f>
        <v/>
      </c>
      <c r="L1108" s="41" t="str">
        <f aca="false">IF(A1108="","",IF(K1108&gt;0,"Delivered",IF(ISNUMBER(SEARCH("CNF",E1108)),"In production",IF(J1108&gt;0,"Issued",IF(I1108&gt;0,"Kitted","Released")))))</f>
        <v/>
      </c>
      <c r="M1108" s="41" t="str">
        <f aca="false">IF(G1108&lt;&gt;"Yes","",COUNTIFS($B$6:$B$1505,B1108,$F$6:$F$1505,"&lt;"&amp;F1108)+COUNTIFS($B$6:$B$1505,B1108,$F$6:$F$1505,F1108,$A$6:$A$1505,"&lt;="&amp;A1108))</f>
        <v/>
      </c>
      <c r="N1108" s="41" t="str">
        <f aca="false">IF(M1108="","",ROUNDUP(M1108/H1108,0))</f>
        <v/>
      </c>
      <c r="O1108" s="41" t="str">
        <f aca="false">IF(N1108="","",IF(N1108&lt;='Kitting Plan'!$C$3,"Rep "&amp;N1108,"Surplus"))</f>
        <v/>
      </c>
    </row>
    <row r="1109" customFormat="false" ht="15" hidden="false" customHeight="false" outlineLevel="0" collapsed="false">
      <c r="A1109" s="40" t="str">
        <f aca="false">IF(OR($A$4=0,INDEX('COOIS Raw'!$A:$GZ,ROW()-4,$A$4)=""),"",IFERROR(--INDEX('COOIS Raw'!$A:$GZ,ROW()-4,$A$4),INDEX('COOIS Raw'!$A:$GZ,ROW()-4,$A$4)))</f>
        <v/>
      </c>
      <c r="B1109" s="41" t="str">
        <f aca="false">IF(A1109="","",TRIM(INDEX('COOIS Raw'!$A:$GZ,ROW()-4,$B$4)))</f>
        <v/>
      </c>
      <c r="C1109" s="42" t="str">
        <f aca="false">IF(OR(A1109="",$C$4=0),"",INDEX('COOIS Raw'!$A:$GZ,ROW()-4,$C$4))</f>
        <v/>
      </c>
      <c r="D1109" s="41" t="str">
        <f aca="false">IF(A1109="","",IF($D$4=0,1,IFERROR(--INDEX('COOIS Raw'!$A:$GZ,ROW()-4,$D$4),1)))</f>
        <v/>
      </c>
      <c r="E1109" s="42" t="str">
        <f aca="false">IF(A1109="","",INDEX('COOIS Raw'!$A:$GZ,ROW()-4,$E$4)&amp;"")</f>
        <v/>
      </c>
      <c r="F1109" s="43" t="str">
        <f aca="false">IF(A1109="","",IFERROR(DATEVALUE(INDEX('COOIS Raw'!$A:$GZ,ROW()-4,$F$4)),INDEX('COOIS Raw'!$A:$GZ,ROW()-4,$F$4)))</f>
        <v/>
      </c>
      <c r="G1109" s="41" t="str">
        <f aca="false">IF(A1109="","",IF(ISNA(MATCH(B1109,'Kitting Plan'!$B$6:$B$19,0)),"Not in plan","Yes"))</f>
        <v/>
      </c>
      <c r="H1109" s="41" t="str">
        <f aca="false">IF(G1109="Yes",INDEX('Kitting Plan'!$D$6:$D$19,MATCH(B1109,'Kitting Plan'!$B$6:$B$19,0)),"")</f>
        <v/>
      </c>
      <c r="I1109" s="41" t="str">
        <f aca="false">IF(A1109="","",IF(ISNUMBER(SEARCH("PRT",E1109)),D1109,0))</f>
        <v/>
      </c>
      <c r="J1109" s="41" t="str">
        <f aca="false">IF(A1109="","",IF(ISNUMBER(SEARCH("GMPS",E1109)),D1109,0))</f>
        <v/>
      </c>
      <c r="K1109" s="41" t="str">
        <f aca="false">IF(A1109="","",IF(ISNUMBER(SEARCH("DLV",E1109)),D1109,0))</f>
        <v/>
      </c>
      <c r="L1109" s="41" t="str">
        <f aca="false">IF(A1109="","",IF(K1109&gt;0,"Delivered",IF(ISNUMBER(SEARCH("CNF",E1109)),"In production",IF(J1109&gt;0,"Issued",IF(I1109&gt;0,"Kitted","Released")))))</f>
        <v/>
      </c>
      <c r="M1109" s="41" t="str">
        <f aca="false">IF(G1109&lt;&gt;"Yes","",COUNTIFS($B$6:$B$1505,B1109,$F$6:$F$1505,"&lt;"&amp;F1109)+COUNTIFS($B$6:$B$1505,B1109,$F$6:$F$1505,F1109,$A$6:$A$1505,"&lt;="&amp;A1109))</f>
        <v/>
      </c>
      <c r="N1109" s="41" t="str">
        <f aca="false">IF(M1109="","",ROUNDUP(M1109/H1109,0))</f>
        <v/>
      </c>
      <c r="O1109" s="41" t="str">
        <f aca="false">IF(N1109="","",IF(N1109&lt;='Kitting Plan'!$C$3,"Rep "&amp;N1109,"Surplus"))</f>
        <v/>
      </c>
    </row>
    <row r="1110" customFormat="false" ht="15" hidden="false" customHeight="false" outlineLevel="0" collapsed="false">
      <c r="A1110" s="40" t="str">
        <f aca="false">IF(OR($A$4=0,INDEX('COOIS Raw'!$A:$GZ,ROW()-4,$A$4)=""),"",IFERROR(--INDEX('COOIS Raw'!$A:$GZ,ROW()-4,$A$4),INDEX('COOIS Raw'!$A:$GZ,ROW()-4,$A$4)))</f>
        <v/>
      </c>
      <c r="B1110" s="41" t="str">
        <f aca="false">IF(A1110="","",TRIM(INDEX('COOIS Raw'!$A:$GZ,ROW()-4,$B$4)))</f>
        <v/>
      </c>
      <c r="C1110" s="42" t="str">
        <f aca="false">IF(OR(A1110="",$C$4=0),"",INDEX('COOIS Raw'!$A:$GZ,ROW()-4,$C$4))</f>
        <v/>
      </c>
      <c r="D1110" s="41" t="str">
        <f aca="false">IF(A1110="","",IF($D$4=0,1,IFERROR(--INDEX('COOIS Raw'!$A:$GZ,ROW()-4,$D$4),1)))</f>
        <v/>
      </c>
      <c r="E1110" s="42" t="str">
        <f aca="false">IF(A1110="","",INDEX('COOIS Raw'!$A:$GZ,ROW()-4,$E$4)&amp;"")</f>
        <v/>
      </c>
      <c r="F1110" s="43" t="str">
        <f aca="false">IF(A1110="","",IFERROR(DATEVALUE(INDEX('COOIS Raw'!$A:$GZ,ROW()-4,$F$4)),INDEX('COOIS Raw'!$A:$GZ,ROW()-4,$F$4)))</f>
        <v/>
      </c>
      <c r="G1110" s="41" t="str">
        <f aca="false">IF(A1110="","",IF(ISNA(MATCH(B1110,'Kitting Plan'!$B$6:$B$19,0)),"Not in plan","Yes"))</f>
        <v/>
      </c>
      <c r="H1110" s="41" t="str">
        <f aca="false">IF(G1110="Yes",INDEX('Kitting Plan'!$D$6:$D$19,MATCH(B1110,'Kitting Plan'!$B$6:$B$19,0)),"")</f>
        <v/>
      </c>
      <c r="I1110" s="41" t="str">
        <f aca="false">IF(A1110="","",IF(ISNUMBER(SEARCH("PRT",E1110)),D1110,0))</f>
        <v/>
      </c>
      <c r="J1110" s="41" t="str">
        <f aca="false">IF(A1110="","",IF(ISNUMBER(SEARCH("GMPS",E1110)),D1110,0))</f>
        <v/>
      </c>
      <c r="K1110" s="41" t="str">
        <f aca="false">IF(A1110="","",IF(ISNUMBER(SEARCH("DLV",E1110)),D1110,0))</f>
        <v/>
      </c>
      <c r="L1110" s="41" t="str">
        <f aca="false">IF(A1110="","",IF(K1110&gt;0,"Delivered",IF(ISNUMBER(SEARCH("CNF",E1110)),"In production",IF(J1110&gt;0,"Issued",IF(I1110&gt;0,"Kitted","Released")))))</f>
        <v/>
      </c>
      <c r="M1110" s="41" t="str">
        <f aca="false">IF(G1110&lt;&gt;"Yes","",COUNTIFS($B$6:$B$1505,B1110,$F$6:$F$1505,"&lt;"&amp;F1110)+COUNTIFS($B$6:$B$1505,B1110,$F$6:$F$1505,F1110,$A$6:$A$1505,"&lt;="&amp;A1110))</f>
        <v/>
      </c>
      <c r="N1110" s="41" t="str">
        <f aca="false">IF(M1110="","",ROUNDUP(M1110/H1110,0))</f>
        <v/>
      </c>
      <c r="O1110" s="41" t="str">
        <f aca="false">IF(N1110="","",IF(N1110&lt;='Kitting Plan'!$C$3,"Rep "&amp;N1110,"Surplus"))</f>
        <v/>
      </c>
    </row>
    <row r="1111" customFormat="false" ht="15" hidden="false" customHeight="false" outlineLevel="0" collapsed="false">
      <c r="A1111" s="40" t="str">
        <f aca="false">IF(OR($A$4=0,INDEX('COOIS Raw'!$A:$GZ,ROW()-4,$A$4)=""),"",IFERROR(--INDEX('COOIS Raw'!$A:$GZ,ROW()-4,$A$4),INDEX('COOIS Raw'!$A:$GZ,ROW()-4,$A$4)))</f>
        <v/>
      </c>
      <c r="B1111" s="41" t="str">
        <f aca="false">IF(A1111="","",TRIM(INDEX('COOIS Raw'!$A:$GZ,ROW()-4,$B$4)))</f>
        <v/>
      </c>
      <c r="C1111" s="42" t="str">
        <f aca="false">IF(OR(A1111="",$C$4=0),"",INDEX('COOIS Raw'!$A:$GZ,ROW()-4,$C$4))</f>
        <v/>
      </c>
      <c r="D1111" s="41" t="str">
        <f aca="false">IF(A1111="","",IF($D$4=0,1,IFERROR(--INDEX('COOIS Raw'!$A:$GZ,ROW()-4,$D$4),1)))</f>
        <v/>
      </c>
      <c r="E1111" s="42" t="str">
        <f aca="false">IF(A1111="","",INDEX('COOIS Raw'!$A:$GZ,ROW()-4,$E$4)&amp;"")</f>
        <v/>
      </c>
      <c r="F1111" s="43" t="str">
        <f aca="false">IF(A1111="","",IFERROR(DATEVALUE(INDEX('COOIS Raw'!$A:$GZ,ROW()-4,$F$4)),INDEX('COOIS Raw'!$A:$GZ,ROW()-4,$F$4)))</f>
        <v/>
      </c>
      <c r="G1111" s="41" t="str">
        <f aca="false">IF(A1111="","",IF(ISNA(MATCH(B1111,'Kitting Plan'!$B$6:$B$19,0)),"Not in plan","Yes"))</f>
        <v/>
      </c>
      <c r="H1111" s="41" t="str">
        <f aca="false">IF(G1111="Yes",INDEX('Kitting Plan'!$D$6:$D$19,MATCH(B1111,'Kitting Plan'!$B$6:$B$19,0)),"")</f>
        <v/>
      </c>
      <c r="I1111" s="41" t="str">
        <f aca="false">IF(A1111="","",IF(ISNUMBER(SEARCH("PRT",E1111)),D1111,0))</f>
        <v/>
      </c>
      <c r="J1111" s="41" t="str">
        <f aca="false">IF(A1111="","",IF(ISNUMBER(SEARCH("GMPS",E1111)),D1111,0))</f>
        <v/>
      </c>
      <c r="K1111" s="41" t="str">
        <f aca="false">IF(A1111="","",IF(ISNUMBER(SEARCH("DLV",E1111)),D1111,0))</f>
        <v/>
      </c>
      <c r="L1111" s="41" t="str">
        <f aca="false">IF(A1111="","",IF(K1111&gt;0,"Delivered",IF(ISNUMBER(SEARCH("CNF",E1111)),"In production",IF(J1111&gt;0,"Issued",IF(I1111&gt;0,"Kitted","Released")))))</f>
        <v/>
      </c>
      <c r="M1111" s="41" t="str">
        <f aca="false">IF(G1111&lt;&gt;"Yes","",COUNTIFS($B$6:$B$1505,B1111,$F$6:$F$1505,"&lt;"&amp;F1111)+COUNTIFS($B$6:$B$1505,B1111,$F$6:$F$1505,F1111,$A$6:$A$1505,"&lt;="&amp;A1111))</f>
        <v/>
      </c>
      <c r="N1111" s="41" t="str">
        <f aca="false">IF(M1111="","",ROUNDUP(M1111/H1111,0))</f>
        <v/>
      </c>
      <c r="O1111" s="41" t="str">
        <f aca="false">IF(N1111="","",IF(N1111&lt;='Kitting Plan'!$C$3,"Rep "&amp;N1111,"Surplus"))</f>
        <v/>
      </c>
    </row>
    <row r="1112" customFormat="false" ht="15" hidden="false" customHeight="false" outlineLevel="0" collapsed="false">
      <c r="A1112" s="40" t="str">
        <f aca="false">IF(OR($A$4=0,INDEX('COOIS Raw'!$A:$GZ,ROW()-4,$A$4)=""),"",IFERROR(--INDEX('COOIS Raw'!$A:$GZ,ROW()-4,$A$4),INDEX('COOIS Raw'!$A:$GZ,ROW()-4,$A$4)))</f>
        <v/>
      </c>
      <c r="B1112" s="41" t="str">
        <f aca="false">IF(A1112="","",TRIM(INDEX('COOIS Raw'!$A:$GZ,ROW()-4,$B$4)))</f>
        <v/>
      </c>
      <c r="C1112" s="42" t="str">
        <f aca="false">IF(OR(A1112="",$C$4=0),"",INDEX('COOIS Raw'!$A:$GZ,ROW()-4,$C$4))</f>
        <v/>
      </c>
      <c r="D1112" s="41" t="str">
        <f aca="false">IF(A1112="","",IF($D$4=0,1,IFERROR(--INDEX('COOIS Raw'!$A:$GZ,ROW()-4,$D$4),1)))</f>
        <v/>
      </c>
      <c r="E1112" s="42" t="str">
        <f aca="false">IF(A1112="","",INDEX('COOIS Raw'!$A:$GZ,ROW()-4,$E$4)&amp;"")</f>
        <v/>
      </c>
      <c r="F1112" s="43" t="str">
        <f aca="false">IF(A1112="","",IFERROR(DATEVALUE(INDEX('COOIS Raw'!$A:$GZ,ROW()-4,$F$4)),INDEX('COOIS Raw'!$A:$GZ,ROW()-4,$F$4)))</f>
        <v/>
      </c>
      <c r="G1112" s="41" t="str">
        <f aca="false">IF(A1112="","",IF(ISNA(MATCH(B1112,'Kitting Plan'!$B$6:$B$19,0)),"Not in plan","Yes"))</f>
        <v/>
      </c>
      <c r="H1112" s="41" t="str">
        <f aca="false">IF(G1112="Yes",INDEX('Kitting Plan'!$D$6:$D$19,MATCH(B1112,'Kitting Plan'!$B$6:$B$19,0)),"")</f>
        <v/>
      </c>
      <c r="I1112" s="41" t="str">
        <f aca="false">IF(A1112="","",IF(ISNUMBER(SEARCH("PRT",E1112)),D1112,0))</f>
        <v/>
      </c>
      <c r="J1112" s="41" t="str">
        <f aca="false">IF(A1112="","",IF(ISNUMBER(SEARCH("GMPS",E1112)),D1112,0))</f>
        <v/>
      </c>
      <c r="K1112" s="41" t="str">
        <f aca="false">IF(A1112="","",IF(ISNUMBER(SEARCH("DLV",E1112)),D1112,0))</f>
        <v/>
      </c>
      <c r="L1112" s="41" t="str">
        <f aca="false">IF(A1112="","",IF(K1112&gt;0,"Delivered",IF(ISNUMBER(SEARCH("CNF",E1112)),"In production",IF(J1112&gt;0,"Issued",IF(I1112&gt;0,"Kitted","Released")))))</f>
        <v/>
      </c>
      <c r="M1112" s="41" t="str">
        <f aca="false">IF(G1112&lt;&gt;"Yes","",COUNTIFS($B$6:$B$1505,B1112,$F$6:$F$1505,"&lt;"&amp;F1112)+COUNTIFS($B$6:$B$1505,B1112,$F$6:$F$1505,F1112,$A$6:$A$1505,"&lt;="&amp;A1112))</f>
        <v/>
      </c>
      <c r="N1112" s="41" t="str">
        <f aca="false">IF(M1112="","",ROUNDUP(M1112/H1112,0))</f>
        <v/>
      </c>
      <c r="O1112" s="41" t="str">
        <f aca="false">IF(N1112="","",IF(N1112&lt;='Kitting Plan'!$C$3,"Rep "&amp;N1112,"Surplus"))</f>
        <v/>
      </c>
    </row>
    <row r="1113" customFormat="false" ht="15" hidden="false" customHeight="false" outlineLevel="0" collapsed="false">
      <c r="A1113" s="40" t="str">
        <f aca="false">IF(OR($A$4=0,INDEX('COOIS Raw'!$A:$GZ,ROW()-4,$A$4)=""),"",IFERROR(--INDEX('COOIS Raw'!$A:$GZ,ROW()-4,$A$4),INDEX('COOIS Raw'!$A:$GZ,ROW()-4,$A$4)))</f>
        <v/>
      </c>
      <c r="B1113" s="41" t="str">
        <f aca="false">IF(A1113="","",TRIM(INDEX('COOIS Raw'!$A:$GZ,ROW()-4,$B$4)))</f>
        <v/>
      </c>
      <c r="C1113" s="42" t="str">
        <f aca="false">IF(OR(A1113="",$C$4=0),"",INDEX('COOIS Raw'!$A:$GZ,ROW()-4,$C$4))</f>
        <v/>
      </c>
      <c r="D1113" s="41" t="str">
        <f aca="false">IF(A1113="","",IF($D$4=0,1,IFERROR(--INDEX('COOIS Raw'!$A:$GZ,ROW()-4,$D$4),1)))</f>
        <v/>
      </c>
      <c r="E1113" s="42" t="str">
        <f aca="false">IF(A1113="","",INDEX('COOIS Raw'!$A:$GZ,ROW()-4,$E$4)&amp;"")</f>
        <v/>
      </c>
      <c r="F1113" s="43" t="str">
        <f aca="false">IF(A1113="","",IFERROR(DATEVALUE(INDEX('COOIS Raw'!$A:$GZ,ROW()-4,$F$4)),INDEX('COOIS Raw'!$A:$GZ,ROW()-4,$F$4)))</f>
        <v/>
      </c>
      <c r="G1113" s="41" t="str">
        <f aca="false">IF(A1113="","",IF(ISNA(MATCH(B1113,'Kitting Plan'!$B$6:$B$19,0)),"Not in plan","Yes"))</f>
        <v/>
      </c>
      <c r="H1113" s="41" t="str">
        <f aca="false">IF(G1113="Yes",INDEX('Kitting Plan'!$D$6:$D$19,MATCH(B1113,'Kitting Plan'!$B$6:$B$19,0)),"")</f>
        <v/>
      </c>
      <c r="I1113" s="41" t="str">
        <f aca="false">IF(A1113="","",IF(ISNUMBER(SEARCH("PRT",E1113)),D1113,0))</f>
        <v/>
      </c>
      <c r="J1113" s="41" t="str">
        <f aca="false">IF(A1113="","",IF(ISNUMBER(SEARCH("GMPS",E1113)),D1113,0))</f>
        <v/>
      </c>
      <c r="K1113" s="41" t="str">
        <f aca="false">IF(A1113="","",IF(ISNUMBER(SEARCH("DLV",E1113)),D1113,0))</f>
        <v/>
      </c>
      <c r="L1113" s="41" t="str">
        <f aca="false">IF(A1113="","",IF(K1113&gt;0,"Delivered",IF(ISNUMBER(SEARCH("CNF",E1113)),"In production",IF(J1113&gt;0,"Issued",IF(I1113&gt;0,"Kitted","Released")))))</f>
        <v/>
      </c>
      <c r="M1113" s="41" t="str">
        <f aca="false">IF(G1113&lt;&gt;"Yes","",COUNTIFS($B$6:$B$1505,B1113,$F$6:$F$1505,"&lt;"&amp;F1113)+COUNTIFS($B$6:$B$1505,B1113,$F$6:$F$1505,F1113,$A$6:$A$1505,"&lt;="&amp;A1113))</f>
        <v/>
      </c>
      <c r="N1113" s="41" t="str">
        <f aca="false">IF(M1113="","",ROUNDUP(M1113/H1113,0))</f>
        <v/>
      </c>
      <c r="O1113" s="41" t="str">
        <f aca="false">IF(N1113="","",IF(N1113&lt;='Kitting Plan'!$C$3,"Rep "&amp;N1113,"Surplus"))</f>
        <v/>
      </c>
    </row>
    <row r="1114" customFormat="false" ht="15" hidden="false" customHeight="false" outlineLevel="0" collapsed="false">
      <c r="A1114" s="40" t="str">
        <f aca="false">IF(OR($A$4=0,INDEX('COOIS Raw'!$A:$GZ,ROW()-4,$A$4)=""),"",IFERROR(--INDEX('COOIS Raw'!$A:$GZ,ROW()-4,$A$4),INDEX('COOIS Raw'!$A:$GZ,ROW()-4,$A$4)))</f>
        <v/>
      </c>
      <c r="B1114" s="41" t="str">
        <f aca="false">IF(A1114="","",TRIM(INDEX('COOIS Raw'!$A:$GZ,ROW()-4,$B$4)))</f>
        <v/>
      </c>
      <c r="C1114" s="42" t="str">
        <f aca="false">IF(OR(A1114="",$C$4=0),"",INDEX('COOIS Raw'!$A:$GZ,ROW()-4,$C$4))</f>
        <v/>
      </c>
      <c r="D1114" s="41" t="str">
        <f aca="false">IF(A1114="","",IF($D$4=0,1,IFERROR(--INDEX('COOIS Raw'!$A:$GZ,ROW()-4,$D$4),1)))</f>
        <v/>
      </c>
      <c r="E1114" s="42" t="str">
        <f aca="false">IF(A1114="","",INDEX('COOIS Raw'!$A:$GZ,ROW()-4,$E$4)&amp;"")</f>
        <v/>
      </c>
      <c r="F1114" s="43" t="str">
        <f aca="false">IF(A1114="","",IFERROR(DATEVALUE(INDEX('COOIS Raw'!$A:$GZ,ROW()-4,$F$4)),INDEX('COOIS Raw'!$A:$GZ,ROW()-4,$F$4)))</f>
        <v/>
      </c>
      <c r="G1114" s="41" t="str">
        <f aca="false">IF(A1114="","",IF(ISNA(MATCH(B1114,'Kitting Plan'!$B$6:$B$19,0)),"Not in plan","Yes"))</f>
        <v/>
      </c>
      <c r="H1114" s="41" t="str">
        <f aca="false">IF(G1114="Yes",INDEX('Kitting Plan'!$D$6:$D$19,MATCH(B1114,'Kitting Plan'!$B$6:$B$19,0)),"")</f>
        <v/>
      </c>
      <c r="I1114" s="41" t="str">
        <f aca="false">IF(A1114="","",IF(ISNUMBER(SEARCH("PRT",E1114)),D1114,0))</f>
        <v/>
      </c>
      <c r="J1114" s="41" t="str">
        <f aca="false">IF(A1114="","",IF(ISNUMBER(SEARCH("GMPS",E1114)),D1114,0))</f>
        <v/>
      </c>
      <c r="K1114" s="41" t="str">
        <f aca="false">IF(A1114="","",IF(ISNUMBER(SEARCH("DLV",E1114)),D1114,0))</f>
        <v/>
      </c>
      <c r="L1114" s="41" t="str">
        <f aca="false">IF(A1114="","",IF(K1114&gt;0,"Delivered",IF(ISNUMBER(SEARCH("CNF",E1114)),"In production",IF(J1114&gt;0,"Issued",IF(I1114&gt;0,"Kitted","Released")))))</f>
        <v/>
      </c>
      <c r="M1114" s="41" t="str">
        <f aca="false">IF(G1114&lt;&gt;"Yes","",COUNTIFS($B$6:$B$1505,B1114,$F$6:$F$1505,"&lt;"&amp;F1114)+COUNTIFS($B$6:$B$1505,B1114,$F$6:$F$1505,F1114,$A$6:$A$1505,"&lt;="&amp;A1114))</f>
        <v/>
      </c>
      <c r="N1114" s="41" t="str">
        <f aca="false">IF(M1114="","",ROUNDUP(M1114/H1114,0))</f>
        <v/>
      </c>
      <c r="O1114" s="41" t="str">
        <f aca="false">IF(N1114="","",IF(N1114&lt;='Kitting Plan'!$C$3,"Rep "&amp;N1114,"Surplus"))</f>
        <v/>
      </c>
    </row>
    <row r="1115" customFormat="false" ht="15" hidden="false" customHeight="false" outlineLevel="0" collapsed="false">
      <c r="A1115" s="40" t="str">
        <f aca="false">IF(OR($A$4=0,INDEX('COOIS Raw'!$A:$GZ,ROW()-4,$A$4)=""),"",IFERROR(--INDEX('COOIS Raw'!$A:$GZ,ROW()-4,$A$4),INDEX('COOIS Raw'!$A:$GZ,ROW()-4,$A$4)))</f>
        <v/>
      </c>
      <c r="B1115" s="41" t="str">
        <f aca="false">IF(A1115="","",TRIM(INDEX('COOIS Raw'!$A:$GZ,ROW()-4,$B$4)))</f>
        <v/>
      </c>
      <c r="C1115" s="42" t="str">
        <f aca="false">IF(OR(A1115="",$C$4=0),"",INDEX('COOIS Raw'!$A:$GZ,ROW()-4,$C$4))</f>
        <v/>
      </c>
      <c r="D1115" s="41" t="str">
        <f aca="false">IF(A1115="","",IF($D$4=0,1,IFERROR(--INDEX('COOIS Raw'!$A:$GZ,ROW()-4,$D$4),1)))</f>
        <v/>
      </c>
      <c r="E1115" s="42" t="str">
        <f aca="false">IF(A1115="","",INDEX('COOIS Raw'!$A:$GZ,ROW()-4,$E$4)&amp;"")</f>
        <v/>
      </c>
      <c r="F1115" s="43" t="str">
        <f aca="false">IF(A1115="","",IFERROR(DATEVALUE(INDEX('COOIS Raw'!$A:$GZ,ROW()-4,$F$4)),INDEX('COOIS Raw'!$A:$GZ,ROW()-4,$F$4)))</f>
        <v/>
      </c>
      <c r="G1115" s="41" t="str">
        <f aca="false">IF(A1115="","",IF(ISNA(MATCH(B1115,'Kitting Plan'!$B$6:$B$19,0)),"Not in plan","Yes"))</f>
        <v/>
      </c>
      <c r="H1115" s="41" t="str">
        <f aca="false">IF(G1115="Yes",INDEX('Kitting Plan'!$D$6:$D$19,MATCH(B1115,'Kitting Plan'!$B$6:$B$19,0)),"")</f>
        <v/>
      </c>
      <c r="I1115" s="41" t="str">
        <f aca="false">IF(A1115="","",IF(ISNUMBER(SEARCH("PRT",E1115)),D1115,0))</f>
        <v/>
      </c>
      <c r="J1115" s="41" t="str">
        <f aca="false">IF(A1115="","",IF(ISNUMBER(SEARCH("GMPS",E1115)),D1115,0))</f>
        <v/>
      </c>
      <c r="K1115" s="41" t="str">
        <f aca="false">IF(A1115="","",IF(ISNUMBER(SEARCH("DLV",E1115)),D1115,0))</f>
        <v/>
      </c>
      <c r="L1115" s="41" t="str">
        <f aca="false">IF(A1115="","",IF(K1115&gt;0,"Delivered",IF(ISNUMBER(SEARCH("CNF",E1115)),"In production",IF(J1115&gt;0,"Issued",IF(I1115&gt;0,"Kitted","Released")))))</f>
        <v/>
      </c>
      <c r="M1115" s="41" t="str">
        <f aca="false">IF(G1115&lt;&gt;"Yes","",COUNTIFS($B$6:$B$1505,B1115,$F$6:$F$1505,"&lt;"&amp;F1115)+COUNTIFS($B$6:$B$1505,B1115,$F$6:$F$1505,F1115,$A$6:$A$1505,"&lt;="&amp;A1115))</f>
        <v/>
      </c>
      <c r="N1115" s="41" t="str">
        <f aca="false">IF(M1115="","",ROUNDUP(M1115/H1115,0))</f>
        <v/>
      </c>
      <c r="O1115" s="41" t="str">
        <f aca="false">IF(N1115="","",IF(N1115&lt;='Kitting Plan'!$C$3,"Rep "&amp;N1115,"Surplus"))</f>
        <v/>
      </c>
    </row>
    <row r="1116" customFormat="false" ht="15" hidden="false" customHeight="false" outlineLevel="0" collapsed="false">
      <c r="A1116" s="40" t="str">
        <f aca="false">IF(OR($A$4=0,INDEX('COOIS Raw'!$A:$GZ,ROW()-4,$A$4)=""),"",IFERROR(--INDEX('COOIS Raw'!$A:$GZ,ROW()-4,$A$4),INDEX('COOIS Raw'!$A:$GZ,ROW()-4,$A$4)))</f>
        <v/>
      </c>
      <c r="B1116" s="41" t="str">
        <f aca="false">IF(A1116="","",TRIM(INDEX('COOIS Raw'!$A:$GZ,ROW()-4,$B$4)))</f>
        <v/>
      </c>
      <c r="C1116" s="42" t="str">
        <f aca="false">IF(OR(A1116="",$C$4=0),"",INDEX('COOIS Raw'!$A:$GZ,ROW()-4,$C$4))</f>
        <v/>
      </c>
      <c r="D1116" s="41" t="str">
        <f aca="false">IF(A1116="","",IF($D$4=0,1,IFERROR(--INDEX('COOIS Raw'!$A:$GZ,ROW()-4,$D$4),1)))</f>
        <v/>
      </c>
      <c r="E1116" s="42" t="str">
        <f aca="false">IF(A1116="","",INDEX('COOIS Raw'!$A:$GZ,ROW()-4,$E$4)&amp;"")</f>
        <v/>
      </c>
      <c r="F1116" s="43" t="str">
        <f aca="false">IF(A1116="","",IFERROR(DATEVALUE(INDEX('COOIS Raw'!$A:$GZ,ROW()-4,$F$4)),INDEX('COOIS Raw'!$A:$GZ,ROW()-4,$F$4)))</f>
        <v/>
      </c>
      <c r="G1116" s="41" t="str">
        <f aca="false">IF(A1116="","",IF(ISNA(MATCH(B1116,'Kitting Plan'!$B$6:$B$19,0)),"Not in plan","Yes"))</f>
        <v/>
      </c>
      <c r="H1116" s="41" t="str">
        <f aca="false">IF(G1116="Yes",INDEX('Kitting Plan'!$D$6:$D$19,MATCH(B1116,'Kitting Plan'!$B$6:$B$19,0)),"")</f>
        <v/>
      </c>
      <c r="I1116" s="41" t="str">
        <f aca="false">IF(A1116="","",IF(ISNUMBER(SEARCH("PRT",E1116)),D1116,0))</f>
        <v/>
      </c>
      <c r="J1116" s="41" t="str">
        <f aca="false">IF(A1116="","",IF(ISNUMBER(SEARCH("GMPS",E1116)),D1116,0))</f>
        <v/>
      </c>
      <c r="K1116" s="41" t="str">
        <f aca="false">IF(A1116="","",IF(ISNUMBER(SEARCH("DLV",E1116)),D1116,0))</f>
        <v/>
      </c>
      <c r="L1116" s="41" t="str">
        <f aca="false">IF(A1116="","",IF(K1116&gt;0,"Delivered",IF(ISNUMBER(SEARCH("CNF",E1116)),"In production",IF(J1116&gt;0,"Issued",IF(I1116&gt;0,"Kitted","Released")))))</f>
        <v/>
      </c>
      <c r="M1116" s="41" t="str">
        <f aca="false">IF(G1116&lt;&gt;"Yes","",COUNTIFS($B$6:$B$1505,B1116,$F$6:$F$1505,"&lt;"&amp;F1116)+COUNTIFS($B$6:$B$1505,B1116,$F$6:$F$1505,F1116,$A$6:$A$1505,"&lt;="&amp;A1116))</f>
        <v/>
      </c>
      <c r="N1116" s="41" t="str">
        <f aca="false">IF(M1116="","",ROUNDUP(M1116/H1116,0))</f>
        <v/>
      </c>
      <c r="O1116" s="41" t="str">
        <f aca="false">IF(N1116="","",IF(N1116&lt;='Kitting Plan'!$C$3,"Rep "&amp;N1116,"Surplus"))</f>
        <v/>
      </c>
    </row>
    <row r="1117" customFormat="false" ht="15" hidden="false" customHeight="false" outlineLevel="0" collapsed="false">
      <c r="A1117" s="40" t="str">
        <f aca="false">IF(OR($A$4=0,INDEX('COOIS Raw'!$A:$GZ,ROW()-4,$A$4)=""),"",IFERROR(--INDEX('COOIS Raw'!$A:$GZ,ROW()-4,$A$4),INDEX('COOIS Raw'!$A:$GZ,ROW()-4,$A$4)))</f>
        <v/>
      </c>
      <c r="B1117" s="41" t="str">
        <f aca="false">IF(A1117="","",TRIM(INDEX('COOIS Raw'!$A:$GZ,ROW()-4,$B$4)))</f>
        <v/>
      </c>
      <c r="C1117" s="42" t="str">
        <f aca="false">IF(OR(A1117="",$C$4=0),"",INDEX('COOIS Raw'!$A:$GZ,ROW()-4,$C$4))</f>
        <v/>
      </c>
      <c r="D1117" s="41" t="str">
        <f aca="false">IF(A1117="","",IF($D$4=0,1,IFERROR(--INDEX('COOIS Raw'!$A:$GZ,ROW()-4,$D$4),1)))</f>
        <v/>
      </c>
      <c r="E1117" s="42" t="str">
        <f aca="false">IF(A1117="","",INDEX('COOIS Raw'!$A:$GZ,ROW()-4,$E$4)&amp;"")</f>
        <v/>
      </c>
      <c r="F1117" s="43" t="str">
        <f aca="false">IF(A1117="","",IFERROR(DATEVALUE(INDEX('COOIS Raw'!$A:$GZ,ROW()-4,$F$4)),INDEX('COOIS Raw'!$A:$GZ,ROW()-4,$F$4)))</f>
        <v/>
      </c>
      <c r="G1117" s="41" t="str">
        <f aca="false">IF(A1117="","",IF(ISNA(MATCH(B1117,'Kitting Plan'!$B$6:$B$19,0)),"Not in plan","Yes"))</f>
        <v/>
      </c>
      <c r="H1117" s="41" t="str">
        <f aca="false">IF(G1117="Yes",INDEX('Kitting Plan'!$D$6:$D$19,MATCH(B1117,'Kitting Plan'!$B$6:$B$19,0)),"")</f>
        <v/>
      </c>
      <c r="I1117" s="41" t="str">
        <f aca="false">IF(A1117="","",IF(ISNUMBER(SEARCH("PRT",E1117)),D1117,0))</f>
        <v/>
      </c>
      <c r="J1117" s="41" t="str">
        <f aca="false">IF(A1117="","",IF(ISNUMBER(SEARCH("GMPS",E1117)),D1117,0))</f>
        <v/>
      </c>
      <c r="K1117" s="41" t="str">
        <f aca="false">IF(A1117="","",IF(ISNUMBER(SEARCH("DLV",E1117)),D1117,0))</f>
        <v/>
      </c>
      <c r="L1117" s="41" t="str">
        <f aca="false">IF(A1117="","",IF(K1117&gt;0,"Delivered",IF(ISNUMBER(SEARCH("CNF",E1117)),"In production",IF(J1117&gt;0,"Issued",IF(I1117&gt;0,"Kitted","Released")))))</f>
        <v/>
      </c>
      <c r="M1117" s="41" t="str">
        <f aca="false">IF(G1117&lt;&gt;"Yes","",COUNTIFS($B$6:$B$1505,B1117,$F$6:$F$1505,"&lt;"&amp;F1117)+COUNTIFS($B$6:$B$1505,B1117,$F$6:$F$1505,F1117,$A$6:$A$1505,"&lt;="&amp;A1117))</f>
        <v/>
      </c>
      <c r="N1117" s="41" t="str">
        <f aca="false">IF(M1117="","",ROUNDUP(M1117/H1117,0))</f>
        <v/>
      </c>
      <c r="O1117" s="41" t="str">
        <f aca="false">IF(N1117="","",IF(N1117&lt;='Kitting Plan'!$C$3,"Rep "&amp;N1117,"Surplus"))</f>
        <v/>
      </c>
    </row>
    <row r="1118" customFormat="false" ht="15" hidden="false" customHeight="false" outlineLevel="0" collapsed="false">
      <c r="A1118" s="40" t="str">
        <f aca="false">IF(OR($A$4=0,INDEX('COOIS Raw'!$A:$GZ,ROW()-4,$A$4)=""),"",IFERROR(--INDEX('COOIS Raw'!$A:$GZ,ROW()-4,$A$4),INDEX('COOIS Raw'!$A:$GZ,ROW()-4,$A$4)))</f>
        <v/>
      </c>
      <c r="B1118" s="41" t="str">
        <f aca="false">IF(A1118="","",TRIM(INDEX('COOIS Raw'!$A:$GZ,ROW()-4,$B$4)))</f>
        <v/>
      </c>
      <c r="C1118" s="42" t="str">
        <f aca="false">IF(OR(A1118="",$C$4=0),"",INDEX('COOIS Raw'!$A:$GZ,ROW()-4,$C$4))</f>
        <v/>
      </c>
      <c r="D1118" s="41" t="str">
        <f aca="false">IF(A1118="","",IF($D$4=0,1,IFERROR(--INDEX('COOIS Raw'!$A:$GZ,ROW()-4,$D$4),1)))</f>
        <v/>
      </c>
      <c r="E1118" s="42" t="str">
        <f aca="false">IF(A1118="","",INDEX('COOIS Raw'!$A:$GZ,ROW()-4,$E$4)&amp;"")</f>
        <v/>
      </c>
      <c r="F1118" s="43" t="str">
        <f aca="false">IF(A1118="","",IFERROR(DATEVALUE(INDEX('COOIS Raw'!$A:$GZ,ROW()-4,$F$4)),INDEX('COOIS Raw'!$A:$GZ,ROW()-4,$F$4)))</f>
        <v/>
      </c>
      <c r="G1118" s="41" t="str">
        <f aca="false">IF(A1118="","",IF(ISNA(MATCH(B1118,'Kitting Plan'!$B$6:$B$19,0)),"Not in plan","Yes"))</f>
        <v/>
      </c>
      <c r="H1118" s="41" t="str">
        <f aca="false">IF(G1118="Yes",INDEX('Kitting Plan'!$D$6:$D$19,MATCH(B1118,'Kitting Plan'!$B$6:$B$19,0)),"")</f>
        <v/>
      </c>
      <c r="I1118" s="41" t="str">
        <f aca="false">IF(A1118="","",IF(ISNUMBER(SEARCH("PRT",E1118)),D1118,0))</f>
        <v/>
      </c>
      <c r="J1118" s="41" t="str">
        <f aca="false">IF(A1118="","",IF(ISNUMBER(SEARCH("GMPS",E1118)),D1118,0))</f>
        <v/>
      </c>
      <c r="K1118" s="41" t="str">
        <f aca="false">IF(A1118="","",IF(ISNUMBER(SEARCH("DLV",E1118)),D1118,0))</f>
        <v/>
      </c>
      <c r="L1118" s="41" t="str">
        <f aca="false">IF(A1118="","",IF(K1118&gt;0,"Delivered",IF(ISNUMBER(SEARCH("CNF",E1118)),"In production",IF(J1118&gt;0,"Issued",IF(I1118&gt;0,"Kitted","Released")))))</f>
        <v/>
      </c>
      <c r="M1118" s="41" t="str">
        <f aca="false">IF(G1118&lt;&gt;"Yes","",COUNTIFS($B$6:$B$1505,B1118,$F$6:$F$1505,"&lt;"&amp;F1118)+COUNTIFS($B$6:$B$1505,B1118,$F$6:$F$1505,F1118,$A$6:$A$1505,"&lt;="&amp;A1118))</f>
        <v/>
      </c>
      <c r="N1118" s="41" t="str">
        <f aca="false">IF(M1118="","",ROUNDUP(M1118/H1118,0))</f>
        <v/>
      </c>
      <c r="O1118" s="41" t="str">
        <f aca="false">IF(N1118="","",IF(N1118&lt;='Kitting Plan'!$C$3,"Rep "&amp;N1118,"Surplus"))</f>
        <v/>
      </c>
    </row>
    <row r="1119" customFormat="false" ht="15" hidden="false" customHeight="false" outlineLevel="0" collapsed="false">
      <c r="A1119" s="40" t="str">
        <f aca="false">IF(OR($A$4=0,INDEX('COOIS Raw'!$A:$GZ,ROW()-4,$A$4)=""),"",IFERROR(--INDEX('COOIS Raw'!$A:$GZ,ROW()-4,$A$4),INDEX('COOIS Raw'!$A:$GZ,ROW()-4,$A$4)))</f>
        <v/>
      </c>
      <c r="B1119" s="41" t="str">
        <f aca="false">IF(A1119="","",TRIM(INDEX('COOIS Raw'!$A:$GZ,ROW()-4,$B$4)))</f>
        <v/>
      </c>
      <c r="C1119" s="42" t="str">
        <f aca="false">IF(OR(A1119="",$C$4=0),"",INDEX('COOIS Raw'!$A:$GZ,ROW()-4,$C$4))</f>
        <v/>
      </c>
      <c r="D1119" s="41" t="str">
        <f aca="false">IF(A1119="","",IF($D$4=0,1,IFERROR(--INDEX('COOIS Raw'!$A:$GZ,ROW()-4,$D$4),1)))</f>
        <v/>
      </c>
      <c r="E1119" s="42" t="str">
        <f aca="false">IF(A1119="","",INDEX('COOIS Raw'!$A:$GZ,ROW()-4,$E$4)&amp;"")</f>
        <v/>
      </c>
      <c r="F1119" s="43" t="str">
        <f aca="false">IF(A1119="","",IFERROR(DATEVALUE(INDEX('COOIS Raw'!$A:$GZ,ROW()-4,$F$4)),INDEX('COOIS Raw'!$A:$GZ,ROW()-4,$F$4)))</f>
        <v/>
      </c>
      <c r="G1119" s="41" t="str">
        <f aca="false">IF(A1119="","",IF(ISNA(MATCH(B1119,'Kitting Plan'!$B$6:$B$19,0)),"Not in plan","Yes"))</f>
        <v/>
      </c>
      <c r="H1119" s="41" t="str">
        <f aca="false">IF(G1119="Yes",INDEX('Kitting Plan'!$D$6:$D$19,MATCH(B1119,'Kitting Plan'!$B$6:$B$19,0)),"")</f>
        <v/>
      </c>
      <c r="I1119" s="41" t="str">
        <f aca="false">IF(A1119="","",IF(ISNUMBER(SEARCH("PRT",E1119)),D1119,0))</f>
        <v/>
      </c>
      <c r="J1119" s="41" t="str">
        <f aca="false">IF(A1119="","",IF(ISNUMBER(SEARCH("GMPS",E1119)),D1119,0))</f>
        <v/>
      </c>
      <c r="K1119" s="41" t="str">
        <f aca="false">IF(A1119="","",IF(ISNUMBER(SEARCH("DLV",E1119)),D1119,0))</f>
        <v/>
      </c>
      <c r="L1119" s="41" t="str">
        <f aca="false">IF(A1119="","",IF(K1119&gt;0,"Delivered",IF(ISNUMBER(SEARCH("CNF",E1119)),"In production",IF(J1119&gt;0,"Issued",IF(I1119&gt;0,"Kitted","Released")))))</f>
        <v/>
      </c>
      <c r="M1119" s="41" t="str">
        <f aca="false">IF(G1119&lt;&gt;"Yes","",COUNTIFS($B$6:$B$1505,B1119,$F$6:$F$1505,"&lt;"&amp;F1119)+COUNTIFS($B$6:$B$1505,B1119,$F$6:$F$1505,F1119,$A$6:$A$1505,"&lt;="&amp;A1119))</f>
        <v/>
      </c>
      <c r="N1119" s="41" t="str">
        <f aca="false">IF(M1119="","",ROUNDUP(M1119/H1119,0))</f>
        <v/>
      </c>
      <c r="O1119" s="41" t="str">
        <f aca="false">IF(N1119="","",IF(N1119&lt;='Kitting Plan'!$C$3,"Rep "&amp;N1119,"Surplus"))</f>
        <v/>
      </c>
    </row>
    <row r="1120" customFormat="false" ht="15" hidden="false" customHeight="false" outlineLevel="0" collapsed="false">
      <c r="A1120" s="40" t="str">
        <f aca="false">IF(OR($A$4=0,INDEX('COOIS Raw'!$A:$GZ,ROW()-4,$A$4)=""),"",IFERROR(--INDEX('COOIS Raw'!$A:$GZ,ROW()-4,$A$4),INDEX('COOIS Raw'!$A:$GZ,ROW()-4,$A$4)))</f>
        <v/>
      </c>
      <c r="B1120" s="41" t="str">
        <f aca="false">IF(A1120="","",TRIM(INDEX('COOIS Raw'!$A:$GZ,ROW()-4,$B$4)))</f>
        <v/>
      </c>
      <c r="C1120" s="42" t="str">
        <f aca="false">IF(OR(A1120="",$C$4=0),"",INDEX('COOIS Raw'!$A:$GZ,ROW()-4,$C$4))</f>
        <v/>
      </c>
      <c r="D1120" s="41" t="str">
        <f aca="false">IF(A1120="","",IF($D$4=0,1,IFERROR(--INDEX('COOIS Raw'!$A:$GZ,ROW()-4,$D$4),1)))</f>
        <v/>
      </c>
      <c r="E1120" s="42" t="str">
        <f aca="false">IF(A1120="","",INDEX('COOIS Raw'!$A:$GZ,ROW()-4,$E$4)&amp;"")</f>
        <v/>
      </c>
      <c r="F1120" s="43" t="str">
        <f aca="false">IF(A1120="","",IFERROR(DATEVALUE(INDEX('COOIS Raw'!$A:$GZ,ROW()-4,$F$4)),INDEX('COOIS Raw'!$A:$GZ,ROW()-4,$F$4)))</f>
        <v/>
      </c>
      <c r="G1120" s="41" t="str">
        <f aca="false">IF(A1120="","",IF(ISNA(MATCH(B1120,'Kitting Plan'!$B$6:$B$19,0)),"Not in plan","Yes"))</f>
        <v/>
      </c>
      <c r="H1120" s="41" t="str">
        <f aca="false">IF(G1120="Yes",INDEX('Kitting Plan'!$D$6:$D$19,MATCH(B1120,'Kitting Plan'!$B$6:$B$19,0)),"")</f>
        <v/>
      </c>
      <c r="I1120" s="41" t="str">
        <f aca="false">IF(A1120="","",IF(ISNUMBER(SEARCH("PRT",E1120)),D1120,0))</f>
        <v/>
      </c>
      <c r="J1120" s="41" t="str">
        <f aca="false">IF(A1120="","",IF(ISNUMBER(SEARCH("GMPS",E1120)),D1120,0))</f>
        <v/>
      </c>
      <c r="K1120" s="41" t="str">
        <f aca="false">IF(A1120="","",IF(ISNUMBER(SEARCH("DLV",E1120)),D1120,0))</f>
        <v/>
      </c>
      <c r="L1120" s="41" t="str">
        <f aca="false">IF(A1120="","",IF(K1120&gt;0,"Delivered",IF(ISNUMBER(SEARCH("CNF",E1120)),"In production",IF(J1120&gt;0,"Issued",IF(I1120&gt;0,"Kitted","Released")))))</f>
        <v/>
      </c>
      <c r="M1120" s="41" t="str">
        <f aca="false">IF(G1120&lt;&gt;"Yes","",COUNTIFS($B$6:$B$1505,B1120,$F$6:$F$1505,"&lt;"&amp;F1120)+COUNTIFS($B$6:$B$1505,B1120,$F$6:$F$1505,F1120,$A$6:$A$1505,"&lt;="&amp;A1120))</f>
        <v/>
      </c>
      <c r="N1120" s="41" t="str">
        <f aca="false">IF(M1120="","",ROUNDUP(M1120/H1120,0))</f>
        <v/>
      </c>
      <c r="O1120" s="41" t="str">
        <f aca="false">IF(N1120="","",IF(N1120&lt;='Kitting Plan'!$C$3,"Rep "&amp;N1120,"Surplus"))</f>
        <v/>
      </c>
    </row>
    <row r="1121" customFormat="false" ht="15" hidden="false" customHeight="false" outlineLevel="0" collapsed="false">
      <c r="A1121" s="40" t="str">
        <f aca="false">IF(OR($A$4=0,INDEX('COOIS Raw'!$A:$GZ,ROW()-4,$A$4)=""),"",IFERROR(--INDEX('COOIS Raw'!$A:$GZ,ROW()-4,$A$4),INDEX('COOIS Raw'!$A:$GZ,ROW()-4,$A$4)))</f>
        <v/>
      </c>
      <c r="B1121" s="41" t="str">
        <f aca="false">IF(A1121="","",TRIM(INDEX('COOIS Raw'!$A:$GZ,ROW()-4,$B$4)))</f>
        <v/>
      </c>
      <c r="C1121" s="42" t="str">
        <f aca="false">IF(OR(A1121="",$C$4=0),"",INDEX('COOIS Raw'!$A:$GZ,ROW()-4,$C$4))</f>
        <v/>
      </c>
      <c r="D1121" s="41" t="str">
        <f aca="false">IF(A1121="","",IF($D$4=0,1,IFERROR(--INDEX('COOIS Raw'!$A:$GZ,ROW()-4,$D$4),1)))</f>
        <v/>
      </c>
      <c r="E1121" s="42" t="str">
        <f aca="false">IF(A1121="","",INDEX('COOIS Raw'!$A:$GZ,ROW()-4,$E$4)&amp;"")</f>
        <v/>
      </c>
      <c r="F1121" s="43" t="str">
        <f aca="false">IF(A1121="","",IFERROR(DATEVALUE(INDEX('COOIS Raw'!$A:$GZ,ROW()-4,$F$4)),INDEX('COOIS Raw'!$A:$GZ,ROW()-4,$F$4)))</f>
        <v/>
      </c>
      <c r="G1121" s="41" t="str">
        <f aca="false">IF(A1121="","",IF(ISNA(MATCH(B1121,'Kitting Plan'!$B$6:$B$19,0)),"Not in plan","Yes"))</f>
        <v/>
      </c>
      <c r="H1121" s="41" t="str">
        <f aca="false">IF(G1121="Yes",INDEX('Kitting Plan'!$D$6:$D$19,MATCH(B1121,'Kitting Plan'!$B$6:$B$19,0)),"")</f>
        <v/>
      </c>
      <c r="I1121" s="41" t="str">
        <f aca="false">IF(A1121="","",IF(ISNUMBER(SEARCH("PRT",E1121)),D1121,0))</f>
        <v/>
      </c>
      <c r="J1121" s="41" t="str">
        <f aca="false">IF(A1121="","",IF(ISNUMBER(SEARCH("GMPS",E1121)),D1121,0))</f>
        <v/>
      </c>
      <c r="K1121" s="41" t="str">
        <f aca="false">IF(A1121="","",IF(ISNUMBER(SEARCH("DLV",E1121)),D1121,0))</f>
        <v/>
      </c>
      <c r="L1121" s="41" t="str">
        <f aca="false">IF(A1121="","",IF(K1121&gt;0,"Delivered",IF(ISNUMBER(SEARCH("CNF",E1121)),"In production",IF(J1121&gt;0,"Issued",IF(I1121&gt;0,"Kitted","Released")))))</f>
        <v/>
      </c>
      <c r="M1121" s="41" t="str">
        <f aca="false">IF(G1121&lt;&gt;"Yes","",COUNTIFS($B$6:$B$1505,B1121,$F$6:$F$1505,"&lt;"&amp;F1121)+COUNTIFS($B$6:$B$1505,B1121,$F$6:$F$1505,F1121,$A$6:$A$1505,"&lt;="&amp;A1121))</f>
        <v/>
      </c>
      <c r="N1121" s="41" t="str">
        <f aca="false">IF(M1121="","",ROUNDUP(M1121/H1121,0))</f>
        <v/>
      </c>
      <c r="O1121" s="41" t="str">
        <f aca="false">IF(N1121="","",IF(N1121&lt;='Kitting Plan'!$C$3,"Rep "&amp;N1121,"Surplus"))</f>
        <v/>
      </c>
    </row>
    <row r="1122" customFormat="false" ht="15" hidden="false" customHeight="false" outlineLevel="0" collapsed="false">
      <c r="A1122" s="40" t="str">
        <f aca="false">IF(OR($A$4=0,INDEX('COOIS Raw'!$A:$GZ,ROW()-4,$A$4)=""),"",IFERROR(--INDEX('COOIS Raw'!$A:$GZ,ROW()-4,$A$4),INDEX('COOIS Raw'!$A:$GZ,ROW()-4,$A$4)))</f>
        <v/>
      </c>
      <c r="B1122" s="41" t="str">
        <f aca="false">IF(A1122="","",TRIM(INDEX('COOIS Raw'!$A:$GZ,ROW()-4,$B$4)))</f>
        <v/>
      </c>
      <c r="C1122" s="42" t="str">
        <f aca="false">IF(OR(A1122="",$C$4=0),"",INDEX('COOIS Raw'!$A:$GZ,ROW()-4,$C$4))</f>
        <v/>
      </c>
      <c r="D1122" s="41" t="str">
        <f aca="false">IF(A1122="","",IF($D$4=0,1,IFERROR(--INDEX('COOIS Raw'!$A:$GZ,ROW()-4,$D$4),1)))</f>
        <v/>
      </c>
      <c r="E1122" s="42" t="str">
        <f aca="false">IF(A1122="","",INDEX('COOIS Raw'!$A:$GZ,ROW()-4,$E$4)&amp;"")</f>
        <v/>
      </c>
      <c r="F1122" s="43" t="str">
        <f aca="false">IF(A1122="","",IFERROR(DATEVALUE(INDEX('COOIS Raw'!$A:$GZ,ROW()-4,$F$4)),INDEX('COOIS Raw'!$A:$GZ,ROW()-4,$F$4)))</f>
        <v/>
      </c>
      <c r="G1122" s="41" t="str">
        <f aca="false">IF(A1122="","",IF(ISNA(MATCH(B1122,'Kitting Plan'!$B$6:$B$19,0)),"Not in plan","Yes"))</f>
        <v/>
      </c>
      <c r="H1122" s="41" t="str">
        <f aca="false">IF(G1122="Yes",INDEX('Kitting Plan'!$D$6:$D$19,MATCH(B1122,'Kitting Plan'!$B$6:$B$19,0)),"")</f>
        <v/>
      </c>
      <c r="I1122" s="41" t="str">
        <f aca="false">IF(A1122="","",IF(ISNUMBER(SEARCH("PRT",E1122)),D1122,0))</f>
        <v/>
      </c>
      <c r="J1122" s="41" t="str">
        <f aca="false">IF(A1122="","",IF(ISNUMBER(SEARCH("GMPS",E1122)),D1122,0))</f>
        <v/>
      </c>
      <c r="K1122" s="41" t="str">
        <f aca="false">IF(A1122="","",IF(ISNUMBER(SEARCH("DLV",E1122)),D1122,0))</f>
        <v/>
      </c>
      <c r="L1122" s="41" t="str">
        <f aca="false">IF(A1122="","",IF(K1122&gt;0,"Delivered",IF(ISNUMBER(SEARCH("CNF",E1122)),"In production",IF(J1122&gt;0,"Issued",IF(I1122&gt;0,"Kitted","Released")))))</f>
        <v/>
      </c>
      <c r="M1122" s="41" t="str">
        <f aca="false">IF(G1122&lt;&gt;"Yes","",COUNTIFS($B$6:$B$1505,B1122,$F$6:$F$1505,"&lt;"&amp;F1122)+COUNTIFS($B$6:$B$1505,B1122,$F$6:$F$1505,F1122,$A$6:$A$1505,"&lt;="&amp;A1122))</f>
        <v/>
      </c>
      <c r="N1122" s="41" t="str">
        <f aca="false">IF(M1122="","",ROUNDUP(M1122/H1122,0))</f>
        <v/>
      </c>
      <c r="O1122" s="41" t="str">
        <f aca="false">IF(N1122="","",IF(N1122&lt;='Kitting Plan'!$C$3,"Rep "&amp;N1122,"Surplus"))</f>
        <v/>
      </c>
    </row>
    <row r="1123" customFormat="false" ht="15" hidden="false" customHeight="false" outlineLevel="0" collapsed="false">
      <c r="A1123" s="40" t="str">
        <f aca="false">IF(OR($A$4=0,INDEX('COOIS Raw'!$A:$GZ,ROW()-4,$A$4)=""),"",IFERROR(--INDEX('COOIS Raw'!$A:$GZ,ROW()-4,$A$4),INDEX('COOIS Raw'!$A:$GZ,ROW()-4,$A$4)))</f>
        <v/>
      </c>
      <c r="B1123" s="41" t="str">
        <f aca="false">IF(A1123="","",TRIM(INDEX('COOIS Raw'!$A:$GZ,ROW()-4,$B$4)))</f>
        <v/>
      </c>
      <c r="C1123" s="42" t="str">
        <f aca="false">IF(OR(A1123="",$C$4=0),"",INDEX('COOIS Raw'!$A:$GZ,ROW()-4,$C$4))</f>
        <v/>
      </c>
      <c r="D1123" s="41" t="str">
        <f aca="false">IF(A1123="","",IF($D$4=0,1,IFERROR(--INDEX('COOIS Raw'!$A:$GZ,ROW()-4,$D$4),1)))</f>
        <v/>
      </c>
      <c r="E1123" s="42" t="str">
        <f aca="false">IF(A1123="","",INDEX('COOIS Raw'!$A:$GZ,ROW()-4,$E$4)&amp;"")</f>
        <v/>
      </c>
      <c r="F1123" s="43" t="str">
        <f aca="false">IF(A1123="","",IFERROR(DATEVALUE(INDEX('COOIS Raw'!$A:$GZ,ROW()-4,$F$4)),INDEX('COOIS Raw'!$A:$GZ,ROW()-4,$F$4)))</f>
        <v/>
      </c>
      <c r="G1123" s="41" t="str">
        <f aca="false">IF(A1123="","",IF(ISNA(MATCH(B1123,'Kitting Plan'!$B$6:$B$19,0)),"Not in plan","Yes"))</f>
        <v/>
      </c>
      <c r="H1123" s="41" t="str">
        <f aca="false">IF(G1123="Yes",INDEX('Kitting Plan'!$D$6:$D$19,MATCH(B1123,'Kitting Plan'!$B$6:$B$19,0)),"")</f>
        <v/>
      </c>
      <c r="I1123" s="41" t="str">
        <f aca="false">IF(A1123="","",IF(ISNUMBER(SEARCH("PRT",E1123)),D1123,0))</f>
        <v/>
      </c>
      <c r="J1123" s="41" t="str">
        <f aca="false">IF(A1123="","",IF(ISNUMBER(SEARCH("GMPS",E1123)),D1123,0))</f>
        <v/>
      </c>
      <c r="K1123" s="41" t="str">
        <f aca="false">IF(A1123="","",IF(ISNUMBER(SEARCH("DLV",E1123)),D1123,0))</f>
        <v/>
      </c>
      <c r="L1123" s="41" t="str">
        <f aca="false">IF(A1123="","",IF(K1123&gt;0,"Delivered",IF(ISNUMBER(SEARCH("CNF",E1123)),"In production",IF(J1123&gt;0,"Issued",IF(I1123&gt;0,"Kitted","Released")))))</f>
        <v/>
      </c>
      <c r="M1123" s="41" t="str">
        <f aca="false">IF(G1123&lt;&gt;"Yes","",COUNTIFS($B$6:$B$1505,B1123,$F$6:$F$1505,"&lt;"&amp;F1123)+COUNTIFS($B$6:$B$1505,B1123,$F$6:$F$1505,F1123,$A$6:$A$1505,"&lt;="&amp;A1123))</f>
        <v/>
      </c>
      <c r="N1123" s="41" t="str">
        <f aca="false">IF(M1123="","",ROUNDUP(M1123/H1123,0))</f>
        <v/>
      </c>
      <c r="O1123" s="41" t="str">
        <f aca="false">IF(N1123="","",IF(N1123&lt;='Kitting Plan'!$C$3,"Rep "&amp;N1123,"Surplus"))</f>
        <v/>
      </c>
    </row>
    <row r="1124" customFormat="false" ht="15" hidden="false" customHeight="false" outlineLevel="0" collapsed="false">
      <c r="A1124" s="40" t="str">
        <f aca="false">IF(OR($A$4=0,INDEX('COOIS Raw'!$A:$GZ,ROW()-4,$A$4)=""),"",IFERROR(--INDEX('COOIS Raw'!$A:$GZ,ROW()-4,$A$4),INDEX('COOIS Raw'!$A:$GZ,ROW()-4,$A$4)))</f>
        <v/>
      </c>
      <c r="B1124" s="41" t="str">
        <f aca="false">IF(A1124="","",TRIM(INDEX('COOIS Raw'!$A:$GZ,ROW()-4,$B$4)))</f>
        <v/>
      </c>
      <c r="C1124" s="42" t="str">
        <f aca="false">IF(OR(A1124="",$C$4=0),"",INDEX('COOIS Raw'!$A:$GZ,ROW()-4,$C$4))</f>
        <v/>
      </c>
      <c r="D1124" s="41" t="str">
        <f aca="false">IF(A1124="","",IF($D$4=0,1,IFERROR(--INDEX('COOIS Raw'!$A:$GZ,ROW()-4,$D$4),1)))</f>
        <v/>
      </c>
      <c r="E1124" s="42" t="str">
        <f aca="false">IF(A1124="","",INDEX('COOIS Raw'!$A:$GZ,ROW()-4,$E$4)&amp;"")</f>
        <v/>
      </c>
      <c r="F1124" s="43" t="str">
        <f aca="false">IF(A1124="","",IFERROR(DATEVALUE(INDEX('COOIS Raw'!$A:$GZ,ROW()-4,$F$4)),INDEX('COOIS Raw'!$A:$GZ,ROW()-4,$F$4)))</f>
        <v/>
      </c>
      <c r="G1124" s="41" t="str">
        <f aca="false">IF(A1124="","",IF(ISNA(MATCH(B1124,'Kitting Plan'!$B$6:$B$19,0)),"Not in plan","Yes"))</f>
        <v/>
      </c>
      <c r="H1124" s="41" t="str">
        <f aca="false">IF(G1124="Yes",INDEX('Kitting Plan'!$D$6:$D$19,MATCH(B1124,'Kitting Plan'!$B$6:$B$19,0)),"")</f>
        <v/>
      </c>
      <c r="I1124" s="41" t="str">
        <f aca="false">IF(A1124="","",IF(ISNUMBER(SEARCH("PRT",E1124)),D1124,0))</f>
        <v/>
      </c>
      <c r="J1124" s="41" t="str">
        <f aca="false">IF(A1124="","",IF(ISNUMBER(SEARCH("GMPS",E1124)),D1124,0))</f>
        <v/>
      </c>
      <c r="K1124" s="41" t="str">
        <f aca="false">IF(A1124="","",IF(ISNUMBER(SEARCH("DLV",E1124)),D1124,0))</f>
        <v/>
      </c>
      <c r="L1124" s="41" t="str">
        <f aca="false">IF(A1124="","",IF(K1124&gt;0,"Delivered",IF(ISNUMBER(SEARCH("CNF",E1124)),"In production",IF(J1124&gt;0,"Issued",IF(I1124&gt;0,"Kitted","Released")))))</f>
        <v/>
      </c>
      <c r="M1124" s="41" t="str">
        <f aca="false">IF(G1124&lt;&gt;"Yes","",COUNTIFS($B$6:$B$1505,B1124,$F$6:$F$1505,"&lt;"&amp;F1124)+COUNTIFS($B$6:$B$1505,B1124,$F$6:$F$1505,F1124,$A$6:$A$1505,"&lt;="&amp;A1124))</f>
        <v/>
      </c>
      <c r="N1124" s="41" t="str">
        <f aca="false">IF(M1124="","",ROUNDUP(M1124/H1124,0))</f>
        <v/>
      </c>
      <c r="O1124" s="41" t="str">
        <f aca="false">IF(N1124="","",IF(N1124&lt;='Kitting Plan'!$C$3,"Rep "&amp;N1124,"Surplus"))</f>
        <v/>
      </c>
    </row>
    <row r="1125" customFormat="false" ht="15" hidden="false" customHeight="false" outlineLevel="0" collapsed="false">
      <c r="A1125" s="40" t="str">
        <f aca="false">IF(OR($A$4=0,INDEX('COOIS Raw'!$A:$GZ,ROW()-4,$A$4)=""),"",IFERROR(--INDEX('COOIS Raw'!$A:$GZ,ROW()-4,$A$4),INDEX('COOIS Raw'!$A:$GZ,ROW()-4,$A$4)))</f>
        <v/>
      </c>
      <c r="B1125" s="41" t="str">
        <f aca="false">IF(A1125="","",TRIM(INDEX('COOIS Raw'!$A:$GZ,ROW()-4,$B$4)))</f>
        <v/>
      </c>
      <c r="C1125" s="42" t="str">
        <f aca="false">IF(OR(A1125="",$C$4=0),"",INDEX('COOIS Raw'!$A:$GZ,ROW()-4,$C$4))</f>
        <v/>
      </c>
      <c r="D1125" s="41" t="str">
        <f aca="false">IF(A1125="","",IF($D$4=0,1,IFERROR(--INDEX('COOIS Raw'!$A:$GZ,ROW()-4,$D$4),1)))</f>
        <v/>
      </c>
      <c r="E1125" s="42" t="str">
        <f aca="false">IF(A1125="","",INDEX('COOIS Raw'!$A:$GZ,ROW()-4,$E$4)&amp;"")</f>
        <v/>
      </c>
      <c r="F1125" s="43" t="str">
        <f aca="false">IF(A1125="","",IFERROR(DATEVALUE(INDEX('COOIS Raw'!$A:$GZ,ROW()-4,$F$4)),INDEX('COOIS Raw'!$A:$GZ,ROW()-4,$F$4)))</f>
        <v/>
      </c>
      <c r="G1125" s="41" t="str">
        <f aca="false">IF(A1125="","",IF(ISNA(MATCH(B1125,'Kitting Plan'!$B$6:$B$19,0)),"Not in plan","Yes"))</f>
        <v/>
      </c>
      <c r="H1125" s="41" t="str">
        <f aca="false">IF(G1125="Yes",INDEX('Kitting Plan'!$D$6:$D$19,MATCH(B1125,'Kitting Plan'!$B$6:$B$19,0)),"")</f>
        <v/>
      </c>
      <c r="I1125" s="41" t="str">
        <f aca="false">IF(A1125="","",IF(ISNUMBER(SEARCH("PRT",E1125)),D1125,0))</f>
        <v/>
      </c>
      <c r="J1125" s="41" t="str">
        <f aca="false">IF(A1125="","",IF(ISNUMBER(SEARCH("GMPS",E1125)),D1125,0))</f>
        <v/>
      </c>
      <c r="K1125" s="41" t="str">
        <f aca="false">IF(A1125="","",IF(ISNUMBER(SEARCH("DLV",E1125)),D1125,0))</f>
        <v/>
      </c>
      <c r="L1125" s="41" t="str">
        <f aca="false">IF(A1125="","",IF(K1125&gt;0,"Delivered",IF(ISNUMBER(SEARCH("CNF",E1125)),"In production",IF(J1125&gt;0,"Issued",IF(I1125&gt;0,"Kitted","Released")))))</f>
        <v/>
      </c>
      <c r="M1125" s="41" t="str">
        <f aca="false">IF(G1125&lt;&gt;"Yes","",COUNTIFS($B$6:$B$1505,B1125,$F$6:$F$1505,"&lt;"&amp;F1125)+COUNTIFS($B$6:$B$1505,B1125,$F$6:$F$1505,F1125,$A$6:$A$1505,"&lt;="&amp;A1125))</f>
        <v/>
      </c>
      <c r="N1125" s="41" t="str">
        <f aca="false">IF(M1125="","",ROUNDUP(M1125/H1125,0))</f>
        <v/>
      </c>
      <c r="O1125" s="41" t="str">
        <f aca="false">IF(N1125="","",IF(N1125&lt;='Kitting Plan'!$C$3,"Rep "&amp;N1125,"Surplus"))</f>
        <v/>
      </c>
    </row>
    <row r="1126" customFormat="false" ht="15" hidden="false" customHeight="false" outlineLevel="0" collapsed="false">
      <c r="A1126" s="40" t="str">
        <f aca="false">IF(OR($A$4=0,INDEX('COOIS Raw'!$A:$GZ,ROW()-4,$A$4)=""),"",IFERROR(--INDEX('COOIS Raw'!$A:$GZ,ROW()-4,$A$4),INDEX('COOIS Raw'!$A:$GZ,ROW()-4,$A$4)))</f>
        <v/>
      </c>
      <c r="B1126" s="41" t="str">
        <f aca="false">IF(A1126="","",TRIM(INDEX('COOIS Raw'!$A:$GZ,ROW()-4,$B$4)))</f>
        <v/>
      </c>
      <c r="C1126" s="42" t="str">
        <f aca="false">IF(OR(A1126="",$C$4=0),"",INDEX('COOIS Raw'!$A:$GZ,ROW()-4,$C$4))</f>
        <v/>
      </c>
      <c r="D1126" s="41" t="str">
        <f aca="false">IF(A1126="","",IF($D$4=0,1,IFERROR(--INDEX('COOIS Raw'!$A:$GZ,ROW()-4,$D$4),1)))</f>
        <v/>
      </c>
      <c r="E1126" s="42" t="str">
        <f aca="false">IF(A1126="","",INDEX('COOIS Raw'!$A:$GZ,ROW()-4,$E$4)&amp;"")</f>
        <v/>
      </c>
      <c r="F1126" s="43" t="str">
        <f aca="false">IF(A1126="","",IFERROR(DATEVALUE(INDEX('COOIS Raw'!$A:$GZ,ROW()-4,$F$4)),INDEX('COOIS Raw'!$A:$GZ,ROW()-4,$F$4)))</f>
        <v/>
      </c>
      <c r="G1126" s="41" t="str">
        <f aca="false">IF(A1126="","",IF(ISNA(MATCH(B1126,'Kitting Plan'!$B$6:$B$19,0)),"Not in plan","Yes"))</f>
        <v/>
      </c>
      <c r="H1126" s="41" t="str">
        <f aca="false">IF(G1126="Yes",INDEX('Kitting Plan'!$D$6:$D$19,MATCH(B1126,'Kitting Plan'!$B$6:$B$19,0)),"")</f>
        <v/>
      </c>
      <c r="I1126" s="41" t="str">
        <f aca="false">IF(A1126="","",IF(ISNUMBER(SEARCH("PRT",E1126)),D1126,0))</f>
        <v/>
      </c>
      <c r="J1126" s="41" t="str">
        <f aca="false">IF(A1126="","",IF(ISNUMBER(SEARCH("GMPS",E1126)),D1126,0))</f>
        <v/>
      </c>
      <c r="K1126" s="41" t="str">
        <f aca="false">IF(A1126="","",IF(ISNUMBER(SEARCH("DLV",E1126)),D1126,0))</f>
        <v/>
      </c>
      <c r="L1126" s="41" t="str">
        <f aca="false">IF(A1126="","",IF(K1126&gt;0,"Delivered",IF(ISNUMBER(SEARCH("CNF",E1126)),"In production",IF(J1126&gt;0,"Issued",IF(I1126&gt;0,"Kitted","Released")))))</f>
        <v/>
      </c>
      <c r="M1126" s="41" t="str">
        <f aca="false">IF(G1126&lt;&gt;"Yes","",COUNTIFS($B$6:$B$1505,B1126,$F$6:$F$1505,"&lt;"&amp;F1126)+COUNTIFS($B$6:$B$1505,B1126,$F$6:$F$1505,F1126,$A$6:$A$1505,"&lt;="&amp;A1126))</f>
        <v/>
      </c>
      <c r="N1126" s="41" t="str">
        <f aca="false">IF(M1126="","",ROUNDUP(M1126/H1126,0))</f>
        <v/>
      </c>
      <c r="O1126" s="41" t="str">
        <f aca="false">IF(N1126="","",IF(N1126&lt;='Kitting Plan'!$C$3,"Rep "&amp;N1126,"Surplus"))</f>
        <v/>
      </c>
    </row>
    <row r="1127" customFormat="false" ht="15" hidden="false" customHeight="false" outlineLevel="0" collapsed="false">
      <c r="A1127" s="40" t="str">
        <f aca="false">IF(OR($A$4=0,INDEX('COOIS Raw'!$A:$GZ,ROW()-4,$A$4)=""),"",IFERROR(--INDEX('COOIS Raw'!$A:$GZ,ROW()-4,$A$4),INDEX('COOIS Raw'!$A:$GZ,ROW()-4,$A$4)))</f>
        <v/>
      </c>
      <c r="B1127" s="41" t="str">
        <f aca="false">IF(A1127="","",TRIM(INDEX('COOIS Raw'!$A:$GZ,ROW()-4,$B$4)))</f>
        <v/>
      </c>
      <c r="C1127" s="42" t="str">
        <f aca="false">IF(OR(A1127="",$C$4=0),"",INDEX('COOIS Raw'!$A:$GZ,ROW()-4,$C$4))</f>
        <v/>
      </c>
      <c r="D1127" s="41" t="str">
        <f aca="false">IF(A1127="","",IF($D$4=0,1,IFERROR(--INDEX('COOIS Raw'!$A:$GZ,ROW()-4,$D$4),1)))</f>
        <v/>
      </c>
      <c r="E1127" s="42" t="str">
        <f aca="false">IF(A1127="","",INDEX('COOIS Raw'!$A:$GZ,ROW()-4,$E$4)&amp;"")</f>
        <v/>
      </c>
      <c r="F1127" s="43" t="str">
        <f aca="false">IF(A1127="","",IFERROR(DATEVALUE(INDEX('COOIS Raw'!$A:$GZ,ROW()-4,$F$4)),INDEX('COOIS Raw'!$A:$GZ,ROW()-4,$F$4)))</f>
        <v/>
      </c>
      <c r="G1127" s="41" t="str">
        <f aca="false">IF(A1127="","",IF(ISNA(MATCH(B1127,'Kitting Plan'!$B$6:$B$19,0)),"Not in plan","Yes"))</f>
        <v/>
      </c>
      <c r="H1127" s="41" t="str">
        <f aca="false">IF(G1127="Yes",INDEX('Kitting Plan'!$D$6:$D$19,MATCH(B1127,'Kitting Plan'!$B$6:$B$19,0)),"")</f>
        <v/>
      </c>
      <c r="I1127" s="41" t="str">
        <f aca="false">IF(A1127="","",IF(ISNUMBER(SEARCH("PRT",E1127)),D1127,0))</f>
        <v/>
      </c>
      <c r="J1127" s="41" t="str">
        <f aca="false">IF(A1127="","",IF(ISNUMBER(SEARCH("GMPS",E1127)),D1127,0))</f>
        <v/>
      </c>
      <c r="K1127" s="41" t="str">
        <f aca="false">IF(A1127="","",IF(ISNUMBER(SEARCH("DLV",E1127)),D1127,0))</f>
        <v/>
      </c>
      <c r="L1127" s="41" t="str">
        <f aca="false">IF(A1127="","",IF(K1127&gt;0,"Delivered",IF(ISNUMBER(SEARCH("CNF",E1127)),"In production",IF(J1127&gt;0,"Issued",IF(I1127&gt;0,"Kitted","Released")))))</f>
        <v/>
      </c>
      <c r="M1127" s="41" t="str">
        <f aca="false">IF(G1127&lt;&gt;"Yes","",COUNTIFS($B$6:$B$1505,B1127,$F$6:$F$1505,"&lt;"&amp;F1127)+COUNTIFS($B$6:$B$1505,B1127,$F$6:$F$1505,F1127,$A$6:$A$1505,"&lt;="&amp;A1127))</f>
        <v/>
      </c>
      <c r="N1127" s="41" t="str">
        <f aca="false">IF(M1127="","",ROUNDUP(M1127/H1127,0))</f>
        <v/>
      </c>
      <c r="O1127" s="41" t="str">
        <f aca="false">IF(N1127="","",IF(N1127&lt;='Kitting Plan'!$C$3,"Rep "&amp;N1127,"Surplus"))</f>
        <v/>
      </c>
    </row>
    <row r="1128" customFormat="false" ht="15" hidden="false" customHeight="false" outlineLevel="0" collapsed="false">
      <c r="A1128" s="40" t="str">
        <f aca="false">IF(OR($A$4=0,INDEX('COOIS Raw'!$A:$GZ,ROW()-4,$A$4)=""),"",IFERROR(--INDEX('COOIS Raw'!$A:$GZ,ROW()-4,$A$4),INDEX('COOIS Raw'!$A:$GZ,ROW()-4,$A$4)))</f>
        <v/>
      </c>
      <c r="B1128" s="41" t="str">
        <f aca="false">IF(A1128="","",TRIM(INDEX('COOIS Raw'!$A:$GZ,ROW()-4,$B$4)))</f>
        <v/>
      </c>
      <c r="C1128" s="42" t="str">
        <f aca="false">IF(OR(A1128="",$C$4=0),"",INDEX('COOIS Raw'!$A:$GZ,ROW()-4,$C$4))</f>
        <v/>
      </c>
      <c r="D1128" s="41" t="str">
        <f aca="false">IF(A1128="","",IF($D$4=0,1,IFERROR(--INDEX('COOIS Raw'!$A:$GZ,ROW()-4,$D$4),1)))</f>
        <v/>
      </c>
      <c r="E1128" s="42" t="str">
        <f aca="false">IF(A1128="","",INDEX('COOIS Raw'!$A:$GZ,ROW()-4,$E$4)&amp;"")</f>
        <v/>
      </c>
      <c r="F1128" s="43" t="str">
        <f aca="false">IF(A1128="","",IFERROR(DATEVALUE(INDEX('COOIS Raw'!$A:$GZ,ROW()-4,$F$4)),INDEX('COOIS Raw'!$A:$GZ,ROW()-4,$F$4)))</f>
        <v/>
      </c>
      <c r="G1128" s="41" t="str">
        <f aca="false">IF(A1128="","",IF(ISNA(MATCH(B1128,'Kitting Plan'!$B$6:$B$19,0)),"Not in plan","Yes"))</f>
        <v/>
      </c>
      <c r="H1128" s="41" t="str">
        <f aca="false">IF(G1128="Yes",INDEX('Kitting Plan'!$D$6:$D$19,MATCH(B1128,'Kitting Plan'!$B$6:$B$19,0)),"")</f>
        <v/>
      </c>
      <c r="I1128" s="41" t="str">
        <f aca="false">IF(A1128="","",IF(ISNUMBER(SEARCH("PRT",E1128)),D1128,0))</f>
        <v/>
      </c>
      <c r="J1128" s="41" t="str">
        <f aca="false">IF(A1128="","",IF(ISNUMBER(SEARCH("GMPS",E1128)),D1128,0))</f>
        <v/>
      </c>
      <c r="K1128" s="41" t="str">
        <f aca="false">IF(A1128="","",IF(ISNUMBER(SEARCH("DLV",E1128)),D1128,0))</f>
        <v/>
      </c>
      <c r="L1128" s="41" t="str">
        <f aca="false">IF(A1128="","",IF(K1128&gt;0,"Delivered",IF(ISNUMBER(SEARCH("CNF",E1128)),"In production",IF(J1128&gt;0,"Issued",IF(I1128&gt;0,"Kitted","Released")))))</f>
        <v/>
      </c>
      <c r="M1128" s="41" t="str">
        <f aca="false">IF(G1128&lt;&gt;"Yes","",COUNTIFS($B$6:$B$1505,B1128,$F$6:$F$1505,"&lt;"&amp;F1128)+COUNTIFS($B$6:$B$1505,B1128,$F$6:$F$1505,F1128,$A$6:$A$1505,"&lt;="&amp;A1128))</f>
        <v/>
      </c>
      <c r="N1128" s="41" t="str">
        <f aca="false">IF(M1128="","",ROUNDUP(M1128/H1128,0))</f>
        <v/>
      </c>
      <c r="O1128" s="41" t="str">
        <f aca="false">IF(N1128="","",IF(N1128&lt;='Kitting Plan'!$C$3,"Rep "&amp;N1128,"Surplus"))</f>
        <v/>
      </c>
    </row>
    <row r="1129" customFormat="false" ht="15" hidden="false" customHeight="false" outlineLevel="0" collapsed="false">
      <c r="A1129" s="40" t="str">
        <f aca="false">IF(OR($A$4=0,INDEX('COOIS Raw'!$A:$GZ,ROW()-4,$A$4)=""),"",IFERROR(--INDEX('COOIS Raw'!$A:$GZ,ROW()-4,$A$4),INDEX('COOIS Raw'!$A:$GZ,ROW()-4,$A$4)))</f>
        <v/>
      </c>
      <c r="B1129" s="41" t="str">
        <f aca="false">IF(A1129="","",TRIM(INDEX('COOIS Raw'!$A:$GZ,ROW()-4,$B$4)))</f>
        <v/>
      </c>
      <c r="C1129" s="42" t="str">
        <f aca="false">IF(OR(A1129="",$C$4=0),"",INDEX('COOIS Raw'!$A:$GZ,ROW()-4,$C$4))</f>
        <v/>
      </c>
      <c r="D1129" s="41" t="str">
        <f aca="false">IF(A1129="","",IF($D$4=0,1,IFERROR(--INDEX('COOIS Raw'!$A:$GZ,ROW()-4,$D$4),1)))</f>
        <v/>
      </c>
      <c r="E1129" s="42" t="str">
        <f aca="false">IF(A1129="","",INDEX('COOIS Raw'!$A:$GZ,ROW()-4,$E$4)&amp;"")</f>
        <v/>
      </c>
      <c r="F1129" s="43" t="str">
        <f aca="false">IF(A1129="","",IFERROR(DATEVALUE(INDEX('COOIS Raw'!$A:$GZ,ROW()-4,$F$4)),INDEX('COOIS Raw'!$A:$GZ,ROW()-4,$F$4)))</f>
        <v/>
      </c>
      <c r="G1129" s="41" t="str">
        <f aca="false">IF(A1129="","",IF(ISNA(MATCH(B1129,'Kitting Plan'!$B$6:$B$19,0)),"Not in plan","Yes"))</f>
        <v/>
      </c>
      <c r="H1129" s="41" t="str">
        <f aca="false">IF(G1129="Yes",INDEX('Kitting Plan'!$D$6:$D$19,MATCH(B1129,'Kitting Plan'!$B$6:$B$19,0)),"")</f>
        <v/>
      </c>
      <c r="I1129" s="41" t="str">
        <f aca="false">IF(A1129="","",IF(ISNUMBER(SEARCH("PRT",E1129)),D1129,0))</f>
        <v/>
      </c>
      <c r="J1129" s="41" t="str">
        <f aca="false">IF(A1129="","",IF(ISNUMBER(SEARCH("GMPS",E1129)),D1129,0))</f>
        <v/>
      </c>
      <c r="K1129" s="41" t="str">
        <f aca="false">IF(A1129="","",IF(ISNUMBER(SEARCH("DLV",E1129)),D1129,0))</f>
        <v/>
      </c>
      <c r="L1129" s="41" t="str">
        <f aca="false">IF(A1129="","",IF(K1129&gt;0,"Delivered",IF(ISNUMBER(SEARCH("CNF",E1129)),"In production",IF(J1129&gt;0,"Issued",IF(I1129&gt;0,"Kitted","Released")))))</f>
        <v/>
      </c>
      <c r="M1129" s="41" t="str">
        <f aca="false">IF(G1129&lt;&gt;"Yes","",COUNTIFS($B$6:$B$1505,B1129,$F$6:$F$1505,"&lt;"&amp;F1129)+COUNTIFS($B$6:$B$1505,B1129,$F$6:$F$1505,F1129,$A$6:$A$1505,"&lt;="&amp;A1129))</f>
        <v/>
      </c>
      <c r="N1129" s="41" t="str">
        <f aca="false">IF(M1129="","",ROUNDUP(M1129/H1129,0))</f>
        <v/>
      </c>
      <c r="O1129" s="41" t="str">
        <f aca="false">IF(N1129="","",IF(N1129&lt;='Kitting Plan'!$C$3,"Rep "&amp;N1129,"Surplus"))</f>
        <v/>
      </c>
    </row>
    <row r="1130" customFormat="false" ht="15" hidden="false" customHeight="false" outlineLevel="0" collapsed="false">
      <c r="A1130" s="40" t="str">
        <f aca="false">IF(OR($A$4=0,INDEX('COOIS Raw'!$A:$GZ,ROW()-4,$A$4)=""),"",IFERROR(--INDEX('COOIS Raw'!$A:$GZ,ROW()-4,$A$4),INDEX('COOIS Raw'!$A:$GZ,ROW()-4,$A$4)))</f>
        <v/>
      </c>
      <c r="B1130" s="41" t="str">
        <f aca="false">IF(A1130="","",TRIM(INDEX('COOIS Raw'!$A:$GZ,ROW()-4,$B$4)))</f>
        <v/>
      </c>
      <c r="C1130" s="42" t="str">
        <f aca="false">IF(OR(A1130="",$C$4=0),"",INDEX('COOIS Raw'!$A:$GZ,ROW()-4,$C$4))</f>
        <v/>
      </c>
      <c r="D1130" s="41" t="str">
        <f aca="false">IF(A1130="","",IF($D$4=0,1,IFERROR(--INDEX('COOIS Raw'!$A:$GZ,ROW()-4,$D$4),1)))</f>
        <v/>
      </c>
      <c r="E1130" s="42" t="str">
        <f aca="false">IF(A1130="","",INDEX('COOIS Raw'!$A:$GZ,ROW()-4,$E$4)&amp;"")</f>
        <v/>
      </c>
      <c r="F1130" s="43" t="str">
        <f aca="false">IF(A1130="","",IFERROR(DATEVALUE(INDEX('COOIS Raw'!$A:$GZ,ROW()-4,$F$4)),INDEX('COOIS Raw'!$A:$GZ,ROW()-4,$F$4)))</f>
        <v/>
      </c>
      <c r="G1130" s="41" t="str">
        <f aca="false">IF(A1130="","",IF(ISNA(MATCH(B1130,'Kitting Plan'!$B$6:$B$19,0)),"Not in plan","Yes"))</f>
        <v/>
      </c>
      <c r="H1130" s="41" t="str">
        <f aca="false">IF(G1130="Yes",INDEX('Kitting Plan'!$D$6:$D$19,MATCH(B1130,'Kitting Plan'!$B$6:$B$19,0)),"")</f>
        <v/>
      </c>
      <c r="I1130" s="41" t="str">
        <f aca="false">IF(A1130="","",IF(ISNUMBER(SEARCH("PRT",E1130)),D1130,0))</f>
        <v/>
      </c>
      <c r="J1130" s="41" t="str">
        <f aca="false">IF(A1130="","",IF(ISNUMBER(SEARCH("GMPS",E1130)),D1130,0))</f>
        <v/>
      </c>
      <c r="K1130" s="41" t="str">
        <f aca="false">IF(A1130="","",IF(ISNUMBER(SEARCH("DLV",E1130)),D1130,0))</f>
        <v/>
      </c>
      <c r="L1130" s="41" t="str">
        <f aca="false">IF(A1130="","",IF(K1130&gt;0,"Delivered",IF(ISNUMBER(SEARCH("CNF",E1130)),"In production",IF(J1130&gt;0,"Issued",IF(I1130&gt;0,"Kitted","Released")))))</f>
        <v/>
      </c>
      <c r="M1130" s="41" t="str">
        <f aca="false">IF(G1130&lt;&gt;"Yes","",COUNTIFS($B$6:$B$1505,B1130,$F$6:$F$1505,"&lt;"&amp;F1130)+COUNTIFS($B$6:$B$1505,B1130,$F$6:$F$1505,F1130,$A$6:$A$1505,"&lt;="&amp;A1130))</f>
        <v/>
      </c>
      <c r="N1130" s="41" t="str">
        <f aca="false">IF(M1130="","",ROUNDUP(M1130/H1130,0))</f>
        <v/>
      </c>
      <c r="O1130" s="41" t="str">
        <f aca="false">IF(N1130="","",IF(N1130&lt;='Kitting Plan'!$C$3,"Rep "&amp;N1130,"Surplus"))</f>
        <v/>
      </c>
    </row>
    <row r="1131" customFormat="false" ht="15" hidden="false" customHeight="false" outlineLevel="0" collapsed="false">
      <c r="A1131" s="40" t="str">
        <f aca="false">IF(OR($A$4=0,INDEX('COOIS Raw'!$A:$GZ,ROW()-4,$A$4)=""),"",IFERROR(--INDEX('COOIS Raw'!$A:$GZ,ROW()-4,$A$4),INDEX('COOIS Raw'!$A:$GZ,ROW()-4,$A$4)))</f>
        <v/>
      </c>
      <c r="B1131" s="41" t="str">
        <f aca="false">IF(A1131="","",TRIM(INDEX('COOIS Raw'!$A:$GZ,ROW()-4,$B$4)))</f>
        <v/>
      </c>
      <c r="C1131" s="42" t="str">
        <f aca="false">IF(OR(A1131="",$C$4=0),"",INDEX('COOIS Raw'!$A:$GZ,ROW()-4,$C$4))</f>
        <v/>
      </c>
      <c r="D1131" s="41" t="str">
        <f aca="false">IF(A1131="","",IF($D$4=0,1,IFERROR(--INDEX('COOIS Raw'!$A:$GZ,ROW()-4,$D$4),1)))</f>
        <v/>
      </c>
      <c r="E1131" s="42" t="str">
        <f aca="false">IF(A1131="","",INDEX('COOIS Raw'!$A:$GZ,ROW()-4,$E$4)&amp;"")</f>
        <v/>
      </c>
      <c r="F1131" s="43" t="str">
        <f aca="false">IF(A1131="","",IFERROR(DATEVALUE(INDEX('COOIS Raw'!$A:$GZ,ROW()-4,$F$4)),INDEX('COOIS Raw'!$A:$GZ,ROW()-4,$F$4)))</f>
        <v/>
      </c>
      <c r="G1131" s="41" t="str">
        <f aca="false">IF(A1131="","",IF(ISNA(MATCH(B1131,'Kitting Plan'!$B$6:$B$19,0)),"Not in plan","Yes"))</f>
        <v/>
      </c>
      <c r="H1131" s="41" t="str">
        <f aca="false">IF(G1131="Yes",INDEX('Kitting Plan'!$D$6:$D$19,MATCH(B1131,'Kitting Plan'!$B$6:$B$19,0)),"")</f>
        <v/>
      </c>
      <c r="I1131" s="41" t="str">
        <f aca="false">IF(A1131="","",IF(ISNUMBER(SEARCH("PRT",E1131)),D1131,0))</f>
        <v/>
      </c>
      <c r="J1131" s="41" t="str">
        <f aca="false">IF(A1131="","",IF(ISNUMBER(SEARCH("GMPS",E1131)),D1131,0))</f>
        <v/>
      </c>
      <c r="K1131" s="41" t="str">
        <f aca="false">IF(A1131="","",IF(ISNUMBER(SEARCH("DLV",E1131)),D1131,0))</f>
        <v/>
      </c>
      <c r="L1131" s="41" t="str">
        <f aca="false">IF(A1131="","",IF(K1131&gt;0,"Delivered",IF(ISNUMBER(SEARCH("CNF",E1131)),"In production",IF(J1131&gt;0,"Issued",IF(I1131&gt;0,"Kitted","Released")))))</f>
        <v/>
      </c>
      <c r="M1131" s="41" t="str">
        <f aca="false">IF(G1131&lt;&gt;"Yes","",COUNTIFS($B$6:$B$1505,B1131,$F$6:$F$1505,"&lt;"&amp;F1131)+COUNTIFS($B$6:$B$1505,B1131,$F$6:$F$1505,F1131,$A$6:$A$1505,"&lt;="&amp;A1131))</f>
        <v/>
      </c>
      <c r="N1131" s="41" t="str">
        <f aca="false">IF(M1131="","",ROUNDUP(M1131/H1131,0))</f>
        <v/>
      </c>
      <c r="O1131" s="41" t="str">
        <f aca="false">IF(N1131="","",IF(N1131&lt;='Kitting Plan'!$C$3,"Rep "&amp;N1131,"Surplus"))</f>
        <v/>
      </c>
    </row>
    <row r="1132" customFormat="false" ht="15" hidden="false" customHeight="false" outlineLevel="0" collapsed="false">
      <c r="A1132" s="40" t="str">
        <f aca="false">IF(OR($A$4=0,INDEX('COOIS Raw'!$A:$GZ,ROW()-4,$A$4)=""),"",IFERROR(--INDEX('COOIS Raw'!$A:$GZ,ROW()-4,$A$4),INDEX('COOIS Raw'!$A:$GZ,ROW()-4,$A$4)))</f>
        <v/>
      </c>
      <c r="B1132" s="41" t="str">
        <f aca="false">IF(A1132="","",TRIM(INDEX('COOIS Raw'!$A:$GZ,ROW()-4,$B$4)))</f>
        <v/>
      </c>
      <c r="C1132" s="42" t="str">
        <f aca="false">IF(OR(A1132="",$C$4=0),"",INDEX('COOIS Raw'!$A:$GZ,ROW()-4,$C$4))</f>
        <v/>
      </c>
      <c r="D1132" s="41" t="str">
        <f aca="false">IF(A1132="","",IF($D$4=0,1,IFERROR(--INDEX('COOIS Raw'!$A:$GZ,ROW()-4,$D$4),1)))</f>
        <v/>
      </c>
      <c r="E1132" s="42" t="str">
        <f aca="false">IF(A1132="","",INDEX('COOIS Raw'!$A:$GZ,ROW()-4,$E$4)&amp;"")</f>
        <v/>
      </c>
      <c r="F1132" s="43" t="str">
        <f aca="false">IF(A1132="","",IFERROR(DATEVALUE(INDEX('COOIS Raw'!$A:$GZ,ROW()-4,$F$4)),INDEX('COOIS Raw'!$A:$GZ,ROW()-4,$F$4)))</f>
        <v/>
      </c>
      <c r="G1132" s="41" t="str">
        <f aca="false">IF(A1132="","",IF(ISNA(MATCH(B1132,'Kitting Plan'!$B$6:$B$19,0)),"Not in plan","Yes"))</f>
        <v/>
      </c>
      <c r="H1132" s="41" t="str">
        <f aca="false">IF(G1132="Yes",INDEX('Kitting Plan'!$D$6:$D$19,MATCH(B1132,'Kitting Plan'!$B$6:$B$19,0)),"")</f>
        <v/>
      </c>
      <c r="I1132" s="41" t="str">
        <f aca="false">IF(A1132="","",IF(ISNUMBER(SEARCH("PRT",E1132)),D1132,0))</f>
        <v/>
      </c>
      <c r="J1132" s="41" t="str">
        <f aca="false">IF(A1132="","",IF(ISNUMBER(SEARCH("GMPS",E1132)),D1132,0))</f>
        <v/>
      </c>
      <c r="K1132" s="41" t="str">
        <f aca="false">IF(A1132="","",IF(ISNUMBER(SEARCH("DLV",E1132)),D1132,0))</f>
        <v/>
      </c>
      <c r="L1132" s="41" t="str">
        <f aca="false">IF(A1132="","",IF(K1132&gt;0,"Delivered",IF(ISNUMBER(SEARCH("CNF",E1132)),"In production",IF(J1132&gt;0,"Issued",IF(I1132&gt;0,"Kitted","Released")))))</f>
        <v/>
      </c>
      <c r="M1132" s="41" t="str">
        <f aca="false">IF(G1132&lt;&gt;"Yes","",COUNTIFS($B$6:$B$1505,B1132,$F$6:$F$1505,"&lt;"&amp;F1132)+COUNTIFS($B$6:$B$1505,B1132,$F$6:$F$1505,F1132,$A$6:$A$1505,"&lt;="&amp;A1132))</f>
        <v/>
      </c>
      <c r="N1132" s="41" t="str">
        <f aca="false">IF(M1132="","",ROUNDUP(M1132/H1132,0))</f>
        <v/>
      </c>
      <c r="O1132" s="41" t="str">
        <f aca="false">IF(N1132="","",IF(N1132&lt;='Kitting Plan'!$C$3,"Rep "&amp;N1132,"Surplus"))</f>
        <v/>
      </c>
    </row>
    <row r="1133" customFormat="false" ht="15" hidden="false" customHeight="false" outlineLevel="0" collapsed="false">
      <c r="A1133" s="40" t="str">
        <f aca="false">IF(OR($A$4=0,INDEX('COOIS Raw'!$A:$GZ,ROW()-4,$A$4)=""),"",IFERROR(--INDEX('COOIS Raw'!$A:$GZ,ROW()-4,$A$4),INDEX('COOIS Raw'!$A:$GZ,ROW()-4,$A$4)))</f>
        <v/>
      </c>
      <c r="B1133" s="41" t="str">
        <f aca="false">IF(A1133="","",TRIM(INDEX('COOIS Raw'!$A:$GZ,ROW()-4,$B$4)))</f>
        <v/>
      </c>
      <c r="C1133" s="42" t="str">
        <f aca="false">IF(OR(A1133="",$C$4=0),"",INDEX('COOIS Raw'!$A:$GZ,ROW()-4,$C$4))</f>
        <v/>
      </c>
      <c r="D1133" s="41" t="str">
        <f aca="false">IF(A1133="","",IF($D$4=0,1,IFERROR(--INDEX('COOIS Raw'!$A:$GZ,ROW()-4,$D$4),1)))</f>
        <v/>
      </c>
      <c r="E1133" s="42" t="str">
        <f aca="false">IF(A1133="","",INDEX('COOIS Raw'!$A:$GZ,ROW()-4,$E$4)&amp;"")</f>
        <v/>
      </c>
      <c r="F1133" s="43" t="str">
        <f aca="false">IF(A1133="","",IFERROR(DATEVALUE(INDEX('COOIS Raw'!$A:$GZ,ROW()-4,$F$4)),INDEX('COOIS Raw'!$A:$GZ,ROW()-4,$F$4)))</f>
        <v/>
      </c>
      <c r="G1133" s="41" t="str">
        <f aca="false">IF(A1133="","",IF(ISNA(MATCH(B1133,'Kitting Plan'!$B$6:$B$19,0)),"Not in plan","Yes"))</f>
        <v/>
      </c>
      <c r="H1133" s="41" t="str">
        <f aca="false">IF(G1133="Yes",INDEX('Kitting Plan'!$D$6:$D$19,MATCH(B1133,'Kitting Plan'!$B$6:$B$19,0)),"")</f>
        <v/>
      </c>
      <c r="I1133" s="41" t="str">
        <f aca="false">IF(A1133="","",IF(ISNUMBER(SEARCH("PRT",E1133)),D1133,0))</f>
        <v/>
      </c>
      <c r="J1133" s="41" t="str">
        <f aca="false">IF(A1133="","",IF(ISNUMBER(SEARCH("GMPS",E1133)),D1133,0))</f>
        <v/>
      </c>
      <c r="K1133" s="41" t="str">
        <f aca="false">IF(A1133="","",IF(ISNUMBER(SEARCH("DLV",E1133)),D1133,0))</f>
        <v/>
      </c>
      <c r="L1133" s="41" t="str">
        <f aca="false">IF(A1133="","",IF(K1133&gt;0,"Delivered",IF(ISNUMBER(SEARCH("CNF",E1133)),"In production",IF(J1133&gt;0,"Issued",IF(I1133&gt;0,"Kitted","Released")))))</f>
        <v/>
      </c>
      <c r="M1133" s="41" t="str">
        <f aca="false">IF(G1133&lt;&gt;"Yes","",COUNTIFS($B$6:$B$1505,B1133,$F$6:$F$1505,"&lt;"&amp;F1133)+COUNTIFS($B$6:$B$1505,B1133,$F$6:$F$1505,F1133,$A$6:$A$1505,"&lt;="&amp;A1133))</f>
        <v/>
      </c>
      <c r="N1133" s="41" t="str">
        <f aca="false">IF(M1133="","",ROUNDUP(M1133/H1133,0))</f>
        <v/>
      </c>
      <c r="O1133" s="41" t="str">
        <f aca="false">IF(N1133="","",IF(N1133&lt;='Kitting Plan'!$C$3,"Rep "&amp;N1133,"Surplus"))</f>
        <v/>
      </c>
    </row>
    <row r="1134" customFormat="false" ht="15" hidden="false" customHeight="false" outlineLevel="0" collapsed="false">
      <c r="A1134" s="40" t="str">
        <f aca="false">IF(OR($A$4=0,INDEX('COOIS Raw'!$A:$GZ,ROW()-4,$A$4)=""),"",IFERROR(--INDEX('COOIS Raw'!$A:$GZ,ROW()-4,$A$4),INDEX('COOIS Raw'!$A:$GZ,ROW()-4,$A$4)))</f>
        <v/>
      </c>
      <c r="B1134" s="41" t="str">
        <f aca="false">IF(A1134="","",TRIM(INDEX('COOIS Raw'!$A:$GZ,ROW()-4,$B$4)))</f>
        <v/>
      </c>
      <c r="C1134" s="42" t="str">
        <f aca="false">IF(OR(A1134="",$C$4=0),"",INDEX('COOIS Raw'!$A:$GZ,ROW()-4,$C$4))</f>
        <v/>
      </c>
      <c r="D1134" s="41" t="str">
        <f aca="false">IF(A1134="","",IF($D$4=0,1,IFERROR(--INDEX('COOIS Raw'!$A:$GZ,ROW()-4,$D$4),1)))</f>
        <v/>
      </c>
      <c r="E1134" s="42" t="str">
        <f aca="false">IF(A1134="","",INDEX('COOIS Raw'!$A:$GZ,ROW()-4,$E$4)&amp;"")</f>
        <v/>
      </c>
      <c r="F1134" s="43" t="str">
        <f aca="false">IF(A1134="","",IFERROR(DATEVALUE(INDEX('COOIS Raw'!$A:$GZ,ROW()-4,$F$4)),INDEX('COOIS Raw'!$A:$GZ,ROW()-4,$F$4)))</f>
        <v/>
      </c>
      <c r="G1134" s="41" t="str">
        <f aca="false">IF(A1134="","",IF(ISNA(MATCH(B1134,'Kitting Plan'!$B$6:$B$19,0)),"Not in plan","Yes"))</f>
        <v/>
      </c>
      <c r="H1134" s="41" t="str">
        <f aca="false">IF(G1134="Yes",INDEX('Kitting Plan'!$D$6:$D$19,MATCH(B1134,'Kitting Plan'!$B$6:$B$19,0)),"")</f>
        <v/>
      </c>
      <c r="I1134" s="41" t="str">
        <f aca="false">IF(A1134="","",IF(ISNUMBER(SEARCH("PRT",E1134)),D1134,0))</f>
        <v/>
      </c>
      <c r="J1134" s="41" t="str">
        <f aca="false">IF(A1134="","",IF(ISNUMBER(SEARCH("GMPS",E1134)),D1134,0))</f>
        <v/>
      </c>
      <c r="K1134" s="41" t="str">
        <f aca="false">IF(A1134="","",IF(ISNUMBER(SEARCH("DLV",E1134)),D1134,0))</f>
        <v/>
      </c>
      <c r="L1134" s="41" t="str">
        <f aca="false">IF(A1134="","",IF(K1134&gt;0,"Delivered",IF(ISNUMBER(SEARCH("CNF",E1134)),"In production",IF(J1134&gt;0,"Issued",IF(I1134&gt;0,"Kitted","Released")))))</f>
        <v/>
      </c>
      <c r="M1134" s="41" t="str">
        <f aca="false">IF(G1134&lt;&gt;"Yes","",COUNTIFS($B$6:$B$1505,B1134,$F$6:$F$1505,"&lt;"&amp;F1134)+COUNTIFS($B$6:$B$1505,B1134,$F$6:$F$1505,F1134,$A$6:$A$1505,"&lt;="&amp;A1134))</f>
        <v/>
      </c>
      <c r="N1134" s="41" t="str">
        <f aca="false">IF(M1134="","",ROUNDUP(M1134/H1134,0))</f>
        <v/>
      </c>
      <c r="O1134" s="41" t="str">
        <f aca="false">IF(N1134="","",IF(N1134&lt;='Kitting Plan'!$C$3,"Rep "&amp;N1134,"Surplus"))</f>
        <v/>
      </c>
    </row>
    <row r="1135" customFormat="false" ht="15" hidden="false" customHeight="false" outlineLevel="0" collapsed="false">
      <c r="A1135" s="40" t="str">
        <f aca="false">IF(OR($A$4=0,INDEX('COOIS Raw'!$A:$GZ,ROW()-4,$A$4)=""),"",IFERROR(--INDEX('COOIS Raw'!$A:$GZ,ROW()-4,$A$4),INDEX('COOIS Raw'!$A:$GZ,ROW()-4,$A$4)))</f>
        <v/>
      </c>
      <c r="B1135" s="41" t="str">
        <f aca="false">IF(A1135="","",TRIM(INDEX('COOIS Raw'!$A:$GZ,ROW()-4,$B$4)))</f>
        <v/>
      </c>
      <c r="C1135" s="42" t="str">
        <f aca="false">IF(OR(A1135="",$C$4=0),"",INDEX('COOIS Raw'!$A:$GZ,ROW()-4,$C$4))</f>
        <v/>
      </c>
      <c r="D1135" s="41" t="str">
        <f aca="false">IF(A1135="","",IF($D$4=0,1,IFERROR(--INDEX('COOIS Raw'!$A:$GZ,ROW()-4,$D$4),1)))</f>
        <v/>
      </c>
      <c r="E1135" s="42" t="str">
        <f aca="false">IF(A1135="","",INDEX('COOIS Raw'!$A:$GZ,ROW()-4,$E$4)&amp;"")</f>
        <v/>
      </c>
      <c r="F1135" s="43" t="str">
        <f aca="false">IF(A1135="","",IFERROR(DATEVALUE(INDEX('COOIS Raw'!$A:$GZ,ROW()-4,$F$4)),INDEX('COOIS Raw'!$A:$GZ,ROW()-4,$F$4)))</f>
        <v/>
      </c>
      <c r="G1135" s="41" t="str">
        <f aca="false">IF(A1135="","",IF(ISNA(MATCH(B1135,'Kitting Plan'!$B$6:$B$19,0)),"Not in plan","Yes"))</f>
        <v/>
      </c>
      <c r="H1135" s="41" t="str">
        <f aca="false">IF(G1135="Yes",INDEX('Kitting Plan'!$D$6:$D$19,MATCH(B1135,'Kitting Plan'!$B$6:$B$19,0)),"")</f>
        <v/>
      </c>
      <c r="I1135" s="41" t="str">
        <f aca="false">IF(A1135="","",IF(ISNUMBER(SEARCH("PRT",E1135)),D1135,0))</f>
        <v/>
      </c>
      <c r="J1135" s="41" t="str">
        <f aca="false">IF(A1135="","",IF(ISNUMBER(SEARCH("GMPS",E1135)),D1135,0))</f>
        <v/>
      </c>
      <c r="K1135" s="41" t="str">
        <f aca="false">IF(A1135="","",IF(ISNUMBER(SEARCH("DLV",E1135)),D1135,0))</f>
        <v/>
      </c>
      <c r="L1135" s="41" t="str">
        <f aca="false">IF(A1135="","",IF(K1135&gt;0,"Delivered",IF(ISNUMBER(SEARCH("CNF",E1135)),"In production",IF(J1135&gt;0,"Issued",IF(I1135&gt;0,"Kitted","Released")))))</f>
        <v/>
      </c>
      <c r="M1135" s="41" t="str">
        <f aca="false">IF(G1135&lt;&gt;"Yes","",COUNTIFS($B$6:$B$1505,B1135,$F$6:$F$1505,"&lt;"&amp;F1135)+COUNTIFS($B$6:$B$1505,B1135,$F$6:$F$1505,F1135,$A$6:$A$1505,"&lt;="&amp;A1135))</f>
        <v/>
      </c>
      <c r="N1135" s="41" t="str">
        <f aca="false">IF(M1135="","",ROUNDUP(M1135/H1135,0))</f>
        <v/>
      </c>
      <c r="O1135" s="41" t="str">
        <f aca="false">IF(N1135="","",IF(N1135&lt;='Kitting Plan'!$C$3,"Rep "&amp;N1135,"Surplus"))</f>
        <v/>
      </c>
    </row>
    <row r="1136" customFormat="false" ht="15" hidden="false" customHeight="false" outlineLevel="0" collapsed="false">
      <c r="A1136" s="40" t="str">
        <f aca="false">IF(OR($A$4=0,INDEX('COOIS Raw'!$A:$GZ,ROW()-4,$A$4)=""),"",IFERROR(--INDEX('COOIS Raw'!$A:$GZ,ROW()-4,$A$4),INDEX('COOIS Raw'!$A:$GZ,ROW()-4,$A$4)))</f>
        <v/>
      </c>
      <c r="B1136" s="41" t="str">
        <f aca="false">IF(A1136="","",TRIM(INDEX('COOIS Raw'!$A:$GZ,ROW()-4,$B$4)))</f>
        <v/>
      </c>
      <c r="C1136" s="42" t="str">
        <f aca="false">IF(OR(A1136="",$C$4=0),"",INDEX('COOIS Raw'!$A:$GZ,ROW()-4,$C$4))</f>
        <v/>
      </c>
      <c r="D1136" s="41" t="str">
        <f aca="false">IF(A1136="","",IF($D$4=0,1,IFERROR(--INDEX('COOIS Raw'!$A:$GZ,ROW()-4,$D$4),1)))</f>
        <v/>
      </c>
      <c r="E1136" s="42" t="str">
        <f aca="false">IF(A1136="","",INDEX('COOIS Raw'!$A:$GZ,ROW()-4,$E$4)&amp;"")</f>
        <v/>
      </c>
      <c r="F1136" s="43" t="str">
        <f aca="false">IF(A1136="","",IFERROR(DATEVALUE(INDEX('COOIS Raw'!$A:$GZ,ROW()-4,$F$4)),INDEX('COOIS Raw'!$A:$GZ,ROW()-4,$F$4)))</f>
        <v/>
      </c>
      <c r="G1136" s="41" t="str">
        <f aca="false">IF(A1136="","",IF(ISNA(MATCH(B1136,'Kitting Plan'!$B$6:$B$19,0)),"Not in plan","Yes"))</f>
        <v/>
      </c>
      <c r="H1136" s="41" t="str">
        <f aca="false">IF(G1136="Yes",INDEX('Kitting Plan'!$D$6:$D$19,MATCH(B1136,'Kitting Plan'!$B$6:$B$19,0)),"")</f>
        <v/>
      </c>
      <c r="I1136" s="41" t="str">
        <f aca="false">IF(A1136="","",IF(ISNUMBER(SEARCH("PRT",E1136)),D1136,0))</f>
        <v/>
      </c>
      <c r="J1136" s="41" t="str">
        <f aca="false">IF(A1136="","",IF(ISNUMBER(SEARCH("GMPS",E1136)),D1136,0))</f>
        <v/>
      </c>
      <c r="K1136" s="41" t="str">
        <f aca="false">IF(A1136="","",IF(ISNUMBER(SEARCH("DLV",E1136)),D1136,0))</f>
        <v/>
      </c>
      <c r="L1136" s="41" t="str">
        <f aca="false">IF(A1136="","",IF(K1136&gt;0,"Delivered",IF(ISNUMBER(SEARCH("CNF",E1136)),"In production",IF(J1136&gt;0,"Issued",IF(I1136&gt;0,"Kitted","Released")))))</f>
        <v/>
      </c>
      <c r="M1136" s="41" t="str">
        <f aca="false">IF(G1136&lt;&gt;"Yes","",COUNTIFS($B$6:$B$1505,B1136,$F$6:$F$1505,"&lt;"&amp;F1136)+COUNTIFS($B$6:$B$1505,B1136,$F$6:$F$1505,F1136,$A$6:$A$1505,"&lt;="&amp;A1136))</f>
        <v/>
      </c>
      <c r="N1136" s="41" t="str">
        <f aca="false">IF(M1136="","",ROUNDUP(M1136/H1136,0))</f>
        <v/>
      </c>
      <c r="O1136" s="41" t="str">
        <f aca="false">IF(N1136="","",IF(N1136&lt;='Kitting Plan'!$C$3,"Rep "&amp;N1136,"Surplus"))</f>
        <v/>
      </c>
    </row>
    <row r="1137" customFormat="false" ht="15" hidden="false" customHeight="false" outlineLevel="0" collapsed="false">
      <c r="A1137" s="40" t="str">
        <f aca="false">IF(OR($A$4=0,INDEX('COOIS Raw'!$A:$GZ,ROW()-4,$A$4)=""),"",IFERROR(--INDEX('COOIS Raw'!$A:$GZ,ROW()-4,$A$4),INDEX('COOIS Raw'!$A:$GZ,ROW()-4,$A$4)))</f>
        <v/>
      </c>
      <c r="B1137" s="41" t="str">
        <f aca="false">IF(A1137="","",TRIM(INDEX('COOIS Raw'!$A:$GZ,ROW()-4,$B$4)))</f>
        <v/>
      </c>
      <c r="C1137" s="42" t="str">
        <f aca="false">IF(OR(A1137="",$C$4=0),"",INDEX('COOIS Raw'!$A:$GZ,ROW()-4,$C$4))</f>
        <v/>
      </c>
      <c r="D1137" s="41" t="str">
        <f aca="false">IF(A1137="","",IF($D$4=0,1,IFERROR(--INDEX('COOIS Raw'!$A:$GZ,ROW()-4,$D$4),1)))</f>
        <v/>
      </c>
      <c r="E1137" s="42" t="str">
        <f aca="false">IF(A1137="","",INDEX('COOIS Raw'!$A:$GZ,ROW()-4,$E$4)&amp;"")</f>
        <v/>
      </c>
      <c r="F1137" s="43" t="str">
        <f aca="false">IF(A1137="","",IFERROR(DATEVALUE(INDEX('COOIS Raw'!$A:$GZ,ROW()-4,$F$4)),INDEX('COOIS Raw'!$A:$GZ,ROW()-4,$F$4)))</f>
        <v/>
      </c>
      <c r="G1137" s="41" t="str">
        <f aca="false">IF(A1137="","",IF(ISNA(MATCH(B1137,'Kitting Plan'!$B$6:$B$19,0)),"Not in plan","Yes"))</f>
        <v/>
      </c>
      <c r="H1137" s="41" t="str">
        <f aca="false">IF(G1137="Yes",INDEX('Kitting Plan'!$D$6:$D$19,MATCH(B1137,'Kitting Plan'!$B$6:$B$19,0)),"")</f>
        <v/>
      </c>
      <c r="I1137" s="41" t="str">
        <f aca="false">IF(A1137="","",IF(ISNUMBER(SEARCH("PRT",E1137)),D1137,0))</f>
        <v/>
      </c>
      <c r="J1137" s="41" t="str">
        <f aca="false">IF(A1137="","",IF(ISNUMBER(SEARCH("GMPS",E1137)),D1137,0))</f>
        <v/>
      </c>
      <c r="K1137" s="41" t="str">
        <f aca="false">IF(A1137="","",IF(ISNUMBER(SEARCH("DLV",E1137)),D1137,0))</f>
        <v/>
      </c>
      <c r="L1137" s="41" t="str">
        <f aca="false">IF(A1137="","",IF(K1137&gt;0,"Delivered",IF(ISNUMBER(SEARCH("CNF",E1137)),"In production",IF(J1137&gt;0,"Issued",IF(I1137&gt;0,"Kitted","Released")))))</f>
        <v/>
      </c>
      <c r="M1137" s="41" t="str">
        <f aca="false">IF(G1137&lt;&gt;"Yes","",COUNTIFS($B$6:$B$1505,B1137,$F$6:$F$1505,"&lt;"&amp;F1137)+COUNTIFS($B$6:$B$1505,B1137,$F$6:$F$1505,F1137,$A$6:$A$1505,"&lt;="&amp;A1137))</f>
        <v/>
      </c>
      <c r="N1137" s="41" t="str">
        <f aca="false">IF(M1137="","",ROUNDUP(M1137/H1137,0))</f>
        <v/>
      </c>
      <c r="O1137" s="41" t="str">
        <f aca="false">IF(N1137="","",IF(N1137&lt;='Kitting Plan'!$C$3,"Rep "&amp;N1137,"Surplus"))</f>
        <v/>
      </c>
    </row>
    <row r="1138" customFormat="false" ht="15" hidden="false" customHeight="false" outlineLevel="0" collapsed="false">
      <c r="A1138" s="40" t="str">
        <f aca="false">IF(OR($A$4=0,INDEX('COOIS Raw'!$A:$GZ,ROW()-4,$A$4)=""),"",IFERROR(--INDEX('COOIS Raw'!$A:$GZ,ROW()-4,$A$4),INDEX('COOIS Raw'!$A:$GZ,ROW()-4,$A$4)))</f>
        <v/>
      </c>
      <c r="B1138" s="41" t="str">
        <f aca="false">IF(A1138="","",TRIM(INDEX('COOIS Raw'!$A:$GZ,ROW()-4,$B$4)))</f>
        <v/>
      </c>
      <c r="C1138" s="42" t="str">
        <f aca="false">IF(OR(A1138="",$C$4=0),"",INDEX('COOIS Raw'!$A:$GZ,ROW()-4,$C$4))</f>
        <v/>
      </c>
      <c r="D1138" s="41" t="str">
        <f aca="false">IF(A1138="","",IF($D$4=0,1,IFERROR(--INDEX('COOIS Raw'!$A:$GZ,ROW()-4,$D$4),1)))</f>
        <v/>
      </c>
      <c r="E1138" s="42" t="str">
        <f aca="false">IF(A1138="","",INDEX('COOIS Raw'!$A:$GZ,ROW()-4,$E$4)&amp;"")</f>
        <v/>
      </c>
      <c r="F1138" s="43" t="str">
        <f aca="false">IF(A1138="","",IFERROR(DATEVALUE(INDEX('COOIS Raw'!$A:$GZ,ROW()-4,$F$4)),INDEX('COOIS Raw'!$A:$GZ,ROW()-4,$F$4)))</f>
        <v/>
      </c>
      <c r="G1138" s="41" t="str">
        <f aca="false">IF(A1138="","",IF(ISNA(MATCH(B1138,'Kitting Plan'!$B$6:$B$19,0)),"Not in plan","Yes"))</f>
        <v/>
      </c>
      <c r="H1138" s="41" t="str">
        <f aca="false">IF(G1138="Yes",INDEX('Kitting Plan'!$D$6:$D$19,MATCH(B1138,'Kitting Plan'!$B$6:$B$19,0)),"")</f>
        <v/>
      </c>
      <c r="I1138" s="41" t="str">
        <f aca="false">IF(A1138="","",IF(ISNUMBER(SEARCH("PRT",E1138)),D1138,0))</f>
        <v/>
      </c>
      <c r="J1138" s="41" t="str">
        <f aca="false">IF(A1138="","",IF(ISNUMBER(SEARCH("GMPS",E1138)),D1138,0))</f>
        <v/>
      </c>
      <c r="K1138" s="41" t="str">
        <f aca="false">IF(A1138="","",IF(ISNUMBER(SEARCH("DLV",E1138)),D1138,0))</f>
        <v/>
      </c>
      <c r="L1138" s="41" t="str">
        <f aca="false">IF(A1138="","",IF(K1138&gt;0,"Delivered",IF(ISNUMBER(SEARCH("CNF",E1138)),"In production",IF(J1138&gt;0,"Issued",IF(I1138&gt;0,"Kitted","Released")))))</f>
        <v/>
      </c>
      <c r="M1138" s="41" t="str">
        <f aca="false">IF(G1138&lt;&gt;"Yes","",COUNTIFS($B$6:$B$1505,B1138,$F$6:$F$1505,"&lt;"&amp;F1138)+COUNTIFS($B$6:$B$1505,B1138,$F$6:$F$1505,F1138,$A$6:$A$1505,"&lt;="&amp;A1138))</f>
        <v/>
      </c>
      <c r="N1138" s="41" t="str">
        <f aca="false">IF(M1138="","",ROUNDUP(M1138/H1138,0))</f>
        <v/>
      </c>
      <c r="O1138" s="41" t="str">
        <f aca="false">IF(N1138="","",IF(N1138&lt;='Kitting Plan'!$C$3,"Rep "&amp;N1138,"Surplus"))</f>
        <v/>
      </c>
    </row>
    <row r="1139" customFormat="false" ht="15" hidden="false" customHeight="false" outlineLevel="0" collapsed="false">
      <c r="A1139" s="40" t="str">
        <f aca="false">IF(OR($A$4=0,INDEX('COOIS Raw'!$A:$GZ,ROW()-4,$A$4)=""),"",IFERROR(--INDEX('COOIS Raw'!$A:$GZ,ROW()-4,$A$4),INDEX('COOIS Raw'!$A:$GZ,ROW()-4,$A$4)))</f>
        <v/>
      </c>
      <c r="B1139" s="41" t="str">
        <f aca="false">IF(A1139="","",TRIM(INDEX('COOIS Raw'!$A:$GZ,ROW()-4,$B$4)))</f>
        <v/>
      </c>
      <c r="C1139" s="42" t="str">
        <f aca="false">IF(OR(A1139="",$C$4=0),"",INDEX('COOIS Raw'!$A:$GZ,ROW()-4,$C$4))</f>
        <v/>
      </c>
      <c r="D1139" s="41" t="str">
        <f aca="false">IF(A1139="","",IF($D$4=0,1,IFERROR(--INDEX('COOIS Raw'!$A:$GZ,ROW()-4,$D$4),1)))</f>
        <v/>
      </c>
      <c r="E1139" s="42" t="str">
        <f aca="false">IF(A1139="","",INDEX('COOIS Raw'!$A:$GZ,ROW()-4,$E$4)&amp;"")</f>
        <v/>
      </c>
      <c r="F1139" s="43" t="str">
        <f aca="false">IF(A1139="","",IFERROR(DATEVALUE(INDEX('COOIS Raw'!$A:$GZ,ROW()-4,$F$4)),INDEX('COOIS Raw'!$A:$GZ,ROW()-4,$F$4)))</f>
        <v/>
      </c>
      <c r="G1139" s="41" t="str">
        <f aca="false">IF(A1139="","",IF(ISNA(MATCH(B1139,'Kitting Plan'!$B$6:$B$19,0)),"Not in plan","Yes"))</f>
        <v/>
      </c>
      <c r="H1139" s="41" t="str">
        <f aca="false">IF(G1139="Yes",INDEX('Kitting Plan'!$D$6:$D$19,MATCH(B1139,'Kitting Plan'!$B$6:$B$19,0)),"")</f>
        <v/>
      </c>
      <c r="I1139" s="41" t="str">
        <f aca="false">IF(A1139="","",IF(ISNUMBER(SEARCH("PRT",E1139)),D1139,0))</f>
        <v/>
      </c>
      <c r="J1139" s="41" t="str">
        <f aca="false">IF(A1139="","",IF(ISNUMBER(SEARCH("GMPS",E1139)),D1139,0))</f>
        <v/>
      </c>
      <c r="K1139" s="41" t="str">
        <f aca="false">IF(A1139="","",IF(ISNUMBER(SEARCH("DLV",E1139)),D1139,0))</f>
        <v/>
      </c>
      <c r="L1139" s="41" t="str">
        <f aca="false">IF(A1139="","",IF(K1139&gt;0,"Delivered",IF(ISNUMBER(SEARCH("CNF",E1139)),"In production",IF(J1139&gt;0,"Issued",IF(I1139&gt;0,"Kitted","Released")))))</f>
        <v/>
      </c>
      <c r="M1139" s="41" t="str">
        <f aca="false">IF(G1139&lt;&gt;"Yes","",COUNTIFS($B$6:$B$1505,B1139,$F$6:$F$1505,"&lt;"&amp;F1139)+COUNTIFS($B$6:$B$1505,B1139,$F$6:$F$1505,F1139,$A$6:$A$1505,"&lt;="&amp;A1139))</f>
        <v/>
      </c>
      <c r="N1139" s="41" t="str">
        <f aca="false">IF(M1139="","",ROUNDUP(M1139/H1139,0))</f>
        <v/>
      </c>
      <c r="O1139" s="41" t="str">
        <f aca="false">IF(N1139="","",IF(N1139&lt;='Kitting Plan'!$C$3,"Rep "&amp;N1139,"Surplus"))</f>
        <v/>
      </c>
    </row>
    <row r="1140" customFormat="false" ht="15" hidden="false" customHeight="false" outlineLevel="0" collapsed="false">
      <c r="A1140" s="40" t="str">
        <f aca="false">IF(OR($A$4=0,INDEX('COOIS Raw'!$A:$GZ,ROW()-4,$A$4)=""),"",IFERROR(--INDEX('COOIS Raw'!$A:$GZ,ROW()-4,$A$4),INDEX('COOIS Raw'!$A:$GZ,ROW()-4,$A$4)))</f>
        <v/>
      </c>
      <c r="B1140" s="41" t="str">
        <f aca="false">IF(A1140="","",TRIM(INDEX('COOIS Raw'!$A:$GZ,ROW()-4,$B$4)))</f>
        <v/>
      </c>
      <c r="C1140" s="42" t="str">
        <f aca="false">IF(OR(A1140="",$C$4=0),"",INDEX('COOIS Raw'!$A:$GZ,ROW()-4,$C$4))</f>
        <v/>
      </c>
      <c r="D1140" s="41" t="str">
        <f aca="false">IF(A1140="","",IF($D$4=0,1,IFERROR(--INDEX('COOIS Raw'!$A:$GZ,ROW()-4,$D$4),1)))</f>
        <v/>
      </c>
      <c r="E1140" s="42" t="str">
        <f aca="false">IF(A1140="","",INDEX('COOIS Raw'!$A:$GZ,ROW()-4,$E$4)&amp;"")</f>
        <v/>
      </c>
      <c r="F1140" s="43" t="str">
        <f aca="false">IF(A1140="","",IFERROR(DATEVALUE(INDEX('COOIS Raw'!$A:$GZ,ROW()-4,$F$4)),INDEX('COOIS Raw'!$A:$GZ,ROW()-4,$F$4)))</f>
        <v/>
      </c>
      <c r="G1140" s="41" t="str">
        <f aca="false">IF(A1140="","",IF(ISNA(MATCH(B1140,'Kitting Plan'!$B$6:$B$19,0)),"Not in plan","Yes"))</f>
        <v/>
      </c>
      <c r="H1140" s="41" t="str">
        <f aca="false">IF(G1140="Yes",INDEX('Kitting Plan'!$D$6:$D$19,MATCH(B1140,'Kitting Plan'!$B$6:$B$19,0)),"")</f>
        <v/>
      </c>
      <c r="I1140" s="41" t="str">
        <f aca="false">IF(A1140="","",IF(ISNUMBER(SEARCH("PRT",E1140)),D1140,0))</f>
        <v/>
      </c>
      <c r="J1140" s="41" t="str">
        <f aca="false">IF(A1140="","",IF(ISNUMBER(SEARCH("GMPS",E1140)),D1140,0))</f>
        <v/>
      </c>
      <c r="K1140" s="41" t="str">
        <f aca="false">IF(A1140="","",IF(ISNUMBER(SEARCH("DLV",E1140)),D1140,0))</f>
        <v/>
      </c>
      <c r="L1140" s="41" t="str">
        <f aca="false">IF(A1140="","",IF(K1140&gt;0,"Delivered",IF(ISNUMBER(SEARCH("CNF",E1140)),"In production",IF(J1140&gt;0,"Issued",IF(I1140&gt;0,"Kitted","Released")))))</f>
        <v/>
      </c>
      <c r="M1140" s="41" t="str">
        <f aca="false">IF(G1140&lt;&gt;"Yes","",COUNTIFS($B$6:$B$1505,B1140,$F$6:$F$1505,"&lt;"&amp;F1140)+COUNTIFS($B$6:$B$1505,B1140,$F$6:$F$1505,F1140,$A$6:$A$1505,"&lt;="&amp;A1140))</f>
        <v/>
      </c>
      <c r="N1140" s="41" t="str">
        <f aca="false">IF(M1140="","",ROUNDUP(M1140/H1140,0))</f>
        <v/>
      </c>
      <c r="O1140" s="41" t="str">
        <f aca="false">IF(N1140="","",IF(N1140&lt;='Kitting Plan'!$C$3,"Rep "&amp;N1140,"Surplus"))</f>
        <v/>
      </c>
    </row>
    <row r="1141" customFormat="false" ht="15" hidden="false" customHeight="false" outlineLevel="0" collapsed="false">
      <c r="A1141" s="40" t="str">
        <f aca="false">IF(OR($A$4=0,INDEX('COOIS Raw'!$A:$GZ,ROW()-4,$A$4)=""),"",IFERROR(--INDEX('COOIS Raw'!$A:$GZ,ROW()-4,$A$4),INDEX('COOIS Raw'!$A:$GZ,ROW()-4,$A$4)))</f>
        <v/>
      </c>
      <c r="B1141" s="41" t="str">
        <f aca="false">IF(A1141="","",TRIM(INDEX('COOIS Raw'!$A:$GZ,ROW()-4,$B$4)))</f>
        <v/>
      </c>
      <c r="C1141" s="42" t="str">
        <f aca="false">IF(OR(A1141="",$C$4=0),"",INDEX('COOIS Raw'!$A:$GZ,ROW()-4,$C$4))</f>
        <v/>
      </c>
      <c r="D1141" s="41" t="str">
        <f aca="false">IF(A1141="","",IF($D$4=0,1,IFERROR(--INDEX('COOIS Raw'!$A:$GZ,ROW()-4,$D$4),1)))</f>
        <v/>
      </c>
      <c r="E1141" s="42" t="str">
        <f aca="false">IF(A1141="","",INDEX('COOIS Raw'!$A:$GZ,ROW()-4,$E$4)&amp;"")</f>
        <v/>
      </c>
      <c r="F1141" s="43" t="str">
        <f aca="false">IF(A1141="","",IFERROR(DATEVALUE(INDEX('COOIS Raw'!$A:$GZ,ROW()-4,$F$4)),INDEX('COOIS Raw'!$A:$GZ,ROW()-4,$F$4)))</f>
        <v/>
      </c>
      <c r="G1141" s="41" t="str">
        <f aca="false">IF(A1141="","",IF(ISNA(MATCH(B1141,'Kitting Plan'!$B$6:$B$19,0)),"Not in plan","Yes"))</f>
        <v/>
      </c>
      <c r="H1141" s="41" t="str">
        <f aca="false">IF(G1141="Yes",INDEX('Kitting Plan'!$D$6:$D$19,MATCH(B1141,'Kitting Plan'!$B$6:$B$19,0)),"")</f>
        <v/>
      </c>
      <c r="I1141" s="41" t="str">
        <f aca="false">IF(A1141="","",IF(ISNUMBER(SEARCH("PRT",E1141)),D1141,0))</f>
        <v/>
      </c>
      <c r="J1141" s="41" t="str">
        <f aca="false">IF(A1141="","",IF(ISNUMBER(SEARCH("GMPS",E1141)),D1141,0))</f>
        <v/>
      </c>
      <c r="K1141" s="41" t="str">
        <f aca="false">IF(A1141="","",IF(ISNUMBER(SEARCH("DLV",E1141)),D1141,0))</f>
        <v/>
      </c>
      <c r="L1141" s="41" t="str">
        <f aca="false">IF(A1141="","",IF(K1141&gt;0,"Delivered",IF(ISNUMBER(SEARCH("CNF",E1141)),"In production",IF(J1141&gt;0,"Issued",IF(I1141&gt;0,"Kitted","Released")))))</f>
        <v/>
      </c>
      <c r="M1141" s="41" t="str">
        <f aca="false">IF(G1141&lt;&gt;"Yes","",COUNTIFS($B$6:$B$1505,B1141,$F$6:$F$1505,"&lt;"&amp;F1141)+COUNTIFS($B$6:$B$1505,B1141,$F$6:$F$1505,F1141,$A$6:$A$1505,"&lt;="&amp;A1141))</f>
        <v/>
      </c>
      <c r="N1141" s="41" t="str">
        <f aca="false">IF(M1141="","",ROUNDUP(M1141/H1141,0))</f>
        <v/>
      </c>
      <c r="O1141" s="41" t="str">
        <f aca="false">IF(N1141="","",IF(N1141&lt;='Kitting Plan'!$C$3,"Rep "&amp;N1141,"Surplus"))</f>
        <v/>
      </c>
    </row>
    <row r="1142" customFormat="false" ht="15" hidden="false" customHeight="false" outlineLevel="0" collapsed="false">
      <c r="A1142" s="40" t="str">
        <f aca="false">IF(OR($A$4=0,INDEX('COOIS Raw'!$A:$GZ,ROW()-4,$A$4)=""),"",IFERROR(--INDEX('COOIS Raw'!$A:$GZ,ROW()-4,$A$4),INDEX('COOIS Raw'!$A:$GZ,ROW()-4,$A$4)))</f>
        <v/>
      </c>
      <c r="B1142" s="41" t="str">
        <f aca="false">IF(A1142="","",TRIM(INDEX('COOIS Raw'!$A:$GZ,ROW()-4,$B$4)))</f>
        <v/>
      </c>
      <c r="C1142" s="42" t="str">
        <f aca="false">IF(OR(A1142="",$C$4=0),"",INDEX('COOIS Raw'!$A:$GZ,ROW()-4,$C$4))</f>
        <v/>
      </c>
      <c r="D1142" s="41" t="str">
        <f aca="false">IF(A1142="","",IF($D$4=0,1,IFERROR(--INDEX('COOIS Raw'!$A:$GZ,ROW()-4,$D$4),1)))</f>
        <v/>
      </c>
      <c r="E1142" s="42" t="str">
        <f aca="false">IF(A1142="","",INDEX('COOIS Raw'!$A:$GZ,ROW()-4,$E$4)&amp;"")</f>
        <v/>
      </c>
      <c r="F1142" s="43" t="str">
        <f aca="false">IF(A1142="","",IFERROR(DATEVALUE(INDEX('COOIS Raw'!$A:$GZ,ROW()-4,$F$4)),INDEX('COOIS Raw'!$A:$GZ,ROW()-4,$F$4)))</f>
        <v/>
      </c>
      <c r="G1142" s="41" t="str">
        <f aca="false">IF(A1142="","",IF(ISNA(MATCH(B1142,'Kitting Plan'!$B$6:$B$19,0)),"Not in plan","Yes"))</f>
        <v/>
      </c>
      <c r="H1142" s="41" t="str">
        <f aca="false">IF(G1142="Yes",INDEX('Kitting Plan'!$D$6:$D$19,MATCH(B1142,'Kitting Plan'!$B$6:$B$19,0)),"")</f>
        <v/>
      </c>
      <c r="I1142" s="41" t="str">
        <f aca="false">IF(A1142="","",IF(ISNUMBER(SEARCH("PRT",E1142)),D1142,0))</f>
        <v/>
      </c>
      <c r="J1142" s="41" t="str">
        <f aca="false">IF(A1142="","",IF(ISNUMBER(SEARCH("GMPS",E1142)),D1142,0))</f>
        <v/>
      </c>
      <c r="K1142" s="41" t="str">
        <f aca="false">IF(A1142="","",IF(ISNUMBER(SEARCH("DLV",E1142)),D1142,0))</f>
        <v/>
      </c>
      <c r="L1142" s="41" t="str">
        <f aca="false">IF(A1142="","",IF(K1142&gt;0,"Delivered",IF(ISNUMBER(SEARCH("CNF",E1142)),"In production",IF(J1142&gt;0,"Issued",IF(I1142&gt;0,"Kitted","Released")))))</f>
        <v/>
      </c>
      <c r="M1142" s="41" t="str">
        <f aca="false">IF(G1142&lt;&gt;"Yes","",COUNTIFS($B$6:$B$1505,B1142,$F$6:$F$1505,"&lt;"&amp;F1142)+COUNTIFS($B$6:$B$1505,B1142,$F$6:$F$1505,F1142,$A$6:$A$1505,"&lt;="&amp;A1142))</f>
        <v/>
      </c>
      <c r="N1142" s="41" t="str">
        <f aca="false">IF(M1142="","",ROUNDUP(M1142/H1142,0))</f>
        <v/>
      </c>
      <c r="O1142" s="41" t="str">
        <f aca="false">IF(N1142="","",IF(N1142&lt;='Kitting Plan'!$C$3,"Rep "&amp;N1142,"Surplus"))</f>
        <v/>
      </c>
    </row>
    <row r="1143" customFormat="false" ht="15" hidden="false" customHeight="false" outlineLevel="0" collapsed="false">
      <c r="A1143" s="40" t="str">
        <f aca="false">IF(OR($A$4=0,INDEX('COOIS Raw'!$A:$GZ,ROW()-4,$A$4)=""),"",IFERROR(--INDEX('COOIS Raw'!$A:$GZ,ROW()-4,$A$4),INDEX('COOIS Raw'!$A:$GZ,ROW()-4,$A$4)))</f>
        <v/>
      </c>
      <c r="B1143" s="41" t="str">
        <f aca="false">IF(A1143="","",TRIM(INDEX('COOIS Raw'!$A:$GZ,ROW()-4,$B$4)))</f>
        <v/>
      </c>
      <c r="C1143" s="42" t="str">
        <f aca="false">IF(OR(A1143="",$C$4=0),"",INDEX('COOIS Raw'!$A:$GZ,ROW()-4,$C$4))</f>
        <v/>
      </c>
      <c r="D1143" s="41" t="str">
        <f aca="false">IF(A1143="","",IF($D$4=0,1,IFERROR(--INDEX('COOIS Raw'!$A:$GZ,ROW()-4,$D$4),1)))</f>
        <v/>
      </c>
      <c r="E1143" s="42" t="str">
        <f aca="false">IF(A1143="","",INDEX('COOIS Raw'!$A:$GZ,ROW()-4,$E$4)&amp;"")</f>
        <v/>
      </c>
      <c r="F1143" s="43" t="str">
        <f aca="false">IF(A1143="","",IFERROR(DATEVALUE(INDEX('COOIS Raw'!$A:$GZ,ROW()-4,$F$4)),INDEX('COOIS Raw'!$A:$GZ,ROW()-4,$F$4)))</f>
        <v/>
      </c>
      <c r="G1143" s="41" t="str">
        <f aca="false">IF(A1143="","",IF(ISNA(MATCH(B1143,'Kitting Plan'!$B$6:$B$19,0)),"Not in plan","Yes"))</f>
        <v/>
      </c>
      <c r="H1143" s="41" t="str">
        <f aca="false">IF(G1143="Yes",INDEX('Kitting Plan'!$D$6:$D$19,MATCH(B1143,'Kitting Plan'!$B$6:$B$19,0)),"")</f>
        <v/>
      </c>
      <c r="I1143" s="41" t="str">
        <f aca="false">IF(A1143="","",IF(ISNUMBER(SEARCH("PRT",E1143)),D1143,0))</f>
        <v/>
      </c>
      <c r="J1143" s="41" t="str">
        <f aca="false">IF(A1143="","",IF(ISNUMBER(SEARCH("GMPS",E1143)),D1143,0))</f>
        <v/>
      </c>
      <c r="K1143" s="41" t="str">
        <f aca="false">IF(A1143="","",IF(ISNUMBER(SEARCH("DLV",E1143)),D1143,0))</f>
        <v/>
      </c>
      <c r="L1143" s="41" t="str">
        <f aca="false">IF(A1143="","",IF(K1143&gt;0,"Delivered",IF(ISNUMBER(SEARCH("CNF",E1143)),"In production",IF(J1143&gt;0,"Issued",IF(I1143&gt;0,"Kitted","Released")))))</f>
        <v/>
      </c>
      <c r="M1143" s="41" t="str">
        <f aca="false">IF(G1143&lt;&gt;"Yes","",COUNTIFS($B$6:$B$1505,B1143,$F$6:$F$1505,"&lt;"&amp;F1143)+COUNTIFS($B$6:$B$1505,B1143,$F$6:$F$1505,F1143,$A$6:$A$1505,"&lt;="&amp;A1143))</f>
        <v/>
      </c>
      <c r="N1143" s="41" t="str">
        <f aca="false">IF(M1143="","",ROUNDUP(M1143/H1143,0))</f>
        <v/>
      </c>
      <c r="O1143" s="41" t="str">
        <f aca="false">IF(N1143="","",IF(N1143&lt;='Kitting Plan'!$C$3,"Rep "&amp;N1143,"Surplus"))</f>
        <v/>
      </c>
    </row>
    <row r="1144" customFormat="false" ht="15" hidden="false" customHeight="false" outlineLevel="0" collapsed="false">
      <c r="A1144" s="40" t="str">
        <f aca="false">IF(OR($A$4=0,INDEX('COOIS Raw'!$A:$GZ,ROW()-4,$A$4)=""),"",IFERROR(--INDEX('COOIS Raw'!$A:$GZ,ROW()-4,$A$4),INDEX('COOIS Raw'!$A:$GZ,ROW()-4,$A$4)))</f>
        <v/>
      </c>
      <c r="B1144" s="41" t="str">
        <f aca="false">IF(A1144="","",TRIM(INDEX('COOIS Raw'!$A:$GZ,ROW()-4,$B$4)))</f>
        <v/>
      </c>
      <c r="C1144" s="42" t="str">
        <f aca="false">IF(OR(A1144="",$C$4=0),"",INDEX('COOIS Raw'!$A:$GZ,ROW()-4,$C$4))</f>
        <v/>
      </c>
      <c r="D1144" s="41" t="str">
        <f aca="false">IF(A1144="","",IF($D$4=0,1,IFERROR(--INDEX('COOIS Raw'!$A:$GZ,ROW()-4,$D$4),1)))</f>
        <v/>
      </c>
      <c r="E1144" s="42" t="str">
        <f aca="false">IF(A1144="","",INDEX('COOIS Raw'!$A:$GZ,ROW()-4,$E$4)&amp;"")</f>
        <v/>
      </c>
      <c r="F1144" s="43" t="str">
        <f aca="false">IF(A1144="","",IFERROR(DATEVALUE(INDEX('COOIS Raw'!$A:$GZ,ROW()-4,$F$4)),INDEX('COOIS Raw'!$A:$GZ,ROW()-4,$F$4)))</f>
        <v/>
      </c>
      <c r="G1144" s="41" t="str">
        <f aca="false">IF(A1144="","",IF(ISNA(MATCH(B1144,'Kitting Plan'!$B$6:$B$19,0)),"Not in plan","Yes"))</f>
        <v/>
      </c>
      <c r="H1144" s="41" t="str">
        <f aca="false">IF(G1144="Yes",INDEX('Kitting Plan'!$D$6:$D$19,MATCH(B1144,'Kitting Plan'!$B$6:$B$19,0)),"")</f>
        <v/>
      </c>
      <c r="I1144" s="41" t="str">
        <f aca="false">IF(A1144="","",IF(ISNUMBER(SEARCH("PRT",E1144)),D1144,0))</f>
        <v/>
      </c>
      <c r="J1144" s="41" t="str">
        <f aca="false">IF(A1144="","",IF(ISNUMBER(SEARCH("GMPS",E1144)),D1144,0))</f>
        <v/>
      </c>
      <c r="K1144" s="41" t="str">
        <f aca="false">IF(A1144="","",IF(ISNUMBER(SEARCH("DLV",E1144)),D1144,0))</f>
        <v/>
      </c>
      <c r="L1144" s="41" t="str">
        <f aca="false">IF(A1144="","",IF(K1144&gt;0,"Delivered",IF(ISNUMBER(SEARCH("CNF",E1144)),"In production",IF(J1144&gt;0,"Issued",IF(I1144&gt;0,"Kitted","Released")))))</f>
        <v/>
      </c>
      <c r="M1144" s="41" t="str">
        <f aca="false">IF(G1144&lt;&gt;"Yes","",COUNTIFS($B$6:$B$1505,B1144,$F$6:$F$1505,"&lt;"&amp;F1144)+COUNTIFS($B$6:$B$1505,B1144,$F$6:$F$1505,F1144,$A$6:$A$1505,"&lt;="&amp;A1144))</f>
        <v/>
      </c>
      <c r="N1144" s="41" t="str">
        <f aca="false">IF(M1144="","",ROUNDUP(M1144/H1144,0))</f>
        <v/>
      </c>
      <c r="O1144" s="41" t="str">
        <f aca="false">IF(N1144="","",IF(N1144&lt;='Kitting Plan'!$C$3,"Rep "&amp;N1144,"Surplus"))</f>
        <v/>
      </c>
    </row>
    <row r="1145" customFormat="false" ht="15" hidden="false" customHeight="false" outlineLevel="0" collapsed="false">
      <c r="A1145" s="40" t="str">
        <f aca="false">IF(OR($A$4=0,INDEX('COOIS Raw'!$A:$GZ,ROW()-4,$A$4)=""),"",IFERROR(--INDEX('COOIS Raw'!$A:$GZ,ROW()-4,$A$4),INDEX('COOIS Raw'!$A:$GZ,ROW()-4,$A$4)))</f>
        <v/>
      </c>
      <c r="B1145" s="41" t="str">
        <f aca="false">IF(A1145="","",TRIM(INDEX('COOIS Raw'!$A:$GZ,ROW()-4,$B$4)))</f>
        <v/>
      </c>
      <c r="C1145" s="42" t="str">
        <f aca="false">IF(OR(A1145="",$C$4=0),"",INDEX('COOIS Raw'!$A:$GZ,ROW()-4,$C$4))</f>
        <v/>
      </c>
      <c r="D1145" s="41" t="str">
        <f aca="false">IF(A1145="","",IF($D$4=0,1,IFERROR(--INDEX('COOIS Raw'!$A:$GZ,ROW()-4,$D$4),1)))</f>
        <v/>
      </c>
      <c r="E1145" s="42" t="str">
        <f aca="false">IF(A1145="","",INDEX('COOIS Raw'!$A:$GZ,ROW()-4,$E$4)&amp;"")</f>
        <v/>
      </c>
      <c r="F1145" s="43" t="str">
        <f aca="false">IF(A1145="","",IFERROR(DATEVALUE(INDEX('COOIS Raw'!$A:$GZ,ROW()-4,$F$4)),INDEX('COOIS Raw'!$A:$GZ,ROW()-4,$F$4)))</f>
        <v/>
      </c>
      <c r="G1145" s="41" t="str">
        <f aca="false">IF(A1145="","",IF(ISNA(MATCH(B1145,'Kitting Plan'!$B$6:$B$19,0)),"Not in plan","Yes"))</f>
        <v/>
      </c>
      <c r="H1145" s="41" t="str">
        <f aca="false">IF(G1145="Yes",INDEX('Kitting Plan'!$D$6:$D$19,MATCH(B1145,'Kitting Plan'!$B$6:$B$19,0)),"")</f>
        <v/>
      </c>
      <c r="I1145" s="41" t="str">
        <f aca="false">IF(A1145="","",IF(ISNUMBER(SEARCH("PRT",E1145)),D1145,0))</f>
        <v/>
      </c>
      <c r="J1145" s="41" t="str">
        <f aca="false">IF(A1145="","",IF(ISNUMBER(SEARCH("GMPS",E1145)),D1145,0))</f>
        <v/>
      </c>
      <c r="K1145" s="41" t="str">
        <f aca="false">IF(A1145="","",IF(ISNUMBER(SEARCH("DLV",E1145)),D1145,0))</f>
        <v/>
      </c>
      <c r="L1145" s="41" t="str">
        <f aca="false">IF(A1145="","",IF(K1145&gt;0,"Delivered",IF(ISNUMBER(SEARCH("CNF",E1145)),"In production",IF(J1145&gt;0,"Issued",IF(I1145&gt;0,"Kitted","Released")))))</f>
        <v/>
      </c>
      <c r="M1145" s="41" t="str">
        <f aca="false">IF(G1145&lt;&gt;"Yes","",COUNTIFS($B$6:$B$1505,B1145,$F$6:$F$1505,"&lt;"&amp;F1145)+COUNTIFS($B$6:$B$1505,B1145,$F$6:$F$1505,F1145,$A$6:$A$1505,"&lt;="&amp;A1145))</f>
        <v/>
      </c>
      <c r="N1145" s="41" t="str">
        <f aca="false">IF(M1145="","",ROUNDUP(M1145/H1145,0))</f>
        <v/>
      </c>
      <c r="O1145" s="41" t="str">
        <f aca="false">IF(N1145="","",IF(N1145&lt;='Kitting Plan'!$C$3,"Rep "&amp;N1145,"Surplus"))</f>
        <v/>
      </c>
    </row>
    <row r="1146" customFormat="false" ht="15" hidden="false" customHeight="false" outlineLevel="0" collapsed="false">
      <c r="A1146" s="40" t="str">
        <f aca="false">IF(OR($A$4=0,INDEX('COOIS Raw'!$A:$GZ,ROW()-4,$A$4)=""),"",IFERROR(--INDEX('COOIS Raw'!$A:$GZ,ROW()-4,$A$4),INDEX('COOIS Raw'!$A:$GZ,ROW()-4,$A$4)))</f>
        <v/>
      </c>
      <c r="B1146" s="41" t="str">
        <f aca="false">IF(A1146="","",TRIM(INDEX('COOIS Raw'!$A:$GZ,ROW()-4,$B$4)))</f>
        <v/>
      </c>
      <c r="C1146" s="42" t="str">
        <f aca="false">IF(OR(A1146="",$C$4=0),"",INDEX('COOIS Raw'!$A:$GZ,ROW()-4,$C$4))</f>
        <v/>
      </c>
      <c r="D1146" s="41" t="str">
        <f aca="false">IF(A1146="","",IF($D$4=0,1,IFERROR(--INDEX('COOIS Raw'!$A:$GZ,ROW()-4,$D$4),1)))</f>
        <v/>
      </c>
      <c r="E1146" s="42" t="str">
        <f aca="false">IF(A1146="","",INDEX('COOIS Raw'!$A:$GZ,ROW()-4,$E$4)&amp;"")</f>
        <v/>
      </c>
      <c r="F1146" s="43" t="str">
        <f aca="false">IF(A1146="","",IFERROR(DATEVALUE(INDEX('COOIS Raw'!$A:$GZ,ROW()-4,$F$4)),INDEX('COOIS Raw'!$A:$GZ,ROW()-4,$F$4)))</f>
        <v/>
      </c>
      <c r="G1146" s="41" t="str">
        <f aca="false">IF(A1146="","",IF(ISNA(MATCH(B1146,'Kitting Plan'!$B$6:$B$19,0)),"Not in plan","Yes"))</f>
        <v/>
      </c>
      <c r="H1146" s="41" t="str">
        <f aca="false">IF(G1146="Yes",INDEX('Kitting Plan'!$D$6:$D$19,MATCH(B1146,'Kitting Plan'!$B$6:$B$19,0)),"")</f>
        <v/>
      </c>
      <c r="I1146" s="41" t="str">
        <f aca="false">IF(A1146="","",IF(ISNUMBER(SEARCH("PRT",E1146)),D1146,0))</f>
        <v/>
      </c>
      <c r="J1146" s="41" t="str">
        <f aca="false">IF(A1146="","",IF(ISNUMBER(SEARCH("GMPS",E1146)),D1146,0))</f>
        <v/>
      </c>
      <c r="K1146" s="41" t="str">
        <f aca="false">IF(A1146="","",IF(ISNUMBER(SEARCH("DLV",E1146)),D1146,0))</f>
        <v/>
      </c>
      <c r="L1146" s="41" t="str">
        <f aca="false">IF(A1146="","",IF(K1146&gt;0,"Delivered",IF(ISNUMBER(SEARCH("CNF",E1146)),"In production",IF(J1146&gt;0,"Issued",IF(I1146&gt;0,"Kitted","Released")))))</f>
        <v/>
      </c>
      <c r="M1146" s="41" t="str">
        <f aca="false">IF(G1146&lt;&gt;"Yes","",COUNTIFS($B$6:$B$1505,B1146,$F$6:$F$1505,"&lt;"&amp;F1146)+COUNTIFS($B$6:$B$1505,B1146,$F$6:$F$1505,F1146,$A$6:$A$1505,"&lt;="&amp;A1146))</f>
        <v/>
      </c>
      <c r="N1146" s="41" t="str">
        <f aca="false">IF(M1146="","",ROUNDUP(M1146/H1146,0))</f>
        <v/>
      </c>
      <c r="O1146" s="41" t="str">
        <f aca="false">IF(N1146="","",IF(N1146&lt;='Kitting Plan'!$C$3,"Rep "&amp;N1146,"Surplus"))</f>
        <v/>
      </c>
    </row>
    <row r="1147" customFormat="false" ht="15" hidden="false" customHeight="false" outlineLevel="0" collapsed="false">
      <c r="A1147" s="40" t="str">
        <f aca="false">IF(OR($A$4=0,INDEX('COOIS Raw'!$A:$GZ,ROW()-4,$A$4)=""),"",IFERROR(--INDEX('COOIS Raw'!$A:$GZ,ROW()-4,$A$4),INDEX('COOIS Raw'!$A:$GZ,ROW()-4,$A$4)))</f>
        <v/>
      </c>
      <c r="B1147" s="41" t="str">
        <f aca="false">IF(A1147="","",TRIM(INDEX('COOIS Raw'!$A:$GZ,ROW()-4,$B$4)))</f>
        <v/>
      </c>
      <c r="C1147" s="42" t="str">
        <f aca="false">IF(OR(A1147="",$C$4=0),"",INDEX('COOIS Raw'!$A:$GZ,ROW()-4,$C$4))</f>
        <v/>
      </c>
      <c r="D1147" s="41" t="str">
        <f aca="false">IF(A1147="","",IF($D$4=0,1,IFERROR(--INDEX('COOIS Raw'!$A:$GZ,ROW()-4,$D$4),1)))</f>
        <v/>
      </c>
      <c r="E1147" s="42" t="str">
        <f aca="false">IF(A1147="","",INDEX('COOIS Raw'!$A:$GZ,ROW()-4,$E$4)&amp;"")</f>
        <v/>
      </c>
      <c r="F1147" s="43" t="str">
        <f aca="false">IF(A1147="","",IFERROR(DATEVALUE(INDEX('COOIS Raw'!$A:$GZ,ROW()-4,$F$4)),INDEX('COOIS Raw'!$A:$GZ,ROW()-4,$F$4)))</f>
        <v/>
      </c>
      <c r="G1147" s="41" t="str">
        <f aca="false">IF(A1147="","",IF(ISNA(MATCH(B1147,'Kitting Plan'!$B$6:$B$19,0)),"Not in plan","Yes"))</f>
        <v/>
      </c>
      <c r="H1147" s="41" t="str">
        <f aca="false">IF(G1147="Yes",INDEX('Kitting Plan'!$D$6:$D$19,MATCH(B1147,'Kitting Plan'!$B$6:$B$19,0)),"")</f>
        <v/>
      </c>
      <c r="I1147" s="41" t="str">
        <f aca="false">IF(A1147="","",IF(ISNUMBER(SEARCH("PRT",E1147)),D1147,0))</f>
        <v/>
      </c>
      <c r="J1147" s="41" t="str">
        <f aca="false">IF(A1147="","",IF(ISNUMBER(SEARCH("GMPS",E1147)),D1147,0))</f>
        <v/>
      </c>
      <c r="K1147" s="41" t="str">
        <f aca="false">IF(A1147="","",IF(ISNUMBER(SEARCH("DLV",E1147)),D1147,0))</f>
        <v/>
      </c>
      <c r="L1147" s="41" t="str">
        <f aca="false">IF(A1147="","",IF(K1147&gt;0,"Delivered",IF(ISNUMBER(SEARCH("CNF",E1147)),"In production",IF(J1147&gt;0,"Issued",IF(I1147&gt;0,"Kitted","Released")))))</f>
        <v/>
      </c>
      <c r="M1147" s="41" t="str">
        <f aca="false">IF(G1147&lt;&gt;"Yes","",COUNTIFS($B$6:$B$1505,B1147,$F$6:$F$1505,"&lt;"&amp;F1147)+COUNTIFS($B$6:$B$1505,B1147,$F$6:$F$1505,F1147,$A$6:$A$1505,"&lt;="&amp;A1147))</f>
        <v/>
      </c>
      <c r="N1147" s="41" t="str">
        <f aca="false">IF(M1147="","",ROUNDUP(M1147/H1147,0))</f>
        <v/>
      </c>
      <c r="O1147" s="41" t="str">
        <f aca="false">IF(N1147="","",IF(N1147&lt;='Kitting Plan'!$C$3,"Rep "&amp;N1147,"Surplus"))</f>
        <v/>
      </c>
    </row>
    <row r="1148" customFormat="false" ht="15" hidden="false" customHeight="false" outlineLevel="0" collapsed="false">
      <c r="A1148" s="40" t="str">
        <f aca="false">IF(OR($A$4=0,INDEX('COOIS Raw'!$A:$GZ,ROW()-4,$A$4)=""),"",IFERROR(--INDEX('COOIS Raw'!$A:$GZ,ROW()-4,$A$4),INDEX('COOIS Raw'!$A:$GZ,ROW()-4,$A$4)))</f>
        <v/>
      </c>
      <c r="B1148" s="41" t="str">
        <f aca="false">IF(A1148="","",TRIM(INDEX('COOIS Raw'!$A:$GZ,ROW()-4,$B$4)))</f>
        <v/>
      </c>
      <c r="C1148" s="42" t="str">
        <f aca="false">IF(OR(A1148="",$C$4=0),"",INDEX('COOIS Raw'!$A:$GZ,ROW()-4,$C$4))</f>
        <v/>
      </c>
      <c r="D1148" s="41" t="str">
        <f aca="false">IF(A1148="","",IF($D$4=0,1,IFERROR(--INDEX('COOIS Raw'!$A:$GZ,ROW()-4,$D$4),1)))</f>
        <v/>
      </c>
      <c r="E1148" s="42" t="str">
        <f aca="false">IF(A1148="","",INDEX('COOIS Raw'!$A:$GZ,ROW()-4,$E$4)&amp;"")</f>
        <v/>
      </c>
      <c r="F1148" s="43" t="str">
        <f aca="false">IF(A1148="","",IFERROR(DATEVALUE(INDEX('COOIS Raw'!$A:$GZ,ROW()-4,$F$4)),INDEX('COOIS Raw'!$A:$GZ,ROW()-4,$F$4)))</f>
        <v/>
      </c>
      <c r="G1148" s="41" t="str">
        <f aca="false">IF(A1148="","",IF(ISNA(MATCH(B1148,'Kitting Plan'!$B$6:$B$19,0)),"Not in plan","Yes"))</f>
        <v/>
      </c>
      <c r="H1148" s="41" t="str">
        <f aca="false">IF(G1148="Yes",INDEX('Kitting Plan'!$D$6:$D$19,MATCH(B1148,'Kitting Plan'!$B$6:$B$19,0)),"")</f>
        <v/>
      </c>
      <c r="I1148" s="41" t="str">
        <f aca="false">IF(A1148="","",IF(ISNUMBER(SEARCH("PRT",E1148)),D1148,0))</f>
        <v/>
      </c>
      <c r="J1148" s="41" t="str">
        <f aca="false">IF(A1148="","",IF(ISNUMBER(SEARCH("GMPS",E1148)),D1148,0))</f>
        <v/>
      </c>
      <c r="K1148" s="41" t="str">
        <f aca="false">IF(A1148="","",IF(ISNUMBER(SEARCH("DLV",E1148)),D1148,0))</f>
        <v/>
      </c>
      <c r="L1148" s="41" t="str">
        <f aca="false">IF(A1148="","",IF(K1148&gt;0,"Delivered",IF(ISNUMBER(SEARCH("CNF",E1148)),"In production",IF(J1148&gt;0,"Issued",IF(I1148&gt;0,"Kitted","Released")))))</f>
        <v/>
      </c>
      <c r="M1148" s="41" t="str">
        <f aca="false">IF(G1148&lt;&gt;"Yes","",COUNTIFS($B$6:$B$1505,B1148,$F$6:$F$1505,"&lt;"&amp;F1148)+COUNTIFS($B$6:$B$1505,B1148,$F$6:$F$1505,F1148,$A$6:$A$1505,"&lt;="&amp;A1148))</f>
        <v/>
      </c>
      <c r="N1148" s="41" t="str">
        <f aca="false">IF(M1148="","",ROUNDUP(M1148/H1148,0))</f>
        <v/>
      </c>
      <c r="O1148" s="41" t="str">
        <f aca="false">IF(N1148="","",IF(N1148&lt;='Kitting Plan'!$C$3,"Rep "&amp;N1148,"Surplus"))</f>
        <v/>
      </c>
    </row>
    <row r="1149" customFormat="false" ht="15" hidden="false" customHeight="false" outlineLevel="0" collapsed="false">
      <c r="A1149" s="40" t="str">
        <f aca="false">IF(OR($A$4=0,INDEX('COOIS Raw'!$A:$GZ,ROW()-4,$A$4)=""),"",IFERROR(--INDEX('COOIS Raw'!$A:$GZ,ROW()-4,$A$4),INDEX('COOIS Raw'!$A:$GZ,ROW()-4,$A$4)))</f>
        <v/>
      </c>
      <c r="B1149" s="41" t="str">
        <f aca="false">IF(A1149="","",TRIM(INDEX('COOIS Raw'!$A:$GZ,ROW()-4,$B$4)))</f>
        <v/>
      </c>
      <c r="C1149" s="42" t="str">
        <f aca="false">IF(OR(A1149="",$C$4=0),"",INDEX('COOIS Raw'!$A:$GZ,ROW()-4,$C$4))</f>
        <v/>
      </c>
      <c r="D1149" s="41" t="str">
        <f aca="false">IF(A1149="","",IF($D$4=0,1,IFERROR(--INDEX('COOIS Raw'!$A:$GZ,ROW()-4,$D$4),1)))</f>
        <v/>
      </c>
      <c r="E1149" s="42" t="str">
        <f aca="false">IF(A1149="","",INDEX('COOIS Raw'!$A:$GZ,ROW()-4,$E$4)&amp;"")</f>
        <v/>
      </c>
      <c r="F1149" s="43" t="str">
        <f aca="false">IF(A1149="","",IFERROR(DATEVALUE(INDEX('COOIS Raw'!$A:$GZ,ROW()-4,$F$4)),INDEX('COOIS Raw'!$A:$GZ,ROW()-4,$F$4)))</f>
        <v/>
      </c>
      <c r="G1149" s="41" t="str">
        <f aca="false">IF(A1149="","",IF(ISNA(MATCH(B1149,'Kitting Plan'!$B$6:$B$19,0)),"Not in plan","Yes"))</f>
        <v/>
      </c>
      <c r="H1149" s="41" t="str">
        <f aca="false">IF(G1149="Yes",INDEX('Kitting Plan'!$D$6:$D$19,MATCH(B1149,'Kitting Plan'!$B$6:$B$19,0)),"")</f>
        <v/>
      </c>
      <c r="I1149" s="41" t="str">
        <f aca="false">IF(A1149="","",IF(ISNUMBER(SEARCH("PRT",E1149)),D1149,0))</f>
        <v/>
      </c>
      <c r="J1149" s="41" t="str">
        <f aca="false">IF(A1149="","",IF(ISNUMBER(SEARCH("GMPS",E1149)),D1149,0))</f>
        <v/>
      </c>
      <c r="K1149" s="41" t="str">
        <f aca="false">IF(A1149="","",IF(ISNUMBER(SEARCH("DLV",E1149)),D1149,0))</f>
        <v/>
      </c>
      <c r="L1149" s="41" t="str">
        <f aca="false">IF(A1149="","",IF(K1149&gt;0,"Delivered",IF(ISNUMBER(SEARCH("CNF",E1149)),"In production",IF(J1149&gt;0,"Issued",IF(I1149&gt;0,"Kitted","Released")))))</f>
        <v/>
      </c>
      <c r="M1149" s="41" t="str">
        <f aca="false">IF(G1149&lt;&gt;"Yes","",COUNTIFS($B$6:$B$1505,B1149,$F$6:$F$1505,"&lt;"&amp;F1149)+COUNTIFS($B$6:$B$1505,B1149,$F$6:$F$1505,F1149,$A$6:$A$1505,"&lt;="&amp;A1149))</f>
        <v/>
      </c>
      <c r="N1149" s="41" t="str">
        <f aca="false">IF(M1149="","",ROUNDUP(M1149/H1149,0))</f>
        <v/>
      </c>
      <c r="O1149" s="41" t="str">
        <f aca="false">IF(N1149="","",IF(N1149&lt;='Kitting Plan'!$C$3,"Rep "&amp;N1149,"Surplus"))</f>
        <v/>
      </c>
    </row>
    <row r="1150" customFormat="false" ht="15" hidden="false" customHeight="false" outlineLevel="0" collapsed="false">
      <c r="A1150" s="40" t="str">
        <f aca="false">IF(OR($A$4=0,INDEX('COOIS Raw'!$A:$GZ,ROW()-4,$A$4)=""),"",IFERROR(--INDEX('COOIS Raw'!$A:$GZ,ROW()-4,$A$4),INDEX('COOIS Raw'!$A:$GZ,ROW()-4,$A$4)))</f>
        <v/>
      </c>
      <c r="B1150" s="41" t="str">
        <f aca="false">IF(A1150="","",TRIM(INDEX('COOIS Raw'!$A:$GZ,ROW()-4,$B$4)))</f>
        <v/>
      </c>
      <c r="C1150" s="42" t="str">
        <f aca="false">IF(OR(A1150="",$C$4=0),"",INDEX('COOIS Raw'!$A:$GZ,ROW()-4,$C$4))</f>
        <v/>
      </c>
      <c r="D1150" s="41" t="str">
        <f aca="false">IF(A1150="","",IF($D$4=0,1,IFERROR(--INDEX('COOIS Raw'!$A:$GZ,ROW()-4,$D$4),1)))</f>
        <v/>
      </c>
      <c r="E1150" s="42" t="str">
        <f aca="false">IF(A1150="","",INDEX('COOIS Raw'!$A:$GZ,ROW()-4,$E$4)&amp;"")</f>
        <v/>
      </c>
      <c r="F1150" s="43" t="str">
        <f aca="false">IF(A1150="","",IFERROR(DATEVALUE(INDEX('COOIS Raw'!$A:$GZ,ROW()-4,$F$4)),INDEX('COOIS Raw'!$A:$GZ,ROW()-4,$F$4)))</f>
        <v/>
      </c>
      <c r="G1150" s="41" t="str">
        <f aca="false">IF(A1150="","",IF(ISNA(MATCH(B1150,'Kitting Plan'!$B$6:$B$19,0)),"Not in plan","Yes"))</f>
        <v/>
      </c>
      <c r="H1150" s="41" t="str">
        <f aca="false">IF(G1150="Yes",INDEX('Kitting Plan'!$D$6:$D$19,MATCH(B1150,'Kitting Plan'!$B$6:$B$19,0)),"")</f>
        <v/>
      </c>
      <c r="I1150" s="41" t="str">
        <f aca="false">IF(A1150="","",IF(ISNUMBER(SEARCH("PRT",E1150)),D1150,0))</f>
        <v/>
      </c>
      <c r="J1150" s="41" t="str">
        <f aca="false">IF(A1150="","",IF(ISNUMBER(SEARCH("GMPS",E1150)),D1150,0))</f>
        <v/>
      </c>
      <c r="K1150" s="41" t="str">
        <f aca="false">IF(A1150="","",IF(ISNUMBER(SEARCH("DLV",E1150)),D1150,0))</f>
        <v/>
      </c>
      <c r="L1150" s="41" t="str">
        <f aca="false">IF(A1150="","",IF(K1150&gt;0,"Delivered",IF(ISNUMBER(SEARCH("CNF",E1150)),"In production",IF(J1150&gt;0,"Issued",IF(I1150&gt;0,"Kitted","Released")))))</f>
        <v/>
      </c>
      <c r="M1150" s="41" t="str">
        <f aca="false">IF(G1150&lt;&gt;"Yes","",COUNTIFS($B$6:$B$1505,B1150,$F$6:$F$1505,"&lt;"&amp;F1150)+COUNTIFS($B$6:$B$1505,B1150,$F$6:$F$1505,F1150,$A$6:$A$1505,"&lt;="&amp;A1150))</f>
        <v/>
      </c>
      <c r="N1150" s="41" t="str">
        <f aca="false">IF(M1150="","",ROUNDUP(M1150/H1150,0))</f>
        <v/>
      </c>
      <c r="O1150" s="41" t="str">
        <f aca="false">IF(N1150="","",IF(N1150&lt;='Kitting Plan'!$C$3,"Rep "&amp;N1150,"Surplus"))</f>
        <v/>
      </c>
    </row>
    <row r="1151" customFormat="false" ht="15" hidden="false" customHeight="false" outlineLevel="0" collapsed="false">
      <c r="A1151" s="40" t="str">
        <f aca="false">IF(OR($A$4=0,INDEX('COOIS Raw'!$A:$GZ,ROW()-4,$A$4)=""),"",IFERROR(--INDEX('COOIS Raw'!$A:$GZ,ROW()-4,$A$4),INDEX('COOIS Raw'!$A:$GZ,ROW()-4,$A$4)))</f>
        <v/>
      </c>
      <c r="B1151" s="41" t="str">
        <f aca="false">IF(A1151="","",TRIM(INDEX('COOIS Raw'!$A:$GZ,ROW()-4,$B$4)))</f>
        <v/>
      </c>
      <c r="C1151" s="42" t="str">
        <f aca="false">IF(OR(A1151="",$C$4=0),"",INDEX('COOIS Raw'!$A:$GZ,ROW()-4,$C$4))</f>
        <v/>
      </c>
      <c r="D1151" s="41" t="str">
        <f aca="false">IF(A1151="","",IF($D$4=0,1,IFERROR(--INDEX('COOIS Raw'!$A:$GZ,ROW()-4,$D$4),1)))</f>
        <v/>
      </c>
      <c r="E1151" s="42" t="str">
        <f aca="false">IF(A1151="","",INDEX('COOIS Raw'!$A:$GZ,ROW()-4,$E$4)&amp;"")</f>
        <v/>
      </c>
      <c r="F1151" s="43" t="str">
        <f aca="false">IF(A1151="","",IFERROR(DATEVALUE(INDEX('COOIS Raw'!$A:$GZ,ROW()-4,$F$4)),INDEX('COOIS Raw'!$A:$GZ,ROW()-4,$F$4)))</f>
        <v/>
      </c>
      <c r="G1151" s="41" t="str">
        <f aca="false">IF(A1151="","",IF(ISNA(MATCH(B1151,'Kitting Plan'!$B$6:$B$19,0)),"Not in plan","Yes"))</f>
        <v/>
      </c>
      <c r="H1151" s="41" t="str">
        <f aca="false">IF(G1151="Yes",INDEX('Kitting Plan'!$D$6:$D$19,MATCH(B1151,'Kitting Plan'!$B$6:$B$19,0)),"")</f>
        <v/>
      </c>
      <c r="I1151" s="41" t="str">
        <f aca="false">IF(A1151="","",IF(ISNUMBER(SEARCH("PRT",E1151)),D1151,0))</f>
        <v/>
      </c>
      <c r="J1151" s="41" t="str">
        <f aca="false">IF(A1151="","",IF(ISNUMBER(SEARCH("GMPS",E1151)),D1151,0))</f>
        <v/>
      </c>
      <c r="K1151" s="41" t="str">
        <f aca="false">IF(A1151="","",IF(ISNUMBER(SEARCH("DLV",E1151)),D1151,0))</f>
        <v/>
      </c>
      <c r="L1151" s="41" t="str">
        <f aca="false">IF(A1151="","",IF(K1151&gt;0,"Delivered",IF(ISNUMBER(SEARCH("CNF",E1151)),"In production",IF(J1151&gt;0,"Issued",IF(I1151&gt;0,"Kitted","Released")))))</f>
        <v/>
      </c>
      <c r="M1151" s="41" t="str">
        <f aca="false">IF(G1151&lt;&gt;"Yes","",COUNTIFS($B$6:$B$1505,B1151,$F$6:$F$1505,"&lt;"&amp;F1151)+COUNTIFS($B$6:$B$1505,B1151,$F$6:$F$1505,F1151,$A$6:$A$1505,"&lt;="&amp;A1151))</f>
        <v/>
      </c>
      <c r="N1151" s="41" t="str">
        <f aca="false">IF(M1151="","",ROUNDUP(M1151/H1151,0))</f>
        <v/>
      </c>
      <c r="O1151" s="41" t="str">
        <f aca="false">IF(N1151="","",IF(N1151&lt;='Kitting Plan'!$C$3,"Rep "&amp;N1151,"Surplus"))</f>
        <v/>
      </c>
    </row>
    <row r="1152" customFormat="false" ht="15" hidden="false" customHeight="false" outlineLevel="0" collapsed="false">
      <c r="A1152" s="40" t="str">
        <f aca="false">IF(OR($A$4=0,INDEX('COOIS Raw'!$A:$GZ,ROW()-4,$A$4)=""),"",IFERROR(--INDEX('COOIS Raw'!$A:$GZ,ROW()-4,$A$4),INDEX('COOIS Raw'!$A:$GZ,ROW()-4,$A$4)))</f>
        <v/>
      </c>
      <c r="B1152" s="41" t="str">
        <f aca="false">IF(A1152="","",TRIM(INDEX('COOIS Raw'!$A:$GZ,ROW()-4,$B$4)))</f>
        <v/>
      </c>
      <c r="C1152" s="42" t="str">
        <f aca="false">IF(OR(A1152="",$C$4=0),"",INDEX('COOIS Raw'!$A:$GZ,ROW()-4,$C$4))</f>
        <v/>
      </c>
      <c r="D1152" s="41" t="str">
        <f aca="false">IF(A1152="","",IF($D$4=0,1,IFERROR(--INDEX('COOIS Raw'!$A:$GZ,ROW()-4,$D$4),1)))</f>
        <v/>
      </c>
      <c r="E1152" s="42" t="str">
        <f aca="false">IF(A1152="","",INDEX('COOIS Raw'!$A:$GZ,ROW()-4,$E$4)&amp;"")</f>
        <v/>
      </c>
      <c r="F1152" s="43" t="str">
        <f aca="false">IF(A1152="","",IFERROR(DATEVALUE(INDEX('COOIS Raw'!$A:$GZ,ROW()-4,$F$4)),INDEX('COOIS Raw'!$A:$GZ,ROW()-4,$F$4)))</f>
        <v/>
      </c>
      <c r="G1152" s="41" t="str">
        <f aca="false">IF(A1152="","",IF(ISNA(MATCH(B1152,'Kitting Plan'!$B$6:$B$19,0)),"Not in plan","Yes"))</f>
        <v/>
      </c>
      <c r="H1152" s="41" t="str">
        <f aca="false">IF(G1152="Yes",INDEX('Kitting Plan'!$D$6:$D$19,MATCH(B1152,'Kitting Plan'!$B$6:$B$19,0)),"")</f>
        <v/>
      </c>
      <c r="I1152" s="41" t="str">
        <f aca="false">IF(A1152="","",IF(ISNUMBER(SEARCH("PRT",E1152)),D1152,0))</f>
        <v/>
      </c>
      <c r="J1152" s="41" t="str">
        <f aca="false">IF(A1152="","",IF(ISNUMBER(SEARCH("GMPS",E1152)),D1152,0))</f>
        <v/>
      </c>
      <c r="K1152" s="41" t="str">
        <f aca="false">IF(A1152="","",IF(ISNUMBER(SEARCH("DLV",E1152)),D1152,0))</f>
        <v/>
      </c>
      <c r="L1152" s="41" t="str">
        <f aca="false">IF(A1152="","",IF(K1152&gt;0,"Delivered",IF(ISNUMBER(SEARCH("CNF",E1152)),"In production",IF(J1152&gt;0,"Issued",IF(I1152&gt;0,"Kitted","Released")))))</f>
        <v/>
      </c>
      <c r="M1152" s="41" t="str">
        <f aca="false">IF(G1152&lt;&gt;"Yes","",COUNTIFS($B$6:$B$1505,B1152,$F$6:$F$1505,"&lt;"&amp;F1152)+COUNTIFS($B$6:$B$1505,B1152,$F$6:$F$1505,F1152,$A$6:$A$1505,"&lt;="&amp;A1152))</f>
        <v/>
      </c>
      <c r="N1152" s="41" t="str">
        <f aca="false">IF(M1152="","",ROUNDUP(M1152/H1152,0))</f>
        <v/>
      </c>
      <c r="O1152" s="41" t="str">
        <f aca="false">IF(N1152="","",IF(N1152&lt;='Kitting Plan'!$C$3,"Rep "&amp;N1152,"Surplus"))</f>
        <v/>
      </c>
    </row>
    <row r="1153" customFormat="false" ht="15" hidden="false" customHeight="false" outlineLevel="0" collapsed="false">
      <c r="A1153" s="40" t="str">
        <f aca="false">IF(OR($A$4=0,INDEX('COOIS Raw'!$A:$GZ,ROW()-4,$A$4)=""),"",IFERROR(--INDEX('COOIS Raw'!$A:$GZ,ROW()-4,$A$4),INDEX('COOIS Raw'!$A:$GZ,ROW()-4,$A$4)))</f>
        <v/>
      </c>
      <c r="B1153" s="41" t="str">
        <f aca="false">IF(A1153="","",TRIM(INDEX('COOIS Raw'!$A:$GZ,ROW()-4,$B$4)))</f>
        <v/>
      </c>
      <c r="C1153" s="42" t="str">
        <f aca="false">IF(OR(A1153="",$C$4=0),"",INDEX('COOIS Raw'!$A:$GZ,ROW()-4,$C$4))</f>
        <v/>
      </c>
      <c r="D1153" s="41" t="str">
        <f aca="false">IF(A1153="","",IF($D$4=0,1,IFERROR(--INDEX('COOIS Raw'!$A:$GZ,ROW()-4,$D$4),1)))</f>
        <v/>
      </c>
      <c r="E1153" s="42" t="str">
        <f aca="false">IF(A1153="","",INDEX('COOIS Raw'!$A:$GZ,ROW()-4,$E$4)&amp;"")</f>
        <v/>
      </c>
      <c r="F1153" s="43" t="str">
        <f aca="false">IF(A1153="","",IFERROR(DATEVALUE(INDEX('COOIS Raw'!$A:$GZ,ROW()-4,$F$4)),INDEX('COOIS Raw'!$A:$GZ,ROW()-4,$F$4)))</f>
        <v/>
      </c>
      <c r="G1153" s="41" t="str">
        <f aca="false">IF(A1153="","",IF(ISNA(MATCH(B1153,'Kitting Plan'!$B$6:$B$19,0)),"Not in plan","Yes"))</f>
        <v/>
      </c>
      <c r="H1153" s="41" t="str">
        <f aca="false">IF(G1153="Yes",INDEX('Kitting Plan'!$D$6:$D$19,MATCH(B1153,'Kitting Plan'!$B$6:$B$19,0)),"")</f>
        <v/>
      </c>
      <c r="I1153" s="41" t="str">
        <f aca="false">IF(A1153="","",IF(ISNUMBER(SEARCH("PRT",E1153)),D1153,0))</f>
        <v/>
      </c>
      <c r="J1153" s="41" t="str">
        <f aca="false">IF(A1153="","",IF(ISNUMBER(SEARCH("GMPS",E1153)),D1153,0))</f>
        <v/>
      </c>
      <c r="K1153" s="41" t="str">
        <f aca="false">IF(A1153="","",IF(ISNUMBER(SEARCH("DLV",E1153)),D1153,0))</f>
        <v/>
      </c>
      <c r="L1153" s="41" t="str">
        <f aca="false">IF(A1153="","",IF(K1153&gt;0,"Delivered",IF(ISNUMBER(SEARCH("CNF",E1153)),"In production",IF(J1153&gt;0,"Issued",IF(I1153&gt;0,"Kitted","Released")))))</f>
        <v/>
      </c>
      <c r="M1153" s="41" t="str">
        <f aca="false">IF(G1153&lt;&gt;"Yes","",COUNTIFS($B$6:$B$1505,B1153,$F$6:$F$1505,"&lt;"&amp;F1153)+COUNTIFS($B$6:$B$1505,B1153,$F$6:$F$1505,F1153,$A$6:$A$1505,"&lt;="&amp;A1153))</f>
        <v/>
      </c>
      <c r="N1153" s="41" t="str">
        <f aca="false">IF(M1153="","",ROUNDUP(M1153/H1153,0))</f>
        <v/>
      </c>
      <c r="O1153" s="41" t="str">
        <f aca="false">IF(N1153="","",IF(N1153&lt;='Kitting Plan'!$C$3,"Rep "&amp;N1153,"Surplus"))</f>
        <v/>
      </c>
    </row>
    <row r="1154" customFormat="false" ht="15" hidden="false" customHeight="false" outlineLevel="0" collapsed="false">
      <c r="A1154" s="40" t="str">
        <f aca="false">IF(OR($A$4=0,INDEX('COOIS Raw'!$A:$GZ,ROW()-4,$A$4)=""),"",IFERROR(--INDEX('COOIS Raw'!$A:$GZ,ROW()-4,$A$4),INDEX('COOIS Raw'!$A:$GZ,ROW()-4,$A$4)))</f>
        <v/>
      </c>
      <c r="B1154" s="41" t="str">
        <f aca="false">IF(A1154="","",TRIM(INDEX('COOIS Raw'!$A:$GZ,ROW()-4,$B$4)))</f>
        <v/>
      </c>
      <c r="C1154" s="42" t="str">
        <f aca="false">IF(OR(A1154="",$C$4=0),"",INDEX('COOIS Raw'!$A:$GZ,ROW()-4,$C$4))</f>
        <v/>
      </c>
      <c r="D1154" s="41" t="str">
        <f aca="false">IF(A1154="","",IF($D$4=0,1,IFERROR(--INDEX('COOIS Raw'!$A:$GZ,ROW()-4,$D$4),1)))</f>
        <v/>
      </c>
      <c r="E1154" s="42" t="str">
        <f aca="false">IF(A1154="","",INDEX('COOIS Raw'!$A:$GZ,ROW()-4,$E$4)&amp;"")</f>
        <v/>
      </c>
      <c r="F1154" s="43" t="str">
        <f aca="false">IF(A1154="","",IFERROR(DATEVALUE(INDEX('COOIS Raw'!$A:$GZ,ROW()-4,$F$4)),INDEX('COOIS Raw'!$A:$GZ,ROW()-4,$F$4)))</f>
        <v/>
      </c>
      <c r="G1154" s="41" t="str">
        <f aca="false">IF(A1154="","",IF(ISNA(MATCH(B1154,'Kitting Plan'!$B$6:$B$19,0)),"Not in plan","Yes"))</f>
        <v/>
      </c>
      <c r="H1154" s="41" t="str">
        <f aca="false">IF(G1154="Yes",INDEX('Kitting Plan'!$D$6:$D$19,MATCH(B1154,'Kitting Plan'!$B$6:$B$19,0)),"")</f>
        <v/>
      </c>
      <c r="I1154" s="41" t="str">
        <f aca="false">IF(A1154="","",IF(ISNUMBER(SEARCH("PRT",E1154)),D1154,0))</f>
        <v/>
      </c>
      <c r="J1154" s="41" t="str">
        <f aca="false">IF(A1154="","",IF(ISNUMBER(SEARCH("GMPS",E1154)),D1154,0))</f>
        <v/>
      </c>
      <c r="K1154" s="41" t="str">
        <f aca="false">IF(A1154="","",IF(ISNUMBER(SEARCH("DLV",E1154)),D1154,0))</f>
        <v/>
      </c>
      <c r="L1154" s="41" t="str">
        <f aca="false">IF(A1154="","",IF(K1154&gt;0,"Delivered",IF(ISNUMBER(SEARCH("CNF",E1154)),"In production",IF(J1154&gt;0,"Issued",IF(I1154&gt;0,"Kitted","Released")))))</f>
        <v/>
      </c>
      <c r="M1154" s="41" t="str">
        <f aca="false">IF(G1154&lt;&gt;"Yes","",COUNTIFS($B$6:$B$1505,B1154,$F$6:$F$1505,"&lt;"&amp;F1154)+COUNTIFS($B$6:$B$1505,B1154,$F$6:$F$1505,F1154,$A$6:$A$1505,"&lt;="&amp;A1154))</f>
        <v/>
      </c>
      <c r="N1154" s="41" t="str">
        <f aca="false">IF(M1154="","",ROUNDUP(M1154/H1154,0))</f>
        <v/>
      </c>
      <c r="O1154" s="41" t="str">
        <f aca="false">IF(N1154="","",IF(N1154&lt;='Kitting Plan'!$C$3,"Rep "&amp;N1154,"Surplus"))</f>
        <v/>
      </c>
    </row>
    <row r="1155" customFormat="false" ht="15" hidden="false" customHeight="false" outlineLevel="0" collapsed="false">
      <c r="A1155" s="40" t="str">
        <f aca="false">IF(OR($A$4=0,INDEX('COOIS Raw'!$A:$GZ,ROW()-4,$A$4)=""),"",IFERROR(--INDEX('COOIS Raw'!$A:$GZ,ROW()-4,$A$4),INDEX('COOIS Raw'!$A:$GZ,ROW()-4,$A$4)))</f>
        <v/>
      </c>
      <c r="B1155" s="41" t="str">
        <f aca="false">IF(A1155="","",TRIM(INDEX('COOIS Raw'!$A:$GZ,ROW()-4,$B$4)))</f>
        <v/>
      </c>
      <c r="C1155" s="42" t="str">
        <f aca="false">IF(OR(A1155="",$C$4=0),"",INDEX('COOIS Raw'!$A:$GZ,ROW()-4,$C$4))</f>
        <v/>
      </c>
      <c r="D1155" s="41" t="str">
        <f aca="false">IF(A1155="","",IF($D$4=0,1,IFERROR(--INDEX('COOIS Raw'!$A:$GZ,ROW()-4,$D$4),1)))</f>
        <v/>
      </c>
      <c r="E1155" s="42" t="str">
        <f aca="false">IF(A1155="","",INDEX('COOIS Raw'!$A:$GZ,ROW()-4,$E$4)&amp;"")</f>
        <v/>
      </c>
      <c r="F1155" s="43" t="str">
        <f aca="false">IF(A1155="","",IFERROR(DATEVALUE(INDEX('COOIS Raw'!$A:$GZ,ROW()-4,$F$4)),INDEX('COOIS Raw'!$A:$GZ,ROW()-4,$F$4)))</f>
        <v/>
      </c>
      <c r="G1155" s="41" t="str">
        <f aca="false">IF(A1155="","",IF(ISNA(MATCH(B1155,'Kitting Plan'!$B$6:$B$19,0)),"Not in plan","Yes"))</f>
        <v/>
      </c>
      <c r="H1155" s="41" t="str">
        <f aca="false">IF(G1155="Yes",INDEX('Kitting Plan'!$D$6:$D$19,MATCH(B1155,'Kitting Plan'!$B$6:$B$19,0)),"")</f>
        <v/>
      </c>
      <c r="I1155" s="41" t="str">
        <f aca="false">IF(A1155="","",IF(ISNUMBER(SEARCH("PRT",E1155)),D1155,0))</f>
        <v/>
      </c>
      <c r="J1155" s="41" t="str">
        <f aca="false">IF(A1155="","",IF(ISNUMBER(SEARCH("GMPS",E1155)),D1155,0))</f>
        <v/>
      </c>
      <c r="K1155" s="41" t="str">
        <f aca="false">IF(A1155="","",IF(ISNUMBER(SEARCH("DLV",E1155)),D1155,0))</f>
        <v/>
      </c>
      <c r="L1155" s="41" t="str">
        <f aca="false">IF(A1155="","",IF(K1155&gt;0,"Delivered",IF(ISNUMBER(SEARCH("CNF",E1155)),"In production",IF(J1155&gt;0,"Issued",IF(I1155&gt;0,"Kitted","Released")))))</f>
        <v/>
      </c>
      <c r="M1155" s="41" t="str">
        <f aca="false">IF(G1155&lt;&gt;"Yes","",COUNTIFS($B$6:$B$1505,B1155,$F$6:$F$1505,"&lt;"&amp;F1155)+COUNTIFS($B$6:$B$1505,B1155,$F$6:$F$1505,F1155,$A$6:$A$1505,"&lt;="&amp;A1155))</f>
        <v/>
      </c>
      <c r="N1155" s="41" t="str">
        <f aca="false">IF(M1155="","",ROUNDUP(M1155/H1155,0))</f>
        <v/>
      </c>
      <c r="O1155" s="41" t="str">
        <f aca="false">IF(N1155="","",IF(N1155&lt;='Kitting Plan'!$C$3,"Rep "&amp;N1155,"Surplus"))</f>
        <v/>
      </c>
    </row>
    <row r="1156" customFormat="false" ht="15" hidden="false" customHeight="false" outlineLevel="0" collapsed="false">
      <c r="A1156" s="40" t="str">
        <f aca="false">IF(OR($A$4=0,INDEX('COOIS Raw'!$A:$GZ,ROW()-4,$A$4)=""),"",IFERROR(--INDEX('COOIS Raw'!$A:$GZ,ROW()-4,$A$4),INDEX('COOIS Raw'!$A:$GZ,ROW()-4,$A$4)))</f>
        <v/>
      </c>
      <c r="B1156" s="41" t="str">
        <f aca="false">IF(A1156="","",TRIM(INDEX('COOIS Raw'!$A:$GZ,ROW()-4,$B$4)))</f>
        <v/>
      </c>
      <c r="C1156" s="42" t="str">
        <f aca="false">IF(OR(A1156="",$C$4=0),"",INDEX('COOIS Raw'!$A:$GZ,ROW()-4,$C$4))</f>
        <v/>
      </c>
      <c r="D1156" s="41" t="str">
        <f aca="false">IF(A1156="","",IF($D$4=0,1,IFERROR(--INDEX('COOIS Raw'!$A:$GZ,ROW()-4,$D$4),1)))</f>
        <v/>
      </c>
      <c r="E1156" s="42" t="str">
        <f aca="false">IF(A1156="","",INDEX('COOIS Raw'!$A:$GZ,ROW()-4,$E$4)&amp;"")</f>
        <v/>
      </c>
      <c r="F1156" s="43" t="str">
        <f aca="false">IF(A1156="","",IFERROR(DATEVALUE(INDEX('COOIS Raw'!$A:$GZ,ROW()-4,$F$4)),INDEX('COOIS Raw'!$A:$GZ,ROW()-4,$F$4)))</f>
        <v/>
      </c>
      <c r="G1156" s="41" t="str">
        <f aca="false">IF(A1156="","",IF(ISNA(MATCH(B1156,'Kitting Plan'!$B$6:$B$19,0)),"Not in plan","Yes"))</f>
        <v/>
      </c>
      <c r="H1156" s="41" t="str">
        <f aca="false">IF(G1156="Yes",INDEX('Kitting Plan'!$D$6:$D$19,MATCH(B1156,'Kitting Plan'!$B$6:$B$19,0)),"")</f>
        <v/>
      </c>
      <c r="I1156" s="41" t="str">
        <f aca="false">IF(A1156="","",IF(ISNUMBER(SEARCH("PRT",E1156)),D1156,0))</f>
        <v/>
      </c>
      <c r="J1156" s="41" t="str">
        <f aca="false">IF(A1156="","",IF(ISNUMBER(SEARCH("GMPS",E1156)),D1156,0))</f>
        <v/>
      </c>
      <c r="K1156" s="41" t="str">
        <f aca="false">IF(A1156="","",IF(ISNUMBER(SEARCH("DLV",E1156)),D1156,0))</f>
        <v/>
      </c>
      <c r="L1156" s="41" t="str">
        <f aca="false">IF(A1156="","",IF(K1156&gt;0,"Delivered",IF(ISNUMBER(SEARCH("CNF",E1156)),"In production",IF(J1156&gt;0,"Issued",IF(I1156&gt;0,"Kitted","Released")))))</f>
        <v/>
      </c>
      <c r="M1156" s="41" t="str">
        <f aca="false">IF(G1156&lt;&gt;"Yes","",COUNTIFS($B$6:$B$1505,B1156,$F$6:$F$1505,"&lt;"&amp;F1156)+COUNTIFS($B$6:$B$1505,B1156,$F$6:$F$1505,F1156,$A$6:$A$1505,"&lt;="&amp;A1156))</f>
        <v/>
      </c>
      <c r="N1156" s="41" t="str">
        <f aca="false">IF(M1156="","",ROUNDUP(M1156/H1156,0))</f>
        <v/>
      </c>
      <c r="O1156" s="41" t="str">
        <f aca="false">IF(N1156="","",IF(N1156&lt;='Kitting Plan'!$C$3,"Rep "&amp;N1156,"Surplus"))</f>
        <v/>
      </c>
    </row>
    <row r="1157" customFormat="false" ht="15" hidden="false" customHeight="false" outlineLevel="0" collapsed="false">
      <c r="A1157" s="40" t="str">
        <f aca="false">IF(OR($A$4=0,INDEX('COOIS Raw'!$A:$GZ,ROW()-4,$A$4)=""),"",IFERROR(--INDEX('COOIS Raw'!$A:$GZ,ROW()-4,$A$4),INDEX('COOIS Raw'!$A:$GZ,ROW()-4,$A$4)))</f>
        <v/>
      </c>
      <c r="B1157" s="41" t="str">
        <f aca="false">IF(A1157="","",TRIM(INDEX('COOIS Raw'!$A:$GZ,ROW()-4,$B$4)))</f>
        <v/>
      </c>
      <c r="C1157" s="42" t="str">
        <f aca="false">IF(OR(A1157="",$C$4=0),"",INDEX('COOIS Raw'!$A:$GZ,ROW()-4,$C$4))</f>
        <v/>
      </c>
      <c r="D1157" s="41" t="str">
        <f aca="false">IF(A1157="","",IF($D$4=0,1,IFERROR(--INDEX('COOIS Raw'!$A:$GZ,ROW()-4,$D$4),1)))</f>
        <v/>
      </c>
      <c r="E1157" s="42" t="str">
        <f aca="false">IF(A1157="","",INDEX('COOIS Raw'!$A:$GZ,ROW()-4,$E$4)&amp;"")</f>
        <v/>
      </c>
      <c r="F1157" s="43" t="str">
        <f aca="false">IF(A1157="","",IFERROR(DATEVALUE(INDEX('COOIS Raw'!$A:$GZ,ROW()-4,$F$4)),INDEX('COOIS Raw'!$A:$GZ,ROW()-4,$F$4)))</f>
        <v/>
      </c>
      <c r="G1157" s="41" t="str">
        <f aca="false">IF(A1157="","",IF(ISNA(MATCH(B1157,'Kitting Plan'!$B$6:$B$19,0)),"Not in plan","Yes"))</f>
        <v/>
      </c>
      <c r="H1157" s="41" t="str">
        <f aca="false">IF(G1157="Yes",INDEX('Kitting Plan'!$D$6:$D$19,MATCH(B1157,'Kitting Plan'!$B$6:$B$19,0)),"")</f>
        <v/>
      </c>
      <c r="I1157" s="41" t="str">
        <f aca="false">IF(A1157="","",IF(ISNUMBER(SEARCH("PRT",E1157)),D1157,0))</f>
        <v/>
      </c>
      <c r="J1157" s="41" t="str">
        <f aca="false">IF(A1157="","",IF(ISNUMBER(SEARCH("GMPS",E1157)),D1157,0))</f>
        <v/>
      </c>
      <c r="K1157" s="41" t="str">
        <f aca="false">IF(A1157="","",IF(ISNUMBER(SEARCH("DLV",E1157)),D1157,0))</f>
        <v/>
      </c>
      <c r="L1157" s="41" t="str">
        <f aca="false">IF(A1157="","",IF(K1157&gt;0,"Delivered",IF(ISNUMBER(SEARCH("CNF",E1157)),"In production",IF(J1157&gt;0,"Issued",IF(I1157&gt;0,"Kitted","Released")))))</f>
        <v/>
      </c>
      <c r="M1157" s="41" t="str">
        <f aca="false">IF(G1157&lt;&gt;"Yes","",COUNTIFS($B$6:$B$1505,B1157,$F$6:$F$1505,"&lt;"&amp;F1157)+COUNTIFS($B$6:$B$1505,B1157,$F$6:$F$1505,F1157,$A$6:$A$1505,"&lt;="&amp;A1157))</f>
        <v/>
      </c>
      <c r="N1157" s="41" t="str">
        <f aca="false">IF(M1157="","",ROUNDUP(M1157/H1157,0))</f>
        <v/>
      </c>
      <c r="O1157" s="41" t="str">
        <f aca="false">IF(N1157="","",IF(N1157&lt;='Kitting Plan'!$C$3,"Rep "&amp;N1157,"Surplus"))</f>
        <v/>
      </c>
    </row>
    <row r="1158" customFormat="false" ht="15" hidden="false" customHeight="false" outlineLevel="0" collapsed="false">
      <c r="A1158" s="40" t="str">
        <f aca="false">IF(OR($A$4=0,INDEX('COOIS Raw'!$A:$GZ,ROW()-4,$A$4)=""),"",IFERROR(--INDEX('COOIS Raw'!$A:$GZ,ROW()-4,$A$4),INDEX('COOIS Raw'!$A:$GZ,ROW()-4,$A$4)))</f>
        <v/>
      </c>
      <c r="B1158" s="41" t="str">
        <f aca="false">IF(A1158="","",TRIM(INDEX('COOIS Raw'!$A:$GZ,ROW()-4,$B$4)))</f>
        <v/>
      </c>
      <c r="C1158" s="42" t="str">
        <f aca="false">IF(OR(A1158="",$C$4=0),"",INDEX('COOIS Raw'!$A:$GZ,ROW()-4,$C$4))</f>
        <v/>
      </c>
      <c r="D1158" s="41" t="str">
        <f aca="false">IF(A1158="","",IF($D$4=0,1,IFERROR(--INDEX('COOIS Raw'!$A:$GZ,ROW()-4,$D$4),1)))</f>
        <v/>
      </c>
      <c r="E1158" s="42" t="str">
        <f aca="false">IF(A1158="","",INDEX('COOIS Raw'!$A:$GZ,ROW()-4,$E$4)&amp;"")</f>
        <v/>
      </c>
      <c r="F1158" s="43" t="str">
        <f aca="false">IF(A1158="","",IFERROR(DATEVALUE(INDEX('COOIS Raw'!$A:$GZ,ROW()-4,$F$4)),INDEX('COOIS Raw'!$A:$GZ,ROW()-4,$F$4)))</f>
        <v/>
      </c>
      <c r="G1158" s="41" t="str">
        <f aca="false">IF(A1158="","",IF(ISNA(MATCH(B1158,'Kitting Plan'!$B$6:$B$19,0)),"Not in plan","Yes"))</f>
        <v/>
      </c>
      <c r="H1158" s="41" t="str">
        <f aca="false">IF(G1158="Yes",INDEX('Kitting Plan'!$D$6:$D$19,MATCH(B1158,'Kitting Plan'!$B$6:$B$19,0)),"")</f>
        <v/>
      </c>
      <c r="I1158" s="41" t="str">
        <f aca="false">IF(A1158="","",IF(ISNUMBER(SEARCH("PRT",E1158)),D1158,0))</f>
        <v/>
      </c>
      <c r="J1158" s="41" t="str">
        <f aca="false">IF(A1158="","",IF(ISNUMBER(SEARCH("GMPS",E1158)),D1158,0))</f>
        <v/>
      </c>
      <c r="K1158" s="41" t="str">
        <f aca="false">IF(A1158="","",IF(ISNUMBER(SEARCH("DLV",E1158)),D1158,0))</f>
        <v/>
      </c>
      <c r="L1158" s="41" t="str">
        <f aca="false">IF(A1158="","",IF(K1158&gt;0,"Delivered",IF(ISNUMBER(SEARCH("CNF",E1158)),"In production",IF(J1158&gt;0,"Issued",IF(I1158&gt;0,"Kitted","Released")))))</f>
        <v/>
      </c>
      <c r="M1158" s="41" t="str">
        <f aca="false">IF(G1158&lt;&gt;"Yes","",COUNTIFS($B$6:$B$1505,B1158,$F$6:$F$1505,"&lt;"&amp;F1158)+COUNTIFS($B$6:$B$1505,B1158,$F$6:$F$1505,F1158,$A$6:$A$1505,"&lt;="&amp;A1158))</f>
        <v/>
      </c>
      <c r="N1158" s="41" t="str">
        <f aca="false">IF(M1158="","",ROUNDUP(M1158/H1158,0))</f>
        <v/>
      </c>
      <c r="O1158" s="41" t="str">
        <f aca="false">IF(N1158="","",IF(N1158&lt;='Kitting Plan'!$C$3,"Rep "&amp;N1158,"Surplus"))</f>
        <v/>
      </c>
    </row>
    <row r="1159" customFormat="false" ht="15" hidden="false" customHeight="false" outlineLevel="0" collapsed="false">
      <c r="A1159" s="40" t="str">
        <f aca="false">IF(OR($A$4=0,INDEX('COOIS Raw'!$A:$GZ,ROW()-4,$A$4)=""),"",IFERROR(--INDEX('COOIS Raw'!$A:$GZ,ROW()-4,$A$4),INDEX('COOIS Raw'!$A:$GZ,ROW()-4,$A$4)))</f>
        <v/>
      </c>
      <c r="B1159" s="41" t="str">
        <f aca="false">IF(A1159="","",TRIM(INDEX('COOIS Raw'!$A:$GZ,ROW()-4,$B$4)))</f>
        <v/>
      </c>
      <c r="C1159" s="42" t="str">
        <f aca="false">IF(OR(A1159="",$C$4=0),"",INDEX('COOIS Raw'!$A:$GZ,ROW()-4,$C$4))</f>
        <v/>
      </c>
      <c r="D1159" s="41" t="str">
        <f aca="false">IF(A1159="","",IF($D$4=0,1,IFERROR(--INDEX('COOIS Raw'!$A:$GZ,ROW()-4,$D$4),1)))</f>
        <v/>
      </c>
      <c r="E1159" s="42" t="str">
        <f aca="false">IF(A1159="","",INDEX('COOIS Raw'!$A:$GZ,ROW()-4,$E$4)&amp;"")</f>
        <v/>
      </c>
      <c r="F1159" s="43" t="str">
        <f aca="false">IF(A1159="","",IFERROR(DATEVALUE(INDEX('COOIS Raw'!$A:$GZ,ROW()-4,$F$4)),INDEX('COOIS Raw'!$A:$GZ,ROW()-4,$F$4)))</f>
        <v/>
      </c>
      <c r="G1159" s="41" t="str">
        <f aca="false">IF(A1159="","",IF(ISNA(MATCH(B1159,'Kitting Plan'!$B$6:$B$19,0)),"Not in plan","Yes"))</f>
        <v/>
      </c>
      <c r="H1159" s="41" t="str">
        <f aca="false">IF(G1159="Yes",INDEX('Kitting Plan'!$D$6:$D$19,MATCH(B1159,'Kitting Plan'!$B$6:$B$19,0)),"")</f>
        <v/>
      </c>
      <c r="I1159" s="41" t="str">
        <f aca="false">IF(A1159="","",IF(ISNUMBER(SEARCH("PRT",E1159)),D1159,0))</f>
        <v/>
      </c>
      <c r="J1159" s="41" t="str">
        <f aca="false">IF(A1159="","",IF(ISNUMBER(SEARCH("GMPS",E1159)),D1159,0))</f>
        <v/>
      </c>
      <c r="K1159" s="41" t="str">
        <f aca="false">IF(A1159="","",IF(ISNUMBER(SEARCH("DLV",E1159)),D1159,0))</f>
        <v/>
      </c>
      <c r="L1159" s="41" t="str">
        <f aca="false">IF(A1159="","",IF(K1159&gt;0,"Delivered",IF(ISNUMBER(SEARCH("CNF",E1159)),"In production",IF(J1159&gt;0,"Issued",IF(I1159&gt;0,"Kitted","Released")))))</f>
        <v/>
      </c>
      <c r="M1159" s="41" t="str">
        <f aca="false">IF(G1159&lt;&gt;"Yes","",COUNTIFS($B$6:$B$1505,B1159,$F$6:$F$1505,"&lt;"&amp;F1159)+COUNTIFS($B$6:$B$1505,B1159,$F$6:$F$1505,F1159,$A$6:$A$1505,"&lt;="&amp;A1159))</f>
        <v/>
      </c>
      <c r="N1159" s="41" t="str">
        <f aca="false">IF(M1159="","",ROUNDUP(M1159/H1159,0))</f>
        <v/>
      </c>
      <c r="O1159" s="41" t="str">
        <f aca="false">IF(N1159="","",IF(N1159&lt;='Kitting Plan'!$C$3,"Rep "&amp;N1159,"Surplus"))</f>
        <v/>
      </c>
    </row>
    <row r="1160" customFormat="false" ht="15" hidden="false" customHeight="false" outlineLevel="0" collapsed="false">
      <c r="A1160" s="40" t="str">
        <f aca="false">IF(OR($A$4=0,INDEX('COOIS Raw'!$A:$GZ,ROW()-4,$A$4)=""),"",IFERROR(--INDEX('COOIS Raw'!$A:$GZ,ROW()-4,$A$4),INDEX('COOIS Raw'!$A:$GZ,ROW()-4,$A$4)))</f>
        <v/>
      </c>
      <c r="B1160" s="41" t="str">
        <f aca="false">IF(A1160="","",TRIM(INDEX('COOIS Raw'!$A:$GZ,ROW()-4,$B$4)))</f>
        <v/>
      </c>
      <c r="C1160" s="42" t="str">
        <f aca="false">IF(OR(A1160="",$C$4=0),"",INDEX('COOIS Raw'!$A:$GZ,ROW()-4,$C$4))</f>
        <v/>
      </c>
      <c r="D1160" s="41" t="str">
        <f aca="false">IF(A1160="","",IF($D$4=0,1,IFERROR(--INDEX('COOIS Raw'!$A:$GZ,ROW()-4,$D$4),1)))</f>
        <v/>
      </c>
      <c r="E1160" s="42" t="str">
        <f aca="false">IF(A1160="","",INDEX('COOIS Raw'!$A:$GZ,ROW()-4,$E$4)&amp;"")</f>
        <v/>
      </c>
      <c r="F1160" s="43" t="str">
        <f aca="false">IF(A1160="","",IFERROR(DATEVALUE(INDEX('COOIS Raw'!$A:$GZ,ROW()-4,$F$4)),INDEX('COOIS Raw'!$A:$GZ,ROW()-4,$F$4)))</f>
        <v/>
      </c>
      <c r="G1160" s="41" t="str">
        <f aca="false">IF(A1160="","",IF(ISNA(MATCH(B1160,'Kitting Plan'!$B$6:$B$19,0)),"Not in plan","Yes"))</f>
        <v/>
      </c>
      <c r="H1160" s="41" t="str">
        <f aca="false">IF(G1160="Yes",INDEX('Kitting Plan'!$D$6:$D$19,MATCH(B1160,'Kitting Plan'!$B$6:$B$19,0)),"")</f>
        <v/>
      </c>
      <c r="I1160" s="41" t="str">
        <f aca="false">IF(A1160="","",IF(ISNUMBER(SEARCH("PRT",E1160)),D1160,0))</f>
        <v/>
      </c>
      <c r="J1160" s="41" t="str">
        <f aca="false">IF(A1160="","",IF(ISNUMBER(SEARCH("GMPS",E1160)),D1160,0))</f>
        <v/>
      </c>
      <c r="K1160" s="41" t="str">
        <f aca="false">IF(A1160="","",IF(ISNUMBER(SEARCH("DLV",E1160)),D1160,0))</f>
        <v/>
      </c>
      <c r="L1160" s="41" t="str">
        <f aca="false">IF(A1160="","",IF(K1160&gt;0,"Delivered",IF(ISNUMBER(SEARCH("CNF",E1160)),"In production",IF(J1160&gt;0,"Issued",IF(I1160&gt;0,"Kitted","Released")))))</f>
        <v/>
      </c>
      <c r="M1160" s="41" t="str">
        <f aca="false">IF(G1160&lt;&gt;"Yes","",COUNTIFS($B$6:$B$1505,B1160,$F$6:$F$1505,"&lt;"&amp;F1160)+COUNTIFS($B$6:$B$1505,B1160,$F$6:$F$1505,F1160,$A$6:$A$1505,"&lt;="&amp;A1160))</f>
        <v/>
      </c>
      <c r="N1160" s="41" t="str">
        <f aca="false">IF(M1160="","",ROUNDUP(M1160/H1160,0))</f>
        <v/>
      </c>
      <c r="O1160" s="41" t="str">
        <f aca="false">IF(N1160="","",IF(N1160&lt;='Kitting Plan'!$C$3,"Rep "&amp;N1160,"Surplus"))</f>
        <v/>
      </c>
    </row>
    <row r="1161" customFormat="false" ht="15" hidden="false" customHeight="false" outlineLevel="0" collapsed="false">
      <c r="A1161" s="40" t="str">
        <f aca="false">IF(OR($A$4=0,INDEX('COOIS Raw'!$A:$GZ,ROW()-4,$A$4)=""),"",IFERROR(--INDEX('COOIS Raw'!$A:$GZ,ROW()-4,$A$4),INDEX('COOIS Raw'!$A:$GZ,ROW()-4,$A$4)))</f>
        <v/>
      </c>
      <c r="B1161" s="41" t="str">
        <f aca="false">IF(A1161="","",TRIM(INDEX('COOIS Raw'!$A:$GZ,ROW()-4,$B$4)))</f>
        <v/>
      </c>
      <c r="C1161" s="42" t="str">
        <f aca="false">IF(OR(A1161="",$C$4=0),"",INDEX('COOIS Raw'!$A:$GZ,ROW()-4,$C$4))</f>
        <v/>
      </c>
      <c r="D1161" s="41" t="str">
        <f aca="false">IF(A1161="","",IF($D$4=0,1,IFERROR(--INDEX('COOIS Raw'!$A:$GZ,ROW()-4,$D$4),1)))</f>
        <v/>
      </c>
      <c r="E1161" s="42" t="str">
        <f aca="false">IF(A1161="","",INDEX('COOIS Raw'!$A:$GZ,ROW()-4,$E$4)&amp;"")</f>
        <v/>
      </c>
      <c r="F1161" s="43" t="str">
        <f aca="false">IF(A1161="","",IFERROR(DATEVALUE(INDEX('COOIS Raw'!$A:$GZ,ROW()-4,$F$4)),INDEX('COOIS Raw'!$A:$GZ,ROW()-4,$F$4)))</f>
        <v/>
      </c>
      <c r="G1161" s="41" t="str">
        <f aca="false">IF(A1161="","",IF(ISNA(MATCH(B1161,'Kitting Plan'!$B$6:$B$19,0)),"Not in plan","Yes"))</f>
        <v/>
      </c>
      <c r="H1161" s="41" t="str">
        <f aca="false">IF(G1161="Yes",INDEX('Kitting Plan'!$D$6:$D$19,MATCH(B1161,'Kitting Plan'!$B$6:$B$19,0)),"")</f>
        <v/>
      </c>
      <c r="I1161" s="41" t="str">
        <f aca="false">IF(A1161="","",IF(ISNUMBER(SEARCH("PRT",E1161)),D1161,0))</f>
        <v/>
      </c>
      <c r="J1161" s="41" t="str">
        <f aca="false">IF(A1161="","",IF(ISNUMBER(SEARCH("GMPS",E1161)),D1161,0))</f>
        <v/>
      </c>
      <c r="K1161" s="41" t="str">
        <f aca="false">IF(A1161="","",IF(ISNUMBER(SEARCH("DLV",E1161)),D1161,0))</f>
        <v/>
      </c>
      <c r="L1161" s="41" t="str">
        <f aca="false">IF(A1161="","",IF(K1161&gt;0,"Delivered",IF(ISNUMBER(SEARCH("CNF",E1161)),"In production",IF(J1161&gt;0,"Issued",IF(I1161&gt;0,"Kitted","Released")))))</f>
        <v/>
      </c>
      <c r="M1161" s="41" t="str">
        <f aca="false">IF(G1161&lt;&gt;"Yes","",COUNTIFS($B$6:$B$1505,B1161,$F$6:$F$1505,"&lt;"&amp;F1161)+COUNTIFS($B$6:$B$1505,B1161,$F$6:$F$1505,F1161,$A$6:$A$1505,"&lt;="&amp;A1161))</f>
        <v/>
      </c>
      <c r="N1161" s="41" t="str">
        <f aca="false">IF(M1161="","",ROUNDUP(M1161/H1161,0))</f>
        <v/>
      </c>
      <c r="O1161" s="41" t="str">
        <f aca="false">IF(N1161="","",IF(N1161&lt;='Kitting Plan'!$C$3,"Rep "&amp;N1161,"Surplus"))</f>
        <v/>
      </c>
    </row>
    <row r="1162" customFormat="false" ht="15" hidden="false" customHeight="false" outlineLevel="0" collapsed="false">
      <c r="A1162" s="40" t="str">
        <f aca="false">IF(OR($A$4=0,INDEX('COOIS Raw'!$A:$GZ,ROW()-4,$A$4)=""),"",IFERROR(--INDEX('COOIS Raw'!$A:$GZ,ROW()-4,$A$4),INDEX('COOIS Raw'!$A:$GZ,ROW()-4,$A$4)))</f>
        <v/>
      </c>
      <c r="B1162" s="41" t="str">
        <f aca="false">IF(A1162="","",TRIM(INDEX('COOIS Raw'!$A:$GZ,ROW()-4,$B$4)))</f>
        <v/>
      </c>
      <c r="C1162" s="42" t="str">
        <f aca="false">IF(OR(A1162="",$C$4=0),"",INDEX('COOIS Raw'!$A:$GZ,ROW()-4,$C$4))</f>
        <v/>
      </c>
      <c r="D1162" s="41" t="str">
        <f aca="false">IF(A1162="","",IF($D$4=0,1,IFERROR(--INDEX('COOIS Raw'!$A:$GZ,ROW()-4,$D$4),1)))</f>
        <v/>
      </c>
      <c r="E1162" s="42" t="str">
        <f aca="false">IF(A1162="","",INDEX('COOIS Raw'!$A:$GZ,ROW()-4,$E$4)&amp;"")</f>
        <v/>
      </c>
      <c r="F1162" s="43" t="str">
        <f aca="false">IF(A1162="","",IFERROR(DATEVALUE(INDEX('COOIS Raw'!$A:$GZ,ROW()-4,$F$4)),INDEX('COOIS Raw'!$A:$GZ,ROW()-4,$F$4)))</f>
        <v/>
      </c>
      <c r="G1162" s="41" t="str">
        <f aca="false">IF(A1162="","",IF(ISNA(MATCH(B1162,'Kitting Plan'!$B$6:$B$19,0)),"Not in plan","Yes"))</f>
        <v/>
      </c>
      <c r="H1162" s="41" t="str">
        <f aca="false">IF(G1162="Yes",INDEX('Kitting Plan'!$D$6:$D$19,MATCH(B1162,'Kitting Plan'!$B$6:$B$19,0)),"")</f>
        <v/>
      </c>
      <c r="I1162" s="41" t="str">
        <f aca="false">IF(A1162="","",IF(ISNUMBER(SEARCH("PRT",E1162)),D1162,0))</f>
        <v/>
      </c>
      <c r="J1162" s="41" t="str">
        <f aca="false">IF(A1162="","",IF(ISNUMBER(SEARCH("GMPS",E1162)),D1162,0))</f>
        <v/>
      </c>
      <c r="K1162" s="41" t="str">
        <f aca="false">IF(A1162="","",IF(ISNUMBER(SEARCH("DLV",E1162)),D1162,0))</f>
        <v/>
      </c>
      <c r="L1162" s="41" t="str">
        <f aca="false">IF(A1162="","",IF(K1162&gt;0,"Delivered",IF(ISNUMBER(SEARCH("CNF",E1162)),"In production",IF(J1162&gt;0,"Issued",IF(I1162&gt;0,"Kitted","Released")))))</f>
        <v/>
      </c>
      <c r="M1162" s="41" t="str">
        <f aca="false">IF(G1162&lt;&gt;"Yes","",COUNTIFS($B$6:$B$1505,B1162,$F$6:$F$1505,"&lt;"&amp;F1162)+COUNTIFS($B$6:$B$1505,B1162,$F$6:$F$1505,F1162,$A$6:$A$1505,"&lt;="&amp;A1162))</f>
        <v/>
      </c>
      <c r="N1162" s="41" t="str">
        <f aca="false">IF(M1162="","",ROUNDUP(M1162/H1162,0))</f>
        <v/>
      </c>
      <c r="O1162" s="41" t="str">
        <f aca="false">IF(N1162="","",IF(N1162&lt;='Kitting Plan'!$C$3,"Rep "&amp;N1162,"Surplus"))</f>
        <v/>
      </c>
    </row>
    <row r="1163" customFormat="false" ht="15" hidden="false" customHeight="false" outlineLevel="0" collapsed="false">
      <c r="A1163" s="40" t="str">
        <f aca="false">IF(OR($A$4=0,INDEX('COOIS Raw'!$A:$GZ,ROW()-4,$A$4)=""),"",IFERROR(--INDEX('COOIS Raw'!$A:$GZ,ROW()-4,$A$4),INDEX('COOIS Raw'!$A:$GZ,ROW()-4,$A$4)))</f>
        <v/>
      </c>
      <c r="B1163" s="41" t="str">
        <f aca="false">IF(A1163="","",TRIM(INDEX('COOIS Raw'!$A:$GZ,ROW()-4,$B$4)))</f>
        <v/>
      </c>
      <c r="C1163" s="42" t="str">
        <f aca="false">IF(OR(A1163="",$C$4=0),"",INDEX('COOIS Raw'!$A:$GZ,ROW()-4,$C$4))</f>
        <v/>
      </c>
      <c r="D1163" s="41" t="str">
        <f aca="false">IF(A1163="","",IF($D$4=0,1,IFERROR(--INDEX('COOIS Raw'!$A:$GZ,ROW()-4,$D$4),1)))</f>
        <v/>
      </c>
      <c r="E1163" s="42" t="str">
        <f aca="false">IF(A1163="","",INDEX('COOIS Raw'!$A:$GZ,ROW()-4,$E$4)&amp;"")</f>
        <v/>
      </c>
      <c r="F1163" s="43" t="str">
        <f aca="false">IF(A1163="","",IFERROR(DATEVALUE(INDEX('COOIS Raw'!$A:$GZ,ROW()-4,$F$4)),INDEX('COOIS Raw'!$A:$GZ,ROW()-4,$F$4)))</f>
        <v/>
      </c>
      <c r="G1163" s="41" t="str">
        <f aca="false">IF(A1163="","",IF(ISNA(MATCH(B1163,'Kitting Plan'!$B$6:$B$19,0)),"Not in plan","Yes"))</f>
        <v/>
      </c>
      <c r="H1163" s="41" t="str">
        <f aca="false">IF(G1163="Yes",INDEX('Kitting Plan'!$D$6:$D$19,MATCH(B1163,'Kitting Plan'!$B$6:$B$19,0)),"")</f>
        <v/>
      </c>
      <c r="I1163" s="41" t="str">
        <f aca="false">IF(A1163="","",IF(ISNUMBER(SEARCH("PRT",E1163)),D1163,0))</f>
        <v/>
      </c>
      <c r="J1163" s="41" t="str">
        <f aca="false">IF(A1163="","",IF(ISNUMBER(SEARCH("GMPS",E1163)),D1163,0))</f>
        <v/>
      </c>
      <c r="K1163" s="41" t="str">
        <f aca="false">IF(A1163="","",IF(ISNUMBER(SEARCH("DLV",E1163)),D1163,0))</f>
        <v/>
      </c>
      <c r="L1163" s="41" t="str">
        <f aca="false">IF(A1163="","",IF(K1163&gt;0,"Delivered",IF(ISNUMBER(SEARCH("CNF",E1163)),"In production",IF(J1163&gt;0,"Issued",IF(I1163&gt;0,"Kitted","Released")))))</f>
        <v/>
      </c>
      <c r="M1163" s="41" t="str">
        <f aca="false">IF(G1163&lt;&gt;"Yes","",COUNTIFS($B$6:$B$1505,B1163,$F$6:$F$1505,"&lt;"&amp;F1163)+COUNTIFS($B$6:$B$1505,B1163,$F$6:$F$1505,F1163,$A$6:$A$1505,"&lt;="&amp;A1163))</f>
        <v/>
      </c>
      <c r="N1163" s="41" t="str">
        <f aca="false">IF(M1163="","",ROUNDUP(M1163/H1163,0))</f>
        <v/>
      </c>
      <c r="O1163" s="41" t="str">
        <f aca="false">IF(N1163="","",IF(N1163&lt;='Kitting Plan'!$C$3,"Rep "&amp;N1163,"Surplus"))</f>
        <v/>
      </c>
    </row>
    <row r="1164" customFormat="false" ht="15" hidden="false" customHeight="false" outlineLevel="0" collapsed="false">
      <c r="A1164" s="40" t="str">
        <f aca="false">IF(OR($A$4=0,INDEX('COOIS Raw'!$A:$GZ,ROW()-4,$A$4)=""),"",IFERROR(--INDEX('COOIS Raw'!$A:$GZ,ROW()-4,$A$4),INDEX('COOIS Raw'!$A:$GZ,ROW()-4,$A$4)))</f>
        <v/>
      </c>
      <c r="B1164" s="41" t="str">
        <f aca="false">IF(A1164="","",TRIM(INDEX('COOIS Raw'!$A:$GZ,ROW()-4,$B$4)))</f>
        <v/>
      </c>
      <c r="C1164" s="42" t="str">
        <f aca="false">IF(OR(A1164="",$C$4=0),"",INDEX('COOIS Raw'!$A:$GZ,ROW()-4,$C$4))</f>
        <v/>
      </c>
      <c r="D1164" s="41" t="str">
        <f aca="false">IF(A1164="","",IF($D$4=0,1,IFERROR(--INDEX('COOIS Raw'!$A:$GZ,ROW()-4,$D$4),1)))</f>
        <v/>
      </c>
      <c r="E1164" s="42" t="str">
        <f aca="false">IF(A1164="","",INDEX('COOIS Raw'!$A:$GZ,ROW()-4,$E$4)&amp;"")</f>
        <v/>
      </c>
      <c r="F1164" s="43" t="str">
        <f aca="false">IF(A1164="","",IFERROR(DATEVALUE(INDEX('COOIS Raw'!$A:$GZ,ROW()-4,$F$4)),INDEX('COOIS Raw'!$A:$GZ,ROW()-4,$F$4)))</f>
        <v/>
      </c>
      <c r="G1164" s="41" t="str">
        <f aca="false">IF(A1164="","",IF(ISNA(MATCH(B1164,'Kitting Plan'!$B$6:$B$19,0)),"Not in plan","Yes"))</f>
        <v/>
      </c>
      <c r="H1164" s="41" t="str">
        <f aca="false">IF(G1164="Yes",INDEX('Kitting Plan'!$D$6:$D$19,MATCH(B1164,'Kitting Plan'!$B$6:$B$19,0)),"")</f>
        <v/>
      </c>
      <c r="I1164" s="41" t="str">
        <f aca="false">IF(A1164="","",IF(ISNUMBER(SEARCH("PRT",E1164)),D1164,0))</f>
        <v/>
      </c>
      <c r="J1164" s="41" t="str">
        <f aca="false">IF(A1164="","",IF(ISNUMBER(SEARCH("GMPS",E1164)),D1164,0))</f>
        <v/>
      </c>
      <c r="K1164" s="41" t="str">
        <f aca="false">IF(A1164="","",IF(ISNUMBER(SEARCH("DLV",E1164)),D1164,0))</f>
        <v/>
      </c>
      <c r="L1164" s="41" t="str">
        <f aca="false">IF(A1164="","",IF(K1164&gt;0,"Delivered",IF(ISNUMBER(SEARCH("CNF",E1164)),"In production",IF(J1164&gt;0,"Issued",IF(I1164&gt;0,"Kitted","Released")))))</f>
        <v/>
      </c>
      <c r="M1164" s="41" t="str">
        <f aca="false">IF(G1164&lt;&gt;"Yes","",COUNTIFS($B$6:$B$1505,B1164,$F$6:$F$1505,"&lt;"&amp;F1164)+COUNTIFS($B$6:$B$1505,B1164,$F$6:$F$1505,F1164,$A$6:$A$1505,"&lt;="&amp;A1164))</f>
        <v/>
      </c>
      <c r="N1164" s="41" t="str">
        <f aca="false">IF(M1164="","",ROUNDUP(M1164/H1164,0))</f>
        <v/>
      </c>
      <c r="O1164" s="41" t="str">
        <f aca="false">IF(N1164="","",IF(N1164&lt;='Kitting Plan'!$C$3,"Rep "&amp;N1164,"Surplus"))</f>
        <v/>
      </c>
    </row>
    <row r="1165" customFormat="false" ht="15" hidden="false" customHeight="false" outlineLevel="0" collapsed="false">
      <c r="A1165" s="40" t="str">
        <f aca="false">IF(OR($A$4=0,INDEX('COOIS Raw'!$A:$GZ,ROW()-4,$A$4)=""),"",IFERROR(--INDEX('COOIS Raw'!$A:$GZ,ROW()-4,$A$4),INDEX('COOIS Raw'!$A:$GZ,ROW()-4,$A$4)))</f>
        <v/>
      </c>
      <c r="B1165" s="41" t="str">
        <f aca="false">IF(A1165="","",TRIM(INDEX('COOIS Raw'!$A:$GZ,ROW()-4,$B$4)))</f>
        <v/>
      </c>
      <c r="C1165" s="42" t="str">
        <f aca="false">IF(OR(A1165="",$C$4=0),"",INDEX('COOIS Raw'!$A:$GZ,ROW()-4,$C$4))</f>
        <v/>
      </c>
      <c r="D1165" s="41" t="str">
        <f aca="false">IF(A1165="","",IF($D$4=0,1,IFERROR(--INDEX('COOIS Raw'!$A:$GZ,ROW()-4,$D$4),1)))</f>
        <v/>
      </c>
      <c r="E1165" s="42" t="str">
        <f aca="false">IF(A1165="","",INDEX('COOIS Raw'!$A:$GZ,ROW()-4,$E$4)&amp;"")</f>
        <v/>
      </c>
      <c r="F1165" s="43" t="str">
        <f aca="false">IF(A1165="","",IFERROR(DATEVALUE(INDEX('COOIS Raw'!$A:$GZ,ROW()-4,$F$4)),INDEX('COOIS Raw'!$A:$GZ,ROW()-4,$F$4)))</f>
        <v/>
      </c>
      <c r="G1165" s="41" t="str">
        <f aca="false">IF(A1165="","",IF(ISNA(MATCH(B1165,'Kitting Plan'!$B$6:$B$19,0)),"Not in plan","Yes"))</f>
        <v/>
      </c>
      <c r="H1165" s="41" t="str">
        <f aca="false">IF(G1165="Yes",INDEX('Kitting Plan'!$D$6:$D$19,MATCH(B1165,'Kitting Plan'!$B$6:$B$19,0)),"")</f>
        <v/>
      </c>
      <c r="I1165" s="41" t="str">
        <f aca="false">IF(A1165="","",IF(ISNUMBER(SEARCH("PRT",E1165)),D1165,0))</f>
        <v/>
      </c>
      <c r="J1165" s="41" t="str">
        <f aca="false">IF(A1165="","",IF(ISNUMBER(SEARCH("GMPS",E1165)),D1165,0))</f>
        <v/>
      </c>
      <c r="K1165" s="41" t="str">
        <f aca="false">IF(A1165="","",IF(ISNUMBER(SEARCH("DLV",E1165)),D1165,0))</f>
        <v/>
      </c>
      <c r="L1165" s="41" t="str">
        <f aca="false">IF(A1165="","",IF(K1165&gt;0,"Delivered",IF(ISNUMBER(SEARCH("CNF",E1165)),"In production",IF(J1165&gt;0,"Issued",IF(I1165&gt;0,"Kitted","Released")))))</f>
        <v/>
      </c>
      <c r="M1165" s="41" t="str">
        <f aca="false">IF(G1165&lt;&gt;"Yes","",COUNTIFS($B$6:$B$1505,B1165,$F$6:$F$1505,"&lt;"&amp;F1165)+COUNTIFS($B$6:$B$1505,B1165,$F$6:$F$1505,F1165,$A$6:$A$1505,"&lt;="&amp;A1165))</f>
        <v/>
      </c>
      <c r="N1165" s="41" t="str">
        <f aca="false">IF(M1165="","",ROUNDUP(M1165/H1165,0))</f>
        <v/>
      </c>
      <c r="O1165" s="41" t="str">
        <f aca="false">IF(N1165="","",IF(N1165&lt;='Kitting Plan'!$C$3,"Rep "&amp;N1165,"Surplus"))</f>
        <v/>
      </c>
    </row>
    <row r="1166" customFormat="false" ht="15" hidden="false" customHeight="false" outlineLevel="0" collapsed="false">
      <c r="A1166" s="40" t="str">
        <f aca="false">IF(OR($A$4=0,INDEX('COOIS Raw'!$A:$GZ,ROW()-4,$A$4)=""),"",IFERROR(--INDEX('COOIS Raw'!$A:$GZ,ROW()-4,$A$4),INDEX('COOIS Raw'!$A:$GZ,ROW()-4,$A$4)))</f>
        <v/>
      </c>
      <c r="B1166" s="41" t="str">
        <f aca="false">IF(A1166="","",TRIM(INDEX('COOIS Raw'!$A:$GZ,ROW()-4,$B$4)))</f>
        <v/>
      </c>
      <c r="C1166" s="42" t="str">
        <f aca="false">IF(OR(A1166="",$C$4=0),"",INDEX('COOIS Raw'!$A:$GZ,ROW()-4,$C$4))</f>
        <v/>
      </c>
      <c r="D1166" s="41" t="str">
        <f aca="false">IF(A1166="","",IF($D$4=0,1,IFERROR(--INDEX('COOIS Raw'!$A:$GZ,ROW()-4,$D$4),1)))</f>
        <v/>
      </c>
      <c r="E1166" s="42" t="str">
        <f aca="false">IF(A1166="","",INDEX('COOIS Raw'!$A:$GZ,ROW()-4,$E$4)&amp;"")</f>
        <v/>
      </c>
      <c r="F1166" s="43" t="str">
        <f aca="false">IF(A1166="","",IFERROR(DATEVALUE(INDEX('COOIS Raw'!$A:$GZ,ROW()-4,$F$4)),INDEX('COOIS Raw'!$A:$GZ,ROW()-4,$F$4)))</f>
        <v/>
      </c>
      <c r="G1166" s="41" t="str">
        <f aca="false">IF(A1166="","",IF(ISNA(MATCH(B1166,'Kitting Plan'!$B$6:$B$19,0)),"Not in plan","Yes"))</f>
        <v/>
      </c>
      <c r="H1166" s="41" t="str">
        <f aca="false">IF(G1166="Yes",INDEX('Kitting Plan'!$D$6:$D$19,MATCH(B1166,'Kitting Plan'!$B$6:$B$19,0)),"")</f>
        <v/>
      </c>
      <c r="I1166" s="41" t="str">
        <f aca="false">IF(A1166="","",IF(ISNUMBER(SEARCH("PRT",E1166)),D1166,0))</f>
        <v/>
      </c>
      <c r="J1166" s="41" t="str">
        <f aca="false">IF(A1166="","",IF(ISNUMBER(SEARCH("GMPS",E1166)),D1166,0))</f>
        <v/>
      </c>
      <c r="K1166" s="41" t="str">
        <f aca="false">IF(A1166="","",IF(ISNUMBER(SEARCH("DLV",E1166)),D1166,0))</f>
        <v/>
      </c>
      <c r="L1166" s="41" t="str">
        <f aca="false">IF(A1166="","",IF(K1166&gt;0,"Delivered",IF(ISNUMBER(SEARCH("CNF",E1166)),"In production",IF(J1166&gt;0,"Issued",IF(I1166&gt;0,"Kitted","Released")))))</f>
        <v/>
      </c>
      <c r="M1166" s="41" t="str">
        <f aca="false">IF(G1166&lt;&gt;"Yes","",COUNTIFS($B$6:$B$1505,B1166,$F$6:$F$1505,"&lt;"&amp;F1166)+COUNTIFS($B$6:$B$1505,B1166,$F$6:$F$1505,F1166,$A$6:$A$1505,"&lt;="&amp;A1166))</f>
        <v/>
      </c>
      <c r="N1166" s="41" t="str">
        <f aca="false">IF(M1166="","",ROUNDUP(M1166/H1166,0))</f>
        <v/>
      </c>
      <c r="O1166" s="41" t="str">
        <f aca="false">IF(N1166="","",IF(N1166&lt;='Kitting Plan'!$C$3,"Rep "&amp;N1166,"Surplus"))</f>
        <v/>
      </c>
    </row>
    <row r="1167" customFormat="false" ht="15" hidden="false" customHeight="false" outlineLevel="0" collapsed="false">
      <c r="A1167" s="40" t="str">
        <f aca="false">IF(OR($A$4=0,INDEX('COOIS Raw'!$A:$GZ,ROW()-4,$A$4)=""),"",IFERROR(--INDEX('COOIS Raw'!$A:$GZ,ROW()-4,$A$4),INDEX('COOIS Raw'!$A:$GZ,ROW()-4,$A$4)))</f>
        <v/>
      </c>
      <c r="B1167" s="41" t="str">
        <f aca="false">IF(A1167="","",TRIM(INDEX('COOIS Raw'!$A:$GZ,ROW()-4,$B$4)))</f>
        <v/>
      </c>
      <c r="C1167" s="42" t="str">
        <f aca="false">IF(OR(A1167="",$C$4=0),"",INDEX('COOIS Raw'!$A:$GZ,ROW()-4,$C$4))</f>
        <v/>
      </c>
      <c r="D1167" s="41" t="str">
        <f aca="false">IF(A1167="","",IF($D$4=0,1,IFERROR(--INDEX('COOIS Raw'!$A:$GZ,ROW()-4,$D$4),1)))</f>
        <v/>
      </c>
      <c r="E1167" s="42" t="str">
        <f aca="false">IF(A1167="","",INDEX('COOIS Raw'!$A:$GZ,ROW()-4,$E$4)&amp;"")</f>
        <v/>
      </c>
      <c r="F1167" s="43" t="str">
        <f aca="false">IF(A1167="","",IFERROR(DATEVALUE(INDEX('COOIS Raw'!$A:$GZ,ROW()-4,$F$4)),INDEX('COOIS Raw'!$A:$GZ,ROW()-4,$F$4)))</f>
        <v/>
      </c>
      <c r="G1167" s="41" t="str">
        <f aca="false">IF(A1167="","",IF(ISNA(MATCH(B1167,'Kitting Plan'!$B$6:$B$19,0)),"Not in plan","Yes"))</f>
        <v/>
      </c>
      <c r="H1167" s="41" t="str">
        <f aca="false">IF(G1167="Yes",INDEX('Kitting Plan'!$D$6:$D$19,MATCH(B1167,'Kitting Plan'!$B$6:$B$19,0)),"")</f>
        <v/>
      </c>
      <c r="I1167" s="41" t="str">
        <f aca="false">IF(A1167="","",IF(ISNUMBER(SEARCH("PRT",E1167)),D1167,0))</f>
        <v/>
      </c>
      <c r="J1167" s="41" t="str">
        <f aca="false">IF(A1167="","",IF(ISNUMBER(SEARCH("GMPS",E1167)),D1167,0))</f>
        <v/>
      </c>
      <c r="K1167" s="41" t="str">
        <f aca="false">IF(A1167="","",IF(ISNUMBER(SEARCH("DLV",E1167)),D1167,0))</f>
        <v/>
      </c>
      <c r="L1167" s="41" t="str">
        <f aca="false">IF(A1167="","",IF(K1167&gt;0,"Delivered",IF(ISNUMBER(SEARCH("CNF",E1167)),"In production",IF(J1167&gt;0,"Issued",IF(I1167&gt;0,"Kitted","Released")))))</f>
        <v/>
      </c>
      <c r="M1167" s="41" t="str">
        <f aca="false">IF(G1167&lt;&gt;"Yes","",COUNTIFS($B$6:$B$1505,B1167,$F$6:$F$1505,"&lt;"&amp;F1167)+COUNTIFS($B$6:$B$1505,B1167,$F$6:$F$1505,F1167,$A$6:$A$1505,"&lt;="&amp;A1167))</f>
        <v/>
      </c>
      <c r="N1167" s="41" t="str">
        <f aca="false">IF(M1167="","",ROUNDUP(M1167/H1167,0))</f>
        <v/>
      </c>
      <c r="O1167" s="41" t="str">
        <f aca="false">IF(N1167="","",IF(N1167&lt;='Kitting Plan'!$C$3,"Rep "&amp;N1167,"Surplus"))</f>
        <v/>
      </c>
    </row>
    <row r="1168" customFormat="false" ht="15" hidden="false" customHeight="false" outlineLevel="0" collapsed="false">
      <c r="A1168" s="40" t="str">
        <f aca="false">IF(OR($A$4=0,INDEX('COOIS Raw'!$A:$GZ,ROW()-4,$A$4)=""),"",IFERROR(--INDEX('COOIS Raw'!$A:$GZ,ROW()-4,$A$4),INDEX('COOIS Raw'!$A:$GZ,ROW()-4,$A$4)))</f>
        <v/>
      </c>
      <c r="B1168" s="41" t="str">
        <f aca="false">IF(A1168="","",TRIM(INDEX('COOIS Raw'!$A:$GZ,ROW()-4,$B$4)))</f>
        <v/>
      </c>
      <c r="C1168" s="42" t="str">
        <f aca="false">IF(OR(A1168="",$C$4=0),"",INDEX('COOIS Raw'!$A:$GZ,ROW()-4,$C$4))</f>
        <v/>
      </c>
      <c r="D1168" s="41" t="str">
        <f aca="false">IF(A1168="","",IF($D$4=0,1,IFERROR(--INDEX('COOIS Raw'!$A:$GZ,ROW()-4,$D$4),1)))</f>
        <v/>
      </c>
      <c r="E1168" s="42" t="str">
        <f aca="false">IF(A1168="","",INDEX('COOIS Raw'!$A:$GZ,ROW()-4,$E$4)&amp;"")</f>
        <v/>
      </c>
      <c r="F1168" s="43" t="str">
        <f aca="false">IF(A1168="","",IFERROR(DATEVALUE(INDEX('COOIS Raw'!$A:$GZ,ROW()-4,$F$4)),INDEX('COOIS Raw'!$A:$GZ,ROW()-4,$F$4)))</f>
        <v/>
      </c>
      <c r="G1168" s="41" t="str">
        <f aca="false">IF(A1168="","",IF(ISNA(MATCH(B1168,'Kitting Plan'!$B$6:$B$19,0)),"Not in plan","Yes"))</f>
        <v/>
      </c>
      <c r="H1168" s="41" t="str">
        <f aca="false">IF(G1168="Yes",INDEX('Kitting Plan'!$D$6:$D$19,MATCH(B1168,'Kitting Plan'!$B$6:$B$19,0)),"")</f>
        <v/>
      </c>
      <c r="I1168" s="41" t="str">
        <f aca="false">IF(A1168="","",IF(ISNUMBER(SEARCH("PRT",E1168)),D1168,0))</f>
        <v/>
      </c>
      <c r="J1168" s="41" t="str">
        <f aca="false">IF(A1168="","",IF(ISNUMBER(SEARCH("GMPS",E1168)),D1168,0))</f>
        <v/>
      </c>
      <c r="K1168" s="41" t="str">
        <f aca="false">IF(A1168="","",IF(ISNUMBER(SEARCH("DLV",E1168)),D1168,0))</f>
        <v/>
      </c>
      <c r="L1168" s="41" t="str">
        <f aca="false">IF(A1168="","",IF(K1168&gt;0,"Delivered",IF(ISNUMBER(SEARCH("CNF",E1168)),"In production",IF(J1168&gt;0,"Issued",IF(I1168&gt;0,"Kitted","Released")))))</f>
        <v/>
      </c>
      <c r="M1168" s="41" t="str">
        <f aca="false">IF(G1168&lt;&gt;"Yes","",COUNTIFS($B$6:$B$1505,B1168,$F$6:$F$1505,"&lt;"&amp;F1168)+COUNTIFS($B$6:$B$1505,B1168,$F$6:$F$1505,F1168,$A$6:$A$1505,"&lt;="&amp;A1168))</f>
        <v/>
      </c>
      <c r="N1168" s="41" t="str">
        <f aca="false">IF(M1168="","",ROUNDUP(M1168/H1168,0))</f>
        <v/>
      </c>
      <c r="O1168" s="41" t="str">
        <f aca="false">IF(N1168="","",IF(N1168&lt;='Kitting Plan'!$C$3,"Rep "&amp;N1168,"Surplus"))</f>
        <v/>
      </c>
    </row>
    <row r="1169" customFormat="false" ht="15" hidden="false" customHeight="false" outlineLevel="0" collapsed="false">
      <c r="A1169" s="40" t="str">
        <f aca="false">IF(OR($A$4=0,INDEX('COOIS Raw'!$A:$GZ,ROW()-4,$A$4)=""),"",IFERROR(--INDEX('COOIS Raw'!$A:$GZ,ROW()-4,$A$4),INDEX('COOIS Raw'!$A:$GZ,ROW()-4,$A$4)))</f>
        <v/>
      </c>
      <c r="B1169" s="41" t="str">
        <f aca="false">IF(A1169="","",TRIM(INDEX('COOIS Raw'!$A:$GZ,ROW()-4,$B$4)))</f>
        <v/>
      </c>
      <c r="C1169" s="42" t="str">
        <f aca="false">IF(OR(A1169="",$C$4=0),"",INDEX('COOIS Raw'!$A:$GZ,ROW()-4,$C$4))</f>
        <v/>
      </c>
      <c r="D1169" s="41" t="str">
        <f aca="false">IF(A1169="","",IF($D$4=0,1,IFERROR(--INDEX('COOIS Raw'!$A:$GZ,ROW()-4,$D$4),1)))</f>
        <v/>
      </c>
      <c r="E1169" s="42" t="str">
        <f aca="false">IF(A1169="","",INDEX('COOIS Raw'!$A:$GZ,ROW()-4,$E$4)&amp;"")</f>
        <v/>
      </c>
      <c r="F1169" s="43" t="str">
        <f aca="false">IF(A1169="","",IFERROR(DATEVALUE(INDEX('COOIS Raw'!$A:$GZ,ROW()-4,$F$4)),INDEX('COOIS Raw'!$A:$GZ,ROW()-4,$F$4)))</f>
        <v/>
      </c>
      <c r="G1169" s="41" t="str">
        <f aca="false">IF(A1169="","",IF(ISNA(MATCH(B1169,'Kitting Plan'!$B$6:$B$19,0)),"Not in plan","Yes"))</f>
        <v/>
      </c>
      <c r="H1169" s="41" t="str">
        <f aca="false">IF(G1169="Yes",INDEX('Kitting Plan'!$D$6:$D$19,MATCH(B1169,'Kitting Plan'!$B$6:$B$19,0)),"")</f>
        <v/>
      </c>
      <c r="I1169" s="41" t="str">
        <f aca="false">IF(A1169="","",IF(ISNUMBER(SEARCH("PRT",E1169)),D1169,0))</f>
        <v/>
      </c>
      <c r="J1169" s="41" t="str">
        <f aca="false">IF(A1169="","",IF(ISNUMBER(SEARCH("GMPS",E1169)),D1169,0))</f>
        <v/>
      </c>
      <c r="K1169" s="41" t="str">
        <f aca="false">IF(A1169="","",IF(ISNUMBER(SEARCH("DLV",E1169)),D1169,0))</f>
        <v/>
      </c>
      <c r="L1169" s="41" t="str">
        <f aca="false">IF(A1169="","",IF(K1169&gt;0,"Delivered",IF(ISNUMBER(SEARCH("CNF",E1169)),"In production",IF(J1169&gt;0,"Issued",IF(I1169&gt;0,"Kitted","Released")))))</f>
        <v/>
      </c>
      <c r="M1169" s="41" t="str">
        <f aca="false">IF(G1169&lt;&gt;"Yes","",COUNTIFS($B$6:$B$1505,B1169,$F$6:$F$1505,"&lt;"&amp;F1169)+COUNTIFS($B$6:$B$1505,B1169,$F$6:$F$1505,F1169,$A$6:$A$1505,"&lt;="&amp;A1169))</f>
        <v/>
      </c>
      <c r="N1169" s="41" t="str">
        <f aca="false">IF(M1169="","",ROUNDUP(M1169/H1169,0))</f>
        <v/>
      </c>
      <c r="O1169" s="41" t="str">
        <f aca="false">IF(N1169="","",IF(N1169&lt;='Kitting Plan'!$C$3,"Rep "&amp;N1169,"Surplus"))</f>
        <v/>
      </c>
    </row>
    <row r="1170" customFormat="false" ht="15" hidden="false" customHeight="false" outlineLevel="0" collapsed="false">
      <c r="A1170" s="40" t="str">
        <f aca="false">IF(OR($A$4=0,INDEX('COOIS Raw'!$A:$GZ,ROW()-4,$A$4)=""),"",IFERROR(--INDEX('COOIS Raw'!$A:$GZ,ROW()-4,$A$4),INDEX('COOIS Raw'!$A:$GZ,ROW()-4,$A$4)))</f>
        <v/>
      </c>
      <c r="B1170" s="41" t="str">
        <f aca="false">IF(A1170="","",TRIM(INDEX('COOIS Raw'!$A:$GZ,ROW()-4,$B$4)))</f>
        <v/>
      </c>
      <c r="C1170" s="42" t="str">
        <f aca="false">IF(OR(A1170="",$C$4=0),"",INDEX('COOIS Raw'!$A:$GZ,ROW()-4,$C$4))</f>
        <v/>
      </c>
      <c r="D1170" s="41" t="str">
        <f aca="false">IF(A1170="","",IF($D$4=0,1,IFERROR(--INDEX('COOIS Raw'!$A:$GZ,ROW()-4,$D$4),1)))</f>
        <v/>
      </c>
      <c r="E1170" s="42" t="str">
        <f aca="false">IF(A1170="","",INDEX('COOIS Raw'!$A:$GZ,ROW()-4,$E$4)&amp;"")</f>
        <v/>
      </c>
      <c r="F1170" s="43" t="str">
        <f aca="false">IF(A1170="","",IFERROR(DATEVALUE(INDEX('COOIS Raw'!$A:$GZ,ROW()-4,$F$4)),INDEX('COOIS Raw'!$A:$GZ,ROW()-4,$F$4)))</f>
        <v/>
      </c>
      <c r="G1170" s="41" t="str">
        <f aca="false">IF(A1170="","",IF(ISNA(MATCH(B1170,'Kitting Plan'!$B$6:$B$19,0)),"Not in plan","Yes"))</f>
        <v/>
      </c>
      <c r="H1170" s="41" t="str">
        <f aca="false">IF(G1170="Yes",INDEX('Kitting Plan'!$D$6:$D$19,MATCH(B1170,'Kitting Plan'!$B$6:$B$19,0)),"")</f>
        <v/>
      </c>
      <c r="I1170" s="41" t="str">
        <f aca="false">IF(A1170="","",IF(ISNUMBER(SEARCH("PRT",E1170)),D1170,0))</f>
        <v/>
      </c>
      <c r="J1170" s="41" t="str">
        <f aca="false">IF(A1170="","",IF(ISNUMBER(SEARCH("GMPS",E1170)),D1170,0))</f>
        <v/>
      </c>
      <c r="K1170" s="41" t="str">
        <f aca="false">IF(A1170="","",IF(ISNUMBER(SEARCH("DLV",E1170)),D1170,0))</f>
        <v/>
      </c>
      <c r="L1170" s="41" t="str">
        <f aca="false">IF(A1170="","",IF(K1170&gt;0,"Delivered",IF(ISNUMBER(SEARCH("CNF",E1170)),"In production",IF(J1170&gt;0,"Issued",IF(I1170&gt;0,"Kitted","Released")))))</f>
        <v/>
      </c>
      <c r="M1170" s="41" t="str">
        <f aca="false">IF(G1170&lt;&gt;"Yes","",COUNTIFS($B$6:$B$1505,B1170,$F$6:$F$1505,"&lt;"&amp;F1170)+COUNTIFS($B$6:$B$1505,B1170,$F$6:$F$1505,F1170,$A$6:$A$1505,"&lt;="&amp;A1170))</f>
        <v/>
      </c>
      <c r="N1170" s="41" t="str">
        <f aca="false">IF(M1170="","",ROUNDUP(M1170/H1170,0))</f>
        <v/>
      </c>
      <c r="O1170" s="41" t="str">
        <f aca="false">IF(N1170="","",IF(N1170&lt;='Kitting Plan'!$C$3,"Rep "&amp;N1170,"Surplus"))</f>
        <v/>
      </c>
    </row>
    <row r="1171" customFormat="false" ht="15" hidden="false" customHeight="false" outlineLevel="0" collapsed="false">
      <c r="A1171" s="40" t="str">
        <f aca="false">IF(OR($A$4=0,INDEX('COOIS Raw'!$A:$GZ,ROW()-4,$A$4)=""),"",IFERROR(--INDEX('COOIS Raw'!$A:$GZ,ROW()-4,$A$4),INDEX('COOIS Raw'!$A:$GZ,ROW()-4,$A$4)))</f>
        <v/>
      </c>
      <c r="B1171" s="41" t="str">
        <f aca="false">IF(A1171="","",TRIM(INDEX('COOIS Raw'!$A:$GZ,ROW()-4,$B$4)))</f>
        <v/>
      </c>
      <c r="C1171" s="42" t="str">
        <f aca="false">IF(OR(A1171="",$C$4=0),"",INDEX('COOIS Raw'!$A:$GZ,ROW()-4,$C$4))</f>
        <v/>
      </c>
      <c r="D1171" s="41" t="str">
        <f aca="false">IF(A1171="","",IF($D$4=0,1,IFERROR(--INDEX('COOIS Raw'!$A:$GZ,ROW()-4,$D$4),1)))</f>
        <v/>
      </c>
      <c r="E1171" s="42" t="str">
        <f aca="false">IF(A1171="","",INDEX('COOIS Raw'!$A:$GZ,ROW()-4,$E$4)&amp;"")</f>
        <v/>
      </c>
      <c r="F1171" s="43" t="str">
        <f aca="false">IF(A1171="","",IFERROR(DATEVALUE(INDEX('COOIS Raw'!$A:$GZ,ROW()-4,$F$4)),INDEX('COOIS Raw'!$A:$GZ,ROW()-4,$F$4)))</f>
        <v/>
      </c>
      <c r="G1171" s="41" t="str">
        <f aca="false">IF(A1171="","",IF(ISNA(MATCH(B1171,'Kitting Plan'!$B$6:$B$19,0)),"Not in plan","Yes"))</f>
        <v/>
      </c>
      <c r="H1171" s="41" t="str">
        <f aca="false">IF(G1171="Yes",INDEX('Kitting Plan'!$D$6:$D$19,MATCH(B1171,'Kitting Plan'!$B$6:$B$19,0)),"")</f>
        <v/>
      </c>
      <c r="I1171" s="41" t="str">
        <f aca="false">IF(A1171="","",IF(ISNUMBER(SEARCH("PRT",E1171)),D1171,0))</f>
        <v/>
      </c>
      <c r="J1171" s="41" t="str">
        <f aca="false">IF(A1171="","",IF(ISNUMBER(SEARCH("GMPS",E1171)),D1171,0))</f>
        <v/>
      </c>
      <c r="K1171" s="41" t="str">
        <f aca="false">IF(A1171="","",IF(ISNUMBER(SEARCH("DLV",E1171)),D1171,0))</f>
        <v/>
      </c>
      <c r="L1171" s="41" t="str">
        <f aca="false">IF(A1171="","",IF(K1171&gt;0,"Delivered",IF(ISNUMBER(SEARCH("CNF",E1171)),"In production",IF(J1171&gt;0,"Issued",IF(I1171&gt;0,"Kitted","Released")))))</f>
        <v/>
      </c>
      <c r="M1171" s="41" t="str">
        <f aca="false">IF(G1171&lt;&gt;"Yes","",COUNTIFS($B$6:$B$1505,B1171,$F$6:$F$1505,"&lt;"&amp;F1171)+COUNTIFS($B$6:$B$1505,B1171,$F$6:$F$1505,F1171,$A$6:$A$1505,"&lt;="&amp;A1171))</f>
        <v/>
      </c>
      <c r="N1171" s="41" t="str">
        <f aca="false">IF(M1171="","",ROUNDUP(M1171/H1171,0))</f>
        <v/>
      </c>
      <c r="O1171" s="41" t="str">
        <f aca="false">IF(N1171="","",IF(N1171&lt;='Kitting Plan'!$C$3,"Rep "&amp;N1171,"Surplus"))</f>
        <v/>
      </c>
    </row>
    <row r="1172" customFormat="false" ht="15" hidden="false" customHeight="false" outlineLevel="0" collapsed="false">
      <c r="A1172" s="40" t="str">
        <f aca="false">IF(OR($A$4=0,INDEX('COOIS Raw'!$A:$GZ,ROW()-4,$A$4)=""),"",IFERROR(--INDEX('COOIS Raw'!$A:$GZ,ROW()-4,$A$4),INDEX('COOIS Raw'!$A:$GZ,ROW()-4,$A$4)))</f>
        <v/>
      </c>
      <c r="B1172" s="41" t="str">
        <f aca="false">IF(A1172="","",TRIM(INDEX('COOIS Raw'!$A:$GZ,ROW()-4,$B$4)))</f>
        <v/>
      </c>
      <c r="C1172" s="42" t="str">
        <f aca="false">IF(OR(A1172="",$C$4=0),"",INDEX('COOIS Raw'!$A:$GZ,ROW()-4,$C$4))</f>
        <v/>
      </c>
      <c r="D1172" s="41" t="str">
        <f aca="false">IF(A1172="","",IF($D$4=0,1,IFERROR(--INDEX('COOIS Raw'!$A:$GZ,ROW()-4,$D$4),1)))</f>
        <v/>
      </c>
      <c r="E1172" s="42" t="str">
        <f aca="false">IF(A1172="","",INDEX('COOIS Raw'!$A:$GZ,ROW()-4,$E$4)&amp;"")</f>
        <v/>
      </c>
      <c r="F1172" s="43" t="str">
        <f aca="false">IF(A1172="","",IFERROR(DATEVALUE(INDEX('COOIS Raw'!$A:$GZ,ROW()-4,$F$4)),INDEX('COOIS Raw'!$A:$GZ,ROW()-4,$F$4)))</f>
        <v/>
      </c>
      <c r="G1172" s="41" t="str">
        <f aca="false">IF(A1172="","",IF(ISNA(MATCH(B1172,'Kitting Plan'!$B$6:$B$19,0)),"Not in plan","Yes"))</f>
        <v/>
      </c>
      <c r="H1172" s="41" t="str">
        <f aca="false">IF(G1172="Yes",INDEX('Kitting Plan'!$D$6:$D$19,MATCH(B1172,'Kitting Plan'!$B$6:$B$19,0)),"")</f>
        <v/>
      </c>
      <c r="I1172" s="41" t="str">
        <f aca="false">IF(A1172="","",IF(ISNUMBER(SEARCH("PRT",E1172)),D1172,0))</f>
        <v/>
      </c>
      <c r="J1172" s="41" t="str">
        <f aca="false">IF(A1172="","",IF(ISNUMBER(SEARCH("GMPS",E1172)),D1172,0))</f>
        <v/>
      </c>
      <c r="K1172" s="41" t="str">
        <f aca="false">IF(A1172="","",IF(ISNUMBER(SEARCH("DLV",E1172)),D1172,0))</f>
        <v/>
      </c>
      <c r="L1172" s="41" t="str">
        <f aca="false">IF(A1172="","",IF(K1172&gt;0,"Delivered",IF(ISNUMBER(SEARCH("CNF",E1172)),"In production",IF(J1172&gt;0,"Issued",IF(I1172&gt;0,"Kitted","Released")))))</f>
        <v/>
      </c>
      <c r="M1172" s="41" t="str">
        <f aca="false">IF(G1172&lt;&gt;"Yes","",COUNTIFS($B$6:$B$1505,B1172,$F$6:$F$1505,"&lt;"&amp;F1172)+COUNTIFS($B$6:$B$1505,B1172,$F$6:$F$1505,F1172,$A$6:$A$1505,"&lt;="&amp;A1172))</f>
        <v/>
      </c>
      <c r="N1172" s="41" t="str">
        <f aca="false">IF(M1172="","",ROUNDUP(M1172/H1172,0))</f>
        <v/>
      </c>
      <c r="O1172" s="41" t="str">
        <f aca="false">IF(N1172="","",IF(N1172&lt;='Kitting Plan'!$C$3,"Rep "&amp;N1172,"Surplus"))</f>
        <v/>
      </c>
    </row>
    <row r="1173" customFormat="false" ht="15" hidden="false" customHeight="false" outlineLevel="0" collapsed="false">
      <c r="A1173" s="40" t="str">
        <f aca="false">IF(OR($A$4=0,INDEX('COOIS Raw'!$A:$GZ,ROW()-4,$A$4)=""),"",IFERROR(--INDEX('COOIS Raw'!$A:$GZ,ROW()-4,$A$4),INDEX('COOIS Raw'!$A:$GZ,ROW()-4,$A$4)))</f>
        <v/>
      </c>
      <c r="B1173" s="41" t="str">
        <f aca="false">IF(A1173="","",TRIM(INDEX('COOIS Raw'!$A:$GZ,ROW()-4,$B$4)))</f>
        <v/>
      </c>
      <c r="C1173" s="42" t="str">
        <f aca="false">IF(OR(A1173="",$C$4=0),"",INDEX('COOIS Raw'!$A:$GZ,ROW()-4,$C$4))</f>
        <v/>
      </c>
      <c r="D1173" s="41" t="str">
        <f aca="false">IF(A1173="","",IF($D$4=0,1,IFERROR(--INDEX('COOIS Raw'!$A:$GZ,ROW()-4,$D$4),1)))</f>
        <v/>
      </c>
      <c r="E1173" s="42" t="str">
        <f aca="false">IF(A1173="","",INDEX('COOIS Raw'!$A:$GZ,ROW()-4,$E$4)&amp;"")</f>
        <v/>
      </c>
      <c r="F1173" s="43" t="str">
        <f aca="false">IF(A1173="","",IFERROR(DATEVALUE(INDEX('COOIS Raw'!$A:$GZ,ROW()-4,$F$4)),INDEX('COOIS Raw'!$A:$GZ,ROW()-4,$F$4)))</f>
        <v/>
      </c>
      <c r="G1173" s="41" t="str">
        <f aca="false">IF(A1173="","",IF(ISNA(MATCH(B1173,'Kitting Plan'!$B$6:$B$19,0)),"Not in plan","Yes"))</f>
        <v/>
      </c>
      <c r="H1173" s="41" t="str">
        <f aca="false">IF(G1173="Yes",INDEX('Kitting Plan'!$D$6:$D$19,MATCH(B1173,'Kitting Plan'!$B$6:$B$19,0)),"")</f>
        <v/>
      </c>
      <c r="I1173" s="41" t="str">
        <f aca="false">IF(A1173="","",IF(ISNUMBER(SEARCH("PRT",E1173)),D1173,0))</f>
        <v/>
      </c>
      <c r="J1173" s="41" t="str">
        <f aca="false">IF(A1173="","",IF(ISNUMBER(SEARCH("GMPS",E1173)),D1173,0))</f>
        <v/>
      </c>
      <c r="K1173" s="41" t="str">
        <f aca="false">IF(A1173="","",IF(ISNUMBER(SEARCH("DLV",E1173)),D1173,0))</f>
        <v/>
      </c>
      <c r="L1173" s="41" t="str">
        <f aca="false">IF(A1173="","",IF(K1173&gt;0,"Delivered",IF(ISNUMBER(SEARCH("CNF",E1173)),"In production",IF(J1173&gt;0,"Issued",IF(I1173&gt;0,"Kitted","Released")))))</f>
        <v/>
      </c>
      <c r="M1173" s="41" t="str">
        <f aca="false">IF(G1173&lt;&gt;"Yes","",COUNTIFS($B$6:$B$1505,B1173,$F$6:$F$1505,"&lt;"&amp;F1173)+COUNTIFS($B$6:$B$1505,B1173,$F$6:$F$1505,F1173,$A$6:$A$1505,"&lt;="&amp;A1173))</f>
        <v/>
      </c>
      <c r="N1173" s="41" t="str">
        <f aca="false">IF(M1173="","",ROUNDUP(M1173/H1173,0))</f>
        <v/>
      </c>
      <c r="O1173" s="41" t="str">
        <f aca="false">IF(N1173="","",IF(N1173&lt;='Kitting Plan'!$C$3,"Rep "&amp;N1173,"Surplus"))</f>
        <v/>
      </c>
    </row>
    <row r="1174" customFormat="false" ht="15" hidden="false" customHeight="false" outlineLevel="0" collapsed="false">
      <c r="A1174" s="40" t="str">
        <f aca="false">IF(OR($A$4=0,INDEX('COOIS Raw'!$A:$GZ,ROW()-4,$A$4)=""),"",IFERROR(--INDEX('COOIS Raw'!$A:$GZ,ROW()-4,$A$4),INDEX('COOIS Raw'!$A:$GZ,ROW()-4,$A$4)))</f>
        <v/>
      </c>
      <c r="B1174" s="41" t="str">
        <f aca="false">IF(A1174="","",TRIM(INDEX('COOIS Raw'!$A:$GZ,ROW()-4,$B$4)))</f>
        <v/>
      </c>
      <c r="C1174" s="42" t="str">
        <f aca="false">IF(OR(A1174="",$C$4=0),"",INDEX('COOIS Raw'!$A:$GZ,ROW()-4,$C$4))</f>
        <v/>
      </c>
      <c r="D1174" s="41" t="str">
        <f aca="false">IF(A1174="","",IF($D$4=0,1,IFERROR(--INDEX('COOIS Raw'!$A:$GZ,ROW()-4,$D$4),1)))</f>
        <v/>
      </c>
      <c r="E1174" s="42" t="str">
        <f aca="false">IF(A1174="","",INDEX('COOIS Raw'!$A:$GZ,ROW()-4,$E$4)&amp;"")</f>
        <v/>
      </c>
      <c r="F1174" s="43" t="str">
        <f aca="false">IF(A1174="","",IFERROR(DATEVALUE(INDEX('COOIS Raw'!$A:$GZ,ROW()-4,$F$4)),INDEX('COOIS Raw'!$A:$GZ,ROW()-4,$F$4)))</f>
        <v/>
      </c>
      <c r="G1174" s="41" t="str">
        <f aca="false">IF(A1174="","",IF(ISNA(MATCH(B1174,'Kitting Plan'!$B$6:$B$19,0)),"Not in plan","Yes"))</f>
        <v/>
      </c>
      <c r="H1174" s="41" t="str">
        <f aca="false">IF(G1174="Yes",INDEX('Kitting Plan'!$D$6:$D$19,MATCH(B1174,'Kitting Plan'!$B$6:$B$19,0)),"")</f>
        <v/>
      </c>
      <c r="I1174" s="41" t="str">
        <f aca="false">IF(A1174="","",IF(ISNUMBER(SEARCH("PRT",E1174)),D1174,0))</f>
        <v/>
      </c>
      <c r="J1174" s="41" t="str">
        <f aca="false">IF(A1174="","",IF(ISNUMBER(SEARCH("GMPS",E1174)),D1174,0))</f>
        <v/>
      </c>
      <c r="K1174" s="41" t="str">
        <f aca="false">IF(A1174="","",IF(ISNUMBER(SEARCH("DLV",E1174)),D1174,0))</f>
        <v/>
      </c>
      <c r="L1174" s="41" t="str">
        <f aca="false">IF(A1174="","",IF(K1174&gt;0,"Delivered",IF(ISNUMBER(SEARCH("CNF",E1174)),"In production",IF(J1174&gt;0,"Issued",IF(I1174&gt;0,"Kitted","Released")))))</f>
        <v/>
      </c>
      <c r="M1174" s="41" t="str">
        <f aca="false">IF(G1174&lt;&gt;"Yes","",COUNTIFS($B$6:$B$1505,B1174,$F$6:$F$1505,"&lt;"&amp;F1174)+COUNTIFS($B$6:$B$1505,B1174,$F$6:$F$1505,F1174,$A$6:$A$1505,"&lt;="&amp;A1174))</f>
        <v/>
      </c>
      <c r="N1174" s="41" t="str">
        <f aca="false">IF(M1174="","",ROUNDUP(M1174/H1174,0))</f>
        <v/>
      </c>
      <c r="O1174" s="41" t="str">
        <f aca="false">IF(N1174="","",IF(N1174&lt;='Kitting Plan'!$C$3,"Rep "&amp;N1174,"Surplus"))</f>
        <v/>
      </c>
    </row>
    <row r="1175" customFormat="false" ht="15" hidden="false" customHeight="false" outlineLevel="0" collapsed="false">
      <c r="A1175" s="40" t="str">
        <f aca="false">IF(OR($A$4=0,INDEX('COOIS Raw'!$A:$GZ,ROW()-4,$A$4)=""),"",IFERROR(--INDEX('COOIS Raw'!$A:$GZ,ROW()-4,$A$4),INDEX('COOIS Raw'!$A:$GZ,ROW()-4,$A$4)))</f>
        <v/>
      </c>
      <c r="B1175" s="41" t="str">
        <f aca="false">IF(A1175="","",TRIM(INDEX('COOIS Raw'!$A:$GZ,ROW()-4,$B$4)))</f>
        <v/>
      </c>
      <c r="C1175" s="42" t="str">
        <f aca="false">IF(OR(A1175="",$C$4=0),"",INDEX('COOIS Raw'!$A:$GZ,ROW()-4,$C$4))</f>
        <v/>
      </c>
      <c r="D1175" s="41" t="str">
        <f aca="false">IF(A1175="","",IF($D$4=0,1,IFERROR(--INDEX('COOIS Raw'!$A:$GZ,ROW()-4,$D$4),1)))</f>
        <v/>
      </c>
      <c r="E1175" s="42" t="str">
        <f aca="false">IF(A1175="","",INDEX('COOIS Raw'!$A:$GZ,ROW()-4,$E$4)&amp;"")</f>
        <v/>
      </c>
      <c r="F1175" s="43" t="str">
        <f aca="false">IF(A1175="","",IFERROR(DATEVALUE(INDEX('COOIS Raw'!$A:$GZ,ROW()-4,$F$4)),INDEX('COOIS Raw'!$A:$GZ,ROW()-4,$F$4)))</f>
        <v/>
      </c>
      <c r="G1175" s="41" t="str">
        <f aca="false">IF(A1175="","",IF(ISNA(MATCH(B1175,'Kitting Plan'!$B$6:$B$19,0)),"Not in plan","Yes"))</f>
        <v/>
      </c>
      <c r="H1175" s="41" t="str">
        <f aca="false">IF(G1175="Yes",INDEX('Kitting Plan'!$D$6:$D$19,MATCH(B1175,'Kitting Plan'!$B$6:$B$19,0)),"")</f>
        <v/>
      </c>
      <c r="I1175" s="41" t="str">
        <f aca="false">IF(A1175="","",IF(ISNUMBER(SEARCH("PRT",E1175)),D1175,0))</f>
        <v/>
      </c>
      <c r="J1175" s="41" t="str">
        <f aca="false">IF(A1175="","",IF(ISNUMBER(SEARCH("GMPS",E1175)),D1175,0))</f>
        <v/>
      </c>
      <c r="K1175" s="41" t="str">
        <f aca="false">IF(A1175="","",IF(ISNUMBER(SEARCH("DLV",E1175)),D1175,0))</f>
        <v/>
      </c>
      <c r="L1175" s="41" t="str">
        <f aca="false">IF(A1175="","",IF(K1175&gt;0,"Delivered",IF(ISNUMBER(SEARCH("CNF",E1175)),"In production",IF(J1175&gt;0,"Issued",IF(I1175&gt;0,"Kitted","Released")))))</f>
        <v/>
      </c>
      <c r="M1175" s="41" t="str">
        <f aca="false">IF(G1175&lt;&gt;"Yes","",COUNTIFS($B$6:$B$1505,B1175,$F$6:$F$1505,"&lt;"&amp;F1175)+COUNTIFS($B$6:$B$1505,B1175,$F$6:$F$1505,F1175,$A$6:$A$1505,"&lt;="&amp;A1175))</f>
        <v/>
      </c>
      <c r="N1175" s="41" t="str">
        <f aca="false">IF(M1175="","",ROUNDUP(M1175/H1175,0))</f>
        <v/>
      </c>
      <c r="O1175" s="41" t="str">
        <f aca="false">IF(N1175="","",IF(N1175&lt;='Kitting Plan'!$C$3,"Rep "&amp;N1175,"Surplus"))</f>
        <v/>
      </c>
    </row>
    <row r="1176" customFormat="false" ht="15" hidden="false" customHeight="false" outlineLevel="0" collapsed="false">
      <c r="A1176" s="40" t="str">
        <f aca="false">IF(OR($A$4=0,INDEX('COOIS Raw'!$A:$GZ,ROW()-4,$A$4)=""),"",IFERROR(--INDEX('COOIS Raw'!$A:$GZ,ROW()-4,$A$4),INDEX('COOIS Raw'!$A:$GZ,ROW()-4,$A$4)))</f>
        <v/>
      </c>
      <c r="B1176" s="41" t="str">
        <f aca="false">IF(A1176="","",TRIM(INDEX('COOIS Raw'!$A:$GZ,ROW()-4,$B$4)))</f>
        <v/>
      </c>
      <c r="C1176" s="42" t="str">
        <f aca="false">IF(OR(A1176="",$C$4=0),"",INDEX('COOIS Raw'!$A:$GZ,ROW()-4,$C$4))</f>
        <v/>
      </c>
      <c r="D1176" s="41" t="str">
        <f aca="false">IF(A1176="","",IF($D$4=0,1,IFERROR(--INDEX('COOIS Raw'!$A:$GZ,ROW()-4,$D$4),1)))</f>
        <v/>
      </c>
      <c r="E1176" s="42" t="str">
        <f aca="false">IF(A1176="","",INDEX('COOIS Raw'!$A:$GZ,ROW()-4,$E$4)&amp;"")</f>
        <v/>
      </c>
      <c r="F1176" s="43" t="str">
        <f aca="false">IF(A1176="","",IFERROR(DATEVALUE(INDEX('COOIS Raw'!$A:$GZ,ROW()-4,$F$4)),INDEX('COOIS Raw'!$A:$GZ,ROW()-4,$F$4)))</f>
        <v/>
      </c>
      <c r="G1176" s="41" t="str">
        <f aca="false">IF(A1176="","",IF(ISNA(MATCH(B1176,'Kitting Plan'!$B$6:$B$19,0)),"Not in plan","Yes"))</f>
        <v/>
      </c>
      <c r="H1176" s="41" t="str">
        <f aca="false">IF(G1176="Yes",INDEX('Kitting Plan'!$D$6:$D$19,MATCH(B1176,'Kitting Plan'!$B$6:$B$19,0)),"")</f>
        <v/>
      </c>
      <c r="I1176" s="41" t="str">
        <f aca="false">IF(A1176="","",IF(ISNUMBER(SEARCH("PRT",E1176)),D1176,0))</f>
        <v/>
      </c>
      <c r="J1176" s="41" t="str">
        <f aca="false">IF(A1176="","",IF(ISNUMBER(SEARCH("GMPS",E1176)),D1176,0))</f>
        <v/>
      </c>
      <c r="K1176" s="41" t="str">
        <f aca="false">IF(A1176="","",IF(ISNUMBER(SEARCH("DLV",E1176)),D1176,0))</f>
        <v/>
      </c>
      <c r="L1176" s="41" t="str">
        <f aca="false">IF(A1176="","",IF(K1176&gt;0,"Delivered",IF(ISNUMBER(SEARCH("CNF",E1176)),"In production",IF(J1176&gt;0,"Issued",IF(I1176&gt;0,"Kitted","Released")))))</f>
        <v/>
      </c>
      <c r="M1176" s="41" t="str">
        <f aca="false">IF(G1176&lt;&gt;"Yes","",COUNTIFS($B$6:$B$1505,B1176,$F$6:$F$1505,"&lt;"&amp;F1176)+COUNTIFS($B$6:$B$1505,B1176,$F$6:$F$1505,F1176,$A$6:$A$1505,"&lt;="&amp;A1176))</f>
        <v/>
      </c>
      <c r="N1176" s="41" t="str">
        <f aca="false">IF(M1176="","",ROUNDUP(M1176/H1176,0))</f>
        <v/>
      </c>
      <c r="O1176" s="41" t="str">
        <f aca="false">IF(N1176="","",IF(N1176&lt;='Kitting Plan'!$C$3,"Rep "&amp;N1176,"Surplus"))</f>
        <v/>
      </c>
    </row>
    <row r="1177" customFormat="false" ht="15" hidden="false" customHeight="false" outlineLevel="0" collapsed="false">
      <c r="A1177" s="40" t="str">
        <f aca="false">IF(OR($A$4=0,INDEX('COOIS Raw'!$A:$GZ,ROW()-4,$A$4)=""),"",IFERROR(--INDEX('COOIS Raw'!$A:$GZ,ROW()-4,$A$4),INDEX('COOIS Raw'!$A:$GZ,ROW()-4,$A$4)))</f>
        <v/>
      </c>
      <c r="B1177" s="41" t="str">
        <f aca="false">IF(A1177="","",TRIM(INDEX('COOIS Raw'!$A:$GZ,ROW()-4,$B$4)))</f>
        <v/>
      </c>
      <c r="C1177" s="42" t="str">
        <f aca="false">IF(OR(A1177="",$C$4=0),"",INDEX('COOIS Raw'!$A:$GZ,ROW()-4,$C$4))</f>
        <v/>
      </c>
      <c r="D1177" s="41" t="str">
        <f aca="false">IF(A1177="","",IF($D$4=0,1,IFERROR(--INDEX('COOIS Raw'!$A:$GZ,ROW()-4,$D$4),1)))</f>
        <v/>
      </c>
      <c r="E1177" s="42" t="str">
        <f aca="false">IF(A1177="","",INDEX('COOIS Raw'!$A:$GZ,ROW()-4,$E$4)&amp;"")</f>
        <v/>
      </c>
      <c r="F1177" s="43" t="str">
        <f aca="false">IF(A1177="","",IFERROR(DATEVALUE(INDEX('COOIS Raw'!$A:$GZ,ROW()-4,$F$4)),INDEX('COOIS Raw'!$A:$GZ,ROW()-4,$F$4)))</f>
        <v/>
      </c>
      <c r="G1177" s="41" t="str">
        <f aca="false">IF(A1177="","",IF(ISNA(MATCH(B1177,'Kitting Plan'!$B$6:$B$19,0)),"Not in plan","Yes"))</f>
        <v/>
      </c>
      <c r="H1177" s="41" t="str">
        <f aca="false">IF(G1177="Yes",INDEX('Kitting Plan'!$D$6:$D$19,MATCH(B1177,'Kitting Plan'!$B$6:$B$19,0)),"")</f>
        <v/>
      </c>
      <c r="I1177" s="41" t="str">
        <f aca="false">IF(A1177="","",IF(ISNUMBER(SEARCH("PRT",E1177)),D1177,0))</f>
        <v/>
      </c>
      <c r="J1177" s="41" t="str">
        <f aca="false">IF(A1177="","",IF(ISNUMBER(SEARCH("GMPS",E1177)),D1177,0))</f>
        <v/>
      </c>
      <c r="K1177" s="41" t="str">
        <f aca="false">IF(A1177="","",IF(ISNUMBER(SEARCH("DLV",E1177)),D1177,0))</f>
        <v/>
      </c>
      <c r="L1177" s="41" t="str">
        <f aca="false">IF(A1177="","",IF(K1177&gt;0,"Delivered",IF(ISNUMBER(SEARCH("CNF",E1177)),"In production",IF(J1177&gt;0,"Issued",IF(I1177&gt;0,"Kitted","Released")))))</f>
        <v/>
      </c>
      <c r="M1177" s="41" t="str">
        <f aca="false">IF(G1177&lt;&gt;"Yes","",COUNTIFS($B$6:$B$1505,B1177,$F$6:$F$1505,"&lt;"&amp;F1177)+COUNTIFS($B$6:$B$1505,B1177,$F$6:$F$1505,F1177,$A$6:$A$1505,"&lt;="&amp;A1177))</f>
        <v/>
      </c>
      <c r="N1177" s="41" t="str">
        <f aca="false">IF(M1177="","",ROUNDUP(M1177/H1177,0))</f>
        <v/>
      </c>
      <c r="O1177" s="41" t="str">
        <f aca="false">IF(N1177="","",IF(N1177&lt;='Kitting Plan'!$C$3,"Rep "&amp;N1177,"Surplus"))</f>
        <v/>
      </c>
    </row>
    <row r="1178" customFormat="false" ht="15" hidden="false" customHeight="false" outlineLevel="0" collapsed="false">
      <c r="A1178" s="40" t="str">
        <f aca="false">IF(OR($A$4=0,INDEX('COOIS Raw'!$A:$GZ,ROW()-4,$A$4)=""),"",IFERROR(--INDEX('COOIS Raw'!$A:$GZ,ROW()-4,$A$4),INDEX('COOIS Raw'!$A:$GZ,ROW()-4,$A$4)))</f>
        <v/>
      </c>
      <c r="B1178" s="41" t="str">
        <f aca="false">IF(A1178="","",TRIM(INDEX('COOIS Raw'!$A:$GZ,ROW()-4,$B$4)))</f>
        <v/>
      </c>
      <c r="C1178" s="42" t="str">
        <f aca="false">IF(OR(A1178="",$C$4=0),"",INDEX('COOIS Raw'!$A:$GZ,ROW()-4,$C$4))</f>
        <v/>
      </c>
      <c r="D1178" s="41" t="str">
        <f aca="false">IF(A1178="","",IF($D$4=0,1,IFERROR(--INDEX('COOIS Raw'!$A:$GZ,ROW()-4,$D$4),1)))</f>
        <v/>
      </c>
      <c r="E1178" s="42" t="str">
        <f aca="false">IF(A1178="","",INDEX('COOIS Raw'!$A:$GZ,ROW()-4,$E$4)&amp;"")</f>
        <v/>
      </c>
      <c r="F1178" s="43" t="str">
        <f aca="false">IF(A1178="","",IFERROR(DATEVALUE(INDEX('COOIS Raw'!$A:$GZ,ROW()-4,$F$4)),INDEX('COOIS Raw'!$A:$GZ,ROW()-4,$F$4)))</f>
        <v/>
      </c>
      <c r="G1178" s="41" t="str">
        <f aca="false">IF(A1178="","",IF(ISNA(MATCH(B1178,'Kitting Plan'!$B$6:$B$19,0)),"Not in plan","Yes"))</f>
        <v/>
      </c>
      <c r="H1178" s="41" t="str">
        <f aca="false">IF(G1178="Yes",INDEX('Kitting Plan'!$D$6:$D$19,MATCH(B1178,'Kitting Plan'!$B$6:$B$19,0)),"")</f>
        <v/>
      </c>
      <c r="I1178" s="41" t="str">
        <f aca="false">IF(A1178="","",IF(ISNUMBER(SEARCH("PRT",E1178)),D1178,0))</f>
        <v/>
      </c>
      <c r="J1178" s="41" t="str">
        <f aca="false">IF(A1178="","",IF(ISNUMBER(SEARCH("GMPS",E1178)),D1178,0))</f>
        <v/>
      </c>
      <c r="K1178" s="41" t="str">
        <f aca="false">IF(A1178="","",IF(ISNUMBER(SEARCH("DLV",E1178)),D1178,0))</f>
        <v/>
      </c>
      <c r="L1178" s="41" t="str">
        <f aca="false">IF(A1178="","",IF(K1178&gt;0,"Delivered",IF(ISNUMBER(SEARCH("CNF",E1178)),"In production",IF(J1178&gt;0,"Issued",IF(I1178&gt;0,"Kitted","Released")))))</f>
        <v/>
      </c>
      <c r="M1178" s="41" t="str">
        <f aca="false">IF(G1178&lt;&gt;"Yes","",COUNTIFS($B$6:$B$1505,B1178,$F$6:$F$1505,"&lt;"&amp;F1178)+COUNTIFS($B$6:$B$1505,B1178,$F$6:$F$1505,F1178,$A$6:$A$1505,"&lt;="&amp;A1178))</f>
        <v/>
      </c>
      <c r="N1178" s="41" t="str">
        <f aca="false">IF(M1178="","",ROUNDUP(M1178/H1178,0))</f>
        <v/>
      </c>
      <c r="O1178" s="41" t="str">
        <f aca="false">IF(N1178="","",IF(N1178&lt;='Kitting Plan'!$C$3,"Rep "&amp;N1178,"Surplus"))</f>
        <v/>
      </c>
    </row>
    <row r="1179" customFormat="false" ht="15" hidden="false" customHeight="false" outlineLevel="0" collapsed="false">
      <c r="A1179" s="40" t="str">
        <f aca="false">IF(OR($A$4=0,INDEX('COOIS Raw'!$A:$GZ,ROW()-4,$A$4)=""),"",IFERROR(--INDEX('COOIS Raw'!$A:$GZ,ROW()-4,$A$4),INDEX('COOIS Raw'!$A:$GZ,ROW()-4,$A$4)))</f>
        <v/>
      </c>
      <c r="B1179" s="41" t="str">
        <f aca="false">IF(A1179="","",TRIM(INDEX('COOIS Raw'!$A:$GZ,ROW()-4,$B$4)))</f>
        <v/>
      </c>
      <c r="C1179" s="42" t="str">
        <f aca="false">IF(OR(A1179="",$C$4=0),"",INDEX('COOIS Raw'!$A:$GZ,ROW()-4,$C$4))</f>
        <v/>
      </c>
      <c r="D1179" s="41" t="str">
        <f aca="false">IF(A1179="","",IF($D$4=0,1,IFERROR(--INDEX('COOIS Raw'!$A:$GZ,ROW()-4,$D$4),1)))</f>
        <v/>
      </c>
      <c r="E1179" s="42" t="str">
        <f aca="false">IF(A1179="","",INDEX('COOIS Raw'!$A:$GZ,ROW()-4,$E$4)&amp;"")</f>
        <v/>
      </c>
      <c r="F1179" s="43" t="str">
        <f aca="false">IF(A1179="","",IFERROR(DATEVALUE(INDEX('COOIS Raw'!$A:$GZ,ROW()-4,$F$4)),INDEX('COOIS Raw'!$A:$GZ,ROW()-4,$F$4)))</f>
        <v/>
      </c>
      <c r="G1179" s="41" t="str">
        <f aca="false">IF(A1179="","",IF(ISNA(MATCH(B1179,'Kitting Plan'!$B$6:$B$19,0)),"Not in plan","Yes"))</f>
        <v/>
      </c>
      <c r="H1179" s="41" t="str">
        <f aca="false">IF(G1179="Yes",INDEX('Kitting Plan'!$D$6:$D$19,MATCH(B1179,'Kitting Plan'!$B$6:$B$19,0)),"")</f>
        <v/>
      </c>
      <c r="I1179" s="41" t="str">
        <f aca="false">IF(A1179="","",IF(ISNUMBER(SEARCH("PRT",E1179)),D1179,0))</f>
        <v/>
      </c>
      <c r="J1179" s="41" t="str">
        <f aca="false">IF(A1179="","",IF(ISNUMBER(SEARCH("GMPS",E1179)),D1179,0))</f>
        <v/>
      </c>
      <c r="K1179" s="41" t="str">
        <f aca="false">IF(A1179="","",IF(ISNUMBER(SEARCH("DLV",E1179)),D1179,0))</f>
        <v/>
      </c>
      <c r="L1179" s="41" t="str">
        <f aca="false">IF(A1179="","",IF(K1179&gt;0,"Delivered",IF(ISNUMBER(SEARCH("CNF",E1179)),"In production",IF(J1179&gt;0,"Issued",IF(I1179&gt;0,"Kitted","Released")))))</f>
        <v/>
      </c>
      <c r="M1179" s="41" t="str">
        <f aca="false">IF(G1179&lt;&gt;"Yes","",COUNTIFS($B$6:$B$1505,B1179,$F$6:$F$1505,"&lt;"&amp;F1179)+COUNTIFS($B$6:$B$1505,B1179,$F$6:$F$1505,F1179,$A$6:$A$1505,"&lt;="&amp;A1179))</f>
        <v/>
      </c>
      <c r="N1179" s="41" t="str">
        <f aca="false">IF(M1179="","",ROUNDUP(M1179/H1179,0))</f>
        <v/>
      </c>
      <c r="O1179" s="41" t="str">
        <f aca="false">IF(N1179="","",IF(N1179&lt;='Kitting Plan'!$C$3,"Rep "&amp;N1179,"Surplus"))</f>
        <v/>
      </c>
    </row>
    <row r="1180" customFormat="false" ht="15" hidden="false" customHeight="false" outlineLevel="0" collapsed="false">
      <c r="A1180" s="40" t="str">
        <f aca="false">IF(OR($A$4=0,INDEX('COOIS Raw'!$A:$GZ,ROW()-4,$A$4)=""),"",IFERROR(--INDEX('COOIS Raw'!$A:$GZ,ROW()-4,$A$4),INDEX('COOIS Raw'!$A:$GZ,ROW()-4,$A$4)))</f>
        <v/>
      </c>
      <c r="B1180" s="41" t="str">
        <f aca="false">IF(A1180="","",TRIM(INDEX('COOIS Raw'!$A:$GZ,ROW()-4,$B$4)))</f>
        <v/>
      </c>
      <c r="C1180" s="42" t="str">
        <f aca="false">IF(OR(A1180="",$C$4=0),"",INDEX('COOIS Raw'!$A:$GZ,ROW()-4,$C$4))</f>
        <v/>
      </c>
      <c r="D1180" s="41" t="str">
        <f aca="false">IF(A1180="","",IF($D$4=0,1,IFERROR(--INDEX('COOIS Raw'!$A:$GZ,ROW()-4,$D$4),1)))</f>
        <v/>
      </c>
      <c r="E1180" s="42" t="str">
        <f aca="false">IF(A1180="","",INDEX('COOIS Raw'!$A:$GZ,ROW()-4,$E$4)&amp;"")</f>
        <v/>
      </c>
      <c r="F1180" s="43" t="str">
        <f aca="false">IF(A1180="","",IFERROR(DATEVALUE(INDEX('COOIS Raw'!$A:$GZ,ROW()-4,$F$4)),INDEX('COOIS Raw'!$A:$GZ,ROW()-4,$F$4)))</f>
        <v/>
      </c>
      <c r="G1180" s="41" t="str">
        <f aca="false">IF(A1180="","",IF(ISNA(MATCH(B1180,'Kitting Plan'!$B$6:$B$19,0)),"Not in plan","Yes"))</f>
        <v/>
      </c>
      <c r="H1180" s="41" t="str">
        <f aca="false">IF(G1180="Yes",INDEX('Kitting Plan'!$D$6:$D$19,MATCH(B1180,'Kitting Plan'!$B$6:$B$19,0)),"")</f>
        <v/>
      </c>
      <c r="I1180" s="41" t="str">
        <f aca="false">IF(A1180="","",IF(ISNUMBER(SEARCH("PRT",E1180)),D1180,0))</f>
        <v/>
      </c>
      <c r="J1180" s="41" t="str">
        <f aca="false">IF(A1180="","",IF(ISNUMBER(SEARCH("GMPS",E1180)),D1180,0))</f>
        <v/>
      </c>
      <c r="K1180" s="41" t="str">
        <f aca="false">IF(A1180="","",IF(ISNUMBER(SEARCH("DLV",E1180)),D1180,0))</f>
        <v/>
      </c>
      <c r="L1180" s="41" t="str">
        <f aca="false">IF(A1180="","",IF(K1180&gt;0,"Delivered",IF(ISNUMBER(SEARCH("CNF",E1180)),"In production",IF(J1180&gt;0,"Issued",IF(I1180&gt;0,"Kitted","Released")))))</f>
        <v/>
      </c>
      <c r="M1180" s="41" t="str">
        <f aca="false">IF(G1180&lt;&gt;"Yes","",COUNTIFS($B$6:$B$1505,B1180,$F$6:$F$1505,"&lt;"&amp;F1180)+COUNTIFS($B$6:$B$1505,B1180,$F$6:$F$1505,F1180,$A$6:$A$1505,"&lt;="&amp;A1180))</f>
        <v/>
      </c>
      <c r="N1180" s="41" t="str">
        <f aca="false">IF(M1180="","",ROUNDUP(M1180/H1180,0))</f>
        <v/>
      </c>
      <c r="O1180" s="41" t="str">
        <f aca="false">IF(N1180="","",IF(N1180&lt;='Kitting Plan'!$C$3,"Rep "&amp;N1180,"Surplus"))</f>
        <v/>
      </c>
    </row>
    <row r="1181" customFormat="false" ht="15" hidden="false" customHeight="false" outlineLevel="0" collapsed="false">
      <c r="A1181" s="40" t="str">
        <f aca="false">IF(OR($A$4=0,INDEX('COOIS Raw'!$A:$GZ,ROW()-4,$A$4)=""),"",IFERROR(--INDEX('COOIS Raw'!$A:$GZ,ROW()-4,$A$4),INDEX('COOIS Raw'!$A:$GZ,ROW()-4,$A$4)))</f>
        <v/>
      </c>
      <c r="B1181" s="41" t="str">
        <f aca="false">IF(A1181="","",TRIM(INDEX('COOIS Raw'!$A:$GZ,ROW()-4,$B$4)))</f>
        <v/>
      </c>
      <c r="C1181" s="42" t="str">
        <f aca="false">IF(OR(A1181="",$C$4=0),"",INDEX('COOIS Raw'!$A:$GZ,ROW()-4,$C$4))</f>
        <v/>
      </c>
      <c r="D1181" s="41" t="str">
        <f aca="false">IF(A1181="","",IF($D$4=0,1,IFERROR(--INDEX('COOIS Raw'!$A:$GZ,ROW()-4,$D$4),1)))</f>
        <v/>
      </c>
      <c r="E1181" s="42" t="str">
        <f aca="false">IF(A1181="","",INDEX('COOIS Raw'!$A:$GZ,ROW()-4,$E$4)&amp;"")</f>
        <v/>
      </c>
      <c r="F1181" s="43" t="str">
        <f aca="false">IF(A1181="","",IFERROR(DATEVALUE(INDEX('COOIS Raw'!$A:$GZ,ROW()-4,$F$4)),INDEX('COOIS Raw'!$A:$GZ,ROW()-4,$F$4)))</f>
        <v/>
      </c>
      <c r="G1181" s="41" t="str">
        <f aca="false">IF(A1181="","",IF(ISNA(MATCH(B1181,'Kitting Plan'!$B$6:$B$19,0)),"Not in plan","Yes"))</f>
        <v/>
      </c>
      <c r="H1181" s="41" t="str">
        <f aca="false">IF(G1181="Yes",INDEX('Kitting Plan'!$D$6:$D$19,MATCH(B1181,'Kitting Plan'!$B$6:$B$19,0)),"")</f>
        <v/>
      </c>
      <c r="I1181" s="41" t="str">
        <f aca="false">IF(A1181="","",IF(ISNUMBER(SEARCH("PRT",E1181)),D1181,0))</f>
        <v/>
      </c>
      <c r="J1181" s="41" t="str">
        <f aca="false">IF(A1181="","",IF(ISNUMBER(SEARCH("GMPS",E1181)),D1181,0))</f>
        <v/>
      </c>
      <c r="K1181" s="41" t="str">
        <f aca="false">IF(A1181="","",IF(ISNUMBER(SEARCH("DLV",E1181)),D1181,0))</f>
        <v/>
      </c>
      <c r="L1181" s="41" t="str">
        <f aca="false">IF(A1181="","",IF(K1181&gt;0,"Delivered",IF(ISNUMBER(SEARCH("CNF",E1181)),"In production",IF(J1181&gt;0,"Issued",IF(I1181&gt;0,"Kitted","Released")))))</f>
        <v/>
      </c>
      <c r="M1181" s="41" t="str">
        <f aca="false">IF(G1181&lt;&gt;"Yes","",COUNTIFS($B$6:$B$1505,B1181,$F$6:$F$1505,"&lt;"&amp;F1181)+COUNTIFS($B$6:$B$1505,B1181,$F$6:$F$1505,F1181,$A$6:$A$1505,"&lt;="&amp;A1181))</f>
        <v/>
      </c>
      <c r="N1181" s="41" t="str">
        <f aca="false">IF(M1181="","",ROUNDUP(M1181/H1181,0))</f>
        <v/>
      </c>
      <c r="O1181" s="41" t="str">
        <f aca="false">IF(N1181="","",IF(N1181&lt;='Kitting Plan'!$C$3,"Rep "&amp;N1181,"Surplus"))</f>
        <v/>
      </c>
    </row>
    <row r="1182" customFormat="false" ht="15" hidden="false" customHeight="false" outlineLevel="0" collapsed="false">
      <c r="A1182" s="40" t="str">
        <f aca="false">IF(OR($A$4=0,INDEX('COOIS Raw'!$A:$GZ,ROW()-4,$A$4)=""),"",IFERROR(--INDEX('COOIS Raw'!$A:$GZ,ROW()-4,$A$4),INDEX('COOIS Raw'!$A:$GZ,ROW()-4,$A$4)))</f>
        <v/>
      </c>
      <c r="B1182" s="41" t="str">
        <f aca="false">IF(A1182="","",TRIM(INDEX('COOIS Raw'!$A:$GZ,ROW()-4,$B$4)))</f>
        <v/>
      </c>
      <c r="C1182" s="42" t="str">
        <f aca="false">IF(OR(A1182="",$C$4=0),"",INDEX('COOIS Raw'!$A:$GZ,ROW()-4,$C$4))</f>
        <v/>
      </c>
      <c r="D1182" s="41" t="str">
        <f aca="false">IF(A1182="","",IF($D$4=0,1,IFERROR(--INDEX('COOIS Raw'!$A:$GZ,ROW()-4,$D$4),1)))</f>
        <v/>
      </c>
      <c r="E1182" s="42" t="str">
        <f aca="false">IF(A1182="","",INDEX('COOIS Raw'!$A:$GZ,ROW()-4,$E$4)&amp;"")</f>
        <v/>
      </c>
      <c r="F1182" s="43" t="str">
        <f aca="false">IF(A1182="","",IFERROR(DATEVALUE(INDEX('COOIS Raw'!$A:$GZ,ROW()-4,$F$4)),INDEX('COOIS Raw'!$A:$GZ,ROW()-4,$F$4)))</f>
        <v/>
      </c>
      <c r="G1182" s="41" t="str">
        <f aca="false">IF(A1182="","",IF(ISNA(MATCH(B1182,'Kitting Plan'!$B$6:$B$19,0)),"Not in plan","Yes"))</f>
        <v/>
      </c>
      <c r="H1182" s="41" t="str">
        <f aca="false">IF(G1182="Yes",INDEX('Kitting Plan'!$D$6:$D$19,MATCH(B1182,'Kitting Plan'!$B$6:$B$19,0)),"")</f>
        <v/>
      </c>
      <c r="I1182" s="41" t="str">
        <f aca="false">IF(A1182="","",IF(ISNUMBER(SEARCH("PRT",E1182)),D1182,0))</f>
        <v/>
      </c>
      <c r="J1182" s="41" t="str">
        <f aca="false">IF(A1182="","",IF(ISNUMBER(SEARCH("GMPS",E1182)),D1182,0))</f>
        <v/>
      </c>
      <c r="K1182" s="41" t="str">
        <f aca="false">IF(A1182="","",IF(ISNUMBER(SEARCH("DLV",E1182)),D1182,0))</f>
        <v/>
      </c>
      <c r="L1182" s="41" t="str">
        <f aca="false">IF(A1182="","",IF(K1182&gt;0,"Delivered",IF(ISNUMBER(SEARCH("CNF",E1182)),"In production",IF(J1182&gt;0,"Issued",IF(I1182&gt;0,"Kitted","Released")))))</f>
        <v/>
      </c>
      <c r="M1182" s="41" t="str">
        <f aca="false">IF(G1182&lt;&gt;"Yes","",COUNTIFS($B$6:$B$1505,B1182,$F$6:$F$1505,"&lt;"&amp;F1182)+COUNTIFS($B$6:$B$1505,B1182,$F$6:$F$1505,F1182,$A$6:$A$1505,"&lt;="&amp;A1182))</f>
        <v/>
      </c>
      <c r="N1182" s="41" t="str">
        <f aca="false">IF(M1182="","",ROUNDUP(M1182/H1182,0))</f>
        <v/>
      </c>
      <c r="O1182" s="41" t="str">
        <f aca="false">IF(N1182="","",IF(N1182&lt;='Kitting Plan'!$C$3,"Rep "&amp;N1182,"Surplus"))</f>
        <v/>
      </c>
    </row>
    <row r="1183" customFormat="false" ht="15" hidden="false" customHeight="false" outlineLevel="0" collapsed="false">
      <c r="A1183" s="40" t="str">
        <f aca="false">IF(OR($A$4=0,INDEX('COOIS Raw'!$A:$GZ,ROW()-4,$A$4)=""),"",IFERROR(--INDEX('COOIS Raw'!$A:$GZ,ROW()-4,$A$4),INDEX('COOIS Raw'!$A:$GZ,ROW()-4,$A$4)))</f>
        <v/>
      </c>
      <c r="B1183" s="41" t="str">
        <f aca="false">IF(A1183="","",TRIM(INDEX('COOIS Raw'!$A:$GZ,ROW()-4,$B$4)))</f>
        <v/>
      </c>
      <c r="C1183" s="42" t="str">
        <f aca="false">IF(OR(A1183="",$C$4=0),"",INDEX('COOIS Raw'!$A:$GZ,ROW()-4,$C$4))</f>
        <v/>
      </c>
      <c r="D1183" s="41" t="str">
        <f aca="false">IF(A1183="","",IF($D$4=0,1,IFERROR(--INDEX('COOIS Raw'!$A:$GZ,ROW()-4,$D$4),1)))</f>
        <v/>
      </c>
      <c r="E1183" s="42" t="str">
        <f aca="false">IF(A1183="","",INDEX('COOIS Raw'!$A:$GZ,ROW()-4,$E$4)&amp;"")</f>
        <v/>
      </c>
      <c r="F1183" s="43" t="str">
        <f aca="false">IF(A1183="","",IFERROR(DATEVALUE(INDEX('COOIS Raw'!$A:$GZ,ROW()-4,$F$4)),INDEX('COOIS Raw'!$A:$GZ,ROW()-4,$F$4)))</f>
        <v/>
      </c>
      <c r="G1183" s="41" t="str">
        <f aca="false">IF(A1183="","",IF(ISNA(MATCH(B1183,'Kitting Plan'!$B$6:$B$19,0)),"Not in plan","Yes"))</f>
        <v/>
      </c>
      <c r="H1183" s="41" t="str">
        <f aca="false">IF(G1183="Yes",INDEX('Kitting Plan'!$D$6:$D$19,MATCH(B1183,'Kitting Plan'!$B$6:$B$19,0)),"")</f>
        <v/>
      </c>
      <c r="I1183" s="41" t="str">
        <f aca="false">IF(A1183="","",IF(ISNUMBER(SEARCH("PRT",E1183)),D1183,0))</f>
        <v/>
      </c>
      <c r="J1183" s="41" t="str">
        <f aca="false">IF(A1183="","",IF(ISNUMBER(SEARCH("GMPS",E1183)),D1183,0))</f>
        <v/>
      </c>
      <c r="K1183" s="41" t="str">
        <f aca="false">IF(A1183="","",IF(ISNUMBER(SEARCH("DLV",E1183)),D1183,0))</f>
        <v/>
      </c>
      <c r="L1183" s="41" t="str">
        <f aca="false">IF(A1183="","",IF(K1183&gt;0,"Delivered",IF(ISNUMBER(SEARCH("CNF",E1183)),"In production",IF(J1183&gt;0,"Issued",IF(I1183&gt;0,"Kitted","Released")))))</f>
        <v/>
      </c>
      <c r="M1183" s="41" t="str">
        <f aca="false">IF(G1183&lt;&gt;"Yes","",COUNTIFS($B$6:$B$1505,B1183,$F$6:$F$1505,"&lt;"&amp;F1183)+COUNTIFS($B$6:$B$1505,B1183,$F$6:$F$1505,F1183,$A$6:$A$1505,"&lt;="&amp;A1183))</f>
        <v/>
      </c>
      <c r="N1183" s="41" t="str">
        <f aca="false">IF(M1183="","",ROUNDUP(M1183/H1183,0))</f>
        <v/>
      </c>
      <c r="O1183" s="41" t="str">
        <f aca="false">IF(N1183="","",IF(N1183&lt;='Kitting Plan'!$C$3,"Rep "&amp;N1183,"Surplus"))</f>
        <v/>
      </c>
    </row>
    <row r="1184" customFormat="false" ht="15" hidden="false" customHeight="false" outlineLevel="0" collapsed="false">
      <c r="A1184" s="40" t="str">
        <f aca="false">IF(OR($A$4=0,INDEX('COOIS Raw'!$A:$GZ,ROW()-4,$A$4)=""),"",IFERROR(--INDEX('COOIS Raw'!$A:$GZ,ROW()-4,$A$4),INDEX('COOIS Raw'!$A:$GZ,ROW()-4,$A$4)))</f>
        <v/>
      </c>
      <c r="B1184" s="41" t="str">
        <f aca="false">IF(A1184="","",TRIM(INDEX('COOIS Raw'!$A:$GZ,ROW()-4,$B$4)))</f>
        <v/>
      </c>
      <c r="C1184" s="42" t="str">
        <f aca="false">IF(OR(A1184="",$C$4=0),"",INDEX('COOIS Raw'!$A:$GZ,ROW()-4,$C$4))</f>
        <v/>
      </c>
      <c r="D1184" s="41" t="str">
        <f aca="false">IF(A1184="","",IF($D$4=0,1,IFERROR(--INDEX('COOIS Raw'!$A:$GZ,ROW()-4,$D$4),1)))</f>
        <v/>
      </c>
      <c r="E1184" s="42" t="str">
        <f aca="false">IF(A1184="","",INDEX('COOIS Raw'!$A:$GZ,ROW()-4,$E$4)&amp;"")</f>
        <v/>
      </c>
      <c r="F1184" s="43" t="str">
        <f aca="false">IF(A1184="","",IFERROR(DATEVALUE(INDEX('COOIS Raw'!$A:$GZ,ROW()-4,$F$4)),INDEX('COOIS Raw'!$A:$GZ,ROW()-4,$F$4)))</f>
        <v/>
      </c>
      <c r="G1184" s="41" t="str">
        <f aca="false">IF(A1184="","",IF(ISNA(MATCH(B1184,'Kitting Plan'!$B$6:$B$19,0)),"Not in plan","Yes"))</f>
        <v/>
      </c>
      <c r="H1184" s="41" t="str">
        <f aca="false">IF(G1184="Yes",INDEX('Kitting Plan'!$D$6:$D$19,MATCH(B1184,'Kitting Plan'!$B$6:$B$19,0)),"")</f>
        <v/>
      </c>
      <c r="I1184" s="41" t="str">
        <f aca="false">IF(A1184="","",IF(ISNUMBER(SEARCH("PRT",E1184)),D1184,0))</f>
        <v/>
      </c>
      <c r="J1184" s="41" t="str">
        <f aca="false">IF(A1184="","",IF(ISNUMBER(SEARCH("GMPS",E1184)),D1184,0))</f>
        <v/>
      </c>
      <c r="K1184" s="41" t="str">
        <f aca="false">IF(A1184="","",IF(ISNUMBER(SEARCH("DLV",E1184)),D1184,0))</f>
        <v/>
      </c>
      <c r="L1184" s="41" t="str">
        <f aca="false">IF(A1184="","",IF(K1184&gt;0,"Delivered",IF(ISNUMBER(SEARCH("CNF",E1184)),"In production",IF(J1184&gt;0,"Issued",IF(I1184&gt;0,"Kitted","Released")))))</f>
        <v/>
      </c>
      <c r="M1184" s="41" t="str">
        <f aca="false">IF(G1184&lt;&gt;"Yes","",COUNTIFS($B$6:$B$1505,B1184,$F$6:$F$1505,"&lt;"&amp;F1184)+COUNTIFS($B$6:$B$1505,B1184,$F$6:$F$1505,F1184,$A$6:$A$1505,"&lt;="&amp;A1184))</f>
        <v/>
      </c>
      <c r="N1184" s="41" t="str">
        <f aca="false">IF(M1184="","",ROUNDUP(M1184/H1184,0))</f>
        <v/>
      </c>
      <c r="O1184" s="41" t="str">
        <f aca="false">IF(N1184="","",IF(N1184&lt;='Kitting Plan'!$C$3,"Rep "&amp;N1184,"Surplus"))</f>
        <v/>
      </c>
    </row>
    <row r="1185" customFormat="false" ht="15" hidden="false" customHeight="false" outlineLevel="0" collapsed="false">
      <c r="A1185" s="40" t="str">
        <f aca="false">IF(OR($A$4=0,INDEX('COOIS Raw'!$A:$GZ,ROW()-4,$A$4)=""),"",IFERROR(--INDEX('COOIS Raw'!$A:$GZ,ROW()-4,$A$4),INDEX('COOIS Raw'!$A:$GZ,ROW()-4,$A$4)))</f>
        <v/>
      </c>
      <c r="B1185" s="41" t="str">
        <f aca="false">IF(A1185="","",TRIM(INDEX('COOIS Raw'!$A:$GZ,ROW()-4,$B$4)))</f>
        <v/>
      </c>
      <c r="C1185" s="42" t="str">
        <f aca="false">IF(OR(A1185="",$C$4=0),"",INDEX('COOIS Raw'!$A:$GZ,ROW()-4,$C$4))</f>
        <v/>
      </c>
      <c r="D1185" s="41" t="str">
        <f aca="false">IF(A1185="","",IF($D$4=0,1,IFERROR(--INDEX('COOIS Raw'!$A:$GZ,ROW()-4,$D$4),1)))</f>
        <v/>
      </c>
      <c r="E1185" s="42" t="str">
        <f aca="false">IF(A1185="","",INDEX('COOIS Raw'!$A:$GZ,ROW()-4,$E$4)&amp;"")</f>
        <v/>
      </c>
      <c r="F1185" s="43" t="str">
        <f aca="false">IF(A1185="","",IFERROR(DATEVALUE(INDEX('COOIS Raw'!$A:$GZ,ROW()-4,$F$4)),INDEX('COOIS Raw'!$A:$GZ,ROW()-4,$F$4)))</f>
        <v/>
      </c>
      <c r="G1185" s="41" t="str">
        <f aca="false">IF(A1185="","",IF(ISNA(MATCH(B1185,'Kitting Plan'!$B$6:$B$19,0)),"Not in plan","Yes"))</f>
        <v/>
      </c>
      <c r="H1185" s="41" t="str">
        <f aca="false">IF(G1185="Yes",INDEX('Kitting Plan'!$D$6:$D$19,MATCH(B1185,'Kitting Plan'!$B$6:$B$19,0)),"")</f>
        <v/>
      </c>
      <c r="I1185" s="41" t="str">
        <f aca="false">IF(A1185="","",IF(ISNUMBER(SEARCH("PRT",E1185)),D1185,0))</f>
        <v/>
      </c>
      <c r="J1185" s="41" t="str">
        <f aca="false">IF(A1185="","",IF(ISNUMBER(SEARCH("GMPS",E1185)),D1185,0))</f>
        <v/>
      </c>
      <c r="K1185" s="41" t="str">
        <f aca="false">IF(A1185="","",IF(ISNUMBER(SEARCH("DLV",E1185)),D1185,0))</f>
        <v/>
      </c>
      <c r="L1185" s="41" t="str">
        <f aca="false">IF(A1185="","",IF(K1185&gt;0,"Delivered",IF(ISNUMBER(SEARCH("CNF",E1185)),"In production",IF(J1185&gt;0,"Issued",IF(I1185&gt;0,"Kitted","Released")))))</f>
        <v/>
      </c>
      <c r="M1185" s="41" t="str">
        <f aca="false">IF(G1185&lt;&gt;"Yes","",COUNTIFS($B$6:$B$1505,B1185,$F$6:$F$1505,"&lt;"&amp;F1185)+COUNTIFS($B$6:$B$1505,B1185,$F$6:$F$1505,F1185,$A$6:$A$1505,"&lt;="&amp;A1185))</f>
        <v/>
      </c>
      <c r="N1185" s="41" t="str">
        <f aca="false">IF(M1185="","",ROUNDUP(M1185/H1185,0))</f>
        <v/>
      </c>
      <c r="O1185" s="41" t="str">
        <f aca="false">IF(N1185="","",IF(N1185&lt;='Kitting Plan'!$C$3,"Rep "&amp;N1185,"Surplus"))</f>
        <v/>
      </c>
    </row>
    <row r="1186" customFormat="false" ht="15" hidden="false" customHeight="false" outlineLevel="0" collapsed="false">
      <c r="A1186" s="40" t="str">
        <f aca="false">IF(OR($A$4=0,INDEX('COOIS Raw'!$A:$GZ,ROW()-4,$A$4)=""),"",IFERROR(--INDEX('COOIS Raw'!$A:$GZ,ROW()-4,$A$4),INDEX('COOIS Raw'!$A:$GZ,ROW()-4,$A$4)))</f>
        <v/>
      </c>
      <c r="B1186" s="41" t="str">
        <f aca="false">IF(A1186="","",TRIM(INDEX('COOIS Raw'!$A:$GZ,ROW()-4,$B$4)))</f>
        <v/>
      </c>
      <c r="C1186" s="42" t="str">
        <f aca="false">IF(OR(A1186="",$C$4=0),"",INDEX('COOIS Raw'!$A:$GZ,ROW()-4,$C$4))</f>
        <v/>
      </c>
      <c r="D1186" s="41" t="str">
        <f aca="false">IF(A1186="","",IF($D$4=0,1,IFERROR(--INDEX('COOIS Raw'!$A:$GZ,ROW()-4,$D$4),1)))</f>
        <v/>
      </c>
      <c r="E1186" s="42" t="str">
        <f aca="false">IF(A1186="","",INDEX('COOIS Raw'!$A:$GZ,ROW()-4,$E$4)&amp;"")</f>
        <v/>
      </c>
      <c r="F1186" s="43" t="str">
        <f aca="false">IF(A1186="","",IFERROR(DATEVALUE(INDEX('COOIS Raw'!$A:$GZ,ROW()-4,$F$4)),INDEX('COOIS Raw'!$A:$GZ,ROW()-4,$F$4)))</f>
        <v/>
      </c>
      <c r="G1186" s="41" t="str">
        <f aca="false">IF(A1186="","",IF(ISNA(MATCH(B1186,'Kitting Plan'!$B$6:$B$19,0)),"Not in plan","Yes"))</f>
        <v/>
      </c>
      <c r="H1186" s="41" t="str">
        <f aca="false">IF(G1186="Yes",INDEX('Kitting Plan'!$D$6:$D$19,MATCH(B1186,'Kitting Plan'!$B$6:$B$19,0)),"")</f>
        <v/>
      </c>
      <c r="I1186" s="41" t="str">
        <f aca="false">IF(A1186="","",IF(ISNUMBER(SEARCH("PRT",E1186)),D1186,0))</f>
        <v/>
      </c>
      <c r="J1186" s="41" t="str">
        <f aca="false">IF(A1186="","",IF(ISNUMBER(SEARCH("GMPS",E1186)),D1186,0))</f>
        <v/>
      </c>
      <c r="K1186" s="41" t="str">
        <f aca="false">IF(A1186="","",IF(ISNUMBER(SEARCH("DLV",E1186)),D1186,0))</f>
        <v/>
      </c>
      <c r="L1186" s="41" t="str">
        <f aca="false">IF(A1186="","",IF(K1186&gt;0,"Delivered",IF(ISNUMBER(SEARCH("CNF",E1186)),"In production",IF(J1186&gt;0,"Issued",IF(I1186&gt;0,"Kitted","Released")))))</f>
        <v/>
      </c>
      <c r="M1186" s="41" t="str">
        <f aca="false">IF(G1186&lt;&gt;"Yes","",COUNTIFS($B$6:$B$1505,B1186,$F$6:$F$1505,"&lt;"&amp;F1186)+COUNTIFS($B$6:$B$1505,B1186,$F$6:$F$1505,F1186,$A$6:$A$1505,"&lt;="&amp;A1186))</f>
        <v/>
      </c>
      <c r="N1186" s="41" t="str">
        <f aca="false">IF(M1186="","",ROUNDUP(M1186/H1186,0))</f>
        <v/>
      </c>
      <c r="O1186" s="41" t="str">
        <f aca="false">IF(N1186="","",IF(N1186&lt;='Kitting Plan'!$C$3,"Rep "&amp;N1186,"Surplus"))</f>
        <v/>
      </c>
    </row>
    <row r="1187" customFormat="false" ht="15" hidden="false" customHeight="false" outlineLevel="0" collapsed="false">
      <c r="A1187" s="40" t="str">
        <f aca="false">IF(OR($A$4=0,INDEX('COOIS Raw'!$A:$GZ,ROW()-4,$A$4)=""),"",IFERROR(--INDEX('COOIS Raw'!$A:$GZ,ROW()-4,$A$4),INDEX('COOIS Raw'!$A:$GZ,ROW()-4,$A$4)))</f>
        <v/>
      </c>
      <c r="B1187" s="41" t="str">
        <f aca="false">IF(A1187="","",TRIM(INDEX('COOIS Raw'!$A:$GZ,ROW()-4,$B$4)))</f>
        <v/>
      </c>
      <c r="C1187" s="42" t="str">
        <f aca="false">IF(OR(A1187="",$C$4=0),"",INDEX('COOIS Raw'!$A:$GZ,ROW()-4,$C$4))</f>
        <v/>
      </c>
      <c r="D1187" s="41" t="str">
        <f aca="false">IF(A1187="","",IF($D$4=0,1,IFERROR(--INDEX('COOIS Raw'!$A:$GZ,ROW()-4,$D$4),1)))</f>
        <v/>
      </c>
      <c r="E1187" s="42" t="str">
        <f aca="false">IF(A1187="","",INDEX('COOIS Raw'!$A:$GZ,ROW()-4,$E$4)&amp;"")</f>
        <v/>
      </c>
      <c r="F1187" s="43" t="str">
        <f aca="false">IF(A1187="","",IFERROR(DATEVALUE(INDEX('COOIS Raw'!$A:$GZ,ROW()-4,$F$4)),INDEX('COOIS Raw'!$A:$GZ,ROW()-4,$F$4)))</f>
        <v/>
      </c>
      <c r="G1187" s="41" t="str">
        <f aca="false">IF(A1187="","",IF(ISNA(MATCH(B1187,'Kitting Plan'!$B$6:$B$19,0)),"Not in plan","Yes"))</f>
        <v/>
      </c>
      <c r="H1187" s="41" t="str">
        <f aca="false">IF(G1187="Yes",INDEX('Kitting Plan'!$D$6:$D$19,MATCH(B1187,'Kitting Plan'!$B$6:$B$19,0)),"")</f>
        <v/>
      </c>
      <c r="I1187" s="41" t="str">
        <f aca="false">IF(A1187="","",IF(ISNUMBER(SEARCH("PRT",E1187)),D1187,0))</f>
        <v/>
      </c>
      <c r="J1187" s="41" t="str">
        <f aca="false">IF(A1187="","",IF(ISNUMBER(SEARCH("GMPS",E1187)),D1187,0))</f>
        <v/>
      </c>
      <c r="K1187" s="41" t="str">
        <f aca="false">IF(A1187="","",IF(ISNUMBER(SEARCH("DLV",E1187)),D1187,0))</f>
        <v/>
      </c>
      <c r="L1187" s="41" t="str">
        <f aca="false">IF(A1187="","",IF(K1187&gt;0,"Delivered",IF(ISNUMBER(SEARCH("CNF",E1187)),"In production",IF(J1187&gt;0,"Issued",IF(I1187&gt;0,"Kitted","Released")))))</f>
        <v/>
      </c>
      <c r="M1187" s="41" t="str">
        <f aca="false">IF(G1187&lt;&gt;"Yes","",COUNTIFS($B$6:$B$1505,B1187,$F$6:$F$1505,"&lt;"&amp;F1187)+COUNTIFS($B$6:$B$1505,B1187,$F$6:$F$1505,F1187,$A$6:$A$1505,"&lt;="&amp;A1187))</f>
        <v/>
      </c>
      <c r="N1187" s="41" t="str">
        <f aca="false">IF(M1187="","",ROUNDUP(M1187/H1187,0))</f>
        <v/>
      </c>
      <c r="O1187" s="41" t="str">
        <f aca="false">IF(N1187="","",IF(N1187&lt;='Kitting Plan'!$C$3,"Rep "&amp;N1187,"Surplus"))</f>
        <v/>
      </c>
    </row>
    <row r="1188" customFormat="false" ht="15" hidden="false" customHeight="false" outlineLevel="0" collapsed="false">
      <c r="A1188" s="40" t="str">
        <f aca="false">IF(OR($A$4=0,INDEX('COOIS Raw'!$A:$GZ,ROW()-4,$A$4)=""),"",IFERROR(--INDEX('COOIS Raw'!$A:$GZ,ROW()-4,$A$4),INDEX('COOIS Raw'!$A:$GZ,ROW()-4,$A$4)))</f>
        <v/>
      </c>
      <c r="B1188" s="41" t="str">
        <f aca="false">IF(A1188="","",TRIM(INDEX('COOIS Raw'!$A:$GZ,ROW()-4,$B$4)))</f>
        <v/>
      </c>
      <c r="C1188" s="42" t="str">
        <f aca="false">IF(OR(A1188="",$C$4=0),"",INDEX('COOIS Raw'!$A:$GZ,ROW()-4,$C$4))</f>
        <v/>
      </c>
      <c r="D1188" s="41" t="str">
        <f aca="false">IF(A1188="","",IF($D$4=0,1,IFERROR(--INDEX('COOIS Raw'!$A:$GZ,ROW()-4,$D$4),1)))</f>
        <v/>
      </c>
      <c r="E1188" s="42" t="str">
        <f aca="false">IF(A1188="","",INDEX('COOIS Raw'!$A:$GZ,ROW()-4,$E$4)&amp;"")</f>
        <v/>
      </c>
      <c r="F1188" s="43" t="str">
        <f aca="false">IF(A1188="","",IFERROR(DATEVALUE(INDEX('COOIS Raw'!$A:$GZ,ROW()-4,$F$4)),INDEX('COOIS Raw'!$A:$GZ,ROW()-4,$F$4)))</f>
        <v/>
      </c>
      <c r="G1188" s="41" t="str">
        <f aca="false">IF(A1188="","",IF(ISNA(MATCH(B1188,'Kitting Plan'!$B$6:$B$19,0)),"Not in plan","Yes"))</f>
        <v/>
      </c>
      <c r="H1188" s="41" t="str">
        <f aca="false">IF(G1188="Yes",INDEX('Kitting Plan'!$D$6:$D$19,MATCH(B1188,'Kitting Plan'!$B$6:$B$19,0)),"")</f>
        <v/>
      </c>
      <c r="I1188" s="41" t="str">
        <f aca="false">IF(A1188="","",IF(ISNUMBER(SEARCH("PRT",E1188)),D1188,0))</f>
        <v/>
      </c>
      <c r="J1188" s="41" t="str">
        <f aca="false">IF(A1188="","",IF(ISNUMBER(SEARCH("GMPS",E1188)),D1188,0))</f>
        <v/>
      </c>
      <c r="K1188" s="41" t="str">
        <f aca="false">IF(A1188="","",IF(ISNUMBER(SEARCH("DLV",E1188)),D1188,0))</f>
        <v/>
      </c>
      <c r="L1188" s="41" t="str">
        <f aca="false">IF(A1188="","",IF(K1188&gt;0,"Delivered",IF(ISNUMBER(SEARCH("CNF",E1188)),"In production",IF(J1188&gt;0,"Issued",IF(I1188&gt;0,"Kitted","Released")))))</f>
        <v/>
      </c>
      <c r="M1188" s="41" t="str">
        <f aca="false">IF(G1188&lt;&gt;"Yes","",COUNTIFS($B$6:$B$1505,B1188,$F$6:$F$1505,"&lt;"&amp;F1188)+COUNTIFS($B$6:$B$1505,B1188,$F$6:$F$1505,F1188,$A$6:$A$1505,"&lt;="&amp;A1188))</f>
        <v/>
      </c>
      <c r="N1188" s="41" t="str">
        <f aca="false">IF(M1188="","",ROUNDUP(M1188/H1188,0))</f>
        <v/>
      </c>
      <c r="O1188" s="41" t="str">
        <f aca="false">IF(N1188="","",IF(N1188&lt;='Kitting Plan'!$C$3,"Rep "&amp;N1188,"Surplus"))</f>
        <v/>
      </c>
    </row>
    <row r="1189" customFormat="false" ht="15" hidden="false" customHeight="false" outlineLevel="0" collapsed="false">
      <c r="A1189" s="40" t="str">
        <f aca="false">IF(OR($A$4=0,INDEX('COOIS Raw'!$A:$GZ,ROW()-4,$A$4)=""),"",IFERROR(--INDEX('COOIS Raw'!$A:$GZ,ROW()-4,$A$4),INDEX('COOIS Raw'!$A:$GZ,ROW()-4,$A$4)))</f>
        <v/>
      </c>
      <c r="B1189" s="41" t="str">
        <f aca="false">IF(A1189="","",TRIM(INDEX('COOIS Raw'!$A:$GZ,ROW()-4,$B$4)))</f>
        <v/>
      </c>
      <c r="C1189" s="42" t="str">
        <f aca="false">IF(OR(A1189="",$C$4=0),"",INDEX('COOIS Raw'!$A:$GZ,ROW()-4,$C$4))</f>
        <v/>
      </c>
      <c r="D1189" s="41" t="str">
        <f aca="false">IF(A1189="","",IF($D$4=0,1,IFERROR(--INDEX('COOIS Raw'!$A:$GZ,ROW()-4,$D$4),1)))</f>
        <v/>
      </c>
      <c r="E1189" s="42" t="str">
        <f aca="false">IF(A1189="","",INDEX('COOIS Raw'!$A:$GZ,ROW()-4,$E$4)&amp;"")</f>
        <v/>
      </c>
      <c r="F1189" s="43" t="str">
        <f aca="false">IF(A1189="","",IFERROR(DATEVALUE(INDEX('COOIS Raw'!$A:$GZ,ROW()-4,$F$4)),INDEX('COOIS Raw'!$A:$GZ,ROW()-4,$F$4)))</f>
        <v/>
      </c>
      <c r="G1189" s="41" t="str">
        <f aca="false">IF(A1189="","",IF(ISNA(MATCH(B1189,'Kitting Plan'!$B$6:$B$19,0)),"Not in plan","Yes"))</f>
        <v/>
      </c>
      <c r="H1189" s="41" t="str">
        <f aca="false">IF(G1189="Yes",INDEX('Kitting Plan'!$D$6:$D$19,MATCH(B1189,'Kitting Plan'!$B$6:$B$19,0)),"")</f>
        <v/>
      </c>
      <c r="I1189" s="41" t="str">
        <f aca="false">IF(A1189="","",IF(ISNUMBER(SEARCH("PRT",E1189)),D1189,0))</f>
        <v/>
      </c>
      <c r="J1189" s="41" t="str">
        <f aca="false">IF(A1189="","",IF(ISNUMBER(SEARCH("GMPS",E1189)),D1189,0))</f>
        <v/>
      </c>
      <c r="K1189" s="41" t="str">
        <f aca="false">IF(A1189="","",IF(ISNUMBER(SEARCH("DLV",E1189)),D1189,0))</f>
        <v/>
      </c>
      <c r="L1189" s="41" t="str">
        <f aca="false">IF(A1189="","",IF(K1189&gt;0,"Delivered",IF(ISNUMBER(SEARCH("CNF",E1189)),"In production",IF(J1189&gt;0,"Issued",IF(I1189&gt;0,"Kitted","Released")))))</f>
        <v/>
      </c>
      <c r="M1189" s="41" t="str">
        <f aca="false">IF(G1189&lt;&gt;"Yes","",COUNTIFS($B$6:$B$1505,B1189,$F$6:$F$1505,"&lt;"&amp;F1189)+COUNTIFS($B$6:$B$1505,B1189,$F$6:$F$1505,F1189,$A$6:$A$1505,"&lt;="&amp;A1189))</f>
        <v/>
      </c>
      <c r="N1189" s="41" t="str">
        <f aca="false">IF(M1189="","",ROUNDUP(M1189/H1189,0))</f>
        <v/>
      </c>
      <c r="O1189" s="41" t="str">
        <f aca="false">IF(N1189="","",IF(N1189&lt;='Kitting Plan'!$C$3,"Rep "&amp;N1189,"Surplus"))</f>
        <v/>
      </c>
    </row>
    <row r="1190" customFormat="false" ht="15" hidden="false" customHeight="false" outlineLevel="0" collapsed="false">
      <c r="A1190" s="40" t="str">
        <f aca="false">IF(OR($A$4=0,INDEX('COOIS Raw'!$A:$GZ,ROW()-4,$A$4)=""),"",IFERROR(--INDEX('COOIS Raw'!$A:$GZ,ROW()-4,$A$4),INDEX('COOIS Raw'!$A:$GZ,ROW()-4,$A$4)))</f>
        <v/>
      </c>
      <c r="B1190" s="41" t="str">
        <f aca="false">IF(A1190="","",TRIM(INDEX('COOIS Raw'!$A:$GZ,ROW()-4,$B$4)))</f>
        <v/>
      </c>
      <c r="C1190" s="42" t="str">
        <f aca="false">IF(OR(A1190="",$C$4=0),"",INDEX('COOIS Raw'!$A:$GZ,ROW()-4,$C$4))</f>
        <v/>
      </c>
      <c r="D1190" s="41" t="str">
        <f aca="false">IF(A1190="","",IF($D$4=0,1,IFERROR(--INDEX('COOIS Raw'!$A:$GZ,ROW()-4,$D$4),1)))</f>
        <v/>
      </c>
      <c r="E1190" s="42" t="str">
        <f aca="false">IF(A1190="","",INDEX('COOIS Raw'!$A:$GZ,ROW()-4,$E$4)&amp;"")</f>
        <v/>
      </c>
      <c r="F1190" s="43" t="str">
        <f aca="false">IF(A1190="","",IFERROR(DATEVALUE(INDEX('COOIS Raw'!$A:$GZ,ROW()-4,$F$4)),INDEX('COOIS Raw'!$A:$GZ,ROW()-4,$F$4)))</f>
        <v/>
      </c>
      <c r="G1190" s="41" t="str">
        <f aca="false">IF(A1190="","",IF(ISNA(MATCH(B1190,'Kitting Plan'!$B$6:$B$19,0)),"Not in plan","Yes"))</f>
        <v/>
      </c>
      <c r="H1190" s="41" t="str">
        <f aca="false">IF(G1190="Yes",INDEX('Kitting Plan'!$D$6:$D$19,MATCH(B1190,'Kitting Plan'!$B$6:$B$19,0)),"")</f>
        <v/>
      </c>
      <c r="I1190" s="41" t="str">
        <f aca="false">IF(A1190="","",IF(ISNUMBER(SEARCH("PRT",E1190)),D1190,0))</f>
        <v/>
      </c>
      <c r="J1190" s="41" t="str">
        <f aca="false">IF(A1190="","",IF(ISNUMBER(SEARCH("GMPS",E1190)),D1190,0))</f>
        <v/>
      </c>
      <c r="K1190" s="41" t="str">
        <f aca="false">IF(A1190="","",IF(ISNUMBER(SEARCH("DLV",E1190)),D1190,0))</f>
        <v/>
      </c>
      <c r="L1190" s="41" t="str">
        <f aca="false">IF(A1190="","",IF(K1190&gt;0,"Delivered",IF(ISNUMBER(SEARCH("CNF",E1190)),"In production",IF(J1190&gt;0,"Issued",IF(I1190&gt;0,"Kitted","Released")))))</f>
        <v/>
      </c>
      <c r="M1190" s="41" t="str">
        <f aca="false">IF(G1190&lt;&gt;"Yes","",COUNTIFS($B$6:$B$1505,B1190,$F$6:$F$1505,"&lt;"&amp;F1190)+COUNTIFS($B$6:$B$1505,B1190,$F$6:$F$1505,F1190,$A$6:$A$1505,"&lt;="&amp;A1190))</f>
        <v/>
      </c>
      <c r="N1190" s="41" t="str">
        <f aca="false">IF(M1190="","",ROUNDUP(M1190/H1190,0))</f>
        <v/>
      </c>
      <c r="O1190" s="41" t="str">
        <f aca="false">IF(N1190="","",IF(N1190&lt;='Kitting Plan'!$C$3,"Rep "&amp;N1190,"Surplus"))</f>
        <v/>
      </c>
    </row>
    <row r="1191" customFormat="false" ht="15" hidden="false" customHeight="false" outlineLevel="0" collapsed="false">
      <c r="A1191" s="40" t="str">
        <f aca="false">IF(OR($A$4=0,INDEX('COOIS Raw'!$A:$GZ,ROW()-4,$A$4)=""),"",IFERROR(--INDEX('COOIS Raw'!$A:$GZ,ROW()-4,$A$4),INDEX('COOIS Raw'!$A:$GZ,ROW()-4,$A$4)))</f>
        <v/>
      </c>
      <c r="B1191" s="41" t="str">
        <f aca="false">IF(A1191="","",TRIM(INDEX('COOIS Raw'!$A:$GZ,ROW()-4,$B$4)))</f>
        <v/>
      </c>
      <c r="C1191" s="42" t="str">
        <f aca="false">IF(OR(A1191="",$C$4=0),"",INDEX('COOIS Raw'!$A:$GZ,ROW()-4,$C$4))</f>
        <v/>
      </c>
      <c r="D1191" s="41" t="str">
        <f aca="false">IF(A1191="","",IF($D$4=0,1,IFERROR(--INDEX('COOIS Raw'!$A:$GZ,ROW()-4,$D$4),1)))</f>
        <v/>
      </c>
      <c r="E1191" s="42" t="str">
        <f aca="false">IF(A1191="","",INDEX('COOIS Raw'!$A:$GZ,ROW()-4,$E$4)&amp;"")</f>
        <v/>
      </c>
      <c r="F1191" s="43" t="str">
        <f aca="false">IF(A1191="","",IFERROR(DATEVALUE(INDEX('COOIS Raw'!$A:$GZ,ROW()-4,$F$4)),INDEX('COOIS Raw'!$A:$GZ,ROW()-4,$F$4)))</f>
        <v/>
      </c>
      <c r="G1191" s="41" t="str">
        <f aca="false">IF(A1191="","",IF(ISNA(MATCH(B1191,'Kitting Plan'!$B$6:$B$19,0)),"Not in plan","Yes"))</f>
        <v/>
      </c>
      <c r="H1191" s="41" t="str">
        <f aca="false">IF(G1191="Yes",INDEX('Kitting Plan'!$D$6:$D$19,MATCH(B1191,'Kitting Plan'!$B$6:$B$19,0)),"")</f>
        <v/>
      </c>
      <c r="I1191" s="41" t="str">
        <f aca="false">IF(A1191="","",IF(ISNUMBER(SEARCH("PRT",E1191)),D1191,0))</f>
        <v/>
      </c>
      <c r="J1191" s="41" t="str">
        <f aca="false">IF(A1191="","",IF(ISNUMBER(SEARCH("GMPS",E1191)),D1191,0))</f>
        <v/>
      </c>
      <c r="K1191" s="41" t="str">
        <f aca="false">IF(A1191="","",IF(ISNUMBER(SEARCH("DLV",E1191)),D1191,0))</f>
        <v/>
      </c>
      <c r="L1191" s="41" t="str">
        <f aca="false">IF(A1191="","",IF(K1191&gt;0,"Delivered",IF(ISNUMBER(SEARCH("CNF",E1191)),"In production",IF(J1191&gt;0,"Issued",IF(I1191&gt;0,"Kitted","Released")))))</f>
        <v/>
      </c>
      <c r="M1191" s="41" t="str">
        <f aca="false">IF(G1191&lt;&gt;"Yes","",COUNTIFS($B$6:$B$1505,B1191,$F$6:$F$1505,"&lt;"&amp;F1191)+COUNTIFS($B$6:$B$1505,B1191,$F$6:$F$1505,F1191,$A$6:$A$1505,"&lt;="&amp;A1191))</f>
        <v/>
      </c>
      <c r="N1191" s="41" t="str">
        <f aca="false">IF(M1191="","",ROUNDUP(M1191/H1191,0))</f>
        <v/>
      </c>
      <c r="O1191" s="41" t="str">
        <f aca="false">IF(N1191="","",IF(N1191&lt;='Kitting Plan'!$C$3,"Rep "&amp;N1191,"Surplus"))</f>
        <v/>
      </c>
    </row>
    <row r="1192" customFormat="false" ht="15" hidden="false" customHeight="false" outlineLevel="0" collapsed="false">
      <c r="A1192" s="40" t="str">
        <f aca="false">IF(OR($A$4=0,INDEX('COOIS Raw'!$A:$GZ,ROW()-4,$A$4)=""),"",IFERROR(--INDEX('COOIS Raw'!$A:$GZ,ROW()-4,$A$4),INDEX('COOIS Raw'!$A:$GZ,ROW()-4,$A$4)))</f>
        <v/>
      </c>
      <c r="B1192" s="41" t="str">
        <f aca="false">IF(A1192="","",TRIM(INDEX('COOIS Raw'!$A:$GZ,ROW()-4,$B$4)))</f>
        <v/>
      </c>
      <c r="C1192" s="42" t="str">
        <f aca="false">IF(OR(A1192="",$C$4=0),"",INDEX('COOIS Raw'!$A:$GZ,ROW()-4,$C$4))</f>
        <v/>
      </c>
      <c r="D1192" s="41" t="str">
        <f aca="false">IF(A1192="","",IF($D$4=0,1,IFERROR(--INDEX('COOIS Raw'!$A:$GZ,ROW()-4,$D$4),1)))</f>
        <v/>
      </c>
      <c r="E1192" s="42" t="str">
        <f aca="false">IF(A1192="","",INDEX('COOIS Raw'!$A:$GZ,ROW()-4,$E$4)&amp;"")</f>
        <v/>
      </c>
      <c r="F1192" s="43" t="str">
        <f aca="false">IF(A1192="","",IFERROR(DATEVALUE(INDEX('COOIS Raw'!$A:$GZ,ROW()-4,$F$4)),INDEX('COOIS Raw'!$A:$GZ,ROW()-4,$F$4)))</f>
        <v/>
      </c>
      <c r="G1192" s="41" t="str">
        <f aca="false">IF(A1192="","",IF(ISNA(MATCH(B1192,'Kitting Plan'!$B$6:$B$19,0)),"Not in plan","Yes"))</f>
        <v/>
      </c>
      <c r="H1192" s="41" t="str">
        <f aca="false">IF(G1192="Yes",INDEX('Kitting Plan'!$D$6:$D$19,MATCH(B1192,'Kitting Plan'!$B$6:$B$19,0)),"")</f>
        <v/>
      </c>
      <c r="I1192" s="41" t="str">
        <f aca="false">IF(A1192="","",IF(ISNUMBER(SEARCH("PRT",E1192)),D1192,0))</f>
        <v/>
      </c>
      <c r="J1192" s="41" t="str">
        <f aca="false">IF(A1192="","",IF(ISNUMBER(SEARCH("GMPS",E1192)),D1192,0))</f>
        <v/>
      </c>
      <c r="K1192" s="41" t="str">
        <f aca="false">IF(A1192="","",IF(ISNUMBER(SEARCH("DLV",E1192)),D1192,0))</f>
        <v/>
      </c>
      <c r="L1192" s="41" t="str">
        <f aca="false">IF(A1192="","",IF(K1192&gt;0,"Delivered",IF(ISNUMBER(SEARCH("CNF",E1192)),"In production",IF(J1192&gt;0,"Issued",IF(I1192&gt;0,"Kitted","Released")))))</f>
        <v/>
      </c>
      <c r="M1192" s="41" t="str">
        <f aca="false">IF(G1192&lt;&gt;"Yes","",COUNTIFS($B$6:$B$1505,B1192,$F$6:$F$1505,"&lt;"&amp;F1192)+COUNTIFS($B$6:$B$1505,B1192,$F$6:$F$1505,F1192,$A$6:$A$1505,"&lt;="&amp;A1192))</f>
        <v/>
      </c>
      <c r="N1192" s="41" t="str">
        <f aca="false">IF(M1192="","",ROUNDUP(M1192/H1192,0))</f>
        <v/>
      </c>
      <c r="O1192" s="41" t="str">
        <f aca="false">IF(N1192="","",IF(N1192&lt;='Kitting Plan'!$C$3,"Rep "&amp;N1192,"Surplus"))</f>
        <v/>
      </c>
    </row>
    <row r="1193" customFormat="false" ht="15" hidden="false" customHeight="false" outlineLevel="0" collapsed="false">
      <c r="A1193" s="40" t="str">
        <f aca="false">IF(OR($A$4=0,INDEX('COOIS Raw'!$A:$GZ,ROW()-4,$A$4)=""),"",IFERROR(--INDEX('COOIS Raw'!$A:$GZ,ROW()-4,$A$4),INDEX('COOIS Raw'!$A:$GZ,ROW()-4,$A$4)))</f>
        <v/>
      </c>
      <c r="B1193" s="41" t="str">
        <f aca="false">IF(A1193="","",TRIM(INDEX('COOIS Raw'!$A:$GZ,ROW()-4,$B$4)))</f>
        <v/>
      </c>
      <c r="C1193" s="42" t="str">
        <f aca="false">IF(OR(A1193="",$C$4=0),"",INDEX('COOIS Raw'!$A:$GZ,ROW()-4,$C$4))</f>
        <v/>
      </c>
      <c r="D1193" s="41" t="str">
        <f aca="false">IF(A1193="","",IF($D$4=0,1,IFERROR(--INDEX('COOIS Raw'!$A:$GZ,ROW()-4,$D$4),1)))</f>
        <v/>
      </c>
      <c r="E1193" s="42" t="str">
        <f aca="false">IF(A1193="","",INDEX('COOIS Raw'!$A:$GZ,ROW()-4,$E$4)&amp;"")</f>
        <v/>
      </c>
      <c r="F1193" s="43" t="str">
        <f aca="false">IF(A1193="","",IFERROR(DATEVALUE(INDEX('COOIS Raw'!$A:$GZ,ROW()-4,$F$4)),INDEX('COOIS Raw'!$A:$GZ,ROW()-4,$F$4)))</f>
        <v/>
      </c>
      <c r="G1193" s="41" t="str">
        <f aca="false">IF(A1193="","",IF(ISNA(MATCH(B1193,'Kitting Plan'!$B$6:$B$19,0)),"Not in plan","Yes"))</f>
        <v/>
      </c>
      <c r="H1193" s="41" t="str">
        <f aca="false">IF(G1193="Yes",INDEX('Kitting Plan'!$D$6:$D$19,MATCH(B1193,'Kitting Plan'!$B$6:$B$19,0)),"")</f>
        <v/>
      </c>
      <c r="I1193" s="41" t="str">
        <f aca="false">IF(A1193="","",IF(ISNUMBER(SEARCH("PRT",E1193)),D1193,0))</f>
        <v/>
      </c>
      <c r="J1193" s="41" t="str">
        <f aca="false">IF(A1193="","",IF(ISNUMBER(SEARCH("GMPS",E1193)),D1193,0))</f>
        <v/>
      </c>
      <c r="K1193" s="41" t="str">
        <f aca="false">IF(A1193="","",IF(ISNUMBER(SEARCH("DLV",E1193)),D1193,0))</f>
        <v/>
      </c>
      <c r="L1193" s="41" t="str">
        <f aca="false">IF(A1193="","",IF(K1193&gt;0,"Delivered",IF(ISNUMBER(SEARCH("CNF",E1193)),"In production",IF(J1193&gt;0,"Issued",IF(I1193&gt;0,"Kitted","Released")))))</f>
        <v/>
      </c>
      <c r="M1193" s="41" t="str">
        <f aca="false">IF(G1193&lt;&gt;"Yes","",COUNTIFS($B$6:$B$1505,B1193,$F$6:$F$1505,"&lt;"&amp;F1193)+COUNTIFS($B$6:$B$1505,B1193,$F$6:$F$1505,F1193,$A$6:$A$1505,"&lt;="&amp;A1193))</f>
        <v/>
      </c>
      <c r="N1193" s="41" t="str">
        <f aca="false">IF(M1193="","",ROUNDUP(M1193/H1193,0))</f>
        <v/>
      </c>
      <c r="O1193" s="41" t="str">
        <f aca="false">IF(N1193="","",IF(N1193&lt;='Kitting Plan'!$C$3,"Rep "&amp;N1193,"Surplus"))</f>
        <v/>
      </c>
    </row>
    <row r="1194" customFormat="false" ht="15" hidden="false" customHeight="false" outlineLevel="0" collapsed="false">
      <c r="A1194" s="40" t="str">
        <f aca="false">IF(OR($A$4=0,INDEX('COOIS Raw'!$A:$GZ,ROW()-4,$A$4)=""),"",IFERROR(--INDEX('COOIS Raw'!$A:$GZ,ROW()-4,$A$4),INDEX('COOIS Raw'!$A:$GZ,ROW()-4,$A$4)))</f>
        <v/>
      </c>
      <c r="B1194" s="41" t="str">
        <f aca="false">IF(A1194="","",TRIM(INDEX('COOIS Raw'!$A:$GZ,ROW()-4,$B$4)))</f>
        <v/>
      </c>
      <c r="C1194" s="42" t="str">
        <f aca="false">IF(OR(A1194="",$C$4=0),"",INDEX('COOIS Raw'!$A:$GZ,ROW()-4,$C$4))</f>
        <v/>
      </c>
      <c r="D1194" s="41" t="str">
        <f aca="false">IF(A1194="","",IF($D$4=0,1,IFERROR(--INDEX('COOIS Raw'!$A:$GZ,ROW()-4,$D$4),1)))</f>
        <v/>
      </c>
      <c r="E1194" s="42" t="str">
        <f aca="false">IF(A1194="","",INDEX('COOIS Raw'!$A:$GZ,ROW()-4,$E$4)&amp;"")</f>
        <v/>
      </c>
      <c r="F1194" s="43" t="str">
        <f aca="false">IF(A1194="","",IFERROR(DATEVALUE(INDEX('COOIS Raw'!$A:$GZ,ROW()-4,$F$4)),INDEX('COOIS Raw'!$A:$GZ,ROW()-4,$F$4)))</f>
        <v/>
      </c>
      <c r="G1194" s="41" t="str">
        <f aca="false">IF(A1194="","",IF(ISNA(MATCH(B1194,'Kitting Plan'!$B$6:$B$19,0)),"Not in plan","Yes"))</f>
        <v/>
      </c>
      <c r="H1194" s="41" t="str">
        <f aca="false">IF(G1194="Yes",INDEX('Kitting Plan'!$D$6:$D$19,MATCH(B1194,'Kitting Plan'!$B$6:$B$19,0)),"")</f>
        <v/>
      </c>
      <c r="I1194" s="41" t="str">
        <f aca="false">IF(A1194="","",IF(ISNUMBER(SEARCH("PRT",E1194)),D1194,0))</f>
        <v/>
      </c>
      <c r="J1194" s="41" t="str">
        <f aca="false">IF(A1194="","",IF(ISNUMBER(SEARCH("GMPS",E1194)),D1194,0))</f>
        <v/>
      </c>
      <c r="K1194" s="41" t="str">
        <f aca="false">IF(A1194="","",IF(ISNUMBER(SEARCH("DLV",E1194)),D1194,0))</f>
        <v/>
      </c>
      <c r="L1194" s="41" t="str">
        <f aca="false">IF(A1194="","",IF(K1194&gt;0,"Delivered",IF(ISNUMBER(SEARCH("CNF",E1194)),"In production",IF(J1194&gt;0,"Issued",IF(I1194&gt;0,"Kitted","Released")))))</f>
        <v/>
      </c>
      <c r="M1194" s="41" t="str">
        <f aca="false">IF(G1194&lt;&gt;"Yes","",COUNTIFS($B$6:$B$1505,B1194,$F$6:$F$1505,"&lt;"&amp;F1194)+COUNTIFS($B$6:$B$1505,B1194,$F$6:$F$1505,F1194,$A$6:$A$1505,"&lt;="&amp;A1194))</f>
        <v/>
      </c>
      <c r="N1194" s="41" t="str">
        <f aca="false">IF(M1194="","",ROUNDUP(M1194/H1194,0))</f>
        <v/>
      </c>
      <c r="O1194" s="41" t="str">
        <f aca="false">IF(N1194="","",IF(N1194&lt;='Kitting Plan'!$C$3,"Rep "&amp;N1194,"Surplus"))</f>
        <v/>
      </c>
    </row>
    <row r="1195" customFormat="false" ht="15" hidden="false" customHeight="false" outlineLevel="0" collapsed="false">
      <c r="A1195" s="40" t="str">
        <f aca="false">IF(OR($A$4=0,INDEX('COOIS Raw'!$A:$GZ,ROW()-4,$A$4)=""),"",IFERROR(--INDEX('COOIS Raw'!$A:$GZ,ROW()-4,$A$4),INDEX('COOIS Raw'!$A:$GZ,ROW()-4,$A$4)))</f>
        <v/>
      </c>
      <c r="B1195" s="41" t="str">
        <f aca="false">IF(A1195="","",TRIM(INDEX('COOIS Raw'!$A:$GZ,ROW()-4,$B$4)))</f>
        <v/>
      </c>
      <c r="C1195" s="42" t="str">
        <f aca="false">IF(OR(A1195="",$C$4=0),"",INDEX('COOIS Raw'!$A:$GZ,ROW()-4,$C$4))</f>
        <v/>
      </c>
      <c r="D1195" s="41" t="str">
        <f aca="false">IF(A1195="","",IF($D$4=0,1,IFERROR(--INDEX('COOIS Raw'!$A:$GZ,ROW()-4,$D$4),1)))</f>
        <v/>
      </c>
      <c r="E1195" s="42" t="str">
        <f aca="false">IF(A1195="","",INDEX('COOIS Raw'!$A:$GZ,ROW()-4,$E$4)&amp;"")</f>
        <v/>
      </c>
      <c r="F1195" s="43" t="str">
        <f aca="false">IF(A1195="","",IFERROR(DATEVALUE(INDEX('COOIS Raw'!$A:$GZ,ROW()-4,$F$4)),INDEX('COOIS Raw'!$A:$GZ,ROW()-4,$F$4)))</f>
        <v/>
      </c>
      <c r="G1195" s="41" t="str">
        <f aca="false">IF(A1195="","",IF(ISNA(MATCH(B1195,'Kitting Plan'!$B$6:$B$19,0)),"Not in plan","Yes"))</f>
        <v/>
      </c>
      <c r="H1195" s="41" t="str">
        <f aca="false">IF(G1195="Yes",INDEX('Kitting Plan'!$D$6:$D$19,MATCH(B1195,'Kitting Plan'!$B$6:$B$19,0)),"")</f>
        <v/>
      </c>
      <c r="I1195" s="41" t="str">
        <f aca="false">IF(A1195="","",IF(ISNUMBER(SEARCH("PRT",E1195)),D1195,0))</f>
        <v/>
      </c>
      <c r="J1195" s="41" t="str">
        <f aca="false">IF(A1195="","",IF(ISNUMBER(SEARCH("GMPS",E1195)),D1195,0))</f>
        <v/>
      </c>
      <c r="K1195" s="41" t="str">
        <f aca="false">IF(A1195="","",IF(ISNUMBER(SEARCH("DLV",E1195)),D1195,0))</f>
        <v/>
      </c>
      <c r="L1195" s="41" t="str">
        <f aca="false">IF(A1195="","",IF(K1195&gt;0,"Delivered",IF(ISNUMBER(SEARCH("CNF",E1195)),"In production",IF(J1195&gt;0,"Issued",IF(I1195&gt;0,"Kitted","Released")))))</f>
        <v/>
      </c>
      <c r="M1195" s="41" t="str">
        <f aca="false">IF(G1195&lt;&gt;"Yes","",COUNTIFS($B$6:$B$1505,B1195,$F$6:$F$1505,"&lt;"&amp;F1195)+COUNTIFS($B$6:$B$1505,B1195,$F$6:$F$1505,F1195,$A$6:$A$1505,"&lt;="&amp;A1195))</f>
        <v/>
      </c>
      <c r="N1195" s="41" t="str">
        <f aca="false">IF(M1195="","",ROUNDUP(M1195/H1195,0))</f>
        <v/>
      </c>
      <c r="O1195" s="41" t="str">
        <f aca="false">IF(N1195="","",IF(N1195&lt;='Kitting Plan'!$C$3,"Rep "&amp;N1195,"Surplus"))</f>
        <v/>
      </c>
    </row>
    <row r="1196" customFormat="false" ht="15" hidden="false" customHeight="false" outlineLevel="0" collapsed="false">
      <c r="A1196" s="40" t="str">
        <f aca="false">IF(OR($A$4=0,INDEX('COOIS Raw'!$A:$GZ,ROW()-4,$A$4)=""),"",IFERROR(--INDEX('COOIS Raw'!$A:$GZ,ROW()-4,$A$4),INDEX('COOIS Raw'!$A:$GZ,ROW()-4,$A$4)))</f>
        <v/>
      </c>
      <c r="B1196" s="41" t="str">
        <f aca="false">IF(A1196="","",TRIM(INDEX('COOIS Raw'!$A:$GZ,ROW()-4,$B$4)))</f>
        <v/>
      </c>
      <c r="C1196" s="42" t="str">
        <f aca="false">IF(OR(A1196="",$C$4=0),"",INDEX('COOIS Raw'!$A:$GZ,ROW()-4,$C$4))</f>
        <v/>
      </c>
      <c r="D1196" s="41" t="str">
        <f aca="false">IF(A1196="","",IF($D$4=0,1,IFERROR(--INDEX('COOIS Raw'!$A:$GZ,ROW()-4,$D$4),1)))</f>
        <v/>
      </c>
      <c r="E1196" s="42" t="str">
        <f aca="false">IF(A1196="","",INDEX('COOIS Raw'!$A:$GZ,ROW()-4,$E$4)&amp;"")</f>
        <v/>
      </c>
      <c r="F1196" s="43" t="str">
        <f aca="false">IF(A1196="","",IFERROR(DATEVALUE(INDEX('COOIS Raw'!$A:$GZ,ROW()-4,$F$4)),INDEX('COOIS Raw'!$A:$GZ,ROW()-4,$F$4)))</f>
        <v/>
      </c>
      <c r="G1196" s="41" t="str">
        <f aca="false">IF(A1196="","",IF(ISNA(MATCH(B1196,'Kitting Plan'!$B$6:$B$19,0)),"Not in plan","Yes"))</f>
        <v/>
      </c>
      <c r="H1196" s="41" t="str">
        <f aca="false">IF(G1196="Yes",INDEX('Kitting Plan'!$D$6:$D$19,MATCH(B1196,'Kitting Plan'!$B$6:$B$19,0)),"")</f>
        <v/>
      </c>
      <c r="I1196" s="41" t="str">
        <f aca="false">IF(A1196="","",IF(ISNUMBER(SEARCH("PRT",E1196)),D1196,0))</f>
        <v/>
      </c>
      <c r="J1196" s="41" t="str">
        <f aca="false">IF(A1196="","",IF(ISNUMBER(SEARCH("GMPS",E1196)),D1196,0))</f>
        <v/>
      </c>
      <c r="K1196" s="41" t="str">
        <f aca="false">IF(A1196="","",IF(ISNUMBER(SEARCH("DLV",E1196)),D1196,0))</f>
        <v/>
      </c>
      <c r="L1196" s="41" t="str">
        <f aca="false">IF(A1196="","",IF(K1196&gt;0,"Delivered",IF(ISNUMBER(SEARCH("CNF",E1196)),"In production",IF(J1196&gt;0,"Issued",IF(I1196&gt;0,"Kitted","Released")))))</f>
        <v/>
      </c>
      <c r="M1196" s="41" t="str">
        <f aca="false">IF(G1196&lt;&gt;"Yes","",COUNTIFS($B$6:$B$1505,B1196,$F$6:$F$1505,"&lt;"&amp;F1196)+COUNTIFS($B$6:$B$1505,B1196,$F$6:$F$1505,F1196,$A$6:$A$1505,"&lt;="&amp;A1196))</f>
        <v/>
      </c>
      <c r="N1196" s="41" t="str">
        <f aca="false">IF(M1196="","",ROUNDUP(M1196/H1196,0))</f>
        <v/>
      </c>
      <c r="O1196" s="41" t="str">
        <f aca="false">IF(N1196="","",IF(N1196&lt;='Kitting Plan'!$C$3,"Rep "&amp;N1196,"Surplus"))</f>
        <v/>
      </c>
    </row>
    <row r="1197" customFormat="false" ht="15" hidden="false" customHeight="false" outlineLevel="0" collapsed="false">
      <c r="A1197" s="40" t="str">
        <f aca="false">IF(OR($A$4=0,INDEX('COOIS Raw'!$A:$GZ,ROW()-4,$A$4)=""),"",IFERROR(--INDEX('COOIS Raw'!$A:$GZ,ROW()-4,$A$4),INDEX('COOIS Raw'!$A:$GZ,ROW()-4,$A$4)))</f>
        <v/>
      </c>
      <c r="B1197" s="41" t="str">
        <f aca="false">IF(A1197="","",TRIM(INDEX('COOIS Raw'!$A:$GZ,ROW()-4,$B$4)))</f>
        <v/>
      </c>
      <c r="C1197" s="42" t="str">
        <f aca="false">IF(OR(A1197="",$C$4=0),"",INDEX('COOIS Raw'!$A:$GZ,ROW()-4,$C$4))</f>
        <v/>
      </c>
      <c r="D1197" s="41" t="str">
        <f aca="false">IF(A1197="","",IF($D$4=0,1,IFERROR(--INDEX('COOIS Raw'!$A:$GZ,ROW()-4,$D$4),1)))</f>
        <v/>
      </c>
      <c r="E1197" s="42" t="str">
        <f aca="false">IF(A1197="","",INDEX('COOIS Raw'!$A:$GZ,ROW()-4,$E$4)&amp;"")</f>
        <v/>
      </c>
      <c r="F1197" s="43" t="str">
        <f aca="false">IF(A1197="","",IFERROR(DATEVALUE(INDEX('COOIS Raw'!$A:$GZ,ROW()-4,$F$4)),INDEX('COOIS Raw'!$A:$GZ,ROW()-4,$F$4)))</f>
        <v/>
      </c>
      <c r="G1197" s="41" t="str">
        <f aca="false">IF(A1197="","",IF(ISNA(MATCH(B1197,'Kitting Plan'!$B$6:$B$19,0)),"Not in plan","Yes"))</f>
        <v/>
      </c>
      <c r="H1197" s="41" t="str">
        <f aca="false">IF(G1197="Yes",INDEX('Kitting Plan'!$D$6:$D$19,MATCH(B1197,'Kitting Plan'!$B$6:$B$19,0)),"")</f>
        <v/>
      </c>
      <c r="I1197" s="41" t="str">
        <f aca="false">IF(A1197="","",IF(ISNUMBER(SEARCH("PRT",E1197)),D1197,0))</f>
        <v/>
      </c>
      <c r="J1197" s="41" t="str">
        <f aca="false">IF(A1197="","",IF(ISNUMBER(SEARCH("GMPS",E1197)),D1197,0))</f>
        <v/>
      </c>
      <c r="K1197" s="41" t="str">
        <f aca="false">IF(A1197="","",IF(ISNUMBER(SEARCH("DLV",E1197)),D1197,0))</f>
        <v/>
      </c>
      <c r="L1197" s="41" t="str">
        <f aca="false">IF(A1197="","",IF(K1197&gt;0,"Delivered",IF(ISNUMBER(SEARCH("CNF",E1197)),"In production",IF(J1197&gt;0,"Issued",IF(I1197&gt;0,"Kitted","Released")))))</f>
        <v/>
      </c>
      <c r="M1197" s="41" t="str">
        <f aca="false">IF(G1197&lt;&gt;"Yes","",COUNTIFS($B$6:$B$1505,B1197,$F$6:$F$1505,"&lt;"&amp;F1197)+COUNTIFS($B$6:$B$1505,B1197,$F$6:$F$1505,F1197,$A$6:$A$1505,"&lt;="&amp;A1197))</f>
        <v/>
      </c>
      <c r="N1197" s="41" t="str">
        <f aca="false">IF(M1197="","",ROUNDUP(M1197/H1197,0))</f>
        <v/>
      </c>
      <c r="O1197" s="41" t="str">
        <f aca="false">IF(N1197="","",IF(N1197&lt;='Kitting Plan'!$C$3,"Rep "&amp;N1197,"Surplus"))</f>
        <v/>
      </c>
    </row>
    <row r="1198" customFormat="false" ht="15" hidden="false" customHeight="false" outlineLevel="0" collapsed="false">
      <c r="A1198" s="40" t="str">
        <f aca="false">IF(OR($A$4=0,INDEX('COOIS Raw'!$A:$GZ,ROW()-4,$A$4)=""),"",IFERROR(--INDEX('COOIS Raw'!$A:$GZ,ROW()-4,$A$4),INDEX('COOIS Raw'!$A:$GZ,ROW()-4,$A$4)))</f>
        <v/>
      </c>
      <c r="B1198" s="41" t="str">
        <f aca="false">IF(A1198="","",TRIM(INDEX('COOIS Raw'!$A:$GZ,ROW()-4,$B$4)))</f>
        <v/>
      </c>
      <c r="C1198" s="42" t="str">
        <f aca="false">IF(OR(A1198="",$C$4=0),"",INDEX('COOIS Raw'!$A:$GZ,ROW()-4,$C$4))</f>
        <v/>
      </c>
      <c r="D1198" s="41" t="str">
        <f aca="false">IF(A1198="","",IF($D$4=0,1,IFERROR(--INDEX('COOIS Raw'!$A:$GZ,ROW()-4,$D$4),1)))</f>
        <v/>
      </c>
      <c r="E1198" s="42" t="str">
        <f aca="false">IF(A1198="","",INDEX('COOIS Raw'!$A:$GZ,ROW()-4,$E$4)&amp;"")</f>
        <v/>
      </c>
      <c r="F1198" s="43" t="str">
        <f aca="false">IF(A1198="","",IFERROR(DATEVALUE(INDEX('COOIS Raw'!$A:$GZ,ROW()-4,$F$4)),INDEX('COOIS Raw'!$A:$GZ,ROW()-4,$F$4)))</f>
        <v/>
      </c>
      <c r="G1198" s="41" t="str">
        <f aca="false">IF(A1198="","",IF(ISNA(MATCH(B1198,'Kitting Plan'!$B$6:$B$19,0)),"Not in plan","Yes"))</f>
        <v/>
      </c>
      <c r="H1198" s="41" t="str">
        <f aca="false">IF(G1198="Yes",INDEX('Kitting Plan'!$D$6:$D$19,MATCH(B1198,'Kitting Plan'!$B$6:$B$19,0)),"")</f>
        <v/>
      </c>
      <c r="I1198" s="41" t="str">
        <f aca="false">IF(A1198="","",IF(ISNUMBER(SEARCH("PRT",E1198)),D1198,0))</f>
        <v/>
      </c>
      <c r="J1198" s="41" t="str">
        <f aca="false">IF(A1198="","",IF(ISNUMBER(SEARCH("GMPS",E1198)),D1198,0))</f>
        <v/>
      </c>
      <c r="K1198" s="41" t="str">
        <f aca="false">IF(A1198="","",IF(ISNUMBER(SEARCH("DLV",E1198)),D1198,0))</f>
        <v/>
      </c>
      <c r="L1198" s="41" t="str">
        <f aca="false">IF(A1198="","",IF(K1198&gt;0,"Delivered",IF(ISNUMBER(SEARCH("CNF",E1198)),"In production",IF(J1198&gt;0,"Issued",IF(I1198&gt;0,"Kitted","Released")))))</f>
        <v/>
      </c>
      <c r="M1198" s="41" t="str">
        <f aca="false">IF(G1198&lt;&gt;"Yes","",COUNTIFS($B$6:$B$1505,B1198,$F$6:$F$1505,"&lt;"&amp;F1198)+COUNTIFS($B$6:$B$1505,B1198,$F$6:$F$1505,F1198,$A$6:$A$1505,"&lt;="&amp;A1198))</f>
        <v/>
      </c>
      <c r="N1198" s="41" t="str">
        <f aca="false">IF(M1198="","",ROUNDUP(M1198/H1198,0))</f>
        <v/>
      </c>
      <c r="O1198" s="41" t="str">
        <f aca="false">IF(N1198="","",IF(N1198&lt;='Kitting Plan'!$C$3,"Rep "&amp;N1198,"Surplus"))</f>
        <v/>
      </c>
    </row>
    <row r="1199" customFormat="false" ht="15" hidden="false" customHeight="false" outlineLevel="0" collapsed="false">
      <c r="A1199" s="40" t="str">
        <f aca="false">IF(OR($A$4=0,INDEX('COOIS Raw'!$A:$GZ,ROW()-4,$A$4)=""),"",IFERROR(--INDEX('COOIS Raw'!$A:$GZ,ROW()-4,$A$4),INDEX('COOIS Raw'!$A:$GZ,ROW()-4,$A$4)))</f>
        <v/>
      </c>
      <c r="B1199" s="41" t="str">
        <f aca="false">IF(A1199="","",TRIM(INDEX('COOIS Raw'!$A:$GZ,ROW()-4,$B$4)))</f>
        <v/>
      </c>
      <c r="C1199" s="42" t="str">
        <f aca="false">IF(OR(A1199="",$C$4=0),"",INDEX('COOIS Raw'!$A:$GZ,ROW()-4,$C$4))</f>
        <v/>
      </c>
      <c r="D1199" s="41" t="str">
        <f aca="false">IF(A1199="","",IF($D$4=0,1,IFERROR(--INDEX('COOIS Raw'!$A:$GZ,ROW()-4,$D$4),1)))</f>
        <v/>
      </c>
      <c r="E1199" s="42" t="str">
        <f aca="false">IF(A1199="","",INDEX('COOIS Raw'!$A:$GZ,ROW()-4,$E$4)&amp;"")</f>
        <v/>
      </c>
      <c r="F1199" s="43" t="str">
        <f aca="false">IF(A1199="","",IFERROR(DATEVALUE(INDEX('COOIS Raw'!$A:$GZ,ROW()-4,$F$4)),INDEX('COOIS Raw'!$A:$GZ,ROW()-4,$F$4)))</f>
        <v/>
      </c>
      <c r="G1199" s="41" t="str">
        <f aca="false">IF(A1199="","",IF(ISNA(MATCH(B1199,'Kitting Plan'!$B$6:$B$19,0)),"Not in plan","Yes"))</f>
        <v/>
      </c>
      <c r="H1199" s="41" t="str">
        <f aca="false">IF(G1199="Yes",INDEX('Kitting Plan'!$D$6:$D$19,MATCH(B1199,'Kitting Plan'!$B$6:$B$19,0)),"")</f>
        <v/>
      </c>
      <c r="I1199" s="41" t="str">
        <f aca="false">IF(A1199="","",IF(ISNUMBER(SEARCH("PRT",E1199)),D1199,0))</f>
        <v/>
      </c>
      <c r="J1199" s="41" t="str">
        <f aca="false">IF(A1199="","",IF(ISNUMBER(SEARCH("GMPS",E1199)),D1199,0))</f>
        <v/>
      </c>
      <c r="K1199" s="41" t="str">
        <f aca="false">IF(A1199="","",IF(ISNUMBER(SEARCH("DLV",E1199)),D1199,0))</f>
        <v/>
      </c>
      <c r="L1199" s="41" t="str">
        <f aca="false">IF(A1199="","",IF(K1199&gt;0,"Delivered",IF(ISNUMBER(SEARCH("CNF",E1199)),"In production",IF(J1199&gt;0,"Issued",IF(I1199&gt;0,"Kitted","Released")))))</f>
        <v/>
      </c>
      <c r="M1199" s="41" t="str">
        <f aca="false">IF(G1199&lt;&gt;"Yes","",COUNTIFS($B$6:$B$1505,B1199,$F$6:$F$1505,"&lt;"&amp;F1199)+COUNTIFS($B$6:$B$1505,B1199,$F$6:$F$1505,F1199,$A$6:$A$1505,"&lt;="&amp;A1199))</f>
        <v/>
      </c>
      <c r="N1199" s="41" t="str">
        <f aca="false">IF(M1199="","",ROUNDUP(M1199/H1199,0))</f>
        <v/>
      </c>
      <c r="O1199" s="41" t="str">
        <f aca="false">IF(N1199="","",IF(N1199&lt;='Kitting Plan'!$C$3,"Rep "&amp;N1199,"Surplus"))</f>
        <v/>
      </c>
    </row>
    <row r="1200" customFormat="false" ht="15" hidden="false" customHeight="false" outlineLevel="0" collapsed="false">
      <c r="A1200" s="40" t="str">
        <f aca="false">IF(OR($A$4=0,INDEX('COOIS Raw'!$A:$GZ,ROW()-4,$A$4)=""),"",IFERROR(--INDEX('COOIS Raw'!$A:$GZ,ROW()-4,$A$4),INDEX('COOIS Raw'!$A:$GZ,ROW()-4,$A$4)))</f>
        <v/>
      </c>
      <c r="B1200" s="41" t="str">
        <f aca="false">IF(A1200="","",TRIM(INDEX('COOIS Raw'!$A:$GZ,ROW()-4,$B$4)))</f>
        <v/>
      </c>
      <c r="C1200" s="42" t="str">
        <f aca="false">IF(OR(A1200="",$C$4=0),"",INDEX('COOIS Raw'!$A:$GZ,ROW()-4,$C$4))</f>
        <v/>
      </c>
      <c r="D1200" s="41" t="str">
        <f aca="false">IF(A1200="","",IF($D$4=0,1,IFERROR(--INDEX('COOIS Raw'!$A:$GZ,ROW()-4,$D$4),1)))</f>
        <v/>
      </c>
      <c r="E1200" s="42" t="str">
        <f aca="false">IF(A1200="","",INDEX('COOIS Raw'!$A:$GZ,ROW()-4,$E$4)&amp;"")</f>
        <v/>
      </c>
      <c r="F1200" s="43" t="str">
        <f aca="false">IF(A1200="","",IFERROR(DATEVALUE(INDEX('COOIS Raw'!$A:$GZ,ROW()-4,$F$4)),INDEX('COOIS Raw'!$A:$GZ,ROW()-4,$F$4)))</f>
        <v/>
      </c>
      <c r="G1200" s="41" t="str">
        <f aca="false">IF(A1200="","",IF(ISNA(MATCH(B1200,'Kitting Plan'!$B$6:$B$19,0)),"Not in plan","Yes"))</f>
        <v/>
      </c>
      <c r="H1200" s="41" t="str">
        <f aca="false">IF(G1200="Yes",INDEX('Kitting Plan'!$D$6:$D$19,MATCH(B1200,'Kitting Plan'!$B$6:$B$19,0)),"")</f>
        <v/>
      </c>
      <c r="I1200" s="41" t="str">
        <f aca="false">IF(A1200="","",IF(ISNUMBER(SEARCH("PRT",E1200)),D1200,0))</f>
        <v/>
      </c>
      <c r="J1200" s="41" t="str">
        <f aca="false">IF(A1200="","",IF(ISNUMBER(SEARCH("GMPS",E1200)),D1200,0))</f>
        <v/>
      </c>
      <c r="K1200" s="41" t="str">
        <f aca="false">IF(A1200="","",IF(ISNUMBER(SEARCH("DLV",E1200)),D1200,0))</f>
        <v/>
      </c>
      <c r="L1200" s="41" t="str">
        <f aca="false">IF(A1200="","",IF(K1200&gt;0,"Delivered",IF(ISNUMBER(SEARCH("CNF",E1200)),"In production",IF(J1200&gt;0,"Issued",IF(I1200&gt;0,"Kitted","Released")))))</f>
        <v/>
      </c>
      <c r="M1200" s="41" t="str">
        <f aca="false">IF(G1200&lt;&gt;"Yes","",COUNTIFS($B$6:$B$1505,B1200,$F$6:$F$1505,"&lt;"&amp;F1200)+COUNTIFS($B$6:$B$1505,B1200,$F$6:$F$1505,F1200,$A$6:$A$1505,"&lt;="&amp;A1200))</f>
        <v/>
      </c>
      <c r="N1200" s="41" t="str">
        <f aca="false">IF(M1200="","",ROUNDUP(M1200/H1200,0))</f>
        <v/>
      </c>
      <c r="O1200" s="41" t="str">
        <f aca="false">IF(N1200="","",IF(N1200&lt;='Kitting Plan'!$C$3,"Rep "&amp;N1200,"Surplus"))</f>
        <v/>
      </c>
    </row>
    <row r="1201" customFormat="false" ht="15" hidden="false" customHeight="false" outlineLevel="0" collapsed="false">
      <c r="A1201" s="40" t="str">
        <f aca="false">IF(OR($A$4=0,INDEX('COOIS Raw'!$A:$GZ,ROW()-4,$A$4)=""),"",IFERROR(--INDEX('COOIS Raw'!$A:$GZ,ROW()-4,$A$4),INDEX('COOIS Raw'!$A:$GZ,ROW()-4,$A$4)))</f>
        <v/>
      </c>
      <c r="B1201" s="41" t="str">
        <f aca="false">IF(A1201="","",TRIM(INDEX('COOIS Raw'!$A:$GZ,ROW()-4,$B$4)))</f>
        <v/>
      </c>
      <c r="C1201" s="42" t="str">
        <f aca="false">IF(OR(A1201="",$C$4=0),"",INDEX('COOIS Raw'!$A:$GZ,ROW()-4,$C$4))</f>
        <v/>
      </c>
      <c r="D1201" s="41" t="str">
        <f aca="false">IF(A1201="","",IF($D$4=0,1,IFERROR(--INDEX('COOIS Raw'!$A:$GZ,ROW()-4,$D$4),1)))</f>
        <v/>
      </c>
      <c r="E1201" s="42" t="str">
        <f aca="false">IF(A1201="","",INDEX('COOIS Raw'!$A:$GZ,ROW()-4,$E$4)&amp;"")</f>
        <v/>
      </c>
      <c r="F1201" s="43" t="str">
        <f aca="false">IF(A1201="","",IFERROR(DATEVALUE(INDEX('COOIS Raw'!$A:$GZ,ROW()-4,$F$4)),INDEX('COOIS Raw'!$A:$GZ,ROW()-4,$F$4)))</f>
        <v/>
      </c>
      <c r="G1201" s="41" t="str">
        <f aca="false">IF(A1201="","",IF(ISNA(MATCH(B1201,'Kitting Plan'!$B$6:$B$19,0)),"Not in plan","Yes"))</f>
        <v/>
      </c>
      <c r="H1201" s="41" t="str">
        <f aca="false">IF(G1201="Yes",INDEX('Kitting Plan'!$D$6:$D$19,MATCH(B1201,'Kitting Plan'!$B$6:$B$19,0)),"")</f>
        <v/>
      </c>
      <c r="I1201" s="41" t="str">
        <f aca="false">IF(A1201="","",IF(ISNUMBER(SEARCH("PRT",E1201)),D1201,0))</f>
        <v/>
      </c>
      <c r="J1201" s="41" t="str">
        <f aca="false">IF(A1201="","",IF(ISNUMBER(SEARCH("GMPS",E1201)),D1201,0))</f>
        <v/>
      </c>
      <c r="K1201" s="41" t="str">
        <f aca="false">IF(A1201="","",IF(ISNUMBER(SEARCH("DLV",E1201)),D1201,0))</f>
        <v/>
      </c>
      <c r="L1201" s="41" t="str">
        <f aca="false">IF(A1201="","",IF(K1201&gt;0,"Delivered",IF(ISNUMBER(SEARCH("CNF",E1201)),"In production",IF(J1201&gt;0,"Issued",IF(I1201&gt;0,"Kitted","Released")))))</f>
        <v/>
      </c>
      <c r="M1201" s="41" t="str">
        <f aca="false">IF(G1201&lt;&gt;"Yes","",COUNTIFS($B$6:$B$1505,B1201,$F$6:$F$1505,"&lt;"&amp;F1201)+COUNTIFS($B$6:$B$1505,B1201,$F$6:$F$1505,F1201,$A$6:$A$1505,"&lt;="&amp;A1201))</f>
        <v/>
      </c>
      <c r="N1201" s="41" t="str">
        <f aca="false">IF(M1201="","",ROUNDUP(M1201/H1201,0))</f>
        <v/>
      </c>
      <c r="O1201" s="41" t="str">
        <f aca="false">IF(N1201="","",IF(N1201&lt;='Kitting Plan'!$C$3,"Rep "&amp;N1201,"Surplus"))</f>
        <v/>
      </c>
    </row>
    <row r="1202" customFormat="false" ht="15" hidden="false" customHeight="false" outlineLevel="0" collapsed="false">
      <c r="A1202" s="40" t="str">
        <f aca="false">IF(OR($A$4=0,INDEX('COOIS Raw'!$A:$GZ,ROW()-4,$A$4)=""),"",IFERROR(--INDEX('COOIS Raw'!$A:$GZ,ROW()-4,$A$4),INDEX('COOIS Raw'!$A:$GZ,ROW()-4,$A$4)))</f>
        <v/>
      </c>
      <c r="B1202" s="41" t="str">
        <f aca="false">IF(A1202="","",TRIM(INDEX('COOIS Raw'!$A:$GZ,ROW()-4,$B$4)))</f>
        <v/>
      </c>
      <c r="C1202" s="42" t="str">
        <f aca="false">IF(OR(A1202="",$C$4=0),"",INDEX('COOIS Raw'!$A:$GZ,ROW()-4,$C$4))</f>
        <v/>
      </c>
      <c r="D1202" s="41" t="str">
        <f aca="false">IF(A1202="","",IF($D$4=0,1,IFERROR(--INDEX('COOIS Raw'!$A:$GZ,ROW()-4,$D$4),1)))</f>
        <v/>
      </c>
      <c r="E1202" s="42" t="str">
        <f aca="false">IF(A1202="","",INDEX('COOIS Raw'!$A:$GZ,ROW()-4,$E$4)&amp;"")</f>
        <v/>
      </c>
      <c r="F1202" s="43" t="str">
        <f aca="false">IF(A1202="","",IFERROR(DATEVALUE(INDEX('COOIS Raw'!$A:$GZ,ROW()-4,$F$4)),INDEX('COOIS Raw'!$A:$GZ,ROW()-4,$F$4)))</f>
        <v/>
      </c>
      <c r="G1202" s="41" t="str">
        <f aca="false">IF(A1202="","",IF(ISNA(MATCH(B1202,'Kitting Plan'!$B$6:$B$19,0)),"Not in plan","Yes"))</f>
        <v/>
      </c>
      <c r="H1202" s="41" t="str">
        <f aca="false">IF(G1202="Yes",INDEX('Kitting Plan'!$D$6:$D$19,MATCH(B1202,'Kitting Plan'!$B$6:$B$19,0)),"")</f>
        <v/>
      </c>
      <c r="I1202" s="41" t="str">
        <f aca="false">IF(A1202="","",IF(ISNUMBER(SEARCH("PRT",E1202)),D1202,0))</f>
        <v/>
      </c>
      <c r="J1202" s="41" t="str">
        <f aca="false">IF(A1202="","",IF(ISNUMBER(SEARCH("GMPS",E1202)),D1202,0))</f>
        <v/>
      </c>
      <c r="K1202" s="41" t="str">
        <f aca="false">IF(A1202="","",IF(ISNUMBER(SEARCH("DLV",E1202)),D1202,0))</f>
        <v/>
      </c>
      <c r="L1202" s="41" t="str">
        <f aca="false">IF(A1202="","",IF(K1202&gt;0,"Delivered",IF(ISNUMBER(SEARCH("CNF",E1202)),"In production",IF(J1202&gt;0,"Issued",IF(I1202&gt;0,"Kitted","Released")))))</f>
        <v/>
      </c>
      <c r="M1202" s="41" t="str">
        <f aca="false">IF(G1202&lt;&gt;"Yes","",COUNTIFS($B$6:$B$1505,B1202,$F$6:$F$1505,"&lt;"&amp;F1202)+COUNTIFS($B$6:$B$1505,B1202,$F$6:$F$1505,F1202,$A$6:$A$1505,"&lt;="&amp;A1202))</f>
        <v/>
      </c>
      <c r="N1202" s="41" t="str">
        <f aca="false">IF(M1202="","",ROUNDUP(M1202/H1202,0))</f>
        <v/>
      </c>
      <c r="O1202" s="41" t="str">
        <f aca="false">IF(N1202="","",IF(N1202&lt;='Kitting Plan'!$C$3,"Rep "&amp;N1202,"Surplus"))</f>
        <v/>
      </c>
    </row>
    <row r="1203" customFormat="false" ht="15" hidden="false" customHeight="false" outlineLevel="0" collapsed="false">
      <c r="A1203" s="40" t="str">
        <f aca="false">IF(OR($A$4=0,INDEX('COOIS Raw'!$A:$GZ,ROW()-4,$A$4)=""),"",IFERROR(--INDEX('COOIS Raw'!$A:$GZ,ROW()-4,$A$4),INDEX('COOIS Raw'!$A:$GZ,ROW()-4,$A$4)))</f>
        <v/>
      </c>
      <c r="B1203" s="41" t="str">
        <f aca="false">IF(A1203="","",TRIM(INDEX('COOIS Raw'!$A:$GZ,ROW()-4,$B$4)))</f>
        <v/>
      </c>
      <c r="C1203" s="42" t="str">
        <f aca="false">IF(OR(A1203="",$C$4=0),"",INDEX('COOIS Raw'!$A:$GZ,ROW()-4,$C$4))</f>
        <v/>
      </c>
      <c r="D1203" s="41" t="str">
        <f aca="false">IF(A1203="","",IF($D$4=0,1,IFERROR(--INDEX('COOIS Raw'!$A:$GZ,ROW()-4,$D$4),1)))</f>
        <v/>
      </c>
      <c r="E1203" s="42" t="str">
        <f aca="false">IF(A1203="","",INDEX('COOIS Raw'!$A:$GZ,ROW()-4,$E$4)&amp;"")</f>
        <v/>
      </c>
      <c r="F1203" s="43" t="str">
        <f aca="false">IF(A1203="","",IFERROR(DATEVALUE(INDEX('COOIS Raw'!$A:$GZ,ROW()-4,$F$4)),INDEX('COOIS Raw'!$A:$GZ,ROW()-4,$F$4)))</f>
        <v/>
      </c>
      <c r="G1203" s="41" t="str">
        <f aca="false">IF(A1203="","",IF(ISNA(MATCH(B1203,'Kitting Plan'!$B$6:$B$19,0)),"Not in plan","Yes"))</f>
        <v/>
      </c>
      <c r="H1203" s="41" t="str">
        <f aca="false">IF(G1203="Yes",INDEX('Kitting Plan'!$D$6:$D$19,MATCH(B1203,'Kitting Plan'!$B$6:$B$19,0)),"")</f>
        <v/>
      </c>
      <c r="I1203" s="41" t="str">
        <f aca="false">IF(A1203="","",IF(ISNUMBER(SEARCH("PRT",E1203)),D1203,0))</f>
        <v/>
      </c>
      <c r="J1203" s="41" t="str">
        <f aca="false">IF(A1203="","",IF(ISNUMBER(SEARCH("GMPS",E1203)),D1203,0))</f>
        <v/>
      </c>
      <c r="K1203" s="41" t="str">
        <f aca="false">IF(A1203="","",IF(ISNUMBER(SEARCH("DLV",E1203)),D1203,0))</f>
        <v/>
      </c>
      <c r="L1203" s="41" t="str">
        <f aca="false">IF(A1203="","",IF(K1203&gt;0,"Delivered",IF(ISNUMBER(SEARCH("CNF",E1203)),"In production",IF(J1203&gt;0,"Issued",IF(I1203&gt;0,"Kitted","Released")))))</f>
        <v/>
      </c>
      <c r="M1203" s="41" t="str">
        <f aca="false">IF(G1203&lt;&gt;"Yes","",COUNTIFS($B$6:$B$1505,B1203,$F$6:$F$1505,"&lt;"&amp;F1203)+COUNTIFS($B$6:$B$1505,B1203,$F$6:$F$1505,F1203,$A$6:$A$1505,"&lt;="&amp;A1203))</f>
        <v/>
      </c>
      <c r="N1203" s="41" t="str">
        <f aca="false">IF(M1203="","",ROUNDUP(M1203/H1203,0))</f>
        <v/>
      </c>
      <c r="O1203" s="41" t="str">
        <f aca="false">IF(N1203="","",IF(N1203&lt;='Kitting Plan'!$C$3,"Rep "&amp;N1203,"Surplus"))</f>
        <v/>
      </c>
    </row>
    <row r="1204" customFormat="false" ht="15" hidden="false" customHeight="false" outlineLevel="0" collapsed="false">
      <c r="A1204" s="40" t="str">
        <f aca="false">IF(OR($A$4=0,INDEX('COOIS Raw'!$A:$GZ,ROW()-4,$A$4)=""),"",IFERROR(--INDEX('COOIS Raw'!$A:$GZ,ROW()-4,$A$4),INDEX('COOIS Raw'!$A:$GZ,ROW()-4,$A$4)))</f>
        <v/>
      </c>
      <c r="B1204" s="41" t="str">
        <f aca="false">IF(A1204="","",TRIM(INDEX('COOIS Raw'!$A:$GZ,ROW()-4,$B$4)))</f>
        <v/>
      </c>
      <c r="C1204" s="42" t="str">
        <f aca="false">IF(OR(A1204="",$C$4=0),"",INDEX('COOIS Raw'!$A:$GZ,ROW()-4,$C$4))</f>
        <v/>
      </c>
      <c r="D1204" s="41" t="str">
        <f aca="false">IF(A1204="","",IF($D$4=0,1,IFERROR(--INDEX('COOIS Raw'!$A:$GZ,ROW()-4,$D$4),1)))</f>
        <v/>
      </c>
      <c r="E1204" s="42" t="str">
        <f aca="false">IF(A1204="","",INDEX('COOIS Raw'!$A:$GZ,ROW()-4,$E$4)&amp;"")</f>
        <v/>
      </c>
      <c r="F1204" s="43" t="str">
        <f aca="false">IF(A1204="","",IFERROR(DATEVALUE(INDEX('COOIS Raw'!$A:$GZ,ROW()-4,$F$4)),INDEX('COOIS Raw'!$A:$GZ,ROW()-4,$F$4)))</f>
        <v/>
      </c>
      <c r="G1204" s="41" t="str">
        <f aca="false">IF(A1204="","",IF(ISNA(MATCH(B1204,'Kitting Plan'!$B$6:$B$19,0)),"Not in plan","Yes"))</f>
        <v/>
      </c>
      <c r="H1204" s="41" t="str">
        <f aca="false">IF(G1204="Yes",INDEX('Kitting Plan'!$D$6:$D$19,MATCH(B1204,'Kitting Plan'!$B$6:$B$19,0)),"")</f>
        <v/>
      </c>
      <c r="I1204" s="41" t="str">
        <f aca="false">IF(A1204="","",IF(ISNUMBER(SEARCH("PRT",E1204)),D1204,0))</f>
        <v/>
      </c>
      <c r="J1204" s="41" t="str">
        <f aca="false">IF(A1204="","",IF(ISNUMBER(SEARCH("GMPS",E1204)),D1204,0))</f>
        <v/>
      </c>
      <c r="K1204" s="41" t="str">
        <f aca="false">IF(A1204="","",IF(ISNUMBER(SEARCH("DLV",E1204)),D1204,0))</f>
        <v/>
      </c>
      <c r="L1204" s="41" t="str">
        <f aca="false">IF(A1204="","",IF(K1204&gt;0,"Delivered",IF(ISNUMBER(SEARCH("CNF",E1204)),"In production",IF(J1204&gt;0,"Issued",IF(I1204&gt;0,"Kitted","Released")))))</f>
        <v/>
      </c>
      <c r="M1204" s="41" t="str">
        <f aca="false">IF(G1204&lt;&gt;"Yes","",COUNTIFS($B$6:$B$1505,B1204,$F$6:$F$1505,"&lt;"&amp;F1204)+COUNTIFS($B$6:$B$1505,B1204,$F$6:$F$1505,F1204,$A$6:$A$1505,"&lt;="&amp;A1204))</f>
        <v/>
      </c>
      <c r="N1204" s="41" t="str">
        <f aca="false">IF(M1204="","",ROUNDUP(M1204/H1204,0))</f>
        <v/>
      </c>
      <c r="O1204" s="41" t="str">
        <f aca="false">IF(N1204="","",IF(N1204&lt;='Kitting Plan'!$C$3,"Rep "&amp;N1204,"Surplus"))</f>
        <v/>
      </c>
    </row>
    <row r="1205" customFormat="false" ht="15" hidden="false" customHeight="false" outlineLevel="0" collapsed="false">
      <c r="A1205" s="40" t="str">
        <f aca="false">IF(OR($A$4=0,INDEX('COOIS Raw'!$A:$GZ,ROW()-4,$A$4)=""),"",IFERROR(--INDEX('COOIS Raw'!$A:$GZ,ROW()-4,$A$4),INDEX('COOIS Raw'!$A:$GZ,ROW()-4,$A$4)))</f>
        <v/>
      </c>
      <c r="B1205" s="41" t="str">
        <f aca="false">IF(A1205="","",TRIM(INDEX('COOIS Raw'!$A:$GZ,ROW()-4,$B$4)))</f>
        <v/>
      </c>
      <c r="C1205" s="42" t="str">
        <f aca="false">IF(OR(A1205="",$C$4=0),"",INDEX('COOIS Raw'!$A:$GZ,ROW()-4,$C$4))</f>
        <v/>
      </c>
      <c r="D1205" s="41" t="str">
        <f aca="false">IF(A1205="","",IF($D$4=0,1,IFERROR(--INDEX('COOIS Raw'!$A:$GZ,ROW()-4,$D$4),1)))</f>
        <v/>
      </c>
      <c r="E1205" s="42" t="str">
        <f aca="false">IF(A1205="","",INDEX('COOIS Raw'!$A:$GZ,ROW()-4,$E$4)&amp;"")</f>
        <v/>
      </c>
      <c r="F1205" s="43" t="str">
        <f aca="false">IF(A1205="","",IFERROR(DATEVALUE(INDEX('COOIS Raw'!$A:$GZ,ROW()-4,$F$4)),INDEX('COOIS Raw'!$A:$GZ,ROW()-4,$F$4)))</f>
        <v/>
      </c>
      <c r="G1205" s="41" t="str">
        <f aca="false">IF(A1205="","",IF(ISNA(MATCH(B1205,'Kitting Plan'!$B$6:$B$19,0)),"Not in plan","Yes"))</f>
        <v/>
      </c>
      <c r="H1205" s="41" t="str">
        <f aca="false">IF(G1205="Yes",INDEX('Kitting Plan'!$D$6:$D$19,MATCH(B1205,'Kitting Plan'!$B$6:$B$19,0)),"")</f>
        <v/>
      </c>
      <c r="I1205" s="41" t="str">
        <f aca="false">IF(A1205="","",IF(ISNUMBER(SEARCH("PRT",E1205)),D1205,0))</f>
        <v/>
      </c>
      <c r="J1205" s="41" t="str">
        <f aca="false">IF(A1205="","",IF(ISNUMBER(SEARCH("GMPS",E1205)),D1205,0))</f>
        <v/>
      </c>
      <c r="K1205" s="41" t="str">
        <f aca="false">IF(A1205="","",IF(ISNUMBER(SEARCH("DLV",E1205)),D1205,0))</f>
        <v/>
      </c>
      <c r="L1205" s="41" t="str">
        <f aca="false">IF(A1205="","",IF(K1205&gt;0,"Delivered",IF(ISNUMBER(SEARCH("CNF",E1205)),"In production",IF(J1205&gt;0,"Issued",IF(I1205&gt;0,"Kitted","Released")))))</f>
        <v/>
      </c>
      <c r="M1205" s="41" t="str">
        <f aca="false">IF(G1205&lt;&gt;"Yes","",COUNTIFS($B$6:$B$1505,B1205,$F$6:$F$1505,"&lt;"&amp;F1205)+COUNTIFS($B$6:$B$1505,B1205,$F$6:$F$1505,F1205,$A$6:$A$1505,"&lt;="&amp;A1205))</f>
        <v/>
      </c>
      <c r="N1205" s="41" t="str">
        <f aca="false">IF(M1205="","",ROUNDUP(M1205/H1205,0))</f>
        <v/>
      </c>
      <c r="O1205" s="41" t="str">
        <f aca="false">IF(N1205="","",IF(N1205&lt;='Kitting Plan'!$C$3,"Rep "&amp;N1205,"Surplus"))</f>
        <v/>
      </c>
    </row>
    <row r="1206" customFormat="false" ht="15" hidden="false" customHeight="false" outlineLevel="0" collapsed="false">
      <c r="A1206" s="40" t="str">
        <f aca="false">IF(OR($A$4=0,INDEX('COOIS Raw'!$A:$GZ,ROW()-4,$A$4)=""),"",IFERROR(--INDEX('COOIS Raw'!$A:$GZ,ROW()-4,$A$4),INDEX('COOIS Raw'!$A:$GZ,ROW()-4,$A$4)))</f>
        <v/>
      </c>
      <c r="B1206" s="41" t="str">
        <f aca="false">IF(A1206="","",TRIM(INDEX('COOIS Raw'!$A:$GZ,ROW()-4,$B$4)))</f>
        <v/>
      </c>
      <c r="C1206" s="42" t="str">
        <f aca="false">IF(OR(A1206="",$C$4=0),"",INDEX('COOIS Raw'!$A:$GZ,ROW()-4,$C$4))</f>
        <v/>
      </c>
      <c r="D1206" s="41" t="str">
        <f aca="false">IF(A1206="","",IF($D$4=0,1,IFERROR(--INDEX('COOIS Raw'!$A:$GZ,ROW()-4,$D$4),1)))</f>
        <v/>
      </c>
      <c r="E1206" s="42" t="str">
        <f aca="false">IF(A1206="","",INDEX('COOIS Raw'!$A:$GZ,ROW()-4,$E$4)&amp;"")</f>
        <v/>
      </c>
      <c r="F1206" s="43" t="str">
        <f aca="false">IF(A1206="","",IFERROR(DATEVALUE(INDEX('COOIS Raw'!$A:$GZ,ROW()-4,$F$4)),INDEX('COOIS Raw'!$A:$GZ,ROW()-4,$F$4)))</f>
        <v/>
      </c>
      <c r="G1206" s="41" t="str">
        <f aca="false">IF(A1206="","",IF(ISNA(MATCH(B1206,'Kitting Plan'!$B$6:$B$19,0)),"Not in plan","Yes"))</f>
        <v/>
      </c>
      <c r="H1206" s="41" t="str">
        <f aca="false">IF(G1206="Yes",INDEX('Kitting Plan'!$D$6:$D$19,MATCH(B1206,'Kitting Plan'!$B$6:$B$19,0)),"")</f>
        <v/>
      </c>
      <c r="I1206" s="41" t="str">
        <f aca="false">IF(A1206="","",IF(ISNUMBER(SEARCH("PRT",E1206)),D1206,0))</f>
        <v/>
      </c>
      <c r="J1206" s="41" t="str">
        <f aca="false">IF(A1206="","",IF(ISNUMBER(SEARCH("GMPS",E1206)),D1206,0))</f>
        <v/>
      </c>
      <c r="K1206" s="41" t="str">
        <f aca="false">IF(A1206="","",IF(ISNUMBER(SEARCH("DLV",E1206)),D1206,0))</f>
        <v/>
      </c>
      <c r="L1206" s="41" t="str">
        <f aca="false">IF(A1206="","",IF(K1206&gt;0,"Delivered",IF(ISNUMBER(SEARCH("CNF",E1206)),"In production",IF(J1206&gt;0,"Issued",IF(I1206&gt;0,"Kitted","Released")))))</f>
        <v/>
      </c>
      <c r="M1206" s="41" t="str">
        <f aca="false">IF(G1206&lt;&gt;"Yes","",COUNTIFS($B$6:$B$1505,B1206,$F$6:$F$1505,"&lt;"&amp;F1206)+COUNTIFS($B$6:$B$1505,B1206,$F$6:$F$1505,F1206,$A$6:$A$1505,"&lt;="&amp;A1206))</f>
        <v/>
      </c>
      <c r="N1206" s="41" t="str">
        <f aca="false">IF(M1206="","",ROUNDUP(M1206/H1206,0))</f>
        <v/>
      </c>
      <c r="O1206" s="41" t="str">
        <f aca="false">IF(N1206="","",IF(N1206&lt;='Kitting Plan'!$C$3,"Rep "&amp;N1206,"Surplus"))</f>
        <v/>
      </c>
    </row>
    <row r="1207" customFormat="false" ht="15" hidden="false" customHeight="false" outlineLevel="0" collapsed="false">
      <c r="A1207" s="40" t="str">
        <f aca="false">IF(OR($A$4=0,INDEX('COOIS Raw'!$A:$GZ,ROW()-4,$A$4)=""),"",IFERROR(--INDEX('COOIS Raw'!$A:$GZ,ROW()-4,$A$4),INDEX('COOIS Raw'!$A:$GZ,ROW()-4,$A$4)))</f>
        <v/>
      </c>
      <c r="B1207" s="41" t="str">
        <f aca="false">IF(A1207="","",TRIM(INDEX('COOIS Raw'!$A:$GZ,ROW()-4,$B$4)))</f>
        <v/>
      </c>
      <c r="C1207" s="42" t="str">
        <f aca="false">IF(OR(A1207="",$C$4=0),"",INDEX('COOIS Raw'!$A:$GZ,ROW()-4,$C$4))</f>
        <v/>
      </c>
      <c r="D1207" s="41" t="str">
        <f aca="false">IF(A1207="","",IF($D$4=0,1,IFERROR(--INDEX('COOIS Raw'!$A:$GZ,ROW()-4,$D$4),1)))</f>
        <v/>
      </c>
      <c r="E1207" s="42" t="str">
        <f aca="false">IF(A1207="","",INDEX('COOIS Raw'!$A:$GZ,ROW()-4,$E$4)&amp;"")</f>
        <v/>
      </c>
      <c r="F1207" s="43" t="str">
        <f aca="false">IF(A1207="","",IFERROR(DATEVALUE(INDEX('COOIS Raw'!$A:$GZ,ROW()-4,$F$4)),INDEX('COOIS Raw'!$A:$GZ,ROW()-4,$F$4)))</f>
        <v/>
      </c>
      <c r="G1207" s="41" t="str">
        <f aca="false">IF(A1207="","",IF(ISNA(MATCH(B1207,'Kitting Plan'!$B$6:$B$19,0)),"Not in plan","Yes"))</f>
        <v/>
      </c>
      <c r="H1207" s="41" t="str">
        <f aca="false">IF(G1207="Yes",INDEX('Kitting Plan'!$D$6:$D$19,MATCH(B1207,'Kitting Plan'!$B$6:$B$19,0)),"")</f>
        <v/>
      </c>
      <c r="I1207" s="41" t="str">
        <f aca="false">IF(A1207="","",IF(ISNUMBER(SEARCH("PRT",E1207)),D1207,0))</f>
        <v/>
      </c>
      <c r="J1207" s="41" t="str">
        <f aca="false">IF(A1207="","",IF(ISNUMBER(SEARCH("GMPS",E1207)),D1207,0))</f>
        <v/>
      </c>
      <c r="K1207" s="41" t="str">
        <f aca="false">IF(A1207="","",IF(ISNUMBER(SEARCH("DLV",E1207)),D1207,0))</f>
        <v/>
      </c>
      <c r="L1207" s="41" t="str">
        <f aca="false">IF(A1207="","",IF(K1207&gt;0,"Delivered",IF(ISNUMBER(SEARCH("CNF",E1207)),"In production",IF(J1207&gt;0,"Issued",IF(I1207&gt;0,"Kitted","Released")))))</f>
        <v/>
      </c>
      <c r="M1207" s="41" t="str">
        <f aca="false">IF(G1207&lt;&gt;"Yes","",COUNTIFS($B$6:$B$1505,B1207,$F$6:$F$1505,"&lt;"&amp;F1207)+COUNTIFS($B$6:$B$1505,B1207,$F$6:$F$1505,F1207,$A$6:$A$1505,"&lt;="&amp;A1207))</f>
        <v/>
      </c>
      <c r="N1207" s="41" t="str">
        <f aca="false">IF(M1207="","",ROUNDUP(M1207/H1207,0))</f>
        <v/>
      </c>
      <c r="O1207" s="41" t="str">
        <f aca="false">IF(N1207="","",IF(N1207&lt;='Kitting Plan'!$C$3,"Rep "&amp;N1207,"Surplus"))</f>
        <v/>
      </c>
    </row>
    <row r="1208" customFormat="false" ht="15" hidden="false" customHeight="false" outlineLevel="0" collapsed="false">
      <c r="A1208" s="40" t="str">
        <f aca="false">IF(OR($A$4=0,INDEX('COOIS Raw'!$A:$GZ,ROW()-4,$A$4)=""),"",IFERROR(--INDEX('COOIS Raw'!$A:$GZ,ROW()-4,$A$4),INDEX('COOIS Raw'!$A:$GZ,ROW()-4,$A$4)))</f>
        <v/>
      </c>
      <c r="B1208" s="41" t="str">
        <f aca="false">IF(A1208="","",TRIM(INDEX('COOIS Raw'!$A:$GZ,ROW()-4,$B$4)))</f>
        <v/>
      </c>
      <c r="C1208" s="42" t="str">
        <f aca="false">IF(OR(A1208="",$C$4=0),"",INDEX('COOIS Raw'!$A:$GZ,ROW()-4,$C$4))</f>
        <v/>
      </c>
      <c r="D1208" s="41" t="str">
        <f aca="false">IF(A1208="","",IF($D$4=0,1,IFERROR(--INDEX('COOIS Raw'!$A:$GZ,ROW()-4,$D$4),1)))</f>
        <v/>
      </c>
      <c r="E1208" s="42" t="str">
        <f aca="false">IF(A1208="","",INDEX('COOIS Raw'!$A:$GZ,ROW()-4,$E$4)&amp;"")</f>
        <v/>
      </c>
      <c r="F1208" s="43" t="str">
        <f aca="false">IF(A1208="","",IFERROR(DATEVALUE(INDEX('COOIS Raw'!$A:$GZ,ROW()-4,$F$4)),INDEX('COOIS Raw'!$A:$GZ,ROW()-4,$F$4)))</f>
        <v/>
      </c>
      <c r="G1208" s="41" t="str">
        <f aca="false">IF(A1208="","",IF(ISNA(MATCH(B1208,'Kitting Plan'!$B$6:$B$19,0)),"Not in plan","Yes"))</f>
        <v/>
      </c>
      <c r="H1208" s="41" t="str">
        <f aca="false">IF(G1208="Yes",INDEX('Kitting Plan'!$D$6:$D$19,MATCH(B1208,'Kitting Plan'!$B$6:$B$19,0)),"")</f>
        <v/>
      </c>
      <c r="I1208" s="41" t="str">
        <f aca="false">IF(A1208="","",IF(ISNUMBER(SEARCH("PRT",E1208)),D1208,0))</f>
        <v/>
      </c>
      <c r="J1208" s="41" t="str">
        <f aca="false">IF(A1208="","",IF(ISNUMBER(SEARCH("GMPS",E1208)),D1208,0))</f>
        <v/>
      </c>
      <c r="K1208" s="41" t="str">
        <f aca="false">IF(A1208="","",IF(ISNUMBER(SEARCH("DLV",E1208)),D1208,0))</f>
        <v/>
      </c>
      <c r="L1208" s="41" t="str">
        <f aca="false">IF(A1208="","",IF(K1208&gt;0,"Delivered",IF(ISNUMBER(SEARCH("CNF",E1208)),"In production",IF(J1208&gt;0,"Issued",IF(I1208&gt;0,"Kitted","Released")))))</f>
        <v/>
      </c>
      <c r="M1208" s="41" t="str">
        <f aca="false">IF(G1208&lt;&gt;"Yes","",COUNTIFS($B$6:$B$1505,B1208,$F$6:$F$1505,"&lt;"&amp;F1208)+COUNTIFS($B$6:$B$1505,B1208,$F$6:$F$1505,F1208,$A$6:$A$1505,"&lt;="&amp;A1208))</f>
        <v/>
      </c>
      <c r="N1208" s="41" t="str">
        <f aca="false">IF(M1208="","",ROUNDUP(M1208/H1208,0))</f>
        <v/>
      </c>
      <c r="O1208" s="41" t="str">
        <f aca="false">IF(N1208="","",IF(N1208&lt;='Kitting Plan'!$C$3,"Rep "&amp;N1208,"Surplus"))</f>
        <v/>
      </c>
    </row>
    <row r="1209" customFormat="false" ht="15" hidden="false" customHeight="false" outlineLevel="0" collapsed="false">
      <c r="A1209" s="40" t="str">
        <f aca="false">IF(OR($A$4=0,INDEX('COOIS Raw'!$A:$GZ,ROW()-4,$A$4)=""),"",IFERROR(--INDEX('COOIS Raw'!$A:$GZ,ROW()-4,$A$4),INDEX('COOIS Raw'!$A:$GZ,ROW()-4,$A$4)))</f>
        <v/>
      </c>
      <c r="B1209" s="41" t="str">
        <f aca="false">IF(A1209="","",TRIM(INDEX('COOIS Raw'!$A:$GZ,ROW()-4,$B$4)))</f>
        <v/>
      </c>
      <c r="C1209" s="42" t="str">
        <f aca="false">IF(OR(A1209="",$C$4=0),"",INDEX('COOIS Raw'!$A:$GZ,ROW()-4,$C$4))</f>
        <v/>
      </c>
      <c r="D1209" s="41" t="str">
        <f aca="false">IF(A1209="","",IF($D$4=0,1,IFERROR(--INDEX('COOIS Raw'!$A:$GZ,ROW()-4,$D$4),1)))</f>
        <v/>
      </c>
      <c r="E1209" s="42" t="str">
        <f aca="false">IF(A1209="","",INDEX('COOIS Raw'!$A:$GZ,ROW()-4,$E$4)&amp;"")</f>
        <v/>
      </c>
      <c r="F1209" s="43" t="str">
        <f aca="false">IF(A1209="","",IFERROR(DATEVALUE(INDEX('COOIS Raw'!$A:$GZ,ROW()-4,$F$4)),INDEX('COOIS Raw'!$A:$GZ,ROW()-4,$F$4)))</f>
        <v/>
      </c>
      <c r="G1209" s="41" t="str">
        <f aca="false">IF(A1209="","",IF(ISNA(MATCH(B1209,'Kitting Plan'!$B$6:$B$19,0)),"Not in plan","Yes"))</f>
        <v/>
      </c>
      <c r="H1209" s="41" t="str">
        <f aca="false">IF(G1209="Yes",INDEX('Kitting Plan'!$D$6:$D$19,MATCH(B1209,'Kitting Plan'!$B$6:$B$19,0)),"")</f>
        <v/>
      </c>
      <c r="I1209" s="41" t="str">
        <f aca="false">IF(A1209="","",IF(ISNUMBER(SEARCH("PRT",E1209)),D1209,0))</f>
        <v/>
      </c>
      <c r="J1209" s="41" t="str">
        <f aca="false">IF(A1209="","",IF(ISNUMBER(SEARCH("GMPS",E1209)),D1209,0))</f>
        <v/>
      </c>
      <c r="K1209" s="41" t="str">
        <f aca="false">IF(A1209="","",IF(ISNUMBER(SEARCH("DLV",E1209)),D1209,0))</f>
        <v/>
      </c>
      <c r="L1209" s="41" t="str">
        <f aca="false">IF(A1209="","",IF(K1209&gt;0,"Delivered",IF(ISNUMBER(SEARCH("CNF",E1209)),"In production",IF(J1209&gt;0,"Issued",IF(I1209&gt;0,"Kitted","Released")))))</f>
        <v/>
      </c>
      <c r="M1209" s="41" t="str">
        <f aca="false">IF(G1209&lt;&gt;"Yes","",COUNTIFS($B$6:$B$1505,B1209,$F$6:$F$1505,"&lt;"&amp;F1209)+COUNTIFS($B$6:$B$1505,B1209,$F$6:$F$1505,F1209,$A$6:$A$1505,"&lt;="&amp;A1209))</f>
        <v/>
      </c>
      <c r="N1209" s="41" t="str">
        <f aca="false">IF(M1209="","",ROUNDUP(M1209/H1209,0))</f>
        <v/>
      </c>
      <c r="O1209" s="41" t="str">
        <f aca="false">IF(N1209="","",IF(N1209&lt;='Kitting Plan'!$C$3,"Rep "&amp;N1209,"Surplus"))</f>
        <v/>
      </c>
    </row>
    <row r="1210" customFormat="false" ht="15" hidden="false" customHeight="false" outlineLevel="0" collapsed="false">
      <c r="A1210" s="40" t="str">
        <f aca="false">IF(OR($A$4=0,INDEX('COOIS Raw'!$A:$GZ,ROW()-4,$A$4)=""),"",IFERROR(--INDEX('COOIS Raw'!$A:$GZ,ROW()-4,$A$4),INDEX('COOIS Raw'!$A:$GZ,ROW()-4,$A$4)))</f>
        <v/>
      </c>
      <c r="B1210" s="41" t="str">
        <f aca="false">IF(A1210="","",TRIM(INDEX('COOIS Raw'!$A:$GZ,ROW()-4,$B$4)))</f>
        <v/>
      </c>
      <c r="C1210" s="42" t="str">
        <f aca="false">IF(OR(A1210="",$C$4=0),"",INDEX('COOIS Raw'!$A:$GZ,ROW()-4,$C$4))</f>
        <v/>
      </c>
      <c r="D1210" s="41" t="str">
        <f aca="false">IF(A1210="","",IF($D$4=0,1,IFERROR(--INDEX('COOIS Raw'!$A:$GZ,ROW()-4,$D$4),1)))</f>
        <v/>
      </c>
      <c r="E1210" s="42" t="str">
        <f aca="false">IF(A1210="","",INDEX('COOIS Raw'!$A:$GZ,ROW()-4,$E$4)&amp;"")</f>
        <v/>
      </c>
      <c r="F1210" s="43" t="str">
        <f aca="false">IF(A1210="","",IFERROR(DATEVALUE(INDEX('COOIS Raw'!$A:$GZ,ROW()-4,$F$4)),INDEX('COOIS Raw'!$A:$GZ,ROW()-4,$F$4)))</f>
        <v/>
      </c>
      <c r="G1210" s="41" t="str">
        <f aca="false">IF(A1210="","",IF(ISNA(MATCH(B1210,'Kitting Plan'!$B$6:$B$19,0)),"Not in plan","Yes"))</f>
        <v/>
      </c>
      <c r="H1210" s="41" t="str">
        <f aca="false">IF(G1210="Yes",INDEX('Kitting Plan'!$D$6:$D$19,MATCH(B1210,'Kitting Plan'!$B$6:$B$19,0)),"")</f>
        <v/>
      </c>
      <c r="I1210" s="41" t="str">
        <f aca="false">IF(A1210="","",IF(ISNUMBER(SEARCH("PRT",E1210)),D1210,0))</f>
        <v/>
      </c>
      <c r="J1210" s="41" t="str">
        <f aca="false">IF(A1210="","",IF(ISNUMBER(SEARCH("GMPS",E1210)),D1210,0))</f>
        <v/>
      </c>
      <c r="K1210" s="41" t="str">
        <f aca="false">IF(A1210="","",IF(ISNUMBER(SEARCH("DLV",E1210)),D1210,0))</f>
        <v/>
      </c>
      <c r="L1210" s="41" t="str">
        <f aca="false">IF(A1210="","",IF(K1210&gt;0,"Delivered",IF(ISNUMBER(SEARCH("CNF",E1210)),"In production",IF(J1210&gt;0,"Issued",IF(I1210&gt;0,"Kitted","Released")))))</f>
        <v/>
      </c>
      <c r="M1210" s="41" t="str">
        <f aca="false">IF(G1210&lt;&gt;"Yes","",COUNTIFS($B$6:$B$1505,B1210,$F$6:$F$1505,"&lt;"&amp;F1210)+COUNTIFS($B$6:$B$1505,B1210,$F$6:$F$1505,F1210,$A$6:$A$1505,"&lt;="&amp;A1210))</f>
        <v/>
      </c>
      <c r="N1210" s="41" t="str">
        <f aca="false">IF(M1210="","",ROUNDUP(M1210/H1210,0))</f>
        <v/>
      </c>
      <c r="O1210" s="41" t="str">
        <f aca="false">IF(N1210="","",IF(N1210&lt;='Kitting Plan'!$C$3,"Rep "&amp;N1210,"Surplus"))</f>
        <v/>
      </c>
    </row>
    <row r="1211" customFormat="false" ht="15" hidden="false" customHeight="false" outlineLevel="0" collapsed="false">
      <c r="A1211" s="40" t="str">
        <f aca="false">IF(OR($A$4=0,INDEX('COOIS Raw'!$A:$GZ,ROW()-4,$A$4)=""),"",IFERROR(--INDEX('COOIS Raw'!$A:$GZ,ROW()-4,$A$4),INDEX('COOIS Raw'!$A:$GZ,ROW()-4,$A$4)))</f>
        <v/>
      </c>
      <c r="B1211" s="41" t="str">
        <f aca="false">IF(A1211="","",TRIM(INDEX('COOIS Raw'!$A:$GZ,ROW()-4,$B$4)))</f>
        <v/>
      </c>
      <c r="C1211" s="42" t="str">
        <f aca="false">IF(OR(A1211="",$C$4=0),"",INDEX('COOIS Raw'!$A:$GZ,ROW()-4,$C$4))</f>
        <v/>
      </c>
      <c r="D1211" s="41" t="str">
        <f aca="false">IF(A1211="","",IF($D$4=0,1,IFERROR(--INDEX('COOIS Raw'!$A:$GZ,ROW()-4,$D$4),1)))</f>
        <v/>
      </c>
      <c r="E1211" s="42" t="str">
        <f aca="false">IF(A1211="","",INDEX('COOIS Raw'!$A:$GZ,ROW()-4,$E$4)&amp;"")</f>
        <v/>
      </c>
      <c r="F1211" s="43" t="str">
        <f aca="false">IF(A1211="","",IFERROR(DATEVALUE(INDEX('COOIS Raw'!$A:$GZ,ROW()-4,$F$4)),INDEX('COOIS Raw'!$A:$GZ,ROW()-4,$F$4)))</f>
        <v/>
      </c>
      <c r="G1211" s="41" t="str">
        <f aca="false">IF(A1211="","",IF(ISNA(MATCH(B1211,'Kitting Plan'!$B$6:$B$19,0)),"Not in plan","Yes"))</f>
        <v/>
      </c>
      <c r="H1211" s="41" t="str">
        <f aca="false">IF(G1211="Yes",INDEX('Kitting Plan'!$D$6:$D$19,MATCH(B1211,'Kitting Plan'!$B$6:$B$19,0)),"")</f>
        <v/>
      </c>
      <c r="I1211" s="41" t="str">
        <f aca="false">IF(A1211="","",IF(ISNUMBER(SEARCH("PRT",E1211)),D1211,0))</f>
        <v/>
      </c>
      <c r="J1211" s="41" t="str">
        <f aca="false">IF(A1211="","",IF(ISNUMBER(SEARCH("GMPS",E1211)),D1211,0))</f>
        <v/>
      </c>
      <c r="K1211" s="41" t="str">
        <f aca="false">IF(A1211="","",IF(ISNUMBER(SEARCH("DLV",E1211)),D1211,0))</f>
        <v/>
      </c>
      <c r="L1211" s="41" t="str">
        <f aca="false">IF(A1211="","",IF(K1211&gt;0,"Delivered",IF(ISNUMBER(SEARCH("CNF",E1211)),"In production",IF(J1211&gt;0,"Issued",IF(I1211&gt;0,"Kitted","Released")))))</f>
        <v/>
      </c>
      <c r="M1211" s="41" t="str">
        <f aca="false">IF(G1211&lt;&gt;"Yes","",COUNTIFS($B$6:$B$1505,B1211,$F$6:$F$1505,"&lt;"&amp;F1211)+COUNTIFS($B$6:$B$1505,B1211,$F$6:$F$1505,F1211,$A$6:$A$1505,"&lt;="&amp;A1211))</f>
        <v/>
      </c>
      <c r="N1211" s="41" t="str">
        <f aca="false">IF(M1211="","",ROUNDUP(M1211/H1211,0))</f>
        <v/>
      </c>
      <c r="O1211" s="41" t="str">
        <f aca="false">IF(N1211="","",IF(N1211&lt;='Kitting Plan'!$C$3,"Rep "&amp;N1211,"Surplus"))</f>
        <v/>
      </c>
    </row>
    <row r="1212" customFormat="false" ht="15" hidden="false" customHeight="false" outlineLevel="0" collapsed="false">
      <c r="A1212" s="40" t="str">
        <f aca="false">IF(OR($A$4=0,INDEX('COOIS Raw'!$A:$GZ,ROW()-4,$A$4)=""),"",IFERROR(--INDEX('COOIS Raw'!$A:$GZ,ROW()-4,$A$4),INDEX('COOIS Raw'!$A:$GZ,ROW()-4,$A$4)))</f>
        <v/>
      </c>
      <c r="B1212" s="41" t="str">
        <f aca="false">IF(A1212="","",TRIM(INDEX('COOIS Raw'!$A:$GZ,ROW()-4,$B$4)))</f>
        <v/>
      </c>
      <c r="C1212" s="42" t="str">
        <f aca="false">IF(OR(A1212="",$C$4=0),"",INDEX('COOIS Raw'!$A:$GZ,ROW()-4,$C$4))</f>
        <v/>
      </c>
      <c r="D1212" s="41" t="str">
        <f aca="false">IF(A1212="","",IF($D$4=0,1,IFERROR(--INDEX('COOIS Raw'!$A:$GZ,ROW()-4,$D$4),1)))</f>
        <v/>
      </c>
      <c r="E1212" s="42" t="str">
        <f aca="false">IF(A1212="","",INDEX('COOIS Raw'!$A:$GZ,ROW()-4,$E$4)&amp;"")</f>
        <v/>
      </c>
      <c r="F1212" s="43" t="str">
        <f aca="false">IF(A1212="","",IFERROR(DATEVALUE(INDEX('COOIS Raw'!$A:$GZ,ROW()-4,$F$4)),INDEX('COOIS Raw'!$A:$GZ,ROW()-4,$F$4)))</f>
        <v/>
      </c>
      <c r="G1212" s="41" t="str">
        <f aca="false">IF(A1212="","",IF(ISNA(MATCH(B1212,'Kitting Plan'!$B$6:$B$19,0)),"Not in plan","Yes"))</f>
        <v/>
      </c>
      <c r="H1212" s="41" t="str">
        <f aca="false">IF(G1212="Yes",INDEX('Kitting Plan'!$D$6:$D$19,MATCH(B1212,'Kitting Plan'!$B$6:$B$19,0)),"")</f>
        <v/>
      </c>
      <c r="I1212" s="41" t="str">
        <f aca="false">IF(A1212="","",IF(ISNUMBER(SEARCH("PRT",E1212)),D1212,0))</f>
        <v/>
      </c>
      <c r="J1212" s="41" t="str">
        <f aca="false">IF(A1212="","",IF(ISNUMBER(SEARCH("GMPS",E1212)),D1212,0))</f>
        <v/>
      </c>
      <c r="K1212" s="41" t="str">
        <f aca="false">IF(A1212="","",IF(ISNUMBER(SEARCH("DLV",E1212)),D1212,0))</f>
        <v/>
      </c>
      <c r="L1212" s="41" t="str">
        <f aca="false">IF(A1212="","",IF(K1212&gt;0,"Delivered",IF(ISNUMBER(SEARCH("CNF",E1212)),"In production",IF(J1212&gt;0,"Issued",IF(I1212&gt;0,"Kitted","Released")))))</f>
        <v/>
      </c>
      <c r="M1212" s="41" t="str">
        <f aca="false">IF(G1212&lt;&gt;"Yes","",COUNTIFS($B$6:$B$1505,B1212,$F$6:$F$1505,"&lt;"&amp;F1212)+COUNTIFS($B$6:$B$1505,B1212,$F$6:$F$1505,F1212,$A$6:$A$1505,"&lt;="&amp;A1212))</f>
        <v/>
      </c>
      <c r="N1212" s="41" t="str">
        <f aca="false">IF(M1212="","",ROUNDUP(M1212/H1212,0))</f>
        <v/>
      </c>
      <c r="O1212" s="41" t="str">
        <f aca="false">IF(N1212="","",IF(N1212&lt;='Kitting Plan'!$C$3,"Rep "&amp;N1212,"Surplus"))</f>
        <v/>
      </c>
    </row>
    <row r="1213" customFormat="false" ht="15" hidden="false" customHeight="false" outlineLevel="0" collapsed="false">
      <c r="A1213" s="40" t="str">
        <f aca="false">IF(OR($A$4=0,INDEX('COOIS Raw'!$A:$GZ,ROW()-4,$A$4)=""),"",IFERROR(--INDEX('COOIS Raw'!$A:$GZ,ROW()-4,$A$4),INDEX('COOIS Raw'!$A:$GZ,ROW()-4,$A$4)))</f>
        <v/>
      </c>
      <c r="B1213" s="41" t="str">
        <f aca="false">IF(A1213="","",TRIM(INDEX('COOIS Raw'!$A:$GZ,ROW()-4,$B$4)))</f>
        <v/>
      </c>
      <c r="C1213" s="42" t="str">
        <f aca="false">IF(OR(A1213="",$C$4=0),"",INDEX('COOIS Raw'!$A:$GZ,ROW()-4,$C$4))</f>
        <v/>
      </c>
      <c r="D1213" s="41" t="str">
        <f aca="false">IF(A1213="","",IF($D$4=0,1,IFERROR(--INDEX('COOIS Raw'!$A:$GZ,ROW()-4,$D$4),1)))</f>
        <v/>
      </c>
      <c r="E1213" s="42" t="str">
        <f aca="false">IF(A1213="","",INDEX('COOIS Raw'!$A:$GZ,ROW()-4,$E$4)&amp;"")</f>
        <v/>
      </c>
      <c r="F1213" s="43" t="str">
        <f aca="false">IF(A1213="","",IFERROR(DATEVALUE(INDEX('COOIS Raw'!$A:$GZ,ROW()-4,$F$4)),INDEX('COOIS Raw'!$A:$GZ,ROW()-4,$F$4)))</f>
        <v/>
      </c>
      <c r="G1213" s="41" t="str">
        <f aca="false">IF(A1213="","",IF(ISNA(MATCH(B1213,'Kitting Plan'!$B$6:$B$19,0)),"Not in plan","Yes"))</f>
        <v/>
      </c>
      <c r="H1213" s="41" t="str">
        <f aca="false">IF(G1213="Yes",INDEX('Kitting Plan'!$D$6:$D$19,MATCH(B1213,'Kitting Plan'!$B$6:$B$19,0)),"")</f>
        <v/>
      </c>
      <c r="I1213" s="41" t="str">
        <f aca="false">IF(A1213="","",IF(ISNUMBER(SEARCH("PRT",E1213)),D1213,0))</f>
        <v/>
      </c>
      <c r="J1213" s="41" t="str">
        <f aca="false">IF(A1213="","",IF(ISNUMBER(SEARCH("GMPS",E1213)),D1213,0))</f>
        <v/>
      </c>
      <c r="K1213" s="41" t="str">
        <f aca="false">IF(A1213="","",IF(ISNUMBER(SEARCH("DLV",E1213)),D1213,0))</f>
        <v/>
      </c>
      <c r="L1213" s="41" t="str">
        <f aca="false">IF(A1213="","",IF(K1213&gt;0,"Delivered",IF(ISNUMBER(SEARCH("CNF",E1213)),"In production",IF(J1213&gt;0,"Issued",IF(I1213&gt;0,"Kitted","Released")))))</f>
        <v/>
      </c>
      <c r="M1213" s="41" t="str">
        <f aca="false">IF(G1213&lt;&gt;"Yes","",COUNTIFS($B$6:$B$1505,B1213,$F$6:$F$1505,"&lt;"&amp;F1213)+COUNTIFS($B$6:$B$1505,B1213,$F$6:$F$1505,F1213,$A$6:$A$1505,"&lt;="&amp;A1213))</f>
        <v/>
      </c>
      <c r="N1213" s="41" t="str">
        <f aca="false">IF(M1213="","",ROUNDUP(M1213/H1213,0))</f>
        <v/>
      </c>
      <c r="O1213" s="41" t="str">
        <f aca="false">IF(N1213="","",IF(N1213&lt;='Kitting Plan'!$C$3,"Rep "&amp;N1213,"Surplus"))</f>
        <v/>
      </c>
    </row>
    <row r="1214" customFormat="false" ht="15" hidden="false" customHeight="false" outlineLevel="0" collapsed="false">
      <c r="A1214" s="40" t="str">
        <f aca="false">IF(OR($A$4=0,INDEX('COOIS Raw'!$A:$GZ,ROW()-4,$A$4)=""),"",IFERROR(--INDEX('COOIS Raw'!$A:$GZ,ROW()-4,$A$4),INDEX('COOIS Raw'!$A:$GZ,ROW()-4,$A$4)))</f>
        <v/>
      </c>
      <c r="B1214" s="41" t="str">
        <f aca="false">IF(A1214="","",TRIM(INDEX('COOIS Raw'!$A:$GZ,ROW()-4,$B$4)))</f>
        <v/>
      </c>
      <c r="C1214" s="42" t="str">
        <f aca="false">IF(OR(A1214="",$C$4=0),"",INDEX('COOIS Raw'!$A:$GZ,ROW()-4,$C$4))</f>
        <v/>
      </c>
      <c r="D1214" s="41" t="str">
        <f aca="false">IF(A1214="","",IF($D$4=0,1,IFERROR(--INDEX('COOIS Raw'!$A:$GZ,ROW()-4,$D$4),1)))</f>
        <v/>
      </c>
      <c r="E1214" s="42" t="str">
        <f aca="false">IF(A1214="","",INDEX('COOIS Raw'!$A:$GZ,ROW()-4,$E$4)&amp;"")</f>
        <v/>
      </c>
      <c r="F1214" s="43" t="str">
        <f aca="false">IF(A1214="","",IFERROR(DATEVALUE(INDEX('COOIS Raw'!$A:$GZ,ROW()-4,$F$4)),INDEX('COOIS Raw'!$A:$GZ,ROW()-4,$F$4)))</f>
        <v/>
      </c>
      <c r="G1214" s="41" t="str">
        <f aca="false">IF(A1214="","",IF(ISNA(MATCH(B1214,'Kitting Plan'!$B$6:$B$19,0)),"Not in plan","Yes"))</f>
        <v/>
      </c>
      <c r="H1214" s="41" t="str">
        <f aca="false">IF(G1214="Yes",INDEX('Kitting Plan'!$D$6:$D$19,MATCH(B1214,'Kitting Plan'!$B$6:$B$19,0)),"")</f>
        <v/>
      </c>
      <c r="I1214" s="41" t="str">
        <f aca="false">IF(A1214="","",IF(ISNUMBER(SEARCH("PRT",E1214)),D1214,0))</f>
        <v/>
      </c>
      <c r="J1214" s="41" t="str">
        <f aca="false">IF(A1214="","",IF(ISNUMBER(SEARCH("GMPS",E1214)),D1214,0))</f>
        <v/>
      </c>
      <c r="K1214" s="41" t="str">
        <f aca="false">IF(A1214="","",IF(ISNUMBER(SEARCH("DLV",E1214)),D1214,0))</f>
        <v/>
      </c>
      <c r="L1214" s="41" t="str">
        <f aca="false">IF(A1214="","",IF(K1214&gt;0,"Delivered",IF(ISNUMBER(SEARCH("CNF",E1214)),"In production",IF(J1214&gt;0,"Issued",IF(I1214&gt;0,"Kitted","Released")))))</f>
        <v/>
      </c>
      <c r="M1214" s="41" t="str">
        <f aca="false">IF(G1214&lt;&gt;"Yes","",COUNTIFS($B$6:$B$1505,B1214,$F$6:$F$1505,"&lt;"&amp;F1214)+COUNTIFS($B$6:$B$1505,B1214,$F$6:$F$1505,F1214,$A$6:$A$1505,"&lt;="&amp;A1214))</f>
        <v/>
      </c>
      <c r="N1214" s="41" t="str">
        <f aca="false">IF(M1214="","",ROUNDUP(M1214/H1214,0))</f>
        <v/>
      </c>
      <c r="O1214" s="41" t="str">
        <f aca="false">IF(N1214="","",IF(N1214&lt;='Kitting Plan'!$C$3,"Rep "&amp;N1214,"Surplus"))</f>
        <v/>
      </c>
    </row>
    <row r="1215" customFormat="false" ht="15" hidden="false" customHeight="false" outlineLevel="0" collapsed="false">
      <c r="A1215" s="40" t="str">
        <f aca="false">IF(OR($A$4=0,INDEX('COOIS Raw'!$A:$GZ,ROW()-4,$A$4)=""),"",IFERROR(--INDEX('COOIS Raw'!$A:$GZ,ROW()-4,$A$4),INDEX('COOIS Raw'!$A:$GZ,ROW()-4,$A$4)))</f>
        <v/>
      </c>
      <c r="B1215" s="41" t="str">
        <f aca="false">IF(A1215="","",TRIM(INDEX('COOIS Raw'!$A:$GZ,ROW()-4,$B$4)))</f>
        <v/>
      </c>
      <c r="C1215" s="42" t="str">
        <f aca="false">IF(OR(A1215="",$C$4=0),"",INDEX('COOIS Raw'!$A:$GZ,ROW()-4,$C$4))</f>
        <v/>
      </c>
      <c r="D1215" s="41" t="str">
        <f aca="false">IF(A1215="","",IF($D$4=0,1,IFERROR(--INDEX('COOIS Raw'!$A:$GZ,ROW()-4,$D$4),1)))</f>
        <v/>
      </c>
      <c r="E1215" s="42" t="str">
        <f aca="false">IF(A1215="","",INDEX('COOIS Raw'!$A:$GZ,ROW()-4,$E$4)&amp;"")</f>
        <v/>
      </c>
      <c r="F1215" s="43" t="str">
        <f aca="false">IF(A1215="","",IFERROR(DATEVALUE(INDEX('COOIS Raw'!$A:$GZ,ROW()-4,$F$4)),INDEX('COOIS Raw'!$A:$GZ,ROW()-4,$F$4)))</f>
        <v/>
      </c>
      <c r="G1215" s="41" t="str">
        <f aca="false">IF(A1215="","",IF(ISNA(MATCH(B1215,'Kitting Plan'!$B$6:$B$19,0)),"Not in plan","Yes"))</f>
        <v/>
      </c>
      <c r="H1215" s="41" t="str">
        <f aca="false">IF(G1215="Yes",INDEX('Kitting Plan'!$D$6:$D$19,MATCH(B1215,'Kitting Plan'!$B$6:$B$19,0)),"")</f>
        <v/>
      </c>
      <c r="I1215" s="41" t="str">
        <f aca="false">IF(A1215="","",IF(ISNUMBER(SEARCH("PRT",E1215)),D1215,0))</f>
        <v/>
      </c>
      <c r="J1215" s="41" t="str">
        <f aca="false">IF(A1215="","",IF(ISNUMBER(SEARCH("GMPS",E1215)),D1215,0))</f>
        <v/>
      </c>
      <c r="K1215" s="41" t="str">
        <f aca="false">IF(A1215="","",IF(ISNUMBER(SEARCH("DLV",E1215)),D1215,0))</f>
        <v/>
      </c>
      <c r="L1215" s="41" t="str">
        <f aca="false">IF(A1215="","",IF(K1215&gt;0,"Delivered",IF(ISNUMBER(SEARCH("CNF",E1215)),"In production",IF(J1215&gt;0,"Issued",IF(I1215&gt;0,"Kitted","Released")))))</f>
        <v/>
      </c>
      <c r="M1215" s="41" t="str">
        <f aca="false">IF(G1215&lt;&gt;"Yes","",COUNTIFS($B$6:$B$1505,B1215,$F$6:$F$1505,"&lt;"&amp;F1215)+COUNTIFS($B$6:$B$1505,B1215,$F$6:$F$1505,F1215,$A$6:$A$1505,"&lt;="&amp;A1215))</f>
        <v/>
      </c>
      <c r="N1215" s="41" t="str">
        <f aca="false">IF(M1215="","",ROUNDUP(M1215/H1215,0))</f>
        <v/>
      </c>
      <c r="O1215" s="41" t="str">
        <f aca="false">IF(N1215="","",IF(N1215&lt;='Kitting Plan'!$C$3,"Rep "&amp;N1215,"Surplus"))</f>
        <v/>
      </c>
    </row>
    <row r="1216" customFormat="false" ht="15" hidden="false" customHeight="false" outlineLevel="0" collapsed="false">
      <c r="A1216" s="40" t="str">
        <f aca="false">IF(OR($A$4=0,INDEX('COOIS Raw'!$A:$GZ,ROW()-4,$A$4)=""),"",IFERROR(--INDEX('COOIS Raw'!$A:$GZ,ROW()-4,$A$4),INDEX('COOIS Raw'!$A:$GZ,ROW()-4,$A$4)))</f>
        <v/>
      </c>
      <c r="B1216" s="41" t="str">
        <f aca="false">IF(A1216="","",TRIM(INDEX('COOIS Raw'!$A:$GZ,ROW()-4,$B$4)))</f>
        <v/>
      </c>
      <c r="C1216" s="42" t="str">
        <f aca="false">IF(OR(A1216="",$C$4=0),"",INDEX('COOIS Raw'!$A:$GZ,ROW()-4,$C$4))</f>
        <v/>
      </c>
      <c r="D1216" s="41" t="str">
        <f aca="false">IF(A1216="","",IF($D$4=0,1,IFERROR(--INDEX('COOIS Raw'!$A:$GZ,ROW()-4,$D$4),1)))</f>
        <v/>
      </c>
      <c r="E1216" s="42" t="str">
        <f aca="false">IF(A1216="","",INDEX('COOIS Raw'!$A:$GZ,ROW()-4,$E$4)&amp;"")</f>
        <v/>
      </c>
      <c r="F1216" s="43" t="str">
        <f aca="false">IF(A1216="","",IFERROR(DATEVALUE(INDEX('COOIS Raw'!$A:$GZ,ROW()-4,$F$4)),INDEX('COOIS Raw'!$A:$GZ,ROW()-4,$F$4)))</f>
        <v/>
      </c>
      <c r="G1216" s="41" t="str">
        <f aca="false">IF(A1216="","",IF(ISNA(MATCH(B1216,'Kitting Plan'!$B$6:$B$19,0)),"Not in plan","Yes"))</f>
        <v/>
      </c>
      <c r="H1216" s="41" t="str">
        <f aca="false">IF(G1216="Yes",INDEX('Kitting Plan'!$D$6:$D$19,MATCH(B1216,'Kitting Plan'!$B$6:$B$19,0)),"")</f>
        <v/>
      </c>
      <c r="I1216" s="41" t="str">
        <f aca="false">IF(A1216="","",IF(ISNUMBER(SEARCH("PRT",E1216)),D1216,0))</f>
        <v/>
      </c>
      <c r="J1216" s="41" t="str">
        <f aca="false">IF(A1216="","",IF(ISNUMBER(SEARCH("GMPS",E1216)),D1216,0))</f>
        <v/>
      </c>
      <c r="K1216" s="41" t="str">
        <f aca="false">IF(A1216="","",IF(ISNUMBER(SEARCH("DLV",E1216)),D1216,0))</f>
        <v/>
      </c>
      <c r="L1216" s="41" t="str">
        <f aca="false">IF(A1216="","",IF(K1216&gt;0,"Delivered",IF(ISNUMBER(SEARCH("CNF",E1216)),"In production",IF(J1216&gt;0,"Issued",IF(I1216&gt;0,"Kitted","Released")))))</f>
        <v/>
      </c>
      <c r="M1216" s="41" t="str">
        <f aca="false">IF(G1216&lt;&gt;"Yes","",COUNTIFS($B$6:$B$1505,B1216,$F$6:$F$1505,"&lt;"&amp;F1216)+COUNTIFS($B$6:$B$1505,B1216,$F$6:$F$1505,F1216,$A$6:$A$1505,"&lt;="&amp;A1216))</f>
        <v/>
      </c>
      <c r="N1216" s="41" t="str">
        <f aca="false">IF(M1216="","",ROUNDUP(M1216/H1216,0))</f>
        <v/>
      </c>
      <c r="O1216" s="41" t="str">
        <f aca="false">IF(N1216="","",IF(N1216&lt;='Kitting Plan'!$C$3,"Rep "&amp;N1216,"Surplus"))</f>
        <v/>
      </c>
    </row>
    <row r="1217" customFormat="false" ht="15" hidden="false" customHeight="false" outlineLevel="0" collapsed="false">
      <c r="A1217" s="40" t="str">
        <f aca="false">IF(OR($A$4=0,INDEX('COOIS Raw'!$A:$GZ,ROW()-4,$A$4)=""),"",IFERROR(--INDEX('COOIS Raw'!$A:$GZ,ROW()-4,$A$4),INDEX('COOIS Raw'!$A:$GZ,ROW()-4,$A$4)))</f>
        <v/>
      </c>
      <c r="B1217" s="41" t="str">
        <f aca="false">IF(A1217="","",TRIM(INDEX('COOIS Raw'!$A:$GZ,ROW()-4,$B$4)))</f>
        <v/>
      </c>
      <c r="C1217" s="42" t="str">
        <f aca="false">IF(OR(A1217="",$C$4=0),"",INDEX('COOIS Raw'!$A:$GZ,ROW()-4,$C$4))</f>
        <v/>
      </c>
      <c r="D1217" s="41" t="str">
        <f aca="false">IF(A1217="","",IF($D$4=0,1,IFERROR(--INDEX('COOIS Raw'!$A:$GZ,ROW()-4,$D$4),1)))</f>
        <v/>
      </c>
      <c r="E1217" s="42" t="str">
        <f aca="false">IF(A1217="","",INDEX('COOIS Raw'!$A:$GZ,ROW()-4,$E$4)&amp;"")</f>
        <v/>
      </c>
      <c r="F1217" s="43" t="str">
        <f aca="false">IF(A1217="","",IFERROR(DATEVALUE(INDEX('COOIS Raw'!$A:$GZ,ROW()-4,$F$4)),INDEX('COOIS Raw'!$A:$GZ,ROW()-4,$F$4)))</f>
        <v/>
      </c>
      <c r="G1217" s="41" t="str">
        <f aca="false">IF(A1217="","",IF(ISNA(MATCH(B1217,'Kitting Plan'!$B$6:$B$19,0)),"Not in plan","Yes"))</f>
        <v/>
      </c>
      <c r="H1217" s="41" t="str">
        <f aca="false">IF(G1217="Yes",INDEX('Kitting Plan'!$D$6:$D$19,MATCH(B1217,'Kitting Plan'!$B$6:$B$19,0)),"")</f>
        <v/>
      </c>
      <c r="I1217" s="41" t="str">
        <f aca="false">IF(A1217="","",IF(ISNUMBER(SEARCH("PRT",E1217)),D1217,0))</f>
        <v/>
      </c>
      <c r="J1217" s="41" t="str">
        <f aca="false">IF(A1217="","",IF(ISNUMBER(SEARCH("GMPS",E1217)),D1217,0))</f>
        <v/>
      </c>
      <c r="K1217" s="41" t="str">
        <f aca="false">IF(A1217="","",IF(ISNUMBER(SEARCH("DLV",E1217)),D1217,0))</f>
        <v/>
      </c>
      <c r="L1217" s="41" t="str">
        <f aca="false">IF(A1217="","",IF(K1217&gt;0,"Delivered",IF(ISNUMBER(SEARCH("CNF",E1217)),"In production",IF(J1217&gt;0,"Issued",IF(I1217&gt;0,"Kitted","Released")))))</f>
        <v/>
      </c>
      <c r="M1217" s="41" t="str">
        <f aca="false">IF(G1217&lt;&gt;"Yes","",COUNTIFS($B$6:$B$1505,B1217,$F$6:$F$1505,"&lt;"&amp;F1217)+COUNTIFS($B$6:$B$1505,B1217,$F$6:$F$1505,F1217,$A$6:$A$1505,"&lt;="&amp;A1217))</f>
        <v/>
      </c>
      <c r="N1217" s="41" t="str">
        <f aca="false">IF(M1217="","",ROUNDUP(M1217/H1217,0))</f>
        <v/>
      </c>
      <c r="O1217" s="41" t="str">
        <f aca="false">IF(N1217="","",IF(N1217&lt;='Kitting Plan'!$C$3,"Rep "&amp;N1217,"Surplus"))</f>
        <v/>
      </c>
    </row>
    <row r="1218" customFormat="false" ht="15" hidden="false" customHeight="false" outlineLevel="0" collapsed="false">
      <c r="A1218" s="40" t="str">
        <f aca="false">IF(OR($A$4=0,INDEX('COOIS Raw'!$A:$GZ,ROW()-4,$A$4)=""),"",IFERROR(--INDEX('COOIS Raw'!$A:$GZ,ROW()-4,$A$4),INDEX('COOIS Raw'!$A:$GZ,ROW()-4,$A$4)))</f>
        <v/>
      </c>
      <c r="B1218" s="41" t="str">
        <f aca="false">IF(A1218="","",TRIM(INDEX('COOIS Raw'!$A:$GZ,ROW()-4,$B$4)))</f>
        <v/>
      </c>
      <c r="C1218" s="42" t="str">
        <f aca="false">IF(OR(A1218="",$C$4=0),"",INDEX('COOIS Raw'!$A:$GZ,ROW()-4,$C$4))</f>
        <v/>
      </c>
      <c r="D1218" s="41" t="str">
        <f aca="false">IF(A1218="","",IF($D$4=0,1,IFERROR(--INDEX('COOIS Raw'!$A:$GZ,ROW()-4,$D$4),1)))</f>
        <v/>
      </c>
      <c r="E1218" s="42" t="str">
        <f aca="false">IF(A1218="","",INDEX('COOIS Raw'!$A:$GZ,ROW()-4,$E$4)&amp;"")</f>
        <v/>
      </c>
      <c r="F1218" s="43" t="str">
        <f aca="false">IF(A1218="","",IFERROR(DATEVALUE(INDEX('COOIS Raw'!$A:$GZ,ROW()-4,$F$4)),INDEX('COOIS Raw'!$A:$GZ,ROW()-4,$F$4)))</f>
        <v/>
      </c>
      <c r="G1218" s="41" t="str">
        <f aca="false">IF(A1218="","",IF(ISNA(MATCH(B1218,'Kitting Plan'!$B$6:$B$19,0)),"Not in plan","Yes"))</f>
        <v/>
      </c>
      <c r="H1218" s="41" t="str">
        <f aca="false">IF(G1218="Yes",INDEX('Kitting Plan'!$D$6:$D$19,MATCH(B1218,'Kitting Plan'!$B$6:$B$19,0)),"")</f>
        <v/>
      </c>
      <c r="I1218" s="41" t="str">
        <f aca="false">IF(A1218="","",IF(ISNUMBER(SEARCH("PRT",E1218)),D1218,0))</f>
        <v/>
      </c>
      <c r="J1218" s="41" t="str">
        <f aca="false">IF(A1218="","",IF(ISNUMBER(SEARCH("GMPS",E1218)),D1218,0))</f>
        <v/>
      </c>
      <c r="K1218" s="41" t="str">
        <f aca="false">IF(A1218="","",IF(ISNUMBER(SEARCH("DLV",E1218)),D1218,0))</f>
        <v/>
      </c>
      <c r="L1218" s="41" t="str">
        <f aca="false">IF(A1218="","",IF(K1218&gt;0,"Delivered",IF(ISNUMBER(SEARCH("CNF",E1218)),"In production",IF(J1218&gt;0,"Issued",IF(I1218&gt;0,"Kitted","Released")))))</f>
        <v/>
      </c>
      <c r="M1218" s="41" t="str">
        <f aca="false">IF(G1218&lt;&gt;"Yes","",COUNTIFS($B$6:$B$1505,B1218,$F$6:$F$1505,"&lt;"&amp;F1218)+COUNTIFS($B$6:$B$1505,B1218,$F$6:$F$1505,F1218,$A$6:$A$1505,"&lt;="&amp;A1218))</f>
        <v/>
      </c>
      <c r="N1218" s="41" t="str">
        <f aca="false">IF(M1218="","",ROUNDUP(M1218/H1218,0))</f>
        <v/>
      </c>
      <c r="O1218" s="41" t="str">
        <f aca="false">IF(N1218="","",IF(N1218&lt;='Kitting Plan'!$C$3,"Rep "&amp;N1218,"Surplus"))</f>
        <v/>
      </c>
    </row>
    <row r="1219" customFormat="false" ht="15" hidden="false" customHeight="false" outlineLevel="0" collapsed="false">
      <c r="A1219" s="40" t="str">
        <f aca="false">IF(OR($A$4=0,INDEX('COOIS Raw'!$A:$GZ,ROW()-4,$A$4)=""),"",IFERROR(--INDEX('COOIS Raw'!$A:$GZ,ROW()-4,$A$4),INDEX('COOIS Raw'!$A:$GZ,ROW()-4,$A$4)))</f>
        <v/>
      </c>
      <c r="B1219" s="41" t="str">
        <f aca="false">IF(A1219="","",TRIM(INDEX('COOIS Raw'!$A:$GZ,ROW()-4,$B$4)))</f>
        <v/>
      </c>
      <c r="C1219" s="42" t="str">
        <f aca="false">IF(OR(A1219="",$C$4=0),"",INDEX('COOIS Raw'!$A:$GZ,ROW()-4,$C$4))</f>
        <v/>
      </c>
      <c r="D1219" s="41" t="str">
        <f aca="false">IF(A1219="","",IF($D$4=0,1,IFERROR(--INDEX('COOIS Raw'!$A:$GZ,ROW()-4,$D$4),1)))</f>
        <v/>
      </c>
      <c r="E1219" s="42" t="str">
        <f aca="false">IF(A1219="","",INDEX('COOIS Raw'!$A:$GZ,ROW()-4,$E$4)&amp;"")</f>
        <v/>
      </c>
      <c r="F1219" s="43" t="str">
        <f aca="false">IF(A1219="","",IFERROR(DATEVALUE(INDEX('COOIS Raw'!$A:$GZ,ROW()-4,$F$4)),INDEX('COOIS Raw'!$A:$GZ,ROW()-4,$F$4)))</f>
        <v/>
      </c>
      <c r="G1219" s="41" t="str">
        <f aca="false">IF(A1219="","",IF(ISNA(MATCH(B1219,'Kitting Plan'!$B$6:$B$19,0)),"Not in plan","Yes"))</f>
        <v/>
      </c>
      <c r="H1219" s="41" t="str">
        <f aca="false">IF(G1219="Yes",INDEX('Kitting Plan'!$D$6:$D$19,MATCH(B1219,'Kitting Plan'!$B$6:$B$19,0)),"")</f>
        <v/>
      </c>
      <c r="I1219" s="41" t="str">
        <f aca="false">IF(A1219="","",IF(ISNUMBER(SEARCH("PRT",E1219)),D1219,0))</f>
        <v/>
      </c>
      <c r="J1219" s="41" t="str">
        <f aca="false">IF(A1219="","",IF(ISNUMBER(SEARCH("GMPS",E1219)),D1219,0))</f>
        <v/>
      </c>
      <c r="K1219" s="41" t="str">
        <f aca="false">IF(A1219="","",IF(ISNUMBER(SEARCH("DLV",E1219)),D1219,0))</f>
        <v/>
      </c>
      <c r="L1219" s="41" t="str">
        <f aca="false">IF(A1219="","",IF(K1219&gt;0,"Delivered",IF(ISNUMBER(SEARCH("CNF",E1219)),"In production",IF(J1219&gt;0,"Issued",IF(I1219&gt;0,"Kitted","Released")))))</f>
        <v/>
      </c>
      <c r="M1219" s="41" t="str">
        <f aca="false">IF(G1219&lt;&gt;"Yes","",COUNTIFS($B$6:$B$1505,B1219,$F$6:$F$1505,"&lt;"&amp;F1219)+COUNTIFS($B$6:$B$1505,B1219,$F$6:$F$1505,F1219,$A$6:$A$1505,"&lt;="&amp;A1219))</f>
        <v/>
      </c>
      <c r="N1219" s="41" t="str">
        <f aca="false">IF(M1219="","",ROUNDUP(M1219/H1219,0))</f>
        <v/>
      </c>
      <c r="O1219" s="41" t="str">
        <f aca="false">IF(N1219="","",IF(N1219&lt;='Kitting Plan'!$C$3,"Rep "&amp;N1219,"Surplus"))</f>
        <v/>
      </c>
    </row>
    <row r="1220" customFormat="false" ht="15" hidden="false" customHeight="false" outlineLevel="0" collapsed="false">
      <c r="A1220" s="40" t="str">
        <f aca="false">IF(OR($A$4=0,INDEX('COOIS Raw'!$A:$GZ,ROW()-4,$A$4)=""),"",IFERROR(--INDEX('COOIS Raw'!$A:$GZ,ROW()-4,$A$4),INDEX('COOIS Raw'!$A:$GZ,ROW()-4,$A$4)))</f>
        <v/>
      </c>
      <c r="B1220" s="41" t="str">
        <f aca="false">IF(A1220="","",TRIM(INDEX('COOIS Raw'!$A:$GZ,ROW()-4,$B$4)))</f>
        <v/>
      </c>
      <c r="C1220" s="42" t="str">
        <f aca="false">IF(OR(A1220="",$C$4=0),"",INDEX('COOIS Raw'!$A:$GZ,ROW()-4,$C$4))</f>
        <v/>
      </c>
      <c r="D1220" s="41" t="str">
        <f aca="false">IF(A1220="","",IF($D$4=0,1,IFERROR(--INDEX('COOIS Raw'!$A:$GZ,ROW()-4,$D$4),1)))</f>
        <v/>
      </c>
      <c r="E1220" s="42" t="str">
        <f aca="false">IF(A1220="","",INDEX('COOIS Raw'!$A:$GZ,ROW()-4,$E$4)&amp;"")</f>
        <v/>
      </c>
      <c r="F1220" s="43" t="str">
        <f aca="false">IF(A1220="","",IFERROR(DATEVALUE(INDEX('COOIS Raw'!$A:$GZ,ROW()-4,$F$4)),INDEX('COOIS Raw'!$A:$GZ,ROW()-4,$F$4)))</f>
        <v/>
      </c>
      <c r="G1220" s="41" t="str">
        <f aca="false">IF(A1220="","",IF(ISNA(MATCH(B1220,'Kitting Plan'!$B$6:$B$19,0)),"Not in plan","Yes"))</f>
        <v/>
      </c>
      <c r="H1220" s="41" t="str">
        <f aca="false">IF(G1220="Yes",INDEX('Kitting Plan'!$D$6:$D$19,MATCH(B1220,'Kitting Plan'!$B$6:$B$19,0)),"")</f>
        <v/>
      </c>
      <c r="I1220" s="41" t="str">
        <f aca="false">IF(A1220="","",IF(ISNUMBER(SEARCH("PRT",E1220)),D1220,0))</f>
        <v/>
      </c>
      <c r="J1220" s="41" t="str">
        <f aca="false">IF(A1220="","",IF(ISNUMBER(SEARCH("GMPS",E1220)),D1220,0))</f>
        <v/>
      </c>
      <c r="K1220" s="41" t="str">
        <f aca="false">IF(A1220="","",IF(ISNUMBER(SEARCH("DLV",E1220)),D1220,0))</f>
        <v/>
      </c>
      <c r="L1220" s="41" t="str">
        <f aca="false">IF(A1220="","",IF(K1220&gt;0,"Delivered",IF(ISNUMBER(SEARCH("CNF",E1220)),"In production",IF(J1220&gt;0,"Issued",IF(I1220&gt;0,"Kitted","Released")))))</f>
        <v/>
      </c>
      <c r="M1220" s="41" t="str">
        <f aca="false">IF(G1220&lt;&gt;"Yes","",COUNTIFS($B$6:$B$1505,B1220,$F$6:$F$1505,"&lt;"&amp;F1220)+COUNTIFS($B$6:$B$1505,B1220,$F$6:$F$1505,F1220,$A$6:$A$1505,"&lt;="&amp;A1220))</f>
        <v/>
      </c>
      <c r="N1220" s="41" t="str">
        <f aca="false">IF(M1220="","",ROUNDUP(M1220/H1220,0))</f>
        <v/>
      </c>
      <c r="O1220" s="41" t="str">
        <f aca="false">IF(N1220="","",IF(N1220&lt;='Kitting Plan'!$C$3,"Rep "&amp;N1220,"Surplus"))</f>
        <v/>
      </c>
    </row>
    <row r="1221" customFormat="false" ht="15" hidden="false" customHeight="false" outlineLevel="0" collapsed="false">
      <c r="A1221" s="40" t="str">
        <f aca="false">IF(OR($A$4=0,INDEX('COOIS Raw'!$A:$GZ,ROW()-4,$A$4)=""),"",IFERROR(--INDEX('COOIS Raw'!$A:$GZ,ROW()-4,$A$4),INDEX('COOIS Raw'!$A:$GZ,ROW()-4,$A$4)))</f>
        <v/>
      </c>
      <c r="B1221" s="41" t="str">
        <f aca="false">IF(A1221="","",TRIM(INDEX('COOIS Raw'!$A:$GZ,ROW()-4,$B$4)))</f>
        <v/>
      </c>
      <c r="C1221" s="42" t="str">
        <f aca="false">IF(OR(A1221="",$C$4=0),"",INDEX('COOIS Raw'!$A:$GZ,ROW()-4,$C$4))</f>
        <v/>
      </c>
      <c r="D1221" s="41" t="str">
        <f aca="false">IF(A1221="","",IF($D$4=0,1,IFERROR(--INDEX('COOIS Raw'!$A:$GZ,ROW()-4,$D$4),1)))</f>
        <v/>
      </c>
      <c r="E1221" s="42" t="str">
        <f aca="false">IF(A1221="","",INDEX('COOIS Raw'!$A:$GZ,ROW()-4,$E$4)&amp;"")</f>
        <v/>
      </c>
      <c r="F1221" s="43" t="str">
        <f aca="false">IF(A1221="","",IFERROR(DATEVALUE(INDEX('COOIS Raw'!$A:$GZ,ROW()-4,$F$4)),INDEX('COOIS Raw'!$A:$GZ,ROW()-4,$F$4)))</f>
        <v/>
      </c>
      <c r="G1221" s="41" t="str">
        <f aca="false">IF(A1221="","",IF(ISNA(MATCH(B1221,'Kitting Plan'!$B$6:$B$19,0)),"Not in plan","Yes"))</f>
        <v/>
      </c>
      <c r="H1221" s="41" t="str">
        <f aca="false">IF(G1221="Yes",INDEX('Kitting Plan'!$D$6:$D$19,MATCH(B1221,'Kitting Plan'!$B$6:$B$19,0)),"")</f>
        <v/>
      </c>
      <c r="I1221" s="41" t="str">
        <f aca="false">IF(A1221="","",IF(ISNUMBER(SEARCH("PRT",E1221)),D1221,0))</f>
        <v/>
      </c>
      <c r="J1221" s="41" t="str">
        <f aca="false">IF(A1221="","",IF(ISNUMBER(SEARCH("GMPS",E1221)),D1221,0))</f>
        <v/>
      </c>
      <c r="K1221" s="41" t="str">
        <f aca="false">IF(A1221="","",IF(ISNUMBER(SEARCH("DLV",E1221)),D1221,0))</f>
        <v/>
      </c>
      <c r="L1221" s="41" t="str">
        <f aca="false">IF(A1221="","",IF(K1221&gt;0,"Delivered",IF(ISNUMBER(SEARCH("CNF",E1221)),"In production",IF(J1221&gt;0,"Issued",IF(I1221&gt;0,"Kitted","Released")))))</f>
        <v/>
      </c>
      <c r="M1221" s="41" t="str">
        <f aca="false">IF(G1221&lt;&gt;"Yes","",COUNTIFS($B$6:$B$1505,B1221,$F$6:$F$1505,"&lt;"&amp;F1221)+COUNTIFS($B$6:$B$1505,B1221,$F$6:$F$1505,F1221,$A$6:$A$1505,"&lt;="&amp;A1221))</f>
        <v/>
      </c>
      <c r="N1221" s="41" t="str">
        <f aca="false">IF(M1221="","",ROUNDUP(M1221/H1221,0))</f>
        <v/>
      </c>
      <c r="O1221" s="41" t="str">
        <f aca="false">IF(N1221="","",IF(N1221&lt;='Kitting Plan'!$C$3,"Rep "&amp;N1221,"Surplus"))</f>
        <v/>
      </c>
    </row>
    <row r="1222" customFormat="false" ht="15" hidden="false" customHeight="false" outlineLevel="0" collapsed="false">
      <c r="A1222" s="40" t="str">
        <f aca="false">IF(OR($A$4=0,INDEX('COOIS Raw'!$A:$GZ,ROW()-4,$A$4)=""),"",IFERROR(--INDEX('COOIS Raw'!$A:$GZ,ROW()-4,$A$4),INDEX('COOIS Raw'!$A:$GZ,ROW()-4,$A$4)))</f>
        <v/>
      </c>
      <c r="B1222" s="41" t="str">
        <f aca="false">IF(A1222="","",TRIM(INDEX('COOIS Raw'!$A:$GZ,ROW()-4,$B$4)))</f>
        <v/>
      </c>
      <c r="C1222" s="42" t="str">
        <f aca="false">IF(OR(A1222="",$C$4=0),"",INDEX('COOIS Raw'!$A:$GZ,ROW()-4,$C$4))</f>
        <v/>
      </c>
      <c r="D1222" s="41" t="str">
        <f aca="false">IF(A1222="","",IF($D$4=0,1,IFERROR(--INDEX('COOIS Raw'!$A:$GZ,ROW()-4,$D$4),1)))</f>
        <v/>
      </c>
      <c r="E1222" s="42" t="str">
        <f aca="false">IF(A1222="","",INDEX('COOIS Raw'!$A:$GZ,ROW()-4,$E$4)&amp;"")</f>
        <v/>
      </c>
      <c r="F1222" s="43" t="str">
        <f aca="false">IF(A1222="","",IFERROR(DATEVALUE(INDEX('COOIS Raw'!$A:$GZ,ROW()-4,$F$4)),INDEX('COOIS Raw'!$A:$GZ,ROW()-4,$F$4)))</f>
        <v/>
      </c>
      <c r="G1222" s="41" t="str">
        <f aca="false">IF(A1222="","",IF(ISNA(MATCH(B1222,'Kitting Plan'!$B$6:$B$19,0)),"Not in plan","Yes"))</f>
        <v/>
      </c>
      <c r="H1222" s="41" t="str">
        <f aca="false">IF(G1222="Yes",INDEX('Kitting Plan'!$D$6:$D$19,MATCH(B1222,'Kitting Plan'!$B$6:$B$19,0)),"")</f>
        <v/>
      </c>
      <c r="I1222" s="41" t="str">
        <f aca="false">IF(A1222="","",IF(ISNUMBER(SEARCH("PRT",E1222)),D1222,0))</f>
        <v/>
      </c>
      <c r="J1222" s="41" t="str">
        <f aca="false">IF(A1222="","",IF(ISNUMBER(SEARCH("GMPS",E1222)),D1222,0))</f>
        <v/>
      </c>
      <c r="K1222" s="41" t="str">
        <f aca="false">IF(A1222="","",IF(ISNUMBER(SEARCH("DLV",E1222)),D1222,0))</f>
        <v/>
      </c>
      <c r="L1222" s="41" t="str">
        <f aca="false">IF(A1222="","",IF(K1222&gt;0,"Delivered",IF(ISNUMBER(SEARCH("CNF",E1222)),"In production",IF(J1222&gt;0,"Issued",IF(I1222&gt;0,"Kitted","Released")))))</f>
        <v/>
      </c>
      <c r="M1222" s="41" t="str">
        <f aca="false">IF(G1222&lt;&gt;"Yes","",COUNTIFS($B$6:$B$1505,B1222,$F$6:$F$1505,"&lt;"&amp;F1222)+COUNTIFS($B$6:$B$1505,B1222,$F$6:$F$1505,F1222,$A$6:$A$1505,"&lt;="&amp;A1222))</f>
        <v/>
      </c>
      <c r="N1222" s="41" t="str">
        <f aca="false">IF(M1222="","",ROUNDUP(M1222/H1222,0))</f>
        <v/>
      </c>
      <c r="O1222" s="41" t="str">
        <f aca="false">IF(N1222="","",IF(N1222&lt;='Kitting Plan'!$C$3,"Rep "&amp;N1222,"Surplus"))</f>
        <v/>
      </c>
    </row>
    <row r="1223" customFormat="false" ht="15" hidden="false" customHeight="false" outlineLevel="0" collapsed="false">
      <c r="A1223" s="40" t="str">
        <f aca="false">IF(OR($A$4=0,INDEX('COOIS Raw'!$A:$GZ,ROW()-4,$A$4)=""),"",IFERROR(--INDEX('COOIS Raw'!$A:$GZ,ROW()-4,$A$4),INDEX('COOIS Raw'!$A:$GZ,ROW()-4,$A$4)))</f>
        <v/>
      </c>
      <c r="B1223" s="41" t="str">
        <f aca="false">IF(A1223="","",TRIM(INDEX('COOIS Raw'!$A:$GZ,ROW()-4,$B$4)))</f>
        <v/>
      </c>
      <c r="C1223" s="42" t="str">
        <f aca="false">IF(OR(A1223="",$C$4=0),"",INDEX('COOIS Raw'!$A:$GZ,ROW()-4,$C$4))</f>
        <v/>
      </c>
      <c r="D1223" s="41" t="str">
        <f aca="false">IF(A1223="","",IF($D$4=0,1,IFERROR(--INDEX('COOIS Raw'!$A:$GZ,ROW()-4,$D$4),1)))</f>
        <v/>
      </c>
      <c r="E1223" s="42" t="str">
        <f aca="false">IF(A1223="","",INDEX('COOIS Raw'!$A:$GZ,ROW()-4,$E$4)&amp;"")</f>
        <v/>
      </c>
      <c r="F1223" s="43" t="str">
        <f aca="false">IF(A1223="","",IFERROR(DATEVALUE(INDEX('COOIS Raw'!$A:$GZ,ROW()-4,$F$4)),INDEX('COOIS Raw'!$A:$GZ,ROW()-4,$F$4)))</f>
        <v/>
      </c>
      <c r="G1223" s="41" t="str">
        <f aca="false">IF(A1223="","",IF(ISNA(MATCH(B1223,'Kitting Plan'!$B$6:$B$19,0)),"Not in plan","Yes"))</f>
        <v/>
      </c>
      <c r="H1223" s="41" t="str">
        <f aca="false">IF(G1223="Yes",INDEX('Kitting Plan'!$D$6:$D$19,MATCH(B1223,'Kitting Plan'!$B$6:$B$19,0)),"")</f>
        <v/>
      </c>
      <c r="I1223" s="41" t="str">
        <f aca="false">IF(A1223="","",IF(ISNUMBER(SEARCH("PRT",E1223)),D1223,0))</f>
        <v/>
      </c>
      <c r="J1223" s="41" t="str">
        <f aca="false">IF(A1223="","",IF(ISNUMBER(SEARCH("GMPS",E1223)),D1223,0))</f>
        <v/>
      </c>
      <c r="K1223" s="41" t="str">
        <f aca="false">IF(A1223="","",IF(ISNUMBER(SEARCH("DLV",E1223)),D1223,0))</f>
        <v/>
      </c>
      <c r="L1223" s="41" t="str">
        <f aca="false">IF(A1223="","",IF(K1223&gt;0,"Delivered",IF(ISNUMBER(SEARCH("CNF",E1223)),"In production",IF(J1223&gt;0,"Issued",IF(I1223&gt;0,"Kitted","Released")))))</f>
        <v/>
      </c>
      <c r="M1223" s="41" t="str">
        <f aca="false">IF(G1223&lt;&gt;"Yes","",COUNTIFS($B$6:$B$1505,B1223,$F$6:$F$1505,"&lt;"&amp;F1223)+COUNTIFS($B$6:$B$1505,B1223,$F$6:$F$1505,F1223,$A$6:$A$1505,"&lt;="&amp;A1223))</f>
        <v/>
      </c>
      <c r="N1223" s="41" t="str">
        <f aca="false">IF(M1223="","",ROUNDUP(M1223/H1223,0))</f>
        <v/>
      </c>
      <c r="O1223" s="41" t="str">
        <f aca="false">IF(N1223="","",IF(N1223&lt;='Kitting Plan'!$C$3,"Rep "&amp;N1223,"Surplus"))</f>
        <v/>
      </c>
    </row>
    <row r="1224" customFormat="false" ht="15" hidden="false" customHeight="false" outlineLevel="0" collapsed="false">
      <c r="A1224" s="40" t="str">
        <f aca="false">IF(OR($A$4=0,INDEX('COOIS Raw'!$A:$GZ,ROW()-4,$A$4)=""),"",IFERROR(--INDEX('COOIS Raw'!$A:$GZ,ROW()-4,$A$4),INDEX('COOIS Raw'!$A:$GZ,ROW()-4,$A$4)))</f>
        <v/>
      </c>
      <c r="B1224" s="41" t="str">
        <f aca="false">IF(A1224="","",TRIM(INDEX('COOIS Raw'!$A:$GZ,ROW()-4,$B$4)))</f>
        <v/>
      </c>
      <c r="C1224" s="42" t="str">
        <f aca="false">IF(OR(A1224="",$C$4=0),"",INDEX('COOIS Raw'!$A:$GZ,ROW()-4,$C$4))</f>
        <v/>
      </c>
      <c r="D1224" s="41" t="str">
        <f aca="false">IF(A1224="","",IF($D$4=0,1,IFERROR(--INDEX('COOIS Raw'!$A:$GZ,ROW()-4,$D$4),1)))</f>
        <v/>
      </c>
      <c r="E1224" s="42" t="str">
        <f aca="false">IF(A1224="","",INDEX('COOIS Raw'!$A:$GZ,ROW()-4,$E$4)&amp;"")</f>
        <v/>
      </c>
      <c r="F1224" s="43" t="str">
        <f aca="false">IF(A1224="","",IFERROR(DATEVALUE(INDEX('COOIS Raw'!$A:$GZ,ROW()-4,$F$4)),INDEX('COOIS Raw'!$A:$GZ,ROW()-4,$F$4)))</f>
        <v/>
      </c>
      <c r="G1224" s="41" t="str">
        <f aca="false">IF(A1224="","",IF(ISNA(MATCH(B1224,'Kitting Plan'!$B$6:$B$19,0)),"Not in plan","Yes"))</f>
        <v/>
      </c>
      <c r="H1224" s="41" t="str">
        <f aca="false">IF(G1224="Yes",INDEX('Kitting Plan'!$D$6:$D$19,MATCH(B1224,'Kitting Plan'!$B$6:$B$19,0)),"")</f>
        <v/>
      </c>
      <c r="I1224" s="41" t="str">
        <f aca="false">IF(A1224="","",IF(ISNUMBER(SEARCH("PRT",E1224)),D1224,0))</f>
        <v/>
      </c>
      <c r="J1224" s="41" t="str">
        <f aca="false">IF(A1224="","",IF(ISNUMBER(SEARCH("GMPS",E1224)),D1224,0))</f>
        <v/>
      </c>
      <c r="K1224" s="41" t="str">
        <f aca="false">IF(A1224="","",IF(ISNUMBER(SEARCH("DLV",E1224)),D1224,0))</f>
        <v/>
      </c>
      <c r="L1224" s="41" t="str">
        <f aca="false">IF(A1224="","",IF(K1224&gt;0,"Delivered",IF(ISNUMBER(SEARCH("CNF",E1224)),"In production",IF(J1224&gt;0,"Issued",IF(I1224&gt;0,"Kitted","Released")))))</f>
        <v/>
      </c>
      <c r="M1224" s="41" t="str">
        <f aca="false">IF(G1224&lt;&gt;"Yes","",COUNTIFS($B$6:$B$1505,B1224,$F$6:$F$1505,"&lt;"&amp;F1224)+COUNTIFS($B$6:$B$1505,B1224,$F$6:$F$1505,F1224,$A$6:$A$1505,"&lt;="&amp;A1224))</f>
        <v/>
      </c>
      <c r="N1224" s="41" t="str">
        <f aca="false">IF(M1224="","",ROUNDUP(M1224/H1224,0))</f>
        <v/>
      </c>
      <c r="O1224" s="41" t="str">
        <f aca="false">IF(N1224="","",IF(N1224&lt;='Kitting Plan'!$C$3,"Rep "&amp;N1224,"Surplus"))</f>
        <v/>
      </c>
    </row>
    <row r="1225" customFormat="false" ht="15" hidden="false" customHeight="false" outlineLevel="0" collapsed="false">
      <c r="A1225" s="40" t="str">
        <f aca="false">IF(OR($A$4=0,INDEX('COOIS Raw'!$A:$GZ,ROW()-4,$A$4)=""),"",IFERROR(--INDEX('COOIS Raw'!$A:$GZ,ROW()-4,$A$4),INDEX('COOIS Raw'!$A:$GZ,ROW()-4,$A$4)))</f>
        <v/>
      </c>
      <c r="B1225" s="41" t="str">
        <f aca="false">IF(A1225="","",TRIM(INDEX('COOIS Raw'!$A:$GZ,ROW()-4,$B$4)))</f>
        <v/>
      </c>
      <c r="C1225" s="42" t="str">
        <f aca="false">IF(OR(A1225="",$C$4=0),"",INDEX('COOIS Raw'!$A:$GZ,ROW()-4,$C$4))</f>
        <v/>
      </c>
      <c r="D1225" s="41" t="str">
        <f aca="false">IF(A1225="","",IF($D$4=0,1,IFERROR(--INDEX('COOIS Raw'!$A:$GZ,ROW()-4,$D$4),1)))</f>
        <v/>
      </c>
      <c r="E1225" s="42" t="str">
        <f aca="false">IF(A1225="","",INDEX('COOIS Raw'!$A:$GZ,ROW()-4,$E$4)&amp;"")</f>
        <v/>
      </c>
      <c r="F1225" s="43" t="str">
        <f aca="false">IF(A1225="","",IFERROR(DATEVALUE(INDEX('COOIS Raw'!$A:$GZ,ROW()-4,$F$4)),INDEX('COOIS Raw'!$A:$GZ,ROW()-4,$F$4)))</f>
        <v/>
      </c>
      <c r="G1225" s="41" t="str">
        <f aca="false">IF(A1225="","",IF(ISNA(MATCH(B1225,'Kitting Plan'!$B$6:$B$19,0)),"Not in plan","Yes"))</f>
        <v/>
      </c>
      <c r="H1225" s="41" t="str">
        <f aca="false">IF(G1225="Yes",INDEX('Kitting Plan'!$D$6:$D$19,MATCH(B1225,'Kitting Plan'!$B$6:$B$19,0)),"")</f>
        <v/>
      </c>
      <c r="I1225" s="41" t="str">
        <f aca="false">IF(A1225="","",IF(ISNUMBER(SEARCH("PRT",E1225)),D1225,0))</f>
        <v/>
      </c>
      <c r="J1225" s="41" t="str">
        <f aca="false">IF(A1225="","",IF(ISNUMBER(SEARCH("GMPS",E1225)),D1225,0))</f>
        <v/>
      </c>
      <c r="K1225" s="41" t="str">
        <f aca="false">IF(A1225="","",IF(ISNUMBER(SEARCH("DLV",E1225)),D1225,0))</f>
        <v/>
      </c>
      <c r="L1225" s="41" t="str">
        <f aca="false">IF(A1225="","",IF(K1225&gt;0,"Delivered",IF(ISNUMBER(SEARCH("CNF",E1225)),"In production",IF(J1225&gt;0,"Issued",IF(I1225&gt;0,"Kitted","Released")))))</f>
        <v/>
      </c>
      <c r="M1225" s="41" t="str">
        <f aca="false">IF(G1225&lt;&gt;"Yes","",COUNTIFS($B$6:$B$1505,B1225,$F$6:$F$1505,"&lt;"&amp;F1225)+COUNTIFS($B$6:$B$1505,B1225,$F$6:$F$1505,F1225,$A$6:$A$1505,"&lt;="&amp;A1225))</f>
        <v/>
      </c>
      <c r="N1225" s="41" t="str">
        <f aca="false">IF(M1225="","",ROUNDUP(M1225/H1225,0))</f>
        <v/>
      </c>
      <c r="O1225" s="41" t="str">
        <f aca="false">IF(N1225="","",IF(N1225&lt;='Kitting Plan'!$C$3,"Rep "&amp;N1225,"Surplus"))</f>
        <v/>
      </c>
    </row>
    <row r="1226" customFormat="false" ht="15" hidden="false" customHeight="false" outlineLevel="0" collapsed="false">
      <c r="A1226" s="40" t="str">
        <f aca="false">IF(OR($A$4=0,INDEX('COOIS Raw'!$A:$GZ,ROW()-4,$A$4)=""),"",IFERROR(--INDEX('COOIS Raw'!$A:$GZ,ROW()-4,$A$4),INDEX('COOIS Raw'!$A:$GZ,ROW()-4,$A$4)))</f>
        <v/>
      </c>
      <c r="B1226" s="41" t="str">
        <f aca="false">IF(A1226="","",TRIM(INDEX('COOIS Raw'!$A:$GZ,ROW()-4,$B$4)))</f>
        <v/>
      </c>
      <c r="C1226" s="42" t="str">
        <f aca="false">IF(OR(A1226="",$C$4=0),"",INDEX('COOIS Raw'!$A:$GZ,ROW()-4,$C$4))</f>
        <v/>
      </c>
      <c r="D1226" s="41" t="str">
        <f aca="false">IF(A1226="","",IF($D$4=0,1,IFERROR(--INDEX('COOIS Raw'!$A:$GZ,ROW()-4,$D$4),1)))</f>
        <v/>
      </c>
      <c r="E1226" s="42" t="str">
        <f aca="false">IF(A1226="","",INDEX('COOIS Raw'!$A:$GZ,ROW()-4,$E$4)&amp;"")</f>
        <v/>
      </c>
      <c r="F1226" s="43" t="str">
        <f aca="false">IF(A1226="","",IFERROR(DATEVALUE(INDEX('COOIS Raw'!$A:$GZ,ROW()-4,$F$4)),INDEX('COOIS Raw'!$A:$GZ,ROW()-4,$F$4)))</f>
        <v/>
      </c>
      <c r="G1226" s="41" t="str">
        <f aca="false">IF(A1226="","",IF(ISNA(MATCH(B1226,'Kitting Plan'!$B$6:$B$19,0)),"Not in plan","Yes"))</f>
        <v/>
      </c>
      <c r="H1226" s="41" t="str">
        <f aca="false">IF(G1226="Yes",INDEX('Kitting Plan'!$D$6:$D$19,MATCH(B1226,'Kitting Plan'!$B$6:$B$19,0)),"")</f>
        <v/>
      </c>
      <c r="I1226" s="41" t="str">
        <f aca="false">IF(A1226="","",IF(ISNUMBER(SEARCH("PRT",E1226)),D1226,0))</f>
        <v/>
      </c>
      <c r="J1226" s="41" t="str">
        <f aca="false">IF(A1226="","",IF(ISNUMBER(SEARCH("GMPS",E1226)),D1226,0))</f>
        <v/>
      </c>
      <c r="K1226" s="41" t="str">
        <f aca="false">IF(A1226="","",IF(ISNUMBER(SEARCH("DLV",E1226)),D1226,0))</f>
        <v/>
      </c>
      <c r="L1226" s="41" t="str">
        <f aca="false">IF(A1226="","",IF(K1226&gt;0,"Delivered",IF(ISNUMBER(SEARCH("CNF",E1226)),"In production",IF(J1226&gt;0,"Issued",IF(I1226&gt;0,"Kitted","Released")))))</f>
        <v/>
      </c>
      <c r="M1226" s="41" t="str">
        <f aca="false">IF(G1226&lt;&gt;"Yes","",COUNTIFS($B$6:$B$1505,B1226,$F$6:$F$1505,"&lt;"&amp;F1226)+COUNTIFS($B$6:$B$1505,B1226,$F$6:$F$1505,F1226,$A$6:$A$1505,"&lt;="&amp;A1226))</f>
        <v/>
      </c>
      <c r="N1226" s="41" t="str">
        <f aca="false">IF(M1226="","",ROUNDUP(M1226/H1226,0))</f>
        <v/>
      </c>
      <c r="O1226" s="41" t="str">
        <f aca="false">IF(N1226="","",IF(N1226&lt;='Kitting Plan'!$C$3,"Rep "&amp;N1226,"Surplus"))</f>
        <v/>
      </c>
    </row>
    <row r="1227" customFormat="false" ht="15" hidden="false" customHeight="false" outlineLevel="0" collapsed="false">
      <c r="A1227" s="40" t="str">
        <f aca="false">IF(OR($A$4=0,INDEX('COOIS Raw'!$A:$GZ,ROW()-4,$A$4)=""),"",IFERROR(--INDEX('COOIS Raw'!$A:$GZ,ROW()-4,$A$4),INDEX('COOIS Raw'!$A:$GZ,ROW()-4,$A$4)))</f>
        <v/>
      </c>
      <c r="B1227" s="41" t="str">
        <f aca="false">IF(A1227="","",TRIM(INDEX('COOIS Raw'!$A:$GZ,ROW()-4,$B$4)))</f>
        <v/>
      </c>
      <c r="C1227" s="42" t="str">
        <f aca="false">IF(OR(A1227="",$C$4=0),"",INDEX('COOIS Raw'!$A:$GZ,ROW()-4,$C$4))</f>
        <v/>
      </c>
      <c r="D1227" s="41" t="str">
        <f aca="false">IF(A1227="","",IF($D$4=0,1,IFERROR(--INDEX('COOIS Raw'!$A:$GZ,ROW()-4,$D$4),1)))</f>
        <v/>
      </c>
      <c r="E1227" s="42" t="str">
        <f aca="false">IF(A1227="","",INDEX('COOIS Raw'!$A:$GZ,ROW()-4,$E$4)&amp;"")</f>
        <v/>
      </c>
      <c r="F1227" s="43" t="str">
        <f aca="false">IF(A1227="","",IFERROR(DATEVALUE(INDEX('COOIS Raw'!$A:$GZ,ROW()-4,$F$4)),INDEX('COOIS Raw'!$A:$GZ,ROW()-4,$F$4)))</f>
        <v/>
      </c>
      <c r="G1227" s="41" t="str">
        <f aca="false">IF(A1227="","",IF(ISNA(MATCH(B1227,'Kitting Plan'!$B$6:$B$19,0)),"Not in plan","Yes"))</f>
        <v/>
      </c>
      <c r="H1227" s="41" t="str">
        <f aca="false">IF(G1227="Yes",INDEX('Kitting Plan'!$D$6:$D$19,MATCH(B1227,'Kitting Plan'!$B$6:$B$19,0)),"")</f>
        <v/>
      </c>
      <c r="I1227" s="41" t="str">
        <f aca="false">IF(A1227="","",IF(ISNUMBER(SEARCH("PRT",E1227)),D1227,0))</f>
        <v/>
      </c>
      <c r="J1227" s="41" t="str">
        <f aca="false">IF(A1227="","",IF(ISNUMBER(SEARCH("GMPS",E1227)),D1227,0))</f>
        <v/>
      </c>
      <c r="K1227" s="41" t="str">
        <f aca="false">IF(A1227="","",IF(ISNUMBER(SEARCH("DLV",E1227)),D1227,0))</f>
        <v/>
      </c>
      <c r="L1227" s="41" t="str">
        <f aca="false">IF(A1227="","",IF(K1227&gt;0,"Delivered",IF(ISNUMBER(SEARCH("CNF",E1227)),"In production",IF(J1227&gt;0,"Issued",IF(I1227&gt;0,"Kitted","Released")))))</f>
        <v/>
      </c>
      <c r="M1227" s="41" t="str">
        <f aca="false">IF(G1227&lt;&gt;"Yes","",COUNTIFS($B$6:$B$1505,B1227,$F$6:$F$1505,"&lt;"&amp;F1227)+COUNTIFS($B$6:$B$1505,B1227,$F$6:$F$1505,F1227,$A$6:$A$1505,"&lt;="&amp;A1227))</f>
        <v/>
      </c>
      <c r="N1227" s="41" t="str">
        <f aca="false">IF(M1227="","",ROUNDUP(M1227/H1227,0))</f>
        <v/>
      </c>
      <c r="O1227" s="41" t="str">
        <f aca="false">IF(N1227="","",IF(N1227&lt;='Kitting Plan'!$C$3,"Rep "&amp;N1227,"Surplus"))</f>
        <v/>
      </c>
    </row>
    <row r="1228" customFormat="false" ht="15" hidden="false" customHeight="false" outlineLevel="0" collapsed="false">
      <c r="A1228" s="40" t="str">
        <f aca="false">IF(OR($A$4=0,INDEX('COOIS Raw'!$A:$GZ,ROW()-4,$A$4)=""),"",IFERROR(--INDEX('COOIS Raw'!$A:$GZ,ROW()-4,$A$4),INDEX('COOIS Raw'!$A:$GZ,ROW()-4,$A$4)))</f>
        <v/>
      </c>
      <c r="B1228" s="41" t="str">
        <f aca="false">IF(A1228="","",TRIM(INDEX('COOIS Raw'!$A:$GZ,ROW()-4,$B$4)))</f>
        <v/>
      </c>
      <c r="C1228" s="42" t="str">
        <f aca="false">IF(OR(A1228="",$C$4=0),"",INDEX('COOIS Raw'!$A:$GZ,ROW()-4,$C$4))</f>
        <v/>
      </c>
      <c r="D1228" s="41" t="str">
        <f aca="false">IF(A1228="","",IF($D$4=0,1,IFERROR(--INDEX('COOIS Raw'!$A:$GZ,ROW()-4,$D$4),1)))</f>
        <v/>
      </c>
      <c r="E1228" s="42" t="str">
        <f aca="false">IF(A1228="","",INDEX('COOIS Raw'!$A:$GZ,ROW()-4,$E$4)&amp;"")</f>
        <v/>
      </c>
      <c r="F1228" s="43" t="str">
        <f aca="false">IF(A1228="","",IFERROR(DATEVALUE(INDEX('COOIS Raw'!$A:$GZ,ROW()-4,$F$4)),INDEX('COOIS Raw'!$A:$GZ,ROW()-4,$F$4)))</f>
        <v/>
      </c>
      <c r="G1228" s="41" t="str">
        <f aca="false">IF(A1228="","",IF(ISNA(MATCH(B1228,'Kitting Plan'!$B$6:$B$19,0)),"Not in plan","Yes"))</f>
        <v/>
      </c>
      <c r="H1228" s="41" t="str">
        <f aca="false">IF(G1228="Yes",INDEX('Kitting Plan'!$D$6:$D$19,MATCH(B1228,'Kitting Plan'!$B$6:$B$19,0)),"")</f>
        <v/>
      </c>
      <c r="I1228" s="41" t="str">
        <f aca="false">IF(A1228="","",IF(ISNUMBER(SEARCH("PRT",E1228)),D1228,0))</f>
        <v/>
      </c>
      <c r="J1228" s="41" t="str">
        <f aca="false">IF(A1228="","",IF(ISNUMBER(SEARCH("GMPS",E1228)),D1228,0))</f>
        <v/>
      </c>
      <c r="K1228" s="41" t="str">
        <f aca="false">IF(A1228="","",IF(ISNUMBER(SEARCH("DLV",E1228)),D1228,0))</f>
        <v/>
      </c>
      <c r="L1228" s="41" t="str">
        <f aca="false">IF(A1228="","",IF(K1228&gt;0,"Delivered",IF(ISNUMBER(SEARCH("CNF",E1228)),"In production",IF(J1228&gt;0,"Issued",IF(I1228&gt;0,"Kitted","Released")))))</f>
        <v/>
      </c>
      <c r="M1228" s="41" t="str">
        <f aca="false">IF(G1228&lt;&gt;"Yes","",COUNTIFS($B$6:$B$1505,B1228,$F$6:$F$1505,"&lt;"&amp;F1228)+COUNTIFS($B$6:$B$1505,B1228,$F$6:$F$1505,F1228,$A$6:$A$1505,"&lt;="&amp;A1228))</f>
        <v/>
      </c>
      <c r="N1228" s="41" t="str">
        <f aca="false">IF(M1228="","",ROUNDUP(M1228/H1228,0))</f>
        <v/>
      </c>
      <c r="O1228" s="41" t="str">
        <f aca="false">IF(N1228="","",IF(N1228&lt;='Kitting Plan'!$C$3,"Rep "&amp;N1228,"Surplus"))</f>
        <v/>
      </c>
    </row>
    <row r="1229" customFormat="false" ht="15" hidden="false" customHeight="false" outlineLevel="0" collapsed="false">
      <c r="A1229" s="40" t="str">
        <f aca="false">IF(OR($A$4=0,INDEX('COOIS Raw'!$A:$GZ,ROW()-4,$A$4)=""),"",IFERROR(--INDEX('COOIS Raw'!$A:$GZ,ROW()-4,$A$4),INDEX('COOIS Raw'!$A:$GZ,ROW()-4,$A$4)))</f>
        <v/>
      </c>
      <c r="B1229" s="41" t="str">
        <f aca="false">IF(A1229="","",TRIM(INDEX('COOIS Raw'!$A:$GZ,ROW()-4,$B$4)))</f>
        <v/>
      </c>
      <c r="C1229" s="42" t="str">
        <f aca="false">IF(OR(A1229="",$C$4=0),"",INDEX('COOIS Raw'!$A:$GZ,ROW()-4,$C$4))</f>
        <v/>
      </c>
      <c r="D1229" s="41" t="str">
        <f aca="false">IF(A1229="","",IF($D$4=0,1,IFERROR(--INDEX('COOIS Raw'!$A:$GZ,ROW()-4,$D$4),1)))</f>
        <v/>
      </c>
      <c r="E1229" s="42" t="str">
        <f aca="false">IF(A1229="","",INDEX('COOIS Raw'!$A:$GZ,ROW()-4,$E$4)&amp;"")</f>
        <v/>
      </c>
      <c r="F1229" s="43" t="str">
        <f aca="false">IF(A1229="","",IFERROR(DATEVALUE(INDEX('COOIS Raw'!$A:$GZ,ROW()-4,$F$4)),INDEX('COOIS Raw'!$A:$GZ,ROW()-4,$F$4)))</f>
        <v/>
      </c>
      <c r="G1229" s="41" t="str">
        <f aca="false">IF(A1229="","",IF(ISNA(MATCH(B1229,'Kitting Plan'!$B$6:$B$19,0)),"Not in plan","Yes"))</f>
        <v/>
      </c>
      <c r="H1229" s="41" t="str">
        <f aca="false">IF(G1229="Yes",INDEX('Kitting Plan'!$D$6:$D$19,MATCH(B1229,'Kitting Plan'!$B$6:$B$19,0)),"")</f>
        <v/>
      </c>
      <c r="I1229" s="41" t="str">
        <f aca="false">IF(A1229="","",IF(ISNUMBER(SEARCH("PRT",E1229)),D1229,0))</f>
        <v/>
      </c>
      <c r="J1229" s="41" t="str">
        <f aca="false">IF(A1229="","",IF(ISNUMBER(SEARCH("GMPS",E1229)),D1229,0))</f>
        <v/>
      </c>
      <c r="K1229" s="41" t="str">
        <f aca="false">IF(A1229="","",IF(ISNUMBER(SEARCH("DLV",E1229)),D1229,0))</f>
        <v/>
      </c>
      <c r="L1229" s="41" t="str">
        <f aca="false">IF(A1229="","",IF(K1229&gt;0,"Delivered",IF(ISNUMBER(SEARCH("CNF",E1229)),"In production",IF(J1229&gt;0,"Issued",IF(I1229&gt;0,"Kitted","Released")))))</f>
        <v/>
      </c>
      <c r="M1229" s="41" t="str">
        <f aca="false">IF(G1229&lt;&gt;"Yes","",COUNTIFS($B$6:$B$1505,B1229,$F$6:$F$1505,"&lt;"&amp;F1229)+COUNTIFS($B$6:$B$1505,B1229,$F$6:$F$1505,F1229,$A$6:$A$1505,"&lt;="&amp;A1229))</f>
        <v/>
      </c>
      <c r="N1229" s="41" t="str">
        <f aca="false">IF(M1229="","",ROUNDUP(M1229/H1229,0))</f>
        <v/>
      </c>
      <c r="O1229" s="41" t="str">
        <f aca="false">IF(N1229="","",IF(N1229&lt;='Kitting Plan'!$C$3,"Rep "&amp;N1229,"Surplus"))</f>
        <v/>
      </c>
    </row>
    <row r="1230" customFormat="false" ht="15" hidden="false" customHeight="false" outlineLevel="0" collapsed="false">
      <c r="A1230" s="40" t="str">
        <f aca="false">IF(OR($A$4=0,INDEX('COOIS Raw'!$A:$GZ,ROW()-4,$A$4)=""),"",IFERROR(--INDEX('COOIS Raw'!$A:$GZ,ROW()-4,$A$4),INDEX('COOIS Raw'!$A:$GZ,ROW()-4,$A$4)))</f>
        <v/>
      </c>
      <c r="B1230" s="41" t="str">
        <f aca="false">IF(A1230="","",TRIM(INDEX('COOIS Raw'!$A:$GZ,ROW()-4,$B$4)))</f>
        <v/>
      </c>
      <c r="C1230" s="42" t="str">
        <f aca="false">IF(OR(A1230="",$C$4=0),"",INDEX('COOIS Raw'!$A:$GZ,ROW()-4,$C$4))</f>
        <v/>
      </c>
      <c r="D1230" s="41" t="str">
        <f aca="false">IF(A1230="","",IF($D$4=0,1,IFERROR(--INDEX('COOIS Raw'!$A:$GZ,ROW()-4,$D$4),1)))</f>
        <v/>
      </c>
      <c r="E1230" s="42" t="str">
        <f aca="false">IF(A1230="","",INDEX('COOIS Raw'!$A:$GZ,ROW()-4,$E$4)&amp;"")</f>
        <v/>
      </c>
      <c r="F1230" s="43" t="str">
        <f aca="false">IF(A1230="","",IFERROR(DATEVALUE(INDEX('COOIS Raw'!$A:$GZ,ROW()-4,$F$4)),INDEX('COOIS Raw'!$A:$GZ,ROW()-4,$F$4)))</f>
        <v/>
      </c>
      <c r="G1230" s="41" t="str">
        <f aca="false">IF(A1230="","",IF(ISNA(MATCH(B1230,'Kitting Plan'!$B$6:$B$19,0)),"Not in plan","Yes"))</f>
        <v/>
      </c>
      <c r="H1230" s="41" t="str">
        <f aca="false">IF(G1230="Yes",INDEX('Kitting Plan'!$D$6:$D$19,MATCH(B1230,'Kitting Plan'!$B$6:$B$19,0)),"")</f>
        <v/>
      </c>
      <c r="I1230" s="41" t="str">
        <f aca="false">IF(A1230="","",IF(ISNUMBER(SEARCH("PRT",E1230)),D1230,0))</f>
        <v/>
      </c>
      <c r="J1230" s="41" t="str">
        <f aca="false">IF(A1230="","",IF(ISNUMBER(SEARCH("GMPS",E1230)),D1230,0))</f>
        <v/>
      </c>
      <c r="K1230" s="41" t="str">
        <f aca="false">IF(A1230="","",IF(ISNUMBER(SEARCH("DLV",E1230)),D1230,0))</f>
        <v/>
      </c>
      <c r="L1230" s="41" t="str">
        <f aca="false">IF(A1230="","",IF(K1230&gt;0,"Delivered",IF(ISNUMBER(SEARCH("CNF",E1230)),"In production",IF(J1230&gt;0,"Issued",IF(I1230&gt;0,"Kitted","Released")))))</f>
        <v/>
      </c>
      <c r="M1230" s="41" t="str">
        <f aca="false">IF(G1230&lt;&gt;"Yes","",COUNTIFS($B$6:$B$1505,B1230,$F$6:$F$1505,"&lt;"&amp;F1230)+COUNTIFS($B$6:$B$1505,B1230,$F$6:$F$1505,F1230,$A$6:$A$1505,"&lt;="&amp;A1230))</f>
        <v/>
      </c>
      <c r="N1230" s="41" t="str">
        <f aca="false">IF(M1230="","",ROUNDUP(M1230/H1230,0))</f>
        <v/>
      </c>
      <c r="O1230" s="41" t="str">
        <f aca="false">IF(N1230="","",IF(N1230&lt;='Kitting Plan'!$C$3,"Rep "&amp;N1230,"Surplus"))</f>
        <v/>
      </c>
    </row>
    <row r="1231" customFormat="false" ht="15" hidden="false" customHeight="false" outlineLevel="0" collapsed="false">
      <c r="A1231" s="40" t="str">
        <f aca="false">IF(OR($A$4=0,INDEX('COOIS Raw'!$A:$GZ,ROW()-4,$A$4)=""),"",IFERROR(--INDEX('COOIS Raw'!$A:$GZ,ROW()-4,$A$4),INDEX('COOIS Raw'!$A:$GZ,ROW()-4,$A$4)))</f>
        <v/>
      </c>
      <c r="B1231" s="41" t="str">
        <f aca="false">IF(A1231="","",TRIM(INDEX('COOIS Raw'!$A:$GZ,ROW()-4,$B$4)))</f>
        <v/>
      </c>
      <c r="C1231" s="42" t="str">
        <f aca="false">IF(OR(A1231="",$C$4=0),"",INDEX('COOIS Raw'!$A:$GZ,ROW()-4,$C$4))</f>
        <v/>
      </c>
      <c r="D1231" s="41" t="str">
        <f aca="false">IF(A1231="","",IF($D$4=0,1,IFERROR(--INDEX('COOIS Raw'!$A:$GZ,ROW()-4,$D$4),1)))</f>
        <v/>
      </c>
      <c r="E1231" s="42" t="str">
        <f aca="false">IF(A1231="","",INDEX('COOIS Raw'!$A:$GZ,ROW()-4,$E$4)&amp;"")</f>
        <v/>
      </c>
      <c r="F1231" s="43" t="str">
        <f aca="false">IF(A1231="","",IFERROR(DATEVALUE(INDEX('COOIS Raw'!$A:$GZ,ROW()-4,$F$4)),INDEX('COOIS Raw'!$A:$GZ,ROW()-4,$F$4)))</f>
        <v/>
      </c>
      <c r="G1231" s="41" t="str">
        <f aca="false">IF(A1231="","",IF(ISNA(MATCH(B1231,'Kitting Plan'!$B$6:$B$19,0)),"Not in plan","Yes"))</f>
        <v/>
      </c>
      <c r="H1231" s="41" t="str">
        <f aca="false">IF(G1231="Yes",INDEX('Kitting Plan'!$D$6:$D$19,MATCH(B1231,'Kitting Plan'!$B$6:$B$19,0)),"")</f>
        <v/>
      </c>
      <c r="I1231" s="41" t="str">
        <f aca="false">IF(A1231="","",IF(ISNUMBER(SEARCH("PRT",E1231)),D1231,0))</f>
        <v/>
      </c>
      <c r="J1231" s="41" t="str">
        <f aca="false">IF(A1231="","",IF(ISNUMBER(SEARCH("GMPS",E1231)),D1231,0))</f>
        <v/>
      </c>
      <c r="K1231" s="41" t="str">
        <f aca="false">IF(A1231="","",IF(ISNUMBER(SEARCH("DLV",E1231)),D1231,0))</f>
        <v/>
      </c>
      <c r="L1231" s="41" t="str">
        <f aca="false">IF(A1231="","",IF(K1231&gt;0,"Delivered",IF(ISNUMBER(SEARCH("CNF",E1231)),"In production",IF(J1231&gt;0,"Issued",IF(I1231&gt;0,"Kitted","Released")))))</f>
        <v/>
      </c>
      <c r="M1231" s="41" t="str">
        <f aca="false">IF(G1231&lt;&gt;"Yes","",COUNTIFS($B$6:$B$1505,B1231,$F$6:$F$1505,"&lt;"&amp;F1231)+COUNTIFS($B$6:$B$1505,B1231,$F$6:$F$1505,F1231,$A$6:$A$1505,"&lt;="&amp;A1231))</f>
        <v/>
      </c>
      <c r="N1231" s="41" t="str">
        <f aca="false">IF(M1231="","",ROUNDUP(M1231/H1231,0))</f>
        <v/>
      </c>
      <c r="O1231" s="41" t="str">
        <f aca="false">IF(N1231="","",IF(N1231&lt;='Kitting Plan'!$C$3,"Rep "&amp;N1231,"Surplus"))</f>
        <v/>
      </c>
    </row>
    <row r="1232" customFormat="false" ht="15" hidden="false" customHeight="false" outlineLevel="0" collapsed="false">
      <c r="A1232" s="40" t="str">
        <f aca="false">IF(OR($A$4=0,INDEX('COOIS Raw'!$A:$GZ,ROW()-4,$A$4)=""),"",IFERROR(--INDEX('COOIS Raw'!$A:$GZ,ROW()-4,$A$4),INDEX('COOIS Raw'!$A:$GZ,ROW()-4,$A$4)))</f>
        <v/>
      </c>
      <c r="B1232" s="41" t="str">
        <f aca="false">IF(A1232="","",TRIM(INDEX('COOIS Raw'!$A:$GZ,ROW()-4,$B$4)))</f>
        <v/>
      </c>
      <c r="C1232" s="42" t="str">
        <f aca="false">IF(OR(A1232="",$C$4=0),"",INDEX('COOIS Raw'!$A:$GZ,ROW()-4,$C$4))</f>
        <v/>
      </c>
      <c r="D1232" s="41" t="str">
        <f aca="false">IF(A1232="","",IF($D$4=0,1,IFERROR(--INDEX('COOIS Raw'!$A:$GZ,ROW()-4,$D$4),1)))</f>
        <v/>
      </c>
      <c r="E1232" s="42" t="str">
        <f aca="false">IF(A1232="","",INDEX('COOIS Raw'!$A:$GZ,ROW()-4,$E$4)&amp;"")</f>
        <v/>
      </c>
      <c r="F1232" s="43" t="str">
        <f aca="false">IF(A1232="","",IFERROR(DATEVALUE(INDEX('COOIS Raw'!$A:$GZ,ROW()-4,$F$4)),INDEX('COOIS Raw'!$A:$GZ,ROW()-4,$F$4)))</f>
        <v/>
      </c>
      <c r="G1232" s="41" t="str">
        <f aca="false">IF(A1232="","",IF(ISNA(MATCH(B1232,'Kitting Plan'!$B$6:$B$19,0)),"Not in plan","Yes"))</f>
        <v/>
      </c>
      <c r="H1232" s="41" t="str">
        <f aca="false">IF(G1232="Yes",INDEX('Kitting Plan'!$D$6:$D$19,MATCH(B1232,'Kitting Plan'!$B$6:$B$19,0)),"")</f>
        <v/>
      </c>
      <c r="I1232" s="41" t="str">
        <f aca="false">IF(A1232="","",IF(ISNUMBER(SEARCH("PRT",E1232)),D1232,0))</f>
        <v/>
      </c>
      <c r="J1232" s="41" t="str">
        <f aca="false">IF(A1232="","",IF(ISNUMBER(SEARCH("GMPS",E1232)),D1232,0))</f>
        <v/>
      </c>
      <c r="K1232" s="41" t="str">
        <f aca="false">IF(A1232="","",IF(ISNUMBER(SEARCH("DLV",E1232)),D1232,0))</f>
        <v/>
      </c>
      <c r="L1232" s="41" t="str">
        <f aca="false">IF(A1232="","",IF(K1232&gt;0,"Delivered",IF(ISNUMBER(SEARCH("CNF",E1232)),"In production",IF(J1232&gt;0,"Issued",IF(I1232&gt;0,"Kitted","Released")))))</f>
        <v/>
      </c>
      <c r="M1232" s="41" t="str">
        <f aca="false">IF(G1232&lt;&gt;"Yes","",COUNTIFS($B$6:$B$1505,B1232,$F$6:$F$1505,"&lt;"&amp;F1232)+COUNTIFS($B$6:$B$1505,B1232,$F$6:$F$1505,F1232,$A$6:$A$1505,"&lt;="&amp;A1232))</f>
        <v/>
      </c>
      <c r="N1232" s="41" t="str">
        <f aca="false">IF(M1232="","",ROUNDUP(M1232/H1232,0))</f>
        <v/>
      </c>
      <c r="O1232" s="41" t="str">
        <f aca="false">IF(N1232="","",IF(N1232&lt;='Kitting Plan'!$C$3,"Rep "&amp;N1232,"Surplus"))</f>
        <v/>
      </c>
    </row>
    <row r="1233" customFormat="false" ht="15" hidden="false" customHeight="false" outlineLevel="0" collapsed="false">
      <c r="A1233" s="40" t="str">
        <f aca="false">IF(OR($A$4=0,INDEX('COOIS Raw'!$A:$GZ,ROW()-4,$A$4)=""),"",IFERROR(--INDEX('COOIS Raw'!$A:$GZ,ROW()-4,$A$4),INDEX('COOIS Raw'!$A:$GZ,ROW()-4,$A$4)))</f>
        <v/>
      </c>
      <c r="B1233" s="41" t="str">
        <f aca="false">IF(A1233="","",TRIM(INDEX('COOIS Raw'!$A:$GZ,ROW()-4,$B$4)))</f>
        <v/>
      </c>
      <c r="C1233" s="42" t="str">
        <f aca="false">IF(OR(A1233="",$C$4=0),"",INDEX('COOIS Raw'!$A:$GZ,ROW()-4,$C$4))</f>
        <v/>
      </c>
      <c r="D1233" s="41" t="str">
        <f aca="false">IF(A1233="","",IF($D$4=0,1,IFERROR(--INDEX('COOIS Raw'!$A:$GZ,ROW()-4,$D$4),1)))</f>
        <v/>
      </c>
      <c r="E1233" s="42" t="str">
        <f aca="false">IF(A1233="","",INDEX('COOIS Raw'!$A:$GZ,ROW()-4,$E$4)&amp;"")</f>
        <v/>
      </c>
      <c r="F1233" s="43" t="str">
        <f aca="false">IF(A1233="","",IFERROR(DATEVALUE(INDEX('COOIS Raw'!$A:$GZ,ROW()-4,$F$4)),INDEX('COOIS Raw'!$A:$GZ,ROW()-4,$F$4)))</f>
        <v/>
      </c>
      <c r="G1233" s="41" t="str">
        <f aca="false">IF(A1233="","",IF(ISNA(MATCH(B1233,'Kitting Plan'!$B$6:$B$19,0)),"Not in plan","Yes"))</f>
        <v/>
      </c>
      <c r="H1233" s="41" t="str">
        <f aca="false">IF(G1233="Yes",INDEX('Kitting Plan'!$D$6:$D$19,MATCH(B1233,'Kitting Plan'!$B$6:$B$19,0)),"")</f>
        <v/>
      </c>
      <c r="I1233" s="41" t="str">
        <f aca="false">IF(A1233="","",IF(ISNUMBER(SEARCH("PRT",E1233)),D1233,0))</f>
        <v/>
      </c>
      <c r="J1233" s="41" t="str">
        <f aca="false">IF(A1233="","",IF(ISNUMBER(SEARCH("GMPS",E1233)),D1233,0))</f>
        <v/>
      </c>
      <c r="K1233" s="41" t="str">
        <f aca="false">IF(A1233="","",IF(ISNUMBER(SEARCH("DLV",E1233)),D1233,0))</f>
        <v/>
      </c>
      <c r="L1233" s="41" t="str">
        <f aca="false">IF(A1233="","",IF(K1233&gt;0,"Delivered",IF(ISNUMBER(SEARCH("CNF",E1233)),"In production",IF(J1233&gt;0,"Issued",IF(I1233&gt;0,"Kitted","Released")))))</f>
        <v/>
      </c>
      <c r="M1233" s="41" t="str">
        <f aca="false">IF(G1233&lt;&gt;"Yes","",COUNTIFS($B$6:$B$1505,B1233,$F$6:$F$1505,"&lt;"&amp;F1233)+COUNTIFS($B$6:$B$1505,B1233,$F$6:$F$1505,F1233,$A$6:$A$1505,"&lt;="&amp;A1233))</f>
        <v/>
      </c>
      <c r="N1233" s="41" t="str">
        <f aca="false">IF(M1233="","",ROUNDUP(M1233/H1233,0))</f>
        <v/>
      </c>
      <c r="O1233" s="41" t="str">
        <f aca="false">IF(N1233="","",IF(N1233&lt;='Kitting Plan'!$C$3,"Rep "&amp;N1233,"Surplus"))</f>
        <v/>
      </c>
    </row>
    <row r="1234" customFormat="false" ht="15" hidden="false" customHeight="false" outlineLevel="0" collapsed="false">
      <c r="A1234" s="40" t="str">
        <f aca="false">IF(OR($A$4=0,INDEX('COOIS Raw'!$A:$GZ,ROW()-4,$A$4)=""),"",IFERROR(--INDEX('COOIS Raw'!$A:$GZ,ROW()-4,$A$4),INDEX('COOIS Raw'!$A:$GZ,ROW()-4,$A$4)))</f>
        <v/>
      </c>
      <c r="B1234" s="41" t="str">
        <f aca="false">IF(A1234="","",TRIM(INDEX('COOIS Raw'!$A:$GZ,ROW()-4,$B$4)))</f>
        <v/>
      </c>
      <c r="C1234" s="42" t="str">
        <f aca="false">IF(OR(A1234="",$C$4=0),"",INDEX('COOIS Raw'!$A:$GZ,ROW()-4,$C$4))</f>
        <v/>
      </c>
      <c r="D1234" s="41" t="str">
        <f aca="false">IF(A1234="","",IF($D$4=0,1,IFERROR(--INDEX('COOIS Raw'!$A:$GZ,ROW()-4,$D$4),1)))</f>
        <v/>
      </c>
      <c r="E1234" s="42" t="str">
        <f aca="false">IF(A1234="","",INDEX('COOIS Raw'!$A:$GZ,ROW()-4,$E$4)&amp;"")</f>
        <v/>
      </c>
      <c r="F1234" s="43" t="str">
        <f aca="false">IF(A1234="","",IFERROR(DATEVALUE(INDEX('COOIS Raw'!$A:$GZ,ROW()-4,$F$4)),INDEX('COOIS Raw'!$A:$GZ,ROW()-4,$F$4)))</f>
        <v/>
      </c>
      <c r="G1234" s="41" t="str">
        <f aca="false">IF(A1234="","",IF(ISNA(MATCH(B1234,'Kitting Plan'!$B$6:$B$19,0)),"Not in plan","Yes"))</f>
        <v/>
      </c>
      <c r="H1234" s="41" t="str">
        <f aca="false">IF(G1234="Yes",INDEX('Kitting Plan'!$D$6:$D$19,MATCH(B1234,'Kitting Plan'!$B$6:$B$19,0)),"")</f>
        <v/>
      </c>
      <c r="I1234" s="41" t="str">
        <f aca="false">IF(A1234="","",IF(ISNUMBER(SEARCH("PRT",E1234)),D1234,0))</f>
        <v/>
      </c>
      <c r="J1234" s="41" t="str">
        <f aca="false">IF(A1234="","",IF(ISNUMBER(SEARCH("GMPS",E1234)),D1234,0))</f>
        <v/>
      </c>
      <c r="K1234" s="41" t="str">
        <f aca="false">IF(A1234="","",IF(ISNUMBER(SEARCH("DLV",E1234)),D1234,0))</f>
        <v/>
      </c>
      <c r="L1234" s="41" t="str">
        <f aca="false">IF(A1234="","",IF(K1234&gt;0,"Delivered",IF(ISNUMBER(SEARCH("CNF",E1234)),"In production",IF(J1234&gt;0,"Issued",IF(I1234&gt;0,"Kitted","Released")))))</f>
        <v/>
      </c>
      <c r="M1234" s="41" t="str">
        <f aca="false">IF(G1234&lt;&gt;"Yes","",COUNTIFS($B$6:$B$1505,B1234,$F$6:$F$1505,"&lt;"&amp;F1234)+COUNTIFS($B$6:$B$1505,B1234,$F$6:$F$1505,F1234,$A$6:$A$1505,"&lt;="&amp;A1234))</f>
        <v/>
      </c>
      <c r="N1234" s="41" t="str">
        <f aca="false">IF(M1234="","",ROUNDUP(M1234/H1234,0))</f>
        <v/>
      </c>
      <c r="O1234" s="41" t="str">
        <f aca="false">IF(N1234="","",IF(N1234&lt;='Kitting Plan'!$C$3,"Rep "&amp;N1234,"Surplus"))</f>
        <v/>
      </c>
    </row>
    <row r="1235" customFormat="false" ht="15" hidden="false" customHeight="false" outlineLevel="0" collapsed="false">
      <c r="A1235" s="40" t="str">
        <f aca="false">IF(OR($A$4=0,INDEX('COOIS Raw'!$A:$GZ,ROW()-4,$A$4)=""),"",IFERROR(--INDEX('COOIS Raw'!$A:$GZ,ROW()-4,$A$4),INDEX('COOIS Raw'!$A:$GZ,ROW()-4,$A$4)))</f>
        <v/>
      </c>
      <c r="B1235" s="41" t="str">
        <f aca="false">IF(A1235="","",TRIM(INDEX('COOIS Raw'!$A:$GZ,ROW()-4,$B$4)))</f>
        <v/>
      </c>
      <c r="C1235" s="42" t="str">
        <f aca="false">IF(OR(A1235="",$C$4=0),"",INDEX('COOIS Raw'!$A:$GZ,ROW()-4,$C$4))</f>
        <v/>
      </c>
      <c r="D1235" s="41" t="str">
        <f aca="false">IF(A1235="","",IF($D$4=0,1,IFERROR(--INDEX('COOIS Raw'!$A:$GZ,ROW()-4,$D$4),1)))</f>
        <v/>
      </c>
      <c r="E1235" s="42" t="str">
        <f aca="false">IF(A1235="","",INDEX('COOIS Raw'!$A:$GZ,ROW()-4,$E$4)&amp;"")</f>
        <v/>
      </c>
      <c r="F1235" s="43" t="str">
        <f aca="false">IF(A1235="","",IFERROR(DATEVALUE(INDEX('COOIS Raw'!$A:$GZ,ROW()-4,$F$4)),INDEX('COOIS Raw'!$A:$GZ,ROW()-4,$F$4)))</f>
        <v/>
      </c>
      <c r="G1235" s="41" t="str">
        <f aca="false">IF(A1235="","",IF(ISNA(MATCH(B1235,'Kitting Plan'!$B$6:$B$19,0)),"Not in plan","Yes"))</f>
        <v/>
      </c>
      <c r="H1235" s="41" t="str">
        <f aca="false">IF(G1235="Yes",INDEX('Kitting Plan'!$D$6:$D$19,MATCH(B1235,'Kitting Plan'!$B$6:$B$19,0)),"")</f>
        <v/>
      </c>
      <c r="I1235" s="41" t="str">
        <f aca="false">IF(A1235="","",IF(ISNUMBER(SEARCH("PRT",E1235)),D1235,0))</f>
        <v/>
      </c>
      <c r="J1235" s="41" t="str">
        <f aca="false">IF(A1235="","",IF(ISNUMBER(SEARCH("GMPS",E1235)),D1235,0))</f>
        <v/>
      </c>
      <c r="K1235" s="41" t="str">
        <f aca="false">IF(A1235="","",IF(ISNUMBER(SEARCH("DLV",E1235)),D1235,0))</f>
        <v/>
      </c>
      <c r="L1235" s="41" t="str">
        <f aca="false">IF(A1235="","",IF(K1235&gt;0,"Delivered",IF(ISNUMBER(SEARCH("CNF",E1235)),"In production",IF(J1235&gt;0,"Issued",IF(I1235&gt;0,"Kitted","Released")))))</f>
        <v/>
      </c>
      <c r="M1235" s="41" t="str">
        <f aca="false">IF(G1235&lt;&gt;"Yes","",COUNTIFS($B$6:$B$1505,B1235,$F$6:$F$1505,"&lt;"&amp;F1235)+COUNTIFS($B$6:$B$1505,B1235,$F$6:$F$1505,F1235,$A$6:$A$1505,"&lt;="&amp;A1235))</f>
        <v/>
      </c>
      <c r="N1235" s="41" t="str">
        <f aca="false">IF(M1235="","",ROUNDUP(M1235/H1235,0))</f>
        <v/>
      </c>
      <c r="O1235" s="41" t="str">
        <f aca="false">IF(N1235="","",IF(N1235&lt;='Kitting Plan'!$C$3,"Rep "&amp;N1235,"Surplus"))</f>
        <v/>
      </c>
    </row>
    <row r="1236" customFormat="false" ht="15" hidden="false" customHeight="false" outlineLevel="0" collapsed="false">
      <c r="A1236" s="40" t="str">
        <f aca="false">IF(OR($A$4=0,INDEX('COOIS Raw'!$A:$GZ,ROW()-4,$A$4)=""),"",IFERROR(--INDEX('COOIS Raw'!$A:$GZ,ROW()-4,$A$4),INDEX('COOIS Raw'!$A:$GZ,ROW()-4,$A$4)))</f>
        <v/>
      </c>
      <c r="B1236" s="41" t="str">
        <f aca="false">IF(A1236="","",TRIM(INDEX('COOIS Raw'!$A:$GZ,ROW()-4,$B$4)))</f>
        <v/>
      </c>
      <c r="C1236" s="42" t="str">
        <f aca="false">IF(OR(A1236="",$C$4=0),"",INDEX('COOIS Raw'!$A:$GZ,ROW()-4,$C$4))</f>
        <v/>
      </c>
      <c r="D1236" s="41" t="str">
        <f aca="false">IF(A1236="","",IF($D$4=0,1,IFERROR(--INDEX('COOIS Raw'!$A:$GZ,ROW()-4,$D$4),1)))</f>
        <v/>
      </c>
      <c r="E1236" s="42" t="str">
        <f aca="false">IF(A1236="","",INDEX('COOIS Raw'!$A:$GZ,ROW()-4,$E$4)&amp;"")</f>
        <v/>
      </c>
      <c r="F1236" s="43" t="str">
        <f aca="false">IF(A1236="","",IFERROR(DATEVALUE(INDEX('COOIS Raw'!$A:$GZ,ROW()-4,$F$4)),INDEX('COOIS Raw'!$A:$GZ,ROW()-4,$F$4)))</f>
        <v/>
      </c>
      <c r="G1236" s="41" t="str">
        <f aca="false">IF(A1236="","",IF(ISNA(MATCH(B1236,'Kitting Plan'!$B$6:$B$19,0)),"Not in plan","Yes"))</f>
        <v/>
      </c>
      <c r="H1236" s="41" t="str">
        <f aca="false">IF(G1236="Yes",INDEX('Kitting Plan'!$D$6:$D$19,MATCH(B1236,'Kitting Plan'!$B$6:$B$19,0)),"")</f>
        <v/>
      </c>
      <c r="I1236" s="41" t="str">
        <f aca="false">IF(A1236="","",IF(ISNUMBER(SEARCH("PRT",E1236)),D1236,0))</f>
        <v/>
      </c>
      <c r="J1236" s="41" t="str">
        <f aca="false">IF(A1236="","",IF(ISNUMBER(SEARCH("GMPS",E1236)),D1236,0))</f>
        <v/>
      </c>
      <c r="K1236" s="41" t="str">
        <f aca="false">IF(A1236="","",IF(ISNUMBER(SEARCH("DLV",E1236)),D1236,0))</f>
        <v/>
      </c>
      <c r="L1236" s="41" t="str">
        <f aca="false">IF(A1236="","",IF(K1236&gt;0,"Delivered",IF(ISNUMBER(SEARCH("CNF",E1236)),"In production",IF(J1236&gt;0,"Issued",IF(I1236&gt;0,"Kitted","Released")))))</f>
        <v/>
      </c>
      <c r="M1236" s="41" t="str">
        <f aca="false">IF(G1236&lt;&gt;"Yes","",COUNTIFS($B$6:$B$1505,B1236,$F$6:$F$1505,"&lt;"&amp;F1236)+COUNTIFS($B$6:$B$1505,B1236,$F$6:$F$1505,F1236,$A$6:$A$1505,"&lt;="&amp;A1236))</f>
        <v/>
      </c>
      <c r="N1236" s="41" t="str">
        <f aca="false">IF(M1236="","",ROUNDUP(M1236/H1236,0))</f>
        <v/>
      </c>
      <c r="O1236" s="41" t="str">
        <f aca="false">IF(N1236="","",IF(N1236&lt;='Kitting Plan'!$C$3,"Rep "&amp;N1236,"Surplus"))</f>
        <v/>
      </c>
    </row>
    <row r="1237" customFormat="false" ht="15" hidden="false" customHeight="false" outlineLevel="0" collapsed="false">
      <c r="A1237" s="40" t="str">
        <f aca="false">IF(OR($A$4=0,INDEX('COOIS Raw'!$A:$GZ,ROW()-4,$A$4)=""),"",IFERROR(--INDEX('COOIS Raw'!$A:$GZ,ROW()-4,$A$4),INDEX('COOIS Raw'!$A:$GZ,ROW()-4,$A$4)))</f>
        <v/>
      </c>
      <c r="B1237" s="41" t="str">
        <f aca="false">IF(A1237="","",TRIM(INDEX('COOIS Raw'!$A:$GZ,ROW()-4,$B$4)))</f>
        <v/>
      </c>
      <c r="C1237" s="42" t="str">
        <f aca="false">IF(OR(A1237="",$C$4=0),"",INDEX('COOIS Raw'!$A:$GZ,ROW()-4,$C$4))</f>
        <v/>
      </c>
      <c r="D1237" s="41" t="str">
        <f aca="false">IF(A1237="","",IF($D$4=0,1,IFERROR(--INDEX('COOIS Raw'!$A:$GZ,ROW()-4,$D$4),1)))</f>
        <v/>
      </c>
      <c r="E1237" s="42" t="str">
        <f aca="false">IF(A1237="","",INDEX('COOIS Raw'!$A:$GZ,ROW()-4,$E$4)&amp;"")</f>
        <v/>
      </c>
      <c r="F1237" s="43" t="str">
        <f aca="false">IF(A1237="","",IFERROR(DATEVALUE(INDEX('COOIS Raw'!$A:$GZ,ROW()-4,$F$4)),INDEX('COOIS Raw'!$A:$GZ,ROW()-4,$F$4)))</f>
        <v/>
      </c>
      <c r="G1237" s="41" t="str">
        <f aca="false">IF(A1237="","",IF(ISNA(MATCH(B1237,'Kitting Plan'!$B$6:$B$19,0)),"Not in plan","Yes"))</f>
        <v/>
      </c>
      <c r="H1237" s="41" t="str">
        <f aca="false">IF(G1237="Yes",INDEX('Kitting Plan'!$D$6:$D$19,MATCH(B1237,'Kitting Plan'!$B$6:$B$19,0)),"")</f>
        <v/>
      </c>
      <c r="I1237" s="41" t="str">
        <f aca="false">IF(A1237="","",IF(ISNUMBER(SEARCH("PRT",E1237)),D1237,0))</f>
        <v/>
      </c>
      <c r="J1237" s="41" t="str">
        <f aca="false">IF(A1237="","",IF(ISNUMBER(SEARCH("GMPS",E1237)),D1237,0))</f>
        <v/>
      </c>
      <c r="K1237" s="41" t="str">
        <f aca="false">IF(A1237="","",IF(ISNUMBER(SEARCH("DLV",E1237)),D1237,0))</f>
        <v/>
      </c>
      <c r="L1237" s="41" t="str">
        <f aca="false">IF(A1237="","",IF(K1237&gt;0,"Delivered",IF(ISNUMBER(SEARCH("CNF",E1237)),"In production",IF(J1237&gt;0,"Issued",IF(I1237&gt;0,"Kitted","Released")))))</f>
        <v/>
      </c>
      <c r="M1237" s="41" t="str">
        <f aca="false">IF(G1237&lt;&gt;"Yes","",COUNTIFS($B$6:$B$1505,B1237,$F$6:$F$1505,"&lt;"&amp;F1237)+COUNTIFS($B$6:$B$1505,B1237,$F$6:$F$1505,F1237,$A$6:$A$1505,"&lt;="&amp;A1237))</f>
        <v/>
      </c>
      <c r="N1237" s="41" t="str">
        <f aca="false">IF(M1237="","",ROUNDUP(M1237/H1237,0))</f>
        <v/>
      </c>
      <c r="O1237" s="41" t="str">
        <f aca="false">IF(N1237="","",IF(N1237&lt;='Kitting Plan'!$C$3,"Rep "&amp;N1237,"Surplus"))</f>
        <v/>
      </c>
    </row>
    <row r="1238" customFormat="false" ht="15" hidden="false" customHeight="false" outlineLevel="0" collapsed="false">
      <c r="A1238" s="40" t="str">
        <f aca="false">IF(OR($A$4=0,INDEX('COOIS Raw'!$A:$GZ,ROW()-4,$A$4)=""),"",IFERROR(--INDEX('COOIS Raw'!$A:$GZ,ROW()-4,$A$4),INDEX('COOIS Raw'!$A:$GZ,ROW()-4,$A$4)))</f>
        <v/>
      </c>
      <c r="B1238" s="41" t="str">
        <f aca="false">IF(A1238="","",TRIM(INDEX('COOIS Raw'!$A:$GZ,ROW()-4,$B$4)))</f>
        <v/>
      </c>
      <c r="C1238" s="42" t="str">
        <f aca="false">IF(OR(A1238="",$C$4=0),"",INDEX('COOIS Raw'!$A:$GZ,ROW()-4,$C$4))</f>
        <v/>
      </c>
      <c r="D1238" s="41" t="str">
        <f aca="false">IF(A1238="","",IF($D$4=0,1,IFERROR(--INDEX('COOIS Raw'!$A:$GZ,ROW()-4,$D$4),1)))</f>
        <v/>
      </c>
      <c r="E1238" s="42" t="str">
        <f aca="false">IF(A1238="","",INDEX('COOIS Raw'!$A:$GZ,ROW()-4,$E$4)&amp;"")</f>
        <v/>
      </c>
      <c r="F1238" s="43" t="str">
        <f aca="false">IF(A1238="","",IFERROR(DATEVALUE(INDEX('COOIS Raw'!$A:$GZ,ROW()-4,$F$4)),INDEX('COOIS Raw'!$A:$GZ,ROW()-4,$F$4)))</f>
        <v/>
      </c>
      <c r="G1238" s="41" t="str">
        <f aca="false">IF(A1238="","",IF(ISNA(MATCH(B1238,'Kitting Plan'!$B$6:$B$19,0)),"Not in plan","Yes"))</f>
        <v/>
      </c>
      <c r="H1238" s="41" t="str">
        <f aca="false">IF(G1238="Yes",INDEX('Kitting Plan'!$D$6:$D$19,MATCH(B1238,'Kitting Plan'!$B$6:$B$19,0)),"")</f>
        <v/>
      </c>
      <c r="I1238" s="41" t="str">
        <f aca="false">IF(A1238="","",IF(ISNUMBER(SEARCH("PRT",E1238)),D1238,0))</f>
        <v/>
      </c>
      <c r="J1238" s="41" t="str">
        <f aca="false">IF(A1238="","",IF(ISNUMBER(SEARCH("GMPS",E1238)),D1238,0))</f>
        <v/>
      </c>
      <c r="K1238" s="41" t="str">
        <f aca="false">IF(A1238="","",IF(ISNUMBER(SEARCH("DLV",E1238)),D1238,0))</f>
        <v/>
      </c>
      <c r="L1238" s="41" t="str">
        <f aca="false">IF(A1238="","",IF(K1238&gt;0,"Delivered",IF(ISNUMBER(SEARCH("CNF",E1238)),"In production",IF(J1238&gt;0,"Issued",IF(I1238&gt;0,"Kitted","Released")))))</f>
        <v/>
      </c>
      <c r="M1238" s="41" t="str">
        <f aca="false">IF(G1238&lt;&gt;"Yes","",COUNTIFS($B$6:$B$1505,B1238,$F$6:$F$1505,"&lt;"&amp;F1238)+COUNTIFS($B$6:$B$1505,B1238,$F$6:$F$1505,F1238,$A$6:$A$1505,"&lt;="&amp;A1238))</f>
        <v/>
      </c>
      <c r="N1238" s="41" t="str">
        <f aca="false">IF(M1238="","",ROUNDUP(M1238/H1238,0))</f>
        <v/>
      </c>
      <c r="O1238" s="41" t="str">
        <f aca="false">IF(N1238="","",IF(N1238&lt;='Kitting Plan'!$C$3,"Rep "&amp;N1238,"Surplus"))</f>
        <v/>
      </c>
    </row>
    <row r="1239" customFormat="false" ht="15" hidden="false" customHeight="false" outlineLevel="0" collapsed="false">
      <c r="A1239" s="40" t="str">
        <f aca="false">IF(OR($A$4=0,INDEX('COOIS Raw'!$A:$GZ,ROW()-4,$A$4)=""),"",IFERROR(--INDEX('COOIS Raw'!$A:$GZ,ROW()-4,$A$4),INDEX('COOIS Raw'!$A:$GZ,ROW()-4,$A$4)))</f>
        <v/>
      </c>
      <c r="B1239" s="41" t="str">
        <f aca="false">IF(A1239="","",TRIM(INDEX('COOIS Raw'!$A:$GZ,ROW()-4,$B$4)))</f>
        <v/>
      </c>
      <c r="C1239" s="42" t="str">
        <f aca="false">IF(OR(A1239="",$C$4=0),"",INDEX('COOIS Raw'!$A:$GZ,ROW()-4,$C$4))</f>
        <v/>
      </c>
      <c r="D1239" s="41" t="str">
        <f aca="false">IF(A1239="","",IF($D$4=0,1,IFERROR(--INDEX('COOIS Raw'!$A:$GZ,ROW()-4,$D$4),1)))</f>
        <v/>
      </c>
      <c r="E1239" s="42" t="str">
        <f aca="false">IF(A1239="","",INDEX('COOIS Raw'!$A:$GZ,ROW()-4,$E$4)&amp;"")</f>
        <v/>
      </c>
      <c r="F1239" s="43" t="str">
        <f aca="false">IF(A1239="","",IFERROR(DATEVALUE(INDEX('COOIS Raw'!$A:$GZ,ROW()-4,$F$4)),INDEX('COOIS Raw'!$A:$GZ,ROW()-4,$F$4)))</f>
        <v/>
      </c>
      <c r="G1239" s="41" t="str">
        <f aca="false">IF(A1239="","",IF(ISNA(MATCH(B1239,'Kitting Plan'!$B$6:$B$19,0)),"Not in plan","Yes"))</f>
        <v/>
      </c>
      <c r="H1239" s="41" t="str">
        <f aca="false">IF(G1239="Yes",INDEX('Kitting Plan'!$D$6:$D$19,MATCH(B1239,'Kitting Plan'!$B$6:$B$19,0)),"")</f>
        <v/>
      </c>
      <c r="I1239" s="41" t="str">
        <f aca="false">IF(A1239="","",IF(ISNUMBER(SEARCH("PRT",E1239)),D1239,0))</f>
        <v/>
      </c>
      <c r="J1239" s="41" t="str">
        <f aca="false">IF(A1239="","",IF(ISNUMBER(SEARCH("GMPS",E1239)),D1239,0))</f>
        <v/>
      </c>
      <c r="K1239" s="41" t="str">
        <f aca="false">IF(A1239="","",IF(ISNUMBER(SEARCH("DLV",E1239)),D1239,0))</f>
        <v/>
      </c>
      <c r="L1239" s="41" t="str">
        <f aca="false">IF(A1239="","",IF(K1239&gt;0,"Delivered",IF(ISNUMBER(SEARCH("CNF",E1239)),"In production",IF(J1239&gt;0,"Issued",IF(I1239&gt;0,"Kitted","Released")))))</f>
        <v/>
      </c>
      <c r="M1239" s="41" t="str">
        <f aca="false">IF(G1239&lt;&gt;"Yes","",COUNTIFS($B$6:$B$1505,B1239,$F$6:$F$1505,"&lt;"&amp;F1239)+COUNTIFS($B$6:$B$1505,B1239,$F$6:$F$1505,F1239,$A$6:$A$1505,"&lt;="&amp;A1239))</f>
        <v/>
      </c>
      <c r="N1239" s="41" t="str">
        <f aca="false">IF(M1239="","",ROUNDUP(M1239/H1239,0))</f>
        <v/>
      </c>
      <c r="O1239" s="41" t="str">
        <f aca="false">IF(N1239="","",IF(N1239&lt;='Kitting Plan'!$C$3,"Rep "&amp;N1239,"Surplus"))</f>
        <v/>
      </c>
    </row>
    <row r="1240" customFormat="false" ht="15" hidden="false" customHeight="false" outlineLevel="0" collapsed="false">
      <c r="A1240" s="40" t="str">
        <f aca="false">IF(OR($A$4=0,INDEX('COOIS Raw'!$A:$GZ,ROW()-4,$A$4)=""),"",IFERROR(--INDEX('COOIS Raw'!$A:$GZ,ROW()-4,$A$4),INDEX('COOIS Raw'!$A:$GZ,ROW()-4,$A$4)))</f>
        <v/>
      </c>
      <c r="B1240" s="41" t="str">
        <f aca="false">IF(A1240="","",TRIM(INDEX('COOIS Raw'!$A:$GZ,ROW()-4,$B$4)))</f>
        <v/>
      </c>
      <c r="C1240" s="42" t="str">
        <f aca="false">IF(OR(A1240="",$C$4=0),"",INDEX('COOIS Raw'!$A:$GZ,ROW()-4,$C$4))</f>
        <v/>
      </c>
      <c r="D1240" s="41" t="str">
        <f aca="false">IF(A1240="","",IF($D$4=0,1,IFERROR(--INDEX('COOIS Raw'!$A:$GZ,ROW()-4,$D$4),1)))</f>
        <v/>
      </c>
      <c r="E1240" s="42" t="str">
        <f aca="false">IF(A1240="","",INDEX('COOIS Raw'!$A:$GZ,ROW()-4,$E$4)&amp;"")</f>
        <v/>
      </c>
      <c r="F1240" s="43" t="str">
        <f aca="false">IF(A1240="","",IFERROR(DATEVALUE(INDEX('COOIS Raw'!$A:$GZ,ROW()-4,$F$4)),INDEX('COOIS Raw'!$A:$GZ,ROW()-4,$F$4)))</f>
        <v/>
      </c>
      <c r="G1240" s="41" t="str">
        <f aca="false">IF(A1240="","",IF(ISNA(MATCH(B1240,'Kitting Plan'!$B$6:$B$19,0)),"Not in plan","Yes"))</f>
        <v/>
      </c>
      <c r="H1240" s="41" t="str">
        <f aca="false">IF(G1240="Yes",INDEX('Kitting Plan'!$D$6:$D$19,MATCH(B1240,'Kitting Plan'!$B$6:$B$19,0)),"")</f>
        <v/>
      </c>
      <c r="I1240" s="41" t="str">
        <f aca="false">IF(A1240="","",IF(ISNUMBER(SEARCH("PRT",E1240)),D1240,0))</f>
        <v/>
      </c>
      <c r="J1240" s="41" t="str">
        <f aca="false">IF(A1240="","",IF(ISNUMBER(SEARCH("GMPS",E1240)),D1240,0))</f>
        <v/>
      </c>
      <c r="K1240" s="41" t="str">
        <f aca="false">IF(A1240="","",IF(ISNUMBER(SEARCH("DLV",E1240)),D1240,0))</f>
        <v/>
      </c>
      <c r="L1240" s="41" t="str">
        <f aca="false">IF(A1240="","",IF(K1240&gt;0,"Delivered",IF(ISNUMBER(SEARCH("CNF",E1240)),"In production",IF(J1240&gt;0,"Issued",IF(I1240&gt;0,"Kitted","Released")))))</f>
        <v/>
      </c>
      <c r="M1240" s="41" t="str">
        <f aca="false">IF(G1240&lt;&gt;"Yes","",COUNTIFS($B$6:$B$1505,B1240,$F$6:$F$1505,"&lt;"&amp;F1240)+COUNTIFS($B$6:$B$1505,B1240,$F$6:$F$1505,F1240,$A$6:$A$1505,"&lt;="&amp;A1240))</f>
        <v/>
      </c>
      <c r="N1240" s="41" t="str">
        <f aca="false">IF(M1240="","",ROUNDUP(M1240/H1240,0))</f>
        <v/>
      </c>
      <c r="O1240" s="41" t="str">
        <f aca="false">IF(N1240="","",IF(N1240&lt;='Kitting Plan'!$C$3,"Rep "&amp;N1240,"Surplus"))</f>
        <v/>
      </c>
    </row>
    <row r="1241" customFormat="false" ht="15" hidden="false" customHeight="false" outlineLevel="0" collapsed="false">
      <c r="A1241" s="40" t="str">
        <f aca="false">IF(OR($A$4=0,INDEX('COOIS Raw'!$A:$GZ,ROW()-4,$A$4)=""),"",IFERROR(--INDEX('COOIS Raw'!$A:$GZ,ROW()-4,$A$4),INDEX('COOIS Raw'!$A:$GZ,ROW()-4,$A$4)))</f>
        <v/>
      </c>
      <c r="B1241" s="41" t="str">
        <f aca="false">IF(A1241="","",TRIM(INDEX('COOIS Raw'!$A:$GZ,ROW()-4,$B$4)))</f>
        <v/>
      </c>
      <c r="C1241" s="42" t="str">
        <f aca="false">IF(OR(A1241="",$C$4=0),"",INDEX('COOIS Raw'!$A:$GZ,ROW()-4,$C$4))</f>
        <v/>
      </c>
      <c r="D1241" s="41" t="str">
        <f aca="false">IF(A1241="","",IF($D$4=0,1,IFERROR(--INDEX('COOIS Raw'!$A:$GZ,ROW()-4,$D$4),1)))</f>
        <v/>
      </c>
      <c r="E1241" s="42" t="str">
        <f aca="false">IF(A1241="","",INDEX('COOIS Raw'!$A:$GZ,ROW()-4,$E$4)&amp;"")</f>
        <v/>
      </c>
      <c r="F1241" s="43" t="str">
        <f aca="false">IF(A1241="","",IFERROR(DATEVALUE(INDEX('COOIS Raw'!$A:$GZ,ROW()-4,$F$4)),INDEX('COOIS Raw'!$A:$GZ,ROW()-4,$F$4)))</f>
        <v/>
      </c>
      <c r="G1241" s="41" t="str">
        <f aca="false">IF(A1241="","",IF(ISNA(MATCH(B1241,'Kitting Plan'!$B$6:$B$19,0)),"Not in plan","Yes"))</f>
        <v/>
      </c>
      <c r="H1241" s="41" t="str">
        <f aca="false">IF(G1241="Yes",INDEX('Kitting Plan'!$D$6:$D$19,MATCH(B1241,'Kitting Plan'!$B$6:$B$19,0)),"")</f>
        <v/>
      </c>
      <c r="I1241" s="41" t="str">
        <f aca="false">IF(A1241="","",IF(ISNUMBER(SEARCH("PRT",E1241)),D1241,0))</f>
        <v/>
      </c>
      <c r="J1241" s="41" t="str">
        <f aca="false">IF(A1241="","",IF(ISNUMBER(SEARCH("GMPS",E1241)),D1241,0))</f>
        <v/>
      </c>
      <c r="K1241" s="41" t="str">
        <f aca="false">IF(A1241="","",IF(ISNUMBER(SEARCH("DLV",E1241)),D1241,0))</f>
        <v/>
      </c>
      <c r="L1241" s="41" t="str">
        <f aca="false">IF(A1241="","",IF(K1241&gt;0,"Delivered",IF(ISNUMBER(SEARCH("CNF",E1241)),"In production",IF(J1241&gt;0,"Issued",IF(I1241&gt;0,"Kitted","Released")))))</f>
        <v/>
      </c>
      <c r="M1241" s="41" t="str">
        <f aca="false">IF(G1241&lt;&gt;"Yes","",COUNTIFS($B$6:$B$1505,B1241,$F$6:$F$1505,"&lt;"&amp;F1241)+COUNTIFS($B$6:$B$1505,B1241,$F$6:$F$1505,F1241,$A$6:$A$1505,"&lt;="&amp;A1241))</f>
        <v/>
      </c>
      <c r="N1241" s="41" t="str">
        <f aca="false">IF(M1241="","",ROUNDUP(M1241/H1241,0))</f>
        <v/>
      </c>
      <c r="O1241" s="41" t="str">
        <f aca="false">IF(N1241="","",IF(N1241&lt;='Kitting Plan'!$C$3,"Rep "&amp;N1241,"Surplus"))</f>
        <v/>
      </c>
    </row>
    <row r="1242" customFormat="false" ht="15" hidden="false" customHeight="false" outlineLevel="0" collapsed="false">
      <c r="A1242" s="40" t="str">
        <f aca="false">IF(OR($A$4=0,INDEX('COOIS Raw'!$A:$GZ,ROW()-4,$A$4)=""),"",IFERROR(--INDEX('COOIS Raw'!$A:$GZ,ROW()-4,$A$4),INDEX('COOIS Raw'!$A:$GZ,ROW()-4,$A$4)))</f>
        <v/>
      </c>
      <c r="B1242" s="41" t="str">
        <f aca="false">IF(A1242="","",TRIM(INDEX('COOIS Raw'!$A:$GZ,ROW()-4,$B$4)))</f>
        <v/>
      </c>
      <c r="C1242" s="42" t="str">
        <f aca="false">IF(OR(A1242="",$C$4=0),"",INDEX('COOIS Raw'!$A:$GZ,ROW()-4,$C$4))</f>
        <v/>
      </c>
      <c r="D1242" s="41" t="str">
        <f aca="false">IF(A1242="","",IF($D$4=0,1,IFERROR(--INDEX('COOIS Raw'!$A:$GZ,ROW()-4,$D$4),1)))</f>
        <v/>
      </c>
      <c r="E1242" s="42" t="str">
        <f aca="false">IF(A1242="","",INDEX('COOIS Raw'!$A:$GZ,ROW()-4,$E$4)&amp;"")</f>
        <v/>
      </c>
      <c r="F1242" s="43" t="str">
        <f aca="false">IF(A1242="","",IFERROR(DATEVALUE(INDEX('COOIS Raw'!$A:$GZ,ROW()-4,$F$4)),INDEX('COOIS Raw'!$A:$GZ,ROW()-4,$F$4)))</f>
        <v/>
      </c>
      <c r="G1242" s="41" t="str">
        <f aca="false">IF(A1242="","",IF(ISNA(MATCH(B1242,'Kitting Plan'!$B$6:$B$19,0)),"Not in plan","Yes"))</f>
        <v/>
      </c>
      <c r="H1242" s="41" t="str">
        <f aca="false">IF(G1242="Yes",INDEX('Kitting Plan'!$D$6:$D$19,MATCH(B1242,'Kitting Plan'!$B$6:$B$19,0)),"")</f>
        <v/>
      </c>
      <c r="I1242" s="41" t="str">
        <f aca="false">IF(A1242="","",IF(ISNUMBER(SEARCH("PRT",E1242)),D1242,0))</f>
        <v/>
      </c>
      <c r="J1242" s="41" t="str">
        <f aca="false">IF(A1242="","",IF(ISNUMBER(SEARCH("GMPS",E1242)),D1242,0))</f>
        <v/>
      </c>
      <c r="K1242" s="41" t="str">
        <f aca="false">IF(A1242="","",IF(ISNUMBER(SEARCH("DLV",E1242)),D1242,0))</f>
        <v/>
      </c>
      <c r="L1242" s="41" t="str">
        <f aca="false">IF(A1242="","",IF(K1242&gt;0,"Delivered",IF(ISNUMBER(SEARCH("CNF",E1242)),"In production",IF(J1242&gt;0,"Issued",IF(I1242&gt;0,"Kitted","Released")))))</f>
        <v/>
      </c>
      <c r="M1242" s="41" t="str">
        <f aca="false">IF(G1242&lt;&gt;"Yes","",COUNTIFS($B$6:$B$1505,B1242,$F$6:$F$1505,"&lt;"&amp;F1242)+COUNTIFS($B$6:$B$1505,B1242,$F$6:$F$1505,F1242,$A$6:$A$1505,"&lt;="&amp;A1242))</f>
        <v/>
      </c>
      <c r="N1242" s="41" t="str">
        <f aca="false">IF(M1242="","",ROUNDUP(M1242/H1242,0))</f>
        <v/>
      </c>
      <c r="O1242" s="41" t="str">
        <f aca="false">IF(N1242="","",IF(N1242&lt;='Kitting Plan'!$C$3,"Rep "&amp;N1242,"Surplus"))</f>
        <v/>
      </c>
    </row>
    <row r="1243" customFormat="false" ht="15" hidden="false" customHeight="false" outlineLevel="0" collapsed="false">
      <c r="A1243" s="40" t="str">
        <f aca="false">IF(OR($A$4=0,INDEX('COOIS Raw'!$A:$GZ,ROW()-4,$A$4)=""),"",IFERROR(--INDEX('COOIS Raw'!$A:$GZ,ROW()-4,$A$4),INDEX('COOIS Raw'!$A:$GZ,ROW()-4,$A$4)))</f>
        <v/>
      </c>
      <c r="B1243" s="41" t="str">
        <f aca="false">IF(A1243="","",TRIM(INDEX('COOIS Raw'!$A:$GZ,ROW()-4,$B$4)))</f>
        <v/>
      </c>
      <c r="C1243" s="42" t="str">
        <f aca="false">IF(OR(A1243="",$C$4=0),"",INDEX('COOIS Raw'!$A:$GZ,ROW()-4,$C$4))</f>
        <v/>
      </c>
      <c r="D1243" s="41" t="str">
        <f aca="false">IF(A1243="","",IF($D$4=0,1,IFERROR(--INDEX('COOIS Raw'!$A:$GZ,ROW()-4,$D$4),1)))</f>
        <v/>
      </c>
      <c r="E1243" s="42" t="str">
        <f aca="false">IF(A1243="","",INDEX('COOIS Raw'!$A:$GZ,ROW()-4,$E$4)&amp;"")</f>
        <v/>
      </c>
      <c r="F1243" s="43" t="str">
        <f aca="false">IF(A1243="","",IFERROR(DATEVALUE(INDEX('COOIS Raw'!$A:$GZ,ROW()-4,$F$4)),INDEX('COOIS Raw'!$A:$GZ,ROW()-4,$F$4)))</f>
        <v/>
      </c>
      <c r="G1243" s="41" t="str">
        <f aca="false">IF(A1243="","",IF(ISNA(MATCH(B1243,'Kitting Plan'!$B$6:$B$19,0)),"Not in plan","Yes"))</f>
        <v/>
      </c>
      <c r="H1243" s="41" t="str">
        <f aca="false">IF(G1243="Yes",INDEX('Kitting Plan'!$D$6:$D$19,MATCH(B1243,'Kitting Plan'!$B$6:$B$19,0)),"")</f>
        <v/>
      </c>
      <c r="I1243" s="41" t="str">
        <f aca="false">IF(A1243="","",IF(ISNUMBER(SEARCH("PRT",E1243)),D1243,0))</f>
        <v/>
      </c>
      <c r="J1243" s="41" t="str">
        <f aca="false">IF(A1243="","",IF(ISNUMBER(SEARCH("GMPS",E1243)),D1243,0))</f>
        <v/>
      </c>
      <c r="K1243" s="41" t="str">
        <f aca="false">IF(A1243="","",IF(ISNUMBER(SEARCH("DLV",E1243)),D1243,0))</f>
        <v/>
      </c>
      <c r="L1243" s="41" t="str">
        <f aca="false">IF(A1243="","",IF(K1243&gt;0,"Delivered",IF(ISNUMBER(SEARCH("CNF",E1243)),"In production",IF(J1243&gt;0,"Issued",IF(I1243&gt;0,"Kitted","Released")))))</f>
        <v/>
      </c>
      <c r="M1243" s="41" t="str">
        <f aca="false">IF(G1243&lt;&gt;"Yes","",COUNTIFS($B$6:$B$1505,B1243,$F$6:$F$1505,"&lt;"&amp;F1243)+COUNTIFS($B$6:$B$1505,B1243,$F$6:$F$1505,F1243,$A$6:$A$1505,"&lt;="&amp;A1243))</f>
        <v/>
      </c>
      <c r="N1243" s="41" t="str">
        <f aca="false">IF(M1243="","",ROUNDUP(M1243/H1243,0))</f>
        <v/>
      </c>
      <c r="O1243" s="41" t="str">
        <f aca="false">IF(N1243="","",IF(N1243&lt;='Kitting Plan'!$C$3,"Rep "&amp;N1243,"Surplus"))</f>
        <v/>
      </c>
    </row>
    <row r="1244" customFormat="false" ht="15" hidden="false" customHeight="false" outlineLevel="0" collapsed="false">
      <c r="A1244" s="40" t="str">
        <f aca="false">IF(OR($A$4=0,INDEX('COOIS Raw'!$A:$GZ,ROW()-4,$A$4)=""),"",IFERROR(--INDEX('COOIS Raw'!$A:$GZ,ROW()-4,$A$4),INDEX('COOIS Raw'!$A:$GZ,ROW()-4,$A$4)))</f>
        <v/>
      </c>
      <c r="B1244" s="41" t="str">
        <f aca="false">IF(A1244="","",TRIM(INDEX('COOIS Raw'!$A:$GZ,ROW()-4,$B$4)))</f>
        <v/>
      </c>
      <c r="C1244" s="42" t="str">
        <f aca="false">IF(OR(A1244="",$C$4=0),"",INDEX('COOIS Raw'!$A:$GZ,ROW()-4,$C$4))</f>
        <v/>
      </c>
      <c r="D1244" s="41" t="str">
        <f aca="false">IF(A1244="","",IF($D$4=0,1,IFERROR(--INDEX('COOIS Raw'!$A:$GZ,ROW()-4,$D$4),1)))</f>
        <v/>
      </c>
      <c r="E1244" s="42" t="str">
        <f aca="false">IF(A1244="","",INDEX('COOIS Raw'!$A:$GZ,ROW()-4,$E$4)&amp;"")</f>
        <v/>
      </c>
      <c r="F1244" s="43" t="str">
        <f aca="false">IF(A1244="","",IFERROR(DATEVALUE(INDEX('COOIS Raw'!$A:$GZ,ROW()-4,$F$4)),INDEX('COOIS Raw'!$A:$GZ,ROW()-4,$F$4)))</f>
        <v/>
      </c>
      <c r="G1244" s="41" t="str">
        <f aca="false">IF(A1244="","",IF(ISNA(MATCH(B1244,'Kitting Plan'!$B$6:$B$19,0)),"Not in plan","Yes"))</f>
        <v/>
      </c>
      <c r="H1244" s="41" t="str">
        <f aca="false">IF(G1244="Yes",INDEX('Kitting Plan'!$D$6:$D$19,MATCH(B1244,'Kitting Plan'!$B$6:$B$19,0)),"")</f>
        <v/>
      </c>
      <c r="I1244" s="41" t="str">
        <f aca="false">IF(A1244="","",IF(ISNUMBER(SEARCH("PRT",E1244)),D1244,0))</f>
        <v/>
      </c>
      <c r="J1244" s="41" t="str">
        <f aca="false">IF(A1244="","",IF(ISNUMBER(SEARCH("GMPS",E1244)),D1244,0))</f>
        <v/>
      </c>
      <c r="K1244" s="41" t="str">
        <f aca="false">IF(A1244="","",IF(ISNUMBER(SEARCH("DLV",E1244)),D1244,0))</f>
        <v/>
      </c>
      <c r="L1244" s="41" t="str">
        <f aca="false">IF(A1244="","",IF(K1244&gt;0,"Delivered",IF(ISNUMBER(SEARCH("CNF",E1244)),"In production",IF(J1244&gt;0,"Issued",IF(I1244&gt;0,"Kitted","Released")))))</f>
        <v/>
      </c>
      <c r="M1244" s="41" t="str">
        <f aca="false">IF(G1244&lt;&gt;"Yes","",COUNTIFS($B$6:$B$1505,B1244,$F$6:$F$1505,"&lt;"&amp;F1244)+COUNTIFS($B$6:$B$1505,B1244,$F$6:$F$1505,F1244,$A$6:$A$1505,"&lt;="&amp;A1244))</f>
        <v/>
      </c>
      <c r="N1244" s="41" t="str">
        <f aca="false">IF(M1244="","",ROUNDUP(M1244/H1244,0))</f>
        <v/>
      </c>
      <c r="O1244" s="41" t="str">
        <f aca="false">IF(N1244="","",IF(N1244&lt;='Kitting Plan'!$C$3,"Rep "&amp;N1244,"Surplus"))</f>
        <v/>
      </c>
    </row>
    <row r="1245" customFormat="false" ht="15" hidden="false" customHeight="false" outlineLevel="0" collapsed="false">
      <c r="A1245" s="40" t="str">
        <f aca="false">IF(OR($A$4=0,INDEX('COOIS Raw'!$A:$GZ,ROW()-4,$A$4)=""),"",IFERROR(--INDEX('COOIS Raw'!$A:$GZ,ROW()-4,$A$4),INDEX('COOIS Raw'!$A:$GZ,ROW()-4,$A$4)))</f>
        <v/>
      </c>
      <c r="B1245" s="41" t="str">
        <f aca="false">IF(A1245="","",TRIM(INDEX('COOIS Raw'!$A:$GZ,ROW()-4,$B$4)))</f>
        <v/>
      </c>
      <c r="C1245" s="42" t="str">
        <f aca="false">IF(OR(A1245="",$C$4=0),"",INDEX('COOIS Raw'!$A:$GZ,ROW()-4,$C$4))</f>
        <v/>
      </c>
      <c r="D1245" s="41" t="str">
        <f aca="false">IF(A1245="","",IF($D$4=0,1,IFERROR(--INDEX('COOIS Raw'!$A:$GZ,ROW()-4,$D$4),1)))</f>
        <v/>
      </c>
      <c r="E1245" s="42" t="str">
        <f aca="false">IF(A1245="","",INDEX('COOIS Raw'!$A:$GZ,ROW()-4,$E$4)&amp;"")</f>
        <v/>
      </c>
      <c r="F1245" s="43" t="str">
        <f aca="false">IF(A1245="","",IFERROR(DATEVALUE(INDEX('COOIS Raw'!$A:$GZ,ROW()-4,$F$4)),INDEX('COOIS Raw'!$A:$GZ,ROW()-4,$F$4)))</f>
        <v/>
      </c>
      <c r="G1245" s="41" t="str">
        <f aca="false">IF(A1245="","",IF(ISNA(MATCH(B1245,'Kitting Plan'!$B$6:$B$19,0)),"Not in plan","Yes"))</f>
        <v/>
      </c>
      <c r="H1245" s="41" t="str">
        <f aca="false">IF(G1245="Yes",INDEX('Kitting Plan'!$D$6:$D$19,MATCH(B1245,'Kitting Plan'!$B$6:$B$19,0)),"")</f>
        <v/>
      </c>
      <c r="I1245" s="41" t="str">
        <f aca="false">IF(A1245="","",IF(ISNUMBER(SEARCH("PRT",E1245)),D1245,0))</f>
        <v/>
      </c>
      <c r="J1245" s="41" t="str">
        <f aca="false">IF(A1245="","",IF(ISNUMBER(SEARCH("GMPS",E1245)),D1245,0))</f>
        <v/>
      </c>
      <c r="K1245" s="41" t="str">
        <f aca="false">IF(A1245="","",IF(ISNUMBER(SEARCH("DLV",E1245)),D1245,0))</f>
        <v/>
      </c>
      <c r="L1245" s="41" t="str">
        <f aca="false">IF(A1245="","",IF(K1245&gt;0,"Delivered",IF(ISNUMBER(SEARCH("CNF",E1245)),"In production",IF(J1245&gt;0,"Issued",IF(I1245&gt;0,"Kitted","Released")))))</f>
        <v/>
      </c>
      <c r="M1245" s="41" t="str">
        <f aca="false">IF(G1245&lt;&gt;"Yes","",COUNTIFS($B$6:$B$1505,B1245,$F$6:$F$1505,"&lt;"&amp;F1245)+COUNTIFS($B$6:$B$1505,B1245,$F$6:$F$1505,F1245,$A$6:$A$1505,"&lt;="&amp;A1245))</f>
        <v/>
      </c>
      <c r="N1245" s="41" t="str">
        <f aca="false">IF(M1245="","",ROUNDUP(M1245/H1245,0))</f>
        <v/>
      </c>
      <c r="O1245" s="41" t="str">
        <f aca="false">IF(N1245="","",IF(N1245&lt;='Kitting Plan'!$C$3,"Rep "&amp;N1245,"Surplus"))</f>
        <v/>
      </c>
    </row>
    <row r="1246" customFormat="false" ht="15" hidden="false" customHeight="false" outlineLevel="0" collapsed="false">
      <c r="A1246" s="40" t="str">
        <f aca="false">IF(OR($A$4=0,INDEX('COOIS Raw'!$A:$GZ,ROW()-4,$A$4)=""),"",IFERROR(--INDEX('COOIS Raw'!$A:$GZ,ROW()-4,$A$4),INDEX('COOIS Raw'!$A:$GZ,ROW()-4,$A$4)))</f>
        <v/>
      </c>
      <c r="B1246" s="41" t="str">
        <f aca="false">IF(A1246="","",TRIM(INDEX('COOIS Raw'!$A:$GZ,ROW()-4,$B$4)))</f>
        <v/>
      </c>
      <c r="C1246" s="42" t="str">
        <f aca="false">IF(OR(A1246="",$C$4=0),"",INDEX('COOIS Raw'!$A:$GZ,ROW()-4,$C$4))</f>
        <v/>
      </c>
      <c r="D1246" s="41" t="str">
        <f aca="false">IF(A1246="","",IF($D$4=0,1,IFERROR(--INDEX('COOIS Raw'!$A:$GZ,ROW()-4,$D$4),1)))</f>
        <v/>
      </c>
      <c r="E1246" s="42" t="str">
        <f aca="false">IF(A1246="","",INDEX('COOIS Raw'!$A:$GZ,ROW()-4,$E$4)&amp;"")</f>
        <v/>
      </c>
      <c r="F1246" s="43" t="str">
        <f aca="false">IF(A1246="","",IFERROR(DATEVALUE(INDEX('COOIS Raw'!$A:$GZ,ROW()-4,$F$4)),INDEX('COOIS Raw'!$A:$GZ,ROW()-4,$F$4)))</f>
        <v/>
      </c>
      <c r="G1246" s="41" t="str">
        <f aca="false">IF(A1246="","",IF(ISNA(MATCH(B1246,'Kitting Plan'!$B$6:$B$19,0)),"Not in plan","Yes"))</f>
        <v/>
      </c>
      <c r="H1246" s="41" t="str">
        <f aca="false">IF(G1246="Yes",INDEX('Kitting Plan'!$D$6:$D$19,MATCH(B1246,'Kitting Plan'!$B$6:$B$19,0)),"")</f>
        <v/>
      </c>
      <c r="I1246" s="41" t="str">
        <f aca="false">IF(A1246="","",IF(ISNUMBER(SEARCH("PRT",E1246)),D1246,0))</f>
        <v/>
      </c>
      <c r="J1246" s="41" t="str">
        <f aca="false">IF(A1246="","",IF(ISNUMBER(SEARCH("GMPS",E1246)),D1246,0))</f>
        <v/>
      </c>
      <c r="K1246" s="41" t="str">
        <f aca="false">IF(A1246="","",IF(ISNUMBER(SEARCH("DLV",E1246)),D1246,0))</f>
        <v/>
      </c>
      <c r="L1246" s="41" t="str">
        <f aca="false">IF(A1246="","",IF(K1246&gt;0,"Delivered",IF(ISNUMBER(SEARCH("CNF",E1246)),"In production",IF(J1246&gt;0,"Issued",IF(I1246&gt;0,"Kitted","Released")))))</f>
        <v/>
      </c>
      <c r="M1246" s="41" t="str">
        <f aca="false">IF(G1246&lt;&gt;"Yes","",COUNTIFS($B$6:$B$1505,B1246,$F$6:$F$1505,"&lt;"&amp;F1246)+COUNTIFS($B$6:$B$1505,B1246,$F$6:$F$1505,F1246,$A$6:$A$1505,"&lt;="&amp;A1246))</f>
        <v/>
      </c>
      <c r="N1246" s="41" t="str">
        <f aca="false">IF(M1246="","",ROUNDUP(M1246/H1246,0))</f>
        <v/>
      </c>
      <c r="O1246" s="41" t="str">
        <f aca="false">IF(N1246="","",IF(N1246&lt;='Kitting Plan'!$C$3,"Rep "&amp;N1246,"Surplus"))</f>
        <v/>
      </c>
    </row>
    <row r="1247" customFormat="false" ht="15" hidden="false" customHeight="false" outlineLevel="0" collapsed="false">
      <c r="A1247" s="40" t="str">
        <f aca="false">IF(OR($A$4=0,INDEX('COOIS Raw'!$A:$GZ,ROW()-4,$A$4)=""),"",IFERROR(--INDEX('COOIS Raw'!$A:$GZ,ROW()-4,$A$4),INDEX('COOIS Raw'!$A:$GZ,ROW()-4,$A$4)))</f>
        <v/>
      </c>
      <c r="B1247" s="41" t="str">
        <f aca="false">IF(A1247="","",TRIM(INDEX('COOIS Raw'!$A:$GZ,ROW()-4,$B$4)))</f>
        <v/>
      </c>
      <c r="C1247" s="42" t="str">
        <f aca="false">IF(OR(A1247="",$C$4=0),"",INDEX('COOIS Raw'!$A:$GZ,ROW()-4,$C$4))</f>
        <v/>
      </c>
      <c r="D1247" s="41" t="str">
        <f aca="false">IF(A1247="","",IF($D$4=0,1,IFERROR(--INDEX('COOIS Raw'!$A:$GZ,ROW()-4,$D$4),1)))</f>
        <v/>
      </c>
      <c r="E1247" s="42" t="str">
        <f aca="false">IF(A1247="","",INDEX('COOIS Raw'!$A:$GZ,ROW()-4,$E$4)&amp;"")</f>
        <v/>
      </c>
      <c r="F1247" s="43" t="str">
        <f aca="false">IF(A1247="","",IFERROR(DATEVALUE(INDEX('COOIS Raw'!$A:$GZ,ROW()-4,$F$4)),INDEX('COOIS Raw'!$A:$GZ,ROW()-4,$F$4)))</f>
        <v/>
      </c>
      <c r="G1247" s="41" t="str">
        <f aca="false">IF(A1247="","",IF(ISNA(MATCH(B1247,'Kitting Plan'!$B$6:$B$19,0)),"Not in plan","Yes"))</f>
        <v/>
      </c>
      <c r="H1247" s="41" t="str">
        <f aca="false">IF(G1247="Yes",INDEX('Kitting Plan'!$D$6:$D$19,MATCH(B1247,'Kitting Plan'!$B$6:$B$19,0)),"")</f>
        <v/>
      </c>
      <c r="I1247" s="41" t="str">
        <f aca="false">IF(A1247="","",IF(ISNUMBER(SEARCH("PRT",E1247)),D1247,0))</f>
        <v/>
      </c>
      <c r="J1247" s="41" t="str">
        <f aca="false">IF(A1247="","",IF(ISNUMBER(SEARCH("GMPS",E1247)),D1247,0))</f>
        <v/>
      </c>
      <c r="K1247" s="41" t="str">
        <f aca="false">IF(A1247="","",IF(ISNUMBER(SEARCH("DLV",E1247)),D1247,0))</f>
        <v/>
      </c>
      <c r="L1247" s="41" t="str">
        <f aca="false">IF(A1247="","",IF(K1247&gt;0,"Delivered",IF(ISNUMBER(SEARCH("CNF",E1247)),"In production",IF(J1247&gt;0,"Issued",IF(I1247&gt;0,"Kitted","Released")))))</f>
        <v/>
      </c>
      <c r="M1247" s="41" t="str">
        <f aca="false">IF(G1247&lt;&gt;"Yes","",COUNTIFS($B$6:$B$1505,B1247,$F$6:$F$1505,"&lt;"&amp;F1247)+COUNTIFS($B$6:$B$1505,B1247,$F$6:$F$1505,F1247,$A$6:$A$1505,"&lt;="&amp;A1247))</f>
        <v/>
      </c>
      <c r="N1247" s="41" t="str">
        <f aca="false">IF(M1247="","",ROUNDUP(M1247/H1247,0))</f>
        <v/>
      </c>
      <c r="O1247" s="41" t="str">
        <f aca="false">IF(N1247="","",IF(N1247&lt;='Kitting Plan'!$C$3,"Rep "&amp;N1247,"Surplus"))</f>
        <v/>
      </c>
    </row>
    <row r="1248" customFormat="false" ht="15" hidden="false" customHeight="false" outlineLevel="0" collapsed="false">
      <c r="A1248" s="40" t="str">
        <f aca="false">IF(OR($A$4=0,INDEX('COOIS Raw'!$A:$GZ,ROW()-4,$A$4)=""),"",IFERROR(--INDEX('COOIS Raw'!$A:$GZ,ROW()-4,$A$4),INDEX('COOIS Raw'!$A:$GZ,ROW()-4,$A$4)))</f>
        <v/>
      </c>
      <c r="B1248" s="41" t="str">
        <f aca="false">IF(A1248="","",TRIM(INDEX('COOIS Raw'!$A:$GZ,ROW()-4,$B$4)))</f>
        <v/>
      </c>
      <c r="C1248" s="42" t="str">
        <f aca="false">IF(OR(A1248="",$C$4=0),"",INDEX('COOIS Raw'!$A:$GZ,ROW()-4,$C$4))</f>
        <v/>
      </c>
      <c r="D1248" s="41" t="str">
        <f aca="false">IF(A1248="","",IF($D$4=0,1,IFERROR(--INDEX('COOIS Raw'!$A:$GZ,ROW()-4,$D$4),1)))</f>
        <v/>
      </c>
      <c r="E1248" s="42" t="str">
        <f aca="false">IF(A1248="","",INDEX('COOIS Raw'!$A:$GZ,ROW()-4,$E$4)&amp;"")</f>
        <v/>
      </c>
      <c r="F1248" s="43" t="str">
        <f aca="false">IF(A1248="","",IFERROR(DATEVALUE(INDEX('COOIS Raw'!$A:$GZ,ROW()-4,$F$4)),INDEX('COOIS Raw'!$A:$GZ,ROW()-4,$F$4)))</f>
        <v/>
      </c>
      <c r="G1248" s="41" t="str">
        <f aca="false">IF(A1248="","",IF(ISNA(MATCH(B1248,'Kitting Plan'!$B$6:$B$19,0)),"Not in plan","Yes"))</f>
        <v/>
      </c>
      <c r="H1248" s="41" t="str">
        <f aca="false">IF(G1248="Yes",INDEX('Kitting Plan'!$D$6:$D$19,MATCH(B1248,'Kitting Plan'!$B$6:$B$19,0)),"")</f>
        <v/>
      </c>
      <c r="I1248" s="41" t="str">
        <f aca="false">IF(A1248="","",IF(ISNUMBER(SEARCH("PRT",E1248)),D1248,0))</f>
        <v/>
      </c>
      <c r="J1248" s="41" t="str">
        <f aca="false">IF(A1248="","",IF(ISNUMBER(SEARCH("GMPS",E1248)),D1248,0))</f>
        <v/>
      </c>
      <c r="K1248" s="41" t="str">
        <f aca="false">IF(A1248="","",IF(ISNUMBER(SEARCH("DLV",E1248)),D1248,0))</f>
        <v/>
      </c>
      <c r="L1248" s="41" t="str">
        <f aca="false">IF(A1248="","",IF(K1248&gt;0,"Delivered",IF(ISNUMBER(SEARCH("CNF",E1248)),"In production",IF(J1248&gt;0,"Issued",IF(I1248&gt;0,"Kitted","Released")))))</f>
        <v/>
      </c>
      <c r="M1248" s="41" t="str">
        <f aca="false">IF(G1248&lt;&gt;"Yes","",COUNTIFS($B$6:$B$1505,B1248,$F$6:$F$1505,"&lt;"&amp;F1248)+COUNTIFS($B$6:$B$1505,B1248,$F$6:$F$1505,F1248,$A$6:$A$1505,"&lt;="&amp;A1248))</f>
        <v/>
      </c>
      <c r="N1248" s="41" t="str">
        <f aca="false">IF(M1248="","",ROUNDUP(M1248/H1248,0))</f>
        <v/>
      </c>
      <c r="O1248" s="41" t="str">
        <f aca="false">IF(N1248="","",IF(N1248&lt;='Kitting Plan'!$C$3,"Rep "&amp;N1248,"Surplus"))</f>
        <v/>
      </c>
    </row>
    <row r="1249" customFormat="false" ht="15" hidden="false" customHeight="false" outlineLevel="0" collapsed="false">
      <c r="A1249" s="40" t="str">
        <f aca="false">IF(OR($A$4=0,INDEX('COOIS Raw'!$A:$GZ,ROW()-4,$A$4)=""),"",IFERROR(--INDEX('COOIS Raw'!$A:$GZ,ROW()-4,$A$4),INDEX('COOIS Raw'!$A:$GZ,ROW()-4,$A$4)))</f>
        <v/>
      </c>
      <c r="B1249" s="41" t="str">
        <f aca="false">IF(A1249="","",TRIM(INDEX('COOIS Raw'!$A:$GZ,ROW()-4,$B$4)))</f>
        <v/>
      </c>
      <c r="C1249" s="42" t="str">
        <f aca="false">IF(OR(A1249="",$C$4=0),"",INDEX('COOIS Raw'!$A:$GZ,ROW()-4,$C$4))</f>
        <v/>
      </c>
      <c r="D1249" s="41" t="str">
        <f aca="false">IF(A1249="","",IF($D$4=0,1,IFERROR(--INDEX('COOIS Raw'!$A:$GZ,ROW()-4,$D$4),1)))</f>
        <v/>
      </c>
      <c r="E1249" s="42" t="str">
        <f aca="false">IF(A1249="","",INDEX('COOIS Raw'!$A:$GZ,ROW()-4,$E$4)&amp;"")</f>
        <v/>
      </c>
      <c r="F1249" s="43" t="str">
        <f aca="false">IF(A1249="","",IFERROR(DATEVALUE(INDEX('COOIS Raw'!$A:$GZ,ROW()-4,$F$4)),INDEX('COOIS Raw'!$A:$GZ,ROW()-4,$F$4)))</f>
        <v/>
      </c>
      <c r="G1249" s="41" t="str">
        <f aca="false">IF(A1249="","",IF(ISNA(MATCH(B1249,'Kitting Plan'!$B$6:$B$19,0)),"Not in plan","Yes"))</f>
        <v/>
      </c>
      <c r="H1249" s="41" t="str">
        <f aca="false">IF(G1249="Yes",INDEX('Kitting Plan'!$D$6:$D$19,MATCH(B1249,'Kitting Plan'!$B$6:$B$19,0)),"")</f>
        <v/>
      </c>
      <c r="I1249" s="41" t="str">
        <f aca="false">IF(A1249="","",IF(ISNUMBER(SEARCH("PRT",E1249)),D1249,0))</f>
        <v/>
      </c>
      <c r="J1249" s="41" t="str">
        <f aca="false">IF(A1249="","",IF(ISNUMBER(SEARCH("GMPS",E1249)),D1249,0))</f>
        <v/>
      </c>
      <c r="K1249" s="41" t="str">
        <f aca="false">IF(A1249="","",IF(ISNUMBER(SEARCH("DLV",E1249)),D1249,0))</f>
        <v/>
      </c>
      <c r="L1249" s="41" t="str">
        <f aca="false">IF(A1249="","",IF(K1249&gt;0,"Delivered",IF(ISNUMBER(SEARCH("CNF",E1249)),"In production",IF(J1249&gt;0,"Issued",IF(I1249&gt;0,"Kitted","Released")))))</f>
        <v/>
      </c>
      <c r="M1249" s="41" t="str">
        <f aca="false">IF(G1249&lt;&gt;"Yes","",COUNTIFS($B$6:$B$1505,B1249,$F$6:$F$1505,"&lt;"&amp;F1249)+COUNTIFS($B$6:$B$1505,B1249,$F$6:$F$1505,F1249,$A$6:$A$1505,"&lt;="&amp;A1249))</f>
        <v/>
      </c>
      <c r="N1249" s="41" t="str">
        <f aca="false">IF(M1249="","",ROUNDUP(M1249/H1249,0))</f>
        <v/>
      </c>
      <c r="O1249" s="41" t="str">
        <f aca="false">IF(N1249="","",IF(N1249&lt;='Kitting Plan'!$C$3,"Rep "&amp;N1249,"Surplus"))</f>
        <v/>
      </c>
    </row>
    <row r="1250" customFormat="false" ht="15" hidden="false" customHeight="false" outlineLevel="0" collapsed="false">
      <c r="A1250" s="40" t="str">
        <f aca="false">IF(OR($A$4=0,INDEX('COOIS Raw'!$A:$GZ,ROW()-4,$A$4)=""),"",IFERROR(--INDEX('COOIS Raw'!$A:$GZ,ROW()-4,$A$4),INDEX('COOIS Raw'!$A:$GZ,ROW()-4,$A$4)))</f>
        <v/>
      </c>
      <c r="B1250" s="41" t="str">
        <f aca="false">IF(A1250="","",TRIM(INDEX('COOIS Raw'!$A:$GZ,ROW()-4,$B$4)))</f>
        <v/>
      </c>
      <c r="C1250" s="42" t="str">
        <f aca="false">IF(OR(A1250="",$C$4=0),"",INDEX('COOIS Raw'!$A:$GZ,ROW()-4,$C$4))</f>
        <v/>
      </c>
      <c r="D1250" s="41" t="str">
        <f aca="false">IF(A1250="","",IF($D$4=0,1,IFERROR(--INDEX('COOIS Raw'!$A:$GZ,ROW()-4,$D$4),1)))</f>
        <v/>
      </c>
      <c r="E1250" s="42" t="str">
        <f aca="false">IF(A1250="","",INDEX('COOIS Raw'!$A:$GZ,ROW()-4,$E$4)&amp;"")</f>
        <v/>
      </c>
      <c r="F1250" s="43" t="str">
        <f aca="false">IF(A1250="","",IFERROR(DATEVALUE(INDEX('COOIS Raw'!$A:$GZ,ROW()-4,$F$4)),INDEX('COOIS Raw'!$A:$GZ,ROW()-4,$F$4)))</f>
        <v/>
      </c>
      <c r="G1250" s="41" t="str">
        <f aca="false">IF(A1250="","",IF(ISNA(MATCH(B1250,'Kitting Plan'!$B$6:$B$19,0)),"Not in plan","Yes"))</f>
        <v/>
      </c>
      <c r="H1250" s="41" t="str">
        <f aca="false">IF(G1250="Yes",INDEX('Kitting Plan'!$D$6:$D$19,MATCH(B1250,'Kitting Plan'!$B$6:$B$19,0)),"")</f>
        <v/>
      </c>
      <c r="I1250" s="41" t="str">
        <f aca="false">IF(A1250="","",IF(ISNUMBER(SEARCH("PRT",E1250)),D1250,0))</f>
        <v/>
      </c>
      <c r="J1250" s="41" t="str">
        <f aca="false">IF(A1250="","",IF(ISNUMBER(SEARCH("GMPS",E1250)),D1250,0))</f>
        <v/>
      </c>
      <c r="K1250" s="41" t="str">
        <f aca="false">IF(A1250="","",IF(ISNUMBER(SEARCH("DLV",E1250)),D1250,0))</f>
        <v/>
      </c>
      <c r="L1250" s="41" t="str">
        <f aca="false">IF(A1250="","",IF(K1250&gt;0,"Delivered",IF(ISNUMBER(SEARCH("CNF",E1250)),"In production",IF(J1250&gt;0,"Issued",IF(I1250&gt;0,"Kitted","Released")))))</f>
        <v/>
      </c>
      <c r="M1250" s="41" t="str">
        <f aca="false">IF(G1250&lt;&gt;"Yes","",COUNTIFS($B$6:$B$1505,B1250,$F$6:$F$1505,"&lt;"&amp;F1250)+COUNTIFS($B$6:$B$1505,B1250,$F$6:$F$1505,F1250,$A$6:$A$1505,"&lt;="&amp;A1250))</f>
        <v/>
      </c>
      <c r="N1250" s="41" t="str">
        <f aca="false">IF(M1250="","",ROUNDUP(M1250/H1250,0))</f>
        <v/>
      </c>
      <c r="O1250" s="41" t="str">
        <f aca="false">IF(N1250="","",IF(N1250&lt;='Kitting Plan'!$C$3,"Rep "&amp;N1250,"Surplus"))</f>
        <v/>
      </c>
    </row>
    <row r="1251" customFormat="false" ht="15" hidden="false" customHeight="false" outlineLevel="0" collapsed="false">
      <c r="A1251" s="40" t="str">
        <f aca="false">IF(OR($A$4=0,INDEX('COOIS Raw'!$A:$GZ,ROW()-4,$A$4)=""),"",IFERROR(--INDEX('COOIS Raw'!$A:$GZ,ROW()-4,$A$4),INDEX('COOIS Raw'!$A:$GZ,ROW()-4,$A$4)))</f>
        <v/>
      </c>
      <c r="B1251" s="41" t="str">
        <f aca="false">IF(A1251="","",TRIM(INDEX('COOIS Raw'!$A:$GZ,ROW()-4,$B$4)))</f>
        <v/>
      </c>
      <c r="C1251" s="42" t="str">
        <f aca="false">IF(OR(A1251="",$C$4=0),"",INDEX('COOIS Raw'!$A:$GZ,ROW()-4,$C$4))</f>
        <v/>
      </c>
      <c r="D1251" s="41" t="str">
        <f aca="false">IF(A1251="","",IF($D$4=0,1,IFERROR(--INDEX('COOIS Raw'!$A:$GZ,ROW()-4,$D$4),1)))</f>
        <v/>
      </c>
      <c r="E1251" s="42" t="str">
        <f aca="false">IF(A1251="","",INDEX('COOIS Raw'!$A:$GZ,ROW()-4,$E$4)&amp;"")</f>
        <v/>
      </c>
      <c r="F1251" s="43" t="str">
        <f aca="false">IF(A1251="","",IFERROR(DATEVALUE(INDEX('COOIS Raw'!$A:$GZ,ROW()-4,$F$4)),INDEX('COOIS Raw'!$A:$GZ,ROW()-4,$F$4)))</f>
        <v/>
      </c>
      <c r="G1251" s="41" t="str">
        <f aca="false">IF(A1251="","",IF(ISNA(MATCH(B1251,'Kitting Plan'!$B$6:$B$19,0)),"Not in plan","Yes"))</f>
        <v/>
      </c>
      <c r="H1251" s="41" t="str">
        <f aca="false">IF(G1251="Yes",INDEX('Kitting Plan'!$D$6:$D$19,MATCH(B1251,'Kitting Plan'!$B$6:$B$19,0)),"")</f>
        <v/>
      </c>
      <c r="I1251" s="41" t="str">
        <f aca="false">IF(A1251="","",IF(ISNUMBER(SEARCH("PRT",E1251)),D1251,0))</f>
        <v/>
      </c>
      <c r="J1251" s="41" t="str">
        <f aca="false">IF(A1251="","",IF(ISNUMBER(SEARCH("GMPS",E1251)),D1251,0))</f>
        <v/>
      </c>
      <c r="K1251" s="41" t="str">
        <f aca="false">IF(A1251="","",IF(ISNUMBER(SEARCH("DLV",E1251)),D1251,0))</f>
        <v/>
      </c>
      <c r="L1251" s="41" t="str">
        <f aca="false">IF(A1251="","",IF(K1251&gt;0,"Delivered",IF(ISNUMBER(SEARCH("CNF",E1251)),"In production",IF(J1251&gt;0,"Issued",IF(I1251&gt;0,"Kitted","Released")))))</f>
        <v/>
      </c>
      <c r="M1251" s="41" t="str">
        <f aca="false">IF(G1251&lt;&gt;"Yes","",COUNTIFS($B$6:$B$1505,B1251,$F$6:$F$1505,"&lt;"&amp;F1251)+COUNTIFS($B$6:$B$1505,B1251,$F$6:$F$1505,F1251,$A$6:$A$1505,"&lt;="&amp;A1251))</f>
        <v/>
      </c>
      <c r="N1251" s="41" t="str">
        <f aca="false">IF(M1251="","",ROUNDUP(M1251/H1251,0))</f>
        <v/>
      </c>
      <c r="O1251" s="41" t="str">
        <f aca="false">IF(N1251="","",IF(N1251&lt;='Kitting Plan'!$C$3,"Rep "&amp;N1251,"Surplus"))</f>
        <v/>
      </c>
    </row>
    <row r="1252" customFormat="false" ht="15" hidden="false" customHeight="false" outlineLevel="0" collapsed="false">
      <c r="A1252" s="40" t="str">
        <f aca="false">IF(OR($A$4=0,INDEX('COOIS Raw'!$A:$GZ,ROW()-4,$A$4)=""),"",IFERROR(--INDEX('COOIS Raw'!$A:$GZ,ROW()-4,$A$4),INDEX('COOIS Raw'!$A:$GZ,ROW()-4,$A$4)))</f>
        <v/>
      </c>
      <c r="B1252" s="41" t="str">
        <f aca="false">IF(A1252="","",TRIM(INDEX('COOIS Raw'!$A:$GZ,ROW()-4,$B$4)))</f>
        <v/>
      </c>
      <c r="C1252" s="42" t="str">
        <f aca="false">IF(OR(A1252="",$C$4=0),"",INDEX('COOIS Raw'!$A:$GZ,ROW()-4,$C$4))</f>
        <v/>
      </c>
      <c r="D1252" s="41" t="str">
        <f aca="false">IF(A1252="","",IF($D$4=0,1,IFERROR(--INDEX('COOIS Raw'!$A:$GZ,ROW()-4,$D$4),1)))</f>
        <v/>
      </c>
      <c r="E1252" s="42" t="str">
        <f aca="false">IF(A1252="","",INDEX('COOIS Raw'!$A:$GZ,ROW()-4,$E$4)&amp;"")</f>
        <v/>
      </c>
      <c r="F1252" s="43" t="str">
        <f aca="false">IF(A1252="","",IFERROR(DATEVALUE(INDEX('COOIS Raw'!$A:$GZ,ROW()-4,$F$4)),INDEX('COOIS Raw'!$A:$GZ,ROW()-4,$F$4)))</f>
        <v/>
      </c>
      <c r="G1252" s="41" t="str">
        <f aca="false">IF(A1252="","",IF(ISNA(MATCH(B1252,'Kitting Plan'!$B$6:$B$19,0)),"Not in plan","Yes"))</f>
        <v/>
      </c>
      <c r="H1252" s="41" t="str">
        <f aca="false">IF(G1252="Yes",INDEX('Kitting Plan'!$D$6:$D$19,MATCH(B1252,'Kitting Plan'!$B$6:$B$19,0)),"")</f>
        <v/>
      </c>
      <c r="I1252" s="41" t="str">
        <f aca="false">IF(A1252="","",IF(ISNUMBER(SEARCH("PRT",E1252)),D1252,0))</f>
        <v/>
      </c>
      <c r="J1252" s="41" t="str">
        <f aca="false">IF(A1252="","",IF(ISNUMBER(SEARCH("GMPS",E1252)),D1252,0))</f>
        <v/>
      </c>
      <c r="K1252" s="41" t="str">
        <f aca="false">IF(A1252="","",IF(ISNUMBER(SEARCH("DLV",E1252)),D1252,0))</f>
        <v/>
      </c>
      <c r="L1252" s="41" t="str">
        <f aca="false">IF(A1252="","",IF(K1252&gt;0,"Delivered",IF(ISNUMBER(SEARCH("CNF",E1252)),"In production",IF(J1252&gt;0,"Issued",IF(I1252&gt;0,"Kitted","Released")))))</f>
        <v/>
      </c>
      <c r="M1252" s="41" t="str">
        <f aca="false">IF(G1252&lt;&gt;"Yes","",COUNTIFS($B$6:$B$1505,B1252,$F$6:$F$1505,"&lt;"&amp;F1252)+COUNTIFS($B$6:$B$1505,B1252,$F$6:$F$1505,F1252,$A$6:$A$1505,"&lt;="&amp;A1252))</f>
        <v/>
      </c>
      <c r="N1252" s="41" t="str">
        <f aca="false">IF(M1252="","",ROUNDUP(M1252/H1252,0))</f>
        <v/>
      </c>
      <c r="O1252" s="41" t="str">
        <f aca="false">IF(N1252="","",IF(N1252&lt;='Kitting Plan'!$C$3,"Rep "&amp;N1252,"Surplus"))</f>
        <v/>
      </c>
    </row>
    <row r="1253" customFormat="false" ht="15" hidden="false" customHeight="false" outlineLevel="0" collapsed="false">
      <c r="A1253" s="40" t="str">
        <f aca="false">IF(OR($A$4=0,INDEX('COOIS Raw'!$A:$GZ,ROW()-4,$A$4)=""),"",IFERROR(--INDEX('COOIS Raw'!$A:$GZ,ROW()-4,$A$4),INDEX('COOIS Raw'!$A:$GZ,ROW()-4,$A$4)))</f>
        <v/>
      </c>
      <c r="B1253" s="41" t="str">
        <f aca="false">IF(A1253="","",TRIM(INDEX('COOIS Raw'!$A:$GZ,ROW()-4,$B$4)))</f>
        <v/>
      </c>
      <c r="C1253" s="42" t="str">
        <f aca="false">IF(OR(A1253="",$C$4=0),"",INDEX('COOIS Raw'!$A:$GZ,ROW()-4,$C$4))</f>
        <v/>
      </c>
      <c r="D1253" s="41" t="str">
        <f aca="false">IF(A1253="","",IF($D$4=0,1,IFERROR(--INDEX('COOIS Raw'!$A:$GZ,ROW()-4,$D$4),1)))</f>
        <v/>
      </c>
      <c r="E1253" s="42" t="str">
        <f aca="false">IF(A1253="","",INDEX('COOIS Raw'!$A:$GZ,ROW()-4,$E$4)&amp;"")</f>
        <v/>
      </c>
      <c r="F1253" s="43" t="str">
        <f aca="false">IF(A1253="","",IFERROR(DATEVALUE(INDEX('COOIS Raw'!$A:$GZ,ROW()-4,$F$4)),INDEX('COOIS Raw'!$A:$GZ,ROW()-4,$F$4)))</f>
        <v/>
      </c>
      <c r="G1253" s="41" t="str">
        <f aca="false">IF(A1253="","",IF(ISNA(MATCH(B1253,'Kitting Plan'!$B$6:$B$19,0)),"Not in plan","Yes"))</f>
        <v/>
      </c>
      <c r="H1253" s="41" t="str">
        <f aca="false">IF(G1253="Yes",INDEX('Kitting Plan'!$D$6:$D$19,MATCH(B1253,'Kitting Plan'!$B$6:$B$19,0)),"")</f>
        <v/>
      </c>
      <c r="I1253" s="41" t="str">
        <f aca="false">IF(A1253="","",IF(ISNUMBER(SEARCH("PRT",E1253)),D1253,0))</f>
        <v/>
      </c>
      <c r="J1253" s="41" t="str">
        <f aca="false">IF(A1253="","",IF(ISNUMBER(SEARCH("GMPS",E1253)),D1253,0))</f>
        <v/>
      </c>
      <c r="K1253" s="41" t="str">
        <f aca="false">IF(A1253="","",IF(ISNUMBER(SEARCH("DLV",E1253)),D1253,0))</f>
        <v/>
      </c>
      <c r="L1253" s="41" t="str">
        <f aca="false">IF(A1253="","",IF(K1253&gt;0,"Delivered",IF(ISNUMBER(SEARCH("CNF",E1253)),"In production",IF(J1253&gt;0,"Issued",IF(I1253&gt;0,"Kitted","Released")))))</f>
        <v/>
      </c>
      <c r="M1253" s="41" t="str">
        <f aca="false">IF(G1253&lt;&gt;"Yes","",COUNTIFS($B$6:$B$1505,B1253,$F$6:$F$1505,"&lt;"&amp;F1253)+COUNTIFS($B$6:$B$1505,B1253,$F$6:$F$1505,F1253,$A$6:$A$1505,"&lt;="&amp;A1253))</f>
        <v/>
      </c>
      <c r="N1253" s="41" t="str">
        <f aca="false">IF(M1253="","",ROUNDUP(M1253/H1253,0))</f>
        <v/>
      </c>
      <c r="O1253" s="41" t="str">
        <f aca="false">IF(N1253="","",IF(N1253&lt;='Kitting Plan'!$C$3,"Rep "&amp;N1253,"Surplus"))</f>
        <v/>
      </c>
    </row>
    <row r="1254" customFormat="false" ht="15" hidden="false" customHeight="false" outlineLevel="0" collapsed="false">
      <c r="A1254" s="40" t="str">
        <f aca="false">IF(OR($A$4=0,INDEX('COOIS Raw'!$A:$GZ,ROW()-4,$A$4)=""),"",IFERROR(--INDEX('COOIS Raw'!$A:$GZ,ROW()-4,$A$4),INDEX('COOIS Raw'!$A:$GZ,ROW()-4,$A$4)))</f>
        <v/>
      </c>
      <c r="B1254" s="41" t="str">
        <f aca="false">IF(A1254="","",TRIM(INDEX('COOIS Raw'!$A:$GZ,ROW()-4,$B$4)))</f>
        <v/>
      </c>
      <c r="C1254" s="42" t="str">
        <f aca="false">IF(OR(A1254="",$C$4=0),"",INDEX('COOIS Raw'!$A:$GZ,ROW()-4,$C$4))</f>
        <v/>
      </c>
      <c r="D1254" s="41" t="str">
        <f aca="false">IF(A1254="","",IF($D$4=0,1,IFERROR(--INDEX('COOIS Raw'!$A:$GZ,ROW()-4,$D$4),1)))</f>
        <v/>
      </c>
      <c r="E1254" s="42" t="str">
        <f aca="false">IF(A1254="","",INDEX('COOIS Raw'!$A:$GZ,ROW()-4,$E$4)&amp;"")</f>
        <v/>
      </c>
      <c r="F1254" s="43" t="str">
        <f aca="false">IF(A1254="","",IFERROR(DATEVALUE(INDEX('COOIS Raw'!$A:$GZ,ROW()-4,$F$4)),INDEX('COOIS Raw'!$A:$GZ,ROW()-4,$F$4)))</f>
        <v/>
      </c>
      <c r="G1254" s="41" t="str">
        <f aca="false">IF(A1254="","",IF(ISNA(MATCH(B1254,'Kitting Plan'!$B$6:$B$19,0)),"Not in plan","Yes"))</f>
        <v/>
      </c>
      <c r="H1254" s="41" t="str">
        <f aca="false">IF(G1254="Yes",INDEX('Kitting Plan'!$D$6:$D$19,MATCH(B1254,'Kitting Plan'!$B$6:$B$19,0)),"")</f>
        <v/>
      </c>
      <c r="I1254" s="41" t="str">
        <f aca="false">IF(A1254="","",IF(ISNUMBER(SEARCH("PRT",E1254)),D1254,0))</f>
        <v/>
      </c>
      <c r="J1254" s="41" t="str">
        <f aca="false">IF(A1254="","",IF(ISNUMBER(SEARCH("GMPS",E1254)),D1254,0))</f>
        <v/>
      </c>
      <c r="K1254" s="41" t="str">
        <f aca="false">IF(A1254="","",IF(ISNUMBER(SEARCH("DLV",E1254)),D1254,0))</f>
        <v/>
      </c>
      <c r="L1254" s="41" t="str">
        <f aca="false">IF(A1254="","",IF(K1254&gt;0,"Delivered",IF(ISNUMBER(SEARCH("CNF",E1254)),"In production",IF(J1254&gt;0,"Issued",IF(I1254&gt;0,"Kitted","Released")))))</f>
        <v/>
      </c>
      <c r="M1254" s="41" t="str">
        <f aca="false">IF(G1254&lt;&gt;"Yes","",COUNTIFS($B$6:$B$1505,B1254,$F$6:$F$1505,"&lt;"&amp;F1254)+COUNTIFS($B$6:$B$1505,B1254,$F$6:$F$1505,F1254,$A$6:$A$1505,"&lt;="&amp;A1254))</f>
        <v/>
      </c>
      <c r="N1254" s="41" t="str">
        <f aca="false">IF(M1254="","",ROUNDUP(M1254/H1254,0))</f>
        <v/>
      </c>
      <c r="O1254" s="41" t="str">
        <f aca="false">IF(N1254="","",IF(N1254&lt;='Kitting Plan'!$C$3,"Rep "&amp;N1254,"Surplus"))</f>
        <v/>
      </c>
    </row>
    <row r="1255" customFormat="false" ht="15" hidden="false" customHeight="false" outlineLevel="0" collapsed="false">
      <c r="A1255" s="40" t="str">
        <f aca="false">IF(OR($A$4=0,INDEX('COOIS Raw'!$A:$GZ,ROW()-4,$A$4)=""),"",IFERROR(--INDEX('COOIS Raw'!$A:$GZ,ROW()-4,$A$4),INDEX('COOIS Raw'!$A:$GZ,ROW()-4,$A$4)))</f>
        <v/>
      </c>
      <c r="B1255" s="41" t="str">
        <f aca="false">IF(A1255="","",TRIM(INDEX('COOIS Raw'!$A:$GZ,ROW()-4,$B$4)))</f>
        <v/>
      </c>
      <c r="C1255" s="42" t="str">
        <f aca="false">IF(OR(A1255="",$C$4=0),"",INDEX('COOIS Raw'!$A:$GZ,ROW()-4,$C$4))</f>
        <v/>
      </c>
      <c r="D1255" s="41" t="str">
        <f aca="false">IF(A1255="","",IF($D$4=0,1,IFERROR(--INDEX('COOIS Raw'!$A:$GZ,ROW()-4,$D$4),1)))</f>
        <v/>
      </c>
      <c r="E1255" s="42" t="str">
        <f aca="false">IF(A1255="","",INDEX('COOIS Raw'!$A:$GZ,ROW()-4,$E$4)&amp;"")</f>
        <v/>
      </c>
      <c r="F1255" s="43" t="str">
        <f aca="false">IF(A1255="","",IFERROR(DATEVALUE(INDEX('COOIS Raw'!$A:$GZ,ROW()-4,$F$4)),INDEX('COOIS Raw'!$A:$GZ,ROW()-4,$F$4)))</f>
        <v/>
      </c>
      <c r="G1255" s="41" t="str">
        <f aca="false">IF(A1255="","",IF(ISNA(MATCH(B1255,'Kitting Plan'!$B$6:$B$19,0)),"Not in plan","Yes"))</f>
        <v/>
      </c>
      <c r="H1255" s="41" t="str">
        <f aca="false">IF(G1255="Yes",INDEX('Kitting Plan'!$D$6:$D$19,MATCH(B1255,'Kitting Plan'!$B$6:$B$19,0)),"")</f>
        <v/>
      </c>
      <c r="I1255" s="41" t="str">
        <f aca="false">IF(A1255="","",IF(ISNUMBER(SEARCH("PRT",E1255)),D1255,0))</f>
        <v/>
      </c>
      <c r="J1255" s="41" t="str">
        <f aca="false">IF(A1255="","",IF(ISNUMBER(SEARCH("GMPS",E1255)),D1255,0))</f>
        <v/>
      </c>
      <c r="K1255" s="41" t="str">
        <f aca="false">IF(A1255="","",IF(ISNUMBER(SEARCH("DLV",E1255)),D1255,0))</f>
        <v/>
      </c>
      <c r="L1255" s="41" t="str">
        <f aca="false">IF(A1255="","",IF(K1255&gt;0,"Delivered",IF(ISNUMBER(SEARCH("CNF",E1255)),"In production",IF(J1255&gt;0,"Issued",IF(I1255&gt;0,"Kitted","Released")))))</f>
        <v/>
      </c>
      <c r="M1255" s="41" t="str">
        <f aca="false">IF(G1255&lt;&gt;"Yes","",COUNTIFS($B$6:$B$1505,B1255,$F$6:$F$1505,"&lt;"&amp;F1255)+COUNTIFS($B$6:$B$1505,B1255,$F$6:$F$1505,F1255,$A$6:$A$1505,"&lt;="&amp;A1255))</f>
        <v/>
      </c>
      <c r="N1255" s="41" t="str">
        <f aca="false">IF(M1255="","",ROUNDUP(M1255/H1255,0))</f>
        <v/>
      </c>
      <c r="O1255" s="41" t="str">
        <f aca="false">IF(N1255="","",IF(N1255&lt;='Kitting Plan'!$C$3,"Rep "&amp;N1255,"Surplus"))</f>
        <v/>
      </c>
    </row>
    <row r="1256" customFormat="false" ht="15" hidden="false" customHeight="false" outlineLevel="0" collapsed="false">
      <c r="A1256" s="40" t="str">
        <f aca="false">IF(OR($A$4=0,INDEX('COOIS Raw'!$A:$GZ,ROW()-4,$A$4)=""),"",IFERROR(--INDEX('COOIS Raw'!$A:$GZ,ROW()-4,$A$4),INDEX('COOIS Raw'!$A:$GZ,ROW()-4,$A$4)))</f>
        <v/>
      </c>
      <c r="B1256" s="41" t="str">
        <f aca="false">IF(A1256="","",TRIM(INDEX('COOIS Raw'!$A:$GZ,ROW()-4,$B$4)))</f>
        <v/>
      </c>
      <c r="C1256" s="42" t="str">
        <f aca="false">IF(OR(A1256="",$C$4=0),"",INDEX('COOIS Raw'!$A:$GZ,ROW()-4,$C$4))</f>
        <v/>
      </c>
      <c r="D1256" s="41" t="str">
        <f aca="false">IF(A1256="","",IF($D$4=0,1,IFERROR(--INDEX('COOIS Raw'!$A:$GZ,ROW()-4,$D$4),1)))</f>
        <v/>
      </c>
      <c r="E1256" s="42" t="str">
        <f aca="false">IF(A1256="","",INDEX('COOIS Raw'!$A:$GZ,ROW()-4,$E$4)&amp;"")</f>
        <v/>
      </c>
      <c r="F1256" s="43" t="str">
        <f aca="false">IF(A1256="","",IFERROR(DATEVALUE(INDEX('COOIS Raw'!$A:$GZ,ROW()-4,$F$4)),INDEX('COOIS Raw'!$A:$GZ,ROW()-4,$F$4)))</f>
        <v/>
      </c>
      <c r="G1256" s="41" t="str">
        <f aca="false">IF(A1256="","",IF(ISNA(MATCH(B1256,'Kitting Plan'!$B$6:$B$19,0)),"Not in plan","Yes"))</f>
        <v/>
      </c>
      <c r="H1256" s="41" t="str">
        <f aca="false">IF(G1256="Yes",INDEX('Kitting Plan'!$D$6:$D$19,MATCH(B1256,'Kitting Plan'!$B$6:$B$19,0)),"")</f>
        <v/>
      </c>
      <c r="I1256" s="41" t="str">
        <f aca="false">IF(A1256="","",IF(ISNUMBER(SEARCH("PRT",E1256)),D1256,0))</f>
        <v/>
      </c>
      <c r="J1256" s="41" t="str">
        <f aca="false">IF(A1256="","",IF(ISNUMBER(SEARCH("GMPS",E1256)),D1256,0))</f>
        <v/>
      </c>
      <c r="K1256" s="41" t="str">
        <f aca="false">IF(A1256="","",IF(ISNUMBER(SEARCH("DLV",E1256)),D1256,0))</f>
        <v/>
      </c>
      <c r="L1256" s="41" t="str">
        <f aca="false">IF(A1256="","",IF(K1256&gt;0,"Delivered",IF(ISNUMBER(SEARCH("CNF",E1256)),"In production",IF(J1256&gt;0,"Issued",IF(I1256&gt;0,"Kitted","Released")))))</f>
        <v/>
      </c>
      <c r="M1256" s="41" t="str">
        <f aca="false">IF(G1256&lt;&gt;"Yes","",COUNTIFS($B$6:$B$1505,B1256,$F$6:$F$1505,"&lt;"&amp;F1256)+COUNTIFS($B$6:$B$1505,B1256,$F$6:$F$1505,F1256,$A$6:$A$1505,"&lt;="&amp;A1256))</f>
        <v/>
      </c>
      <c r="N1256" s="41" t="str">
        <f aca="false">IF(M1256="","",ROUNDUP(M1256/H1256,0))</f>
        <v/>
      </c>
      <c r="O1256" s="41" t="str">
        <f aca="false">IF(N1256="","",IF(N1256&lt;='Kitting Plan'!$C$3,"Rep "&amp;N1256,"Surplus"))</f>
        <v/>
      </c>
    </row>
    <row r="1257" customFormat="false" ht="15" hidden="false" customHeight="false" outlineLevel="0" collapsed="false">
      <c r="A1257" s="40" t="str">
        <f aca="false">IF(OR($A$4=0,INDEX('COOIS Raw'!$A:$GZ,ROW()-4,$A$4)=""),"",IFERROR(--INDEX('COOIS Raw'!$A:$GZ,ROW()-4,$A$4),INDEX('COOIS Raw'!$A:$GZ,ROW()-4,$A$4)))</f>
        <v/>
      </c>
      <c r="B1257" s="41" t="str">
        <f aca="false">IF(A1257="","",TRIM(INDEX('COOIS Raw'!$A:$GZ,ROW()-4,$B$4)))</f>
        <v/>
      </c>
      <c r="C1257" s="42" t="str">
        <f aca="false">IF(OR(A1257="",$C$4=0),"",INDEX('COOIS Raw'!$A:$GZ,ROW()-4,$C$4))</f>
        <v/>
      </c>
      <c r="D1257" s="41" t="str">
        <f aca="false">IF(A1257="","",IF($D$4=0,1,IFERROR(--INDEX('COOIS Raw'!$A:$GZ,ROW()-4,$D$4),1)))</f>
        <v/>
      </c>
      <c r="E1257" s="42" t="str">
        <f aca="false">IF(A1257="","",INDEX('COOIS Raw'!$A:$GZ,ROW()-4,$E$4)&amp;"")</f>
        <v/>
      </c>
      <c r="F1257" s="43" t="str">
        <f aca="false">IF(A1257="","",IFERROR(DATEVALUE(INDEX('COOIS Raw'!$A:$GZ,ROW()-4,$F$4)),INDEX('COOIS Raw'!$A:$GZ,ROW()-4,$F$4)))</f>
        <v/>
      </c>
      <c r="G1257" s="41" t="str">
        <f aca="false">IF(A1257="","",IF(ISNA(MATCH(B1257,'Kitting Plan'!$B$6:$B$19,0)),"Not in plan","Yes"))</f>
        <v/>
      </c>
      <c r="H1257" s="41" t="str">
        <f aca="false">IF(G1257="Yes",INDEX('Kitting Plan'!$D$6:$D$19,MATCH(B1257,'Kitting Plan'!$B$6:$B$19,0)),"")</f>
        <v/>
      </c>
      <c r="I1257" s="41" t="str">
        <f aca="false">IF(A1257="","",IF(ISNUMBER(SEARCH("PRT",E1257)),D1257,0))</f>
        <v/>
      </c>
      <c r="J1257" s="41" t="str">
        <f aca="false">IF(A1257="","",IF(ISNUMBER(SEARCH("GMPS",E1257)),D1257,0))</f>
        <v/>
      </c>
      <c r="K1257" s="41" t="str">
        <f aca="false">IF(A1257="","",IF(ISNUMBER(SEARCH("DLV",E1257)),D1257,0))</f>
        <v/>
      </c>
      <c r="L1257" s="41" t="str">
        <f aca="false">IF(A1257="","",IF(K1257&gt;0,"Delivered",IF(ISNUMBER(SEARCH("CNF",E1257)),"In production",IF(J1257&gt;0,"Issued",IF(I1257&gt;0,"Kitted","Released")))))</f>
        <v/>
      </c>
      <c r="M1257" s="41" t="str">
        <f aca="false">IF(G1257&lt;&gt;"Yes","",COUNTIFS($B$6:$B$1505,B1257,$F$6:$F$1505,"&lt;"&amp;F1257)+COUNTIFS($B$6:$B$1505,B1257,$F$6:$F$1505,F1257,$A$6:$A$1505,"&lt;="&amp;A1257))</f>
        <v/>
      </c>
      <c r="N1257" s="41" t="str">
        <f aca="false">IF(M1257="","",ROUNDUP(M1257/H1257,0))</f>
        <v/>
      </c>
      <c r="O1257" s="41" t="str">
        <f aca="false">IF(N1257="","",IF(N1257&lt;='Kitting Plan'!$C$3,"Rep "&amp;N1257,"Surplus"))</f>
        <v/>
      </c>
    </row>
    <row r="1258" customFormat="false" ht="15" hidden="false" customHeight="false" outlineLevel="0" collapsed="false">
      <c r="A1258" s="40" t="str">
        <f aca="false">IF(OR($A$4=0,INDEX('COOIS Raw'!$A:$GZ,ROW()-4,$A$4)=""),"",IFERROR(--INDEX('COOIS Raw'!$A:$GZ,ROW()-4,$A$4),INDEX('COOIS Raw'!$A:$GZ,ROW()-4,$A$4)))</f>
        <v/>
      </c>
      <c r="B1258" s="41" t="str">
        <f aca="false">IF(A1258="","",TRIM(INDEX('COOIS Raw'!$A:$GZ,ROW()-4,$B$4)))</f>
        <v/>
      </c>
      <c r="C1258" s="42" t="str">
        <f aca="false">IF(OR(A1258="",$C$4=0),"",INDEX('COOIS Raw'!$A:$GZ,ROW()-4,$C$4))</f>
        <v/>
      </c>
      <c r="D1258" s="41" t="str">
        <f aca="false">IF(A1258="","",IF($D$4=0,1,IFERROR(--INDEX('COOIS Raw'!$A:$GZ,ROW()-4,$D$4),1)))</f>
        <v/>
      </c>
      <c r="E1258" s="42" t="str">
        <f aca="false">IF(A1258="","",INDEX('COOIS Raw'!$A:$GZ,ROW()-4,$E$4)&amp;"")</f>
        <v/>
      </c>
      <c r="F1258" s="43" t="str">
        <f aca="false">IF(A1258="","",IFERROR(DATEVALUE(INDEX('COOIS Raw'!$A:$GZ,ROW()-4,$F$4)),INDEX('COOIS Raw'!$A:$GZ,ROW()-4,$F$4)))</f>
        <v/>
      </c>
      <c r="G1258" s="41" t="str">
        <f aca="false">IF(A1258="","",IF(ISNA(MATCH(B1258,'Kitting Plan'!$B$6:$B$19,0)),"Not in plan","Yes"))</f>
        <v/>
      </c>
      <c r="H1258" s="41" t="str">
        <f aca="false">IF(G1258="Yes",INDEX('Kitting Plan'!$D$6:$D$19,MATCH(B1258,'Kitting Plan'!$B$6:$B$19,0)),"")</f>
        <v/>
      </c>
      <c r="I1258" s="41" t="str">
        <f aca="false">IF(A1258="","",IF(ISNUMBER(SEARCH("PRT",E1258)),D1258,0))</f>
        <v/>
      </c>
      <c r="J1258" s="41" t="str">
        <f aca="false">IF(A1258="","",IF(ISNUMBER(SEARCH("GMPS",E1258)),D1258,0))</f>
        <v/>
      </c>
      <c r="K1258" s="41" t="str">
        <f aca="false">IF(A1258="","",IF(ISNUMBER(SEARCH("DLV",E1258)),D1258,0))</f>
        <v/>
      </c>
      <c r="L1258" s="41" t="str">
        <f aca="false">IF(A1258="","",IF(K1258&gt;0,"Delivered",IF(ISNUMBER(SEARCH("CNF",E1258)),"In production",IF(J1258&gt;0,"Issued",IF(I1258&gt;0,"Kitted","Released")))))</f>
        <v/>
      </c>
      <c r="M1258" s="41" t="str">
        <f aca="false">IF(G1258&lt;&gt;"Yes","",COUNTIFS($B$6:$B$1505,B1258,$F$6:$F$1505,"&lt;"&amp;F1258)+COUNTIFS($B$6:$B$1505,B1258,$F$6:$F$1505,F1258,$A$6:$A$1505,"&lt;="&amp;A1258))</f>
        <v/>
      </c>
      <c r="N1258" s="41" t="str">
        <f aca="false">IF(M1258="","",ROUNDUP(M1258/H1258,0))</f>
        <v/>
      </c>
      <c r="O1258" s="41" t="str">
        <f aca="false">IF(N1258="","",IF(N1258&lt;='Kitting Plan'!$C$3,"Rep "&amp;N1258,"Surplus"))</f>
        <v/>
      </c>
    </row>
    <row r="1259" customFormat="false" ht="15" hidden="false" customHeight="false" outlineLevel="0" collapsed="false">
      <c r="A1259" s="40" t="str">
        <f aca="false">IF(OR($A$4=0,INDEX('COOIS Raw'!$A:$GZ,ROW()-4,$A$4)=""),"",IFERROR(--INDEX('COOIS Raw'!$A:$GZ,ROW()-4,$A$4),INDEX('COOIS Raw'!$A:$GZ,ROW()-4,$A$4)))</f>
        <v/>
      </c>
      <c r="B1259" s="41" t="str">
        <f aca="false">IF(A1259="","",TRIM(INDEX('COOIS Raw'!$A:$GZ,ROW()-4,$B$4)))</f>
        <v/>
      </c>
      <c r="C1259" s="42" t="str">
        <f aca="false">IF(OR(A1259="",$C$4=0),"",INDEX('COOIS Raw'!$A:$GZ,ROW()-4,$C$4))</f>
        <v/>
      </c>
      <c r="D1259" s="41" t="str">
        <f aca="false">IF(A1259="","",IF($D$4=0,1,IFERROR(--INDEX('COOIS Raw'!$A:$GZ,ROW()-4,$D$4),1)))</f>
        <v/>
      </c>
      <c r="E1259" s="42" t="str">
        <f aca="false">IF(A1259="","",INDEX('COOIS Raw'!$A:$GZ,ROW()-4,$E$4)&amp;"")</f>
        <v/>
      </c>
      <c r="F1259" s="43" t="str">
        <f aca="false">IF(A1259="","",IFERROR(DATEVALUE(INDEX('COOIS Raw'!$A:$GZ,ROW()-4,$F$4)),INDEX('COOIS Raw'!$A:$GZ,ROW()-4,$F$4)))</f>
        <v/>
      </c>
      <c r="G1259" s="41" t="str">
        <f aca="false">IF(A1259="","",IF(ISNA(MATCH(B1259,'Kitting Plan'!$B$6:$B$19,0)),"Not in plan","Yes"))</f>
        <v/>
      </c>
      <c r="H1259" s="41" t="str">
        <f aca="false">IF(G1259="Yes",INDEX('Kitting Plan'!$D$6:$D$19,MATCH(B1259,'Kitting Plan'!$B$6:$B$19,0)),"")</f>
        <v/>
      </c>
      <c r="I1259" s="41" t="str">
        <f aca="false">IF(A1259="","",IF(ISNUMBER(SEARCH("PRT",E1259)),D1259,0))</f>
        <v/>
      </c>
      <c r="J1259" s="41" t="str">
        <f aca="false">IF(A1259="","",IF(ISNUMBER(SEARCH("GMPS",E1259)),D1259,0))</f>
        <v/>
      </c>
      <c r="K1259" s="41" t="str">
        <f aca="false">IF(A1259="","",IF(ISNUMBER(SEARCH("DLV",E1259)),D1259,0))</f>
        <v/>
      </c>
      <c r="L1259" s="41" t="str">
        <f aca="false">IF(A1259="","",IF(K1259&gt;0,"Delivered",IF(ISNUMBER(SEARCH("CNF",E1259)),"In production",IF(J1259&gt;0,"Issued",IF(I1259&gt;0,"Kitted","Released")))))</f>
        <v/>
      </c>
      <c r="M1259" s="41" t="str">
        <f aca="false">IF(G1259&lt;&gt;"Yes","",COUNTIFS($B$6:$B$1505,B1259,$F$6:$F$1505,"&lt;"&amp;F1259)+COUNTIFS($B$6:$B$1505,B1259,$F$6:$F$1505,F1259,$A$6:$A$1505,"&lt;="&amp;A1259))</f>
        <v/>
      </c>
      <c r="N1259" s="41" t="str">
        <f aca="false">IF(M1259="","",ROUNDUP(M1259/H1259,0))</f>
        <v/>
      </c>
      <c r="O1259" s="41" t="str">
        <f aca="false">IF(N1259="","",IF(N1259&lt;='Kitting Plan'!$C$3,"Rep "&amp;N1259,"Surplus"))</f>
        <v/>
      </c>
    </row>
    <row r="1260" customFormat="false" ht="15" hidden="false" customHeight="false" outlineLevel="0" collapsed="false">
      <c r="A1260" s="40" t="str">
        <f aca="false">IF(OR($A$4=0,INDEX('COOIS Raw'!$A:$GZ,ROW()-4,$A$4)=""),"",IFERROR(--INDEX('COOIS Raw'!$A:$GZ,ROW()-4,$A$4),INDEX('COOIS Raw'!$A:$GZ,ROW()-4,$A$4)))</f>
        <v/>
      </c>
      <c r="B1260" s="41" t="str">
        <f aca="false">IF(A1260="","",TRIM(INDEX('COOIS Raw'!$A:$GZ,ROW()-4,$B$4)))</f>
        <v/>
      </c>
      <c r="C1260" s="42" t="str">
        <f aca="false">IF(OR(A1260="",$C$4=0),"",INDEX('COOIS Raw'!$A:$GZ,ROW()-4,$C$4))</f>
        <v/>
      </c>
      <c r="D1260" s="41" t="str">
        <f aca="false">IF(A1260="","",IF($D$4=0,1,IFERROR(--INDEX('COOIS Raw'!$A:$GZ,ROW()-4,$D$4),1)))</f>
        <v/>
      </c>
      <c r="E1260" s="42" t="str">
        <f aca="false">IF(A1260="","",INDEX('COOIS Raw'!$A:$GZ,ROW()-4,$E$4)&amp;"")</f>
        <v/>
      </c>
      <c r="F1260" s="43" t="str">
        <f aca="false">IF(A1260="","",IFERROR(DATEVALUE(INDEX('COOIS Raw'!$A:$GZ,ROW()-4,$F$4)),INDEX('COOIS Raw'!$A:$GZ,ROW()-4,$F$4)))</f>
        <v/>
      </c>
      <c r="G1260" s="41" t="str">
        <f aca="false">IF(A1260="","",IF(ISNA(MATCH(B1260,'Kitting Plan'!$B$6:$B$19,0)),"Not in plan","Yes"))</f>
        <v/>
      </c>
      <c r="H1260" s="41" t="str">
        <f aca="false">IF(G1260="Yes",INDEX('Kitting Plan'!$D$6:$D$19,MATCH(B1260,'Kitting Plan'!$B$6:$B$19,0)),"")</f>
        <v/>
      </c>
      <c r="I1260" s="41" t="str">
        <f aca="false">IF(A1260="","",IF(ISNUMBER(SEARCH("PRT",E1260)),D1260,0))</f>
        <v/>
      </c>
      <c r="J1260" s="41" t="str">
        <f aca="false">IF(A1260="","",IF(ISNUMBER(SEARCH("GMPS",E1260)),D1260,0))</f>
        <v/>
      </c>
      <c r="K1260" s="41" t="str">
        <f aca="false">IF(A1260="","",IF(ISNUMBER(SEARCH("DLV",E1260)),D1260,0))</f>
        <v/>
      </c>
      <c r="L1260" s="41" t="str">
        <f aca="false">IF(A1260="","",IF(K1260&gt;0,"Delivered",IF(ISNUMBER(SEARCH("CNF",E1260)),"In production",IF(J1260&gt;0,"Issued",IF(I1260&gt;0,"Kitted","Released")))))</f>
        <v/>
      </c>
      <c r="M1260" s="41" t="str">
        <f aca="false">IF(G1260&lt;&gt;"Yes","",COUNTIFS($B$6:$B$1505,B1260,$F$6:$F$1505,"&lt;"&amp;F1260)+COUNTIFS($B$6:$B$1505,B1260,$F$6:$F$1505,F1260,$A$6:$A$1505,"&lt;="&amp;A1260))</f>
        <v/>
      </c>
      <c r="N1260" s="41" t="str">
        <f aca="false">IF(M1260="","",ROUNDUP(M1260/H1260,0))</f>
        <v/>
      </c>
      <c r="O1260" s="41" t="str">
        <f aca="false">IF(N1260="","",IF(N1260&lt;='Kitting Plan'!$C$3,"Rep "&amp;N1260,"Surplus"))</f>
        <v/>
      </c>
    </row>
    <row r="1261" customFormat="false" ht="15" hidden="false" customHeight="false" outlineLevel="0" collapsed="false">
      <c r="A1261" s="40" t="str">
        <f aca="false">IF(OR($A$4=0,INDEX('COOIS Raw'!$A:$GZ,ROW()-4,$A$4)=""),"",IFERROR(--INDEX('COOIS Raw'!$A:$GZ,ROW()-4,$A$4),INDEX('COOIS Raw'!$A:$GZ,ROW()-4,$A$4)))</f>
        <v/>
      </c>
      <c r="B1261" s="41" t="str">
        <f aca="false">IF(A1261="","",TRIM(INDEX('COOIS Raw'!$A:$GZ,ROW()-4,$B$4)))</f>
        <v/>
      </c>
      <c r="C1261" s="42" t="str">
        <f aca="false">IF(OR(A1261="",$C$4=0),"",INDEX('COOIS Raw'!$A:$GZ,ROW()-4,$C$4))</f>
        <v/>
      </c>
      <c r="D1261" s="41" t="str">
        <f aca="false">IF(A1261="","",IF($D$4=0,1,IFERROR(--INDEX('COOIS Raw'!$A:$GZ,ROW()-4,$D$4),1)))</f>
        <v/>
      </c>
      <c r="E1261" s="42" t="str">
        <f aca="false">IF(A1261="","",INDEX('COOIS Raw'!$A:$GZ,ROW()-4,$E$4)&amp;"")</f>
        <v/>
      </c>
      <c r="F1261" s="43" t="str">
        <f aca="false">IF(A1261="","",IFERROR(DATEVALUE(INDEX('COOIS Raw'!$A:$GZ,ROW()-4,$F$4)),INDEX('COOIS Raw'!$A:$GZ,ROW()-4,$F$4)))</f>
        <v/>
      </c>
      <c r="G1261" s="41" t="str">
        <f aca="false">IF(A1261="","",IF(ISNA(MATCH(B1261,'Kitting Plan'!$B$6:$B$19,0)),"Not in plan","Yes"))</f>
        <v/>
      </c>
      <c r="H1261" s="41" t="str">
        <f aca="false">IF(G1261="Yes",INDEX('Kitting Plan'!$D$6:$D$19,MATCH(B1261,'Kitting Plan'!$B$6:$B$19,0)),"")</f>
        <v/>
      </c>
      <c r="I1261" s="41" t="str">
        <f aca="false">IF(A1261="","",IF(ISNUMBER(SEARCH("PRT",E1261)),D1261,0))</f>
        <v/>
      </c>
      <c r="J1261" s="41" t="str">
        <f aca="false">IF(A1261="","",IF(ISNUMBER(SEARCH("GMPS",E1261)),D1261,0))</f>
        <v/>
      </c>
      <c r="K1261" s="41" t="str">
        <f aca="false">IF(A1261="","",IF(ISNUMBER(SEARCH("DLV",E1261)),D1261,0))</f>
        <v/>
      </c>
      <c r="L1261" s="41" t="str">
        <f aca="false">IF(A1261="","",IF(K1261&gt;0,"Delivered",IF(ISNUMBER(SEARCH("CNF",E1261)),"In production",IF(J1261&gt;0,"Issued",IF(I1261&gt;0,"Kitted","Released")))))</f>
        <v/>
      </c>
      <c r="M1261" s="41" t="str">
        <f aca="false">IF(G1261&lt;&gt;"Yes","",COUNTIFS($B$6:$B$1505,B1261,$F$6:$F$1505,"&lt;"&amp;F1261)+COUNTIFS($B$6:$B$1505,B1261,$F$6:$F$1505,F1261,$A$6:$A$1505,"&lt;="&amp;A1261))</f>
        <v/>
      </c>
      <c r="N1261" s="41" t="str">
        <f aca="false">IF(M1261="","",ROUNDUP(M1261/H1261,0))</f>
        <v/>
      </c>
      <c r="O1261" s="41" t="str">
        <f aca="false">IF(N1261="","",IF(N1261&lt;='Kitting Plan'!$C$3,"Rep "&amp;N1261,"Surplus"))</f>
        <v/>
      </c>
    </row>
    <row r="1262" customFormat="false" ht="15" hidden="false" customHeight="false" outlineLevel="0" collapsed="false">
      <c r="A1262" s="40" t="str">
        <f aca="false">IF(OR($A$4=0,INDEX('COOIS Raw'!$A:$GZ,ROW()-4,$A$4)=""),"",IFERROR(--INDEX('COOIS Raw'!$A:$GZ,ROW()-4,$A$4),INDEX('COOIS Raw'!$A:$GZ,ROW()-4,$A$4)))</f>
        <v/>
      </c>
      <c r="B1262" s="41" t="str">
        <f aca="false">IF(A1262="","",TRIM(INDEX('COOIS Raw'!$A:$GZ,ROW()-4,$B$4)))</f>
        <v/>
      </c>
      <c r="C1262" s="42" t="str">
        <f aca="false">IF(OR(A1262="",$C$4=0),"",INDEX('COOIS Raw'!$A:$GZ,ROW()-4,$C$4))</f>
        <v/>
      </c>
      <c r="D1262" s="41" t="str">
        <f aca="false">IF(A1262="","",IF($D$4=0,1,IFERROR(--INDEX('COOIS Raw'!$A:$GZ,ROW()-4,$D$4),1)))</f>
        <v/>
      </c>
      <c r="E1262" s="42" t="str">
        <f aca="false">IF(A1262="","",INDEX('COOIS Raw'!$A:$GZ,ROW()-4,$E$4)&amp;"")</f>
        <v/>
      </c>
      <c r="F1262" s="43" t="str">
        <f aca="false">IF(A1262="","",IFERROR(DATEVALUE(INDEX('COOIS Raw'!$A:$GZ,ROW()-4,$F$4)),INDEX('COOIS Raw'!$A:$GZ,ROW()-4,$F$4)))</f>
        <v/>
      </c>
      <c r="G1262" s="41" t="str">
        <f aca="false">IF(A1262="","",IF(ISNA(MATCH(B1262,'Kitting Plan'!$B$6:$B$19,0)),"Not in plan","Yes"))</f>
        <v/>
      </c>
      <c r="H1262" s="41" t="str">
        <f aca="false">IF(G1262="Yes",INDEX('Kitting Plan'!$D$6:$D$19,MATCH(B1262,'Kitting Plan'!$B$6:$B$19,0)),"")</f>
        <v/>
      </c>
      <c r="I1262" s="41" t="str">
        <f aca="false">IF(A1262="","",IF(ISNUMBER(SEARCH("PRT",E1262)),D1262,0))</f>
        <v/>
      </c>
      <c r="J1262" s="41" t="str">
        <f aca="false">IF(A1262="","",IF(ISNUMBER(SEARCH("GMPS",E1262)),D1262,0))</f>
        <v/>
      </c>
      <c r="K1262" s="41" t="str">
        <f aca="false">IF(A1262="","",IF(ISNUMBER(SEARCH("DLV",E1262)),D1262,0))</f>
        <v/>
      </c>
      <c r="L1262" s="41" t="str">
        <f aca="false">IF(A1262="","",IF(K1262&gt;0,"Delivered",IF(ISNUMBER(SEARCH("CNF",E1262)),"In production",IF(J1262&gt;0,"Issued",IF(I1262&gt;0,"Kitted","Released")))))</f>
        <v/>
      </c>
      <c r="M1262" s="41" t="str">
        <f aca="false">IF(G1262&lt;&gt;"Yes","",COUNTIFS($B$6:$B$1505,B1262,$F$6:$F$1505,"&lt;"&amp;F1262)+COUNTIFS($B$6:$B$1505,B1262,$F$6:$F$1505,F1262,$A$6:$A$1505,"&lt;="&amp;A1262))</f>
        <v/>
      </c>
      <c r="N1262" s="41" t="str">
        <f aca="false">IF(M1262="","",ROUNDUP(M1262/H1262,0))</f>
        <v/>
      </c>
      <c r="O1262" s="41" t="str">
        <f aca="false">IF(N1262="","",IF(N1262&lt;='Kitting Plan'!$C$3,"Rep "&amp;N1262,"Surplus"))</f>
        <v/>
      </c>
    </row>
    <row r="1263" customFormat="false" ht="15" hidden="false" customHeight="false" outlineLevel="0" collapsed="false">
      <c r="A1263" s="40" t="str">
        <f aca="false">IF(OR($A$4=0,INDEX('COOIS Raw'!$A:$GZ,ROW()-4,$A$4)=""),"",IFERROR(--INDEX('COOIS Raw'!$A:$GZ,ROW()-4,$A$4),INDEX('COOIS Raw'!$A:$GZ,ROW()-4,$A$4)))</f>
        <v/>
      </c>
      <c r="B1263" s="41" t="str">
        <f aca="false">IF(A1263="","",TRIM(INDEX('COOIS Raw'!$A:$GZ,ROW()-4,$B$4)))</f>
        <v/>
      </c>
      <c r="C1263" s="42" t="str">
        <f aca="false">IF(OR(A1263="",$C$4=0),"",INDEX('COOIS Raw'!$A:$GZ,ROW()-4,$C$4))</f>
        <v/>
      </c>
      <c r="D1263" s="41" t="str">
        <f aca="false">IF(A1263="","",IF($D$4=0,1,IFERROR(--INDEX('COOIS Raw'!$A:$GZ,ROW()-4,$D$4),1)))</f>
        <v/>
      </c>
      <c r="E1263" s="42" t="str">
        <f aca="false">IF(A1263="","",INDEX('COOIS Raw'!$A:$GZ,ROW()-4,$E$4)&amp;"")</f>
        <v/>
      </c>
      <c r="F1263" s="43" t="str">
        <f aca="false">IF(A1263="","",IFERROR(DATEVALUE(INDEX('COOIS Raw'!$A:$GZ,ROW()-4,$F$4)),INDEX('COOIS Raw'!$A:$GZ,ROW()-4,$F$4)))</f>
        <v/>
      </c>
      <c r="G1263" s="41" t="str">
        <f aca="false">IF(A1263="","",IF(ISNA(MATCH(B1263,'Kitting Plan'!$B$6:$B$19,0)),"Not in plan","Yes"))</f>
        <v/>
      </c>
      <c r="H1263" s="41" t="str">
        <f aca="false">IF(G1263="Yes",INDEX('Kitting Plan'!$D$6:$D$19,MATCH(B1263,'Kitting Plan'!$B$6:$B$19,0)),"")</f>
        <v/>
      </c>
      <c r="I1263" s="41" t="str">
        <f aca="false">IF(A1263="","",IF(ISNUMBER(SEARCH("PRT",E1263)),D1263,0))</f>
        <v/>
      </c>
      <c r="J1263" s="41" t="str">
        <f aca="false">IF(A1263="","",IF(ISNUMBER(SEARCH("GMPS",E1263)),D1263,0))</f>
        <v/>
      </c>
      <c r="K1263" s="41" t="str">
        <f aca="false">IF(A1263="","",IF(ISNUMBER(SEARCH("DLV",E1263)),D1263,0))</f>
        <v/>
      </c>
      <c r="L1263" s="41" t="str">
        <f aca="false">IF(A1263="","",IF(K1263&gt;0,"Delivered",IF(ISNUMBER(SEARCH("CNF",E1263)),"In production",IF(J1263&gt;0,"Issued",IF(I1263&gt;0,"Kitted","Released")))))</f>
        <v/>
      </c>
      <c r="M1263" s="41" t="str">
        <f aca="false">IF(G1263&lt;&gt;"Yes","",COUNTIFS($B$6:$B$1505,B1263,$F$6:$F$1505,"&lt;"&amp;F1263)+COUNTIFS($B$6:$B$1505,B1263,$F$6:$F$1505,F1263,$A$6:$A$1505,"&lt;="&amp;A1263))</f>
        <v/>
      </c>
      <c r="N1263" s="41" t="str">
        <f aca="false">IF(M1263="","",ROUNDUP(M1263/H1263,0))</f>
        <v/>
      </c>
      <c r="O1263" s="41" t="str">
        <f aca="false">IF(N1263="","",IF(N1263&lt;='Kitting Plan'!$C$3,"Rep "&amp;N1263,"Surplus"))</f>
        <v/>
      </c>
    </row>
    <row r="1264" customFormat="false" ht="15" hidden="false" customHeight="false" outlineLevel="0" collapsed="false">
      <c r="A1264" s="40" t="str">
        <f aca="false">IF(OR($A$4=0,INDEX('COOIS Raw'!$A:$GZ,ROW()-4,$A$4)=""),"",IFERROR(--INDEX('COOIS Raw'!$A:$GZ,ROW()-4,$A$4),INDEX('COOIS Raw'!$A:$GZ,ROW()-4,$A$4)))</f>
        <v/>
      </c>
      <c r="B1264" s="41" t="str">
        <f aca="false">IF(A1264="","",TRIM(INDEX('COOIS Raw'!$A:$GZ,ROW()-4,$B$4)))</f>
        <v/>
      </c>
      <c r="C1264" s="42" t="str">
        <f aca="false">IF(OR(A1264="",$C$4=0),"",INDEX('COOIS Raw'!$A:$GZ,ROW()-4,$C$4))</f>
        <v/>
      </c>
      <c r="D1264" s="41" t="str">
        <f aca="false">IF(A1264="","",IF($D$4=0,1,IFERROR(--INDEX('COOIS Raw'!$A:$GZ,ROW()-4,$D$4),1)))</f>
        <v/>
      </c>
      <c r="E1264" s="42" t="str">
        <f aca="false">IF(A1264="","",INDEX('COOIS Raw'!$A:$GZ,ROW()-4,$E$4)&amp;"")</f>
        <v/>
      </c>
      <c r="F1264" s="43" t="str">
        <f aca="false">IF(A1264="","",IFERROR(DATEVALUE(INDEX('COOIS Raw'!$A:$GZ,ROW()-4,$F$4)),INDEX('COOIS Raw'!$A:$GZ,ROW()-4,$F$4)))</f>
        <v/>
      </c>
      <c r="G1264" s="41" t="str">
        <f aca="false">IF(A1264="","",IF(ISNA(MATCH(B1264,'Kitting Plan'!$B$6:$B$19,0)),"Not in plan","Yes"))</f>
        <v/>
      </c>
      <c r="H1264" s="41" t="str">
        <f aca="false">IF(G1264="Yes",INDEX('Kitting Plan'!$D$6:$D$19,MATCH(B1264,'Kitting Plan'!$B$6:$B$19,0)),"")</f>
        <v/>
      </c>
      <c r="I1264" s="41" t="str">
        <f aca="false">IF(A1264="","",IF(ISNUMBER(SEARCH("PRT",E1264)),D1264,0))</f>
        <v/>
      </c>
      <c r="J1264" s="41" t="str">
        <f aca="false">IF(A1264="","",IF(ISNUMBER(SEARCH("GMPS",E1264)),D1264,0))</f>
        <v/>
      </c>
      <c r="K1264" s="41" t="str">
        <f aca="false">IF(A1264="","",IF(ISNUMBER(SEARCH("DLV",E1264)),D1264,0))</f>
        <v/>
      </c>
      <c r="L1264" s="41" t="str">
        <f aca="false">IF(A1264="","",IF(K1264&gt;0,"Delivered",IF(ISNUMBER(SEARCH("CNF",E1264)),"In production",IF(J1264&gt;0,"Issued",IF(I1264&gt;0,"Kitted","Released")))))</f>
        <v/>
      </c>
      <c r="M1264" s="41" t="str">
        <f aca="false">IF(G1264&lt;&gt;"Yes","",COUNTIFS($B$6:$B$1505,B1264,$F$6:$F$1505,"&lt;"&amp;F1264)+COUNTIFS($B$6:$B$1505,B1264,$F$6:$F$1505,F1264,$A$6:$A$1505,"&lt;="&amp;A1264))</f>
        <v/>
      </c>
      <c r="N1264" s="41" t="str">
        <f aca="false">IF(M1264="","",ROUNDUP(M1264/H1264,0))</f>
        <v/>
      </c>
      <c r="O1264" s="41" t="str">
        <f aca="false">IF(N1264="","",IF(N1264&lt;='Kitting Plan'!$C$3,"Rep "&amp;N1264,"Surplus"))</f>
        <v/>
      </c>
    </row>
    <row r="1265" customFormat="false" ht="15" hidden="false" customHeight="false" outlineLevel="0" collapsed="false">
      <c r="A1265" s="40" t="str">
        <f aca="false">IF(OR($A$4=0,INDEX('COOIS Raw'!$A:$GZ,ROW()-4,$A$4)=""),"",IFERROR(--INDEX('COOIS Raw'!$A:$GZ,ROW()-4,$A$4),INDEX('COOIS Raw'!$A:$GZ,ROW()-4,$A$4)))</f>
        <v/>
      </c>
      <c r="B1265" s="41" t="str">
        <f aca="false">IF(A1265="","",TRIM(INDEX('COOIS Raw'!$A:$GZ,ROW()-4,$B$4)))</f>
        <v/>
      </c>
      <c r="C1265" s="42" t="str">
        <f aca="false">IF(OR(A1265="",$C$4=0),"",INDEX('COOIS Raw'!$A:$GZ,ROW()-4,$C$4))</f>
        <v/>
      </c>
      <c r="D1265" s="41" t="str">
        <f aca="false">IF(A1265="","",IF($D$4=0,1,IFERROR(--INDEX('COOIS Raw'!$A:$GZ,ROW()-4,$D$4),1)))</f>
        <v/>
      </c>
      <c r="E1265" s="42" t="str">
        <f aca="false">IF(A1265="","",INDEX('COOIS Raw'!$A:$GZ,ROW()-4,$E$4)&amp;"")</f>
        <v/>
      </c>
      <c r="F1265" s="43" t="str">
        <f aca="false">IF(A1265="","",IFERROR(DATEVALUE(INDEX('COOIS Raw'!$A:$GZ,ROW()-4,$F$4)),INDEX('COOIS Raw'!$A:$GZ,ROW()-4,$F$4)))</f>
        <v/>
      </c>
      <c r="G1265" s="41" t="str">
        <f aca="false">IF(A1265="","",IF(ISNA(MATCH(B1265,'Kitting Plan'!$B$6:$B$19,0)),"Not in plan","Yes"))</f>
        <v/>
      </c>
      <c r="H1265" s="41" t="str">
        <f aca="false">IF(G1265="Yes",INDEX('Kitting Plan'!$D$6:$D$19,MATCH(B1265,'Kitting Plan'!$B$6:$B$19,0)),"")</f>
        <v/>
      </c>
      <c r="I1265" s="41" t="str">
        <f aca="false">IF(A1265="","",IF(ISNUMBER(SEARCH("PRT",E1265)),D1265,0))</f>
        <v/>
      </c>
      <c r="J1265" s="41" t="str">
        <f aca="false">IF(A1265="","",IF(ISNUMBER(SEARCH("GMPS",E1265)),D1265,0))</f>
        <v/>
      </c>
      <c r="K1265" s="41" t="str">
        <f aca="false">IF(A1265="","",IF(ISNUMBER(SEARCH("DLV",E1265)),D1265,0))</f>
        <v/>
      </c>
      <c r="L1265" s="41" t="str">
        <f aca="false">IF(A1265="","",IF(K1265&gt;0,"Delivered",IF(ISNUMBER(SEARCH("CNF",E1265)),"In production",IF(J1265&gt;0,"Issued",IF(I1265&gt;0,"Kitted","Released")))))</f>
        <v/>
      </c>
      <c r="M1265" s="41" t="str">
        <f aca="false">IF(G1265&lt;&gt;"Yes","",COUNTIFS($B$6:$B$1505,B1265,$F$6:$F$1505,"&lt;"&amp;F1265)+COUNTIFS($B$6:$B$1505,B1265,$F$6:$F$1505,F1265,$A$6:$A$1505,"&lt;="&amp;A1265))</f>
        <v/>
      </c>
      <c r="N1265" s="41" t="str">
        <f aca="false">IF(M1265="","",ROUNDUP(M1265/H1265,0))</f>
        <v/>
      </c>
      <c r="O1265" s="41" t="str">
        <f aca="false">IF(N1265="","",IF(N1265&lt;='Kitting Plan'!$C$3,"Rep "&amp;N1265,"Surplus"))</f>
        <v/>
      </c>
    </row>
    <row r="1266" customFormat="false" ht="15" hidden="false" customHeight="false" outlineLevel="0" collapsed="false">
      <c r="A1266" s="40" t="str">
        <f aca="false">IF(OR($A$4=0,INDEX('COOIS Raw'!$A:$GZ,ROW()-4,$A$4)=""),"",IFERROR(--INDEX('COOIS Raw'!$A:$GZ,ROW()-4,$A$4),INDEX('COOIS Raw'!$A:$GZ,ROW()-4,$A$4)))</f>
        <v/>
      </c>
      <c r="B1266" s="41" t="str">
        <f aca="false">IF(A1266="","",TRIM(INDEX('COOIS Raw'!$A:$GZ,ROW()-4,$B$4)))</f>
        <v/>
      </c>
      <c r="C1266" s="42" t="str">
        <f aca="false">IF(OR(A1266="",$C$4=0),"",INDEX('COOIS Raw'!$A:$GZ,ROW()-4,$C$4))</f>
        <v/>
      </c>
      <c r="D1266" s="41" t="str">
        <f aca="false">IF(A1266="","",IF($D$4=0,1,IFERROR(--INDEX('COOIS Raw'!$A:$GZ,ROW()-4,$D$4),1)))</f>
        <v/>
      </c>
      <c r="E1266" s="42" t="str">
        <f aca="false">IF(A1266="","",INDEX('COOIS Raw'!$A:$GZ,ROW()-4,$E$4)&amp;"")</f>
        <v/>
      </c>
      <c r="F1266" s="43" t="str">
        <f aca="false">IF(A1266="","",IFERROR(DATEVALUE(INDEX('COOIS Raw'!$A:$GZ,ROW()-4,$F$4)),INDEX('COOIS Raw'!$A:$GZ,ROW()-4,$F$4)))</f>
        <v/>
      </c>
      <c r="G1266" s="41" t="str">
        <f aca="false">IF(A1266="","",IF(ISNA(MATCH(B1266,'Kitting Plan'!$B$6:$B$19,0)),"Not in plan","Yes"))</f>
        <v/>
      </c>
      <c r="H1266" s="41" t="str">
        <f aca="false">IF(G1266="Yes",INDEX('Kitting Plan'!$D$6:$D$19,MATCH(B1266,'Kitting Plan'!$B$6:$B$19,0)),"")</f>
        <v/>
      </c>
      <c r="I1266" s="41" t="str">
        <f aca="false">IF(A1266="","",IF(ISNUMBER(SEARCH("PRT",E1266)),D1266,0))</f>
        <v/>
      </c>
      <c r="J1266" s="41" t="str">
        <f aca="false">IF(A1266="","",IF(ISNUMBER(SEARCH("GMPS",E1266)),D1266,0))</f>
        <v/>
      </c>
      <c r="K1266" s="41" t="str">
        <f aca="false">IF(A1266="","",IF(ISNUMBER(SEARCH("DLV",E1266)),D1266,0))</f>
        <v/>
      </c>
      <c r="L1266" s="41" t="str">
        <f aca="false">IF(A1266="","",IF(K1266&gt;0,"Delivered",IF(ISNUMBER(SEARCH("CNF",E1266)),"In production",IF(J1266&gt;0,"Issued",IF(I1266&gt;0,"Kitted","Released")))))</f>
        <v/>
      </c>
      <c r="M1266" s="41" t="str">
        <f aca="false">IF(G1266&lt;&gt;"Yes","",COUNTIFS($B$6:$B$1505,B1266,$F$6:$F$1505,"&lt;"&amp;F1266)+COUNTIFS($B$6:$B$1505,B1266,$F$6:$F$1505,F1266,$A$6:$A$1505,"&lt;="&amp;A1266))</f>
        <v/>
      </c>
      <c r="N1266" s="41" t="str">
        <f aca="false">IF(M1266="","",ROUNDUP(M1266/H1266,0))</f>
        <v/>
      </c>
      <c r="O1266" s="41" t="str">
        <f aca="false">IF(N1266="","",IF(N1266&lt;='Kitting Plan'!$C$3,"Rep "&amp;N1266,"Surplus"))</f>
        <v/>
      </c>
    </row>
    <row r="1267" customFormat="false" ht="15" hidden="false" customHeight="false" outlineLevel="0" collapsed="false">
      <c r="A1267" s="40" t="str">
        <f aca="false">IF(OR($A$4=0,INDEX('COOIS Raw'!$A:$GZ,ROW()-4,$A$4)=""),"",IFERROR(--INDEX('COOIS Raw'!$A:$GZ,ROW()-4,$A$4),INDEX('COOIS Raw'!$A:$GZ,ROW()-4,$A$4)))</f>
        <v/>
      </c>
      <c r="B1267" s="41" t="str">
        <f aca="false">IF(A1267="","",TRIM(INDEX('COOIS Raw'!$A:$GZ,ROW()-4,$B$4)))</f>
        <v/>
      </c>
      <c r="C1267" s="42" t="str">
        <f aca="false">IF(OR(A1267="",$C$4=0),"",INDEX('COOIS Raw'!$A:$GZ,ROW()-4,$C$4))</f>
        <v/>
      </c>
      <c r="D1267" s="41" t="str">
        <f aca="false">IF(A1267="","",IF($D$4=0,1,IFERROR(--INDEX('COOIS Raw'!$A:$GZ,ROW()-4,$D$4),1)))</f>
        <v/>
      </c>
      <c r="E1267" s="42" t="str">
        <f aca="false">IF(A1267="","",INDEX('COOIS Raw'!$A:$GZ,ROW()-4,$E$4)&amp;"")</f>
        <v/>
      </c>
      <c r="F1267" s="43" t="str">
        <f aca="false">IF(A1267="","",IFERROR(DATEVALUE(INDEX('COOIS Raw'!$A:$GZ,ROW()-4,$F$4)),INDEX('COOIS Raw'!$A:$GZ,ROW()-4,$F$4)))</f>
        <v/>
      </c>
      <c r="G1267" s="41" t="str">
        <f aca="false">IF(A1267="","",IF(ISNA(MATCH(B1267,'Kitting Plan'!$B$6:$B$19,0)),"Not in plan","Yes"))</f>
        <v/>
      </c>
      <c r="H1267" s="41" t="str">
        <f aca="false">IF(G1267="Yes",INDEX('Kitting Plan'!$D$6:$D$19,MATCH(B1267,'Kitting Plan'!$B$6:$B$19,0)),"")</f>
        <v/>
      </c>
      <c r="I1267" s="41" t="str">
        <f aca="false">IF(A1267="","",IF(ISNUMBER(SEARCH("PRT",E1267)),D1267,0))</f>
        <v/>
      </c>
      <c r="J1267" s="41" t="str">
        <f aca="false">IF(A1267="","",IF(ISNUMBER(SEARCH("GMPS",E1267)),D1267,0))</f>
        <v/>
      </c>
      <c r="K1267" s="41" t="str">
        <f aca="false">IF(A1267="","",IF(ISNUMBER(SEARCH("DLV",E1267)),D1267,0))</f>
        <v/>
      </c>
      <c r="L1267" s="41" t="str">
        <f aca="false">IF(A1267="","",IF(K1267&gt;0,"Delivered",IF(ISNUMBER(SEARCH("CNF",E1267)),"In production",IF(J1267&gt;0,"Issued",IF(I1267&gt;0,"Kitted","Released")))))</f>
        <v/>
      </c>
      <c r="M1267" s="41" t="str">
        <f aca="false">IF(G1267&lt;&gt;"Yes","",COUNTIFS($B$6:$B$1505,B1267,$F$6:$F$1505,"&lt;"&amp;F1267)+COUNTIFS($B$6:$B$1505,B1267,$F$6:$F$1505,F1267,$A$6:$A$1505,"&lt;="&amp;A1267))</f>
        <v/>
      </c>
      <c r="N1267" s="41" t="str">
        <f aca="false">IF(M1267="","",ROUNDUP(M1267/H1267,0))</f>
        <v/>
      </c>
      <c r="O1267" s="41" t="str">
        <f aca="false">IF(N1267="","",IF(N1267&lt;='Kitting Plan'!$C$3,"Rep "&amp;N1267,"Surplus"))</f>
        <v/>
      </c>
    </row>
    <row r="1268" customFormat="false" ht="15" hidden="false" customHeight="false" outlineLevel="0" collapsed="false">
      <c r="A1268" s="40" t="str">
        <f aca="false">IF(OR($A$4=0,INDEX('COOIS Raw'!$A:$GZ,ROW()-4,$A$4)=""),"",IFERROR(--INDEX('COOIS Raw'!$A:$GZ,ROW()-4,$A$4),INDEX('COOIS Raw'!$A:$GZ,ROW()-4,$A$4)))</f>
        <v/>
      </c>
      <c r="B1268" s="41" t="str">
        <f aca="false">IF(A1268="","",TRIM(INDEX('COOIS Raw'!$A:$GZ,ROW()-4,$B$4)))</f>
        <v/>
      </c>
      <c r="C1268" s="42" t="str">
        <f aca="false">IF(OR(A1268="",$C$4=0),"",INDEX('COOIS Raw'!$A:$GZ,ROW()-4,$C$4))</f>
        <v/>
      </c>
      <c r="D1268" s="41" t="str">
        <f aca="false">IF(A1268="","",IF($D$4=0,1,IFERROR(--INDEX('COOIS Raw'!$A:$GZ,ROW()-4,$D$4),1)))</f>
        <v/>
      </c>
      <c r="E1268" s="42" t="str">
        <f aca="false">IF(A1268="","",INDEX('COOIS Raw'!$A:$GZ,ROW()-4,$E$4)&amp;"")</f>
        <v/>
      </c>
      <c r="F1268" s="43" t="str">
        <f aca="false">IF(A1268="","",IFERROR(DATEVALUE(INDEX('COOIS Raw'!$A:$GZ,ROW()-4,$F$4)),INDEX('COOIS Raw'!$A:$GZ,ROW()-4,$F$4)))</f>
        <v/>
      </c>
      <c r="G1268" s="41" t="str">
        <f aca="false">IF(A1268="","",IF(ISNA(MATCH(B1268,'Kitting Plan'!$B$6:$B$19,0)),"Not in plan","Yes"))</f>
        <v/>
      </c>
      <c r="H1268" s="41" t="str">
        <f aca="false">IF(G1268="Yes",INDEX('Kitting Plan'!$D$6:$D$19,MATCH(B1268,'Kitting Plan'!$B$6:$B$19,0)),"")</f>
        <v/>
      </c>
      <c r="I1268" s="41" t="str">
        <f aca="false">IF(A1268="","",IF(ISNUMBER(SEARCH("PRT",E1268)),D1268,0))</f>
        <v/>
      </c>
      <c r="J1268" s="41" t="str">
        <f aca="false">IF(A1268="","",IF(ISNUMBER(SEARCH("GMPS",E1268)),D1268,0))</f>
        <v/>
      </c>
      <c r="K1268" s="41" t="str">
        <f aca="false">IF(A1268="","",IF(ISNUMBER(SEARCH("DLV",E1268)),D1268,0))</f>
        <v/>
      </c>
      <c r="L1268" s="41" t="str">
        <f aca="false">IF(A1268="","",IF(K1268&gt;0,"Delivered",IF(ISNUMBER(SEARCH("CNF",E1268)),"In production",IF(J1268&gt;0,"Issued",IF(I1268&gt;0,"Kitted","Released")))))</f>
        <v/>
      </c>
      <c r="M1268" s="41" t="str">
        <f aca="false">IF(G1268&lt;&gt;"Yes","",COUNTIFS($B$6:$B$1505,B1268,$F$6:$F$1505,"&lt;"&amp;F1268)+COUNTIFS($B$6:$B$1505,B1268,$F$6:$F$1505,F1268,$A$6:$A$1505,"&lt;="&amp;A1268))</f>
        <v/>
      </c>
      <c r="N1268" s="41" t="str">
        <f aca="false">IF(M1268="","",ROUNDUP(M1268/H1268,0))</f>
        <v/>
      </c>
      <c r="O1268" s="41" t="str">
        <f aca="false">IF(N1268="","",IF(N1268&lt;='Kitting Plan'!$C$3,"Rep "&amp;N1268,"Surplus"))</f>
        <v/>
      </c>
    </row>
    <row r="1269" customFormat="false" ht="15" hidden="false" customHeight="false" outlineLevel="0" collapsed="false">
      <c r="A1269" s="40" t="str">
        <f aca="false">IF(OR($A$4=0,INDEX('COOIS Raw'!$A:$GZ,ROW()-4,$A$4)=""),"",IFERROR(--INDEX('COOIS Raw'!$A:$GZ,ROW()-4,$A$4),INDEX('COOIS Raw'!$A:$GZ,ROW()-4,$A$4)))</f>
        <v/>
      </c>
      <c r="B1269" s="41" t="str">
        <f aca="false">IF(A1269="","",TRIM(INDEX('COOIS Raw'!$A:$GZ,ROW()-4,$B$4)))</f>
        <v/>
      </c>
      <c r="C1269" s="42" t="str">
        <f aca="false">IF(OR(A1269="",$C$4=0),"",INDEX('COOIS Raw'!$A:$GZ,ROW()-4,$C$4))</f>
        <v/>
      </c>
      <c r="D1269" s="41" t="str">
        <f aca="false">IF(A1269="","",IF($D$4=0,1,IFERROR(--INDEX('COOIS Raw'!$A:$GZ,ROW()-4,$D$4),1)))</f>
        <v/>
      </c>
      <c r="E1269" s="42" t="str">
        <f aca="false">IF(A1269="","",INDEX('COOIS Raw'!$A:$GZ,ROW()-4,$E$4)&amp;"")</f>
        <v/>
      </c>
      <c r="F1269" s="43" t="str">
        <f aca="false">IF(A1269="","",IFERROR(DATEVALUE(INDEX('COOIS Raw'!$A:$GZ,ROW()-4,$F$4)),INDEX('COOIS Raw'!$A:$GZ,ROW()-4,$F$4)))</f>
        <v/>
      </c>
      <c r="G1269" s="41" t="str">
        <f aca="false">IF(A1269="","",IF(ISNA(MATCH(B1269,'Kitting Plan'!$B$6:$B$19,0)),"Not in plan","Yes"))</f>
        <v/>
      </c>
      <c r="H1269" s="41" t="str">
        <f aca="false">IF(G1269="Yes",INDEX('Kitting Plan'!$D$6:$D$19,MATCH(B1269,'Kitting Plan'!$B$6:$B$19,0)),"")</f>
        <v/>
      </c>
      <c r="I1269" s="41" t="str">
        <f aca="false">IF(A1269="","",IF(ISNUMBER(SEARCH("PRT",E1269)),D1269,0))</f>
        <v/>
      </c>
      <c r="J1269" s="41" t="str">
        <f aca="false">IF(A1269="","",IF(ISNUMBER(SEARCH("GMPS",E1269)),D1269,0))</f>
        <v/>
      </c>
      <c r="K1269" s="41" t="str">
        <f aca="false">IF(A1269="","",IF(ISNUMBER(SEARCH("DLV",E1269)),D1269,0))</f>
        <v/>
      </c>
      <c r="L1269" s="41" t="str">
        <f aca="false">IF(A1269="","",IF(K1269&gt;0,"Delivered",IF(ISNUMBER(SEARCH("CNF",E1269)),"In production",IF(J1269&gt;0,"Issued",IF(I1269&gt;0,"Kitted","Released")))))</f>
        <v/>
      </c>
      <c r="M1269" s="41" t="str">
        <f aca="false">IF(G1269&lt;&gt;"Yes","",COUNTIFS($B$6:$B$1505,B1269,$F$6:$F$1505,"&lt;"&amp;F1269)+COUNTIFS($B$6:$B$1505,B1269,$F$6:$F$1505,F1269,$A$6:$A$1505,"&lt;="&amp;A1269))</f>
        <v/>
      </c>
      <c r="N1269" s="41" t="str">
        <f aca="false">IF(M1269="","",ROUNDUP(M1269/H1269,0))</f>
        <v/>
      </c>
      <c r="O1269" s="41" t="str">
        <f aca="false">IF(N1269="","",IF(N1269&lt;='Kitting Plan'!$C$3,"Rep "&amp;N1269,"Surplus"))</f>
        <v/>
      </c>
    </row>
    <row r="1270" customFormat="false" ht="15" hidden="false" customHeight="false" outlineLevel="0" collapsed="false">
      <c r="A1270" s="40" t="str">
        <f aca="false">IF(OR($A$4=0,INDEX('COOIS Raw'!$A:$GZ,ROW()-4,$A$4)=""),"",IFERROR(--INDEX('COOIS Raw'!$A:$GZ,ROW()-4,$A$4),INDEX('COOIS Raw'!$A:$GZ,ROW()-4,$A$4)))</f>
        <v/>
      </c>
      <c r="B1270" s="41" t="str">
        <f aca="false">IF(A1270="","",TRIM(INDEX('COOIS Raw'!$A:$GZ,ROW()-4,$B$4)))</f>
        <v/>
      </c>
      <c r="C1270" s="42" t="str">
        <f aca="false">IF(OR(A1270="",$C$4=0),"",INDEX('COOIS Raw'!$A:$GZ,ROW()-4,$C$4))</f>
        <v/>
      </c>
      <c r="D1270" s="41" t="str">
        <f aca="false">IF(A1270="","",IF($D$4=0,1,IFERROR(--INDEX('COOIS Raw'!$A:$GZ,ROW()-4,$D$4),1)))</f>
        <v/>
      </c>
      <c r="E1270" s="42" t="str">
        <f aca="false">IF(A1270="","",INDEX('COOIS Raw'!$A:$GZ,ROW()-4,$E$4)&amp;"")</f>
        <v/>
      </c>
      <c r="F1270" s="43" t="str">
        <f aca="false">IF(A1270="","",IFERROR(DATEVALUE(INDEX('COOIS Raw'!$A:$GZ,ROW()-4,$F$4)),INDEX('COOIS Raw'!$A:$GZ,ROW()-4,$F$4)))</f>
        <v/>
      </c>
      <c r="G1270" s="41" t="str">
        <f aca="false">IF(A1270="","",IF(ISNA(MATCH(B1270,'Kitting Plan'!$B$6:$B$19,0)),"Not in plan","Yes"))</f>
        <v/>
      </c>
      <c r="H1270" s="41" t="str">
        <f aca="false">IF(G1270="Yes",INDEX('Kitting Plan'!$D$6:$D$19,MATCH(B1270,'Kitting Plan'!$B$6:$B$19,0)),"")</f>
        <v/>
      </c>
      <c r="I1270" s="41" t="str">
        <f aca="false">IF(A1270="","",IF(ISNUMBER(SEARCH("PRT",E1270)),D1270,0))</f>
        <v/>
      </c>
      <c r="J1270" s="41" t="str">
        <f aca="false">IF(A1270="","",IF(ISNUMBER(SEARCH("GMPS",E1270)),D1270,0))</f>
        <v/>
      </c>
      <c r="K1270" s="41" t="str">
        <f aca="false">IF(A1270="","",IF(ISNUMBER(SEARCH("DLV",E1270)),D1270,0))</f>
        <v/>
      </c>
      <c r="L1270" s="41" t="str">
        <f aca="false">IF(A1270="","",IF(K1270&gt;0,"Delivered",IF(ISNUMBER(SEARCH("CNF",E1270)),"In production",IF(J1270&gt;0,"Issued",IF(I1270&gt;0,"Kitted","Released")))))</f>
        <v/>
      </c>
      <c r="M1270" s="41" t="str">
        <f aca="false">IF(G1270&lt;&gt;"Yes","",COUNTIFS($B$6:$B$1505,B1270,$F$6:$F$1505,"&lt;"&amp;F1270)+COUNTIFS($B$6:$B$1505,B1270,$F$6:$F$1505,F1270,$A$6:$A$1505,"&lt;="&amp;A1270))</f>
        <v/>
      </c>
      <c r="N1270" s="41" t="str">
        <f aca="false">IF(M1270="","",ROUNDUP(M1270/H1270,0))</f>
        <v/>
      </c>
      <c r="O1270" s="41" t="str">
        <f aca="false">IF(N1270="","",IF(N1270&lt;='Kitting Plan'!$C$3,"Rep "&amp;N1270,"Surplus"))</f>
        <v/>
      </c>
    </row>
    <row r="1271" customFormat="false" ht="15" hidden="false" customHeight="false" outlineLevel="0" collapsed="false">
      <c r="A1271" s="40" t="str">
        <f aca="false">IF(OR($A$4=0,INDEX('COOIS Raw'!$A:$GZ,ROW()-4,$A$4)=""),"",IFERROR(--INDEX('COOIS Raw'!$A:$GZ,ROW()-4,$A$4),INDEX('COOIS Raw'!$A:$GZ,ROW()-4,$A$4)))</f>
        <v/>
      </c>
      <c r="B1271" s="41" t="str">
        <f aca="false">IF(A1271="","",TRIM(INDEX('COOIS Raw'!$A:$GZ,ROW()-4,$B$4)))</f>
        <v/>
      </c>
      <c r="C1271" s="42" t="str">
        <f aca="false">IF(OR(A1271="",$C$4=0),"",INDEX('COOIS Raw'!$A:$GZ,ROW()-4,$C$4))</f>
        <v/>
      </c>
      <c r="D1271" s="41" t="str">
        <f aca="false">IF(A1271="","",IF($D$4=0,1,IFERROR(--INDEX('COOIS Raw'!$A:$GZ,ROW()-4,$D$4),1)))</f>
        <v/>
      </c>
      <c r="E1271" s="42" t="str">
        <f aca="false">IF(A1271="","",INDEX('COOIS Raw'!$A:$GZ,ROW()-4,$E$4)&amp;"")</f>
        <v/>
      </c>
      <c r="F1271" s="43" t="str">
        <f aca="false">IF(A1271="","",IFERROR(DATEVALUE(INDEX('COOIS Raw'!$A:$GZ,ROW()-4,$F$4)),INDEX('COOIS Raw'!$A:$GZ,ROW()-4,$F$4)))</f>
        <v/>
      </c>
      <c r="G1271" s="41" t="str">
        <f aca="false">IF(A1271="","",IF(ISNA(MATCH(B1271,'Kitting Plan'!$B$6:$B$19,0)),"Not in plan","Yes"))</f>
        <v/>
      </c>
      <c r="H1271" s="41" t="str">
        <f aca="false">IF(G1271="Yes",INDEX('Kitting Plan'!$D$6:$D$19,MATCH(B1271,'Kitting Plan'!$B$6:$B$19,0)),"")</f>
        <v/>
      </c>
      <c r="I1271" s="41" t="str">
        <f aca="false">IF(A1271="","",IF(ISNUMBER(SEARCH("PRT",E1271)),D1271,0))</f>
        <v/>
      </c>
      <c r="J1271" s="41" t="str">
        <f aca="false">IF(A1271="","",IF(ISNUMBER(SEARCH("GMPS",E1271)),D1271,0))</f>
        <v/>
      </c>
      <c r="K1271" s="41" t="str">
        <f aca="false">IF(A1271="","",IF(ISNUMBER(SEARCH("DLV",E1271)),D1271,0))</f>
        <v/>
      </c>
      <c r="L1271" s="41" t="str">
        <f aca="false">IF(A1271="","",IF(K1271&gt;0,"Delivered",IF(ISNUMBER(SEARCH("CNF",E1271)),"In production",IF(J1271&gt;0,"Issued",IF(I1271&gt;0,"Kitted","Released")))))</f>
        <v/>
      </c>
      <c r="M1271" s="41" t="str">
        <f aca="false">IF(G1271&lt;&gt;"Yes","",COUNTIFS($B$6:$B$1505,B1271,$F$6:$F$1505,"&lt;"&amp;F1271)+COUNTIFS($B$6:$B$1505,B1271,$F$6:$F$1505,F1271,$A$6:$A$1505,"&lt;="&amp;A1271))</f>
        <v/>
      </c>
      <c r="N1271" s="41" t="str">
        <f aca="false">IF(M1271="","",ROUNDUP(M1271/H1271,0))</f>
        <v/>
      </c>
      <c r="O1271" s="41" t="str">
        <f aca="false">IF(N1271="","",IF(N1271&lt;='Kitting Plan'!$C$3,"Rep "&amp;N1271,"Surplus"))</f>
        <v/>
      </c>
    </row>
    <row r="1272" customFormat="false" ht="15" hidden="false" customHeight="false" outlineLevel="0" collapsed="false">
      <c r="A1272" s="40" t="str">
        <f aca="false">IF(OR($A$4=0,INDEX('COOIS Raw'!$A:$GZ,ROW()-4,$A$4)=""),"",IFERROR(--INDEX('COOIS Raw'!$A:$GZ,ROW()-4,$A$4),INDEX('COOIS Raw'!$A:$GZ,ROW()-4,$A$4)))</f>
        <v/>
      </c>
      <c r="B1272" s="41" t="str">
        <f aca="false">IF(A1272="","",TRIM(INDEX('COOIS Raw'!$A:$GZ,ROW()-4,$B$4)))</f>
        <v/>
      </c>
      <c r="C1272" s="42" t="str">
        <f aca="false">IF(OR(A1272="",$C$4=0),"",INDEX('COOIS Raw'!$A:$GZ,ROW()-4,$C$4))</f>
        <v/>
      </c>
      <c r="D1272" s="41" t="str">
        <f aca="false">IF(A1272="","",IF($D$4=0,1,IFERROR(--INDEX('COOIS Raw'!$A:$GZ,ROW()-4,$D$4),1)))</f>
        <v/>
      </c>
      <c r="E1272" s="42" t="str">
        <f aca="false">IF(A1272="","",INDEX('COOIS Raw'!$A:$GZ,ROW()-4,$E$4)&amp;"")</f>
        <v/>
      </c>
      <c r="F1272" s="43" t="str">
        <f aca="false">IF(A1272="","",IFERROR(DATEVALUE(INDEX('COOIS Raw'!$A:$GZ,ROW()-4,$F$4)),INDEX('COOIS Raw'!$A:$GZ,ROW()-4,$F$4)))</f>
        <v/>
      </c>
      <c r="G1272" s="41" t="str">
        <f aca="false">IF(A1272="","",IF(ISNA(MATCH(B1272,'Kitting Plan'!$B$6:$B$19,0)),"Not in plan","Yes"))</f>
        <v/>
      </c>
      <c r="H1272" s="41" t="str">
        <f aca="false">IF(G1272="Yes",INDEX('Kitting Plan'!$D$6:$D$19,MATCH(B1272,'Kitting Plan'!$B$6:$B$19,0)),"")</f>
        <v/>
      </c>
      <c r="I1272" s="41" t="str">
        <f aca="false">IF(A1272="","",IF(ISNUMBER(SEARCH("PRT",E1272)),D1272,0))</f>
        <v/>
      </c>
      <c r="J1272" s="41" t="str">
        <f aca="false">IF(A1272="","",IF(ISNUMBER(SEARCH("GMPS",E1272)),D1272,0))</f>
        <v/>
      </c>
      <c r="K1272" s="41" t="str">
        <f aca="false">IF(A1272="","",IF(ISNUMBER(SEARCH("DLV",E1272)),D1272,0))</f>
        <v/>
      </c>
      <c r="L1272" s="41" t="str">
        <f aca="false">IF(A1272="","",IF(K1272&gt;0,"Delivered",IF(ISNUMBER(SEARCH("CNF",E1272)),"In production",IF(J1272&gt;0,"Issued",IF(I1272&gt;0,"Kitted","Released")))))</f>
        <v/>
      </c>
      <c r="M1272" s="41" t="str">
        <f aca="false">IF(G1272&lt;&gt;"Yes","",COUNTIFS($B$6:$B$1505,B1272,$F$6:$F$1505,"&lt;"&amp;F1272)+COUNTIFS($B$6:$B$1505,B1272,$F$6:$F$1505,F1272,$A$6:$A$1505,"&lt;="&amp;A1272))</f>
        <v/>
      </c>
      <c r="N1272" s="41" t="str">
        <f aca="false">IF(M1272="","",ROUNDUP(M1272/H1272,0))</f>
        <v/>
      </c>
      <c r="O1272" s="41" t="str">
        <f aca="false">IF(N1272="","",IF(N1272&lt;='Kitting Plan'!$C$3,"Rep "&amp;N1272,"Surplus"))</f>
        <v/>
      </c>
    </row>
    <row r="1273" customFormat="false" ht="15" hidden="false" customHeight="false" outlineLevel="0" collapsed="false">
      <c r="A1273" s="40" t="str">
        <f aca="false">IF(OR($A$4=0,INDEX('COOIS Raw'!$A:$GZ,ROW()-4,$A$4)=""),"",IFERROR(--INDEX('COOIS Raw'!$A:$GZ,ROW()-4,$A$4),INDEX('COOIS Raw'!$A:$GZ,ROW()-4,$A$4)))</f>
        <v/>
      </c>
      <c r="B1273" s="41" t="str">
        <f aca="false">IF(A1273="","",TRIM(INDEX('COOIS Raw'!$A:$GZ,ROW()-4,$B$4)))</f>
        <v/>
      </c>
      <c r="C1273" s="42" t="str">
        <f aca="false">IF(OR(A1273="",$C$4=0),"",INDEX('COOIS Raw'!$A:$GZ,ROW()-4,$C$4))</f>
        <v/>
      </c>
      <c r="D1273" s="41" t="str">
        <f aca="false">IF(A1273="","",IF($D$4=0,1,IFERROR(--INDEX('COOIS Raw'!$A:$GZ,ROW()-4,$D$4),1)))</f>
        <v/>
      </c>
      <c r="E1273" s="42" t="str">
        <f aca="false">IF(A1273="","",INDEX('COOIS Raw'!$A:$GZ,ROW()-4,$E$4)&amp;"")</f>
        <v/>
      </c>
      <c r="F1273" s="43" t="str">
        <f aca="false">IF(A1273="","",IFERROR(DATEVALUE(INDEX('COOIS Raw'!$A:$GZ,ROW()-4,$F$4)),INDEX('COOIS Raw'!$A:$GZ,ROW()-4,$F$4)))</f>
        <v/>
      </c>
      <c r="G1273" s="41" t="str">
        <f aca="false">IF(A1273="","",IF(ISNA(MATCH(B1273,'Kitting Plan'!$B$6:$B$19,0)),"Not in plan","Yes"))</f>
        <v/>
      </c>
      <c r="H1273" s="41" t="str">
        <f aca="false">IF(G1273="Yes",INDEX('Kitting Plan'!$D$6:$D$19,MATCH(B1273,'Kitting Plan'!$B$6:$B$19,0)),"")</f>
        <v/>
      </c>
      <c r="I1273" s="41" t="str">
        <f aca="false">IF(A1273="","",IF(ISNUMBER(SEARCH("PRT",E1273)),D1273,0))</f>
        <v/>
      </c>
      <c r="J1273" s="41" t="str">
        <f aca="false">IF(A1273="","",IF(ISNUMBER(SEARCH("GMPS",E1273)),D1273,0))</f>
        <v/>
      </c>
      <c r="K1273" s="41" t="str">
        <f aca="false">IF(A1273="","",IF(ISNUMBER(SEARCH("DLV",E1273)),D1273,0))</f>
        <v/>
      </c>
      <c r="L1273" s="41" t="str">
        <f aca="false">IF(A1273="","",IF(K1273&gt;0,"Delivered",IF(ISNUMBER(SEARCH("CNF",E1273)),"In production",IF(J1273&gt;0,"Issued",IF(I1273&gt;0,"Kitted","Released")))))</f>
        <v/>
      </c>
      <c r="M1273" s="41" t="str">
        <f aca="false">IF(G1273&lt;&gt;"Yes","",COUNTIFS($B$6:$B$1505,B1273,$F$6:$F$1505,"&lt;"&amp;F1273)+COUNTIFS($B$6:$B$1505,B1273,$F$6:$F$1505,F1273,$A$6:$A$1505,"&lt;="&amp;A1273))</f>
        <v/>
      </c>
      <c r="N1273" s="41" t="str">
        <f aca="false">IF(M1273="","",ROUNDUP(M1273/H1273,0))</f>
        <v/>
      </c>
      <c r="O1273" s="41" t="str">
        <f aca="false">IF(N1273="","",IF(N1273&lt;='Kitting Plan'!$C$3,"Rep "&amp;N1273,"Surplus"))</f>
        <v/>
      </c>
    </row>
    <row r="1274" customFormat="false" ht="15" hidden="false" customHeight="false" outlineLevel="0" collapsed="false">
      <c r="A1274" s="40" t="str">
        <f aca="false">IF(OR($A$4=0,INDEX('COOIS Raw'!$A:$GZ,ROW()-4,$A$4)=""),"",IFERROR(--INDEX('COOIS Raw'!$A:$GZ,ROW()-4,$A$4),INDEX('COOIS Raw'!$A:$GZ,ROW()-4,$A$4)))</f>
        <v/>
      </c>
      <c r="B1274" s="41" t="str">
        <f aca="false">IF(A1274="","",TRIM(INDEX('COOIS Raw'!$A:$GZ,ROW()-4,$B$4)))</f>
        <v/>
      </c>
      <c r="C1274" s="42" t="str">
        <f aca="false">IF(OR(A1274="",$C$4=0),"",INDEX('COOIS Raw'!$A:$GZ,ROW()-4,$C$4))</f>
        <v/>
      </c>
      <c r="D1274" s="41" t="str">
        <f aca="false">IF(A1274="","",IF($D$4=0,1,IFERROR(--INDEX('COOIS Raw'!$A:$GZ,ROW()-4,$D$4),1)))</f>
        <v/>
      </c>
      <c r="E1274" s="42" t="str">
        <f aca="false">IF(A1274="","",INDEX('COOIS Raw'!$A:$GZ,ROW()-4,$E$4)&amp;"")</f>
        <v/>
      </c>
      <c r="F1274" s="43" t="str">
        <f aca="false">IF(A1274="","",IFERROR(DATEVALUE(INDEX('COOIS Raw'!$A:$GZ,ROW()-4,$F$4)),INDEX('COOIS Raw'!$A:$GZ,ROW()-4,$F$4)))</f>
        <v/>
      </c>
      <c r="G1274" s="41" t="str">
        <f aca="false">IF(A1274="","",IF(ISNA(MATCH(B1274,'Kitting Plan'!$B$6:$B$19,0)),"Not in plan","Yes"))</f>
        <v/>
      </c>
      <c r="H1274" s="41" t="str">
        <f aca="false">IF(G1274="Yes",INDEX('Kitting Plan'!$D$6:$D$19,MATCH(B1274,'Kitting Plan'!$B$6:$B$19,0)),"")</f>
        <v/>
      </c>
      <c r="I1274" s="41" t="str">
        <f aca="false">IF(A1274="","",IF(ISNUMBER(SEARCH("PRT",E1274)),D1274,0))</f>
        <v/>
      </c>
      <c r="J1274" s="41" t="str">
        <f aca="false">IF(A1274="","",IF(ISNUMBER(SEARCH("GMPS",E1274)),D1274,0))</f>
        <v/>
      </c>
      <c r="K1274" s="41" t="str">
        <f aca="false">IF(A1274="","",IF(ISNUMBER(SEARCH("DLV",E1274)),D1274,0))</f>
        <v/>
      </c>
      <c r="L1274" s="41" t="str">
        <f aca="false">IF(A1274="","",IF(K1274&gt;0,"Delivered",IF(ISNUMBER(SEARCH("CNF",E1274)),"In production",IF(J1274&gt;0,"Issued",IF(I1274&gt;0,"Kitted","Released")))))</f>
        <v/>
      </c>
      <c r="M1274" s="41" t="str">
        <f aca="false">IF(G1274&lt;&gt;"Yes","",COUNTIFS($B$6:$B$1505,B1274,$F$6:$F$1505,"&lt;"&amp;F1274)+COUNTIFS($B$6:$B$1505,B1274,$F$6:$F$1505,F1274,$A$6:$A$1505,"&lt;="&amp;A1274))</f>
        <v/>
      </c>
      <c r="N1274" s="41" t="str">
        <f aca="false">IF(M1274="","",ROUNDUP(M1274/H1274,0))</f>
        <v/>
      </c>
      <c r="O1274" s="41" t="str">
        <f aca="false">IF(N1274="","",IF(N1274&lt;='Kitting Plan'!$C$3,"Rep "&amp;N1274,"Surplus"))</f>
        <v/>
      </c>
    </row>
    <row r="1275" customFormat="false" ht="15" hidden="false" customHeight="false" outlineLevel="0" collapsed="false">
      <c r="A1275" s="40" t="str">
        <f aca="false">IF(OR($A$4=0,INDEX('COOIS Raw'!$A:$GZ,ROW()-4,$A$4)=""),"",IFERROR(--INDEX('COOIS Raw'!$A:$GZ,ROW()-4,$A$4),INDEX('COOIS Raw'!$A:$GZ,ROW()-4,$A$4)))</f>
        <v/>
      </c>
      <c r="B1275" s="41" t="str">
        <f aca="false">IF(A1275="","",TRIM(INDEX('COOIS Raw'!$A:$GZ,ROW()-4,$B$4)))</f>
        <v/>
      </c>
      <c r="C1275" s="42" t="str">
        <f aca="false">IF(OR(A1275="",$C$4=0),"",INDEX('COOIS Raw'!$A:$GZ,ROW()-4,$C$4))</f>
        <v/>
      </c>
      <c r="D1275" s="41" t="str">
        <f aca="false">IF(A1275="","",IF($D$4=0,1,IFERROR(--INDEX('COOIS Raw'!$A:$GZ,ROW()-4,$D$4),1)))</f>
        <v/>
      </c>
      <c r="E1275" s="42" t="str">
        <f aca="false">IF(A1275="","",INDEX('COOIS Raw'!$A:$GZ,ROW()-4,$E$4)&amp;"")</f>
        <v/>
      </c>
      <c r="F1275" s="43" t="str">
        <f aca="false">IF(A1275="","",IFERROR(DATEVALUE(INDEX('COOIS Raw'!$A:$GZ,ROW()-4,$F$4)),INDEX('COOIS Raw'!$A:$GZ,ROW()-4,$F$4)))</f>
        <v/>
      </c>
      <c r="G1275" s="41" t="str">
        <f aca="false">IF(A1275="","",IF(ISNA(MATCH(B1275,'Kitting Plan'!$B$6:$B$19,0)),"Not in plan","Yes"))</f>
        <v/>
      </c>
      <c r="H1275" s="41" t="str">
        <f aca="false">IF(G1275="Yes",INDEX('Kitting Plan'!$D$6:$D$19,MATCH(B1275,'Kitting Plan'!$B$6:$B$19,0)),"")</f>
        <v/>
      </c>
      <c r="I1275" s="41" t="str">
        <f aca="false">IF(A1275="","",IF(ISNUMBER(SEARCH("PRT",E1275)),D1275,0))</f>
        <v/>
      </c>
      <c r="J1275" s="41" t="str">
        <f aca="false">IF(A1275="","",IF(ISNUMBER(SEARCH("GMPS",E1275)),D1275,0))</f>
        <v/>
      </c>
      <c r="K1275" s="41" t="str">
        <f aca="false">IF(A1275="","",IF(ISNUMBER(SEARCH("DLV",E1275)),D1275,0))</f>
        <v/>
      </c>
      <c r="L1275" s="41" t="str">
        <f aca="false">IF(A1275="","",IF(K1275&gt;0,"Delivered",IF(ISNUMBER(SEARCH("CNF",E1275)),"In production",IF(J1275&gt;0,"Issued",IF(I1275&gt;0,"Kitted","Released")))))</f>
        <v/>
      </c>
      <c r="M1275" s="41" t="str">
        <f aca="false">IF(G1275&lt;&gt;"Yes","",COUNTIFS($B$6:$B$1505,B1275,$F$6:$F$1505,"&lt;"&amp;F1275)+COUNTIFS($B$6:$B$1505,B1275,$F$6:$F$1505,F1275,$A$6:$A$1505,"&lt;="&amp;A1275))</f>
        <v/>
      </c>
      <c r="N1275" s="41" t="str">
        <f aca="false">IF(M1275="","",ROUNDUP(M1275/H1275,0))</f>
        <v/>
      </c>
      <c r="O1275" s="41" t="str">
        <f aca="false">IF(N1275="","",IF(N1275&lt;='Kitting Plan'!$C$3,"Rep "&amp;N1275,"Surplus"))</f>
        <v/>
      </c>
    </row>
    <row r="1276" customFormat="false" ht="15" hidden="false" customHeight="false" outlineLevel="0" collapsed="false">
      <c r="A1276" s="40" t="str">
        <f aca="false">IF(OR($A$4=0,INDEX('COOIS Raw'!$A:$GZ,ROW()-4,$A$4)=""),"",IFERROR(--INDEX('COOIS Raw'!$A:$GZ,ROW()-4,$A$4),INDEX('COOIS Raw'!$A:$GZ,ROW()-4,$A$4)))</f>
        <v/>
      </c>
      <c r="B1276" s="41" t="str">
        <f aca="false">IF(A1276="","",TRIM(INDEX('COOIS Raw'!$A:$GZ,ROW()-4,$B$4)))</f>
        <v/>
      </c>
      <c r="C1276" s="42" t="str">
        <f aca="false">IF(OR(A1276="",$C$4=0),"",INDEX('COOIS Raw'!$A:$GZ,ROW()-4,$C$4))</f>
        <v/>
      </c>
      <c r="D1276" s="41" t="str">
        <f aca="false">IF(A1276="","",IF($D$4=0,1,IFERROR(--INDEX('COOIS Raw'!$A:$GZ,ROW()-4,$D$4),1)))</f>
        <v/>
      </c>
      <c r="E1276" s="42" t="str">
        <f aca="false">IF(A1276="","",INDEX('COOIS Raw'!$A:$GZ,ROW()-4,$E$4)&amp;"")</f>
        <v/>
      </c>
      <c r="F1276" s="43" t="str">
        <f aca="false">IF(A1276="","",IFERROR(DATEVALUE(INDEX('COOIS Raw'!$A:$GZ,ROW()-4,$F$4)),INDEX('COOIS Raw'!$A:$GZ,ROW()-4,$F$4)))</f>
        <v/>
      </c>
      <c r="G1276" s="41" t="str">
        <f aca="false">IF(A1276="","",IF(ISNA(MATCH(B1276,'Kitting Plan'!$B$6:$B$19,0)),"Not in plan","Yes"))</f>
        <v/>
      </c>
      <c r="H1276" s="41" t="str">
        <f aca="false">IF(G1276="Yes",INDEX('Kitting Plan'!$D$6:$D$19,MATCH(B1276,'Kitting Plan'!$B$6:$B$19,0)),"")</f>
        <v/>
      </c>
      <c r="I1276" s="41" t="str">
        <f aca="false">IF(A1276="","",IF(ISNUMBER(SEARCH("PRT",E1276)),D1276,0))</f>
        <v/>
      </c>
      <c r="J1276" s="41" t="str">
        <f aca="false">IF(A1276="","",IF(ISNUMBER(SEARCH("GMPS",E1276)),D1276,0))</f>
        <v/>
      </c>
      <c r="K1276" s="41" t="str">
        <f aca="false">IF(A1276="","",IF(ISNUMBER(SEARCH("DLV",E1276)),D1276,0))</f>
        <v/>
      </c>
      <c r="L1276" s="41" t="str">
        <f aca="false">IF(A1276="","",IF(K1276&gt;0,"Delivered",IF(ISNUMBER(SEARCH("CNF",E1276)),"In production",IF(J1276&gt;0,"Issued",IF(I1276&gt;0,"Kitted","Released")))))</f>
        <v/>
      </c>
      <c r="M1276" s="41" t="str">
        <f aca="false">IF(G1276&lt;&gt;"Yes","",COUNTIFS($B$6:$B$1505,B1276,$F$6:$F$1505,"&lt;"&amp;F1276)+COUNTIFS($B$6:$B$1505,B1276,$F$6:$F$1505,F1276,$A$6:$A$1505,"&lt;="&amp;A1276))</f>
        <v/>
      </c>
      <c r="N1276" s="41" t="str">
        <f aca="false">IF(M1276="","",ROUNDUP(M1276/H1276,0))</f>
        <v/>
      </c>
      <c r="O1276" s="41" t="str">
        <f aca="false">IF(N1276="","",IF(N1276&lt;='Kitting Plan'!$C$3,"Rep "&amp;N1276,"Surplus"))</f>
        <v/>
      </c>
    </row>
    <row r="1277" customFormat="false" ht="15" hidden="false" customHeight="false" outlineLevel="0" collapsed="false">
      <c r="A1277" s="40" t="str">
        <f aca="false">IF(OR($A$4=0,INDEX('COOIS Raw'!$A:$GZ,ROW()-4,$A$4)=""),"",IFERROR(--INDEX('COOIS Raw'!$A:$GZ,ROW()-4,$A$4),INDEX('COOIS Raw'!$A:$GZ,ROW()-4,$A$4)))</f>
        <v/>
      </c>
      <c r="B1277" s="41" t="str">
        <f aca="false">IF(A1277="","",TRIM(INDEX('COOIS Raw'!$A:$GZ,ROW()-4,$B$4)))</f>
        <v/>
      </c>
      <c r="C1277" s="42" t="str">
        <f aca="false">IF(OR(A1277="",$C$4=0),"",INDEX('COOIS Raw'!$A:$GZ,ROW()-4,$C$4))</f>
        <v/>
      </c>
      <c r="D1277" s="41" t="str">
        <f aca="false">IF(A1277="","",IF($D$4=0,1,IFERROR(--INDEX('COOIS Raw'!$A:$GZ,ROW()-4,$D$4),1)))</f>
        <v/>
      </c>
      <c r="E1277" s="42" t="str">
        <f aca="false">IF(A1277="","",INDEX('COOIS Raw'!$A:$GZ,ROW()-4,$E$4)&amp;"")</f>
        <v/>
      </c>
      <c r="F1277" s="43" t="str">
        <f aca="false">IF(A1277="","",IFERROR(DATEVALUE(INDEX('COOIS Raw'!$A:$GZ,ROW()-4,$F$4)),INDEX('COOIS Raw'!$A:$GZ,ROW()-4,$F$4)))</f>
        <v/>
      </c>
      <c r="G1277" s="41" t="str">
        <f aca="false">IF(A1277="","",IF(ISNA(MATCH(B1277,'Kitting Plan'!$B$6:$B$19,0)),"Not in plan","Yes"))</f>
        <v/>
      </c>
      <c r="H1277" s="41" t="str">
        <f aca="false">IF(G1277="Yes",INDEX('Kitting Plan'!$D$6:$D$19,MATCH(B1277,'Kitting Plan'!$B$6:$B$19,0)),"")</f>
        <v/>
      </c>
      <c r="I1277" s="41" t="str">
        <f aca="false">IF(A1277="","",IF(ISNUMBER(SEARCH("PRT",E1277)),D1277,0))</f>
        <v/>
      </c>
      <c r="J1277" s="41" t="str">
        <f aca="false">IF(A1277="","",IF(ISNUMBER(SEARCH("GMPS",E1277)),D1277,0))</f>
        <v/>
      </c>
      <c r="K1277" s="41" t="str">
        <f aca="false">IF(A1277="","",IF(ISNUMBER(SEARCH("DLV",E1277)),D1277,0))</f>
        <v/>
      </c>
      <c r="L1277" s="41" t="str">
        <f aca="false">IF(A1277="","",IF(K1277&gt;0,"Delivered",IF(ISNUMBER(SEARCH("CNF",E1277)),"In production",IF(J1277&gt;0,"Issued",IF(I1277&gt;0,"Kitted","Released")))))</f>
        <v/>
      </c>
      <c r="M1277" s="41" t="str">
        <f aca="false">IF(G1277&lt;&gt;"Yes","",COUNTIFS($B$6:$B$1505,B1277,$F$6:$F$1505,"&lt;"&amp;F1277)+COUNTIFS($B$6:$B$1505,B1277,$F$6:$F$1505,F1277,$A$6:$A$1505,"&lt;="&amp;A1277))</f>
        <v/>
      </c>
      <c r="N1277" s="41" t="str">
        <f aca="false">IF(M1277="","",ROUNDUP(M1277/H1277,0))</f>
        <v/>
      </c>
      <c r="O1277" s="41" t="str">
        <f aca="false">IF(N1277="","",IF(N1277&lt;='Kitting Plan'!$C$3,"Rep "&amp;N1277,"Surplus"))</f>
        <v/>
      </c>
    </row>
    <row r="1278" customFormat="false" ht="15" hidden="false" customHeight="false" outlineLevel="0" collapsed="false">
      <c r="A1278" s="40" t="str">
        <f aca="false">IF(OR($A$4=0,INDEX('COOIS Raw'!$A:$GZ,ROW()-4,$A$4)=""),"",IFERROR(--INDEX('COOIS Raw'!$A:$GZ,ROW()-4,$A$4),INDEX('COOIS Raw'!$A:$GZ,ROW()-4,$A$4)))</f>
        <v/>
      </c>
      <c r="B1278" s="41" t="str">
        <f aca="false">IF(A1278="","",TRIM(INDEX('COOIS Raw'!$A:$GZ,ROW()-4,$B$4)))</f>
        <v/>
      </c>
      <c r="C1278" s="42" t="str">
        <f aca="false">IF(OR(A1278="",$C$4=0),"",INDEX('COOIS Raw'!$A:$GZ,ROW()-4,$C$4))</f>
        <v/>
      </c>
      <c r="D1278" s="41" t="str">
        <f aca="false">IF(A1278="","",IF($D$4=0,1,IFERROR(--INDEX('COOIS Raw'!$A:$GZ,ROW()-4,$D$4),1)))</f>
        <v/>
      </c>
      <c r="E1278" s="42" t="str">
        <f aca="false">IF(A1278="","",INDEX('COOIS Raw'!$A:$GZ,ROW()-4,$E$4)&amp;"")</f>
        <v/>
      </c>
      <c r="F1278" s="43" t="str">
        <f aca="false">IF(A1278="","",IFERROR(DATEVALUE(INDEX('COOIS Raw'!$A:$GZ,ROW()-4,$F$4)),INDEX('COOIS Raw'!$A:$GZ,ROW()-4,$F$4)))</f>
        <v/>
      </c>
      <c r="G1278" s="41" t="str">
        <f aca="false">IF(A1278="","",IF(ISNA(MATCH(B1278,'Kitting Plan'!$B$6:$B$19,0)),"Not in plan","Yes"))</f>
        <v/>
      </c>
      <c r="H1278" s="41" t="str">
        <f aca="false">IF(G1278="Yes",INDEX('Kitting Plan'!$D$6:$D$19,MATCH(B1278,'Kitting Plan'!$B$6:$B$19,0)),"")</f>
        <v/>
      </c>
      <c r="I1278" s="41" t="str">
        <f aca="false">IF(A1278="","",IF(ISNUMBER(SEARCH("PRT",E1278)),D1278,0))</f>
        <v/>
      </c>
      <c r="J1278" s="41" t="str">
        <f aca="false">IF(A1278="","",IF(ISNUMBER(SEARCH("GMPS",E1278)),D1278,0))</f>
        <v/>
      </c>
      <c r="K1278" s="41" t="str">
        <f aca="false">IF(A1278="","",IF(ISNUMBER(SEARCH("DLV",E1278)),D1278,0))</f>
        <v/>
      </c>
      <c r="L1278" s="41" t="str">
        <f aca="false">IF(A1278="","",IF(K1278&gt;0,"Delivered",IF(ISNUMBER(SEARCH("CNF",E1278)),"In production",IF(J1278&gt;0,"Issued",IF(I1278&gt;0,"Kitted","Released")))))</f>
        <v/>
      </c>
      <c r="M1278" s="41" t="str">
        <f aca="false">IF(G1278&lt;&gt;"Yes","",COUNTIFS($B$6:$B$1505,B1278,$F$6:$F$1505,"&lt;"&amp;F1278)+COUNTIFS($B$6:$B$1505,B1278,$F$6:$F$1505,F1278,$A$6:$A$1505,"&lt;="&amp;A1278))</f>
        <v/>
      </c>
      <c r="N1278" s="41" t="str">
        <f aca="false">IF(M1278="","",ROUNDUP(M1278/H1278,0))</f>
        <v/>
      </c>
      <c r="O1278" s="41" t="str">
        <f aca="false">IF(N1278="","",IF(N1278&lt;='Kitting Plan'!$C$3,"Rep "&amp;N1278,"Surplus"))</f>
        <v/>
      </c>
    </row>
    <row r="1279" customFormat="false" ht="15" hidden="false" customHeight="false" outlineLevel="0" collapsed="false">
      <c r="A1279" s="40" t="str">
        <f aca="false">IF(OR($A$4=0,INDEX('COOIS Raw'!$A:$GZ,ROW()-4,$A$4)=""),"",IFERROR(--INDEX('COOIS Raw'!$A:$GZ,ROW()-4,$A$4),INDEX('COOIS Raw'!$A:$GZ,ROW()-4,$A$4)))</f>
        <v/>
      </c>
      <c r="B1279" s="41" t="str">
        <f aca="false">IF(A1279="","",TRIM(INDEX('COOIS Raw'!$A:$GZ,ROW()-4,$B$4)))</f>
        <v/>
      </c>
      <c r="C1279" s="42" t="str">
        <f aca="false">IF(OR(A1279="",$C$4=0),"",INDEX('COOIS Raw'!$A:$GZ,ROW()-4,$C$4))</f>
        <v/>
      </c>
      <c r="D1279" s="41" t="str">
        <f aca="false">IF(A1279="","",IF($D$4=0,1,IFERROR(--INDEX('COOIS Raw'!$A:$GZ,ROW()-4,$D$4),1)))</f>
        <v/>
      </c>
      <c r="E1279" s="42" t="str">
        <f aca="false">IF(A1279="","",INDEX('COOIS Raw'!$A:$GZ,ROW()-4,$E$4)&amp;"")</f>
        <v/>
      </c>
      <c r="F1279" s="43" t="str">
        <f aca="false">IF(A1279="","",IFERROR(DATEVALUE(INDEX('COOIS Raw'!$A:$GZ,ROW()-4,$F$4)),INDEX('COOIS Raw'!$A:$GZ,ROW()-4,$F$4)))</f>
        <v/>
      </c>
      <c r="G1279" s="41" t="str">
        <f aca="false">IF(A1279="","",IF(ISNA(MATCH(B1279,'Kitting Plan'!$B$6:$B$19,0)),"Not in plan","Yes"))</f>
        <v/>
      </c>
      <c r="H1279" s="41" t="str">
        <f aca="false">IF(G1279="Yes",INDEX('Kitting Plan'!$D$6:$D$19,MATCH(B1279,'Kitting Plan'!$B$6:$B$19,0)),"")</f>
        <v/>
      </c>
      <c r="I1279" s="41" t="str">
        <f aca="false">IF(A1279="","",IF(ISNUMBER(SEARCH("PRT",E1279)),D1279,0))</f>
        <v/>
      </c>
      <c r="J1279" s="41" t="str">
        <f aca="false">IF(A1279="","",IF(ISNUMBER(SEARCH("GMPS",E1279)),D1279,0))</f>
        <v/>
      </c>
      <c r="K1279" s="41" t="str">
        <f aca="false">IF(A1279="","",IF(ISNUMBER(SEARCH("DLV",E1279)),D1279,0))</f>
        <v/>
      </c>
      <c r="L1279" s="41" t="str">
        <f aca="false">IF(A1279="","",IF(K1279&gt;0,"Delivered",IF(ISNUMBER(SEARCH("CNF",E1279)),"In production",IF(J1279&gt;0,"Issued",IF(I1279&gt;0,"Kitted","Released")))))</f>
        <v/>
      </c>
      <c r="M1279" s="41" t="str">
        <f aca="false">IF(G1279&lt;&gt;"Yes","",COUNTIFS($B$6:$B$1505,B1279,$F$6:$F$1505,"&lt;"&amp;F1279)+COUNTIFS($B$6:$B$1505,B1279,$F$6:$F$1505,F1279,$A$6:$A$1505,"&lt;="&amp;A1279))</f>
        <v/>
      </c>
      <c r="N1279" s="41" t="str">
        <f aca="false">IF(M1279="","",ROUNDUP(M1279/H1279,0))</f>
        <v/>
      </c>
      <c r="O1279" s="41" t="str">
        <f aca="false">IF(N1279="","",IF(N1279&lt;='Kitting Plan'!$C$3,"Rep "&amp;N1279,"Surplus"))</f>
        <v/>
      </c>
    </row>
    <row r="1280" customFormat="false" ht="15" hidden="false" customHeight="false" outlineLevel="0" collapsed="false">
      <c r="A1280" s="40" t="str">
        <f aca="false">IF(OR($A$4=0,INDEX('COOIS Raw'!$A:$GZ,ROW()-4,$A$4)=""),"",IFERROR(--INDEX('COOIS Raw'!$A:$GZ,ROW()-4,$A$4),INDEX('COOIS Raw'!$A:$GZ,ROW()-4,$A$4)))</f>
        <v/>
      </c>
      <c r="B1280" s="41" t="str">
        <f aca="false">IF(A1280="","",TRIM(INDEX('COOIS Raw'!$A:$GZ,ROW()-4,$B$4)))</f>
        <v/>
      </c>
      <c r="C1280" s="42" t="str">
        <f aca="false">IF(OR(A1280="",$C$4=0),"",INDEX('COOIS Raw'!$A:$GZ,ROW()-4,$C$4))</f>
        <v/>
      </c>
      <c r="D1280" s="41" t="str">
        <f aca="false">IF(A1280="","",IF($D$4=0,1,IFERROR(--INDEX('COOIS Raw'!$A:$GZ,ROW()-4,$D$4),1)))</f>
        <v/>
      </c>
      <c r="E1280" s="42" t="str">
        <f aca="false">IF(A1280="","",INDEX('COOIS Raw'!$A:$GZ,ROW()-4,$E$4)&amp;"")</f>
        <v/>
      </c>
      <c r="F1280" s="43" t="str">
        <f aca="false">IF(A1280="","",IFERROR(DATEVALUE(INDEX('COOIS Raw'!$A:$GZ,ROW()-4,$F$4)),INDEX('COOIS Raw'!$A:$GZ,ROW()-4,$F$4)))</f>
        <v/>
      </c>
      <c r="G1280" s="41" t="str">
        <f aca="false">IF(A1280="","",IF(ISNA(MATCH(B1280,'Kitting Plan'!$B$6:$B$19,0)),"Not in plan","Yes"))</f>
        <v/>
      </c>
      <c r="H1280" s="41" t="str">
        <f aca="false">IF(G1280="Yes",INDEX('Kitting Plan'!$D$6:$D$19,MATCH(B1280,'Kitting Plan'!$B$6:$B$19,0)),"")</f>
        <v/>
      </c>
      <c r="I1280" s="41" t="str">
        <f aca="false">IF(A1280="","",IF(ISNUMBER(SEARCH("PRT",E1280)),D1280,0))</f>
        <v/>
      </c>
      <c r="J1280" s="41" t="str">
        <f aca="false">IF(A1280="","",IF(ISNUMBER(SEARCH("GMPS",E1280)),D1280,0))</f>
        <v/>
      </c>
      <c r="K1280" s="41" t="str">
        <f aca="false">IF(A1280="","",IF(ISNUMBER(SEARCH("DLV",E1280)),D1280,0))</f>
        <v/>
      </c>
      <c r="L1280" s="41" t="str">
        <f aca="false">IF(A1280="","",IF(K1280&gt;0,"Delivered",IF(ISNUMBER(SEARCH("CNF",E1280)),"In production",IF(J1280&gt;0,"Issued",IF(I1280&gt;0,"Kitted","Released")))))</f>
        <v/>
      </c>
      <c r="M1280" s="41" t="str">
        <f aca="false">IF(G1280&lt;&gt;"Yes","",COUNTIFS($B$6:$B$1505,B1280,$F$6:$F$1505,"&lt;"&amp;F1280)+COUNTIFS($B$6:$B$1505,B1280,$F$6:$F$1505,F1280,$A$6:$A$1505,"&lt;="&amp;A1280))</f>
        <v/>
      </c>
      <c r="N1280" s="41" t="str">
        <f aca="false">IF(M1280="","",ROUNDUP(M1280/H1280,0))</f>
        <v/>
      </c>
      <c r="O1280" s="41" t="str">
        <f aca="false">IF(N1280="","",IF(N1280&lt;='Kitting Plan'!$C$3,"Rep "&amp;N1280,"Surplus"))</f>
        <v/>
      </c>
    </row>
    <row r="1281" customFormat="false" ht="15" hidden="false" customHeight="false" outlineLevel="0" collapsed="false">
      <c r="A1281" s="40" t="str">
        <f aca="false">IF(OR($A$4=0,INDEX('COOIS Raw'!$A:$GZ,ROW()-4,$A$4)=""),"",IFERROR(--INDEX('COOIS Raw'!$A:$GZ,ROW()-4,$A$4),INDEX('COOIS Raw'!$A:$GZ,ROW()-4,$A$4)))</f>
        <v/>
      </c>
      <c r="B1281" s="41" t="str">
        <f aca="false">IF(A1281="","",TRIM(INDEX('COOIS Raw'!$A:$GZ,ROW()-4,$B$4)))</f>
        <v/>
      </c>
      <c r="C1281" s="42" t="str">
        <f aca="false">IF(OR(A1281="",$C$4=0),"",INDEX('COOIS Raw'!$A:$GZ,ROW()-4,$C$4))</f>
        <v/>
      </c>
      <c r="D1281" s="41" t="str">
        <f aca="false">IF(A1281="","",IF($D$4=0,1,IFERROR(--INDEX('COOIS Raw'!$A:$GZ,ROW()-4,$D$4),1)))</f>
        <v/>
      </c>
      <c r="E1281" s="42" t="str">
        <f aca="false">IF(A1281="","",INDEX('COOIS Raw'!$A:$GZ,ROW()-4,$E$4)&amp;"")</f>
        <v/>
      </c>
      <c r="F1281" s="43" t="str">
        <f aca="false">IF(A1281="","",IFERROR(DATEVALUE(INDEX('COOIS Raw'!$A:$GZ,ROW()-4,$F$4)),INDEX('COOIS Raw'!$A:$GZ,ROW()-4,$F$4)))</f>
        <v/>
      </c>
      <c r="G1281" s="41" t="str">
        <f aca="false">IF(A1281="","",IF(ISNA(MATCH(B1281,'Kitting Plan'!$B$6:$B$19,0)),"Not in plan","Yes"))</f>
        <v/>
      </c>
      <c r="H1281" s="41" t="str">
        <f aca="false">IF(G1281="Yes",INDEX('Kitting Plan'!$D$6:$D$19,MATCH(B1281,'Kitting Plan'!$B$6:$B$19,0)),"")</f>
        <v/>
      </c>
      <c r="I1281" s="41" t="str">
        <f aca="false">IF(A1281="","",IF(ISNUMBER(SEARCH("PRT",E1281)),D1281,0))</f>
        <v/>
      </c>
      <c r="J1281" s="41" t="str">
        <f aca="false">IF(A1281="","",IF(ISNUMBER(SEARCH("GMPS",E1281)),D1281,0))</f>
        <v/>
      </c>
      <c r="K1281" s="41" t="str">
        <f aca="false">IF(A1281="","",IF(ISNUMBER(SEARCH("DLV",E1281)),D1281,0))</f>
        <v/>
      </c>
      <c r="L1281" s="41" t="str">
        <f aca="false">IF(A1281="","",IF(K1281&gt;0,"Delivered",IF(ISNUMBER(SEARCH("CNF",E1281)),"In production",IF(J1281&gt;0,"Issued",IF(I1281&gt;0,"Kitted","Released")))))</f>
        <v/>
      </c>
      <c r="M1281" s="41" t="str">
        <f aca="false">IF(G1281&lt;&gt;"Yes","",COUNTIFS($B$6:$B$1505,B1281,$F$6:$F$1505,"&lt;"&amp;F1281)+COUNTIFS($B$6:$B$1505,B1281,$F$6:$F$1505,F1281,$A$6:$A$1505,"&lt;="&amp;A1281))</f>
        <v/>
      </c>
      <c r="N1281" s="41" t="str">
        <f aca="false">IF(M1281="","",ROUNDUP(M1281/H1281,0))</f>
        <v/>
      </c>
      <c r="O1281" s="41" t="str">
        <f aca="false">IF(N1281="","",IF(N1281&lt;='Kitting Plan'!$C$3,"Rep "&amp;N1281,"Surplus"))</f>
        <v/>
      </c>
    </row>
    <row r="1282" customFormat="false" ht="15" hidden="false" customHeight="false" outlineLevel="0" collapsed="false">
      <c r="A1282" s="40" t="str">
        <f aca="false">IF(OR($A$4=0,INDEX('COOIS Raw'!$A:$GZ,ROW()-4,$A$4)=""),"",IFERROR(--INDEX('COOIS Raw'!$A:$GZ,ROW()-4,$A$4),INDEX('COOIS Raw'!$A:$GZ,ROW()-4,$A$4)))</f>
        <v/>
      </c>
      <c r="B1282" s="41" t="str">
        <f aca="false">IF(A1282="","",TRIM(INDEX('COOIS Raw'!$A:$GZ,ROW()-4,$B$4)))</f>
        <v/>
      </c>
      <c r="C1282" s="42" t="str">
        <f aca="false">IF(OR(A1282="",$C$4=0),"",INDEX('COOIS Raw'!$A:$GZ,ROW()-4,$C$4))</f>
        <v/>
      </c>
      <c r="D1282" s="41" t="str">
        <f aca="false">IF(A1282="","",IF($D$4=0,1,IFERROR(--INDEX('COOIS Raw'!$A:$GZ,ROW()-4,$D$4),1)))</f>
        <v/>
      </c>
      <c r="E1282" s="42" t="str">
        <f aca="false">IF(A1282="","",INDEX('COOIS Raw'!$A:$GZ,ROW()-4,$E$4)&amp;"")</f>
        <v/>
      </c>
      <c r="F1282" s="43" t="str">
        <f aca="false">IF(A1282="","",IFERROR(DATEVALUE(INDEX('COOIS Raw'!$A:$GZ,ROW()-4,$F$4)),INDEX('COOIS Raw'!$A:$GZ,ROW()-4,$F$4)))</f>
        <v/>
      </c>
      <c r="G1282" s="41" t="str">
        <f aca="false">IF(A1282="","",IF(ISNA(MATCH(B1282,'Kitting Plan'!$B$6:$B$19,0)),"Not in plan","Yes"))</f>
        <v/>
      </c>
      <c r="H1282" s="41" t="str">
        <f aca="false">IF(G1282="Yes",INDEX('Kitting Plan'!$D$6:$D$19,MATCH(B1282,'Kitting Plan'!$B$6:$B$19,0)),"")</f>
        <v/>
      </c>
      <c r="I1282" s="41" t="str">
        <f aca="false">IF(A1282="","",IF(ISNUMBER(SEARCH("PRT",E1282)),D1282,0))</f>
        <v/>
      </c>
      <c r="J1282" s="41" t="str">
        <f aca="false">IF(A1282="","",IF(ISNUMBER(SEARCH("GMPS",E1282)),D1282,0))</f>
        <v/>
      </c>
      <c r="K1282" s="41" t="str">
        <f aca="false">IF(A1282="","",IF(ISNUMBER(SEARCH("DLV",E1282)),D1282,0))</f>
        <v/>
      </c>
      <c r="L1282" s="41" t="str">
        <f aca="false">IF(A1282="","",IF(K1282&gt;0,"Delivered",IF(ISNUMBER(SEARCH("CNF",E1282)),"In production",IF(J1282&gt;0,"Issued",IF(I1282&gt;0,"Kitted","Released")))))</f>
        <v/>
      </c>
      <c r="M1282" s="41" t="str">
        <f aca="false">IF(G1282&lt;&gt;"Yes","",COUNTIFS($B$6:$B$1505,B1282,$F$6:$F$1505,"&lt;"&amp;F1282)+COUNTIFS($B$6:$B$1505,B1282,$F$6:$F$1505,F1282,$A$6:$A$1505,"&lt;="&amp;A1282))</f>
        <v/>
      </c>
      <c r="N1282" s="41" t="str">
        <f aca="false">IF(M1282="","",ROUNDUP(M1282/H1282,0))</f>
        <v/>
      </c>
      <c r="O1282" s="41" t="str">
        <f aca="false">IF(N1282="","",IF(N1282&lt;='Kitting Plan'!$C$3,"Rep "&amp;N1282,"Surplus"))</f>
        <v/>
      </c>
    </row>
    <row r="1283" customFormat="false" ht="15" hidden="false" customHeight="false" outlineLevel="0" collapsed="false">
      <c r="A1283" s="40" t="str">
        <f aca="false">IF(OR($A$4=0,INDEX('COOIS Raw'!$A:$GZ,ROW()-4,$A$4)=""),"",IFERROR(--INDEX('COOIS Raw'!$A:$GZ,ROW()-4,$A$4),INDEX('COOIS Raw'!$A:$GZ,ROW()-4,$A$4)))</f>
        <v/>
      </c>
      <c r="B1283" s="41" t="str">
        <f aca="false">IF(A1283="","",TRIM(INDEX('COOIS Raw'!$A:$GZ,ROW()-4,$B$4)))</f>
        <v/>
      </c>
      <c r="C1283" s="42" t="str">
        <f aca="false">IF(OR(A1283="",$C$4=0),"",INDEX('COOIS Raw'!$A:$GZ,ROW()-4,$C$4))</f>
        <v/>
      </c>
      <c r="D1283" s="41" t="str">
        <f aca="false">IF(A1283="","",IF($D$4=0,1,IFERROR(--INDEX('COOIS Raw'!$A:$GZ,ROW()-4,$D$4),1)))</f>
        <v/>
      </c>
      <c r="E1283" s="42" t="str">
        <f aca="false">IF(A1283="","",INDEX('COOIS Raw'!$A:$GZ,ROW()-4,$E$4)&amp;"")</f>
        <v/>
      </c>
      <c r="F1283" s="43" t="str">
        <f aca="false">IF(A1283="","",IFERROR(DATEVALUE(INDEX('COOIS Raw'!$A:$GZ,ROW()-4,$F$4)),INDEX('COOIS Raw'!$A:$GZ,ROW()-4,$F$4)))</f>
        <v/>
      </c>
      <c r="G1283" s="41" t="str">
        <f aca="false">IF(A1283="","",IF(ISNA(MATCH(B1283,'Kitting Plan'!$B$6:$B$19,0)),"Not in plan","Yes"))</f>
        <v/>
      </c>
      <c r="H1283" s="41" t="str">
        <f aca="false">IF(G1283="Yes",INDEX('Kitting Plan'!$D$6:$D$19,MATCH(B1283,'Kitting Plan'!$B$6:$B$19,0)),"")</f>
        <v/>
      </c>
      <c r="I1283" s="41" t="str">
        <f aca="false">IF(A1283="","",IF(ISNUMBER(SEARCH("PRT",E1283)),D1283,0))</f>
        <v/>
      </c>
      <c r="J1283" s="41" t="str">
        <f aca="false">IF(A1283="","",IF(ISNUMBER(SEARCH("GMPS",E1283)),D1283,0))</f>
        <v/>
      </c>
      <c r="K1283" s="41" t="str">
        <f aca="false">IF(A1283="","",IF(ISNUMBER(SEARCH("DLV",E1283)),D1283,0))</f>
        <v/>
      </c>
      <c r="L1283" s="41" t="str">
        <f aca="false">IF(A1283="","",IF(K1283&gt;0,"Delivered",IF(ISNUMBER(SEARCH("CNF",E1283)),"In production",IF(J1283&gt;0,"Issued",IF(I1283&gt;0,"Kitted","Released")))))</f>
        <v/>
      </c>
      <c r="M1283" s="41" t="str">
        <f aca="false">IF(G1283&lt;&gt;"Yes","",COUNTIFS($B$6:$B$1505,B1283,$F$6:$F$1505,"&lt;"&amp;F1283)+COUNTIFS($B$6:$B$1505,B1283,$F$6:$F$1505,F1283,$A$6:$A$1505,"&lt;="&amp;A1283))</f>
        <v/>
      </c>
      <c r="N1283" s="41" t="str">
        <f aca="false">IF(M1283="","",ROUNDUP(M1283/H1283,0))</f>
        <v/>
      </c>
      <c r="O1283" s="41" t="str">
        <f aca="false">IF(N1283="","",IF(N1283&lt;='Kitting Plan'!$C$3,"Rep "&amp;N1283,"Surplus"))</f>
        <v/>
      </c>
    </row>
    <row r="1284" customFormat="false" ht="15" hidden="false" customHeight="false" outlineLevel="0" collapsed="false">
      <c r="A1284" s="40" t="str">
        <f aca="false">IF(OR($A$4=0,INDEX('COOIS Raw'!$A:$GZ,ROW()-4,$A$4)=""),"",IFERROR(--INDEX('COOIS Raw'!$A:$GZ,ROW()-4,$A$4),INDEX('COOIS Raw'!$A:$GZ,ROW()-4,$A$4)))</f>
        <v/>
      </c>
      <c r="B1284" s="41" t="str">
        <f aca="false">IF(A1284="","",TRIM(INDEX('COOIS Raw'!$A:$GZ,ROW()-4,$B$4)))</f>
        <v/>
      </c>
      <c r="C1284" s="42" t="str">
        <f aca="false">IF(OR(A1284="",$C$4=0),"",INDEX('COOIS Raw'!$A:$GZ,ROW()-4,$C$4))</f>
        <v/>
      </c>
      <c r="D1284" s="41" t="str">
        <f aca="false">IF(A1284="","",IF($D$4=0,1,IFERROR(--INDEX('COOIS Raw'!$A:$GZ,ROW()-4,$D$4),1)))</f>
        <v/>
      </c>
      <c r="E1284" s="42" t="str">
        <f aca="false">IF(A1284="","",INDEX('COOIS Raw'!$A:$GZ,ROW()-4,$E$4)&amp;"")</f>
        <v/>
      </c>
      <c r="F1284" s="43" t="str">
        <f aca="false">IF(A1284="","",IFERROR(DATEVALUE(INDEX('COOIS Raw'!$A:$GZ,ROW()-4,$F$4)),INDEX('COOIS Raw'!$A:$GZ,ROW()-4,$F$4)))</f>
        <v/>
      </c>
      <c r="G1284" s="41" t="str">
        <f aca="false">IF(A1284="","",IF(ISNA(MATCH(B1284,'Kitting Plan'!$B$6:$B$19,0)),"Not in plan","Yes"))</f>
        <v/>
      </c>
      <c r="H1284" s="41" t="str">
        <f aca="false">IF(G1284="Yes",INDEX('Kitting Plan'!$D$6:$D$19,MATCH(B1284,'Kitting Plan'!$B$6:$B$19,0)),"")</f>
        <v/>
      </c>
      <c r="I1284" s="41" t="str">
        <f aca="false">IF(A1284="","",IF(ISNUMBER(SEARCH("PRT",E1284)),D1284,0))</f>
        <v/>
      </c>
      <c r="J1284" s="41" t="str">
        <f aca="false">IF(A1284="","",IF(ISNUMBER(SEARCH("GMPS",E1284)),D1284,0))</f>
        <v/>
      </c>
      <c r="K1284" s="41" t="str">
        <f aca="false">IF(A1284="","",IF(ISNUMBER(SEARCH("DLV",E1284)),D1284,0))</f>
        <v/>
      </c>
      <c r="L1284" s="41" t="str">
        <f aca="false">IF(A1284="","",IF(K1284&gt;0,"Delivered",IF(ISNUMBER(SEARCH("CNF",E1284)),"In production",IF(J1284&gt;0,"Issued",IF(I1284&gt;0,"Kitted","Released")))))</f>
        <v/>
      </c>
      <c r="M1284" s="41" t="str">
        <f aca="false">IF(G1284&lt;&gt;"Yes","",COUNTIFS($B$6:$B$1505,B1284,$F$6:$F$1505,"&lt;"&amp;F1284)+COUNTIFS($B$6:$B$1505,B1284,$F$6:$F$1505,F1284,$A$6:$A$1505,"&lt;="&amp;A1284))</f>
        <v/>
      </c>
      <c r="N1284" s="41" t="str">
        <f aca="false">IF(M1284="","",ROUNDUP(M1284/H1284,0))</f>
        <v/>
      </c>
      <c r="O1284" s="41" t="str">
        <f aca="false">IF(N1284="","",IF(N1284&lt;='Kitting Plan'!$C$3,"Rep "&amp;N1284,"Surplus"))</f>
        <v/>
      </c>
    </row>
    <row r="1285" customFormat="false" ht="15" hidden="false" customHeight="false" outlineLevel="0" collapsed="false">
      <c r="A1285" s="40" t="str">
        <f aca="false">IF(OR($A$4=0,INDEX('COOIS Raw'!$A:$GZ,ROW()-4,$A$4)=""),"",IFERROR(--INDEX('COOIS Raw'!$A:$GZ,ROW()-4,$A$4),INDEX('COOIS Raw'!$A:$GZ,ROW()-4,$A$4)))</f>
        <v/>
      </c>
      <c r="B1285" s="41" t="str">
        <f aca="false">IF(A1285="","",TRIM(INDEX('COOIS Raw'!$A:$GZ,ROW()-4,$B$4)))</f>
        <v/>
      </c>
      <c r="C1285" s="42" t="str">
        <f aca="false">IF(OR(A1285="",$C$4=0),"",INDEX('COOIS Raw'!$A:$GZ,ROW()-4,$C$4))</f>
        <v/>
      </c>
      <c r="D1285" s="41" t="str">
        <f aca="false">IF(A1285="","",IF($D$4=0,1,IFERROR(--INDEX('COOIS Raw'!$A:$GZ,ROW()-4,$D$4),1)))</f>
        <v/>
      </c>
      <c r="E1285" s="42" t="str">
        <f aca="false">IF(A1285="","",INDEX('COOIS Raw'!$A:$GZ,ROW()-4,$E$4)&amp;"")</f>
        <v/>
      </c>
      <c r="F1285" s="43" t="str">
        <f aca="false">IF(A1285="","",IFERROR(DATEVALUE(INDEX('COOIS Raw'!$A:$GZ,ROW()-4,$F$4)),INDEX('COOIS Raw'!$A:$GZ,ROW()-4,$F$4)))</f>
        <v/>
      </c>
      <c r="G1285" s="41" t="str">
        <f aca="false">IF(A1285="","",IF(ISNA(MATCH(B1285,'Kitting Plan'!$B$6:$B$19,0)),"Not in plan","Yes"))</f>
        <v/>
      </c>
      <c r="H1285" s="41" t="str">
        <f aca="false">IF(G1285="Yes",INDEX('Kitting Plan'!$D$6:$D$19,MATCH(B1285,'Kitting Plan'!$B$6:$B$19,0)),"")</f>
        <v/>
      </c>
      <c r="I1285" s="41" t="str">
        <f aca="false">IF(A1285="","",IF(ISNUMBER(SEARCH("PRT",E1285)),D1285,0))</f>
        <v/>
      </c>
      <c r="J1285" s="41" t="str">
        <f aca="false">IF(A1285="","",IF(ISNUMBER(SEARCH("GMPS",E1285)),D1285,0))</f>
        <v/>
      </c>
      <c r="K1285" s="41" t="str">
        <f aca="false">IF(A1285="","",IF(ISNUMBER(SEARCH("DLV",E1285)),D1285,0))</f>
        <v/>
      </c>
      <c r="L1285" s="41" t="str">
        <f aca="false">IF(A1285="","",IF(K1285&gt;0,"Delivered",IF(ISNUMBER(SEARCH("CNF",E1285)),"In production",IF(J1285&gt;0,"Issued",IF(I1285&gt;0,"Kitted","Released")))))</f>
        <v/>
      </c>
      <c r="M1285" s="41" t="str">
        <f aca="false">IF(G1285&lt;&gt;"Yes","",COUNTIFS($B$6:$B$1505,B1285,$F$6:$F$1505,"&lt;"&amp;F1285)+COUNTIFS($B$6:$B$1505,B1285,$F$6:$F$1505,F1285,$A$6:$A$1505,"&lt;="&amp;A1285))</f>
        <v/>
      </c>
      <c r="N1285" s="41" t="str">
        <f aca="false">IF(M1285="","",ROUNDUP(M1285/H1285,0))</f>
        <v/>
      </c>
      <c r="O1285" s="41" t="str">
        <f aca="false">IF(N1285="","",IF(N1285&lt;='Kitting Plan'!$C$3,"Rep "&amp;N1285,"Surplus"))</f>
        <v/>
      </c>
    </row>
    <row r="1286" customFormat="false" ht="15" hidden="false" customHeight="false" outlineLevel="0" collapsed="false">
      <c r="A1286" s="40" t="str">
        <f aca="false">IF(OR($A$4=0,INDEX('COOIS Raw'!$A:$GZ,ROW()-4,$A$4)=""),"",IFERROR(--INDEX('COOIS Raw'!$A:$GZ,ROW()-4,$A$4),INDEX('COOIS Raw'!$A:$GZ,ROW()-4,$A$4)))</f>
        <v/>
      </c>
      <c r="B1286" s="41" t="str">
        <f aca="false">IF(A1286="","",TRIM(INDEX('COOIS Raw'!$A:$GZ,ROW()-4,$B$4)))</f>
        <v/>
      </c>
      <c r="C1286" s="42" t="str">
        <f aca="false">IF(OR(A1286="",$C$4=0),"",INDEX('COOIS Raw'!$A:$GZ,ROW()-4,$C$4))</f>
        <v/>
      </c>
      <c r="D1286" s="41" t="str">
        <f aca="false">IF(A1286="","",IF($D$4=0,1,IFERROR(--INDEX('COOIS Raw'!$A:$GZ,ROW()-4,$D$4),1)))</f>
        <v/>
      </c>
      <c r="E1286" s="42" t="str">
        <f aca="false">IF(A1286="","",INDEX('COOIS Raw'!$A:$GZ,ROW()-4,$E$4)&amp;"")</f>
        <v/>
      </c>
      <c r="F1286" s="43" t="str">
        <f aca="false">IF(A1286="","",IFERROR(DATEVALUE(INDEX('COOIS Raw'!$A:$GZ,ROW()-4,$F$4)),INDEX('COOIS Raw'!$A:$GZ,ROW()-4,$F$4)))</f>
        <v/>
      </c>
      <c r="G1286" s="41" t="str">
        <f aca="false">IF(A1286="","",IF(ISNA(MATCH(B1286,'Kitting Plan'!$B$6:$B$19,0)),"Not in plan","Yes"))</f>
        <v/>
      </c>
      <c r="H1286" s="41" t="str">
        <f aca="false">IF(G1286="Yes",INDEX('Kitting Plan'!$D$6:$D$19,MATCH(B1286,'Kitting Plan'!$B$6:$B$19,0)),"")</f>
        <v/>
      </c>
      <c r="I1286" s="41" t="str">
        <f aca="false">IF(A1286="","",IF(ISNUMBER(SEARCH("PRT",E1286)),D1286,0))</f>
        <v/>
      </c>
      <c r="J1286" s="41" t="str">
        <f aca="false">IF(A1286="","",IF(ISNUMBER(SEARCH("GMPS",E1286)),D1286,0))</f>
        <v/>
      </c>
      <c r="K1286" s="41" t="str">
        <f aca="false">IF(A1286="","",IF(ISNUMBER(SEARCH("DLV",E1286)),D1286,0))</f>
        <v/>
      </c>
      <c r="L1286" s="41" t="str">
        <f aca="false">IF(A1286="","",IF(K1286&gt;0,"Delivered",IF(ISNUMBER(SEARCH("CNF",E1286)),"In production",IF(J1286&gt;0,"Issued",IF(I1286&gt;0,"Kitted","Released")))))</f>
        <v/>
      </c>
      <c r="M1286" s="41" t="str">
        <f aca="false">IF(G1286&lt;&gt;"Yes","",COUNTIFS($B$6:$B$1505,B1286,$F$6:$F$1505,"&lt;"&amp;F1286)+COUNTIFS($B$6:$B$1505,B1286,$F$6:$F$1505,F1286,$A$6:$A$1505,"&lt;="&amp;A1286))</f>
        <v/>
      </c>
      <c r="N1286" s="41" t="str">
        <f aca="false">IF(M1286="","",ROUNDUP(M1286/H1286,0))</f>
        <v/>
      </c>
      <c r="O1286" s="41" t="str">
        <f aca="false">IF(N1286="","",IF(N1286&lt;='Kitting Plan'!$C$3,"Rep "&amp;N1286,"Surplus"))</f>
        <v/>
      </c>
    </row>
    <row r="1287" customFormat="false" ht="15" hidden="false" customHeight="false" outlineLevel="0" collapsed="false">
      <c r="A1287" s="40" t="str">
        <f aca="false">IF(OR($A$4=0,INDEX('COOIS Raw'!$A:$GZ,ROW()-4,$A$4)=""),"",IFERROR(--INDEX('COOIS Raw'!$A:$GZ,ROW()-4,$A$4),INDEX('COOIS Raw'!$A:$GZ,ROW()-4,$A$4)))</f>
        <v/>
      </c>
      <c r="B1287" s="41" t="str">
        <f aca="false">IF(A1287="","",TRIM(INDEX('COOIS Raw'!$A:$GZ,ROW()-4,$B$4)))</f>
        <v/>
      </c>
      <c r="C1287" s="42" t="str">
        <f aca="false">IF(OR(A1287="",$C$4=0),"",INDEX('COOIS Raw'!$A:$GZ,ROW()-4,$C$4))</f>
        <v/>
      </c>
      <c r="D1287" s="41" t="str">
        <f aca="false">IF(A1287="","",IF($D$4=0,1,IFERROR(--INDEX('COOIS Raw'!$A:$GZ,ROW()-4,$D$4),1)))</f>
        <v/>
      </c>
      <c r="E1287" s="42" t="str">
        <f aca="false">IF(A1287="","",INDEX('COOIS Raw'!$A:$GZ,ROW()-4,$E$4)&amp;"")</f>
        <v/>
      </c>
      <c r="F1287" s="43" t="str">
        <f aca="false">IF(A1287="","",IFERROR(DATEVALUE(INDEX('COOIS Raw'!$A:$GZ,ROW()-4,$F$4)),INDEX('COOIS Raw'!$A:$GZ,ROW()-4,$F$4)))</f>
        <v/>
      </c>
      <c r="G1287" s="41" t="str">
        <f aca="false">IF(A1287="","",IF(ISNA(MATCH(B1287,'Kitting Plan'!$B$6:$B$19,0)),"Not in plan","Yes"))</f>
        <v/>
      </c>
      <c r="H1287" s="41" t="str">
        <f aca="false">IF(G1287="Yes",INDEX('Kitting Plan'!$D$6:$D$19,MATCH(B1287,'Kitting Plan'!$B$6:$B$19,0)),"")</f>
        <v/>
      </c>
      <c r="I1287" s="41" t="str">
        <f aca="false">IF(A1287="","",IF(ISNUMBER(SEARCH("PRT",E1287)),D1287,0))</f>
        <v/>
      </c>
      <c r="J1287" s="41" t="str">
        <f aca="false">IF(A1287="","",IF(ISNUMBER(SEARCH("GMPS",E1287)),D1287,0))</f>
        <v/>
      </c>
      <c r="K1287" s="41" t="str">
        <f aca="false">IF(A1287="","",IF(ISNUMBER(SEARCH("DLV",E1287)),D1287,0))</f>
        <v/>
      </c>
      <c r="L1287" s="41" t="str">
        <f aca="false">IF(A1287="","",IF(K1287&gt;0,"Delivered",IF(ISNUMBER(SEARCH("CNF",E1287)),"In production",IF(J1287&gt;0,"Issued",IF(I1287&gt;0,"Kitted","Released")))))</f>
        <v/>
      </c>
      <c r="M1287" s="41" t="str">
        <f aca="false">IF(G1287&lt;&gt;"Yes","",COUNTIFS($B$6:$B$1505,B1287,$F$6:$F$1505,"&lt;"&amp;F1287)+COUNTIFS($B$6:$B$1505,B1287,$F$6:$F$1505,F1287,$A$6:$A$1505,"&lt;="&amp;A1287))</f>
        <v/>
      </c>
      <c r="N1287" s="41" t="str">
        <f aca="false">IF(M1287="","",ROUNDUP(M1287/H1287,0))</f>
        <v/>
      </c>
      <c r="O1287" s="41" t="str">
        <f aca="false">IF(N1287="","",IF(N1287&lt;='Kitting Plan'!$C$3,"Rep "&amp;N1287,"Surplus"))</f>
        <v/>
      </c>
    </row>
    <row r="1288" customFormat="false" ht="15" hidden="false" customHeight="false" outlineLevel="0" collapsed="false">
      <c r="A1288" s="40" t="str">
        <f aca="false">IF(OR($A$4=0,INDEX('COOIS Raw'!$A:$GZ,ROW()-4,$A$4)=""),"",IFERROR(--INDEX('COOIS Raw'!$A:$GZ,ROW()-4,$A$4),INDEX('COOIS Raw'!$A:$GZ,ROW()-4,$A$4)))</f>
        <v/>
      </c>
      <c r="B1288" s="41" t="str">
        <f aca="false">IF(A1288="","",TRIM(INDEX('COOIS Raw'!$A:$GZ,ROW()-4,$B$4)))</f>
        <v/>
      </c>
      <c r="C1288" s="42" t="str">
        <f aca="false">IF(OR(A1288="",$C$4=0),"",INDEX('COOIS Raw'!$A:$GZ,ROW()-4,$C$4))</f>
        <v/>
      </c>
      <c r="D1288" s="41" t="str">
        <f aca="false">IF(A1288="","",IF($D$4=0,1,IFERROR(--INDEX('COOIS Raw'!$A:$GZ,ROW()-4,$D$4),1)))</f>
        <v/>
      </c>
      <c r="E1288" s="42" t="str">
        <f aca="false">IF(A1288="","",INDEX('COOIS Raw'!$A:$GZ,ROW()-4,$E$4)&amp;"")</f>
        <v/>
      </c>
      <c r="F1288" s="43" t="str">
        <f aca="false">IF(A1288="","",IFERROR(DATEVALUE(INDEX('COOIS Raw'!$A:$GZ,ROW()-4,$F$4)),INDEX('COOIS Raw'!$A:$GZ,ROW()-4,$F$4)))</f>
        <v/>
      </c>
      <c r="G1288" s="41" t="str">
        <f aca="false">IF(A1288="","",IF(ISNA(MATCH(B1288,'Kitting Plan'!$B$6:$B$19,0)),"Not in plan","Yes"))</f>
        <v/>
      </c>
      <c r="H1288" s="41" t="str">
        <f aca="false">IF(G1288="Yes",INDEX('Kitting Plan'!$D$6:$D$19,MATCH(B1288,'Kitting Plan'!$B$6:$B$19,0)),"")</f>
        <v/>
      </c>
      <c r="I1288" s="41" t="str">
        <f aca="false">IF(A1288="","",IF(ISNUMBER(SEARCH("PRT",E1288)),D1288,0))</f>
        <v/>
      </c>
      <c r="J1288" s="41" t="str">
        <f aca="false">IF(A1288="","",IF(ISNUMBER(SEARCH("GMPS",E1288)),D1288,0))</f>
        <v/>
      </c>
      <c r="K1288" s="41" t="str">
        <f aca="false">IF(A1288="","",IF(ISNUMBER(SEARCH("DLV",E1288)),D1288,0))</f>
        <v/>
      </c>
      <c r="L1288" s="41" t="str">
        <f aca="false">IF(A1288="","",IF(K1288&gt;0,"Delivered",IF(ISNUMBER(SEARCH("CNF",E1288)),"In production",IF(J1288&gt;0,"Issued",IF(I1288&gt;0,"Kitted","Released")))))</f>
        <v/>
      </c>
      <c r="M1288" s="41" t="str">
        <f aca="false">IF(G1288&lt;&gt;"Yes","",COUNTIFS($B$6:$B$1505,B1288,$F$6:$F$1505,"&lt;"&amp;F1288)+COUNTIFS($B$6:$B$1505,B1288,$F$6:$F$1505,F1288,$A$6:$A$1505,"&lt;="&amp;A1288))</f>
        <v/>
      </c>
      <c r="N1288" s="41" t="str">
        <f aca="false">IF(M1288="","",ROUNDUP(M1288/H1288,0))</f>
        <v/>
      </c>
      <c r="O1288" s="41" t="str">
        <f aca="false">IF(N1288="","",IF(N1288&lt;='Kitting Plan'!$C$3,"Rep "&amp;N1288,"Surplus"))</f>
        <v/>
      </c>
    </row>
    <row r="1289" customFormat="false" ht="15" hidden="false" customHeight="false" outlineLevel="0" collapsed="false">
      <c r="A1289" s="40" t="str">
        <f aca="false">IF(OR($A$4=0,INDEX('COOIS Raw'!$A:$GZ,ROW()-4,$A$4)=""),"",IFERROR(--INDEX('COOIS Raw'!$A:$GZ,ROW()-4,$A$4),INDEX('COOIS Raw'!$A:$GZ,ROW()-4,$A$4)))</f>
        <v/>
      </c>
      <c r="B1289" s="41" t="str">
        <f aca="false">IF(A1289="","",TRIM(INDEX('COOIS Raw'!$A:$GZ,ROW()-4,$B$4)))</f>
        <v/>
      </c>
      <c r="C1289" s="42" t="str">
        <f aca="false">IF(OR(A1289="",$C$4=0),"",INDEX('COOIS Raw'!$A:$GZ,ROW()-4,$C$4))</f>
        <v/>
      </c>
      <c r="D1289" s="41" t="str">
        <f aca="false">IF(A1289="","",IF($D$4=0,1,IFERROR(--INDEX('COOIS Raw'!$A:$GZ,ROW()-4,$D$4),1)))</f>
        <v/>
      </c>
      <c r="E1289" s="42" t="str">
        <f aca="false">IF(A1289="","",INDEX('COOIS Raw'!$A:$GZ,ROW()-4,$E$4)&amp;"")</f>
        <v/>
      </c>
      <c r="F1289" s="43" t="str">
        <f aca="false">IF(A1289="","",IFERROR(DATEVALUE(INDEX('COOIS Raw'!$A:$GZ,ROW()-4,$F$4)),INDEX('COOIS Raw'!$A:$GZ,ROW()-4,$F$4)))</f>
        <v/>
      </c>
      <c r="G1289" s="41" t="str">
        <f aca="false">IF(A1289="","",IF(ISNA(MATCH(B1289,'Kitting Plan'!$B$6:$B$19,0)),"Not in plan","Yes"))</f>
        <v/>
      </c>
      <c r="H1289" s="41" t="str">
        <f aca="false">IF(G1289="Yes",INDEX('Kitting Plan'!$D$6:$D$19,MATCH(B1289,'Kitting Plan'!$B$6:$B$19,0)),"")</f>
        <v/>
      </c>
      <c r="I1289" s="41" t="str">
        <f aca="false">IF(A1289="","",IF(ISNUMBER(SEARCH("PRT",E1289)),D1289,0))</f>
        <v/>
      </c>
      <c r="J1289" s="41" t="str">
        <f aca="false">IF(A1289="","",IF(ISNUMBER(SEARCH("GMPS",E1289)),D1289,0))</f>
        <v/>
      </c>
      <c r="K1289" s="41" t="str">
        <f aca="false">IF(A1289="","",IF(ISNUMBER(SEARCH("DLV",E1289)),D1289,0))</f>
        <v/>
      </c>
      <c r="L1289" s="41" t="str">
        <f aca="false">IF(A1289="","",IF(K1289&gt;0,"Delivered",IF(ISNUMBER(SEARCH("CNF",E1289)),"In production",IF(J1289&gt;0,"Issued",IF(I1289&gt;0,"Kitted","Released")))))</f>
        <v/>
      </c>
      <c r="M1289" s="41" t="str">
        <f aca="false">IF(G1289&lt;&gt;"Yes","",COUNTIFS($B$6:$B$1505,B1289,$F$6:$F$1505,"&lt;"&amp;F1289)+COUNTIFS($B$6:$B$1505,B1289,$F$6:$F$1505,F1289,$A$6:$A$1505,"&lt;="&amp;A1289))</f>
        <v/>
      </c>
      <c r="N1289" s="41" t="str">
        <f aca="false">IF(M1289="","",ROUNDUP(M1289/H1289,0))</f>
        <v/>
      </c>
      <c r="O1289" s="41" t="str">
        <f aca="false">IF(N1289="","",IF(N1289&lt;='Kitting Plan'!$C$3,"Rep "&amp;N1289,"Surplus"))</f>
        <v/>
      </c>
    </row>
    <row r="1290" customFormat="false" ht="15" hidden="false" customHeight="false" outlineLevel="0" collapsed="false">
      <c r="A1290" s="40" t="str">
        <f aca="false">IF(OR($A$4=0,INDEX('COOIS Raw'!$A:$GZ,ROW()-4,$A$4)=""),"",IFERROR(--INDEX('COOIS Raw'!$A:$GZ,ROW()-4,$A$4),INDEX('COOIS Raw'!$A:$GZ,ROW()-4,$A$4)))</f>
        <v/>
      </c>
      <c r="B1290" s="41" t="str">
        <f aca="false">IF(A1290="","",TRIM(INDEX('COOIS Raw'!$A:$GZ,ROW()-4,$B$4)))</f>
        <v/>
      </c>
      <c r="C1290" s="42" t="str">
        <f aca="false">IF(OR(A1290="",$C$4=0),"",INDEX('COOIS Raw'!$A:$GZ,ROW()-4,$C$4))</f>
        <v/>
      </c>
      <c r="D1290" s="41" t="str">
        <f aca="false">IF(A1290="","",IF($D$4=0,1,IFERROR(--INDEX('COOIS Raw'!$A:$GZ,ROW()-4,$D$4),1)))</f>
        <v/>
      </c>
      <c r="E1290" s="42" t="str">
        <f aca="false">IF(A1290="","",INDEX('COOIS Raw'!$A:$GZ,ROW()-4,$E$4)&amp;"")</f>
        <v/>
      </c>
      <c r="F1290" s="43" t="str">
        <f aca="false">IF(A1290="","",IFERROR(DATEVALUE(INDEX('COOIS Raw'!$A:$GZ,ROW()-4,$F$4)),INDEX('COOIS Raw'!$A:$GZ,ROW()-4,$F$4)))</f>
        <v/>
      </c>
      <c r="G1290" s="41" t="str">
        <f aca="false">IF(A1290="","",IF(ISNA(MATCH(B1290,'Kitting Plan'!$B$6:$B$19,0)),"Not in plan","Yes"))</f>
        <v/>
      </c>
      <c r="H1290" s="41" t="str">
        <f aca="false">IF(G1290="Yes",INDEX('Kitting Plan'!$D$6:$D$19,MATCH(B1290,'Kitting Plan'!$B$6:$B$19,0)),"")</f>
        <v/>
      </c>
      <c r="I1290" s="41" t="str">
        <f aca="false">IF(A1290="","",IF(ISNUMBER(SEARCH("PRT",E1290)),D1290,0))</f>
        <v/>
      </c>
      <c r="J1290" s="41" t="str">
        <f aca="false">IF(A1290="","",IF(ISNUMBER(SEARCH("GMPS",E1290)),D1290,0))</f>
        <v/>
      </c>
      <c r="K1290" s="41" t="str">
        <f aca="false">IF(A1290="","",IF(ISNUMBER(SEARCH("DLV",E1290)),D1290,0))</f>
        <v/>
      </c>
      <c r="L1290" s="41" t="str">
        <f aca="false">IF(A1290="","",IF(K1290&gt;0,"Delivered",IF(ISNUMBER(SEARCH("CNF",E1290)),"In production",IF(J1290&gt;0,"Issued",IF(I1290&gt;0,"Kitted","Released")))))</f>
        <v/>
      </c>
      <c r="M1290" s="41" t="str">
        <f aca="false">IF(G1290&lt;&gt;"Yes","",COUNTIFS($B$6:$B$1505,B1290,$F$6:$F$1505,"&lt;"&amp;F1290)+COUNTIFS($B$6:$B$1505,B1290,$F$6:$F$1505,F1290,$A$6:$A$1505,"&lt;="&amp;A1290))</f>
        <v/>
      </c>
      <c r="N1290" s="41" t="str">
        <f aca="false">IF(M1290="","",ROUNDUP(M1290/H1290,0))</f>
        <v/>
      </c>
      <c r="O1290" s="41" t="str">
        <f aca="false">IF(N1290="","",IF(N1290&lt;='Kitting Plan'!$C$3,"Rep "&amp;N1290,"Surplus"))</f>
        <v/>
      </c>
    </row>
    <row r="1291" customFormat="false" ht="15" hidden="false" customHeight="false" outlineLevel="0" collapsed="false">
      <c r="A1291" s="40" t="str">
        <f aca="false">IF(OR($A$4=0,INDEX('COOIS Raw'!$A:$GZ,ROW()-4,$A$4)=""),"",IFERROR(--INDEX('COOIS Raw'!$A:$GZ,ROW()-4,$A$4),INDEX('COOIS Raw'!$A:$GZ,ROW()-4,$A$4)))</f>
        <v/>
      </c>
      <c r="B1291" s="41" t="str">
        <f aca="false">IF(A1291="","",TRIM(INDEX('COOIS Raw'!$A:$GZ,ROW()-4,$B$4)))</f>
        <v/>
      </c>
      <c r="C1291" s="42" t="str">
        <f aca="false">IF(OR(A1291="",$C$4=0),"",INDEX('COOIS Raw'!$A:$GZ,ROW()-4,$C$4))</f>
        <v/>
      </c>
      <c r="D1291" s="41" t="str">
        <f aca="false">IF(A1291="","",IF($D$4=0,1,IFERROR(--INDEX('COOIS Raw'!$A:$GZ,ROW()-4,$D$4),1)))</f>
        <v/>
      </c>
      <c r="E1291" s="42" t="str">
        <f aca="false">IF(A1291="","",INDEX('COOIS Raw'!$A:$GZ,ROW()-4,$E$4)&amp;"")</f>
        <v/>
      </c>
      <c r="F1291" s="43" t="str">
        <f aca="false">IF(A1291="","",IFERROR(DATEVALUE(INDEX('COOIS Raw'!$A:$GZ,ROW()-4,$F$4)),INDEX('COOIS Raw'!$A:$GZ,ROW()-4,$F$4)))</f>
        <v/>
      </c>
      <c r="G1291" s="41" t="str">
        <f aca="false">IF(A1291="","",IF(ISNA(MATCH(B1291,'Kitting Plan'!$B$6:$B$19,0)),"Not in plan","Yes"))</f>
        <v/>
      </c>
      <c r="H1291" s="41" t="str">
        <f aca="false">IF(G1291="Yes",INDEX('Kitting Plan'!$D$6:$D$19,MATCH(B1291,'Kitting Plan'!$B$6:$B$19,0)),"")</f>
        <v/>
      </c>
      <c r="I1291" s="41" t="str">
        <f aca="false">IF(A1291="","",IF(ISNUMBER(SEARCH("PRT",E1291)),D1291,0))</f>
        <v/>
      </c>
      <c r="J1291" s="41" t="str">
        <f aca="false">IF(A1291="","",IF(ISNUMBER(SEARCH("GMPS",E1291)),D1291,0))</f>
        <v/>
      </c>
      <c r="K1291" s="41" t="str">
        <f aca="false">IF(A1291="","",IF(ISNUMBER(SEARCH("DLV",E1291)),D1291,0))</f>
        <v/>
      </c>
      <c r="L1291" s="41" t="str">
        <f aca="false">IF(A1291="","",IF(K1291&gt;0,"Delivered",IF(ISNUMBER(SEARCH("CNF",E1291)),"In production",IF(J1291&gt;0,"Issued",IF(I1291&gt;0,"Kitted","Released")))))</f>
        <v/>
      </c>
      <c r="M1291" s="41" t="str">
        <f aca="false">IF(G1291&lt;&gt;"Yes","",COUNTIFS($B$6:$B$1505,B1291,$F$6:$F$1505,"&lt;"&amp;F1291)+COUNTIFS($B$6:$B$1505,B1291,$F$6:$F$1505,F1291,$A$6:$A$1505,"&lt;="&amp;A1291))</f>
        <v/>
      </c>
      <c r="N1291" s="41" t="str">
        <f aca="false">IF(M1291="","",ROUNDUP(M1291/H1291,0))</f>
        <v/>
      </c>
      <c r="O1291" s="41" t="str">
        <f aca="false">IF(N1291="","",IF(N1291&lt;='Kitting Plan'!$C$3,"Rep "&amp;N1291,"Surplus"))</f>
        <v/>
      </c>
    </row>
    <row r="1292" customFormat="false" ht="15" hidden="false" customHeight="false" outlineLevel="0" collapsed="false">
      <c r="A1292" s="40" t="str">
        <f aca="false">IF(OR($A$4=0,INDEX('COOIS Raw'!$A:$GZ,ROW()-4,$A$4)=""),"",IFERROR(--INDEX('COOIS Raw'!$A:$GZ,ROW()-4,$A$4),INDEX('COOIS Raw'!$A:$GZ,ROW()-4,$A$4)))</f>
        <v/>
      </c>
      <c r="B1292" s="41" t="str">
        <f aca="false">IF(A1292="","",TRIM(INDEX('COOIS Raw'!$A:$GZ,ROW()-4,$B$4)))</f>
        <v/>
      </c>
      <c r="C1292" s="42" t="str">
        <f aca="false">IF(OR(A1292="",$C$4=0),"",INDEX('COOIS Raw'!$A:$GZ,ROW()-4,$C$4))</f>
        <v/>
      </c>
      <c r="D1292" s="41" t="str">
        <f aca="false">IF(A1292="","",IF($D$4=0,1,IFERROR(--INDEX('COOIS Raw'!$A:$GZ,ROW()-4,$D$4),1)))</f>
        <v/>
      </c>
      <c r="E1292" s="42" t="str">
        <f aca="false">IF(A1292="","",INDEX('COOIS Raw'!$A:$GZ,ROW()-4,$E$4)&amp;"")</f>
        <v/>
      </c>
      <c r="F1292" s="43" t="str">
        <f aca="false">IF(A1292="","",IFERROR(DATEVALUE(INDEX('COOIS Raw'!$A:$GZ,ROW()-4,$F$4)),INDEX('COOIS Raw'!$A:$GZ,ROW()-4,$F$4)))</f>
        <v/>
      </c>
      <c r="G1292" s="41" t="str">
        <f aca="false">IF(A1292="","",IF(ISNA(MATCH(B1292,'Kitting Plan'!$B$6:$B$19,0)),"Not in plan","Yes"))</f>
        <v/>
      </c>
      <c r="H1292" s="41" t="str">
        <f aca="false">IF(G1292="Yes",INDEX('Kitting Plan'!$D$6:$D$19,MATCH(B1292,'Kitting Plan'!$B$6:$B$19,0)),"")</f>
        <v/>
      </c>
      <c r="I1292" s="41" t="str">
        <f aca="false">IF(A1292="","",IF(ISNUMBER(SEARCH("PRT",E1292)),D1292,0))</f>
        <v/>
      </c>
      <c r="J1292" s="41" t="str">
        <f aca="false">IF(A1292="","",IF(ISNUMBER(SEARCH("GMPS",E1292)),D1292,0))</f>
        <v/>
      </c>
      <c r="K1292" s="41" t="str">
        <f aca="false">IF(A1292="","",IF(ISNUMBER(SEARCH("DLV",E1292)),D1292,0))</f>
        <v/>
      </c>
      <c r="L1292" s="41" t="str">
        <f aca="false">IF(A1292="","",IF(K1292&gt;0,"Delivered",IF(ISNUMBER(SEARCH("CNF",E1292)),"In production",IF(J1292&gt;0,"Issued",IF(I1292&gt;0,"Kitted","Released")))))</f>
        <v/>
      </c>
      <c r="M1292" s="41" t="str">
        <f aca="false">IF(G1292&lt;&gt;"Yes","",COUNTIFS($B$6:$B$1505,B1292,$F$6:$F$1505,"&lt;"&amp;F1292)+COUNTIFS($B$6:$B$1505,B1292,$F$6:$F$1505,F1292,$A$6:$A$1505,"&lt;="&amp;A1292))</f>
        <v/>
      </c>
      <c r="N1292" s="41" t="str">
        <f aca="false">IF(M1292="","",ROUNDUP(M1292/H1292,0))</f>
        <v/>
      </c>
      <c r="O1292" s="41" t="str">
        <f aca="false">IF(N1292="","",IF(N1292&lt;='Kitting Plan'!$C$3,"Rep "&amp;N1292,"Surplus"))</f>
        <v/>
      </c>
    </row>
    <row r="1293" customFormat="false" ht="15" hidden="false" customHeight="false" outlineLevel="0" collapsed="false">
      <c r="A1293" s="40" t="str">
        <f aca="false">IF(OR($A$4=0,INDEX('COOIS Raw'!$A:$GZ,ROW()-4,$A$4)=""),"",IFERROR(--INDEX('COOIS Raw'!$A:$GZ,ROW()-4,$A$4),INDEX('COOIS Raw'!$A:$GZ,ROW()-4,$A$4)))</f>
        <v/>
      </c>
      <c r="B1293" s="41" t="str">
        <f aca="false">IF(A1293="","",TRIM(INDEX('COOIS Raw'!$A:$GZ,ROW()-4,$B$4)))</f>
        <v/>
      </c>
      <c r="C1293" s="42" t="str">
        <f aca="false">IF(OR(A1293="",$C$4=0),"",INDEX('COOIS Raw'!$A:$GZ,ROW()-4,$C$4))</f>
        <v/>
      </c>
      <c r="D1293" s="41" t="str">
        <f aca="false">IF(A1293="","",IF($D$4=0,1,IFERROR(--INDEX('COOIS Raw'!$A:$GZ,ROW()-4,$D$4),1)))</f>
        <v/>
      </c>
      <c r="E1293" s="42" t="str">
        <f aca="false">IF(A1293="","",INDEX('COOIS Raw'!$A:$GZ,ROW()-4,$E$4)&amp;"")</f>
        <v/>
      </c>
      <c r="F1293" s="43" t="str">
        <f aca="false">IF(A1293="","",IFERROR(DATEVALUE(INDEX('COOIS Raw'!$A:$GZ,ROW()-4,$F$4)),INDEX('COOIS Raw'!$A:$GZ,ROW()-4,$F$4)))</f>
        <v/>
      </c>
      <c r="G1293" s="41" t="str">
        <f aca="false">IF(A1293="","",IF(ISNA(MATCH(B1293,'Kitting Plan'!$B$6:$B$19,0)),"Not in plan","Yes"))</f>
        <v/>
      </c>
      <c r="H1293" s="41" t="str">
        <f aca="false">IF(G1293="Yes",INDEX('Kitting Plan'!$D$6:$D$19,MATCH(B1293,'Kitting Plan'!$B$6:$B$19,0)),"")</f>
        <v/>
      </c>
      <c r="I1293" s="41" t="str">
        <f aca="false">IF(A1293="","",IF(ISNUMBER(SEARCH("PRT",E1293)),D1293,0))</f>
        <v/>
      </c>
      <c r="J1293" s="41" t="str">
        <f aca="false">IF(A1293="","",IF(ISNUMBER(SEARCH("GMPS",E1293)),D1293,0))</f>
        <v/>
      </c>
      <c r="K1293" s="41" t="str">
        <f aca="false">IF(A1293="","",IF(ISNUMBER(SEARCH("DLV",E1293)),D1293,0))</f>
        <v/>
      </c>
      <c r="L1293" s="41" t="str">
        <f aca="false">IF(A1293="","",IF(K1293&gt;0,"Delivered",IF(ISNUMBER(SEARCH("CNF",E1293)),"In production",IF(J1293&gt;0,"Issued",IF(I1293&gt;0,"Kitted","Released")))))</f>
        <v/>
      </c>
      <c r="M1293" s="41" t="str">
        <f aca="false">IF(G1293&lt;&gt;"Yes","",COUNTIFS($B$6:$B$1505,B1293,$F$6:$F$1505,"&lt;"&amp;F1293)+COUNTIFS($B$6:$B$1505,B1293,$F$6:$F$1505,F1293,$A$6:$A$1505,"&lt;="&amp;A1293))</f>
        <v/>
      </c>
      <c r="N1293" s="41" t="str">
        <f aca="false">IF(M1293="","",ROUNDUP(M1293/H1293,0))</f>
        <v/>
      </c>
      <c r="O1293" s="41" t="str">
        <f aca="false">IF(N1293="","",IF(N1293&lt;='Kitting Plan'!$C$3,"Rep "&amp;N1293,"Surplus"))</f>
        <v/>
      </c>
    </row>
    <row r="1294" customFormat="false" ht="15" hidden="false" customHeight="false" outlineLevel="0" collapsed="false">
      <c r="A1294" s="40" t="str">
        <f aca="false">IF(OR($A$4=0,INDEX('COOIS Raw'!$A:$GZ,ROW()-4,$A$4)=""),"",IFERROR(--INDEX('COOIS Raw'!$A:$GZ,ROW()-4,$A$4),INDEX('COOIS Raw'!$A:$GZ,ROW()-4,$A$4)))</f>
        <v/>
      </c>
      <c r="B1294" s="41" t="str">
        <f aca="false">IF(A1294="","",TRIM(INDEX('COOIS Raw'!$A:$GZ,ROW()-4,$B$4)))</f>
        <v/>
      </c>
      <c r="C1294" s="42" t="str">
        <f aca="false">IF(OR(A1294="",$C$4=0),"",INDEX('COOIS Raw'!$A:$GZ,ROW()-4,$C$4))</f>
        <v/>
      </c>
      <c r="D1294" s="41" t="str">
        <f aca="false">IF(A1294="","",IF($D$4=0,1,IFERROR(--INDEX('COOIS Raw'!$A:$GZ,ROW()-4,$D$4),1)))</f>
        <v/>
      </c>
      <c r="E1294" s="42" t="str">
        <f aca="false">IF(A1294="","",INDEX('COOIS Raw'!$A:$GZ,ROW()-4,$E$4)&amp;"")</f>
        <v/>
      </c>
      <c r="F1294" s="43" t="str">
        <f aca="false">IF(A1294="","",IFERROR(DATEVALUE(INDEX('COOIS Raw'!$A:$GZ,ROW()-4,$F$4)),INDEX('COOIS Raw'!$A:$GZ,ROW()-4,$F$4)))</f>
        <v/>
      </c>
      <c r="G1294" s="41" t="str">
        <f aca="false">IF(A1294="","",IF(ISNA(MATCH(B1294,'Kitting Plan'!$B$6:$B$19,0)),"Not in plan","Yes"))</f>
        <v/>
      </c>
      <c r="H1294" s="41" t="str">
        <f aca="false">IF(G1294="Yes",INDEX('Kitting Plan'!$D$6:$D$19,MATCH(B1294,'Kitting Plan'!$B$6:$B$19,0)),"")</f>
        <v/>
      </c>
      <c r="I1294" s="41" t="str">
        <f aca="false">IF(A1294="","",IF(ISNUMBER(SEARCH("PRT",E1294)),D1294,0))</f>
        <v/>
      </c>
      <c r="J1294" s="41" t="str">
        <f aca="false">IF(A1294="","",IF(ISNUMBER(SEARCH("GMPS",E1294)),D1294,0))</f>
        <v/>
      </c>
      <c r="K1294" s="41" t="str">
        <f aca="false">IF(A1294="","",IF(ISNUMBER(SEARCH("DLV",E1294)),D1294,0))</f>
        <v/>
      </c>
      <c r="L1294" s="41" t="str">
        <f aca="false">IF(A1294="","",IF(K1294&gt;0,"Delivered",IF(ISNUMBER(SEARCH("CNF",E1294)),"In production",IF(J1294&gt;0,"Issued",IF(I1294&gt;0,"Kitted","Released")))))</f>
        <v/>
      </c>
      <c r="M1294" s="41" t="str">
        <f aca="false">IF(G1294&lt;&gt;"Yes","",COUNTIFS($B$6:$B$1505,B1294,$F$6:$F$1505,"&lt;"&amp;F1294)+COUNTIFS($B$6:$B$1505,B1294,$F$6:$F$1505,F1294,$A$6:$A$1505,"&lt;="&amp;A1294))</f>
        <v/>
      </c>
      <c r="N1294" s="41" t="str">
        <f aca="false">IF(M1294="","",ROUNDUP(M1294/H1294,0))</f>
        <v/>
      </c>
      <c r="O1294" s="41" t="str">
        <f aca="false">IF(N1294="","",IF(N1294&lt;='Kitting Plan'!$C$3,"Rep "&amp;N1294,"Surplus"))</f>
        <v/>
      </c>
    </row>
    <row r="1295" customFormat="false" ht="15" hidden="false" customHeight="false" outlineLevel="0" collapsed="false">
      <c r="A1295" s="40" t="str">
        <f aca="false">IF(OR($A$4=0,INDEX('COOIS Raw'!$A:$GZ,ROW()-4,$A$4)=""),"",IFERROR(--INDEX('COOIS Raw'!$A:$GZ,ROW()-4,$A$4),INDEX('COOIS Raw'!$A:$GZ,ROW()-4,$A$4)))</f>
        <v/>
      </c>
      <c r="B1295" s="41" t="str">
        <f aca="false">IF(A1295="","",TRIM(INDEX('COOIS Raw'!$A:$GZ,ROW()-4,$B$4)))</f>
        <v/>
      </c>
      <c r="C1295" s="42" t="str">
        <f aca="false">IF(OR(A1295="",$C$4=0),"",INDEX('COOIS Raw'!$A:$GZ,ROW()-4,$C$4))</f>
        <v/>
      </c>
      <c r="D1295" s="41" t="str">
        <f aca="false">IF(A1295="","",IF($D$4=0,1,IFERROR(--INDEX('COOIS Raw'!$A:$GZ,ROW()-4,$D$4),1)))</f>
        <v/>
      </c>
      <c r="E1295" s="42" t="str">
        <f aca="false">IF(A1295="","",INDEX('COOIS Raw'!$A:$GZ,ROW()-4,$E$4)&amp;"")</f>
        <v/>
      </c>
      <c r="F1295" s="43" t="str">
        <f aca="false">IF(A1295="","",IFERROR(DATEVALUE(INDEX('COOIS Raw'!$A:$GZ,ROW()-4,$F$4)),INDEX('COOIS Raw'!$A:$GZ,ROW()-4,$F$4)))</f>
        <v/>
      </c>
      <c r="G1295" s="41" t="str">
        <f aca="false">IF(A1295="","",IF(ISNA(MATCH(B1295,'Kitting Plan'!$B$6:$B$19,0)),"Not in plan","Yes"))</f>
        <v/>
      </c>
      <c r="H1295" s="41" t="str">
        <f aca="false">IF(G1295="Yes",INDEX('Kitting Plan'!$D$6:$D$19,MATCH(B1295,'Kitting Plan'!$B$6:$B$19,0)),"")</f>
        <v/>
      </c>
      <c r="I1295" s="41" t="str">
        <f aca="false">IF(A1295="","",IF(ISNUMBER(SEARCH("PRT",E1295)),D1295,0))</f>
        <v/>
      </c>
      <c r="J1295" s="41" t="str">
        <f aca="false">IF(A1295="","",IF(ISNUMBER(SEARCH("GMPS",E1295)),D1295,0))</f>
        <v/>
      </c>
      <c r="K1295" s="41" t="str">
        <f aca="false">IF(A1295="","",IF(ISNUMBER(SEARCH("DLV",E1295)),D1295,0))</f>
        <v/>
      </c>
      <c r="L1295" s="41" t="str">
        <f aca="false">IF(A1295="","",IF(K1295&gt;0,"Delivered",IF(ISNUMBER(SEARCH("CNF",E1295)),"In production",IF(J1295&gt;0,"Issued",IF(I1295&gt;0,"Kitted","Released")))))</f>
        <v/>
      </c>
      <c r="M1295" s="41" t="str">
        <f aca="false">IF(G1295&lt;&gt;"Yes","",COUNTIFS($B$6:$B$1505,B1295,$F$6:$F$1505,"&lt;"&amp;F1295)+COUNTIFS($B$6:$B$1505,B1295,$F$6:$F$1505,F1295,$A$6:$A$1505,"&lt;="&amp;A1295))</f>
        <v/>
      </c>
      <c r="N1295" s="41" t="str">
        <f aca="false">IF(M1295="","",ROUNDUP(M1295/H1295,0))</f>
        <v/>
      </c>
      <c r="O1295" s="41" t="str">
        <f aca="false">IF(N1295="","",IF(N1295&lt;='Kitting Plan'!$C$3,"Rep "&amp;N1295,"Surplus"))</f>
        <v/>
      </c>
    </row>
    <row r="1296" customFormat="false" ht="15" hidden="false" customHeight="false" outlineLevel="0" collapsed="false">
      <c r="A1296" s="40" t="str">
        <f aca="false">IF(OR($A$4=0,INDEX('COOIS Raw'!$A:$GZ,ROW()-4,$A$4)=""),"",IFERROR(--INDEX('COOIS Raw'!$A:$GZ,ROW()-4,$A$4),INDEX('COOIS Raw'!$A:$GZ,ROW()-4,$A$4)))</f>
        <v/>
      </c>
      <c r="B1296" s="41" t="str">
        <f aca="false">IF(A1296="","",TRIM(INDEX('COOIS Raw'!$A:$GZ,ROW()-4,$B$4)))</f>
        <v/>
      </c>
      <c r="C1296" s="42" t="str">
        <f aca="false">IF(OR(A1296="",$C$4=0),"",INDEX('COOIS Raw'!$A:$GZ,ROW()-4,$C$4))</f>
        <v/>
      </c>
      <c r="D1296" s="41" t="str">
        <f aca="false">IF(A1296="","",IF($D$4=0,1,IFERROR(--INDEX('COOIS Raw'!$A:$GZ,ROW()-4,$D$4),1)))</f>
        <v/>
      </c>
      <c r="E1296" s="42" t="str">
        <f aca="false">IF(A1296="","",INDEX('COOIS Raw'!$A:$GZ,ROW()-4,$E$4)&amp;"")</f>
        <v/>
      </c>
      <c r="F1296" s="43" t="str">
        <f aca="false">IF(A1296="","",IFERROR(DATEVALUE(INDEX('COOIS Raw'!$A:$GZ,ROW()-4,$F$4)),INDEX('COOIS Raw'!$A:$GZ,ROW()-4,$F$4)))</f>
        <v/>
      </c>
      <c r="G1296" s="41" t="str">
        <f aca="false">IF(A1296="","",IF(ISNA(MATCH(B1296,'Kitting Plan'!$B$6:$B$19,0)),"Not in plan","Yes"))</f>
        <v/>
      </c>
      <c r="H1296" s="41" t="str">
        <f aca="false">IF(G1296="Yes",INDEX('Kitting Plan'!$D$6:$D$19,MATCH(B1296,'Kitting Plan'!$B$6:$B$19,0)),"")</f>
        <v/>
      </c>
      <c r="I1296" s="41" t="str">
        <f aca="false">IF(A1296="","",IF(ISNUMBER(SEARCH("PRT",E1296)),D1296,0))</f>
        <v/>
      </c>
      <c r="J1296" s="41" t="str">
        <f aca="false">IF(A1296="","",IF(ISNUMBER(SEARCH("GMPS",E1296)),D1296,0))</f>
        <v/>
      </c>
      <c r="K1296" s="41" t="str">
        <f aca="false">IF(A1296="","",IF(ISNUMBER(SEARCH("DLV",E1296)),D1296,0))</f>
        <v/>
      </c>
      <c r="L1296" s="41" t="str">
        <f aca="false">IF(A1296="","",IF(K1296&gt;0,"Delivered",IF(ISNUMBER(SEARCH("CNF",E1296)),"In production",IF(J1296&gt;0,"Issued",IF(I1296&gt;0,"Kitted","Released")))))</f>
        <v/>
      </c>
      <c r="M1296" s="41" t="str">
        <f aca="false">IF(G1296&lt;&gt;"Yes","",COUNTIFS($B$6:$B$1505,B1296,$F$6:$F$1505,"&lt;"&amp;F1296)+COUNTIFS($B$6:$B$1505,B1296,$F$6:$F$1505,F1296,$A$6:$A$1505,"&lt;="&amp;A1296))</f>
        <v/>
      </c>
      <c r="N1296" s="41" t="str">
        <f aca="false">IF(M1296="","",ROUNDUP(M1296/H1296,0))</f>
        <v/>
      </c>
      <c r="O1296" s="41" t="str">
        <f aca="false">IF(N1296="","",IF(N1296&lt;='Kitting Plan'!$C$3,"Rep "&amp;N1296,"Surplus"))</f>
        <v/>
      </c>
    </row>
    <row r="1297" customFormat="false" ht="15" hidden="false" customHeight="false" outlineLevel="0" collapsed="false">
      <c r="A1297" s="40" t="str">
        <f aca="false">IF(OR($A$4=0,INDEX('COOIS Raw'!$A:$GZ,ROW()-4,$A$4)=""),"",IFERROR(--INDEX('COOIS Raw'!$A:$GZ,ROW()-4,$A$4),INDEX('COOIS Raw'!$A:$GZ,ROW()-4,$A$4)))</f>
        <v/>
      </c>
      <c r="B1297" s="41" t="str">
        <f aca="false">IF(A1297="","",TRIM(INDEX('COOIS Raw'!$A:$GZ,ROW()-4,$B$4)))</f>
        <v/>
      </c>
      <c r="C1297" s="42" t="str">
        <f aca="false">IF(OR(A1297="",$C$4=0),"",INDEX('COOIS Raw'!$A:$GZ,ROW()-4,$C$4))</f>
        <v/>
      </c>
      <c r="D1297" s="41" t="str">
        <f aca="false">IF(A1297="","",IF($D$4=0,1,IFERROR(--INDEX('COOIS Raw'!$A:$GZ,ROW()-4,$D$4),1)))</f>
        <v/>
      </c>
      <c r="E1297" s="42" t="str">
        <f aca="false">IF(A1297="","",INDEX('COOIS Raw'!$A:$GZ,ROW()-4,$E$4)&amp;"")</f>
        <v/>
      </c>
      <c r="F1297" s="43" t="str">
        <f aca="false">IF(A1297="","",IFERROR(DATEVALUE(INDEX('COOIS Raw'!$A:$GZ,ROW()-4,$F$4)),INDEX('COOIS Raw'!$A:$GZ,ROW()-4,$F$4)))</f>
        <v/>
      </c>
      <c r="G1297" s="41" t="str">
        <f aca="false">IF(A1297="","",IF(ISNA(MATCH(B1297,'Kitting Plan'!$B$6:$B$19,0)),"Not in plan","Yes"))</f>
        <v/>
      </c>
      <c r="H1297" s="41" t="str">
        <f aca="false">IF(G1297="Yes",INDEX('Kitting Plan'!$D$6:$D$19,MATCH(B1297,'Kitting Plan'!$B$6:$B$19,0)),"")</f>
        <v/>
      </c>
      <c r="I1297" s="41" t="str">
        <f aca="false">IF(A1297="","",IF(ISNUMBER(SEARCH("PRT",E1297)),D1297,0))</f>
        <v/>
      </c>
      <c r="J1297" s="41" t="str">
        <f aca="false">IF(A1297="","",IF(ISNUMBER(SEARCH("GMPS",E1297)),D1297,0))</f>
        <v/>
      </c>
      <c r="K1297" s="41" t="str">
        <f aca="false">IF(A1297="","",IF(ISNUMBER(SEARCH("DLV",E1297)),D1297,0))</f>
        <v/>
      </c>
      <c r="L1297" s="41" t="str">
        <f aca="false">IF(A1297="","",IF(K1297&gt;0,"Delivered",IF(ISNUMBER(SEARCH("CNF",E1297)),"In production",IF(J1297&gt;0,"Issued",IF(I1297&gt;0,"Kitted","Released")))))</f>
        <v/>
      </c>
      <c r="M1297" s="41" t="str">
        <f aca="false">IF(G1297&lt;&gt;"Yes","",COUNTIFS($B$6:$B$1505,B1297,$F$6:$F$1505,"&lt;"&amp;F1297)+COUNTIFS($B$6:$B$1505,B1297,$F$6:$F$1505,F1297,$A$6:$A$1505,"&lt;="&amp;A1297))</f>
        <v/>
      </c>
      <c r="N1297" s="41" t="str">
        <f aca="false">IF(M1297="","",ROUNDUP(M1297/H1297,0))</f>
        <v/>
      </c>
      <c r="O1297" s="41" t="str">
        <f aca="false">IF(N1297="","",IF(N1297&lt;='Kitting Plan'!$C$3,"Rep "&amp;N1297,"Surplus"))</f>
        <v/>
      </c>
    </row>
    <row r="1298" customFormat="false" ht="15" hidden="false" customHeight="false" outlineLevel="0" collapsed="false">
      <c r="A1298" s="40" t="str">
        <f aca="false">IF(OR($A$4=0,INDEX('COOIS Raw'!$A:$GZ,ROW()-4,$A$4)=""),"",IFERROR(--INDEX('COOIS Raw'!$A:$GZ,ROW()-4,$A$4),INDEX('COOIS Raw'!$A:$GZ,ROW()-4,$A$4)))</f>
        <v/>
      </c>
      <c r="B1298" s="41" t="str">
        <f aca="false">IF(A1298="","",TRIM(INDEX('COOIS Raw'!$A:$GZ,ROW()-4,$B$4)))</f>
        <v/>
      </c>
      <c r="C1298" s="42" t="str">
        <f aca="false">IF(OR(A1298="",$C$4=0),"",INDEX('COOIS Raw'!$A:$GZ,ROW()-4,$C$4))</f>
        <v/>
      </c>
      <c r="D1298" s="41" t="str">
        <f aca="false">IF(A1298="","",IF($D$4=0,1,IFERROR(--INDEX('COOIS Raw'!$A:$GZ,ROW()-4,$D$4),1)))</f>
        <v/>
      </c>
      <c r="E1298" s="42" t="str">
        <f aca="false">IF(A1298="","",INDEX('COOIS Raw'!$A:$GZ,ROW()-4,$E$4)&amp;"")</f>
        <v/>
      </c>
      <c r="F1298" s="43" t="str">
        <f aca="false">IF(A1298="","",IFERROR(DATEVALUE(INDEX('COOIS Raw'!$A:$GZ,ROW()-4,$F$4)),INDEX('COOIS Raw'!$A:$GZ,ROW()-4,$F$4)))</f>
        <v/>
      </c>
      <c r="G1298" s="41" t="str">
        <f aca="false">IF(A1298="","",IF(ISNA(MATCH(B1298,'Kitting Plan'!$B$6:$B$19,0)),"Not in plan","Yes"))</f>
        <v/>
      </c>
      <c r="H1298" s="41" t="str">
        <f aca="false">IF(G1298="Yes",INDEX('Kitting Plan'!$D$6:$D$19,MATCH(B1298,'Kitting Plan'!$B$6:$B$19,0)),"")</f>
        <v/>
      </c>
      <c r="I1298" s="41" t="str">
        <f aca="false">IF(A1298="","",IF(ISNUMBER(SEARCH("PRT",E1298)),D1298,0))</f>
        <v/>
      </c>
      <c r="J1298" s="41" t="str">
        <f aca="false">IF(A1298="","",IF(ISNUMBER(SEARCH("GMPS",E1298)),D1298,0))</f>
        <v/>
      </c>
      <c r="K1298" s="41" t="str">
        <f aca="false">IF(A1298="","",IF(ISNUMBER(SEARCH("DLV",E1298)),D1298,0))</f>
        <v/>
      </c>
      <c r="L1298" s="41" t="str">
        <f aca="false">IF(A1298="","",IF(K1298&gt;0,"Delivered",IF(ISNUMBER(SEARCH("CNF",E1298)),"In production",IF(J1298&gt;0,"Issued",IF(I1298&gt;0,"Kitted","Released")))))</f>
        <v/>
      </c>
      <c r="M1298" s="41" t="str">
        <f aca="false">IF(G1298&lt;&gt;"Yes","",COUNTIFS($B$6:$B$1505,B1298,$F$6:$F$1505,"&lt;"&amp;F1298)+COUNTIFS($B$6:$B$1505,B1298,$F$6:$F$1505,F1298,$A$6:$A$1505,"&lt;="&amp;A1298))</f>
        <v/>
      </c>
      <c r="N1298" s="41" t="str">
        <f aca="false">IF(M1298="","",ROUNDUP(M1298/H1298,0))</f>
        <v/>
      </c>
      <c r="O1298" s="41" t="str">
        <f aca="false">IF(N1298="","",IF(N1298&lt;='Kitting Plan'!$C$3,"Rep "&amp;N1298,"Surplus"))</f>
        <v/>
      </c>
    </row>
    <row r="1299" customFormat="false" ht="15" hidden="false" customHeight="false" outlineLevel="0" collapsed="false">
      <c r="A1299" s="40" t="str">
        <f aca="false">IF(OR($A$4=0,INDEX('COOIS Raw'!$A:$GZ,ROW()-4,$A$4)=""),"",IFERROR(--INDEX('COOIS Raw'!$A:$GZ,ROW()-4,$A$4),INDEX('COOIS Raw'!$A:$GZ,ROW()-4,$A$4)))</f>
        <v/>
      </c>
      <c r="B1299" s="41" t="str">
        <f aca="false">IF(A1299="","",TRIM(INDEX('COOIS Raw'!$A:$GZ,ROW()-4,$B$4)))</f>
        <v/>
      </c>
      <c r="C1299" s="42" t="str">
        <f aca="false">IF(OR(A1299="",$C$4=0),"",INDEX('COOIS Raw'!$A:$GZ,ROW()-4,$C$4))</f>
        <v/>
      </c>
      <c r="D1299" s="41" t="str">
        <f aca="false">IF(A1299="","",IF($D$4=0,1,IFERROR(--INDEX('COOIS Raw'!$A:$GZ,ROW()-4,$D$4),1)))</f>
        <v/>
      </c>
      <c r="E1299" s="42" t="str">
        <f aca="false">IF(A1299="","",INDEX('COOIS Raw'!$A:$GZ,ROW()-4,$E$4)&amp;"")</f>
        <v/>
      </c>
      <c r="F1299" s="43" t="str">
        <f aca="false">IF(A1299="","",IFERROR(DATEVALUE(INDEX('COOIS Raw'!$A:$GZ,ROW()-4,$F$4)),INDEX('COOIS Raw'!$A:$GZ,ROW()-4,$F$4)))</f>
        <v/>
      </c>
      <c r="G1299" s="41" t="str">
        <f aca="false">IF(A1299="","",IF(ISNA(MATCH(B1299,'Kitting Plan'!$B$6:$B$19,0)),"Not in plan","Yes"))</f>
        <v/>
      </c>
      <c r="H1299" s="41" t="str">
        <f aca="false">IF(G1299="Yes",INDEX('Kitting Plan'!$D$6:$D$19,MATCH(B1299,'Kitting Plan'!$B$6:$B$19,0)),"")</f>
        <v/>
      </c>
      <c r="I1299" s="41" t="str">
        <f aca="false">IF(A1299="","",IF(ISNUMBER(SEARCH("PRT",E1299)),D1299,0))</f>
        <v/>
      </c>
      <c r="J1299" s="41" t="str">
        <f aca="false">IF(A1299="","",IF(ISNUMBER(SEARCH("GMPS",E1299)),D1299,0))</f>
        <v/>
      </c>
      <c r="K1299" s="41" t="str">
        <f aca="false">IF(A1299="","",IF(ISNUMBER(SEARCH("DLV",E1299)),D1299,0))</f>
        <v/>
      </c>
      <c r="L1299" s="41" t="str">
        <f aca="false">IF(A1299="","",IF(K1299&gt;0,"Delivered",IF(ISNUMBER(SEARCH("CNF",E1299)),"In production",IF(J1299&gt;0,"Issued",IF(I1299&gt;0,"Kitted","Released")))))</f>
        <v/>
      </c>
      <c r="M1299" s="41" t="str">
        <f aca="false">IF(G1299&lt;&gt;"Yes","",COUNTIFS($B$6:$B$1505,B1299,$F$6:$F$1505,"&lt;"&amp;F1299)+COUNTIFS($B$6:$B$1505,B1299,$F$6:$F$1505,F1299,$A$6:$A$1505,"&lt;="&amp;A1299))</f>
        <v/>
      </c>
      <c r="N1299" s="41" t="str">
        <f aca="false">IF(M1299="","",ROUNDUP(M1299/H1299,0))</f>
        <v/>
      </c>
      <c r="O1299" s="41" t="str">
        <f aca="false">IF(N1299="","",IF(N1299&lt;='Kitting Plan'!$C$3,"Rep "&amp;N1299,"Surplus"))</f>
        <v/>
      </c>
    </row>
    <row r="1300" customFormat="false" ht="15" hidden="false" customHeight="false" outlineLevel="0" collapsed="false">
      <c r="A1300" s="40" t="str">
        <f aca="false">IF(OR($A$4=0,INDEX('COOIS Raw'!$A:$GZ,ROW()-4,$A$4)=""),"",IFERROR(--INDEX('COOIS Raw'!$A:$GZ,ROW()-4,$A$4),INDEX('COOIS Raw'!$A:$GZ,ROW()-4,$A$4)))</f>
        <v/>
      </c>
      <c r="B1300" s="41" t="str">
        <f aca="false">IF(A1300="","",TRIM(INDEX('COOIS Raw'!$A:$GZ,ROW()-4,$B$4)))</f>
        <v/>
      </c>
      <c r="C1300" s="42" t="str">
        <f aca="false">IF(OR(A1300="",$C$4=0),"",INDEX('COOIS Raw'!$A:$GZ,ROW()-4,$C$4))</f>
        <v/>
      </c>
      <c r="D1300" s="41" t="str">
        <f aca="false">IF(A1300="","",IF($D$4=0,1,IFERROR(--INDEX('COOIS Raw'!$A:$GZ,ROW()-4,$D$4),1)))</f>
        <v/>
      </c>
      <c r="E1300" s="42" t="str">
        <f aca="false">IF(A1300="","",INDEX('COOIS Raw'!$A:$GZ,ROW()-4,$E$4)&amp;"")</f>
        <v/>
      </c>
      <c r="F1300" s="43" t="str">
        <f aca="false">IF(A1300="","",IFERROR(DATEVALUE(INDEX('COOIS Raw'!$A:$GZ,ROW()-4,$F$4)),INDEX('COOIS Raw'!$A:$GZ,ROW()-4,$F$4)))</f>
        <v/>
      </c>
      <c r="G1300" s="41" t="str">
        <f aca="false">IF(A1300="","",IF(ISNA(MATCH(B1300,'Kitting Plan'!$B$6:$B$19,0)),"Not in plan","Yes"))</f>
        <v/>
      </c>
      <c r="H1300" s="41" t="str">
        <f aca="false">IF(G1300="Yes",INDEX('Kitting Plan'!$D$6:$D$19,MATCH(B1300,'Kitting Plan'!$B$6:$B$19,0)),"")</f>
        <v/>
      </c>
      <c r="I1300" s="41" t="str">
        <f aca="false">IF(A1300="","",IF(ISNUMBER(SEARCH("PRT",E1300)),D1300,0))</f>
        <v/>
      </c>
      <c r="J1300" s="41" t="str">
        <f aca="false">IF(A1300="","",IF(ISNUMBER(SEARCH("GMPS",E1300)),D1300,0))</f>
        <v/>
      </c>
      <c r="K1300" s="41" t="str">
        <f aca="false">IF(A1300="","",IF(ISNUMBER(SEARCH("DLV",E1300)),D1300,0))</f>
        <v/>
      </c>
      <c r="L1300" s="41" t="str">
        <f aca="false">IF(A1300="","",IF(K1300&gt;0,"Delivered",IF(ISNUMBER(SEARCH("CNF",E1300)),"In production",IF(J1300&gt;0,"Issued",IF(I1300&gt;0,"Kitted","Released")))))</f>
        <v/>
      </c>
      <c r="M1300" s="41" t="str">
        <f aca="false">IF(G1300&lt;&gt;"Yes","",COUNTIFS($B$6:$B$1505,B1300,$F$6:$F$1505,"&lt;"&amp;F1300)+COUNTIFS($B$6:$B$1505,B1300,$F$6:$F$1505,F1300,$A$6:$A$1505,"&lt;="&amp;A1300))</f>
        <v/>
      </c>
      <c r="N1300" s="41" t="str">
        <f aca="false">IF(M1300="","",ROUNDUP(M1300/H1300,0))</f>
        <v/>
      </c>
      <c r="O1300" s="41" t="str">
        <f aca="false">IF(N1300="","",IF(N1300&lt;='Kitting Plan'!$C$3,"Rep "&amp;N1300,"Surplus"))</f>
        <v/>
      </c>
    </row>
    <row r="1301" customFormat="false" ht="15" hidden="false" customHeight="false" outlineLevel="0" collapsed="false">
      <c r="A1301" s="40" t="str">
        <f aca="false">IF(OR($A$4=0,INDEX('COOIS Raw'!$A:$GZ,ROW()-4,$A$4)=""),"",IFERROR(--INDEX('COOIS Raw'!$A:$GZ,ROW()-4,$A$4),INDEX('COOIS Raw'!$A:$GZ,ROW()-4,$A$4)))</f>
        <v/>
      </c>
      <c r="B1301" s="41" t="str">
        <f aca="false">IF(A1301="","",TRIM(INDEX('COOIS Raw'!$A:$GZ,ROW()-4,$B$4)))</f>
        <v/>
      </c>
      <c r="C1301" s="42" t="str">
        <f aca="false">IF(OR(A1301="",$C$4=0),"",INDEX('COOIS Raw'!$A:$GZ,ROW()-4,$C$4))</f>
        <v/>
      </c>
      <c r="D1301" s="41" t="str">
        <f aca="false">IF(A1301="","",IF($D$4=0,1,IFERROR(--INDEX('COOIS Raw'!$A:$GZ,ROW()-4,$D$4),1)))</f>
        <v/>
      </c>
      <c r="E1301" s="42" t="str">
        <f aca="false">IF(A1301="","",INDEX('COOIS Raw'!$A:$GZ,ROW()-4,$E$4)&amp;"")</f>
        <v/>
      </c>
      <c r="F1301" s="43" t="str">
        <f aca="false">IF(A1301="","",IFERROR(DATEVALUE(INDEX('COOIS Raw'!$A:$GZ,ROW()-4,$F$4)),INDEX('COOIS Raw'!$A:$GZ,ROW()-4,$F$4)))</f>
        <v/>
      </c>
      <c r="G1301" s="41" t="str">
        <f aca="false">IF(A1301="","",IF(ISNA(MATCH(B1301,'Kitting Plan'!$B$6:$B$19,0)),"Not in plan","Yes"))</f>
        <v/>
      </c>
      <c r="H1301" s="41" t="str">
        <f aca="false">IF(G1301="Yes",INDEX('Kitting Plan'!$D$6:$D$19,MATCH(B1301,'Kitting Plan'!$B$6:$B$19,0)),"")</f>
        <v/>
      </c>
      <c r="I1301" s="41" t="str">
        <f aca="false">IF(A1301="","",IF(ISNUMBER(SEARCH("PRT",E1301)),D1301,0))</f>
        <v/>
      </c>
      <c r="J1301" s="41" t="str">
        <f aca="false">IF(A1301="","",IF(ISNUMBER(SEARCH("GMPS",E1301)),D1301,0))</f>
        <v/>
      </c>
      <c r="K1301" s="41" t="str">
        <f aca="false">IF(A1301="","",IF(ISNUMBER(SEARCH("DLV",E1301)),D1301,0))</f>
        <v/>
      </c>
      <c r="L1301" s="41" t="str">
        <f aca="false">IF(A1301="","",IF(K1301&gt;0,"Delivered",IF(ISNUMBER(SEARCH("CNF",E1301)),"In production",IF(J1301&gt;0,"Issued",IF(I1301&gt;0,"Kitted","Released")))))</f>
        <v/>
      </c>
      <c r="M1301" s="41" t="str">
        <f aca="false">IF(G1301&lt;&gt;"Yes","",COUNTIFS($B$6:$B$1505,B1301,$F$6:$F$1505,"&lt;"&amp;F1301)+COUNTIFS($B$6:$B$1505,B1301,$F$6:$F$1505,F1301,$A$6:$A$1505,"&lt;="&amp;A1301))</f>
        <v/>
      </c>
      <c r="N1301" s="41" t="str">
        <f aca="false">IF(M1301="","",ROUNDUP(M1301/H1301,0))</f>
        <v/>
      </c>
      <c r="O1301" s="41" t="str">
        <f aca="false">IF(N1301="","",IF(N1301&lt;='Kitting Plan'!$C$3,"Rep "&amp;N1301,"Surplus"))</f>
        <v/>
      </c>
    </row>
    <row r="1302" customFormat="false" ht="15" hidden="false" customHeight="false" outlineLevel="0" collapsed="false">
      <c r="A1302" s="40" t="str">
        <f aca="false">IF(OR($A$4=0,INDEX('COOIS Raw'!$A:$GZ,ROW()-4,$A$4)=""),"",IFERROR(--INDEX('COOIS Raw'!$A:$GZ,ROW()-4,$A$4),INDEX('COOIS Raw'!$A:$GZ,ROW()-4,$A$4)))</f>
        <v/>
      </c>
      <c r="B1302" s="41" t="str">
        <f aca="false">IF(A1302="","",TRIM(INDEX('COOIS Raw'!$A:$GZ,ROW()-4,$B$4)))</f>
        <v/>
      </c>
      <c r="C1302" s="42" t="str">
        <f aca="false">IF(OR(A1302="",$C$4=0),"",INDEX('COOIS Raw'!$A:$GZ,ROW()-4,$C$4))</f>
        <v/>
      </c>
      <c r="D1302" s="41" t="str">
        <f aca="false">IF(A1302="","",IF($D$4=0,1,IFERROR(--INDEX('COOIS Raw'!$A:$GZ,ROW()-4,$D$4),1)))</f>
        <v/>
      </c>
      <c r="E1302" s="42" t="str">
        <f aca="false">IF(A1302="","",INDEX('COOIS Raw'!$A:$GZ,ROW()-4,$E$4)&amp;"")</f>
        <v/>
      </c>
      <c r="F1302" s="43" t="str">
        <f aca="false">IF(A1302="","",IFERROR(DATEVALUE(INDEX('COOIS Raw'!$A:$GZ,ROW()-4,$F$4)),INDEX('COOIS Raw'!$A:$GZ,ROW()-4,$F$4)))</f>
        <v/>
      </c>
      <c r="G1302" s="41" t="str">
        <f aca="false">IF(A1302="","",IF(ISNA(MATCH(B1302,'Kitting Plan'!$B$6:$B$19,0)),"Not in plan","Yes"))</f>
        <v/>
      </c>
      <c r="H1302" s="41" t="str">
        <f aca="false">IF(G1302="Yes",INDEX('Kitting Plan'!$D$6:$D$19,MATCH(B1302,'Kitting Plan'!$B$6:$B$19,0)),"")</f>
        <v/>
      </c>
      <c r="I1302" s="41" t="str">
        <f aca="false">IF(A1302="","",IF(ISNUMBER(SEARCH("PRT",E1302)),D1302,0))</f>
        <v/>
      </c>
      <c r="J1302" s="41" t="str">
        <f aca="false">IF(A1302="","",IF(ISNUMBER(SEARCH("GMPS",E1302)),D1302,0))</f>
        <v/>
      </c>
      <c r="K1302" s="41" t="str">
        <f aca="false">IF(A1302="","",IF(ISNUMBER(SEARCH("DLV",E1302)),D1302,0))</f>
        <v/>
      </c>
      <c r="L1302" s="41" t="str">
        <f aca="false">IF(A1302="","",IF(K1302&gt;0,"Delivered",IF(ISNUMBER(SEARCH("CNF",E1302)),"In production",IF(J1302&gt;0,"Issued",IF(I1302&gt;0,"Kitted","Released")))))</f>
        <v/>
      </c>
      <c r="M1302" s="41" t="str">
        <f aca="false">IF(G1302&lt;&gt;"Yes","",COUNTIFS($B$6:$B$1505,B1302,$F$6:$F$1505,"&lt;"&amp;F1302)+COUNTIFS($B$6:$B$1505,B1302,$F$6:$F$1505,F1302,$A$6:$A$1505,"&lt;="&amp;A1302))</f>
        <v/>
      </c>
      <c r="N1302" s="41" t="str">
        <f aca="false">IF(M1302="","",ROUNDUP(M1302/H1302,0))</f>
        <v/>
      </c>
      <c r="O1302" s="41" t="str">
        <f aca="false">IF(N1302="","",IF(N1302&lt;='Kitting Plan'!$C$3,"Rep "&amp;N1302,"Surplus"))</f>
        <v/>
      </c>
    </row>
    <row r="1303" customFormat="false" ht="15" hidden="false" customHeight="false" outlineLevel="0" collapsed="false">
      <c r="A1303" s="40" t="str">
        <f aca="false">IF(OR($A$4=0,INDEX('COOIS Raw'!$A:$GZ,ROW()-4,$A$4)=""),"",IFERROR(--INDEX('COOIS Raw'!$A:$GZ,ROW()-4,$A$4),INDEX('COOIS Raw'!$A:$GZ,ROW()-4,$A$4)))</f>
        <v/>
      </c>
      <c r="B1303" s="41" t="str">
        <f aca="false">IF(A1303="","",TRIM(INDEX('COOIS Raw'!$A:$GZ,ROW()-4,$B$4)))</f>
        <v/>
      </c>
      <c r="C1303" s="42" t="str">
        <f aca="false">IF(OR(A1303="",$C$4=0),"",INDEX('COOIS Raw'!$A:$GZ,ROW()-4,$C$4))</f>
        <v/>
      </c>
      <c r="D1303" s="41" t="str">
        <f aca="false">IF(A1303="","",IF($D$4=0,1,IFERROR(--INDEX('COOIS Raw'!$A:$GZ,ROW()-4,$D$4),1)))</f>
        <v/>
      </c>
      <c r="E1303" s="42" t="str">
        <f aca="false">IF(A1303="","",INDEX('COOIS Raw'!$A:$GZ,ROW()-4,$E$4)&amp;"")</f>
        <v/>
      </c>
      <c r="F1303" s="43" t="str">
        <f aca="false">IF(A1303="","",IFERROR(DATEVALUE(INDEX('COOIS Raw'!$A:$GZ,ROW()-4,$F$4)),INDEX('COOIS Raw'!$A:$GZ,ROW()-4,$F$4)))</f>
        <v/>
      </c>
      <c r="G1303" s="41" t="str">
        <f aca="false">IF(A1303="","",IF(ISNA(MATCH(B1303,'Kitting Plan'!$B$6:$B$19,0)),"Not in plan","Yes"))</f>
        <v/>
      </c>
      <c r="H1303" s="41" t="str">
        <f aca="false">IF(G1303="Yes",INDEX('Kitting Plan'!$D$6:$D$19,MATCH(B1303,'Kitting Plan'!$B$6:$B$19,0)),"")</f>
        <v/>
      </c>
      <c r="I1303" s="41" t="str">
        <f aca="false">IF(A1303="","",IF(ISNUMBER(SEARCH("PRT",E1303)),D1303,0))</f>
        <v/>
      </c>
      <c r="J1303" s="41" t="str">
        <f aca="false">IF(A1303="","",IF(ISNUMBER(SEARCH("GMPS",E1303)),D1303,0))</f>
        <v/>
      </c>
      <c r="K1303" s="41" t="str">
        <f aca="false">IF(A1303="","",IF(ISNUMBER(SEARCH("DLV",E1303)),D1303,0))</f>
        <v/>
      </c>
      <c r="L1303" s="41" t="str">
        <f aca="false">IF(A1303="","",IF(K1303&gt;0,"Delivered",IF(ISNUMBER(SEARCH("CNF",E1303)),"In production",IF(J1303&gt;0,"Issued",IF(I1303&gt;0,"Kitted","Released")))))</f>
        <v/>
      </c>
      <c r="M1303" s="41" t="str">
        <f aca="false">IF(G1303&lt;&gt;"Yes","",COUNTIFS($B$6:$B$1505,B1303,$F$6:$F$1505,"&lt;"&amp;F1303)+COUNTIFS($B$6:$B$1505,B1303,$F$6:$F$1505,F1303,$A$6:$A$1505,"&lt;="&amp;A1303))</f>
        <v/>
      </c>
      <c r="N1303" s="41" t="str">
        <f aca="false">IF(M1303="","",ROUNDUP(M1303/H1303,0))</f>
        <v/>
      </c>
      <c r="O1303" s="41" t="str">
        <f aca="false">IF(N1303="","",IF(N1303&lt;='Kitting Plan'!$C$3,"Rep "&amp;N1303,"Surplus"))</f>
        <v/>
      </c>
    </row>
    <row r="1304" customFormat="false" ht="15" hidden="false" customHeight="false" outlineLevel="0" collapsed="false">
      <c r="A1304" s="40" t="str">
        <f aca="false">IF(OR($A$4=0,INDEX('COOIS Raw'!$A:$GZ,ROW()-4,$A$4)=""),"",IFERROR(--INDEX('COOIS Raw'!$A:$GZ,ROW()-4,$A$4),INDEX('COOIS Raw'!$A:$GZ,ROW()-4,$A$4)))</f>
        <v/>
      </c>
      <c r="B1304" s="41" t="str">
        <f aca="false">IF(A1304="","",TRIM(INDEX('COOIS Raw'!$A:$GZ,ROW()-4,$B$4)))</f>
        <v/>
      </c>
      <c r="C1304" s="42" t="str">
        <f aca="false">IF(OR(A1304="",$C$4=0),"",INDEX('COOIS Raw'!$A:$GZ,ROW()-4,$C$4))</f>
        <v/>
      </c>
      <c r="D1304" s="41" t="str">
        <f aca="false">IF(A1304="","",IF($D$4=0,1,IFERROR(--INDEX('COOIS Raw'!$A:$GZ,ROW()-4,$D$4),1)))</f>
        <v/>
      </c>
      <c r="E1304" s="42" t="str">
        <f aca="false">IF(A1304="","",INDEX('COOIS Raw'!$A:$GZ,ROW()-4,$E$4)&amp;"")</f>
        <v/>
      </c>
      <c r="F1304" s="43" t="str">
        <f aca="false">IF(A1304="","",IFERROR(DATEVALUE(INDEX('COOIS Raw'!$A:$GZ,ROW()-4,$F$4)),INDEX('COOIS Raw'!$A:$GZ,ROW()-4,$F$4)))</f>
        <v/>
      </c>
      <c r="G1304" s="41" t="str">
        <f aca="false">IF(A1304="","",IF(ISNA(MATCH(B1304,'Kitting Plan'!$B$6:$B$19,0)),"Not in plan","Yes"))</f>
        <v/>
      </c>
      <c r="H1304" s="41" t="str">
        <f aca="false">IF(G1304="Yes",INDEX('Kitting Plan'!$D$6:$D$19,MATCH(B1304,'Kitting Plan'!$B$6:$B$19,0)),"")</f>
        <v/>
      </c>
      <c r="I1304" s="41" t="str">
        <f aca="false">IF(A1304="","",IF(ISNUMBER(SEARCH("PRT",E1304)),D1304,0))</f>
        <v/>
      </c>
      <c r="J1304" s="41" t="str">
        <f aca="false">IF(A1304="","",IF(ISNUMBER(SEARCH("GMPS",E1304)),D1304,0))</f>
        <v/>
      </c>
      <c r="K1304" s="41" t="str">
        <f aca="false">IF(A1304="","",IF(ISNUMBER(SEARCH("DLV",E1304)),D1304,0))</f>
        <v/>
      </c>
      <c r="L1304" s="41" t="str">
        <f aca="false">IF(A1304="","",IF(K1304&gt;0,"Delivered",IF(ISNUMBER(SEARCH("CNF",E1304)),"In production",IF(J1304&gt;0,"Issued",IF(I1304&gt;0,"Kitted","Released")))))</f>
        <v/>
      </c>
      <c r="M1304" s="41" t="str">
        <f aca="false">IF(G1304&lt;&gt;"Yes","",COUNTIFS($B$6:$B$1505,B1304,$F$6:$F$1505,"&lt;"&amp;F1304)+COUNTIFS($B$6:$B$1505,B1304,$F$6:$F$1505,F1304,$A$6:$A$1505,"&lt;="&amp;A1304))</f>
        <v/>
      </c>
      <c r="N1304" s="41" t="str">
        <f aca="false">IF(M1304="","",ROUNDUP(M1304/H1304,0))</f>
        <v/>
      </c>
      <c r="O1304" s="41" t="str">
        <f aca="false">IF(N1304="","",IF(N1304&lt;='Kitting Plan'!$C$3,"Rep "&amp;N1304,"Surplus"))</f>
        <v/>
      </c>
    </row>
    <row r="1305" customFormat="false" ht="15" hidden="false" customHeight="false" outlineLevel="0" collapsed="false">
      <c r="A1305" s="40" t="str">
        <f aca="false">IF(OR($A$4=0,INDEX('COOIS Raw'!$A:$GZ,ROW()-4,$A$4)=""),"",IFERROR(--INDEX('COOIS Raw'!$A:$GZ,ROW()-4,$A$4),INDEX('COOIS Raw'!$A:$GZ,ROW()-4,$A$4)))</f>
        <v/>
      </c>
      <c r="B1305" s="41" t="str">
        <f aca="false">IF(A1305="","",TRIM(INDEX('COOIS Raw'!$A:$GZ,ROW()-4,$B$4)))</f>
        <v/>
      </c>
      <c r="C1305" s="42" t="str">
        <f aca="false">IF(OR(A1305="",$C$4=0),"",INDEX('COOIS Raw'!$A:$GZ,ROW()-4,$C$4))</f>
        <v/>
      </c>
      <c r="D1305" s="41" t="str">
        <f aca="false">IF(A1305="","",IF($D$4=0,1,IFERROR(--INDEX('COOIS Raw'!$A:$GZ,ROW()-4,$D$4),1)))</f>
        <v/>
      </c>
      <c r="E1305" s="42" t="str">
        <f aca="false">IF(A1305="","",INDEX('COOIS Raw'!$A:$GZ,ROW()-4,$E$4)&amp;"")</f>
        <v/>
      </c>
      <c r="F1305" s="43" t="str">
        <f aca="false">IF(A1305="","",IFERROR(DATEVALUE(INDEX('COOIS Raw'!$A:$GZ,ROW()-4,$F$4)),INDEX('COOIS Raw'!$A:$GZ,ROW()-4,$F$4)))</f>
        <v/>
      </c>
      <c r="G1305" s="41" t="str">
        <f aca="false">IF(A1305="","",IF(ISNA(MATCH(B1305,'Kitting Plan'!$B$6:$B$19,0)),"Not in plan","Yes"))</f>
        <v/>
      </c>
      <c r="H1305" s="41" t="str">
        <f aca="false">IF(G1305="Yes",INDEX('Kitting Plan'!$D$6:$D$19,MATCH(B1305,'Kitting Plan'!$B$6:$B$19,0)),"")</f>
        <v/>
      </c>
      <c r="I1305" s="41" t="str">
        <f aca="false">IF(A1305="","",IF(ISNUMBER(SEARCH("PRT",E1305)),D1305,0))</f>
        <v/>
      </c>
      <c r="J1305" s="41" t="str">
        <f aca="false">IF(A1305="","",IF(ISNUMBER(SEARCH("GMPS",E1305)),D1305,0))</f>
        <v/>
      </c>
      <c r="K1305" s="41" t="str">
        <f aca="false">IF(A1305="","",IF(ISNUMBER(SEARCH("DLV",E1305)),D1305,0))</f>
        <v/>
      </c>
      <c r="L1305" s="41" t="str">
        <f aca="false">IF(A1305="","",IF(K1305&gt;0,"Delivered",IF(ISNUMBER(SEARCH("CNF",E1305)),"In production",IF(J1305&gt;0,"Issued",IF(I1305&gt;0,"Kitted","Released")))))</f>
        <v/>
      </c>
      <c r="M1305" s="41" t="str">
        <f aca="false">IF(G1305&lt;&gt;"Yes","",COUNTIFS($B$6:$B$1505,B1305,$F$6:$F$1505,"&lt;"&amp;F1305)+COUNTIFS($B$6:$B$1505,B1305,$F$6:$F$1505,F1305,$A$6:$A$1505,"&lt;="&amp;A1305))</f>
        <v/>
      </c>
      <c r="N1305" s="41" t="str">
        <f aca="false">IF(M1305="","",ROUNDUP(M1305/H1305,0))</f>
        <v/>
      </c>
      <c r="O1305" s="41" t="str">
        <f aca="false">IF(N1305="","",IF(N1305&lt;='Kitting Plan'!$C$3,"Rep "&amp;N1305,"Surplus"))</f>
        <v/>
      </c>
    </row>
    <row r="1306" customFormat="false" ht="15" hidden="false" customHeight="false" outlineLevel="0" collapsed="false">
      <c r="A1306" s="40" t="str">
        <f aca="false">IF(OR($A$4=0,INDEX('COOIS Raw'!$A:$GZ,ROW()-4,$A$4)=""),"",IFERROR(--INDEX('COOIS Raw'!$A:$GZ,ROW()-4,$A$4),INDEX('COOIS Raw'!$A:$GZ,ROW()-4,$A$4)))</f>
        <v/>
      </c>
      <c r="B1306" s="41" t="str">
        <f aca="false">IF(A1306="","",TRIM(INDEX('COOIS Raw'!$A:$GZ,ROW()-4,$B$4)))</f>
        <v/>
      </c>
      <c r="C1306" s="42" t="str">
        <f aca="false">IF(OR(A1306="",$C$4=0),"",INDEX('COOIS Raw'!$A:$GZ,ROW()-4,$C$4))</f>
        <v/>
      </c>
      <c r="D1306" s="41" t="str">
        <f aca="false">IF(A1306="","",IF($D$4=0,1,IFERROR(--INDEX('COOIS Raw'!$A:$GZ,ROW()-4,$D$4),1)))</f>
        <v/>
      </c>
      <c r="E1306" s="42" t="str">
        <f aca="false">IF(A1306="","",INDEX('COOIS Raw'!$A:$GZ,ROW()-4,$E$4)&amp;"")</f>
        <v/>
      </c>
      <c r="F1306" s="43" t="str">
        <f aca="false">IF(A1306="","",IFERROR(DATEVALUE(INDEX('COOIS Raw'!$A:$GZ,ROW()-4,$F$4)),INDEX('COOIS Raw'!$A:$GZ,ROW()-4,$F$4)))</f>
        <v/>
      </c>
      <c r="G1306" s="41" t="str">
        <f aca="false">IF(A1306="","",IF(ISNA(MATCH(B1306,'Kitting Plan'!$B$6:$B$19,0)),"Not in plan","Yes"))</f>
        <v/>
      </c>
      <c r="H1306" s="41" t="str">
        <f aca="false">IF(G1306="Yes",INDEX('Kitting Plan'!$D$6:$D$19,MATCH(B1306,'Kitting Plan'!$B$6:$B$19,0)),"")</f>
        <v/>
      </c>
      <c r="I1306" s="41" t="str">
        <f aca="false">IF(A1306="","",IF(ISNUMBER(SEARCH("PRT",E1306)),D1306,0))</f>
        <v/>
      </c>
      <c r="J1306" s="41" t="str">
        <f aca="false">IF(A1306="","",IF(ISNUMBER(SEARCH("GMPS",E1306)),D1306,0))</f>
        <v/>
      </c>
      <c r="K1306" s="41" t="str">
        <f aca="false">IF(A1306="","",IF(ISNUMBER(SEARCH("DLV",E1306)),D1306,0))</f>
        <v/>
      </c>
      <c r="L1306" s="41" t="str">
        <f aca="false">IF(A1306="","",IF(K1306&gt;0,"Delivered",IF(ISNUMBER(SEARCH("CNF",E1306)),"In production",IF(J1306&gt;0,"Issued",IF(I1306&gt;0,"Kitted","Released")))))</f>
        <v/>
      </c>
      <c r="M1306" s="41" t="str">
        <f aca="false">IF(G1306&lt;&gt;"Yes","",COUNTIFS($B$6:$B$1505,B1306,$F$6:$F$1505,"&lt;"&amp;F1306)+COUNTIFS($B$6:$B$1505,B1306,$F$6:$F$1505,F1306,$A$6:$A$1505,"&lt;="&amp;A1306))</f>
        <v/>
      </c>
      <c r="N1306" s="41" t="str">
        <f aca="false">IF(M1306="","",ROUNDUP(M1306/H1306,0))</f>
        <v/>
      </c>
      <c r="O1306" s="41" t="str">
        <f aca="false">IF(N1306="","",IF(N1306&lt;='Kitting Plan'!$C$3,"Rep "&amp;N1306,"Surplus"))</f>
        <v/>
      </c>
    </row>
    <row r="1307" customFormat="false" ht="15" hidden="false" customHeight="false" outlineLevel="0" collapsed="false">
      <c r="A1307" s="40" t="str">
        <f aca="false">IF(OR($A$4=0,INDEX('COOIS Raw'!$A:$GZ,ROW()-4,$A$4)=""),"",IFERROR(--INDEX('COOIS Raw'!$A:$GZ,ROW()-4,$A$4),INDEX('COOIS Raw'!$A:$GZ,ROW()-4,$A$4)))</f>
        <v/>
      </c>
      <c r="B1307" s="41" t="str">
        <f aca="false">IF(A1307="","",TRIM(INDEX('COOIS Raw'!$A:$GZ,ROW()-4,$B$4)))</f>
        <v/>
      </c>
      <c r="C1307" s="42" t="str">
        <f aca="false">IF(OR(A1307="",$C$4=0),"",INDEX('COOIS Raw'!$A:$GZ,ROW()-4,$C$4))</f>
        <v/>
      </c>
      <c r="D1307" s="41" t="str">
        <f aca="false">IF(A1307="","",IF($D$4=0,1,IFERROR(--INDEX('COOIS Raw'!$A:$GZ,ROW()-4,$D$4),1)))</f>
        <v/>
      </c>
      <c r="E1307" s="42" t="str">
        <f aca="false">IF(A1307="","",INDEX('COOIS Raw'!$A:$GZ,ROW()-4,$E$4)&amp;"")</f>
        <v/>
      </c>
      <c r="F1307" s="43" t="str">
        <f aca="false">IF(A1307="","",IFERROR(DATEVALUE(INDEX('COOIS Raw'!$A:$GZ,ROW()-4,$F$4)),INDEX('COOIS Raw'!$A:$GZ,ROW()-4,$F$4)))</f>
        <v/>
      </c>
      <c r="G1307" s="41" t="str">
        <f aca="false">IF(A1307="","",IF(ISNA(MATCH(B1307,'Kitting Plan'!$B$6:$B$19,0)),"Not in plan","Yes"))</f>
        <v/>
      </c>
      <c r="H1307" s="41" t="str">
        <f aca="false">IF(G1307="Yes",INDEX('Kitting Plan'!$D$6:$D$19,MATCH(B1307,'Kitting Plan'!$B$6:$B$19,0)),"")</f>
        <v/>
      </c>
      <c r="I1307" s="41" t="str">
        <f aca="false">IF(A1307="","",IF(ISNUMBER(SEARCH("PRT",E1307)),D1307,0))</f>
        <v/>
      </c>
      <c r="J1307" s="41" t="str">
        <f aca="false">IF(A1307="","",IF(ISNUMBER(SEARCH("GMPS",E1307)),D1307,0))</f>
        <v/>
      </c>
      <c r="K1307" s="41" t="str">
        <f aca="false">IF(A1307="","",IF(ISNUMBER(SEARCH("DLV",E1307)),D1307,0))</f>
        <v/>
      </c>
      <c r="L1307" s="41" t="str">
        <f aca="false">IF(A1307="","",IF(K1307&gt;0,"Delivered",IF(ISNUMBER(SEARCH("CNF",E1307)),"In production",IF(J1307&gt;0,"Issued",IF(I1307&gt;0,"Kitted","Released")))))</f>
        <v/>
      </c>
      <c r="M1307" s="41" t="str">
        <f aca="false">IF(G1307&lt;&gt;"Yes","",COUNTIFS($B$6:$B$1505,B1307,$F$6:$F$1505,"&lt;"&amp;F1307)+COUNTIFS($B$6:$B$1505,B1307,$F$6:$F$1505,F1307,$A$6:$A$1505,"&lt;="&amp;A1307))</f>
        <v/>
      </c>
      <c r="N1307" s="41" t="str">
        <f aca="false">IF(M1307="","",ROUNDUP(M1307/H1307,0))</f>
        <v/>
      </c>
      <c r="O1307" s="41" t="str">
        <f aca="false">IF(N1307="","",IF(N1307&lt;='Kitting Plan'!$C$3,"Rep "&amp;N1307,"Surplus"))</f>
        <v/>
      </c>
    </row>
    <row r="1308" customFormat="false" ht="15" hidden="false" customHeight="false" outlineLevel="0" collapsed="false">
      <c r="A1308" s="40" t="str">
        <f aca="false">IF(OR($A$4=0,INDEX('COOIS Raw'!$A:$GZ,ROW()-4,$A$4)=""),"",IFERROR(--INDEX('COOIS Raw'!$A:$GZ,ROW()-4,$A$4),INDEX('COOIS Raw'!$A:$GZ,ROW()-4,$A$4)))</f>
        <v/>
      </c>
      <c r="B1308" s="41" t="str">
        <f aca="false">IF(A1308="","",TRIM(INDEX('COOIS Raw'!$A:$GZ,ROW()-4,$B$4)))</f>
        <v/>
      </c>
      <c r="C1308" s="42" t="str">
        <f aca="false">IF(OR(A1308="",$C$4=0),"",INDEX('COOIS Raw'!$A:$GZ,ROW()-4,$C$4))</f>
        <v/>
      </c>
      <c r="D1308" s="41" t="str">
        <f aca="false">IF(A1308="","",IF($D$4=0,1,IFERROR(--INDEX('COOIS Raw'!$A:$GZ,ROW()-4,$D$4),1)))</f>
        <v/>
      </c>
      <c r="E1308" s="42" t="str">
        <f aca="false">IF(A1308="","",INDEX('COOIS Raw'!$A:$GZ,ROW()-4,$E$4)&amp;"")</f>
        <v/>
      </c>
      <c r="F1308" s="43" t="str">
        <f aca="false">IF(A1308="","",IFERROR(DATEVALUE(INDEX('COOIS Raw'!$A:$GZ,ROW()-4,$F$4)),INDEX('COOIS Raw'!$A:$GZ,ROW()-4,$F$4)))</f>
        <v/>
      </c>
      <c r="G1308" s="41" t="str">
        <f aca="false">IF(A1308="","",IF(ISNA(MATCH(B1308,'Kitting Plan'!$B$6:$B$19,0)),"Not in plan","Yes"))</f>
        <v/>
      </c>
      <c r="H1308" s="41" t="str">
        <f aca="false">IF(G1308="Yes",INDEX('Kitting Plan'!$D$6:$D$19,MATCH(B1308,'Kitting Plan'!$B$6:$B$19,0)),"")</f>
        <v/>
      </c>
      <c r="I1308" s="41" t="str">
        <f aca="false">IF(A1308="","",IF(ISNUMBER(SEARCH("PRT",E1308)),D1308,0))</f>
        <v/>
      </c>
      <c r="J1308" s="41" t="str">
        <f aca="false">IF(A1308="","",IF(ISNUMBER(SEARCH("GMPS",E1308)),D1308,0))</f>
        <v/>
      </c>
      <c r="K1308" s="41" t="str">
        <f aca="false">IF(A1308="","",IF(ISNUMBER(SEARCH("DLV",E1308)),D1308,0))</f>
        <v/>
      </c>
      <c r="L1308" s="41" t="str">
        <f aca="false">IF(A1308="","",IF(K1308&gt;0,"Delivered",IF(ISNUMBER(SEARCH("CNF",E1308)),"In production",IF(J1308&gt;0,"Issued",IF(I1308&gt;0,"Kitted","Released")))))</f>
        <v/>
      </c>
      <c r="M1308" s="41" t="str">
        <f aca="false">IF(G1308&lt;&gt;"Yes","",COUNTIFS($B$6:$B$1505,B1308,$F$6:$F$1505,"&lt;"&amp;F1308)+COUNTIFS($B$6:$B$1505,B1308,$F$6:$F$1505,F1308,$A$6:$A$1505,"&lt;="&amp;A1308))</f>
        <v/>
      </c>
      <c r="N1308" s="41" t="str">
        <f aca="false">IF(M1308="","",ROUNDUP(M1308/H1308,0))</f>
        <v/>
      </c>
      <c r="O1308" s="41" t="str">
        <f aca="false">IF(N1308="","",IF(N1308&lt;='Kitting Plan'!$C$3,"Rep "&amp;N1308,"Surplus"))</f>
        <v/>
      </c>
    </row>
    <row r="1309" customFormat="false" ht="15" hidden="false" customHeight="false" outlineLevel="0" collapsed="false">
      <c r="A1309" s="40" t="str">
        <f aca="false">IF(OR($A$4=0,INDEX('COOIS Raw'!$A:$GZ,ROW()-4,$A$4)=""),"",IFERROR(--INDEX('COOIS Raw'!$A:$GZ,ROW()-4,$A$4),INDEX('COOIS Raw'!$A:$GZ,ROW()-4,$A$4)))</f>
        <v/>
      </c>
      <c r="B1309" s="41" t="str">
        <f aca="false">IF(A1309="","",TRIM(INDEX('COOIS Raw'!$A:$GZ,ROW()-4,$B$4)))</f>
        <v/>
      </c>
      <c r="C1309" s="42" t="str">
        <f aca="false">IF(OR(A1309="",$C$4=0),"",INDEX('COOIS Raw'!$A:$GZ,ROW()-4,$C$4))</f>
        <v/>
      </c>
      <c r="D1309" s="41" t="str">
        <f aca="false">IF(A1309="","",IF($D$4=0,1,IFERROR(--INDEX('COOIS Raw'!$A:$GZ,ROW()-4,$D$4),1)))</f>
        <v/>
      </c>
      <c r="E1309" s="42" t="str">
        <f aca="false">IF(A1309="","",INDEX('COOIS Raw'!$A:$GZ,ROW()-4,$E$4)&amp;"")</f>
        <v/>
      </c>
      <c r="F1309" s="43" t="str">
        <f aca="false">IF(A1309="","",IFERROR(DATEVALUE(INDEX('COOIS Raw'!$A:$GZ,ROW()-4,$F$4)),INDEX('COOIS Raw'!$A:$GZ,ROW()-4,$F$4)))</f>
        <v/>
      </c>
      <c r="G1309" s="41" t="str">
        <f aca="false">IF(A1309="","",IF(ISNA(MATCH(B1309,'Kitting Plan'!$B$6:$B$19,0)),"Not in plan","Yes"))</f>
        <v/>
      </c>
      <c r="H1309" s="41" t="str">
        <f aca="false">IF(G1309="Yes",INDEX('Kitting Plan'!$D$6:$D$19,MATCH(B1309,'Kitting Plan'!$B$6:$B$19,0)),"")</f>
        <v/>
      </c>
      <c r="I1309" s="41" t="str">
        <f aca="false">IF(A1309="","",IF(ISNUMBER(SEARCH("PRT",E1309)),D1309,0))</f>
        <v/>
      </c>
      <c r="J1309" s="41" t="str">
        <f aca="false">IF(A1309="","",IF(ISNUMBER(SEARCH("GMPS",E1309)),D1309,0))</f>
        <v/>
      </c>
      <c r="K1309" s="41" t="str">
        <f aca="false">IF(A1309="","",IF(ISNUMBER(SEARCH("DLV",E1309)),D1309,0))</f>
        <v/>
      </c>
      <c r="L1309" s="41" t="str">
        <f aca="false">IF(A1309="","",IF(K1309&gt;0,"Delivered",IF(ISNUMBER(SEARCH("CNF",E1309)),"In production",IF(J1309&gt;0,"Issued",IF(I1309&gt;0,"Kitted","Released")))))</f>
        <v/>
      </c>
      <c r="M1309" s="41" t="str">
        <f aca="false">IF(G1309&lt;&gt;"Yes","",COUNTIFS($B$6:$B$1505,B1309,$F$6:$F$1505,"&lt;"&amp;F1309)+COUNTIFS($B$6:$B$1505,B1309,$F$6:$F$1505,F1309,$A$6:$A$1505,"&lt;="&amp;A1309))</f>
        <v/>
      </c>
      <c r="N1309" s="41" t="str">
        <f aca="false">IF(M1309="","",ROUNDUP(M1309/H1309,0))</f>
        <v/>
      </c>
      <c r="O1309" s="41" t="str">
        <f aca="false">IF(N1309="","",IF(N1309&lt;='Kitting Plan'!$C$3,"Rep "&amp;N1309,"Surplus"))</f>
        <v/>
      </c>
    </row>
    <row r="1310" customFormat="false" ht="15" hidden="false" customHeight="false" outlineLevel="0" collapsed="false">
      <c r="A1310" s="40" t="str">
        <f aca="false">IF(OR($A$4=0,INDEX('COOIS Raw'!$A:$GZ,ROW()-4,$A$4)=""),"",IFERROR(--INDEX('COOIS Raw'!$A:$GZ,ROW()-4,$A$4),INDEX('COOIS Raw'!$A:$GZ,ROW()-4,$A$4)))</f>
        <v/>
      </c>
      <c r="B1310" s="41" t="str">
        <f aca="false">IF(A1310="","",TRIM(INDEX('COOIS Raw'!$A:$GZ,ROW()-4,$B$4)))</f>
        <v/>
      </c>
      <c r="C1310" s="42" t="str">
        <f aca="false">IF(OR(A1310="",$C$4=0),"",INDEX('COOIS Raw'!$A:$GZ,ROW()-4,$C$4))</f>
        <v/>
      </c>
      <c r="D1310" s="41" t="str">
        <f aca="false">IF(A1310="","",IF($D$4=0,1,IFERROR(--INDEX('COOIS Raw'!$A:$GZ,ROW()-4,$D$4),1)))</f>
        <v/>
      </c>
      <c r="E1310" s="42" t="str">
        <f aca="false">IF(A1310="","",INDEX('COOIS Raw'!$A:$GZ,ROW()-4,$E$4)&amp;"")</f>
        <v/>
      </c>
      <c r="F1310" s="43" t="str">
        <f aca="false">IF(A1310="","",IFERROR(DATEVALUE(INDEX('COOIS Raw'!$A:$GZ,ROW()-4,$F$4)),INDEX('COOIS Raw'!$A:$GZ,ROW()-4,$F$4)))</f>
        <v/>
      </c>
      <c r="G1310" s="41" t="str">
        <f aca="false">IF(A1310="","",IF(ISNA(MATCH(B1310,'Kitting Plan'!$B$6:$B$19,0)),"Not in plan","Yes"))</f>
        <v/>
      </c>
      <c r="H1310" s="41" t="str">
        <f aca="false">IF(G1310="Yes",INDEX('Kitting Plan'!$D$6:$D$19,MATCH(B1310,'Kitting Plan'!$B$6:$B$19,0)),"")</f>
        <v/>
      </c>
      <c r="I1310" s="41" t="str">
        <f aca="false">IF(A1310="","",IF(ISNUMBER(SEARCH("PRT",E1310)),D1310,0))</f>
        <v/>
      </c>
      <c r="J1310" s="41" t="str">
        <f aca="false">IF(A1310="","",IF(ISNUMBER(SEARCH("GMPS",E1310)),D1310,0))</f>
        <v/>
      </c>
      <c r="K1310" s="41" t="str">
        <f aca="false">IF(A1310="","",IF(ISNUMBER(SEARCH("DLV",E1310)),D1310,0))</f>
        <v/>
      </c>
      <c r="L1310" s="41" t="str">
        <f aca="false">IF(A1310="","",IF(K1310&gt;0,"Delivered",IF(ISNUMBER(SEARCH("CNF",E1310)),"In production",IF(J1310&gt;0,"Issued",IF(I1310&gt;0,"Kitted","Released")))))</f>
        <v/>
      </c>
      <c r="M1310" s="41" t="str">
        <f aca="false">IF(G1310&lt;&gt;"Yes","",COUNTIFS($B$6:$B$1505,B1310,$F$6:$F$1505,"&lt;"&amp;F1310)+COUNTIFS($B$6:$B$1505,B1310,$F$6:$F$1505,F1310,$A$6:$A$1505,"&lt;="&amp;A1310))</f>
        <v/>
      </c>
      <c r="N1310" s="41" t="str">
        <f aca="false">IF(M1310="","",ROUNDUP(M1310/H1310,0))</f>
        <v/>
      </c>
      <c r="O1310" s="41" t="str">
        <f aca="false">IF(N1310="","",IF(N1310&lt;='Kitting Plan'!$C$3,"Rep "&amp;N1310,"Surplus"))</f>
        <v/>
      </c>
    </row>
    <row r="1311" customFormat="false" ht="15" hidden="false" customHeight="false" outlineLevel="0" collapsed="false">
      <c r="A1311" s="40" t="str">
        <f aca="false">IF(OR($A$4=0,INDEX('COOIS Raw'!$A:$GZ,ROW()-4,$A$4)=""),"",IFERROR(--INDEX('COOIS Raw'!$A:$GZ,ROW()-4,$A$4),INDEX('COOIS Raw'!$A:$GZ,ROW()-4,$A$4)))</f>
        <v/>
      </c>
      <c r="B1311" s="41" t="str">
        <f aca="false">IF(A1311="","",TRIM(INDEX('COOIS Raw'!$A:$GZ,ROW()-4,$B$4)))</f>
        <v/>
      </c>
      <c r="C1311" s="42" t="str">
        <f aca="false">IF(OR(A1311="",$C$4=0),"",INDEX('COOIS Raw'!$A:$GZ,ROW()-4,$C$4))</f>
        <v/>
      </c>
      <c r="D1311" s="41" t="str">
        <f aca="false">IF(A1311="","",IF($D$4=0,1,IFERROR(--INDEX('COOIS Raw'!$A:$GZ,ROW()-4,$D$4),1)))</f>
        <v/>
      </c>
      <c r="E1311" s="42" t="str">
        <f aca="false">IF(A1311="","",INDEX('COOIS Raw'!$A:$GZ,ROW()-4,$E$4)&amp;"")</f>
        <v/>
      </c>
      <c r="F1311" s="43" t="str">
        <f aca="false">IF(A1311="","",IFERROR(DATEVALUE(INDEX('COOIS Raw'!$A:$GZ,ROW()-4,$F$4)),INDEX('COOIS Raw'!$A:$GZ,ROW()-4,$F$4)))</f>
        <v/>
      </c>
      <c r="G1311" s="41" t="str">
        <f aca="false">IF(A1311="","",IF(ISNA(MATCH(B1311,'Kitting Plan'!$B$6:$B$19,0)),"Not in plan","Yes"))</f>
        <v/>
      </c>
      <c r="H1311" s="41" t="str">
        <f aca="false">IF(G1311="Yes",INDEX('Kitting Plan'!$D$6:$D$19,MATCH(B1311,'Kitting Plan'!$B$6:$B$19,0)),"")</f>
        <v/>
      </c>
      <c r="I1311" s="41" t="str">
        <f aca="false">IF(A1311="","",IF(ISNUMBER(SEARCH("PRT",E1311)),D1311,0))</f>
        <v/>
      </c>
      <c r="J1311" s="41" t="str">
        <f aca="false">IF(A1311="","",IF(ISNUMBER(SEARCH("GMPS",E1311)),D1311,0))</f>
        <v/>
      </c>
      <c r="K1311" s="41" t="str">
        <f aca="false">IF(A1311="","",IF(ISNUMBER(SEARCH("DLV",E1311)),D1311,0))</f>
        <v/>
      </c>
      <c r="L1311" s="41" t="str">
        <f aca="false">IF(A1311="","",IF(K1311&gt;0,"Delivered",IF(ISNUMBER(SEARCH("CNF",E1311)),"In production",IF(J1311&gt;0,"Issued",IF(I1311&gt;0,"Kitted","Released")))))</f>
        <v/>
      </c>
      <c r="M1311" s="41" t="str">
        <f aca="false">IF(G1311&lt;&gt;"Yes","",COUNTIFS($B$6:$B$1505,B1311,$F$6:$F$1505,"&lt;"&amp;F1311)+COUNTIFS($B$6:$B$1505,B1311,$F$6:$F$1505,F1311,$A$6:$A$1505,"&lt;="&amp;A1311))</f>
        <v/>
      </c>
      <c r="N1311" s="41" t="str">
        <f aca="false">IF(M1311="","",ROUNDUP(M1311/H1311,0))</f>
        <v/>
      </c>
      <c r="O1311" s="41" t="str">
        <f aca="false">IF(N1311="","",IF(N1311&lt;='Kitting Plan'!$C$3,"Rep "&amp;N1311,"Surplus"))</f>
        <v/>
      </c>
    </row>
    <row r="1312" customFormat="false" ht="15" hidden="false" customHeight="false" outlineLevel="0" collapsed="false">
      <c r="A1312" s="40" t="str">
        <f aca="false">IF(OR($A$4=0,INDEX('COOIS Raw'!$A:$GZ,ROW()-4,$A$4)=""),"",IFERROR(--INDEX('COOIS Raw'!$A:$GZ,ROW()-4,$A$4),INDEX('COOIS Raw'!$A:$GZ,ROW()-4,$A$4)))</f>
        <v/>
      </c>
      <c r="B1312" s="41" t="str">
        <f aca="false">IF(A1312="","",TRIM(INDEX('COOIS Raw'!$A:$GZ,ROW()-4,$B$4)))</f>
        <v/>
      </c>
      <c r="C1312" s="42" t="str">
        <f aca="false">IF(OR(A1312="",$C$4=0),"",INDEX('COOIS Raw'!$A:$GZ,ROW()-4,$C$4))</f>
        <v/>
      </c>
      <c r="D1312" s="41" t="str">
        <f aca="false">IF(A1312="","",IF($D$4=0,1,IFERROR(--INDEX('COOIS Raw'!$A:$GZ,ROW()-4,$D$4),1)))</f>
        <v/>
      </c>
      <c r="E1312" s="42" t="str">
        <f aca="false">IF(A1312="","",INDEX('COOIS Raw'!$A:$GZ,ROW()-4,$E$4)&amp;"")</f>
        <v/>
      </c>
      <c r="F1312" s="43" t="str">
        <f aca="false">IF(A1312="","",IFERROR(DATEVALUE(INDEX('COOIS Raw'!$A:$GZ,ROW()-4,$F$4)),INDEX('COOIS Raw'!$A:$GZ,ROW()-4,$F$4)))</f>
        <v/>
      </c>
      <c r="G1312" s="41" t="str">
        <f aca="false">IF(A1312="","",IF(ISNA(MATCH(B1312,'Kitting Plan'!$B$6:$B$19,0)),"Not in plan","Yes"))</f>
        <v/>
      </c>
      <c r="H1312" s="41" t="str">
        <f aca="false">IF(G1312="Yes",INDEX('Kitting Plan'!$D$6:$D$19,MATCH(B1312,'Kitting Plan'!$B$6:$B$19,0)),"")</f>
        <v/>
      </c>
      <c r="I1312" s="41" t="str">
        <f aca="false">IF(A1312="","",IF(ISNUMBER(SEARCH("PRT",E1312)),D1312,0))</f>
        <v/>
      </c>
      <c r="J1312" s="41" t="str">
        <f aca="false">IF(A1312="","",IF(ISNUMBER(SEARCH("GMPS",E1312)),D1312,0))</f>
        <v/>
      </c>
      <c r="K1312" s="41" t="str">
        <f aca="false">IF(A1312="","",IF(ISNUMBER(SEARCH("DLV",E1312)),D1312,0))</f>
        <v/>
      </c>
      <c r="L1312" s="41" t="str">
        <f aca="false">IF(A1312="","",IF(K1312&gt;0,"Delivered",IF(ISNUMBER(SEARCH("CNF",E1312)),"In production",IF(J1312&gt;0,"Issued",IF(I1312&gt;0,"Kitted","Released")))))</f>
        <v/>
      </c>
      <c r="M1312" s="41" t="str">
        <f aca="false">IF(G1312&lt;&gt;"Yes","",COUNTIFS($B$6:$B$1505,B1312,$F$6:$F$1505,"&lt;"&amp;F1312)+COUNTIFS($B$6:$B$1505,B1312,$F$6:$F$1505,F1312,$A$6:$A$1505,"&lt;="&amp;A1312))</f>
        <v/>
      </c>
      <c r="N1312" s="41" t="str">
        <f aca="false">IF(M1312="","",ROUNDUP(M1312/H1312,0))</f>
        <v/>
      </c>
      <c r="O1312" s="41" t="str">
        <f aca="false">IF(N1312="","",IF(N1312&lt;='Kitting Plan'!$C$3,"Rep "&amp;N1312,"Surplus"))</f>
        <v/>
      </c>
    </row>
    <row r="1313" customFormat="false" ht="15" hidden="false" customHeight="false" outlineLevel="0" collapsed="false">
      <c r="A1313" s="40" t="str">
        <f aca="false">IF(OR($A$4=0,INDEX('COOIS Raw'!$A:$GZ,ROW()-4,$A$4)=""),"",IFERROR(--INDEX('COOIS Raw'!$A:$GZ,ROW()-4,$A$4),INDEX('COOIS Raw'!$A:$GZ,ROW()-4,$A$4)))</f>
        <v/>
      </c>
      <c r="B1313" s="41" t="str">
        <f aca="false">IF(A1313="","",TRIM(INDEX('COOIS Raw'!$A:$GZ,ROW()-4,$B$4)))</f>
        <v/>
      </c>
      <c r="C1313" s="42" t="str">
        <f aca="false">IF(OR(A1313="",$C$4=0),"",INDEX('COOIS Raw'!$A:$GZ,ROW()-4,$C$4))</f>
        <v/>
      </c>
      <c r="D1313" s="41" t="str">
        <f aca="false">IF(A1313="","",IF($D$4=0,1,IFERROR(--INDEX('COOIS Raw'!$A:$GZ,ROW()-4,$D$4),1)))</f>
        <v/>
      </c>
      <c r="E1313" s="42" t="str">
        <f aca="false">IF(A1313="","",INDEX('COOIS Raw'!$A:$GZ,ROW()-4,$E$4)&amp;"")</f>
        <v/>
      </c>
      <c r="F1313" s="43" t="str">
        <f aca="false">IF(A1313="","",IFERROR(DATEVALUE(INDEX('COOIS Raw'!$A:$GZ,ROW()-4,$F$4)),INDEX('COOIS Raw'!$A:$GZ,ROW()-4,$F$4)))</f>
        <v/>
      </c>
      <c r="G1313" s="41" t="str">
        <f aca="false">IF(A1313="","",IF(ISNA(MATCH(B1313,'Kitting Plan'!$B$6:$B$19,0)),"Not in plan","Yes"))</f>
        <v/>
      </c>
      <c r="H1313" s="41" t="str">
        <f aca="false">IF(G1313="Yes",INDEX('Kitting Plan'!$D$6:$D$19,MATCH(B1313,'Kitting Plan'!$B$6:$B$19,0)),"")</f>
        <v/>
      </c>
      <c r="I1313" s="41" t="str">
        <f aca="false">IF(A1313="","",IF(ISNUMBER(SEARCH("PRT",E1313)),D1313,0))</f>
        <v/>
      </c>
      <c r="J1313" s="41" t="str">
        <f aca="false">IF(A1313="","",IF(ISNUMBER(SEARCH("GMPS",E1313)),D1313,0))</f>
        <v/>
      </c>
      <c r="K1313" s="41" t="str">
        <f aca="false">IF(A1313="","",IF(ISNUMBER(SEARCH("DLV",E1313)),D1313,0))</f>
        <v/>
      </c>
      <c r="L1313" s="41" t="str">
        <f aca="false">IF(A1313="","",IF(K1313&gt;0,"Delivered",IF(ISNUMBER(SEARCH("CNF",E1313)),"In production",IF(J1313&gt;0,"Issued",IF(I1313&gt;0,"Kitted","Released")))))</f>
        <v/>
      </c>
      <c r="M1313" s="41" t="str">
        <f aca="false">IF(G1313&lt;&gt;"Yes","",COUNTIFS($B$6:$B$1505,B1313,$F$6:$F$1505,"&lt;"&amp;F1313)+COUNTIFS($B$6:$B$1505,B1313,$F$6:$F$1505,F1313,$A$6:$A$1505,"&lt;="&amp;A1313))</f>
        <v/>
      </c>
      <c r="N1313" s="41" t="str">
        <f aca="false">IF(M1313="","",ROUNDUP(M1313/H1313,0))</f>
        <v/>
      </c>
      <c r="O1313" s="41" t="str">
        <f aca="false">IF(N1313="","",IF(N1313&lt;='Kitting Plan'!$C$3,"Rep "&amp;N1313,"Surplus"))</f>
        <v/>
      </c>
    </row>
    <row r="1314" customFormat="false" ht="15" hidden="false" customHeight="false" outlineLevel="0" collapsed="false">
      <c r="A1314" s="40" t="str">
        <f aca="false">IF(OR($A$4=0,INDEX('COOIS Raw'!$A:$GZ,ROW()-4,$A$4)=""),"",IFERROR(--INDEX('COOIS Raw'!$A:$GZ,ROW()-4,$A$4),INDEX('COOIS Raw'!$A:$GZ,ROW()-4,$A$4)))</f>
        <v/>
      </c>
      <c r="B1314" s="41" t="str">
        <f aca="false">IF(A1314="","",TRIM(INDEX('COOIS Raw'!$A:$GZ,ROW()-4,$B$4)))</f>
        <v/>
      </c>
      <c r="C1314" s="42" t="str">
        <f aca="false">IF(OR(A1314="",$C$4=0),"",INDEX('COOIS Raw'!$A:$GZ,ROW()-4,$C$4))</f>
        <v/>
      </c>
      <c r="D1314" s="41" t="str">
        <f aca="false">IF(A1314="","",IF($D$4=0,1,IFERROR(--INDEX('COOIS Raw'!$A:$GZ,ROW()-4,$D$4),1)))</f>
        <v/>
      </c>
      <c r="E1314" s="42" t="str">
        <f aca="false">IF(A1314="","",INDEX('COOIS Raw'!$A:$GZ,ROW()-4,$E$4)&amp;"")</f>
        <v/>
      </c>
      <c r="F1314" s="43" t="str">
        <f aca="false">IF(A1314="","",IFERROR(DATEVALUE(INDEX('COOIS Raw'!$A:$GZ,ROW()-4,$F$4)),INDEX('COOIS Raw'!$A:$GZ,ROW()-4,$F$4)))</f>
        <v/>
      </c>
      <c r="G1314" s="41" t="str">
        <f aca="false">IF(A1314="","",IF(ISNA(MATCH(B1314,'Kitting Plan'!$B$6:$B$19,0)),"Not in plan","Yes"))</f>
        <v/>
      </c>
      <c r="H1314" s="41" t="str">
        <f aca="false">IF(G1314="Yes",INDEX('Kitting Plan'!$D$6:$D$19,MATCH(B1314,'Kitting Plan'!$B$6:$B$19,0)),"")</f>
        <v/>
      </c>
      <c r="I1314" s="41" t="str">
        <f aca="false">IF(A1314="","",IF(ISNUMBER(SEARCH("PRT",E1314)),D1314,0))</f>
        <v/>
      </c>
      <c r="J1314" s="41" t="str">
        <f aca="false">IF(A1314="","",IF(ISNUMBER(SEARCH("GMPS",E1314)),D1314,0))</f>
        <v/>
      </c>
      <c r="K1314" s="41" t="str">
        <f aca="false">IF(A1314="","",IF(ISNUMBER(SEARCH("DLV",E1314)),D1314,0))</f>
        <v/>
      </c>
      <c r="L1314" s="41" t="str">
        <f aca="false">IF(A1314="","",IF(K1314&gt;0,"Delivered",IF(ISNUMBER(SEARCH("CNF",E1314)),"In production",IF(J1314&gt;0,"Issued",IF(I1314&gt;0,"Kitted","Released")))))</f>
        <v/>
      </c>
      <c r="M1314" s="41" t="str">
        <f aca="false">IF(G1314&lt;&gt;"Yes","",COUNTIFS($B$6:$B$1505,B1314,$F$6:$F$1505,"&lt;"&amp;F1314)+COUNTIFS($B$6:$B$1505,B1314,$F$6:$F$1505,F1314,$A$6:$A$1505,"&lt;="&amp;A1314))</f>
        <v/>
      </c>
      <c r="N1314" s="41" t="str">
        <f aca="false">IF(M1314="","",ROUNDUP(M1314/H1314,0))</f>
        <v/>
      </c>
      <c r="O1314" s="41" t="str">
        <f aca="false">IF(N1314="","",IF(N1314&lt;='Kitting Plan'!$C$3,"Rep "&amp;N1314,"Surplus"))</f>
        <v/>
      </c>
    </row>
    <row r="1315" customFormat="false" ht="15" hidden="false" customHeight="false" outlineLevel="0" collapsed="false">
      <c r="A1315" s="40" t="str">
        <f aca="false">IF(OR($A$4=0,INDEX('COOIS Raw'!$A:$GZ,ROW()-4,$A$4)=""),"",IFERROR(--INDEX('COOIS Raw'!$A:$GZ,ROW()-4,$A$4),INDEX('COOIS Raw'!$A:$GZ,ROW()-4,$A$4)))</f>
        <v/>
      </c>
      <c r="B1315" s="41" t="str">
        <f aca="false">IF(A1315="","",TRIM(INDEX('COOIS Raw'!$A:$GZ,ROW()-4,$B$4)))</f>
        <v/>
      </c>
      <c r="C1315" s="42" t="str">
        <f aca="false">IF(OR(A1315="",$C$4=0),"",INDEX('COOIS Raw'!$A:$GZ,ROW()-4,$C$4))</f>
        <v/>
      </c>
      <c r="D1315" s="41" t="str">
        <f aca="false">IF(A1315="","",IF($D$4=0,1,IFERROR(--INDEX('COOIS Raw'!$A:$GZ,ROW()-4,$D$4),1)))</f>
        <v/>
      </c>
      <c r="E1315" s="42" t="str">
        <f aca="false">IF(A1315="","",INDEX('COOIS Raw'!$A:$GZ,ROW()-4,$E$4)&amp;"")</f>
        <v/>
      </c>
      <c r="F1315" s="43" t="str">
        <f aca="false">IF(A1315="","",IFERROR(DATEVALUE(INDEX('COOIS Raw'!$A:$GZ,ROW()-4,$F$4)),INDEX('COOIS Raw'!$A:$GZ,ROW()-4,$F$4)))</f>
        <v/>
      </c>
      <c r="G1315" s="41" t="str">
        <f aca="false">IF(A1315="","",IF(ISNA(MATCH(B1315,'Kitting Plan'!$B$6:$B$19,0)),"Not in plan","Yes"))</f>
        <v/>
      </c>
      <c r="H1315" s="41" t="str">
        <f aca="false">IF(G1315="Yes",INDEX('Kitting Plan'!$D$6:$D$19,MATCH(B1315,'Kitting Plan'!$B$6:$B$19,0)),"")</f>
        <v/>
      </c>
      <c r="I1315" s="41" t="str">
        <f aca="false">IF(A1315="","",IF(ISNUMBER(SEARCH("PRT",E1315)),D1315,0))</f>
        <v/>
      </c>
      <c r="J1315" s="41" t="str">
        <f aca="false">IF(A1315="","",IF(ISNUMBER(SEARCH("GMPS",E1315)),D1315,0))</f>
        <v/>
      </c>
      <c r="K1315" s="41" t="str">
        <f aca="false">IF(A1315="","",IF(ISNUMBER(SEARCH("DLV",E1315)),D1315,0))</f>
        <v/>
      </c>
      <c r="L1315" s="41" t="str">
        <f aca="false">IF(A1315="","",IF(K1315&gt;0,"Delivered",IF(ISNUMBER(SEARCH("CNF",E1315)),"In production",IF(J1315&gt;0,"Issued",IF(I1315&gt;0,"Kitted","Released")))))</f>
        <v/>
      </c>
      <c r="M1315" s="41" t="str">
        <f aca="false">IF(G1315&lt;&gt;"Yes","",COUNTIFS($B$6:$B$1505,B1315,$F$6:$F$1505,"&lt;"&amp;F1315)+COUNTIFS($B$6:$B$1505,B1315,$F$6:$F$1505,F1315,$A$6:$A$1505,"&lt;="&amp;A1315))</f>
        <v/>
      </c>
      <c r="N1315" s="41" t="str">
        <f aca="false">IF(M1315="","",ROUNDUP(M1315/H1315,0))</f>
        <v/>
      </c>
      <c r="O1315" s="41" t="str">
        <f aca="false">IF(N1315="","",IF(N1315&lt;='Kitting Plan'!$C$3,"Rep "&amp;N1315,"Surplus"))</f>
        <v/>
      </c>
    </row>
    <row r="1316" customFormat="false" ht="15" hidden="false" customHeight="false" outlineLevel="0" collapsed="false">
      <c r="A1316" s="40" t="str">
        <f aca="false">IF(OR($A$4=0,INDEX('COOIS Raw'!$A:$GZ,ROW()-4,$A$4)=""),"",IFERROR(--INDEX('COOIS Raw'!$A:$GZ,ROW()-4,$A$4),INDEX('COOIS Raw'!$A:$GZ,ROW()-4,$A$4)))</f>
        <v/>
      </c>
      <c r="B1316" s="41" t="str">
        <f aca="false">IF(A1316="","",TRIM(INDEX('COOIS Raw'!$A:$GZ,ROW()-4,$B$4)))</f>
        <v/>
      </c>
      <c r="C1316" s="42" t="str">
        <f aca="false">IF(OR(A1316="",$C$4=0),"",INDEX('COOIS Raw'!$A:$GZ,ROW()-4,$C$4))</f>
        <v/>
      </c>
      <c r="D1316" s="41" t="str">
        <f aca="false">IF(A1316="","",IF($D$4=0,1,IFERROR(--INDEX('COOIS Raw'!$A:$GZ,ROW()-4,$D$4),1)))</f>
        <v/>
      </c>
      <c r="E1316" s="42" t="str">
        <f aca="false">IF(A1316="","",INDEX('COOIS Raw'!$A:$GZ,ROW()-4,$E$4)&amp;"")</f>
        <v/>
      </c>
      <c r="F1316" s="43" t="str">
        <f aca="false">IF(A1316="","",IFERROR(DATEVALUE(INDEX('COOIS Raw'!$A:$GZ,ROW()-4,$F$4)),INDEX('COOIS Raw'!$A:$GZ,ROW()-4,$F$4)))</f>
        <v/>
      </c>
      <c r="G1316" s="41" t="str">
        <f aca="false">IF(A1316="","",IF(ISNA(MATCH(B1316,'Kitting Plan'!$B$6:$B$19,0)),"Not in plan","Yes"))</f>
        <v/>
      </c>
      <c r="H1316" s="41" t="str">
        <f aca="false">IF(G1316="Yes",INDEX('Kitting Plan'!$D$6:$D$19,MATCH(B1316,'Kitting Plan'!$B$6:$B$19,0)),"")</f>
        <v/>
      </c>
      <c r="I1316" s="41" t="str">
        <f aca="false">IF(A1316="","",IF(ISNUMBER(SEARCH("PRT",E1316)),D1316,0))</f>
        <v/>
      </c>
      <c r="J1316" s="41" t="str">
        <f aca="false">IF(A1316="","",IF(ISNUMBER(SEARCH("GMPS",E1316)),D1316,0))</f>
        <v/>
      </c>
      <c r="K1316" s="41" t="str">
        <f aca="false">IF(A1316="","",IF(ISNUMBER(SEARCH("DLV",E1316)),D1316,0))</f>
        <v/>
      </c>
      <c r="L1316" s="41" t="str">
        <f aca="false">IF(A1316="","",IF(K1316&gt;0,"Delivered",IF(ISNUMBER(SEARCH("CNF",E1316)),"In production",IF(J1316&gt;0,"Issued",IF(I1316&gt;0,"Kitted","Released")))))</f>
        <v/>
      </c>
      <c r="M1316" s="41" t="str">
        <f aca="false">IF(G1316&lt;&gt;"Yes","",COUNTIFS($B$6:$B$1505,B1316,$F$6:$F$1505,"&lt;"&amp;F1316)+COUNTIFS($B$6:$B$1505,B1316,$F$6:$F$1505,F1316,$A$6:$A$1505,"&lt;="&amp;A1316))</f>
        <v/>
      </c>
      <c r="N1316" s="41" t="str">
        <f aca="false">IF(M1316="","",ROUNDUP(M1316/H1316,0))</f>
        <v/>
      </c>
      <c r="O1316" s="41" t="str">
        <f aca="false">IF(N1316="","",IF(N1316&lt;='Kitting Plan'!$C$3,"Rep "&amp;N1316,"Surplus"))</f>
        <v/>
      </c>
    </row>
    <row r="1317" customFormat="false" ht="15" hidden="false" customHeight="false" outlineLevel="0" collapsed="false">
      <c r="A1317" s="40" t="str">
        <f aca="false">IF(OR($A$4=0,INDEX('COOIS Raw'!$A:$GZ,ROW()-4,$A$4)=""),"",IFERROR(--INDEX('COOIS Raw'!$A:$GZ,ROW()-4,$A$4),INDEX('COOIS Raw'!$A:$GZ,ROW()-4,$A$4)))</f>
        <v/>
      </c>
      <c r="B1317" s="41" t="str">
        <f aca="false">IF(A1317="","",TRIM(INDEX('COOIS Raw'!$A:$GZ,ROW()-4,$B$4)))</f>
        <v/>
      </c>
      <c r="C1317" s="42" t="str">
        <f aca="false">IF(OR(A1317="",$C$4=0),"",INDEX('COOIS Raw'!$A:$GZ,ROW()-4,$C$4))</f>
        <v/>
      </c>
      <c r="D1317" s="41" t="str">
        <f aca="false">IF(A1317="","",IF($D$4=0,1,IFERROR(--INDEX('COOIS Raw'!$A:$GZ,ROW()-4,$D$4),1)))</f>
        <v/>
      </c>
      <c r="E1317" s="42" t="str">
        <f aca="false">IF(A1317="","",INDEX('COOIS Raw'!$A:$GZ,ROW()-4,$E$4)&amp;"")</f>
        <v/>
      </c>
      <c r="F1317" s="43" t="str">
        <f aca="false">IF(A1317="","",IFERROR(DATEVALUE(INDEX('COOIS Raw'!$A:$GZ,ROW()-4,$F$4)),INDEX('COOIS Raw'!$A:$GZ,ROW()-4,$F$4)))</f>
        <v/>
      </c>
      <c r="G1317" s="41" t="str">
        <f aca="false">IF(A1317="","",IF(ISNA(MATCH(B1317,'Kitting Plan'!$B$6:$B$19,0)),"Not in plan","Yes"))</f>
        <v/>
      </c>
      <c r="H1317" s="41" t="str">
        <f aca="false">IF(G1317="Yes",INDEX('Kitting Plan'!$D$6:$D$19,MATCH(B1317,'Kitting Plan'!$B$6:$B$19,0)),"")</f>
        <v/>
      </c>
      <c r="I1317" s="41" t="str">
        <f aca="false">IF(A1317="","",IF(ISNUMBER(SEARCH("PRT",E1317)),D1317,0))</f>
        <v/>
      </c>
      <c r="J1317" s="41" t="str">
        <f aca="false">IF(A1317="","",IF(ISNUMBER(SEARCH("GMPS",E1317)),D1317,0))</f>
        <v/>
      </c>
      <c r="K1317" s="41" t="str">
        <f aca="false">IF(A1317="","",IF(ISNUMBER(SEARCH("DLV",E1317)),D1317,0))</f>
        <v/>
      </c>
      <c r="L1317" s="41" t="str">
        <f aca="false">IF(A1317="","",IF(K1317&gt;0,"Delivered",IF(ISNUMBER(SEARCH("CNF",E1317)),"In production",IF(J1317&gt;0,"Issued",IF(I1317&gt;0,"Kitted","Released")))))</f>
        <v/>
      </c>
      <c r="M1317" s="41" t="str">
        <f aca="false">IF(G1317&lt;&gt;"Yes","",COUNTIFS($B$6:$B$1505,B1317,$F$6:$F$1505,"&lt;"&amp;F1317)+COUNTIFS($B$6:$B$1505,B1317,$F$6:$F$1505,F1317,$A$6:$A$1505,"&lt;="&amp;A1317))</f>
        <v/>
      </c>
      <c r="N1317" s="41" t="str">
        <f aca="false">IF(M1317="","",ROUNDUP(M1317/H1317,0))</f>
        <v/>
      </c>
      <c r="O1317" s="41" t="str">
        <f aca="false">IF(N1317="","",IF(N1317&lt;='Kitting Plan'!$C$3,"Rep "&amp;N1317,"Surplus"))</f>
        <v/>
      </c>
    </row>
    <row r="1318" customFormat="false" ht="15" hidden="false" customHeight="false" outlineLevel="0" collapsed="false">
      <c r="A1318" s="40" t="str">
        <f aca="false">IF(OR($A$4=0,INDEX('COOIS Raw'!$A:$GZ,ROW()-4,$A$4)=""),"",IFERROR(--INDEX('COOIS Raw'!$A:$GZ,ROW()-4,$A$4),INDEX('COOIS Raw'!$A:$GZ,ROW()-4,$A$4)))</f>
        <v/>
      </c>
      <c r="B1318" s="41" t="str">
        <f aca="false">IF(A1318="","",TRIM(INDEX('COOIS Raw'!$A:$GZ,ROW()-4,$B$4)))</f>
        <v/>
      </c>
      <c r="C1318" s="42" t="str">
        <f aca="false">IF(OR(A1318="",$C$4=0),"",INDEX('COOIS Raw'!$A:$GZ,ROW()-4,$C$4))</f>
        <v/>
      </c>
      <c r="D1318" s="41" t="str">
        <f aca="false">IF(A1318="","",IF($D$4=0,1,IFERROR(--INDEX('COOIS Raw'!$A:$GZ,ROW()-4,$D$4),1)))</f>
        <v/>
      </c>
      <c r="E1318" s="42" t="str">
        <f aca="false">IF(A1318="","",INDEX('COOIS Raw'!$A:$GZ,ROW()-4,$E$4)&amp;"")</f>
        <v/>
      </c>
      <c r="F1318" s="43" t="str">
        <f aca="false">IF(A1318="","",IFERROR(DATEVALUE(INDEX('COOIS Raw'!$A:$GZ,ROW()-4,$F$4)),INDEX('COOIS Raw'!$A:$GZ,ROW()-4,$F$4)))</f>
        <v/>
      </c>
      <c r="G1318" s="41" t="str">
        <f aca="false">IF(A1318="","",IF(ISNA(MATCH(B1318,'Kitting Plan'!$B$6:$B$19,0)),"Not in plan","Yes"))</f>
        <v/>
      </c>
      <c r="H1318" s="41" t="str">
        <f aca="false">IF(G1318="Yes",INDEX('Kitting Plan'!$D$6:$D$19,MATCH(B1318,'Kitting Plan'!$B$6:$B$19,0)),"")</f>
        <v/>
      </c>
      <c r="I1318" s="41" t="str">
        <f aca="false">IF(A1318="","",IF(ISNUMBER(SEARCH("PRT",E1318)),D1318,0))</f>
        <v/>
      </c>
      <c r="J1318" s="41" t="str">
        <f aca="false">IF(A1318="","",IF(ISNUMBER(SEARCH("GMPS",E1318)),D1318,0))</f>
        <v/>
      </c>
      <c r="K1318" s="41" t="str">
        <f aca="false">IF(A1318="","",IF(ISNUMBER(SEARCH("DLV",E1318)),D1318,0))</f>
        <v/>
      </c>
      <c r="L1318" s="41" t="str">
        <f aca="false">IF(A1318="","",IF(K1318&gt;0,"Delivered",IF(ISNUMBER(SEARCH("CNF",E1318)),"In production",IF(J1318&gt;0,"Issued",IF(I1318&gt;0,"Kitted","Released")))))</f>
        <v/>
      </c>
      <c r="M1318" s="41" t="str">
        <f aca="false">IF(G1318&lt;&gt;"Yes","",COUNTIFS($B$6:$B$1505,B1318,$F$6:$F$1505,"&lt;"&amp;F1318)+COUNTIFS($B$6:$B$1505,B1318,$F$6:$F$1505,F1318,$A$6:$A$1505,"&lt;="&amp;A1318))</f>
        <v/>
      </c>
      <c r="N1318" s="41" t="str">
        <f aca="false">IF(M1318="","",ROUNDUP(M1318/H1318,0))</f>
        <v/>
      </c>
      <c r="O1318" s="41" t="str">
        <f aca="false">IF(N1318="","",IF(N1318&lt;='Kitting Plan'!$C$3,"Rep "&amp;N1318,"Surplus"))</f>
        <v/>
      </c>
    </row>
    <row r="1319" customFormat="false" ht="15" hidden="false" customHeight="false" outlineLevel="0" collapsed="false">
      <c r="A1319" s="40" t="str">
        <f aca="false">IF(OR($A$4=0,INDEX('COOIS Raw'!$A:$GZ,ROW()-4,$A$4)=""),"",IFERROR(--INDEX('COOIS Raw'!$A:$GZ,ROW()-4,$A$4),INDEX('COOIS Raw'!$A:$GZ,ROW()-4,$A$4)))</f>
        <v/>
      </c>
      <c r="B1319" s="41" t="str">
        <f aca="false">IF(A1319="","",TRIM(INDEX('COOIS Raw'!$A:$GZ,ROW()-4,$B$4)))</f>
        <v/>
      </c>
      <c r="C1319" s="42" t="str">
        <f aca="false">IF(OR(A1319="",$C$4=0),"",INDEX('COOIS Raw'!$A:$GZ,ROW()-4,$C$4))</f>
        <v/>
      </c>
      <c r="D1319" s="41" t="str">
        <f aca="false">IF(A1319="","",IF($D$4=0,1,IFERROR(--INDEX('COOIS Raw'!$A:$GZ,ROW()-4,$D$4),1)))</f>
        <v/>
      </c>
      <c r="E1319" s="42" t="str">
        <f aca="false">IF(A1319="","",INDEX('COOIS Raw'!$A:$GZ,ROW()-4,$E$4)&amp;"")</f>
        <v/>
      </c>
      <c r="F1319" s="43" t="str">
        <f aca="false">IF(A1319="","",IFERROR(DATEVALUE(INDEX('COOIS Raw'!$A:$GZ,ROW()-4,$F$4)),INDEX('COOIS Raw'!$A:$GZ,ROW()-4,$F$4)))</f>
        <v/>
      </c>
      <c r="G1319" s="41" t="str">
        <f aca="false">IF(A1319="","",IF(ISNA(MATCH(B1319,'Kitting Plan'!$B$6:$B$19,0)),"Not in plan","Yes"))</f>
        <v/>
      </c>
      <c r="H1319" s="41" t="str">
        <f aca="false">IF(G1319="Yes",INDEX('Kitting Plan'!$D$6:$D$19,MATCH(B1319,'Kitting Plan'!$B$6:$B$19,0)),"")</f>
        <v/>
      </c>
      <c r="I1319" s="41" t="str">
        <f aca="false">IF(A1319="","",IF(ISNUMBER(SEARCH("PRT",E1319)),D1319,0))</f>
        <v/>
      </c>
      <c r="J1319" s="41" t="str">
        <f aca="false">IF(A1319="","",IF(ISNUMBER(SEARCH("GMPS",E1319)),D1319,0))</f>
        <v/>
      </c>
      <c r="K1319" s="41" t="str">
        <f aca="false">IF(A1319="","",IF(ISNUMBER(SEARCH("DLV",E1319)),D1319,0))</f>
        <v/>
      </c>
      <c r="L1319" s="41" t="str">
        <f aca="false">IF(A1319="","",IF(K1319&gt;0,"Delivered",IF(ISNUMBER(SEARCH("CNF",E1319)),"In production",IF(J1319&gt;0,"Issued",IF(I1319&gt;0,"Kitted","Released")))))</f>
        <v/>
      </c>
      <c r="M1319" s="41" t="str">
        <f aca="false">IF(G1319&lt;&gt;"Yes","",COUNTIFS($B$6:$B$1505,B1319,$F$6:$F$1505,"&lt;"&amp;F1319)+COUNTIFS($B$6:$B$1505,B1319,$F$6:$F$1505,F1319,$A$6:$A$1505,"&lt;="&amp;A1319))</f>
        <v/>
      </c>
      <c r="N1319" s="41" t="str">
        <f aca="false">IF(M1319="","",ROUNDUP(M1319/H1319,0))</f>
        <v/>
      </c>
      <c r="O1319" s="41" t="str">
        <f aca="false">IF(N1319="","",IF(N1319&lt;='Kitting Plan'!$C$3,"Rep "&amp;N1319,"Surplus"))</f>
        <v/>
      </c>
    </row>
    <row r="1320" customFormat="false" ht="15" hidden="false" customHeight="false" outlineLevel="0" collapsed="false">
      <c r="A1320" s="40" t="str">
        <f aca="false">IF(OR($A$4=0,INDEX('COOIS Raw'!$A:$GZ,ROW()-4,$A$4)=""),"",IFERROR(--INDEX('COOIS Raw'!$A:$GZ,ROW()-4,$A$4),INDEX('COOIS Raw'!$A:$GZ,ROW()-4,$A$4)))</f>
        <v/>
      </c>
      <c r="B1320" s="41" t="str">
        <f aca="false">IF(A1320="","",TRIM(INDEX('COOIS Raw'!$A:$GZ,ROW()-4,$B$4)))</f>
        <v/>
      </c>
      <c r="C1320" s="42" t="str">
        <f aca="false">IF(OR(A1320="",$C$4=0),"",INDEX('COOIS Raw'!$A:$GZ,ROW()-4,$C$4))</f>
        <v/>
      </c>
      <c r="D1320" s="41" t="str">
        <f aca="false">IF(A1320="","",IF($D$4=0,1,IFERROR(--INDEX('COOIS Raw'!$A:$GZ,ROW()-4,$D$4),1)))</f>
        <v/>
      </c>
      <c r="E1320" s="42" t="str">
        <f aca="false">IF(A1320="","",INDEX('COOIS Raw'!$A:$GZ,ROW()-4,$E$4)&amp;"")</f>
        <v/>
      </c>
      <c r="F1320" s="43" t="str">
        <f aca="false">IF(A1320="","",IFERROR(DATEVALUE(INDEX('COOIS Raw'!$A:$GZ,ROW()-4,$F$4)),INDEX('COOIS Raw'!$A:$GZ,ROW()-4,$F$4)))</f>
        <v/>
      </c>
      <c r="G1320" s="41" t="str">
        <f aca="false">IF(A1320="","",IF(ISNA(MATCH(B1320,'Kitting Plan'!$B$6:$B$19,0)),"Not in plan","Yes"))</f>
        <v/>
      </c>
      <c r="H1320" s="41" t="str">
        <f aca="false">IF(G1320="Yes",INDEX('Kitting Plan'!$D$6:$D$19,MATCH(B1320,'Kitting Plan'!$B$6:$B$19,0)),"")</f>
        <v/>
      </c>
      <c r="I1320" s="41" t="str">
        <f aca="false">IF(A1320="","",IF(ISNUMBER(SEARCH("PRT",E1320)),D1320,0))</f>
        <v/>
      </c>
      <c r="J1320" s="41" t="str">
        <f aca="false">IF(A1320="","",IF(ISNUMBER(SEARCH("GMPS",E1320)),D1320,0))</f>
        <v/>
      </c>
      <c r="K1320" s="41" t="str">
        <f aca="false">IF(A1320="","",IF(ISNUMBER(SEARCH("DLV",E1320)),D1320,0))</f>
        <v/>
      </c>
      <c r="L1320" s="41" t="str">
        <f aca="false">IF(A1320="","",IF(K1320&gt;0,"Delivered",IF(ISNUMBER(SEARCH("CNF",E1320)),"In production",IF(J1320&gt;0,"Issued",IF(I1320&gt;0,"Kitted","Released")))))</f>
        <v/>
      </c>
      <c r="M1320" s="41" t="str">
        <f aca="false">IF(G1320&lt;&gt;"Yes","",COUNTIFS($B$6:$B$1505,B1320,$F$6:$F$1505,"&lt;"&amp;F1320)+COUNTIFS($B$6:$B$1505,B1320,$F$6:$F$1505,F1320,$A$6:$A$1505,"&lt;="&amp;A1320))</f>
        <v/>
      </c>
      <c r="N1320" s="41" t="str">
        <f aca="false">IF(M1320="","",ROUNDUP(M1320/H1320,0))</f>
        <v/>
      </c>
      <c r="O1320" s="41" t="str">
        <f aca="false">IF(N1320="","",IF(N1320&lt;='Kitting Plan'!$C$3,"Rep "&amp;N1320,"Surplus"))</f>
        <v/>
      </c>
    </row>
    <row r="1321" customFormat="false" ht="15" hidden="false" customHeight="false" outlineLevel="0" collapsed="false">
      <c r="A1321" s="40" t="str">
        <f aca="false">IF(OR($A$4=0,INDEX('COOIS Raw'!$A:$GZ,ROW()-4,$A$4)=""),"",IFERROR(--INDEX('COOIS Raw'!$A:$GZ,ROW()-4,$A$4),INDEX('COOIS Raw'!$A:$GZ,ROW()-4,$A$4)))</f>
        <v/>
      </c>
      <c r="B1321" s="41" t="str">
        <f aca="false">IF(A1321="","",TRIM(INDEX('COOIS Raw'!$A:$GZ,ROW()-4,$B$4)))</f>
        <v/>
      </c>
      <c r="C1321" s="42" t="str">
        <f aca="false">IF(OR(A1321="",$C$4=0),"",INDEX('COOIS Raw'!$A:$GZ,ROW()-4,$C$4))</f>
        <v/>
      </c>
      <c r="D1321" s="41" t="str">
        <f aca="false">IF(A1321="","",IF($D$4=0,1,IFERROR(--INDEX('COOIS Raw'!$A:$GZ,ROW()-4,$D$4),1)))</f>
        <v/>
      </c>
      <c r="E1321" s="42" t="str">
        <f aca="false">IF(A1321="","",INDEX('COOIS Raw'!$A:$GZ,ROW()-4,$E$4)&amp;"")</f>
        <v/>
      </c>
      <c r="F1321" s="43" t="str">
        <f aca="false">IF(A1321="","",IFERROR(DATEVALUE(INDEX('COOIS Raw'!$A:$GZ,ROW()-4,$F$4)),INDEX('COOIS Raw'!$A:$GZ,ROW()-4,$F$4)))</f>
        <v/>
      </c>
      <c r="G1321" s="41" t="str">
        <f aca="false">IF(A1321="","",IF(ISNA(MATCH(B1321,'Kitting Plan'!$B$6:$B$19,0)),"Not in plan","Yes"))</f>
        <v/>
      </c>
      <c r="H1321" s="41" t="str">
        <f aca="false">IF(G1321="Yes",INDEX('Kitting Plan'!$D$6:$D$19,MATCH(B1321,'Kitting Plan'!$B$6:$B$19,0)),"")</f>
        <v/>
      </c>
      <c r="I1321" s="41" t="str">
        <f aca="false">IF(A1321="","",IF(ISNUMBER(SEARCH("PRT",E1321)),D1321,0))</f>
        <v/>
      </c>
      <c r="J1321" s="41" t="str">
        <f aca="false">IF(A1321="","",IF(ISNUMBER(SEARCH("GMPS",E1321)),D1321,0))</f>
        <v/>
      </c>
      <c r="K1321" s="41" t="str">
        <f aca="false">IF(A1321="","",IF(ISNUMBER(SEARCH("DLV",E1321)),D1321,0))</f>
        <v/>
      </c>
      <c r="L1321" s="41" t="str">
        <f aca="false">IF(A1321="","",IF(K1321&gt;0,"Delivered",IF(ISNUMBER(SEARCH("CNF",E1321)),"In production",IF(J1321&gt;0,"Issued",IF(I1321&gt;0,"Kitted","Released")))))</f>
        <v/>
      </c>
      <c r="M1321" s="41" t="str">
        <f aca="false">IF(G1321&lt;&gt;"Yes","",COUNTIFS($B$6:$B$1505,B1321,$F$6:$F$1505,"&lt;"&amp;F1321)+COUNTIFS($B$6:$B$1505,B1321,$F$6:$F$1505,F1321,$A$6:$A$1505,"&lt;="&amp;A1321))</f>
        <v/>
      </c>
      <c r="N1321" s="41" t="str">
        <f aca="false">IF(M1321="","",ROUNDUP(M1321/H1321,0))</f>
        <v/>
      </c>
      <c r="O1321" s="41" t="str">
        <f aca="false">IF(N1321="","",IF(N1321&lt;='Kitting Plan'!$C$3,"Rep "&amp;N1321,"Surplus"))</f>
        <v/>
      </c>
    </row>
    <row r="1322" customFormat="false" ht="15" hidden="false" customHeight="false" outlineLevel="0" collapsed="false">
      <c r="A1322" s="40" t="str">
        <f aca="false">IF(OR($A$4=0,INDEX('COOIS Raw'!$A:$GZ,ROW()-4,$A$4)=""),"",IFERROR(--INDEX('COOIS Raw'!$A:$GZ,ROW()-4,$A$4),INDEX('COOIS Raw'!$A:$GZ,ROW()-4,$A$4)))</f>
        <v/>
      </c>
      <c r="B1322" s="41" t="str">
        <f aca="false">IF(A1322="","",TRIM(INDEX('COOIS Raw'!$A:$GZ,ROW()-4,$B$4)))</f>
        <v/>
      </c>
      <c r="C1322" s="42" t="str">
        <f aca="false">IF(OR(A1322="",$C$4=0),"",INDEX('COOIS Raw'!$A:$GZ,ROW()-4,$C$4))</f>
        <v/>
      </c>
      <c r="D1322" s="41" t="str">
        <f aca="false">IF(A1322="","",IF($D$4=0,1,IFERROR(--INDEX('COOIS Raw'!$A:$GZ,ROW()-4,$D$4),1)))</f>
        <v/>
      </c>
      <c r="E1322" s="42" t="str">
        <f aca="false">IF(A1322="","",INDEX('COOIS Raw'!$A:$GZ,ROW()-4,$E$4)&amp;"")</f>
        <v/>
      </c>
      <c r="F1322" s="43" t="str">
        <f aca="false">IF(A1322="","",IFERROR(DATEVALUE(INDEX('COOIS Raw'!$A:$GZ,ROW()-4,$F$4)),INDEX('COOIS Raw'!$A:$GZ,ROW()-4,$F$4)))</f>
        <v/>
      </c>
      <c r="G1322" s="41" t="str">
        <f aca="false">IF(A1322="","",IF(ISNA(MATCH(B1322,'Kitting Plan'!$B$6:$B$19,0)),"Not in plan","Yes"))</f>
        <v/>
      </c>
      <c r="H1322" s="41" t="str">
        <f aca="false">IF(G1322="Yes",INDEX('Kitting Plan'!$D$6:$D$19,MATCH(B1322,'Kitting Plan'!$B$6:$B$19,0)),"")</f>
        <v/>
      </c>
      <c r="I1322" s="41" t="str">
        <f aca="false">IF(A1322="","",IF(ISNUMBER(SEARCH("PRT",E1322)),D1322,0))</f>
        <v/>
      </c>
      <c r="J1322" s="41" t="str">
        <f aca="false">IF(A1322="","",IF(ISNUMBER(SEARCH("GMPS",E1322)),D1322,0))</f>
        <v/>
      </c>
      <c r="K1322" s="41" t="str">
        <f aca="false">IF(A1322="","",IF(ISNUMBER(SEARCH("DLV",E1322)),D1322,0))</f>
        <v/>
      </c>
      <c r="L1322" s="41" t="str">
        <f aca="false">IF(A1322="","",IF(K1322&gt;0,"Delivered",IF(ISNUMBER(SEARCH("CNF",E1322)),"In production",IF(J1322&gt;0,"Issued",IF(I1322&gt;0,"Kitted","Released")))))</f>
        <v/>
      </c>
      <c r="M1322" s="41" t="str">
        <f aca="false">IF(G1322&lt;&gt;"Yes","",COUNTIFS($B$6:$B$1505,B1322,$F$6:$F$1505,"&lt;"&amp;F1322)+COUNTIFS($B$6:$B$1505,B1322,$F$6:$F$1505,F1322,$A$6:$A$1505,"&lt;="&amp;A1322))</f>
        <v/>
      </c>
      <c r="N1322" s="41" t="str">
        <f aca="false">IF(M1322="","",ROUNDUP(M1322/H1322,0))</f>
        <v/>
      </c>
      <c r="O1322" s="41" t="str">
        <f aca="false">IF(N1322="","",IF(N1322&lt;='Kitting Plan'!$C$3,"Rep "&amp;N1322,"Surplus"))</f>
        <v/>
      </c>
    </row>
    <row r="1323" customFormat="false" ht="15" hidden="false" customHeight="false" outlineLevel="0" collapsed="false">
      <c r="A1323" s="40" t="str">
        <f aca="false">IF(OR($A$4=0,INDEX('COOIS Raw'!$A:$GZ,ROW()-4,$A$4)=""),"",IFERROR(--INDEX('COOIS Raw'!$A:$GZ,ROW()-4,$A$4),INDEX('COOIS Raw'!$A:$GZ,ROW()-4,$A$4)))</f>
        <v/>
      </c>
      <c r="B1323" s="41" t="str">
        <f aca="false">IF(A1323="","",TRIM(INDEX('COOIS Raw'!$A:$GZ,ROW()-4,$B$4)))</f>
        <v/>
      </c>
      <c r="C1323" s="42" t="str">
        <f aca="false">IF(OR(A1323="",$C$4=0),"",INDEX('COOIS Raw'!$A:$GZ,ROW()-4,$C$4))</f>
        <v/>
      </c>
      <c r="D1323" s="41" t="str">
        <f aca="false">IF(A1323="","",IF($D$4=0,1,IFERROR(--INDEX('COOIS Raw'!$A:$GZ,ROW()-4,$D$4),1)))</f>
        <v/>
      </c>
      <c r="E1323" s="42" t="str">
        <f aca="false">IF(A1323="","",INDEX('COOIS Raw'!$A:$GZ,ROW()-4,$E$4)&amp;"")</f>
        <v/>
      </c>
      <c r="F1323" s="43" t="str">
        <f aca="false">IF(A1323="","",IFERROR(DATEVALUE(INDEX('COOIS Raw'!$A:$GZ,ROW()-4,$F$4)),INDEX('COOIS Raw'!$A:$GZ,ROW()-4,$F$4)))</f>
        <v/>
      </c>
      <c r="G1323" s="41" t="str">
        <f aca="false">IF(A1323="","",IF(ISNA(MATCH(B1323,'Kitting Plan'!$B$6:$B$19,0)),"Not in plan","Yes"))</f>
        <v/>
      </c>
      <c r="H1323" s="41" t="str">
        <f aca="false">IF(G1323="Yes",INDEX('Kitting Plan'!$D$6:$D$19,MATCH(B1323,'Kitting Plan'!$B$6:$B$19,0)),"")</f>
        <v/>
      </c>
      <c r="I1323" s="41" t="str">
        <f aca="false">IF(A1323="","",IF(ISNUMBER(SEARCH("PRT",E1323)),D1323,0))</f>
        <v/>
      </c>
      <c r="J1323" s="41" t="str">
        <f aca="false">IF(A1323="","",IF(ISNUMBER(SEARCH("GMPS",E1323)),D1323,0))</f>
        <v/>
      </c>
      <c r="K1323" s="41" t="str">
        <f aca="false">IF(A1323="","",IF(ISNUMBER(SEARCH("DLV",E1323)),D1323,0))</f>
        <v/>
      </c>
      <c r="L1323" s="41" t="str">
        <f aca="false">IF(A1323="","",IF(K1323&gt;0,"Delivered",IF(ISNUMBER(SEARCH("CNF",E1323)),"In production",IF(J1323&gt;0,"Issued",IF(I1323&gt;0,"Kitted","Released")))))</f>
        <v/>
      </c>
      <c r="M1323" s="41" t="str">
        <f aca="false">IF(G1323&lt;&gt;"Yes","",COUNTIFS($B$6:$B$1505,B1323,$F$6:$F$1505,"&lt;"&amp;F1323)+COUNTIFS($B$6:$B$1505,B1323,$F$6:$F$1505,F1323,$A$6:$A$1505,"&lt;="&amp;A1323))</f>
        <v/>
      </c>
      <c r="N1323" s="41" t="str">
        <f aca="false">IF(M1323="","",ROUNDUP(M1323/H1323,0))</f>
        <v/>
      </c>
      <c r="O1323" s="41" t="str">
        <f aca="false">IF(N1323="","",IF(N1323&lt;='Kitting Plan'!$C$3,"Rep "&amp;N1323,"Surplus"))</f>
        <v/>
      </c>
    </row>
    <row r="1324" customFormat="false" ht="15" hidden="false" customHeight="false" outlineLevel="0" collapsed="false">
      <c r="A1324" s="40" t="str">
        <f aca="false">IF(OR($A$4=0,INDEX('COOIS Raw'!$A:$GZ,ROW()-4,$A$4)=""),"",IFERROR(--INDEX('COOIS Raw'!$A:$GZ,ROW()-4,$A$4),INDEX('COOIS Raw'!$A:$GZ,ROW()-4,$A$4)))</f>
        <v/>
      </c>
      <c r="B1324" s="41" t="str">
        <f aca="false">IF(A1324="","",TRIM(INDEX('COOIS Raw'!$A:$GZ,ROW()-4,$B$4)))</f>
        <v/>
      </c>
      <c r="C1324" s="42" t="str">
        <f aca="false">IF(OR(A1324="",$C$4=0),"",INDEX('COOIS Raw'!$A:$GZ,ROW()-4,$C$4))</f>
        <v/>
      </c>
      <c r="D1324" s="41" t="str">
        <f aca="false">IF(A1324="","",IF($D$4=0,1,IFERROR(--INDEX('COOIS Raw'!$A:$GZ,ROW()-4,$D$4),1)))</f>
        <v/>
      </c>
      <c r="E1324" s="42" t="str">
        <f aca="false">IF(A1324="","",INDEX('COOIS Raw'!$A:$GZ,ROW()-4,$E$4)&amp;"")</f>
        <v/>
      </c>
      <c r="F1324" s="43" t="str">
        <f aca="false">IF(A1324="","",IFERROR(DATEVALUE(INDEX('COOIS Raw'!$A:$GZ,ROW()-4,$F$4)),INDEX('COOIS Raw'!$A:$GZ,ROW()-4,$F$4)))</f>
        <v/>
      </c>
      <c r="G1324" s="41" t="str">
        <f aca="false">IF(A1324="","",IF(ISNA(MATCH(B1324,'Kitting Plan'!$B$6:$B$19,0)),"Not in plan","Yes"))</f>
        <v/>
      </c>
      <c r="H1324" s="41" t="str">
        <f aca="false">IF(G1324="Yes",INDEX('Kitting Plan'!$D$6:$D$19,MATCH(B1324,'Kitting Plan'!$B$6:$B$19,0)),"")</f>
        <v/>
      </c>
      <c r="I1324" s="41" t="str">
        <f aca="false">IF(A1324="","",IF(ISNUMBER(SEARCH("PRT",E1324)),D1324,0))</f>
        <v/>
      </c>
      <c r="J1324" s="41" t="str">
        <f aca="false">IF(A1324="","",IF(ISNUMBER(SEARCH("GMPS",E1324)),D1324,0))</f>
        <v/>
      </c>
      <c r="K1324" s="41" t="str">
        <f aca="false">IF(A1324="","",IF(ISNUMBER(SEARCH("DLV",E1324)),D1324,0))</f>
        <v/>
      </c>
      <c r="L1324" s="41" t="str">
        <f aca="false">IF(A1324="","",IF(K1324&gt;0,"Delivered",IF(ISNUMBER(SEARCH("CNF",E1324)),"In production",IF(J1324&gt;0,"Issued",IF(I1324&gt;0,"Kitted","Released")))))</f>
        <v/>
      </c>
      <c r="M1324" s="41" t="str">
        <f aca="false">IF(G1324&lt;&gt;"Yes","",COUNTIFS($B$6:$B$1505,B1324,$F$6:$F$1505,"&lt;"&amp;F1324)+COUNTIFS($B$6:$B$1505,B1324,$F$6:$F$1505,F1324,$A$6:$A$1505,"&lt;="&amp;A1324))</f>
        <v/>
      </c>
      <c r="N1324" s="41" t="str">
        <f aca="false">IF(M1324="","",ROUNDUP(M1324/H1324,0))</f>
        <v/>
      </c>
      <c r="O1324" s="41" t="str">
        <f aca="false">IF(N1324="","",IF(N1324&lt;='Kitting Plan'!$C$3,"Rep "&amp;N1324,"Surplus"))</f>
        <v/>
      </c>
    </row>
    <row r="1325" customFormat="false" ht="15" hidden="false" customHeight="false" outlineLevel="0" collapsed="false">
      <c r="A1325" s="40" t="str">
        <f aca="false">IF(OR($A$4=0,INDEX('COOIS Raw'!$A:$GZ,ROW()-4,$A$4)=""),"",IFERROR(--INDEX('COOIS Raw'!$A:$GZ,ROW()-4,$A$4),INDEX('COOIS Raw'!$A:$GZ,ROW()-4,$A$4)))</f>
        <v/>
      </c>
      <c r="B1325" s="41" t="str">
        <f aca="false">IF(A1325="","",TRIM(INDEX('COOIS Raw'!$A:$GZ,ROW()-4,$B$4)))</f>
        <v/>
      </c>
      <c r="C1325" s="42" t="str">
        <f aca="false">IF(OR(A1325="",$C$4=0),"",INDEX('COOIS Raw'!$A:$GZ,ROW()-4,$C$4))</f>
        <v/>
      </c>
      <c r="D1325" s="41" t="str">
        <f aca="false">IF(A1325="","",IF($D$4=0,1,IFERROR(--INDEX('COOIS Raw'!$A:$GZ,ROW()-4,$D$4),1)))</f>
        <v/>
      </c>
      <c r="E1325" s="42" t="str">
        <f aca="false">IF(A1325="","",INDEX('COOIS Raw'!$A:$GZ,ROW()-4,$E$4)&amp;"")</f>
        <v/>
      </c>
      <c r="F1325" s="43" t="str">
        <f aca="false">IF(A1325="","",IFERROR(DATEVALUE(INDEX('COOIS Raw'!$A:$GZ,ROW()-4,$F$4)),INDEX('COOIS Raw'!$A:$GZ,ROW()-4,$F$4)))</f>
        <v/>
      </c>
      <c r="G1325" s="41" t="str">
        <f aca="false">IF(A1325="","",IF(ISNA(MATCH(B1325,'Kitting Plan'!$B$6:$B$19,0)),"Not in plan","Yes"))</f>
        <v/>
      </c>
      <c r="H1325" s="41" t="str">
        <f aca="false">IF(G1325="Yes",INDEX('Kitting Plan'!$D$6:$D$19,MATCH(B1325,'Kitting Plan'!$B$6:$B$19,0)),"")</f>
        <v/>
      </c>
      <c r="I1325" s="41" t="str">
        <f aca="false">IF(A1325="","",IF(ISNUMBER(SEARCH("PRT",E1325)),D1325,0))</f>
        <v/>
      </c>
      <c r="J1325" s="41" t="str">
        <f aca="false">IF(A1325="","",IF(ISNUMBER(SEARCH("GMPS",E1325)),D1325,0))</f>
        <v/>
      </c>
      <c r="K1325" s="41" t="str">
        <f aca="false">IF(A1325="","",IF(ISNUMBER(SEARCH("DLV",E1325)),D1325,0))</f>
        <v/>
      </c>
      <c r="L1325" s="41" t="str">
        <f aca="false">IF(A1325="","",IF(K1325&gt;0,"Delivered",IF(ISNUMBER(SEARCH("CNF",E1325)),"In production",IF(J1325&gt;0,"Issued",IF(I1325&gt;0,"Kitted","Released")))))</f>
        <v/>
      </c>
      <c r="M1325" s="41" t="str">
        <f aca="false">IF(G1325&lt;&gt;"Yes","",COUNTIFS($B$6:$B$1505,B1325,$F$6:$F$1505,"&lt;"&amp;F1325)+COUNTIFS($B$6:$B$1505,B1325,$F$6:$F$1505,F1325,$A$6:$A$1505,"&lt;="&amp;A1325))</f>
        <v/>
      </c>
      <c r="N1325" s="41" t="str">
        <f aca="false">IF(M1325="","",ROUNDUP(M1325/H1325,0))</f>
        <v/>
      </c>
      <c r="O1325" s="41" t="str">
        <f aca="false">IF(N1325="","",IF(N1325&lt;='Kitting Plan'!$C$3,"Rep "&amp;N1325,"Surplus"))</f>
        <v/>
      </c>
    </row>
    <row r="1326" customFormat="false" ht="15" hidden="false" customHeight="false" outlineLevel="0" collapsed="false">
      <c r="A1326" s="40" t="str">
        <f aca="false">IF(OR($A$4=0,INDEX('COOIS Raw'!$A:$GZ,ROW()-4,$A$4)=""),"",IFERROR(--INDEX('COOIS Raw'!$A:$GZ,ROW()-4,$A$4),INDEX('COOIS Raw'!$A:$GZ,ROW()-4,$A$4)))</f>
        <v/>
      </c>
      <c r="B1326" s="41" t="str">
        <f aca="false">IF(A1326="","",TRIM(INDEX('COOIS Raw'!$A:$GZ,ROW()-4,$B$4)))</f>
        <v/>
      </c>
      <c r="C1326" s="42" t="str">
        <f aca="false">IF(OR(A1326="",$C$4=0),"",INDEX('COOIS Raw'!$A:$GZ,ROW()-4,$C$4))</f>
        <v/>
      </c>
      <c r="D1326" s="41" t="str">
        <f aca="false">IF(A1326="","",IF($D$4=0,1,IFERROR(--INDEX('COOIS Raw'!$A:$GZ,ROW()-4,$D$4),1)))</f>
        <v/>
      </c>
      <c r="E1326" s="42" t="str">
        <f aca="false">IF(A1326="","",INDEX('COOIS Raw'!$A:$GZ,ROW()-4,$E$4)&amp;"")</f>
        <v/>
      </c>
      <c r="F1326" s="43" t="str">
        <f aca="false">IF(A1326="","",IFERROR(DATEVALUE(INDEX('COOIS Raw'!$A:$GZ,ROW()-4,$F$4)),INDEX('COOIS Raw'!$A:$GZ,ROW()-4,$F$4)))</f>
        <v/>
      </c>
      <c r="G1326" s="41" t="str">
        <f aca="false">IF(A1326="","",IF(ISNA(MATCH(B1326,'Kitting Plan'!$B$6:$B$19,0)),"Not in plan","Yes"))</f>
        <v/>
      </c>
      <c r="H1326" s="41" t="str">
        <f aca="false">IF(G1326="Yes",INDEX('Kitting Plan'!$D$6:$D$19,MATCH(B1326,'Kitting Plan'!$B$6:$B$19,0)),"")</f>
        <v/>
      </c>
      <c r="I1326" s="41" t="str">
        <f aca="false">IF(A1326="","",IF(ISNUMBER(SEARCH("PRT",E1326)),D1326,0))</f>
        <v/>
      </c>
      <c r="J1326" s="41" t="str">
        <f aca="false">IF(A1326="","",IF(ISNUMBER(SEARCH("GMPS",E1326)),D1326,0))</f>
        <v/>
      </c>
      <c r="K1326" s="41" t="str">
        <f aca="false">IF(A1326="","",IF(ISNUMBER(SEARCH("DLV",E1326)),D1326,0))</f>
        <v/>
      </c>
      <c r="L1326" s="41" t="str">
        <f aca="false">IF(A1326="","",IF(K1326&gt;0,"Delivered",IF(ISNUMBER(SEARCH("CNF",E1326)),"In production",IF(J1326&gt;0,"Issued",IF(I1326&gt;0,"Kitted","Released")))))</f>
        <v/>
      </c>
      <c r="M1326" s="41" t="str">
        <f aca="false">IF(G1326&lt;&gt;"Yes","",COUNTIFS($B$6:$B$1505,B1326,$F$6:$F$1505,"&lt;"&amp;F1326)+COUNTIFS($B$6:$B$1505,B1326,$F$6:$F$1505,F1326,$A$6:$A$1505,"&lt;="&amp;A1326))</f>
        <v/>
      </c>
      <c r="N1326" s="41" t="str">
        <f aca="false">IF(M1326="","",ROUNDUP(M1326/H1326,0))</f>
        <v/>
      </c>
      <c r="O1326" s="41" t="str">
        <f aca="false">IF(N1326="","",IF(N1326&lt;='Kitting Plan'!$C$3,"Rep "&amp;N1326,"Surplus"))</f>
        <v/>
      </c>
    </row>
    <row r="1327" customFormat="false" ht="15" hidden="false" customHeight="false" outlineLevel="0" collapsed="false">
      <c r="A1327" s="40" t="str">
        <f aca="false">IF(OR($A$4=0,INDEX('COOIS Raw'!$A:$GZ,ROW()-4,$A$4)=""),"",IFERROR(--INDEX('COOIS Raw'!$A:$GZ,ROW()-4,$A$4),INDEX('COOIS Raw'!$A:$GZ,ROW()-4,$A$4)))</f>
        <v/>
      </c>
      <c r="B1327" s="41" t="str">
        <f aca="false">IF(A1327="","",TRIM(INDEX('COOIS Raw'!$A:$GZ,ROW()-4,$B$4)))</f>
        <v/>
      </c>
      <c r="C1327" s="42" t="str">
        <f aca="false">IF(OR(A1327="",$C$4=0),"",INDEX('COOIS Raw'!$A:$GZ,ROW()-4,$C$4))</f>
        <v/>
      </c>
      <c r="D1327" s="41" t="str">
        <f aca="false">IF(A1327="","",IF($D$4=0,1,IFERROR(--INDEX('COOIS Raw'!$A:$GZ,ROW()-4,$D$4),1)))</f>
        <v/>
      </c>
      <c r="E1327" s="42" t="str">
        <f aca="false">IF(A1327="","",INDEX('COOIS Raw'!$A:$GZ,ROW()-4,$E$4)&amp;"")</f>
        <v/>
      </c>
      <c r="F1327" s="43" t="str">
        <f aca="false">IF(A1327="","",IFERROR(DATEVALUE(INDEX('COOIS Raw'!$A:$GZ,ROW()-4,$F$4)),INDEX('COOIS Raw'!$A:$GZ,ROW()-4,$F$4)))</f>
        <v/>
      </c>
      <c r="G1327" s="41" t="str">
        <f aca="false">IF(A1327="","",IF(ISNA(MATCH(B1327,'Kitting Plan'!$B$6:$B$19,0)),"Not in plan","Yes"))</f>
        <v/>
      </c>
      <c r="H1327" s="41" t="str">
        <f aca="false">IF(G1327="Yes",INDEX('Kitting Plan'!$D$6:$D$19,MATCH(B1327,'Kitting Plan'!$B$6:$B$19,0)),"")</f>
        <v/>
      </c>
      <c r="I1327" s="41" t="str">
        <f aca="false">IF(A1327="","",IF(ISNUMBER(SEARCH("PRT",E1327)),D1327,0))</f>
        <v/>
      </c>
      <c r="J1327" s="41" t="str">
        <f aca="false">IF(A1327="","",IF(ISNUMBER(SEARCH("GMPS",E1327)),D1327,0))</f>
        <v/>
      </c>
      <c r="K1327" s="41" t="str">
        <f aca="false">IF(A1327="","",IF(ISNUMBER(SEARCH("DLV",E1327)),D1327,0))</f>
        <v/>
      </c>
      <c r="L1327" s="41" t="str">
        <f aca="false">IF(A1327="","",IF(K1327&gt;0,"Delivered",IF(ISNUMBER(SEARCH("CNF",E1327)),"In production",IF(J1327&gt;0,"Issued",IF(I1327&gt;0,"Kitted","Released")))))</f>
        <v/>
      </c>
      <c r="M1327" s="41" t="str">
        <f aca="false">IF(G1327&lt;&gt;"Yes","",COUNTIFS($B$6:$B$1505,B1327,$F$6:$F$1505,"&lt;"&amp;F1327)+COUNTIFS($B$6:$B$1505,B1327,$F$6:$F$1505,F1327,$A$6:$A$1505,"&lt;="&amp;A1327))</f>
        <v/>
      </c>
      <c r="N1327" s="41" t="str">
        <f aca="false">IF(M1327="","",ROUNDUP(M1327/H1327,0))</f>
        <v/>
      </c>
      <c r="O1327" s="41" t="str">
        <f aca="false">IF(N1327="","",IF(N1327&lt;='Kitting Plan'!$C$3,"Rep "&amp;N1327,"Surplus"))</f>
        <v/>
      </c>
    </row>
    <row r="1328" customFormat="false" ht="15" hidden="false" customHeight="false" outlineLevel="0" collapsed="false">
      <c r="A1328" s="40" t="str">
        <f aca="false">IF(OR($A$4=0,INDEX('COOIS Raw'!$A:$GZ,ROW()-4,$A$4)=""),"",IFERROR(--INDEX('COOIS Raw'!$A:$GZ,ROW()-4,$A$4),INDEX('COOIS Raw'!$A:$GZ,ROW()-4,$A$4)))</f>
        <v/>
      </c>
      <c r="B1328" s="41" t="str">
        <f aca="false">IF(A1328="","",TRIM(INDEX('COOIS Raw'!$A:$GZ,ROW()-4,$B$4)))</f>
        <v/>
      </c>
      <c r="C1328" s="42" t="str">
        <f aca="false">IF(OR(A1328="",$C$4=0),"",INDEX('COOIS Raw'!$A:$GZ,ROW()-4,$C$4))</f>
        <v/>
      </c>
      <c r="D1328" s="41" t="str">
        <f aca="false">IF(A1328="","",IF($D$4=0,1,IFERROR(--INDEX('COOIS Raw'!$A:$GZ,ROW()-4,$D$4),1)))</f>
        <v/>
      </c>
      <c r="E1328" s="42" t="str">
        <f aca="false">IF(A1328="","",INDEX('COOIS Raw'!$A:$GZ,ROW()-4,$E$4)&amp;"")</f>
        <v/>
      </c>
      <c r="F1328" s="43" t="str">
        <f aca="false">IF(A1328="","",IFERROR(DATEVALUE(INDEX('COOIS Raw'!$A:$GZ,ROW()-4,$F$4)),INDEX('COOIS Raw'!$A:$GZ,ROW()-4,$F$4)))</f>
        <v/>
      </c>
      <c r="G1328" s="41" t="str">
        <f aca="false">IF(A1328="","",IF(ISNA(MATCH(B1328,'Kitting Plan'!$B$6:$B$19,0)),"Not in plan","Yes"))</f>
        <v/>
      </c>
      <c r="H1328" s="41" t="str">
        <f aca="false">IF(G1328="Yes",INDEX('Kitting Plan'!$D$6:$D$19,MATCH(B1328,'Kitting Plan'!$B$6:$B$19,0)),"")</f>
        <v/>
      </c>
      <c r="I1328" s="41" t="str">
        <f aca="false">IF(A1328="","",IF(ISNUMBER(SEARCH("PRT",E1328)),D1328,0))</f>
        <v/>
      </c>
      <c r="J1328" s="41" t="str">
        <f aca="false">IF(A1328="","",IF(ISNUMBER(SEARCH("GMPS",E1328)),D1328,0))</f>
        <v/>
      </c>
      <c r="K1328" s="41" t="str">
        <f aca="false">IF(A1328="","",IF(ISNUMBER(SEARCH("DLV",E1328)),D1328,0))</f>
        <v/>
      </c>
      <c r="L1328" s="41" t="str">
        <f aca="false">IF(A1328="","",IF(K1328&gt;0,"Delivered",IF(ISNUMBER(SEARCH("CNF",E1328)),"In production",IF(J1328&gt;0,"Issued",IF(I1328&gt;0,"Kitted","Released")))))</f>
        <v/>
      </c>
      <c r="M1328" s="41" t="str">
        <f aca="false">IF(G1328&lt;&gt;"Yes","",COUNTIFS($B$6:$B$1505,B1328,$F$6:$F$1505,"&lt;"&amp;F1328)+COUNTIFS($B$6:$B$1505,B1328,$F$6:$F$1505,F1328,$A$6:$A$1505,"&lt;="&amp;A1328))</f>
        <v/>
      </c>
      <c r="N1328" s="41" t="str">
        <f aca="false">IF(M1328="","",ROUNDUP(M1328/H1328,0))</f>
        <v/>
      </c>
      <c r="O1328" s="41" t="str">
        <f aca="false">IF(N1328="","",IF(N1328&lt;='Kitting Plan'!$C$3,"Rep "&amp;N1328,"Surplus"))</f>
        <v/>
      </c>
    </row>
    <row r="1329" customFormat="false" ht="15" hidden="false" customHeight="false" outlineLevel="0" collapsed="false">
      <c r="A1329" s="40" t="str">
        <f aca="false">IF(OR($A$4=0,INDEX('COOIS Raw'!$A:$GZ,ROW()-4,$A$4)=""),"",IFERROR(--INDEX('COOIS Raw'!$A:$GZ,ROW()-4,$A$4),INDEX('COOIS Raw'!$A:$GZ,ROW()-4,$A$4)))</f>
        <v/>
      </c>
      <c r="B1329" s="41" t="str">
        <f aca="false">IF(A1329="","",TRIM(INDEX('COOIS Raw'!$A:$GZ,ROW()-4,$B$4)))</f>
        <v/>
      </c>
      <c r="C1329" s="42" t="str">
        <f aca="false">IF(OR(A1329="",$C$4=0),"",INDEX('COOIS Raw'!$A:$GZ,ROW()-4,$C$4))</f>
        <v/>
      </c>
      <c r="D1329" s="41" t="str">
        <f aca="false">IF(A1329="","",IF($D$4=0,1,IFERROR(--INDEX('COOIS Raw'!$A:$GZ,ROW()-4,$D$4),1)))</f>
        <v/>
      </c>
      <c r="E1329" s="42" t="str">
        <f aca="false">IF(A1329="","",INDEX('COOIS Raw'!$A:$GZ,ROW()-4,$E$4)&amp;"")</f>
        <v/>
      </c>
      <c r="F1329" s="43" t="str">
        <f aca="false">IF(A1329="","",IFERROR(DATEVALUE(INDEX('COOIS Raw'!$A:$GZ,ROW()-4,$F$4)),INDEX('COOIS Raw'!$A:$GZ,ROW()-4,$F$4)))</f>
        <v/>
      </c>
      <c r="G1329" s="41" t="str">
        <f aca="false">IF(A1329="","",IF(ISNA(MATCH(B1329,'Kitting Plan'!$B$6:$B$19,0)),"Not in plan","Yes"))</f>
        <v/>
      </c>
      <c r="H1329" s="41" t="str">
        <f aca="false">IF(G1329="Yes",INDEX('Kitting Plan'!$D$6:$D$19,MATCH(B1329,'Kitting Plan'!$B$6:$B$19,0)),"")</f>
        <v/>
      </c>
      <c r="I1329" s="41" t="str">
        <f aca="false">IF(A1329="","",IF(ISNUMBER(SEARCH("PRT",E1329)),D1329,0))</f>
        <v/>
      </c>
      <c r="J1329" s="41" t="str">
        <f aca="false">IF(A1329="","",IF(ISNUMBER(SEARCH("GMPS",E1329)),D1329,0))</f>
        <v/>
      </c>
      <c r="K1329" s="41" t="str">
        <f aca="false">IF(A1329="","",IF(ISNUMBER(SEARCH("DLV",E1329)),D1329,0))</f>
        <v/>
      </c>
      <c r="L1329" s="41" t="str">
        <f aca="false">IF(A1329="","",IF(K1329&gt;0,"Delivered",IF(ISNUMBER(SEARCH("CNF",E1329)),"In production",IF(J1329&gt;0,"Issued",IF(I1329&gt;0,"Kitted","Released")))))</f>
        <v/>
      </c>
      <c r="M1329" s="41" t="str">
        <f aca="false">IF(G1329&lt;&gt;"Yes","",COUNTIFS($B$6:$B$1505,B1329,$F$6:$F$1505,"&lt;"&amp;F1329)+COUNTIFS($B$6:$B$1505,B1329,$F$6:$F$1505,F1329,$A$6:$A$1505,"&lt;="&amp;A1329))</f>
        <v/>
      </c>
      <c r="N1329" s="41" t="str">
        <f aca="false">IF(M1329="","",ROUNDUP(M1329/H1329,0))</f>
        <v/>
      </c>
      <c r="O1329" s="41" t="str">
        <f aca="false">IF(N1329="","",IF(N1329&lt;='Kitting Plan'!$C$3,"Rep "&amp;N1329,"Surplus"))</f>
        <v/>
      </c>
    </row>
    <row r="1330" customFormat="false" ht="15" hidden="false" customHeight="false" outlineLevel="0" collapsed="false">
      <c r="A1330" s="40" t="str">
        <f aca="false">IF(OR($A$4=0,INDEX('COOIS Raw'!$A:$GZ,ROW()-4,$A$4)=""),"",IFERROR(--INDEX('COOIS Raw'!$A:$GZ,ROW()-4,$A$4),INDEX('COOIS Raw'!$A:$GZ,ROW()-4,$A$4)))</f>
        <v/>
      </c>
      <c r="B1330" s="41" t="str">
        <f aca="false">IF(A1330="","",TRIM(INDEX('COOIS Raw'!$A:$GZ,ROW()-4,$B$4)))</f>
        <v/>
      </c>
      <c r="C1330" s="42" t="str">
        <f aca="false">IF(OR(A1330="",$C$4=0),"",INDEX('COOIS Raw'!$A:$GZ,ROW()-4,$C$4))</f>
        <v/>
      </c>
      <c r="D1330" s="41" t="str">
        <f aca="false">IF(A1330="","",IF($D$4=0,1,IFERROR(--INDEX('COOIS Raw'!$A:$GZ,ROW()-4,$D$4),1)))</f>
        <v/>
      </c>
      <c r="E1330" s="42" t="str">
        <f aca="false">IF(A1330="","",INDEX('COOIS Raw'!$A:$GZ,ROW()-4,$E$4)&amp;"")</f>
        <v/>
      </c>
      <c r="F1330" s="43" t="str">
        <f aca="false">IF(A1330="","",IFERROR(DATEVALUE(INDEX('COOIS Raw'!$A:$GZ,ROW()-4,$F$4)),INDEX('COOIS Raw'!$A:$GZ,ROW()-4,$F$4)))</f>
        <v/>
      </c>
      <c r="G1330" s="41" t="str">
        <f aca="false">IF(A1330="","",IF(ISNA(MATCH(B1330,'Kitting Plan'!$B$6:$B$19,0)),"Not in plan","Yes"))</f>
        <v/>
      </c>
      <c r="H1330" s="41" t="str">
        <f aca="false">IF(G1330="Yes",INDEX('Kitting Plan'!$D$6:$D$19,MATCH(B1330,'Kitting Plan'!$B$6:$B$19,0)),"")</f>
        <v/>
      </c>
      <c r="I1330" s="41" t="str">
        <f aca="false">IF(A1330="","",IF(ISNUMBER(SEARCH("PRT",E1330)),D1330,0))</f>
        <v/>
      </c>
      <c r="J1330" s="41" t="str">
        <f aca="false">IF(A1330="","",IF(ISNUMBER(SEARCH("GMPS",E1330)),D1330,0))</f>
        <v/>
      </c>
      <c r="K1330" s="41" t="str">
        <f aca="false">IF(A1330="","",IF(ISNUMBER(SEARCH("DLV",E1330)),D1330,0))</f>
        <v/>
      </c>
      <c r="L1330" s="41" t="str">
        <f aca="false">IF(A1330="","",IF(K1330&gt;0,"Delivered",IF(ISNUMBER(SEARCH("CNF",E1330)),"In production",IF(J1330&gt;0,"Issued",IF(I1330&gt;0,"Kitted","Released")))))</f>
        <v/>
      </c>
      <c r="M1330" s="41" t="str">
        <f aca="false">IF(G1330&lt;&gt;"Yes","",COUNTIFS($B$6:$B$1505,B1330,$F$6:$F$1505,"&lt;"&amp;F1330)+COUNTIFS($B$6:$B$1505,B1330,$F$6:$F$1505,F1330,$A$6:$A$1505,"&lt;="&amp;A1330))</f>
        <v/>
      </c>
      <c r="N1330" s="41" t="str">
        <f aca="false">IF(M1330="","",ROUNDUP(M1330/H1330,0))</f>
        <v/>
      </c>
      <c r="O1330" s="41" t="str">
        <f aca="false">IF(N1330="","",IF(N1330&lt;='Kitting Plan'!$C$3,"Rep "&amp;N1330,"Surplus"))</f>
        <v/>
      </c>
    </row>
    <row r="1331" customFormat="false" ht="15" hidden="false" customHeight="false" outlineLevel="0" collapsed="false">
      <c r="A1331" s="40" t="str">
        <f aca="false">IF(OR($A$4=0,INDEX('COOIS Raw'!$A:$GZ,ROW()-4,$A$4)=""),"",IFERROR(--INDEX('COOIS Raw'!$A:$GZ,ROW()-4,$A$4),INDEX('COOIS Raw'!$A:$GZ,ROW()-4,$A$4)))</f>
        <v/>
      </c>
      <c r="B1331" s="41" t="str">
        <f aca="false">IF(A1331="","",TRIM(INDEX('COOIS Raw'!$A:$GZ,ROW()-4,$B$4)))</f>
        <v/>
      </c>
      <c r="C1331" s="42" t="str">
        <f aca="false">IF(OR(A1331="",$C$4=0),"",INDEX('COOIS Raw'!$A:$GZ,ROW()-4,$C$4))</f>
        <v/>
      </c>
      <c r="D1331" s="41" t="str">
        <f aca="false">IF(A1331="","",IF($D$4=0,1,IFERROR(--INDEX('COOIS Raw'!$A:$GZ,ROW()-4,$D$4),1)))</f>
        <v/>
      </c>
      <c r="E1331" s="42" t="str">
        <f aca="false">IF(A1331="","",INDEX('COOIS Raw'!$A:$GZ,ROW()-4,$E$4)&amp;"")</f>
        <v/>
      </c>
      <c r="F1331" s="43" t="str">
        <f aca="false">IF(A1331="","",IFERROR(DATEVALUE(INDEX('COOIS Raw'!$A:$GZ,ROW()-4,$F$4)),INDEX('COOIS Raw'!$A:$GZ,ROW()-4,$F$4)))</f>
        <v/>
      </c>
      <c r="G1331" s="41" t="str">
        <f aca="false">IF(A1331="","",IF(ISNA(MATCH(B1331,'Kitting Plan'!$B$6:$B$19,0)),"Not in plan","Yes"))</f>
        <v/>
      </c>
      <c r="H1331" s="41" t="str">
        <f aca="false">IF(G1331="Yes",INDEX('Kitting Plan'!$D$6:$D$19,MATCH(B1331,'Kitting Plan'!$B$6:$B$19,0)),"")</f>
        <v/>
      </c>
      <c r="I1331" s="41" t="str">
        <f aca="false">IF(A1331="","",IF(ISNUMBER(SEARCH("PRT",E1331)),D1331,0))</f>
        <v/>
      </c>
      <c r="J1331" s="41" t="str">
        <f aca="false">IF(A1331="","",IF(ISNUMBER(SEARCH("GMPS",E1331)),D1331,0))</f>
        <v/>
      </c>
      <c r="K1331" s="41" t="str">
        <f aca="false">IF(A1331="","",IF(ISNUMBER(SEARCH("DLV",E1331)),D1331,0))</f>
        <v/>
      </c>
      <c r="L1331" s="41" t="str">
        <f aca="false">IF(A1331="","",IF(K1331&gt;0,"Delivered",IF(ISNUMBER(SEARCH("CNF",E1331)),"In production",IF(J1331&gt;0,"Issued",IF(I1331&gt;0,"Kitted","Released")))))</f>
        <v/>
      </c>
      <c r="M1331" s="41" t="str">
        <f aca="false">IF(G1331&lt;&gt;"Yes","",COUNTIFS($B$6:$B$1505,B1331,$F$6:$F$1505,"&lt;"&amp;F1331)+COUNTIFS($B$6:$B$1505,B1331,$F$6:$F$1505,F1331,$A$6:$A$1505,"&lt;="&amp;A1331))</f>
        <v/>
      </c>
      <c r="N1331" s="41" t="str">
        <f aca="false">IF(M1331="","",ROUNDUP(M1331/H1331,0))</f>
        <v/>
      </c>
      <c r="O1331" s="41" t="str">
        <f aca="false">IF(N1331="","",IF(N1331&lt;='Kitting Plan'!$C$3,"Rep "&amp;N1331,"Surplus"))</f>
        <v/>
      </c>
    </row>
    <row r="1332" customFormat="false" ht="15" hidden="false" customHeight="false" outlineLevel="0" collapsed="false">
      <c r="A1332" s="40" t="str">
        <f aca="false">IF(OR($A$4=0,INDEX('COOIS Raw'!$A:$GZ,ROW()-4,$A$4)=""),"",IFERROR(--INDEX('COOIS Raw'!$A:$GZ,ROW()-4,$A$4),INDEX('COOIS Raw'!$A:$GZ,ROW()-4,$A$4)))</f>
        <v/>
      </c>
      <c r="B1332" s="41" t="str">
        <f aca="false">IF(A1332="","",TRIM(INDEX('COOIS Raw'!$A:$GZ,ROW()-4,$B$4)))</f>
        <v/>
      </c>
      <c r="C1332" s="42" t="str">
        <f aca="false">IF(OR(A1332="",$C$4=0),"",INDEX('COOIS Raw'!$A:$GZ,ROW()-4,$C$4))</f>
        <v/>
      </c>
      <c r="D1332" s="41" t="str">
        <f aca="false">IF(A1332="","",IF($D$4=0,1,IFERROR(--INDEX('COOIS Raw'!$A:$GZ,ROW()-4,$D$4),1)))</f>
        <v/>
      </c>
      <c r="E1332" s="42" t="str">
        <f aca="false">IF(A1332="","",INDEX('COOIS Raw'!$A:$GZ,ROW()-4,$E$4)&amp;"")</f>
        <v/>
      </c>
      <c r="F1332" s="43" t="str">
        <f aca="false">IF(A1332="","",IFERROR(DATEVALUE(INDEX('COOIS Raw'!$A:$GZ,ROW()-4,$F$4)),INDEX('COOIS Raw'!$A:$GZ,ROW()-4,$F$4)))</f>
        <v/>
      </c>
      <c r="G1332" s="41" t="str">
        <f aca="false">IF(A1332="","",IF(ISNA(MATCH(B1332,'Kitting Plan'!$B$6:$B$19,0)),"Not in plan","Yes"))</f>
        <v/>
      </c>
      <c r="H1332" s="41" t="str">
        <f aca="false">IF(G1332="Yes",INDEX('Kitting Plan'!$D$6:$D$19,MATCH(B1332,'Kitting Plan'!$B$6:$B$19,0)),"")</f>
        <v/>
      </c>
      <c r="I1332" s="41" t="str">
        <f aca="false">IF(A1332="","",IF(ISNUMBER(SEARCH("PRT",E1332)),D1332,0))</f>
        <v/>
      </c>
      <c r="J1332" s="41" t="str">
        <f aca="false">IF(A1332="","",IF(ISNUMBER(SEARCH("GMPS",E1332)),D1332,0))</f>
        <v/>
      </c>
      <c r="K1332" s="41" t="str">
        <f aca="false">IF(A1332="","",IF(ISNUMBER(SEARCH("DLV",E1332)),D1332,0))</f>
        <v/>
      </c>
      <c r="L1332" s="41" t="str">
        <f aca="false">IF(A1332="","",IF(K1332&gt;0,"Delivered",IF(ISNUMBER(SEARCH("CNF",E1332)),"In production",IF(J1332&gt;0,"Issued",IF(I1332&gt;0,"Kitted","Released")))))</f>
        <v/>
      </c>
      <c r="M1332" s="41" t="str">
        <f aca="false">IF(G1332&lt;&gt;"Yes","",COUNTIFS($B$6:$B$1505,B1332,$F$6:$F$1505,"&lt;"&amp;F1332)+COUNTIFS($B$6:$B$1505,B1332,$F$6:$F$1505,F1332,$A$6:$A$1505,"&lt;="&amp;A1332))</f>
        <v/>
      </c>
      <c r="N1332" s="41" t="str">
        <f aca="false">IF(M1332="","",ROUNDUP(M1332/H1332,0))</f>
        <v/>
      </c>
      <c r="O1332" s="41" t="str">
        <f aca="false">IF(N1332="","",IF(N1332&lt;='Kitting Plan'!$C$3,"Rep "&amp;N1332,"Surplus"))</f>
        <v/>
      </c>
    </row>
    <row r="1333" customFormat="false" ht="15" hidden="false" customHeight="false" outlineLevel="0" collapsed="false">
      <c r="A1333" s="40" t="str">
        <f aca="false">IF(OR($A$4=0,INDEX('COOIS Raw'!$A:$GZ,ROW()-4,$A$4)=""),"",IFERROR(--INDEX('COOIS Raw'!$A:$GZ,ROW()-4,$A$4),INDEX('COOIS Raw'!$A:$GZ,ROW()-4,$A$4)))</f>
        <v/>
      </c>
      <c r="B1333" s="41" t="str">
        <f aca="false">IF(A1333="","",TRIM(INDEX('COOIS Raw'!$A:$GZ,ROW()-4,$B$4)))</f>
        <v/>
      </c>
      <c r="C1333" s="42" t="str">
        <f aca="false">IF(OR(A1333="",$C$4=0),"",INDEX('COOIS Raw'!$A:$GZ,ROW()-4,$C$4))</f>
        <v/>
      </c>
      <c r="D1333" s="41" t="str">
        <f aca="false">IF(A1333="","",IF($D$4=0,1,IFERROR(--INDEX('COOIS Raw'!$A:$GZ,ROW()-4,$D$4),1)))</f>
        <v/>
      </c>
      <c r="E1333" s="42" t="str">
        <f aca="false">IF(A1333="","",INDEX('COOIS Raw'!$A:$GZ,ROW()-4,$E$4)&amp;"")</f>
        <v/>
      </c>
      <c r="F1333" s="43" t="str">
        <f aca="false">IF(A1333="","",IFERROR(DATEVALUE(INDEX('COOIS Raw'!$A:$GZ,ROW()-4,$F$4)),INDEX('COOIS Raw'!$A:$GZ,ROW()-4,$F$4)))</f>
        <v/>
      </c>
      <c r="G1333" s="41" t="str">
        <f aca="false">IF(A1333="","",IF(ISNA(MATCH(B1333,'Kitting Plan'!$B$6:$B$19,0)),"Not in plan","Yes"))</f>
        <v/>
      </c>
      <c r="H1333" s="41" t="str">
        <f aca="false">IF(G1333="Yes",INDEX('Kitting Plan'!$D$6:$D$19,MATCH(B1333,'Kitting Plan'!$B$6:$B$19,0)),"")</f>
        <v/>
      </c>
      <c r="I1333" s="41" t="str">
        <f aca="false">IF(A1333="","",IF(ISNUMBER(SEARCH("PRT",E1333)),D1333,0))</f>
        <v/>
      </c>
      <c r="J1333" s="41" t="str">
        <f aca="false">IF(A1333="","",IF(ISNUMBER(SEARCH("GMPS",E1333)),D1333,0))</f>
        <v/>
      </c>
      <c r="K1333" s="41" t="str">
        <f aca="false">IF(A1333="","",IF(ISNUMBER(SEARCH("DLV",E1333)),D1333,0))</f>
        <v/>
      </c>
      <c r="L1333" s="41" t="str">
        <f aca="false">IF(A1333="","",IF(K1333&gt;0,"Delivered",IF(ISNUMBER(SEARCH("CNF",E1333)),"In production",IF(J1333&gt;0,"Issued",IF(I1333&gt;0,"Kitted","Released")))))</f>
        <v/>
      </c>
      <c r="M1333" s="41" t="str">
        <f aca="false">IF(G1333&lt;&gt;"Yes","",COUNTIFS($B$6:$B$1505,B1333,$F$6:$F$1505,"&lt;"&amp;F1333)+COUNTIFS($B$6:$B$1505,B1333,$F$6:$F$1505,F1333,$A$6:$A$1505,"&lt;="&amp;A1333))</f>
        <v/>
      </c>
      <c r="N1333" s="41" t="str">
        <f aca="false">IF(M1333="","",ROUNDUP(M1333/H1333,0))</f>
        <v/>
      </c>
      <c r="O1333" s="41" t="str">
        <f aca="false">IF(N1333="","",IF(N1333&lt;='Kitting Plan'!$C$3,"Rep "&amp;N1333,"Surplus"))</f>
        <v/>
      </c>
    </row>
    <row r="1334" customFormat="false" ht="15" hidden="false" customHeight="false" outlineLevel="0" collapsed="false">
      <c r="A1334" s="40" t="str">
        <f aca="false">IF(OR($A$4=0,INDEX('COOIS Raw'!$A:$GZ,ROW()-4,$A$4)=""),"",IFERROR(--INDEX('COOIS Raw'!$A:$GZ,ROW()-4,$A$4),INDEX('COOIS Raw'!$A:$GZ,ROW()-4,$A$4)))</f>
        <v/>
      </c>
      <c r="B1334" s="41" t="str">
        <f aca="false">IF(A1334="","",TRIM(INDEX('COOIS Raw'!$A:$GZ,ROW()-4,$B$4)))</f>
        <v/>
      </c>
      <c r="C1334" s="42" t="str">
        <f aca="false">IF(OR(A1334="",$C$4=0),"",INDEX('COOIS Raw'!$A:$GZ,ROW()-4,$C$4))</f>
        <v/>
      </c>
      <c r="D1334" s="41" t="str">
        <f aca="false">IF(A1334="","",IF($D$4=0,1,IFERROR(--INDEX('COOIS Raw'!$A:$GZ,ROW()-4,$D$4),1)))</f>
        <v/>
      </c>
      <c r="E1334" s="42" t="str">
        <f aca="false">IF(A1334="","",INDEX('COOIS Raw'!$A:$GZ,ROW()-4,$E$4)&amp;"")</f>
        <v/>
      </c>
      <c r="F1334" s="43" t="str">
        <f aca="false">IF(A1334="","",IFERROR(DATEVALUE(INDEX('COOIS Raw'!$A:$GZ,ROW()-4,$F$4)),INDEX('COOIS Raw'!$A:$GZ,ROW()-4,$F$4)))</f>
        <v/>
      </c>
      <c r="G1334" s="41" t="str">
        <f aca="false">IF(A1334="","",IF(ISNA(MATCH(B1334,'Kitting Plan'!$B$6:$B$19,0)),"Not in plan","Yes"))</f>
        <v/>
      </c>
      <c r="H1334" s="41" t="str">
        <f aca="false">IF(G1334="Yes",INDEX('Kitting Plan'!$D$6:$D$19,MATCH(B1334,'Kitting Plan'!$B$6:$B$19,0)),"")</f>
        <v/>
      </c>
      <c r="I1334" s="41" t="str">
        <f aca="false">IF(A1334="","",IF(ISNUMBER(SEARCH("PRT",E1334)),D1334,0))</f>
        <v/>
      </c>
      <c r="J1334" s="41" t="str">
        <f aca="false">IF(A1334="","",IF(ISNUMBER(SEARCH("GMPS",E1334)),D1334,0))</f>
        <v/>
      </c>
      <c r="K1334" s="41" t="str">
        <f aca="false">IF(A1334="","",IF(ISNUMBER(SEARCH("DLV",E1334)),D1334,0))</f>
        <v/>
      </c>
      <c r="L1334" s="41" t="str">
        <f aca="false">IF(A1334="","",IF(K1334&gt;0,"Delivered",IF(ISNUMBER(SEARCH("CNF",E1334)),"In production",IF(J1334&gt;0,"Issued",IF(I1334&gt;0,"Kitted","Released")))))</f>
        <v/>
      </c>
      <c r="M1334" s="41" t="str">
        <f aca="false">IF(G1334&lt;&gt;"Yes","",COUNTIFS($B$6:$B$1505,B1334,$F$6:$F$1505,"&lt;"&amp;F1334)+COUNTIFS($B$6:$B$1505,B1334,$F$6:$F$1505,F1334,$A$6:$A$1505,"&lt;="&amp;A1334))</f>
        <v/>
      </c>
      <c r="N1334" s="41" t="str">
        <f aca="false">IF(M1334="","",ROUNDUP(M1334/H1334,0))</f>
        <v/>
      </c>
      <c r="O1334" s="41" t="str">
        <f aca="false">IF(N1334="","",IF(N1334&lt;='Kitting Plan'!$C$3,"Rep "&amp;N1334,"Surplus"))</f>
        <v/>
      </c>
    </row>
    <row r="1335" customFormat="false" ht="15" hidden="false" customHeight="false" outlineLevel="0" collapsed="false">
      <c r="A1335" s="40" t="str">
        <f aca="false">IF(OR($A$4=0,INDEX('COOIS Raw'!$A:$GZ,ROW()-4,$A$4)=""),"",IFERROR(--INDEX('COOIS Raw'!$A:$GZ,ROW()-4,$A$4),INDEX('COOIS Raw'!$A:$GZ,ROW()-4,$A$4)))</f>
        <v/>
      </c>
      <c r="B1335" s="41" t="str">
        <f aca="false">IF(A1335="","",TRIM(INDEX('COOIS Raw'!$A:$GZ,ROW()-4,$B$4)))</f>
        <v/>
      </c>
      <c r="C1335" s="42" t="str">
        <f aca="false">IF(OR(A1335="",$C$4=0),"",INDEX('COOIS Raw'!$A:$GZ,ROW()-4,$C$4))</f>
        <v/>
      </c>
      <c r="D1335" s="41" t="str">
        <f aca="false">IF(A1335="","",IF($D$4=0,1,IFERROR(--INDEX('COOIS Raw'!$A:$GZ,ROW()-4,$D$4),1)))</f>
        <v/>
      </c>
      <c r="E1335" s="42" t="str">
        <f aca="false">IF(A1335="","",INDEX('COOIS Raw'!$A:$GZ,ROW()-4,$E$4)&amp;"")</f>
        <v/>
      </c>
      <c r="F1335" s="43" t="str">
        <f aca="false">IF(A1335="","",IFERROR(DATEVALUE(INDEX('COOIS Raw'!$A:$GZ,ROW()-4,$F$4)),INDEX('COOIS Raw'!$A:$GZ,ROW()-4,$F$4)))</f>
        <v/>
      </c>
      <c r="G1335" s="41" t="str">
        <f aca="false">IF(A1335="","",IF(ISNA(MATCH(B1335,'Kitting Plan'!$B$6:$B$19,0)),"Not in plan","Yes"))</f>
        <v/>
      </c>
      <c r="H1335" s="41" t="str">
        <f aca="false">IF(G1335="Yes",INDEX('Kitting Plan'!$D$6:$D$19,MATCH(B1335,'Kitting Plan'!$B$6:$B$19,0)),"")</f>
        <v/>
      </c>
      <c r="I1335" s="41" t="str">
        <f aca="false">IF(A1335="","",IF(ISNUMBER(SEARCH("PRT",E1335)),D1335,0))</f>
        <v/>
      </c>
      <c r="J1335" s="41" t="str">
        <f aca="false">IF(A1335="","",IF(ISNUMBER(SEARCH("GMPS",E1335)),D1335,0))</f>
        <v/>
      </c>
      <c r="K1335" s="41" t="str">
        <f aca="false">IF(A1335="","",IF(ISNUMBER(SEARCH("DLV",E1335)),D1335,0))</f>
        <v/>
      </c>
      <c r="L1335" s="41" t="str">
        <f aca="false">IF(A1335="","",IF(K1335&gt;0,"Delivered",IF(ISNUMBER(SEARCH("CNF",E1335)),"In production",IF(J1335&gt;0,"Issued",IF(I1335&gt;0,"Kitted","Released")))))</f>
        <v/>
      </c>
      <c r="M1335" s="41" t="str">
        <f aca="false">IF(G1335&lt;&gt;"Yes","",COUNTIFS($B$6:$B$1505,B1335,$F$6:$F$1505,"&lt;"&amp;F1335)+COUNTIFS($B$6:$B$1505,B1335,$F$6:$F$1505,F1335,$A$6:$A$1505,"&lt;="&amp;A1335))</f>
        <v/>
      </c>
      <c r="N1335" s="41" t="str">
        <f aca="false">IF(M1335="","",ROUNDUP(M1335/H1335,0))</f>
        <v/>
      </c>
      <c r="O1335" s="41" t="str">
        <f aca="false">IF(N1335="","",IF(N1335&lt;='Kitting Plan'!$C$3,"Rep "&amp;N1335,"Surplus"))</f>
        <v/>
      </c>
    </row>
    <row r="1336" customFormat="false" ht="15" hidden="false" customHeight="false" outlineLevel="0" collapsed="false">
      <c r="A1336" s="40" t="str">
        <f aca="false">IF(OR($A$4=0,INDEX('COOIS Raw'!$A:$GZ,ROW()-4,$A$4)=""),"",IFERROR(--INDEX('COOIS Raw'!$A:$GZ,ROW()-4,$A$4),INDEX('COOIS Raw'!$A:$GZ,ROW()-4,$A$4)))</f>
        <v/>
      </c>
      <c r="B1336" s="41" t="str">
        <f aca="false">IF(A1336="","",TRIM(INDEX('COOIS Raw'!$A:$GZ,ROW()-4,$B$4)))</f>
        <v/>
      </c>
      <c r="C1336" s="42" t="str">
        <f aca="false">IF(OR(A1336="",$C$4=0),"",INDEX('COOIS Raw'!$A:$GZ,ROW()-4,$C$4))</f>
        <v/>
      </c>
      <c r="D1336" s="41" t="str">
        <f aca="false">IF(A1336="","",IF($D$4=0,1,IFERROR(--INDEX('COOIS Raw'!$A:$GZ,ROW()-4,$D$4),1)))</f>
        <v/>
      </c>
      <c r="E1336" s="42" t="str">
        <f aca="false">IF(A1336="","",INDEX('COOIS Raw'!$A:$GZ,ROW()-4,$E$4)&amp;"")</f>
        <v/>
      </c>
      <c r="F1336" s="43" t="str">
        <f aca="false">IF(A1336="","",IFERROR(DATEVALUE(INDEX('COOIS Raw'!$A:$GZ,ROW()-4,$F$4)),INDEX('COOIS Raw'!$A:$GZ,ROW()-4,$F$4)))</f>
        <v/>
      </c>
      <c r="G1336" s="41" t="str">
        <f aca="false">IF(A1336="","",IF(ISNA(MATCH(B1336,'Kitting Plan'!$B$6:$B$19,0)),"Not in plan","Yes"))</f>
        <v/>
      </c>
      <c r="H1336" s="41" t="str">
        <f aca="false">IF(G1336="Yes",INDEX('Kitting Plan'!$D$6:$D$19,MATCH(B1336,'Kitting Plan'!$B$6:$B$19,0)),"")</f>
        <v/>
      </c>
      <c r="I1336" s="41" t="str">
        <f aca="false">IF(A1336="","",IF(ISNUMBER(SEARCH("PRT",E1336)),D1336,0))</f>
        <v/>
      </c>
      <c r="J1336" s="41" t="str">
        <f aca="false">IF(A1336="","",IF(ISNUMBER(SEARCH("GMPS",E1336)),D1336,0))</f>
        <v/>
      </c>
      <c r="K1336" s="41" t="str">
        <f aca="false">IF(A1336="","",IF(ISNUMBER(SEARCH("DLV",E1336)),D1336,0))</f>
        <v/>
      </c>
      <c r="L1336" s="41" t="str">
        <f aca="false">IF(A1336="","",IF(K1336&gt;0,"Delivered",IF(ISNUMBER(SEARCH("CNF",E1336)),"In production",IF(J1336&gt;0,"Issued",IF(I1336&gt;0,"Kitted","Released")))))</f>
        <v/>
      </c>
      <c r="M1336" s="41" t="str">
        <f aca="false">IF(G1336&lt;&gt;"Yes","",COUNTIFS($B$6:$B$1505,B1336,$F$6:$F$1505,"&lt;"&amp;F1336)+COUNTIFS($B$6:$B$1505,B1336,$F$6:$F$1505,F1336,$A$6:$A$1505,"&lt;="&amp;A1336))</f>
        <v/>
      </c>
      <c r="N1336" s="41" t="str">
        <f aca="false">IF(M1336="","",ROUNDUP(M1336/H1336,0))</f>
        <v/>
      </c>
      <c r="O1336" s="41" t="str">
        <f aca="false">IF(N1336="","",IF(N1336&lt;='Kitting Plan'!$C$3,"Rep "&amp;N1336,"Surplus"))</f>
        <v/>
      </c>
    </row>
    <row r="1337" customFormat="false" ht="15" hidden="false" customHeight="false" outlineLevel="0" collapsed="false">
      <c r="A1337" s="40" t="str">
        <f aca="false">IF(OR($A$4=0,INDEX('COOIS Raw'!$A:$GZ,ROW()-4,$A$4)=""),"",IFERROR(--INDEX('COOIS Raw'!$A:$GZ,ROW()-4,$A$4),INDEX('COOIS Raw'!$A:$GZ,ROW()-4,$A$4)))</f>
        <v/>
      </c>
      <c r="B1337" s="41" t="str">
        <f aca="false">IF(A1337="","",TRIM(INDEX('COOIS Raw'!$A:$GZ,ROW()-4,$B$4)))</f>
        <v/>
      </c>
      <c r="C1337" s="42" t="str">
        <f aca="false">IF(OR(A1337="",$C$4=0),"",INDEX('COOIS Raw'!$A:$GZ,ROW()-4,$C$4))</f>
        <v/>
      </c>
      <c r="D1337" s="41" t="str">
        <f aca="false">IF(A1337="","",IF($D$4=0,1,IFERROR(--INDEX('COOIS Raw'!$A:$GZ,ROW()-4,$D$4),1)))</f>
        <v/>
      </c>
      <c r="E1337" s="42" t="str">
        <f aca="false">IF(A1337="","",INDEX('COOIS Raw'!$A:$GZ,ROW()-4,$E$4)&amp;"")</f>
        <v/>
      </c>
      <c r="F1337" s="43" t="str">
        <f aca="false">IF(A1337="","",IFERROR(DATEVALUE(INDEX('COOIS Raw'!$A:$GZ,ROW()-4,$F$4)),INDEX('COOIS Raw'!$A:$GZ,ROW()-4,$F$4)))</f>
        <v/>
      </c>
      <c r="G1337" s="41" t="str">
        <f aca="false">IF(A1337="","",IF(ISNA(MATCH(B1337,'Kitting Plan'!$B$6:$B$19,0)),"Not in plan","Yes"))</f>
        <v/>
      </c>
      <c r="H1337" s="41" t="str">
        <f aca="false">IF(G1337="Yes",INDEX('Kitting Plan'!$D$6:$D$19,MATCH(B1337,'Kitting Plan'!$B$6:$B$19,0)),"")</f>
        <v/>
      </c>
      <c r="I1337" s="41" t="str">
        <f aca="false">IF(A1337="","",IF(ISNUMBER(SEARCH("PRT",E1337)),D1337,0))</f>
        <v/>
      </c>
      <c r="J1337" s="41" t="str">
        <f aca="false">IF(A1337="","",IF(ISNUMBER(SEARCH("GMPS",E1337)),D1337,0))</f>
        <v/>
      </c>
      <c r="K1337" s="41" t="str">
        <f aca="false">IF(A1337="","",IF(ISNUMBER(SEARCH("DLV",E1337)),D1337,0))</f>
        <v/>
      </c>
      <c r="L1337" s="41" t="str">
        <f aca="false">IF(A1337="","",IF(K1337&gt;0,"Delivered",IF(ISNUMBER(SEARCH("CNF",E1337)),"In production",IF(J1337&gt;0,"Issued",IF(I1337&gt;0,"Kitted","Released")))))</f>
        <v/>
      </c>
      <c r="M1337" s="41" t="str">
        <f aca="false">IF(G1337&lt;&gt;"Yes","",COUNTIFS($B$6:$B$1505,B1337,$F$6:$F$1505,"&lt;"&amp;F1337)+COUNTIFS($B$6:$B$1505,B1337,$F$6:$F$1505,F1337,$A$6:$A$1505,"&lt;="&amp;A1337))</f>
        <v/>
      </c>
      <c r="N1337" s="41" t="str">
        <f aca="false">IF(M1337="","",ROUNDUP(M1337/H1337,0))</f>
        <v/>
      </c>
      <c r="O1337" s="41" t="str">
        <f aca="false">IF(N1337="","",IF(N1337&lt;='Kitting Plan'!$C$3,"Rep "&amp;N1337,"Surplus"))</f>
        <v/>
      </c>
    </row>
    <row r="1338" customFormat="false" ht="15" hidden="false" customHeight="false" outlineLevel="0" collapsed="false">
      <c r="A1338" s="40" t="str">
        <f aca="false">IF(OR($A$4=0,INDEX('COOIS Raw'!$A:$GZ,ROW()-4,$A$4)=""),"",IFERROR(--INDEX('COOIS Raw'!$A:$GZ,ROW()-4,$A$4),INDEX('COOIS Raw'!$A:$GZ,ROW()-4,$A$4)))</f>
        <v/>
      </c>
      <c r="B1338" s="41" t="str">
        <f aca="false">IF(A1338="","",TRIM(INDEX('COOIS Raw'!$A:$GZ,ROW()-4,$B$4)))</f>
        <v/>
      </c>
      <c r="C1338" s="42" t="str">
        <f aca="false">IF(OR(A1338="",$C$4=0),"",INDEX('COOIS Raw'!$A:$GZ,ROW()-4,$C$4))</f>
        <v/>
      </c>
      <c r="D1338" s="41" t="str">
        <f aca="false">IF(A1338="","",IF($D$4=0,1,IFERROR(--INDEX('COOIS Raw'!$A:$GZ,ROW()-4,$D$4),1)))</f>
        <v/>
      </c>
      <c r="E1338" s="42" t="str">
        <f aca="false">IF(A1338="","",INDEX('COOIS Raw'!$A:$GZ,ROW()-4,$E$4)&amp;"")</f>
        <v/>
      </c>
      <c r="F1338" s="43" t="str">
        <f aca="false">IF(A1338="","",IFERROR(DATEVALUE(INDEX('COOIS Raw'!$A:$GZ,ROW()-4,$F$4)),INDEX('COOIS Raw'!$A:$GZ,ROW()-4,$F$4)))</f>
        <v/>
      </c>
      <c r="G1338" s="41" t="str">
        <f aca="false">IF(A1338="","",IF(ISNA(MATCH(B1338,'Kitting Plan'!$B$6:$B$19,0)),"Not in plan","Yes"))</f>
        <v/>
      </c>
      <c r="H1338" s="41" t="str">
        <f aca="false">IF(G1338="Yes",INDEX('Kitting Plan'!$D$6:$D$19,MATCH(B1338,'Kitting Plan'!$B$6:$B$19,0)),"")</f>
        <v/>
      </c>
      <c r="I1338" s="41" t="str">
        <f aca="false">IF(A1338="","",IF(ISNUMBER(SEARCH("PRT",E1338)),D1338,0))</f>
        <v/>
      </c>
      <c r="J1338" s="41" t="str">
        <f aca="false">IF(A1338="","",IF(ISNUMBER(SEARCH("GMPS",E1338)),D1338,0))</f>
        <v/>
      </c>
      <c r="K1338" s="41" t="str">
        <f aca="false">IF(A1338="","",IF(ISNUMBER(SEARCH("DLV",E1338)),D1338,0))</f>
        <v/>
      </c>
      <c r="L1338" s="41" t="str">
        <f aca="false">IF(A1338="","",IF(K1338&gt;0,"Delivered",IF(ISNUMBER(SEARCH("CNF",E1338)),"In production",IF(J1338&gt;0,"Issued",IF(I1338&gt;0,"Kitted","Released")))))</f>
        <v/>
      </c>
      <c r="M1338" s="41" t="str">
        <f aca="false">IF(G1338&lt;&gt;"Yes","",COUNTIFS($B$6:$B$1505,B1338,$F$6:$F$1505,"&lt;"&amp;F1338)+COUNTIFS($B$6:$B$1505,B1338,$F$6:$F$1505,F1338,$A$6:$A$1505,"&lt;="&amp;A1338))</f>
        <v/>
      </c>
      <c r="N1338" s="41" t="str">
        <f aca="false">IF(M1338="","",ROUNDUP(M1338/H1338,0))</f>
        <v/>
      </c>
      <c r="O1338" s="41" t="str">
        <f aca="false">IF(N1338="","",IF(N1338&lt;='Kitting Plan'!$C$3,"Rep "&amp;N1338,"Surplus"))</f>
        <v/>
      </c>
    </row>
    <row r="1339" customFormat="false" ht="15" hidden="false" customHeight="false" outlineLevel="0" collapsed="false">
      <c r="A1339" s="40" t="str">
        <f aca="false">IF(OR($A$4=0,INDEX('COOIS Raw'!$A:$GZ,ROW()-4,$A$4)=""),"",IFERROR(--INDEX('COOIS Raw'!$A:$GZ,ROW()-4,$A$4),INDEX('COOIS Raw'!$A:$GZ,ROW()-4,$A$4)))</f>
        <v/>
      </c>
      <c r="B1339" s="41" t="str">
        <f aca="false">IF(A1339="","",TRIM(INDEX('COOIS Raw'!$A:$GZ,ROW()-4,$B$4)))</f>
        <v/>
      </c>
      <c r="C1339" s="42" t="str">
        <f aca="false">IF(OR(A1339="",$C$4=0),"",INDEX('COOIS Raw'!$A:$GZ,ROW()-4,$C$4))</f>
        <v/>
      </c>
      <c r="D1339" s="41" t="str">
        <f aca="false">IF(A1339="","",IF($D$4=0,1,IFERROR(--INDEX('COOIS Raw'!$A:$GZ,ROW()-4,$D$4),1)))</f>
        <v/>
      </c>
      <c r="E1339" s="42" t="str">
        <f aca="false">IF(A1339="","",INDEX('COOIS Raw'!$A:$GZ,ROW()-4,$E$4)&amp;"")</f>
        <v/>
      </c>
      <c r="F1339" s="43" t="str">
        <f aca="false">IF(A1339="","",IFERROR(DATEVALUE(INDEX('COOIS Raw'!$A:$GZ,ROW()-4,$F$4)),INDEX('COOIS Raw'!$A:$GZ,ROW()-4,$F$4)))</f>
        <v/>
      </c>
      <c r="G1339" s="41" t="str">
        <f aca="false">IF(A1339="","",IF(ISNA(MATCH(B1339,'Kitting Plan'!$B$6:$B$19,0)),"Not in plan","Yes"))</f>
        <v/>
      </c>
      <c r="H1339" s="41" t="str">
        <f aca="false">IF(G1339="Yes",INDEX('Kitting Plan'!$D$6:$D$19,MATCH(B1339,'Kitting Plan'!$B$6:$B$19,0)),"")</f>
        <v/>
      </c>
      <c r="I1339" s="41" t="str">
        <f aca="false">IF(A1339="","",IF(ISNUMBER(SEARCH("PRT",E1339)),D1339,0))</f>
        <v/>
      </c>
      <c r="J1339" s="41" t="str">
        <f aca="false">IF(A1339="","",IF(ISNUMBER(SEARCH("GMPS",E1339)),D1339,0))</f>
        <v/>
      </c>
      <c r="K1339" s="41" t="str">
        <f aca="false">IF(A1339="","",IF(ISNUMBER(SEARCH("DLV",E1339)),D1339,0))</f>
        <v/>
      </c>
      <c r="L1339" s="41" t="str">
        <f aca="false">IF(A1339="","",IF(K1339&gt;0,"Delivered",IF(ISNUMBER(SEARCH("CNF",E1339)),"In production",IF(J1339&gt;0,"Issued",IF(I1339&gt;0,"Kitted","Released")))))</f>
        <v/>
      </c>
      <c r="M1339" s="41" t="str">
        <f aca="false">IF(G1339&lt;&gt;"Yes","",COUNTIFS($B$6:$B$1505,B1339,$F$6:$F$1505,"&lt;"&amp;F1339)+COUNTIFS($B$6:$B$1505,B1339,$F$6:$F$1505,F1339,$A$6:$A$1505,"&lt;="&amp;A1339))</f>
        <v/>
      </c>
      <c r="N1339" s="41" t="str">
        <f aca="false">IF(M1339="","",ROUNDUP(M1339/H1339,0))</f>
        <v/>
      </c>
      <c r="O1339" s="41" t="str">
        <f aca="false">IF(N1339="","",IF(N1339&lt;='Kitting Plan'!$C$3,"Rep "&amp;N1339,"Surplus"))</f>
        <v/>
      </c>
    </row>
    <row r="1340" customFormat="false" ht="15" hidden="false" customHeight="false" outlineLevel="0" collapsed="false">
      <c r="A1340" s="40" t="str">
        <f aca="false">IF(OR($A$4=0,INDEX('COOIS Raw'!$A:$GZ,ROW()-4,$A$4)=""),"",IFERROR(--INDEX('COOIS Raw'!$A:$GZ,ROW()-4,$A$4),INDEX('COOIS Raw'!$A:$GZ,ROW()-4,$A$4)))</f>
        <v/>
      </c>
      <c r="B1340" s="41" t="str">
        <f aca="false">IF(A1340="","",TRIM(INDEX('COOIS Raw'!$A:$GZ,ROW()-4,$B$4)))</f>
        <v/>
      </c>
      <c r="C1340" s="42" t="str">
        <f aca="false">IF(OR(A1340="",$C$4=0),"",INDEX('COOIS Raw'!$A:$GZ,ROW()-4,$C$4))</f>
        <v/>
      </c>
      <c r="D1340" s="41" t="str">
        <f aca="false">IF(A1340="","",IF($D$4=0,1,IFERROR(--INDEX('COOIS Raw'!$A:$GZ,ROW()-4,$D$4),1)))</f>
        <v/>
      </c>
      <c r="E1340" s="42" t="str">
        <f aca="false">IF(A1340="","",INDEX('COOIS Raw'!$A:$GZ,ROW()-4,$E$4)&amp;"")</f>
        <v/>
      </c>
      <c r="F1340" s="43" t="str">
        <f aca="false">IF(A1340="","",IFERROR(DATEVALUE(INDEX('COOIS Raw'!$A:$GZ,ROW()-4,$F$4)),INDEX('COOIS Raw'!$A:$GZ,ROW()-4,$F$4)))</f>
        <v/>
      </c>
      <c r="G1340" s="41" t="str">
        <f aca="false">IF(A1340="","",IF(ISNA(MATCH(B1340,'Kitting Plan'!$B$6:$B$19,0)),"Not in plan","Yes"))</f>
        <v/>
      </c>
      <c r="H1340" s="41" t="str">
        <f aca="false">IF(G1340="Yes",INDEX('Kitting Plan'!$D$6:$D$19,MATCH(B1340,'Kitting Plan'!$B$6:$B$19,0)),"")</f>
        <v/>
      </c>
      <c r="I1340" s="41" t="str">
        <f aca="false">IF(A1340="","",IF(ISNUMBER(SEARCH("PRT",E1340)),D1340,0))</f>
        <v/>
      </c>
      <c r="J1340" s="41" t="str">
        <f aca="false">IF(A1340="","",IF(ISNUMBER(SEARCH("GMPS",E1340)),D1340,0))</f>
        <v/>
      </c>
      <c r="K1340" s="41" t="str">
        <f aca="false">IF(A1340="","",IF(ISNUMBER(SEARCH("DLV",E1340)),D1340,0))</f>
        <v/>
      </c>
      <c r="L1340" s="41" t="str">
        <f aca="false">IF(A1340="","",IF(K1340&gt;0,"Delivered",IF(ISNUMBER(SEARCH("CNF",E1340)),"In production",IF(J1340&gt;0,"Issued",IF(I1340&gt;0,"Kitted","Released")))))</f>
        <v/>
      </c>
      <c r="M1340" s="41" t="str">
        <f aca="false">IF(G1340&lt;&gt;"Yes","",COUNTIFS($B$6:$B$1505,B1340,$F$6:$F$1505,"&lt;"&amp;F1340)+COUNTIFS($B$6:$B$1505,B1340,$F$6:$F$1505,F1340,$A$6:$A$1505,"&lt;="&amp;A1340))</f>
        <v/>
      </c>
      <c r="N1340" s="41" t="str">
        <f aca="false">IF(M1340="","",ROUNDUP(M1340/H1340,0))</f>
        <v/>
      </c>
      <c r="O1340" s="41" t="str">
        <f aca="false">IF(N1340="","",IF(N1340&lt;='Kitting Plan'!$C$3,"Rep "&amp;N1340,"Surplus"))</f>
        <v/>
      </c>
    </row>
    <row r="1341" customFormat="false" ht="15" hidden="false" customHeight="false" outlineLevel="0" collapsed="false">
      <c r="A1341" s="40" t="str">
        <f aca="false">IF(OR($A$4=0,INDEX('COOIS Raw'!$A:$GZ,ROW()-4,$A$4)=""),"",IFERROR(--INDEX('COOIS Raw'!$A:$GZ,ROW()-4,$A$4),INDEX('COOIS Raw'!$A:$GZ,ROW()-4,$A$4)))</f>
        <v/>
      </c>
      <c r="B1341" s="41" t="str">
        <f aca="false">IF(A1341="","",TRIM(INDEX('COOIS Raw'!$A:$GZ,ROW()-4,$B$4)))</f>
        <v/>
      </c>
      <c r="C1341" s="42" t="str">
        <f aca="false">IF(OR(A1341="",$C$4=0),"",INDEX('COOIS Raw'!$A:$GZ,ROW()-4,$C$4))</f>
        <v/>
      </c>
      <c r="D1341" s="41" t="str">
        <f aca="false">IF(A1341="","",IF($D$4=0,1,IFERROR(--INDEX('COOIS Raw'!$A:$GZ,ROW()-4,$D$4),1)))</f>
        <v/>
      </c>
      <c r="E1341" s="42" t="str">
        <f aca="false">IF(A1341="","",INDEX('COOIS Raw'!$A:$GZ,ROW()-4,$E$4)&amp;"")</f>
        <v/>
      </c>
      <c r="F1341" s="43" t="str">
        <f aca="false">IF(A1341="","",IFERROR(DATEVALUE(INDEX('COOIS Raw'!$A:$GZ,ROW()-4,$F$4)),INDEX('COOIS Raw'!$A:$GZ,ROW()-4,$F$4)))</f>
        <v/>
      </c>
      <c r="G1341" s="41" t="str">
        <f aca="false">IF(A1341="","",IF(ISNA(MATCH(B1341,'Kitting Plan'!$B$6:$B$19,0)),"Not in plan","Yes"))</f>
        <v/>
      </c>
      <c r="H1341" s="41" t="str">
        <f aca="false">IF(G1341="Yes",INDEX('Kitting Plan'!$D$6:$D$19,MATCH(B1341,'Kitting Plan'!$B$6:$B$19,0)),"")</f>
        <v/>
      </c>
      <c r="I1341" s="41" t="str">
        <f aca="false">IF(A1341="","",IF(ISNUMBER(SEARCH("PRT",E1341)),D1341,0))</f>
        <v/>
      </c>
      <c r="J1341" s="41" t="str">
        <f aca="false">IF(A1341="","",IF(ISNUMBER(SEARCH("GMPS",E1341)),D1341,0))</f>
        <v/>
      </c>
      <c r="K1341" s="41" t="str">
        <f aca="false">IF(A1341="","",IF(ISNUMBER(SEARCH("DLV",E1341)),D1341,0))</f>
        <v/>
      </c>
      <c r="L1341" s="41" t="str">
        <f aca="false">IF(A1341="","",IF(K1341&gt;0,"Delivered",IF(ISNUMBER(SEARCH("CNF",E1341)),"In production",IF(J1341&gt;0,"Issued",IF(I1341&gt;0,"Kitted","Released")))))</f>
        <v/>
      </c>
      <c r="M1341" s="41" t="str">
        <f aca="false">IF(G1341&lt;&gt;"Yes","",COUNTIFS($B$6:$B$1505,B1341,$F$6:$F$1505,"&lt;"&amp;F1341)+COUNTIFS($B$6:$B$1505,B1341,$F$6:$F$1505,F1341,$A$6:$A$1505,"&lt;="&amp;A1341))</f>
        <v/>
      </c>
      <c r="N1341" s="41" t="str">
        <f aca="false">IF(M1341="","",ROUNDUP(M1341/H1341,0))</f>
        <v/>
      </c>
      <c r="O1341" s="41" t="str">
        <f aca="false">IF(N1341="","",IF(N1341&lt;='Kitting Plan'!$C$3,"Rep "&amp;N1341,"Surplus"))</f>
        <v/>
      </c>
    </row>
    <row r="1342" customFormat="false" ht="15" hidden="false" customHeight="false" outlineLevel="0" collapsed="false">
      <c r="A1342" s="40" t="str">
        <f aca="false">IF(OR($A$4=0,INDEX('COOIS Raw'!$A:$GZ,ROW()-4,$A$4)=""),"",IFERROR(--INDEX('COOIS Raw'!$A:$GZ,ROW()-4,$A$4),INDEX('COOIS Raw'!$A:$GZ,ROW()-4,$A$4)))</f>
        <v/>
      </c>
      <c r="B1342" s="41" t="str">
        <f aca="false">IF(A1342="","",TRIM(INDEX('COOIS Raw'!$A:$GZ,ROW()-4,$B$4)))</f>
        <v/>
      </c>
      <c r="C1342" s="42" t="str">
        <f aca="false">IF(OR(A1342="",$C$4=0),"",INDEX('COOIS Raw'!$A:$GZ,ROW()-4,$C$4))</f>
        <v/>
      </c>
      <c r="D1342" s="41" t="str">
        <f aca="false">IF(A1342="","",IF($D$4=0,1,IFERROR(--INDEX('COOIS Raw'!$A:$GZ,ROW()-4,$D$4),1)))</f>
        <v/>
      </c>
      <c r="E1342" s="42" t="str">
        <f aca="false">IF(A1342="","",INDEX('COOIS Raw'!$A:$GZ,ROW()-4,$E$4)&amp;"")</f>
        <v/>
      </c>
      <c r="F1342" s="43" t="str">
        <f aca="false">IF(A1342="","",IFERROR(DATEVALUE(INDEX('COOIS Raw'!$A:$GZ,ROW()-4,$F$4)),INDEX('COOIS Raw'!$A:$GZ,ROW()-4,$F$4)))</f>
        <v/>
      </c>
      <c r="G1342" s="41" t="str">
        <f aca="false">IF(A1342="","",IF(ISNA(MATCH(B1342,'Kitting Plan'!$B$6:$B$19,0)),"Not in plan","Yes"))</f>
        <v/>
      </c>
      <c r="H1342" s="41" t="str">
        <f aca="false">IF(G1342="Yes",INDEX('Kitting Plan'!$D$6:$D$19,MATCH(B1342,'Kitting Plan'!$B$6:$B$19,0)),"")</f>
        <v/>
      </c>
      <c r="I1342" s="41" t="str">
        <f aca="false">IF(A1342="","",IF(ISNUMBER(SEARCH("PRT",E1342)),D1342,0))</f>
        <v/>
      </c>
      <c r="J1342" s="41" t="str">
        <f aca="false">IF(A1342="","",IF(ISNUMBER(SEARCH("GMPS",E1342)),D1342,0))</f>
        <v/>
      </c>
      <c r="K1342" s="41" t="str">
        <f aca="false">IF(A1342="","",IF(ISNUMBER(SEARCH("DLV",E1342)),D1342,0))</f>
        <v/>
      </c>
      <c r="L1342" s="41" t="str">
        <f aca="false">IF(A1342="","",IF(K1342&gt;0,"Delivered",IF(ISNUMBER(SEARCH("CNF",E1342)),"In production",IF(J1342&gt;0,"Issued",IF(I1342&gt;0,"Kitted","Released")))))</f>
        <v/>
      </c>
      <c r="M1342" s="41" t="str">
        <f aca="false">IF(G1342&lt;&gt;"Yes","",COUNTIFS($B$6:$B$1505,B1342,$F$6:$F$1505,"&lt;"&amp;F1342)+COUNTIFS($B$6:$B$1505,B1342,$F$6:$F$1505,F1342,$A$6:$A$1505,"&lt;="&amp;A1342))</f>
        <v/>
      </c>
      <c r="N1342" s="41" t="str">
        <f aca="false">IF(M1342="","",ROUNDUP(M1342/H1342,0))</f>
        <v/>
      </c>
      <c r="O1342" s="41" t="str">
        <f aca="false">IF(N1342="","",IF(N1342&lt;='Kitting Plan'!$C$3,"Rep "&amp;N1342,"Surplus"))</f>
        <v/>
      </c>
    </row>
    <row r="1343" customFormat="false" ht="15" hidden="false" customHeight="false" outlineLevel="0" collapsed="false">
      <c r="A1343" s="40" t="str">
        <f aca="false">IF(OR($A$4=0,INDEX('COOIS Raw'!$A:$GZ,ROW()-4,$A$4)=""),"",IFERROR(--INDEX('COOIS Raw'!$A:$GZ,ROW()-4,$A$4),INDEX('COOIS Raw'!$A:$GZ,ROW()-4,$A$4)))</f>
        <v/>
      </c>
      <c r="B1343" s="41" t="str">
        <f aca="false">IF(A1343="","",TRIM(INDEX('COOIS Raw'!$A:$GZ,ROW()-4,$B$4)))</f>
        <v/>
      </c>
      <c r="C1343" s="42" t="str">
        <f aca="false">IF(OR(A1343="",$C$4=0),"",INDEX('COOIS Raw'!$A:$GZ,ROW()-4,$C$4))</f>
        <v/>
      </c>
      <c r="D1343" s="41" t="str">
        <f aca="false">IF(A1343="","",IF($D$4=0,1,IFERROR(--INDEX('COOIS Raw'!$A:$GZ,ROW()-4,$D$4),1)))</f>
        <v/>
      </c>
      <c r="E1343" s="42" t="str">
        <f aca="false">IF(A1343="","",INDEX('COOIS Raw'!$A:$GZ,ROW()-4,$E$4)&amp;"")</f>
        <v/>
      </c>
      <c r="F1343" s="43" t="str">
        <f aca="false">IF(A1343="","",IFERROR(DATEVALUE(INDEX('COOIS Raw'!$A:$GZ,ROW()-4,$F$4)),INDEX('COOIS Raw'!$A:$GZ,ROW()-4,$F$4)))</f>
        <v/>
      </c>
      <c r="G1343" s="41" t="str">
        <f aca="false">IF(A1343="","",IF(ISNA(MATCH(B1343,'Kitting Plan'!$B$6:$B$19,0)),"Not in plan","Yes"))</f>
        <v/>
      </c>
      <c r="H1343" s="41" t="str">
        <f aca="false">IF(G1343="Yes",INDEX('Kitting Plan'!$D$6:$D$19,MATCH(B1343,'Kitting Plan'!$B$6:$B$19,0)),"")</f>
        <v/>
      </c>
      <c r="I1343" s="41" t="str">
        <f aca="false">IF(A1343="","",IF(ISNUMBER(SEARCH("PRT",E1343)),D1343,0))</f>
        <v/>
      </c>
      <c r="J1343" s="41" t="str">
        <f aca="false">IF(A1343="","",IF(ISNUMBER(SEARCH("GMPS",E1343)),D1343,0))</f>
        <v/>
      </c>
      <c r="K1343" s="41" t="str">
        <f aca="false">IF(A1343="","",IF(ISNUMBER(SEARCH("DLV",E1343)),D1343,0))</f>
        <v/>
      </c>
      <c r="L1343" s="41" t="str">
        <f aca="false">IF(A1343="","",IF(K1343&gt;0,"Delivered",IF(ISNUMBER(SEARCH("CNF",E1343)),"In production",IF(J1343&gt;0,"Issued",IF(I1343&gt;0,"Kitted","Released")))))</f>
        <v/>
      </c>
      <c r="M1343" s="41" t="str">
        <f aca="false">IF(G1343&lt;&gt;"Yes","",COUNTIFS($B$6:$B$1505,B1343,$F$6:$F$1505,"&lt;"&amp;F1343)+COUNTIFS($B$6:$B$1505,B1343,$F$6:$F$1505,F1343,$A$6:$A$1505,"&lt;="&amp;A1343))</f>
        <v/>
      </c>
      <c r="N1343" s="41" t="str">
        <f aca="false">IF(M1343="","",ROUNDUP(M1343/H1343,0))</f>
        <v/>
      </c>
      <c r="O1343" s="41" t="str">
        <f aca="false">IF(N1343="","",IF(N1343&lt;='Kitting Plan'!$C$3,"Rep "&amp;N1343,"Surplus"))</f>
        <v/>
      </c>
    </row>
    <row r="1344" customFormat="false" ht="15" hidden="false" customHeight="false" outlineLevel="0" collapsed="false">
      <c r="A1344" s="40" t="str">
        <f aca="false">IF(OR($A$4=0,INDEX('COOIS Raw'!$A:$GZ,ROW()-4,$A$4)=""),"",IFERROR(--INDEX('COOIS Raw'!$A:$GZ,ROW()-4,$A$4),INDEX('COOIS Raw'!$A:$GZ,ROW()-4,$A$4)))</f>
        <v/>
      </c>
      <c r="B1344" s="41" t="str">
        <f aca="false">IF(A1344="","",TRIM(INDEX('COOIS Raw'!$A:$GZ,ROW()-4,$B$4)))</f>
        <v/>
      </c>
      <c r="C1344" s="42" t="str">
        <f aca="false">IF(OR(A1344="",$C$4=0),"",INDEX('COOIS Raw'!$A:$GZ,ROW()-4,$C$4))</f>
        <v/>
      </c>
      <c r="D1344" s="41" t="str">
        <f aca="false">IF(A1344="","",IF($D$4=0,1,IFERROR(--INDEX('COOIS Raw'!$A:$GZ,ROW()-4,$D$4),1)))</f>
        <v/>
      </c>
      <c r="E1344" s="42" t="str">
        <f aca="false">IF(A1344="","",INDEX('COOIS Raw'!$A:$GZ,ROW()-4,$E$4)&amp;"")</f>
        <v/>
      </c>
      <c r="F1344" s="43" t="str">
        <f aca="false">IF(A1344="","",IFERROR(DATEVALUE(INDEX('COOIS Raw'!$A:$GZ,ROW()-4,$F$4)),INDEX('COOIS Raw'!$A:$GZ,ROW()-4,$F$4)))</f>
        <v/>
      </c>
      <c r="G1344" s="41" t="str">
        <f aca="false">IF(A1344="","",IF(ISNA(MATCH(B1344,'Kitting Plan'!$B$6:$B$19,0)),"Not in plan","Yes"))</f>
        <v/>
      </c>
      <c r="H1344" s="41" t="str">
        <f aca="false">IF(G1344="Yes",INDEX('Kitting Plan'!$D$6:$D$19,MATCH(B1344,'Kitting Plan'!$B$6:$B$19,0)),"")</f>
        <v/>
      </c>
      <c r="I1344" s="41" t="str">
        <f aca="false">IF(A1344="","",IF(ISNUMBER(SEARCH("PRT",E1344)),D1344,0))</f>
        <v/>
      </c>
      <c r="J1344" s="41" t="str">
        <f aca="false">IF(A1344="","",IF(ISNUMBER(SEARCH("GMPS",E1344)),D1344,0))</f>
        <v/>
      </c>
      <c r="K1344" s="41" t="str">
        <f aca="false">IF(A1344="","",IF(ISNUMBER(SEARCH("DLV",E1344)),D1344,0))</f>
        <v/>
      </c>
      <c r="L1344" s="41" t="str">
        <f aca="false">IF(A1344="","",IF(K1344&gt;0,"Delivered",IF(ISNUMBER(SEARCH("CNF",E1344)),"In production",IF(J1344&gt;0,"Issued",IF(I1344&gt;0,"Kitted","Released")))))</f>
        <v/>
      </c>
      <c r="M1344" s="41" t="str">
        <f aca="false">IF(G1344&lt;&gt;"Yes","",COUNTIFS($B$6:$B$1505,B1344,$F$6:$F$1505,"&lt;"&amp;F1344)+COUNTIFS($B$6:$B$1505,B1344,$F$6:$F$1505,F1344,$A$6:$A$1505,"&lt;="&amp;A1344))</f>
        <v/>
      </c>
      <c r="N1344" s="41" t="str">
        <f aca="false">IF(M1344="","",ROUNDUP(M1344/H1344,0))</f>
        <v/>
      </c>
      <c r="O1344" s="41" t="str">
        <f aca="false">IF(N1344="","",IF(N1344&lt;='Kitting Plan'!$C$3,"Rep "&amp;N1344,"Surplus"))</f>
        <v/>
      </c>
    </row>
    <row r="1345" customFormat="false" ht="15" hidden="false" customHeight="false" outlineLevel="0" collapsed="false">
      <c r="A1345" s="40" t="str">
        <f aca="false">IF(OR($A$4=0,INDEX('COOIS Raw'!$A:$GZ,ROW()-4,$A$4)=""),"",IFERROR(--INDEX('COOIS Raw'!$A:$GZ,ROW()-4,$A$4),INDEX('COOIS Raw'!$A:$GZ,ROW()-4,$A$4)))</f>
        <v/>
      </c>
      <c r="B1345" s="41" t="str">
        <f aca="false">IF(A1345="","",TRIM(INDEX('COOIS Raw'!$A:$GZ,ROW()-4,$B$4)))</f>
        <v/>
      </c>
      <c r="C1345" s="42" t="str">
        <f aca="false">IF(OR(A1345="",$C$4=0),"",INDEX('COOIS Raw'!$A:$GZ,ROW()-4,$C$4))</f>
        <v/>
      </c>
      <c r="D1345" s="41" t="str">
        <f aca="false">IF(A1345="","",IF($D$4=0,1,IFERROR(--INDEX('COOIS Raw'!$A:$GZ,ROW()-4,$D$4),1)))</f>
        <v/>
      </c>
      <c r="E1345" s="42" t="str">
        <f aca="false">IF(A1345="","",INDEX('COOIS Raw'!$A:$GZ,ROW()-4,$E$4)&amp;"")</f>
        <v/>
      </c>
      <c r="F1345" s="43" t="str">
        <f aca="false">IF(A1345="","",IFERROR(DATEVALUE(INDEX('COOIS Raw'!$A:$GZ,ROW()-4,$F$4)),INDEX('COOIS Raw'!$A:$GZ,ROW()-4,$F$4)))</f>
        <v/>
      </c>
      <c r="G1345" s="41" t="str">
        <f aca="false">IF(A1345="","",IF(ISNA(MATCH(B1345,'Kitting Plan'!$B$6:$B$19,0)),"Not in plan","Yes"))</f>
        <v/>
      </c>
      <c r="H1345" s="41" t="str">
        <f aca="false">IF(G1345="Yes",INDEX('Kitting Plan'!$D$6:$D$19,MATCH(B1345,'Kitting Plan'!$B$6:$B$19,0)),"")</f>
        <v/>
      </c>
      <c r="I1345" s="41" t="str">
        <f aca="false">IF(A1345="","",IF(ISNUMBER(SEARCH("PRT",E1345)),D1345,0))</f>
        <v/>
      </c>
      <c r="J1345" s="41" t="str">
        <f aca="false">IF(A1345="","",IF(ISNUMBER(SEARCH("GMPS",E1345)),D1345,0))</f>
        <v/>
      </c>
      <c r="K1345" s="41" t="str">
        <f aca="false">IF(A1345="","",IF(ISNUMBER(SEARCH("DLV",E1345)),D1345,0))</f>
        <v/>
      </c>
      <c r="L1345" s="41" t="str">
        <f aca="false">IF(A1345="","",IF(K1345&gt;0,"Delivered",IF(ISNUMBER(SEARCH("CNF",E1345)),"In production",IF(J1345&gt;0,"Issued",IF(I1345&gt;0,"Kitted","Released")))))</f>
        <v/>
      </c>
      <c r="M1345" s="41" t="str">
        <f aca="false">IF(G1345&lt;&gt;"Yes","",COUNTIFS($B$6:$B$1505,B1345,$F$6:$F$1505,"&lt;"&amp;F1345)+COUNTIFS($B$6:$B$1505,B1345,$F$6:$F$1505,F1345,$A$6:$A$1505,"&lt;="&amp;A1345))</f>
        <v/>
      </c>
      <c r="N1345" s="41" t="str">
        <f aca="false">IF(M1345="","",ROUNDUP(M1345/H1345,0))</f>
        <v/>
      </c>
      <c r="O1345" s="41" t="str">
        <f aca="false">IF(N1345="","",IF(N1345&lt;='Kitting Plan'!$C$3,"Rep "&amp;N1345,"Surplus"))</f>
        <v/>
      </c>
    </row>
    <row r="1346" customFormat="false" ht="15" hidden="false" customHeight="false" outlineLevel="0" collapsed="false">
      <c r="A1346" s="40" t="str">
        <f aca="false">IF(OR($A$4=0,INDEX('COOIS Raw'!$A:$GZ,ROW()-4,$A$4)=""),"",IFERROR(--INDEX('COOIS Raw'!$A:$GZ,ROW()-4,$A$4),INDEX('COOIS Raw'!$A:$GZ,ROW()-4,$A$4)))</f>
        <v/>
      </c>
      <c r="B1346" s="41" t="str">
        <f aca="false">IF(A1346="","",TRIM(INDEX('COOIS Raw'!$A:$GZ,ROW()-4,$B$4)))</f>
        <v/>
      </c>
      <c r="C1346" s="42" t="str">
        <f aca="false">IF(OR(A1346="",$C$4=0),"",INDEX('COOIS Raw'!$A:$GZ,ROW()-4,$C$4))</f>
        <v/>
      </c>
      <c r="D1346" s="41" t="str">
        <f aca="false">IF(A1346="","",IF($D$4=0,1,IFERROR(--INDEX('COOIS Raw'!$A:$GZ,ROW()-4,$D$4),1)))</f>
        <v/>
      </c>
      <c r="E1346" s="42" t="str">
        <f aca="false">IF(A1346="","",INDEX('COOIS Raw'!$A:$GZ,ROW()-4,$E$4)&amp;"")</f>
        <v/>
      </c>
      <c r="F1346" s="43" t="str">
        <f aca="false">IF(A1346="","",IFERROR(DATEVALUE(INDEX('COOIS Raw'!$A:$GZ,ROW()-4,$F$4)),INDEX('COOIS Raw'!$A:$GZ,ROW()-4,$F$4)))</f>
        <v/>
      </c>
      <c r="G1346" s="41" t="str">
        <f aca="false">IF(A1346="","",IF(ISNA(MATCH(B1346,'Kitting Plan'!$B$6:$B$19,0)),"Not in plan","Yes"))</f>
        <v/>
      </c>
      <c r="H1346" s="41" t="str">
        <f aca="false">IF(G1346="Yes",INDEX('Kitting Plan'!$D$6:$D$19,MATCH(B1346,'Kitting Plan'!$B$6:$B$19,0)),"")</f>
        <v/>
      </c>
      <c r="I1346" s="41" t="str">
        <f aca="false">IF(A1346="","",IF(ISNUMBER(SEARCH("PRT",E1346)),D1346,0))</f>
        <v/>
      </c>
      <c r="J1346" s="41" t="str">
        <f aca="false">IF(A1346="","",IF(ISNUMBER(SEARCH("GMPS",E1346)),D1346,0))</f>
        <v/>
      </c>
      <c r="K1346" s="41" t="str">
        <f aca="false">IF(A1346="","",IF(ISNUMBER(SEARCH("DLV",E1346)),D1346,0))</f>
        <v/>
      </c>
      <c r="L1346" s="41" t="str">
        <f aca="false">IF(A1346="","",IF(K1346&gt;0,"Delivered",IF(ISNUMBER(SEARCH("CNF",E1346)),"In production",IF(J1346&gt;0,"Issued",IF(I1346&gt;0,"Kitted","Released")))))</f>
        <v/>
      </c>
      <c r="M1346" s="41" t="str">
        <f aca="false">IF(G1346&lt;&gt;"Yes","",COUNTIFS($B$6:$B$1505,B1346,$F$6:$F$1505,"&lt;"&amp;F1346)+COUNTIFS($B$6:$B$1505,B1346,$F$6:$F$1505,F1346,$A$6:$A$1505,"&lt;="&amp;A1346))</f>
        <v/>
      </c>
      <c r="N1346" s="41" t="str">
        <f aca="false">IF(M1346="","",ROUNDUP(M1346/H1346,0))</f>
        <v/>
      </c>
      <c r="O1346" s="41" t="str">
        <f aca="false">IF(N1346="","",IF(N1346&lt;='Kitting Plan'!$C$3,"Rep "&amp;N1346,"Surplus"))</f>
        <v/>
      </c>
    </row>
    <row r="1347" customFormat="false" ht="15" hidden="false" customHeight="false" outlineLevel="0" collapsed="false">
      <c r="A1347" s="40" t="str">
        <f aca="false">IF(OR($A$4=0,INDEX('COOIS Raw'!$A:$GZ,ROW()-4,$A$4)=""),"",IFERROR(--INDEX('COOIS Raw'!$A:$GZ,ROW()-4,$A$4),INDEX('COOIS Raw'!$A:$GZ,ROW()-4,$A$4)))</f>
        <v/>
      </c>
      <c r="B1347" s="41" t="str">
        <f aca="false">IF(A1347="","",TRIM(INDEX('COOIS Raw'!$A:$GZ,ROW()-4,$B$4)))</f>
        <v/>
      </c>
      <c r="C1347" s="42" t="str">
        <f aca="false">IF(OR(A1347="",$C$4=0),"",INDEX('COOIS Raw'!$A:$GZ,ROW()-4,$C$4))</f>
        <v/>
      </c>
      <c r="D1347" s="41" t="str">
        <f aca="false">IF(A1347="","",IF($D$4=0,1,IFERROR(--INDEX('COOIS Raw'!$A:$GZ,ROW()-4,$D$4),1)))</f>
        <v/>
      </c>
      <c r="E1347" s="42" t="str">
        <f aca="false">IF(A1347="","",INDEX('COOIS Raw'!$A:$GZ,ROW()-4,$E$4)&amp;"")</f>
        <v/>
      </c>
      <c r="F1347" s="43" t="str">
        <f aca="false">IF(A1347="","",IFERROR(DATEVALUE(INDEX('COOIS Raw'!$A:$GZ,ROW()-4,$F$4)),INDEX('COOIS Raw'!$A:$GZ,ROW()-4,$F$4)))</f>
        <v/>
      </c>
      <c r="G1347" s="41" t="str">
        <f aca="false">IF(A1347="","",IF(ISNA(MATCH(B1347,'Kitting Plan'!$B$6:$B$19,0)),"Not in plan","Yes"))</f>
        <v/>
      </c>
      <c r="H1347" s="41" t="str">
        <f aca="false">IF(G1347="Yes",INDEX('Kitting Plan'!$D$6:$D$19,MATCH(B1347,'Kitting Plan'!$B$6:$B$19,0)),"")</f>
        <v/>
      </c>
      <c r="I1347" s="41" t="str">
        <f aca="false">IF(A1347="","",IF(ISNUMBER(SEARCH("PRT",E1347)),D1347,0))</f>
        <v/>
      </c>
      <c r="J1347" s="41" t="str">
        <f aca="false">IF(A1347="","",IF(ISNUMBER(SEARCH("GMPS",E1347)),D1347,0))</f>
        <v/>
      </c>
      <c r="K1347" s="41" t="str">
        <f aca="false">IF(A1347="","",IF(ISNUMBER(SEARCH("DLV",E1347)),D1347,0))</f>
        <v/>
      </c>
      <c r="L1347" s="41" t="str">
        <f aca="false">IF(A1347="","",IF(K1347&gt;0,"Delivered",IF(ISNUMBER(SEARCH("CNF",E1347)),"In production",IF(J1347&gt;0,"Issued",IF(I1347&gt;0,"Kitted","Released")))))</f>
        <v/>
      </c>
      <c r="M1347" s="41" t="str">
        <f aca="false">IF(G1347&lt;&gt;"Yes","",COUNTIFS($B$6:$B$1505,B1347,$F$6:$F$1505,"&lt;"&amp;F1347)+COUNTIFS($B$6:$B$1505,B1347,$F$6:$F$1505,F1347,$A$6:$A$1505,"&lt;="&amp;A1347))</f>
        <v/>
      </c>
      <c r="N1347" s="41" t="str">
        <f aca="false">IF(M1347="","",ROUNDUP(M1347/H1347,0))</f>
        <v/>
      </c>
      <c r="O1347" s="41" t="str">
        <f aca="false">IF(N1347="","",IF(N1347&lt;='Kitting Plan'!$C$3,"Rep "&amp;N1347,"Surplus"))</f>
        <v/>
      </c>
    </row>
    <row r="1348" customFormat="false" ht="15" hidden="false" customHeight="false" outlineLevel="0" collapsed="false">
      <c r="A1348" s="40" t="str">
        <f aca="false">IF(OR($A$4=0,INDEX('COOIS Raw'!$A:$GZ,ROW()-4,$A$4)=""),"",IFERROR(--INDEX('COOIS Raw'!$A:$GZ,ROW()-4,$A$4),INDEX('COOIS Raw'!$A:$GZ,ROW()-4,$A$4)))</f>
        <v/>
      </c>
      <c r="B1348" s="41" t="str">
        <f aca="false">IF(A1348="","",TRIM(INDEX('COOIS Raw'!$A:$GZ,ROW()-4,$B$4)))</f>
        <v/>
      </c>
      <c r="C1348" s="42" t="str">
        <f aca="false">IF(OR(A1348="",$C$4=0),"",INDEX('COOIS Raw'!$A:$GZ,ROW()-4,$C$4))</f>
        <v/>
      </c>
      <c r="D1348" s="41" t="str">
        <f aca="false">IF(A1348="","",IF($D$4=0,1,IFERROR(--INDEX('COOIS Raw'!$A:$GZ,ROW()-4,$D$4),1)))</f>
        <v/>
      </c>
      <c r="E1348" s="42" t="str">
        <f aca="false">IF(A1348="","",INDEX('COOIS Raw'!$A:$GZ,ROW()-4,$E$4)&amp;"")</f>
        <v/>
      </c>
      <c r="F1348" s="43" t="str">
        <f aca="false">IF(A1348="","",IFERROR(DATEVALUE(INDEX('COOIS Raw'!$A:$GZ,ROW()-4,$F$4)),INDEX('COOIS Raw'!$A:$GZ,ROW()-4,$F$4)))</f>
        <v/>
      </c>
      <c r="G1348" s="41" t="str">
        <f aca="false">IF(A1348="","",IF(ISNA(MATCH(B1348,'Kitting Plan'!$B$6:$B$19,0)),"Not in plan","Yes"))</f>
        <v/>
      </c>
      <c r="H1348" s="41" t="str">
        <f aca="false">IF(G1348="Yes",INDEX('Kitting Plan'!$D$6:$D$19,MATCH(B1348,'Kitting Plan'!$B$6:$B$19,0)),"")</f>
        <v/>
      </c>
      <c r="I1348" s="41" t="str">
        <f aca="false">IF(A1348="","",IF(ISNUMBER(SEARCH("PRT",E1348)),D1348,0))</f>
        <v/>
      </c>
      <c r="J1348" s="41" t="str">
        <f aca="false">IF(A1348="","",IF(ISNUMBER(SEARCH("GMPS",E1348)),D1348,0))</f>
        <v/>
      </c>
      <c r="K1348" s="41" t="str">
        <f aca="false">IF(A1348="","",IF(ISNUMBER(SEARCH("DLV",E1348)),D1348,0))</f>
        <v/>
      </c>
      <c r="L1348" s="41" t="str">
        <f aca="false">IF(A1348="","",IF(K1348&gt;0,"Delivered",IF(ISNUMBER(SEARCH("CNF",E1348)),"In production",IF(J1348&gt;0,"Issued",IF(I1348&gt;0,"Kitted","Released")))))</f>
        <v/>
      </c>
      <c r="M1348" s="41" t="str">
        <f aca="false">IF(G1348&lt;&gt;"Yes","",COUNTIFS($B$6:$B$1505,B1348,$F$6:$F$1505,"&lt;"&amp;F1348)+COUNTIFS($B$6:$B$1505,B1348,$F$6:$F$1505,F1348,$A$6:$A$1505,"&lt;="&amp;A1348))</f>
        <v/>
      </c>
      <c r="N1348" s="41" t="str">
        <f aca="false">IF(M1348="","",ROUNDUP(M1348/H1348,0))</f>
        <v/>
      </c>
      <c r="O1348" s="41" t="str">
        <f aca="false">IF(N1348="","",IF(N1348&lt;='Kitting Plan'!$C$3,"Rep "&amp;N1348,"Surplus"))</f>
        <v/>
      </c>
    </row>
    <row r="1349" customFormat="false" ht="15" hidden="false" customHeight="false" outlineLevel="0" collapsed="false">
      <c r="A1349" s="40" t="str">
        <f aca="false">IF(OR($A$4=0,INDEX('COOIS Raw'!$A:$GZ,ROW()-4,$A$4)=""),"",IFERROR(--INDEX('COOIS Raw'!$A:$GZ,ROW()-4,$A$4),INDEX('COOIS Raw'!$A:$GZ,ROW()-4,$A$4)))</f>
        <v/>
      </c>
      <c r="B1349" s="41" t="str">
        <f aca="false">IF(A1349="","",TRIM(INDEX('COOIS Raw'!$A:$GZ,ROW()-4,$B$4)))</f>
        <v/>
      </c>
      <c r="C1349" s="42" t="str">
        <f aca="false">IF(OR(A1349="",$C$4=0),"",INDEX('COOIS Raw'!$A:$GZ,ROW()-4,$C$4))</f>
        <v/>
      </c>
      <c r="D1349" s="41" t="str">
        <f aca="false">IF(A1349="","",IF($D$4=0,1,IFERROR(--INDEX('COOIS Raw'!$A:$GZ,ROW()-4,$D$4),1)))</f>
        <v/>
      </c>
      <c r="E1349" s="42" t="str">
        <f aca="false">IF(A1349="","",INDEX('COOIS Raw'!$A:$GZ,ROW()-4,$E$4)&amp;"")</f>
        <v/>
      </c>
      <c r="F1349" s="43" t="str">
        <f aca="false">IF(A1349="","",IFERROR(DATEVALUE(INDEX('COOIS Raw'!$A:$GZ,ROW()-4,$F$4)),INDEX('COOIS Raw'!$A:$GZ,ROW()-4,$F$4)))</f>
        <v/>
      </c>
      <c r="G1349" s="41" t="str">
        <f aca="false">IF(A1349="","",IF(ISNA(MATCH(B1349,'Kitting Plan'!$B$6:$B$19,0)),"Not in plan","Yes"))</f>
        <v/>
      </c>
      <c r="H1349" s="41" t="str">
        <f aca="false">IF(G1349="Yes",INDEX('Kitting Plan'!$D$6:$D$19,MATCH(B1349,'Kitting Plan'!$B$6:$B$19,0)),"")</f>
        <v/>
      </c>
      <c r="I1349" s="41" t="str">
        <f aca="false">IF(A1349="","",IF(ISNUMBER(SEARCH("PRT",E1349)),D1349,0))</f>
        <v/>
      </c>
      <c r="J1349" s="41" t="str">
        <f aca="false">IF(A1349="","",IF(ISNUMBER(SEARCH("GMPS",E1349)),D1349,0))</f>
        <v/>
      </c>
      <c r="K1349" s="41" t="str">
        <f aca="false">IF(A1349="","",IF(ISNUMBER(SEARCH("DLV",E1349)),D1349,0))</f>
        <v/>
      </c>
      <c r="L1349" s="41" t="str">
        <f aca="false">IF(A1349="","",IF(K1349&gt;0,"Delivered",IF(ISNUMBER(SEARCH("CNF",E1349)),"In production",IF(J1349&gt;0,"Issued",IF(I1349&gt;0,"Kitted","Released")))))</f>
        <v/>
      </c>
      <c r="M1349" s="41" t="str">
        <f aca="false">IF(G1349&lt;&gt;"Yes","",COUNTIFS($B$6:$B$1505,B1349,$F$6:$F$1505,"&lt;"&amp;F1349)+COUNTIFS($B$6:$B$1505,B1349,$F$6:$F$1505,F1349,$A$6:$A$1505,"&lt;="&amp;A1349))</f>
        <v/>
      </c>
      <c r="N1349" s="41" t="str">
        <f aca="false">IF(M1349="","",ROUNDUP(M1349/H1349,0))</f>
        <v/>
      </c>
      <c r="O1349" s="41" t="str">
        <f aca="false">IF(N1349="","",IF(N1349&lt;='Kitting Plan'!$C$3,"Rep "&amp;N1349,"Surplus"))</f>
        <v/>
      </c>
    </row>
    <row r="1350" customFormat="false" ht="15" hidden="false" customHeight="false" outlineLevel="0" collapsed="false">
      <c r="A1350" s="40" t="str">
        <f aca="false">IF(OR($A$4=0,INDEX('COOIS Raw'!$A:$GZ,ROW()-4,$A$4)=""),"",IFERROR(--INDEX('COOIS Raw'!$A:$GZ,ROW()-4,$A$4),INDEX('COOIS Raw'!$A:$GZ,ROW()-4,$A$4)))</f>
        <v/>
      </c>
      <c r="B1350" s="41" t="str">
        <f aca="false">IF(A1350="","",TRIM(INDEX('COOIS Raw'!$A:$GZ,ROW()-4,$B$4)))</f>
        <v/>
      </c>
      <c r="C1350" s="42" t="str">
        <f aca="false">IF(OR(A1350="",$C$4=0),"",INDEX('COOIS Raw'!$A:$GZ,ROW()-4,$C$4))</f>
        <v/>
      </c>
      <c r="D1350" s="41" t="str">
        <f aca="false">IF(A1350="","",IF($D$4=0,1,IFERROR(--INDEX('COOIS Raw'!$A:$GZ,ROW()-4,$D$4),1)))</f>
        <v/>
      </c>
      <c r="E1350" s="42" t="str">
        <f aca="false">IF(A1350="","",INDEX('COOIS Raw'!$A:$GZ,ROW()-4,$E$4)&amp;"")</f>
        <v/>
      </c>
      <c r="F1350" s="43" t="str">
        <f aca="false">IF(A1350="","",IFERROR(DATEVALUE(INDEX('COOIS Raw'!$A:$GZ,ROW()-4,$F$4)),INDEX('COOIS Raw'!$A:$GZ,ROW()-4,$F$4)))</f>
        <v/>
      </c>
      <c r="G1350" s="41" t="str">
        <f aca="false">IF(A1350="","",IF(ISNA(MATCH(B1350,'Kitting Plan'!$B$6:$B$19,0)),"Not in plan","Yes"))</f>
        <v/>
      </c>
      <c r="H1350" s="41" t="str">
        <f aca="false">IF(G1350="Yes",INDEX('Kitting Plan'!$D$6:$D$19,MATCH(B1350,'Kitting Plan'!$B$6:$B$19,0)),"")</f>
        <v/>
      </c>
      <c r="I1350" s="41" t="str">
        <f aca="false">IF(A1350="","",IF(ISNUMBER(SEARCH("PRT",E1350)),D1350,0))</f>
        <v/>
      </c>
      <c r="J1350" s="41" t="str">
        <f aca="false">IF(A1350="","",IF(ISNUMBER(SEARCH("GMPS",E1350)),D1350,0))</f>
        <v/>
      </c>
      <c r="K1350" s="41" t="str">
        <f aca="false">IF(A1350="","",IF(ISNUMBER(SEARCH("DLV",E1350)),D1350,0))</f>
        <v/>
      </c>
      <c r="L1350" s="41" t="str">
        <f aca="false">IF(A1350="","",IF(K1350&gt;0,"Delivered",IF(ISNUMBER(SEARCH("CNF",E1350)),"In production",IF(J1350&gt;0,"Issued",IF(I1350&gt;0,"Kitted","Released")))))</f>
        <v/>
      </c>
      <c r="M1350" s="41" t="str">
        <f aca="false">IF(G1350&lt;&gt;"Yes","",COUNTIFS($B$6:$B$1505,B1350,$F$6:$F$1505,"&lt;"&amp;F1350)+COUNTIFS($B$6:$B$1505,B1350,$F$6:$F$1505,F1350,$A$6:$A$1505,"&lt;="&amp;A1350))</f>
        <v/>
      </c>
      <c r="N1350" s="41" t="str">
        <f aca="false">IF(M1350="","",ROUNDUP(M1350/H1350,0))</f>
        <v/>
      </c>
      <c r="O1350" s="41" t="str">
        <f aca="false">IF(N1350="","",IF(N1350&lt;='Kitting Plan'!$C$3,"Rep "&amp;N1350,"Surplus"))</f>
        <v/>
      </c>
    </row>
    <row r="1351" customFormat="false" ht="15" hidden="false" customHeight="false" outlineLevel="0" collapsed="false">
      <c r="A1351" s="40" t="str">
        <f aca="false">IF(OR($A$4=0,INDEX('COOIS Raw'!$A:$GZ,ROW()-4,$A$4)=""),"",IFERROR(--INDEX('COOIS Raw'!$A:$GZ,ROW()-4,$A$4),INDEX('COOIS Raw'!$A:$GZ,ROW()-4,$A$4)))</f>
        <v/>
      </c>
      <c r="B1351" s="41" t="str">
        <f aca="false">IF(A1351="","",TRIM(INDEX('COOIS Raw'!$A:$GZ,ROW()-4,$B$4)))</f>
        <v/>
      </c>
      <c r="C1351" s="42" t="str">
        <f aca="false">IF(OR(A1351="",$C$4=0),"",INDEX('COOIS Raw'!$A:$GZ,ROW()-4,$C$4))</f>
        <v/>
      </c>
      <c r="D1351" s="41" t="str">
        <f aca="false">IF(A1351="","",IF($D$4=0,1,IFERROR(--INDEX('COOIS Raw'!$A:$GZ,ROW()-4,$D$4),1)))</f>
        <v/>
      </c>
      <c r="E1351" s="42" t="str">
        <f aca="false">IF(A1351="","",INDEX('COOIS Raw'!$A:$GZ,ROW()-4,$E$4)&amp;"")</f>
        <v/>
      </c>
      <c r="F1351" s="43" t="str">
        <f aca="false">IF(A1351="","",IFERROR(DATEVALUE(INDEX('COOIS Raw'!$A:$GZ,ROW()-4,$F$4)),INDEX('COOIS Raw'!$A:$GZ,ROW()-4,$F$4)))</f>
        <v/>
      </c>
      <c r="G1351" s="41" t="str">
        <f aca="false">IF(A1351="","",IF(ISNA(MATCH(B1351,'Kitting Plan'!$B$6:$B$19,0)),"Not in plan","Yes"))</f>
        <v/>
      </c>
      <c r="H1351" s="41" t="str">
        <f aca="false">IF(G1351="Yes",INDEX('Kitting Plan'!$D$6:$D$19,MATCH(B1351,'Kitting Plan'!$B$6:$B$19,0)),"")</f>
        <v/>
      </c>
      <c r="I1351" s="41" t="str">
        <f aca="false">IF(A1351="","",IF(ISNUMBER(SEARCH("PRT",E1351)),D1351,0))</f>
        <v/>
      </c>
      <c r="J1351" s="41" t="str">
        <f aca="false">IF(A1351="","",IF(ISNUMBER(SEARCH("GMPS",E1351)),D1351,0))</f>
        <v/>
      </c>
      <c r="K1351" s="41" t="str">
        <f aca="false">IF(A1351="","",IF(ISNUMBER(SEARCH("DLV",E1351)),D1351,0))</f>
        <v/>
      </c>
      <c r="L1351" s="41" t="str">
        <f aca="false">IF(A1351="","",IF(K1351&gt;0,"Delivered",IF(ISNUMBER(SEARCH("CNF",E1351)),"In production",IF(J1351&gt;0,"Issued",IF(I1351&gt;0,"Kitted","Released")))))</f>
        <v/>
      </c>
      <c r="M1351" s="41" t="str">
        <f aca="false">IF(G1351&lt;&gt;"Yes","",COUNTIFS($B$6:$B$1505,B1351,$F$6:$F$1505,"&lt;"&amp;F1351)+COUNTIFS($B$6:$B$1505,B1351,$F$6:$F$1505,F1351,$A$6:$A$1505,"&lt;="&amp;A1351))</f>
        <v/>
      </c>
      <c r="N1351" s="41" t="str">
        <f aca="false">IF(M1351="","",ROUNDUP(M1351/H1351,0))</f>
        <v/>
      </c>
      <c r="O1351" s="41" t="str">
        <f aca="false">IF(N1351="","",IF(N1351&lt;='Kitting Plan'!$C$3,"Rep "&amp;N1351,"Surplus"))</f>
        <v/>
      </c>
    </row>
    <row r="1352" customFormat="false" ht="15" hidden="false" customHeight="false" outlineLevel="0" collapsed="false">
      <c r="A1352" s="40" t="str">
        <f aca="false">IF(OR($A$4=0,INDEX('COOIS Raw'!$A:$GZ,ROW()-4,$A$4)=""),"",IFERROR(--INDEX('COOIS Raw'!$A:$GZ,ROW()-4,$A$4),INDEX('COOIS Raw'!$A:$GZ,ROW()-4,$A$4)))</f>
        <v/>
      </c>
      <c r="B1352" s="41" t="str">
        <f aca="false">IF(A1352="","",TRIM(INDEX('COOIS Raw'!$A:$GZ,ROW()-4,$B$4)))</f>
        <v/>
      </c>
      <c r="C1352" s="42" t="str">
        <f aca="false">IF(OR(A1352="",$C$4=0),"",INDEX('COOIS Raw'!$A:$GZ,ROW()-4,$C$4))</f>
        <v/>
      </c>
      <c r="D1352" s="41" t="str">
        <f aca="false">IF(A1352="","",IF($D$4=0,1,IFERROR(--INDEX('COOIS Raw'!$A:$GZ,ROW()-4,$D$4),1)))</f>
        <v/>
      </c>
      <c r="E1352" s="42" t="str">
        <f aca="false">IF(A1352="","",INDEX('COOIS Raw'!$A:$GZ,ROW()-4,$E$4)&amp;"")</f>
        <v/>
      </c>
      <c r="F1352" s="43" t="str">
        <f aca="false">IF(A1352="","",IFERROR(DATEVALUE(INDEX('COOIS Raw'!$A:$GZ,ROW()-4,$F$4)),INDEX('COOIS Raw'!$A:$GZ,ROW()-4,$F$4)))</f>
        <v/>
      </c>
      <c r="G1352" s="41" t="str">
        <f aca="false">IF(A1352="","",IF(ISNA(MATCH(B1352,'Kitting Plan'!$B$6:$B$19,0)),"Not in plan","Yes"))</f>
        <v/>
      </c>
      <c r="H1352" s="41" t="str">
        <f aca="false">IF(G1352="Yes",INDEX('Kitting Plan'!$D$6:$D$19,MATCH(B1352,'Kitting Plan'!$B$6:$B$19,0)),"")</f>
        <v/>
      </c>
      <c r="I1352" s="41" t="str">
        <f aca="false">IF(A1352="","",IF(ISNUMBER(SEARCH("PRT",E1352)),D1352,0))</f>
        <v/>
      </c>
      <c r="J1352" s="41" t="str">
        <f aca="false">IF(A1352="","",IF(ISNUMBER(SEARCH("GMPS",E1352)),D1352,0))</f>
        <v/>
      </c>
      <c r="K1352" s="41" t="str">
        <f aca="false">IF(A1352="","",IF(ISNUMBER(SEARCH("DLV",E1352)),D1352,0))</f>
        <v/>
      </c>
      <c r="L1352" s="41" t="str">
        <f aca="false">IF(A1352="","",IF(K1352&gt;0,"Delivered",IF(ISNUMBER(SEARCH("CNF",E1352)),"In production",IF(J1352&gt;0,"Issued",IF(I1352&gt;0,"Kitted","Released")))))</f>
        <v/>
      </c>
      <c r="M1352" s="41" t="str">
        <f aca="false">IF(G1352&lt;&gt;"Yes","",COUNTIFS($B$6:$B$1505,B1352,$F$6:$F$1505,"&lt;"&amp;F1352)+COUNTIFS($B$6:$B$1505,B1352,$F$6:$F$1505,F1352,$A$6:$A$1505,"&lt;="&amp;A1352))</f>
        <v/>
      </c>
      <c r="N1352" s="41" t="str">
        <f aca="false">IF(M1352="","",ROUNDUP(M1352/H1352,0))</f>
        <v/>
      </c>
      <c r="O1352" s="41" t="str">
        <f aca="false">IF(N1352="","",IF(N1352&lt;='Kitting Plan'!$C$3,"Rep "&amp;N1352,"Surplus"))</f>
        <v/>
      </c>
    </row>
    <row r="1353" customFormat="false" ht="15" hidden="false" customHeight="false" outlineLevel="0" collapsed="false">
      <c r="A1353" s="40" t="str">
        <f aca="false">IF(OR($A$4=0,INDEX('COOIS Raw'!$A:$GZ,ROW()-4,$A$4)=""),"",IFERROR(--INDEX('COOIS Raw'!$A:$GZ,ROW()-4,$A$4),INDEX('COOIS Raw'!$A:$GZ,ROW()-4,$A$4)))</f>
        <v/>
      </c>
      <c r="B1353" s="41" t="str">
        <f aca="false">IF(A1353="","",TRIM(INDEX('COOIS Raw'!$A:$GZ,ROW()-4,$B$4)))</f>
        <v/>
      </c>
      <c r="C1353" s="42" t="str">
        <f aca="false">IF(OR(A1353="",$C$4=0),"",INDEX('COOIS Raw'!$A:$GZ,ROW()-4,$C$4))</f>
        <v/>
      </c>
      <c r="D1353" s="41" t="str">
        <f aca="false">IF(A1353="","",IF($D$4=0,1,IFERROR(--INDEX('COOIS Raw'!$A:$GZ,ROW()-4,$D$4),1)))</f>
        <v/>
      </c>
      <c r="E1353" s="42" t="str">
        <f aca="false">IF(A1353="","",INDEX('COOIS Raw'!$A:$GZ,ROW()-4,$E$4)&amp;"")</f>
        <v/>
      </c>
      <c r="F1353" s="43" t="str">
        <f aca="false">IF(A1353="","",IFERROR(DATEVALUE(INDEX('COOIS Raw'!$A:$GZ,ROW()-4,$F$4)),INDEX('COOIS Raw'!$A:$GZ,ROW()-4,$F$4)))</f>
        <v/>
      </c>
      <c r="G1353" s="41" t="str">
        <f aca="false">IF(A1353="","",IF(ISNA(MATCH(B1353,'Kitting Plan'!$B$6:$B$19,0)),"Not in plan","Yes"))</f>
        <v/>
      </c>
      <c r="H1353" s="41" t="str">
        <f aca="false">IF(G1353="Yes",INDEX('Kitting Plan'!$D$6:$D$19,MATCH(B1353,'Kitting Plan'!$B$6:$B$19,0)),"")</f>
        <v/>
      </c>
      <c r="I1353" s="41" t="str">
        <f aca="false">IF(A1353="","",IF(ISNUMBER(SEARCH("PRT",E1353)),D1353,0))</f>
        <v/>
      </c>
      <c r="J1353" s="41" t="str">
        <f aca="false">IF(A1353="","",IF(ISNUMBER(SEARCH("GMPS",E1353)),D1353,0))</f>
        <v/>
      </c>
      <c r="K1353" s="41" t="str">
        <f aca="false">IF(A1353="","",IF(ISNUMBER(SEARCH("DLV",E1353)),D1353,0))</f>
        <v/>
      </c>
      <c r="L1353" s="41" t="str">
        <f aca="false">IF(A1353="","",IF(K1353&gt;0,"Delivered",IF(ISNUMBER(SEARCH("CNF",E1353)),"In production",IF(J1353&gt;0,"Issued",IF(I1353&gt;0,"Kitted","Released")))))</f>
        <v/>
      </c>
      <c r="M1353" s="41" t="str">
        <f aca="false">IF(G1353&lt;&gt;"Yes","",COUNTIFS($B$6:$B$1505,B1353,$F$6:$F$1505,"&lt;"&amp;F1353)+COUNTIFS($B$6:$B$1505,B1353,$F$6:$F$1505,F1353,$A$6:$A$1505,"&lt;="&amp;A1353))</f>
        <v/>
      </c>
      <c r="N1353" s="41" t="str">
        <f aca="false">IF(M1353="","",ROUNDUP(M1353/H1353,0))</f>
        <v/>
      </c>
      <c r="O1353" s="41" t="str">
        <f aca="false">IF(N1353="","",IF(N1353&lt;='Kitting Plan'!$C$3,"Rep "&amp;N1353,"Surplus"))</f>
        <v/>
      </c>
    </row>
    <row r="1354" customFormat="false" ht="15" hidden="false" customHeight="false" outlineLevel="0" collapsed="false">
      <c r="A1354" s="40" t="str">
        <f aca="false">IF(OR($A$4=0,INDEX('COOIS Raw'!$A:$GZ,ROW()-4,$A$4)=""),"",IFERROR(--INDEX('COOIS Raw'!$A:$GZ,ROW()-4,$A$4),INDEX('COOIS Raw'!$A:$GZ,ROW()-4,$A$4)))</f>
        <v/>
      </c>
      <c r="B1354" s="41" t="str">
        <f aca="false">IF(A1354="","",TRIM(INDEX('COOIS Raw'!$A:$GZ,ROW()-4,$B$4)))</f>
        <v/>
      </c>
      <c r="C1354" s="42" t="str">
        <f aca="false">IF(OR(A1354="",$C$4=0),"",INDEX('COOIS Raw'!$A:$GZ,ROW()-4,$C$4))</f>
        <v/>
      </c>
      <c r="D1354" s="41" t="str">
        <f aca="false">IF(A1354="","",IF($D$4=0,1,IFERROR(--INDEX('COOIS Raw'!$A:$GZ,ROW()-4,$D$4),1)))</f>
        <v/>
      </c>
      <c r="E1354" s="42" t="str">
        <f aca="false">IF(A1354="","",INDEX('COOIS Raw'!$A:$GZ,ROW()-4,$E$4)&amp;"")</f>
        <v/>
      </c>
      <c r="F1354" s="43" t="str">
        <f aca="false">IF(A1354="","",IFERROR(DATEVALUE(INDEX('COOIS Raw'!$A:$GZ,ROW()-4,$F$4)),INDEX('COOIS Raw'!$A:$GZ,ROW()-4,$F$4)))</f>
        <v/>
      </c>
      <c r="G1354" s="41" t="str">
        <f aca="false">IF(A1354="","",IF(ISNA(MATCH(B1354,'Kitting Plan'!$B$6:$B$19,0)),"Not in plan","Yes"))</f>
        <v/>
      </c>
      <c r="H1354" s="41" t="str">
        <f aca="false">IF(G1354="Yes",INDEX('Kitting Plan'!$D$6:$D$19,MATCH(B1354,'Kitting Plan'!$B$6:$B$19,0)),"")</f>
        <v/>
      </c>
      <c r="I1354" s="41" t="str">
        <f aca="false">IF(A1354="","",IF(ISNUMBER(SEARCH("PRT",E1354)),D1354,0))</f>
        <v/>
      </c>
      <c r="J1354" s="41" t="str">
        <f aca="false">IF(A1354="","",IF(ISNUMBER(SEARCH("GMPS",E1354)),D1354,0))</f>
        <v/>
      </c>
      <c r="K1354" s="41" t="str">
        <f aca="false">IF(A1354="","",IF(ISNUMBER(SEARCH("DLV",E1354)),D1354,0))</f>
        <v/>
      </c>
      <c r="L1354" s="41" t="str">
        <f aca="false">IF(A1354="","",IF(K1354&gt;0,"Delivered",IF(ISNUMBER(SEARCH("CNF",E1354)),"In production",IF(J1354&gt;0,"Issued",IF(I1354&gt;0,"Kitted","Released")))))</f>
        <v/>
      </c>
      <c r="M1354" s="41" t="str">
        <f aca="false">IF(G1354&lt;&gt;"Yes","",COUNTIFS($B$6:$B$1505,B1354,$F$6:$F$1505,"&lt;"&amp;F1354)+COUNTIFS($B$6:$B$1505,B1354,$F$6:$F$1505,F1354,$A$6:$A$1505,"&lt;="&amp;A1354))</f>
        <v/>
      </c>
      <c r="N1354" s="41" t="str">
        <f aca="false">IF(M1354="","",ROUNDUP(M1354/H1354,0))</f>
        <v/>
      </c>
      <c r="O1354" s="41" t="str">
        <f aca="false">IF(N1354="","",IF(N1354&lt;='Kitting Plan'!$C$3,"Rep "&amp;N1354,"Surplus"))</f>
        <v/>
      </c>
    </row>
    <row r="1355" customFormat="false" ht="15" hidden="false" customHeight="false" outlineLevel="0" collapsed="false">
      <c r="A1355" s="40" t="str">
        <f aca="false">IF(OR($A$4=0,INDEX('COOIS Raw'!$A:$GZ,ROW()-4,$A$4)=""),"",IFERROR(--INDEX('COOIS Raw'!$A:$GZ,ROW()-4,$A$4),INDEX('COOIS Raw'!$A:$GZ,ROW()-4,$A$4)))</f>
        <v/>
      </c>
      <c r="B1355" s="41" t="str">
        <f aca="false">IF(A1355="","",TRIM(INDEX('COOIS Raw'!$A:$GZ,ROW()-4,$B$4)))</f>
        <v/>
      </c>
      <c r="C1355" s="42" t="str">
        <f aca="false">IF(OR(A1355="",$C$4=0),"",INDEX('COOIS Raw'!$A:$GZ,ROW()-4,$C$4))</f>
        <v/>
      </c>
      <c r="D1355" s="41" t="str">
        <f aca="false">IF(A1355="","",IF($D$4=0,1,IFERROR(--INDEX('COOIS Raw'!$A:$GZ,ROW()-4,$D$4),1)))</f>
        <v/>
      </c>
      <c r="E1355" s="42" t="str">
        <f aca="false">IF(A1355="","",INDEX('COOIS Raw'!$A:$GZ,ROW()-4,$E$4)&amp;"")</f>
        <v/>
      </c>
      <c r="F1355" s="43" t="str">
        <f aca="false">IF(A1355="","",IFERROR(DATEVALUE(INDEX('COOIS Raw'!$A:$GZ,ROW()-4,$F$4)),INDEX('COOIS Raw'!$A:$GZ,ROW()-4,$F$4)))</f>
        <v/>
      </c>
      <c r="G1355" s="41" t="str">
        <f aca="false">IF(A1355="","",IF(ISNA(MATCH(B1355,'Kitting Plan'!$B$6:$B$19,0)),"Not in plan","Yes"))</f>
        <v/>
      </c>
      <c r="H1355" s="41" t="str">
        <f aca="false">IF(G1355="Yes",INDEX('Kitting Plan'!$D$6:$D$19,MATCH(B1355,'Kitting Plan'!$B$6:$B$19,0)),"")</f>
        <v/>
      </c>
      <c r="I1355" s="41" t="str">
        <f aca="false">IF(A1355="","",IF(ISNUMBER(SEARCH("PRT",E1355)),D1355,0))</f>
        <v/>
      </c>
      <c r="J1355" s="41" t="str">
        <f aca="false">IF(A1355="","",IF(ISNUMBER(SEARCH("GMPS",E1355)),D1355,0))</f>
        <v/>
      </c>
      <c r="K1355" s="41" t="str">
        <f aca="false">IF(A1355="","",IF(ISNUMBER(SEARCH("DLV",E1355)),D1355,0))</f>
        <v/>
      </c>
      <c r="L1355" s="41" t="str">
        <f aca="false">IF(A1355="","",IF(K1355&gt;0,"Delivered",IF(ISNUMBER(SEARCH("CNF",E1355)),"In production",IF(J1355&gt;0,"Issued",IF(I1355&gt;0,"Kitted","Released")))))</f>
        <v/>
      </c>
      <c r="M1355" s="41" t="str">
        <f aca="false">IF(G1355&lt;&gt;"Yes","",COUNTIFS($B$6:$B$1505,B1355,$F$6:$F$1505,"&lt;"&amp;F1355)+COUNTIFS($B$6:$B$1505,B1355,$F$6:$F$1505,F1355,$A$6:$A$1505,"&lt;="&amp;A1355))</f>
        <v/>
      </c>
      <c r="N1355" s="41" t="str">
        <f aca="false">IF(M1355="","",ROUNDUP(M1355/H1355,0))</f>
        <v/>
      </c>
      <c r="O1355" s="41" t="str">
        <f aca="false">IF(N1355="","",IF(N1355&lt;='Kitting Plan'!$C$3,"Rep "&amp;N1355,"Surplus"))</f>
        <v/>
      </c>
    </row>
    <row r="1356" customFormat="false" ht="15" hidden="false" customHeight="false" outlineLevel="0" collapsed="false">
      <c r="A1356" s="40" t="str">
        <f aca="false">IF(OR($A$4=0,INDEX('COOIS Raw'!$A:$GZ,ROW()-4,$A$4)=""),"",IFERROR(--INDEX('COOIS Raw'!$A:$GZ,ROW()-4,$A$4),INDEX('COOIS Raw'!$A:$GZ,ROW()-4,$A$4)))</f>
        <v/>
      </c>
      <c r="B1356" s="41" t="str">
        <f aca="false">IF(A1356="","",TRIM(INDEX('COOIS Raw'!$A:$GZ,ROW()-4,$B$4)))</f>
        <v/>
      </c>
      <c r="C1356" s="42" t="str">
        <f aca="false">IF(OR(A1356="",$C$4=0),"",INDEX('COOIS Raw'!$A:$GZ,ROW()-4,$C$4))</f>
        <v/>
      </c>
      <c r="D1356" s="41" t="str">
        <f aca="false">IF(A1356="","",IF($D$4=0,1,IFERROR(--INDEX('COOIS Raw'!$A:$GZ,ROW()-4,$D$4),1)))</f>
        <v/>
      </c>
      <c r="E1356" s="42" t="str">
        <f aca="false">IF(A1356="","",INDEX('COOIS Raw'!$A:$GZ,ROW()-4,$E$4)&amp;"")</f>
        <v/>
      </c>
      <c r="F1356" s="43" t="str">
        <f aca="false">IF(A1356="","",IFERROR(DATEVALUE(INDEX('COOIS Raw'!$A:$GZ,ROW()-4,$F$4)),INDEX('COOIS Raw'!$A:$GZ,ROW()-4,$F$4)))</f>
        <v/>
      </c>
      <c r="G1356" s="41" t="str">
        <f aca="false">IF(A1356="","",IF(ISNA(MATCH(B1356,'Kitting Plan'!$B$6:$B$19,0)),"Not in plan","Yes"))</f>
        <v/>
      </c>
      <c r="H1356" s="41" t="str">
        <f aca="false">IF(G1356="Yes",INDEX('Kitting Plan'!$D$6:$D$19,MATCH(B1356,'Kitting Plan'!$B$6:$B$19,0)),"")</f>
        <v/>
      </c>
      <c r="I1356" s="41" t="str">
        <f aca="false">IF(A1356="","",IF(ISNUMBER(SEARCH("PRT",E1356)),D1356,0))</f>
        <v/>
      </c>
      <c r="J1356" s="41" t="str">
        <f aca="false">IF(A1356="","",IF(ISNUMBER(SEARCH("GMPS",E1356)),D1356,0))</f>
        <v/>
      </c>
      <c r="K1356" s="41" t="str">
        <f aca="false">IF(A1356="","",IF(ISNUMBER(SEARCH("DLV",E1356)),D1356,0))</f>
        <v/>
      </c>
      <c r="L1356" s="41" t="str">
        <f aca="false">IF(A1356="","",IF(K1356&gt;0,"Delivered",IF(ISNUMBER(SEARCH("CNF",E1356)),"In production",IF(J1356&gt;0,"Issued",IF(I1356&gt;0,"Kitted","Released")))))</f>
        <v/>
      </c>
      <c r="M1356" s="41" t="str">
        <f aca="false">IF(G1356&lt;&gt;"Yes","",COUNTIFS($B$6:$B$1505,B1356,$F$6:$F$1505,"&lt;"&amp;F1356)+COUNTIFS($B$6:$B$1505,B1356,$F$6:$F$1505,F1356,$A$6:$A$1505,"&lt;="&amp;A1356))</f>
        <v/>
      </c>
      <c r="N1356" s="41" t="str">
        <f aca="false">IF(M1356="","",ROUNDUP(M1356/H1356,0))</f>
        <v/>
      </c>
      <c r="O1356" s="41" t="str">
        <f aca="false">IF(N1356="","",IF(N1356&lt;='Kitting Plan'!$C$3,"Rep "&amp;N1356,"Surplus"))</f>
        <v/>
      </c>
    </row>
    <row r="1357" customFormat="false" ht="15" hidden="false" customHeight="false" outlineLevel="0" collapsed="false">
      <c r="A1357" s="40" t="str">
        <f aca="false">IF(OR($A$4=0,INDEX('COOIS Raw'!$A:$GZ,ROW()-4,$A$4)=""),"",IFERROR(--INDEX('COOIS Raw'!$A:$GZ,ROW()-4,$A$4),INDEX('COOIS Raw'!$A:$GZ,ROW()-4,$A$4)))</f>
        <v/>
      </c>
      <c r="B1357" s="41" t="str">
        <f aca="false">IF(A1357="","",TRIM(INDEX('COOIS Raw'!$A:$GZ,ROW()-4,$B$4)))</f>
        <v/>
      </c>
      <c r="C1357" s="42" t="str">
        <f aca="false">IF(OR(A1357="",$C$4=0),"",INDEX('COOIS Raw'!$A:$GZ,ROW()-4,$C$4))</f>
        <v/>
      </c>
      <c r="D1357" s="41" t="str">
        <f aca="false">IF(A1357="","",IF($D$4=0,1,IFERROR(--INDEX('COOIS Raw'!$A:$GZ,ROW()-4,$D$4),1)))</f>
        <v/>
      </c>
      <c r="E1357" s="42" t="str">
        <f aca="false">IF(A1357="","",INDEX('COOIS Raw'!$A:$GZ,ROW()-4,$E$4)&amp;"")</f>
        <v/>
      </c>
      <c r="F1357" s="43" t="str">
        <f aca="false">IF(A1357="","",IFERROR(DATEVALUE(INDEX('COOIS Raw'!$A:$GZ,ROW()-4,$F$4)),INDEX('COOIS Raw'!$A:$GZ,ROW()-4,$F$4)))</f>
        <v/>
      </c>
      <c r="G1357" s="41" t="str">
        <f aca="false">IF(A1357="","",IF(ISNA(MATCH(B1357,'Kitting Plan'!$B$6:$B$19,0)),"Not in plan","Yes"))</f>
        <v/>
      </c>
      <c r="H1357" s="41" t="str">
        <f aca="false">IF(G1357="Yes",INDEX('Kitting Plan'!$D$6:$D$19,MATCH(B1357,'Kitting Plan'!$B$6:$B$19,0)),"")</f>
        <v/>
      </c>
      <c r="I1357" s="41" t="str">
        <f aca="false">IF(A1357="","",IF(ISNUMBER(SEARCH("PRT",E1357)),D1357,0))</f>
        <v/>
      </c>
      <c r="J1357" s="41" t="str">
        <f aca="false">IF(A1357="","",IF(ISNUMBER(SEARCH("GMPS",E1357)),D1357,0))</f>
        <v/>
      </c>
      <c r="K1357" s="41" t="str">
        <f aca="false">IF(A1357="","",IF(ISNUMBER(SEARCH("DLV",E1357)),D1357,0))</f>
        <v/>
      </c>
      <c r="L1357" s="41" t="str">
        <f aca="false">IF(A1357="","",IF(K1357&gt;0,"Delivered",IF(ISNUMBER(SEARCH("CNF",E1357)),"In production",IF(J1357&gt;0,"Issued",IF(I1357&gt;0,"Kitted","Released")))))</f>
        <v/>
      </c>
      <c r="M1357" s="41" t="str">
        <f aca="false">IF(G1357&lt;&gt;"Yes","",COUNTIFS($B$6:$B$1505,B1357,$F$6:$F$1505,"&lt;"&amp;F1357)+COUNTIFS($B$6:$B$1505,B1357,$F$6:$F$1505,F1357,$A$6:$A$1505,"&lt;="&amp;A1357))</f>
        <v/>
      </c>
      <c r="N1357" s="41" t="str">
        <f aca="false">IF(M1357="","",ROUNDUP(M1357/H1357,0))</f>
        <v/>
      </c>
      <c r="O1357" s="41" t="str">
        <f aca="false">IF(N1357="","",IF(N1357&lt;='Kitting Plan'!$C$3,"Rep "&amp;N1357,"Surplus"))</f>
        <v/>
      </c>
    </row>
    <row r="1358" customFormat="false" ht="15" hidden="false" customHeight="false" outlineLevel="0" collapsed="false">
      <c r="A1358" s="40" t="str">
        <f aca="false">IF(OR($A$4=0,INDEX('COOIS Raw'!$A:$GZ,ROW()-4,$A$4)=""),"",IFERROR(--INDEX('COOIS Raw'!$A:$GZ,ROW()-4,$A$4),INDEX('COOIS Raw'!$A:$GZ,ROW()-4,$A$4)))</f>
        <v/>
      </c>
      <c r="B1358" s="41" t="str">
        <f aca="false">IF(A1358="","",TRIM(INDEX('COOIS Raw'!$A:$GZ,ROW()-4,$B$4)))</f>
        <v/>
      </c>
      <c r="C1358" s="42" t="str">
        <f aca="false">IF(OR(A1358="",$C$4=0),"",INDEX('COOIS Raw'!$A:$GZ,ROW()-4,$C$4))</f>
        <v/>
      </c>
      <c r="D1358" s="41" t="str">
        <f aca="false">IF(A1358="","",IF($D$4=0,1,IFERROR(--INDEX('COOIS Raw'!$A:$GZ,ROW()-4,$D$4),1)))</f>
        <v/>
      </c>
      <c r="E1358" s="42" t="str">
        <f aca="false">IF(A1358="","",INDEX('COOIS Raw'!$A:$GZ,ROW()-4,$E$4)&amp;"")</f>
        <v/>
      </c>
      <c r="F1358" s="43" t="str">
        <f aca="false">IF(A1358="","",IFERROR(DATEVALUE(INDEX('COOIS Raw'!$A:$GZ,ROW()-4,$F$4)),INDEX('COOIS Raw'!$A:$GZ,ROW()-4,$F$4)))</f>
        <v/>
      </c>
      <c r="G1358" s="41" t="str">
        <f aca="false">IF(A1358="","",IF(ISNA(MATCH(B1358,'Kitting Plan'!$B$6:$B$19,0)),"Not in plan","Yes"))</f>
        <v/>
      </c>
      <c r="H1358" s="41" t="str">
        <f aca="false">IF(G1358="Yes",INDEX('Kitting Plan'!$D$6:$D$19,MATCH(B1358,'Kitting Plan'!$B$6:$B$19,0)),"")</f>
        <v/>
      </c>
      <c r="I1358" s="41" t="str">
        <f aca="false">IF(A1358="","",IF(ISNUMBER(SEARCH("PRT",E1358)),D1358,0))</f>
        <v/>
      </c>
      <c r="J1358" s="41" t="str">
        <f aca="false">IF(A1358="","",IF(ISNUMBER(SEARCH("GMPS",E1358)),D1358,0))</f>
        <v/>
      </c>
      <c r="K1358" s="41" t="str">
        <f aca="false">IF(A1358="","",IF(ISNUMBER(SEARCH("DLV",E1358)),D1358,0))</f>
        <v/>
      </c>
      <c r="L1358" s="41" t="str">
        <f aca="false">IF(A1358="","",IF(K1358&gt;0,"Delivered",IF(ISNUMBER(SEARCH("CNF",E1358)),"In production",IF(J1358&gt;0,"Issued",IF(I1358&gt;0,"Kitted","Released")))))</f>
        <v/>
      </c>
      <c r="M1358" s="41" t="str">
        <f aca="false">IF(G1358&lt;&gt;"Yes","",COUNTIFS($B$6:$B$1505,B1358,$F$6:$F$1505,"&lt;"&amp;F1358)+COUNTIFS($B$6:$B$1505,B1358,$F$6:$F$1505,F1358,$A$6:$A$1505,"&lt;="&amp;A1358))</f>
        <v/>
      </c>
      <c r="N1358" s="41" t="str">
        <f aca="false">IF(M1358="","",ROUNDUP(M1358/H1358,0))</f>
        <v/>
      </c>
      <c r="O1358" s="41" t="str">
        <f aca="false">IF(N1358="","",IF(N1358&lt;='Kitting Plan'!$C$3,"Rep "&amp;N1358,"Surplus"))</f>
        <v/>
      </c>
    </row>
    <row r="1359" customFormat="false" ht="15" hidden="false" customHeight="false" outlineLevel="0" collapsed="false">
      <c r="A1359" s="40" t="str">
        <f aca="false">IF(OR($A$4=0,INDEX('COOIS Raw'!$A:$GZ,ROW()-4,$A$4)=""),"",IFERROR(--INDEX('COOIS Raw'!$A:$GZ,ROW()-4,$A$4),INDEX('COOIS Raw'!$A:$GZ,ROW()-4,$A$4)))</f>
        <v/>
      </c>
      <c r="B1359" s="41" t="str">
        <f aca="false">IF(A1359="","",TRIM(INDEX('COOIS Raw'!$A:$GZ,ROW()-4,$B$4)))</f>
        <v/>
      </c>
      <c r="C1359" s="42" t="str">
        <f aca="false">IF(OR(A1359="",$C$4=0),"",INDEX('COOIS Raw'!$A:$GZ,ROW()-4,$C$4))</f>
        <v/>
      </c>
      <c r="D1359" s="41" t="str">
        <f aca="false">IF(A1359="","",IF($D$4=0,1,IFERROR(--INDEX('COOIS Raw'!$A:$GZ,ROW()-4,$D$4),1)))</f>
        <v/>
      </c>
      <c r="E1359" s="42" t="str">
        <f aca="false">IF(A1359="","",INDEX('COOIS Raw'!$A:$GZ,ROW()-4,$E$4)&amp;"")</f>
        <v/>
      </c>
      <c r="F1359" s="43" t="str">
        <f aca="false">IF(A1359="","",IFERROR(DATEVALUE(INDEX('COOIS Raw'!$A:$GZ,ROW()-4,$F$4)),INDEX('COOIS Raw'!$A:$GZ,ROW()-4,$F$4)))</f>
        <v/>
      </c>
      <c r="G1359" s="41" t="str">
        <f aca="false">IF(A1359="","",IF(ISNA(MATCH(B1359,'Kitting Plan'!$B$6:$B$19,0)),"Not in plan","Yes"))</f>
        <v/>
      </c>
      <c r="H1359" s="41" t="str">
        <f aca="false">IF(G1359="Yes",INDEX('Kitting Plan'!$D$6:$D$19,MATCH(B1359,'Kitting Plan'!$B$6:$B$19,0)),"")</f>
        <v/>
      </c>
      <c r="I1359" s="41" t="str">
        <f aca="false">IF(A1359="","",IF(ISNUMBER(SEARCH("PRT",E1359)),D1359,0))</f>
        <v/>
      </c>
      <c r="J1359" s="41" t="str">
        <f aca="false">IF(A1359="","",IF(ISNUMBER(SEARCH("GMPS",E1359)),D1359,0))</f>
        <v/>
      </c>
      <c r="K1359" s="41" t="str">
        <f aca="false">IF(A1359="","",IF(ISNUMBER(SEARCH("DLV",E1359)),D1359,0))</f>
        <v/>
      </c>
      <c r="L1359" s="41" t="str">
        <f aca="false">IF(A1359="","",IF(K1359&gt;0,"Delivered",IF(ISNUMBER(SEARCH("CNF",E1359)),"In production",IF(J1359&gt;0,"Issued",IF(I1359&gt;0,"Kitted","Released")))))</f>
        <v/>
      </c>
      <c r="M1359" s="41" t="str">
        <f aca="false">IF(G1359&lt;&gt;"Yes","",COUNTIFS($B$6:$B$1505,B1359,$F$6:$F$1505,"&lt;"&amp;F1359)+COUNTIFS($B$6:$B$1505,B1359,$F$6:$F$1505,F1359,$A$6:$A$1505,"&lt;="&amp;A1359))</f>
        <v/>
      </c>
      <c r="N1359" s="41" t="str">
        <f aca="false">IF(M1359="","",ROUNDUP(M1359/H1359,0))</f>
        <v/>
      </c>
      <c r="O1359" s="41" t="str">
        <f aca="false">IF(N1359="","",IF(N1359&lt;='Kitting Plan'!$C$3,"Rep "&amp;N1359,"Surplus"))</f>
        <v/>
      </c>
    </row>
    <row r="1360" customFormat="false" ht="15" hidden="false" customHeight="false" outlineLevel="0" collapsed="false">
      <c r="A1360" s="40" t="str">
        <f aca="false">IF(OR($A$4=0,INDEX('COOIS Raw'!$A:$GZ,ROW()-4,$A$4)=""),"",IFERROR(--INDEX('COOIS Raw'!$A:$GZ,ROW()-4,$A$4),INDEX('COOIS Raw'!$A:$GZ,ROW()-4,$A$4)))</f>
        <v/>
      </c>
      <c r="B1360" s="41" t="str">
        <f aca="false">IF(A1360="","",TRIM(INDEX('COOIS Raw'!$A:$GZ,ROW()-4,$B$4)))</f>
        <v/>
      </c>
      <c r="C1360" s="42" t="str">
        <f aca="false">IF(OR(A1360="",$C$4=0),"",INDEX('COOIS Raw'!$A:$GZ,ROW()-4,$C$4))</f>
        <v/>
      </c>
      <c r="D1360" s="41" t="str">
        <f aca="false">IF(A1360="","",IF($D$4=0,1,IFERROR(--INDEX('COOIS Raw'!$A:$GZ,ROW()-4,$D$4),1)))</f>
        <v/>
      </c>
      <c r="E1360" s="42" t="str">
        <f aca="false">IF(A1360="","",INDEX('COOIS Raw'!$A:$GZ,ROW()-4,$E$4)&amp;"")</f>
        <v/>
      </c>
      <c r="F1360" s="43" t="str">
        <f aca="false">IF(A1360="","",IFERROR(DATEVALUE(INDEX('COOIS Raw'!$A:$GZ,ROW()-4,$F$4)),INDEX('COOIS Raw'!$A:$GZ,ROW()-4,$F$4)))</f>
        <v/>
      </c>
      <c r="G1360" s="41" t="str">
        <f aca="false">IF(A1360="","",IF(ISNA(MATCH(B1360,'Kitting Plan'!$B$6:$B$19,0)),"Not in plan","Yes"))</f>
        <v/>
      </c>
      <c r="H1360" s="41" t="str">
        <f aca="false">IF(G1360="Yes",INDEX('Kitting Plan'!$D$6:$D$19,MATCH(B1360,'Kitting Plan'!$B$6:$B$19,0)),"")</f>
        <v/>
      </c>
      <c r="I1360" s="41" t="str">
        <f aca="false">IF(A1360="","",IF(ISNUMBER(SEARCH("PRT",E1360)),D1360,0))</f>
        <v/>
      </c>
      <c r="J1360" s="41" t="str">
        <f aca="false">IF(A1360="","",IF(ISNUMBER(SEARCH("GMPS",E1360)),D1360,0))</f>
        <v/>
      </c>
      <c r="K1360" s="41" t="str">
        <f aca="false">IF(A1360="","",IF(ISNUMBER(SEARCH("DLV",E1360)),D1360,0))</f>
        <v/>
      </c>
      <c r="L1360" s="41" t="str">
        <f aca="false">IF(A1360="","",IF(K1360&gt;0,"Delivered",IF(ISNUMBER(SEARCH("CNF",E1360)),"In production",IF(J1360&gt;0,"Issued",IF(I1360&gt;0,"Kitted","Released")))))</f>
        <v/>
      </c>
      <c r="M1360" s="41" t="str">
        <f aca="false">IF(G1360&lt;&gt;"Yes","",COUNTIFS($B$6:$B$1505,B1360,$F$6:$F$1505,"&lt;"&amp;F1360)+COUNTIFS($B$6:$B$1505,B1360,$F$6:$F$1505,F1360,$A$6:$A$1505,"&lt;="&amp;A1360))</f>
        <v/>
      </c>
      <c r="N1360" s="41" t="str">
        <f aca="false">IF(M1360="","",ROUNDUP(M1360/H1360,0))</f>
        <v/>
      </c>
      <c r="O1360" s="41" t="str">
        <f aca="false">IF(N1360="","",IF(N1360&lt;='Kitting Plan'!$C$3,"Rep "&amp;N1360,"Surplus"))</f>
        <v/>
      </c>
    </row>
    <row r="1361" customFormat="false" ht="15" hidden="false" customHeight="false" outlineLevel="0" collapsed="false">
      <c r="A1361" s="40" t="str">
        <f aca="false">IF(OR($A$4=0,INDEX('COOIS Raw'!$A:$GZ,ROW()-4,$A$4)=""),"",IFERROR(--INDEX('COOIS Raw'!$A:$GZ,ROW()-4,$A$4),INDEX('COOIS Raw'!$A:$GZ,ROW()-4,$A$4)))</f>
        <v/>
      </c>
      <c r="B1361" s="41" t="str">
        <f aca="false">IF(A1361="","",TRIM(INDEX('COOIS Raw'!$A:$GZ,ROW()-4,$B$4)))</f>
        <v/>
      </c>
      <c r="C1361" s="42" t="str">
        <f aca="false">IF(OR(A1361="",$C$4=0),"",INDEX('COOIS Raw'!$A:$GZ,ROW()-4,$C$4))</f>
        <v/>
      </c>
      <c r="D1361" s="41" t="str">
        <f aca="false">IF(A1361="","",IF($D$4=0,1,IFERROR(--INDEX('COOIS Raw'!$A:$GZ,ROW()-4,$D$4),1)))</f>
        <v/>
      </c>
      <c r="E1361" s="42" t="str">
        <f aca="false">IF(A1361="","",INDEX('COOIS Raw'!$A:$GZ,ROW()-4,$E$4)&amp;"")</f>
        <v/>
      </c>
      <c r="F1361" s="43" t="str">
        <f aca="false">IF(A1361="","",IFERROR(DATEVALUE(INDEX('COOIS Raw'!$A:$GZ,ROW()-4,$F$4)),INDEX('COOIS Raw'!$A:$GZ,ROW()-4,$F$4)))</f>
        <v/>
      </c>
      <c r="G1361" s="41" t="str">
        <f aca="false">IF(A1361="","",IF(ISNA(MATCH(B1361,'Kitting Plan'!$B$6:$B$19,0)),"Not in plan","Yes"))</f>
        <v/>
      </c>
      <c r="H1361" s="41" t="str">
        <f aca="false">IF(G1361="Yes",INDEX('Kitting Plan'!$D$6:$D$19,MATCH(B1361,'Kitting Plan'!$B$6:$B$19,0)),"")</f>
        <v/>
      </c>
      <c r="I1361" s="41" t="str">
        <f aca="false">IF(A1361="","",IF(ISNUMBER(SEARCH("PRT",E1361)),D1361,0))</f>
        <v/>
      </c>
      <c r="J1361" s="41" t="str">
        <f aca="false">IF(A1361="","",IF(ISNUMBER(SEARCH("GMPS",E1361)),D1361,0))</f>
        <v/>
      </c>
      <c r="K1361" s="41" t="str">
        <f aca="false">IF(A1361="","",IF(ISNUMBER(SEARCH("DLV",E1361)),D1361,0))</f>
        <v/>
      </c>
      <c r="L1361" s="41" t="str">
        <f aca="false">IF(A1361="","",IF(K1361&gt;0,"Delivered",IF(ISNUMBER(SEARCH("CNF",E1361)),"In production",IF(J1361&gt;0,"Issued",IF(I1361&gt;0,"Kitted","Released")))))</f>
        <v/>
      </c>
      <c r="M1361" s="41" t="str">
        <f aca="false">IF(G1361&lt;&gt;"Yes","",COUNTIFS($B$6:$B$1505,B1361,$F$6:$F$1505,"&lt;"&amp;F1361)+COUNTIFS($B$6:$B$1505,B1361,$F$6:$F$1505,F1361,$A$6:$A$1505,"&lt;="&amp;A1361))</f>
        <v/>
      </c>
      <c r="N1361" s="41" t="str">
        <f aca="false">IF(M1361="","",ROUNDUP(M1361/H1361,0))</f>
        <v/>
      </c>
      <c r="O1361" s="41" t="str">
        <f aca="false">IF(N1361="","",IF(N1361&lt;='Kitting Plan'!$C$3,"Rep "&amp;N1361,"Surplus"))</f>
        <v/>
      </c>
    </row>
    <row r="1362" customFormat="false" ht="15" hidden="false" customHeight="false" outlineLevel="0" collapsed="false">
      <c r="A1362" s="40" t="str">
        <f aca="false">IF(OR($A$4=0,INDEX('COOIS Raw'!$A:$GZ,ROW()-4,$A$4)=""),"",IFERROR(--INDEX('COOIS Raw'!$A:$GZ,ROW()-4,$A$4),INDEX('COOIS Raw'!$A:$GZ,ROW()-4,$A$4)))</f>
        <v/>
      </c>
      <c r="B1362" s="41" t="str">
        <f aca="false">IF(A1362="","",TRIM(INDEX('COOIS Raw'!$A:$GZ,ROW()-4,$B$4)))</f>
        <v/>
      </c>
      <c r="C1362" s="42" t="str">
        <f aca="false">IF(OR(A1362="",$C$4=0),"",INDEX('COOIS Raw'!$A:$GZ,ROW()-4,$C$4))</f>
        <v/>
      </c>
      <c r="D1362" s="41" t="str">
        <f aca="false">IF(A1362="","",IF($D$4=0,1,IFERROR(--INDEX('COOIS Raw'!$A:$GZ,ROW()-4,$D$4),1)))</f>
        <v/>
      </c>
      <c r="E1362" s="42" t="str">
        <f aca="false">IF(A1362="","",INDEX('COOIS Raw'!$A:$GZ,ROW()-4,$E$4)&amp;"")</f>
        <v/>
      </c>
      <c r="F1362" s="43" t="str">
        <f aca="false">IF(A1362="","",IFERROR(DATEVALUE(INDEX('COOIS Raw'!$A:$GZ,ROW()-4,$F$4)),INDEX('COOIS Raw'!$A:$GZ,ROW()-4,$F$4)))</f>
        <v/>
      </c>
      <c r="G1362" s="41" t="str">
        <f aca="false">IF(A1362="","",IF(ISNA(MATCH(B1362,'Kitting Plan'!$B$6:$B$19,0)),"Not in plan","Yes"))</f>
        <v/>
      </c>
      <c r="H1362" s="41" t="str">
        <f aca="false">IF(G1362="Yes",INDEX('Kitting Plan'!$D$6:$D$19,MATCH(B1362,'Kitting Plan'!$B$6:$B$19,0)),"")</f>
        <v/>
      </c>
      <c r="I1362" s="41" t="str">
        <f aca="false">IF(A1362="","",IF(ISNUMBER(SEARCH("PRT",E1362)),D1362,0))</f>
        <v/>
      </c>
      <c r="J1362" s="41" t="str">
        <f aca="false">IF(A1362="","",IF(ISNUMBER(SEARCH("GMPS",E1362)),D1362,0))</f>
        <v/>
      </c>
      <c r="K1362" s="41" t="str">
        <f aca="false">IF(A1362="","",IF(ISNUMBER(SEARCH("DLV",E1362)),D1362,0))</f>
        <v/>
      </c>
      <c r="L1362" s="41" t="str">
        <f aca="false">IF(A1362="","",IF(K1362&gt;0,"Delivered",IF(ISNUMBER(SEARCH("CNF",E1362)),"In production",IF(J1362&gt;0,"Issued",IF(I1362&gt;0,"Kitted","Released")))))</f>
        <v/>
      </c>
      <c r="M1362" s="41" t="str">
        <f aca="false">IF(G1362&lt;&gt;"Yes","",COUNTIFS($B$6:$B$1505,B1362,$F$6:$F$1505,"&lt;"&amp;F1362)+COUNTIFS($B$6:$B$1505,B1362,$F$6:$F$1505,F1362,$A$6:$A$1505,"&lt;="&amp;A1362))</f>
        <v/>
      </c>
      <c r="N1362" s="41" t="str">
        <f aca="false">IF(M1362="","",ROUNDUP(M1362/H1362,0))</f>
        <v/>
      </c>
      <c r="O1362" s="41" t="str">
        <f aca="false">IF(N1362="","",IF(N1362&lt;='Kitting Plan'!$C$3,"Rep "&amp;N1362,"Surplus"))</f>
        <v/>
      </c>
    </row>
    <row r="1363" customFormat="false" ht="15" hidden="false" customHeight="false" outlineLevel="0" collapsed="false">
      <c r="A1363" s="40" t="str">
        <f aca="false">IF(OR($A$4=0,INDEX('COOIS Raw'!$A:$GZ,ROW()-4,$A$4)=""),"",IFERROR(--INDEX('COOIS Raw'!$A:$GZ,ROW()-4,$A$4),INDEX('COOIS Raw'!$A:$GZ,ROW()-4,$A$4)))</f>
        <v/>
      </c>
      <c r="B1363" s="41" t="str">
        <f aca="false">IF(A1363="","",TRIM(INDEX('COOIS Raw'!$A:$GZ,ROW()-4,$B$4)))</f>
        <v/>
      </c>
      <c r="C1363" s="42" t="str">
        <f aca="false">IF(OR(A1363="",$C$4=0),"",INDEX('COOIS Raw'!$A:$GZ,ROW()-4,$C$4))</f>
        <v/>
      </c>
      <c r="D1363" s="41" t="str">
        <f aca="false">IF(A1363="","",IF($D$4=0,1,IFERROR(--INDEX('COOIS Raw'!$A:$GZ,ROW()-4,$D$4),1)))</f>
        <v/>
      </c>
      <c r="E1363" s="42" t="str">
        <f aca="false">IF(A1363="","",INDEX('COOIS Raw'!$A:$GZ,ROW()-4,$E$4)&amp;"")</f>
        <v/>
      </c>
      <c r="F1363" s="43" t="str">
        <f aca="false">IF(A1363="","",IFERROR(DATEVALUE(INDEX('COOIS Raw'!$A:$GZ,ROW()-4,$F$4)),INDEX('COOIS Raw'!$A:$GZ,ROW()-4,$F$4)))</f>
        <v/>
      </c>
      <c r="G1363" s="41" t="str">
        <f aca="false">IF(A1363="","",IF(ISNA(MATCH(B1363,'Kitting Plan'!$B$6:$B$19,0)),"Not in plan","Yes"))</f>
        <v/>
      </c>
      <c r="H1363" s="41" t="str">
        <f aca="false">IF(G1363="Yes",INDEX('Kitting Plan'!$D$6:$D$19,MATCH(B1363,'Kitting Plan'!$B$6:$B$19,0)),"")</f>
        <v/>
      </c>
      <c r="I1363" s="41" t="str">
        <f aca="false">IF(A1363="","",IF(ISNUMBER(SEARCH("PRT",E1363)),D1363,0))</f>
        <v/>
      </c>
      <c r="J1363" s="41" t="str">
        <f aca="false">IF(A1363="","",IF(ISNUMBER(SEARCH("GMPS",E1363)),D1363,0))</f>
        <v/>
      </c>
      <c r="K1363" s="41" t="str">
        <f aca="false">IF(A1363="","",IF(ISNUMBER(SEARCH("DLV",E1363)),D1363,0))</f>
        <v/>
      </c>
      <c r="L1363" s="41" t="str">
        <f aca="false">IF(A1363="","",IF(K1363&gt;0,"Delivered",IF(ISNUMBER(SEARCH("CNF",E1363)),"In production",IF(J1363&gt;0,"Issued",IF(I1363&gt;0,"Kitted","Released")))))</f>
        <v/>
      </c>
      <c r="M1363" s="41" t="str">
        <f aca="false">IF(G1363&lt;&gt;"Yes","",COUNTIFS($B$6:$B$1505,B1363,$F$6:$F$1505,"&lt;"&amp;F1363)+COUNTIFS($B$6:$B$1505,B1363,$F$6:$F$1505,F1363,$A$6:$A$1505,"&lt;="&amp;A1363))</f>
        <v/>
      </c>
      <c r="N1363" s="41" t="str">
        <f aca="false">IF(M1363="","",ROUNDUP(M1363/H1363,0))</f>
        <v/>
      </c>
      <c r="O1363" s="41" t="str">
        <f aca="false">IF(N1363="","",IF(N1363&lt;='Kitting Plan'!$C$3,"Rep "&amp;N1363,"Surplus"))</f>
        <v/>
      </c>
    </row>
    <row r="1364" customFormat="false" ht="15" hidden="false" customHeight="false" outlineLevel="0" collapsed="false">
      <c r="A1364" s="40" t="str">
        <f aca="false">IF(OR($A$4=0,INDEX('COOIS Raw'!$A:$GZ,ROW()-4,$A$4)=""),"",IFERROR(--INDEX('COOIS Raw'!$A:$GZ,ROW()-4,$A$4),INDEX('COOIS Raw'!$A:$GZ,ROW()-4,$A$4)))</f>
        <v/>
      </c>
      <c r="B1364" s="41" t="str">
        <f aca="false">IF(A1364="","",TRIM(INDEX('COOIS Raw'!$A:$GZ,ROW()-4,$B$4)))</f>
        <v/>
      </c>
      <c r="C1364" s="42" t="str">
        <f aca="false">IF(OR(A1364="",$C$4=0),"",INDEX('COOIS Raw'!$A:$GZ,ROW()-4,$C$4))</f>
        <v/>
      </c>
      <c r="D1364" s="41" t="str">
        <f aca="false">IF(A1364="","",IF($D$4=0,1,IFERROR(--INDEX('COOIS Raw'!$A:$GZ,ROW()-4,$D$4),1)))</f>
        <v/>
      </c>
      <c r="E1364" s="42" t="str">
        <f aca="false">IF(A1364="","",INDEX('COOIS Raw'!$A:$GZ,ROW()-4,$E$4)&amp;"")</f>
        <v/>
      </c>
      <c r="F1364" s="43" t="str">
        <f aca="false">IF(A1364="","",IFERROR(DATEVALUE(INDEX('COOIS Raw'!$A:$GZ,ROW()-4,$F$4)),INDEX('COOIS Raw'!$A:$GZ,ROW()-4,$F$4)))</f>
        <v/>
      </c>
      <c r="G1364" s="41" t="str">
        <f aca="false">IF(A1364="","",IF(ISNA(MATCH(B1364,'Kitting Plan'!$B$6:$B$19,0)),"Not in plan","Yes"))</f>
        <v/>
      </c>
      <c r="H1364" s="41" t="str">
        <f aca="false">IF(G1364="Yes",INDEX('Kitting Plan'!$D$6:$D$19,MATCH(B1364,'Kitting Plan'!$B$6:$B$19,0)),"")</f>
        <v/>
      </c>
      <c r="I1364" s="41" t="str">
        <f aca="false">IF(A1364="","",IF(ISNUMBER(SEARCH("PRT",E1364)),D1364,0))</f>
        <v/>
      </c>
      <c r="J1364" s="41" t="str">
        <f aca="false">IF(A1364="","",IF(ISNUMBER(SEARCH("GMPS",E1364)),D1364,0))</f>
        <v/>
      </c>
      <c r="K1364" s="41" t="str">
        <f aca="false">IF(A1364="","",IF(ISNUMBER(SEARCH("DLV",E1364)),D1364,0))</f>
        <v/>
      </c>
      <c r="L1364" s="41" t="str">
        <f aca="false">IF(A1364="","",IF(K1364&gt;0,"Delivered",IF(ISNUMBER(SEARCH("CNF",E1364)),"In production",IF(J1364&gt;0,"Issued",IF(I1364&gt;0,"Kitted","Released")))))</f>
        <v/>
      </c>
      <c r="M1364" s="41" t="str">
        <f aca="false">IF(G1364&lt;&gt;"Yes","",COUNTIFS($B$6:$B$1505,B1364,$F$6:$F$1505,"&lt;"&amp;F1364)+COUNTIFS($B$6:$B$1505,B1364,$F$6:$F$1505,F1364,$A$6:$A$1505,"&lt;="&amp;A1364))</f>
        <v/>
      </c>
      <c r="N1364" s="41" t="str">
        <f aca="false">IF(M1364="","",ROUNDUP(M1364/H1364,0))</f>
        <v/>
      </c>
      <c r="O1364" s="41" t="str">
        <f aca="false">IF(N1364="","",IF(N1364&lt;='Kitting Plan'!$C$3,"Rep "&amp;N1364,"Surplus"))</f>
        <v/>
      </c>
    </row>
    <row r="1365" customFormat="false" ht="15" hidden="false" customHeight="false" outlineLevel="0" collapsed="false">
      <c r="A1365" s="40" t="str">
        <f aca="false">IF(OR($A$4=0,INDEX('COOIS Raw'!$A:$GZ,ROW()-4,$A$4)=""),"",IFERROR(--INDEX('COOIS Raw'!$A:$GZ,ROW()-4,$A$4),INDEX('COOIS Raw'!$A:$GZ,ROW()-4,$A$4)))</f>
        <v/>
      </c>
      <c r="B1365" s="41" t="str">
        <f aca="false">IF(A1365="","",TRIM(INDEX('COOIS Raw'!$A:$GZ,ROW()-4,$B$4)))</f>
        <v/>
      </c>
      <c r="C1365" s="42" t="str">
        <f aca="false">IF(OR(A1365="",$C$4=0),"",INDEX('COOIS Raw'!$A:$GZ,ROW()-4,$C$4))</f>
        <v/>
      </c>
      <c r="D1365" s="41" t="str">
        <f aca="false">IF(A1365="","",IF($D$4=0,1,IFERROR(--INDEX('COOIS Raw'!$A:$GZ,ROW()-4,$D$4),1)))</f>
        <v/>
      </c>
      <c r="E1365" s="42" t="str">
        <f aca="false">IF(A1365="","",INDEX('COOIS Raw'!$A:$GZ,ROW()-4,$E$4)&amp;"")</f>
        <v/>
      </c>
      <c r="F1365" s="43" t="str">
        <f aca="false">IF(A1365="","",IFERROR(DATEVALUE(INDEX('COOIS Raw'!$A:$GZ,ROW()-4,$F$4)),INDEX('COOIS Raw'!$A:$GZ,ROW()-4,$F$4)))</f>
        <v/>
      </c>
      <c r="G1365" s="41" t="str">
        <f aca="false">IF(A1365="","",IF(ISNA(MATCH(B1365,'Kitting Plan'!$B$6:$B$19,0)),"Not in plan","Yes"))</f>
        <v/>
      </c>
      <c r="H1365" s="41" t="str">
        <f aca="false">IF(G1365="Yes",INDEX('Kitting Plan'!$D$6:$D$19,MATCH(B1365,'Kitting Plan'!$B$6:$B$19,0)),"")</f>
        <v/>
      </c>
      <c r="I1365" s="41" t="str">
        <f aca="false">IF(A1365="","",IF(ISNUMBER(SEARCH("PRT",E1365)),D1365,0))</f>
        <v/>
      </c>
      <c r="J1365" s="41" t="str">
        <f aca="false">IF(A1365="","",IF(ISNUMBER(SEARCH("GMPS",E1365)),D1365,0))</f>
        <v/>
      </c>
      <c r="K1365" s="41" t="str">
        <f aca="false">IF(A1365="","",IF(ISNUMBER(SEARCH("DLV",E1365)),D1365,0))</f>
        <v/>
      </c>
      <c r="L1365" s="41" t="str">
        <f aca="false">IF(A1365="","",IF(K1365&gt;0,"Delivered",IF(ISNUMBER(SEARCH("CNF",E1365)),"In production",IF(J1365&gt;0,"Issued",IF(I1365&gt;0,"Kitted","Released")))))</f>
        <v/>
      </c>
      <c r="M1365" s="41" t="str">
        <f aca="false">IF(G1365&lt;&gt;"Yes","",COUNTIFS($B$6:$B$1505,B1365,$F$6:$F$1505,"&lt;"&amp;F1365)+COUNTIFS($B$6:$B$1505,B1365,$F$6:$F$1505,F1365,$A$6:$A$1505,"&lt;="&amp;A1365))</f>
        <v/>
      </c>
      <c r="N1365" s="41" t="str">
        <f aca="false">IF(M1365="","",ROUNDUP(M1365/H1365,0))</f>
        <v/>
      </c>
      <c r="O1365" s="41" t="str">
        <f aca="false">IF(N1365="","",IF(N1365&lt;='Kitting Plan'!$C$3,"Rep "&amp;N1365,"Surplus"))</f>
        <v/>
      </c>
    </row>
    <row r="1366" customFormat="false" ht="15" hidden="false" customHeight="false" outlineLevel="0" collapsed="false">
      <c r="A1366" s="40" t="str">
        <f aca="false">IF(OR($A$4=0,INDEX('COOIS Raw'!$A:$GZ,ROW()-4,$A$4)=""),"",IFERROR(--INDEX('COOIS Raw'!$A:$GZ,ROW()-4,$A$4),INDEX('COOIS Raw'!$A:$GZ,ROW()-4,$A$4)))</f>
        <v/>
      </c>
      <c r="B1366" s="41" t="str">
        <f aca="false">IF(A1366="","",TRIM(INDEX('COOIS Raw'!$A:$GZ,ROW()-4,$B$4)))</f>
        <v/>
      </c>
      <c r="C1366" s="42" t="str">
        <f aca="false">IF(OR(A1366="",$C$4=0),"",INDEX('COOIS Raw'!$A:$GZ,ROW()-4,$C$4))</f>
        <v/>
      </c>
      <c r="D1366" s="41" t="str">
        <f aca="false">IF(A1366="","",IF($D$4=0,1,IFERROR(--INDEX('COOIS Raw'!$A:$GZ,ROW()-4,$D$4),1)))</f>
        <v/>
      </c>
      <c r="E1366" s="42" t="str">
        <f aca="false">IF(A1366="","",INDEX('COOIS Raw'!$A:$GZ,ROW()-4,$E$4)&amp;"")</f>
        <v/>
      </c>
      <c r="F1366" s="43" t="str">
        <f aca="false">IF(A1366="","",IFERROR(DATEVALUE(INDEX('COOIS Raw'!$A:$GZ,ROW()-4,$F$4)),INDEX('COOIS Raw'!$A:$GZ,ROW()-4,$F$4)))</f>
        <v/>
      </c>
      <c r="G1366" s="41" t="str">
        <f aca="false">IF(A1366="","",IF(ISNA(MATCH(B1366,'Kitting Plan'!$B$6:$B$19,0)),"Not in plan","Yes"))</f>
        <v/>
      </c>
      <c r="H1366" s="41" t="str">
        <f aca="false">IF(G1366="Yes",INDEX('Kitting Plan'!$D$6:$D$19,MATCH(B1366,'Kitting Plan'!$B$6:$B$19,0)),"")</f>
        <v/>
      </c>
      <c r="I1366" s="41" t="str">
        <f aca="false">IF(A1366="","",IF(ISNUMBER(SEARCH("PRT",E1366)),D1366,0))</f>
        <v/>
      </c>
      <c r="J1366" s="41" t="str">
        <f aca="false">IF(A1366="","",IF(ISNUMBER(SEARCH("GMPS",E1366)),D1366,0))</f>
        <v/>
      </c>
      <c r="K1366" s="41" t="str">
        <f aca="false">IF(A1366="","",IF(ISNUMBER(SEARCH("DLV",E1366)),D1366,0))</f>
        <v/>
      </c>
      <c r="L1366" s="41" t="str">
        <f aca="false">IF(A1366="","",IF(K1366&gt;0,"Delivered",IF(ISNUMBER(SEARCH("CNF",E1366)),"In production",IF(J1366&gt;0,"Issued",IF(I1366&gt;0,"Kitted","Released")))))</f>
        <v/>
      </c>
      <c r="M1366" s="41" t="str">
        <f aca="false">IF(G1366&lt;&gt;"Yes","",COUNTIFS($B$6:$B$1505,B1366,$F$6:$F$1505,"&lt;"&amp;F1366)+COUNTIFS($B$6:$B$1505,B1366,$F$6:$F$1505,F1366,$A$6:$A$1505,"&lt;="&amp;A1366))</f>
        <v/>
      </c>
      <c r="N1366" s="41" t="str">
        <f aca="false">IF(M1366="","",ROUNDUP(M1366/H1366,0))</f>
        <v/>
      </c>
      <c r="O1366" s="41" t="str">
        <f aca="false">IF(N1366="","",IF(N1366&lt;='Kitting Plan'!$C$3,"Rep "&amp;N1366,"Surplus"))</f>
        <v/>
      </c>
    </row>
    <row r="1367" customFormat="false" ht="15" hidden="false" customHeight="false" outlineLevel="0" collapsed="false">
      <c r="A1367" s="40" t="str">
        <f aca="false">IF(OR($A$4=0,INDEX('COOIS Raw'!$A:$GZ,ROW()-4,$A$4)=""),"",IFERROR(--INDEX('COOIS Raw'!$A:$GZ,ROW()-4,$A$4),INDEX('COOIS Raw'!$A:$GZ,ROW()-4,$A$4)))</f>
        <v/>
      </c>
      <c r="B1367" s="41" t="str">
        <f aca="false">IF(A1367="","",TRIM(INDEX('COOIS Raw'!$A:$GZ,ROW()-4,$B$4)))</f>
        <v/>
      </c>
      <c r="C1367" s="42" t="str">
        <f aca="false">IF(OR(A1367="",$C$4=0),"",INDEX('COOIS Raw'!$A:$GZ,ROW()-4,$C$4))</f>
        <v/>
      </c>
      <c r="D1367" s="41" t="str">
        <f aca="false">IF(A1367="","",IF($D$4=0,1,IFERROR(--INDEX('COOIS Raw'!$A:$GZ,ROW()-4,$D$4),1)))</f>
        <v/>
      </c>
      <c r="E1367" s="42" t="str">
        <f aca="false">IF(A1367="","",INDEX('COOIS Raw'!$A:$GZ,ROW()-4,$E$4)&amp;"")</f>
        <v/>
      </c>
      <c r="F1367" s="43" t="str">
        <f aca="false">IF(A1367="","",IFERROR(DATEVALUE(INDEX('COOIS Raw'!$A:$GZ,ROW()-4,$F$4)),INDEX('COOIS Raw'!$A:$GZ,ROW()-4,$F$4)))</f>
        <v/>
      </c>
      <c r="G1367" s="41" t="str">
        <f aca="false">IF(A1367="","",IF(ISNA(MATCH(B1367,'Kitting Plan'!$B$6:$B$19,0)),"Not in plan","Yes"))</f>
        <v/>
      </c>
      <c r="H1367" s="41" t="str">
        <f aca="false">IF(G1367="Yes",INDEX('Kitting Plan'!$D$6:$D$19,MATCH(B1367,'Kitting Plan'!$B$6:$B$19,0)),"")</f>
        <v/>
      </c>
      <c r="I1367" s="41" t="str">
        <f aca="false">IF(A1367="","",IF(ISNUMBER(SEARCH("PRT",E1367)),D1367,0))</f>
        <v/>
      </c>
      <c r="J1367" s="41" t="str">
        <f aca="false">IF(A1367="","",IF(ISNUMBER(SEARCH("GMPS",E1367)),D1367,0))</f>
        <v/>
      </c>
      <c r="K1367" s="41" t="str">
        <f aca="false">IF(A1367="","",IF(ISNUMBER(SEARCH("DLV",E1367)),D1367,0))</f>
        <v/>
      </c>
      <c r="L1367" s="41" t="str">
        <f aca="false">IF(A1367="","",IF(K1367&gt;0,"Delivered",IF(ISNUMBER(SEARCH("CNF",E1367)),"In production",IF(J1367&gt;0,"Issued",IF(I1367&gt;0,"Kitted","Released")))))</f>
        <v/>
      </c>
      <c r="M1367" s="41" t="str">
        <f aca="false">IF(G1367&lt;&gt;"Yes","",COUNTIFS($B$6:$B$1505,B1367,$F$6:$F$1505,"&lt;"&amp;F1367)+COUNTIFS($B$6:$B$1505,B1367,$F$6:$F$1505,F1367,$A$6:$A$1505,"&lt;="&amp;A1367))</f>
        <v/>
      </c>
      <c r="N1367" s="41" t="str">
        <f aca="false">IF(M1367="","",ROUNDUP(M1367/H1367,0))</f>
        <v/>
      </c>
      <c r="O1367" s="41" t="str">
        <f aca="false">IF(N1367="","",IF(N1367&lt;='Kitting Plan'!$C$3,"Rep "&amp;N1367,"Surplus"))</f>
        <v/>
      </c>
    </row>
    <row r="1368" customFormat="false" ht="15" hidden="false" customHeight="false" outlineLevel="0" collapsed="false">
      <c r="A1368" s="40" t="str">
        <f aca="false">IF(OR($A$4=0,INDEX('COOIS Raw'!$A:$GZ,ROW()-4,$A$4)=""),"",IFERROR(--INDEX('COOIS Raw'!$A:$GZ,ROW()-4,$A$4),INDEX('COOIS Raw'!$A:$GZ,ROW()-4,$A$4)))</f>
        <v/>
      </c>
      <c r="B1368" s="41" t="str">
        <f aca="false">IF(A1368="","",TRIM(INDEX('COOIS Raw'!$A:$GZ,ROW()-4,$B$4)))</f>
        <v/>
      </c>
      <c r="C1368" s="42" t="str">
        <f aca="false">IF(OR(A1368="",$C$4=0),"",INDEX('COOIS Raw'!$A:$GZ,ROW()-4,$C$4))</f>
        <v/>
      </c>
      <c r="D1368" s="41" t="str">
        <f aca="false">IF(A1368="","",IF($D$4=0,1,IFERROR(--INDEX('COOIS Raw'!$A:$GZ,ROW()-4,$D$4),1)))</f>
        <v/>
      </c>
      <c r="E1368" s="42" t="str">
        <f aca="false">IF(A1368="","",INDEX('COOIS Raw'!$A:$GZ,ROW()-4,$E$4)&amp;"")</f>
        <v/>
      </c>
      <c r="F1368" s="43" t="str">
        <f aca="false">IF(A1368="","",IFERROR(DATEVALUE(INDEX('COOIS Raw'!$A:$GZ,ROW()-4,$F$4)),INDEX('COOIS Raw'!$A:$GZ,ROW()-4,$F$4)))</f>
        <v/>
      </c>
      <c r="G1368" s="41" t="str">
        <f aca="false">IF(A1368="","",IF(ISNA(MATCH(B1368,'Kitting Plan'!$B$6:$B$19,0)),"Not in plan","Yes"))</f>
        <v/>
      </c>
      <c r="H1368" s="41" t="str">
        <f aca="false">IF(G1368="Yes",INDEX('Kitting Plan'!$D$6:$D$19,MATCH(B1368,'Kitting Plan'!$B$6:$B$19,0)),"")</f>
        <v/>
      </c>
      <c r="I1368" s="41" t="str">
        <f aca="false">IF(A1368="","",IF(ISNUMBER(SEARCH("PRT",E1368)),D1368,0))</f>
        <v/>
      </c>
      <c r="J1368" s="41" t="str">
        <f aca="false">IF(A1368="","",IF(ISNUMBER(SEARCH("GMPS",E1368)),D1368,0))</f>
        <v/>
      </c>
      <c r="K1368" s="41" t="str">
        <f aca="false">IF(A1368="","",IF(ISNUMBER(SEARCH("DLV",E1368)),D1368,0))</f>
        <v/>
      </c>
      <c r="L1368" s="41" t="str">
        <f aca="false">IF(A1368="","",IF(K1368&gt;0,"Delivered",IF(ISNUMBER(SEARCH("CNF",E1368)),"In production",IF(J1368&gt;0,"Issued",IF(I1368&gt;0,"Kitted","Released")))))</f>
        <v/>
      </c>
      <c r="M1368" s="41" t="str">
        <f aca="false">IF(G1368&lt;&gt;"Yes","",COUNTIFS($B$6:$B$1505,B1368,$F$6:$F$1505,"&lt;"&amp;F1368)+COUNTIFS($B$6:$B$1505,B1368,$F$6:$F$1505,F1368,$A$6:$A$1505,"&lt;="&amp;A1368))</f>
        <v/>
      </c>
      <c r="N1368" s="41" t="str">
        <f aca="false">IF(M1368="","",ROUNDUP(M1368/H1368,0))</f>
        <v/>
      </c>
      <c r="O1368" s="41" t="str">
        <f aca="false">IF(N1368="","",IF(N1368&lt;='Kitting Plan'!$C$3,"Rep "&amp;N1368,"Surplus"))</f>
        <v/>
      </c>
    </row>
    <row r="1369" customFormat="false" ht="15" hidden="false" customHeight="false" outlineLevel="0" collapsed="false">
      <c r="A1369" s="40" t="str">
        <f aca="false">IF(OR($A$4=0,INDEX('COOIS Raw'!$A:$GZ,ROW()-4,$A$4)=""),"",IFERROR(--INDEX('COOIS Raw'!$A:$GZ,ROW()-4,$A$4),INDEX('COOIS Raw'!$A:$GZ,ROW()-4,$A$4)))</f>
        <v/>
      </c>
      <c r="B1369" s="41" t="str">
        <f aca="false">IF(A1369="","",TRIM(INDEX('COOIS Raw'!$A:$GZ,ROW()-4,$B$4)))</f>
        <v/>
      </c>
      <c r="C1369" s="42" t="str">
        <f aca="false">IF(OR(A1369="",$C$4=0),"",INDEX('COOIS Raw'!$A:$GZ,ROW()-4,$C$4))</f>
        <v/>
      </c>
      <c r="D1369" s="41" t="str">
        <f aca="false">IF(A1369="","",IF($D$4=0,1,IFERROR(--INDEX('COOIS Raw'!$A:$GZ,ROW()-4,$D$4),1)))</f>
        <v/>
      </c>
      <c r="E1369" s="42" t="str">
        <f aca="false">IF(A1369="","",INDEX('COOIS Raw'!$A:$GZ,ROW()-4,$E$4)&amp;"")</f>
        <v/>
      </c>
      <c r="F1369" s="43" t="str">
        <f aca="false">IF(A1369="","",IFERROR(DATEVALUE(INDEX('COOIS Raw'!$A:$GZ,ROW()-4,$F$4)),INDEX('COOIS Raw'!$A:$GZ,ROW()-4,$F$4)))</f>
        <v/>
      </c>
      <c r="G1369" s="41" t="str">
        <f aca="false">IF(A1369="","",IF(ISNA(MATCH(B1369,'Kitting Plan'!$B$6:$B$19,0)),"Not in plan","Yes"))</f>
        <v/>
      </c>
      <c r="H1369" s="41" t="str">
        <f aca="false">IF(G1369="Yes",INDEX('Kitting Plan'!$D$6:$D$19,MATCH(B1369,'Kitting Plan'!$B$6:$B$19,0)),"")</f>
        <v/>
      </c>
      <c r="I1369" s="41" t="str">
        <f aca="false">IF(A1369="","",IF(ISNUMBER(SEARCH("PRT",E1369)),D1369,0))</f>
        <v/>
      </c>
      <c r="J1369" s="41" t="str">
        <f aca="false">IF(A1369="","",IF(ISNUMBER(SEARCH("GMPS",E1369)),D1369,0))</f>
        <v/>
      </c>
      <c r="K1369" s="41" t="str">
        <f aca="false">IF(A1369="","",IF(ISNUMBER(SEARCH("DLV",E1369)),D1369,0))</f>
        <v/>
      </c>
      <c r="L1369" s="41" t="str">
        <f aca="false">IF(A1369="","",IF(K1369&gt;0,"Delivered",IF(ISNUMBER(SEARCH("CNF",E1369)),"In production",IF(J1369&gt;0,"Issued",IF(I1369&gt;0,"Kitted","Released")))))</f>
        <v/>
      </c>
      <c r="M1369" s="41" t="str">
        <f aca="false">IF(G1369&lt;&gt;"Yes","",COUNTIFS($B$6:$B$1505,B1369,$F$6:$F$1505,"&lt;"&amp;F1369)+COUNTIFS($B$6:$B$1505,B1369,$F$6:$F$1505,F1369,$A$6:$A$1505,"&lt;="&amp;A1369))</f>
        <v/>
      </c>
      <c r="N1369" s="41" t="str">
        <f aca="false">IF(M1369="","",ROUNDUP(M1369/H1369,0))</f>
        <v/>
      </c>
      <c r="O1369" s="41" t="str">
        <f aca="false">IF(N1369="","",IF(N1369&lt;='Kitting Plan'!$C$3,"Rep "&amp;N1369,"Surplus"))</f>
        <v/>
      </c>
    </row>
    <row r="1370" customFormat="false" ht="15" hidden="false" customHeight="false" outlineLevel="0" collapsed="false">
      <c r="A1370" s="40" t="str">
        <f aca="false">IF(OR($A$4=0,INDEX('COOIS Raw'!$A:$GZ,ROW()-4,$A$4)=""),"",IFERROR(--INDEX('COOIS Raw'!$A:$GZ,ROW()-4,$A$4),INDEX('COOIS Raw'!$A:$GZ,ROW()-4,$A$4)))</f>
        <v/>
      </c>
      <c r="B1370" s="41" t="str">
        <f aca="false">IF(A1370="","",TRIM(INDEX('COOIS Raw'!$A:$GZ,ROW()-4,$B$4)))</f>
        <v/>
      </c>
      <c r="C1370" s="42" t="str">
        <f aca="false">IF(OR(A1370="",$C$4=0),"",INDEX('COOIS Raw'!$A:$GZ,ROW()-4,$C$4))</f>
        <v/>
      </c>
      <c r="D1370" s="41" t="str">
        <f aca="false">IF(A1370="","",IF($D$4=0,1,IFERROR(--INDEX('COOIS Raw'!$A:$GZ,ROW()-4,$D$4),1)))</f>
        <v/>
      </c>
      <c r="E1370" s="42" t="str">
        <f aca="false">IF(A1370="","",INDEX('COOIS Raw'!$A:$GZ,ROW()-4,$E$4)&amp;"")</f>
        <v/>
      </c>
      <c r="F1370" s="43" t="str">
        <f aca="false">IF(A1370="","",IFERROR(DATEVALUE(INDEX('COOIS Raw'!$A:$GZ,ROW()-4,$F$4)),INDEX('COOIS Raw'!$A:$GZ,ROW()-4,$F$4)))</f>
        <v/>
      </c>
      <c r="G1370" s="41" t="str">
        <f aca="false">IF(A1370="","",IF(ISNA(MATCH(B1370,'Kitting Plan'!$B$6:$B$19,0)),"Not in plan","Yes"))</f>
        <v/>
      </c>
      <c r="H1370" s="41" t="str">
        <f aca="false">IF(G1370="Yes",INDEX('Kitting Plan'!$D$6:$D$19,MATCH(B1370,'Kitting Plan'!$B$6:$B$19,0)),"")</f>
        <v/>
      </c>
      <c r="I1370" s="41" t="str">
        <f aca="false">IF(A1370="","",IF(ISNUMBER(SEARCH("PRT",E1370)),D1370,0))</f>
        <v/>
      </c>
      <c r="J1370" s="41" t="str">
        <f aca="false">IF(A1370="","",IF(ISNUMBER(SEARCH("GMPS",E1370)),D1370,0))</f>
        <v/>
      </c>
      <c r="K1370" s="41" t="str">
        <f aca="false">IF(A1370="","",IF(ISNUMBER(SEARCH("DLV",E1370)),D1370,0))</f>
        <v/>
      </c>
      <c r="L1370" s="41" t="str">
        <f aca="false">IF(A1370="","",IF(K1370&gt;0,"Delivered",IF(ISNUMBER(SEARCH("CNF",E1370)),"In production",IF(J1370&gt;0,"Issued",IF(I1370&gt;0,"Kitted","Released")))))</f>
        <v/>
      </c>
      <c r="M1370" s="41" t="str">
        <f aca="false">IF(G1370&lt;&gt;"Yes","",COUNTIFS($B$6:$B$1505,B1370,$F$6:$F$1505,"&lt;"&amp;F1370)+COUNTIFS($B$6:$B$1505,B1370,$F$6:$F$1505,F1370,$A$6:$A$1505,"&lt;="&amp;A1370))</f>
        <v/>
      </c>
      <c r="N1370" s="41" t="str">
        <f aca="false">IF(M1370="","",ROUNDUP(M1370/H1370,0))</f>
        <v/>
      </c>
      <c r="O1370" s="41" t="str">
        <f aca="false">IF(N1370="","",IF(N1370&lt;='Kitting Plan'!$C$3,"Rep "&amp;N1370,"Surplus"))</f>
        <v/>
      </c>
    </row>
    <row r="1371" customFormat="false" ht="15" hidden="false" customHeight="false" outlineLevel="0" collapsed="false">
      <c r="A1371" s="40" t="str">
        <f aca="false">IF(OR($A$4=0,INDEX('COOIS Raw'!$A:$GZ,ROW()-4,$A$4)=""),"",IFERROR(--INDEX('COOIS Raw'!$A:$GZ,ROW()-4,$A$4),INDEX('COOIS Raw'!$A:$GZ,ROW()-4,$A$4)))</f>
        <v/>
      </c>
      <c r="B1371" s="41" t="str">
        <f aca="false">IF(A1371="","",TRIM(INDEX('COOIS Raw'!$A:$GZ,ROW()-4,$B$4)))</f>
        <v/>
      </c>
      <c r="C1371" s="42" t="str">
        <f aca="false">IF(OR(A1371="",$C$4=0),"",INDEX('COOIS Raw'!$A:$GZ,ROW()-4,$C$4))</f>
        <v/>
      </c>
      <c r="D1371" s="41" t="str">
        <f aca="false">IF(A1371="","",IF($D$4=0,1,IFERROR(--INDEX('COOIS Raw'!$A:$GZ,ROW()-4,$D$4),1)))</f>
        <v/>
      </c>
      <c r="E1371" s="42" t="str">
        <f aca="false">IF(A1371="","",INDEX('COOIS Raw'!$A:$GZ,ROW()-4,$E$4)&amp;"")</f>
        <v/>
      </c>
      <c r="F1371" s="43" t="str">
        <f aca="false">IF(A1371="","",IFERROR(DATEVALUE(INDEX('COOIS Raw'!$A:$GZ,ROW()-4,$F$4)),INDEX('COOIS Raw'!$A:$GZ,ROW()-4,$F$4)))</f>
        <v/>
      </c>
      <c r="G1371" s="41" t="str">
        <f aca="false">IF(A1371="","",IF(ISNA(MATCH(B1371,'Kitting Plan'!$B$6:$B$19,0)),"Not in plan","Yes"))</f>
        <v/>
      </c>
      <c r="H1371" s="41" t="str">
        <f aca="false">IF(G1371="Yes",INDEX('Kitting Plan'!$D$6:$D$19,MATCH(B1371,'Kitting Plan'!$B$6:$B$19,0)),"")</f>
        <v/>
      </c>
      <c r="I1371" s="41" t="str">
        <f aca="false">IF(A1371="","",IF(ISNUMBER(SEARCH("PRT",E1371)),D1371,0))</f>
        <v/>
      </c>
      <c r="J1371" s="41" t="str">
        <f aca="false">IF(A1371="","",IF(ISNUMBER(SEARCH("GMPS",E1371)),D1371,0))</f>
        <v/>
      </c>
      <c r="K1371" s="41" t="str">
        <f aca="false">IF(A1371="","",IF(ISNUMBER(SEARCH("DLV",E1371)),D1371,0))</f>
        <v/>
      </c>
      <c r="L1371" s="41" t="str">
        <f aca="false">IF(A1371="","",IF(K1371&gt;0,"Delivered",IF(ISNUMBER(SEARCH("CNF",E1371)),"In production",IF(J1371&gt;0,"Issued",IF(I1371&gt;0,"Kitted","Released")))))</f>
        <v/>
      </c>
      <c r="M1371" s="41" t="str">
        <f aca="false">IF(G1371&lt;&gt;"Yes","",COUNTIFS($B$6:$B$1505,B1371,$F$6:$F$1505,"&lt;"&amp;F1371)+COUNTIFS($B$6:$B$1505,B1371,$F$6:$F$1505,F1371,$A$6:$A$1505,"&lt;="&amp;A1371))</f>
        <v/>
      </c>
      <c r="N1371" s="41" t="str">
        <f aca="false">IF(M1371="","",ROUNDUP(M1371/H1371,0))</f>
        <v/>
      </c>
      <c r="O1371" s="41" t="str">
        <f aca="false">IF(N1371="","",IF(N1371&lt;='Kitting Plan'!$C$3,"Rep "&amp;N1371,"Surplus"))</f>
        <v/>
      </c>
    </row>
    <row r="1372" customFormat="false" ht="15" hidden="false" customHeight="false" outlineLevel="0" collapsed="false">
      <c r="A1372" s="40" t="str">
        <f aca="false">IF(OR($A$4=0,INDEX('COOIS Raw'!$A:$GZ,ROW()-4,$A$4)=""),"",IFERROR(--INDEX('COOIS Raw'!$A:$GZ,ROW()-4,$A$4),INDEX('COOIS Raw'!$A:$GZ,ROW()-4,$A$4)))</f>
        <v/>
      </c>
      <c r="B1372" s="41" t="str">
        <f aca="false">IF(A1372="","",TRIM(INDEX('COOIS Raw'!$A:$GZ,ROW()-4,$B$4)))</f>
        <v/>
      </c>
      <c r="C1372" s="42" t="str">
        <f aca="false">IF(OR(A1372="",$C$4=0),"",INDEX('COOIS Raw'!$A:$GZ,ROW()-4,$C$4))</f>
        <v/>
      </c>
      <c r="D1372" s="41" t="str">
        <f aca="false">IF(A1372="","",IF($D$4=0,1,IFERROR(--INDEX('COOIS Raw'!$A:$GZ,ROW()-4,$D$4),1)))</f>
        <v/>
      </c>
      <c r="E1372" s="42" t="str">
        <f aca="false">IF(A1372="","",INDEX('COOIS Raw'!$A:$GZ,ROW()-4,$E$4)&amp;"")</f>
        <v/>
      </c>
      <c r="F1372" s="43" t="str">
        <f aca="false">IF(A1372="","",IFERROR(DATEVALUE(INDEX('COOIS Raw'!$A:$GZ,ROW()-4,$F$4)),INDEX('COOIS Raw'!$A:$GZ,ROW()-4,$F$4)))</f>
        <v/>
      </c>
      <c r="G1372" s="41" t="str">
        <f aca="false">IF(A1372="","",IF(ISNA(MATCH(B1372,'Kitting Plan'!$B$6:$B$19,0)),"Not in plan","Yes"))</f>
        <v/>
      </c>
      <c r="H1372" s="41" t="str">
        <f aca="false">IF(G1372="Yes",INDEX('Kitting Plan'!$D$6:$D$19,MATCH(B1372,'Kitting Plan'!$B$6:$B$19,0)),"")</f>
        <v/>
      </c>
      <c r="I1372" s="41" t="str">
        <f aca="false">IF(A1372="","",IF(ISNUMBER(SEARCH("PRT",E1372)),D1372,0))</f>
        <v/>
      </c>
      <c r="J1372" s="41" t="str">
        <f aca="false">IF(A1372="","",IF(ISNUMBER(SEARCH("GMPS",E1372)),D1372,0))</f>
        <v/>
      </c>
      <c r="K1372" s="41" t="str">
        <f aca="false">IF(A1372="","",IF(ISNUMBER(SEARCH("DLV",E1372)),D1372,0))</f>
        <v/>
      </c>
      <c r="L1372" s="41" t="str">
        <f aca="false">IF(A1372="","",IF(K1372&gt;0,"Delivered",IF(ISNUMBER(SEARCH("CNF",E1372)),"In production",IF(J1372&gt;0,"Issued",IF(I1372&gt;0,"Kitted","Released")))))</f>
        <v/>
      </c>
      <c r="M1372" s="41" t="str">
        <f aca="false">IF(G1372&lt;&gt;"Yes","",COUNTIFS($B$6:$B$1505,B1372,$F$6:$F$1505,"&lt;"&amp;F1372)+COUNTIFS($B$6:$B$1505,B1372,$F$6:$F$1505,F1372,$A$6:$A$1505,"&lt;="&amp;A1372))</f>
        <v/>
      </c>
      <c r="N1372" s="41" t="str">
        <f aca="false">IF(M1372="","",ROUNDUP(M1372/H1372,0))</f>
        <v/>
      </c>
      <c r="O1372" s="41" t="str">
        <f aca="false">IF(N1372="","",IF(N1372&lt;='Kitting Plan'!$C$3,"Rep "&amp;N1372,"Surplus"))</f>
        <v/>
      </c>
    </row>
    <row r="1373" customFormat="false" ht="15" hidden="false" customHeight="false" outlineLevel="0" collapsed="false">
      <c r="A1373" s="40" t="str">
        <f aca="false">IF(OR($A$4=0,INDEX('COOIS Raw'!$A:$GZ,ROW()-4,$A$4)=""),"",IFERROR(--INDEX('COOIS Raw'!$A:$GZ,ROW()-4,$A$4),INDEX('COOIS Raw'!$A:$GZ,ROW()-4,$A$4)))</f>
        <v/>
      </c>
      <c r="B1373" s="41" t="str">
        <f aca="false">IF(A1373="","",TRIM(INDEX('COOIS Raw'!$A:$GZ,ROW()-4,$B$4)))</f>
        <v/>
      </c>
      <c r="C1373" s="42" t="str">
        <f aca="false">IF(OR(A1373="",$C$4=0),"",INDEX('COOIS Raw'!$A:$GZ,ROW()-4,$C$4))</f>
        <v/>
      </c>
      <c r="D1373" s="41" t="str">
        <f aca="false">IF(A1373="","",IF($D$4=0,1,IFERROR(--INDEX('COOIS Raw'!$A:$GZ,ROW()-4,$D$4),1)))</f>
        <v/>
      </c>
      <c r="E1373" s="42" t="str">
        <f aca="false">IF(A1373="","",INDEX('COOIS Raw'!$A:$GZ,ROW()-4,$E$4)&amp;"")</f>
        <v/>
      </c>
      <c r="F1373" s="43" t="str">
        <f aca="false">IF(A1373="","",IFERROR(DATEVALUE(INDEX('COOIS Raw'!$A:$GZ,ROW()-4,$F$4)),INDEX('COOIS Raw'!$A:$GZ,ROW()-4,$F$4)))</f>
        <v/>
      </c>
      <c r="G1373" s="41" t="str">
        <f aca="false">IF(A1373="","",IF(ISNA(MATCH(B1373,'Kitting Plan'!$B$6:$B$19,0)),"Not in plan","Yes"))</f>
        <v/>
      </c>
      <c r="H1373" s="41" t="str">
        <f aca="false">IF(G1373="Yes",INDEX('Kitting Plan'!$D$6:$D$19,MATCH(B1373,'Kitting Plan'!$B$6:$B$19,0)),"")</f>
        <v/>
      </c>
      <c r="I1373" s="41" t="str">
        <f aca="false">IF(A1373="","",IF(ISNUMBER(SEARCH("PRT",E1373)),D1373,0))</f>
        <v/>
      </c>
      <c r="J1373" s="41" t="str">
        <f aca="false">IF(A1373="","",IF(ISNUMBER(SEARCH("GMPS",E1373)),D1373,0))</f>
        <v/>
      </c>
      <c r="K1373" s="41" t="str">
        <f aca="false">IF(A1373="","",IF(ISNUMBER(SEARCH("DLV",E1373)),D1373,0))</f>
        <v/>
      </c>
      <c r="L1373" s="41" t="str">
        <f aca="false">IF(A1373="","",IF(K1373&gt;0,"Delivered",IF(ISNUMBER(SEARCH("CNF",E1373)),"In production",IF(J1373&gt;0,"Issued",IF(I1373&gt;0,"Kitted","Released")))))</f>
        <v/>
      </c>
      <c r="M1373" s="41" t="str">
        <f aca="false">IF(G1373&lt;&gt;"Yes","",COUNTIFS($B$6:$B$1505,B1373,$F$6:$F$1505,"&lt;"&amp;F1373)+COUNTIFS($B$6:$B$1505,B1373,$F$6:$F$1505,F1373,$A$6:$A$1505,"&lt;="&amp;A1373))</f>
        <v/>
      </c>
      <c r="N1373" s="41" t="str">
        <f aca="false">IF(M1373="","",ROUNDUP(M1373/H1373,0))</f>
        <v/>
      </c>
      <c r="O1373" s="41" t="str">
        <f aca="false">IF(N1373="","",IF(N1373&lt;='Kitting Plan'!$C$3,"Rep "&amp;N1373,"Surplus"))</f>
        <v/>
      </c>
    </row>
    <row r="1374" customFormat="false" ht="15" hidden="false" customHeight="false" outlineLevel="0" collapsed="false">
      <c r="A1374" s="40" t="str">
        <f aca="false">IF(OR($A$4=0,INDEX('COOIS Raw'!$A:$GZ,ROW()-4,$A$4)=""),"",IFERROR(--INDEX('COOIS Raw'!$A:$GZ,ROW()-4,$A$4),INDEX('COOIS Raw'!$A:$GZ,ROW()-4,$A$4)))</f>
        <v/>
      </c>
      <c r="B1374" s="41" t="str">
        <f aca="false">IF(A1374="","",TRIM(INDEX('COOIS Raw'!$A:$GZ,ROW()-4,$B$4)))</f>
        <v/>
      </c>
      <c r="C1374" s="42" t="str">
        <f aca="false">IF(OR(A1374="",$C$4=0),"",INDEX('COOIS Raw'!$A:$GZ,ROW()-4,$C$4))</f>
        <v/>
      </c>
      <c r="D1374" s="41" t="str">
        <f aca="false">IF(A1374="","",IF($D$4=0,1,IFERROR(--INDEX('COOIS Raw'!$A:$GZ,ROW()-4,$D$4),1)))</f>
        <v/>
      </c>
      <c r="E1374" s="42" t="str">
        <f aca="false">IF(A1374="","",INDEX('COOIS Raw'!$A:$GZ,ROW()-4,$E$4)&amp;"")</f>
        <v/>
      </c>
      <c r="F1374" s="43" t="str">
        <f aca="false">IF(A1374="","",IFERROR(DATEVALUE(INDEX('COOIS Raw'!$A:$GZ,ROW()-4,$F$4)),INDEX('COOIS Raw'!$A:$GZ,ROW()-4,$F$4)))</f>
        <v/>
      </c>
      <c r="G1374" s="41" t="str">
        <f aca="false">IF(A1374="","",IF(ISNA(MATCH(B1374,'Kitting Plan'!$B$6:$B$19,0)),"Not in plan","Yes"))</f>
        <v/>
      </c>
      <c r="H1374" s="41" t="str">
        <f aca="false">IF(G1374="Yes",INDEX('Kitting Plan'!$D$6:$D$19,MATCH(B1374,'Kitting Plan'!$B$6:$B$19,0)),"")</f>
        <v/>
      </c>
      <c r="I1374" s="41" t="str">
        <f aca="false">IF(A1374="","",IF(ISNUMBER(SEARCH("PRT",E1374)),D1374,0))</f>
        <v/>
      </c>
      <c r="J1374" s="41" t="str">
        <f aca="false">IF(A1374="","",IF(ISNUMBER(SEARCH("GMPS",E1374)),D1374,0))</f>
        <v/>
      </c>
      <c r="K1374" s="41" t="str">
        <f aca="false">IF(A1374="","",IF(ISNUMBER(SEARCH("DLV",E1374)),D1374,0))</f>
        <v/>
      </c>
      <c r="L1374" s="41" t="str">
        <f aca="false">IF(A1374="","",IF(K1374&gt;0,"Delivered",IF(ISNUMBER(SEARCH("CNF",E1374)),"In production",IF(J1374&gt;0,"Issued",IF(I1374&gt;0,"Kitted","Released")))))</f>
        <v/>
      </c>
      <c r="M1374" s="41" t="str">
        <f aca="false">IF(G1374&lt;&gt;"Yes","",COUNTIFS($B$6:$B$1505,B1374,$F$6:$F$1505,"&lt;"&amp;F1374)+COUNTIFS($B$6:$B$1505,B1374,$F$6:$F$1505,F1374,$A$6:$A$1505,"&lt;="&amp;A1374))</f>
        <v/>
      </c>
      <c r="N1374" s="41" t="str">
        <f aca="false">IF(M1374="","",ROUNDUP(M1374/H1374,0))</f>
        <v/>
      </c>
      <c r="O1374" s="41" t="str">
        <f aca="false">IF(N1374="","",IF(N1374&lt;='Kitting Plan'!$C$3,"Rep "&amp;N1374,"Surplus"))</f>
        <v/>
      </c>
    </row>
    <row r="1375" customFormat="false" ht="15" hidden="false" customHeight="false" outlineLevel="0" collapsed="false">
      <c r="A1375" s="40" t="str">
        <f aca="false">IF(OR($A$4=0,INDEX('COOIS Raw'!$A:$GZ,ROW()-4,$A$4)=""),"",IFERROR(--INDEX('COOIS Raw'!$A:$GZ,ROW()-4,$A$4),INDEX('COOIS Raw'!$A:$GZ,ROW()-4,$A$4)))</f>
        <v/>
      </c>
      <c r="B1375" s="41" t="str">
        <f aca="false">IF(A1375="","",TRIM(INDEX('COOIS Raw'!$A:$GZ,ROW()-4,$B$4)))</f>
        <v/>
      </c>
      <c r="C1375" s="42" t="str">
        <f aca="false">IF(OR(A1375="",$C$4=0),"",INDEX('COOIS Raw'!$A:$GZ,ROW()-4,$C$4))</f>
        <v/>
      </c>
      <c r="D1375" s="41" t="str">
        <f aca="false">IF(A1375="","",IF($D$4=0,1,IFERROR(--INDEX('COOIS Raw'!$A:$GZ,ROW()-4,$D$4),1)))</f>
        <v/>
      </c>
      <c r="E1375" s="42" t="str">
        <f aca="false">IF(A1375="","",INDEX('COOIS Raw'!$A:$GZ,ROW()-4,$E$4)&amp;"")</f>
        <v/>
      </c>
      <c r="F1375" s="43" t="str">
        <f aca="false">IF(A1375="","",IFERROR(DATEVALUE(INDEX('COOIS Raw'!$A:$GZ,ROW()-4,$F$4)),INDEX('COOIS Raw'!$A:$GZ,ROW()-4,$F$4)))</f>
        <v/>
      </c>
      <c r="G1375" s="41" t="str">
        <f aca="false">IF(A1375="","",IF(ISNA(MATCH(B1375,'Kitting Plan'!$B$6:$B$19,0)),"Not in plan","Yes"))</f>
        <v/>
      </c>
      <c r="H1375" s="41" t="str">
        <f aca="false">IF(G1375="Yes",INDEX('Kitting Plan'!$D$6:$D$19,MATCH(B1375,'Kitting Plan'!$B$6:$B$19,0)),"")</f>
        <v/>
      </c>
      <c r="I1375" s="41" t="str">
        <f aca="false">IF(A1375="","",IF(ISNUMBER(SEARCH("PRT",E1375)),D1375,0))</f>
        <v/>
      </c>
      <c r="J1375" s="41" t="str">
        <f aca="false">IF(A1375="","",IF(ISNUMBER(SEARCH("GMPS",E1375)),D1375,0))</f>
        <v/>
      </c>
      <c r="K1375" s="41" t="str">
        <f aca="false">IF(A1375="","",IF(ISNUMBER(SEARCH("DLV",E1375)),D1375,0))</f>
        <v/>
      </c>
      <c r="L1375" s="41" t="str">
        <f aca="false">IF(A1375="","",IF(K1375&gt;0,"Delivered",IF(ISNUMBER(SEARCH("CNF",E1375)),"In production",IF(J1375&gt;0,"Issued",IF(I1375&gt;0,"Kitted","Released")))))</f>
        <v/>
      </c>
      <c r="M1375" s="41" t="str">
        <f aca="false">IF(G1375&lt;&gt;"Yes","",COUNTIFS($B$6:$B$1505,B1375,$F$6:$F$1505,"&lt;"&amp;F1375)+COUNTIFS($B$6:$B$1505,B1375,$F$6:$F$1505,F1375,$A$6:$A$1505,"&lt;="&amp;A1375))</f>
        <v/>
      </c>
      <c r="N1375" s="41" t="str">
        <f aca="false">IF(M1375="","",ROUNDUP(M1375/H1375,0))</f>
        <v/>
      </c>
      <c r="O1375" s="41" t="str">
        <f aca="false">IF(N1375="","",IF(N1375&lt;='Kitting Plan'!$C$3,"Rep "&amp;N1375,"Surplus"))</f>
        <v/>
      </c>
    </row>
    <row r="1376" customFormat="false" ht="15" hidden="false" customHeight="false" outlineLevel="0" collapsed="false">
      <c r="A1376" s="40" t="str">
        <f aca="false">IF(OR($A$4=0,INDEX('COOIS Raw'!$A:$GZ,ROW()-4,$A$4)=""),"",IFERROR(--INDEX('COOIS Raw'!$A:$GZ,ROW()-4,$A$4),INDEX('COOIS Raw'!$A:$GZ,ROW()-4,$A$4)))</f>
        <v/>
      </c>
      <c r="B1376" s="41" t="str">
        <f aca="false">IF(A1376="","",TRIM(INDEX('COOIS Raw'!$A:$GZ,ROW()-4,$B$4)))</f>
        <v/>
      </c>
      <c r="C1376" s="42" t="str">
        <f aca="false">IF(OR(A1376="",$C$4=0),"",INDEX('COOIS Raw'!$A:$GZ,ROW()-4,$C$4))</f>
        <v/>
      </c>
      <c r="D1376" s="41" t="str">
        <f aca="false">IF(A1376="","",IF($D$4=0,1,IFERROR(--INDEX('COOIS Raw'!$A:$GZ,ROW()-4,$D$4),1)))</f>
        <v/>
      </c>
      <c r="E1376" s="42" t="str">
        <f aca="false">IF(A1376="","",INDEX('COOIS Raw'!$A:$GZ,ROW()-4,$E$4)&amp;"")</f>
        <v/>
      </c>
      <c r="F1376" s="43" t="str">
        <f aca="false">IF(A1376="","",IFERROR(DATEVALUE(INDEX('COOIS Raw'!$A:$GZ,ROW()-4,$F$4)),INDEX('COOIS Raw'!$A:$GZ,ROW()-4,$F$4)))</f>
        <v/>
      </c>
      <c r="G1376" s="41" t="str">
        <f aca="false">IF(A1376="","",IF(ISNA(MATCH(B1376,'Kitting Plan'!$B$6:$B$19,0)),"Not in plan","Yes"))</f>
        <v/>
      </c>
      <c r="H1376" s="41" t="str">
        <f aca="false">IF(G1376="Yes",INDEX('Kitting Plan'!$D$6:$D$19,MATCH(B1376,'Kitting Plan'!$B$6:$B$19,0)),"")</f>
        <v/>
      </c>
      <c r="I1376" s="41" t="str">
        <f aca="false">IF(A1376="","",IF(ISNUMBER(SEARCH("PRT",E1376)),D1376,0))</f>
        <v/>
      </c>
      <c r="J1376" s="41" t="str">
        <f aca="false">IF(A1376="","",IF(ISNUMBER(SEARCH("GMPS",E1376)),D1376,0))</f>
        <v/>
      </c>
      <c r="K1376" s="41" t="str">
        <f aca="false">IF(A1376="","",IF(ISNUMBER(SEARCH("DLV",E1376)),D1376,0))</f>
        <v/>
      </c>
      <c r="L1376" s="41" t="str">
        <f aca="false">IF(A1376="","",IF(K1376&gt;0,"Delivered",IF(ISNUMBER(SEARCH("CNF",E1376)),"In production",IF(J1376&gt;0,"Issued",IF(I1376&gt;0,"Kitted","Released")))))</f>
        <v/>
      </c>
      <c r="M1376" s="41" t="str">
        <f aca="false">IF(G1376&lt;&gt;"Yes","",COUNTIFS($B$6:$B$1505,B1376,$F$6:$F$1505,"&lt;"&amp;F1376)+COUNTIFS($B$6:$B$1505,B1376,$F$6:$F$1505,F1376,$A$6:$A$1505,"&lt;="&amp;A1376))</f>
        <v/>
      </c>
      <c r="N1376" s="41" t="str">
        <f aca="false">IF(M1376="","",ROUNDUP(M1376/H1376,0))</f>
        <v/>
      </c>
      <c r="O1376" s="41" t="str">
        <f aca="false">IF(N1376="","",IF(N1376&lt;='Kitting Plan'!$C$3,"Rep "&amp;N1376,"Surplus"))</f>
        <v/>
      </c>
    </row>
    <row r="1377" customFormat="false" ht="15" hidden="false" customHeight="false" outlineLevel="0" collapsed="false">
      <c r="A1377" s="40" t="str">
        <f aca="false">IF(OR($A$4=0,INDEX('COOIS Raw'!$A:$GZ,ROW()-4,$A$4)=""),"",IFERROR(--INDEX('COOIS Raw'!$A:$GZ,ROW()-4,$A$4),INDEX('COOIS Raw'!$A:$GZ,ROW()-4,$A$4)))</f>
        <v/>
      </c>
      <c r="B1377" s="41" t="str">
        <f aca="false">IF(A1377="","",TRIM(INDEX('COOIS Raw'!$A:$GZ,ROW()-4,$B$4)))</f>
        <v/>
      </c>
      <c r="C1377" s="42" t="str">
        <f aca="false">IF(OR(A1377="",$C$4=0),"",INDEX('COOIS Raw'!$A:$GZ,ROW()-4,$C$4))</f>
        <v/>
      </c>
      <c r="D1377" s="41" t="str">
        <f aca="false">IF(A1377="","",IF($D$4=0,1,IFERROR(--INDEX('COOIS Raw'!$A:$GZ,ROW()-4,$D$4),1)))</f>
        <v/>
      </c>
      <c r="E1377" s="42" t="str">
        <f aca="false">IF(A1377="","",INDEX('COOIS Raw'!$A:$GZ,ROW()-4,$E$4)&amp;"")</f>
        <v/>
      </c>
      <c r="F1377" s="43" t="str">
        <f aca="false">IF(A1377="","",IFERROR(DATEVALUE(INDEX('COOIS Raw'!$A:$GZ,ROW()-4,$F$4)),INDEX('COOIS Raw'!$A:$GZ,ROW()-4,$F$4)))</f>
        <v/>
      </c>
      <c r="G1377" s="41" t="str">
        <f aca="false">IF(A1377="","",IF(ISNA(MATCH(B1377,'Kitting Plan'!$B$6:$B$19,0)),"Not in plan","Yes"))</f>
        <v/>
      </c>
      <c r="H1377" s="41" t="str">
        <f aca="false">IF(G1377="Yes",INDEX('Kitting Plan'!$D$6:$D$19,MATCH(B1377,'Kitting Plan'!$B$6:$B$19,0)),"")</f>
        <v/>
      </c>
      <c r="I1377" s="41" t="str">
        <f aca="false">IF(A1377="","",IF(ISNUMBER(SEARCH("PRT",E1377)),D1377,0))</f>
        <v/>
      </c>
      <c r="J1377" s="41" t="str">
        <f aca="false">IF(A1377="","",IF(ISNUMBER(SEARCH("GMPS",E1377)),D1377,0))</f>
        <v/>
      </c>
      <c r="K1377" s="41" t="str">
        <f aca="false">IF(A1377="","",IF(ISNUMBER(SEARCH("DLV",E1377)),D1377,0))</f>
        <v/>
      </c>
      <c r="L1377" s="41" t="str">
        <f aca="false">IF(A1377="","",IF(K1377&gt;0,"Delivered",IF(ISNUMBER(SEARCH("CNF",E1377)),"In production",IF(J1377&gt;0,"Issued",IF(I1377&gt;0,"Kitted","Released")))))</f>
        <v/>
      </c>
      <c r="M1377" s="41" t="str">
        <f aca="false">IF(G1377&lt;&gt;"Yes","",COUNTIFS($B$6:$B$1505,B1377,$F$6:$F$1505,"&lt;"&amp;F1377)+COUNTIFS($B$6:$B$1505,B1377,$F$6:$F$1505,F1377,$A$6:$A$1505,"&lt;="&amp;A1377))</f>
        <v/>
      </c>
      <c r="N1377" s="41" t="str">
        <f aca="false">IF(M1377="","",ROUNDUP(M1377/H1377,0))</f>
        <v/>
      </c>
      <c r="O1377" s="41" t="str">
        <f aca="false">IF(N1377="","",IF(N1377&lt;='Kitting Plan'!$C$3,"Rep "&amp;N1377,"Surplus"))</f>
        <v/>
      </c>
    </row>
    <row r="1378" customFormat="false" ht="15" hidden="false" customHeight="false" outlineLevel="0" collapsed="false">
      <c r="A1378" s="40" t="str">
        <f aca="false">IF(OR($A$4=0,INDEX('COOIS Raw'!$A:$GZ,ROW()-4,$A$4)=""),"",IFERROR(--INDEX('COOIS Raw'!$A:$GZ,ROW()-4,$A$4),INDEX('COOIS Raw'!$A:$GZ,ROW()-4,$A$4)))</f>
        <v/>
      </c>
      <c r="B1378" s="41" t="str">
        <f aca="false">IF(A1378="","",TRIM(INDEX('COOIS Raw'!$A:$GZ,ROW()-4,$B$4)))</f>
        <v/>
      </c>
      <c r="C1378" s="42" t="str">
        <f aca="false">IF(OR(A1378="",$C$4=0),"",INDEX('COOIS Raw'!$A:$GZ,ROW()-4,$C$4))</f>
        <v/>
      </c>
      <c r="D1378" s="41" t="str">
        <f aca="false">IF(A1378="","",IF($D$4=0,1,IFERROR(--INDEX('COOIS Raw'!$A:$GZ,ROW()-4,$D$4),1)))</f>
        <v/>
      </c>
      <c r="E1378" s="42" t="str">
        <f aca="false">IF(A1378="","",INDEX('COOIS Raw'!$A:$GZ,ROW()-4,$E$4)&amp;"")</f>
        <v/>
      </c>
      <c r="F1378" s="43" t="str">
        <f aca="false">IF(A1378="","",IFERROR(DATEVALUE(INDEX('COOIS Raw'!$A:$GZ,ROW()-4,$F$4)),INDEX('COOIS Raw'!$A:$GZ,ROW()-4,$F$4)))</f>
        <v/>
      </c>
      <c r="G1378" s="41" t="str">
        <f aca="false">IF(A1378="","",IF(ISNA(MATCH(B1378,'Kitting Plan'!$B$6:$B$19,0)),"Not in plan","Yes"))</f>
        <v/>
      </c>
      <c r="H1378" s="41" t="str">
        <f aca="false">IF(G1378="Yes",INDEX('Kitting Plan'!$D$6:$D$19,MATCH(B1378,'Kitting Plan'!$B$6:$B$19,0)),"")</f>
        <v/>
      </c>
      <c r="I1378" s="41" t="str">
        <f aca="false">IF(A1378="","",IF(ISNUMBER(SEARCH("PRT",E1378)),D1378,0))</f>
        <v/>
      </c>
      <c r="J1378" s="41" t="str">
        <f aca="false">IF(A1378="","",IF(ISNUMBER(SEARCH("GMPS",E1378)),D1378,0))</f>
        <v/>
      </c>
      <c r="K1378" s="41" t="str">
        <f aca="false">IF(A1378="","",IF(ISNUMBER(SEARCH("DLV",E1378)),D1378,0))</f>
        <v/>
      </c>
      <c r="L1378" s="41" t="str">
        <f aca="false">IF(A1378="","",IF(K1378&gt;0,"Delivered",IF(ISNUMBER(SEARCH("CNF",E1378)),"In production",IF(J1378&gt;0,"Issued",IF(I1378&gt;0,"Kitted","Released")))))</f>
        <v/>
      </c>
      <c r="M1378" s="41" t="str">
        <f aca="false">IF(G1378&lt;&gt;"Yes","",COUNTIFS($B$6:$B$1505,B1378,$F$6:$F$1505,"&lt;"&amp;F1378)+COUNTIFS($B$6:$B$1505,B1378,$F$6:$F$1505,F1378,$A$6:$A$1505,"&lt;="&amp;A1378))</f>
        <v/>
      </c>
      <c r="N1378" s="41" t="str">
        <f aca="false">IF(M1378="","",ROUNDUP(M1378/H1378,0))</f>
        <v/>
      </c>
      <c r="O1378" s="41" t="str">
        <f aca="false">IF(N1378="","",IF(N1378&lt;='Kitting Plan'!$C$3,"Rep "&amp;N1378,"Surplus"))</f>
        <v/>
      </c>
    </row>
    <row r="1379" customFormat="false" ht="15" hidden="false" customHeight="false" outlineLevel="0" collapsed="false">
      <c r="A1379" s="40" t="str">
        <f aca="false">IF(OR($A$4=0,INDEX('COOIS Raw'!$A:$GZ,ROW()-4,$A$4)=""),"",IFERROR(--INDEX('COOIS Raw'!$A:$GZ,ROW()-4,$A$4),INDEX('COOIS Raw'!$A:$GZ,ROW()-4,$A$4)))</f>
        <v/>
      </c>
      <c r="B1379" s="41" t="str">
        <f aca="false">IF(A1379="","",TRIM(INDEX('COOIS Raw'!$A:$GZ,ROW()-4,$B$4)))</f>
        <v/>
      </c>
      <c r="C1379" s="42" t="str">
        <f aca="false">IF(OR(A1379="",$C$4=0),"",INDEX('COOIS Raw'!$A:$GZ,ROW()-4,$C$4))</f>
        <v/>
      </c>
      <c r="D1379" s="41" t="str">
        <f aca="false">IF(A1379="","",IF($D$4=0,1,IFERROR(--INDEX('COOIS Raw'!$A:$GZ,ROW()-4,$D$4),1)))</f>
        <v/>
      </c>
      <c r="E1379" s="42" t="str">
        <f aca="false">IF(A1379="","",INDEX('COOIS Raw'!$A:$GZ,ROW()-4,$E$4)&amp;"")</f>
        <v/>
      </c>
      <c r="F1379" s="43" t="str">
        <f aca="false">IF(A1379="","",IFERROR(DATEVALUE(INDEX('COOIS Raw'!$A:$GZ,ROW()-4,$F$4)),INDEX('COOIS Raw'!$A:$GZ,ROW()-4,$F$4)))</f>
        <v/>
      </c>
      <c r="G1379" s="41" t="str">
        <f aca="false">IF(A1379="","",IF(ISNA(MATCH(B1379,'Kitting Plan'!$B$6:$B$19,0)),"Not in plan","Yes"))</f>
        <v/>
      </c>
      <c r="H1379" s="41" t="str">
        <f aca="false">IF(G1379="Yes",INDEX('Kitting Plan'!$D$6:$D$19,MATCH(B1379,'Kitting Plan'!$B$6:$B$19,0)),"")</f>
        <v/>
      </c>
      <c r="I1379" s="41" t="str">
        <f aca="false">IF(A1379="","",IF(ISNUMBER(SEARCH("PRT",E1379)),D1379,0))</f>
        <v/>
      </c>
      <c r="J1379" s="41" t="str">
        <f aca="false">IF(A1379="","",IF(ISNUMBER(SEARCH("GMPS",E1379)),D1379,0))</f>
        <v/>
      </c>
      <c r="K1379" s="41" t="str">
        <f aca="false">IF(A1379="","",IF(ISNUMBER(SEARCH("DLV",E1379)),D1379,0))</f>
        <v/>
      </c>
      <c r="L1379" s="41" t="str">
        <f aca="false">IF(A1379="","",IF(K1379&gt;0,"Delivered",IF(ISNUMBER(SEARCH("CNF",E1379)),"In production",IF(J1379&gt;0,"Issued",IF(I1379&gt;0,"Kitted","Released")))))</f>
        <v/>
      </c>
      <c r="M1379" s="41" t="str">
        <f aca="false">IF(G1379&lt;&gt;"Yes","",COUNTIFS($B$6:$B$1505,B1379,$F$6:$F$1505,"&lt;"&amp;F1379)+COUNTIFS($B$6:$B$1505,B1379,$F$6:$F$1505,F1379,$A$6:$A$1505,"&lt;="&amp;A1379))</f>
        <v/>
      </c>
      <c r="N1379" s="41" t="str">
        <f aca="false">IF(M1379="","",ROUNDUP(M1379/H1379,0))</f>
        <v/>
      </c>
      <c r="O1379" s="41" t="str">
        <f aca="false">IF(N1379="","",IF(N1379&lt;='Kitting Plan'!$C$3,"Rep "&amp;N1379,"Surplus"))</f>
        <v/>
      </c>
    </row>
    <row r="1380" customFormat="false" ht="15" hidden="false" customHeight="false" outlineLevel="0" collapsed="false">
      <c r="A1380" s="40" t="str">
        <f aca="false">IF(OR($A$4=0,INDEX('COOIS Raw'!$A:$GZ,ROW()-4,$A$4)=""),"",IFERROR(--INDEX('COOIS Raw'!$A:$GZ,ROW()-4,$A$4),INDEX('COOIS Raw'!$A:$GZ,ROW()-4,$A$4)))</f>
        <v/>
      </c>
      <c r="B1380" s="41" t="str">
        <f aca="false">IF(A1380="","",TRIM(INDEX('COOIS Raw'!$A:$GZ,ROW()-4,$B$4)))</f>
        <v/>
      </c>
      <c r="C1380" s="42" t="str">
        <f aca="false">IF(OR(A1380="",$C$4=0),"",INDEX('COOIS Raw'!$A:$GZ,ROW()-4,$C$4))</f>
        <v/>
      </c>
      <c r="D1380" s="41" t="str">
        <f aca="false">IF(A1380="","",IF($D$4=0,1,IFERROR(--INDEX('COOIS Raw'!$A:$GZ,ROW()-4,$D$4),1)))</f>
        <v/>
      </c>
      <c r="E1380" s="42" t="str">
        <f aca="false">IF(A1380="","",INDEX('COOIS Raw'!$A:$GZ,ROW()-4,$E$4)&amp;"")</f>
        <v/>
      </c>
      <c r="F1380" s="43" t="str">
        <f aca="false">IF(A1380="","",IFERROR(DATEVALUE(INDEX('COOIS Raw'!$A:$GZ,ROW()-4,$F$4)),INDEX('COOIS Raw'!$A:$GZ,ROW()-4,$F$4)))</f>
        <v/>
      </c>
      <c r="G1380" s="41" t="str">
        <f aca="false">IF(A1380="","",IF(ISNA(MATCH(B1380,'Kitting Plan'!$B$6:$B$19,0)),"Not in plan","Yes"))</f>
        <v/>
      </c>
      <c r="H1380" s="41" t="str">
        <f aca="false">IF(G1380="Yes",INDEX('Kitting Plan'!$D$6:$D$19,MATCH(B1380,'Kitting Plan'!$B$6:$B$19,0)),"")</f>
        <v/>
      </c>
      <c r="I1380" s="41" t="str">
        <f aca="false">IF(A1380="","",IF(ISNUMBER(SEARCH("PRT",E1380)),D1380,0))</f>
        <v/>
      </c>
      <c r="J1380" s="41" t="str">
        <f aca="false">IF(A1380="","",IF(ISNUMBER(SEARCH("GMPS",E1380)),D1380,0))</f>
        <v/>
      </c>
      <c r="K1380" s="41" t="str">
        <f aca="false">IF(A1380="","",IF(ISNUMBER(SEARCH("DLV",E1380)),D1380,0))</f>
        <v/>
      </c>
      <c r="L1380" s="41" t="str">
        <f aca="false">IF(A1380="","",IF(K1380&gt;0,"Delivered",IF(ISNUMBER(SEARCH("CNF",E1380)),"In production",IF(J1380&gt;0,"Issued",IF(I1380&gt;0,"Kitted","Released")))))</f>
        <v/>
      </c>
      <c r="M1380" s="41" t="str">
        <f aca="false">IF(G1380&lt;&gt;"Yes","",COUNTIFS($B$6:$B$1505,B1380,$F$6:$F$1505,"&lt;"&amp;F1380)+COUNTIFS($B$6:$B$1505,B1380,$F$6:$F$1505,F1380,$A$6:$A$1505,"&lt;="&amp;A1380))</f>
        <v/>
      </c>
      <c r="N1380" s="41" t="str">
        <f aca="false">IF(M1380="","",ROUNDUP(M1380/H1380,0))</f>
        <v/>
      </c>
      <c r="O1380" s="41" t="str">
        <f aca="false">IF(N1380="","",IF(N1380&lt;='Kitting Plan'!$C$3,"Rep "&amp;N1380,"Surplus"))</f>
        <v/>
      </c>
    </row>
    <row r="1381" customFormat="false" ht="15" hidden="false" customHeight="false" outlineLevel="0" collapsed="false">
      <c r="A1381" s="40" t="str">
        <f aca="false">IF(OR($A$4=0,INDEX('COOIS Raw'!$A:$GZ,ROW()-4,$A$4)=""),"",IFERROR(--INDEX('COOIS Raw'!$A:$GZ,ROW()-4,$A$4),INDEX('COOIS Raw'!$A:$GZ,ROW()-4,$A$4)))</f>
        <v/>
      </c>
      <c r="B1381" s="41" t="str">
        <f aca="false">IF(A1381="","",TRIM(INDEX('COOIS Raw'!$A:$GZ,ROW()-4,$B$4)))</f>
        <v/>
      </c>
      <c r="C1381" s="42" t="str">
        <f aca="false">IF(OR(A1381="",$C$4=0),"",INDEX('COOIS Raw'!$A:$GZ,ROW()-4,$C$4))</f>
        <v/>
      </c>
      <c r="D1381" s="41" t="str">
        <f aca="false">IF(A1381="","",IF($D$4=0,1,IFERROR(--INDEX('COOIS Raw'!$A:$GZ,ROW()-4,$D$4),1)))</f>
        <v/>
      </c>
      <c r="E1381" s="42" t="str">
        <f aca="false">IF(A1381="","",INDEX('COOIS Raw'!$A:$GZ,ROW()-4,$E$4)&amp;"")</f>
        <v/>
      </c>
      <c r="F1381" s="43" t="str">
        <f aca="false">IF(A1381="","",IFERROR(DATEVALUE(INDEX('COOIS Raw'!$A:$GZ,ROW()-4,$F$4)),INDEX('COOIS Raw'!$A:$GZ,ROW()-4,$F$4)))</f>
        <v/>
      </c>
      <c r="G1381" s="41" t="str">
        <f aca="false">IF(A1381="","",IF(ISNA(MATCH(B1381,'Kitting Plan'!$B$6:$B$19,0)),"Not in plan","Yes"))</f>
        <v/>
      </c>
      <c r="H1381" s="41" t="str">
        <f aca="false">IF(G1381="Yes",INDEX('Kitting Plan'!$D$6:$D$19,MATCH(B1381,'Kitting Plan'!$B$6:$B$19,0)),"")</f>
        <v/>
      </c>
      <c r="I1381" s="41" t="str">
        <f aca="false">IF(A1381="","",IF(ISNUMBER(SEARCH("PRT",E1381)),D1381,0))</f>
        <v/>
      </c>
      <c r="J1381" s="41" t="str">
        <f aca="false">IF(A1381="","",IF(ISNUMBER(SEARCH("GMPS",E1381)),D1381,0))</f>
        <v/>
      </c>
      <c r="K1381" s="41" t="str">
        <f aca="false">IF(A1381="","",IF(ISNUMBER(SEARCH("DLV",E1381)),D1381,0))</f>
        <v/>
      </c>
      <c r="L1381" s="41" t="str">
        <f aca="false">IF(A1381="","",IF(K1381&gt;0,"Delivered",IF(ISNUMBER(SEARCH("CNF",E1381)),"In production",IF(J1381&gt;0,"Issued",IF(I1381&gt;0,"Kitted","Released")))))</f>
        <v/>
      </c>
      <c r="M1381" s="41" t="str">
        <f aca="false">IF(G1381&lt;&gt;"Yes","",COUNTIFS($B$6:$B$1505,B1381,$F$6:$F$1505,"&lt;"&amp;F1381)+COUNTIFS($B$6:$B$1505,B1381,$F$6:$F$1505,F1381,$A$6:$A$1505,"&lt;="&amp;A1381))</f>
        <v/>
      </c>
      <c r="N1381" s="41" t="str">
        <f aca="false">IF(M1381="","",ROUNDUP(M1381/H1381,0))</f>
        <v/>
      </c>
      <c r="O1381" s="41" t="str">
        <f aca="false">IF(N1381="","",IF(N1381&lt;='Kitting Plan'!$C$3,"Rep "&amp;N1381,"Surplus"))</f>
        <v/>
      </c>
    </row>
    <row r="1382" customFormat="false" ht="15" hidden="false" customHeight="false" outlineLevel="0" collapsed="false">
      <c r="A1382" s="40" t="str">
        <f aca="false">IF(OR($A$4=0,INDEX('COOIS Raw'!$A:$GZ,ROW()-4,$A$4)=""),"",IFERROR(--INDEX('COOIS Raw'!$A:$GZ,ROW()-4,$A$4),INDEX('COOIS Raw'!$A:$GZ,ROW()-4,$A$4)))</f>
        <v/>
      </c>
      <c r="B1382" s="41" t="str">
        <f aca="false">IF(A1382="","",TRIM(INDEX('COOIS Raw'!$A:$GZ,ROW()-4,$B$4)))</f>
        <v/>
      </c>
      <c r="C1382" s="42" t="str">
        <f aca="false">IF(OR(A1382="",$C$4=0),"",INDEX('COOIS Raw'!$A:$GZ,ROW()-4,$C$4))</f>
        <v/>
      </c>
      <c r="D1382" s="41" t="str">
        <f aca="false">IF(A1382="","",IF($D$4=0,1,IFERROR(--INDEX('COOIS Raw'!$A:$GZ,ROW()-4,$D$4),1)))</f>
        <v/>
      </c>
      <c r="E1382" s="42" t="str">
        <f aca="false">IF(A1382="","",INDEX('COOIS Raw'!$A:$GZ,ROW()-4,$E$4)&amp;"")</f>
        <v/>
      </c>
      <c r="F1382" s="43" t="str">
        <f aca="false">IF(A1382="","",IFERROR(DATEVALUE(INDEX('COOIS Raw'!$A:$GZ,ROW()-4,$F$4)),INDEX('COOIS Raw'!$A:$GZ,ROW()-4,$F$4)))</f>
        <v/>
      </c>
      <c r="G1382" s="41" t="str">
        <f aca="false">IF(A1382="","",IF(ISNA(MATCH(B1382,'Kitting Plan'!$B$6:$B$19,0)),"Not in plan","Yes"))</f>
        <v/>
      </c>
      <c r="H1382" s="41" t="str">
        <f aca="false">IF(G1382="Yes",INDEX('Kitting Plan'!$D$6:$D$19,MATCH(B1382,'Kitting Plan'!$B$6:$B$19,0)),"")</f>
        <v/>
      </c>
      <c r="I1382" s="41" t="str">
        <f aca="false">IF(A1382="","",IF(ISNUMBER(SEARCH("PRT",E1382)),D1382,0))</f>
        <v/>
      </c>
      <c r="J1382" s="41" t="str">
        <f aca="false">IF(A1382="","",IF(ISNUMBER(SEARCH("GMPS",E1382)),D1382,0))</f>
        <v/>
      </c>
      <c r="K1382" s="41" t="str">
        <f aca="false">IF(A1382="","",IF(ISNUMBER(SEARCH("DLV",E1382)),D1382,0))</f>
        <v/>
      </c>
      <c r="L1382" s="41" t="str">
        <f aca="false">IF(A1382="","",IF(K1382&gt;0,"Delivered",IF(ISNUMBER(SEARCH("CNF",E1382)),"In production",IF(J1382&gt;0,"Issued",IF(I1382&gt;0,"Kitted","Released")))))</f>
        <v/>
      </c>
      <c r="M1382" s="41" t="str">
        <f aca="false">IF(G1382&lt;&gt;"Yes","",COUNTIFS($B$6:$B$1505,B1382,$F$6:$F$1505,"&lt;"&amp;F1382)+COUNTIFS($B$6:$B$1505,B1382,$F$6:$F$1505,F1382,$A$6:$A$1505,"&lt;="&amp;A1382))</f>
        <v/>
      </c>
      <c r="N1382" s="41" t="str">
        <f aca="false">IF(M1382="","",ROUNDUP(M1382/H1382,0))</f>
        <v/>
      </c>
      <c r="O1382" s="41" t="str">
        <f aca="false">IF(N1382="","",IF(N1382&lt;='Kitting Plan'!$C$3,"Rep "&amp;N1382,"Surplus"))</f>
        <v/>
      </c>
    </row>
    <row r="1383" customFormat="false" ht="15" hidden="false" customHeight="false" outlineLevel="0" collapsed="false">
      <c r="A1383" s="40" t="str">
        <f aca="false">IF(OR($A$4=0,INDEX('COOIS Raw'!$A:$GZ,ROW()-4,$A$4)=""),"",IFERROR(--INDEX('COOIS Raw'!$A:$GZ,ROW()-4,$A$4),INDEX('COOIS Raw'!$A:$GZ,ROW()-4,$A$4)))</f>
        <v/>
      </c>
      <c r="B1383" s="41" t="str">
        <f aca="false">IF(A1383="","",TRIM(INDEX('COOIS Raw'!$A:$GZ,ROW()-4,$B$4)))</f>
        <v/>
      </c>
      <c r="C1383" s="42" t="str">
        <f aca="false">IF(OR(A1383="",$C$4=0),"",INDEX('COOIS Raw'!$A:$GZ,ROW()-4,$C$4))</f>
        <v/>
      </c>
      <c r="D1383" s="41" t="str">
        <f aca="false">IF(A1383="","",IF($D$4=0,1,IFERROR(--INDEX('COOIS Raw'!$A:$GZ,ROW()-4,$D$4),1)))</f>
        <v/>
      </c>
      <c r="E1383" s="42" t="str">
        <f aca="false">IF(A1383="","",INDEX('COOIS Raw'!$A:$GZ,ROW()-4,$E$4)&amp;"")</f>
        <v/>
      </c>
      <c r="F1383" s="43" t="str">
        <f aca="false">IF(A1383="","",IFERROR(DATEVALUE(INDEX('COOIS Raw'!$A:$GZ,ROW()-4,$F$4)),INDEX('COOIS Raw'!$A:$GZ,ROW()-4,$F$4)))</f>
        <v/>
      </c>
      <c r="G1383" s="41" t="str">
        <f aca="false">IF(A1383="","",IF(ISNA(MATCH(B1383,'Kitting Plan'!$B$6:$B$19,0)),"Not in plan","Yes"))</f>
        <v/>
      </c>
      <c r="H1383" s="41" t="str">
        <f aca="false">IF(G1383="Yes",INDEX('Kitting Plan'!$D$6:$D$19,MATCH(B1383,'Kitting Plan'!$B$6:$B$19,0)),"")</f>
        <v/>
      </c>
      <c r="I1383" s="41" t="str">
        <f aca="false">IF(A1383="","",IF(ISNUMBER(SEARCH("PRT",E1383)),D1383,0))</f>
        <v/>
      </c>
      <c r="J1383" s="41" t="str">
        <f aca="false">IF(A1383="","",IF(ISNUMBER(SEARCH("GMPS",E1383)),D1383,0))</f>
        <v/>
      </c>
      <c r="K1383" s="41" t="str">
        <f aca="false">IF(A1383="","",IF(ISNUMBER(SEARCH("DLV",E1383)),D1383,0))</f>
        <v/>
      </c>
      <c r="L1383" s="41" t="str">
        <f aca="false">IF(A1383="","",IF(K1383&gt;0,"Delivered",IF(ISNUMBER(SEARCH("CNF",E1383)),"In production",IF(J1383&gt;0,"Issued",IF(I1383&gt;0,"Kitted","Released")))))</f>
        <v/>
      </c>
      <c r="M1383" s="41" t="str">
        <f aca="false">IF(G1383&lt;&gt;"Yes","",COUNTIFS($B$6:$B$1505,B1383,$F$6:$F$1505,"&lt;"&amp;F1383)+COUNTIFS($B$6:$B$1505,B1383,$F$6:$F$1505,F1383,$A$6:$A$1505,"&lt;="&amp;A1383))</f>
        <v/>
      </c>
      <c r="N1383" s="41" t="str">
        <f aca="false">IF(M1383="","",ROUNDUP(M1383/H1383,0))</f>
        <v/>
      </c>
      <c r="O1383" s="41" t="str">
        <f aca="false">IF(N1383="","",IF(N1383&lt;='Kitting Plan'!$C$3,"Rep "&amp;N1383,"Surplus"))</f>
        <v/>
      </c>
    </row>
    <row r="1384" customFormat="false" ht="15" hidden="false" customHeight="false" outlineLevel="0" collapsed="false">
      <c r="A1384" s="40" t="str">
        <f aca="false">IF(OR($A$4=0,INDEX('COOIS Raw'!$A:$GZ,ROW()-4,$A$4)=""),"",IFERROR(--INDEX('COOIS Raw'!$A:$GZ,ROW()-4,$A$4),INDEX('COOIS Raw'!$A:$GZ,ROW()-4,$A$4)))</f>
        <v/>
      </c>
      <c r="B1384" s="41" t="str">
        <f aca="false">IF(A1384="","",TRIM(INDEX('COOIS Raw'!$A:$GZ,ROW()-4,$B$4)))</f>
        <v/>
      </c>
      <c r="C1384" s="42" t="str">
        <f aca="false">IF(OR(A1384="",$C$4=0),"",INDEX('COOIS Raw'!$A:$GZ,ROW()-4,$C$4))</f>
        <v/>
      </c>
      <c r="D1384" s="41" t="str">
        <f aca="false">IF(A1384="","",IF($D$4=0,1,IFERROR(--INDEX('COOIS Raw'!$A:$GZ,ROW()-4,$D$4),1)))</f>
        <v/>
      </c>
      <c r="E1384" s="42" t="str">
        <f aca="false">IF(A1384="","",INDEX('COOIS Raw'!$A:$GZ,ROW()-4,$E$4)&amp;"")</f>
        <v/>
      </c>
      <c r="F1384" s="43" t="str">
        <f aca="false">IF(A1384="","",IFERROR(DATEVALUE(INDEX('COOIS Raw'!$A:$GZ,ROW()-4,$F$4)),INDEX('COOIS Raw'!$A:$GZ,ROW()-4,$F$4)))</f>
        <v/>
      </c>
      <c r="G1384" s="41" t="str">
        <f aca="false">IF(A1384="","",IF(ISNA(MATCH(B1384,'Kitting Plan'!$B$6:$B$19,0)),"Not in plan","Yes"))</f>
        <v/>
      </c>
      <c r="H1384" s="41" t="str">
        <f aca="false">IF(G1384="Yes",INDEX('Kitting Plan'!$D$6:$D$19,MATCH(B1384,'Kitting Plan'!$B$6:$B$19,0)),"")</f>
        <v/>
      </c>
      <c r="I1384" s="41" t="str">
        <f aca="false">IF(A1384="","",IF(ISNUMBER(SEARCH("PRT",E1384)),D1384,0))</f>
        <v/>
      </c>
      <c r="J1384" s="41" t="str">
        <f aca="false">IF(A1384="","",IF(ISNUMBER(SEARCH("GMPS",E1384)),D1384,0))</f>
        <v/>
      </c>
      <c r="K1384" s="41" t="str">
        <f aca="false">IF(A1384="","",IF(ISNUMBER(SEARCH("DLV",E1384)),D1384,0))</f>
        <v/>
      </c>
      <c r="L1384" s="41" t="str">
        <f aca="false">IF(A1384="","",IF(K1384&gt;0,"Delivered",IF(ISNUMBER(SEARCH("CNF",E1384)),"In production",IF(J1384&gt;0,"Issued",IF(I1384&gt;0,"Kitted","Released")))))</f>
        <v/>
      </c>
      <c r="M1384" s="41" t="str">
        <f aca="false">IF(G1384&lt;&gt;"Yes","",COUNTIFS($B$6:$B$1505,B1384,$F$6:$F$1505,"&lt;"&amp;F1384)+COUNTIFS($B$6:$B$1505,B1384,$F$6:$F$1505,F1384,$A$6:$A$1505,"&lt;="&amp;A1384))</f>
        <v/>
      </c>
      <c r="N1384" s="41" t="str">
        <f aca="false">IF(M1384="","",ROUNDUP(M1384/H1384,0))</f>
        <v/>
      </c>
      <c r="O1384" s="41" t="str">
        <f aca="false">IF(N1384="","",IF(N1384&lt;='Kitting Plan'!$C$3,"Rep "&amp;N1384,"Surplus"))</f>
        <v/>
      </c>
    </row>
    <row r="1385" customFormat="false" ht="15" hidden="false" customHeight="false" outlineLevel="0" collapsed="false">
      <c r="A1385" s="40" t="str">
        <f aca="false">IF(OR($A$4=0,INDEX('COOIS Raw'!$A:$GZ,ROW()-4,$A$4)=""),"",IFERROR(--INDEX('COOIS Raw'!$A:$GZ,ROW()-4,$A$4),INDEX('COOIS Raw'!$A:$GZ,ROW()-4,$A$4)))</f>
        <v/>
      </c>
      <c r="B1385" s="41" t="str">
        <f aca="false">IF(A1385="","",TRIM(INDEX('COOIS Raw'!$A:$GZ,ROW()-4,$B$4)))</f>
        <v/>
      </c>
      <c r="C1385" s="42" t="str">
        <f aca="false">IF(OR(A1385="",$C$4=0),"",INDEX('COOIS Raw'!$A:$GZ,ROW()-4,$C$4))</f>
        <v/>
      </c>
      <c r="D1385" s="41" t="str">
        <f aca="false">IF(A1385="","",IF($D$4=0,1,IFERROR(--INDEX('COOIS Raw'!$A:$GZ,ROW()-4,$D$4),1)))</f>
        <v/>
      </c>
      <c r="E1385" s="42" t="str">
        <f aca="false">IF(A1385="","",INDEX('COOIS Raw'!$A:$GZ,ROW()-4,$E$4)&amp;"")</f>
        <v/>
      </c>
      <c r="F1385" s="43" t="str">
        <f aca="false">IF(A1385="","",IFERROR(DATEVALUE(INDEX('COOIS Raw'!$A:$GZ,ROW()-4,$F$4)),INDEX('COOIS Raw'!$A:$GZ,ROW()-4,$F$4)))</f>
        <v/>
      </c>
      <c r="G1385" s="41" t="str">
        <f aca="false">IF(A1385="","",IF(ISNA(MATCH(B1385,'Kitting Plan'!$B$6:$B$19,0)),"Not in plan","Yes"))</f>
        <v/>
      </c>
      <c r="H1385" s="41" t="str">
        <f aca="false">IF(G1385="Yes",INDEX('Kitting Plan'!$D$6:$D$19,MATCH(B1385,'Kitting Plan'!$B$6:$B$19,0)),"")</f>
        <v/>
      </c>
      <c r="I1385" s="41" t="str">
        <f aca="false">IF(A1385="","",IF(ISNUMBER(SEARCH("PRT",E1385)),D1385,0))</f>
        <v/>
      </c>
      <c r="J1385" s="41" t="str">
        <f aca="false">IF(A1385="","",IF(ISNUMBER(SEARCH("GMPS",E1385)),D1385,0))</f>
        <v/>
      </c>
      <c r="K1385" s="41" t="str">
        <f aca="false">IF(A1385="","",IF(ISNUMBER(SEARCH("DLV",E1385)),D1385,0))</f>
        <v/>
      </c>
      <c r="L1385" s="41" t="str">
        <f aca="false">IF(A1385="","",IF(K1385&gt;0,"Delivered",IF(ISNUMBER(SEARCH("CNF",E1385)),"In production",IF(J1385&gt;0,"Issued",IF(I1385&gt;0,"Kitted","Released")))))</f>
        <v/>
      </c>
      <c r="M1385" s="41" t="str">
        <f aca="false">IF(G1385&lt;&gt;"Yes","",COUNTIFS($B$6:$B$1505,B1385,$F$6:$F$1505,"&lt;"&amp;F1385)+COUNTIFS($B$6:$B$1505,B1385,$F$6:$F$1505,F1385,$A$6:$A$1505,"&lt;="&amp;A1385))</f>
        <v/>
      </c>
      <c r="N1385" s="41" t="str">
        <f aca="false">IF(M1385="","",ROUNDUP(M1385/H1385,0))</f>
        <v/>
      </c>
      <c r="O1385" s="41" t="str">
        <f aca="false">IF(N1385="","",IF(N1385&lt;='Kitting Plan'!$C$3,"Rep "&amp;N1385,"Surplus"))</f>
        <v/>
      </c>
    </row>
    <row r="1386" customFormat="false" ht="15" hidden="false" customHeight="false" outlineLevel="0" collapsed="false">
      <c r="A1386" s="40" t="str">
        <f aca="false">IF(OR($A$4=0,INDEX('COOIS Raw'!$A:$GZ,ROW()-4,$A$4)=""),"",IFERROR(--INDEX('COOIS Raw'!$A:$GZ,ROW()-4,$A$4),INDEX('COOIS Raw'!$A:$GZ,ROW()-4,$A$4)))</f>
        <v/>
      </c>
      <c r="B1386" s="41" t="str">
        <f aca="false">IF(A1386="","",TRIM(INDEX('COOIS Raw'!$A:$GZ,ROW()-4,$B$4)))</f>
        <v/>
      </c>
      <c r="C1386" s="42" t="str">
        <f aca="false">IF(OR(A1386="",$C$4=0),"",INDEX('COOIS Raw'!$A:$GZ,ROW()-4,$C$4))</f>
        <v/>
      </c>
      <c r="D1386" s="41" t="str">
        <f aca="false">IF(A1386="","",IF($D$4=0,1,IFERROR(--INDEX('COOIS Raw'!$A:$GZ,ROW()-4,$D$4),1)))</f>
        <v/>
      </c>
      <c r="E1386" s="42" t="str">
        <f aca="false">IF(A1386="","",INDEX('COOIS Raw'!$A:$GZ,ROW()-4,$E$4)&amp;"")</f>
        <v/>
      </c>
      <c r="F1386" s="43" t="str">
        <f aca="false">IF(A1386="","",IFERROR(DATEVALUE(INDEX('COOIS Raw'!$A:$GZ,ROW()-4,$F$4)),INDEX('COOIS Raw'!$A:$GZ,ROW()-4,$F$4)))</f>
        <v/>
      </c>
      <c r="G1386" s="41" t="str">
        <f aca="false">IF(A1386="","",IF(ISNA(MATCH(B1386,'Kitting Plan'!$B$6:$B$19,0)),"Not in plan","Yes"))</f>
        <v/>
      </c>
      <c r="H1386" s="41" t="str">
        <f aca="false">IF(G1386="Yes",INDEX('Kitting Plan'!$D$6:$D$19,MATCH(B1386,'Kitting Plan'!$B$6:$B$19,0)),"")</f>
        <v/>
      </c>
      <c r="I1386" s="41" t="str">
        <f aca="false">IF(A1386="","",IF(ISNUMBER(SEARCH("PRT",E1386)),D1386,0))</f>
        <v/>
      </c>
      <c r="J1386" s="41" t="str">
        <f aca="false">IF(A1386="","",IF(ISNUMBER(SEARCH("GMPS",E1386)),D1386,0))</f>
        <v/>
      </c>
      <c r="K1386" s="41" t="str">
        <f aca="false">IF(A1386="","",IF(ISNUMBER(SEARCH("DLV",E1386)),D1386,0))</f>
        <v/>
      </c>
      <c r="L1386" s="41" t="str">
        <f aca="false">IF(A1386="","",IF(K1386&gt;0,"Delivered",IF(ISNUMBER(SEARCH("CNF",E1386)),"In production",IF(J1386&gt;0,"Issued",IF(I1386&gt;0,"Kitted","Released")))))</f>
        <v/>
      </c>
      <c r="M1386" s="41" t="str">
        <f aca="false">IF(G1386&lt;&gt;"Yes","",COUNTIFS($B$6:$B$1505,B1386,$F$6:$F$1505,"&lt;"&amp;F1386)+COUNTIFS($B$6:$B$1505,B1386,$F$6:$F$1505,F1386,$A$6:$A$1505,"&lt;="&amp;A1386))</f>
        <v/>
      </c>
      <c r="N1386" s="41" t="str">
        <f aca="false">IF(M1386="","",ROUNDUP(M1386/H1386,0))</f>
        <v/>
      </c>
      <c r="O1386" s="41" t="str">
        <f aca="false">IF(N1386="","",IF(N1386&lt;='Kitting Plan'!$C$3,"Rep "&amp;N1386,"Surplus"))</f>
        <v/>
      </c>
    </row>
    <row r="1387" customFormat="false" ht="15" hidden="false" customHeight="false" outlineLevel="0" collapsed="false">
      <c r="A1387" s="40" t="str">
        <f aca="false">IF(OR($A$4=0,INDEX('COOIS Raw'!$A:$GZ,ROW()-4,$A$4)=""),"",IFERROR(--INDEX('COOIS Raw'!$A:$GZ,ROW()-4,$A$4),INDEX('COOIS Raw'!$A:$GZ,ROW()-4,$A$4)))</f>
        <v/>
      </c>
      <c r="B1387" s="41" t="str">
        <f aca="false">IF(A1387="","",TRIM(INDEX('COOIS Raw'!$A:$GZ,ROW()-4,$B$4)))</f>
        <v/>
      </c>
      <c r="C1387" s="42" t="str">
        <f aca="false">IF(OR(A1387="",$C$4=0),"",INDEX('COOIS Raw'!$A:$GZ,ROW()-4,$C$4))</f>
        <v/>
      </c>
      <c r="D1387" s="41" t="str">
        <f aca="false">IF(A1387="","",IF($D$4=0,1,IFERROR(--INDEX('COOIS Raw'!$A:$GZ,ROW()-4,$D$4),1)))</f>
        <v/>
      </c>
      <c r="E1387" s="42" t="str">
        <f aca="false">IF(A1387="","",INDEX('COOIS Raw'!$A:$GZ,ROW()-4,$E$4)&amp;"")</f>
        <v/>
      </c>
      <c r="F1387" s="43" t="str">
        <f aca="false">IF(A1387="","",IFERROR(DATEVALUE(INDEX('COOIS Raw'!$A:$GZ,ROW()-4,$F$4)),INDEX('COOIS Raw'!$A:$GZ,ROW()-4,$F$4)))</f>
        <v/>
      </c>
      <c r="G1387" s="41" t="str">
        <f aca="false">IF(A1387="","",IF(ISNA(MATCH(B1387,'Kitting Plan'!$B$6:$B$19,0)),"Not in plan","Yes"))</f>
        <v/>
      </c>
      <c r="H1387" s="41" t="str">
        <f aca="false">IF(G1387="Yes",INDEX('Kitting Plan'!$D$6:$D$19,MATCH(B1387,'Kitting Plan'!$B$6:$B$19,0)),"")</f>
        <v/>
      </c>
      <c r="I1387" s="41" t="str">
        <f aca="false">IF(A1387="","",IF(ISNUMBER(SEARCH("PRT",E1387)),D1387,0))</f>
        <v/>
      </c>
      <c r="J1387" s="41" t="str">
        <f aca="false">IF(A1387="","",IF(ISNUMBER(SEARCH("GMPS",E1387)),D1387,0))</f>
        <v/>
      </c>
      <c r="K1387" s="41" t="str">
        <f aca="false">IF(A1387="","",IF(ISNUMBER(SEARCH("DLV",E1387)),D1387,0))</f>
        <v/>
      </c>
      <c r="L1387" s="41" t="str">
        <f aca="false">IF(A1387="","",IF(K1387&gt;0,"Delivered",IF(ISNUMBER(SEARCH("CNF",E1387)),"In production",IF(J1387&gt;0,"Issued",IF(I1387&gt;0,"Kitted","Released")))))</f>
        <v/>
      </c>
      <c r="M1387" s="41" t="str">
        <f aca="false">IF(G1387&lt;&gt;"Yes","",COUNTIFS($B$6:$B$1505,B1387,$F$6:$F$1505,"&lt;"&amp;F1387)+COUNTIFS($B$6:$B$1505,B1387,$F$6:$F$1505,F1387,$A$6:$A$1505,"&lt;="&amp;A1387))</f>
        <v/>
      </c>
      <c r="N1387" s="41" t="str">
        <f aca="false">IF(M1387="","",ROUNDUP(M1387/H1387,0))</f>
        <v/>
      </c>
      <c r="O1387" s="41" t="str">
        <f aca="false">IF(N1387="","",IF(N1387&lt;='Kitting Plan'!$C$3,"Rep "&amp;N1387,"Surplus"))</f>
        <v/>
      </c>
    </row>
    <row r="1388" customFormat="false" ht="15" hidden="false" customHeight="false" outlineLevel="0" collapsed="false">
      <c r="A1388" s="40" t="str">
        <f aca="false">IF(OR($A$4=0,INDEX('COOIS Raw'!$A:$GZ,ROW()-4,$A$4)=""),"",IFERROR(--INDEX('COOIS Raw'!$A:$GZ,ROW()-4,$A$4),INDEX('COOIS Raw'!$A:$GZ,ROW()-4,$A$4)))</f>
        <v/>
      </c>
      <c r="B1388" s="41" t="str">
        <f aca="false">IF(A1388="","",TRIM(INDEX('COOIS Raw'!$A:$GZ,ROW()-4,$B$4)))</f>
        <v/>
      </c>
      <c r="C1388" s="42" t="str">
        <f aca="false">IF(OR(A1388="",$C$4=0),"",INDEX('COOIS Raw'!$A:$GZ,ROW()-4,$C$4))</f>
        <v/>
      </c>
      <c r="D1388" s="41" t="str">
        <f aca="false">IF(A1388="","",IF($D$4=0,1,IFERROR(--INDEX('COOIS Raw'!$A:$GZ,ROW()-4,$D$4),1)))</f>
        <v/>
      </c>
      <c r="E1388" s="42" t="str">
        <f aca="false">IF(A1388="","",INDEX('COOIS Raw'!$A:$GZ,ROW()-4,$E$4)&amp;"")</f>
        <v/>
      </c>
      <c r="F1388" s="43" t="str">
        <f aca="false">IF(A1388="","",IFERROR(DATEVALUE(INDEX('COOIS Raw'!$A:$GZ,ROW()-4,$F$4)),INDEX('COOIS Raw'!$A:$GZ,ROW()-4,$F$4)))</f>
        <v/>
      </c>
      <c r="G1388" s="41" t="str">
        <f aca="false">IF(A1388="","",IF(ISNA(MATCH(B1388,'Kitting Plan'!$B$6:$B$19,0)),"Not in plan","Yes"))</f>
        <v/>
      </c>
      <c r="H1388" s="41" t="str">
        <f aca="false">IF(G1388="Yes",INDEX('Kitting Plan'!$D$6:$D$19,MATCH(B1388,'Kitting Plan'!$B$6:$B$19,0)),"")</f>
        <v/>
      </c>
      <c r="I1388" s="41" t="str">
        <f aca="false">IF(A1388="","",IF(ISNUMBER(SEARCH("PRT",E1388)),D1388,0))</f>
        <v/>
      </c>
      <c r="J1388" s="41" t="str">
        <f aca="false">IF(A1388="","",IF(ISNUMBER(SEARCH("GMPS",E1388)),D1388,0))</f>
        <v/>
      </c>
      <c r="K1388" s="41" t="str">
        <f aca="false">IF(A1388="","",IF(ISNUMBER(SEARCH("DLV",E1388)),D1388,0))</f>
        <v/>
      </c>
      <c r="L1388" s="41" t="str">
        <f aca="false">IF(A1388="","",IF(K1388&gt;0,"Delivered",IF(ISNUMBER(SEARCH("CNF",E1388)),"In production",IF(J1388&gt;0,"Issued",IF(I1388&gt;0,"Kitted","Released")))))</f>
        <v/>
      </c>
      <c r="M1388" s="41" t="str">
        <f aca="false">IF(G1388&lt;&gt;"Yes","",COUNTIFS($B$6:$B$1505,B1388,$F$6:$F$1505,"&lt;"&amp;F1388)+COUNTIFS($B$6:$B$1505,B1388,$F$6:$F$1505,F1388,$A$6:$A$1505,"&lt;="&amp;A1388))</f>
        <v/>
      </c>
      <c r="N1388" s="41" t="str">
        <f aca="false">IF(M1388="","",ROUNDUP(M1388/H1388,0))</f>
        <v/>
      </c>
      <c r="O1388" s="41" t="str">
        <f aca="false">IF(N1388="","",IF(N1388&lt;='Kitting Plan'!$C$3,"Rep "&amp;N1388,"Surplus"))</f>
        <v/>
      </c>
    </row>
    <row r="1389" customFormat="false" ht="15" hidden="false" customHeight="false" outlineLevel="0" collapsed="false">
      <c r="A1389" s="40" t="str">
        <f aca="false">IF(OR($A$4=0,INDEX('COOIS Raw'!$A:$GZ,ROW()-4,$A$4)=""),"",IFERROR(--INDEX('COOIS Raw'!$A:$GZ,ROW()-4,$A$4),INDEX('COOIS Raw'!$A:$GZ,ROW()-4,$A$4)))</f>
        <v/>
      </c>
      <c r="B1389" s="41" t="str">
        <f aca="false">IF(A1389="","",TRIM(INDEX('COOIS Raw'!$A:$GZ,ROW()-4,$B$4)))</f>
        <v/>
      </c>
      <c r="C1389" s="42" t="str">
        <f aca="false">IF(OR(A1389="",$C$4=0),"",INDEX('COOIS Raw'!$A:$GZ,ROW()-4,$C$4))</f>
        <v/>
      </c>
      <c r="D1389" s="41" t="str">
        <f aca="false">IF(A1389="","",IF($D$4=0,1,IFERROR(--INDEX('COOIS Raw'!$A:$GZ,ROW()-4,$D$4),1)))</f>
        <v/>
      </c>
      <c r="E1389" s="42" t="str">
        <f aca="false">IF(A1389="","",INDEX('COOIS Raw'!$A:$GZ,ROW()-4,$E$4)&amp;"")</f>
        <v/>
      </c>
      <c r="F1389" s="43" t="str">
        <f aca="false">IF(A1389="","",IFERROR(DATEVALUE(INDEX('COOIS Raw'!$A:$GZ,ROW()-4,$F$4)),INDEX('COOIS Raw'!$A:$GZ,ROW()-4,$F$4)))</f>
        <v/>
      </c>
      <c r="G1389" s="41" t="str">
        <f aca="false">IF(A1389="","",IF(ISNA(MATCH(B1389,'Kitting Plan'!$B$6:$B$19,0)),"Not in plan","Yes"))</f>
        <v/>
      </c>
      <c r="H1389" s="41" t="str">
        <f aca="false">IF(G1389="Yes",INDEX('Kitting Plan'!$D$6:$D$19,MATCH(B1389,'Kitting Plan'!$B$6:$B$19,0)),"")</f>
        <v/>
      </c>
      <c r="I1389" s="41" t="str">
        <f aca="false">IF(A1389="","",IF(ISNUMBER(SEARCH("PRT",E1389)),D1389,0))</f>
        <v/>
      </c>
      <c r="J1389" s="41" t="str">
        <f aca="false">IF(A1389="","",IF(ISNUMBER(SEARCH("GMPS",E1389)),D1389,0))</f>
        <v/>
      </c>
      <c r="K1389" s="41" t="str">
        <f aca="false">IF(A1389="","",IF(ISNUMBER(SEARCH("DLV",E1389)),D1389,0))</f>
        <v/>
      </c>
      <c r="L1389" s="41" t="str">
        <f aca="false">IF(A1389="","",IF(K1389&gt;0,"Delivered",IF(ISNUMBER(SEARCH("CNF",E1389)),"In production",IF(J1389&gt;0,"Issued",IF(I1389&gt;0,"Kitted","Released")))))</f>
        <v/>
      </c>
      <c r="M1389" s="41" t="str">
        <f aca="false">IF(G1389&lt;&gt;"Yes","",COUNTIFS($B$6:$B$1505,B1389,$F$6:$F$1505,"&lt;"&amp;F1389)+COUNTIFS($B$6:$B$1505,B1389,$F$6:$F$1505,F1389,$A$6:$A$1505,"&lt;="&amp;A1389))</f>
        <v/>
      </c>
      <c r="N1389" s="41" t="str">
        <f aca="false">IF(M1389="","",ROUNDUP(M1389/H1389,0))</f>
        <v/>
      </c>
      <c r="O1389" s="41" t="str">
        <f aca="false">IF(N1389="","",IF(N1389&lt;='Kitting Plan'!$C$3,"Rep "&amp;N1389,"Surplus"))</f>
        <v/>
      </c>
    </row>
    <row r="1390" customFormat="false" ht="15" hidden="false" customHeight="false" outlineLevel="0" collapsed="false">
      <c r="A1390" s="40" t="str">
        <f aca="false">IF(OR($A$4=0,INDEX('COOIS Raw'!$A:$GZ,ROW()-4,$A$4)=""),"",IFERROR(--INDEX('COOIS Raw'!$A:$GZ,ROW()-4,$A$4),INDEX('COOIS Raw'!$A:$GZ,ROW()-4,$A$4)))</f>
        <v/>
      </c>
      <c r="B1390" s="41" t="str">
        <f aca="false">IF(A1390="","",TRIM(INDEX('COOIS Raw'!$A:$GZ,ROW()-4,$B$4)))</f>
        <v/>
      </c>
      <c r="C1390" s="42" t="str">
        <f aca="false">IF(OR(A1390="",$C$4=0),"",INDEX('COOIS Raw'!$A:$GZ,ROW()-4,$C$4))</f>
        <v/>
      </c>
      <c r="D1390" s="41" t="str">
        <f aca="false">IF(A1390="","",IF($D$4=0,1,IFERROR(--INDEX('COOIS Raw'!$A:$GZ,ROW()-4,$D$4),1)))</f>
        <v/>
      </c>
      <c r="E1390" s="42" t="str">
        <f aca="false">IF(A1390="","",INDEX('COOIS Raw'!$A:$GZ,ROW()-4,$E$4)&amp;"")</f>
        <v/>
      </c>
      <c r="F1390" s="43" t="str">
        <f aca="false">IF(A1390="","",IFERROR(DATEVALUE(INDEX('COOIS Raw'!$A:$GZ,ROW()-4,$F$4)),INDEX('COOIS Raw'!$A:$GZ,ROW()-4,$F$4)))</f>
        <v/>
      </c>
      <c r="G1390" s="41" t="str">
        <f aca="false">IF(A1390="","",IF(ISNA(MATCH(B1390,'Kitting Plan'!$B$6:$B$19,0)),"Not in plan","Yes"))</f>
        <v/>
      </c>
      <c r="H1390" s="41" t="str">
        <f aca="false">IF(G1390="Yes",INDEX('Kitting Plan'!$D$6:$D$19,MATCH(B1390,'Kitting Plan'!$B$6:$B$19,0)),"")</f>
        <v/>
      </c>
      <c r="I1390" s="41" t="str">
        <f aca="false">IF(A1390="","",IF(ISNUMBER(SEARCH("PRT",E1390)),D1390,0))</f>
        <v/>
      </c>
      <c r="J1390" s="41" t="str">
        <f aca="false">IF(A1390="","",IF(ISNUMBER(SEARCH("GMPS",E1390)),D1390,0))</f>
        <v/>
      </c>
      <c r="K1390" s="41" t="str">
        <f aca="false">IF(A1390="","",IF(ISNUMBER(SEARCH("DLV",E1390)),D1390,0))</f>
        <v/>
      </c>
      <c r="L1390" s="41" t="str">
        <f aca="false">IF(A1390="","",IF(K1390&gt;0,"Delivered",IF(ISNUMBER(SEARCH("CNF",E1390)),"In production",IF(J1390&gt;0,"Issued",IF(I1390&gt;0,"Kitted","Released")))))</f>
        <v/>
      </c>
      <c r="M1390" s="41" t="str">
        <f aca="false">IF(G1390&lt;&gt;"Yes","",COUNTIFS($B$6:$B$1505,B1390,$F$6:$F$1505,"&lt;"&amp;F1390)+COUNTIFS($B$6:$B$1505,B1390,$F$6:$F$1505,F1390,$A$6:$A$1505,"&lt;="&amp;A1390))</f>
        <v/>
      </c>
      <c r="N1390" s="41" t="str">
        <f aca="false">IF(M1390="","",ROUNDUP(M1390/H1390,0))</f>
        <v/>
      </c>
      <c r="O1390" s="41" t="str">
        <f aca="false">IF(N1390="","",IF(N1390&lt;='Kitting Plan'!$C$3,"Rep "&amp;N1390,"Surplus"))</f>
        <v/>
      </c>
    </row>
    <row r="1391" customFormat="false" ht="15" hidden="false" customHeight="false" outlineLevel="0" collapsed="false">
      <c r="A1391" s="40" t="str">
        <f aca="false">IF(OR($A$4=0,INDEX('COOIS Raw'!$A:$GZ,ROW()-4,$A$4)=""),"",IFERROR(--INDEX('COOIS Raw'!$A:$GZ,ROW()-4,$A$4),INDEX('COOIS Raw'!$A:$GZ,ROW()-4,$A$4)))</f>
        <v/>
      </c>
      <c r="B1391" s="41" t="str">
        <f aca="false">IF(A1391="","",TRIM(INDEX('COOIS Raw'!$A:$GZ,ROW()-4,$B$4)))</f>
        <v/>
      </c>
      <c r="C1391" s="42" t="str">
        <f aca="false">IF(OR(A1391="",$C$4=0),"",INDEX('COOIS Raw'!$A:$GZ,ROW()-4,$C$4))</f>
        <v/>
      </c>
      <c r="D1391" s="41" t="str">
        <f aca="false">IF(A1391="","",IF($D$4=0,1,IFERROR(--INDEX('COOIS Raw'!$A:$GZ,ROW()-4,$D$4),1)))</f>
        <v/>
      </c>
      <c r="E1391" s="42" t="str">
        <f aca="false">IF(A1391="","",INDEX('COOIS Raw'!$A:$GZ,ROW()-4,$E$4)&amp;"")</f>
        <v/>
      </c>
      <c r="F1391" s="43" t="str">
        <f aca="false">IF(A1391="","",IFERROR(DATEVALUE(INDEX('COOIS Raw'!$A:$GZ,ROW()-4,$F$4)),INDEX('COOIS Raw'!$A:$GZ,ROW()-4,$F$4)))</f>
        <v/>
      </c>
      <c r="G1391" s="41" t="str">
        <f aca="false">IF(A1391="","",IF(ISNA(MATCH(B1391,'Kitting Plan'!$B$6:$B$19,0)),"Not in plan","Yes"))</f>
        <v/>
      </c>
      <c r="H1391" s="41" t="str">
        <f aca="false">IF(G1391="Yes",INDEX('Kitting Plan'!$D$6:$D$19,MATCH(B1391,'Kitting Plan'!$B$6:$B$19,0)),"")</f>
        <v/>
      </c>
      <c r="I1391" s="41" t="str">
        <f aca="false">IF(A1391="","",IF(ISNUMBER(SEARCH("PRT",E1391)),D1391,0))</f>
        <v/>
      </c>
      <c r="J1391" s="41" t="str">
        <f aca="false">IF(A1391="","",IF(ISNUMBER(SEARCH("GMPS",E1391)),D1391,0))</f>
        <v/>
      </c>
      <c r="K1391" s="41" t="str">
        <f aca="false">IF(A1391="","",IF(ISNUMBER(SEARCH("DLV",E1391)),D1391,0))</f>
        <v/>
      </c>
      <c r="L1391" s="41" t="str">
        <f aca="false">IF(A1391="","",IF(K1391&gt;0,"Delivered",IF(ISNUMBER(SEARCH("CNF",E1391)),"In production",IF(J1391&gt;0,"Issued",IF(I1391&gt;0,"Kitted","Released")))))</f>
        <v/>
      </c>
      <c r="M1391" s="41" t="str">
        <f aca="false">IF(G1391&lt;&gt;"Yes","",COUNTIFS($B$6:$B$1505,B1391,$F$6:$F$1505,"&lt;"&amp;F1391)+COUNTIFS($B$6:$B$1505,B1391,$F$6:$F$1505,F1391,$A$6:$A$1505,"&lt;="&amp;A1391))</f>
        <v/>
      </c>
      <c r="N1391" s="41" t="str">
        <f aca="false">IF(M1391="","",ROUNDUP(M1391/H1391,0))</f>
        <v/>
      </c>
      <c r="O1391" s="41" t="str">
        <f aca="false">IF(N1391="","",IF(N1391&lt;='Kitting Plan'!$C$3,"Rep "&amp;N1391,"Surplus"))</f>
        <v/>
      </c>
    </row>
    <row r="1392" customFormat="false" ht="15" hidden="false" customHeight="false" outlineLevel="0" collapsed="false">
      <c r="A1392" s="40" t="str">
        <f aca="false">IF(OR($A$4=0,INDEX('COOIS Raw'!$A:$GZ,ROW()-4,$A$4)=""),"",IFERROR(--INDEX('COOIS Raw'!$A:$GZ,ROW()-4,$A$4),INDEX('COOIS Raw'!$A:$GZ,ROW()-4,$A$4)))</f>
        <v/>
      </c>
      <c r="B1392" s="41" t="str">
        <f aca="false">IF(A1392="","",TRIM(INDEX('COOIS Raw'!$A:$GZ,ROW()-4,$B$4)))</f>
        <v/>
      </c>
      <c r="C1392" s="42" t="str">
        <f aca="false">IF(OR(A1392="",$C$4=0),"",INDEX('COOIS Raw'!$A:$GZ,ROW()-4,$C$4))</f>
        <v/>
      </c>
      <c r="D1392" s="41" t="str">
        <f aca="false">IF(A1392="","",IF($D$4=0,1,IFERROR(--INDEX('COOIS Raw'!$A:$GZ,ROW()-4,$D$4),1)))</f>
        <v/>
      </c>
      <c r="E1392" s="42" t="str">
        <f aca="false">IF(A1392="","",INDEX('COOIS Raw'!$A:$GZ,ROW()-4,$E$4)&amp;"")</f>
        <v/>
      </c>
      <c r="F1392" s="43" t="str">
        <f aca="false">IF(A1392="","",IFERROR(DATEVALUE(INDEX('COOIS Raw'!$A:$GZ,ROW()-4,$F$4)),INDEX('COOIS Raw'!$A:$GZ,ROW()-4,$F$4)))</f>
        <v/>
      </c>
      <c r="G1392" s="41" t="str">
        <f aca="false">IF(A1392="","",IF(ISNA(MATCH(B1392,'Kitting Plan'!$B$6:$B$19,0)),"Not in plan","Yes"))</f>
        <v/>
      </c>
      <c r="H1392" s="41" t="str">
        <f aca="false">IF(G1392="Yes",INDEX('Kitting Plan'!$D$6:$D$19,MATCH(B1392,'Kitting Plan'!$B$6:$B$19,0)),"")</f>
        <v/>
      </c>
      <c r="I1392" s="41" t="str">
        <f aca="false">IF(A1392="","",IF(ISNUMBER(SEARCH("PRT",E1392)),D1392,0))</f>
        <v/>
      </c>
      <c r="J1392" s="41" t="str">
        <f aca="false">IF(A1392="","",IF(ISNUMBER(SEARCH("GMPS",E1392)),D1392,0))</f>
        <v/>
      </c>
      <c r="K1392" s="41" t="str">
        <f aca="false">IF(A1392="","",IF(ISNUMBER(SEARCH("DLV",E1392)),D1392,0))</f>
        <v/>
      </c>
      <c r="L1392" s="41" t="str">
        <f aca="false">IF(A1392="","",IF(K1392&gt;0,"Delivered",IF(ISNUMBER(SEARCH("CNF",E1392)),"In production",IF(J1392&gt;0,"Issued",IF(I1392&gt;0,"Kitted","Released")))))</f>
        <v/>
      </c>
      <c r="M1392" s="41" t="str">
        <f aca="false">IF(G1392&lt;&gt;"Yes","",COUNTIFS($B$6:$B$1505,B1392,$F$6:$F$1505,"&lt;"&amp;F1392)+COUNTIFS($B$6:$B$1505,B1392,$F$6:$F$1505,F1392,$A$6:$A$1505,"&lt;="&amp;A1392))</f>
        <v/>
      </c>
      <c r="N1392" s="41" t="str">
        <f aca="false">IF(M1392="","",ROUNDUP(M1392/H1392,0))</f>
        <v/>
      </c>
      <c r="O1392" s="41" t="str">
        <f aca="false">IF(N1392="","",IF(N1392&lt;='Kitting Plan'!$C$3,"Rep "&amp;N1392,"Surplus"))</f>
        <v/>
      </c>
    </row>
    <row r="1393" customFormat="false" ht="15" hidden="false" customHeight="false" outlineLevel="0" collapsed="false">
      <c r="A1393" s="40" t="str">
        <f aca="false">IF(OR($A$4=0,INDEX('COOIS Raw'!$A:$GZ,ROW()-4,$A$4)=""),"",IFERROR(--INDEX('COOIS Raw'!$A:$GZ,ROW()-4,$A$4),INDEX('COOIS Raw'!$A:$GZ,ROW()-4,$A$4)))</f>
        <v/>
      </c>
      <c r="B1393" s="41" t="str">
        <f aca="false">IF(A1393="","",TRIM(INDEX('COOIS Raw'!$A:$GZ,ROW()-4,$B$4)))</f>
        <v/>
      </c>
      <c r="C1393" s="42" t="str">
        <f aca="false">IF(OR(A1393="",$C$4=0),"",INDEX('COOIS Raw'!$A:$GZ,ROW()-4,$C$4))</f>
        <v/>
      </c>
      <c r="D1393" s="41" t="str">
        <f aca="false">IF(A1393="","",IF($D$4=0,1,IFERROR(--INDEX('COOIS Raw'!$A:$GZ,ROW()-4,$D$4),1)))</f>
        <v/>
      </c>
      <c r="E1393" s="42" t="str">
        <f aca="false">IF(A1393="","",INDEX('COOIS Raw'!$A:$GZ,ROW()-4,$E$4)&amp;"")</f>
        <v/>
      </c>
      <c r="F1393" s="43" t="str">
        <f aca="false">IF(A1393="","",IFERROR(DATEVALUE(INDEX('COOIS Raw'!$A:$GZ,ROW()-4,$F$4)),INDEX('COOIS Raw'!$A:$GZ,ROW()-4,$F$4)))</f>
        <v/>
      </c>
      <c r="G1393" s="41" t="str">
        <f aca="false">IF(A1393="","",IF(ISNA(MATCH(B1393,'Kitting Plan'!$B$6:$B$19,0)),"Not in plan","Yes"))</f>
        <v/>
      </c>
      <c r="H1393" s="41" t="str">
        <f aca="false">IF(G1393="Yes",INDEX('Kitting Plan'!$D$6:$D$19,MATCH(B1393,'Kitting Plan'!$B$6:$B$19,0)),"")</f>
        <v/>
      </c>
      <c r="I1393" s="41" t="str">
        <f aca="false">IF(A1393="","",IF(ISNUMBER(SEARCH("PRT",E1393)),D1393,0))</f>
        <v/>
      </c>
      <c r="J1393" s="41" t="str">
        <f aca="false">IF(A1393="","",IF(ISNUMBER(SEARCH("GMPS",E1393)),D1393,0))</f>
        <v/>
      </c>
      <c r="K1393" s="41" t="str">
        <f aca="false">IF(A1393="","",IF(ISNUMBER(SEARCH("DLV",E1393)),D1393,0))</f>
        <v/>
      </c>
      <c r="L1393" s="41" t="str">
        <f aca="false">IF(A1393="","",IF(K1393&gt;0,"Delivered",IF(ISNUMBER(SEARCH("CNF",E1393)),"In production",IF(J1393&gt;0,"Issued",IF(I1393&gt;0,"Kitted","Released")))))</f>
        <v/>
      </c>
      <c r="M1393" s="41" t="str">
        <f aca="false">IF(G1393&lt;&gt;"Yes","",COUNTIFS($B$6:$B$1505,B1393,$F$6:$F$1505,"&lt;"&amp;F1393)+COUNTIFS($B$6:$B$1505,B1393,$F$6:$F$1505,F1393,$A$6:$A$1505,"&lt;="&amp;A1393))</f>
        <v/>
      </c>
      <c r="N1393" s="41" t="str">
        <f aca="false">IF(M1393="","",ROUNDUP(M1393/H1393,0))</f>
        <v/>
      </c>
      <c r="O1393" s="41" t="str">
        <f aca="false">IF(N1393="","",IF(N1393&lt;='Kitting Plan'!$C$3,"Rep "&amp;N1393,"Surplus"))</f>
        <v/>
      </c>
    </row>
    <row r="1394" customFormat="false" ht="15" hidden="false" customHeight="false" outlineLevel="0" collapsed="false">
      <c r="A1394" s="40" t="str">
        <f aca="false">IF(OR($A$4=0,INDEX('COOIS Raw'!$A:$GZ,ROW()-4,$A$4)=""),"",IFERROR(--INDEX('COOIS Raw'!$A:$GZ,ROW()-4,$A$4),INDEX('COOIS Raw'!$A:$GZ,ROW()-4,$A$4)))</f>
        <v/>
      </c>
      <c r="B1394" s="41" t="str">
        <f aca="false">IF(A1394="","",TRIM(INDEX('COOIS Raw'!$A:$GZ,ROW()-4,$B$4)))</f>
        <v/>
      </c>
      <c r="C1394" s="42" t="str">
        <f aca="false">IF(OR(A1394="",$C$4=0),"",INDEX('COOIS Raw'!$A:$GZ,ROW()-4,$C$4))</f>
        <v/>
      </c>
      <c r="D1394" s="41" t="str">
        <f aca="false">IF(A1394="","",IF($D$4=0,1,IFERROR(--INDEX('COOIS Raw'!$A:$GZ,ROW()-4,$D$4),1)))</f>
        <v/>
      </c>
      <c r="E1394" s="42" t="str">
        <f aca="false">IF(A1394="","",INDEX('COOIS Raw'!$A:$GZ,ROW()-4,$E$4)&amp;"")</f>
        <v/>
      </c>
      <c r="F1394" s="43" t="str">
        <f aca="false">IF(A1394="","",IFERROR(DATEVALUE(INDEX('COOIS Raw'!$A:$GZ,ROW()-4,$F$4)),INDEX('COOIS Raw'!$A:$GZ,ROW()-4,$F$4)))</f>
        <v/>
      </c>
      <c r="G1394" s="41" t="str">
        <f aca="false">IF(A1394="","",IF(ISNA(MATCH(B1394,'Kitting Plan'!$B$6:$B$19,0)),"Not in plan","Yes"))</f>
        <v/>
      </c>
      <c r="H1394" s="41" t="str">
        <f aca="false">IF(G1394="Yes",INDEX('Kitting Plan'!$D$6:$D$19,MATCH(B1394,'Kitting Plan'!$B$6:$B$19,0)),"")</f>
        <v/>
      </c>
      <c r="I1394" s="41" t="str">
        <f aca="false">IF(A1394="","",IF(ISNUMBER(SEARCH("PRT",E1394)),D1394,0))</f>
        <v/>
      </c>
      <c r="J1394" s="41" t="str">
        <f aca="false">IF(A1394="","",IF(ISNUMBER(SEARCH("GMPS",E1394)),D1394,0))</f>
        <v/>
      </c>
      <c r="K1394" s="41" t="str">
        <f aca="false">IF(A1394="","",IF(ISNUMBER(SEARCH("DLV",E1394)),D1394,0))</f>
        <v/>
      </c>
      <c r="L1394" s="41" t="str">
        <f aca="false">IF(A1394="","",IF(K1394&gt;0,"Delivered",IF(ISNUMBER(SEARCH("CNF",E1394)),"In production",IF(J1394&gt;0,"Issued",IF(I1394&gt;0,"Kitted","Released")))))</f>
        <v/>
      </c>
      <c r="M1394" s="41" t="str">
        <f aca="false">IF(G1394&lt;&gt;"Yes","",COUNTIFS($B$6:$B$1505,B1394,$F$6:$F$1505,"&lt;"&amp;F1394)+COUNTIFS($B$6:$B$1505,B1394,$F$6:$F$1505,F1394,$A$6:$A$1505,"&lt;="&amp;A1394))</f>
        <v/>
      </c>
      <c r="N1394" s="41" t="str">
        <f aca="false">IF(M1394="","",ROUNDUP(M1394/H1394,0))</f>
        <v/>
      </c>
      <c r="O1394" s="41" t="str">
        <f aca="false">IF(N1394="","",IF(N1394&lt;='Kitting Plan'!$C$3,"Rep "&amp;N1394,"Surplus"))</f>
        <v/>
      </c>
    </row>
    <row r="1395" customFormat="false" ht="15" hidden="false" customHeight="false" outlineLevel="0" collapsed="false">
      <c r="A1395" s="40" t="str">
        <f aca="false">IF(OR($A$4=0,INDEX('COOIS Raw'!$A:$GZ,ROW()-4,$A$4)=""),"",IFERROR(--INDEX('COOIS Raw'!$A:$GZ,ROW()-4,$A$4),INDEX('COOIS Raw'!$A:$GZ,ROW()-4,$A$4)))</f>
        <v/>
      </c>
      <c r="B1395" s="41" t="str">
        <f aca="false">IF(A1395="","",TRIM(INDEX('COOIS Raw'!$A:$GZ,ROW()-4,$B$4)))</f>
        <v/>
      </c>
      <c r="C1395" s="42" t="str">
        <f aca="false">IF(OR(A1395="",$C$4=0),"",INDEX('COOIS Raw'!$A:$GZ,ROW()-4,$C$4))</f>
        <v/>
      </c>
      <c r="D1395" s="41" t="str">
        <f aca="false">IF(A1395="","",IF($D$4=0,1,IFERROR(--INDEX('COOIS Raw'!$A:$GZ,ROW()-4,$D$4),1)))</f>
        <v/>
      </c>
      <c r="E1395" s="42" t="str">
        <f aca="false">IF(A1395="","",INDEX('COOIS Raw'!$A:$GZ,ROW()-4,$E$4)&amp;"")</f>
        <v/>
      </c>
      <c r="F1395" s="43" t="str">
        <f aca="false">IF(A1395="","",IFERROR(DATEVALUE(INDEX('COOIS Raw'!$A:$GZ,ROW()-4,$F$4)),INDEX('COOIS Raw'!$A:$GZ,ROW()-4,$F$4)))</f>
        <v/>
      </c>
      <c r="G1395" s="41" t="str">
        <f aca="false">IF(A1395="","",IF(ISNA(MATCH(B1395,'Kitting Plan'!$B$6:$B$19,0)),"Not in plan","Yes"))</f>
        <v/>
      </c>
      <c r="H1395" s="41" t="str">
        <f aca="false">IF(G1395="Yes",INDEX('Kitting Plan'!$D$6:$D$19,MATCH(B1395,'Kitting Plan'!$B$6:$B$19,0)),"")</f>
        <v/>
      </c>
      <c r="I1395" s="41" t="str">
        <f aca="false">IF(A1395="","",IF(ISNUMBER(SEARCH("PRT",E1395)),D1395,0))</f>
        <v/>
      </c>
      <c r="J1395" s="41" t="str">
        <f aca="false">IF(A1395="","",IF(ISNUMBER(SEARCH("GMPS",E1395)),D1395,0))</f>
        <v/>
      </c>
      <c r="K1395" s="41" t="str">
        <f aca="false">IF(A1395="","",IF(ISNUMBER(SEARCH("DLV",E1395)),D1395,0))</f>
        <v/>
      </c>
      <c r="L1395" s="41" t="str">
        <f aca="false">IF(A1395="","",IF(K1395&gt;0,"Delivered",IF(ISNUMBER(SEARCH("CNF",E1395)),"In production",IF(J1395&gt;0,"Issued",IF(I1395&gt;0,"Kitted","Released")))))</f>
        <v/>
      </c>
      <c r="M1395" s="41" t="str">
        <f aca="false">IF(G1395&lt;&gt;"Yes","",COUNTIFS($B$6:$B$1505,B1395,$F$6:$F$1505,"&lt;"&amp;F1395)+COUNTIFS($B$6:$B$1505,B1395,$F$6:$F$1505,F1395,$A$6:$A$1505,"&lt;="&amp;A1395))</f>
        <v/>
      </c>
      <c r="N1395" s="41" t="str">
        <f aca="false">IF(M1395="","",ROUNDUP(M1395/H1395,0))</f>
        <v/>
      </c>
      <c r="O1395" s="41" t="str">
        <f aca="false">IF(N1395="","",IF(N1395&lt;='Kitting Plan'!$C$3,"Rep "&amp;N1395,"Surplus"))</f>
        <v/>
      </c>
    </row>
    <row r="1396" customFormat="false" ht="15" hidden="false" customHeight="false" outlineLevel="0" collapsed="false">
      <c r="A1396" s="40" t="str">
        <f aca="false">IF(OR($A$4=0,INDEX('COOIS Raw'!$A:$GZ,ROW()-4,$A$4)=""),"",IFERROR(--INDEX('COOIS Raw'!$A:$GZ,ROW()-4,$A$4),INDEX('COOIS Raw'!$A:$GZ,ROW()-4,$A$4)))</f>
        <v/>
      </c>
      <c r="B1396" s="41" t="str">
        <f aca="false">IF(A1396="","",TRIM(INDEX('COOIS Raw'!$A:$GZ,ROW()-4,$B$4)))</f>
        <v/>
      </c>
      <c r="C1396" s="42" t="str">
        <f aca="false">IF(OR(A1396="",$C$4=0),"",INDEX('COOIS Raw'!$A:$GZ,ROW()-4,$C$4))</f>
        <v/>
      </c>
      <c r="D1396" s="41" t="str">
        <f aca="false">IF(A1396="","",IF($D$4=0,1,IFERROR(--INDEX('COOIS Raw'!$A:$GZ,ROW()-4,$D$4),1)))</f>
        <v/>
      </c>
      <c r="E1396" s="42" t="str">
        <f aca="false">IF(A1396="","",INDEX('COOIS Raw'!$A:$GZ,ROW()-4,$E$4)&amp;"")</f>
        <v/>
      </c>
      <c r="F1396" s="43" t="str">
        <f aca="false">IF(A1396="","",IFERROR(DATEVALUE(INDEX('COOIS Raw'!$A:$GZ,ROW()-4,$F$4)),INDEX('COOIS Raw'!$A:$GZ,ROW()-4,$F$4)))</f>
        <v/>
      </c>
      <c r="G1396" s="41" t="str">
        <f aca="false">IF(A1396="","",IF(ISNA(MATCH(B1396,'Kitting Plan'!$B$6:$B$19,0)),"Not in plan","Yes"))</f>
        <v/>
      </c>
      <c r="H1396" s="41" t="str">
        <f aca="false">IF(G1396="Yes",INDEX('Kitting Plan'!$D$6:$D$19,MATCH(B1396,'Kitting Plan'!$B$6:$B$19,0)),"")</f>
        <v/>
      </c>
      <c r="I1396" s="41" t="str">
        <f aca="false">IF(A1396="","",IF(ISNUMBER(SEARCH("PRT",E1396)),D1396,0))</f>
        <v/>
      </c>
      <c r="J1396" s="41" t="str">
        <f aca="false">IF(A1396="","",IF(ISNUMBER(SEARCH("GMPS",E1396)),D1396,0))</f>
        <v/>
      </c>
      <c r="K1396" s="41" t="str">
        <f aca="false">IF(A1396="","",IF(ISNUMBER(SEARCH("DLV",E1396)),D1396,0))</f>
        <v/>
      </c>
      <c r="L1396" s="41" t="str">
        <f aca="false">IF(A1396="","",IF(K1396&gt;0,"Delivered",IF(ISNUMBER(SEARCH("CNF",E1396)),"In production",IF(J1396&gt;0,"Issued",IF(I1396&gt;0,"Kitted","Released")))))</f>
        <v/>
      </c>
      <c r="M1396" s="41" t="str">
        <f aca="false">IF(G1396&lt;&gt;"Yes","",COUNTIFS($B$6:$B$1505,B1396,$F$6:$F$1505,"&lt;"&amp;F1396)+COUNTIFS($B$6:$B$1505,B1396,$F$6:$F$1505,F1396,$A$6:$A$1505,"&lt;="&amp;A1396))</f>
        <v/>
      </c>
      <c r="N1396" s="41" t="str">
        <f aca="false">IF(M1396="","",ROUNDUP(M1396/H1396,0))</f>
        <v/>
      </c>
      <c r="O1396" s="41" t="str">
        <f aca="false">IF(N1396="","",IF(N1396&lt;='Kitting Plan'!$C$3,"Rep "&amp;N1396,"Surplus"))</f>
        <v/>
      </c>
    </row>
    <row r="1397" customFormat="false" ht="15" hidden="false" customHeight="false" outlineLevel="0" collapsed="false">
      <c r="A1397" s="40" t="str">
        <f aca="false">IF(OR($A$4=0,INDEX('COOIS Raw'!$A:$GZ,ROW()-4,$A$4)=""),"",IFERROR(--INDEX('COOIS Raw'!$A:$GZ,ROW()-4,$A$4),INDEX('COOIS Raw'!$A:$GZ,ROW()-4,$A$4)))</f>
        <v/>
      </c>
      <c r="B1397" s="41" t="str">
        <f aca="false">IF(A1397="","",TRIM(INDEX('COOIS Raw'!$A:$GZ,ROW()-4,$B$4)))</f>
        <v/>
      </c>
      <c r="C1397" s="42" t="str">
        <f aca="false">IF(OR(A1397="",$C$4=0),"",INDEX('COOIS Raw'!$A:$GZ,ROW()-4,$C$4))</f>
        <v/>
      </c>
      <c r="D1397" s="41" t="str">
        <f aca="false">IF(A1397="","",IF($D$4=0,1,IFERROR(--INDEX('COOIS Raw'!$A:$GZ,ROW()-4,$D$4),1)))</f>
        <v/>
      </c>
      <c r="E1397" s="42" t="str">
        <f aca="false">IF(A1397="","",INDEX('COOIS Raw'!$A:$GZ,ROW()-4,$E$4)&amp;"")</f>
        <v/>
      </c>
      <c r="F1397" s="43" t="str">
        <f aca="false">IF(A1397="","",IFERROR(DATEVALUE(INDEX('COOIS Raw'!$A:$GZ,ROW()-4,$F$4)),INDEX('COOIS Raw'!$A:$GZ,ROW()-4,$F$4)))</f>
        <v/>
      </c>
      <c r="G1397" s="41" t="str">
        <f aca="false">IF(A1397="","",IF(ISNA(MATCH(B1397,'Kitting Plan'!$B$6:$B$19,0)),"Not in plan","Yes"))</f>
        <v/>
      </c>
      <c r="H1397" s="41" t="str">
        <f aca="false">IF(G1397="Yes",INDEX('Kitting Plan'!$D$6:$D$19,MATCH(B1397,'Kitting Plan'!$B$6:$B$19,0)),"")</f>
        <v/>
      </c>
      <c r="I1397" s="41" t="str">
        <f aca="false">IF(A1397="","",IF(ISNUMBER(SEARCH("PRT",E1397)),D1397,0))</f>
        <v/>
      </c>
      <c r="J1397" s="41" t="str">
        <f aca="false">IF(A1397="","",IF(ISNUMBER(SEARCH("GMPS",E1397)),D1397,0))</f>
        <v/>
      </c>
      <c r="K1397" s="41" t="str">
        <f aca="false">IF(A1397="","",IF(ISNUMBER(SEARCH("DLV",E1397)),D1397,0))</f>
        <v/>
      </c>
      <c r="L1397" s="41" t="str">
        <f aca="false">IF(A1397="","",IF(K1397&gt;0,"Delivered",IF(ISNUMBER(SEARCH("CNF",E1397)),"In production",IF(J1397&gt;0,"Issued",IF(I1397&gt;0,"Kitted","Released")))))</f>
        <v/>
      </c>
      <c r="M1397" s="41" t="str">
        <f aca="false">IF(G1397&lt;&gt;"Yes","",COUNTIFS($B$6:$B$1505,B1397,$F$6:$F$1505,"&lt;"&amp;F1397)+COUNTIFS($B$6:$B$1505,B1397,$F$6:$F$1505,F1397,$A$6:$A$1505,"&lt;="&amp;A1397))</f>
        <v/>
      </c>
      <c r="N1397" s="41" t="str">
        <f aca="false">IF(M1397="","",ROUNDUP(M1397/H1397,0))</f>
        <v/>
      </c>
      <c r="O1397" s="41" t="str">
        <f aca="false">IF(N1397="","",IF(N1397&lt;='Kitting Plan'!$C$3,"Rep "&amp;N1397,"Surplus"))</f>
        <v/>
      </c>
    </row>
    <row r="1398" customFormat="false" ht="15" hidden="false" customHeight="false" outlineLevel="0" collapsed="false">
      <c r="A1398" s="40" t="str">
        <f aca="false">IF(OR($A$4=0,INDEX('COOIS Raw'!$A:$GZ,ROW()-4,$A$4)=""),"",IFERROR(--INDEX('COOIS Raw'!$A:$GZ,ROW()-4,$A$4),INDEX('COOIS Raw'!$A:$GZ,ROW()-4,$A$4)))</f>
        <v/>
      </c>
      <c r="B1398" s="41" t="str">
        <f aca="false">IF(A1398="","",TRIM(INDEX('COOIS Raw'!$A:$GZ,ROW()-4,$B$4)))</f>
        <v/>
      </c>
      <c r="C1398" s="42" t="str">
        <f aca="false">IF(OR(A1398="",$C$4=0),"",INDEX('COOIS Raw'!$A:$GZ,ROW()-4,$C$4))</f>
        <v/>
      </c>
      <c r="D1398" s="41" t="str">
        <f aca="false">IF(A1398="","",IF($D$4=0,1,IFERROR(--INDEX('COOIS Raw'!$A:$GZ,ROW()-4,$D$4),1)))</f>
        <v/>
      </c>
      <c r="E1398" s="42" t="str">
        <f aca="false">IF(A1398="","",INDEX('COOIS Raw'!$A:$GZ,ROW()-4,$E$4)&amp;"")</f>
        <v/>
      </c>
      <c r="F1398" s="43" t="str">
        <f aca="false">IF(A1398="","",IFERROR(DATEVALUE(INDEX('COOIS Raw'!$A:$GZ,ROW()-4,$F$4)),INDEX('COOIS Raw'!$A:$GZ,ROW()-4,$F$4)))</f>
        <v/>
      </c>
      <c r="G1398" s="41" t="str">
        <f aca="false">IF(A1398="","",IF(ISNA(MATCH(B1398,'Kitting Plan'!$B$6:$B$19,0)),"Not in plan","Yes"))</f>
        <v/>
      </c>
      <c r="H1398" s="41" t="str">
        <f aca="false">IF(G1398="Yes",INDEX('Kitting Plan'!$D$6:$D$19,MATCH(B1398,'Kitting Plan'!$B$6:$B$19,0)),"")</f>
        <v/>
      </c>
      <c r="I1398" s="41" t="str">
        <f aca="false">IF(A1398="","",IF(ISNUMBER(SEARCH("PRT",E1398)),D1398,0))</f>
        <v/>
      </c>
      <c r="J1398" s="41" t="str">
        <f aca="false">IF(A1398="","",IF(ISNUMBER(SEARCH("GMPS",E1398)),D1398,0))</f>
        <v/>
      </c>
      <c r="K1398" s="41" t="str">
        <f aca="false">IF(A1398="","",IF(ISNUMBER(SEARCH("DLV",E1398)),D1398,0))</f>
        <v/>
      </c>
      <c r="L1398" s="41" t="str">
        <f aca="false">IF(A1398="","",IF(K1398&gt;0,"Delivered",IF(ISNUMBER(SEARCH("CNF",E1398)),"In production",IF(J1398&gt;0,"Issued",IF(I1398&gt;0,"Kitted","Released")))))</f>
        <v/>
      </c>
      <c r="M1398" s="41" t="str">
        <f aca="false">IF(G1398&lt;&gt;"Yes","",COUNTIFS($B$6:$B$1505,B1398,$F$6:$F$1505,"&lt;"&amp;F1398)+COUNTIFS($B$6:$B$1505,B1398,$F$6:$F$1505,F1398,$A$6:$A$1505,"&lt;="&amp;A1398))</f>
        <v/>
      </c>
      <c r="N1398" s="41" t="str">
        <f aca="false">IF(M1398="","",ROUNDUP(M1398/H1398,0))</f>
        <v/>
      </c>
      <c r="O1398" s="41" t="str">
        <f aca="false">IF(N1398="","",IF(N1398&lt;='Kitting Plan'!$C$3,"Rep "&amp;N1398,"Surplus"))</f>
        <v/>
      </c>
    </row>
    <row r="1399" customFormat="false" ht="15" hidden="false" customHeight="false" outlineLevel="0" collapsed="false">
      <c r="A1399" s="40" t="str">
        <f aca="false">IF(OR($A$4=0,INDEX('COOIS Raw'!$A:$GZ,ROW()-4,$A$4)=""),"",IFERROR(--INDEX('COOIS Raw'!$A:$GZ,ROW()-4,$A$4),INDEX('COOIS Raw'!$A:$GZ,ROW()-4,$A$4)))</f>
        <v/>
      </c>
      <c r="B1399" s="41" t="str">
        <f aca="false">IF(A1399="","",TRIM(INDEX('COOIS Raw'!$A:$GZ,ROW()-4,$B$4)))</f>
        <v/>
      </c>
      <c r="C1399" s="42" t="str">
        <f aca="false">IF(OR(A1399="",$C$4=0),"",INDEX('COOIS Raw'!$A:$GZ,ROW()-4,$C$4))</f>
        <v/>
      </c>
      <c r="D1399" s="41" t="str">
        <f aca="false">IF(A1399="","",IF($D$4=0,1,IFERROR(--INDEX('COOIS Raw'!$A:$GZ,ROW()-4,$D$4),1)))</f>
        <v/>
      </c>
      <c r="E1399" s="42" t="str">
        <f aca="false">IF(A1399="","",INDEX('COOIS Raw'!$A:$GZ,ROW()-4,$E$4)&amp;"")</f>
        <v/>
      </c>
      <c r="F1399" s="43" t="str">
        <f aca="false">IF(A1399="","",IFERROR(DATEVALUE(INDEX('COOIS Raw'!$A:$GZ,ROW()-4,$F$4)),INDEX('COOIS Raw'!$A:$GZ,ROW()-4,$F$4)))</f>
        <v/>
      </c>
      <c r="G1399" s="41" t="str">
        <f aca="false">IF(A1399="","",IF(ISNA(MATCH(B1399,'Kitting Plan'!$B$6:$B$19,0)),"Not in plan","Yes"))</f>
        <v/>
      </c>
      <c r="H1399" s="41" t="str">
        <f aca="false">IF(G1399="Yes",INDEX('Kitting Plan'!$D$6:$D$19,MATCH(B1399,'Kitting Plan'!$B$6:$B$19,0)),"")</f>
        <v/>
      </c>
      <c r="I1399" s="41" t="str">
        <f aca="false">IF(A1399="","",IF(ISNUMBER(SEARCH("PRT",E1399)),D1399,0))</f>
        <v/>
      </c>
      <c r="J1399" s="41" t="str">
        <f aca="false">IF(A1399="","",IF(ISNUMBER(SEARCH("GMPS",E1399)),D1399,0))</f>
        <v/>
      </c>
      <c r="K1399" s="41" t="str">
        <f aca="false">IF(A1399="","",IF(ISNUMBER(SEARCH("DLV",E1399)),D1399,0))</f>
        <v/>
      </c>
      <c r="L1399" s="41" t="str">
        <f aca="false">IF(A1399="","",IF(K1399&gt;0,"Delivered",IF(ISNUMBER(SEARCH("CNF",E1399)),"In production",IF(J1399&gt;0,"Issued",IF(I1399&gt;0,"Kitted","Released")))))</f>
        <v/>
      </c>
      <c r="M1399" s="41" t="str">
        <f aca="false">IF(G1399&lt;&gt;"Yes","",COUNTIFS($B$6:$B$1505,B1399,$F$6:$F$1505,"&lt;"&amp;F1399)+COUNTIFS($B$6:$B$1505,B1399,$F$6:$F$1505,F1399,$A$6:$A$1505,"&lt;="&amp;A1399))</f>
        <v/>
      </c>
      <c r="N1399" s="41" t="str">
        <f aca="false">IF(M1399="","",ROUNDUP(M1399/H1399,0))</f>
        <v/>
      </c>
      <c r="O1399" s="41" t="str">
        <f aca="false">IF(N1399="","",IF(N1399&lt;='Kitting Plan'!$C$3,"Rep "&amp;N1399,"Surplus"))</f>
        <v/>
      </c>
    </row>
    <row r="1400" customFormat="false" ht="15" hidden="false" customHeight="false" outlineLevel="0" collapsed="false">
      <c r="A1400" s="40" t="str">
        <f aca="false">IF(OR($A$4=0,INDEX('COOIS Raw'!$A:$GZ,ROW()-4,$A$4)=""),"",IFERROR(--INDEX('COOIS Raw'!$A:$GZ,ROW()-4,$A$4),INDEX('COOIS Raw'!$A:$GZ,ROW()-4,$A$4)))</f>
        <v/>
      </c>
      <c r="B1400" s="41" t="str">
        <f aca="false">IF(A1400="","",TRIM(INDEX('COOIS Raw'!$A:$GZ,ROW()-4,$B$4)))</f>
        <v/>
      </c>
      <c r="C1400" s="42" t="str">
        <f aca="false">IF(OR(A1400="",$C$4=0),"",INDEX('COOIS Raw'!$A:$GZ,ROW()-4,$C$4))</f>
        <v/>
      </c>
      <c r="D1400" s="41" t="str">
        <f aca="false">IF(A1400="","",IF($D$4=0,1,IFERROR(--INDEX('COOIS Raw'!$A:$GZ,ROW()-4,$D$4),1)))</f>
        <v/>
      </c>
      <c r="E1400" s="42" t="str">
        <f aca="false">IF(A1400="","",INDEX('COOIS Raw'!$A:$GZ,ROW()-4,$E$4)&amp;"")</f>
        <v/>
      </c>
      <c r="F1400" s="43" t="str">
        <f aca="false">IF(A1400="","",IFERROR(DATEVALUE(INDEX('COOIS Raw'!$A:$GZ,ROW()-4,$F$4)),INDEX('COOIS Raw'!$A:$GZ,ROW()-4,$F$4)))</f>
        <v/>
      </c>
      <c r="G1400" s="41" t="str">
        <f aca="false">IF(A1400="","",IF(ISNA(MATCH(B1400,'Kitting Plan'!$B$6:$B$19,0)),"Not in plan","Yes"))</f>
        <v/>
      </c>
      <c r="H1400" s="41" t="str">
        <f aca="false">IF(G1400="Yes",INDEX('Kitting Plan'!$D$6:$D$19,MATCH(B1400,'Kitting Plan'!$B$6:$B$19,0)),"")</f>
        <v/>
      </c>
      <c r="I1400" s="41" t="str">
        <f aca="false">IF(A1400="","",IF(ISNUMBER(SEARCH("PRT",E1400)),D1400,0))</f>
        <v/>
      </c>
      <c r="J1400" s="41" t="str">
        <f aca="false">IF(A1400="","",IF(ISNUMBER(SEARCH("GMPS",E1400)),D1400,0))</f>
        <v/>
      </c>
      <c r="K1400" s="41" t="str">
        <f aca="false">IF(A1400="","",IF(ISNUMBER(SEARCH("DLV",E1400)),D1400,0))</f>
        <v/>
      </c>
      <c r="L1400" s="41" t="str">
        <f aca="false">IF(A1400="","",IF(K1400&gt;0,"Delivered",IF(ISNUMBER(SEARCH("CNF",E1400)),"In production",IF(J1400&gt;0,"Issued",IF(I1400&gt;0,"Kitted","Released")))))</f>
        <v/>
      </c>
      <c r="M1400" s="41" t="str">
        <f aca="false">IF(G1400&lt;&gt;"Yes","",COUNTIFS($B$6:$B$1505,B1400,$F$6:$F$1505,"&lt;"&amp;F1400)+COUNTIFS($B$6:$B$1505,B1400,$F$6:$F$1505,F1400,$A$6:$A$1505,"&lt;="&amp;A1400))</f>
        <v/>
      </c>
      <c r="N1400" s="41" t="str">
        <f aca="false">IF(M1400="","",ROUNDUP(M1400/H1400,0))</f>
        <v/>
      </c>
      <c r="O1400" s="41" t="str">
        <f aca="false">IF(N1400="","",IF(N1400&lt;='Kitting Plan'!$C$3,"Rep "&amp;N1400,"Surplus"))</f>
        <v/>
      </c>
    </row>
    <row r="1401" customFormat="false" ht="15" hidden="false" customHeight="false" outlineLevel="0" collapsed="false">
      <c r="A1401" s="40" t="str">
        <f aca="false">IF(OR($A$4=0,INDEX('COOIS Raw'!$A:$GZ,ROW()-4,$A$4)=""),"",IFERROR(--INDEX('COOIS Raw'!$A:$GZ,ROW()-4,$A$4),INDEX('COOIS Raw'!$A:$GZ,ROW()-4,$A$4)))</f>
        <v/>
      </c>
      <c r="B1401" s="41" t="str">
        <f aca="false">IF(A1401="","",TRIM(INDEX('COOIS Raw'!$A:$GZ,ROW()-4,$B$4)))</f>
        <v/>
      </c>
      <c r="C1401" s="42" t="str">
        <f aca="false">IF(OR(A1401="",$C$4=0),"",INDEX('COOIS Raw'!$A:$GZ,ROW()-4,$C$4))</f>
        <v/>
      </c>
      <c r="D1401" s="41" t="str">
        <f aca="false">IF(A1401="","",IF($D$4=0,1,IFERROR(--INDEX('COOIS Raw'!$A:$GZ,ROW()-4,$D$4),1)))</f>
        <v/>
      </c>
      <c r="E1401" s="42" t="str">
        <f aca="false">IF(A1401="","",INDEX('COOIS Raw'!$A:$GZ,ROW()-4,$E$4)&amp;"")</f>
        <v/>
      </c>
      <c r="F1401" s="43" t="str">
        <f aca="false">IF(A1401="","",IFERROR(DATEVALUE(INDEX('COOIS Raw'!$A:$GZ,ROW()-4,$F$4)),INDEX('COOIS Raw'!$A:$GZ,ROW()-4,$F$4)))</f>
        <v/>
      </c>
      <c r="G1401" s="41" t="str">
        <f aca="false">IF(A1401="","",IF(ISNA(MATCH(B1401,'Kitting Plan'!$B$6:$B$19,0)),"Not in plan","Yes"))</f>
        <v/>
      </c>
      <c r="H1401" s="41" t="str">
        <f aca="false">IF(G1401="Yes",INDEX('Kitting Plan'!$D$6:$D$19,MATCH(B1401,'Kitting Plan'!$B$6:$B$19,0)),"")</f>
        <v/>
      </c>
      <c r="I1401" s="41" t="str">
        <f aca="false">IF(A1401="","",IF(ISNUMBER(SEARCH("PRT",E1401)),D1401,0))</f>
        <v/>
      </c>
      <c r="J1401" s="41" t="str">
        <f aca="false">IF(A1401="","",IF(ISNUMBER(SEARCH("GMPS",E1401)),D1401,0))</f>
        <v/>
      </c>
      <c r="K1401" s="41" t="str">
        <f aca="false">IF(A1401="","",IF(ISNUMBER(SEARCH("DLV",E1401)),D1401,0))</f>
        <v/>
      </c>
      <c r="L1401" s="41" t="str">
        <f aca="false">IF(A1401="","",IF(K1401&gt;0,"Delivered",IF(ISNUMBER(SEARCH("CNF",E1401)),"In production",IF(J1401&gt;0,"Issued",IF(I1401&gt;0,"Kitted","Released")))))</f>
        <v/>
      </c>
      <c r="M1401" s="41" t="str">
        <f aca="false">IF(G1401&lt;&gt;"Yes","",COUNTIFS($B$6:$B$1505,B1401,$F$6:$F$1505,"&lt;"&amp;F1401)+COUNTIFS($B$6:$B$1505,B1401,$F$6:$F$1505,F1401,$A$6:$A$1505,"&lt;="&amp;A1401))</f>
        <v/>
      </c>
      <c r="N1401" s="41" t="str">
        <f aca="false">IF(M1401="","",ROUNDUP(M1401/H1401,0))</f>
        <v/>
      </c>
      <c r="O1401" s="41" t="str">
        <f aca="false">IF(N1401="","",IF(N1401&lt;='Kitting Plan'!$C$3,"Rep "&amp;N1401,"Surplus"))</f>
        <v/>
      </c>
    </row>
    <row r="1402" customFormat="false" ht="15" hidden="false" customHeight="false" outlineLevel="0" collapsed="false">
      <c r="A1402" s="40" t="str">
        <f aca="false">IF(OR($A$4=0,INDEX('COOIS Raw'!$A:$GZ,ROW()-4,$A$4)=""),"",IFERROR(--INDEX('COOIS Raw'!$A:$GZ,ROW()-4,$A$4),INDEX('COOIS Raw'!$A:$GZ,ROW()-4,$A$4)))</f>
        <v/>
      </c>
      <c r="B1402" s="41" t="str">
        <f aca="false">IF(A1402="","",TRIM(INDEX('COOIS Raw'!$A:$GZ,ROW()-4,$B$4)))</f>
        <v/>
      </c>
      <c r="C1402" s="42" t="str">
        <f aca="false">IF(OR(A1402="",$C$4=0),"",INDEX('COOIS Raw'!$A:$GZ,ROW()-4,$C$4))</f>
        <v/>
      </c>
      <c r="D1402" s="41" t="str">
        <f aca="false">IF(A1402="","",IF($D$4=0,1,IFERROR(--INDEX('COOIS Raw'!$A:$GZ,ROW()-4,$D$4),1)))</f>
        <v/>
      </c>
      <c r="E1402" s="42" t="str">
        <f aca="false">IF(A1402="","",INDEX('COOIS Raw'!$A:$GZ,ROW()-4,$E$4)&amp;"")</f>
        <v/>
      </c>
      <c r="F1402" s="43" t="str">
        <f aca="false">IF(A1402="","",IFERROR(DATEVALUE(INDEX('COOIS Raw'!$A:$GZ,ROW()-4,$F$4)),INDEX('COOIS Raw'!$A:$GZ,ROW()-4,$F$4)))</f>
        <v/>
      </c>
      <c r="G1402" s="41" t="str">
        <f aca="false">IF(A1402="","",IF(ISNA(MATCH(B1402,'Kitting Plan'!$B$6:$B$19,0)),"Not in plan","Yes"))</f>
        <v/>
      </c>
      <c r="H1402" s="41" t="str">
        <f aca="false">IF(G1402="Yes",INDEX('Kitting Plan'!$D$6:$D$19,MATCH(B1402,'Kitting Plan'!$B$6:$B$19,0)),"")</f>
        <v/>
      </c>
      <c r="I1402" s="41" t="str">
        <f aca="false">IF(A1402="","",IF(ISNUMBER(SEARCH("PRT",E1402)),D1402,0))</f>
        <v/>
      </c>
      <c r="J1402" s="41" t="str">
        <f aca="false">IF(A1402="","",IF(ISNUMBER(SEARCH("GMPS",E1402)),D1402,0))</f>
        <v/>
      </c>
      <c r="K1402" s="41" t="str">
        <f aca="false">IF(A1402="","",IF(ISNUMBER(SEARCH("DLV",E1402)),D1402,0))</f>
        <v/>
      </c>
      <c r="L1402" s="41" t="str">
        <f aca="false">IF(A1402="","",IF(K1402&gt;0,"Delivered",IF(ISNUMBER(SEARCH("CNF",E1402)),"In production",IF(J1402&gt;0,"Issued",IF(I1402&gt;0,"Kitted","Released")))))</f>
        <v/>
      </c>
      <c r="M1402" s="41" t="str">
        <f aca="false">IF(G1402&lt;&gt;"Yes","",COUNTIFS($B$6:$B$1505,B1402,$F$6:$F$1505,"&lt;"&amp;F1402)+COUNTIFS($B$6:$B$1505,B1402,$F$6:$F$1505,F1402,$A$6:$A$1505,"&lt;="&amp;A1402))</f>
        <v/>
      </c>
      <c r="N1402" s="41" t="str">
        <f aca="false">IF(M1402="","",ROUNDUP(M1402/H1402,0))</f>
        <v/>
      </c>
      <c r="O1402" s="41" t="str">
        <f aca="false">IF(N1402="","",IF(N1402&lt;='Kitting Plan'!$C$3,"Rep "&amp;N1402,"Surplus"))</f>
        <v/>
      </c>
    </row>
    <row r="1403" customFormat="false" ht="15" hidden="false" customHeight="false" outlineLevel="0" collapsed="false">
      <c r="A1403" s="40" t="str">
        <f aca="false">IF(OR($A$4=0,INDEX('COOIS Raw'!$A:$GZ,ROW()-4,$A$4)=""),"",IFERROR(--INDEX('COOIS Raw'!$A:$GZ,ROW()-4,$A$4),INDEX('COOIS Raw'!$A:$GZ,ROW()-4,$A$4)))</f>
        <v/>
      </c>
      <c r="B1403" s="41" t="str">
        <f aca="false">IF(A1403="","",TRIM(INDEX('COOIS Raw'!$A:$GZ,ROW()-4,$B$4)))</f>
        <v/>
      </c>
      <c r="C1403" s="42" t="str">
        <f aca="false">IF(OR(A1403="",$C$4=0),"",INDEX('COOIS Raw'!$A:$GZ,ROW()-4,$C$4))</f>
        <v/>
      </c>
      <c r="D1403" s="41" t="str">
        <f aca="false">IF(A1403="","",IF($D$4=0,1,IFERROR(--INDEX('COOIS Raw'!$A:$GZ,ROW()-4,$D$4),1)))</f>
        <v/>
      </c>
      <c r="E1403" s="42" t="str">
        <f aca="false">IF(A1403="","",INDEX('COOIS Raw'!$A:$GZ,ROW()-4,$E$4)&amp;"")</f>
        <v/>
      </c>
      <c r="F1403" s="43" t="str">
        <f aca="false">IF(A1403="","",IFERROR(DATEVALUE(INDEX('COOIS Raw'!$A:$GZ,ROW()-4,$F$4)),INDEX('COOIS Raw'!$A:$GZ,ROW()-4,$F$4)))</f>
        <v/>
      </c>
      <c r="G1403" s="41" t="str">
        <f aca="false">IF(A1403="","",IF(ISNA(MATCH(B1403,'Kitting Plan'!$B$6:$B$19,0)),"Not in plan","Yes"))</f>
        <v/>
      </c>
      <c r="H1403" s="41" t="str">
        <f aca="false">IF(G1403="Yes",INDEX('Kitting Plan'!$D$6:$D$19,MATCH(B1403,'Kitting Plan'!$B$6:$B$19,0)),"")</f>
        <v/>
      </c>
      <c r="I1403" s="41" t="str">
        <f aca="false">IF(A1403="","",IF(ISNUMBER(SEARCH("PRT",E1403)),D1403,0))</f>
        <v/>
      </c>
      <c r="J1403" s="41" t="str">
        <f aca="false">IF(A1403="","",IF(ISNUMBER(SEARCH("GMPS",E1403)),D1403,0))</f>
        <v/>
      </c>
      <c r="K1403" s="41" t="str">
        <f aca="false">IF(A1403="","",IF(ISNUMBER(SEARCH("DLV",E1403)),D1403,0))</f>
        <v/>
      </c>
      <c r="L1403" s="41" t="str">
        <f aca="false">IF(A1403="","",IF(K1403&gt;0,"Delivered",IF(ISNUMBER(SEARCH("CNF",E1403)),"In production",IF(J1403&gt;0,"Issued",IF(I1403&gt;0,"Kitted","Released")))))</f>
        <v/>
      </c>
      <c r="M1403" s="41" t="str">
        <f aca="false">IF(G1403&lt;&gt;"Yes","",COUNTIFS($B$6:$B$1505,B1403,$F$6:$F$1505,"&lt;"&amp;F1403)+COUNTIFS($B$6:$B$1505,B1403,$F$6:$F$1505,F1403,$A$6:$A$1505,"&lt;="&amp;A1403))</f>
        <v/>
      </c>
      <c r="N1403" s="41" t="str">
        <f aca="false">IF(M1403="","",ROUNDUP(M1403/H1403,0))</f>
        <v/>
      </c>
      <c r="O1403" s="41" t="str">
        <f aca="false">IF(N1403="","",IF(N1403&lt;='Kitting Plan'!$C$3,"Rep "&amp;N1403,"Surplus"))</f>
        <v/>
      </c>
    </row>
    <row r="1404" customFormat="false" ht="15" hidden="false" customHeight="false" outlineLevel="0" collapsed="false">
      <c r="A1404" s="40" t="str">
        <f aca="false">IF(OR($A$4=0,INDEX('COOIS Raw'!$A:$GZ,ROW()-4,$A$4)=""),"",IFERROR(--INDEX('COOIS Raw'!$A:$GZ,ROW()-4,$A$4),INDEX('COOIS Raw'!$A:$GZ,ROW()-4,$A$4)))</f>
        <v/>
      </c>
      <c r="B1404" s="41" t="str">
        <f aca="false">IF(A1404="","",TRIM(INDEX('COOIS Raw'!$A:$GZ,ROW()-4,$B$4)))</f>
        <v/>
      </c>
      <c r="C1404" s="42" t="str">
        <f aca="false">IF(OR(A1404="",$C$4=0),"",INDEX('COOIS Raw'!$A:$GZ,ROW()-4,$C$4))</f>
        <v/>
      </c>
      <c r="D1404" s="41" t="str">
        <f aca="false">IF(A1404="","",IF($D$4=0,1,IFERROR(--INDEX('COOIS Raw'!$A:$GZ,ROW()-4,$D$4),1)))</f>
        <v/>
      </c>
      <c r="E1404" s="42" t="str">
        <f aca="false">IF(A1404="","",INDEX('COOIS Raw'!$A:$GZ,ROW()-4,$E$4)&amp;"")</f>
        <v/>
      </c>
      <c r="F1404" s="43" t="str">
        <f aca="false">IF(A1404="","",IFERROR(DATEVALUE(INDEX('COOIS Raw'!$A:$GZ,ROW()-4,$F$4)),INDEX('COOIS Raw'!$A:$GZ,ROW()-4,$F$4)))</f>
        <v/>
      </c>
      <c r="G1404" s="41" t="str">
        <f aca="false">IF(A1404="","",IF(ISNA(MATCH(B1404,'Kitting Plan'!$B$6:$B$19,0)),"Not in plan","Yes"))</f>
        <v/>
      </c>
      <c r="H1404" s="41" t="str">
        <f aca="false">IF(G1404="Yes",INDEX('Kitting Plan'!$D$6:$D$19,MATCH(B1404,'Kitting Plan'!$B$6:$B$19,0)),"")</f>
        <v/>
      </c>
      <c r="I1404" s="41" t="str">
        <f aca="false">IF(A1404="","",IF(ISNUMBER(SEARCH("PRT",E1404)),D1404,0))</f>
        <v/>
      </c>
      <c r="J1404" s="41" t="str">
        <f aca="false">IF(A1404="","",IF(ISNUMBER(SEARCH("GMPS",E1404)),D1404,0))</f>
        <v/>
      </c>
      <c r="K1404" s="41" t="str">
        <f aca="false">IF(A1404="","",IF(ISNUMBER(SEARCH("DLV",E1404)),D1404,0))</f>
        <v/>
      </c>
      <c r="L1404" s="41" t="str">
        <f aca="false">IF(A1404="","",IF(K1404&gt;0,"Delivered",IF(ISNUMBER(SEARCH("CNF",E1404)),"In production",IF(J1404&gt;0,"Issued",IF(I1404&gt;0,"Kitted","Released")))))</f>
        <v/>
      </c>
      <c r="M1404" s="41" t="str">
        <f aca="false">IF(G1404&lt;&gt;"Yes","",COUNTIFS($B$6:$B$1505,B1404,$F$6:$F$1505,"&lt;"&amp;F1404)+COUNTIFS($B$6:$B$1505,B1404,$F$6:$F$1505,F1404,$A$6:$A$1505,"&lt;="&amp;A1404))</f>
        <v/>
      </c>
      <c r="N1404" s="41" t="str">
        <f aca="false">IF(M1404="","",ROUNDUP(M1404/H1404,0))</f>
        <v/>
      </c>
      <c r="O1404" s="41" t="str">
        <f aca="false">IF(N1404="","",IF(N1404&lt;='Kitting Plan'!$C$3,"Rep "&amp;N1404,"Surplus"))</f>
        <v/>
      </c>
    </row>
    <row r="1405" customFormat="false" ht="15" hidden="false" customHeight="false" outlineLevel="0" collapsed="false">
      <c r="A1405" s="40" t="str">
        <f aca="false">IF(OR($A$4=0,INDEX('COOIS Raw'!$A:$GZ,ROW()-4,$A$4)=""),"",IFERROR(--INDEX('COOIS Raw'!$A:$GZ,ROW()-4,$A$4),INDEX('COOIS Raw'!$A:$GZ,ROW()-4,$A$4)))</f>
        <v/>
      </c>
      <c r="B1405" s="41" t="str">
        <f aca="false">IF(A1405="","",TRIM(INDEX('COOIS Raw'!$A:$GZ,ROW()-4,$B$4)))</f>
        <v/>
      </c>
      <c r="C1405" s="42" t="str">
        <f aca="false">IF(OR(A1405="",$C$4=0),"",INDEX('COOIS Raw'!$A:$GZ,ROW()-4,$C$4))</f>
        <v/>
      </c>
      <c r="D1405" s="41" t="str">
        <f aca="false">IF(A1405="","",IF($D$4=0,1,IFERROR(--INDEX('COOIS Raw'!$A:$GZ,ROW()-4,$D$4),1)))</f>
        <v/>
      </c>
      <c r="E1405" s="42" t="str">
        <f aca="false">IF(A1405="","",INDEX('COOIS Raw'!$A:$GZ,ROW()-4,$E$4)&amp;"")</f>
        <v/>
      </c>
      <c r="F1405" s="43" t="str">
        <f aca="false">IF(A1405="","",IFERROR(DATEVALUE(INDEX('COOIS Raw'!$A:$GZ,ROW()-4,$F$4)),INDEX('COOIS Raw'!$A:$GZ,ROW()-4,$F$4)))</f>
        <v/>
      </c>
      <c r="G1405" s="41" t="str">
        <f aca="false">IF(A1405="","",IF(ISNA(MATCH(B1405,'Kitting Plan'!$B$6:$B$19,0)),"Not in plan","Yes"))</f>
        <v/>
      </c>
      <c r="H1405" s="41" t="str">
        <f aca="false">IF(G1405="Yes",INDEX('Kitting Plan'!$D$6:$D$19,MATCH(B1405,'Kitting Plan'!$B$6:$B$19,0)),"")</f>
        <v/>
      </c>
      <c r="I1405" s="41" t="str">
        <f aca="false">IF(A1405="","",IF(ISNUMBER(SEARCH("PRT",E1405)),D1405,0))</f>
        <v/>
      </c>
      <c r="J1405" s="41" t="str">
        <f aca="false">IF(A1405="","",IF(ISNUMBER(SEARCH("GMPS",E1405)),D1405,0))</f>
        <v/>
      </c>
      <c r="K1405" s="41" t="str">
        <f aca="false">IF(A1405="","",IF(ISNUMBER(SEARCH("DLV",E1405)),D1405,0))</f>
        <v/>
      </c>
      <c r="L1405" s="41" t="str">
        <f aca="false">IF(A1405="","",IF(K1405&gt;0,"Delivered",IF(ISNUMBER(SEARCH("CNF",E1405)),"In production",IF(J1405&gt;0,"Issued",IF(I1405&gt;0,"Kitted","Released")))))</f>
        <v/>
      </c>
      <c r="M1405" s="41" t="str">
        <f aca="false">IF(G1405&lt;&gt;"Yes","",COUNTIFS($B$6:$B$1505,B1405,$F$6:$F$1505,"&lt;"&amp;F1405)+COUNTIFS($B$6:$B$1505,B1405,$F$6:$F$1505,F1405,$A$6:$A$1505,"&lt;="&amp;A1405))</f>
        <v/>
      </c>
      <c r="N1405" s="41" t="str">
        <f aca="false">IF(M1405="","",ROUNDUP(M1405/H1405,0))</f>
        <v/>
      </c>
      <c r="O1405" s="41" t="str">
        <f aca="false">IF(N1405="","",IF(N1405&lt;='Kitting Plan'!$C$3,"Rep "&amp;N1405,"Surplus"))</f>
        <v/>
      </c>
    </row>
    <row r="1406" customFormat="false" ht="15" hidden="false" customHeight="false" outlineLevel="0" collapsed="false">
      <c r="A1406" s="40" t="str">
        <f aca="false">IF(OR($A$4=0,INDEX('COOIS Raw'!$A:$GZ,ROW()-4,$A$4)=""),"",IFERROR(--INDEX('COOIS Raw'!$A:$GZ,ROW()-4,$A$4),INDEX('COOIS Raw'!$A:$GZ,ROW()-4,$A$4)))</f>
        <v/>
      </c>
      <c r="B1406" s="41" t="str">
        <f aca="false">IF(A1406="","",TRIM(INDEX('COOIS Raw'!$A:$GZ,ROW()-4,$B$4)))</f>
        <v/>
      </c>
      <c r="C1406" s="42" t="str">
        <f aca="false">IF(OR(A1406="",$C$4=0),"",INDEX('COOIS Raw'!$A:$GZ,ROW()-4,$C$4))</f>
        <v/>
      </c>
      <c r="D1406" s="41" t="str">
        <f aca="false">IF(A1406="","",IF($D$4=0,1,IFERROR(--INDEX('COOIS Raw'!$A:$GZ,ROW()-4,$D$4),1)))</f>
        <v/>
      </c>
      <c r="E1406" s="42" t="str">
        <f aca="false">IF(A1406="","",INDEX('COOIS Raw'!$A:$GZ,ROW()-4,$E$4)&amp;"")</f>
        <v/>
      </c>
      <c r="F1406" s="43" t="str">
        <f aca="false">IF(A1406="","",IFERROR(DATEVALUE(INDEX('COOIS Raw'!$A:$GZ,ROW()-4,$F$4)),INDEX('COOIS Raw'!$A:$GZ,ROW()-4,$F$4)))</f>
        <v/>
      </c>
      <c r="G1406" s="41" t="str">
        <f aca="false">IF(A1406="","",IF(ISNA(MATCH(B1406,'Kitting Plan'!$B$6:$B$19,0)),"Not in plan","Yes"))</f>
        <v/>
      </c>
      <c r="H1406" s="41" t="str">
        <f aca="false">IF(G1406="Yes",INDEX('Kitting Plan'!$D$6:$D$19,MATCH(B1406,'Kitting Plan'!$B$6:$B$19,0)),"")</f>
        <v/>
      </c>
      <c r="I1406" s="41" t="str">
        <f aca="false">IF(A1406="","",IF(ISNUMBER(SEARCH("PRT",E1406)),D1406,0))</f>
        <v/>
      </c>
      <c r="J1406" s="41" t="str">
        <f aca="false">IF(A1406="","",IF(ISNUMBER(SEARCH("GMPS",E1406)),D1406,0))</f>
        <v/>
      </c>
      <c r="K1406" s="41" t="str">
        <f aca="false">IF(A1406="","",IF(ISNUMBER(SEARCH("DLV",E1406)),D1406,0))</f>
        <v/>
      </c>
      <c r="L1406" s="41" t="str">
        <f aca="false">IF(A1406="","",IF(K1406&gt;0,"Delivered",IF(ISNUMBER(SEARCH("CNF",E1406)),"In production",IF(J1406&gt;0,"Issued",IF(I1406&gt;0,"Kitted","Released")))))</f>
        <v/>
      </c>
      <c r="M1406" s="41" t="str">
        <f aca="false">IF(G1406&lt;&gt;"Yes","",COUNTIFS($B$6:$B$1505,B1406,$F$6:$F$1505,"&lt;"&amp;F1406)+COUNTIFS($B$6:$B$1505,B1406,$F$6:$F$1505,F1406,$A$6:$A$1505,"&lt;="&amp;A1406))</f>
        <v/>
      </c>
      <c r="N1406" s="41" t="str">
        <f aca="false">IF(M1406="","",ROUNDUP(M1406/H1406,0))</f>
        <v/>
      </c>
      <c r="O1406" s="41" t="str">
        <f aca="false">IF(N1406="","",IF(N1406&lt;='Kitting Plan'!$C$3,"Rep "&amp;N1406,"Surplus"))</f>
        <v/>
      </c>
    </row>
    <row r="1407" customFormat="false" ht="15" hidden="false" customHeight="false" outlineLevel="0" collapsed="false">
      <c r="A1407" s="40" t="str">
        <f aca="false">IF(OR($A$4=0,INDEX('COOIS Raw'!$A:$GZ,ROW()-4,$A$4)=""),"",IFERROR(--INDEX('COOIS Raw'!$A:$GZ,ROW()-4,$A$4),INDEX('COOIS Raw'!$A:$GZ,ROW()-4,$A$4)))</f>
        <v/>
      </c>
      <c r="B1407" s="41" t="str">
        <f aca="false">IF(A1407="","",TRIM(INDEX('COOIS Raw'!$A:$GZ,ROW()-4,$B$4)))</f>
        <v/>
      </c>
      <c r="C1407" s="42" t="str">
        <f aca="false">IF(OR(A1407="",$C$4=0),"",INDEX('COOIS Raw'!$A:$GZ,ROW()-4,$C$4))</f>
        <v/>
      </c>
      <c r="D1407" s="41" t="str">
        <f aca="false">IF(A1407="","",IF($D$4=0,1,IFERROR(--INDEX('COOIS Raw'!$A:$GZ,ROW()-4,$D$4),1)))</f>
        <v/>
      </c>
      <c r="E1407" s="42" t="str">
        <f aca="false">IF(A1407="","",INDEX('COOIS Raw'!$A:$GZ,ROW()-4,$E$4)&amp;"")</f>
        <v/>
      </c>
      <c r="F1407" s="43" t="str">
        <f aca="false">IF(A1407="","",IFERROR(DATEVALUE(INDEX('COOIS Raw'!$A:$GZ,ROW()-4,$F$4)),INDEX('COOIS Raw'!$A:$GZ,ROW()-4,$F$4)))</f>
        <v/>
      </c>
      <c r="G1407" s="41" t="str">
        <f aca="false">IF(A1407="","",IF(ISNA(MATCH(B1407,'Kitting Plan'!$B$6:$B$19,0)),"Not in plan","Yes"))</f>
        <v/>
      </c>
      <c r="H1407" s="41" t="str">
        <f aca="false">IF(G1407="Yes",INDEX('Kitting Plan'!$D$6:$D$19,MATCH(B1407,'Kitting Plan'!$B$6:$B$19,0)),"")</f>
        <v/>
      </c>
      <c r="I1407" s="41" t="str">
        <f aca="false">IF(A1407="","",IF(ISNUMBER(SEARCH("PRT",E1407)),D1407,0))</f>
        <v/>
      </c>
      <c r="J1407" s="41" t="str">
        <f aca="false">IF(A1407="","",IF(ISNUMBER(SEARCH("GMPS",E1407)),D1407,0))</f>
        <v/>
      </c>
      <c r="K1407" s="41" t="str">
        <f aca="false">IF(A1407="","",IF(ISNUMBER(SEARCH("DLV",E1407)),D1407,0))</f>
        <v/>
      </c>
      <c r="L1407" s="41" t="str">
        <f aca="false">IF(A1407="","",IF(K1407&gt;0,"Delivered",IF(ISNUMBER(SEARCH("CNF",E1407)),"In production",IF(J1407&gt;0,"Issued",IF(I1407&gt;0,"Kitted","Released")))))</f>
        <v/>
      </c>
      <c r="M1407" s="41" t="str">
        <f aca="false">IF(G1407&lt;&gt;"Yes","",COUNTIFS($B$6:$B$1505,B1407,$F$6:$F$1505,"&lt;"&amp;F1407)+COUNTIFS($B$6:$B$1505,B1407,$F$6:$F$1505,F1407,$A$6:$A$1505,"&lt;="&amp;A1407))</f>
        <v/>
      </c>
      <c r="N1407" s="41" t="str">
        <f aca="false">IF(M1407="","",ROUNDUP(M1407/H1407,0))</f>
        <v/>
      </c>
      <c r="O1407" s="41" t="str">
        <f aca="false">IF(N1407="","",IF(N1407&lt;='Kitting Plan'!$C$3,"Rep "&amp;N1407,"Surplus"))</f>
        <v/>
      </c>
    </row>
    <row r="1408" customFormat="false" ht="15" hidden="false" customHeight="false" outlineLevel="0" collapsed="false">
      <c r="A1408" s="40" t="str">
        <f aca="false">IF(OR($A$4=0,INDEX('COOIS Raw'!$A:$GZ,ROW()-4,$A$4)=""),"",IFERROR(--INDEX('COOIS Raw'!$A:$GZ,ROW()-4,$A$4),INDEX('COOIS Raw'!$A:$GZ,ROW()-4,$A$4)))</f>
        <v/>
      </c>
      <c r="B1408" s="41" t="str">
        <f aca="false">IF(A1408="","",TRIM(INDEX('COOIS Raw'!$A:$GZ,ROW()-4,$B$4)))</f>
        <v/>
      </c>
      <c r="C1408" s="42" t="str">
        <f aca="false">IF(OR(A1408="",$C$4=0),"",INDEX('COOIS Raw'!$A:$GZ,ROW()-4,$C$4))</f>
        <v/>
      </c>
      <c r="D1408" s="41" t="str">
        <f aca="false">IF(A1408="","",IF($D$4=0,1,IFERROR(--INDEX('COOIS Raw'!$A:$GZ,ROW()-4,$D$4),1)))</f>
        <v/>
      </c>
      <c r="E1408" s="42" t="str">
        <f aca="false">IF(A1408="","",INDEX('COOIS Raw'!$A:$GZ,ROW()-4,$E$4)&amp;"")</f>
        <v/>
      </c>
      <c r="F1408" s="43" t="str">
        <f aca="false">IF(A1408="","",IFERROR(DATEVALUE(INDEX('COOIS Raw'!$A:$GZ,ROW()-4,$F$4)),INDEX('COOIS Raw'!$A:$GZ,ROW()-4,$F$4)))</f>
        <v/>
      </c>
      <c r="G1408" s="41" t="str">
        <f aca="false">IF(A1408="","",IF(ISNA(MATCH(B1408,'Kitting Plan'!$B$6:$B$19,0)),"Not in plan","Yes"))</f>
        <v/>
      </c>
      <c r="H1408" s="41" t="str">
        <f aca="false">IF(G1408="Yes",INDEX('Kitting Plan'!$D$6:$D$19,MATCH(B1408,'Kitting Plan'!$B$6:$B$19,0)),"")</f>
        <v/>
      </c>
      <c r="I1408" s="41" t="str">
        <f aca="false">IF(A1408="","",IF(ISNUMBER(SEARCH("PRT",E1408)),D1408,0))</f>
        <v/>
      </c>
      <c r="J1408" s="41" t="str">
        <f aca="false">IF(A1408="","",IF(ISNUMBER(SEARCH("GMPS",E1408)),D1408,0))</f>
        <v/>
      </c>
      <c r="K1408" s="41" t="str">
        <f aca="false">IF(A1408="","",IF(ISNUMBER(SEARCH("DLV",E1408)),D1408,0))</f>
        <v/>
      </c>
      <c r="L1408" s="41" t="str">
        <f aca="false">IF(A1408="","",IF(K1408&gt;0,"Delivered",IF(ISNUMBER(SEARCH("CNF",E1408)),"In production",IF(J1408&gt;0,"Issued",IF(I1408&gt;0,"Kitted","Released")))))</f>
        <v/>
      </c>
      <c r="M1408" s="41" t="str">
        <f aca="false">IF(G1408&lt;&gt;"Yes","",COUNTIFS($B$6:$B$1505,B1408,$F$6:$F$1505,"&lt;"&amp;F1408)+COUNTIFS($B$6:$B$1505,B1408,$F$6:$F$1505,F1408,$A$6:$A$1505,"&lt;="&amp;A1408))</f>
        <v/>
      </c>
      <c r="N1408" s="41" t="str">
        <f aca="false">IF(M1408="","",ROUNDUP(M1408/H1408,0))</f>
        <v/>
      </c>
      <c r="O1408" s="41" t="str">
        <f aca="false">IF(N1408="","",IF(N1408&lt;='Kitting Plan'!$C$3,"Rep "&amp;N1408,"Surplus"))</f>
        <v/>
      </c>
    </row>
    <row r="1409" customFormat="false" ht="15" hidden="false" customHeight="false" outlineLevel="0" collapsed="false">
      <c r="A1409" s="40" t="str">
        <f aca="false">IF(OR($A$4=0,INDEX('COOIS Raw'!$A:$GZ,ROW()-4,$A$4)=""),"",IFERROR(--INDEX('COOIS Raw'!$A:$GZ,ROW()-4,$A$4),INDEX('COOIS Raw'!$A:$GZ,ROW()-4,$A$4)))</f>
        <v/>
      </c>
      <c r="B1409" s="41" t="str">
        <f aca="false">IF(A1409="","",TRIM(INDEX('COOIS Raw'!$A:$GZ,ROW()-4,$B$4)))</f>
        <v/>
      </c>
      <c r="C1409" s="42" t="str">
        <f aca="false">IF(OR(A1409="",$C$4=0),"",INDEX('COOIS Raw'!$A:$GZ,ROW()-4,$C$4))</f>
        <v/>
      </c>
      <c r="D1409" s="41" t="str">
        <f aca="false">IF(A1409="","",IF($D$4=0,1,IFERROR(--INDEX('COOIS Raw'!$A:$GZ,ROW()-4,$D$4),1)))</f>
        <v/>
      </c>
      <c r="E1409" s="42" t="str">
        <f aca="false">IF(A1409="","",INDEX('COOIS Raw'!$A:$GZ,ROW()-4,$E$4)&amp;"")</f>
        <v/>
      </c>
      <c r="F1409" s="43" t="str">
        <f aca="false">IF(A1409="","",IFERROR(DATEVALUE(INDEX('COOIS Raw'!$A:$GZ,ROW()-4,$F$4)),INDEX('COOIS Raw'!$A:$GZ,ROW()-4,$F$4)))</f>
        <v/>
      </c>
      <c r="G1409" s="41" t="str">
        <f aca="false">IF(A1409="","",IF(ISNA(MATCH(B1409,'Kitting Plan'!$B$6:$B$19,0)),"Not in plan","Yes"))</f>
        <v/>
      </c>
      <c r="H1409" s="41" t="str">
        <f aca="false">IF(G1409="Yes",INDEX('Kitting Plan'!$D$6:$D$19,MATCH(B1409,'Kitting Plan'!$B$6:$B$19,0)),"")</f>
        <v/>
      </c>
      <c r="I1409" s="41" t="str">
        <f aca="false">IF(A1409="","",IF(ISNUMBER(SEARCH("PRT",E1409)),D1409,0))</f>
        <v/>
      </c>
      <c r="J1409" s="41" t="str">
        <f aca="false">IF(A1409="","",IF(ISNUMBER(SEARCH("GMPS",E1409)),D1409,0))</f>
        <v/>
      </c>
      <c r="K1409" s="41" t="str">
        <f aca="false">IF(A1409="","",IF(ISNUMBER(SEARCH("DLV",E1409)),D1409,0))</f>
        <v/>
      </c>
      <c r="L1409" s="41" t="str">
        <f aca="false">IF(A1409="","",IF(K1409&gt;0,"Delivered",IF(ISNUMBER(SEARCH("CNF",E1409)),"In production",IF(J1409&gt;0,"Issued",IF(I1409&gt;0,"Kitted","Released")))))</f>
        <v/>
      </c>
      <c r="M1409" s="41" t="str">
        <f aca="false">IF(G1409&lt;&gt;"Yes","",COUNTIFS($B$6:$B$1505,B1409,$F$6:$F$1505,"&lt;"&amp;F1409)+COUNTIFS($B$6:$B$1505,B1409,$F$6:$F$1505,F1409,$A$6:$A$1505,"&lt;="&amp;A1409))</f>
        <v/>
      </c>
      <c r="N1409" s="41" t="str">
        <f aca="false">IF(M1409="","",ROUNDUP(M1409/H1409,0))</f>
        <v/>
      </c>
      <c r="O1409" s="41" t="str">
        <f aca="false">IF(N1409="","",IF(N1409&lt;='Kitting Plan'!$C$3,"Rep "&amp;N1409,"Surplus"))</f>
        <v/>
      </c>
    </row>
    <row r="1410" customFormat="false" ht="15" hidden="false" customHeight="false" outlineLevel="0" collapsed="false">
      <c r="A1410" s="40" t="str">
        <f aca="false">IF(OR($A$4=0,INDEX('COOIS Raw'!$A:$GZ,ROW()-4,$A$4)=""),"",IFERROR(--INDEX('COOIS Raw'!$A:$GZ,ROW()-4,$A$4),INDEX('COOIS Raw'!$A:$GZ,ROW()-4,$A$4)))</f>
        <v/>
      </c>
      <c r="B1410" s="41" t="str">
        <f aca="false">IF(A1410="","",TRIM(INDEX('COOIS Raw'!$A:$GZ,ROW()-4,$B$4)))</f>
        <v/>
      </c>
      <c r="C1410" s="42" t="str">
        <f aca="false">IF(OR(A1410="",$C$4=0),"",INDEX('COOIS Raw'!$A:$GZ,ROW()-4,$C$4))</f>
        <v/>
      </c>
      <c r="D1410" s="41" t="str">
        <f aca="false">IF(A1410="","",IF($D$4=0,1,IFERROR(--INDEX('COOIS Raw'!$A:$GZ,ROW()-4,$D$4),1)))</f>
        <v/>
      </c>
      <c r="E1410" s="42" t="str">
        <f aca="false">IF(A1410="","",INDEX('COOIS Raw'!$A:$GZ,ROW()-4,$E$4)&amp;"")</f>
        <v/>
      </c>
      <c r="F1410" s="43" t="str">
        <f aca="false">IF(A1410="","",IFERROR(DATEVALUE(INDEX('COOIS Raw'!$A:$GZ,ROW()-4,$F$4)),INDEX('COOIS Raw'!$A:$GZ,ROW()-4,$F$4)))</f>
        <v/>
      </c>
      <c r="G1410" s="41" t="str">
        <f aca="false">IF(A1410="","",IF(ISNA(MATCH(B1410,'Kitting Plan'!$B$6:$B$19,0)),"Not in plan","Yes"))</f>
        <v/>
      </c>
      <c r="H1410" s="41" t="str">
        <f aca="false">IF(G1410="Yes",INDEX('Kitting Plan'!$D$6:$D$19,MATCH(B1410,'Kitting Plan'!$B$6:$B$19,0)),"")</f>
        <v/>
      </c>
      <c r="I1410" s="41" t="str">
        <f aca="false">IF(A1410="","",IF(ISNUMBER(SEARCH("PRT",E1410)),D1410,0))</f>
        <v/>
      </c>
      <c r="J1410" s="41" t="str">
        <f aca="false">IF(A1410="","",IF(ISNUMBER(SEARCH("GMPS",E1410)),D1410,0))</f>
        <v/>
      </c>
      <c r="K1410" s="41" t="str">
        <f aca="false">IF(A1410="","",IF(ISNUMBER(SEARCH("DLV",E1410)),D1410,0))</f>
        <v/>
      </c>
      <c r="L1410" s="41" t="str">
        <f aca="false">IF(A1410="","",IF(K1410&gt;0,"Delivered",IF(ISNUMBER(SEARCH("CNF",E1410)),"In production",IF(J1410&gt;0,"Issued",IF(I1410&gt;0,"Kitted","Released")))))</f>
        <v/>
      </c>
      <c r="M1410" s="41" t="str">
        <f aca="false">IF(G1410&lt;&gt;"Yes","",COUNTIFS($B$6:$B$1505,B1410,$F$6:$F$1505,"&lt;"&amp;F1410)+COUNTIFS($B$6:$B$1505,B1410,$F$6:$F$1505,F1410,$A$6:$A$1505,"&lt;="&amp;A1410))</f>
        <v/>
      </c>
      <c r="N1410" s="41" t="str">
        <f aca="false">IF(M1410="","",ROUNDUP(M1410/H1410,0))</f>
        <v/>
      </c>
      <c r="O1410" s="41" t="str">
        <f aca="false">IF(N1410="","",IF(N1410&lt;='Kitting Plan'!$C$3,"Rep "&amp;N1410,"Surplus"))</f>
        <v/>
      </c>
    </row>
    <row r="1411" customFormat="false" ht="15" hidden="false" customHeight="false" outlineLevel="0" collapsed="false">
      <c r="A1411" s="40" t="str">
        <f aca="false">IF(OR($A$4=0,INDEX('COOIS Raw'!$A:$GZ,ROW()-4,$A$4)=""),"",IFERROR(--INDEX('COOIS Raw'!$A:$GZ,ROW()-4,$A$4),INDEX('COOIS Raw'!$A:$GZ,ROW()-4,$A$4)))</f>
        <v/>
      </c>
      <c r="B1411" s="41" t="str">
        <f aca="false">IF(A1411="","",TRIM(INDEX('COOIS Raw'!$A:$GZ,ROW()-4,$B$4)))</f>
        <v/>
      </c>
      <c r="C1411" s="42" t="str">
        <f aca="false">IF(OR(A1411="",$C$4=0),"",INDEX('COOIS Raw'!$A:$GZ,ROW()-4,$C$4))</f>
        <v/>
      </c>
      <c r="D1411" s="41" t="str">
        <f aca="false">IF(A1411="","",IF($D$4=0,1,IFERROR(--INDEX('COOIS Raw'!$A:$GZ,ROW()-4,$D$4),1)))</f>
        <v/>
      </c>
      <c r="E1411" s="42" t="str">
        <f aca="false">IF(A1411="","",INDEX('COOIS Raw'!$A:$GZ,ROW()-4,$E$4)&amp;"")</f>
        <v/>
      </c>
      <c r="F1411" s="43" t="str">
        <f aca="false">IF(A1411="","",IFERROR(DATEVALUE(INDEX('COOIS Raw'!$A:$GZ,ROW()-4,$F$4)),INDEX('COOIS Raw'!$A:$GZ,ROW()-4,$F$4)))</f>
        <v/>
      </c>
      <c r="G1411" s="41" t="str">
        <f aca="false">IF(A1411="","",IF(ISNA(MATCH(B1411,'Kitting Plan'!$B$6:$B$19,0)),"Not in plan","Yes"))</f>
        <v/>
      </c>
      <c r="H1411" s="41" t="str">
        <f aca="false">IF(G1411="Yes",INDEX('Kitting Plan'!$D$6:$D$19,MATCH(B1411,'Kitting Plan'!$B$6:$B$19,0)),"")</f>
        <v/>
      </c>
      <c r="I1411" s="41" t="str">
        <f aca="false">IF(A1411="","",IF(ISNUMBER(SEARCH("PRT",E1411)),D1411,0))</f>
        <v/>
      </c>
      <c r="J1411" s="41" t="str">
        <f aca="false">IF(A1411="","",IF(ISNUMBER(SEARCH("GMPS",E1411)),D1411,0))</f>
        <v/>
      </c>
      <c r="K1411" s="41" t="str">
        <f aca="false">IF(A1411="","",IF(ISNUMBER(SEARCH("DLV",E1411)),D1411,0))</f>
        <v/>
      </c>
      <c r="L1411" s="41" t="str">
        <f aca="false">IF(A1411="","",IF(K1411&gt;0,"Delivered",IF(ISNUMBER(SEARCH("CNF",E1411)),"In production",IF(J1411&gt;0,"Issued",IF(I1411&gt;0,"Kitted","Released")))))</f>
        <v/>
      </c>
      <c r="M1411" s="41" t="str">
        <f aca="false">IF(G1411&lt;&gt;"Yes","",COUNTIFS($B$6:$B$1505,B1411,$F$6:$F$1505,"&lt;"&amp;F1411)+COUNTIFS($B$6:$B$1505,B1411,$F$6:$F$1505,F1411,$A$6:$A$1505,"&lt;="&amp;A1411))</f>
        <v/>
      </c>
      <c r="N1411" s="41" t="str">
        <f aca="false">IF(M1411="","",ROUNDUP(M1411/H1411,0))</f>
        <v/>
      </c>
      <c r="O1411" s="41" t="str">
        <f aca="false">IF(N1411="","",IF(N1411&lt;='Kitting Plan'!$C$3,"Rep "&amp;N1411,"Surplus"))</f>
        <v/>
      </c>
    </row>
    <row r="1412" customFormat="false" ht="15" hidden="false" customHeight="false" outlineLevel="0" collapsed="false">
      <c r="A1412" s="40" t="str">
        <f aca="false">IF(OR($A$4=0,INDEX('COOIS Raw'!$A:$GZ,ROW()-4,$A$4)=""),"",IFERROR(--INDEX('COOIS Raw'!$A:$GZ,ROW()-4,$A$4),INDEX('COOIS Raw'!$A:$GZ,ROW()-4,$A$4)))</f>
        <v/>
      </c>
      <c r="B1412" s="41" t="str">
        <f aca="false">IF(A1412="","",TRIM(INDEX('COOIS Raw'!$A:$GZ,ROW()-4,$B$4)))</f>
        <v/>
      </c>
      <c r="C1412" s="42" t="str">
        <f aca="false">IF(OR(A1412="",$C$4=0),"",INDEX('COOIS Raw'!$A:$GZ,ROW()-4,$C$4))</f>
        <v/>
      </c>
      <c r="D1412" s="41" t="str">
        <f aca="false">IF(A1412="","",IF($D$4=0,1,IFERROR(--INDEX('COOIS Raw'!$A:$GZ,ROW()-4,$D$4),1)))</f>
        <v/>
      </c>
      <c r="E1412" s="42" t="str">
        <f aca="false">IF(A1412="","",INDEX('COOIS Raw'!$A:$GZ,ROW()-4,$E$4)&amp;"")</f>
        <v/>
      </c>
      <c r="F1412" s="43" t="str">
        <f aca="false">IF(A1412="","",IFERROR(DATEVALUE(INDEX('COOIS Raw'!$A:$GZ,ROW()-4,$F$4)),INDEX('COOIS Raw'!$A:$GZ,ROW()-4,$F$4)))</f>
        <v/>
      </c>
      <c r="G1412" s="41" t="str">
        <f aca="false">IF(A1412="","",IF(ISNA(MATCH(B1412,'Kitting Plan'!$B$6:$B$19,0)),"Not in plan","Yes"))</f>
        <v/>
      </c>
      <c r="H1412" s="41" t="str">
        <f aca="false">IF(G1412="Yes",INDEX('Kitting Plan'!$D$6:$D$19,MATCH(B1412,'Kitting Plan'!$B$6:$B$19,0)),"")</f>
        <v/>
      </c>
      <c r="I1412" s="41" t="str">
        <f aca="false">IF(A1412="","",IF(ISNUMBER(SEARCH("PRT",E1412)),D1412,0))</f>
        <v/>
      </c>
      <c r="J1412" s="41" t="str">
        <f aca="false">IF(A1412="","",IF(ISNUMBER(SEARCH("GMPS",E1412)),D1412,0))</f>
        <v/>
      </c>
      <c r="K1412" s="41" t="str">
        <f aca="false">IF(A1412="","",IF(ISNUMBER(SEARCH("DLV",E1412)),D1412,0))</f>
        <v/>
      </c>
      <c r="L1412" s="41" t="str">
        <f aca="false">IF(A1412="","",IF(K1412&gt;0,"Delivered",IF(ISNUMBER(SEARCH("CNF",E1412)),"In production",IF(J1412&gt;0,"Issued",IF(I1412&gt;0,"Kitted","Released")))))</f>
        <v/>
      </c>
      <c r="M1412" s="41" t="str">
        <f aca="false">IF(G1412&lt;&gt;"Yes","",COUNTIFS($B$6:$B$1505,B1412,$F$6:$F$1505,"&lt;"&amp;F1412)+COUNTIFS($B$6:$B$1505,B1412,$F$6:$F$1505,F1412,$A$6:$A$1505,"&lt;="&amp;A1412))</f>
        <v/>
      </c>
      <c r="N1412" s="41" t="str">
        <f aca="false">IF(M1412="","",ROUNDUP(M1412/H1412,0))</f>
        <v/>
      </c>
      <c r="O1412" s="41" t="str">
        <f aca="false">IF(N1412="","",IF(N1412&lt;='Kitting Plan'!$C$3,"Rep "&amp;N1412,"Surplus"))</f>
        <v/>
      </c>
    </row>
    <row r="1413" customFormat="false" ht="15" hidden="false" customHeight="false" outlineLevel="0" collapsed="false">
      <c r="A1413" s="40" t="str">
        <f aca="false">IF(OR($A$4=0,INDEX('COOIS Raw'!$A:$GZ,ROW()-4,$A$4)=""),"",IFERROR(--INDEX('COOIS Raw'!$A:$GZ,ROW()-4,$A$4),INDEX('COOIS Raw'!$A:$GZ,ROW()-4,$A$4)))</f>
        <v/>
      </c>
      <c r="B1413" s="41" t="str">
        <f aca="false">IF(A1413="","",TRIM(INDEX('COOIS Raw'!$A:$GZ,ROW()-4,$B$4)))</f>
        <v/>
      </c>
      <c r="C1413" s="42" t="str">
        <f aca="false">IF(OR(A1413="",$C$4=0),"",INDEX('COOIS Raw'!$A:$GZ,ROW()-4,$C$4))</f>
        <v/>
      </c>
      <c r="D1413" s="41" t="str">
        <f aca="false">IF(A1413="","",IF($D$4=0,1,IFERROR(--INDEX('COOIS Raw'!$A:$GZ,ROW()-4,$D$4),1)))</f>
        <v/>
      </c>
      <c r="E1413" s="42" t="str">
        <f aca="false">IF(A1413="","",INDEX('COOIS Raw'!$A:$GZ,ROW()-4,$E$4)&amp;"")</f>
        <v/>
      </c>
      <c r="F1413" s="43" t="str">
        <f aca="false">IF(A1413="","",IFERROR(DATEVALUE(INDEX('COOIS Raw'!$A:$GZ,ROW()-4,$F$4)),INDEX('COOIS Raw'!$A:$GZ,ROW()-4,$F$4)))</f>
        <v/>
      </c>
      <c r="G1413" s="41" t="str">
        <f aca="false">IF(A1413="","",IF(ISNA(MATCH(B1413,'Kitting Plan'!$B$6:$B$19,0)),"Not in plan","Yes"))</f>
        <v/>
      </c>
      <c r="H1413" s="41" t="str">
        <f aca="false">IF(G1413="Yes",INDEX('Kitting Plan'!$D$6:$D$19,MATCH(B1413,'Kitting Plan'!$B$6:$B$19,0)),"")</f>
        <v/>
      </c>
      <c r="I1413" s="41" t="str">
        <f aca="false">IF(A1413="","",IF(ISNUMBER(SEARCH("PRT",E1413)),D1413,0))</f>
        <v/>
      </c>
      <c r="J1413" s="41" t="str">
        <f aca="false">IF(A1413="","",IF(ISNUMBER(SEARCH("GMPS",E1413)),D1413,0))</f>
        <v/>
      </c>
      <c r="K1413" s="41" t="str">
        <f aca="false">IF(A1413="","",IF(ISNUMBER(SEARCH("DLV",E1413)),D1413,0))</f>
        <v/>
      </c>
      <c r="L1413" s="41" t="str">
        <f aca="false">IF(A1413="","",IF(K1413&gt;0,"Delivered",IF(ISNUMBER(SEARCH("CNF",E1413)),"In production",IF(J1413&gt;0,"Issued",IF(I1413&gt;0,"Kitted","Released")))))</f>
        <v/>
      </c>
      <c r="M1413" s="41" t="str">
        <f aca="false">IF(G1413&lt;&gt;"Yes","",COUNTIFS($B$6:$B$1505,B1413,$F$6:$F$1505,"&lt;"&amp;F1413)+COUNTIFS($B$6:$B$1505,B1413,$F$6:$F$1505,F1413,$A$6:$A$1505,"&lt;="&amp;A1413))</f>
        <v/>
      </c>
      <c r="N1413" s="41" t="str">
        <f aca="false">IF(M1413="","",ROUNDUP(M1413/H1413,0))</f>
        <v/>
      </c>
      <c r="O1413" s="41" t="str">
        <f aca="false">IF(N1413="","",IF(N1413&lt;='Kitting Plan'!$C$3,"Rep "&amp;N1413,"Surplus"))</f>
        <v/>
      </c>
    </row>
    <row r="1414" customFormat="false" ht="15" hidden="false" customHeight="false" outlineLevel="0" collapsed="false">
      <c r="A1414" s="40" t="str">
        <f aca="false">IF(OR($A$4=0,INDEX('COOIS Raw'!$A:$GZ,ROW()-4,$A$4)=""),"",IFERROR(--INDEX('COOIS Raw'!$A:$GZ,ROW()-4,$A$4),INDEX('COOIS Raw'!$A:$GZ,ROW()-4,$A$4)))</f>
        <v/>
      </c>
      <c r="B1414" s="41" t="str">
        <f aca="false">IF(A1414="","",TRIM(INDEX('COOIS Raw'!$A:$GZ,ROW()-4,$B$4)))</f>
        <v/>
      </c>
      <c r="C1414" s="42" t="str">
        <f aca="false">IF(OR(A1414="",$C$4=0),"",INDEX('COOIS Raw'!$A:$GZ,ROW()-4,$C$4))</f>
        <v/>
      </c>
      <c r="D1414" s="41" t="str">
        <f aca="false">IF(A1414="","",IF($D$4=0,1,IFERROR(--INDEX('COOIS Raw'!$A:$GZ,ROW()-4,$D$4),1)))</f>
        <v/>
      </c>
      <c r="E1414" s="42" t="str">
        <f aca="false">IF(A1414="","",INDEX('COOIS Raw'!$A:$GZ,ROW()-4,$E$4)&amp;"")</f>
        <v/>
      </c>
      <c r="F1414" s="43" t="str">
        <f aca="false">IF(A1414="","",IFERROR(DATEVALUE(INDEX('COOIS Raw'!$A:$GZ,ROW()-4,$F$4)),INDEX('COOIS Raw'!$A:$GZ,ROW()-4,$F$4)))</f>
        <v/>
      </c>
      <c r="G1414" s="41" t="str">
        <f aca="false">IF(A1414="","",IF(ISNA(MATCH(B1414,'Kitting Plan'!$B$6:$B$19,0)),"Not in plan","Yes"))</f>
        <v/>
      </c>
      <c r="H1414" s="41" t="str">
        <f aca="false">IF(G1414="Yes",INDEX('Kitting Plan'!$D$6:$D$19,MATCH(B1414,'Kitting Plan'!$B$6:$B$19,0)),"")</f>
        <v/>
      </c>
      <c r="I1414" s="41" t="str">
        <f aca="false">IF(A1414="","",IF(ISNUMBER(SEARCH("PRT",E1414)),D1414,0))</f>
        <v/>
      </c>
      <c r="J1414" s="41" t="str">
        <f aca="false">IF(A1414="","",IF(ISNUMBER(SEARCH("GMPS",E1414)),D1414,0))</f>
        <v/>
      </c>
      <c r="K1414" s="41" t="str">
        <f aca="false">IF(A1414="","",IF(ISNUMBER(SEARCH("DLV",E1414)),D1414,0))</f>
        <v/>
      </c>
      <c r="L1414" s="41" t="str">
        <f aca="false">IF(A1414="","",IF(K1414&gt;0,"Delivered",IF(ISNUMBER(SEARCH("CNF",E1414)),"In production",IF(J1414&gt;0,"Issued",IF(I1414&gt;0,"Kitted","Released")))))</f>
        <v/>
      </c>
      <c r="M1414" s="41" t="str">
        <f aca="false">IF(G1414&lt;&gt;"Yes","",COUNTIFS($B$6:$B$1505,B1414,$F$6:$F$1505,"&lt;"&amp;F1414)+COUNTIFS($B$6:$B$1505,B1414,$F$6:$F$1505,F1414,$A$6:$A$1505,"&lt;="&amp;A1414))</f>
        <v/>
      </c>
      <c r="N1414" s="41" t="str">
        <f aca="false">IF(M1414="","",ROUNDUP(M1414/H1414,0))</f>
        <v/>
      </c>
      <c r="O1414" s="41" t="str">
        <f aca="false">IF(N1414="","",IF(N1414&lt;='Kitting Plan'!$C$3,"Rep "&amp;N1414,"Surplus"))</f>
        <v/>
      </c>
    </row>
    <row r="1415" customFormat="false" ht="15" hidden="false" customHeight="false" outlineLevel="0" collapsed="false">
      <c r="A1415" s="40" t="str">
        <f aca="false">IF(OR($A$4=0,INDEX('COOIS Raw'!$A:$GZ,ROW()-4,$A$4)=""),"",IFERROR(--INDEX('COOIS Raw'!$A:$GZ,ROW()-4,$A$4),INDEX('COOIS Raw'!$A:$GZ,ROW()-4,$A$4)))</f>
        <v/>
      </c>
      <c r="B1415" s="41" t="str">
        <f aca="false">IF(A1415="","",TRIM(INDEX('COOIS Raw'!$A:$GZ,ROW()-4,$B$4)))</f>
        <v/>
      </c>
      <c r="C1415" s="42" t="str">
        <f aca="false">IF(OR(A1415="",$C$4=0),"",INDEX('COOIS Raw'!$A:$GZ,ROW()-4,$C$4))</f>
        <v/>
      </c>
      <c r="D1415" s="41" t="str">
        <f aca="false">IF(A1415="","",IF($D$4=0,1,IFERROR(--INDEX('COOIS Raw'!$A:$GZ,ROW()-4,$D$4),1)))</f>
        <v/>
      </c>
      <c r="E1415" s="42" t="str">
        <f aca="false">IF(A1415="","",INDEX('COOIS Raw'!$A:$GZ,ROW()-4,$E$4)&amp;"")</f>
        <v/>
      </c>
      <c r="F1415" s="43" t="str">
        <f aca="false">IF(A1415="","",IFERROR(DATEVALUE(INDEX('COOIS Raw'!$A:$GZ,ROW()-4,$F$4)),INDEX('COOIS Raw'!$A:$GZ,ROW()-4,$F$4)))</f>
        <v/>
      </c>
      <c r="G1415" s="41" t="str">
        <f aca="false">IF(A1415="","",IF(ISNA(MATCH(B1415,'Kitting Plan'!$B$6:$B$19,0)),"Not in plan","Yes"))</f>
        <v/>
      </c>
      <c r="H1415" s="41" t="str">
        <f aca="false">IF(G1415="Yes",INDEX('Kitting Plan'!$D$6:$D$19,MATCH(B1415,'Kitting Plan'!$B$6:$B$19,0)),"")</f>
        <v/>
      </c>
      <c r="I1415" s="41" t="str">
        <f aca="false">IF(A1415="","",IF(ISNUMBER(SEARCH("PRT",E1415)),D1415,0))</f>
        <v/>
      </c>
      <c r="J1415" s="41" t="str">
        <f aca="false">IF(A1415="","",IF(ISNUMBER(SEARCH("GMPS",E1415)),D1415,0))</f>
        <v/>
      </c>
      <c r="K1415" s="41" t="str">
        <f aca="false">IF(A1415="","",IF(ISNUMBER(SEARCH("DLV",E1415)),D1415,0))</f>
        <v/>
      </c>
      <c r="L1415" s="41" t="str">
        <f aca="false">IF(A1415="","",IF(K1415&gt;0,"Delivered",IF(ISNUMBER(SEARCH("CNF",E1415)),"In production",IF(J1415&gt;0,"Issued",IF(I1415&gt;0,"Kitted","Released")))))</f>
        <v/>
      </c>
      <c r="M1415" s="41" t="str">
        <f aca="false">IF(G1415&lt;&gt;"Yes","",COUNTIFS($B$6:$B$1505,B1415,$F$6:$F$1505,"&lt;"&amp;F1415)+COUNTIFS($B$6:$B$1505,B1415,$F$6:$F$1505,F1415,$A$6:$A$1505,"&lt;="&amp;A1415))</f>
        <v/>
      </c>
      <c r="N1415" s="41" t="str">
        <f aca="false">IF(M1415="","",ROUNDUP(M1415/H1415,0))</f>
        <v/>
      </c>
      <c r="O1415" s="41" t="str">
        <f aca="false">IF(N1415="","",IF(N1415&lt;='Kitting Plan'!$C$3,"Rep "&amp;N1415,"Surplus"))</f>
        <v/>
      </c>
    </row>
    <row r="1416" customFormat="false" ht="15" hidden="false" customHeight="false" outlineLevel="0" collapsed="false">
      <c r="A1416" s="40" t="str">
        <f aca="false">IF(OR($A$4=0,INDEX('COOIS Raw'!$A:$GZ,ROW()-4,$A$4)=""),"",IFERROR(--INDEX('COOIS Raw'!$A:$GZ,ROW()-4,$A$4),INDEX('COOIS Raw'!$A:$GZ,ROW()-4,$A$4)))</f>
        <v/>
      </c>
      <c r="B1416" s="41" t="str">
        <f aca="false">IF(A1416="","",TRIM(INDEX('COOIS Raw'!$A:$GZ,ROW()-4,$B$4)))</f>
        <v/>
      </c>
      <c r="C1416" s="42" t="str">
        <f aca="false">IF(OR(A1416="",$C$4=0),"",INDEX('COOIS Raw'!$A:$GZ,ROW()-4,$C$4))</f>
        <v/>
      </c>
      <c r="D1416" s="41" t="str">
        <f aca="false">IF(A1416="","",IF($D$4=0,1,IFERROR(--INDEX('COOIS Raw'!$A:$GZ,ROW()-4,$D$4),1)))</f>
        <v/>
      </c>
      <c r="E1416" s="42" t="str">
        <f aca="false">IF(A1416="","",INDEX('COOIS Raw'!$A:$GZ,ROW()-4,$E$4)&amp;"")</f>
        <v/>
      </c>
      <c r="F1416" s="43" t="str">
        <f aca="false">IF(A1416="","",IFERROR(DATEVALUE(INDEX('COOIS Raw'!$A:$GZ,ROW()-4,$F$4)),INDEX('COOIS Raw'!$A:$GZ,ROW()-4,$F$4)))</f>
        <v/>
      </c>
      <c r="G1416" s="41" t="str">
        <f aca="false">IF(A1416="","",IF(ISNA(MATCH(B1416,'Kitting Plan'!$B$6:$B$19,0)),"Not in plan","Yes"))</f>
        <v/>
      </c>
      <c r="H1416" s="41" t="str">
        <f aca="false">IF(G1416="Yes",INDEX('Kitting Plan'!$D$6:$D$19,MATCH(B1416,'Kitting Plan'!$B$6:$B$19,0)),"")</f>
        <v/>
      </c>
      <c r="I1416" s="41" t="str">
        <f aca="false">IF(A1416="","",IF(ISNUMBER(SEARCH("PRT",E1416)),D1416,0))</f>
        <v/>
      </c>
      <c r="J1416" s="41" t="str">
        <f aca="false">IF(A1416="","",IF(ISNUMBER(SEARCH("GMPS",E1416)),D1416,0))</f>
        <v/>
      </c>
      <c r="K1416" s="41" t="str">
        <f aca="false">IF(A1416="","",IF(ISNUMBER(SEARCH("DLV",E1416)),D1416,0))</f>
        <v/>
      </c>
      <c r="L1416" s="41" t="str">
        <f aca="false">IF(A1416="","",IF(K1416&gt;0,"Delivered",IF(ISNUMBER(SEARCH("CNF",E1416)),"In production",IF(J1416&gt;0,"Issued",IF(I1416&gt;0,"Kitted","Released")))))</f>
        <v/>
      </c>
      <c r="M1416" s="41" t="str">
        <f aca="false">IF(G1416&lt;&gt;"Yes","",COUNTIFS($B$6:$B$1505,B1416,$F$6:$F$1505,"&lt;"&amp;F1416)+COUNTIFS($B$6:$B$1505,B1416,$F$6:$F$1505,F1416,$A$6:$A$1505,"&lt;="&amp;A1416))</f>
        <v/>
      </c>
      <c r="N1416" s="41" t="str">
        <f aca="false">IF(M1416="","",ROUNDUP(M1416/H1416,0))</f>
        <v/>
      </c>
      <c r="O1416" s="41" t="str">
        <f aca="false">IF(N1416="","",IF(N1416&lt;='Kitting Plan'!$C$3,"Rep "&amp;N1416,"Surplus"))</f>
        <v/>
      </c>
    </row>
    <row r="1417" customFormat="false" ht="15" hidden="false" customHeight="false" outlineLevel="0" collapsed="false">
      <c r="A1417" s="40" t="str">
        <f aca="false">IF(OR($A$4=0,INDEX('COOIS Raw'!$A:$GZ,ROW()-4,$A$4)=""),"",IFERROR(--INDEX('COOIS Raw'!$A:$GZ,ROW()-4,$A$4),INDEX('COOIS Raw'!$A:$GZ,ROW()-4,$A$4)))</f>
        <v/>
      </c>
      <c r="B1417" s="41" t="str">
        <f aca="false">IF(A1417="","",TRIM(INDEX('COOIS Raw'!$A:$GZ,ROW()-4,$B$4)))</f>
        <v/>
      </c>
      <c r="C1417" s="42" t="str">
        <f aca="false">IF(OR(A1417="",$C$4=0),"",INDEX('COOIS Raw'!$A:$GZ,ROW()-4,$C$4))</f>
        <v/>
      </c>
      <c r="D1417" s="41" t="str">
        <f aca="false">IF(A1417="","",IF($D$4=0,1,IFERROR(--INDEX('COOIS Raw'!$A:$GZ,ROW()-4,$D$4),1)))</f>
        <v/>
      </c>
      <c r="E1417" s="42" t="str">
        <f aca="false">IF(A1417="","",INDEX('COOIS Raw'!$A:$GZ,ROW()-4,$E$4)&amp;"")</f>
        <v/>
      </c>
      <c r="F1417" s="43" t="str">
        <f aca="false">IF(A1417="","",IFERROR(DATEVALUE(INDEX('COOIS Raw'!$A:$GZ,ROW()-4,$F$4)),INDEX('COOIS Raw'!$A:$GZ,ROW()-4,$F$4)))</f>
        <v/>
      </c>
      <c r="G1417" s="41" t="str">
        <f aca="false">IF(A1417="","",IF(ISNA(MATCH(B1417,'Kitting Plan'!$B$6:$B$19,0)),"Not in plan","Yes"))</f>
        <v/>
      </c>
      <c r="H1417" s="41" t="str">
        <f aca="false">IF(G1417="Yes",INDEX('Kitting Plan'!$D$6:$D$19,MATCH(B1417,'Kitting Plan'!$B$6:$B$19,0)),"")</f>
        <v/>
      </c>
      <c r="I1417" s="41" t="str">
        <f aca="false">IF(A1417="","",IF(ISNUMBER(SEARCH("PRT",E1417)),D1417,0))</f>
        <v/>
      </c>
      <c r="J1417" s="41" t="str">
        <f aca="false">IF(A1417="","",IF(ISNUMBER(SEARCH("GMPS",E1417)),D1417,0))</f>
        <v/>
      </c>
      <c r="K1417" s="41" t="str">
        <f aca="false">IF(A1417="","",IF(ISNUMBER(SEARCH("DLV",E1417)),D1417,0))</f>
        <v/>
      </c>
      <c r="L1417" s="41" t="str">
        <f aca="false">IF(A1417="","",IF(K1417&gt;0,"Delivered",IF(ISNUMBER(SEARCH("CNF",E1417)),"In production",IF(J1417&gt;0,"Issued",IF(I1417&gt;0,"Kitted","Released")))))</f>
        <v/>
      </c>
      <c r="M1417" s="41" t="str">
        <f aca="false">IF(G1417&lt;&gt;"Yes","",COUNTIFS($B$6:$B$1505,B1417,$F$6:$F$1505,"&lt;"&amp;F1417)+COUNTIFS($B$6:$B$1505,B1417,$F$6:$F$1505,F1417,$A$6:$A$1505,"&lt;="&amp;A1417))</f>
        <v/>
      </c>
      <c r="N1417" s="41" t="str">
        <f aca="false">IF(M1417="","",ROUNDUP(M1417/H1417,0))</f>
        <v/>
      </c>
      <c r="O1417" s="41" t="str">
        <f aca="false">IF(N1417="","",IF(N1417&lt;='Kitting Plan'!$C$3,"Rep "&amp;N1417,"Surplus"))</f>
        <v/>
      </c>
    </row>
    <row r="1418" customFormat="false" ht="15" hidden="false" customHeight="false" outlineLevel="0" collapsed="false">
      <c r="A1418" s="40" t="str">
        <f aca="false">IF(OR($A$4=0,INDEX('COOIS Raw'!$A:$GZ,ROW()-4,$A$4)=""),"",IFERROR(--INDEX('COOIS Raw'!$A:$GZ,ROW()-4,$A$4),INDEX('COOIS Raw'!$A:$GZ,ROW()-4,$A$4)))</f>
        <v/>
      </c>
      <c r="B1418" s="41" t="str">
        <f aca="false">IF(A1418="","",TRIM(INDEX('COOIS Raw'!$A:$GZ,ROW()-4,$B$4)))</f>
        <v/>
      </c>
      <c r="C1418" s="42" t="str">
        <f aca="false">IF(OR(A1418="",$C$4=0),"",INDEX('COOIS Raw'!$A:$GZ,ROW()-4,$C$4))</f>
        <v/>
      </c>
      <c r="D1418" s="41" t="str">
        <f aca="false">IF(A1418="","",IF($D$4=0,1,IFERROR(--INDEX('COOIS Raw'!$A:$GZ,ROW()-4,$D$4),1)))</f>
        <v/>
      </c>
      <c r="E1418" s="42" t="str">
        <f aca="false">IF(A1418="","",INDEX('COOIS Raw'!$A:$GZ,ROW()-4,$E$4)&amp;"")</f>
        <v/>
      </c>
      <c r="F1418" s="43" t="str">
        <f aca="false">IF(A1418="","",IFERROR(DATEVALUE(INDEX('COOIS Raw'!$A:$GZ,ROW()-4,$F$4)),INDEX('COOIS Raw'!$A:$GZ,ROW()-4,$F$4)))</f>
        <v/>
      </c>
      <c r="G1418" s="41" t="str">
        <f aca="false">IF(A1418="","",IF(ISNA(MATCH(B1418,'Kitting Plan'!$B$6:$B$19,0)),"Not in plan","Yes"))</f>
        <v/>
      </c>
      <c r="H1418" s="41" t="str">
        <f aca="false">IF(G1418="Yes",INDEX('Kitting Plan'!$D$6:$D$19,MATCH(B1418,'Kitting Plan'!$B$6:$B$19,0)),"")</f>
        <v/>
      </c>
      <c r="I1418" s="41" t="str">
        <f aca="false">IF(A1418="","",IF(ISNUMBER(SEARCH("PRT",E1418)),D1418,0))</f>
        <v/>
      </c>
      <c r="J1418" s="41" t="str">
        <f aca="false">IF(A1418="","",IF(ISNUMBER(SEARCH("GMPS",E1418)),D1418,0))</f>
        <v/>
      </c>
      <c r="K1418" s="41" t="str">
        <f aca="false">IF(A1418="","",IF(ISNUMBER(SEARCH("DLV",E1418)),D1418,0))</f>
        <v/>
      </c>
      <c r="L1418" s="41" t="str">
        <f aca="false">IF(A1418="","",IF(K1418&gt;0,"Delivered",IF(ISNUMBER(SEARCH("CNF",E1418)),"In production",IF(J1418&gt;0,"Issued",IF(I1418&gt;0,"Kitted","Released")))))</f>
        <v/>
      </c>
      <c r="M1418" s="41" t="str">
        <f aca="false">IF(G1418&lt;&gt;"Yes","",COUNTIFS($B$6:$B$1505,B1418,$F$6:$F$1505,"&lt;"&amp;F1418)+COUNTIFS($B$6:$B$1505,B1418,$F$6:$F$1505,F1418,$A$6:$A$1505,"&lt;="&amp;A1418))</f>
        <v/>
      </c>
      <c r="N1418" s="41" t="str">
        <f aca="false">IF(M1418="","",ROUNDUP(M1418/H1418,0))</f>
        <v/>
      </c>
      <c r="O1418" s="41" t="str">
        <f aca="false">IF(N1418="","",IF(N1418&lt;='Kitting Plan'!$C$3,"Rep "&amp;N1418,"Surplus"))</f>
        <v/>
      </c>
    </row>
    <row r="1419" customFormat="false" ht="15" hidden="false" customHeight="false" outlineLevel="0" collapsed="false">
      <c r="A1419" s="40" t="str">
        <f aca="false">IF(OR($A$4=0,INDEX('COOIS Raw'!$A:$GZ,ROW()-4,$A$4)=""),"",IFERROR(--INDEX('COOIS Raw'!$A:$GZ,ROW()-4,$A$4),INDEX('COOIS Raw'!$A:$GZ,ROW()-4,$A$4)))</f>
        <v/>
      </c>
      <c r="B1419" s="41" t="str">
        <f aca="false">IF(A1419="","",TRIM(INDEX('COOIS Raw'!$A:$GZ,ROW()-4,$B$4)))</f>
        <v/>
      </c>
      <c r="C1419" s="42" t="str">
        <f aca="false">IF(OR(A1419="",$C$4=0),"",INDEX('COOIS Raw'!$A:$GZ,ROW()-4,$C$4))</f>
        <v/>
      </c>
      <c r="D1419" s="41" t="str">
        <f aca="false">IF(A1419="","",IF($D$4=0,1,IFERROR(--INDEX('COOIS Raw'!$A:$GZ,ROW()-4,$D$4),1)))</f>
        <v/>
      </c>
      <c r="E1419" s="42" t="str">
        <f aca="false">IF(A1419="","",INDEX('COOIS Raw'!$A:$GZ,ROW()-4,$E$4)&amp;"")</f>
        <v/>
      </c>
      <c r="F1419" s="43" t="str">
        <f aca="false">IF(A1419="","",IFERROR(DATEVALUE(INDEX('COOIS Raw'!$A:$GZ,ROW()-4,$F$4)),INDEX('COOIS Raw'!$A:$GZ,ROW()-4,$F$4)))</f>
        <v/>
      </c>
      <c r="G1419" s="41" t="str">
        <f aca="false">IF(A1419="","",IF(ISNA(MATCH(B1419,'Kitting Plan'!$B$6:$B$19,0)),"Not in plan","Yes"))</f>
        <v/>
      </c>
      <c r="H1419" s="41" t="str">
        <f aca="false">IF(G1419="Yes",INDEX('Kitting Plan'!$D$6:$D$19,MATCH(B1419,'Kitting Plan'!$B$6:$B$19,0)),"")</f>
        <v/>
      </c>
      <c r="I1419" s="41" t="str">
        <f aca="false">IF(A1419="","",IF(ISNUMBER(SEARCH("PRT",E1419)),D1419,0))</f>
        <v/>
      </c>
      <c r="J1419" s="41" t="str">
        <f aca="false">IF(A1419="","",IF(ISNUMBER(SEARCH("GMPS",E1419)),D1419,0))</f>
        <v/>
      </c>
      <c r="K1419" s="41" t="str">
        <f aca="false">IF(A1419="","",IF(ISNUMBER(SEARCH("DLV",E1419)),D1419,0))</f>
        <v/>
      </c>
      <c r="L1419" s="41" t="str">
        <f aca="false">IF(A1419="","",IF(K1419&gt;0,"Delivered",IF(ISNUMBER(SEARCH("CNF",E1419)),"In production",IF(J1419&gt;0,"Issued",IF(I1419&gt;0,"Kitted","Released")))))</f>
        <v/>
      </c>
      <c r="M1419" s="41" t="str">
        <f aca="false">IF(G1419&lt;&gt;"Yes","",COUNTIFS($B$6:$B$1505,B1419,$F$6:$F$1505,"&lt;"&amp;F1419)+COUNTIFS($B$6:$B$1505,B1419,$F$6:$F$1505,F1419,$A$6:$A$1505,"&lt;="&amp;A1419))</f>
        <v/>
      </c>
      <c r="N1419" s="41" t="str">
        <f aca="false">IF(M1419="","",ROUNDUP(M1419/H1419,0))</f>
        <v/>
      </c>
      <c r="O1419" s="41" t="str">
        <f aca="false">IF(N1419="","",IF(N1419&lt;='Kitting Plan'!$C$3,"Rep "&amp;N1419,"Surplus"))</f>
        <v/>
      </c>
    </row>
    <row r="1420" customFormat="false" ht="15" hidden="false" customHeight="false" outlineLevel="0" collapsed="false">
      <c r="A1420" s="40" t="str">
        <f aca="false">IF(OR($A$4=0,INDEX('COOIS Raw'!$A:$GZ,ROW()-4,$A$4)=""),"",IFERROR(--INDEX('COOIS Raw'!$A:$GZ,ROW()-4,$A$4),INDEX('COOIS Raw'!$A:$GZ,ROW()-4,$A$4)))</f>
        <v/>
      </c>
      <c r="B1420" s="41" t="str">
        <f aca="false">IF(A1420="","",TRIM(INDEX('COOIS Raw'!$A:$GZ,ROW()-4,$B$4)))</f>
        <v/>
      </c>
      <c r="C1420" s="42" t="str">
        <f aca="false">IF(OR(A1420="",$C$4=0),"",INDEX('COOIS Raw'!$A:$GZ,ROW()-4,$C$4))</f>
        <v/>
      </c>
      <c r="D1420" s="41" t="str">
        <f aca="false">IF(A1420="","",IF($D$4=0,1,IFERROR(--INDEX('COOIS Raw'!$A:$GZ,ROW()-4,$D$4),1)))</f>
        <v/>
      </c>
      <c r="E1420" s="42" t="str">
        <f aca="false">IF(A1420="","",INDEX('COOIS Raw'!$A:$GZ,ROW()-4,$E$4)&amp;"")</f>
        <v/>
      </c>
      <c r="F1420" s="43" t="str">
        <f aca="false">IF(A1420="","",IFERROR(DATEVALUE(INDEX('COOIS Raw'!$A:$GZ,ROW()-4,$F$4)),INDEX('COOIS Raw'!$A:$GZ,ROW()-4,$F$4)))</f>
        <v/>
      </c>
      <c r="G1420" s="41" t="str">
        <f aca="false">IF(A1420="","",IF(ISNA(MATCH(B1420,'Kitting Plan'!$B$6:$B$19,0)),"Not in plan","Yes"))</f>
        <v/>
      </c>
      <c r="H1420" s="41" t="str">
        <f aca="false">IF(G1420="Yes",INDEX('Kitting Plan'!$D$6:$D$19,MATCH(B1420,'Kitting Plan'!$B$6:$B$19,0)),"")</f>
        <v/>
      </c>
      <c r="I1420" s="41" t="str">
        <f aca="false">IF(A1420="","",IF(ISNUMBER(SEARCH("PRT",E1420)),D1420,0))</f>
        <v/>
      </c>
      <c r="J1420" s="41" t="str">
        <f aca="false">IF(A1420="","",IF(ISNUMBER(SEARCH("GMPS",E1420)),D1420,0))</f>
        <v/>
      </c>
      <c r="K1420" s="41" t="str">
        <f aca="false">IF(A1420="","",IF(ISNUMBER(SEARCH("DLV",E1420)),D1420,0))</f>
        <v/>
      </c>
      <c r="L1420" s="41" t="str">
        <f aca="false">IF(A1420="","",IF(K1420&gt;0,"Delivered",IF(ISNUMBER(SEARCH("CNF",E1420)),"In production",IF(J1420&gt;0,"Issued",IF(I1420&gt;0,"Kitted","Released")))))</f>
        <v/>
      </c>
      <c r="M1420" s="41" t="str">
        <f aca="false">IF(G1420&lt;&gt;"Yes","",COUNTIFS($B$6:$B$1505,B1420,$F$6:$F$1505,"&lt;"&amp;F1420)+COUNTIFS($B$6:$B$1505,B1420,$F$6:$F$1505,F1420,$A$6:$A$1505,"&lt;="&amp;A1420))</f>
        <v/>
      </c>
      <c r="N1420" s="41" t="str">
        <f aca="false">IF(M1420="","",ROUNDUP(M1420/H1420,0))</f>
        <v/>
      </c>
      <c r="O1420" s="41" t="str">
        <f aca="false">IF(N1420="","",IF(N1420&lt;='Kitting Plan'!$C$3,"Rep "&amp;N1420,"Surplus"))</f>
        <v/>
      </c>
    </row>
    <row r="1421" customFormat="false" ht="15" hidden="false" customHeight="false" outlineLevel="0" collapsed="false">
      <c r="A1421" s="40" t="str">
        <f aca="false">IF(OR($A$4=0,INDEX('COOIS Raw'!$A:$GZ,ROW()-4,$A$4)=""),"",IFERROR(--INDEX('COOIS Raw'!$A:$GZ,ROW()-4,$A$4),INDEX('COOIS Raw'!$A:$GZ,ROW()-4,$A$4)))</f>
        <v/>
      </c>
      <c r="B1421" s="41" t="str">
        <f aca="false">IF(A1421="","",TRIM(INDEX('COOIS Raw'!$A:$GZ,ROW()-4,$B$4)))</f>
        <v/>
      </c>
      <c r="C1421" s="42" t="str">
        <f aca="false">IF(OR(A1421="",$C$4=0),"",INDEX('COOIS Raw'!$A:$GZ,ROW()-4,$C$4))</f>
        <v/>
      </c>
      <c r="D1421" s="41" t="str">
        <f aca="false">IF(A1421="","",IF($D$4=0,1,IFERROR(--INDEX('COOIS Raw'!$A:$GZ,ROW()-4,$D$4),1)))</f>
        <v/>
      </c>
      <c r="E1421" s="42" t="str">
        <f aca="false">IF(A1421="","",INDEX('COOIS Raw'!$A:$GZ,ROW()-4,$E$4)&amp;"")</f>
        <v/>
      </c>
      <c r="F1421" s="43" t="str">
        <f aca="false">IF(A1421="","",IFERROR(DATEVALUE(INDEX('COOIS Raw'!$A:$GZ,ROW()-4,$F$4)),INDEX('COOIS Raw'!$A:$GZ,ROW()-4,$F$4)))</f>
        <v/>
      </c>
      <c r="G1421" s="41" t="str">
        <f aca="false">IF(A1421="","",IF(ISNA(MATCH(B1421,'Kitting Plan'!$B$6:$B$19,0)),"Not in plan","Yes"))</f>
        <v/>
      </c>
      <c r="H1421" s="41" t="str">
        <f aca="false">IF(G1421="Yes",INDEX('Kitting Plan'!$D$6:$D$19,MATCH(B1421,'Kitting Plan'!$B$6:$B$19,0)),"")</f>
        <v/>
      </c>
      <c r="I1421" s="41" t="str">
        <f aca="false">IF(A1421="","",IF(ISNUMBER(SEARCH("PRT",E1421)),D1421,0))</f>
        <v/>
      </c>
      <c r="J1421" s="41" t="str">
        <f aca="false">IF(A1421="","",IF(ISNUMBER(SEARCH("GMPS",E1421)),D1421,0))</f>
        <v/>
      </c>
      <c r="K1421" s="41" t="str">
        <f aca="false">IF(A1421="","",IF(ISNUMBER(SEARCH("DLV",E1421)),D1421,0))</f>
        <v/>
      </c>
      <c r="L1421" s="41" t="str">
        <f aca="false">IF(A1421="","",IF(K1421&gt;0,"Delivered",IF(ISNUMBER(SEARCH("CNF",E1421)),"In production",IF(J1421&gt;0,"Issued",IF(I1421&gt;0,"Kitted","Released")))))</f>
        <v/>
      </c>
      <c r="M1421" s="41" t="str">
        <f aca="false">IF(G1421&lt;&gt;"Yes","",COUNTIFS($B$6:$B$1505,B1421,$F$6:$F$1505,"&lt;"&amp;F1421)+COUNTIFS($B$6:$B$1505,B1421,$F$6:$F$1505,F1421,$A$6:$A$1505,"&lt;="&amp;A1421))</f>
        <v/>
      </c>
      <c r="N1421" s="41" t="str">
        <f aca="false">IF(M1421="","",ROUNDUP(M1421/H1421,0))</f>
        <v/>
      </c>
      <c r="O1421" s="41" t="str">
        <f aca="false">IF(N1421="","",IF(N1421&lt;='Kitting Plan'!$C$3,"Rep "&amp;N1421,"Surplus"))</f>
        <v/>
      </c>
    </row>
    <row r="1422" customFormat="false" ht="15" hidden="false" customHeight="false" outlineLevel="0" collapsed="false">
      <c r="A1422" s="40" t="str">
        <f aca="false">IF(OR($A$4=0,INDEX('COOIS Raw'!$A:$GZ,ROW()-4,$A$4)=""),"",IFERROR(--INDEX('COOIS Raw'!$A:$GZ,ROW()-4,$A$4),INDEX('COOIS Raw'!$A:$GZ,ROW()-4,$A$4)))</f>
        <v/>
      </c>
      <c r="B1422" s="41" t="str">
        <f aca="false">IF(A1422="","",TRIM(INDEX('COOIS Raw'!$A:$GZ,ROW()-4,$B$4)))</f>
        <v/>
      </c>
      <c r="C1422" s="42" t="str">
        <f aca="false">IF(OR(A1422="",$C$4=0),"",INDEX('COOIS Raw'!$A:$GZ,ROW()-4,$C$4))</f>
        <v/>
      </c>
      <c r="D1422" s="41" t="str">
        <f aca="false">IF(A1422="","",IF($D$4=0,1,IFERROR(--INDEX('COOIS Raw'!$A:$GZ,ROW()-4,$D$4),1)))</f>
        <v/>
      </c>
      <c r="E1422" s="42" t="str">
        <f aca="false">IF(A1422="","",INDEX('COOIS Raw'!$A:$GZ,ROW()-4,$E$4)&amp;"")</f>
        <v/>
      </c>
      <c r="F1422" s="43" t="str">
        <f aca="false">IF(A1422="","",IFERROR(DATEVALUE(INDEX('COOIS Raw'!$A:$GZ,ROW()-4,$F$4)),INDEX('COOIS Raw'!$A:$GZ,ROW()-4,$F$4)))</f>
        <v/>
      </c>
      <c r="G1422" s="41" t="str">
        <f aca="false">IF(A1422="","",IF(ISNA(MATCH(B1422,'Kitting Plan'!$B$6:$B$19,0)),"Not in plan","Yes"))</f>
        <v/>
      </c>
      <c r="H1422" s="41" t="str">
        <f aca="false">IF(G1422="Yes",INDEX('Kitting Plan'!$D$6:$D$19,MATCH(B1422,'Kitting Plan'!$B$6:$B$19,0)),"")</f>
        <v/>
      </c>
      <c r="I1422" s="41" t="str">
        <f aca="false">IF(A1422="","",IF(ISNUMBER(SEARCH("PRT",E1422)),D1422,0))</f>
        <v/>
      </c>
      <c r="J1422" s="41" t="str">
        <f aca="false">IF(A1422="","",IF(ISNUMBER(SEARCH("GMPS",E1422)),D1422,0))</f>
        <v/>
      </c>
      <c r="K1422" s="41" t="str">
        <f aca="false">IF(A1422="","",IF(ISNUMBER(SEARCH("DLV",E1422)),D1422,0))</f>
        <v/>
      </c>
      <c r="L1422" s="41" t="str">
        <f aca="false">IF(A1422="","",IF(K1422&gt;0,"Delivered",IF(ISNUMBER(SEARCH("CNF",E1422)),"In production",IF(J1422&gt;0,"Issued",IF(I1422&gt;0,"Kitted","Released")))))</f>
        <v/>
      </c>
      <c r="M1422" s="41" t="str">
        <f aca="false">IF(G1422&lt;&gt;"Yes","",COUNTIFS($B$6:$B$1505,B1422,$F$6:$F$1505,"&lt;"&amp;F1422)+COUNTIFS($B$6:$B$1505,B1422,$F$6:$F$1505,F1422,$A$6:$A$1505,"&lt;="&amp;A1422))</f>
        <v/>
      </c>
      <c r="N1422" s="41" t="str">
        <f aca="false">IF(M1422="","",ROUNDUP(M1422/H1422,0))</f>
        <v/>
      </c>
      <c r="O1422" s="41" t="str">
        <f aca="false">IF(N1422="","",IF(N1422&lt;='Kitting Plan'!$C$3,"Rep "&amp;N1422,"Surplus"))</f>
        <v/>
      </c>
    </row>
    <row r="1423" customFormat="false" ht="15" hidden="false" customHeight="false" outlineLevel="0" collapsed="false">
      <c r="A1423" s="40" t="str">
        <f aca="false">IF(OR($A$4=0,INDEX('COOIS Raw'!$A:$GZ,ROW()-4,$A$4)=""),"",IFERROR(--INDEX('COOIS Raw'!$A:$GZ,ROW()-4,$A$4),INDEX('COOIS Raw'!$A:$GZ,ROW()-4,$A$4)))</f>
        <v/>
      </c>
      <c r="B1423" s="41" t="str">
        <f aca="false">IF(A1423="","",TRIM(INDEX('COOIS Raw'!$A:$GZ,ROW()-4,$B$4)))</f>
        <v/>
      </c>
      <c r="C1423" s="42" t="str">
        <f aca="false">IF(OR(A1423="",$C$4=0),"",INDEX('COOIS Raw'!$A:$GZ,ROW()-4,$C$4))</f>
        <v/>
      </c>
      <c r="D1423" s="41" t="str">
        <f aca="false">IF(A1423="","",IF($D$4=0,1,IFERROR(--INDEX('COOIS Raw'!$A:$GZ,ROW()-4,$D$4),1)))</f>
        <v/>
      </c>
      <c r="E1423" s="42" t="str">
        <f aca="false">IF(A1423="","",INDEX('COOIS Raw'!$A:$GZ,ROW()-4,$E$4)&amp;"")</f>
        <v/>
      </c>
      <c r="F1423" s="43" t="str">
        <f aca="false">IF(A1423="","",IFERROR(DATEVALUE(INDEX('COOIS Raw'!$A:$GZ,ROW()-4,$F$4)),INDEX('COOIS Raw'!$A:$GZ,ROW()-4,$F$4)))</f>
        <v/>
      </c>
      <c r="G1423" s="41" t="str">
        <f aca="false">IF(A1423="","",IF(ISNA(MATCH(B1423,'Kitting Plan'!$B$6:$B$19,0)),"Not in plan","Yes"))</f>
        <v/>
      </c>
      <c r="H1423" s="41" t="str">
        <f aca="false">IF(G1423="Yes",INDEX('Kitting Plan'!$D$6:$D$19,MATCH(B1423,'Kitting Plan'!$B$6:$B$19,0)),"")</f>
        <v/>
      </c>
      <c r="I1423" s="41" t="str">
        <f aca="false">IF(A1423="","",IF(ISNUMBER(SEARCH("PRT",E1423)),D1423,0))</f>
        <v/>
      </c>
      <c r="J1423" s="41" t="str">
        <f aca="false">IF(A1423="","",IF(ISNUMBER(SEARCH("GMPS",E1423)),D1423,0))</f>
        <v/>
      </c>
      <c r="K1423" s="41" t="str">
        <f aca="false">IF(A1423="","",IF(ISNUMBER(SEARCH("DLV",E1423)),D1423,0))</f>
        <v/>
      </c>
      <c r="L1423" s="41" t="str">
        <f aca="false">IF(A1423="","",IF(K1423&gt;0,"Delivered",IF(ISNUMBER(SEARCH("CNF",E1423)),"In production",IF(J1423&gt;0,"Issued",IF(I1423&gt;0,"Kitted","Released")))))</f>
        <v/>
      </c>
      <c r="M1423" s="41" t="str">
        <f aca="false">IF(G1423&lt;&gt;"Yes","",COUNTIFS($B$6:$B$1505,B1423,$F$6:$F$1505,"&lt;"&amp;F1423)+COUNTIFS($B$6:$B$1505,B1423,$F$6:$F$1505,F1423,$A$6:$A$1505,"&lt;="&amp;A1423))</f>
        <v/>
      </c>
      <c r="N1423" s="41" t="str">
        <f aca="false">IF(M1423="","",ROUNDUP(M1423/H1423,0))</f>
        <v/>
      </c>
      <c r="O1423" s="41" t="str">
        <f aca="false">IF(N1423="","",IF(N1423&lt;='Kitting Plan'!$C$3,"Rep "&amp;N1423,"Surplus"))</f>
        <v/>
      </c>
    </row>
    <row r="1424" customFormat="false" ht="15" hidden="false" customHeight="false" outlineLevel="0" collapsed="false">
      <c r="A1424" s="40" t="str">
        <f aca="false">IF(OR($A$4=0,INDEX('COOIS Raw'!$A:$GZ,ROW()-4,$A$4)=""),"",IFERROR(--INDEX('COOIS Raw'!$A:$GZ,ROW()-4,$A$4),INDEX('COOIS Raw'!$A:$GZ,ROW()-4,$A$4)))</f>
        <v/>
      </c>
      <c r="B1424" s="41" t="str">
        <f aca="false">IF(A1424="","",TRIM(INDEX('COOIS Raw'!$A:$GZ,ROW()-4,$B$4)))</f>
        <v/>
      </c>
      <c r="C1424" s="42" t="str">
        <f aca="false">IF(OR(A1424="",$C$4=0),"",INDEX('COOIS Raw'!$A:$GZ,ROW()-4,$C$4))</f>
        <v/>
      </c>
      <c r="D1424" s="41" t="str">
        <f aca="false">IF(A1424="","",IF($D$4=0,1,IFERROR(--INDEX('COOIS Raw'!$A:$GZ,ROW()-4,$D$4),1)))</f>
        <v/>
      </c>
      <c r="E1424" s="42" t="str">
        <f aca="false">IF(A1424="","",INDEX('COOIS Raw'!$A:$GZ,ROW()-4,$E$4)&amp;"")</f>
        <v/>
      </c>
      <c r="F1424" s="43" t="str">
        <f aca="false">IF(A1424="","",IFERROR(DATEVALUE(INDEX('COOIS Raw'!$A:$GZ,ROW()-4,$F$4)),INDEX('COOIS Raw'!$A:$GZ,ROW()-4,$F$4)))</f>
        <v/>
      </c>
      <c r="G1424" s="41" t="str">
        <f aca="false">IF(A1424="","",IF(ISNA(MATCH(B1424,'Kitting Plan'!$B$6:$B$19,0)),"Not in plan","Yes"))</f>
        <v/>
      </c>
      <c r="H1424" s="41" t="str">
        <f aca="false">IF(G1424="Yes",INDEX('Kitting Plan'!$D$6:$D$19,MATCH(B1424,'Kitting Plan'!$B$6:$B$19,0)),"")</f>
        <v/>
      </c>
      <c r="I1424" s="41" t="str">
        <f aca="false">IF(A1424="","",IF(ISNUMBER(SEARCH("PRT",E1424)),D1424,0))</f>
        <v/>
      </c>
      <c r="J1424" s="41" t="str">
        <f aca="false">IF(A1424="","",IF(ISNUMBER(SEARCH("GMPS",E1424)),D1424,0))</f>
        <v/>
      </c>
      <c r="K1424" s="41" t="str">
        <f aca="false">IF(A1424="","",IF(ISNUMBER(SEARCH("DLV",E1424)),D1424,0))</f>
        <v/>
      </c>
      <c r="L1424" s="41" t="str">
        <f aca="false">IF(A1424="","",IF(K1424&gt;0,"Delivered",IF(ISNUMBER(SEARCH("CNF",E1424)),"In production",IF(J1424&gt;0,"Issued",IF(I1424&gt;0,"Kitted","Released")))))</f>
        <v/>
      </c>
      <c r="M1424" s="41" t="str">
        <f aca="false">IF(G1424&lt;&gt;"Yes","",COUNTIFS($B$6:$B$1505,B1424,$F$6:$F$1505,"&lt;"&amp;F1424)+COUNTIFS($B$6:$B$1505,B1424,$F$6:$F$1505,F1424,$A$6:$A$1505,"&lt;="&amp;A1424))</f>
        <v/>
      </c>
      <c r="N1424" s="41" t="str">
        <f aca="false">IF(M1424="","",ROUNDUP(M1424/H1424,0))</f>
        <v/>
      </c>
      <c r="O1424" s="41" t="str">
        <f aca="false">IF(N1424="","",IF(N1424&lt;='Kitting Plan'!$C$3,"Rep "&amp;N1424,"Surplus"))</f>
        <v/>
      </c>
    </row>
    <row r="1425" customFormat="false" ht="15" hidden="false" customHeight="false" outlineLevel="0" collapsed="false">
      <c r="A1425" s="40" t="str">
        <f aca="false">IF(OR($A$4=0,INDEX('COOIS Raw'!$A:$GZ,ROW()-4,$A$4)=""),"",IFERROR(--INDEX('COOIS Raw'!$A:$GZ,ROW()-4,$A$4),INDEX('COOIS Raw'!$A:$GZ,ROW()-4,$A$4)))</f>
        <v/>
      </c>
      <c r="B1425" s="41" t="str">
        <f aca="false">IF(A1425="","",TRIM(INDEX('COOIS Raw'!$A:$GZ,ROW()-4,$B$4)))</f>
        <v/>
      </c>
      <c r="C1425" s="42" t="str">
        <f aca="false">IF(OR(A1425="",$C$4=0),"",INDEX('COOIS Raw'!$A:$GZ,ROW()-4,$C$4))</f>
        <v/>
      </c>
      <c r="D1425" s="41" t="str">
        <f aca="false">IF(A1425="","",IF($D$4=0,1,IFERROR(--INDEX('COOIS Raw'!$A:$GZ,ROW()-4,$D$4),1)))</f>
        <v/>
      </c>
      <c r="E1425" s="42" t="str">
        <f aca="false">IF(A1425="","",INDEX('COOIS Raw'!$A:$GZ,ROW()-4,$E$4)&amp;"")</f>
        <v/>
      </c>
      <c r="F1425" s="43" t="str">
        <f aca="false">IF(A1425="","",IFERROR(DATEVALUE(INDEX('COOIS Raw'!$A:$GZ,ROW()-4,$F$4)),INDEX('COOIS Raw'!$A:$GZ,ROW()-4,$F$4)))</f>
        <v/>
      </c>
      <c r="G1425" s="41" t="str">
        <f aca="false">IF(A1425="","",IF(ISNA(MATCH(B1425,'Kitting Plan'!$B$6:$B$19,0)),"Not in plan","Yes"))</f>
        <v/>
      </c>
      <c r="H1425" s="41" t="str">
        <f aca="false">IF(G1425="Yes",INDEX('Kitting Plan'!$D$6:$D$19,MATCH(B1425,'Kitting Plan'!$B$6:$B$19,0)),"")</f>
        <v/>
      </c>
      <c r="I1425" s="41" t="str">
        <f aca="false">IF(A1425="","",IF(ISNUMBER(SEARCH("PRT",E1425)),D1425,0))</f>
        <v/>
      </c>
      <c r="J1425" s="41" t="str">
        <f aca="false">IF(A1425="","",IF(ISNUMBER(SEARCH("GMPS",E1425)),D1425,0))</f>
        <v/>
      </c>
      <c r="K1425" s="41" t="str">
        <f aca="false">IF(A1425="","",IF(ISNUMBER(SEARCH("DLV",E1425)),D1425,0))</f>
        <v/>
      </c>
      <c r="L1425" s="41" t="str">
        <f aca="false">IF(A1425="","",IF(K1425&gt;0,"Delivered",IF(ISNUMBER(SEARCH("CNF",E1425)),"In production",IF(J1425&gt;0,"Issued",IF(I1425&gt;0,"Kitted","Released")))))</f>
        <v/>
      </c>
      <c r="M1425" s="41" t="str">
        <f aca="false">IF(G1425&lt;&gt;"Yes","",COUNTIFS($B$6:$B$1505,B1425,$F$6:$F$1505,"&lt;"&amp;F1425)+COUNTIFS($B$6:$B$1505,B1425,$F$6:$F$1505,F1425,$A$6:$A$1505,"&lt;="&amp;A1425))</f>
        <v/>
      </c>
      <c r="N1425" s="41" t="str">
        <f aca="false">IF(M1425="","",ROUNDUP(M1425/H1425,0))</f>
        <v/>
      </c>
      <c r="O1425" s="41" t="str">
        <f aca="false">IF(N1425="","",IF(N1425&lt;='Kitting Plan'!$C$3,"Rep "&amp;N1425,"Surplus"))</f>
        <v/>
      </c>
    </row>
    <row r="1426" customFormat="false" ht="15" hidden="false" customHeight="false" outlineLevel="0" collapsed="false">
      <c r="A1426" s="40" t="str">
        <f aca="false">IF(OR($A$4=0,INDEX('COOIS Raw'!$A:$GZ,ROW()-4,$A$4)=""),"",IFERROR(--INDEX('COOIS Raw'!$A:$GZ,ROW()-4,$A$4),INDEX('COOIS Raw'!$A:$GZ,ROW()-4,$A$4)))</f>
        <v/>
      </c>
      <c r="B1426" s="41" t="str">
        <f aca="false">IF(A1426="","",TRIM(INDEX('COOIS Raw'!$A:$GZ,ROW()-4,$B$4)))</f>
        <v/>
      </c>
      <c r="C1426" s="42" t="str">
        <f aca="false">IF(OR(A1426="",$C$4=0),"",INDEX('COOIS Raw'!$A:$GZ,ROW()-4,$C$4))</f>
        <v/>
      </c>
      <c r="D1426" s="41" t="str">
        <f aca="false">IF(A1426="","",IF($D$4=0,1,IFERROR(--INDEX('COOIS Raw'!$A:$GZ,ROW()-4,$D$4),1)))</f>
        <v/>
      </c>
      <c r="E1426" s="42" t="str">
        <f aca="false">IF(A1426="","",INDEX('COOIS Raw'!$A:$GZ,ROW()-4,$E$4)&amp;"")</f>
        <v/>
      </c>
      <c r="F1426" s="43" t="str">
        <f aca="false">IF(A1426="","",IFERROR(DATEVALUE(INDEX('COOIS Raw'!$A:$GZ,ROW()-4,$F$4)),INDEX('COOIS Raw'!$A:$GZ,ROW()-4,$F$4)))</f>
        <v/>
      </c>
      <c r="G1426" s="41" t="str">
        <f aca="false">IF(A1426="","",IF(ISNA(MATCH(B1426,'Kitting Plan'!$B$6:$B$19,0)),"Not in plan","Yes"))</f>
        <v/>
      </c>
      <c r="H1426" s="41" t="str">
        <f aca="false">IF(G1426="Yes",INDEX('Kitting Plan'!$D$6:$D$19,MATCH(B1426,'Kitting Plan'!$B$6:$B$19,0)),"")</f>
        <v/>
      </c>
      <c r="I1426" s="41" t="str">
        <f aca="false">IF(A1426="","",IF(ISNUMBER(SEARCH("PRT",E1426)),D1426,0))</f>
        <v/>
      </c>
      <c r="J1426" s="41" t="str">
        <f aca="false">IF(A1426="","",IF(ISNUMBER(SEARCH("GMPS",E1426)),D1426,0))</f>
        <v/>
      </c>
      <c r="K1426" s="41" t="str">
        <f aca="false">IF(A1426="","",IF(ISNUMBER(SEARCH("DLV",E1426)),D1426,0))</f>
        <v/>
      </c>
      <c r="L1426" s="41" t="str">
        <f aca="false">IF(A1426="","",IF(K1426&gt;0,"Delivered",IF(ISNUMBER(SEARCH("CNF",E1426)),"In production",IF(J1426&gt;0,"Issued",IF(I1426&gt;0,"Kitted","Released")))))</f>
        <v/>
      </c>
      <c r="M1426" s="41" t="str">
        <f aca="false">IF(G1426&lt;&gt;"Yes","",COUNTIFS($B$6:$B$1505,B1426,$F$6:$F$1505,"&lt;"&amp;F1426)+COUNTIFS($B$6:$B$1505,B1426,$F$6:$F$1505,F1426,$A$6:$A$1505,"&lt;="&amp;A1426))</f>
        <v/>
      </c>
      <c r="N1426" s="41" t="str">
        <f aca="false">IF(M1426="","",ROUNDUP(M1426/H1426,0))</f>
        <v/>
      </c>
      <c r="O1426" s="41" t="str">
        <f aca="false">IF(N1426="","",IF(N1426&lt;='Kitting Plan'!$C$3,"Rep "&amp;N1426,"Surplus"))</f>
        <v/>
      </c>
    </row>
    <row r="1427" customFormat="false" ht="15" hidden="false" customHeight="false" outlineLevel="0" collapsed="false">
      <c r="A1427" s="40" t="str">
        <f aca="false">IF(OR($A$4=0,INDEX('COOIS Raw'!$A:$GZ,ROW()-4,$A$4)=""),"",IFERROR(--INDEX('COOIS Raw'!$A:$GZ,ROW()-4,$A$4),INDEX('COOIS Raw'!$A:$GZ,ROW()-4,$A$4)))</f>
        <v/>
      </c>
      <c r="B1427" s="41" t="str">
        <f aca="false">IF(A1427="","",TRIM(INDEX('COOIS Raw'!$A:$GZ,ROW()-4,$B$4)))</f>
        <v/>
      </c>
      <c r="C1427" s="42" t="str">
        <f aca="false">IF(OR(A1427="",$C$4=0),"",INDEX('COOIS Raw'!$A:$GZ,ROW()-4,$C$4))</f>
        <v/>
      </c>
      <c r="D1427" s="41" t="str">
        <f aca="false">IF(A1427="","",IF($D$4=0,1,IFERROR(--INDEX('COOIS Raw'!$A:$GZ,ROW()-4,$D$4),1)))</f>
        <v/>
      </c>
      <c r="E1427" s="42" t="str">
        <f aca="false">IF(A1427="","",INDEX('COOIS Raw'!$A:$GZ,ROW()-4,$E$4)&amp;"")</f>
        <v/>
      </c>
      <c r="F1427" s="43" t="str">
        <f aca="false">IF(A1427="","",IFERROR(DATEVALUE(INDEX('COOIS Raw'!$A:$GZ,ROW()-4,$F$4)),INDEX('COOIS Raw'!$A:$GZ,ROW()-4,$F$4)))</f>
        <v/>
      </c>
      <c r="G1427" s="41" t="str">
        <f aca="false">IF(A1427="","",IF(ISNA(MATCH(B1427,'Kitting Plan'!$B$6:$B$19,0)),"Not in plan","Yes"))</f>
        <v/>
      </c>
      <c r="H1427" s="41" t="str">
        <f aca="false">IF(G1427="Yes",INDEX('Kitting Plan'!$D$6:$D$19,MATCH(B1427,'Kitting Plan'!$B$6:$B$19,0)),"")</f>
        <v/>
      </c>
      <c r="I1427" s="41" t="str">
        <f aca="false">IF(A1427="","",IF(ISNUMBER(SEARCH("PRT",E1427)),D1427,0))</f>
        <v/>
      </c>
      <c r="J1427" s="41" t="str">
        <f aca="false">IF(A1427="","",IF(ISNUMBER(SEARCH("GMPS",E1427)),D1427,0))</f>
        <v/>
      </c>
      <c r="K1427" s="41" t="str">
        <f aca="false">IF(A1427="","",IF(ISNUMBER(SEARCH("DLV",E1427)),D1427,0))</f>
        <v/>
      </c>
      <c r="L1427" s="41" t="str">
        <f aca="false">IF(A1427="","",IF(K1427&gt;0,"Delivered",IF(ISNUMBER(SEARCH("CNF",E1427)),"In production",IF(J1427&gt;0,"Issued",IF(I1427&gt;0,"Kitted","Released")))))</f>
        <v/>
      </c>
      <c r="M1427" s="41" t="str">
        <f aca="false">IF(G1427&lt;&gt;"Yes","",COUNTIFS($B$6:$B$1505,B1427,$F$6:$F$1505,"&lt;"&amp;F1427)+COUNTIFS($B$6:$B$1505,B1427,$F$6:$F$1505,F1427,$A$6:$A$1505,"&lt;="&amp;A1427))</f>
        <v/>
      </c>
      <c r="N1427" s="41" t="str">
        <f aca="false">IF(M1427="","",ROUNDUP(M1427/H1427,0))</f>
        <v/>
      </c>
      <c r="O1427" s="41" t="str">
        <f aca="false">IF(N1427="","",IF(N1427&lt;='Kitting Plan'!$C$3,"Rep "&amp;N1427,"Surplus"))</f>
        <v/>
      </c>
    </row>
    <row r="1428" customFormat="false" ht="15" hidden="false" customHeight="false" outlineLevel="0" collapsed="false">
      <c r="A1428" s="40" t="str">
        <f aca="false">IF(OR($A$4=0,INDEX('COOIS Raw'!$A:$GZ,ROW()-4,$A$4)=""),"",IFERROR(--INDEX('COOIS Raw'!$A:$GZ,ROW()-4,$A$4),INDEX('COOIS Raw'!$A:$GZ,ROW()-4,$A$4)))</f>
        <v/>
      </c>
      <c r="B1428" s="41" t="str">
        <f aca="false">IF(A1428="","",TRIM(INDEX('COOIS Raw'!$A:$GZ,ROW()-4,$B$4)))</f>
        <v/>
      </c>
      <c r="C1428" s="42" t="str">
        <f aca="false">IF(OR(A1428="",$C$4=0),"",INDEX('COOIS Raw'!$A:$GZ,ROW()-4,$C$4))</f>
        <v/>
      </c>
      <c r="D1428" s="41" t="str">
        <f aca="false">IF(A1428="","",IF($D$4=0,1,IFERROR(--INDEX('COOIS Raw'!$A:$GZ,ROW()-4,$D$4),1)))</f>
        <v/>
      </c>
      <c r="E1428" s="42" t="str">
        <f aca="false">IF(A1428="","",INDEX('COOIS Raw'!$A:$GZ,ROW()-4,$E$4)&amp;"")</f>
        <v/>
      </c>
      <c r="F1428" s="43" t="str">
        <f aca="false">IF(A1428="","",IFERROR(DATEVALUE(INDEX('COOIS Raw'!$A:$GZ,ROW()-4,$F$4)),INDEX('COOIS Raw'!$A:$GZ,ROW()-4,$F$4)))</f>
        <v/>
      </c>
      <c r="G1428" s="41" t="str">
        <f aca="false">IF(A1428="","",IF(ISNA(MATCH(B1428,'Kitting Plan'!$B$6:$B$19,0)),"Not in plan","Yes"))</f>
        <v/>
      </c>
      <c r="H1428" s="41" t="str">
        <f aca="false">IF(G1428="Yes",INDEX('Kitting Plan'!$D$6:$D$19,MATCH(B1428,'Kitting Plan'!$B$6:$B$19,0)),"")</f>
        <v/>
      </c>
      <c r="I1428" s="41" t="str">
        <f aca="false">IF(A1428="","",IF(ISNUMBER(SEARCH("PRT",E1428)),D1428,0))</f>
        <v/>
      </c>
      <c r="J1428" s="41" t="str">
        <f aca="false">IF(A1428="","",IF(ISNUMBER(SEARCH("GMPS",E1428)),D1428,0))</f>
        <v/>
      </c>
      <c r="K1428" s="41" t="str">
        <f aca="false">IF(A1428="","",IF(ISNUMBER(SEARCH("DLV",E1428)),D1428,0))</f>
        <v/>
      </c>
      <c r="L1428" s="41" t="str">
        <f aca="false">IF(A1428="","",IF(K1428&gt;0,"Delivered",IF(ISNUMBER(SEARCH("CNF",E1428)),"In production",IF(J1428&gt;0,"Issued",IF(I1428&gt;0,"Kitted","Released")))))</f>
        <v/>
      </c>
      <c r="M1428" s="41" t="str">
        <f aca="false">IF(G1428&lt;&gt;"Yes","",COUNTIFS($B$6:$B$1505,B1428,$F$6:$F$1505,"&lt;"&amp;F1428)+COUNTIFS($B$6:$B$1505,B1428,$F$6:$F$1505,F1428,$A$6:$A$1505,"&lt;="&amp;A1428))</f>
        <v/>
      </c>
      <c r="N1428" s="41" t="str">
        <f aca="false">IF(M1428="","",ROUNDUP(M1428/H1428,0))</f>
        <v/>
      </c>
      <c r="O1428" s="41" t="str">
        <f aca="false">IF(N1428="","",IF(N1428&lt;='Kitting Plan'!$C$3,"Rep "&amp;N1428,"Surplus"))</f>
        <v/>
      </c>
    </row>
    <row r="1429" customFormat="false" ht="15" hidden="false" customHeight="false" outlineLevel="0" collapsed="false">
      <c r="A1429" s="40" t="str">
        <f aca="false">IF(OR($A$4=0,INDEX('COOIS Raw'!$A:$GZ,ROW()-4,$A$4)=""),"",IFERROR(--INDEX('COOIS Raw'!$A:$GZ,ROW()-4,$A$4),INDEX('COOIS Raw'!$A:$GZ,ROW()-4,$A$4)))</f>
        <v/>
      </c>
      <c r="B1429" s="41" t="str">
        <f aca="false">IF(A1429="","",TRIM(INDEX('COOIS Raw'!$A:$GZ,ROW()-4,$B$4)))</f>
        <v/>
      </c>
      <c r="C1429" s="42" t="str">
        <f aca="false">IF(OR(A1429="",$C$4=0),"",INDEX('COOIS Raw'!$A:$GZ,ROW()-4,$C$4))</f>
        <v/>
      </c>
      <c r="D1429" s="41" t="str">
        <f aca="false">IF(A1429="","",IF($D$4=0,1,IFERROR(--INDEX('COOIS Raw'!$A:$GZ,ROW()-4,$D$4),1)))</f>
        <v/>
      </c>
      <c r="E1429" s="42" t="str">
        <f aca="false">IF(A1429="","",INDEX('COOIS Raw'!$A:$GZ,ROW()-4,$E$4)&amp;"")</f>
        <v/>
      </c>
      <c r="F1429" s="43" t="str">
        <f aca="false">IF(A1429="","",IFERROR(DATEVALUE(INDEX('COOIS Raw'!$A:$GZ,ROW()-4,$F$4)),INDEX('COOIS Raw'!$A:$GZ,ROW()-4,$F$4)))</f>
        <v/>
      </c>
      <c r="G1429" s="41" t="str">
        <f aca="false">IF(A1429="","",IF(ISNA(MATCH(B1429,'Kitting Plan'!$B$6:$B$19,0)),"Not in plan","Yes"))</f>
        <v/>
      </c>
      <c r="H1429" s="41" t="str">
        <f aca="false">IF(G1429="Yes",INDEX('Kitting Plan'!$D$6:$D$19,MATCH(B1429,'Kitting Plan'!$B$6:$B$19,0)),"")</f>
        <v/>
      </c>
      <c r="I1429" s="41" t="str">
        <f aca="false">IF(A1429="","",IF(ISNUMBER(SEARCH("PRT",E1429)),D1429,0))</f>
        <v/>
      </c>
      <c r="J1429" s="41" t="str">
        <f aca="false">IF(A1429="","",IF(ISNUMBER(SEARCH("GMPS",E1429)),D1429,0))</f>
        <v/>
      </c>
      <c r="K1429" s="41" t="str">
        <f aca="false">IF(A1429="","",IF(ISNUMBER(SEARCH("DLV",E1429)),D1429,0))</f>
        <v/>
      </c>
      <c r="L1429" s="41" t="str">
        <f aca="false">IF(A1429="","",IF(K1429&gt;0,"Delivered",IF(ISNUMBER(SEARCH("CNF",E1429)),"In production",IF(J1429&gt;0,"Issued",IF(I1429&gt;0,"Kitted","Released")))))</f>
        <v/>
      </c>
      <c r="M1429" s="41" t="str">
        <f aca="false">IF(G1429&lt;&gt;"Yes","",COUNTIFS($B$6:$B$1505,B1429,$F$6:$F$1505,"&lt;"&amp;F1429)+COUNTIFS($B$6:$B$1505,B1429,$F$6:$F$1505,F1429,$A$6:$A$1505,"&lt;="&amp;A1429))</f>
        <v/>
      </c>
      <c r="N1429" s="41" t="str">
        <f aca="false">IF(M1429="","",ROUNDUP(M1429/H1429,0))</f>
        <v/>
      </c>
      <c r="O1429" s="41" t="str">
        <f aca="false">IF(N1429="","",IF(N1429&lt;='Kitting Plan'!$C$3,"Rep "&amp;N1429,"Surplus"))</f>
        <v/>
      </c>
    </row>
    <row r="1430" customFormat="false" ht="15" hidden="false" customHeight="false" outlineLevel="0" collapsed="false">
      <c r="A1430" s="40" t="str">
        <f aca="false">IF(OR($A$4=0,INDEX('COOIS Raw'!$A:$GZ,ROW()-4,$A$4)=""),"",IFERROR(--INDEX('COOIS Raw'!$A:$GZ,ROW()-4,$A$4),INDEX('COOIS Raw'!$A:$GZ,ROW()-4,$A$4)))</f>
        <v/>
      </c>
      <c r="B1430" s="41" t="str">
        <f aca="false">IF(A1430="","",TRIM(INDEX('COOIS Raw'!$A:$GZ,ROW()-4,$B$4)))</f>
        <v/>
      </c>
      <c r="C1430" s="42" t="str">
        <f aca="false">IF(OR(A1430="",$C$4=0),"",INDEX('COOIS Raw'!$A:$GZ,ROW()-4,$C$4))</f>
        <v/>
      </c>
      <c r="D1430" s="41" t="str">
        <f aca="false">IF(A1430="","",IF($D$4=0,1,IFERROR(--INDEX('COOIS Raw'!$A:$GZ,ROW()-4,$D$4),1)))</f>
        <v/>
      </c>
      <c r="E1430" s="42" t="str">
        <f aca="false">IF(A1430="","",INDEX('COOIS Raw'!$A:$GZ,ROW()-4,$E$4)&amp;"")</f>
        <v/>
      </c>
      <c r="F1430" s="43" t="str">
        <f aca="false">IF(A1430="","",IFERROR(DATEVALUE(INDEX('COOIS Raw'!$A:$GZ,ROW()-4,$F$4)),INDEX('COOIS Raw'!$A:$GZ,ROW()-4,$F$4)))</f>
        <v/>
      </c>
      <c r="G1430" s="41" t="str">
        <f aca="false">IF(A1430="","",IF(ISNA(MATCH(B1430,'Kitting Plan'!$B$6:$B$19,0)),"Not in plan","Yes"))</f>
        <v/>
      </c>
      <c r="H1430" s="41" t="str">
        <f aca="false">IF(G1430="Yes",INDEX('Kitting Plan'!$D$6:$D$19,MATCH(B1430,'Kitting Plan'!$B$6:$B$19,0)),"")</f>
        <v/>
      </c>
      <c r="I1430" s="41" t="str">
        <f aca="false">IF(A1430="","",IF(ISNUMBER(SEARCH("PRT",E1430)),D1430,0))</f>
        <v/>
      </c>
      <c r="J1430" s="41" t="str">
        <f aca="false">IF(A1430="","",IF(ISNUMBER(SEARCH("GMPS",E1430)),D1430,0))</f>
        <v/>
      </c>
      <c r="K1430" s="41" t="str">
        <f aca="false">IF(A1430="","",IF(ISNUMBER(SEARCH("DLV",E1430)),D1430,0))</f>
        <v/>
      </c>
      <c r="L1430" s="41" t="str">
        <f aca="false">IF(A1430="","",IF(K1430&gt;0,"Delivered",IF(ISNUMBER(SEARCH("CNF",E1430)),"In production",IF(J1430&gt;0,"Issued",IF(I1430&gt;0,"Kitted","Released")))))</f>
        <v/>
      </c>
      <c r="M1430" s="41" t="str">
        <f aca="false">IF(G1430&lt;&gt;"Yes","",COUNTIFS($B$6:$B$1505,B1430,$F$6:$F$1505,"&lt;"&amp;F1430)+COUNTIFS($B$6:$B$1505,B1430,$F$6:$F$1505,F1430,$A$6:$A$1505,"&lt;="&amp;A1430))</f>
        <v/>
      </c>
      <c r="N1430" s="41" t="str">
        <f aca="false">IF(M1430="","",ROUNDUP(M1430/H1430,0))</f>
        <v/>
      </c>
      <c r="O1430" s="41" t="str">
        <f aca="false">IF(N1430="","",IF(N1430&lt;='Kitting Plan'!$C$3,"Rep "&amp;N1430,"Surplus"))</f>
        <v/>
      </c>
    </row>
    <row r="1431" customFormat="false" ht="15" hidden="false" customHeight="false" outlineLevel="0" collapsed="false">
      <c r="A1431" s="40" t="str">
        <f aca="false">IF(OR($A$4=0,INDEX('COOIS Raw'!$A:$GZ,ROW()-4,$A$4)=""),"",IFERROR(--INDEX('COOIS Raw'!$A:$GZ,ROW()-4,$A$4),INDEX('COOIS Raw'!$A:$GZ,ROW()-4,$A$4)))</f>
        <v/>
      </c>
      <c r="B1431" s="41" t="str">
        <f aca="false">IF(A1431="","",TRIM(INDEX('COOIS Raw'!$A:$GZ,ROW()-4,$B$4)))</f>
        <v/>
      </c>
      <c r="C1431" s="42" t="str">
        <f aca="false">IF(OR(A1431="",$C$4=0),"",INDEX('COOIS Raw'!$A:$GZ,ROW()-4,$C$4))</f>
        <v/>
      </c>
      <c r="D1431" s="41" t="str">
        <f aca="false">IF(A1431="","",IF($D$4=0,1,IFERROR(--INDEX('COOIS Raw'!$A:$GZ,ROW()-4,$D$4),1)))</f>
        <v/>
      </c>
      <c r="E1431" s="42" t="str">
        <f aca="false">IF(A1431="","",INDEX('COOIS Raw'!$A:$GZ,ROW()-4,$E$4)&amp;"")</f>
        <v/>
      </c>
      <c r="F1431" s="43" t="str">
        <f aca="false">IF(A1431="","",IFERROR(DATEVALUE(INDEX('COOIS Raw'!$A:$GZ,ROW()-4,$F$4)),INDEX('COOIS Raw'!$A:$GZ,ROW()-4,$F$4)))</f>
        <v/>
      </c>
      <c r="G1431" s="41" t="str">
        <f aca="false">IF(A1431="","",IF(ISNA(MATCH(B1431,'Kitting Plan'!$B$6:$B$19,0)),"Not in plan","Yes"))</f>
        <v/>
      </c>
      <c r="H1431" s="41" t="str">
        <f aca="false">IF(G1431="Yes",INDEX('Kitting Plan'!$D$6:$D$19,MATCH(B1431,'Kitting Plan'!$B$6:$B$19,0)),"")</f>
        <v/>
      </c>
      <c r="I1431" s="41" t="str">
        <f aca="false">IF(A1431="","",IF(ISNUMBER(SEARCH("PRT",E1431)),D1431,0))</f>
        <v/>
      </c>
      <c r="J1431" s="41" t="str">
        <f aca="false">IF(A1431="","",IF(ISNUMBER(SEARCH("GMPS",E1431)),D1431,0))</f>
        <v/>
      </c>
      <c r="K1431" s="41" t="str">
        <f aca="false">IF(A1431="","",IF(ISNUMBER(SEARCH("DLV",E1431)),D1431,0))</f>
        <v/>
      </c>
      <c r="L1431" s="41" t="str">
        <f aca="false">IF(A1431="","",IF(K1431&gt;0,"Delivered",IF(ISNUMBER(SEARCH("CNF",E1431)),"In production",IF(J1431&gt;0,"Issued",IF(I1431&gt;0,"Kitted","Released")))))</f>
        <v/>
      </c>
      <c r="M1431" s="41" t="str">
        <f aca="false">IF(G1431&lt;&gt;"Yes","",COUNTIFS($B$6:$B$1505,B1431,$F$6:$F$1505,"&lt;"&amp;F1431)+COUNTIFS($B$6:$B$1505,B1431,$F$6:$F$1505,F1431,$A$6:$A$1505,"&lt;="&amp;A1431))</f>
        <v/>
      </c>
      <c r="N1431" s="41" t="str">
        <f aca="false">IF(M1431="","",ROUNDUP(M1431/H1431,0))</f>
        <v/>
      </c>
      <c r="O1431" s="41" t="str">
        <f aca="false">IF(N1431="","",IF(N1431&lt;='Kitting Plan'!$C$3,"Rep "&amp;N1431,"Surplus"))</f>
        <v/>
      </c>
    </row>
    <row r="1432" customFormat="false" ht="15" hidden="false" customHeight="false" outlineLevel="0" collapsed="false">
      <c r="A1432" s="40" t="str">
        <f aca="false">IF(OR($A$4=0,INDEX('COOIS Raw'!$A:$GZ,ROW()-4,$A$4)=""),"",IFERROR(--INDEX('COOIS Raw'!$A:$GZ,ROW()-4,$A$4),INDEX('COOIS Raw'!$A:$GZ,ROW()-4,$A$4)))</f>
        <v/>
      </c>
      <c r="B1432" s="41" t="str">
        <f aca="false">IF(A1432="","",TRIM(INDEX('COOIS Raw'!$A:$GZ,ROW()-4,$B$4)))</f>
        <v/>
      </c>
      <c r="C1432" s="42" t="str">
        <f aca="false">IF(OR(A1432="",$C$4=0),"",INDEX('COOIS Raw'!$A:$GZ,ROW()-4,$C$4))</f>
        <v/>
      </c>
      <c r="D1432" s="41" t="str">
        <f aca="false">IF(A1432="","",IF($D$4=0,1,IFERROR(--INDEX('COOIS Raw'!$A:$GZ,ROW()-4,$D$4),1)))</f>
        <v/>
      </c>
      <c r="E1432" s="42" t="str">
        <f aca="false">IF(A1432="","",INDEX('COOIS Raw'!$A:$GZ,ROW()-4,$E$4)&amp;"")</f>
        <v/>
      </c>
      <c r="F1432" s="43" t="str">
        <f aca="false">IF(A1432="","",IFERROR(DATEVALUE(INDEX('COOIS Raw'!$A:$GZ,ROW()-4,$F$4)),INDEX('COOIS Raw'!$A:$GZ,ROW()-4,$F$4)))</f>
        <v/>
      </c>
      <c r="G1432" s="41" t="str">
        <f aca="false">IF(A1432="","",IF(ISNA(MATCH(B1432,'Kitting Plan'!$B$6:$B$19,0)),"Not in plan","Yes"))</f>
        <v/>
      </c>
      <c r="H1432" s="41" t="str">
        <f aca="false">IF(G1432="Yes",INDEX('Kitting Plan'!$D$6:$D$19,MATCH(B1432,'Kitting Plan'!$B$6:$B$19,0)),"")</f>
        <v/>
      </c>
      <c r="I1432" s="41" t="str">
        <f aca="false">IF(A1432="","",IF(ISNUMBER(SEARCH("PRT",E1432)),D1432,0))</f>
        <v/>
      </c>
      <c r="J1432" s="41" t="str">
        <f aca="false">IF(A1432="","",IF(ISNUMBER(SEARCH("GMPS",E1432)),D1432,0))</f>
        <v/>
      </c>
      <c r="K1432" s="41" t="str">
        <f aca="false">IF(A1432="","",IF(ISNUMBER(SEARCH("DLV",E1432)),D1432,0))</f>
        <v/>
      </c>
      <c r="L1432" s="41" t="str">
        <f aca="false">IF(A1432="","",IF(K1432&gt;0,"Delivered",IF(ISNUMBER(SEARCH("CNF",E1432)),"In production",IF(J1432&gt;0,"Issued",IF(I1432&gt;0,"Kitted","Released")))))</f>
        <v/>
      </c>
      <c r="M1432" s="41" t="str">
        <f aca="false">IF(G1432&lt;&gt;"Yes","",COUNTIFS($B$6:$B$1505,B1432,$F$6:$F$1505,"&lt;"&amp;F1432)+COUNTIFS($B$6:$B$1505,B1432,$F$6:$F$1505,F1432,$A$6:$A$1505,"&lt;="&amp;A1432))</f>
        <v/>
      </c>
      <c r="N1432" s="41" t="str">
        <f aca="false">IF(M1432="","",ROUNDUP(M1432/H1432,0))</f>
        <v/>
      </c>
      <c r="O1432" s="41" t="str">
        <f aca="false">IF(N1432="","",IF(N1432&lt;='Kitting Plan'!$C$3,"Rep "&amp;N1432,"Surplus"))</f>
        <v/>
      </c>
    </row>
    <row r="1433" customFormat="false" ht="15" hidden="false" customHeight="false" outlineLevel="0" collapsed="false">
      <c r="A1433" s="40" t="str">
        <f aca="false">IF(OR($A$4=0,INDEX('COOIS Raw'!$A:$GZ,ROW()-4,$A$4)=""),"",IFERROR(--INDEX('COOIS Raw'!$A:$GZ,ROW()-4,$A$4),INDEX('COOIS Raw'!$A:$GZ,ROW()-4,$A$4)))</f>
        <v/>
      </c>
      <c r="B1433" s="41" t="str">
        <f aca="false">IF(A1433="","",TRIM(INDEX('COOIS Raw'!$A:$GZ,ROW()-4,$B$4)))</f>
        <v/>
      </c>
      <c r="C1433" s="42" t="str">
        <f aca="false">IF(OR(A1433="",$C$4=0),"",INDEX('COOIS Raw'!$A:$GZ,ROW()-4,$C$4))</f>
        <v/>
      </c>
      <c r="D1433" s="41" t="str">
        <f aca="false">IF(A1433="","",IF($D$4=0,1,IFERROR(--INDEX('COOIS Raw'!$A:$GZ,ROW()-4,$D$4),1)))</f>
        <v/>
      </c>
      <c r="E1433" s="42" t="str">
        <f aca="false">IF(A1433="","",INDEX('COOIS Raw'!$A:$GZ,ROW()-4,$E$4)&amp;"")</f>
        <v/>
      </c>
      <c r="F1433" s="43" t="str">
        <f aca="false">IF(A1433="","",IFERROR(DATEVALUE(INDEX('COOIS Raw'!$A:$GZ,ROW()-4,$F$4)),INDEX('COOIS Raw'!$A:$GZ,ROW()-4,$F$4)))</f>
        <v/>
      </c>
      <c r="G1433" s="41" t="str">
        <f aca="false">IF(A1433="","",IF(ISNA(MATCH(B1433,'Kitting Plan'!$B$6:$B$19,0)),"Not in plan","Yes"))</f>
        <v/>
      </c>
      <c r="H1433" s="41" t="str">
        <f aca="false">IF(G1433="Yes",INDEX('Kitting Plan'!$D$6:$D$19,MATCH(B1433,'Kitting Plan'!$B$6:$B$19,0)),"")</f>
        <v/>
      </c>
      <c r="I1433" s="41" t="str">
        <f aca="false">IF(A1433="","",IF(ISNUMBER(SEARCH("PRT",E1433)),D1433,0))</f>
        <v/>
      </c>
      <c r="J1433" s="41" t="str">
        <f aca="false">IF(A1433="","",IF(ISNUMBER(SEARCH("GMPS",E1433)),D1433,0))</f>
        <v/>
      </c>
      <c r="K1433" s="41" t="str">
        <f aca="false">IF(A1433="","",IF(ISNUMBER(SEARCH("DLV",E1433)),D1433,0))</f>
        <v/>
      </c>
      <c r="L1433" s="41" t="str">
        <f aca="false">IF(A1433="","",IF(K1433&gt;0,"Delivered",IF(ISNUMBER(SEARCH("CNF",E1433)),"In production",IF(J1433&gt;0,"Issued",IF(I1433&gt;0,"Kitted","Released")))))</f>
        <v/>
      </c>
      <c r="M1433" s="41" t="str">
        <f aca="false">IF(G1433&lt;&gt;"Yes","",COUNTIFS($B$6:$B$1505,B1433,$F$6:$F$1505,"&lt;"&amp;F1433)+COUNTIFS($B$6:$B$1505,B1433,$F$6:$F$1505,F1433,$A$6:$A$1505,"&lt;="&amp;A1433))</f>
        <v/>
      </c>
      <c r="N1433" s="41" t="str">
        <f aca="false">IF(M1433="","",ROUNDUP(M1433/H1433,0))</f>
        <v/>
      </c>
      <c r="O1433" s="41" t="str">
        <f aca="false">IF(N1433="","",IF(N1433&lt;='Kitting Plan'!$C$3,"Rep "&amp;N1433,"Surplus"))</f>
        <v/>
      </c>
    </row>
    <row r="1434" customFormat="false" ht="15" hidden="false" customHeight="false" outlineLevel="0" collapsed="false">
      <c r="A1434" s="40" t="str">
        <f aca="false">IF(OR($A$4=0,INDEX('COOIS Raw'!$A:$GZ,ROW()-4,$A$4)=""),"",IFERROR(--INDEX('COOIS Raw'!$A:$GZ,ROW()-4,$A$4),INDEX('COOIS Raw'!$A:$GZ,ROW()-4,$A$4)))</f>
        <v/>
      </c>
      <c r="B1434" s="41" t="str">
        <f aca="false">IF(A1434="","",TRIM(INDEX('COOIS Raw'!$A:$GZ,ROW()-4,$B$4)))</f>
        <v/>
      </c>
      <c r="C1434" s="42" t="str">
        <f aca="false">IF(OR(A1434="",$C$4=0),"",INDEX('COOIS Raw'!$A:$GZ,ROW()-4,$C$4))</f>
        <v/>
      </c>
      <c r="D1434" s="41" t="str">
        <f aca="false">IF(A1434="","",IF($D$4=0,1,IFERROR(--INDEX('COOIS Raw'!$A:$GZ,ROW()-4,$D$4),1)))</f>
        <v/>
      </c>
      <c r="E1434" s="42" t="str">
        <f aca="false">IF(A1434="","",INDEX('COOIS Raw'!$A:$GZ,ROW()-4,$E$4)&amp;"")</f>
        <v/>
      </c>
      <c r="F1434" s="43" t="str">
        <f aca="false">IF(A1434="","",IFERROR(DATEVALUE(INDEX('COOIS Raw'!$A:$GZ,ROW()-4,$F$4)),INDEX('COOIS Raw'!$A:$GZ,ROW()-4,$F$4)))</f>
        <v/>
      </c>
      <c r="G1434" s="41" t="str">
        <f aca="false">IF(A1434="","",IF(ISNA(MATCH(B1434,'Kitting Plan'!$B$6:$B$19,0)),"Not in plan","Yes"))</f>
        <v/>
      </c>
      <c r="H1434" s="41" t="str">
        <f aca="false">IF(G1434="Yes",INDEX('Kitting Plan'!$D$6:$D$19,MATCH(B1434,'Kitting Plan'!$B$6:$B$19,0)),"")</f>
        <v/>
      </c>
      <c r="I1434" s="41" t="str">
        <f aca="false">IF(A1434="","",IF(ISNUMBER(SEARCH("PRT",E1434)),D1434,0))</f>
        <v/>
      </c>
      <c r="J1434" s="41" t="str">
        <f aca="false">IF(A1434="","",IF(ISNUMBER(SEARCH("GMPS",E1434)),D1434,0))</f>
        <v/>
      </c>
      <c r="K1434" s="41" t="str">
        <f aca="false">IF(A1434="","",IF(ISNUMBER(SEARCH("DLV",E1434)),D1434,0))</f>
        <v/>
      </c>
      <c r="L1434" s="41" t="str">
        <f aca="false">IF(A1434="","",IF(K1434&gt;0,"Delivered",IF(ISNUMBER(SEARCH("CNF",E1434)),"In production",IF(J1434&gt;0,"Issued",IF(I1434&gt;0,"Kitted","Released")))))</f>
        <v/>
      </c>
      <c r="M1434" s="41" t="str">
        <f aca="false">IF(G1434&lt;&gt;"Yes","",COUNTIFS($B$6:$B$1505,B1434,$F$6:$F$1505,"&lt;"&amp;F1434)+COUNTIFS($B$6:$B$1505,B1434,$F$6:$F$1505,F1434,$A$6:$A$1505,"&lt;="&amp;A1434))</f>
        <v/>
      </c>
      <c r="N1434" s="41" t="str">
        <f aca="false">IF(M1434="","",ROUNDUP(M1434/H1434,0))</f>
        <v/>
      </c>
      <c r="O1434" s="41" t="str">
        <f aca="false">IF(N1434="","",IF(N1434&lt;='Kitting Plan'!$C$3,"Rep "&amp;N1434,"Surplus"))</f>
        <v/>
      </c>
    </row>
    <row r="1435" customFormat="false" ht="15" hidden="false" customHeight="false" outlineLevel="0" collapsed="false">
      <c r="A1435" s="40" t="str">
        <f aca="false">IF(OR($A$4=0,INDEX('COOIS Raw'!$A:$GZ,ROW()-4,$A$4)=""),"",IFERROR(--INDEX('COOIS Raw'!$A:$GZ,ROW()-4,$A$4),INDEX('COOIS Raw'!$A:$GZ,ROW()-4,$A$4)))</f>
        <v/>
      </c>
      <c r="B1435" s="41" t="str">
        <f aca="false">IF(A1435="","",TRIM(INDEX('COOIS Raw'!$A:$GZ,ROW()-4,$B$4)))</f>
        <v/>
      </c>
      <c r="C1435" s="42" t="str">
        <f aca="false">IF(OR(A1435="",$C$4=0),"",INDEX('COOIS Raw'!$A:$GZ,ROW()-4,$C$4))</f>
        <v/>
      </c>
      <c r="D1435" s="41" t="str">
        <f aca="false">IF(A1435="","",IF($D$4=0,1,IFERROR(--INDEX('COOIS Raw'!$A:$GZ,ROW()-4,$D$4),1)))</f>
        <v/>
      </c>
      <c r="E1435" s="42" t="str">
        <f aca="false">IF(A1435="","",INDEX('COOIS Raw'!$A:$GZ,ROW()-4,$E$4)&amp;"")</f>
        <v/>
      </c>
      <c r="F1435" s="43" t="str">
        <f aca="false">IF(A1435="","",IFERROR(DATEVALUE(INDEX('COOIS Raw'!$A:$GZ,ROW()-4,$F$4)),INDEX('COOIS Raw'!$A:$GZ,ROW()-4,$F$4)))</f>
        <v/>
      </c>
      <c r="G1435" s="41" t="str">
        <f aca="false">IF(A1435="","",IF(ISNA(MATCH(B1435,'Kitting Plan'!$B$6:$B$19,0)),"Not in plan","Yes"))</f>
        <v/>
      </c>
      <c r="H1435" s="41" t="str">
        <f aca="false">IF(G1435="Yes",INDEX('Kitting Plan'!$D$6:$D$19,MATCH(B1435,'Kitting Plan'!$B$6:$B$19,0)),"")</f>
        <v/>
      </c>
      <c r="I1435" s="41" t="str">
        <f aca="false">IF(A1435="","",IF(ISNUMBER(SEARCH("PRT",E1435)),D1435,0))</f>
        <v/>
      </c>
      <c r="J1435" s="41" t="str">
        <f aca="false">IF(A1435="","",IF(ISNUMBER(SEARCH("GMPS",E1435)),D1435,0))</f>
        <v/>
      </c>
      <c r="K1435" s="41" t="str">
        <f aca="false">IF(A1435="","",IF(ISNUMBER(SEARCH("DLV",E1435)),D1435,0))</f>
        <v/>
      </c>
      <c r="L1435" s="41" t="str">
        <f aca="false">IF(A1435="","",IF(K1435&gt;0,"Delivered",IF(ISNUMBER(SEARCH("CNF",E1435)),"In production",IF(J1435&gt;0,"Issued",IF(I1435&gt;0,"Kitted","Released")))))</f>
        <v/>
      </c>
      <c r="M1435" s="41" t="str">
        <f aca="false">IF(G1435&lt;&gt;"Yes","",COUNTIFS($B$6:$B$1505,B1435,$F$6:$F$1505,"&lt;"&amp;F1435)+COUNTIFS($B$6:$B$1505,B1435,$F$6:$F$1505,F1435,$A$6:$A$1505,"&lt;="&amp;A1435))</f>
        <v/>
      </c>
      <c r="N1435" s="41" t="str">
        <f aca="false">IF(M1435="","",ROUNDUP(M1435/H1435,0))</f>
        <v/>
      </c>
      <c r="O1435" s="41" t="str">
        <f aca="false">IF(N1435="","",IF(N1435&lt;='Kitting Plan'!$C$3,"Rep "&amp;N1435,"Surplus"))</f>
        <v/>
      </c>
    </row>
    <row r="1436" customFormat="false" ht="15" hidden="false" customHeight="false" outlineLevel="0" collapsed="false">
      <c r="A1436" s="40" t="str">
        <f aca="false">IF(OR($A$4=0,INDEX('COOIS Raw'!$A:$GZ,ROW()-4,$A$4)=""),"",IFERROR(--INDEX('COOIS Raw'!$A:$GZ,ROW()-4,$A$4),INDEX('COOIS Raw'!$A:$GZ,ROW()-4,$A$4)))</f>
        <v/>
      </c>
      <c r="B1436" s="41" t="str">
        <f aca="false">IF(A1436="","",TRIM(INDEX('COOIS Raw'!$A:$GZ,ROW()-4,$B$4)))</f>
        <v/>
      </c>
      <c r="C1436" s="42" t="str">
        <f aca="false">IF(OR(A1436="",$C$4=0),"",INDEX('COOIS Raw'!$A:$GZ,ROW()-4,$C$4))</f>
        <v/>
      </c>
      <c r="D1436" s="41" t="str">
        <f aca="false">IF(A1436="","",IF($D$4=0,1,IFERROR(--INDEX('COOIS Raw'!$A:$GZ,ROW()-4,$D$4),1)))</f>
        <v/>
      </c>
      <c r="E1436" s="42" t="str">
        <f aca="false">IF(A1436="","",INDEX('COOIS Raw'!$A:$GZ,ROW()-4,$E$4)&amp;"")</f>
        <v/>
      </c>
      <c r="F1436" s="43" t="str">
        <f aca="false">IF(A1436="","",IFERROR(DATEVALUE(INDEX('COOIS Raw'!$A:$GZ,ROW()-4,$F$4)),INDEX('COOIS Raw'!$A:$GZ,ROW()-4,$F$4)))</f>
        <v/>
      </c>
      <c r="G1436" s="41" t="str">
        <f aca="false">IF(A1436="","",IF(ISNA(MATCH(B1436,'Kitting Plan'!$B$6:$B$19,0)),"Not in plan","Yes"))</f>
        <v/>
      </c>
      <c r="H1436" s="41" t="str">
        <f aca="false">IF(G1436="Yes",INDEX('Kitting Plan'!$D$6:$D$19,MATCH(B1436,'Kitting Plan'!$B$6:$B$19,0)),"")</f>
        <v/>
      </c>
      <c r="I1436" s="41" t="str">
        <f aca="false">IF(A1436="","",IF(ISNUMBER(SEARCH("PRT",E1436)),D1436,0))</f>
        <v/>
      </c>
      <c r="J1436" s="41" t="str">
        <f aca="false">IF(A1436="","",IF(ISNUMBER(SEARCH("GMPS",E1436)),D1436,0))</f>
        <v/>
      </c>
      <c r="K1436" s="41" t="str">
        <f aca="false">IF(A1436="","",IF(ISNUMBER(SEARCH("DLV",E1436)),D1436,0))</f>
        <v/>
      </c>
      <c r="L1436" s="41" t="str">
        <f aca="false">IF(A1436="","",IF(K1436&gt;0,"Delivered",IF(ISNUMBER(SEARCH("CNF",E1436)),"In production",IF(J1436&gt;0,"Issued",IF(I1436&gt;0,"Kitted","Released")))))</f>
        <v/>
      </c>
      <c r="M1436" s="41" t="str">
        <f aca="false">IF(G1436&lt;&gt;"Yes","",COUNTIFS($B$6:$B$1505,B1436,$F$6:$F$1505,"&lt;"&amp;F1436)+COUNTIFS($B$6:$B$1505,B1436,$F$6:$F$1505,F1436,$A$6:$A$1505,"&lt;="&amp;A1436))</f>
        <v/>
      </c>
      <c r="N1436" s="41" t="str">
        <f aca="false">IF(M1436="","",ROUNDUP(M1436/H1436,0))</f>
        <v/>
      </c>
      <c r="O1436" s="41" t="str">
        <f aca="false">IF(N1436="","",IF(N1436&lt;='Kitting Plan'!$C$3,"Rep "&amp;N1436,"Surplus"))</f>
        <v/>
      </c>
    </row>
    <row r="1437" customFormat="false" ht="15" hidden="false" customHeight="false" outlineLevel="0" collapsed="false">
      <c r="A1437" s="40" t="str">
        <f aca="false">IF(OR($A$4=0,INDEX('COOIS Raw'!$A:$GZ,ROW()-4,$A$4)=""),"",IFERROR(--INDEX('COOIS Raw'!$A:$GZ,ROW()-4,$A$4),INDEX('COOIS Raw'!$A:$GZ,ROW()-4,$A$4)))</f>
        <v/>
      </c>
      <c r="B1437" s="41" t="str">
        <f aca="false">IF(A1437="","",TRIM(INDEX('COOIS Raw'!$A:$GZ,ROW()-4,$B$4)))</f>
        <v/>
      </c>
      <c r="C1437" s="42" t="str">
        <f aca="false">IF(OR(A1437="",$C$4=0),"",INDEX('COOIS Raw'!$A:$GZ,ROW()-4,$C$4))</f>
        <v/>
      </c>
      <c r="D1437" s="41" t="str">
        <f aca="false">IF(A1437="","",IF($D$4=0,1,IFERROR(--INDEX('COOIS Raw'!$A:$GZ,ROW()-4,$D$4),1)))</f>
        <v/>
      </c>
      <c r="E1437" s="42" t="str">
        <f aca="false">IF(A1437="","",INDEX('COOIS Raw'!$A:$GZ,ROW()-4,$E$4)&amp;"")</f>
        <v/>
      </c>
      <c r="F1437" s="43" t="str">
        <f aca="false">IF(A1437="","",IFERROR(DATEVALUE(INDEX('COOIS Raw'!$A:$GZ,ROW()-4,$F$4)),INDEX('COOIS Raw'!$A:$GZ,ROW()-4,$F$4)))</f>
        <v/>
      </c>
      <c r="G1437" s="41" t="str">
        <f aca="false">IF(A1437="","",IF(ISNA(MATCH(B1437,'Kitting Plan'!$B$6:$B$19,0)),"Not in plan","Yes"))</f>
        <v/>
      </c>
      <c r="H1437" s="41" t="str">
        <f aca="false">IF(G1437="Yes",INDEX('Kitting Plan'!$D$6:$D$19,MATCH(B1437,'Kitting Plan'!$B$6:$B$19,0)),"")</f>
        <v/>
      </c>
      <c r="I1437" s="41" t="str">
        <f aca="false">IF(A1437="","",IF(ISNUMBER(SEARCH("PRT",E1437)),D1437,0))</f>
        <v/>
      </c>
      <c r="J1437" s="41" t="str">
        <f aca="false">IF(A1437="","",IF(ISNUMBER(SEARCH("GMPS",E1437)),D1437,0))</f>
        <v/>
      </c>
      <c r="K1437" s="41" t="str">
        <f aca="false">IF(A1437="","",IF(ISNUMBER(SEARCH("DLV",E1437)),D1437,0))</f>
        <v/>
      </c>
      <c r="L1437" s="41" t="str">
        <f aca="false">IF(A1437="","",IF(K1437&gt;0,"Delivered",IF(ISNUMBER(SEARCH("CNF",E1437)),"In production",IF(J1437&gt;0,"Issued",IF(I1437&gt;0,"Kitted","Released")))))</f>
        <v/>
      </c>
      <c r="M1437" s="41" t="str">
        <f aca="false">IF(G1437&lt;&gt;"Yes","",COUNTIFS($B$6:$B$1505,B1437,$F$6:$F$1505,"&lt;"&amp;F1437)+COUNTIFS($B$6:$B$1505,B1437,$F$6:$F$1505,F1437,$A$6:$A$1505,"&lt;="&amp;A1437))</f>
        <v/>
      </c>
      <c r="N1437" s="41" t="str">
        <f aca="false">IF(M1437="","",ROUNDUP(M1437/H1437,0))</f>
        <v/>
      </c>
      <c r="O1437" s="41" t="str">
        <f aca="false">IF(N1437="","",IF(N1437&lt;='Kitting Plan'!$C$3,"Rep "&amp;N1437,"Surplus"))</f>
        <v/>
      </c>
    </row>
    <row r="1438" customFormat="false" ht="15" hidden="false" customHeight="false" outlineLevel="0" collapsed="false">
      <c r="A1438" s="40" t="str">
        <f aca="false">IF(OR($A$4=0,INDEX('COOIS Raw'!$A:$GZ,ROW()-4,$A$4)=""),"",IFERROR(--INDEX('COOIS Raw'!$A:$GZ,ROW()-4,$A$4),INDEX('COOIS Raw'!$A:$GZ,ROW()-4,$A$4)))</f>
        <v/>
      </c>
      <c r="B1438" s="41" t="str">
        <f aca="false">IF(A1438="","",TRIM(INDEX('COOIS Raw'!$A:$GZ,ROW()-4,$B$4)))</f>
        <v/>
      </c>
      <c r="C1438" s="42" t="str">
        <f aca="false">IF(OR(A1438="",$C$4=0),"",INDEX('COOIS Raw'!$A:$GZ,ROW()-4,$C$4))</f>
        <v/>
      </c>
      <c r="D1438" s="41" t="str">
        <f aca="false">IF(A1438="","",IF($D$4=0,1,IFERROR(--INDEX('COOIS Raw'!$A:$GZ,ROW()-4,$D$4),1)))</f>
        <v/>
      </c>
      <c r="E1438" s="42" t="str">
        <f aca="false">IF(A1438="","",INDEX('COOIS Raw'!$A:$GZ,ROW()-4,$E$4)&amp;"")</f>
        <v/>
      </c>
      <c r="F1438" s="43" t="str">
        <f aca="false">IF(A1438="","",IFERROR(DATEVALUE(INDEX('COOIS Raw'!$A:$GZ,ROW()-4,$F$4)),INDEX('COOIS Raw'!$A:$GZ,ROW()-4,$F$4)))</f>
        <v/>
      </c>
      <c r="G1438" s="41" t="str">
        <f aca="false">IF(A1438="","",IF(ISNA(MATCH(B1438,'Kitting Plan'!$B$6:$B$19,0)),"Not in plan","Yes"))</f>
        <v/>
      </c>
      <c r="H1438" s="41" t="str">
        <f aca="false">IF(G1438="Yes",INDEX('Kitting Plan'!$D$6:$D$19,MATCH(B1438,'Kitting Plan'!$B$6:$B$19,0)),"")</f>
        <v/>
      </c>
      <c r="I1438" s="41" t="str">
        <f aca="false">IF(A1438="","",IF(ISNUMBER(SEARCH("PRT",E1438)),D1438,0))</f>
        <v/>
      </c>
      <c r="J1438" s="41" t="str">
        <f aca="false">IF(A1438="","",IF(ISNUMBER(SEARCH("GMPS",E1438)),D1438,0))</f>
        <v/>
      </c>
      <c r="K1438" s="41" t="str">
        <f aca="false">IF(A1438="","",IF(ISNUMBER(SEARCH("DLV",E1438)),D1438,0))</f>
        <v/>
      </c>
      <c r="L1438" s="41" t="str">
        <f aca="false">IF(A1438="","",IF(K1438&gt;0,"Delivered",IF(ISNUMBER(SEARCH("CNF",E1438)),"In production",IF(J1438&gt;0,"Issued",IF(I1438&gt;0,"Kitted","Released")))))</f>
        <v/>
      </c>
      <c r="M1438" s="41" t="str">
        <f aca="false">IF(G1438&lt;&gt;"Yes","",COUNTIFS($B$6:$B$1505,B1438,$F$6:$F$1505,"&lt;"&amp;F1438)+COUNTIFS($B$6:$B$1505,B1438,$F$6:$F$1505,F1438,$A$6:$A$1505,"&lt;="&amp;A1438))</f>
        <v/>
      </c>
      <c r="N1438" s="41" t="str">
        <f aca="false">IF(M1438="","",ROUNDUP(M1438/H1438,0))</f>
        <v/>
      </c>
      <c r="O1438" s="41" t="str">
        <f aca="false">IF(N1438="","",IF(N1438&lt;='Kitting Plan'!$C$3,"Rep "&amp;N1438,"Surplus"))</f>
        <v/>
      </c>
    </row>
    <row r="1439" customFormat="false" ht="15" hidden="false" customHeight="false" outlineLevel="0" collapsed="false">
      <c r="A1439" s="40" t="str">
        <f aca="false">IF(OR($A$4=0,INDEX('COOIS Raw'!$A:$GZ,ROW()-4,$A$4)=""),"",IFERROR(--INDEX('COOIS Raw'!$A:$GZ,ROW()-4,$A$4),INDEX('COOIS Raw'!$A:$GZ,ROW()-4,$A$4)))</f>
        <v/>
      </c>
      <c r="B1439" s="41" t="str">
        <f aca="false">IF(A1439="","",TRIM(INDEX('COOIS Raw'!$A:$GZ,ROW()-4,$B$4)))</f>
        <v/>
      </c>
      <c r="C1439" s="42" t="str">
        <f aca="false">IF(OR(A1439="",$C$4=0),"",INDEX('COOIS Raw'!$A:$GZ,ROW()-4,$C$4))</f>
        <v/>
      </c>
      <c r="D1439" s="41" t="str">
        <f aca="false">IF(A1439="","",IF($D$4=0,1,IFERROR(--INDEX('COOIS Raw'!$A:$GZ,ROW()-4,$D$4),1)))</f>
        <v/>
      </c>
      <c r="E1439" s="42" t="str">
        <f aca="false">IF(A1439="","",INDEX('COOIS Raw'!$A:$GZ,ROW()-4,$E$4)&amp;"")</f>
        <v/>
      </c>
      <c r="F1439" s="43" t="str">
        <f aca="false">IF(A1439="","",IFERROR(DATEVALUE(INDEX('COOIS Raw'!$A:$GZ,ROW()-4,$F$4)),INDEX('COOIS Raw'!$A:$GZ,ROW()-4,$F$4)))</f>
        <v/>
      </c>
      <c r="G1439" s="41" t="str">
        <f aca="false">IF(A1439="","",IF(ISNA(MATCH(B1439,'Kitting Plan'!$B$6:$B$19,0)),"Not in plan","Yes"))</f>
        <v/>
      </c>
      <c r="H1439" s="41" t="str">
        <f aca="false">IF(G1439="Yes",INDEX('Kitting Plan'!$D$6:$D$19,MATCH(B1439,'Kitting Plan'!$B$6:$B$19,0)),"")</f>
        <v/>
      </c>
      <c r="I1439" s="41" t="str">
        <f aca="false">IF(A1439="","",IF(ISNUMBER(SEARCH("PRT",E1439)),D1439,0))</f>
        <v/>
      </c>
      <c r="J1439" s="41" t="str">
        <f aca="false">IF(A1439="","",IF(ISNUMBER(SEARCH("GMPS",E1439)),D1439,0))</f>
        <v/>
      </c>
      <c r="K1439" s="41" t="str">
        <f aca="false">IF(A1439="","",IF(ISNUMBER(SEARCH("DLV",E1439)),D1439,0))</f>
        <v/>
      </c>
      <c r="L1439" s="41" t="str">
        <f aca="false">IF(A1439="","",IF(K1439&gt;0,"Delivered",IF(ISNUMBER(SEARCH("CNF",E1439)),"In production",IF(J1439&gt;0,"Issued",IF(I1439&gt;0,"Kitted","Released")))))</f>
        <v/>
      </c>
      <c r="M1439" s="41" t="str">
        <f aca="false">IF(G1439&lt;&gt;"Yes","",COUNTIFS($B$6:$B$1505,B1439,$F$6:$F$1505,"&lt;"&amp;F1439)+COUNTIFS($B$6:$B$1505,B1439,$F$6:$F$1505,F1439,$A$6:$A$1505,"&lt;="&amp;A1439))</f>
        <v/>
      </c>
      <c r="N1439" s="41" t="str">
        <f aca="false">IF(M1439="","",ROUNDUP(M1439/H1439,0))</f>
        <v/>
      </c>
      <c r="O1439" s="41" t="str">
        <f aca="false">IF(N1439="","",IF(N1439&lt;='Kitting Plan'!$C$3,"Rep "&amp;N1439,"Surplus"))</f>
        <v/>
      </c>
    </row>
    <row r="1440" customFormat="false" ht="15" hidden="false" customHeight="false" outlineLevel="0" collapsed="false">
      <c r="A1440" s="40" t="str">
        <f aca="false">IF(OR($A$4=0,INDEX('COOIS Raw'!$A:$GZ,ROW()-4,$A$4)=""),"",IFERROR(--INDEX('COOIS Raw'!$A:$GZ,ROW()-4,$A$4),INDEX('COOIS Raw'!$A:$GZ,ROW()-4,$A$4)))</f>
        <v/>
      </c>
      <c r="B1440" s="41" t="str">
        <f aca="false">IF(A1440="","",TRIM(INDEX('COOIS Raw'!$A:$GZ,ROW()-4,$B$4)))</f>
        <v/>
      </c>
      <c r="C1440" s="42" t="str">
        <f aca="false">IF(OR(A1440="",$C$4=0),"",INDEX('COOIS Raw'!$A:$GZ,ROW()-4,$C$4))</f>
        <v/>
      </c>
      <c r="D1440" s="41" t="str">
        <f aca="false">IF(A1440="","",IF($D$4=0,1,IFERROR(--INDEX('COOIS Raw'!$A:$GZ,ROW()-4,$D$4),1)))</f>
        <v/>
      </c>
      <c r="E1440" s="42" t="str">
        <f aca="false">IF(A1440="","",INDEX('COOIS Raw'!$A:$GZ,ROW()-4,$E$4)&amp;"")</f>
        <v/>
      </c>
      <c r="F1440" s="43" t="str">
        <f aca="false">IF(A1440="","",IFERROR(DATEVALUE(INDEX('COOIS Raw'!$A:$GZ,ROW()-4,$F$4)),INDEX('COOIS Raw'!$A:$GZ,ROW()-4,$F$4)))</f>
        <v/>
      </c>
      <c r="G1440" s="41" t="str">
        <f aca="false">IF(A1440="","",IF(ISNA(MATCH(B1440,'Kitting Plan'!$B$6:$B$19,0)),"Not in plan","Yes"))</f>
        <v/>
      </c>
      <c r="H1440" s="41" t="str">
        <f aca="false">IF(G1440="Yes",INDEX('Kitting Plan'!$D$6:$D$19,MATCH(B1440,'Kitting Plan'!$B$6:$B$19,0)),"")</f>
        <v/>
      </c>
      <c r="I1440" s="41" t="str">
        <f aca="false">IF(A1440="","",IF(ISNUMBER(SEARCH("PRT",E1440)),D1440,0))</f>
        <v/>
      </c>
      <c r="J1440" s="41" t="str">
        <f aca="false">IF(A1440="","",IF(ISNUMBER(SEARCH("GMPS",E1440)),D1440,0))</f>
        <v/>
      </c>
      <c r="K1440" s="41" t="str">
        <f aca="false">IF(A1440="","",IF(ISNUMBER(SEARCH("DLV",E1440)),D1440,0))</f>
        <v/>
      </c>
      <c r="L1440" s="41" t="str">
        <f aca="false">IF(A1440="","",IF(K1440&gt;0,"Delivered",IF(ISNUMBER(SEARCH("CNF",E1440)),"In production",IF(J1440&gt;0,"Issued",IF(I1440&gt;0,"Kitted","Released")))))</f>
        <v/>
      </c>
      <c r="M1440" s="41" t="str">
        <f aca="false">IF(G1440&lt;&gt;"Yes","",COUNTIFS($B$6:$B$1505,B1440,$F$6:$F$1505,"&lt;"&amp;F1440)+COUNTIFS($B$6:$B$1505,B1440,$F$6:$F$1505,F1440,$A$6:$A$1505,"&lt;="&amp;A1440))</f>
        <v/>
      </c>
      <c r="N1440" s="41" t="str">
        <f aca="false">IF(M1440="","",ROUNDUP(M1440/H1440,0))</f>
        <v/>
      </c>
      <c r="O1440" s="41" t="str">
        <f aca="false">IF(N1440="","",IF(N1440&lt;='Kitting Plan'!$C$3,"Rep "&amp;N1440,"Surplus"))</f>
        <v/>
      </c>
    </row>
    <row r="1441" customFormat="false" ht="15" hidden="false" customHeight="false" outlineLevel="0" collapsed="false">
      <c r="A1441" s="40" t="str">
        <f aca="false">IF(OR($A$4=0,INDEX('COOIS Raw'!$A:$GZ,ROW()-4,$A$4)=""),"",IFERROR(--INDEX('COOIS Raw'!$A:$GZ,ROW()-4,$A$4),INDEX('COOIS Raw'!$A:$GZ,ROW()-4,$A$4)))</f>
        <v/>
      </c>
      <c r="B1441" s="41" t="str">
        <f aca="false">IF(A1441="","",TRIM(INDEX('COOIS Raw'!$A:$GZ,ROW()-4,$B$4)))</f>
        <v/>
      </c>
      <c r="C1441" s="42" t="str">
        <f aca="false">IF(OR(A1441="",$C$4=0),"",INDEX('COOIS Raw'!$A:$GZ,ROW()-4,$C$4))</f>
        <v/>
      </c>
      <c r="D1441" s="41" t="str">
        <f aca="false">IF(A1441="","",IF($D$4=0,1,IFERROR(--INDEX('COOIS Raw'!$A:$GZ,ROW()-4,$D$4),1)))</f>
        <v/>
      </c>
      <c r="E1441" s="42" t="str">
        <f aca="false">IF(A1441="","",INDEX('COOIS Raw'!$A:$GZ,ROW()-4,$E$4)&amp;"")</f>
        <v/>
      </c>
      <c r="F1441" s="43" t="str">
        <f aca="false">IF(A1441="","",IFERROR(DATEVALUE(INDEX('COOIS Raw'!$A:$GZ,ROW()-4,$F$4)),INDEX('COOIS Raw'!$A:$GZ,ROW()-4,$F$4)))</f>
        <v/>
      </c>
      <c r="G1441" s="41" t="str">
        <f aca="false">IF(A1441="","",IF(ISNA(MATCH(B1441,'Kitting Plan'!$B$6:$B$19,0)),"Not in plan","Yes"))</f>
        <v/>
      </c>
      <c r="H1441" s="41" t="str">
        <f aca="false">IF(G1441="Yes",INDEX('Kitting Plan'!$D$6:$D$19,MATCH(B1441,'Kitting Plan'!$B$6:$B$19,0)),"")</f>
        <v/>
      </c>
      <c r="I1441" s="41" t="str">
        <f aca="false">IF(A1441="","",IF(ISNUMBER(SEARCH("PRT",E1441)),D1441,0))</f>
        <v/>
      </c>
      <c r="J1441" s="41" t="str">
        <f aca="false">IF(A1441="","",IF(ISNUMBER(SEARCH("GMPS",E1441)),D1441,0))</f>
        <v/>
      </c>
      <c r="K1441" s="41" t="str">
        <f aca="false">IF(A1441="","",IF(ISNUMBER(SEARCH("DLV",E1441)),D1441,0))</f>
        <v/>
      </c>
      <c r="L1441" s="41" t="str">
        <f aca="false">IF(A1441="","",IF(K1441&gt;0,"Delivered",IF(ISNUMBER(SEARCH("CNF",E1441)),"In production",IF(J1441&gt;0,"Issued",IF(I1441&gt;0,"Kitted","Released")))))</f>
        <v/>
      </c>
      <c r="M1441" s="41" t="str">
        <f aca="false">IF(G1441&lt;&gt;"Yes","",COUNTIFS($B$6:$B$1505,B1441,$F$6:$F$1505,"&lt;"&amp;F1441)+COUNTIFS($B$6:$B$1505,B1441,$F$6:$F$1505,F1441,$A$6:$A$1505,"&lt;="&amp;A1441))</f>
        <v/>
      </c>
      <c r="N1441" s="41" t="str">
        <f aca="false">IF(M1441="","",ROUNDUP(M1441/H1441,0))</f>
        <v/>
      </c>
      <c r="O1441" s="41" t="str">
        <f aca="false">IF(N1441="","",IF(N1441&lt;='Kitting Plan'!$C$3,"Rep "&amp;N1441,"Surplus"))</f>
        <v/>
      </c>
    </row>
    <row r="1442" customFormat="false" ht="15" hidden="false" customHeight="false" outlineLevel="0" collapsed="false">
      <c r="A1442" s="40" t="str">
        <f aca="false">IF(OR($A$4=0,INDEX('COOIS Raw'!$A:$GZ,ROW()-4,$A$4)=""),"",IFERROR(--INDEX('COOIS Raw'!$A:$GZ,ROW()-4,$A$4),INDEX('COOIS Raw'!$A:$GZ,ROW()-4,$A$4)))</f>
        <v/>
      </c>
      <c r="B1442" s="41" t="str">
        <f aca="false">IF(A1442="","",TRIM(INDEX('COOIS Raw'!$A:$GZ,ROW()-4,$B$4)))</f>
        <v/>
      </c>
      <c r="C1442" s="42" t="str">
        <f aca="false">IF(OR(A1442="",$C$4=0),"",INDEX('COOIS Raw'!$A:$GZ,ROW()-4,$C$4))</f>
        <v/>
      </c>
      <c r="D1442" s="41" t="str">
        <f aca="false">IF(A1442="","",IF($D$4=0,1,IFERROR(--INDEX('COOIS Raw'!$A:$GZ,ROW()-4,$D$4),1)))</f>
        <v/>
      </c>
      <c r="E1442" s="42" t="str">
        <f aca="false">IF(A1442="","",INDEX('COOIS Raw'!$A:$GZ,ROW()-4,$E$4)&amp;"")</f>
        <v/>
      </c>
      <c r="F1442" s="43" t="str">
        <f aca="false">IF(A1442="","",IFERROR(DATEVALUE(INDEX('COOIS Raw'!$A:$GZ,ROW()-4,$F$4)),INDEX('COOIS Raw'!$A:$GZ,ROW()-4,$F$4)))</f>
        <v/>
      </c>
      <c r="G1442" s="41" t="str">
        <f aca="false">IF(A1442="","",IF(ISNA(MATCH(B1442,'Kitting Plan'!$B$6:$B$19,0)),"Not in plan","Yes"))</f>
        <v/>
      </c>
      <c r="H1442" s="41" t="str">
        <f aca="false">IF(G1442="Yes",INDEX('Kitting Plan'!$D$6:$D$19,MATCH(B1442,'Kitting Plan'!$B$6:$B$19,0)),"")</f>
        <v/>
      </c>
      <c r="I1442" s="41" t="str">
        <f aca="false">IF(A1442="","",IF(ISNUMBER(SEARCH("PRT",E1442)),D1442,0))</f>
        <v/>
      </c>
      <c r="J1442" s="41" t="str">
        <f aca="false">IF(A1442="","",IF(ISNUMBER(SEARCH("GMPS",E1442)),D1442,0))</f>
        <v/>
      </c>
      <c r="K1442" s="41" t="str">
        <f aca="false">IF(A1442="","",IF(ISNUMBER(SEARCH("DLV",E1442)),D1442,0))</f>
        <v/>
      </c>
      <c r="L1442" s="41" t="str">
        <f aca="false">IF(A1442="","",IF(K1442&gt;0,"Delivered",IF(ISNUMBER(SEARCH("CNF",E1442)),"In production",IF(J1442&gt;0,"Issued",IF(I1442&gt;0,"Kitted","Released")))))</f>
        <v/>
      </c>
      <c r="M1442" s="41" t="str">
        <f aca="false">IF(G1442&lt;&gt;"Yes","",COUNTIFS($B$6:$B$1505,B1442,$F$6:$F$1505,"&lt;"&amp;F1442)+COUNTIFS($B$6:$B$1505,B1442,$F$6:$F$1505,F1442,$A$6:$A$1505,"&lt;="&amp;A1442))</f>
        <v/>
      </c>
      <c r="N1442" s="41" t="str">
        <f aca="false">IF(M1442="","",ROUNDUP(M1442/H1442,0))</f>
        <v/>
      </c>
      <c r="O1442" s="41" t="str">
        <f aca="false">IF(N1442="","",IF(N1442&lt;='Kitting Plan'!$C$3,"Rep "&amp;N1442,"Surplus"))</f>
        <v/>
      </c>
    </row>
    <row r="1443" customFormat="false" ht="15" hidden="false" customHeight="false" outlineLevel="0" collapsed="false">
      <c r="A1443" s="40" t="str">
        <f aca="false">IF(OR($A$4=0,INDEX('COOIS Raw'!$A:$GZ,ROW()-4,$A$4)=""),"",IFERROR(--INDEX('COOIS Raw'!$A:$GZ,ROW()-4,$A$4),INDEX('COOIS Raw'!$A:$GZ,ROW()-4,$A$4)))</f>
        <v/>
      </c>
      <c r="B1443" s="41" t="str">
        <f aca="false">IF(A1443="","",TRIM(INDEX('COOIS Raw'!$A:$GZ,ROW()-4,$B$4)))</f>
        <v/>
      </c>
      <c r="C1443" s="42" t="str">
        <f aca="false">IF(OR(A1443="",$C$4=0),"",INDEX('COOIS Raw'!$A:$GZ,ROW()-4,$C$4))</f>
        <v/>
      </c>
      <c r="D1443" s="41" t="str">
        <f aca="false">IF(A1443="","",IF($D$4=0,1,IFERROR(--INDEX('COOIS Raw'!$A:$GZ,ROW()-4,$D$4),1)))</f>
        <v/>
      </c>
      <c r="E1443" s="42" t="str">
        <f aca="false">IF(A1443="","",INDEX('COOIS Raw'!$A:$GZ,ROW()-4,$E$4)&amp;"")</f>
        <v/>
      </c>
      <c r="F1443" s="43" t="str">
        <f aca="false">IF(A1443="","",IFERROR(DATEVALUE(INDEX('COOIS Raw'!$A:$GZ,ROW()-4,$F$4)),INDEX('COOIS Raw'!$A:$GZ,ROW()-4,$F$4)))</f>
        <v/>
      </c>
      <c r="G1443" s="41" t="str">
        <f aca="false">IF(A1443="","",IF(ISNA(MATCH(B1443,'Kitting Plan'!$B$6:$B$19,0)),"Not in plan","Yes"))</f>
        <v/>
      </c>
      <c r="H1443" s="41" t="str">
        <f aca="false">IF(G1443="Yes",INDEX('Kitting Plan'!$D$6:$D$19,MATCH(B1443,'Kitting Plan'!$B$6:$B$19,0)),"")</f>
        <v/>
      </c>
      <c r="I1443" s="41" t="str">
        <f aca="false">IF(A1443="","",IF(ISNUMBER(SEARCH("PRT",E1443)),D1443,0))</f>
        <v/>
      </c>
      <c r="J1443" s="41" t="str">
        <f aca="false">IF(A1443="","",IF(ISNUMBER(SEARCH("GMPS",E1443)),D1443,0))</f>
        <v/>
      </c>
      <c r="K1443" s="41" t="str">
        <f aca="false">IF(A1443="","",IF(ISNUMBER(SEARCH("DLV",E1443)),D1443,0))</f>
        <v/>
      </c>
      <c r="L1443" s="41" t="str">
        <f aca="false">IF(A1443="","",IF(K1443&gt;0,"Delivered",IF(ISNUMBER(SEARCH("CNF",E1443)),"In production",IF(J1443&gt;0,"Issued",IF(I1443&gt;0,"Kitted","Released")))))</f>
        <v/>
      </c>
      <c r="M1443" s="41" t="str">
        <f aca="false">IF(G1443&lt;&gt;"Yes","",COUNTIFS($B$6:$B$1505,B1443,$F$6:$F$1505,"&lt;"&amp;F1443)+COUNTIFS($B$6:$B$1505,B1443,$F$6:$F$1505,F1443,$A$6:$A$1505,"&lt;="&amp;A1443))</f>
        <v/>
      </c>
      <c r="N1443" s="41" t="str">
        <f aca="false">IF(M1443="","",ROUNDUP(M1443/H1443,0))</f>
        <v/>
      </c>
      <c r="O1443" s="41" t="str">
        <f aca="false">IF(N1443="","",IF(N1443&lt;='Kitting Plan'!$C$3,"Rep "&amp;N1443,"Surplus"))</f>
        <v/>
      </c>
    </row>
    <row r="1444" customFormat="false" ht="15" hidden="false" customHeight="false" outlineLevel="0" collapsed="false">
      <c r="A1444" s="40" t="str">
        <f aca="false">IF(OR($A$4=0,INDEX('COOIS Raw'!$A:$GZ,ROW()-4,$A$4)=""),"",IFERROR(--INDEX('COOIS Raw'!$A:$GZ,ROW()-4,$A$4),INDEX('COOIS Raw'!$A:$GZ,ROW()-4,$A$4)))</f>
        <v/>
      </c>
      <c r="B1444" s="41" t="str">
        <f aca="false">IF(A1444="","",TRIM(INDEX('COOIS Raw'!$A:$GZ,ROW()-4,$B$4)))</f>
        <v/>
      </c>
      <c r="C1444" s="42" t="str">
        <f aca="false">IF(OR(A1444="",$C$4=0),"",INDEX('COOIS Raw'!$A:$GZ,ROW()-4,$C$4))</f>
        <v/>
      </c>
      <c r="D1444" s="41" t="str">
        <f aca="false">IF(A1444="","",IF($D$4=0,1,IFERROR(--INDEX('COOIS Raw'!$A:$GZ,ROW()-4,$D$4),1)))</f>
        <v/>
      </c>
      <c r="E1444" s="42" t="str">
        <f aca="false">IF(A1444="","",INDEX('COOIS Raw'!$A:$GZ,ROW()-4,$E$4)&amp;"")</f>
        <v/>
      </c>
      <c r="F1444" s="43" t="str">
        <f aca="false">IF(A1444="","",IFERROR(DATEVALUE(INDEX('COOIS Raw'!$A:$GZ,ROW()-4,$F$4)),INDEX('COOIS Raw'!$A:$GZ,ROW()-4,$F$4)))</f>
        <v/>
      </c>
      <c r="G1444" s="41" t="str">
        <f aca="false">IF(A1444="","",IF(ISNA(MATCH(B1444,'Kitting Plan'!$B$6:$B$19,0)),"Not in plan","Yes"))</f>
        <v/>
      </c>
      <c r="H1444" s="41" t="str">
        <f aca="false">IF(G1444="Yes",INDEX('Kitting Plan'!$D$6:$D$19,MATCH(B1444,'Kitting Plan'!$B$6:$B$19,0)),"")</f>
        <v/>
      </c>
      <c r="I1444" s="41" t="str">
        <f aca="false">IF(A1444="","",IF(ISNUMBER(SEARCH("PRT",E1444)),D1444,0))</f>
        <v/>
      </c>
      <c r="J1444" s="41" t="str">
        <f aca="false">IF(A1444="","",IF(ISNUMBER(SEARCH("GMPS",E1444)),D1444,0))</f>
        <v/>
      </c>
      <c r="K1444" s="41" t="str">
        <f aca="false">IF(A1444="","",IF(ISNUMBER(SEARCH("DLV",E1444)),D1444,0))</f>
        <v/>
      </c>
      <c r="L1444" s="41" t="str">
        <f aca="false">IF(A1444="","",IF(K1444&gt;0,"Delivered",IF(ISNUMBER(SEARCH("CNF",E1444)),"In production",IF(J1444&gt;0,"Issued",IF(I1444&gt;0,"Kitted","Released")))))</f>
        <v/>
      </c>
      <c r="M1444" s="41" t="str">
        <f aca="false">IF(G1444&lt;&gt;"Yes","",COUNTIFS($B$6:$B$1505,B1444,$F$6:$F$1505,"&lt;"&amp;F1444)+COUNTIFS($B$6:$B$1505,B1444,$F$6:$F$1505,F1444,$A$6:$A$1505,"&lt;="&amp;A1444))</f>
        <v/>
      </c>
      <c r="N1444" s="41" t="str">
        <f aca="false">IF(M1444="","",ROUNDUP(M1444/H1444,0))</f>
        <v/>
      </c>
      <c r="O1444" s="41" t="str">
        <f aca="false">IF(N1444="","",IF(N1444&lt;='Kitting Plan'!$C$3,"Rep "&amp;N1444,"Surplus"))</f>
        <v/>
      </c>
    </row>
    <row r="1445" customFormat="false" ht="15" hidden="false" customHeight="false" outlineLevel="0" collapsed="false">
      <c r="A1445" s="40" t="str">
        <f aca="false">IF(OR($A$4=0,INDEX('COOIS Raw'!$A:$GZ,ROW()-4,$A$4)=""),"",IFERROR(--INDEX('COOIS Raw'!$A:$GZ,ROW()-4,$A$4),INDEX('COOIS Raw'!$A:$GZ,ROW()-4,$A$4)))</f>
        <v/>
      </c>
      <c r="B1445" s="41" t="str">
        <f aca="false">IF(A1445="","",TRIM(INDEX('COOIS Raw'!$A:$GZ,ROW()-4,$B$4)))</f>
        <v/>
      </c>
      <c r="C1445" s="42" t="str">
        <f aca="false">IF(OR(A1445="",$C$4=0),"",INDEX('COOIS Raw'!$A:$GZ,ROW()-4,$C$4))</f>
        <v/>
      </c>
      <c r="D1445" s="41" t="str">
        <f aca="false">IF(A1445="","",IF($D$4=0,1,IFERROR(--INDEX('COOIS Raw'!$A:$GZ,ROW()-4,$D$4),1)))</f>
        <v/>
      </c>
      <c r="E1445" s="42" t="str">
        <f aca="false">IF(A1445="","",INDEX('COOIS Raw'!$A:$GZ,ROW()-4,$E$4)&amp;"")</f>
        <v/>
      </c>
      <c r="F1445" s="43" t="str">
        <f aca="false">IF(A1445="","",IFERROR(DATEVALUE(INDEX('COOIS Raw'!$A:$GZ,ROW()-4,$F$4)),INDEX('COOIS Raw'!$A:$GZ,ROW()-4,$F$4)))</f>
        <v/>
      </c>
      <c r="G1445" s="41" t="str">
        <f aca="false">IF(A1445="","",IF(ISNA(MATCH(B1445,'Kitting Plan'!$B$6:$B$19,0)),"Not in plan","Yes"))</f>
        <v/>
      </c>
      <c r="H1445" s="41" t="str">
        <f aca="false">IF(G1445="Yes",INDEX('Kitting Plan'!$D$6:$D$19,MATCH(B1445,'Kitting Plan'!$B$6:$B$19,0)),"")</f>
        <v/>
      </c>
      <c r="I1445" s="41" t="str">
        <f aca="false">IF(A1445="","",IF(ISNUMBER(SEARCH("PRT",E1445)),D1445,0))</f>
        <v/>
      </c>
      <c r="J1445" s="41" t="str">
        <f aca="false">IF(A1445="","",IF(ISNUMBER(SEARCH("GMPS",E1445)),D1445,0))</f>
        <v/>
      </c>
      <c r="K1445" s="41" t="str">
        <f aca="false">IF(A1445="","",IF(ISNUMBER(SEARCH("DLV",E1445)),D1445,0))</f>
        <v/>
      </c>
      <c r="L1445" s="41" t="str">
        <f aca="false">IF(A1445="","",IF(K1445&gt;0,"Delivered",IF(ISNUMBER(SEARCH("CNF",E1445)),"In production",IF(J1445&gt;0,"Issued",IF(I1445&gt;0,"Kitted","Released")))))</f>
        <v/>
      </c>
      <c r="M1445" s="41" t="str">
        <f aca="false">IF(G1445&lt;&gt;"Yes","",COUNTIFS($B$6:$B$1505,B1445,$F$6:$F$1505,"&lt;"&amp;F1445)+COUNTIFS($B$6:$B$1505,B1445,$F$6:$F$1505,F1445,$A$6:$A$1505,"&lt;="&amp;A1445))</f>
        <v/>
      </c>
      <c r="N1445" s="41" t="str">
        <f aca="false">IF(M1445="","",ROUNDUP(M1445/H1445,0))</f>
        <v/>
      </c>
      <c r="O1445" s="41" t="str">
        <f aca="false">IF(N1445="","",IF(N1445&lt;='Kitting Plan'!$C$3,"Rep "&amp;N1445,"Surplus"))</f>
        <v/>
      </c>
    </row>
    <row r="1446" customFormat="false" ht="15" hidden="false" customHeight="false" outlineLevel="0" collapsed="false">
      <c r="A1446" s="40" t="str">
        <f aca="false">IF(OR($A$4=0,INDEX('COOIS Raw'!$A:$GZ,ROW()-4,$A$4)=""),"",IFERROR(--INDEX('COOIS Raw'!$A:$GZ,ROW()-4,$A$4),INDEX('COOIS Raw'!$A:$GZ,ROW()-4,$A$4)))</f>
        <v/>
      </c>
      <c r="B1446" s="41" t="str">
        <f aca="false">IF(A1446="","",TRIM(INDEX('COOIS Raw'!$A:$GZ,ROW()-4,$B$4)))</f>
        <v/>
      </c>
      <c r="C1446" s="42" t="str">
        <f aca="false">IF(OR(A1446="",$C$4=0),"",INDEX('COOIS Raw'!$A:$GZ,ROW()-4,$C$4))</f>
        <v/>
      </c>
      <c r="D1446" s="41" t="str">
        <f aca="false">IF(A1446="","",IF($D$4=0,1,IFERROR(--INDEX('COOIS Raw'!$A:$GZ,ROW()-4,$D$4),1)))</f>
        <v/>
      </c>
      <c r="E1446" s="42" t="str">
        <f aca="false">IF(A1446="","",INDEX('COOIS Raw'!$A:$GZ,ROW()-4,$E$4)&amp;"")</f>
        <v/>
      </c>
      <c r="F1446" s="43" t="str">
        <f aca="false">IF(A1446="","",IFERROR(DATEVALUE(INDEX('COOIS Raw'!$A:$GZ,ROW()-4,$F$4)),INDEX('COOIS Raw'!$A:$GZ,ROW()-4,$F$4)))</f>
        <v/>
      </c>
      <c r="G1446" s="41" t="str">
        <f aca="false">IF(A1446="","",IF(ISNA(MATCH(B1446,'Kitting Plan'!$B$6:$B$19,0)),"Not in plan","Yes"))</f>
        <v/>
      </c>
      <c r="H1446" s="41" t="str">
        <f aca="false">IF(G1446="Yes",INDEX('Kitting Plan'!$D$6:$D$19,MATCH(B1446,'Kitting Plan'!$B$6:$B$19,0)),"")</f>
        <v/>
      </c>
      <c r="I1446" s="41" t="str">
        <f aca="false">IF(A1446="","",IF(ISNUMBER(SEARCH("PRT",E1446)),D1446,0))</f>
        <v/>
      </c>
      <c r="J1446" s="41" t="str">
        <f aca="false">IF(A1446="","",IF(ISNUMBER(SEARCH("GMPS",E1446)),D1446,0))</f>
        <v/>
      </c>
      <c r="K1446" s="41" t="str">
        <f aca="false">IF(A1446="","",IF(ISNUMBER(SEARCH("DLV",E1446)),D1446,0))</f>
        <v/>
      </c>
      <c r="L1446" s="41" t="str">
        <f aca="false">IF(A1446="","",IF(K1446&gt;0,"Delivered",IF(ISNUMBER(SEARCH("CNF",E1446)),"In production",IF(J1446&gt;0,"Issued",IF(I1446&gt;0,"Kitted","Released")))))</f>
        <v/>
      </c>
      <c r="M1446" s="41" t="str">
        <f aca="false">IF(G1446&lt;&gt;"Yes","",COUNTIFS($B$6:$B$1505,B1446,$F$6:$F$1505,"&lt;"&amp;F1446)+COUNTIFS($B$6:$B$1505,B1446,$F$6:$F$1505,F1446,$A$6:$A$1505,"&lt;="&amp;A1446))</f>
        <v/>
      </c>
      <c r="N1446" s="41" t="str">
        <f aca="false">IF(M1446="","",ROUNDUP(M1446/H1446,0))</f>
        <v/>
      </c>
      <c r="O1446" s="41" t="str">
        <f aca="false">IF(N1446="","",IF(N1446&lt;='Kitting Plan'!$C$3,"Rep "&amp;N1446,"Surplus"))</f>
        <v/>
      </c>
    </row>
    <row r="1447" customFormat="false" ht="15" hidden="false" customHeight="false" outlineLevel="0" collapsed="false">
      <c r="A1447" s="40" t="str">
        <f aca="false">IF(OR($A$4=0,INDEX('COOIS Raw'!$A:$GZ,ROW()-4,$A$4)=""),"",IFERROR(--INDEX('COOIS Raw'!$A:$GZ,ROW()-4,$A$4),INDEX('COOIS Raw'!$A:$GZ,ROW()-4,$A$4)))</f>
        <v/>
      </c>
      <c r="B1447" s="41" t="str">
        <f aca="false">IF(A1447="","",TRIM(INDEX('COOIS Raw'!$A:$GZ,ROW()-4,$B$4)))</f>
        <v/>
      </c>
      <c r="C1447" s="42" t="str">
        <f aca="false">IF(OR(A1447="",$C$4=0),"",INDEX('COOIS Raw'!$A:$GZ,ROW()-4,$C$4))</f>
        <v/>
      </c>
      <c r="D1447" s="41" t="str">
        <f aca="false">IF(A1447="","",IF($D$4=0,1,IFERROR(--INDEX('COOIS Raw'!$A:$GZ,ROW()-4,$D$4),1)))</f>
        <v/>
      </c>
      <c r="E1447" s="42" t="str">
        <f aca="false">IF(A1447="","",INDEX('COOIS Raw'!$A:$GZ,ROW()-4,$E$4)&amp;"")</f>
        <v/>
      </c>
      <c r="F1447" s="43" t="str">
        <f aca="false">IF(A1447="","",IFERROR(DATEVALUE(INDEX('COOIS Raw'!$A:$GZ,ROW()-4,$F$4)),INDEX('COOIS Raw'!$A:$GZ,ROW()-4,$F$4)))</f>
        <v/>
      </c>
      <c r="G1447" s="41" t="str">
        <f aca="false">IF(A1447="","",IF(ISNA(MATCH(B1447,'Kitting Plan'!$B$6:$B$19,0)),"Not in plan","Yes"))</f>
        <v/>
      </c>
      <c r="H1447" s="41" t="str">
        <f aca="false">IF(G1447="Yes",INDEX('Kitting Plan'!$D$6:$D$19,MATCH(B1447,'Kitting Plan'!$B$6:$B$19,0)),"")</f>
        <v/>
      </c>
      <c r="I1447" s="41" t="str">
        <f aca="false">IF(A1447="","",IF(ISNUMBER(SEARCH("PRT",E1447)),D1447,0))</f>
        <v/>
      </c>
      <c r="J1447" s="41" t="str">
        <f aca="false">IF(A1447="","",IF(ISNUMBER(SEARCH("GMPS",E1447)),D1447,0))</f>
        <v/>
      </c>
      <c r="K1447" s="41" t="str">
        <f aca="false">IF(A1447="","",IF(ISNUMBER(SEARCH("DLV",E1447)),D1447,0))</f>
        <v/>
      </c>
      <c r="L1447" s="41" t="str">
        <f aca="false">IF(A1447="","",IF(K1447&gt;0,"Delivered",IF(ISNUMBER(SEARCH("CNF",E1447)),"In production",IF(J1447&gt;0,"Issued",IF(I1447&gt;0,"Kitted","Released")))))</f>
        <v/>
      </c>
      <c r="M1447" s="41" t="str">
        <f aca="false">IF(G1447&lt;&gt;"Yes","",COUNTIFS($B$6:$B$1505,B1447,$F$6:$F$1505,"&lt;"&amp;F1447)+COUNTIFS($B$6:$B$1505,B1447,$F$6:$F$1505,F1447,$A$6:$A$1505,"&lt;="&amp;A1447))</f>
        <v/>
      </c>
      <c r="N1447" s="41" t="str">
        <f aca="false">IF(M1447="","",ROUNDUP(M1447/H1447,0))</f>
        <v/>
      </c>
      <c r="O1447" s="41" t="str">
        <f aca="false">IF(N1447="","",IF(N1447&lt;='Kitting Plan'!$C$3,"Rep "&amp;N1447,"Surplus"))</f>
        <v/>
      </c>
    </row>
    <row r="1448" customFormat="false" ht="15" hidden="false" customHeight="false" outlineLevel="0" collapsed="false">
      <c r="A1448" s="40" t="str">
        <f aca="false">IF(OR($A$4=0,INDEX('COOIS Raw'!$A:$GZ,ROW()-4,$A$4)=""),"",IFERROR(--INDEX('COOIS Raw'!$A:$GZ,ROW()-4,$A$4),INDEX('COOIS Raw'!$A:$GZ,ROW()-4,$A$4)))</f>
        <v/>
      </c>
      <c r="B1448" s="41" t="str">
        <f aca="false">IF(A1448="","",TRIM(INDEX('COOIS Raw'!$A:$GZ,ROW()-4,$B$4)))</f>
        <v/>
      </c>
      <c r="C1448" s="42" t="str">
        <f aca="false">IF(OR(A1448="",$C$4=0),"",INDEX('COOIS Raw'!$A:$GZ,ROW()-4,$C$4))</f>
        <v/>
      </c>
      <c r="D1448" s="41" t="str">
        <f aca="false">IF(A1448="","",IF($D$4=0,1,IFERROR(--INDEX('COOIS Raw'!$A:$GZ,ROW()-4,$D$4),1)))</f>
        <v/>
      </c>
      <c r="E1448" s="42" t="str">
        <f aca="false">IF(A1448="","",INDEX('COOIS Raw'!$A:$GZ,ROW()-4,$E$4)&amp;"")</f>
        <v/>
      </c>
      <c r="F1448" s="43" t="str">
        <f aca="false">IF(A1448="","",IFERROR(DATEVALUE(INDEX('COOIS Raw'!$A:$GZ,ROW()-4,$F$4)),INDEX('COOIS Raw'!$A:$GZ,ROW()-4,$F$4)))</f>
        <v/>
      </c>
      <c r="G1448" s="41" t="str">
        <f aca="false">IF(A1448="","",IF(ISNA(MATCH(B1448,'Kitting Plan'!$B$6:$B$19,0)),"Not in plan","Yes"))</f>
        <v/>
      </c>
      <c r="H1448" s="41" t="str">
        <f aca="false">IF(G1448="Yes",INDEX('Kitting Plan'!$D$6:$D$19,MATCH(B1448,'Kitting Plan'!$B$6:$B$19,0)),"")</f>
        <v/>
      </c>
      <c r="I1448" s="41" t="str">
        <f aca="false">IF(A1448="","",IF(ISNUMBER(SEARCH("PRT",E1448)),D1448,0))</f>
        <v/>
      </c>
      <c r="J1448" s="41" t="str">
        <f aca="false">IF(A1448="","",IF(ISNUMBER(SEARCH("GMPS",E1448)),D1448,0))</f>
        <v/>
      </c>
      <c r="K1448" s="41" t="str">
        <f aca="false">IF(A1448="","",IF(ISNUMBER(SEARCH("DLV",E1448)),D1448,0))</f>
        <v/>
      </c>
      <c r="L1448" s="41" t="str">
        <f aca="false">IF(A1448="","",IF(K1448&gt;0,"Delivered",IF(ISNUMBER(SEARCH("CNF",E1448)),"In production",IF(J1448&gt;0,"Issued",IF(I1448&gt;0,"Kitted","Released")))))</f>
        <v/>
      </c>
      <c r="M1448" s="41" t="str">
        <f aca="false">IF(G1448&lt;&gt;"Yes","",COUNTIFS($B$6:$B$1505,B1448,$F$6:$F$1505,"&lt;"&amp;F1448)+COUNTIFS($B$6:$B$1505,B1448,$F$6:$F$1505,F1448,$A$6:$A$1505,"&lt;="&amp;A1448))</f>
        <v/>
      </c>
      <c r="N1448" s="41" t="str">
        <f aca="false">IF(M1448="","",ROUNDUP(M1448/H1448,0))</f>
        <v/>
      </c>
      <c r="O1448" s="41" t="str">
        <f aca="false">IF(N1448="","",IF(N1448&lt;='Kitting Plan'!$C$3,"Rep "&amp;N1448,"Surplus"))</f>
        <v/>
      </c>
    </row>
    <row r="1449" customFormat="false" ht="15" hidden="false" customHeight="false" outlineLevel="0" collapsed="false">
      <c r="A1449" s="40" t="str">
        <f aca="false">IF(OR($A$4=0,INDEX('COOIS Raw'!$A:$GZ,ROW()-4,$A$4)=""),"",IFERROR(--INDEX('COOIS Raw'!$A:$GZ,ROW()-4,$A$4),INDEX('COOIS Raw'!$A:$GZ,ROW()-4,$A$4)))</f>
        <v/>
      </c>
      <c r="B1449" s="41" t="str">
        <f aca="false">IF(A1449="","",TRIM(INDEX('COOIS Raw'!$A:$GZ,ROW()-4,$B$4)))</f>
        <v/>
      </c>
      <c r="C1449" s="42" t="str">
        <f aca="false">IF(OR(A1449="",$C$4=0),"",INDEX('COOIS Raw'!$A:$GZ,ROW()-4,$C$4))</f>
        <v/>
      </c>
      <c r="D1449" s="41" t="str">
        <f aca="false">IF(A1449="","",IF($D$4=0,1,IFERROR(--INDEX('COOIS Raw'!$A:$GZ,ROW()-4,$D$4),1)))</f>
        <v/>
      </c>
      <c r="E1449" s="42" t="str">
        <f aca="false">IF(A1449="","",INDEX('COOIS Raw'!$A:$GZ,ROW()-4,$E$4)&amp;"")</f>
        <v/>
      </c>
      <c r="F1449" s="43" t="str">
        <f aca="false">IF(A1449="","",IFERROR(DATEVALUE(INDEX('COOIS Raw'!$A:$GZ,ROW()-4,$F$4)),INDEX('COOIS Raw'!$A:$GZ,ROW()-4,$F$4)))</f>
        <v/>
      </c>
      <c r="G1449" s="41" t="str">
        <f aca="false">IF(A1449="","",IF(ISNA(MATCH(B1449,'Kitting Plan'!$B$6:$B$19,0)),"Not in plan","Yes"))</f>
        <v/>
      </c>
      <c r="H1449" s="41" t="str">
        <f aca="false">IF(G1449="Yes",INDEX('Kitting Plan'!$D$6:$D$19,MATCH(B1449,'Kitting Plan'!$B$6:$B$19,0)),"")</f>
        <v/>
      </c>
      <c r="I1449" s="41" t="str">
        <f aca="false">IF(A1449="","",IF(ISNUMBER(SEARCH("PRT",E1449)),D1449,0))</f>
        <v/>
      </c>
      <c r="J1449" s="41" t="str">
        <f aca="false">IF(A1449="","",IF(ISNUMBER(SEARCH("GMPS",E1449)),D1449,0))</f>
        <v/>
      </c>
      <c r="K1449" s="41" t="str">
        <f aca="false">IF(A1449="","",IF(ISNUMBER(SEARCH("DLV",E1449)),D1449,0))</f>
        <v/>
      </c>
      <c r="L1449" s="41" t="str">
        <f aca="false">IF(A1449="","",IF(K1449&gt;0,"Delivered",IF(ISNUMBER(SEARCH("CNF",E1449)),"In production",IF(J1449&gt;0,"Issued",IF(I1449&gt;0,"Kitted","Released")))))</f>
        <v/>
      </c>
      <c r="M1449" s="41" t="str">
        <f aca="false">IF(G1449&lt;&gt;"Yes","",COUNTIFS($B$6:$B$1505,B1449,$F$6:$F$1505,"&lt;"&amp;F1449)+COUNTIFS($B$6:$B$1505,B1449,$F$6:$F$1505,F1449,$A$6:$A$1505,"&lt;="&amp;A1449))</f>
        <v/>
      </c>
      <c r="N1449" s="41" t="str">
        <f aca="false">IF(M1449="","",ROUNDUP(M1449/H1449,0))</f>
        <v/>
      </c>
      <c r="O1449" s="41" t="str">
        <f aca="false">IF(N1449="","",IF(N1449&lt;='Kitting Plan'!$C$3,"Rep "&amp;N1449,"Surplus"))</f>
        <v/>
      </c>
    </row>
    <row r="1450" customFormat="false" ht="15" hidden="false" customHeight="false" outlineLevel="0" collapsed="false">
      <c r="A1450" s="40" t="str">
        <f aca="false">IF(OR($A$4=0,INDEX('COOIS Raw'!$A:$GZ,ROW()-4,$A$4)=""),"",IFERROR(--INDEX('COOIS Raw'!$A:$GZ,ROW()-4,$A$4),INDEX('COOIS Raw'!$A:$GZ,ROW()-4,$A$4)))</f>
        <v/>
      </c>
      <c r="B1450" s="41" t="str">
        <f aca="false">IF(A1450="","",TRIM(INDEX('COOIS Raw'!$A:$GZ,ROW()-4,$B$4)))</f>
        <v/>
      </c>
      <c r="C1450" s="42" t="str">
        <f aca="false">IF(OR(A1450="",$C$4=0),"",INDEX('COOIS Raw'!$A:$GZ,ROW()-4,$C$4))</f>
        <v/>
      </c>
      <c r="D1450" s="41" t="str">
        <f aca="false">IF(A1450="","",IF($D$4=0,1,IFERROR(--INDEX('COOIS Raw'!$A:$GZ,ROW()-4,$D$4),1)))</f>
        <v/>
      </c>
      <c r="E1450" s="42" t="str">
        <f aca="false">IF(A1450="","",INDEX('COOIS Raw'!$A:$GZ,ROW()-4,$E$4)&amp;"")</f>
        <v/>
      </c>
      <c r="F1450" s="43" t="str">
        <f aca="false">IF(A1450="","",IFERROR(DATEVALUE(INDEX('COOIS Raw'!$A:$GZ,ROW()-4,$F$4)),INDEX('COOIS Raw'!$A:$GZ,ROW()-4,$F$4)))</f>
        <v/>
      </c>
      <c r="G1450" s="41" t="str">
        <f aca="false">IF(A1450="","",IF(ISNA(MATCH(B1450,'Kitting Plan'!$B$6:$B$19,0)),"Not in plan","Yes"))</f>
        <v/>
      </c>
      <c r="H1450" s="41" t="str">
        <f aca="false">IF(G1450="Yes",INDEX('Kitting Plan'!$D$6:$D$19,MATCH(B1450,'Kitting Plan'!$B$6:$B$19,0)),"")</f>
        <v/>
      </c>
      <c r="I1450" s="41" t="str">
        <f aca="false">IF(A1450="","",IF(ISNUMBER(SEARCH("PRT",E1450)),D1450,0))</f>
        <v/>
      </c>
      <c r="J1450" s="41" t="str">
        <f aca="false">IF(A1450="","",IF(ISNUMBER(SEARCH("GMPS",E1450)),D1450,0))</f>
        <v/>
      </c>
      <c r="K1450" s="41" t="str">
        <f aca="false">IF(A1450="","",IF(ISNUMBER(SEARCH("DLV",E1450)),D1450,0))</f>
        <v/>
      </c>
      <c r="L1450" s="41" t="str">
        <f aca="false">IF(A1450="","",IF(K1450&gt;0,"Delivered",IF(ISNUMBER(SEARCH("CNF",E1450)),"In production",IF(J1450&gt;0,"Issued",IF(I1450&gt;0,"Kitted","Released")))))</f>
        <v/>
      </c>
      <c r="M1450" s="41" t="str">
        <f aca="false">IF(G1450&lt;&gt;"Yes","",COUNTIFS($B$6:$B$1505,B1450,$F$6:$F$1505,"&lt;"&amp;F1450)+COUNTIFS($B$6:$B$1505,B1450,$F$6:$F$1505,F1450,$A$6:$A$1505,"&lt;="&amp;A1450))</f>
        <v/>
      </c>
      <c r="N1450" s="41" t="str">
        <f aca="false">IF(M1450="","",ROUNDUP(M1450/H1450,0))</f>
        <v/>
      </c>
      <c r="O1450" s="41" t="str">
        <f aca="false">IF(N1450="","",IF(N1450&lt;='Kitting Plan'!$C$3,"Rep "&amp;N1450,"Surplus"))</f>
        <v/>
      </c>
    </row>
    <row r="1451" customFormat="false" ht="15" hidden="false" customHeight="false" outlineLevel="0" collapsed="false">
      <c r="A1451" s="40" t="str">
        <f aca="false">IF(OR($A$4=0,INDEX('COOIS Raw'!$A:$GZ,ROW()-4,$A$4)=""),"",IFERROR(--INDEX('COOIS Raw'!$A:$GZ,ROW()-4,$A$4),INDEX('COOIS Raw'!$A:$GZ,ROW()-4,$A$4)))</f>
        <v/>
      </c>
      <c r="B1451" s="41" t="str">
        <f aca="false">IF(A1451="","",TRIM(INDEX('COOIS Raw'!$A:$GZ,ROW()-4,$B$4)))</f>
        <v/>
      </c>
      <c r="C1451" s="42" t="str">
        <f aca="false">IF(OR(A1451="",$C$4=0),"",INDEX('COOIS Raw'!$A:$GZ,ROW()-4,$C$4))</f>
        <v/>
      </c>
      <c r="D1451" s="41" t="str">
        <f aca="false">IF(A1451="","",IF($D$4=0,1,IFERROR(--INDEX('COOIS Raw'!$A:$GZ,ROW()-4,$D$4),1)))</f>
        <v/>
      </c>
      <c r="E1451" s="42" t="str">
        <f aca="false">IF(A1451="","",INDEX('COOIS Raw'!$A:$GZ,ROW()-4,$E$4)&amp;"")</f>
        <v/>
      </c>
      <c r="F1451" s="43" t="str">
        <f aca="false">IF(A1451="","",IFERROR(DATEVALUE(INDEX('COOIS Raw'!$A:$GZ,ROW()-4,$F$4)),INDEX('COOIS Raw'!$A:$GZ,ROW()-4,$F$4)))</f>
        <v/>
      </c>
      <c r="G1451" s="41" t="str">
        <f aca="false">IF(A1451="","",IF(ISNA(MATCH(B1451,'Kitting Plan'!$B$6:$B$19,0)),"Not in plan","Yes"))</f>
        <v/>
      </c>
      <c r="H1451" s="41" t="str">
        <f aca="false">IF(G1451="Yes",INDEX('Kitting Plan'!$D$6:$D$19,MATCH(B1451,'Kitting Plan'!$B$6:$B$19,0)),"")</f>
        <v/>
      </c>
      <c r="I1451" s="41" t="str">
        <f aca="false">IF(A1451="","",IF(ISNUMBER(SEARCH("PRT",E1451)),D1451,0))</f>
        <v/>
      </c>
      <c r="J1451" s="41" t="str">
        <f aca="false">IF(A1451="","",IF(ISNUMBER(SEARCH("GMPS",E1451)),D1451,0))</f>
        <v/>
      </c>
      <c r="K1451" s="41" t="str">
        <f aca="false">IF(A1451="","",IF(ISNUMBER(SEARCH("DLV",E1451)),D1451,0))</f>
        <v/>
      </c>
      <c r="L1451" s="41" t="str">
        <f aca="false">IF(A1451="","",IF(K1451&gt;0,"Delivered",IF(ISNUMBER(SEARCH("CNF",E1451)),"In production",IF(J1451&gt;0,"Issued",IF(I1451&gt;0,"Kitted","Released")))))</f>
        <v/>
      </c>
      <c r="M1451" s="41" t="str">
        <f aca="false">IF(G1451&lt;&gt;"Yes","",COUNTIFS($B$6:$B$1505,B1451,$F$6:$F$1505,"&lt;"&amp;F1451)+COUNTIFS($B$6:$B$1505,B1451,$F$6:$F$1505,F1451,$A$6:$A$1505,"&lt;="&amp;A1451))</f>
        <v/>
      </c>
      <c r="N1451" s="41" t="str">
        <f aca="false">IF(M1451="","",ROUNDUP(M1451/H1451,0))</f>
        <v/>
      </c>
      <c r="O1451" s="41" t="str">
        <f aca="false">IF(N1451="","",IF(N1451&lt;='Kitting Plan'!$C$3,"Rep "&amp;N1451,"Surplus"))</f>
        <v/>
      </c>
    </row>
    <row r="1452" customFormat="false" ht="15" hidden="false" customHeight="false" outlineLevel="0" collapsed="false">
      <c r="A1452" s="40" t="str">
        <f aca="false">IF(OR($A$4=0,INDEX('COOIS Raw'!$A:$GZ,ROW()-4,$A$4)=""),"",IFERROR(--INDEX('COOIS Raw'!$A:$GZ,ROW()-4,$A$4),INDEX('COOIS Raw'!$A:$GZ,ROW()-4,$A$4)))</f>
        <v/>
      </c>
      <c r="B1452" s="41" t="str">
        <f aca="false">IF(A1452="","",TRIM(INDEX('COOIS Raw'!$A:$GZ,ROW()-4,$B$4)))</f>
        <v/>
      </c>
      <c r="C1452" s="42" t="str">
        <f aca="false">IF(OR(A1452="",$C$4=0),"",INDEX('COOIS Raw'!$A:$GZ,ROW()-4,$C$4))</f>
        <v/>
      </c>
      <c r="D1452" s="41" t="str">
        <f aca="false">IF(A1452="","",IF($D$4=0,1,IFERROR(--INDEX('COOIS Raw'!$A:$GZ,ROW()-4,$D$4),1)))</f>
        <v/>
      </c>
      <c r="E1452" s="42" t="str">
        <f aca="false">IF(A1452="","",INDEX('COOIS Raw'!$A:$GZ,ROW()-4,$E$4)&amp;"")</f>
        <v/>
      </c>
      <c r="F1452" s="43" t="str">
        <f aca="false">IF(A1452="","",IFERROR(DATEVALUE(INDEX('COOIS Raw'!$A:$GZ,ROW()-4,$F$4)),INDEX('COOIS Raw'!$A:$GZ,ROW()-4,$F$4)))</f>
        <v/>
      </c>
      <c r="G1452" s="41" t="str">
        <f aca="false">IF(A1452="","",IF(ISNA(MATCH(B1452,'Kitting Plan'!$B$6:$B$19,0)),"Not in plan","Yes"))</f>
        <v/>
      </c>
      <c r="H1452" s="41" t="str">
        <f aca="false">IF(G1452="Yes",INDEX('Kitting Plan'!$D$6:$D$19,MATCH(B1452,'Kitting Plan'!$B$6:$B$19,0)),"")</f>
        <v/>
      </c>
      <c r="I1452" s="41" t="str">
        <f aca="false">IF(A1452="","",IF(ISNUMBER(SEARCH("PRT",E1452)),D1452,0))</f>
        <v/>
      </c>
      <c r="J1452" s="41" t="str">
        <f aca="false">IF(A1452="","",IF(ISNUMBER(SEARCH("GMPS",E1452)),D1452,0))</f>
        <v/>
      </c>
      <c r="K1452" s="41" t="str">
        <f aca="false">IF(A1452="","",IF(ISNUMBER(SEARCH("DLV",E1452)),D1452,0))</f>
        <v/>
      </c>
      <c r="L1452" s="41" t="str">
        <f aca="false">IF(A1452="","",IF(K1452&gt;0,"Delivered",IF(ISNUMBER(SEARCH("CNF",E1452)),"In production",IF(J1452&gt;0,"Issued",IF(I1452&gt;0,"Kitted","Released")))))</f>
        <v/>
      </c>
      <c r="M1452" s="41" t="str">
        <f aca="false">IF(G1452&lt;&gt;"Yes","",COUNTIFS($B$6:$B$1505,B1452,$F$6:$F$1505,"&lt;"&amp;F1452)+COUNTIFS($B$6:$B$1505,B1452,$F$6:$F$1505,F1452,$A$6:$A$1505,"&lt;="&amp;A1452))</f>
        <v/>
      </c>
      <c r="N1452" s="41" t="str">
        <f aca="false">IF(M1452="","",ROUNDUP(M1452/H1452,0))</f>
        <v/>
      </c>
      <c r="O1452" s="41" t="str">
        <f aca="false">IF(N1452="","",IF(N1452&lt;='Kitting Plan'!$C$3,"Rep "&amp;N1452,"Surplus"))</f>
        <v/>
      </c>
    </row>
    <row r="1453" customFormat="false" ht="15" hidden="false" customHeight="false" outlineLevel="0" collapsed="false">
      <c r="A1453" s="40" t="str">
        <f aca="false">IF(OR($A$4=0,INDEX('COOIS Raw'!$A:$GZ,ROW()-4,$A$4)=""),"",IFERROR(--INDEX('COOIS Raw'!$A:$GZ,ROW()-4,$A$4),INDEX('COOIS Raw'!$A:$GZ,ROW()-4,$A$4)))</f>
        <v/>
      </c>
      <c r="B1453" s="41" t="str">
        <f aca="false">IF(A1453="","",TRIM(INDEX('COOIS Raw'!$A:$GZ,ROW()-4,$B$4)))</f>
        <v/>
      </c>
      <c r="C1453" s="42" t="str">
        <f aca="false">IF(OR(A1453="",$C$4=0),"",INDEX('COOIS Raw'!$A:$GZ,ROW()-4,$C$4))</f>
        <v/>
      </c>
      <c r="D1453" s="41" t="str">
        <f aca="false">IF(A1453="","",IF($D$4=0,1,IFERROR(--INDEX('COOIS Raw'!$A:$GZ,ROW()-4,$D$4),1)))</f>
        <v/>
      </c>
      <c r="E1453" s="42" t="str">
        <f aca="false">IF(A1453="","",INDEX('COOIS Raw'!$A:$GZ,ROW()-4,$E$4)&amp;"")</f>
        <v/>
      </c>
      <c r="F1453" s="43" t="str">
        <f aca="false">IF(A1453="","",IFERROR(DATEVALUE(INDEX('COOIS Raw'!$A:$GZ,ROW()-4,$F$4)),INDEX('COOIS Raw'!$A:$GZ,ROW()-4,$F$4)))</f>
        <v/>
      </c>
      <c r="G1453" s="41" t="str">
        <f aca="false">IF(A1453="","",IF(ISNA(MATCH(B1453,'Kitting Plan'!$B$6:$B$19,0)),"Not in plan","Yes"))</f>
        <v/>
      </c>
      <c r="H1453" s="41" t="str">
        <f aca="false">IF(G1453="Yes",INDEX('Kitting Plan'!$D$6:$D$19,MATCH(B1453,'Kitting Plan'!$B$6:$B$19,0)),"")</f>
        <v/>
      </c>
      <c r="I1453" s="41" t="str">
        <f aca="false">IF(A1453="","",IF(ISNUMBER(SEARCH("PRT",E1453)),D1453,0))</f>
        <v/>
      </c>
      <c r="J1453" s="41" t="str">
        <f aca="false">IF(A1453="","",IF(ISNUMBER(SEARCH("GMPS",E1453)),D1453,0))</f>
        <v/>
      </c>
      <c r="K1453" s="41" t="str">
        <f aca="false">IF(A1453="","",IF(ISNUMBER(SEARCH("DLV",E1453)),D1453,0))</f>
        <v/>
      </c>
      <c r="L1453" s="41" t="str">
        <f aca="false">IF(A1453="","",IF(K1453&gt;0,"Delivered",IF(ISNUMBER(SEARCH("CNF",E1453)),"In production",IF(J1453&gt;0,"Issued",IF(I1453&gt;0,"Kitted","Released")))))</f>
        <v/>
      </c>
      <c r="M1453" s="41" t="str">
        <f aca="false">IF(G1453&lt;&gt;"Yes","",COUNTIFS($B$6:$B$1505,B1453,$F$6:$F$1505,"&lt;"&amp;F1453)+COUNTIFS($B$6:$B$1505,B1453,$F$6:$F$1505,F1453,$A$6:$A$1505,"&lt;="&amp;A1453))</f>
        <v/>
      </c>
      <c r="N1453" s="41" t="str">
        <f aca="false">IF(M1453="","",ROUNDUP(M1453/H1453,0))</f>
        <v/>
      </c>
      <c r="O1453" s="41" t="str">
        <f aca="false">IF(N1453="","",IF(N1453&lt;='Kitting Plan'!$C$3,"Rep "&amp;N1453,"Surplus"))</f>
        <v/>
      </c>
    </row>
    <row r="1454" customFormat="false" ht="15" hidden="false" customHeight="false" outlineLevel="0" collapsed="false">
      <c r="A1454" s="40" t="str">
        <f aca="false">IF(OR($A$4=0,INDEX('COOIS Raw'!$A:$GZ,ROW()-4,$A$4)=""),"",IFERROR(--INDEX('COOIS Raw'!$A:$GZ,ROW()-4,$A$4),INDEX('COOIS Raw'!$A:$GZ,ROW()-4,$A$4)))</f>
        <v/>
      </c>
      <c r="B1454" s="41" t="str">
        <f aca="false">IF(A1454="","",TRIM(INDEX('COOIS Raw'!$A:$GZ,ROW()-4,$B$4)))</f>
        <v/>
      </c>
      <c r="C1454" s="42" t="str">
        <f aca="false">IF(OR(A1454="",$C$4=0),"",INDEX('COOIS Raw'!$A:$GZ,ROW()-4,$C$4))</f>
        <v/>
      </c>
      <c r="D1454" s="41" t="str">
        <f aca="false">IF(A1454="","",IF($D$4=0,1,IFERROR(--INDEX('COOIS Raw'!$A:$GZ,ROW()-4,$D$4),1)))</f>
        <v/>
      </c>
      <c r="E1454" s="42" t="str">
        <f aca="false">IF(A1454="","",INDEX('COOIS Raw'!$A:$GZ,ROW()-4,$E$4)&amp;"")</f>
        <v/>
      </c>
      <c r="F1454" s="43" t="str">
        <f aca="false">IF(A1454="","",IFERROR(DATEVALUE(INDEX('COOIS Raw'!$A:$GZ,ROW()-4,$F$4)),INDEX('COOIS Raw'!$A:$GZ,ROW()-4,$F$4)))</f>
        <v/>
      </c>
      <c r="G1454" s="41" t="str">
        <f aca="false">IF(A1454="","",IF(ISNA(MATCH(B1454,'Kitting Plan'!$B$6:$B$19,0)),"Not in plan","Yes"))</f>
        <v/>
      </c>
      <c r="H1454" s="41" t="str">
        <f aca="false">IF(G1454="Yes",INDEX('Kitting Plan'!$D$6:$D$19,MATCH(B1454,'Kitting Plan'!$B$6:$B$19,0)),"")</f>
        <v/>
      </c>
      <c r="I1454" s="41" t="str">
        <f aca="false">IF(A1454="","",IF(ISNUMBER(SEARCH("PRT",E1454)),D1454,0))</f>
        <v/>
      </c>
      <c r="J1454" s="41" t="str">
        <f aca="false">IF(A1454="","",IF(ISNUMBER(SEARCH("GMPS",E1454)),D1454,0))</f>
        <v/>
      </c>
      <c r="K1454" s="41" t="str">
        <f aca="false">IF(A1454="","",IF(ISNUMBER(SEARCH("DLV",E1454)),D1454,0))</f>
        <v/>
      </c>
      <c r="L1454" s="41" t="str">
        <f aca="false">IF(A1454="","",IF(K1454&gt;0,"Delivered",IF(ISNUMBER(SEARCH("CNF",E1454)),"In production",IF(J1454&gt;0,"Issued",IF(I1454&gt;0,"Kitted","Released")))))</f>
        <v/>
      </c>
      <c r="M1454" s="41" t="str">
        <f aca="false">IF(G1454&lt;&gt;"Yes","",COUNTIFS($B$6:$B$1505,B1454,$F$6:$F$1505,"&lt;"&amp;F1454)+COUNTIFS($B$6:$B$1505,B1454,$F$6:$F$1505,F1454,$A$6:$A$1505,"&lt;="&amp;A1454))</f>
        <v/>
      </c>
      <c r="N1454" s="41" t="str">
        <f aca="false">IF(M1454="","",ROUNDUP(M1454/H1454,0))</f>
        <v/>
      </c>
      <c r="O1454" s="41" t="str">
        <f aca="false">IF(N1454="","",IF(N1454&lt;='Kitting Plan'!$C$3,"Rep "&amp;N1454,"Surplus"))</f>
        <v/>
      </c>
    </row>
    <row r="1455" customFormat="false" ht="15" hidden="false" customHeight="false" outlineLevel="0" collapsed="false">
      <c r="A1455" s="40" t="str">
        <f aca="false">IF(OR($A$4=0,INDEX('COOIS Raw'!$A:$GZ,ROW()-4,$A$4)=""),"",IFERROR(--INDEX('COOIS Raw'!$A:$GZ,ROW()-4,$A$4),INDEX('COOIS Raw'!$A:$GZ,ROW()-4,$A$4)))</f>
        <v/>
      </c>
      <c r="B1455" s="41" t="str">
        <f aca="false">IF(A1455="","",TRIM(INDEX('COOIS Raw'!$A:$GZ,ROW()-4,$B$4)))</f>
        <v/>
      </c>
      <c r="C1455" s="42" t="str">
        <f aca="false">IF(OR(A1455="",$C$4=0),"",INDEX('COOIS Raw'!$A:$GZ,ROW()-4,$C$4))</f>
        <v/>
      </c>
      <c r="D1455" s="41" t="str">
        <f aca="false">IF(A1455="","",IF($D$4=0,1,IFERROR(--INDEX('COOIS Raw'!$A:$GZ,ROW()-4,$D$4),1)))</f>
        <v/>
      </c>
      <c r="E1455" s="42" t="str">
        <f aca="false">IF(A1455="","",INDEX('COOIS Raw'!$A:$GZ,ROW()-4,$E$4)&amp;"")</f>
        <v/>
      </c>
      <c r="F1455" s="43" t="str">
        <f aca="false">IF(A1455="","",IFERROR(DATEVALUE(INDEX('COOIS Raw'!$A:$GZ,ROW()-4,$F$4)),INDEX('COOIS Raw'!$A:$GZ,ROW()-4,$F$4)))</f>
        <v/>
      </c>
      <c r="G1455" s="41" t="str">
        <f aca="false">IF(A1455="","",IF(ISNA(MATCH(B1455,'Kitting Plan'!$B$6:$B$19,0)),"Not in plan","Yes"))</f>
        <v/>
      </c>
      <c r="H1455" s="41" t="str">
        <f aca="false">IF(G1455="Yes",INDEX('Kitting Plan'!$D$6:$D$19,MATCH(B1455,'Kitting Plan'!$B$6:$B$19,0)),"")</f>
        <v/>
      </c>
      <c r="I1455" s="41" t="str">
        <f aca="false">IF(A1455="","",IF(ISNUMBER(SEARCH("PRT",E1455)),D1455,0))</f>
        <v/>
      </c>
      <c r="J1455" s="41" t="str">
        <f aca="false">IF(A1455="","",IF(ISNUMBER(SEARCH("GMPS",E1455)),D1455,0))</f>
        <v/>
      </c>
      <c r="K1455" s="41" t="str">
        <f aca="false">IF(A1455="","",IF(ISNUMBER(SEARCH("DLV",E1455)),D1455,0))</f>
        <v/>
      </c>
      <c r="L1455" s="41" t="str">
        <f aca="false">IF(A1455="","",IF(K1455&gt;0,"Delivered",IF(ISNUMBER(SEARCH("CNF",E1455)),"In production",IF(J1455&gt;0,"Issued",IF(I1455&gt;0,"Kitted","Released")))))</f>
        <v/>
      </c>
      <c r="M1455" s="41" t="str">
        <f aca="false">IF(G1455&lt;&gt;"Yes","",COUNTIFS($B$6:$B$1505,B1455,$F$6:$F$1505,"&lt;"&amp;F1455)+COUNTIFS($B$6:$B$1505,B1455,$F$6:$F$1505,F1455,$A$6:$A$1505,"&lt;="&amp;A1455))</f>
        <v/>
      </c>
      <c r="N1455" s="41" t="str">
        <f aca="false">IF(M1455="","",ROUNDUP(M1455/H1455,0))</f>
        <v/>
      </c>
      <c r="O1455" s="41" t="str">
        <f aca="false">IF(N1455="","",IF(N1455&lt;='Kitting Plan'!$C$3,"Rep "&amp;N1455,"Surplus"))</f>
        <v/>
      </c>
    </row>
    <row r="1456" customFormat="false" ht="15" hidden="false" customHeight="false" outlineLevel="0" collapsed="false">
      <c r="A1456" s="40" t="str">
        <f aca="false">IF(OR($A$4=0,INDEX('COOIS Raw'!$A:$GZ,ROW()-4,$A$4)=""),"",IFERROR(--INDEX('COOIS Raw'!$A:$GZ,ROW()-4,$A$4),INDEX('COOIS Raw'!$A:$GZ,ROW()-4,$A$4)))</f>
        <v/>
      </c>
      <c r="B1456" s="41" t="str">
        <f aca="false">IF(A1456="","",TRIM(INDEX('COOIS Raw'!$A:$GZ,ROW()-4,$B$4)))</f>
        <v/>
      </c>
      <c r="C1456" s="42" t="str">
        <f aca="false">IF(OR(A1456="",$C$4=0),"",INDEX('COOIS Raw'!$A:$GZ,ROW()-4,$C$4))</f>
        <v/>
      </c>
      <c r="D1456" s="41" t="str">
        <f aca="false">IF(A1456="","",IF($D$4=0,1,IFERROR(--INDEX('COOIS Raw'!$A:$GZ,ROW()-4,$D$4),1)))</f>
        <v/>
      </c>
      <c r="E1456" s="42" t="str">
        <f aca="false">IF(A1456="","",INDEX('COOIS Raw'!$A:$GZ,ROW()-4,$E$4)&amp;"")</f>
        <v/>
      </c>
      <c r="F1456" s="43" t="str">
        <f aca="false">IF(A1456="","",IFERROR(DATEVALUE(INDEX('COOIS Raw'!$A:$GZ,ROW()-4,$F$4)),INDEX('COOIS Raw'!$A:$GZ,ROW()-4,$F$4)))</f>
        <v/>
      </c>
      <c r="G1456" s="41" t="str">
        <f aca="false">IF(A1456="","",IF(ISNA(MATCH(B1456,'Kitting Plan'!$B$6:$B$19,0)),"Not in plan","Yes"))</f>
        <v/>
      </c>
      <c r="H1456" s="41" t="str">
        <f aca="false">IF(G1456="Yes",INDEX('Kitting Plan'!$D$6:$D$19,MATCH(B1456,'Kitting Plan'!$B$6:$B$19,0)),"")</f>
        <v/>
      </c>
      <c r="I1456" s="41" t="str">
        <f aca="false">IF(A1456="","",IF(ISNUMBER(SEARCH("PRT",E1456)),D1456,0))</f>
        <v/>
      </c>
      <c r="J1456" s="41" t="str">
        <f aca="false">IF(A1456="","",IF(ISNUMBER(SEARCH("GMPS",E1456)),D1456,0))</f>
        <v/>
      </c>
      <c r="K1456" s="41" t="str">
        <f aca="false">IF(A1456="","",IF(ISNUMBER(SEARCH("DLV",E1456)),D1456,0))</f>
        <v/>
      </c>
      <c r="L1456" s="41" t="str">
        <f aca="false">IF(A1456="","",IF(K1456&gt;0,"Delivered",IF(ISNUMBER(SEARCH("CNF",E1456)),"In production",IF(J1456&gt;0,"Issued",IF(I1456&gt;0,"Kitted","Released")))))</f>
        <v/>
      </c>
      <c r="M1456" s="41" t="str">
        <f aca="false">IF(G1456&lt;&gt;"Yes","",COUNTIFS($B$6:$B$1505,B1456,$F$6:$F$1505,"&lt;"&amp;F1456)+COUNTIFS($B$6:$B$1505,B1456,$F$6:$F$1505,F1456,$A$6:$A$1505,"&lt;="&amp;A1456))</f>
        <v/>
      </c>
      <c r="N1456" s="41" t="str">
        <f aca="false">IF(M1456="","",ROUNDUP(M1456/H1456,0))</f>
        <v/>
      </c>
      <c r="O1456" s="41" t="str">
        <f aca="false">IF(N1456="","",IF(N1456&lt;='Kitting Plan'!$C$3,"Rep "&amp;N1456,"Surplus"))</f>
        <v/>
      </c>
    </row>
    <row r="1457" customFormat="false" ht="15" hidden="false" customHeight="false" outlineLevel="0" collapsed="false">
      <c r="A1457" s="40" t="str">
        <f aca="false">IF(OR($A$4=0,INDEX('COOIS Raw'!$A:$GZ,ROW()-4,$A$4)=""),"",IFERROR(--INDEX('COOIS Raw'!$A:$GZ,ROW()-4,$A$4),INDEX('COOIS Raw'!$A:$GZ,ROW()-4,$A$4)))</f>
        <v/>
      </c>
      <c r="B1457" s="41" t="str">
        <f aca="false">IF(A1457="","",TRIM(INDEX('COOIS Raw'!$A:$GZ,ROW()-4,$B$4)))</f>
        <v/>
      </c>
      <c r="C1457" s="42" t="str">
        <f aca="false">IF(OR(A1457="",$C$4=0),"",INDEX('COOIS Raw'!$A:$GZ,ROW()-4,$C$4))</f>
        <v/>
      </c>
      <c r="D1457" s="41" t="str">
        <f aca="false">IF(A1457="","",IF($D$4=0,1,IFERROR(--INDEX('COOIS Raw'!$A:$GZ,ROW()-4,$D$4),1)))</f>
        <v/>
      </c>
      <c r="E1457" s="42" t="str">
        <f aca="false">IF(A1457="","",INDEX('COOIS Raw'!$A:$GZ,ROW()-4,$E$4)&amp;"")</f>
        <v/>
      </c>
      <c r="F1457" s="43" t="str">
        <f aca="false">IF(A1457="","",IFERROR(DATEVALUE(INDEX('COOIS Raw'!$A:$GZ,ROW()-4,$F$4)),INDEX('COOIS Raw'!$A:$GZ,ROW()-4,$F$4)))</f>
        <v/>
      </c>
      <c r="G1457" s="41" t="str">
        <f aca="false">IF(A1457="","",IF(ISNA(MATCH(B1457,'Kitting Plan'!$B$6:$B$19,0)),"Not in plan","Yes"))</f>
        <v/>
      </c>
      <c r="H1457" s="41" t="str">
        <f aca="false">IF(G1457="Yes",INDEX('Kitting Plan'!$D$6:$D$19,MATCH(B1457,'Kitting Plan'!$B$6:$B$19,0)),"")</f>
        <v/>
      </c>
      <c r="I1457" s="41" t="str">
        <f aca="false">IF(A1457="","",IF(ISNUMBER(SEARCH("PRT",E1457)),D1457,0))</f>
        <v/>
      </c>
      <c r="J1457" s="41" t="str">
        <f aca="false">IF(A1457="","",IF(ISNUMBER(SEARCH("GMPS",E1457)),D1457,0))</f>
        <v/>
      </c>
      <c r="K1457" s="41" t="str">
        <f aca="false">IF(A1457="","",IF(ISNUMBER(SEARCH("DLV",E1457)),D1457,0))</f>
        <v/>
      </c>
      <c r="L1457" s="41" t="str">
        <f aca="false">IF(A1457="","",IF(K1457&gt;0,"Delivered",IF(ISNUMBER(SEARCH("CNF",E1457)),"In production",IF(J1457&gt;0,"Issued",IF(I1457&gt;0,"Kitted","Released")))))</f>
        <v/>
      </c>
      <c r="M1457" s="41" t="str">
        <f aca="false">IF(G1457&lt;&gt;"Yes","",COUNTIFS($B$6:$B$1505,B1457,$F$6:$F$1505,"&lt;"&amp;F1457)+COUNTIFS($B$6:$B$1505,B1457,$F$6:$F$1505,F1457,$A$6:$A$1505,"&lt;="&amp;A1457))</f>
        <v/>
      </c>
      <c r="N1457" s="41" t="str">
        <f aca="false">IF(M1457="","",ROUNDUP(M1457/H1457,0))</f>
        <v/>
      </c>
      <c r="O1457" s="41" t="str">
        <f aca="false">IF(N1457="","",IF(N1457&lt;='Kitting Plan'!$C$3,"Rep "&amp;N1457,"Surplus"))</f>
        <v/>
      </c>
    </row>
    <row r="1458" customFormat="false" ht="15" hidden="false" customHeight="false" outlineLevel="0" collapsed="false">
      <c r="A1458" s="40" t="str">
        <f aca="false">IF(OR($A$4=0,INDEX('COOIS Raw'!$A:$GZ,ROW()-4,$A$4)=""),"",IFERROR(--INDEX('COOIS Raw'!$A:$GZ,ROW()-4,$A$4),INDEX('COOIS Raw'!$A:$GZ,ROW()-4,$A$4)))</f>
        <v/>
      </c>
      <c r="B1458" s="41" t="str">
        <f aca="false">IF(A1458="","",TRIM(INDEX('COOIS Raw'!$A:$GZ,ROW()-4,$B$4)))</f>
        <v/>
      </c>
      <c r="C1458" s="42" t="str">
        <f aca="false">IF(OR(A1458="",$C$4=0),"",INDEX('COOIS Raw'!$A:$GZ,ROW()-4,$C$4))</f>
        <v/>
      </c>
      <c r="D1458" s="41" t="str">
        <f aca="false">IF(A1458="","",IF($D$4=0,1,IFERROR(--INDEX('COOIS Raw'!$A:$GZ,ROW()-4,$D$4),1)))</f>
        <v/>
      </c>
      <c r="E1458" s="42" t="str">
        <f aca="false">IF(A1458="","",INDEX('COOIS Raw'!$A:$GZ,ROW()-4,$E$4)&amp;"")</f>
        <v/>
      </c>
      <c r="F1458" s="43" t="str">
        <f aca="false">IF(A1458="","",IFERROR(DATEVALUE(INDEX('COOIS Raw'!$A:$GZ,ROW()-4,$F$4)),INDEX('COOIS Raw'!$A:$GZ,ROW()-4,$F$4)))</f>
        <v/>
      </c>
      <c r="G1458" s="41" t="str">
        <f aca="false">IF(A1458="","",IF(ISNA(MATCH(B1458,'Kitting Plan'!$B$6:$B$19,0)),"Not in plan","Yes"))</f>
        <v/>
      </c>
      <c r="H1458" s="41" t="str">
        <f aca="false">IF(G1458="Yes",INDEX('Kitting Plan'!$D$6:$D$19,MATCH(B1458,'Kitting Plan'!$B$6:$B$19,0)),"")</f>
        <v/>
      </c>
      <c r="I1458" s="41" t="str">
        <f aca="false">IF(A1458="","",IF(ISNUMBER(SEARCH("PRT",E1458)),D1458,0))</f>
        <v/>
      </c>
      <c r="J1458" s="41" t="str">
        <f aca="false">IF(A1458="","",IF(ISNUMBER(SEARCH("GMPS",E1458)),D1458,0))</f>
        <v/>
      </c>
      <c r="K1458" s="41" t="str">
        <f aca="false">IF(A1458="","",IF(ISNUMBER(SEARCH("DLV",E1458)),D1458,0))</f>
        <v/>
      </c>
      <c r="L1458" s="41" t="str">
        <f aca="false">IF(A1458="","",IF(K1458&gt;0,"Delivered",IF(ISNUMBER(SEARCH("CNF",E1458)),"In production",IF(J1458&gt;0,"Issued",IF(I1458&gt;0,"Kitted","Released")))))</f>
        <v/>
      </c>
      <c r="M1458" s="41" t="str">
        <f aca="false">IF(G1458&lt;&gt;"Yes","",COUNTIFS($B$6:$B$1505,B1458,$F$6:$F$1505,"&lt;"&amp;F1458)+COUNTIFS($B$6:$B$1505,B1458,$F$6:$F$1505,F1458,$A$6:$A$1505,"&lt;="&amp;A1458))</f>
        <v/>
      </c>
      <c r="N1458" s="41" t="str">
        <f aca="false">IF(M1458="","",ROUNDUP(M1458/H1458,0))</f>
        <v/>
      </c>
      <c r="O1458" s="41" t="str">
        <f aca="false">IF(N1458="","",IF(N1458&lt;='Kitting Plan'!$C$3,"Rep "&amp;N1458,"Surplus"))</f>
        <v/>
      </c>
    </row>
    <row r="1459" customFormat="false" ht="15" hidden="false" customHeight="false" outlineLevel="0" collapsed="false">
      <c r="A1459" s="40" t="str">
        <f aca="false">IF(OR($A$4=0,INDEX('COOIS Raw'!$A:$GZ,ROW()-4,$A$4)=""),"",IFERROR(--INDEX('COOIS Raw'!$A:$GZ,ROW()-4,$A$4),INDEX('COOIS Raw'!$A:$GZ,ROW()-4,$A$4)))</f>
        <v/>
      </c>
      <c r="B1459" s="41" t="str">
        <f aca="false">IF(A1459="","",TRIM(INDEX('COOIS Raw'!$A:$GZ,ROW()-4,$B$4)))</f>
        <v/>
      </c>
      <c r="C1459" s="42" t="str">
        <f aca="false">IF(OR(A1459="",$C$4=0),"",INDEX('COOIS Raw'!$A:$GZ,ROW()-4,$C$4))</f>
        <v/>
      </c>
      <c r="D1459" s="41" t="str">
        <f aca="false">IF(A1459="","",IF($D$4=0,1,IFERROR(--INDEX('COOIS Raw'!$A:$GZ,ROW()-4,$D$4),1)))</f>
        <v/>
      </c>
      <c r="E1459" s="42" t="str">
        <f aca="false">IF(A1459="","",INDEX('COOIS Raw'!$A:$GZ,ROW()-4,$E$4)&amp;"")</f>
        <v/>
      </c>
      <c r="F1459" s="43" t="str">
        <f aca="false">IF(A1459="","",IFERROR(DATEVALUE(INDEX('COOIS Raw'!$A:$GZ,ROW()-4,$F$4)),INDEX('COOIS Raw'!$A:$GZ,ROW()-4,$F$4)))</f>
        <v/>
      </c>
      <c r="G1459" s="41" t="str">
        <f aca="false">IF(A1459="","",IF(ISNA(MATCH(B1459,'Kitting Plan'!$B$6:$B$19,0)),"Not in plan","Yes"))</f>
        <v/>
      </c>
      <c r="H1459" s="41" t="str">
        <f aca="false">IF(G1459="Yes",INDEX('Kitting Plan'!$D$6:$D$19,MATCH(B1459,'Kitting Plan'!$B$6:$B$19,0)),"")</f>
        <v/>
      </c>
      <c r="I1459" s="41" t="str">
        <f aca="false">IF(A1459="","",IF(ISNUMBER(SEARCH("PRT",E1459)),D1459,0))</f>
        <v/>
      </c>
      <c r="J1459" s="41" t="str">
        <f aca="false">IF(A1459="","",IF(ISNUMBER(SEARCH("GMPS",E1459)),D1459,0))</f>
        <v/>
      </c>
      <c r="K1459" s="41" t="str">
        <f aca="false">IF(A1459="","",IF(ISNUMBER(SEARCH("DLV",E1459)),D1459,0))</f>
        <v/>
      </c>
      <c r="L1459" s="41" t="str">
        <f aca="false">IF(A1459="","",IF(K1459&gt;0,"Delivered",IF(ISNUMBER(SEARCH("CNF",E1459)),"In production",IF(J1459&gt;0,"Issued",IF(I1459&gt;0,"Kitted","Released")))))</f>
        <v/>
      </c>
      <c r="M1459" s="41" t="str">
        <f aca="false">IF(G1459&lt;&gt;"Yes","",COUNTIFS($B$6:$B$1505,B1459,$F$6:$F$1505,"&lt;"&amp;F1459)+COUNTIFS($B$6:$B$1505,B1459,$F$6:$F$1505,F1459,$A$6:$A$1505,"&lt;="&amp;A1459))</f>
        <v/>
      </c>
      <c r="N1459" s="41" t="str">
        <f aca="false">IF(M1459="","",ROUNDUP(M1459/H1459,0))</f>
        <v/>
      </c>
      <c r="O1459" s="41" t="str">
        <f aca="false">IF(N1459="","",IF(N1459&lt;='Kitting Plan'!$C$3,"Rep "&amp;N1459,"Surplus"))</f>
        <v/>
      </c>
    </row>
    <row r="1460" customFormat="false" ht="15" hidden="false" customHeight="false" outlineLevel="0" collapsed="false">
      <c r="A1460" s="40" t="str">
        <f aca="false">IF(OR($A$4=0,INDEX('COOIS Raw'!$A:$GZ,ROW()-4,$A$4)=""),"",IFERROR(--INDEX('COOIS Raw'!$A:$GZ,ROW()-4,$A$4),INDEX('COOIS Raw'!$A:$GZ,ROW()-4,$A$4)))</f>
        <v/>
      </c>
      <c r="B1460" s="41" t="str">
        <f aca="false">IF(A1460="","",TRIM(INDEX('COOIS Raw'!$A:$GZ,ROW()-4,$B$4)))</f>
        <v/>
      </c>
      <c r="C1460" s="42" t="str">
        <f aca="false">IF(OR(A1460="",$C$4=0),"",INDEX('COOIS Raw'!$A:$GZ,ROW()-4,$C$4))</f>
        <v/>
      </c>
      <c r="D1460" s="41" t="str">
        <f aca="false">IF(A1460="","",IF($D$4=0,1,IFERROR(--INDEX('COOIS Raw'!$A:$GZ,ROW()-4,$D$4),1)))</f>
        <v/>
      </c>
      <c r="E1460" s="42" t="str">
        <f aca="false">IF(A1460="","",INDEX('COOIS Raw'!$A:$GZ,ROW()-4,$E$4)&amp;"")</f>
        <v/>
      </c>
      <c r="F1460" s="43" t="str">
        <f aca="false">IF(A1460="","",IFERROR(DATEVALUE(INDEX('COOIS Raw'!$A:$GZ,ROW()-4,$F$4)),INDEX('COOIS Raw'!$A:$GZ,ROW()-4,$F$4)))</f>
        <v/>
      </c>
      <c r="G1460" s="41" t="str">
        <f aca="false">IF(A1460="","",IF(ISNA(MATCH(B1460,'Kitting Plan'!$B$6:$B$19,0)),"Not in plan","Yes"))</f>
        <v/>
      </c>
      <c r="H1460" s="41" t="str">
        <f aca="false">IF(G1460="Yes",INDEX('Kitting Plan'!$D$6:$D$19,MATCH(B1460,'Kitting Plan'!$B$6:$B$19,0)),"")</f>
        <v/>
      </c>
      <c r="I1460" s="41" t="str">
        <f aca="false">IF(A1460="","",IF(ISNUMBER(SEARCH("PRT",E1460)),D1460,0))</f>
        <v/>
      </c>
      <c r="J1460" s="41" t="str">
        <f aca="false">IF(A1460="","",IF(ISNUMBER(SEARCH("GMPS",E1460)),D1460,0))</f>
        <v/>
      </c>
      <c r="K1460" s="41" t="str">
        <f aca="false">IF(A1460="","",IF(ISNUMBER(SEARCH("DLV",E1460)),D1460,0))</f>
        <v/>
      </c>
      <c r="L1460" s="41" t="str">
        <f aca="false">IF(A1460="","",IF(K1460&gt;0,"Delivered",IF(ISNUMBER(SEARCH("CNF",E1460)),"In production",IF(J1460&gt;0,"Issued",IF(I1460&gt;0,"Kitted","Released")))))</f>
        <v/>
      </c>
      <c r="M1460" s="41" t="str">
        <f aca="false">IF(G1460&lt;&gt;"Yes","",COUNTIFS($B$6:$B$1505,B1460,$F$6:$F$1505,"&lt;"&amp;F1460)+COUNTIFS($B$6:$B$1505,B1460,$F$6:$F$1505,F1460,$A$6:$A$1505,"&lt;="&amp;A1460))</f>
        <v/>
      </c>
      <c r="N1460" s="41" t="str">
        <f aca="false">IF(M1460="","",ROUNDUP(M1460/H1460,0))</f>
        <v/>
      </c>
      <c r="O1460" s="41" t="str">
        <f aca="false">IF(N1460="","",IF(N1460&lt;='Kitting Plan'!$C$3,"Rep "&amp;N1460,"Surplus"))</f>
        <v/>
      </c>
    </row>
    <row r="1461" customFormat="false" ht="15" hidden="false" customHeight="false" outlineLevel="0" collapsed="false">
      <c r="A1461" s="40" t="str">
        <f aca="false">IF(OR($A$4=0,INDEX('COOIS Raw'!$A:$GZ,ROW()-4,$A$4)=""),"",IFERROR(--INDEX('COOIS Raw'!$A:$GZ,ROW()-4,$A$4),INDEX('COOIS Raw'!$A:$GZ,ROW()-4,$A$4)))</f>
        <v/>
      </c>
      <c r="B1461" s="41" t="str">
        <f aca="false">IF(A1461="","",TRIM(INDEX('COOIS Raw'!$A:$GZ,ROW()-4,$B$4)))</f>
        <v/>
      </c>
      <c r="C1461" s="42" t="str">
        <f aca="false">IF(OR(A1461="",$C$4=0),"",INDEX('COOIS Raw'!$A:$GZ,ROW()-4,$C$4))</f>
        <v/>
      </c>
      <c r="D1461" s="41" t="str">
        <f aca="false">IF(A1461="","",IF($D$4=0,1,IFERROR(--INDEX('COOIS Raw'!$A:$GZ,ROW()-4,$D$4),1)))</f>
        <v/>
      </c>
      <c r="E1461" s="42" t="str">
        <f aca="false">IF(A1461="","",INDEX('COOIS Raw'!$A:$GZ,ROW()-4,$E$4)&amp;"")</f>
        <v/>
      </c>
      <c r="F1461" s="43" t="str">
        <f aca="false">IF(A1461="","",IFERROR(DATEVALUE(INDEX('COOIS Raw'!$A:$GZ,ROW()-4,$F$4)),INDEX('COOIS Raw'!$A:$GZ,ROW()-4,$F$4)))</f>
        <v/>
      </c>
      <c r="G1461" s="41" t="str">
        <f aca="false">IF(A1461="","",IF(ISNA(MATCH(B1461,'Kitting Plan'!$B$6:$B$19,0)),"Not in plan","Yes"))</f>
        <v/>
      </c>
      <c r="H1461" s="41" t="str">
        <f aca="false">IF(G1461="Yes",INDEX('Kitting Plan'!$D$6:$D$19,MATCH(B1461,'Kitting Plan'!$B$6:$B$19,0)),"")</f>
        <v/>
      </c>
      <c r="I1461" s="41" t="str">
        <f aca="false">IF(A1461="","",IF(ISNUMBER(SEARCH("PRT",E1461)),D1461,0))</f>
        <v/>
      </c>
      <c r="J1461" s="41" t="str">
        <f aca="false">IF(A1461="","",IF(ISNUMBER(SEARCH("GMPS",E1461)),D1461,0))</f>
        <v/>
      </c>
      <c r="K1461" s="41" t="str">
        <f aca="false">IF(A1461="","",IF(ISNUMBER(SEARCH("DLV",E1461)),D1461,0))</f>
        <v/>
      </c>
      <c r="L1461" s="41" t="str">
        <f aca="false">IF(A1461="","",IF(K1461&gt;0,"Delivered",IF(ISNUMBER(SEARCH("CNF",E1461)),"In production",IF(J1461&gt;0,"Issued",IF(I1461&gt;0,"Kitted","Released")))))</f>
        <v/>
      </c>
      <c r="M1461" s="41" t="str">
        <f aca="false">IF(G1461&lt;&gt;"Yes","",COUNTIFS($B$6:$B$1505,B1461,$F$6:$F$1505,"&lt;"&amp;F1461)+COUNTIFS($B$6:$B$1505,B1461,$F$6:$F$1505,F1461,$A$6:$A$1505,"&lt;="&amp;A1461))</f>
        <v/>
      </c>
      <c r="N1461" s="41" t="str">
        <f aca="false">IF(M1461="","",ROUNDUP(M1461/H1461,0))</f>
        <v/>
      </c>
      <c r="O1461" s="41" t="str">
        <f aca="false">IF(N1461="","",IF(N1461&lt;='Kitting Plan'!$C$3,"Rep "&amp;N1461,"Surplus"))</f>
        <v/>
      </c>
    </row>
    <row r="1462" customFormat="false" ht="15" hidden="false" customHeight="false" outlineLevel="0" collapsed="false">
      <c r="A1462" s="40" t="str">
        <f aca="false">IF(OR($A$4=0,INDEX('COOIS Raw'!$A:$GZ,ROW()-4,$A$4)=""),"",IFERROR(--INDEX('COOIS Raw'!$A:$GZ,ROW()-4,$A$4),INDEX('COOIS Raw'!$A:$GZ,ROW()-4,$A$4)))</f>
        <v/>
      </c>
      <c r="B1462" s="41" t="str">
        <f aca="false">IF(A1462="","",TRIM(INDEX('COOIS Raw'!$A:$GZ,ROW()-4,$B$4)))</f>
        <v/>
      </c>
      <c r="C1462" s="42" t="str">
        <f aca="false">IF(OR(A1462="",$C$4=0),"",INDEX('COOIS Raw'!$A:$GZ,ROW()-4,$C$4))</f>
        <v/>
      </c>
      <c r="D1462" s="41" t="str">
        <f aca="false">IF(A1462="","",IF($D$4=0,1,IFERROR(--INDEX('COOIS Raw'!$A:$GZ,ROW()-4,$D$4),1)))</f>
        <v/>
      </c>
      <c r="E1462" s="42" t="str">
        <f aca="false">IF(A1462="","",INDEX('COOIS Raw'!$A:$GZ,ROW()-4,$E$4)&amp;"")</f>
        <v/>
      </c>
      <c r="F1462" s="43" t="str">
        <f aca="false">IF(A1462="","",IFERROR(DATEVALUE(INDEX('COOIS Raw'!$A:$GZ,ROW()-4,$F$4)),INDEX('COOIS Raw'!$A:$GZ,ROW()-4,$F$4)))</f>
        <v/>
      </c>
      <c r="G1462" s="41" t="str">
        <f aca="false">IF(A1462="","",IF(ISNA(MATCH(B1462,'Kitting Plan'!$B$6:$B$19,0)),"Not in plan","Yes"))</f>
        <v/>
      </c>
      <c r="H1462" s="41" t="str">
        <f aca="false">IF(G1462="Yes",INDEX('Kitting Plan'!$D$6:$D$19,MATCH(B1462,'Kitting Plan'!$B$6:$B$19,0)),"")</f>
        <v/>
      </c>
      <c r="I1462" s="41" t="str">
        <f aca="false">IF(A1462="","",IF(ISNUMBER(SEARCH("PRT",E1462)),D1462,0))</f>
        <v/>
      </c>
      <c r="J1462" s="41" t="str">
        <f aca="false">IF(A1462="","",IF(ISNUMBER(SEARCH("GMPS",E1462)),D1462,0))</f>
        <v/>
      </c>
      <c r="K1462" s="41" t="str">
        <f aca="false">IF(A1462="","",IF(ISNUMBER(SEARCH("DLV",E1462)),D1462,0))</f>
        <v/>
      </c>
      <c r="L1462" s="41" t="str">
        <f aca="false">IF(A1462="","",IF(K1462&gt;0,"Delivered",IF(ISNUMBER(SEARCH("CNF",E1462)),"In production",IF(J1462&gt;0,"Issued",IF(I1462&gt;0,"Kitted","Released")))))</f>
        <v/>
      </c>
      <c r="M1462" s="41" t="str">
        <f aca="false">IF(G1462&lt;&gt;"Yes","",COUNTIFS($B$6:$B$1505,B1462,$F$6:$F$1505,"&lt;"&amp;F1462)+COUNTIFS($B$6:$B$1505,B1462,$F$6:$F$1505,F1462,$A$6:$A$1505,"&lt;="&amp;A1462))</f>
        <v/>
      </c>
      <c r="N1462" s="41" t="str">
        <f aca="false">IF(M1462="","",ROUNDUP(M1462/H1462,0))</f>
        <v/>
      </c>
      <c r="O1462" s="41" t="str">
        <f aca="false">IF(N1462="","",IF(N1462&lt;='Kitting Plan'!$C$3,"Rep "&amp;N1462,"Surplus"))</f>
        <v/>
      </c>
    </row>
    <row r="1463" customFormat="false" ht="15" hidden="false" customHeight="false" outlineLevel="0" collapsed="false">
      <c r="A1463" s="40" t="str">
        <f aca="false">IF(OR($A$4=0,INDEX('COOIS Raw'!$A:$GZ,ROW()-4,$A$4)=""),"",IFERROR(--INDEX('COOIS Raw'!$A:$GZ,ROW()-4,$A$4),INDEX('COOIS Raw'!$A:$GZ,ROW()-4,$A$4)))</f>
        <v/>
      </c>
      <c r="B1463" s="41" t="str">
        <f aca="false">IF(A1463="","",TRIM(INDEX('COOIS Raw'!$A:$GZ,ROW()-4,$B$4)))</f>
        <v/>
      </c>
      <c r="C1463" s="42" t="str">
        <f aca="false">IF(OR(A1463="",$C$4=0),"",INDEX('COOIS Raw'!$A:$GZ,ROW()-4,$C$4))</f>
        <v/>
      </c>
      <c r="D1463" s="41" t="str">
        <f aca="false">IF(A1463="","",IF($D$4=0,1,IFERROR(--INDEX('COOIS Raw'!$A:$GZ,ROW()-4,$D$4),1)))</f>
        <v/>
      </c>
      <c r="E1463" s="42" t="str">
        <f aca="false">IF(A1463="","",INDEX('COOIS Raw'!$A:$GZ,ROW()-4,$E$4)&amp;"")</f>
        <v/>
      </c>
      <c r="F1463" s="43" t="str">
        <f aca="false">IF(A1463="","",IFERROR(DATEVALUE(INDEX('COOIS Raw'!$A:$GZ,ROW()-4,$F$4)),INDEX('COOIS Raw'!$A:$GZ,ROW()-4,$F$4)))</f>
        <v/>
      </c>
      <c r="G1463" s="41" t="str">
        <f aca="false">IF(A1463="","",IF(ISNA(MATCH(B1463,'Kitting Plan'!$B$6:$B$19,0)),"Not in plan","Yes"))</f>
        <v/>
      </c>
      <c r="H1463" s="41" t="str">
        <f aca="false">IF(G1463="Yes",INDEX('Kitting Plan'!$D$6:$D$19,MATCH(B1463,'Kitting Plan'!$B$6:$B$19,0)),"")</f>
        <v/>
      </c>
      <c r="I1463" s="41" t="str">
        <f aca="false">IF(A1463="","",IF(ISNUMBER(SEARCH("PRT",E1463)),D1463,0))</f>
        <v/>
      </c>
      <c r="J1463" s="41" t="str">
        <f aca="false">IF(A1463="","",IF(ISNUMBER(SEARCH("GMPS",E1463)),D1463,0))</f>
        <v/>
      </c>
      <c r="K1463" s="41" t="str">
        <f aca="false">IF(A1463="","",IF(ISNUMBER(SEARCH("DLV",E1463)),D1463,0))</f>
        <v/>
      </c>
      <c r="L1463" s="41" t="str">
        <f aca="false">IF(A1463="","",IF(K1463&gt;0,"Delivered",IF(ISNUMBER(SEARCH("CNF",E1463)),"In production",IF(J1463&gt;0,"Issued",IF(I1463&gt;0,"Kitted","Released")))))</f>
        <v/>
      </c>
      <c r="M1463" s="41" t="str">
        <f aca="false">IF(G1463&lt;&gt;"Yes","",COUNTIFS($B$6:$B$1505,B1463,$F$6:$F$1505,"&lt;"&amp;F1463)+COUNTIFS($B$6:$B$1505,B1463,$F$6:$F$1505,F1463,$A$6:$A$1505,"&lt;="&amp;A1463))</f>
        <v/>
      </c>
      <c r="N1463" s="41" t="str">
        <f aca="false">IF(M1463="","",ROUNDUP(M1463/H1463,0))</f>
        <v/>
      </c>
      <c r="O1463" s="41" t="str">
        <f aca="false">IF(N1463="","",IF(N1463&lt;='Kitting Plan'!$C$3,"Rep "&amp;N1463,"Surplus"))</f>
        <v/>
      </c>
    </row>
    <row r="1464" customFormat="false" ht="15" hidden="false" customHeight="false" outlineLevel="0" collapsed="false">
      <c r="A1464" s="40" t="str">
        <f aca="false">IF(OR($A$4=0,INDEX('COOIS Raw'!$A:$GZ,ROW()-4,$A$4)=""),"",IFERROR(--INDEX('COOIS Raw'!$A:$GZ,ROW()-4,$A$4),INDEX('COOIS Raw'!$A:$GZ,ROW()-4,$A$4)))</f>
        <v/>
      </c>
      <c r="B1464" s="41" t="str">
        <f aca="false">IF(A1464="","",TRIM(INDEX('COOIS Raw'!$A:$GZ,ROW()-4,$B$4)))</f>
        <v/>
      </c>
      <c r="C1464" s="42" t="str">
        <f aca="false">IF(OR(A1464="",$C$4=0),"",INDEX('COOIS Raw'!$A:$GZ,ROW()-4,$C$4))</f>
        <v/>
      </c>
      <c r="D1464" s="41" t="str">
        <f aca="false">IF(A1464="","",IF($D$4=0,1,IFERROR(--INDEX('COOIS Raw'!$A:$GZ,ROW()-4,$D$4),1)))</f>
        <v/>
      </c>
      <c r="E1464" s="42" t="str">
        <f aca="false">IF(A1464="","",INDEX('COOIS Raw'!$A:$GZ,ROW()-4,$E$4)&amp;"")</f>
        <v/>
      </c>
      <c r="F1464" s="43" t="str">
        <f aca="false">IF(A1464="","",IFERROR(DATEVALUE(INDEX('COOIS Raw'!$A:$GZ,ROW()-4,$F$4)),INDEX('COOIS Raw'!$A:$GZ,ROW()-4,$F$4)))</f>
        <v/>
      </c>
      <c r="G1464" s="41" t="str">
        <f aca="false">IF(A1464="","",IF(ISNA(MATCH(B1464,'Kitting Plan'!$B$6:$B$19,0)),"Not in plan","Yes"))</f>
        <v/>
      </c>
      <c r="H1464" s="41" t="str">
        <f aca="false">IF(G1464="Yes",INDEX('Kitting Plan'!$D$6:$D$19,MATCH(B1464,'Kitting Plan'!$B$6:$B$19,0)),"")</f>
        <v/>
      </c>
      <c r="I1464" s="41" t="str">
        <f aca="false">IF(A1464="","",IF(ISNUMBER(SEARCH("PRT",E1464)),D1464,0))</f>
        <v/>
      </c>
      <c r="J1464" s="41" t="str">
        <f aca="false">IF(A1464="","",IF(ISNUMBER(SEARCH("GMPS",E1464)),D1464,0))</f>
        <v/>
      </c>
      <c r="K1464" s="41" t="str">
        <f aca="false">IF(A1464="","",IF(ISNUMBER(SEARCH("DLV",E1464)),D1464,0))</f>
        <v/>
      </c>
      <c r="L1464" s="41" t="str">
        <f aca="false">IF(A1464="","",IF(K1464&gt;0,"Delivered",IF(ISNUMBER(SEARCH("CNF",E1464)),"In production",IF(J1464&gt;0,"Issued",IF(I1464&gt;0,"Kitted","Released")))))</f>
        <v/>
      </c>
      <c r="M1464" s="41" t="str">
        <f aca="false">IF(G1464&lt;&gt;"Yes","",COUNTIFS($B$6:$B$1505,B1464,$F$6:$F$1505,"&lt;"&amp;F1464)+COUNTIFS($B$6:$B$1505,B1464,$F$6:$F$1505,F1464,$A$6:$A$1505,"&lt;="&amp;A1464))</f>
        <v/>
      </c>
      <c r="N1464" s="41" t="str">
        <f aca="false">IF(M1464="","",ROUNDUP(M1464/H1464,0))</f>
        <v/>
      </c>
      <c r="O1464" s="41" t="str">
        <f aca="false">IF(N1464="","",IF(N1464&lt;='Kitting Plan'!$C$3,"Rep "&amp;N1464,"Surplus"))</f>
        <v/>
      </c>
    </row>
    <row r="1465" customFormat="false" ht="15" hidden="false" customHeight="false" outlineLevel="0" collapsed="false">
      <c r="A1465" s="40" t="str">
        <f aca="false">IF(OR($A$4=0,INDEX('COOIS Raw'!$A:$GZ,ROW()-4,$A$4)=""),"",IFERROR(--INDEX('COOIS Raw'!$A:$GZ,ROW()-4,$A$4),INDEX('COOIS Raw'!$A:$GZ,ROW()-4,$A$4)))</f>
        <v/>
      </c>
      <c r="B1465" s="41" t="str">
        <f aca="false">IF(A1465="","",TRIM(INDEX('COOIS Raw'!$A:$GZ,ROW()-4,$B$4)))</f>
        <v/>
      </c>
      <c r="C1465" s="42" t="str">
        <f aca="false">IF(OR(A1465="",$C$4=0),"",INDEX('COOIS Raw'!$A:$GZ,ROW()-4,$C$4))</f>
        <v/>
      </c>
      <c r="D1465" s="41" t="str">
        <f aca="false">IF(A1465="","",IF($D$4=0,1,IFERROR(--INDEX('COOIS Raw'!$A:$GZ,ROW()-4,$D$4),1)))</f>
        <v/>
      </c>
      <c r="E1465" s="42" t="str">
        <f aca="false">IF(A1465="","",INDEX('COOIS Raw'!$A:$GZ,ROW()-4,$E$4)&amp;"")</f>
        <v/>
      </c>
      <c r="F1465" s="43" t="str">
        <f aca="false">IF(A1465="","",IFERROR(DATEVALUE(INDEX('COOIS Raw'!$A:$GZ,ROW()-4,$F$4)),INDEX('COOIS Raw'!$A:$GZ,ROW()-4,$F$4)))</f>
        <v/>
      </c>
      <c r="G1465" s="41" t="str">
        <f aca="false">IF(A1465="","",IF(ISNA(MATCH(B1465,'Kitting Plan'!$B$6:$B$19,0)),"Not in plan","Yes"))</f>
        <v/>
      </c>
      <c r="H1465" s="41" t="str">
        <f aca="false">IF(G1465="Yes",INDEX('Kitting Plan'!$D$6:$D$19,MATCH(B1465,'Kitting Plan'!$B$6:$B$19,0)),"")</f>
        <v/>
      </c>
      <c r="I1465" s="41" t="str">
        <f aca="false">IF(A1465="","",IF(ISNUMBER(SEARCH("PRT",E1465)),D1465,0))</f>
        <v/>
      </c>
      <c r="J1465" s="41" t="str">
        <f aca="false">IF(A1465="","",IF(ISNUMBER(SEARCH("GMPS",E1465)),D1465,0))</f>
        <v/>
      </c>
      <c r="K1465" s="41" t="str">
        <f aca="false">IF(A1465="","",IF(ISNUMBER(SEARCH("DLV",E1465)),D1465,0))</f>
        <v/>
      </c>
      <c r="L1465" s="41" t="str">
        <f aca="false">IF(A1465="","",IF(K1465&gt;0,"Delivered",IF(ISNUMBER(SEARCH("CNF",E1465)),"In production",IF(J1465&gt;0,"Issued",IF(I1465&gt;0,"Kitted","Released")))))</f>
        <v/>
      </c>
      <c r="M1465" s="41" t="str">
        <f aca="false">IF(G1465&lt;&gt;"Yes","",COUNTIFS($B$6:$B$1505,B1465,$F$6:$F$1505,"&lt;"&amp;F1465)+COUNTIFS($B$6:$B$1505,B1465,$F$6:$F$1505,F1465,$A$6:$A$1505,"&lt;="&amp;A1465))</f>
        <v/>
      </c>
      <c r="N1465" s="41" t="str">
        <f aca="false">IF(M1465="","",ROUNDUP(M1465/H1465,0))</f>
        <v/>
      </c>
      <c r="O1465" s="41" t="str">
        <f aca="false">IF(N1465="","",IF(N1465&lt;='Kitting Plan'!$C$3,"Rep "&amp;N1465,"Surplus"))</f>
        <v/>
      </c>
    </row>
    <row r="1466" customFormat="false" ht="15" hidden="false" customHeight="false" outlineLevel="0" collapsed="false">
      <c r="A1466" s="40" t="str">
        <f aca="false">IF(OR($A$4=0,INDEX('COOIS Raw'!$A:$GZ,ROW()-4,$A$4)=""),"",IFERROR(--INDEX('COOIS Raw'!$A:$GZ,ROW()-4,$A$4),INDEX('COOIS Raw'!$A:$GZ,ROW()-4,$A$4)))</f>
        <v/>
      </c>
      <c r="B1466" s="41" t="str">
        <f aca="false">IF(A1466="","",TRIM(INDEX('COOIS Raw'!$A:$GZ,ROW()-4,$B$4)))</f>
        <v/>
      </c>
      <c r="C1466" s="42" t="str">
        <f aca="false">IF(OR(A1466="",$C$4=0),"",INDEX('COOIS Raw'!$A:$GZ,ROW()-4,$C$4))</f>
        <v/>
      </c>
      <c r="D1466" s="41" t="str">
        <f aca="false">IF(A1466="","",IF($D$4=0,1,IFERROR(--INDEX('COOIS Raw'!$A:$GZ,ROW()-4,$D$4),1)))</f>
        <v/>
      </c>
      <c r="E1466" s="42" t="str">
        <f aca="false">IF(A1466="","",INDEX('COOIS Raw'!$A:$GZ,ROW()-4,$E$4)&amp;"")</f>
        <v/>
      </c>
      <c r="F1466" s="43" t="str">
        <f aca="false">IF(A1466="","",IFERROR(DATEVALUE(INDEX('COOIS Raw'!$A:$GZ,ROW()-4,$F$4)),INDEX('COOIS Raw'!$A:$GZ,ROW()-4,$F$4)))</f>
        <v/>
      </c>
      <c r="G1466" s="41" t="str">
        <f aca="false">IF(A1466="","",IF(ISNA(MATCH(B1466,'Kitting Plan'!$B$6:$B$19,0)),"Not in plan","Yes"))</f>
        <v/>
      </c>
      <c r="H1466" s="41" t="str">
        <f aca="false">IF(G1466="Yes",INDEX('Kitting Plan'!$D$6:$D$19,MATCH(B1466,'Kitting Plan'!$B$6:$B$19,0)),"")</f>
        <v/>
      </c>
      <c r="I1466" s="41" t="str">
        <f aca="false">IF(A1466="","",IF(ISNUMBER(SEARCH("PRT",E1466)),D1466,0))</f>
        <v/>
      </c>
      <c r="J1466" s="41" t="str">
        <f aca="false">IF(A1466="","",IF(ISNUMBER(SEARCH("GMPS",E1466)),D1466,0))</f>
        <v/>
      </c>
      <c r="K1466" s="41" t="str">
        <f aca="false">IF(A1466="","",IF(ISNUMBER(SEARCH("DLV",E1466)),D1466,0))</f>
        <v/>
      </c>
      <c r="L1466" s="41" t="str">
        <f aca="false">IF(A1466="","",IF(K1466&gt;0,"Delivered",IF(ISNUMBER(SEARCH("CNF",E1466)),"In production",IF(J1466&gt;0,"Issued",IF(I1466&gt;0,"Kitted","Released")))))</f>
        <v/>
      </c>
      <c r="M1466" s="41" t="str">
        <f aca="false">IF(G1466&lt;&gt;"Yes","",COUNTIFS($B$6:$B$1505,B1466,$F$6:$F$1505,"&lt;"&amp;F1466)+COUNTIFS($B$6:$B$1505,B1466,$F$6:$F$1505,F1466,$A$6:$A$1505,"&lt;="&amp;A1466))</f>
        <v/>
      </c>
      <c r="N1466" s="41" t="str">
        <f aca="false">IF(M1466="","",ROUNDUP(M1466/H1466,0))</f>
        <v/>
      </c>
      <c r="O1466" s="41" t="str">
        <f aca="false">IF(N1466="","",IF(N1466&lt;='Kitting Plan'!$C$3,"Rep "&amp;N1466,"Surplus"))</f>
        <v/>
      </c>
    </row>
    <row r="1467" customFormat="false" ht="15" hidden="false" customHeight="false" outlineLevel="0" collapsed="false">
      <c r="A1467" s="40" t="str">
        <f aca="false">IF(OR($A$4=0,INDEX('COOIS Raw'!$A:$GZ,ROW()-4,$A$4)=""),"",IFERROR(--INDEX('COOIS Raw'!$A:$GZ,ROW()-4,$A$4),INDEX('COOIS Raw'!$A:$GZ,ROW()-4,$A$4)))</f>
        <v/>
      </c>
      <c r="B1467" s="41" t="str">
        <f aca="false">IF(A1467="","",TRIM(INDEX('COOIS Raw'!$A:$GZ,ROW()-4,$B$4)))</f>
        <v/>
      </c>
      <c r="C1467" s="42" t="str">
        <f aca="false">IF(OR(A1467="",$C$4=0),"",INDEX('COOIS Raw'!$A:$GZ,ROW()-4,$C$4))</f>
        <v/>
      </c>
      <c r="D1467" s="41" t="str">
        <f aca="false">IF(A1467="","",IF($D$4=0,1,IFERROR(--INDEX('COOIS Raw'!$A:$GZ,ROW()-4,$D$4),1)))</f>
        <v/>
      </c>
      <c r="E1467" s="42" t="str">
        <f aca="false">IF(A1467="","",INDEX('COOIS Raw'!$A:$GZ,ROW()-4,$E$4)&amp;"")</f>
        <v/>
      </c>
      <c r="F1467" s="43" t="str">
        <f aca="false">IF(A1467="","",IFERROR(DATEVALUE(INDEX('COOIS Raw'!$A:$GZ,ROW()-4,$F$4)),INDEX('COOIS Raw'!$A:$GZ,ROW()-4,$F$4)))</f>
        <v/>
      </c>
      <c r="G1467" s="41" t="str">
        <f aca="false">IF(A1467="","",IF(ISNA(MATCH(B1467,'Kitting Plan'!$B$6:$B$19,0)),"Not in plan","Yes"))</f>
        <v/>
      </c>
      <c r="H1467" s="41" t="str">
        <f aca="false">IF(G1467="Yes",INDEX('Kitting Plan'!$D$6:$D$19,MATCH(B1467,'Kitting Plan'!$B$6:$B$19,0)),"")</f>
        <v/>
      </c>
      <c r="I1467" s="41" t="str">
        <f aca="false">IF(A1467="","",IF(ISNUMBER(SEARCH("PRT",E1467)),D1467,0))</f>
        <v/>
      </c>
      <c r="J1467" s="41" t="str">
        <f aca="false">IF(A1467="","",IF(ISNUMBER(SEARCH("GMPS",E1467)),D1467,0))</f>
        <v/>
      </c>
      <c r="K1467" s="41" t="str">
        <f aca="false">IF(A1467="","",IF(ISNUMBER(SEARCH("DLV",E1467)),D1467,0))</f>
        <v/>
      </c>
      <c r="L1467" s="41" t="str">
        <f aca="false">IF(A1467="","",IF(K1467&gt;0,"Delivered",IF(ISNUMBER(SEARCH("CNF",E1467)),"In production",IF(J1467&gt;0,"Issued",IF(I1467&gt;0,"Kitted","Released")))))</f>
        <v/>
      </c>
      <c r="M1467" s="41" t="str">
        <f aca="false">IF(G1467&lt;&gt;"Yes","",COUNTIFS($B$6:$B$1505,B1467,$F$6:$F$1505,"&lt;"&amp;F1467)+COUNTIFS($B$6:$B$1505,B1467,$F$6:$F$1505,F1467,$A$6:$A$1505,"&lt;="&amp;A1467))</f>
        <v/>
      </c>
      <c r="N1467" s="41" t="str">
        <f aca="false">IF(M1467="","",ROUNDUP(M1467/H1467,0))</f>
        <v/>
      </c>
      <c r="O1467" s="41" t="str">
        <f aca="false">IF(N1467="","",IF(N1467&lt;='Kitting Plan'!$C$3,"Rep "&amp;N1467,"Surplus"))</f>
        <v/>
      </c>
    </row>
    <row r="1468" customFormat="false" ht="15" hidden="false" customHeight="false" outlineLevel="0" collapsed="false">
      <c r="A1468" s="40" t="str">
        <f aca="false">IF(OR($A$4=0,INDEX('COOIS Raw'!$A:$GZ,ROW()-4,$A$4)=""),"",IFERROR(--INDEX('COOIS Raw'!$A:$GZ,ROW()-4,$A$4),INDEX('COOIS Raw'!$A:$GZ,ROW()-4,$A$4)))</f>
        <v/>
      </c>
      <c r="B1468" s="41" t="str">
        <f aca="false">IF(A1468="","",TRIM(INDEX('COOIS Raw'!$A:$GZ,ROW()-4,$B$4)))</f>
        <v/>
      </c>
      <c r="C1468" s="42" t="str">
        <f aca="false">IF(OR(A1468="",$C$4=0),"",INDEX('COOIS Raw'!$A:$GZ,ROW()-4,$C$4))</f>
        <v/>
      </c>
      <c r="D1468" s="41" t="str">
        <f aca="false">IF(A1468="","",IF($D$4=0,1,IFERROR(--INDEX('COOIS Raw'!$A:$GZ,ROW()-4,$D$4),1)))</f>
        <v/>
      </c>
      <c r="E1468" s="42" t="str">
        <f aca="false">IF(A1468="","",INDEX('COOIS Raw'!$A:$GZ,ROW()-4,$E$4)&amp;"")</f>
        <v/>
      </c>
      <c r="F1468" s="43" t="str">
        <f aca="false">IF(A1468="","",IFERROR(DATEVALUE(INDEX('COOIS Raw'!$A:$GZ,ROW()-4,$F$4)),INDEX('COOIS Raw'!$A:$GZ,ROW()-4,$F$4)))</f>
        <v/>
      </c>
      <c r="G1468" s="41" t="str">
        <f aca="false">IF(A1468="","",IF(ISNA(MATCH(B1468,'Kitting Plan'!$B$6:$B$19,0)),"Not in plan","Yes"))</f>
        <v/>
      </c>
      <c r="H1468" s="41" t="str">
        <f aca="false">IF(G1468="Yes",INDEX('Kitting Plan'!$D$6:$D$19,MATCH(B1468,'Kitting Plan'!$B$6:$B$19,0)),"")</f>
        <v/>
      </c>
      <c r="I1468" s="41" t="str">
        <f aca="false">IF(A1468="","",IF(ISNUMBER(SEARCH("PRT",E1468)),D1468,0))</f>
        <v/>
      </c>
      <c r="J1468" s="41" t="str">
        <f aca="false">IF(A1468="","",IF(ISNUMBER(SEARCH("GMPS",E1468)),D1468,0))</f>
        <v/>
      </c>
      <c r="K1468" s="41" t="str">
        <f aca="false">IF(A1468="","",IF(ISNUMBER(SEARCH("DLV",E1468)),D1468,0))</f>
        <v/>
      </c>
      <c r="L1468" s="41" t="str">
        <f aca="false">IF(A1468="","",IF(K1468&gt;0,"Delivered",IF(ISNUMBER(SEARCH("CNF",E1468)),"In production",IF(J1468&gt;0,"Issued",IF(I1468&gt;0,"Kitted","Released")))))</f>
        <v/>
      </c>
      <c r="M1468" s="41" t="str">
        <f aca="false">IF(G1468&lt;&gt;"Yes","",COUNTIFS($B$6:$B$1505,B1468,$F$6:$F$1505,"&lt;"&amp;F1468)+COUNTIFS($B$6:$B$1505,B1468,$F$6:$F$1505,F1468,$A$6:$A$1505,"&lt;="&amp;A1468))</f>
        <v/>
      </c>
      <c r="N1468" s="41" t="str">
        <f aca="false">IF(M1468="","",ROUNDUP(M1468/H1468,0))</f>
        <v/>
      </c>
      <c r="O1468" s="41" t="str">
        <f aca="false">IF(N1468="","",IF(N1468&lt;='Kitting Plan'!$C$3,"Rep "&amp;N1468,"Surplus"))</f>
        <v/>
      </c>
    </row>
    <row r="1469" customFormat="false" ht="15" hidden="false" customHeight="false" outlineLevel="0" collapsed="false">
      <c r="A1469" s="40" t="str">
        <f aca="false">IF(OR($A$4=0,INDEX('COOIS Raw'!$A:$GZ,ROW()-4,$A$4)=""),"",IFERROR(--INDEX('COOIS Raw'!$A:$GZ,ROW()-4,$A$4),INDEX('COOIS Raw'!$A:$GZ,ROW()-4,$A$4)))</f>
        <v/>
      </c>
      <c r="B1469" s="41" t="str">
        <f aca="false">IF(A1469="","",TRIM(INDEX('COOIS Raw'!$A:$GZ,ROW()-4,$B$4)))</f>
        <v/>
      </c>
      <c r="C1469" s="42" t="str">
        <f aca="false">IF(OR(A1469="",$C$4=0),"",INDEX('COOIS Raw'!$A:$GZ,ROW()-4,$C$4))</f>
        <v/>
      </c>
      <c r="D1469" s="41" t="str">
        <f aca="false">IF(A1469="","",IF($D$4=0,1,IFERROR(--INDEX('COOIS Raw'!$A:$GZ,ROW()-4,$D$4),1)))</f>
        <v/>
      </c>
      <c r="E1469" s="42" t="str">
        <f aca="false">IF(A1469="","",INDEX('COOIS Raw'!$A:$GZ,ROW()-4,$E$4)&amp;"")</f>
        <v/>
      </c>
      <c r="F1469" s="43" t="str">
        <f aca="false">IF(A1469="","",IFERROR(DATEVALUE(INDEX('COOIS Raw'!$A:$GZ,ROW()-4,$F$4)),INDEX('COOIS Raw'!$A:$GZ,ROW()-4,$F$4)))</f>
        <v/>
      </c>
      <c r="G1469" s="41" t="str">
        <f aca="false">IF(A1469="","",IF(ISNA(MATCH(B1469,'Kitting Plan'!$B$6:$B$19,0)),"Not in plan","Yes"))</f>
        <v/>
      </c>
      <c r="H1469" s="41" t="str">
        <f aca="false">IF(G1469="Yes",INDEX('Kitting Plan'!$D$6:$D$19,MATCH(B1469,'Kitting Plan'!$B$6:$B$19,0)),"")</f>
        <v/>
      </c>
      <c r="I1469" s="41" t="str">
        <f aca="false">IF(A1469="","",IF(ISNUMBER(SEARCH("PRT",E1469)),D1469,0))</f>
        <v/>
      </c>
      <c r="J1469" s="41" t="str">
        <f aca="false">IF(A1469="","",IF(ISNUMBER(SEARCH("GMPS",E1469)),D1469,0))</f>
        <v/>
      </c>
      <c r="K1469" s="41" t="str">
        <f aca="false">IF(A1469="","",IF(ISNUMBER(SEARCH("DLV",E1469)),D1469,0))</f>
        <v/>
      </c>
      <c r="L1469" s="41" t="str">
        <f aca="false">IF(A1469="","",IF(K1469&gt;0,"Delivered",IF(ISNUMBER(SEARCH("CNF",E1469)),"In production",IF(J1469&gt;0,"Issued",IF(I1469&gt;0,"Kitted","Released")))))</f>
        <v/>
      </c>
      <c r="M1469" s="41" t="str">
        <f aca="false">IF(G1469&lt;&gt;"Yes","",COUNTIFS($B$6:$B$1505,B1469,$F$6:$F$1505,"&lt;"&amp;F1469)+COUNTIFS($B$6:$B$1505,B1469,$F$6:$F$1505,F1469,$A$6:$A$1505,"&lt;="&amp;A1469))</f>
        <v/>
      </c>
      <c r="N1469" s="41" t="str">
        <f aca="false">IF(M1469="","",ROUNDUP(M1469/H1469,0))</f>
        <v/>
      </c>
      <c r="O1469" s="41" t="str">
        <f aca="false">IF(N1469="","",IF(N1469&lt;='Kitting Plan'!$C$3,"Rep "&amp;N1469,"Surplus"))</f>
        <v/>
      </c>
    </row>
    <row r="1470" customFormat="false" ht="15" hidden="false" customHeight="false" outlineLevel="0" collapsed="false">
      <c r="A1470" s="40" t="str">
        <f aca="false">IF(OR($A$4=0,INDEX('COOIS Raw'!$A:$GZ,ROW()-4,$A$4)=""),"",IFERROR(--INDEX('COOIS Raw'!$A:$GZ,ROW()-4,$A$4),INDEX('COOIS Raw'!$A:$GZ,ROW()-4,$A$4)))</f>
        <v/>
      </c>
      <c r="B1470" s="41" t="str">
        <f aca="false">IF(A1470="","",TRIM(INDEX('COOIS Raw'!$A:$GZ,ROW()-4,$B$4)))</f>
        <v/>
      </c>
      <c r="C1470" s="42" t="str">
        <f aca="false">IF(OR(A1470="",$C$4=0),"",INDEX('COOIS Raw'!$A:$GZ,ROW()-4,$C$4))</f>
        <v/>
      </c>
      <c r="D1470" s="41" t="str">
        <f aca="false">IF(A1470="","",IF($D$4=0,1,IFERROR(--INDEX('COOIS Raw'!$A:$GZ,ROW()-4,$D$4),1)))</f>
        <v/>
      </c>
      <c r="E1470" s="42" t="str">
        <f aca="false">IF(A1470="","",INDEX('COOIS Raw'!$A:$GZ,ROW()-4,$E$4)&amp;"")</f>
        <v/>
      </c>
      <c r="F1470" s="43" t="str">
        <f aca="false">IF(A1470="","",IFERROR(DATEVALUE(INDEX('COOIS Raw'!$A:$GZ,ROW()-4,$F$4)),INDEX('COOIS Raw'!$A:$GZ,ROW()-4,$F$4)))</f>
        <v/>
      </c>
      <c r="G1470" s="41" t="str">
        <f aca="false">IF(A1470="","",IF(ISNA(MATCH(B1470,'Kitting Plan'!$B$6:$B$19,0)),"Not in plan","Yes"))</f>
        <v/>
      </c>
      <c r="H1470" s="41" t="str">
        <f aca="false">IF(G1470="Yes",INDEX('Kitting Plan'!$D$6:$D$19,MATCH(B1470,'Kitting Plan'!$B$6:$B$19,0)),"")</f>
        <v/>
      </c>
      <c r="I1470" s="41" t="str">
        <f aca="false">IF(A1470="","",IF(ISNUMBER(SEARCH("PRT",E1470)),D1470,0))</f>
        <v/>
      </c>
      <c r="J1470" s="41" t="str">
        <f aca="false">IF(A1470="","",IF(ISNUMBER(SEARCH("GMPS",E1470)),D1470,0))</f>
        <v/>
      </c>
      <c r="K1470" s="41" t="str">
        <f aca="false">IF(A1470="","",IF(ISNUMBER(SEARCH("DLV",E1470)),D1470,0))</f>
        <v/>
      </c>
      <c r="L1470" s="41" t="str">
        <f aca="false">IF(A1470="","",IF(K1470&gt;0,"Delivered",IF(ISNUMBER(SEARCH("CNF",E1470)),"In production",IF(J1470&gt;0,"Issued",IF(I1470&gt;0,"Kitted","Released")))))</f>
        <v/>
      </c>
      <c r="M1470" s="41" t="str">
        <f aca="false">IF(G1470&lt;&gt;"Yes","",COUNTIFS($B$6:$B$1505,B1470,$F$6:$F$1505,"&lt;"&amp;F1470)+COUNTIFS($B$6:$B$1505,B1470,$F$6:$F$1505,F1470,$A$6:$A$1505,"&lt;="&amp;A1470))</f>
        <v/>
      </c>
      <c r="N1470" s="41" t="str">
        <f aca="false">IF(M1470="","",ROUNDUP(M1470/H1470,0))</f>
        <v/>
      </c>
      <c r="O1470" s="41" t="str">
        <f aca="false">IF(N1470="","",IF(N1470&lt;='Kitting Plan'!$C$3,"Rep "&amp;N1470,"Surplus"))</f>
        <v/>
      </c>
    </row>
    <row r="1471" customFormat="false" ht="15" hidden="false" customHeight="false" outlineLevel="0" collapsed="false">
      <c r="A1471" s="40" t="str">
        <f aca="false">IF(OR($A$4=0,INDEX('COOIS Raw'!$A:$GZ,ROW()-4,$A$4)=""),"",IFERROR(--INDEX('COOIS Raw'!$A:$GZ,ROW()-4,$A$4),INDEX('COOIS Raw'!$A:$GZ,ROW()-4,$A$4)))</f>
        <v/>
      </c>
      <c r="B1471" s="41" t="str">
        <f aca="false">IF(A1471="","",TRIM(INDEX('COOIS Raw'!$A:$GZ,ROW()-4,$B$4)))</f>
        <v/>
      </c>
      <c r="C1471" s="42" t="str">
        <f aca="false">IF(OR(A1471="",$C$4=0),"",INDEX('COOIS Raw'!$A:$GZ,ROW()-4,$C$4))</f>
        <v/>
      </c>
      <c r="D1471" s="41" t="str">
        <f aca="false">IF(A1471="","",IF($D$4=0,1,IFERROR(--INDEX('COOIS Raw'!$A:$GZ,ROW()-4,$D$4),1)))</f>
        <v/>
      </c>
      <c r="E1471" s="42" t="str">
        <f aca="false">IF(A1471="","",INDEX('COOIS Raw'!$A:$GZ,ROW()-4,$E$4)&amp;"")</f>
        <v/>
      </c>
      <c r="F1471" s="43" t="str">
        <f aca="false">IF(A1471="","",IFERROR(DATEVALUE(INDEX('COOIS Raw'!$A:$GZ,ROW()-4,$F$4)),INDEX('COOIS Raw'!$A:$GZ,ROW()-4,$F$4)))</f>
        <v/>
      </c>
      <c r="G1471" s="41" t="str">
        <f aca="false">IF(A1471="","",IF(ISNA(MATCH(B1471,'Kitting Plan'!$B$6:$B$19,0)),"Not in plan","Yes"))</f>
        <v/>
      </c>
      <c r="H1471" s="41" t="str">
        <f aca="false">IF(G1471="Yes",INDEX('Kitting Plan'!$D$6:$D$19,MATCH(B1471,'Kitting Plan'!$B$6:$B$19,0)),"")</f>
        <v/>
      </c>
      <c r="I1471" s="41" t="str">
        <f aca="false">IF(A1471="","",IF(ISNUMBER(SEARCH("PRT",E1471)),D1471,0))</f>
        <v/>
      </c>
      <c r="J1471" s="41" t="str">
        <f aca="false">IF(A1471="","",IF(ISNUMBER(SEARCH("GMPS",E1471)),D1471,0))</f>
        <v/>
      </c>
      <c r="K1471" s="41" t="str">
        <f aca="false">IF(A1471="","",IF(ISNUMBER(SEARCH("DLV",E1471)),D1471,0))</f>
        <v/>
      </c>
      <c r="L1471" s="41" t="str">
        <f aca="false">IF(A1471="","",IF(K1471&gt;0,"Delivered",IF(ISNUMBER(SEARCH("CNF",E1471)),"In production",IF(J1471&gt;0,"Issued",IF(I1471&gt;0,"Kitted","Released")))))</f>
        <v/>
      </c>
      <c r="M1471" s="41" t="str">
        <f aca="false">IF(G1471&lt;&gt;"Yes","",COUNTIFS($B$6:$B$1505,B1471,$F$6:$F$1505,"&lt;"&amp;F1471)+COUNTIFS($B$6:$B$1505,B1471,$F$6:$F$1505,F1471,$A$6:$A$1505,"&lt;="&amp;A1471))</f>
        <v/>
      </c>
      <c r="N1471" s="41" t="str">
        <f aca="false">IF(M1471="","",ROUNDUP(M1471/H1471,0))</f>
        <v/>
      </c>
      <c r="O1471" s="41" t="str">
        <f aca="false">IF(N1471="","",IF(N1471&lt;='Kitting Plan'!$C$3,"Rep "&amp;N1471,"Surplus"))</f>
        <v/>
      </c>
    </row>
    <row r="1472" customFormat="false" ht="15" hidden="false" customHeight="false" outlineLevel="0" collapsed="false">
      <c r="A1472" s="40" t="str">
        <f aca="false">IF(OR($A$4=0,INDEX('COOIS Raw'!$A:$GZ,ROW()-4,$A$4)=""),"",IFERROR(--INDEX('COOIS Raw'!$A:$GZ,ROW()-4,$A$4),INDEX('COOIS Raw'!$A:$GZ,ROW()-4,$A$4)))</f>
        <v/>
      </c>
      <c r="B1472" s="41" t="str">
        <f aca="false">IF(A1472="","",TRIM(INDEX('COOIS Raw'!$A:$GZ,ROW()-4,$B$4)))</f>
        <v/>
      </c>
      <c r="C1472" s="42" t="str">
        <f aca="false">IF(OR(A1472="",$C$4=0),"",INDEX('COOIS Raw'!$A:$GZ,ROW()-4,$C$4))</f>
        <v/>
      </c>
      <c r="D1472" s="41" t="str">
        <f aca="false">IF(A1472="","",IF($D$4=0,1,IFERROR(--INDEX('COOIS Raw'!$A:$GZ,ROW()-4,$D$4),1)))</f>
        <v/>
      </c>
      <c r="E1472" s="42" t="str">
        <f aca="false">IF(A1472="","",INDEX('COOIS Raw'!$A:$GZ,ROW()-4,$E$4)&amp;"")</f>
        <v/>
      </c>
      <c r="F1472" s="43" t="str">
        <f aca="false">IF(A1472="","",IFERROR(DATEVALUE(INDEX('COOIS Raw'!$A:$GZ,ROW()-4,$F$4)),INDEX('COOIS Raw'!$A:$GZ,ROW()-4,$F$4)))</f>
        <v/>
      </c>
      <c r="G1472" s="41" t="str">
        <f aca="false">IF(A1472="","",IF(ISNA(MATCH(B1472,'Kitting Plan'!$B$6:$B$19,0)),"Not in plan","Yes"))</f>
        <v/>
      </c>
      <c r="H1472" s="41" t="str">
        <f aca="false">IF(G1472="Yes",INDEX('Kitting Plan'!$D$6:$D$19,MATCH(B1472,'Kitting Plan'!$B$6:$B$19,0)),"")</f>
        <v/>
      </c>
      <c r="I1472" s="41" t="str">
        <f aca="false">IF(A1472="","",IF(ISNUMBER(SEARCH("PRT",E1472)),D1472,0))</f>
        <v/>
      </c>
      <c r="J1472" s="41" t="str">
        <f aca="false">IF(A1472="","",IF(ISNUMBER(SEARCH("GMPS",E1472)),D1472,0))</f>
        <v/>
      </c>
      <c r="K1472" s="41" t="str">
        <f aca="false">IF(A1472="","",IF(ISNUMBER(SEARCH("DLV",E1472)),D1472,0))</f>
        <v/>
      </c>
      <c r="L1472" s="41" t="str">
        <f aca="false">IF(A1472="","",IF(K1472&gt;0,"Delivered",IF(ISNUMBER(SEARCH("CNF",E1472)),"In production",IF(J1472&gt;0,"Issued",IF(I1472&gt;0,"Kitted","Released")))))</f>
        <v/>
      </c>
      <c r="M1472" s="41" t="str">
        <f aca="false">IF(G1472&lt;&gt;"Yes","",COUNTIFS($B$6:$B$1505,B1472,$F$6:$F$1505,"&lt;"&amp;F1472)+COUNTIFS($B$6:$B$1505,B1472,$F$6:$F$1505,F1472,$A$6:$A$1505,"&lt;="&amp;A1472))</f>
        <v/>
      </c>
      <c r="N1472" s="41" t="str">
        <f aca="false">IF(M1472="","",ROUNDUP(M1472/H1472,0))</f>
        <v/>
      </c>
      <c r="O1472" s="41" t="str">
        <f aca="false">IF(N1472="","",IF(N1472&lt;='Kitting Plan'!$C$3,"Rep "&amp;N1472,"Surplus"))</f>
        <v/>
      </c>
    </row>
    <row r="1473" customFormat="false" ht="15" hidden="false" customHeight="false" outlineLevel="0" collapsed="false">
      <c r="A1473" s="40" t="str">
        <f aca="false">IF(OR($A$4=0,INDEX('COOIS Raw'!$A:$GZ,ROW()-4,$A$4)=""),"",IFERROR(--INDEX('COOIS Raw'!$A:$GZ,ROW()-4,$A$4),INDEX('COOIS Raw'!$A:$GZ,ROW()-4,$A$4)))</f>
        <v/>
      </c>
      <c r="B1473" s="41" t="str">
        <f aca="false">IF(A1473="","",TRIM(INDEX('COOIS Raw'!$A:$GZ,ROW()-4,$B$4)))</f>
        <v/>
      </c>
      <c r="C1473" s="42" t="str">
        <f aca="false">IF(OR(A1473="",$C$4=0),"",INDEX('COOIS Raw'!$A:$GZ,ROW()-4,$C$4))</f>
        <v/>
      </c>
      <c r="D1473" s="41" t="str">
        <f aca="false">IF(A1473="","",IF($D$4=0,1,IFERROR(--INDEX('COOIS Raw'!$A:$GZ,ROW()-4,$D$4),1)))</f>
        <v/>
      </c>
      <c r="E1473" s="42" t="str">
        <f aca="false">IF(A1473="","",INDEX('COOIS Raw'!$A:$GZ,ROW()-4,$E$4)&amp;"")</f>
        <v/>
      </c>
      <c r="F1473" s="43" t="str">
        <f aca="false">IF(A1473="","",IFERROR(DATEVALUE(INDEX('COOIS Raw'!$A:$GZ,ROW()-4,$F$4)),INDEX('COOIS Raw'!$A:$GZ,ROW()-4,$F$4)))</f>
        <v/>
      </c>
      <c r="G1473" s="41" t="str">
        <f aca="false">IF(A1473="","",IF(ISNA(MATCH(B1473,'Kitting Plan'!$B$6:$B$19,0)),"Not in plan","Yes"))</f>
        <v/>
      </c>
      <c r="H1473" s="41" t="str">
        <f aca="false">IF(G1473="Yes",INDEX('Kitting Plan'!$D$6:$D$19,MATCH(B1473,'Kitting Plan'!$B$6:$B$19,0)),"")</f>
        <v/>
      </c>
      <c r="I1473" s="41" t="str">
        <f aca="false">IF(A1473="","",IF(ISNUMBER(SEARCH("PRT",E1473)),D1473,0))</f>
        <v/>
      </c>
      <c r="J1473" s="41" t="str">
        <f aca="false">IF(A1473="","",IF(ISNUMBER(SEARCH("GMPS",E1473)),D1473,0))</f>
        <v/>
      </c>
      <c r="K1473" s="41" t="str">
        <f aca="false">IF(A1473="","",IF(ISNUMBER(SEARCH("DLV",E1473)),D1473,0))</f>
        <v/>
      </c>
      <c r="L1473" s="41" t="str">
        <f aca="false">IF(A1473="","",IF(K1473&gt;0,"Delivered",IF(ISNUMBER(SEARCH("CNF",E1473)),"In production",IF(J1473&gt;0,"Issued",IF(I1473&gt;0,"Kitted","Released")))))</f>
        <v/>
      </c>
      <c r="M1473" s="41" t="str">
        <f aca="false">IF(G1473&lt;&gt;"Yes","",COUNTIFS($B$6:$B$1505,B1473,$F$6:$F$1505,"&lt;"&amp;F1473)+COUNTIFS($B$6:$B$1505,B1473,$F$6:$F$1505,F1473,$A$6:$A$1505,"&lt;="&amp;A1473))</f>
        <v/>
      </c>
      <c r="N1473" s="41" t="str">
        <f aca="false">IF(M1473="","",ROUNDUP(M1473/H1473,0))</f>
        <v/>
      </c>
      <c r="O1473" s="41" t="str">
        <f aca="false">IF(N1473="","",IF(N1473&lt;='Kitting Plan'!$C$3,"Rep "&amp;N1473,"Surplus"))</f>
        <v/>
      </c>
    </row>
    <row r="1474" customFormat="false" ht="15" hidden="false" customHeight="false" outlineLevel="0" collapsed="false">
      <c r="A1474" s="40" t="str">
        <f aca="false">IF(OR($A$4=0,INDEX('COOIS Raw'!$A:$GZ,ROW()-4,$A$4)=""),"",IFERROR(--INDEX('COOIS Raw'!$A:$GZ,ROW()-4,$A$4),INDEX('COOIS Raw'!$A:$GZ,ROW()-4,$A$4)))</f>
        <v/>
      </c>
      <c r="B1474" s="41" t="str">
        <f aca="false">IF(A1474="","",TRIM(INDEX('COOIS Raw'!$A:$GZ,ROW()-4,$B$4)))</f>
        <v/>
      </c>
      <c r="C1474" s="42" t="str">
        <f aca="false">IF(OR(A1474="",$C$4=0),"",INDEX('COOIS Raw'!$A:$GZ,ROW()-4,$C$4))</f>
        <v/>
      </c>
      <c r="D1474" s="41" t="str">
        <f aca="false">IF(A1474="","",IF($D$4=0,1,IFERROR(--INDEX('COOIS Raw'!$A:$GZ,ROW()-4,$D$4),1)))</f>
        <v/>
      </c>
      <c r="E1474" s="42" t="str">
        <f aca="false">IF(A1474="","",INDEX('COOIS Raw'!$A:$GZ,ROW()-4,$E$4)&amp;"")</f>
        <v/>
      </c>
      <c r="F1474" s="43" t="str">
        <f aca="false">IF(A1474="","",IFERROR(DATEVALUE(INDEX('COOIS Raw'!$A:$GZ,ROW()-4,$F$4)),INDEX('COOIS Raw'!$A:$GZ,ROW()-4,$F$4)))</f>
        <v/>
      </c>
      <c r="G1474" s="41" t="str">
        <f aca="false">IF(A1474="","",IF(ISNA(MATCH(B1474,'Kitting Plan'!$B$6:$B$19,0)),"Not in plan","Yes"))</f>
        <v/>
      </c>
      <c r="H1474" s="41" t="str">
        <f aca="false">IF(G1474="Yes",INDEX('Kitting Plan'!$D$6:$D$19,MATCH(B1474,'Kitting Plan'!$B$6:$B$19,0)),"")</f>
        <v/>
      </c>
      <c r="I1474" s="41" t="str">
        <f aca="false">IF(A1474="","",IF(ISNUMBER(SEARCH("PRT",E1474)),D1474,0))</f>
        <v/>
      </c>
      <c r="J1474" s="41" t="str">
        <f aca="false">IF(A1474="","",IF(ISNUMBER(SEARCH("GMPS",E1474)),D1474,0))</f>
        <v/>
      </c>
      <c r="K1474" s="41" t="str">
        <f aca="false">IF(A1474="","",IF(ISNUMBER(SEARCH("DLV",E1474)),D1474,0))</f>
        <v/>
      </c>
      <c r="L1474" s="41" t="str">
        <f aca="false">IF(A1474="","",IF(K1474&gt;0,"Delivered",IF(ISNUMBER(SEARCH("CNF",E1474)),"In production",IF(J1474&gt;0,"Issued",IF(I1474&gt;0,"Kitted","Released")))))</f>
        <v/>
      </c>
      <c r="M1474" s="41" t="str">
        <f aca="false">IF(G1474&lt;&gt;"Yes","",COUNTIFS($B$6:$B$1505,B1474,$F$6:$F$1505,"&lt;"&amp;F1474)+COUNTIFS($B$6:$B$1505,B1474,$F$6:$F$1505,F1474,$A$6:$A$1505,"&lt;="&amp;A1474))</f>
        <v/>
      </c>
      <c r="N1474" s="41" t="str">
        <f aca="false">IF(M1474="","",ROUNDUP(M1474/H1474,0))</f>
        <v/>
      </c>
      <c r="O1474" s="41" t="str">
        <f aca="false">IF(N1474="","",IF(N1474&lt;='Kitting Plan'!$C$3,"Rep "&amp;N1474,"Surplus"))</f>
        <v/>
      </c>
    </row>
    <row r="1475" customFormat="false" ht="15" hidden="false" customHeight="false" outlineLevel="0" collapsed="false">
      <c r="A1475" s="40" t="str">
        <f aca="false">IF(OR($A$4=0,INDEX('COOIS Raw'!$A:$GZ,ROW()-4,$A$4)=""),"",IFERROR(--INDEX('COOIS Raw'!$A:$GZ,ROW()-4,$A$4),INDEX('COOIS Raw'!$A:$GZ,ROW()-4,$A$4)))</f>
        <v/>
      </c>
      <c r="B1475" s="41" t="str">
        <f aca="false">IF(A1475="","",TRIM(INDEX('COOIS Raw'!$A:$GZ,ROW()-4,$B$4)))</f>
        <v/>
      </c>
      <c r="C1475" s="42" t="str">
        <f aca="false">IF(OR(A1475="",$C$4=0),"",INDEX('COOIS Raw'!$A:$GZ,ROW()-4,$C$4))</f>
        <v/>
      </c>
      <c r="D1475" s="41" t="str">
        <f aca="false">IF(A1475="","",IF($D$4=0,1,IFERROR(--INDEX('COOIS Raw'!$A:$GZ,ROW()-4,$D$4),1)))</f>
        <v/>
      </c>
      <c r="E1475" s="42" t="str">
        <f aca="false">IF(A1475="","",INDEX('COOIS Raw'!$A:$GZ,ROW()-4,$E$4)&amp;"")</f>
        <v/>
      </c>
      <c r="F1475" s="43" t="str">
        <f aca="false">IF(A1475="","",IFERROR(DATEVALUE(INDEX('COOIS Raw'!$A:$GZ,ROW()-4,$F$4)),INDEX('COOIS Raw'!$A:$GZ,ROW()-4,$F$4)))</f>
        <v/>
      </c>
      <c r="G1475" s="41" t="str">
        <f aca="false">IF(A1475="","",IF(ISNA(MATCH(B1475,'Kitting Plan'!$B$6:$B$19,0)),"Not in plan","Yes"))</f>
        <v/>
      </c>
      <c r="H1475" s="41" t="str">
        <f aca="false">IF(G1475="Yes",INDEX('Kitting Plan'!$D$6:$D$19,MATCH(B1475,'Kitting Plan'!$B$6:$B$19,0)),"")</f>
        <v/>
      </c>
      <c r="I1475" s="41" t="str">
        <f aca="false">IF(A1475="","",IF(ISNUMBER(SEARCH("PRT",E1475)),D1475,0))</f>
        <v/>
      </c>
      <c r="J1475" s="41" t="str">
        <f aca="false">IF(A1475="","",IF(ISNUMBER(SEARCH("GMPS",E1475)),D1475,0))</f>
        <v/>
      </c>
      <c r="K1475" s="41" t="str">
        <f aca="false">IF(A1475="","",IF(ISNUMBER(SEARCH("DLV",E1475)),D1475,0))</f>
        <v/>
      </c>
      <c r="L1475" s="41" t="str">
        <f aca="false">IF(A1475="","",IF(K1475&gt;0,"Delivered",IF(ISNUMBER(SEARCH("CNF",E1475)),"In production",IF(J1475&gt;0,"Issued",IF(I1475&gt;0,"Kitted","Released")))))</f>
        <v/>
      </c>
      <c r="M1475" s="41" t="str">
        <f aca="false">IF(G1475&lt;&gt;"Yes","",COUNTIFS($B$6:$B$1505,B1475,$F$6:$F$1505,"&lt;"&amp;F1475)+COUNTIFS($B$6:$B$1505,B1475,$F$6:$F$1505,F1475,$A$6:$A$1505,"&lt;="&amp;A1475))</f>
        <v/>
      </c>
      <c r="N1475" s="41" t="str">
        <f aca="false">IF(M1475="","",ROUNDUP(M1475/H1475,0))</f>
        <v/>
      </c>
      <c r="O1475" s="41" t="str">
        <f aca="false">IF(N1475="","",IF(N1475&lt;='Kitting Plan'!$C$3,"Rep "&amp;N1475,"Surplus"))</f>
        <v/>
      </c>
    </row>
    <row r="1476" customFormat="false" ht="15" hidden="false" customHeight="false" outlineLevel="0" collapsed="false">
      <c r="A1476" s="40" t="str">
        <f aca="false">IF(OR($A$4=0,INDEX('COOIS Raw'!$A:$GZ,ROW()-4,$A$4)=""),"",IFERROR(--INDEX('COOIS Raw'!$A:$GZ,ROW()-4,$A$4),INDEX('COOIS Raw'!$A:$GZ,ROW()-4,$A$4)))</f>
        <v/>
      </c>
      <c r="B1476" s="41" t="str">
        <f aca="false">IF(A1476="","",TRIM(INDEX('COOIS Raw'!$A:$GZ,ROW()-4,$B$4)))</f>
        <v/>
      </c>
      <c r="C1476" s="42" t="str">
        <f aca="false">IF(OR(A1476="",$C$4=0),"",INDEX('COOIS Raw'!$A:$GZ,ROW()-4,$C$4))</f>
        <v/>
      </c>
      <c r="D1476" s="41" t="str">
        <f aca="false">IF(A1476="","",IF($D$4=0,1,IFERROR(--INDEX('COOIS Raw'!$A:$GZ,ROW()-4,$D$4),1)))</f>
        <v/>
      </c>
      <c r="E1476" s="42" t="str">
        <f aca="false">IF(A1476="","",INDEX('COOIS Raw'!$A:$GZ,ROW()-4,$E$4)&amp;"")</f>
        <v/>
      </c>
      <c r="F1476" s="43" t="str">
        <f aca="false">IF(A1476="","",IFERROR(DATEVALUE(INDEX('COOIS Raw'!$A:$GZ,ROW()-4,$F$4)),INDEX('COOIS Raw'!$A:$GZ,ROW()-4,$F$4)))</f>
        <v/>
      </c>
      <c r="G1476" s="41" t="str">
        <f aca="false">IF(A1476="","",IF(ISNA(MATCH(B1476,'Kitting Plan'!$B$6:$B$19,0)),"Not in plan","Yes"))</f>
        <v/>
      </c>
      <c r="H1476" s="41" t="str">
        <f aca="false">IF(G1476="Yes",INDEX('Kitting Plan'!$D$6:$D$19,MATCH(B1476,'Kitting Plan'!$B$6:$B$19,0)),"")</f>
        <v/>
      </c>
      <c r="I1476" s="41" t="str">
        <f aca="false">IF(A1476="","",IF(ISNUMBER(SEARCH("PRT",E1476)),D1476,0))</f>
        <v/>
      </c>
      <c r="J1476" s="41" t="str">
        <f aca="false">IF(A1476="","",IF(ISNUMBER(SEARCH("GMPS",E1476)),D1476,0))</f>
        <v/>
      </c>
      <c r="K1476" s="41" t="str">
        <f aca="false">IF(A1476="","",IF(ISNUMBER(SEARCH("DLV",E1476)),D1476,0))</f>
        <v/>
      </c>
      <c r="L1476" s="41" t="str">
        <f aca="false">IF(A1476="","",IF(K1476&gt;0,"Delivered",IF(ISNUMBER(SEARCH("CNF",E1476)),"In production",IF(J1476&gt;0,"Issued",IF(I1476&gt;0,"Kitted","Released")))))</f>
        <v/>
      </c>
      <c r="M1476" s="41" t="str">
        <f aca="false">IF(G1476&lt;&gt;"Yes","",COUNTIFS($B$6:$B$1505,B1476,$F$6:$F$1505,"&lt;"&amp;F1476)+COUNTIFS($B$6:$B$1505,B1476,$F$6:$F$1505,F1476,$A$6:$A$1505,"&lt;="&amp;A1476))</f>
        <v/>
      </c>
      <c r="N1476" s="41" t="str">
        <f aca="false">IF(M1476="","",ROUNDUP(M1476/H1476,0))</f>
        <v/>
      </c>
      <c r="O1476" s="41" t="str">
        <f aca="false">IF(N1476="","",IF(N1476&lt;='Kitting Plan'!$C$3,"Rep "&amp;N1476,"Surplus"))</f>
        <v/>
      </c>
    </row>
    <row r="1477" customFormat="false" ht="15" hidden="false" customHeight="false" outlineLevel="0" collapsed="false">
      <c r="A1477" s="40" t="str">
        <f aca="false">IF(OR($A$4=0,INDEX('COOIS Raw'!$A:$GZ,ROW()-4,$A$4)=""),"",IFERROR(--INDEX('COOIS Raw'!$A:$GZ,ROW()-4,$A$4),INDEX('COOIS Raw'!$A:$GZ,ROW()-4,$A$4)))</f>
        <v/>
      </c>
      <c r="B1477" s="41" t="str">
        <f aca="false">IF(A1477="","",TRIM(INDEX('COOIS Raw'!$A:$GZ,ROW()-4,$B$4)))</f>
        <v/>
      </c>
      <c r="C1477" s="42" t="str">
        <f aca="false">IF(OR(A1477="",$C$4=0),"",INDEX('COOIS Raw'!$A:$GZ,ROW()-4,$C$4))</f>
        <v/>
      </c>
      <c r="D1477" s="41" t="str">
        <f aca="false">IF(A1477="","",IF($D$4=0,1,IFERROR(--INDEX('COOIS Raw'!$A:$GZ,ROW()-4,$D$4),1)))</f>
        <v/>
      </c>
      <c r="E1477" s="42" t="str">
        <f aca="false">IF(A1477="","",INDEX('COOIS Raw'!$A:$GZ,ROW()-4,$E$4)&amp;"")</f>
        <v/>
      </c>
      <c r="F1477" s="43" t="str">
        <f aca="false">IF(A1477="","",IFERROR(DATEVALUE(INDEX('COOIS Raw'!$A:$GZ,ROW()-4,$F$4)),INDEX('COOIS Raw'!$A:$GZ,ROW()-4,$F$4)))</f>
        <v/>
      </c>
      <c r="G1477" s="41" t="str">
        <f aca="false">IF(A1477="","",IF(ISNA(MATCH(B1477,'Kitting Plan'!$B$6:$B$19,0)),"Not in plan","Yes"))</f>
        <v/>
      </c>
      <c r="H1477" s="41" t="str">
        <f aca="false">IF(G1477="Yes",INDEX('Kitting Plan'!$D$6:$D$19,MATCH(B1477,'Kitting Plan'!$B$6:$B$19,0)),"")</f>
        <v/>
      </c>
      <c r="I1477" s="41" t="str">
        <f aca="false">IF(A1477="","",IF(ISNUMBER(SEARCH("PRT",E1477)),D1477,0))</f>
        <v/>
      </c>
      <c r="J1477" s="41" t="str">
        <f aca="false">IF(A1477="","",IF(ISNUMBER(SEARCH("GMPS",E1477)),D1477,0))</f>
        <v/>
      </c>
      <c r="K1477" s="41" t="str">
        <f aca="false">IF(A1477="","",IF(ISNUMBER(SEARCH("DLV",E1477)),D1477,0))</f>
        <v/>
      </c>
      <c r="L1477" s="41" t="str">
        <f aca="false">IF(A1477="","",IF(K1477&gt;0,"Delivered",IF(ISNUMBER(SEARCH("CNF",E1477)),"In production",IF(J1477&gt;0,"Issued",IF(I1477&gt;0,"Kitted","Released")))))</f>
        <v/>
      </c>
      <c r="M1477" s="41" t="str">
        <f aca="false">IF(G1477&lt;&gt;"Yes","",COUNTIFS($B$6:$B$1505,B1477,$F$6:$F$1505,"&lt;"&amp;F1477)+COUNTIFS($B$6:$B$1505,B1477,$F$6:$F$1505,F1477,$A$6:$A$1505,"&lt;="&amp;A1477))</f>
        <v/>
      </c>
      <c r="N1477" s="41" t="str">
        <f aca="false">IF(M1477="","",ROUNDUP(M1477/H1477,0))</f>
        <v/>
      </c>
      <c r="O1477" s="41" t="str">
        <f aca="false">IF(N1477="","",IF(N1477&lt;='Kitting Plan'!$C$3,"Rep "&amp;N1477,"Surplus"))</f>
        <v/>
      </c>
    </row>
    <row r="1478" customFormat="false" ht="15" hidden="false" customHeight="false" outlineLevel="0" collapsed="false">
      <c r="A1478" s="40" t="str">
        <f aca="false">IF(OR($A$4=0,INDEX('COOIS Raw'!$A:$GZ,ROW()-4,$A$4)=""),"",IFERROR(--INDEX('COOIS Raw'!$A:$GZ,ROW()-4,$A$4),INDEX('COOIS Raw'!$A:$GZ,ROW()-4,$A$4)))</f>
        <v/>
      </c>
      <c r="B1478" s="41" t="str">
        <f aca="false">IF(A1478="","",TRIM(INDEX('COOIS Raw'!$A:$GZ,ROW()-4,$B$4)))</f>
        <v/>
      </c>
      <c r="C1478" s="42" t="str">
        <f aca="false">IF(OR(A1478="",$C$4=0),"",INDEX('COOIS Raw'!$A:$GZ,ROW()-4,$C$4))</f>
        <v/>
      </c>
      <c r="D1478" s="41" t="str">
        <f aca="false">IF(A1478="","",IF($D$4=0,1,IFERROR(--INDEX('COOIS Raw'!$A:$GZ,ROW()-4,$D$4),1)))</f>
        <v/>
      </c>
      <c r="E1478" s="42" t="str">
        <f aca="false">IF(A1478="","",INDEX('COOIS Raw'!$A:$GZ,ROW()-4,$E$4)&amp;"")</f>
        <v/>
      </c>
      <c r="F1478" s="43" t="str">
        <f aca="false">IF(A1478="","",IFERROR(DATEVALUE(INDEX('COOIS Raw'!$A:$GZ,ROW()-4,$F$4)),INDEX('COOIS Raw'!$A:$GZ,ROW()-4,$F$4)))</f>
        <v/>
      </c>
      <c r="G1478" s="41" t="str">
        <f aca="false">IF(A1478="","",IF(ISNA(MATCH(B1478,'Kitting Plan'!$B$6:$B$19,0)),"Not in plan","Yes"))</f>
        <v/>
      </c>
      <c r="H1478" s="41" t="str">
        <f aca="false">IF(G1478="Yes",INDEX('Kitting Plan'!$D$6:$D$19,MATCH(B1478,'Kitting Plan'!$B$6:$B$19,0)),"")</f>
        <v/>
      </c>
      <c r="I1478" s="41" t="str">
        <f aca="false">IF(A1478="","",IF(ISNUMBER(SEARCH("PRT",E1478)),D1478,0))</f>
        <v/>
      </c>
      <c r="J1478" s="41" t="str">
        <f aca="false">IF(A1478="","",IF(ISNUMBER(SEARCH("GMPS",E1478)),D1478,0))</f>
        <v/>
      </c>
      <c r="K1478" s="41" t="str">
        <f aca="false">IF(A1478="","",IF(ISNUMBER(SEARCH("DLV",E1478)),D1478,0))</f>
        <v/>
      </c>
      <c r="L1478" s="41" t="str">
        <f aca="false">IF(A1478="","",IF(K1478&gt;0,"Delivered",IF(ISNUMBER(SEARCH("CNF",E1478)),"In production",IF(J1478&gt;0,"Issued",IF(I1478&gt;0,"Kitted","Released")))))</f>
        <v/>
      </c>
      <c r="M1478" s="41" t="str">
        <f aca="false">IF(G1478&lt;&gt;"Yes","",COUNTIFS($B$6:$B$1505,B1478,$F$6:$F$1505,"&lt;"&amp;F1478)+COUNTIFS($B$6:$B$1505,B1478,$F$6:$F$1505,F1478,$A$6:$A$1505,"&lt;="&amp;A1478))</f>
        <v/>
      </c>
      <c r="N1478" s="41" t="str">
        <f aca="false">IF(M1478="","",ROUNDUP(M1478/H1478,0))</f>
        <v/>
      </c>
      <c r="O1478" s="41" t="str">
        <f aca="false">IF(N1478="","",IF(N1478&lt;='Kitting Plan'!$C$3,"Rep "&amp;N1478,"Surplus"))</f>
        <v/>
      </c>
    </row>
    <row r="1479" customFormat="false" ht="15" hidden="false" customHeight="false" outlineLevel="0" collapsed="false">
      <c r="A1479" s="40" t="str">
        <f aca="false">IF(OR($A$4=0,INDEX('COOIS Raw'!$A:$GZ,ROW()-4,$A$4)=""),"",IFERROR(--INDEX('COOIS Raw'!$A:$GZ,ROW()-4,$A$4),INDEX('COOIS Raw'!$A:$GZ,ROW()-4,$A$4)))</f>
        <v/>
      </c>
      <c r="B1479" s="41" t="str">
        <f aca="false">IF(A1479="","",TRIM(INDEX('COOIS Raw'!$A:$GZ,ROW()-4,$B$4)))</f>
        <v/>
      </c>
      <c r="C1479" s="42" t="str">
        <f aca="false">IF(OR(A1479="",$C$4=0),"",INDEX('COOIS Raw'!$A:$GZ,ROW()-4,$C$4))</f>
        <v/>
      </c>
      <c r="D1479" s="41" t="str">
        <f aca="false">IF(A1479="","",IF($D$4=0,1,IFERROR(--INDEX('COOIS Raw'!$A:$GZ,ROW()-4,$D$4),1)))</f>
        <v/>
      </c>
      <c r="E1479" s="42" t="str">
        <f aca="false">IF(A1479="","",INDEX('COOIS Raw'!$A:$GZ,ROW()-4,$E$4)&amp;"")</f>
        <v/>
      </c>
      <c r="F1479" s="43" t="str">
        <f aca="false">IF(A1479="","",IFERROR(DATEVALUE(INDEX('COOIS Raw'!$A:$GZ,ROW()-4,$F$4)),INDEX('COOIS Raw'!$A:$GZ,ROW()-4,$F$4)))</f>
        <v/>
      </c>
      <c r="G1479" s="41" t="str">
        <f aca="false">IF(A1479="","",IF(ISNA(MATCH(B1479,'Kitting Plan'!$B$6:$B$19,0)),"Not in plan","Yes"))</f>
        <v/>
      </c>
      <c r="H1479" s="41" t="str">
        <f aca="false">IF(G1479="Yes",INDEX('Kitting Plan'!$D$6:$D$19,MATCH(B1479,'Kitting Plan'!$B$6:$B$19,0)),"")</f>
        <v/>
      </c>
      <c r="I1479" s="41" t="str">
        <f aca="false">IF(A1479="","",IF(ISNUMBER(SEARCH("PRT",E1479)),D1479,0))</f>
        <v/>
      </c>
      <c r="J1479" s="41" t="str">
        <f aca="false">IF(A1479="","",IF(ISNUMBER(SEARCH("GMPS",E1479)),D1479,0))</f>
        <v/>
      </c>
      <c r="K1479" s="41" t="str">
        <f aca="false">IF(A1479="","",IF(ISNUMBER(SEARCH("DLV",E1479)),D1479,0))</f>
        <v/>
      </c>
      <c r="L1479" s="41" t="str">
        <f aca="false">IF(A1479="","",IF(K1479&gt;0,"Delivered",IF(ISNUMBER(SEARCH("CNF",E1479)),"In production",IF(J1479&gt;0,"Issued",IF(I1479&gt;0,"Kitted","Released")))))</f>
        <v/>
      </c>
      <c r="M1479" s="41" t="str">
        <f aca="false">IF(G1479&lt;&gt;"Yes","",COUNTIFS($B$6:$B$1505,B1479,$F$6:$F$1505,"&lt;"&amp;F1479)+COUNTIFS($B$6:$B$1505,B1479,$F$6:$F$1505,F1479,$A$6:$A$1505,"&lt;="&amp;A1479))</f>
        <v/>
      </c>
      <c r="N1479" s="41" t="str">
        <f aca="false">IF(M1479="","",ROUNDUP(M1479/H1479,0))</f>
        <v/>
      </c>
      <c r="O1479" s="41" t="str">
        <f aca="false">IF(N1479="","",IF(N1479&lt;='Kitting Plan'!$C$3,"Rep "&amp;N1479,"Surplus"))</f>
        <v/>
      </c>
    </row>
    <row r="1480" customFormat="false" ht="15" hidden="false" customHeight="false" outlineLevel="0" collapsed="false">
      <c r="A1480" s="40" t="str">
        <f aca="false">IF(OR($A$4=0,INDEX('COOIS Raw'!$A:$GZ,ROW()-4,$A$4)=""),"",IFERROR(--INDEX('COOIS Raw'!$A:$GZ,ROW()-4,$A$4),INDEX('COOIS Raw'!$A:$GZ,ROW()-4,$A$4)))</f>
        <v/>
      </c>
      <c r="B1480" s="41" t="str">
        <f aca="false">IF(A1480="","",TRIM(INDEX('COOIS Raw'!$A:$GZ,ROW()-4,$B$4)))</f>
        <v/>
      </c>
      <c r="C1480" s="42" t="str">
        <f aca="false">IF(OR(A1480="",$C$4=0),"",INDEX('COOIS Raw'!$A:$GZ,ROW()-4,$C$4))</f>
        <v/>
      </c>
      <c r="D1480" s="41" t="str">
        <f aca="false">IF(A1480="","",IF($D$4=0,1,IFERROR(--INDEX('COOIS Raw'!$A:$GZ,ROW()-4,$D$4),1)))</f>
        <v/>
      </c>
      <c r="E1480" s="42" t="str">
        <f aca="false">IF(A1480="","",INDEX('COOIS Raw'!$A:$GZ,ROW()-4,$E$4)&amp;"")</f>
        <v/>
      </c>
      <c r="F1480" s="43" t="str">
        <f aca="false">IF(A1480="","",IFERROR(DATEVALUE(INDEX('COOIS Raw'!$A:$GZ,ROW()-4,$F$4)),INDEX('COOIS Raw'!$A:$GZ,ROW()-4,$F$4)))</f>
        <v/>
      </c>
      <c r="G1480" s="41" t="str">
        <f aca="false">IF(A1480="","",IF(ISNA(MATCH(B1480,'Kitting Plan'!$B$6:$B$19,0)),"Not in plan","Yes"))</f>
        <v/>
      </c>
      <c r="H1480" s="41" t="str">
        <f aca="false">IF(G1480="Yes",INDEX('Kitting Plan'!$D$6:$D$19,MATCH(B1480,'Kitting Plan'!$B$6:$B$19,0)),"")</f>
        <v/>
      </c>
      <c r="I1480" s="41" t="str">
        <f aca="false">IF(A1480="","",IF(ISNUMBER(SEARCH("PRT",E1480)),D1480,0))</f>
        <v/>
      </c>
      <c r="J1480" s="41" t="str">
        <f aca="false">IF(A1480="","",IF(ISNUMBER(SEARCH("GMPS",E1480)),D1480,0))</f>
        <v/>
      </c>
      <c r="K1480" s="41" t="str">
        <f aca="false">IF(A1480="","",IF(ISNUMBER(SEARCH("DLV",E1480)),D1480,0))</f>
        <v/>
      </c>
      <c r="L1480" s="41" t="str">
        <f aca="false">IF(A1480="","",IF(K1480&gt;0,"Delivered",IF(ISNUMBER(SEARCH("CNF",E1480)),"In production",IF(J1480&gt;0,"Issued",IF(I1480&gt;0,"Kitted","Released")))))</f>
        <v/>
      </c>
      <c r="M1480" s="41" t="str">
        <f aca="false">IF(G1480&lt;&gt;"Yes","",COUNTIFS($B$6:$B$1505,B1480,$F$6:$F$1505,"&lt;"&amp;F1480)+COUNTIFS($B$6:$B$1505,B1480,$F$6:$F$1505,F1480,$A$6:$A$1505,"&lt;="&amp;A1480))</f>
        <v/>
      </c>
      <c r="N1480" s="41" t="str">
        <f aca="false">IF(M1480="","",ROUNDUP(M1480/H1480,0))</f>
        <v/>
      </c>
      <c r="O1480" s="41" t="str">
        <f aca="false">IF(N1480="","",IF(N1480&lt;='Kitting Plan'!$C$3,"Rep "&amp;N1480,"Surplus"))</f>
        <v/>
      </c>
    </row>
    <row r="1481" customFormat="false" ht="15" hidden="false" customHeight="false" outlineLevel="0" collapsed="false">
      <c r="A1481" s="40" t="str">
        <f aca="false">IF(OR($A$4=0,INDEX('COOIS Raw'!$A:$GZ,ROW()-4,$A$4)=""),"",IFERROR(--INDEX('COOIS Raw'!$A:$GZ,ROW()-4,$A$4),INDEX('COOIS Raw'!$A:$GZ,ROW()-4,$A$4)))</f>
        <v/>
      </c>
      <c r="B1481" s="41" t="str">
        <f aca="false">IF(A1481="","",TRIM(INDEX('COOIS Raw'!$A:$GZ,ROW()-4,$B$4)))</f>
        <v/>
      </c>
      <c r="C1481" s="42" t="str">
        <f aca="false">IF(OR(A1481="",$C$4=0),"",INDEX('COOIS Raw'!$A:$GZ,ROW()-4,$C$4))</f>
        <v/>
      </c>
      <c r="D1481" s="41" t="str">
        <f aca="false">IF(A1481="","",IF($D$4=0,1,IFERROR(--INDEX('COOIS Raw'!$A:$GZ,ROW()-4,$D$4),1)))</f>
        <v/>
      </c>
      <c r="E1481" s="42" t="str">
        <f aca="false">IF(A1481="","",INDEX('COOIS Raw'!$A:$GZ,ROW()-4,$E$4)&amp;"")</f>
        <v/>
      </c>
      <c r="F1481" s="43" t="str">
        <f aca="false">IF(A1481="","",IFERROR(DATEVALUE(INDEX('COOIS Raw'!$A:$GZ,ROW()-4,$F$4)),INDEX('COOIS Raw'!$A:$GZ,ROW()-4,$F$4)))</f>
        <v/>
      </c>
      <c r="G1481" s="41" t="str">
        <f aca="false">IF(A1481="","",IF(ISNA(MATCH(B1481,'Kitting Plan'!$B$6:$B$19,0)),"Not in plan","Yes"))</f>
        <v/>
      </c>
      <c r="H1481" s="41" t="str">
        <f aca="false">IF(G1481="Yes",INDEX('Kitting Plan'!$D$6:$D$19,MATCH(B1481,'Kitting Plan'!$B$6:$B$19,0)),"")</f>
        <v/>
      </c>
      <c r="I1481" s="41" t="str">
        <f aca="false">IF(A1481="","",IF(ISNUMBER(SEARCH("PRT",E1481)),D1481,0))</f>
        <v/>
      </c>
      <c r="J1481" s="41" t="str">
        <f aca="false">IF(A1481="","",IF(ISNUMBER(SEARCH("GMPS",E1481)),D1481,0))</f>
        <v/>
      </c>
      <c r="K1481" s="41" t="str">
        <f aca="false">IF(A1481="","",IF(ISNUMBER(SEARCH("DLV",E1481)),D1481,0))</f>
        <v/>
      </c>
      <c r="L1481" s="41" t="str">
        <f aca="false">IF(A1481="","",IF(K1481&gt;0,"Delivered",IF(ISNUMBER(SEARCH("CNF",E1481)),"In production",IF(J1481&gt;0,"Issued",IF(I1481&gt;0,"Kitted","Released")))))</f>
        <v/>
      </c>
      <c r="M1481" s="41" t="str">
        <f aca="false">IF(G1481&lt;&gt;"Yes","",COUNTIFS($B$6:$B$1505,B1481,$F$6:$F$1505,"&lt;"&amp;F1481)+COUNTIFS($B$6:$B$1505,B1481,$F$6:$F$1505,F1481,$A$6:$A$1505,"&lt;="&amp;A1481))</f>
        <v/>
      </c>
      <c r="N1481" s="41" t="str">
        <f aca="false">IF(M1481="","",ROUNDUP(M1481/H1481,0))</f>
        <v/>
      </c>
      <c r="O1481" s="41" t="str">
        <f aca="false">IF(N1481="","",IF(N1481&lt;='Kitting Plan'!$C$3,"Rep "&amp;N1481,"Surplus"))</f>
        <v/>
      </c>
    </row>
    <row r="1482" customFormat="false" ht="15" hidden="false" customHeight="false" outlineLevel="0" collapsed="false">
      <c r="A1482" s="40" t="str">
        <f aca="false">IF(OR($A$4=0,INDEX('COOIS Raw'!$A:$GZ,ROW()-4,$A$4)=""),"",IFERROR(--INDEX('COOIS Raw'!$A:$GZ,ROW()-4,$A$4),INDEX('COOIS Raw'!$A:$GZ,ROW()-4,$A$4)))</f>
        <v/>
      </c>
      <c r="B1482" s="41" t="str">
        <f aca="false">IF(A1482="","",TRIM(INDEX('COOIS Raw'!$A:$GZ,ROW()-4,$B$4)))</f>
        <v/>
      </c>
      <c r="C1482" s="42" t="str">
        <f aca="false">IF(OR(A1482="",$C$4=0),"",INDEX('COOIS Raw'!$A:$GZ,ROW()-4,$C$4))</f>
        <v/>
      </c>
      <c r="D1482" s="41" t="str">
        <f aca="false">IF(A1482="","",IF($D$4=0,1,IFERROR(--INDEX('COOIS Raw'!$A:$GZ,ROW()-4,$D$4),1)))</f>
        <v/>
      </c>
      <c r="E1482" s="42" t="str">
        <f aca="false">IF(A1482="","",INDEX('COOIS Raw'!$A:$GZ,ROW()-4,$E$4)&amp;"")</f>
        <v/>
      </c>
      <c r="F1482" s="43" t="str">
        <f aca="false">IF(A1482="","",IFERROR(DATEVALUE(INDEX('COOIS Raw'!$A:$GZ,ROW()-4,$F$4)),INDEX('COOIS Raw'!$A:$GZ,ROW()-4,$F$4)))</f>
        <v/>
      </c>
      <c r="G1482" s="41" t="str">
        <f aca="false">IF(A1482="","",IF(ISNA(MATCH(B1482,'Kitting Plan'!$B$6:$B$19,0)),"Not in plan","Yes"))</f>
        <v/>
      </c>
      <c r="H1482" s="41" t="str">
        <f aca="false">IF(G1482="Yes",INDEX('Kitting Plan'!$D$6:$D$19,MATCH(B1482,'Kitting Plan'!$B$6:$B$19,0)),"")</f>
        <v/>
      </c>
      <c r="I1482" s="41" t="str">
        <f aca="false">IF(A1482="","",IF(ISNUMBER(SEARCH("PRT",E1482)),D1482,0))</f>
        <v/>
      </c>
      <c r="J1482" s="41" t="str">
        <f aca="false">IF(A1482="","",IF(ISNUMBER(SEARCH("GMPS",E1482)),D1482,0))</f>
        <v/>
      </c>
      <c r="K1482" s="41" t="str">
        <f aca="false">IF(A1482="","",IF(ISNUMBER(SEARCH("DLV",E1482)),D1482,0))</f>
        <v/>
      </c>
      <c r="L1482" s="41" t="str">
        <f aca="false">IF(A1482="","",IF(K1482&gt;0,"Delivered",IF(ISNUMBER(SEARCH("CNF",E1482)),"In production",IF(J1482&gt;0,"Issued",IF(I1482&gt;0,"Kitted","Released")))))</f>
        <v/>
      </c>
      <c r="M1482" s="41" t="str">
        <f aca="false">IF(G1482&lt;&gt;"Yes","",COUNTIFS($B$6:$B$1505,B1482,$F$6:$F$1505,"&lt;"&amp;F1482)+COUNTIFS($B$6:$B$1505,B1482,$F$6:$F$1505,F1482,$A$6:$A$1505,"&lt;="&amp;A1482))</f>
        <v/>
      </c>
      <c r="N1482" s="41" t="str">
        <f aca="false">IF(M1482="","",ROUNDUP(M1482/H1482,0))</f>
        <v/>
      </c>
      <c r="O1482" s="41" t="str">
        <f aca="false">IF(N1482="","",IF(N1482&lt;='Kitting Plan'!$C$3,"Rep "&amp;N1482,"Surplus"))</f>
        <v/>
      </c>
    </row>
    <row r="1483" customFormat="false" ht="15" hidden="false" customHeight="false" outlineLevel="0" collapsed="false">
      <c r="A1483" s="40" t="str">
        <f aca="false">IF(OR($A$4=0,INDEX('COOIS Raw'!$A:$GZ,ROW()-4,$A$4)=""),"",IFERROR(--INDEX('COOIS Raw'!$A:$GZ,ROW()-4,$A$4),INDEX('COOIS Raw'!$A:$GZ,ROW()-4,$A$4)))</f>
        <v/>
      </c>
      <c r="B1483" s="41" t="str">
        <f aca="false">IF(A1483="","",TRIM(INDEX('COOIS Raw'!$A:$GZ,ROW()-4,$B$4)))</f>
        <v/>
      </c>
      <c r="C1483" s="42" t="str">
        <f aca="false">IF(OR(A1483="",$C$4=0),"",INDEX('COOIS Raw'!$A:$GZ,ROW()-4,$C$4))</f>
        <v/>
      </c>
      <c r="D1483" s="41" t="str">
        <f aca="false">IF(A1483="","",IF($D$4=0,1,IFERROR(--INDEX('COOIS Raw'!$A:$GZ,ROW()-4,$D$4),1)))</f>
        <v/>
      </c>
      <c r="E1483" s="42" t="str">
        <f aca="false">IF(A1483="","",INDEX('COOIS Raw'!$A:$GZ,ROW()-4,$E$4)&amp;"")</f>
        <v/>
      </c>
      <c r="F1483" s="43" t="str">
        <f aca="false">IF(A1483="","",IFERROR(DATEVALUE(INDEX('COOIS Raw'!$A:$GZ,ROW()-4,$F$4)),INDEX('COOIS Raw'!$A:$GZ,ROW()-4,$F$4)))</f>
        <v/>
      </c>
      <c r="G1483" s="41" t="str">
        <f aca="false">IF(A1483="","",IF(ISNA(MATCH(B1483,'Kitting Plan'!$B$6:$B$19,0)),"Not in plan","Yes"))</f>
        <v/>
      </c>
      <c r="H1483" s="41" t="str">
        <f aca="false">IF(G1483="Yes",INDEX('Kitting Plan'!$D$6:$D$19,MATCH(B1483,'Kitting Plan'!$B$6:$B$19,0)),"")</f>
        <v/>
      </c>
      <c r="I1483" s="41" t="str">
        <f aca="false">IF(A1483="","",IF(ISNUMBER(SEARCH("PRT",E1483)),D1483,0))</f>
        <v/>
      </c>
      <c r="J1483" s="41" t="str">
        <f aca="false">IF(A1483="","",IF(ISNUMBER(SEARCH("GMPS",E1483)),D1483,0))</f>
        <v/>
      </c>
      <c r="K1483" s="41" t="str">
        <f aca="false">IF(A1483="","",IF(ISNUMBER(SEARCH("DLV",E1483)),D1483,0))</f>
        <v/>
      </c>
      <c r="L1483" s="41" t="str">
        <f aca="false">IF(A1483="","",IF(K1483&gt;0,"Delivered",IF(ISNUMBER(SEARCH("CNF",E1483)),"In production",IF(J1483&gt;0,"Issued",IF(I1483&gt;0,"Kitted","Released")))))</f>
        <v/>
      </c>
      <c r="M1483" s="41" t="str">
        <f aca="false">IF(G1483&lt;&gt;"Yes","",COUNTIFS($B$6:$B$1505,B1483,$F$6:$F$1505,"&lt;"&amp;F1483)+COUNTIFS($B$6:$B$1505,B1483,$F$6:$F$1505,F1483,$A$6:$A$1505,"&lt;="&amp;A1483))</f>
        <v/>
      </c>
      <c r="N1483" s="41" t="str">
        <f aca="false">IF(M1483="","",ROUNDUP(M1483/H1483,0))</f>
        <v/>
      </c>
      <c r="O1483" s="41" t="str">
        <f aca="false">IF(N1483="","",IF(N1483&lt;='Kitting Plan'!$C$3,"Rep "&amp;N1483,"Surplus"))</f>
        <v/>
      </c>
    </row>
    <row r="1484" customFormat="false" ht="15" hidden="false" customHeight="false" outlineLevel="0" collapsed="false">
      <c r="A1484" s="40" t="str">
        <f aca="false">IF(OR($A$4=0,INDEX('COOIS Raw'!$A:$GZ,ROW()-4,$A$4)=""),"",IFERROR(--INDEX('COOIS Raw'!$A:$GZ,ROW()-4,$A$4),INDEX('COOIS Raw'!$A:$GZ,ROW()-4,$A$4)))</f>
        <v/>
      </c>
      <c r="B1484" s="41" t="str">
        <f aca="false">IF(A1484="","",TRIM(INDEX('COOIS Raw'!$A:$GZ,ROW()-4,$B$4)))</f>
        <v/>
      </c>
      <c r="C1484" s="42" t="str">
        <f aca="false">IF(OR(A1484="",$C$4=0),"",INDEX('COOIS Raw'!$A:$GZ,ROW()-4,$C$4))</f>
        <v/>
      </c>
      <c r="D1484" s="41" t="str">
        <f aca="false">IF(A1484="","",IF($D$4=0,1,IFERROR(--INDEX('COOIS Raw'!$A:$GZ,ROW()-4,$D$4),1)))</f>
        <v/>
      </c>
      <c r="E1484" s="42" t="str">
        <f aca="false">IF(A1484="","",INDEX('COOIS Raw'!$A:$GZ,ROW()-4,$E$4)&amp;"")</f>
        <v/>
      </c>
      <c r="F1484" s="43" t="str">
        <f aca="false">IF(A1484="","",IFERROR(DATEVALUE(INDEX('COOIS Raw'!$A:$GZ,ROW()-4,$F$4)),INDEX('COOIS Raw'!$A:$GZ,ROW()-4,$F$4)))</f>
        <v/>
      </c>
      <c r="G1484" s="41" t="str">
        <f aca="false">IF(A1484="","",IF(ISNA(MATCH(B1484,'Kitting Plan'!$B$6:$B$19,0)),"Not in plan","Yes"))</f>
        <v/>
      </c>
      <c r="H1484" s="41" t="str">
        <f aca="false">IF(G1484="Yes",INDEX('Kitting Plan'!$D$6:$D$19,MATCH(B1484,'Kitting Plan'!$B$6:$B$19,0)),"")</f>
        <v/>
      </c>
      <c r="I1484" s="41" t="str">
        <f aca="false">IF(A1484="","",IF(ISNUMBER(SEARCH("PRT",E1484)),D1484,0))</f>
        <v/>
      </c>
      <c r="J1484" s="41" t="str">
        <f aca="false">IF(A1484="","",IF(ISNUMBER(SEARCH("GMPS",E1484)),D1484,0))</f>
        <v/>
      </c>
      <c r="K1484" s="41" t="str">
        <f aca="false">IF(A1484="","",IF(ISNUMBER(SEARCH("DLV",E1484)),D1484,0))</f>
        <v/>
      </c>
      <c r="L1484" s="41" t="str">
        <f aca="false">IF(A1484="","",IF(K1484&gt;0,"Delivered",IF(ISNUMBER(SEARCH("CNF",E1484)),"In production",IF(J1484&gt;0,"Issued",IF(I1484&gt;0,"Kitted","Released")))))</f>
        <v/>
      </c>
      <c r="M1484" s="41" t="str">
        <f aca="false">IF(G1484&lt;&gt;"Yes","",COUNTIFS($B$6:$B$1505,B1484,$F$6:$F$1505,"&lt;"&amp;F1484)+COUNTIFS($B$6:$B$1505,B1484,$F$6:$F$1505,F1484,$A$6:$A$1505,"&lt;="&amp;A1484))</f>
        <v/>
      </c>
      <c r="N1484" s="41" t="str">
        <f aca="false">IF(M1484="","",ROUNDUP(M1484/H1484,0))</f>
        <v/>
      </c>
      <c r="O1484" s="41" t="str">
        <f aca="false">IF(N1484="","",IF(N1484&lt;='Kitting Plan'!$C$3,"Rep "&amp;N1484,"Surplus"))</f>
        <v/>
      </c>
    </row>
    <row r="1485" customFormat="false" ht="15" hidden="false" customHeight="false" outlineLevel="0" collapsed="false">
      <c r="A1485" s="40" t="str">
        <f aca="false">IF(OR($A$4=0,INDEX('COOIS Raw'!$A:$GZ,ROW()-4,$A$4)=""),"",IFERROR(--INDEX('COOIS Raw'!$A:$GZ,ROW()-4,$A$4),INDEX('COOIS Raw'!$A:$GZ,ROW()-4,$A$4)))</f>
        <v/>
      </c>
      <c r="B1485" s="41" t="str">
        <f aca="false">IF(A1485="","",TRIM(INDEX('COOIS Raw'!$A:$GZ,ROW()-4,$B$4)))</f>
        <v/>
      </c>
      <c r="C1485" s="42" t="str">
        <f aca="false">IF(OR(A1485="",$C$4=0),"",INDEX('COOIS Raw'!$A:$GZ,ROW()-4,$C$4))</f>
        <v/>
      </c>
      <c r="D1485" s="41" t="str">
        <f aca="false">IF(A1485="","",IF($D$4=0,1,IFERROR(--INDEX('COOIS Raw'!$A:$GZ,ROW()-4,$D$4),1)))</f>
        <v/>
      </c>
      <c r="E1485" s="42" t="str">
        <f aca="false">IF(A1485="","",INDEX('COOIS Raw'!$A:$GZ,ROW()-4,$E$4)&amp;"")</f>
        <v/>
      </c>
      <c r="F1485" s="43" t="str">
        <f aca="false">IF(A1485="","",IFERROR(DATEVALUE(INDEX('COOIS Raw'!$A:$GZ,ROW()-4,$F$4)),INDEX('COOIS Raw'!$A:$GZ,ROW()-4,$F$4)))</f>
        <v/>
      </c>
      <c r="G1485" s="41" t="str">
        <f aca="false">IF(A1485="","",IF(ISNA(MATCH(B1485,'Kitting Plan'!$B$6:$B$19,0)),"Not in plan","Yes"))</f>
        <v/>
      </c>
      <c r="H1485" s="41" t="str">
        <f aca="false">IF(G1485="Yes",INDEX('Kitting Plan'!$D$6:$D$19,MATCH(B1485,'Kitting Plan'!$B$6:$B$19,0)),"")</f>
        <v/>
      </c>
      <c r="I1485" s="41" t="str">
        <f aca="false">IF(A1485="","",IF(ISNUMBER(SEARCH("PRT",E1485)),D1485,0))</f>
        <v/>
      </c>
      <c r="J1485" s="41" t="str">
        <f aca="false">IF(A1485="","",IF(ISNUMBER(SEARCH("GMPS",E1485)),D1485,0))</f>
        <v/>
      </c>
      <c r="K1485" s="41" t="str">
        <f aca="false">IF(A1485="","",IF(ISNUMBER(SEARCH("DLV",E1485)),D1485,0))</f>
        <v/>
      </c>
      <c r="L1485" s="41" t="str">
        <f aca="false">IF(A1485="","",IF(K1485&gt;0,"Delivered",IF(ISNUMBER(SEARCH("CNF",E1485)),"In production",IF(J1485&gt;0,"Issued",IF(I1485&gt;0,"Kitted","Released")))))</f>
        <v/>
      </c>
      <c r="M1485" s="41" t="str">
        <f aca="false">IF(G1485&lt;&gt;"Yes","",COUNTIFS($B$6:$B$1505,B1485,$F$6:$F$1505,"&lt;"&amp;F1485)+COUNTIFS($B$6:$B$1505,B1485,$F$6:$F$1505,F1485,$A$6:$A$1505,"&lt;="&amp;A1485))</f>
        <v/>
      </c>
      <c r="N1485" s="41" t="str">
        <f aca="false">IF(M1485="","",ROUNDUP(M1485/H1485,0))</f>
        <v/>
      </c>
      <c r="O1485" s="41" t="str">
        <f aca="false">IF(N1485="","",IF(N1485&lt;='Kitting Plan'!$C$3,"Rep "&amp;N1485,"Surplus"))</f>
        <v/>
      </c>
    </row>
    <row r="1486" customFormat="false" ht="15" hidden="false" customHeight="false" outlineLevel="0" collapsed="false">
      <c r="A1486" s="40" t="str">
        <f aca="false">IF(OR($A$4=0,INDEX('COOIS Raw'!$A:$GZ,ROW()-4,$A$4)=""),"",IFERROR(--INDEX('COOIS Raw'!$A:$GZ,ROW()-4,$A$4),INDEX('COOIS Raw'!$A:$GZ,ROW()-4,$A$4)))</f>
        <v/>
      </c>
      <c r="B1486" s="41" t="str">
        <f aca="false">IF(A1486="","",TRIM(INDEX('COOIS Raw'!$A:$GZ,ROW()-4,$B$4)))</f>
        <v/>
      </c>
      <c r="C1486" s="42" t="str">
        <f aca="false">IF(OR(A1486="",$C$4=0),"",INDEX('COOIS Raw'!$A:$GZ,ROW()-4,$C$4))</f>
        <v/>
      </c>
      <c r="D1486" s="41" t="str">
        <f aca="false">IF(A1486="","",IF($D$4=0,1,IFERROR(--INDEX('COOIS Raw'!$A:$GZ,ROW()-4,$D$4),1)))</f>
        <v/>
      </c>
      <c r="E1486" s="42" t="str">
        <f aca="false">IF(A1486="","",INDEX('COOIS Raw'!$A:$GZ,ROW()-4,$E$4)&amp;"")</f>
        <v/>
      </c>
      <c r="F1486" s="43" t="str">
        <f aca="false">IF(A1486="","",IFERROR(DATEVALUE(INDEX('COOIS Raw'!$A:$GZ,ROW()-4,$F$4)),INDEX('COOIS Raw'!$A:$GZ,ROW()-4,$F$4)))</f>
        <v/>
      </c>
      <c r="G1486" s="41" t="str">
        <f aca="false">IF(A1486="","",IF(ISNA(MATCH(B1486,'Kitting Plan'!$B$6:$B$19,0)),"Not in plan","Yes"))</f>
        <v/>
      </c>
      <c r="H1486" s="41" t="str">
        <f aca="false">IF(G1486="Yes",INDEX('Kitting Plan'!$D$6:$D$19,MATCH(B1486,'Kitting Plan'!$B$6:$B$19,0)),"")</f>
        <v/>
      </c>
      <c r="I1486" s="41" t="str">
        <f aca="false">IF(A1486="","",IF(ISNUMBER(SEARCH("PRT",E1486)),D1486,0))</f>
        <v/>
      </c>
      <c r="J1486" s="41" t="str">
        <f aca="false">IF(A1486="","",IF(ISNUMBER(SEARCH("GMPS",E1486)),D1486,0))</f>
        <v/>
      </c>
      <c r="K1486" s="41" t="str">
        <f aca="false">IF(A1486="","",IF(ISNUMBER(SEARCH("DLV",E1486)),D1486,0))</f>
        <v/>
      </c>
      <c r="L1486" s="41" t="str">
        <f aca="false">IF(A1486="","",IF(K1486&gt;0,"Delivered",IF(ISNUMBER(SEARCH("CNF",E1486)),"In production",IF(J1486&gt;0,"Issued",IF(I1486&gt;0,"Kitted","Released")))))</f>
        <v/>
      </c>
      <c r="M1486" s="41" t="str">
        <f aca="false">IF(G1486&lt;&gt;"Yes","",COUNTIFS($B$6:$B$1505,B1486,$F$6:$F$1505,"&lt;"&amp;F1486)+COUNTIFS($B$6:$B$1505,B1486,$F$6:$F$1505,F1486,$A$6:$A$1505,"&lt;="&amp;A1486))</f>
        <v/>
      </c>
      <c r="N1486" s="41" t="str">
        <f aca="false">IF(M1486="","",ROUNDUP(M1486/H1486,0))</f>
        <v/>
      </c>
      <c r="O1486" s="41" t="str">
        <f aca="false">IF(N1486="","",IF(N1486&lt;='Kitting Plan'!$C$3,"Rep "&amp;N1486,"Surplus"))</f>
        <v/>
      </c>
    </row>
    <row r="1487" customFormat="false" ht="15" hidden="false" customHeight="false" outlineLevel="0" collapsed="false">
      <c r="A1487" s="40" t="str">
        <f aca="false">IF(OR($A$4=0,INDEX('COOIS Raw'!$A:$GZ,ROW()-4,$A$4)=""),"",IFERROR(--INDEX('COOIS Raw'!$A:$GZ,ROW()-4,$A$4),INDEX('COOIS Raw'!$A:$GZ,ROW()-4,$A$4)))</f>
        <v/>
      </c>
      <c r="B1487" s="41" t="str">
        <f aca="false">IF(A1487="","",TRIM(INDEX('COOIS Raw'!$A:$GZ,ROW()-4,$B$4)))</f>
        <v/>
      </c>
      <c r="C1487" s="42" t="str">
        <f aca="false">IF(OR(A1487="",$C$4=0),"",INDEX('COOIS Raw'!$A:$GZ,ROW()-4,$C$4))</f>
        <v/>
      </c>
      <c r="D1487" s="41" t="str">
        <f aca="false">IF(A1487="","",IF($D$4=0,1,IFERROR(--INDEX('COOIS Raw'!$A:$GZ,ROW()-4,$D$4),1)))</f>
        <v/>
      </c>
      <c r="E1487" s="42" t="str">
        <f aca="false">IF(A1487="","",INDEX('COOIS Raw'!$A:$GZ,ROW()-4,$E$4)&amp;"")</f>
        <v/>
      </c>
      <c r="F1487" s="43" t="str">
        <f aca="false">IF(A1487="","",IFERROR(DATEVALUE(INDEX('COOIS Raw'!$A:$GZ,ROW()-4,$F$4)),INDEX('COOIS Raw'!$A:$GZ,ROW()-4,$F$4)))</f>
        <v/>
      </c>
      <c r="G1487" s="41" t="str">
        <f aca="false">IF(A1487="","",IF(ISNA(MATCH(B1487,'Kitting Plan'!$B$6:$B$19,0)),"Not in plan","Yes"))</f>
        <v/>
      </c>
      <c r="H1487" s="41" t="str">
        <f aca="false">IF(G1487="Yes",INDEX('Kitting Plan'!$D$6:$D$19,MATCH(B1487,'Kitting Plan'!$B$6:$B$19,0)),"")</f>
        <v/>
      </c>
      <c r="I1487" s="41" t="str">
        <f aca="false">IF(A1487="","",IF(ISNUMBER(SEARCH("PRT",E1487)),D1487,0))</f>
        <v/>
      </c>
      <c r="J1487" s="41" t="str">
        <f aca="false">IF(A1487="","",IF(ISNUMBER(SEARCH("GMPS",E1487)),D1487,0))</f>
        <v/>
      </c>
      <c r="K1487" s="41" t="str">
        <f aca="false">IF(A1487="","",IF(ISNUMBER(SEARCH("DLV",E1487)),D1487,0))</f>
        <v/>
      </c>
      <c r="L1487" s="41" t="str">
        <f aca="false">IF(A1487="","",IF(K1487&gt;0,"Delivered",IF(ISNUMBER(SEARCH("CNF",E1487)),"In production",IF(J1487&gt;0,"Issued",IF(I1487&gt;0,"Kitted","Released")))))</f>
        <v/>
      </c>
      <c r="M1487" s="41" t="str">
        <f aca="false">IF(G1487&lt;&gt;"Yes","",COUNTIFS($B$6:$B$1505,B1487,$F$6:$F$1505,"&lt;"&amp;F1487)+COUNTIFS($B$6:$B$1505,B1487,$F$6:$F$1505,F1487,$A$6:$A$1505,"&lt;="&amp;A1487))</f>
        <v/>
      </c>
      <c r="N1487" s="41" t="str">
        <f aca="false">IF(M1487="","",ROUNDUP(M1487/H1487,0))</f>
        <v/>
      </c>
      <c r="O1487" s="41" t="str">
        <f aca="false">IF(N1487="","",IF(N1487&lt;='Kitting Plan'!$C$3,"Rep "&amp;N1487,"Surplus"))</f>
        <v/>
      </c>
    </row>
    <row r="1488" customFormat="false" ht="15" hidden="false" customHeight="false" outlineLevel="0" collapsed="false">
      <c r="A1488" s="40" t="str">
        <f aca="false">IF(OR($A$4=0,INDEX('COOIS Raw'!$A:$GZ,ROW()-4,$A$4)=""),"",IFERROR(--INDEX('COOIS Raw'!$A:$GZ,ROW()-4,$A$4),INDEX('COOIS Raw'!$A:$GZ,ROW()-4,$A$4)))</f>
        <v/>
      </c>
      <c r="B1488" s="41" t="str">
        <f aca="false">IF(A1488="","",TRIM(INDEX('COOIS Raw'!$A:$GZ,ROW()-4,$B$4)))</f>
        <v/>
      </c>
      <c r="C1488" s="42" t="str">
        <f aca="false">IF(OR(A1488="",$C$4=0),"",INDEX('COOIS Raw'!$A:$GZ,ROW()-4,$C$4))</f>
        <v/>
      </c>
      <c r="D1488" s="41" t="str">
        <f aca="false">IF(A1488="","",IF($D$4=0,1,IFERROR(--INDEX('COOIS Raw'!$A:$GZ,ROW()-4,$D$4),1)))</f>
        <v/>
      </c>
      <c r="E1488" s="42" t="str">
        <f aca="false">IF(A1488="","",INDEX('COOIS Raw'!$A:$GZ,ROW()-4,$E$4)&amp;"")</f>
        <v/>
      </c>
      <c r="F1488" s="43" t="str">
        <f aca="false">IF(A1488="","",IFERROR(DATEVALUE(INDEX('COOIS Raw'!$A:$GZ,ROW()-4,$F$4)),INDEX('COOIS Raw'!$A:$GZ,ROW()-4,$F$4)))</f>
        <v/>
      </c>
      <c r="G1488" s="41" t="str">
        <f aca="false">IF(A1488="","",IF(ISNA(MATCH(B1488,'Kitting Plan'!$B$6:$B$19,0)),"Not in plan","Yes"))</f>
        <v/>
      </c>
      <c r="H1488" s="41" t="str">
        <f aca="false">IF(G1488="Yes",INDEX('Kitting Plan'!$D$6:$D$19,MATCH(B1488,'Kitting Plan'!$B$6:$B$19,0)),"")</f>
        <v/>
      </c>
      <c r="I1488" s="41" t="str">
        <f aca="false">IF(A1488="","",IF(ISNUMBER(SEARCH("PRT",E1488)),D1488,0))</f>
        <v/>
      </c>
      <c r="J1488" s="41" t="str">
        <f aca="false">IF(A1488="","",IF(ISNUMBER(SEARCH("GMPS",E1488)),D1488,0))</f>
        <v/>
      </c>
      <c r="K1488" s="41" t="str">
        <f aca="false">IF(A1488="","",IF(ISNUMBER(SEARCH("DLV",E1488)),D1488,0))</f>
        <v/>
      </c>
      <c r="L1488" s="41" t="str">
        <f aca="false">IF(A1488="","",IF(K1488&gt;0,"Delivered",IF(ISNUMBER(SEARCH("CNF",E1488)),"In production",IF(J1488&gt;0,"Issued",IF(I1488&gt;0,"Kitted","Released")))))</f>
        <v/>
      </c>
      <c r="M1488" s="41" t="str">
        <f aca="false">IF(G1488&lt;&gt;"Yes","",COUNTIFS($B$6:$B$1505,B1488,$F$6:$F$1505,"&lt;"&amp;F1488)+COUNTIFS($B$6:$B$1505,B1488,$F$6:$F$1505,F1488,$A$6:$A$1505,"&lt;="&amp;A1488))</f>
        <v/>
      </c>
      <c r="N1488" s="41" t="str">
        <f aca="false">IF(M1488="","",ROUNDUP(M1488/H1488,0))</f>
        <v/>
      </c>
      <c r="O1488" s="41" t="str">
        <f aca="false">IF(N1488="","",IF(N1488&lt;='Kitting Plan'!$C$3,"Rep "&amp;N1488,"Surplus"))</f>
        <v/>
      </c>
    </row>
    <row r="1489" customFormat="false" ht="15" hidden="false" customHeight="false" outlineLevel="0" collapsed="false">
      <c r="A1489" s="40" t="str">
        <f aca="false">IF(OR($A$4=0,INDEX('COOIS Raw'!$A:$GZ,ROW()-4,$A$4)=""),"",IFERROR(--INDEX('COOIS Raw'!$A:$GZ,ROW()-4,$A$4),INDEX('COOIS Raw'!$A:$GZ,ROW()-4,$A$4)))</f>
        <v/>
      </c>
      <c r="B1489" s="41" t="str">
        <f aca="false">IF(A1489="","",TRIM(INDEX('COOIS Raw'!$A:$GZ,ROW()-4,$B$4)))</f>
        <v/>
      </c>
      <c r="C1489" s="42" t="str">
        <f aca="false">IF(OR(A1489="",$C$4=0),"",INDEX('COOIS Raw'!$A:$GZ,ROW()-4,$C$4))</f>
        <v/>
      </c>
      <c r="D1489" s="41" t="str">
        <f aca="false">IF(A1489="","",IF($D$4=0,1,IFERROR(--INDEX('COOIS Raw'!$A:$GZ,ROW()-4,$D$4),1)))</f>
        <v/>
      </c>
      <c r="E1489" s="42" t="str">
        <f aca="false">IF(A1489="","",INDEX('COOIS Raw'!$A:$GZ,ROW()-4,$E$4)&amp;"")</f>
        <v/>
      </c>
      <c r="F1489" s="43" t="str">
        <f aca="false">IF(A1489="","",IFERROR(DATEVALUE(INDEX('COOIS Raw'!$A:$GZ,ROW()-4,$F$4)),INDEX('COOIS Raw'!$A:$GZ,ROW()-4,$F$4)))</f>
        <v/>
      </c>
      <c r="G1489" s="41" t="str">
        <f aca="false">IF(A1489="","",IF(ISNA(MATCH(B1489,'Kitting Plan'!$B$6:$B$19,0)),"Not in plan","Yes"))</f>
        <v/>
      </c>
      <c r="H1489" s="41" t="str">
        <f aca="false">IF(G1489="Yes",INDEX('Kitting Plan'!$D$6:$D$19,MATCH(B1489,'Kitting Plan'!$B$6:$B$19,0)),"")</f>
        <v/>
      </c>
      <c r="I1489" s="41" t="str">
        <f aca="false">IF(A1489="","",IF(ISNUMBER(SEARCH("PRT",E1489)),D1489,0))</f>
        <v/>
      </c>
      <c r="J1489" s="41" t="str">
        <f aca="false">IF(A1489="","",IF(ISNUMBER(SEARCH("GMPS",E1489)),D1489,0))</f>
        <v/>
      </c>
      <c r="K1489" s="41" t="str">
        <f aca="false">IF(A1489="","",IF(ISNUMBER(SEARCH("DLV",E1489)),D1489,0))</f>
        <v/>
      </c>
      <c r="L1489" s="41" t="str">
        <f aca="false">IF(A1489="","",IF(K1489&gt;0,"Delivered",IF(ISNUMBER(SEARCH("CNF",E1489)),"In production",IF(J1489&gt;0,"Issued",IF(I1489&gt;0,"Kitted","Released")))))</f>
        <v/>
      </c>
      <c r="M1489" s="41" t="str">
        <f aca="false">IF(G1489&lt;&gt;"Yes","",COUNTIFS($B$6:$B$1505,B1489,$F$6:$F$1505,"&lt;"&amp;F1489)+COUNTIFS($B$6:$B$1505,B1489,$F$6:$F$1505,F1489,$A$6:$A$1505,"&lt;="&amp;A1489))</f>
        <v/>
      </c>
      <c r="N1489" s="41" t="str">
        <f aca="false">IF(M1489="","",ROUNDUP(M1489/H1489,0))</f>
        <v/>
      </c>
      <c r="O1489" s="41" t="str">
        <f aca="false">IF(N1489="","",IF(N1489&lt;='Kitting Plan'!$C$3,"Rep "&amp;N1489,"Surplus"))</f>
        <v/>
      </c>
    </row>
    <row r="1490" customFormat="false" ht="15" hidden="false" customHeight="false" outlineLevel="0" collapsed="false">
      <c r="A1490" s="40" t="str">
        <f aca="false">IF(OR($A$4=0,INDEX('COOIS Raw'!$A:$GZ,ROW()-4,$A$4)=""),"",IFERROR(--INDEX('COOIS Raw'!$A:$GZ,ROW()-4,$A$4),INDEX('COOIS Raw'!$A:$GZ,ROW()-4,$A$4)))</f>
        <v/>
      </c>
      <c r="B1490" s="41" t="str">
        <f aca="false">IF(A1490="","",TRIM(INDEX('COOIS Raw'!$A:$GZ,ROW()-4,$B$4)))</f>
        <v/>
      </c>
      <c r="C1490" s="42" t="str">
        <f aca="false">IF(OR(A1490="",$C$4=0),"",INDEX('COOIS Raw'!$A:$GZ,ROW()-4,$C$4))</f>
        <v/>
      </c>
      <c r="D1490" s="41" t="str">
        <f aca="false">IF(A1490="","",IF($D$4=0,1,IFERROR(--INDEX('COOIS Raw'!$A:$GZ,ROW()-4,$D$4),1)))</f>
        <v/>
      </c>
      <c r="E1490" s="42" t="str">
        <f aca="false">IF(A1490="","",INDEX('COOIS Raw'!$A:$GZ,ROW()-4,$E$4)&amp;"")</f>
        <v/>
      </c>
      <c r="F1490" s="43" t="str">
        <f aca="false">IF(A1490="","",IFERROR(DATEVALUE(INDEX('COOIS Raw'!$A:$GZ,ROW()-4,$F$4)),INDEX('COOIS Raw'!$A:$GZ,ROW()-4,$F$4)))</f>
        <v/>
      </c>
      <c r="G1490" s="41" t="str">
        <f aca="false">IF(A1490="","",IF(ISNA(MATCH(B1490,'Kitting Plan'!$B$6:$B$19,0)),"Not in plan","Yes"))</f>
        <v/>
      </c>
      <c r="H1490" s="41" t="str">
        <f aca="false">IF(G1490="Yes",INDEX('Kitting Plan'!$D$6:$D$19,MATCH(B1490,'Kitting Plan'!$B$6:$B$19,0)),"")</f>
        <v/>
      </c>
      <c r="I1490" s="41" t="str">
        <f aca="false">IF(A1490="","",IF(ISNUMBER(SEARCH("PRT",E1490)),D1490,0))</f>
        <v/>
      </c>
      <c r="J1490" s="41" t="str">
        <f aca="false">IF(A1490="","",IF(ISNUMBER(SEARCH("GMPS",E1490)),D1490,0))</f>
        <v/>
      </c>
      <c r="K1490" s="41" t="str">
        <f aca="false">IF(A1490="","",IF(ISNUMBER(SEARCH("DLV",E1490)),D1490,0))</f>
        <v/>
      </c>
      <c r="L1490" s="41" t="str">
        <f aca="false">IF(A1490="","",IF(K1490&gt;0,"Delivered",IF(ISNUMBER(SEARCH("CNF",E1490)),"In production",IF(J1490&gt;0,"Issued",IF(I1490&gt;0,"Kitted","Released")))))</f>
        <v/>
      </c>
      <c r="M1490" s="41" t="str">
        <f aca="false">IF(G1490&lt;&gt;"Yes","",COUNTIFS($B$6:$B$1505,B1490,$F$6:$F$1505,"&lt;"&amp;F1490)+COUNTIFS($B$6:$B$1505,B1490,$F$6:$F$1505,F1490,$A$6:$A$1505,"&lt;="&amp;A1490))</f>
        <v/>
      </c>
      <c r="N1490" s="41" t="str">
        <f aca="false">IF(M1490="","",ROUNDUP(M1490/H1490,0))</f>
        <v/>
      </c>
      <c r="O1490" s="41" t="str">
        <f aca="false">IF(N1490="","",IF(N1490&lt;='Kitting Plan'!$C$3,"Rep "&amp;N1490,"Surplus"))</f>
        <v/>
      </c>
    </row>
    <row r="1491" customFormat="false" ht="15" hidden="false" customHeight="false" outlineLevel="0" collapsed="false">
      <c r="A1491" s="40" t="str">
        <f aca="false">IF(OR($A$4=0,INDEX('COOIS Raw'!$A:$GZ,ROW()-4,$A$4)=""),"",IFERROR(--INDEX('COOIS Raw'!$A:$GZ,ROW()-4,$A$4),INDEX('COOIS Raw'!$A:$GZ,ROW()-4,$A$4)))</f>
        <v/>
      </c>
      <c r="B1491" s="41" t="str">
        <f aca="false">IF(A1491="","",TRIM(INDEX('COOIS Raw'!$A:$GZ,ROW()-4,$B$4)))</f>
        <v/>
      </c>
      <c r="C1491" s="42" t="str">
        <f aca="false">IF(OR(A1491="",$C$4=0),"",INDEX('COOIS Raw'!$A:$GZ,ROW()-4,$C$4))</f>
        <v/>
      </c>
      <c r="D1491" s="41" t="str">
        <f aca="false">IF(A1491="","",IF($D$4=0,1,IFERROR(--INDEX('COOIS Raw'!$A:$GZ,ROW()-4,$D$4),1)))</f>
        <v/>
      </c>
      <c r="E1491" s="42" t="str">
        <f aca="false">IF(A1491="","",INDEX('COOIS Raw'!$A:$GZ,ROW()-4,$E$4)&amp;"")</f>
        <v/>
      </c>
      <c r="F1491" s="43" t="str">
        <f aca="false">IF(A1491="","",IFERROR(DATEVALUE(INDEX('COOIS Raw'!$A:$GZ,ROW()-4,$F$4)),INDEX('COOIS Raw'!$A:$GZ,ROW()-4,$F$4)))</f>
        <v/>
      </c>
      <c r="G1491" s="41" t="str">
        <f aca="false">IF(A1491="","",IF(ISNA(MATCH(B1491,'Kitting Plan'!$B$6:$B$19,0)),"Not in plan","Yes"))</f>
        <v/>
      </c>
      <c r="H1491" s="41" t="str">
        <f aca="false">IF(G1491="Yes",INDEX('Kitting Plan'!$D$6:$D$19,MATCH(B1491,'Kitting Plan'!$B$6:$B$19,0)),"")</f>
        <v/>
      </c>
      <c r="I1491" s="41" t="str">
        <f aca="false">IF(A1491="","",IF(ISNUMBER(SEARCH("PRT",E1491)),D1491,0))</f>
        <v/>
      </c>
      <c r="J1491" s="41" t="str">
        <f aca="false">IF(A1491="","",IF(ISNUMBER(SEARCH("GMPS",E1491)),D1491,0))</f>
        <v/>
      </c>
      <c r="K1491" s="41" t="str">
        <f aca="false">IF(A1491="","",IF(ISNUMBER(SEARCH("DLV",E1491)),D1491,0))</f>
        <v/>
      </c>
      <c r="L1491" s="41" t="str">
        <f aca="false">IF(A1491="","",IF(K1491&gt;0,"Delivered",IF(ISNUMBER(SEARCH("CNF",E1491)),"In production",IF(J1491&gt;0,"Issued",IF(I1491&gt;0,"Kitted","Released")))))</f>
        <v/>
      </c>
      <c r="M1491" s="41" t="str">
        <f aca="false">IF(G1491&lt;&gt;"Yes","",COUNTIFS($B$6:$B$1505,B1491,$F$6:$F$1505,"&lt;"&amp;F1491)+COUNTIFS($B$6:$B$1505,B1491,$F$6:$F$1505,F1491,$A$6:$A$1505,"&lt;="&amp;A1491))</f>
        <v/>
      </c>
      <c r="N1491" s="41" t="str">
        <f aca="false">IF(M1491="","",ROUNDUP(M1491/H1491,0))</f>
        <v/>
      </c>
      <c r="O1491" s="41" t="str">
        <f aca="false">IF(N1491="","",IF(N1491&lt;='Kitting Plan'!$C$3,"Rep "&amp;N1491,"Surplus"))</f>
        <v/>
      </c>
    </row>
    <row r="1492" customFormat="false" ht="15" hidden="false" customHeight="false" outlineLevel="0" collapsed="false">
      <c r="A1492" s="40" t="str">
        <f aca="false">IF(OR($A$4=0,INDEX('COOIS Raw'!$A:$GZ,ROW()-4,$A$4)=""),"",IFERROR(--INDEX('COOIS Raw'!$A:$GZ,ROW()-4,$A$4),INDEX('COOIS Raw'!$A:$GZ,ROW()-4,$A$4)))</f>
        <v/>
      </c>
      <c r="B1492" s="41" t="str">
        <f aca="false">IF(A1492="","",TRIM(INDEX('COOIS Raw'!$A:$GZ,ROW()-4,$B$4)))</f>
        <v/>
      </c>
      <c r="C1492" s="42" t="str">
        <f aca="false">IF(OR(A1492="",$C$4=0),"",INDEX('COOIS Raw'!$A:$GZ,ROW()-4,$C$4))</f>
        <v/>
      </c>
      <c r="D1492" s="41" t="str">
        <f aca="false">IF(A1492="","",IF($D$4=0,1,IFERROR(--INDEX('COOIS Raw'!$A:$GZ,ROW()-4,$D$4),1)))</f>
        <v/>
      </c>
      <c r="E1492" s="42" t="str">
        <f aca="false">IF(A1492="","",INDEX('COOIS Raw'!$A:$GZ,ROW()-4,$E$4)&amp;"")</f>
        <v/>
      </c>
      <c r="F1492" s="43" t="str">
        <f aca="false">IF(A1492="","",IFERROR(DATEVALUE(INDEX('COOIS Raw'!$A:$GZ,ROW()-4,$F$4)),INDEX('COOIS Raw'!$A:$GZ,ROW()-4,$F$4)))</f>
        <v/>
      </c>
      <c r="G1492" s="41" t="str">
        <f aca="false">IF(A1492="","",IF(ISNA(MATCH(B1492,'Kitting Plan'!$B$6:$B$19,0)),"Not in plan","Yes"))</f>
        <v/>
      </c>
      <c r="H1492" s="41" t="str">
        <f aca="false">IF(G1492="Yes",INDEX('Kitting Plan'!$D$6:$D$19,MATCH(B1492,'Kitting Plan'!$B$6:$B$19,0)),"")</f>
        <v/>
      </c>
      <c r="I1492" s="41" t="str">
        <f aca="false">IF(A1492="","",IF(ISNUMBER(SEARCH("PRT",E1492)),D1492,0))</f>
        <v/>
      </c>
      <c r="J1492" s="41" t="str">
        <f aca="false">IF(A1492="","",IF(ISNUMBER(SEARCH("GMPS",E1492)),D1492,0))</f>
        <v/>
      </c>
      <c r="K1492" s="41" t="str">
        <f aca="false">IF(A1492="","",IF(ISNUMBER(SEARCH("DLV",E1492)),D1492,0))</f>
        <v/>
      </c>
      <c r="L1492" s="41" t="str">
        <f aca="false">IF(A1492="","",IF(K1492&gt;0,"Delivered",IF(ISNUMBER(SEARCH("CNF",E1492)),"In production",IF(J1492&gt;0,"Issued",IF(I1492&gt;0,"Kitted","Released")))))</f>
        <v/>
      </c>
      <c r="M1492" s="41" t="str">
        <f aca="false">IF(G1492&lt;&gt;"Yes","",COUNTIFS($B$6:$B$1505,B1492,$F$6:$F$1505,"&lt;"&amp;F1492)+COUNTIFS($B$6:$B$1505,B1492,$F$6:$F$1505,F1492,$A$6:$A$1505,"&lt;="&amp;A1492))</f>
        <v/>
      </c>
      <c r="N1492" s="41" t="str">
        <f aca="false">IF(M1492="","",ROUNDUP(M1492/H1492,0))</f>
        <v/>
      </c>
      <c r="O1492" s="41" t="str">
        <f aca="false">IF(N1492="","",IF(N1492&lt;='Kitting Plan'!$C$3,"Rep "&amp;N1492,"Surplus"))</f>
        <v/>
      </c>
    </row>
    <row r="1493" customFormat="false" ht="15" hidden="false" customHeight="false" outlineLevel="0" collapsed="false">
      <c r="A1493" s="40" t="str">
        <f aca="false">IF(OR($A$4=0,INDEX('COOIS Raw'!$A:$GZ,ROW()-4,$A$4)=""),"",IFERROR(--INDEX('COOIS Raw'!$A:$GZ,ROW()-4,$A$4),INDEX('COOIS Raw'!$A:$GZ,ROW()-4,$A$4)))</f>
        <v/>
      </c>
      <c r="B1493" s="41" t="str">
        <f aca="false">IF(A1493="","",TRIM(INDEX('COOIS Raw'!$A:$GZ,ROW()-4,$B$4)))</f>
        <v/>
      </c>
      <c r="C1493" s="42" t="str">
        <f aca="false">IF(OR(A1493="",$C$4=0),"",INDEX('COOIS Raw'!$A:$GZ,ROW()-4,$C$4))</f>
        <v/>
      </c>
      <c r="D1493" s="41" t="str">
        <f aca="false">IF(A1493="","",IF($D$4=0,1,IFERROR(--INDEX('COOIS Raw'!$A:$GZ,ROW()-4,$D$4),1)))</f>
        <v/>
      </c>
      <c r="E1493" s="42" t="str">
        <f aca="false">IF(A1493="","",INDEX('COOIS Raw'!$A:$GZ,ROW()-4,$E$4)&amp;"")</f>
        <v/>
      </c>
      <c r="F1493" s="43" t="str">
        <f aca="false">IF(A1493="","",IFERROR(DATEVALUE(INDEX('COOIS Raw'!$A:$GZ,ROW()-4,$F$4)),INDEX('COOIS Raw'!$A:$GZ,ROW()-4,$F$4)))</f>
        <v/>
      </c>
      <c r="G1493" s="41" t="str">
        <f aca="false">IF(A1493="","",IF(ISNA(MATCH(B1493,'Kitting Plan'!$B$6:$B$19,0)),"Not in plan","Yes"))</f>
        <v/>
      </c>
      <c r="H1493" s="41" t="str">
        <f aca="false">IF(G1493="Yes",INDEX('Kitting Plan'!$D$6:$D$19,MATCH(B1493,'Kitting Plan'!$B$6:$B$19,0)),"")</f>
        <v/>
      </c>
      <c r="I1493" s="41" t="str">
        <f aca="false">IF(A1493="","",IF(ISNUMBER(SEARCH("PRT",E1493)),D1493,0))</f>
        <v/>
      </c>
      <c r="J1493" s="41" t="str">
        <f aca="false">IF(A1493="","",IF(ISNUMBER(SEARCH("GMPS",E1493)),D1493,0))</f>
        <v/>
      </c>
      <c r="K1493" s="41" t="str">
        <f aca="false">IF(A1493="","",IF(ISNUMBER(SEARCH("DLV",E1493)),D1493,0))</f>
        <v/>
      </c>
      <c r="L1493" s="41" t="str">
        <f aca="false">IF(A1493="","",IF(K1493&gt;0,"Delivered",IF(ISNUMBER(SEARCH("CNF",E1493)),"In production",IF(J1493&gt;0,"Issued",IF(I1493&gt;0,"Kitted","Released")))))</f>
        <v/>
      </c>
      <c r="M1493" s="41" t="str">
        <f aca="false">IF(G1493&lt;&gt;"Yes","",COUNTIFS($B$6:$B$1505,B1493,$F$6:$F$1505,"&lt;"&amp;F1493)+COUNTIFS($B$6:$B$1505,B1493,$F$6:$F$1505,F1493,$A$6:$A$1505,"&lt;="&amp;A1493))</f>
        <v/>
      </c>
      <c r="N1493" s="41" t="str">
        <f aca="false">IF(M1493="","",ROUNDUP(M1493/H1493,0))</f>
        <v/>
      </c>
      <c r="O1493" s="41" t="str">
        <f aca="false">IF(N1493="","",IF(N1493&lt;='Kitting Plan'!$C$3,"Rep "&amp;N1493,"Surplus"))</f>
        <v/>
      </c>
    </row>
    <row r="1494" customFormat="false" ht="15" hidden="false" customHeight="false" outlineLevel="0" collapsed="false">
      <c r="A1494" s="40" t="str">
        <f aca="false">IF(OR($A$4=0,INDEX('COOIS Raw'!$A:$GZ,ROW()-4,$A$4)=""),"",IFERROR(--INDEX('COOIS Raw'!$A:$GZ,ROW()-4,$A$4),INDEX('COOIS Raw'!$A:$GZ,ROW()-4,$A$4)))</f>
        <v/>
      </c>
      <c r="B1494" s="41" t="str">
        <f aca="false">IF(A1494="","",TRIM(INDEX('COOIS Raw'!$A:$GZ,ROW()-4,$B$4)))</f>
        <v/>
      </c>
      <c r="C1494" s="42" t="str">
        <f aca="false">IF(OR(A1494="",$C$4=0),"",INDEX('COOIS Raw'!$A:$GZ,ROW()-4,$C$4))</f>
        <v/>
      </c>
      <c r="D1494" s="41" t="str">
        <f aca="false">IF(A1494="","",IF($D$4=0,1,IFERROR(--INDEX('COOIS Raw'!$A:$GZ,ROW()-4,$D$4),1)))</f>
        <v/>
      </c>
      <c r="E1494" s="42" t="str">
        <f aca="false">IF(A1494="","",INDEX('COOIS Raw'!$A:$GZ,ROW()-4,$E$4)&amp;"")</f>
        <v/>
      </c>
      <c r="F1494" s="43" t="str">
        <f aca="false">IF(A1494="","",IFERROR(DATEVALUE(INDEX('COOIS Raw'!$A:$GZ,ROW()-4,$F$4)),INDEX('COOIS Raw'!$A:$GZ,ROW()-4,$F$4)))</f>
        <v/>
      </c>
      <c r="G1494" s="41" t="str">
        <f aca="false">IF(A1494="","",IF(ISNA(MATCH(B1494,'Kitting Plan'!$B$6:$B$19,0)),"Not in plan","Yes"))</f>
        <v/>
      </c>
      <c r="H1494" s="41" t="str">
        <f aca="false">IF(G1494="Yes",INDEX('Kitting Plan'!$D$6:$D$19,MATCH(B1494,'Kitting Plan'!$B$6:$B$19,0)),"")</f>
        <v/>
      </c>
      <c r="I1494" s="41" t="str">
        <f aca="false">IF(A1494="","",IF(ISNUMBER(SEARCH("PRT",E1494)),D1494,0))</f>
        <v/>
      </c>
      <c r="J1494" s="41" t="str">
        <f aca="false">IF(A1494="","",IF(ISNUMBER(SEARCH("GMPS",E1494)),D1494,0))</f>
        <v/>
      </c>
      <c r="K1494" s="41" t="str">
        <f aca="false">IF(A1494="","",IF(ISNUMBER(SEARCH("DLV",E1494)),D1494,0))</f>
        <v/>
      </c>
      <c r="L1494" s="41" t="str">
        <f aca="false">IF(A1494="","",IF(K1494&gt;0,"Delivered",IF(ISNUMBER(SEARCH("CNF",E1494)),"In production",IF(J1494&gt;0,"Issued",IF(I1494&gt;0,"Kitted","Released")))))</f>
        <v/>
      </c>
      <c r="M1494" s="41" t="str">
        <f aca="false">IF(G1494&lt;&gt;"Yes","",COUNTIFS($B$6:$B$1505,B1494,$F$6:$F$1505,"&lt;"&amp;F1494)+COUNTIFS($B$6:$B$1505,B1494,$F$6:$F$1505,F1494,$A$6:$A$1505,"&lt;="&amp;A1494))</f>
        <v/>
      </c>
      <c r="N1494" s="41" t="str">
        <f aca="false">IF(M1494="","",ROUNDUP(M1494/H1494,0))</f>
        <v/>
      </c>
      <c r="O1494" s="41" t="str">
        <f aca="false">IF(N1494="","",IF(N1494&lt;='Kitting Plan'!$C$3,"Rep "&amp;N1494,"Surplus"))</f>
        <v/>
      </c>
    </row>
    <row r="1495" customFormat="false" ht="15" hidden="false" customHeight="false" outlineLevel="0" collapsed="false">
      <c r="A1495" s="40" t="str">
        <f aca="false">IF(OR($A$4=0,INDEX('COOIS Raw'!$A:$GZ,ROW()-4,$A$4)=""),"",IFERROR(--INDEX('COOIS Raw'!$A:$GZ,ROW()-4,$A$4),INDEX('COOIS Raw'!$A:$GZ,ROW()-4,$A$4)))</f>
        <v/>
      </c>
      <c r="B1495" s="41" t="str">
        <f aca="false">IF(A1495="","",TRIM(INDEX('COOIS Raw'!$A:$GZ,ROW()-4,$B$4)))</f>
        <v/>
      </c>
      <c r="C1495" s="42" t="str">
        <f aca="false">IF(OR(A1495="",$C$4=0),"",INDEX('COOIS Raw'!$A:$GZ,ROW()-4,$C$4))</f>
        <v/>
      </c>
      <c r="D1495" s="41" t="str">
        <f aca="false">IF(A1495="","",IF($D$4=0,1,IFERROR(--INDEX('COOIS Raw'!$A:$GZ,ROW()-4,$D$4),1)))</f>
        <v/>
      </c>
      <c r="E1495" s="42" t="str">
        <f aca="false">IF(A1495="","",INDEX('COOIS Raw'!$A:$GZ,ROW()-4,$E$4)&amp;"")</f>
        <v/>
      </c>
      <c r="F1495" s="43" t="str">
        <f aca="false">IF(A1495="","",IFERROR(DATEVALUE(INDEX('COOIS Raw'!$A:$GZ,ROW()-4,$F$4)),INDEX('COOIS Raw'!$A:$GZ,ROW()-4,$F$4)))</f>
        <v/>
      </c>
      <c r="G1495" s="41" t="str">
        <f aca="false">IF(A1495="","",IF(ISNA(MATCH(B1495,'Kitting Plan'!$B$6:$B$19,0)),"Not in plan","Yes"))</f>
        <v/>
      </c>
      <c r="H1495" s="41" t="str">
        <f aca="false">IF(G1495="Yes",INDEX('Kitting Plan'!$D$6:$D$19,MATCH(B1495,'Kitting Plan'!$B$6:$B$19,0)),"")</f>
        <v/>
      </c>
      <c r="I1495" s="41" t="str">
        <f aca="false">IF(A1495="","",IF(ISNUMBER(SEARCH("PRT",E1495)),D1495,0))</f>
        <v/>
      </c>
      <c r="J1495" s="41" t="str">
        <f aca="false">IF(A1495="","",IF(ISNUMBER(SEARCH("GMPS",E1495)),D1495,0))</f>
        <v/>
      </c>
      <c r="K1495" s="41" t="str">
        <f aca="false">IF(A1495="","",IF(ISNUMBER(SEARCH("DLV",E1495)),D1495,0))</f>
        <v/>
      </c>
      <c r="L1495" s="41" t="str">
        <f aca="false">IF(A1495="","",IF(K1495&gt;0,"Delivered",IF(ISNUMBER(SEARCH("CNF",E1495)),"In production",IF(J1495&gt;0,"Issued",IF(I1495&gt;0,"Kitted","Released")))))</f>
        <v/>
      </c>
      <c r="M1495" s="41" t="str">
        <f aca="false">IF(G1495&lt;&gt;"Yes","",COUNTIFS($B$6:$B$1505,B1495,$F$6:$F$1505,"&lt;"&amp;F1495)+COUNTIFS($B$6:$B$1505,B1495,$F$6:$F$1505,F1495,$A$6:$A$1505,"&lt;="&amp;A1495))</f>
        <v/>
      </c>
      <c r="N1495" s="41" t="str">
        <f aca="false">IF(M1495="","",ROUNDUP(M1495/H1495,0))</f>
        <v/>
      </c>
      <c r="O1495" s="41" t="str">
        <f aca="false">IF(N1495="","",IF(N1495&lt;='Kitting Plan'!$C$3,"Rep "&amp;N1495,"Surplus"))</f>
        <v/>
      </c>
    </row>
    <row r="1496" customFormat="false" ht="15" hidden="false" customHeight="false" outlineLevel="0" collapsed="false">
      <c r="A1496" s="40" t="str">
        <f aca="false">IF(OR($A$4=0,INDEX('COOIS Raw'!$A:$GZ,ROW()-4,$A$4)=""),"",IFERROR(--INDEX('COOIS Raw'!$A:$GZ,ROW()-4,$A$4),INDEX('COOIS Raw'!$A:$GZ,ROW()-4,$A$4)))</f>
        <v/>
      </c>
      <c r="B1496" s="41" t="str">
        <f aca="false">IF(A1496="","",TRIM(INDEX('COOIS Raw'!$A:$GZ,ROW()-4,$B$4)))</f>
        <v/>
      </c>
      <c r="C1496" s="42" t="str">
        <f aca="false">IF(OR(A1496="",$C$4=0),"",INDEX('COOIS Raw'!$A:$GZ,ROW()-4,$C$4))</f>
        <v/>
      </c>
      <c r="D1496" s="41" t="str">
        <f aca="false">IF(A1496="","",IF($D$4=0,1,IFERROR(--INDEX('COOIS Raw'!$A:$GZ,ROW()-4,$D$4),1)))</f>
        <v/>
      </c>
      <c r="E1496" s="42" t="str">
        <f aca="false">IF(A1496="","",INDEX('COOIS Raw'!$A:$GZ,ROW()-4,$E$4)&amp;"")</f>
        <v/>
      </c>
      <c r="F1496" s="43" t="str">
        <f aca="false">IF(A1496="","",IFERROR(DATEVALUE(INDEX('COOIS Raw'!$A:$GZ,ROW()-4,$F$4)),INDEX('COOIS Raw'!$A:$GZ,ROW()-4,$F$4)))</f>
        <v/>
      </c>
      <c r="G1496" s="41" t="str">
        <f aca="false">IF(A1496="","",IF(ISNA(MATCH(B1496,'Kitting Plan'!$B$6:$B$19,0)),"Not in plan","Yes"))</f>
        <v/>
      </c>
      <c r="H1496" s="41" t="str">
        <f aca="false">IF(G1496="Yes",INDEX('Kitting Plan'!$D$6:$D$19,MATCH(B1496,'Kitting Plan'!$B$6:$B$19,0)),"")</f>
        <v/>
      </c>
      <c r="I1496" s="41" t="str">
        <f aca="false">IF(A1496="","",IF(ISNUMBER(SEARCH("PRT",E1496)),D1496,0))</f>
        <v/>
      </c>
      <c r="J1496" s="41" t="str">
        <f aca="false">IF(A1496="","",IF(ISNUMBER(SEARCH("GMPS",E1496)),D1496,0))</f>
        <v/>
      </c>
      <c r="K1496" s="41" t="str">
        <f aca="false">IF(A1496="","",IF(ISNUMBER(SEARCH("DLV",E1496)),D1496,0))</f>
        <v/>
      </c>
      <c r="L1496" s="41" t="str">
        <f aca="false">IF(A1496="","",IF(K1496&gt;0,"Delivered",IF(ISNUMBER(SEARCH("CNF",E1496)),"In production",IF(J1496&gt;0,"Issued",IF(I1496&gt;0,"Kitted","Released")))))</f>
        <v/>
      </c>
      <c r="M1496" s="41" t="str">
        <f aca="false">IF(G1496&lt;&gt;"Yes","",COUNTIFS($B$6:$B$1505,B1496,$F$6:$F$1505,"&lt;"&amp;F1496)+COUNTIFS($B$6:$B$1505,B1496,$F$6:$F$1505,F1496,$A$6:$A$1505,"&lt;="&amp;A1496))</f>
        <v/>
      </c>
      <c r="N1496" s="41" t="str">
        <f aca="false">IF(M1496="","",ROUNDUP(M1496/H1496,0))</f>
        <v/>
      </c>
      <c r="O1496" s="41" t="str">
        <f aca="false">IF(N1496="","",IF(N1496&lt;='Kitting Plan'!$C$3,"Rep "&amp;N1496,"Surplus"))</f>
        <v/>
      </c>
    </row>
    <row r="1497" customFormat="false" ht="15" hidden="false" customHeight="false" outlineLevel="0" collapsed="false">
      <c r="A1497" s="40" t="str">
        <f aca="false">IF(OR($A$4=0,INDEX('COOIS Raw'!$A:$GZ,ROW()-4,$A$4)=""),"",IFERROR(--INDEX('COOIS Raw'!$A:$GZ,ROW()-4,$A$4),INDEX('COOIS Raw'!$A:$GZ,ROW()-4,$A$4)))</f>
        <v/>
      </c>
      <c r="B1497" s="41" t="str">
        <f aca="false">IF(A1497="","",TRIM(INDEX('COOIS Raw'!$A:$GZ,ROW()-4,$B$4)))</f>
        <v/>
      </c>
      <c r="C1497" s="42" t="str">
        <f aca="false">IF(OR(A1497="",$C$4=0),"",INDEX('COOIS Raw'!$A:$GZ,ROW()-4,$C$4))</f>
        <v/>
      </c>
      <c r="D1497" s="41" t="str">
        <f aca="false">IF(A1497="","",IF($D$4=0,1,IFERROR(--INDEX('COOIS Raw'!$A:$GZ,ROW()-4,$D$4),1)))</f>
        <v/>
      </c>
      <c r="E1497" s="42" t="str">
        <f aca="false">IF(A1497="","",INDEX('COOIS Raw'!$A:$GZ,ROW()-4,$E$4)&amp;"")</f>
        <v/>
      </c>
      <c r="F1497" s="43" t="str">
        <f aca="false">IF(A1497="","",IFERROR(DATEVALUE(INDEX('COOIS Raw'!$A:$GZ,ROW()-4,$F$4)),INDEX('COOIS Raw'!$A:$GZ,ROW()-4,$F$4)))</f>
        <v/>
      </c>
      <c r="G1497" s="41" t="str">
        <f aca="false">IF(A1497="","",IF(ISNA(MATCH(B1497,'Kitting Plan'!$B$6:$B$19,0)),"Not in plan","Yes"))</f>
        <v/>
      </c>
      <c r="H1497" s="41" t="str">
        <f aca="false">IF(G1497="Yes",INDEX('Kitting Plan'!$D$6:$D$19,MATCH(B1497,'Kitting Plan'!$B$6:$B$19,0)),"")</f>
        <v/>
      </c>
      <c r="I1497" s="41" t="str">
        <f aca="false">IF(A1497="","",IF(ISNUMBER(SEARCH("PRT",E1497)),D1497,0))</f>
        <v/>
      </c>
      <c r="J1497" s="41" t="str">
        <f aca="false">IF(A1497="","",IF(ISNUMBER(SEARCH("GMPS",E1497)),D1497,0))</f>
        <v/>
      </c>
      <c r="K1497" s="41" t="str">
        <f aca="false">IF(A1497="","",IF(ISNUMBER(SEARCH("DLV",E1497)),D1497,0))</f>
        <v/>
      </c>
      <c r="L1497" s="41" t="str">
        <f aca="false">IF(A1497="","",IF(K1497&gt;0,"Delivered",IF(ISNUMBER(SEARCH("CNF",E1497)),"In production",IF(J1497&gt;0,"Issued",IF(I1497&gt;0,"Kitted","Released")))))</f>
        <v/>
      </c>
      <c r="M1497" s="41" t="str">
        <f aca="false">IF(G1497&lt;&gt;"Yes","",COUNTIFS($B$6:$B$1505,B1497,$F$6:$F$1505,"&lt;"&amp;F1497)+COUNTIFS($B$6:$B$1505,B1497,$F$6:$F$1505,F1497,$A$6:$A$1505,"&lt;="&amp;A1497))</f>
        <v/>
      </c>
      <c r="N1497" s="41" t="str">
        <f aca="false">IF(M1497="","",ROUNDUP(M1497/H1497,0))</f>
        <v/>
      </c>
      <c r="O1497" s="41" t="str">
        <f aca="false">IF(N1497="","",IF(N1497&lt;='Kitting Plan'!$C$3,"Rep "&amp;N1497,"Surplus"))</f>
        <v/>
      </c>
    </row>
    <row r="1498" customFormat="false" ht="15" hidden="false" customHeight="false" outlineLevel="0" collapsed="false">
      <c r="A1498" s="40" t="str">
        <f aca="false">IF(OR($A$4=0,INDEX('COOIS Raw'!$A:$GZ,ROW()-4,$A$4)=""),"",IFERROR(--INDEX('COOIS Raw'!$A:$GZ,ROW()-4,$A$4),INDEX('COOIS Raw'!$A:$GZ,ROW()-4,$A$4)))</f>
        <v/>
      </c>
      <c r="B1498" s="41" t="str">
        <f aca="false">IF(A1498="","",TRIM(INDEX('COOIS Raw'!$A:$GZ,ROW()-4,$B$4)))</f>
        <v/>
      </c>
      <c r="C1498" s="42" t="str">
        <f aca="false">IF(OR(A1498="",$C$4=0),"",INDEX('COOIS Raw'!$A:$GZ,ROW()-4,$C$4))</f>
        <v/>
      </c>
      <c r="D1498" s="41" t="str">
        <f aca="false">IF(A1498="","",IF($D$4=0,1,IFERROR(--INDEX('COOIS Raw'!$A:$GZ,ROW()-4,$D$4),1)))</f>
        <v/>
      </c>
      <c r="E1498" s="42" t="str">
        <f aca="false">IF(A1498="","",INDEX('COOIS Raw'!$A:$GZ,ROW()-4,$E$4)&amp;"")</f>
        <v/>
      </c>
      <c r="F1498" s="43" t="str">
        <f aca="false">IF(A1498="","",IFERROR(DATEVALUE(INDEX('COOIS Raw'!$A:$GZ,ROW()-4,$F$4)),INDEX('COOIS Raw'!$A:$GZ,ROW()-4,$F$4)))</f>
        <v/>
      </c>
      <c r="G1498" s="41" t="str">
        <f aca="false">IF(A1498="","",IF(ISNA(MATCH(B1498,'Kitting Plan'!$B$6:$B$19,0)),"Not in plan","Yes"))</f>
        <v/>
      </c>
      <c r="H1498" s="41" t="str">
        <f aca="false">IF(G1498="Yes",INDEX('Kitting Plan'!$D$6:$D$19,MATCH(B1498,'Kitting Plan'!$B$6:$B$19,0)),"")</f>
        <v/>
      </c>
      <c r="I1498" s="41" t="str">
        <f aca="false">IF(A1498="","",IF(ISNUMBER(SEARCH("PRT",E1498)),D1498,0))</f>
        <v/>
      </c>
      <c r="J1498" s="41" t="str">
        <f aca="false">IF(A1498="","",IF(ISNUMBER(SEARCH("GMPS",E1498)),D1498,0))</f>
        <v/>
      </c>
      <c r="K1498" s="41" t="str">
        <f aca="false">IF(A1498="","",IF(ISNUMBER(SEARCH("DLV",E1498)),D1498,0))</f>
        <v/>
      </c>
      <c r="L1498" s="41" t="str">
        <f aca="false">IF(A1498="","",IF(K1498&gt;0,"Delivered",IF(ISNUMBER(SEARCH("CNF",E1498)),"In production",IF(J1498&gt;0,"Issued",IF(I1498&gt;0,"Kitted","Released")))))</f>
        <v/>
      </c>
      <c r="M1498" s="41" t="str">
        <f aca="false">IF(G1498&lt;&gt;"Yes","",COUNTIFS($B$6:$B$1505,B1498,$F$6:$F$1505,"&lt;"&amp;F1498)+COUNTIFS($B$6:$B$1505,B1498,$F$6:$F$1505,F1498,$A$6:$A$1505,"&lt;="&amp;A1498))</f>
        <v/>
      </c>
      <c r="N1498" s="41" t="str">
        <f aca="false">IF(M1498="","",ROUNDUP(M1498/H1498,0))</f>
        <v/>
      </c>
      <c r="O1498" s="41" t="str">
        <f aca="false">IF(N1498="","",IF(N1498&lt;='Kitting Plan'!$C$3,"Rep "&amp;N1498,"Surplus"))</f>
        <v/>
      </c>
    </row>
    <row r="1499" customFormat="false" ht="15" hidden="false" customHeight="false" outlineLevel="0" collapsed="false">
      <c r="A1499" s="40" t="str">
        <f aca="false">IF(OR($A$4=0,INDEX('COOIS Raw'!$A:$GZ,ROW()-4,$A$4)=""),"",IFERROR(--INDEX('COOIS Raw'!$A:$GZ,ROW()-4,$A$4),INDEX('COOIS Raw'!$A:$GZ,ROW()-4,$A$4)))</f>
        <v/>
      </c>
      <c r="B1499" s="41" t="str">
        <f aca="false">IF(A1499="","",TRIM(INDEX('COOIS Raw'!$A:$GZ,ROW()-4,$B$4)))</f>
        <v/>
      </c>
      <c r="C1499" s="42" t="str">
        <f aca="false">IF(OR(A1499="",$C$4=0),"",INDEX('COOIS Raw'!$A:$GZ,ROW()-4,$C$4))</f>
        <v/>
      </c>
      <c r="D1499" s="41" t="str">
        <f aca="false">IF(A1499="","",IF($D$4=0,1,IFERROR(--INDEX('COOIS Raw'!$A:$GZ,ROW()-4,$D$4),1)))</f>
        <v/>
      </c>
      <c r="E1499" s="42" t="str">
        <f aca="false">IF(A1499="","",INDEX('COOIS Raw'!$A:$GZ,ROW()-4,$E$4)&amp;"")</f>
        <v/>
      </c>
      <c r="F1499" s="43" t="str">
        <f aca="false">IF(A1499="","",IFERROR(DATEVALUE(INDEX('COOIS Raw'!$A:$GZ,ROW()-4,$F$4)),INDEX('COOIS Raw'!$A:$GZ,ROW()-4,$F$4)))</f>
        <v/>
      </c>
      <c r="G1499" s="41" t="str">
        <f aca="false">IF(A1499="","",IF(ISNA(MATCH(B1499,'Kitting Plan'!$B$6:$B$19,0)),"Not in plan","Yes"))</f>
        <v/>
      </c>
      <c r="H1499" s="41" t="str">
        <f aca="false">IF(G1499="Yes",INDEX('Kitting Plan'!$D$6:$D$19,MATCH(B1499,'Kitting Plan'!$B$6:$B$19,0)),"")</f>
        <v/>
      </c>
      <c r="I1499" s="41" t="str">
        <f aca="false">IF(A1499="","",IF(ISNUMBER(SEARCH("PRT",E1499)),D1499,0))</f>
        <v/>
      </c>
      <c r="J1499" s="41" t="str">
        <f aca="false">IF(A1499="","",IF(ISNUMBER(SEARCH("GMPS",E1499)),D1499,0))</f>
        <v/>
      </c>
      <c r="K1499" s="41" t="str">
        <f aca="false">IF(A1499="","",IF(ISNUMBER(SEARCH("DLV",E1499)),D1499,0))</f>
        <v/>
      </c>
      <c r="L1499" s="41" t="str">
        <f aca="false">IF(A1499="","",IF(K1499&gt;0,"Delivered",IF(ISNUMBER(SEARCH("CNF",E1499)),"In production",IF(J1499&gt;0,"Issued",IF(I1499&gt;0,"Kitted","Released")))))</f>
        <v/>
      </c>
      <c r="M1499" s="41" t="str">
        <f aca="false">IF(G1499&lt;&gt;"Yes","",COUNTIFS($B$6:$B$1505,B1499,$F$6:$F$1505,"&lt;"&amp;F1499)+COUNTIFS($B$6:$B$1505,B1499,$F$6:$F$1505,F1499,$A$6:$A$1505,"&lt;="&amp;A1499))</f>
        <v/>
      </c>
      <c r="N1499" s="41" t="str">
        <f aca="false">IF(M1499="","",ROUNDUP(M1499/H1499,0))</f>
        <v/>
      </c>
      <c r="O1499" s="41" t="str">
        <f aca="false">IF(N1499="","",IF(N1499&lt;='Kitting Plan'!$C$3,"Rep "&amp;N1499,"Surplus"))</f>
        <v/>
      </c>
    </row>
    <row r="1500" customFormat="false" ht="15" hidden="false" customHeight="false" outlineLevel="0" collapsed="false">
      <c r="A1500" s="40" t="str">
        <f aca="false">IF(OR($A$4=0,INDEX('COOIS Raw'!$A:$GZ,ROW()-4,$A$4)=""),"",IFERROR(--INDEX('COOIS Raw'!$A:$GZ,ROW()-4,$A$4),INDEX('COOIS Raw'!$A:$GZ,ROW()-4,$A$4)))</f>
        <v/>
      </c>
      <c r="B1500" s="41" t="str">
        <f aca="false">IF(A1500="","",TRIM(INDEX('COOIS Raw'!$A:$GZ,ROW()-4,$B$4)))</f>
        <v/>
      </c>
      <c r="C1500" s="42" t="str">
        <f aca="false">IF(OR(A1500="",$C$4=0),"",INDEX('COOIS Raw'!$A:$GZ,ROW()-4,$C$4))</f>
        <v/>
      </c>
      <c r="D1500" s="41" t="str">
        <f aca="false">IF(A1500="","",IF($D$4=0,1,IFERROR(--INDEX('COOIS Raw'!$A:$GZ,ROW()-4,$D$4),1)))</f>
        <v/>
      </c>
      <c r="E1500" s="42" t="str">
        <f aca="false">IF(A1500="","",INDEX('COOIS Raw'!$A:$GZ,ROW()-4,$E$4)&amp;"")</f>
        <v/>
      </c>
      <c r="F1500" s="43" t="str">
        <f aca="false">IF(A1500="","",IFERROR(DATEVALUE(INDEX('COOIS Raw'!$A:$GZ,ROW()-4,$F$4)),INDEX('COOIS Raw'!$A:$GZ,ROW()-4,$F$4)))</f>
        <v/>
      </c>
      <c r="G1500" s="41" t="str">
        <f aca="false">IF(A1500="","",IF(ISNA(MATCH(B1500,'Kitting Plan'!$B$6:$B$19,0)),"Not in plan","Yes"))</f>
        <v/>
      </c>
      <c r="H1500" s="41" t="str">
        <f aca="false">IF(G1500="Yes",INDEX('Kitting Plan'!$D$6:$D$19,MATCH(B1500,'Kitting Plan'!$B$6:$B$19,0)),"")</f>
        <v/>
      </c>
      <c r="I1500" s="41" t="str">
        <f aca="false">IF(A1500="","",IF(ISNUMBER(SEARCH("PRT",E1500)),D1500,0))</f>
        <v/>
      </c>
      <c r="J1500" s="41" t="str">
        <f aca="false">IF(A1500="","",IF(ISNUMBER(SEARCH("GMPS",E1500)),D1500,0))</f>
        <v/>
      </c>
      <c r="K1500" s="41" t="str">
        <f aca="false">IF(A1500="","",IF(ISNUMBER(SEARCH("DLV",E1500)),D1500,0))</f>
        <v/>
      </c>
      <c r="L1500" s="41" t="str">
        <f aca="false">IF(A1500="","",IF(K1500&gt;0,"Delivered",IF(ISNUMBER(SEARCH("CNF",E1500)),"In production",IF(J1500&gt;0,"Issued",IF(I1500&gt;0,"Kitted","Released")))))</f>
        <v/>
      </c>
      <c r="M1500" s="41" t="str">
        <f aca="false">IF(G1500&lt;&gt;"Yes","",COUNTIFS($B$6:$B$1505,B1500,$F$6:$F$1505,"&lt;"&amp;F1500)+COUNTIFS($B$6:$B$1505,B1500,$F$6:$F$1505,F1500,$A$6:$A$1505,"&lt;="&amp;A1500))</f>
        <v/>
      </c>
      <c r="N1500" s="41" t="str">
        <f aca="false">IF(M1500="","",ROUNDUP(M1500/H1500,0))</f>
        <v/>
      </c>
      <c r="O1500" s="41" t="str">
        <f aca="false">IF(N1500="","",IF(N1500&lt;='Kitting Plan'!$C$3,"Rep "&amp;N1500,"Surplus"))</f>
        <v/>
      </c>
    </row>
    <row r="1501" customFormat="false" ht="15" hidden="false" customHeight="false" outlineLevel="0" collapsed="false">
      <c r="A1501" s="40" t="str">
        <f aca="false">IF(OR($A$4=0,INDEX('COOIS Raw'!$A:$GZ,ROW()-4,$A$4)=""),"",IFERROR(--INDEX('COOIS Raw'!$A:$GZ,ROW()-4,$A$4),INDEX('COOIS Raw'!$A:$GZ,ROW()-4,$A$4)))</f>
        <v/>
      </c>
      <c r="B1501" s="41" t="str">
        <f aca="false">IF(A1501="","",TRIM(INDEX('COOIS Raw'!$A:$GZ,ROW()-4,$B$4)))</f>
        <v/>
      </c>
      <c r="C1501" s="42" t="str">
        <f aca="false">IF(OR(A1501="",$C$4=0),"",INDEX('COOIS Raw'!$A:$GZ,ROW()-4,$C$4))</f>
        <v/>
      </c>
      <c r="D1501" s="41" t="str">
        <f aca="false">IF(A1501="","",IF($D$4=0,1,IFERROR(--INDEX('COOIS Raw'!$A:$GZ,ROW()-4,$D$4),1)))</f>
        <v/>
      </c>
      <c r="E1501" s="42" t="str">
        <f aca="false">IF(A1501="","",INDEX('COOIS Raw'!$A:$GZ,ROW()-4,$E$4)&amp;"")</f>
        <v/>
      </c>
      <c r="F1501" s="43" t="str">
        <f aca="false">IF(A1501="","",IFERROR(DATEVALUE(INDEX('COOIS Raw'!$A:$GZ,ROW()-4,$F$4)),INDEX('COOIS Raw'!$A:$GZ,ROW()-4,$F$4)))</f>
        <v/>
      </c>
      <c r="G1501" s="41" t="str">
        <f aca="false">IF(A1501="","",IF(ISNA(MATCH(B1501,'Kitting Plan'!$B$6:$B$19,0)),"Not in plan","Yes"))</f>
        <v/>
      </c>
      <c r="H1501" s="41" t="str">
        <f aca="false">IF(G1501="Yes",INDEX('Kitting Plan'!$D$6:$D$19,MATCH(B1501,'Kitting Plan'!$B$6:$B$19,0)),"")</f>
        <v/>
      </c>
      <c r="I1501" s="41" t="str">
        <f aca="false">IF(A1501="","",IF(ISNUMBER(SEARCH("PRT",E1501)),D1501,0))</f>
        <v/>
      </c>
      <c r="J1501" s="41" t="str">
        <f aca="false">IF(A1501="","",IF(ISNUMBER(SEARCH("GMPS",E1501)),D1501,0))</f>
        <v/>
      </c>
      <c r="K1501" s="41" t="str">
        <f aca="false">IF(A1501="","",IF(ISNUMBER(SEARCH("DLV",E1501)),D1501,0))</f>
        <v/>
      </c>
      <c r="L1501" s="41" t="str">
        <f aca="false">IF(A1501="","",IF(K1501&gt;0,"Delivered",IF(ISNUMBER(SEARCH("CNF",E1501)),"In production",IF(J1501&gt;0,"Issued",IF(I1501&gt;0,"Kitted","Released")))))</f>
        <v/>
      </c>
      <c r="M1501" s="41" t="str">
        <f aca="false">IF(G1501&lt;&gt;"Yes","",COUNTIFS($B$6:$B$1505,B1501,$F$6:$F$1505,"&lt;"&amp;F1501)+COUNTIFS($B$6:$B$1505,B1501,$F$6:$F$1505,F1501,$A$6:$A$1505,"&lt;="&amp;A1501))</f>
        <v/>
      </c>
      <c r="N1501" s="41" t="str">
        <f aca="false">IF(M1501="","",ROUNDUP(M1501/H1501,0))</f>
        <v/>
      </c>
      <c r="O1501" s="41" t="str">
        <f aca="false">IF(N1501="","",IF(N1501&lt;='Kitting Plan'!$C$3,"Rep "&amp;N1501,"Surplus"))</f>
        <v/>
      </c>
    </row>
    <row r="1502" customFormat="false" ht="15" hidden="false" customHeight="false" outlineLevel="0" collapsed="false">
      <c r="A1502" s="40" t="str">
        <f aca="false">IF(OR($A$4=0,INDEX('COOIS Raw'!$A:$GZ,ROW()-4,$A$4)=""),"",IFERROR(--INDEX('COOIS Raw'!$A:$GZ,ROW()-4,$A$4),INDEX('COOIS Raw'!$A:$GZ,ROW()-4,$A$4)))</f>
        <v/>
      </c>
      <c r="B1502" s="41" t="str">
        <f aca="false">IF(A1502="","",TRIM(INDEX('COOIS Raw'!$A:$GZ,ROW()-4,$B$4)))</f>
        <v/>
      </c>
      <c r="C1502" s="42" t="str">
        <f aca="false">IF(OR(A1502="",$C$4=0),"",INDEX('COOIS Raw'!$A:$GZ,ROW()-4,$C$4))</f>
        <v/>
      </c>
      <c r="D1502" s="41" t="str">
        <f aca="false">IF(A1502="","",IF($D$4=0,1,IFERROR(--INDEX('COOIS Raw'!$A:$GZ,ROW()-4,$D$4),1)))</f>
        <v/>
      </c>
      <c r="E1502" s="42" t="str">
        <f aca="false">IF(A1502="","",INDEX('COOIS Raw'!$A:$GZ,ROW()-4,$E$4)&amp;"")</f>
        <v/>
      </c>
      <c r="F1502" s="43" t="str">
        <f aca="false">IF(A1502="","",IFERROR(DATEVALUE(INDEX('COOIS Raw'!$A:$GZ,ROW()-4,$F$4)),INDEX('COOIS Raw'!$A:$GZ,ROW()-4,$F$4)))</f>
        <v/>
      </c>
      <c r="G1502" s="41" t="str">
        <f aca="false">IF(A1502="","",IF(ISNA(MATCH(B1502,'Kitting Plan'!$B$6:$B$19,0)),"Not in plan","Yes"))</f>
        <v/>
      </c>
      <c r="H1502" s="41" t="str">
        <f aca="false">IF(G1502="Yes",INDEX('Kitting Plan'!$D$6:$D$19,MATCH(B1502,'Kitting Plan'!$B$6:$B$19,0)),"")</f>
        <v/>
      </c>
      <c r="I1502" s="41" t="str">
        <f aca="false">IF(A1502="","",IF(ISNUMBER(SEARCH("PRT",E1502)),D1502,0))</f>
        <v/>
      </c>
      <c r="J1502" s="41" t="str">
        <f aca="false">IF(A1502="","",IF(ISNUMBER(SEARCH("GMPS",E1502)),D1502,0))</f>
        <v/>
      </c>
      <c r="K1502" s="41" t="str">
        <f aca="false">IF(A1502="","",IF(ISNUMBER(SEARCH("DLV",E1502)),D1502,0))</f>
        <v/>
      </c>
      <c r="L1502" s="41" t="str">
        <f aca="false">IF(A1502="","",IF(K1502&gt;0,"Delivered",IF(ISNUMBER(SEARCH("CNF",E1502)),"In production",IF(J1502&gt;0,"Issued",IF(I1502&gt;0,"Kitted","Released")))))</f>
        <v/>
      </c>
      <c r="M1502" s="41" t="str">
        <f aca="false">IF(G1502&lt;&gt;"Yes","",COUNTIFS($B$6:$B$1505,B1502,$F$6:$F$1505,"&lt;"&amp;F1502)+COUNTIFS($B$6:$B$1505,B1502,$F$6:$F$1505,F1502,$A$6:$A$1505,"&lt;="&amp;A1502))</f>
        <v/>
      </c>
      <c r="N1502" s="41" t="str">
        <f aca="false">IF(M1502="","",ROUNDUP(M1502/H1502,0))</f>
        <v/>
      </c>
      <c r="O1502" s="41" t="str">
        <f aca="false">IF(N1502="","",IF(N1502&lt;='Kitting Plan'!$C$3,"Rep "&amp;N1502,"Surplus"))</f>
        <v/>
      </c>
    </row>
    <row r="1503" customFormat="false" ht="15" hidden="false" customHeight="false" outlineLevel="0" collapsed="false">
      <c r="A1503" s="40" t="str">
        <f aca="false">IF(OR($A$4=0,INDEX('COOIS Raw'!$A:$GZ,ROW()-4,$A$4)=""),"",IFERROR(--INDEX('COOIS Raw'!$A:$GZ,ROW()-4,$A$4),INDEX('COOIS Raw'!$A:$GZ,ROW()-4,$A$4)))</f>
        <v/>
      </c>
      <c r="B1503" s="41" t="str">
        <f aca="false">IF(A1503="","",TRIM(INDEX('COOIS Raw'!$A:$GZ,ROW()-4,$B$4)))</f>
        <v/>
      </c>
      <c r="C1503" s="42" t="str">
        <f aca="false">IF(OR(A1503="",$C$4=0),"",INDEX('COOIS Raw'!$A:$GZ,ROW()-4,$C$4))</f>
        <v/>
      </c>
      <c r="D1503" s="41" t="str">
        <f aca="false">IF(A1503="","",IF($D$4=0,1,IFERROR(--INDEX('COOIS Raw'!$A:$GZ,ROW()-4,$D$4),1)))</f>
        <v/>
      </c>
      <c r="E1503" s="42" t="str">
        <f aca="false">IF(A1503="","",INDEX('COOIS Raw'!$A:$GZ,ROW()-4,$E$4)&amp;"")</f>
        <v/>
      </c>
      <c r="F1503" s="43" t="str">
        <f aca="false">IF(A1503="","",IFERROR(DATEVALUE(INDEX('COOIS Raw'!$A:$GZ,ROW()-4,$F$4)),INDEX('COOIS Raw'!$A:$GZ,ROW()-4,$F$4)))</f>
        <v/>
      </c>
      <c r="G1503" s="41" t="str">
        <f aca="false">IF(A1503="","",IF(ISNA(MATCH(B1503,'Kitting Plan'!$B$6:$B$19,0)),"Not in plan","Yes"))</f>
        <v/>
      </c>
      <c r="H1503" s="41" t="str">
        <f aca="false">IF(G1503="Yes",INDEX('Kitting Plan'!$D$6:$D$19,MATCH(B1503,'Kitting Plan'!$B$6:$B$19,0)),"")</f>
        <v/>
      </c>
      <c r="I1503" s="41" t="str">
        <f aca="false">IF(A1503="","",IF(ISNUMBER(SEARCH("PRT",E1503)),D1503,0))</f>
        <v/>
      </c>
      <c r="J1503" s="41" t="str">
        <f aca="false">IF(A1503="","",IF(ISNUMBER(SEARCH("GMPS",E1503)),D1503,0))</f>
        <v/>
      </c>
      <c r="K1503" s="41" t="str">
        <f aca="false">IF(A1503="","",IF(ISNUMBER(SEARCH("DLV",E1503)),D1503,0))</f>
        <v/>
      </c>
      <c r="L1503" s="41" t="str">
        <f aca="false">IF(A1503="","",IF(K1503&gt;0,"Delivered",IF(ISNUMBER(SEARCH("CNF",E1503)),"In production",IF(J1503&gt;0,"Issued",IF(I1503&gt;0,"Kitted","Released")))))</f>
        <v/>
      </c>
      <c r="M1503" s="41" t="str">
        <f aca="false">IF(G1503&lt;&gt;"Yes","",COUNTIFS($B$6:$B$1505,B1503,$F$6:$F$1505,"&lt;"&amp;F1503)+COUNTIFS($B$6:$B$1505,B1503,$F$6:$F$1505,F1503,$A$6:$A$1505,"&lt;="&amp;A1503))</f>
        <v/>
      </c>
      <c r="N1503" s="41" t="str">
        <f aca="false">IF(M1503="","",ROUNDUP(M1503/H1503,0))</f>
        <v/>
      </c>
      <c r="O1503" s="41" t="str">
        <f aca="false">IF(N1503="","",IF(N1503&lt;='Kitting Plan'!$C$3,"Rep "&amp;N1503,"Surplus"))</f>
        <v/>
      </c>
    </row>
    <row r="1504" customFormat="false" ht="15" hidden="false" customHeight="false" outlineLevel="0" collapsed="false">
      <c r="A1504" s="40" t="str">
        <f aca="false">IF(OR($A$4=0,INDEX('COOIS Raw'!$A:$GZ,ROW()-4,$A$4)=""),"",IFERROR(--INDEX('COOIS Raw'!$A:$GZ,ROW()-4,$A$4),INDEX('COOIS Raw'!$A:$GZ,ROW()-4,$A$4)))</f>
        <v/>
      </c>
      <c r="B1504" s="41" t="str">
        <f aca="false">IF(A1504="","",TRIM(INDEX('COOIS Raw'!$A:$GZ,ROW()-4,$B$4)))</f>
        <v/>
      </c>
      <c r="C1504" s="42" t="str">
        <f aca="false">IF(OR(A1504="",$C$4=0),"",INDEX('COOIS Raw'!$A:$GZ,ROW()-4,$C$4))</f>
        <v/>
      </c>
      <c r="D1504" s="41" t="str">
        <f aca="false">IF(A1504="","",IF($D$4=0,1,IFERROR(--INDEX('COOIS Raw'!$A:$GZ,ROW()-4,$D$4),1)))</f>
        <v/>
      </c>
      <c r="E1504" s="42" t="str">
        <f aca="false">IF(A1504="","",INDEX('COOIS Raw'!$A:$GZ,ROW()-4,$E$4)&amp;"")</f>
        <v/>
      </c>
      <c r="F1504" s="43" t="str">
        <f aca="false">IF(A1504="","",IFERROR(DATEVALUE(INDEX('COOIS Raw'!$A:$GZ,ROW()-4,$F$4)),INDEX('COOIS Raw'!$A:$GZ,ROW()-4,$F$4)))</f>
        <v/>
      </c>
      <c r="G1504" s="41" t="str">
        <f aca="false">IF(A1504="","",IF(ISNA(MATCH(B1504,'Kitting Plan'!$B$6:$B$19,0)),"Not in plan","Yes"))</f>
        <v/>
      </c>
      <c r="H1504" s="41" t="str">
        <f aca="false">IF(G1504="Yes",INDEX('Kitting Plan'!$D$6:$D$19,MATCH(B1504,'Kitting Plan'!$B$6:$B$19,0)),"")</f>
        <v/>
      </c>
      <c r="I1504" s="41" t="str">
        <f aca="false">IF(A1504="","",IF(ISNUMBER(SEARCH("PRT",E1504)),D1504,0))</f>
        <v/>
      </c>
      <c r="J1504" s="41" t="str">
        <f aca="false">IF(A1504="","",IF(ISNUMBER(SEARCH("GMPS",E1504)),D1504,0))</f>
        <v/>
      </c>
      <c r="K1504" s="41" t="str">
        <f aca="false">IF(A1504="","",IF(ISNUMBER(SEARCH("DLV",E1504)),D1504,0))</f>
        <v/>
      </c>
      <c r="L1504" s="41" t="str">
        <f aca="false">IF(A1504="","",IF(K1504&gt;0,"Delivered",IF(ISNUMBER(SEARCH("CNF",E1504)),"In production",IF(J1504&gt;0,"Issued",IF(I1504&gt;0,"Kitted","Released")))))</f>
        <v/>
      </c>
      <c r="M1504" s="41" t="str">
        <f aca="false">IF(G1504&lt;&gt;"Yes","",COUNTIFS($B$6:$B$1505,B1504,$F$6:$F$1505,"&lt;"&amp;F1504)+COUNTIFS($B$6:$B$1505,B1504,$F$6:$F$1505,F1504,$A$6:$A$1505,"&lt;="&amp;A1504))</f>
        <v/>
      </c>
      <c r="N1504" s="41" t="str">
        <f aca="false">IF(M1504="","",ROUNDUP(M1504/H1504,0))</f>
        <v/>
      </c>
      <c r="O1504" s="41" t="str">
        <f aca="false">IF(N1504="","",IF(N1504&lt;='Kitting Plan'!$C$3,"Rep "&amp;N1504,"Surplus"))</f>
        <v/>
      </c>
    </row>
    <row r="1505" customFormat="false" ht="15" hidden="false" customHeight="false" outlineLevel="0" collapsed="false">
      <c r="A1505" s="40" t="str">
        <f aca="false">IF(OR($A$4=0,INDEX('COOIS Raw'!$A:$GZ,ROW()-4,$A$4)=""),"",IFERROR(--INDEX('COOIS Raw'!$A:$GZ,ROW()-4,$A$4),INDEX('COOIS Raw'!$A:$GZ,ROW()-4,$A$4)))</f>
        <v/>
      </c>
      <c r="B1505" s="41" t="str">
        <f aca="false">IF(A1505="","",TRIM(INDEX('COOIS Raw'!$A:$GZ,ROW()-4,$B$4)))</f>
        <v/>
      </c>
      <c r="C1505" s="42" t="str">
        <f aca="false">IF(OR(A1505="",$C$4=0),"",INDEX('COOIS Raw'!$A:$GZ,ROW()-4,$C$4))</f>
        <v/>
      </c>
      <c r="D1505" s="41" t="str">
        <f aca="false">IF(A1505="","",IF($D$4=0,1,IFERROR(--INDEX('COOIS Raw'!$A:$GZ,ROW()-4,$D$4),1)))</f>
        <v/>
      </c>
      <c r="E1505" s="42" t="str">
        <f aca="false">IF(A1505="","",INDEX('COOIS Raw'!$A:$GZ,ROW()-4,$E$4)&amp;"")</f>
        <v/>
      </c>
      <c r="F1505" s="43" t="str">
        <f aca="false">IF(A1505="","",IFERROR(DATEVALUE(INDEX('COOIS Raw'!$A:$GZ,ROW()-4,$F$4)),INDEX('COOIS Raw'!$A:$GZ,ROW()-4,$F$4)))</f>
        <v/>
      </c>
      <c r="G1505" s="41" t="str">
        <f aca="false">IF(A1505="","",IF(ISNA(MATCH(B1505,'Kitting Plan'!$B$6:$B$19,0)),"Not in plan","Yes"))</f>
        <v/>
      </c>
      <c r="H1505" s="41" t="str">
        <f aca="false">IF(G1505="Yes",INDEX('Kitting Plan'!$D$6:$D$19,MATCH(B1505,'Kitting Plan'!$B$6:$B$19,0)),"")</f>
        <v/>
      </c>
      <c r="I1505" s="41" t="str">
        <f aca="false">IF(A1505="","",IF(ISNUMBER(SEARCH("PRT",E1505)),D1505,0))</f>
        <v/>
      </c>
      <c r="J1505" s="41" t="str">
        <f aca="false">IF(A1505="","",IF(ISNUMBER(SEARCH("GMPS",E1505)),D1505,0))</f>
        <v/>
      </c>
      <c r="K1505" s="41" t="str">
        <f aca="false">IF(A1505="","",IF(ISNUMBER(SEARCH("DLV",E1505)),D1505,0))</f>
        <v/>
      </c>
      <c r="L1505" s="41" t="str">
        <f aca="false">IF(A1505="","",IF(K1505&gt;0,"Delivered",IF(ISNUMBER(SEARCH("CNF",E1505)),"In production",IF(J1505&gt;0,"Issued",IF(I1505&gt;0,"Kitted","Released")))))</f>
        <v/>
      </c>
      <c r="M1505" s="41" t="str">
        <f aca="false">IF(G1505&lt;&gt;"Yes","",COUNTIFS($B$6:$B$1505,B1505,$F$6:$F$1505,"&lt;"&amp;F1505)+COUNTIFS($B$6:$B$1505,B1505,$F$6:$F$1505,F1505,$A$6:$A$1505,"&lt;="&amp;A1505))</f>
        <v/>
      </c>
      <c r="N1505" s="41" t="str">
        <f aca="false">IF(M1505="","",ROUNDUP(M1505/H1505,0))</f>
        <v/>
      </c>
      <c r="O1505" s="41" t="str">
        <f aca="false">IF(N1505="","",IF(N1505&lt;='Kitting Plan'!$C$3,"Rep "&amp;N1505,"Surplus"))</f>
        <v/>
      </c>
    </row>
  </sheetData>
  <autoFilter ref="A5:O1505"/>
  <conditionalFormatting sqref="O6:O1505">
    <cfRule type="expression" priority="2" aboveAverage="0" equalAverage="0" bottom="0" percent="0" rank="0" text="" dxfId="2">
      <formula>$O6="Surplus"</formula>
    </cfRule>
  </conditionalFormatting>
  <conditionalFormatting sqref="G6:G1505">
    <cfRule type="expression" priority="3" aboveAverage="0" equalAverage="0" bottom="0" percent="0" rank="0" text="" dxfId="22">
      <formula>$G6="Not in plan"</formula>
    </cfRule>
  </conditionalFormatting>
  <conditionalFormatting sqref="L6:L1505">
    <cfRule type="expression" priority="4" aboveAverage="0" equalAverage="0" bottom="0" percent="0" rank="0" text="" dxfId="4">
      <formula>$L6="Delivered"</formula>
    </cfRule>
    <cfRule type="expression" priority="5" aboveAverage="0" equalAverage="0" bottom="0" percent="0" rank="0" text="" dxfId="2">
      <formula>$L6="In production"</formula>
    </cfRule>
    <cfRule type="expression" priority="6" aboveAverage="0" equalAverage="0" bottom="0" percent="0" rank="0" text="" dxfId="5">
      <formula>$L6="Issued"</formula>
    </cfRule>
    <cfRule type="expression" priority="7" aboveAverage="0" equalAverage="0" bottom="0" percent="0" rank="0" text="" dxfId="5">
      <formula>$L6="Kitted"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05"/>
  </cols>
  <sheetData>
    <row r="2" customFormat="false" ht="22.05" hidden="false" customHeight="false" outlineLevel="0" collapsed="false">
      <c r="B2" s="44" t="s">
        <v>96</v>
      </c>
    </row>
    <row r="5" customFormat="false" ht="15" hidden="false" customHeight="false" outlineLevel="0" collapsed="false">
      <c r="B5" s="45" t="s">
        <v>97</v>
      </c>
    </row>
    <row r="6" customFormat="false" ht="33.75" hidden="false" customHeight="true" outlineLevel="0" collapsed="false">
      <c r="B6" s="46" t="s">
        <v>98</v>
      </c>
      <c r="C6" s="47" t="s">
        <v>99</v>
      </c>
    </row>
    <row r="7" customFormat="false" ht="33.75" hidden="false" customHeight="true" outlineLevel="0" collapsed="false">
      <c r="B7" s="46" t="s">
        <v>100</v>
      </c>
      <c r="C7" s="47" t="s">
        <v>101</v>
      </c>
    </row>
    <row r="8" customFormat="false" ht="33.75" hidden="false" customHeight="true" outlineLevel="0" collapsed="false">
      <c r="B8" s="46" t="s">
        <v>102</v>
      </c>
      <c r="C8" s="47" t="s">
        <v>103</v>
      </c>
    </row>
    <row r="10" customFormat="false" ht="15" hidden="false" customHeight="false" outlineLevel="0" collapsed="false">
      <c r="B10" s="45" t="s">
        <v>104</v>
      </c>
    </row>
    <row r="11" customFormat="false" ht="33.75" hidden="false" customHeight="true" outlineLevel="0" collapsed="false">
      <c r="B11" s="46" t="s">
        <v>105</v>
      </c>
      <c r="C11" s="47" t="s">
        <v>106</v>
      </c>
    </row>
    <row r="12" customFormat="false" ht="33.75" hidden="false" customHeight="true" outlineLevel="0" collapsed="false">
      <c r="B12" s="46" t="s">
        <v>90</v>
      </c>
      <c r="C12" s="47" t="s">
        <v>107</v>
      </c>
    </row>
    <row r="13" customFormat="false" ht="33.75" hidden="false" customHeight="true" outlineLevel="0" collapsed="false">
      <c r="B13" s="46" t="s">
        <v>91</v>
      </c>
      <c r="C13" s="47" t="s">
        <v>108</v>
      </c>
    </row>
    <row r="14" customFormat="false" ht="33.75" hidden="false" customHeight="true" outlineLevel="0" collapsed="false">
      <c r="B14" s="46" t="s">
        <v>109</v>
      </c>
      <c r="C14" s="47" t="s">
        <v>110</v>
      </c>
    </row>
    <row r="15" customFormat="false" ht="33.75" hidden="false" customHeight="true" outlineLevel="0" collapsed="false">
      <c r="B15" s="46" t="s">
        <v>94</v>
      </c>
      <c r="C15" s="47" t="s">
        <v>111</v>
      </c>
    </row>
    <row r="16" customFormat="false" ht="33.75" hidden="false" customHeight="true" outlineLevel="0" collapsed="false">
      <c r="B16" s="46" t="s">
        <v>112</v>
      </c>
      <c r="C16" s="47" t="s">
        <v>113</v>
      </c>
    </row>
    <row r="17" customFormat="false" ht="33.75" hidden="false" customHeight="true" outlineLevel="0" collapsed="false">
      <c r="B17" s="46" t="s">
        <v>114</v>
      </c>
      <c r="C17" s="4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X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  <c r="R1" s="0" t="s">
        <v>133</v>
      </c>
      <c r="S1" s="0" t="s">
        <v>134</v>
      </c>
      <c r="T1" s="0" t="s">
        <v>135</v>
      </c>
      <c r="U1" s="0" t="s">
        <v>136</v>
      </c>
      <c r="V1" s="0" t="s">
        <v>137</v>
      </c>
      <c r="W1" s="0" t="s">
        <v>138</v>
      </c>
      <c r="X1" s="0" t="s">
        <v>139</v>
      </c>
      <c r="Y1" s="0" t="s">
        <v>140</v>
      </c>
      <c r="Z1" s="0" t="s">
        <v>141</v>
      </c>
      <c r="AA1" s="0" t="s">
        <v>142</v>
      </c>
      <c r="AB1" s="0" t="s">
        <v>143</v>
      </c>
      <c r="AC1" s="0" t="s">
        <v>144</v>
      </c>
      <c r="AD1" s="0" t="s">
        <v>145</v>
      </c>
      <c r="AE1" s="0" t="s">
        <v>146</v>
      </c>
      <c r="AF1" s="0" t="s">
        <v>147</v>
      </c>
      <c r="AG1" s="0" t="s">
        <v>148</v>
      </c>
      <c r="AH1" s="0" t="s">
        <v>149</v>
      </c>
      <c r="AI1" s="0" t="s">
        <v>150</v>
      </c>
      <c r="AJ1" s="0" t="s">
        <v>151</v>
      </c>
      <c r="AK1" s="0" t="s">
        <v>152</v>
      </c>
      <c r="AL1" s="0" t="s">
        <v>153</v>
      </c>
      <c r="AM1" s="0" t="s">
        <v>154</v>
      </c>
      <c r="AN1" s="0" t="s">
        <v>155</v>
      </c>
      <c r="AO1" s="0" t="s">
        <v>156</v>
      </c>
      <c r="AP1" s="0" t="s">
        <v>157</v>
      </c>
      <c r="AQ1" s="0" t="s">
        <v>158</v>
      </c>
      <c r="AR1" s="0" t="s">
        <v>159</v>
      </c>
      <c r="AS1" s="0" t="s">
        <v>160</v>
      </c>
      <c r="AT1" s="0" t="s">
        <v>161</v>
      </c>
      <c r="AU1" s="0" t="s">
        <v>162</v>
      </c>
      <c r="AV1" s="0" t="s">
        <v>163</v>
      </c>
      <c r="AW1" s="0" t="s">
        <v>164</v>
      </c>
      <c r="AX1" s="0" t="s">
        <v>165</v>
      </c>
      <c r="AY1" s="0" t="s">
        <v>166</v>
      </c>
      <c r="AZ1" s="0" t="s">
        <v>167</v>
      </c>
      <c r="BA1" s="0" t="s">
        <v>168</v>
      </c>
      <c r="BB1" s="0" t="s">
        <v>169</v>
      </c>
      <c r="BC1" s="0" t="s">
        <v>170</v>
      </c>
      <c r="BD1" s="0" t="s">
        <v>171</v>
      </c>
      <c r="BE1" s="0" t="s">
        <v>172</v>
      </c>
      <c r="BF1" s="0" t="s">
        <v>173</v>
      </c>
      <c r="BG1" s="0" t="s">
        <v>174</v>
      </c>
      <c r="BH1" s="0" t="s">
        <v>175</v>
      </c>
      <c r="BI1" s="0" t="s">
        <v>176</v>
      </c>
      <c r="BJ1" s="0" t="s">
        <v>177</v>
      </c>
      <c r="BK1" s="0" t="s">
        <v>178</v>
      </c>
      <c r="BL1" s="0" t="s">
        <v>179</v>
      </c>
      <c r="BM1" s="0" t="s">
        <v>180</v>
      </c>
      <c r="BN1" s="0" t="s">
        <v>181</v>
      </c>
      <c r="BO1" s="0" t="s">
        <v>182</v>
      </c>
      <c r="BP1" s="0" t="s">
        <v>183</v>
      </c>
      <c r="BQ1" s="0" t="s">
        <v>184</v>
      </c>
      <c r="BR1" s="0" t="s">
        <v>185</v>
      </c>
      <c r="BS1" s="0" t="s">
        <v>186</v>
      </c>
      <c r="BT1" s="0" t="s">
        <v>187</v>
      </c>
      <c r="BU1" s="0" t="s">
        <v>188</v>
      </c>
      <c r="BV1" s="0" t="s">
        <v>189</v>
      </c>
      <c r="BW1" s="0" t="s">
        <v>190</v>
      </c>
      <c r="BX1" s="0" t="s">
        <v>191</v>
      </c>
      <c r="BY1" s="0" t="s">
        <v>192</v>
      </c>
      <c r="BZ1" s="0" t="s">
        <v>193</v>
      </c>
      <c r="CA1" s="0" t="s">
        <v>194</v>
      </c>
      <c r="CB1" s="0" t="s">
        <v>195</v>
      </c>
      <c r="CC1" s="0" t="s">
        <v>196</v>
      </c>
      <c r="CD1" s="0" t="s">
        <v>197</v>
      </c>
      <c r="CE1" s="0" t="s">
        <v>198</v>
      </c>
      <c r="CF1" s="0" t="s">
        <v>199</v>
      </c>
      <c r="CG1" s="0" t="s">
        <v>200</v>
      </c>
      <c r="CH1" s="0" t="s">
        <v>201</v>
      </c>
      <c r="CI1" s="0" t="s">
        <v>202</v>
      </c>
      <c r="CJ1" s="0" t="s">
        <v>203</v>
      </c>
      <c r="CK1" s="0" t="s">
        <v>204</v>
      </c>
      <c r="CL1" s="0" t="s">
        <v>205</v>
      </c>
      <c r="CM1" s="0" t="s">
        <v>10</v>
      </c>
      <c r="CN1" s="0" t="s">
        <v>206</v>
      </c>
      <c r="CO1" s="0" t="s">
        <v>207</v>
      </c>
      <c r="CP1" s="0" t="s">
        <v>208</v>
      </c>
      <c r="CQ1" s="0" t="s">
        <v>209</v>
      </c>
      <c r="CR1" s="0" t="s">
        <v>210</v>
      </c>
      <c r="CS1" s="0" t="s">
        <v>211</v>
      </c>
      <c r="CT1" s="0" t="s">
        <v>212</v>
      </c>
      <c r="CU1" s="0" t="s">
        <v>213</v>
      </c>
      <c r="CV1" s="0" t="s">
        <v>214</v>
      </c>
      <c r="CW1" s="0" t="s">
        <v>215</v>
      </c>
      <c r="CX1" s="0" t="s">
        <v>216</v>
      </c>
      <c r="CY1" s="0" t="s">
        <v>217</v>
      </c>
      <c r="CZ1" s="0" t="s">
        <v>218</v>
      </c>
      <c r="DA1" s="0" t="s">
        <v>219</v>
      </c>
      <c r="DB1" s="0" t="s">
        <v>220</v>
      </c>
      <c r="DC1" s="0" t="s">
        <v>221</v>
      </c>
      <c r="DD1" s="0" t="s">
        <v>222</v>
      </c>
      <c r="DE1" s="0" t="s">
        <v>223</v>
      </c>
      <c r="DF1" s="0" t="s">
        <v>224</v>
      </c>
      <c r="DG1" s="0" t="s">
        <v>225</v>
      </c>
      <c r="DH1" s="0" t="s">
        <v>226</v>
      </c>
      <c r="DI1" s="0" t="s">
        <v>227</v>
      </c>
      <c r="DJ1" s="0" t="s">
        <v>228</v>
      </c>
      <c r="DK1" s="0" t="s">
        <v>229</v>
      </c>
      <c r="DL1" s="0" t="s">
        <v>230</v>
      </c>
      <c r="DM1" s="0" t="s">
        <v>231</v>
      </c>
      <c r="DN1" s="0" t="s">
        <v>232</v>
      </c>
      <c r="DO1" s="0" t="s">
        <v>233</v>
      </c>
      <c r="DP1" s="0" t="s">
        <v>234</v>
      </c>
      <c r="DQ1" s="0" t="s">
        <v>235</v>
      </c>
      <c r="DR1" s="0" t="s">
        <v>236</v>
      </c>
      <c r="DS1" s="0" t="s">
        <v>237</v>
      </c>
      <c r="DT1" s="0" t="s">
        <v>238</v>
      </c>
      <c r="DU1" s="0" t="s">
        <v>239</v>
      </c>
      <c r="DV1" s="0" t="s">
        <v>240</v>
      </c>
      <c r="DW1" s="0" t="s">
        <v>241</v>
      </c>
      <c r="DX1" s="0" t="s">
        <v>242</v>
      </c>
      <c r="DY1" s="0" t="s">
        <v>243</v>
      </c>
      <c r="DZ1" s="0" t="s">
        <v>244</v>
      </c>
      <c r="EA1" s="0" t="s">
        <v>245</v>
      </c>
      <c r="EB1" s="0" t="s">
        <v>246</v>
      </c>
      <c r="EC1" s="0" t="s">
        <v>247</v>
      </c>
      <c r="ED1" s="0" t="s">
        <v>248</v>
      </c>
      <c r="EE1" s="0" t="s">
        <v>249</v>
      </c>
      <c r="EF1" s="0" t="s">
        <v>250</v>
      </c>
      <c r="EG1" s="0" t="s">
        <v>251</v>
      </c>
      <c r="EH1" s="0" t="s">
        <v>252</v>
      </c>
      <c r="EI1" s="0" t="s">
        <v>253</v>
      </c>
      <c r="EJ1" s="0" t="s">
        <v>254</v>
      </c>
      <c r="EK1" s="0" t="s">
        <v>255</v>
      </c>
      <c r="EL1" s="0" t="s">
        <v>256</v>
      </c>
      <c r="EM1" s="0" t="s">
        <v>257</v>
      </c>
      <c r="EN1" s="0" t="s">
        <v>258</v>
      </c>
      <c r="EO1" s="0" t="s">
        <v>259</v>
      </c>
      <c r="EP1" s="0" t="s">
        <v>260</v>
      </c>
      <c r="EQ1" s="0" t="s">
        <v>261</v>
      </c>
      <c r="ER1" s="0" t="s">
        <v>262</v>
      </c>
      <c r="ES1" s="0" t="s">
        <v>263</v>
      </c>
      <c r="ET1" s="0" t="s">
        <v>264</v>
      </c>
      <c r="EU1" s="0" t="s">
        <v>265</v>
      </c>
      <c r="EV1" s="0" t="s">
        <v>266</v>
      </c>
      <c r="EW1" s="0" t="s">
        <v>267</v>
      </c>
      <c r="EX1" s="0" t="s">
        <v>268</v>
      </c>
      <c r="EY1" s="0" t="s">
        <v>269</v>
      </c>
      <c r="EZ1" s="0" t="s">
        <v>270</v>
      </c>
      <c r="FA1" s="0" t="s">
        <v>271</v>
      </c>
      <c r="FB1" s="0" t="s">
        <v>272</v>
      </c>
      <c r="FC1" s="0" t="s">
        <v>273</v>
      </c>
      <c r="FD1" s="0" t="s">
        <v>274</v>
      </c>
      <c r="FE1" s="0" t="s">
        <v>275</v>
      </c>
      <c r="FF1" s="0" t="s">
        <v>276</v>
      </c>
      <c r="FG1" s="0" t="s">
        <v>277</v>
      </c>
      <c r="FH1" s="0" t="s">
        <v>278</v>
      </c>
      <c r="FI1" s="0" t="s">
        <v>279</v>
      </c>
      <c r="FJ1" s="0" t="s">
        <v>280</v>
      </c>
      <c r="FK1" s="0" t="s">
        <v>281</v>
      </c>
      <c r="FL1" s="0" t="s">
        <v>282</v>
      </c>
      <c r="FM1" s="0" t="s">
        <v>283</v>
      </c>
      <c r="FN1" s="0" t="s">
        <v>284</v>
      </c>
      <c r="FO1" s="0" t="s">
        <v>285</v>
      </c>
      <c r="FP1" s="0" t="s">
        <v>286</v>
      </c>
      <c r="FQ1" s="0" t="s">
        <v>287</v>
      </c>
      <c r="FR1" s="0" t="s">
        <v>288</v>
      </c>
      <c r="FS1" s="0" t="s">
        <v>289</v>
      </c>
      <c r="FT1" s="0" t="s">
        <v>290</v>
      </c>
      <c r="FU1" s="0" t="s">
        <v>291</v>
      </c>
      <c r="FV1" s="0" t="s">
        <v>292</v>
      </c>
      <c r="FW1" s="0" t="s">
        <v>293</v>
      </c>
      <c r="FX1" s="0" t="s">
        <v>294</v>
      </c>
    </row>
    <row r="2" customFormat="false" ht="15" hidden="false" customHeight="false" outlineLevel="0" collapsed="false">
      <c r="A2" s="0" t="n">
        <v>100880307</v>
      </c>
      <c r="B2" s="0" t="s">
        <v>295</v>
      </c>
      <c r="C2" s="0" t="s">
        <v>66</v>
      </c>
      <c r="D2" s="0" t="s">
        <v>296</v>
      </c>
      <c r="E2" s="0" t="s">
        <v>297</v>
      </c>
      <c r="G2" s="0" t="n">
        <v>1</v>
      </c>
      <c r="H2" s="0" t="s">
        <v>298</v>
      </c>
      <c r="I2" s="48" t="n">
        <v>46298</v>
      </c>
      <c r="J2" s="0" t="n">
        <v>0</v>
      </c>
      <c r="K2" s="49" t="s">
        <v>299</v>
      </c>
      <c r="L2" s="49" t="s">
        <v>300</v>
      </c>
      <c r="M2" s="48" t="n">
        <v>46298</v>
      </c>
      <c r="N2" s="49" t="s">
        <v>300</v>
      </c>
      <c r="O2" s="49" t="s">
        <v>301</v>
      </c>
      <c r="P2" s="48"/>
      <c r="Q2" s="48" t="n">
        <v>46298</v>
      </c>
      <c r="R2" s="48" t="n">
        <v>46305</v>
      </c>
      <c r="T2" s="49" t="s">
        <v>302</v>
      </c>
      <c r="U2" s="49" t="s">
        <v>303</v>
      </c>
      <c r="Y2" s="49" t="s">
        <v>304</v>
      </c>
      <c r="AD2" s="49" t="s">
        <v>305</v>
      </c>
      <c r="AE2" s="48" t="n">
        <v>46297</v>
      </c>
      <c r="AF2" s="49" t="s">
        <v>306</v>
      </c>
      <c r="AG2" s="49" t="s">
        <v>307</v>
      </c>
      <c r="AK2" s="49" t="s">
        <v>303</v>
      </c>
      <c r="AL2" s="49" t="s">
        <v>297</v>
      </c>
      <c r="AO2" s="49" t="s">
        <v>303</v>
      </c>
      <c r="AP2" s="48"/>
      <c r="AR2" s="49" t="s">
        <v>303</v>
      </c>
      <c r="AS2" s="49" t="s">
        <v>306</v>
      </c>
      <c r="AT2" s="49" t="s">
        <v>308</v>
      </c>
      <c r="AV2" s="49" t="s">
        <v>309</v>
      </c>
      <c r="AW2" s="49" t="s">
        <v>310</v>
      </c>
      <c r="AX2" s="49" t="s">
        <v>311</v>
      </c>
      <c r="AY2" s="48"/>
      <c r="AZ2" s="48" t="n">
        <v>46296</v>
      </c>
      <c r="BC2" s="49" t="s">
        <v>303</v>
      </c>
      <c r="BD2" s="48"/>
      <c r="BE2" s="49" t="s">
        <v>312</v>
      </c>
      <c r="BF2" s="49" t="s">
        <v>303</v>
      </c>
      <c r="BG2" s="48"/>
      <c r="BI2" s="48"/>
      <c r="BJ2" s="48" t="n">
        <v>46303</v>
      </c>
      <c r="BK2" s="49" t="s">
        <v>312</v>
      </c>
      <c r="BL2" s="49" t="s">
        <v>313</v>
      </c>
      <c r="BM2" s="49" t="s">
        <v>310</v>
      </c>
      <c r="BN2" s="48"/>
      <c r="BO2" s="48"/>
      <c r="BP2" s="48"/>
      <c r="BQ2" s="49" t="s">
        <v>299</v>
      </c>
      <c r="BR2" s="48" t="n">
        <v>46303</v>
      </c>
      <c r="BS2" s="49" t="s">
        <v>314</v>
      </c>
      <c r="BT2" s="49" t="s">
        <v>312</v>
      </c>
      <c r="BU2" s="49" t="s">
        <v>313</v>
      </c>
      <c r="BV2" s="49" t="s">
        <v>303</v>
      </c>
      <c r="BX2" s="0" t="n">
        <v>0</v>
      </c>
      <c r="CC2" s="49" t="s">
        <v>315</v>
      </c>
      <c r="CD2" s="49" t="s">
        <v>303</v>
      </c>
      <c r="CF2" s="49" t="s">
        <v>303</v>
      </c>
      <c r="CG2" s="49" t="s">
        <v>316</v>
      </c>
      <c r="CH2" s="49" t="s">
        <v>317</v>
      </c>
      <c r="CI2" s="49" t="s">
        <v>318</v>
      </c>
      <c r="CM2" s="49" t="s">
        <v>296</v>
      </c>
      <c r="CV2" s="49" t="s">
        <v>303</v>
      </c>
      <c r="DB2" s="49" t="s">
        <v>319</v>
      </c>
      <c r="DD2" s="48" t="n">
        <v>46297</v>
      </c>
      <c r="DF2" s="49" t="s">
        <v>310</v>
      </c>
      <c r="DG2" s="49" t="s">
        <v>320</v>
      </c>
      <c r="DH2" s="49" t="s">
        <v>66</v>
      </c>
      <c r="DI2" s="49" t="s">
        <v>298</v>
      </c>
      <c r="DJ2" s="49" t="s">
        <v>321</v>
      </c>
      <c r="DK2" s="49" t="s">
        <v>322</v>
      </c>
      <c r="DL2" s="49" t="s">
        <v>323</v>
      </c>
      <c r="DM2" s="49" t="s">
        <v>303</v>
      </c>
      <c r="DN2" s="49" t="s">
        <v>297</v>
      </c>
      <c r="DO2" s="48"/>
      <c r="DP2" s="49" t="s">
        <v>313</v>
      </c>
      <c r="DQ2" s="48"/>
      <c r="DR2" s="49" t="s">
        <v>312</v>
      </c>
      <c r="DS2" s="49" t="s">
        <v>303</v>
      </c>
      <c r="DT2" s="49" t="s">
        <v>303</v>
      </c>
      <c r="DW2" s="49" t="s">
        <v>303</v>
      </c>
      <c r="EA2" s="49" t="s">
        <v>324</v>
      </c>
      <c r="EB2" s="49" t="s">
        <v>303</v>
      </c>
      <c r="EH2" s="49" t="s">
        <v>325</v>
      </c>
      <c r="EJ2" s="49" t="s">
        <v>303</v>
      </c>
      <c r="EK2" s="49" t="s">
        <v>326</v>
      </c>
      <c r="EM2" s="49" t="s">
        <v>303</v>
      </c>
      <c r="EN2" s="49" t="s">
        <v>327</v>
      </c>
      <c r="EP2" s="49" t="s">
        <v>298</v>
      </c>
      <c r="EQ2" s="0" t="n">
        <v>1</v>
      </c>
      <c r="ER2" s="49" t="s">
        <v>328</v>
      </c>
      <c r="ES2" s="49" t="s">
        <v>329</v>
      </c>
      <c r="ET2" s="49" t="s">
        <v>310</v>
      </c>
      <c r="EU2" s="49" t="s">
        <v>310</v>
      </c>
      <c r="EV2" s="49" t="s">
        <v>310</v>
      </c>
      <c r="EX2" s="49" t="s">
        <v>303</v>
      </c>
      <c r="EY2" s="49" t="s">
        <v>303</v>
      </c>
      <c r="FC2" s="49" t="s">
        <v>330</v>
      </c>
      <c r="FD2" s="49" t="s">
        <v>310</v>
      </c>
      <c r="FE2" s="49" t="s">
        <v>310</v>
      </c>
      <c r="FF2" s="49" t="s">
        <v>66</v>
      </c>
      <c r="FG2" s="49" t="s">
        <v>331</v>
      </c>
      <c r="FH2" s="49" t="s">
        <v>310</v>
      </c>
      <c r="FI2" s="49" t="s">
        <v>332</v>
      </c>
      <c r="FJ2" s="49" t="s">
        <v>303</v>
      </c>
      <c r="FL2" s="49" t="s">
        <v>325</v>
      </c>
      <c r="FM2" s="49" t="s">
        <v>299</v>
      </c>
      <c r="FP2" s="49" t="s">
        <v>303</v>
      </c>
      <c r="FR2" s="49" t="s">
        <v>303</v>
      </c>
      <c r="FT2" s="49" t="s">
        <v>325</v>
      </c>
      <c r="FU2" s="49" t="s">
        <v>325</v>
      </c>
      <c r="FW2" s="49" t="s">
        <v>333</v>
      </c>
    </row>
    <row r="3" customFormat="false" ht="15" hidden="false" customHeight="false" outlineLevel="0" collapsed="false">
      <c r="A3" s="0" t="n">
        <v>100880184</v>
      </c>
      <c r="B3" s="0" t="s">
        <v>295</v>
      </c>
      <c r="C3" s="0" t="s">
        <v>48</v>
      </c>
      <c r="D3" s="0" t="s">
        <v>49</v>
      </c>
      <c r="E3" s="0" t="s">
        <v>297</v>
      </c>
      <c r="G3" s="0" t="n">
        <v>1</v>
      </c>
      <c r="H3" s="0" t="s">
        <v>298</v>
      </c>
      <c r="I3" s="48" t="n">
        <v>46297</v>
      </c>
      <c r="J3" s="0" t="n">
        <v>0</v>
      </c>
      <c r="K3" s="49" t="s">
        <v>334</v>
      </c>
      <c r="L3" s="49" t="s">
        <v>335</v>
      </c>
      <c r="M3" s="48" t="n">
        <v>46297</v>
      </c>
      <c r="N3" s="49" t="s">
        <v>335</v>
      </c>
      <c r="O3" s="49" t="s">
        <v>336</v>
      </c>
      <c r="P3" s="48"/>
      <c r="Q3" s="48" t="n">
        <v>46297</v>
      </c>
      <c r="R3" s="48" t="n">
        <v>46304</v>
      </c>
      <c r="T3" s="49" t="s">
        <v>302</v>
      </c>
      <c r="U3" s="49" t="s">
        <v>303</v>
      </c>
      <c r="Y3" s="49" t="s">
        <v>337</v>
      </c>
      <c r="AD3" s="49" t="s">
        <v>305</v>
      </c>
      <c r="AE3" s="48" t="n">
        <v>46279</v>
      </c>
      <c r="AF3" s="49" t="s">
        <v>306</v>
      </c>
      <c r="AG3" s="49" t="s">
        <v>307</v>
      </c>
      <c r="AK3" s="49" t="s">
        <v>303</v>
      </c>
      <c r="AL3" s="49" t="s">
        <v>297</v>
      </c>
      <c r="AO3" s="49" t="s">
        <v>303</v>
      </c>
      <c r="AP3" s="48"/>
      <c r="AR3" s="49" t="s">
        <v>303</v>
      </c>
      <c r="AS3" s="49" t="s">
        <v>306</v>
      </c>
      <c r="AT3" s="49" t="s">
        <v>338</v>
      </c>
      <c r="AV3" s="49" t="s">
        <v>309</v>
      </c>
      <c r="AW3" s="49" t="s">
        <v>310</v>
      </c>
      <c r="AX3" s="49" t="s">
        <v>311</v>
      </c>
      <c r="AY3" s="48"/>
      <c r="AZ3" s="48" t="n">
        <v>46289</v>
      </c>
      <c r="BC3" s="49" t="s">
        <v>303</v>
      </c>
      <c r="BD3" s="48"/>
      <c r="BE3" s="49" t="s">
        <v>312</v>
      </c>
      <c r="BF3" s="49" t="s">
        <v>303</v>
      </c>
      <c r="BG3" s="48"/>
      <c r="BI3" s="48"/>
      <c r="BJ3" s="48" t="n">
        <v>46302</v>
      </c>
      <c r="BK3" s="49" t="s">
        <v>312</v>
      </c>
      <c r="BL3" s="49" t="s">
        <v>313</v>
      </c>
      <c r="BM3" s="49" t="s">
        <v>310</v>
      </c>
      <c r="BN3" s="48"/>
      <c r="BO3" s="48"/>
      <c r="BP3" s="48"/>
      <c r="BR3" s="48" t="n">
        <v>46296</v>
      </c>
      <c r="BS3" s="49" t="s">
        <v>312</v>
      </c>
      <c r="BT3" s="49" t="s">
        <v>312</v>
      </c>
      <c r="BU3" s="49" t="s">
        <v>312</v>
      </c>
      <c r="BV3" s="49" t="s">
        <v>303</v>
      </c>
      <c r="BX3" s="0" t="n">
        <v>0</v>
      </c>
      <c r="CC3" s="49" t="s">
        <v>315</v>
      </c>
      <c r="CD3" s="49" t="s">
        <v>303</v>
      </c>
      <c r="CF3" s="49" t="s">
        <v>303</v>
      </c>
      <c r="CG3" s="49" t="s">
        <v>316</v>
      </c>
      <c r="CH3" s="49" t="s">
        <v>317</v>
      </c>
      <c r="CI3" s="49" t="s">
        <v>318</v>
      </c>
      <c r="CM3" s="49" t="s">
        <v>49</v>
      </c>
      <c r="CV3" s="49" t="s">
        <v>303</v>
      </c>
      <c r="DB3" s="49" t="s">
        <v>319</v>
      </c>
      <c r="DD3" s="48" t="n">
        <v>46279</v>
      </c>
      <c r="DF3" s="49" t="s">
        <v>310</v>
      </c>
      <c r="DG3" s="49" t="s">
        <v>320</v>
      </c>
      <c r="DH3" s="49" t="s">
        <v>48</v>
      </c>
      <c r="DI3" s="49" t="s">
        <v>298</v>
      </c>
      <c r="DJ3" s="49" t="s">
        <v>339</v>
      </c>
      <c r="DK3" s="49" t="s">
        <v>322</v>
      </c>
      <c r="DL3" s="49" t="s">
        <v>323</v>
      </c>
      <c r="DM3" s="49" t="s">
        <v>303</v>
      </c>
      <c r="DN3" s="49" t="s">
        <v>297</v>
      </c>
      <c r="DO3" s="48"/>
      <c r="DP3" s="49" t="s">
        <v>312</v>
      </c>
      <c r="DQ3" s="48"/>
      <c r="DR3" s="49" t="s">
        <v>312</v>
      </c>
      <c r="DS3" s="49" t="s">
        <v>303</v>
      </c>
      <c r="DT3" s="49" t="s">
        <v>303</v>
      </c>
      <c r="DW3" s="49" t="s">
        <v>303</v>
      </c>
      <c r="EA3" s="49" t="s">
        <v>324</v>
      </c>
      <c r="EB3" s="49" t="s">
        <v>303</v>
      </c>
      <c r="EH3" s="49" t="s">
        <v>310</v>
      </c>
      <c r="EJ3" s="49" t="s">
        <v>303</v>
      </c>
      <c r="EK3" s="49" t="s">
        <v>340</v>
      </c>
      <c r="EM3" s="49" t="s">
        <v>303</v>
      </c>
      <c r="EN3" s="49" t="s">
        <v>341</v>
      </c>
      <c r="EP3" s="49" t="s">
        <v>298</v>
      </c>
      <c r="EQ3" s="0" t="n">
        <v>1</v>
      </c>
      <c r="ER3" s="49" t="s">
        <v>328</v>
      </c>
      <c r="ES3" s="49" t="s">
        <v>342</v>
      </c>
      <c r="ET3" s="49" t="s">
        <v>310</v>
      </c>
      <c r="EU3" s="49" t="s">
        <v>310</v>
      </c>
      <c r="EV3" s="49" t="s">
        <v>310</v>
      </c>
      <c r="EX3" s="49" t="s">
        <v>303</v>
      </c>
      <c r="EY3" s="49" t="s">
        <v>303</v>
      </c>
      <c r="FC3" s="49" t="s">
        <v>330</v>
      </c>
      <c r="FD3" s="49" t="s">
        <v>310</v>
      </c>
      <c r="FE3" s="49" t="s">
        <v>310</v>
      </c>
      <c r="FF3" s="49" t="s">
        <v>48</v>
      </c>
      <c r="FG3" s="49" t="s">
        <v>343</v>
      </c>
      <c r="FH3" s="49" t="s">
        <v>310</v>
      </c>
      <c r="FI3" s="49" t="s">
        <v>332</v>
      </c>
      <c r="FJ3" s="49" t="s">
        <v>303</v>
      </c>
      <c r="FL3" s="49" t="s">
        <v>325</v>
      </c>
      <c r="FM3" s="49" t="s">
        <v>334</v>
      </c>
      <c r="FP3" s="49" t="s">
        <v>303</v>
      </c>
      <c r="FR3" s="49" t="s">
        <v>303</v>
      </c>
      <c r="FT3" s="49" t="s">
        <v>325</v>
      </c>
      <c r="FU3" s="49" t="s">
        <v>325</v>
      </c>
      <c r="FW3" s="49" t="s">
        <v>333</v>
      </c>
    </row>
    <row r="4" customFormat="false" ht="15" hidden="false" customHeight="false" outlineLevel="0" collapsed="false">
      <c r="A4" s="0" t="n">
        <v>100880185</v>
      </c>
      <c r="B4" s="0" t="s">
        <v>295</v>
      </c>
      <c r="C4" s="0" t="s">
        <v>50</v>
      </c>
      <c r="D4" s="0" t="s">
        <v>51</v>
      </c>
      <c r="E4" s="0" t="s">
        <v>297</v>
      </c>
      <c r="G4" s="0" t="n">
        <v>1</v>
      </c>
      <c r="H4" s="0" t="s">
        <v>298</v>
      </c>
      <c r="I4" s="48" t="n">
        <v>46297</v>
      </c>
      <c r="J4" s="0" t="n">
        <v>0</v>
      </c>
      <c r="K4" s="49" t="s">
        <v>334</v>
      </c>
      <c r="L4" s="49" t="s">
        <v>335</v>
      </c>
      <c r="M4" s="48" t="n">
        <v>46297</v>
      </c>
      <c r="N4" s="49" t="s">
        <v>335</v>
      </c>
      <c r="O4" s="49" t="s">
        <v>336</v>
      </c>
      <c r="P4" s="48"/>
      <c r="Q4" s="48" t="n">
        <v>46297</v>
      </c>
      <c r="R4" s="48" t="n">
        <v>46304</v>
      </c>
      <c r="T4" s="49" t="s">
        <v>302</v>
      </c>
      <c r="U4" s="49" t="s">
        <v>303</v>
      </c>
      <c r="Y4" s="49" t="s">
        <v>344</v>
      </c>
      <c r="AD4" s="49" t="s">
        <v>305</v>
      </c>
      <c r="AE4" s="48" t="n">
        <v>46279</v>
      </c>
      <c r="AF4" s="49" t="s">
        <v>306</v>
      </c>
      <c r="AG4" s="49" t="s">
        <v>307</v>
      </c>
      <c r="AK4" s="49" t="s">
        <v>303</v>
      </c>
      <c r="AL4" s="49" t="s">
        <v>297</v>
      </c>
      <c r="AO4" s="49" t="s">
        <v>303</v>
      </c>
      <c r="AP4" s="48"/>
      <c r="AR4" s="49" t="s">
        <v>303</v>
      </c>
      <c r="AS4" s="49" t="s">
        <v>306</v>
      </c>
      <c r="AT4" s="49" t="s">
        <v>345</v>
      </c>
      <c r="AV4" s="49" t="s">
        <v>309</v>
      </c>
      <c r="AW4" s="49" t="s">
        <v>310</v>
      </c>
      <c r="AX4" s="49" t="s">
        <v>311</v>
      </c>
      <c r="AY4" s="48"/>
      <c r="AZ4" s="48" t="n">
        <v>46289</v>
      </c>
      <c r="BC4" s="49" t="s">
        <v>303</v>
      </c>
      <c r="BD4" s="48"/>
      <c r="BE4" s="49" t="s">
        <v>312</v>
      </c>
      <c r="BF4" s="49" t="s">
        <v>303</v>
      </c>
      <c r="BG4" s="48"/>
      <c r="BI4" s="48"/>
      <c r="BJ4" s="48" t="n">
        <v>46302</v>
      </c>
      <c r="BK4" s="49" t="s">
        <v>312</v>
      </c>
      <c r="BL4" s="49" t="s">
        <v>313</v>
      </c>
      <c r="BM4" s="49" t="s">
        <v>310</v>
      </c>
      <c r="BN4" s="48"/>
      <c r="BO4" s="48"/>
      <c r="BP4" s="48"/>
      <c r="BR4" s="48" t="n">
        <v>46296</v>
      </c>
      <c r="BS4" s="49" t="s">
        <v>312</v>
      </c>
      <c r="BT4" s="49" t="s">
        <v>312</v>
      </c>
      <c r="BU4" s="49" t="s">
        <v>312</v>
      </c>
      <c r="BV4" s="49" t="s">
        <v>303</v>
      </c>
      <c r="BX4" s="0" t="n">
        <v>0</v>
      </c>
      <c r="CC4" s="49" t="s">
        <v>315</v>
      </c>
      <c r="CD4" s="49" t="s">
        <v>303</v>
      </c>
      <c r="CF4" s="49" t="s">
        <v>303</v>
      </c>
      <c r="CG4" s="49" t="s">
        <v>316</v>
      </c>
      <c r="CH4" s="49" t="s">
        <v>317</v>
      </c>
      <c r="CI4" s="49" t="s">
        <v>318</v>
      </c>
      <c r="CM4" s="49" t="s">
        <v>51</v>
      </c>
      <c r="CV4" s="49" t="s">
        <v>303</v>
      </c>
      <c r="DB4" s="49" t="s">
        <v>319</v>
      </c>
      <c r="DD4" s="48" t="n">
        <v>46279</v>
      </c>
      <c r="DF4" s="49" t="s">
        <v>310</v>
      </c>
      <c r="DG4" s="49" t="s">
        <v>320</v>
      </c>
      <c r="DH4" s="49" t="s">
        <v>50</v>
      </c>
      <c r="DI4" s="49" t="s">
        <v>298</v>
      </c>
      <c r="DJ4" s="49" t="s">
        <v>346</v>
      </c>
      <c r="DK4" s="49" t="s">
        <v>322</v>
      </c>
      <c r="DL4" s="49" t="s">
        <v>323</v>
      </c>
      <c r="DM4" s="49" t="s">
        <v>303</v>
      </c>
      <c r="DN4" s="49" t="s">
        <v>297</v>
      </c>
      <c r="DO4" s="48"/>
      <c r="DP4" s="49" t="s">
        <v>312</v>
      </c>
      <c r="DQ4" s="48"/>
      <c r="DR4" s="49" t="s">
        <v>312</v>
      </c>
      <c r="DS4" s="49" t="s">
        <v>303</v>
      </c>
      <c r="DT4" s="49" t="s">
        <v>303</v>
      </c>
      <c r="DW4" s="49" t="s">
        <v>303</v>
      </c>
      <c r="EA4" s="49" t="s">
        <v>324</v>
      </c>
      <c r="EB4" s="49" t="s">
        <v>303</v>
      </c>
      <c r="EH4" s="49" t="s">
        <v>310</v>
      </c>
      <c r="EJ4" s="49" t="s">
        <v>303</v>
      </c>
      <c r="EK4" s="49" t="s">
        <v>347</v>
      </c>
      <c r="EM4" s="49" t="s">
        <v>303</v>
      </c>
      <c r="EN4" s="49" t="s">
        <v>348</v>
      </c>
      <c r="EP4" s="49" t="s">
        <v>298</v>
      </c>
      <c r="EQ4" s="0" t="n">
        <v>1</v>
      </c>
      <c r="ER4" s="49" t="s">
        <v>328</v>
      </c>
      <c r="ES4" s="49" t="s">
        <v>342</v>
      </c>
      <c r="ET4" s="49" t="s">
        <v>310</v>
      </c>
      <c r="EU4" s="49" t="s">
        <v>310</v>
      </c>
      <c r="EV4" s="49" t="s">
        <v>310</v>
      </c>
      <c r="EX4" s="49" t="s">
        <v>303</v>
      </c>
      <c r="EY4" s="49" t="s">
        <v>303</v>
      </c>
      <c r="FC4" s="49" t="s">
        <v>330</v>
      </c>
      <c r="FD4" s="49" t="s">
        <v>310</v>
      </c>
      <c r="FE4" s="49" t="s">
        <v>310</v>
      </c>
      <c r="FF4" s="49" t="s">
        <v>50</v>
      </c>
      <c r="FG4" s="49" t="s">
        <v>349</v>
      </c>
      <c r="FH4" s="49" t="s">
        <v>310</v>
      </c>
      <c r="FI4" s="49" t="s">
        <v>332</v>
      </c>
      <c r="FJ4" s="49" t="s">
        <v>303</v>
      </c>
      <c r="FL4" s="49" t="s">
        <v>325</v>
      </c>
      <c r="FM4" s="49" t="s">
        <v>334</v>
      </c>
      <c r="FP4" s="49" t="s">
        <v>303</v>
      </c>
      <c r="FR4" s="49" t="s">
        <v>303</v>
      </c>
      <c r="FT4" s="49" t="s">
        <v>325</v>
      </c>
      <c r="FU4" s="49" t="s">
        <v>325</v>
      </c>
      <c r="FW4" s="49" t="s">
        <v>333</v>
      </c>
    </row>
    <row r="5" customFormat="false" ht="15" hidden="false" customHeight="false" outlineLevel="0" collapsed="false">
      <c r="A5" s="0" t="n">
        <v>100880186</v>
      </c>
      <c r="B5" s="0" t="s">
        <v>295</v>
      </c>
      <c r="C5" s="0" t="s">
        <v>50</v>
      </c>
      <c r="D5" s="0" t="s">
        <v>51</v>
      </c>
      <c r="E5" s="0" t="s">
        <v>297</v>
      </c>
      <c r="G5" s="0" t="n">
        <v>1</v>
      </c>
      <c r="H5" s="0" t="s">
        <v>298</v>
      </c>
      <c r="I5" s="48" t="n">
        <v>46297</v>
      </c>
      <c r="J5" s="0" t="n">
        <v>0</v>
      </c>
      <c r="K5" s="49" t="s">
        <v>334</v>
      </c>
      <c r="L5" s="49" t="s">
        <v>335</v>
      </c>
      <c r="M5" s="48"/>
      <c r="O5" s="49" t="s">
        <v>336</v>
      </c>
      <c r="P5" s="48"/>
      <c r="Q5" s="48" t="n">
        <v>46297</v>
      </c>
      <c r="R5" s="48" t="n">
        <v>46303</v>
      </c>
      <c r="T5" s="49" t="s">
        <v>302</v>
      </c>
      <c r="U5" s="49" t="s">
        <v>303</v>
      </c>
      <c r="Y5" s="49" t="s">
        <v>312</v>
      </c>
      <c r="AD5" s="49" t="s">
        <v>305</v>
      </c>
      <c r="AE5" s="48" t="n">
        <v>46279</v>
      </c>
      <c r="AF5" s="49" t="s">
        <v>306</v>
      </c>
      <c r="AG5" s="49" t="s">
        <v>307</v>
      </c>
      <c r="AK5" s="49" t="s">
        <v>303</v>
      </c>
      <c r="AL5" s="49" t="s">
        <v>297</v>
      </c>
      <c r="AO5" s="49" t="s">
        <v>303</v>
      </c>
      <c r="AP5" s="48"/>
      <c r="AR5" s="49" t="s">
        <v>303</v>
      </c>
      <c r="AS5" s="49" t="s">
        <v>306</v>
      </c>
      <c r="AT5" s="49" t="s">
        <v>350</v>
      </c>
      <c r="AV5" s="49" t="s">
        <v>309</v>
      </c>
      <c r="AW5" s="49" t="s">
        <v>310</v>
      </c>
      <c r="AX5" s="49" t="s">
        <v>311</v>
      </c>
      <c r="AY5" s="48"/>
      <c r="AZ5" s="48" t="n">
        <v>46289</v>
      </c>
      <c r="BC5" s="49" t="s">
        <v>303</v>
      </c>
      <c r="BD5" s="48"/>
      <c r="BE5" s="49" t="s">
        <v>312</v>
      </c>
      <c r="BF5" s="49" t="s">
        <v>303</v>
      </c>
      <c r="BG5" s="48"/>
      <c r="BI5" s="48"/>
      <c r="BJ5" s="48" t="n">
        <v>46302</v>
      </c>
      <c r="BK5" s="49" t="s">
        <v>313</v>
      </c>
      <c r="BL5" s="49" t="s">
        <v>313</v>
      </c>
      <c r="BM5" s="49" t="s">
        <v>310</v>
      </c>
      <c r="BN5" s="48"/>
      <c r="BO5" s="48"/>
      <c r="BP5" s="48"/>
      <c r="BR5" s="48" t="n">
        <v>46296</v>
      </c>
      <c r="BS5" s="49" t="s">
        <v>312</v>
      </c>
      <c r="BT5" s="49" t="s">
        <v>312</v>
      </c>
      <c r="BU5" s="49" t="s">
        <v>312</v>
      </c>
      <c r="BV5" s="49" t="s">
        <v>303</v>
      </c>
      <c r="BX5" s="0" t="n">
        <v>0</v>
      </c>
      <c r="CC5" s="49" t="s">
        <v>315</v>
      </c>
      <c r="CD5" s="49" t="s">
        <v>303</v>
      </c>
      <c r="CF5" s="49" t="s">
        <v>303</v>
      </c>
      <c r="CG5" s="49" t="s">
        <v>316</v>
      </c>
      <c r="CH5" s="49" t="s">
        <v>317</v>
      </c>
      <c r="CI5" s="49" t="s">
        <v>318</v>
      </c>
      <c r="CM5" s="49" t="s">
        <v>51</v>
      </c>
      <c r="CV5" s="49" t="s">
        <v>303</v>
      </c>
      <c r="DB5" s="49" t="s">
        <v>319</v>
      </c>
      <c r="DD5" s="48" t="n">
        <v>46279</v>
      </c>
      <c r="DF5" s="49" t="s">
        <v>310</v>
      </c>
      <c r="DG5" s="49" t="s">
        <v>320</v>
      </c>
      <c r="DH5" s="49" t="s">
        <v>50</v>
      </c>
      <c r="DI5" s="49" t="s">
        <v>298</v>
      </c>
      <c r="DJ5" s="49" t="s">
        <v>346</v>
      </c>
      <c r="DK5" s="49" t="s">
        <v>322</v>
      </c>
      <c r="DL5" s="49" t="s">
        <v>323</v>
      </c>
      <c r="DM5" s="49" t="s">
        <v>303</v>
      </c>
      <c r="DN5" s="49" t="s">
        <v>297</v>
      </c>
      <c r="DO5" s="48"/>
      <c r="DP5" s="49" t="s">
        <v>312</v>
      </c>
      <c r="DQ5" s="48"/>
      <c r="DR5" s="49" t="s">
        <v>312</v>
      </c>
      <c r="DS5" s="49" t="s">
        <v>303</v>
      </c>
      <c r="DT5" s="49" t="s">
        <v>303</v>
      </c>
      <c r="DW5" s="49" t="s">
        <v>303</v>
      </c>
      <c r="EA5" s="49" t="s">
        <v>324</v>
      </c>
      <c r="EB5" s="49" t="s">
        <v>303</v>
      </c>
      <c r="EF5" s="49" t="s">
        <v>351</v>
      </c>
      <c r="EH5" s="49" t="s">
        <v>310</v>
      </c>
      <c r="EJ5" s="49" t="s">
        <v>303</v>
      </c>
      <c r="EK5" s="49" t="s">
        <v>352</v>
      </c>
      <c r="EM5" s="49" t="s">
        <v>303</v>
      </c>
      <c r="EN5" s="49" t="s">
        <v>348</v>
      </c>
      <c r="EP5" s="49" t="s">
        <v>298</v>
      </c>
      <c r="EQ5" s="0" t="n">
        <v>1</v>
      </c>
      <c r="ER5" s="49" t="s">
        <v>328</v>
      </c>
      <c r="ES5" s="49" t="s">
        <v>342</v>
      </c>
      <c r="ET5" s="49" t="s">
        <v>310</v>
      </c>
      <c r="EU5" s="49" t="s">
        <v>310</v>
      </c>
      <c r="EV5" s="49" t="s">
        <v>310</v>
      </c>
      <c r="EX5" s="49" t="s">
        <v>303</v>
      </c>
      <c r="EY5" s="49" t="s">
        <v>303</v>
      </c>
      <c r="FC5" s="49" t="s">
        <v>330</v>
      </c>
      <c r="FD5" s="49" t="s">
        <v>310</v>
      </c>
      <c r="FE5" s="49" t="s">
        <v>310</v>
      </c>
      <c r="FF5" s="49" t="s">
        <v>50</v>
      </c>
      <c r="FG5" s="49" t="s">
        <v>349</v>
      </c>
      <c r="FH5" s="49" t="s">
        <v>310</v>
      </c>
      <c r="FI5" s="49" t="s">
        <v>332</v>
      </c>
      <c r="FJ5" s="49" t="s">
        <v>303</v>
      </c>
      <c r="FL5" s="49" t="s">
        <v>325</v>
      </c>
      <c r="FM5" s="49" t="s">
        <v>334</v>
      </c>
      <c r="FP5" s="49" t="s">
        <v>303</v>
      </c>
      <c r="FR5" s="49" t="s">
        <v>303</v>
      </c>
      <c r="FT5" s="49" t="s">
        <v>325</v>
      </c>
      <c r="FU5" s="49" t="s">
        <v>325</v>
      </c>
      <c r="FW5" s="49" t="s">
        <v>333</v>
      </c>
    </row>
    <row r="6" customFormat="false" ht="15" hidden="false" customHeight="false" outlineLevel="0" collapsed="false">
      <c r="A6" s="0" t="n">
        <v>100880187</v>
      </c>
      <c r="B6" s="0" t="s">
        <v>295</v>
      </c>
      <c r="C6" s="0" t="s">
        <v>53</v>
      </c>
      <c r="D6" s="0" t="s">
        <v>54</v>
      </c>
      <c r="E6" s="0" t="s">
        <v>297</v>
      </c>
      <c r="G6" s="0" t="n">
        <v>1</v>
      </c>
      <c r="H6" s="0" t="s">
        <v>298</v>
      </c>
      <c r="I6" s="48" t="n">
        <v>46297</v>
      </c>
      <c r="J6" s="0" t="n">
        <v>0</v>
      </c>
      <c r="K6" s="49" t="s">
        <v>334</v>
      </c>
      <c r="L6" s="49" t="s">
        <v>335</v>
      </c>
      <c r="M6" s="48" t="n">
        <v>46297</v>
      </c>
      <c r="N6" s="49" t="s">
        <v>335</v>
      </c>
      <c r="O6" s="49" t="s">
        <v>336</v>
      </c>
      <c r="P6" s="48"/>
      <c r="Q6" s="48" t="n">
        <v>46297</v>
      </c>
      <c r="R6" s="48" t="n">
        <v>46304</v>
      </c>
      <c r="T6" s="49" t="s">
        <v>302</v>
      </c>
      <c r="U6" s="49" t="s">
        <v>303</v>
      </c>
      <c r="Y6" s="49" t="s">
        <v>353</v>
      </c>
      <c r="AD6" s="49" t="s">
        <v>305</v>
      </c>
      <c r="AE6" s="48" t="n">
        <v>46272</v>
      </c>
      <c r="AF6" s="49" t="s">
        <v>306</v>
      </c>
      <c r="AG6" s="49" t="s">
        <v>307</v>
      </c>
      <c r="AK6" s="49" t="s">
        <v>303</v>
      </c>
      <c r="AL6" s="49" t="s">
        <v>297</v>
      </c>
      <c r="AO6" s="49" t="s">
        <v>303</v>
      </c>
      <c r="AP6" s="48"/>
      <c r="AR6" s="49" t="s">
        <v>303</v>
      </c>
      <c r="AS6" s="49" t="s">
        <v>306</v>
      </c>
      <c r="AT6" s="49" t="s">
        <v>354</v>
      </c>
      <c r="AV6" s="49" t="s">
        <v>309</v>
      </c>
      <c r="AW6" s="49" t="s">
        <v>310</v>
      </c>
      <c r="AX6" s="49" t="s">
        <v>311</v>
      </c>
      <c r="AY6" s="48"/>
      <c r="AZ6" s="48" t="n">
        <v>46289</v>
      </c>
      <c r="BC6" s="49" t="s">
        <v>303</v>
      </c>
      <c r="BD6" s="48"/>
      <c r="BE6" s="49" t="s">
        <v>312</v>
      </c>
      <c r="BF6" s="49" t="s">
        <v>303</v>
      </c>
      <c r="BG6" s="48"/>
      <c r="BI6" s="48"/>
      <c r="BJ6" s="48" t="n">
        <v>46302</v>
      </c>
      <c r="BK6" s="49" t="s">
        <v>312</v>
      </c>
      <c r="BL6" s="49" t="s">
        <v>313</v>
      </c>
      <c r="BM6" s="49" t="s">
        <v>310</v>
      </c>
      <c r="BN6" s="48"/>
      <c r="BO6" s="48"/>
      <c r="BP6" s="48"/>
      <c r="BR6" s="48" t="n">
        <v>46296</v>
      </c>
      <c r="BS6" s="49" t="s">
        <v>312</v>
      </c>
      <c r="BT6" s="49" t="s">
        <v>312</v>
      </c>
      <c r="BU6" s="49" t="s">
        <v>312</v>
      </c>
      <c r="BV6" s="49" t="s">
        <v>303</v>
      </c>
      <c r="BX6" s="0" t="n">
        <v>0</v>
      </c>
      <c r="CC6" s="49" t="s">
        <v>315</v>
      </c>
      <c r="CD6" s="49" t="s">
        <v>303</v>
      </c>
      <c r="CF6" s="49" t="s">
        <v>303</v>
      </c>
      <c r="CG6" s="49" t="s">
        <v>316</v>
      </c>
      <c r="CH6" s="49" t="s">
        <v>317</v>
      </c>
      <c r="CI6" s="49" t="s">
        <v>318</v>
      </c>
      <c r="CM6" s="49" t="s">
        <v>54</v>
      </c>
      <c r="CV6" s="49" t="s">
        <v>303</v>
      </c>
      <c r="DB6" s="49" t="s">
        <v>319</v>
      </c>
      <c r="DD6" s="48" t="n">
        <v>46272</v>
      </c>
      <c r="DF6" s="49" t="s">
        <v>310</v>
      </c>
      <c r="DG6" s="49" t="s">
        <v>320</v>
      </c>
      <c r="DH6" s="49" t="s">
        <v>53</v>
      </c>
      <c r="DI6" s="49" t="s">
        <v>298</v>
      </c>
      <c r="DJ6" s="49" t="s">
        <v>355</v>
      </c>
      <c r="DK6" s="49" t="s">
        <v>322</v>
      </c>
      <c r="DL6" s="49" t="s">
        <v>323</v>
      </c>
      <c r="DM6" s="49" t="s">
        <v>303</v>
      </c>
      <c r="DN6" s="49" t="s">
        <v>297</v>
      </c>
      <c r="DO6" s="48"/>
      <c r="DP6" s="49" t="s">
        <v>312</v>
      </c>
      <c r="DQ6" s="48"/>
      <c r="DR6" s="49" t="s">
        <v>312</v>
      </c>
      <c r="DS6" s="49" t="s">
        <v>303</v>
      </c>
      <c r="DT6" s="49" t="s">
        <v>303</v>
      </c>
      <c r="DW6" s="49" t="s">
        <v>303</v>
      </c>
      <c r="EA6" s="49" t="s">
        <v>324</v>
      </c>
      <c r="EB6" s="49" t="s">
        <v>303</v>
      </c>
      <c r="EH6" s="49" t="s">
        <v>310</v>
      </c>
      <c r="EJ6" s="49" t="s">
        <v>303</v>
      </c>
      <c r="EK6" s="49" t="s">
        <v>356</v>
      </c>
      <c r="EM6" s="49" t="s">
        <v>303</v>
      </c>
      <c r="EN6" s="49" t="s">
        <v>357</v>
      </c>
      <c r="EP6" s="49" t="s">
        <v>298</v>
      </c>
      <c r="EQ6" s="0" t="n">
        <v>1</v>
      </c>
      <c r="ER6" s="49" t="s">
        <v>328</v>
      </c>
      <c r="ES6" s="49" t="s">
        <v>358</v>
      </c>
      <c r="ET6" s="49" t="s">
        <v>310</v>
      </c>
      <c r="EU6" s="49" t="s">
        <v>310</v>
      </c>
      <c r="EV6" s="49" t="s">
        <v>310</v>
      </c>
      <c r="EX6" s="49" t="s">
        <v>303</v>
      </c>
      <c r="EY6" s="49" t="s">
        <v>303</v>
      </c>
      <c r="FC6" s="49" t="s">
        <v>330</v>
      </c>
      <c r="FD6" s="49" t="s">
        <v>310</v>
      </c>
      <c r="FE6" s="49" t="s">
        <v>310</v>
      </c>
      <c r="FF6" s="49" t="s">
        <v>53</v>
      </c>
      <c r="FG6" s="49" t="s">
        <v>359</v>
      </c>
      <c r="FH6" s="49" t="s">
        <v>310</v>
      </c>
      <c r="FI6" s="49" t="s">
        <v>332</v>
      </c>
      <c r="FJ6" s="49" t="s">
        <v>303</v>
      </c>
      <c r="FL6" s="49" t="s">
        <v>325</v>
      </c>
      <c r="FM6" s="49" t="s">
        <v>334</v>
      </c>
      <c r="FP6" s="49" t="s">
        <v>303</v>
      </c>
      <c r="FR6" s="49" t="s">
        <v>303</v>
      </c>
      <c r="FT6" s="49" t="s">
        <v>325</v>
      </c>
      <c r="FU6" s="49" t="s">
        <v>325</v>
      </c>
      <c r="FW6" s="49" t="s">
        <v>333</v>
      </c>
    </row>
    <row r="7" customFormat="false" ht="15" hidden="false" customHeight="false" outlineLevel="0" collapsed="false">
      <c r="A7" s="0" t="n">
        <v>100880188</v>
      </c>
      <c r="B7" s="0" t="s">
        <v>295</v>
      </c>
      <c r="C7" s="0" t="s">
        <v>53</v>
      </c>
      <c r="D7" s="0" t="s">
        <v>54</v>
      </c>
      <c r="E7" s="0" t="s">
        <v>297</v>
      </c>
      <c r="G7" s="0" t="n">
        <v>1</v>
      </c>
      <c r="H7" s="0" t="s">
        <v>298</v>
      </c>
      <c r="I7" s="48" t="n">
        <v>46297</v>
      </c>
      <c r="J7" s="0" t="n">
        <v>0</v>
      </c>
      <c r="K7" s="49" t="s">
        <v>334</v>
      </c>
      <c r="L7" s="49" t="s">
        <v>335</v>
      </c>
      <c r="M7" s="48"/>
      <c r="O7" s="49" t="s">
        <v>336</v>
      </c>
      <c r="P7" s="48"/>
      <c r="Q7" s="48" t="n">
        <v>46297</v>
      </c>
      <c r="R7" s="48" t="n">
        <v>46303</v>
      </c>
      <c r="T7" s="49" t="s">
        <v>302</v>
      </c>
      <c r="U7" s="49" t="s">
        <v>303</v>
      </c>
      <c r="Y7" s="49" t="s">
        <v>312</v>
      </c>
      <c r="AD7" s="49" t="s">
        <v>305</v>
      </c>
      <c r="AE7" s="48" t="n">
        <v>46272</v>
      </c>
      <c r="AF7" s="49" t="s">
        <v>306</v>
      </c>
      <c r="AG7" s="49" t="s">
        <v>307</v>
      </c>
      <c r="AK7" s="49" t="s">
        <v>303</v>
      </c>
      <c r="AL7" s="49" t="s">
        <v>297</v>
      </c>
      <c r="AO7" s="49" t="s">
        <v>303</v>
      </c>
      <c r="AP7" s="48"/>
      <c r="AR7" s="49" t="s">
        <v>303</v>
      </c>
      <c r="AS7" s="49" t="s">
        <v>306</v>
      </c>
      <c r="AT7" s="49" t="s">
        <v>360</v>
      </c>
      <c r="AV7" s="49" t="s">
        <v>309</v>
      </c>
      <c r="AW7" s="49" t="s">
        <v>310</v>
      </c>
      <c r="AX7" s="49" t="s">
        <v>311</v>
      </c>
      <c r="AY7" s="48"/>
      <c r="AZ7" s="48" t="n">
        <v>46289</v>
      </c>
      <c r="BC7" s="49" t="s">
        <v>303</v>
      </c>
      <c r="BD7" s="48"/>
      <c r="BE7" s="49" t="s">
        <v>312</v>
      </c>
      <c r="BF7" s="49" t="s">
        <v>303</v>
      </c>
      <c r="BG7" s="48"/>
      <c r="BI7" s="48"/>
      <c r="BJ7" s="48" t="n">
        <v>46302</v>
      </c>
      <c r="BK7" s="49" t="s">
        <v>313</v>
      </c>
      <c r="BL7" s="49" t="s">
        <v>313</v>
      </c>
      <c r="BM7" s="49" t="s">
        <v>310</v>
      </c>
      <c r="BN7" s="48"/>
      <c r="BO7" s="48"/>
      <c r="BP7" s="48"/>
      <c r="BR7" s="48" t="n">
        <v>46296</v>
      </c>
      <c r="BS7" s="49" t="s">
        <v>312</v>
      </c>
      <c r="BT7" s="49" t="s">
        <v>312</v>
      </c>
      <c r="BU7" s="49" t="s">
        <v>312</v>
      </c>
      <c r="BV7" s="49" t="s">
        <v>303</v>
      </c>
      <c r="BX7" s="0" t="n">
        <v>0</v>
      </c>
      <c r="CC7" s="49" t="s">
        <v>315</v>
      </c>
      <c r="CD7" s="49" t="s">
        <v>303</v>
      </c>
      <c r="CF7" s="49" t="s">
        <v>303</v>
      </c>
      <c r="CG7" s="49" t="s">
        <v>316</v>
      </c>
      <c r="CH7" s="49" t="s">
        <v>317</v>
      </c>
      <c r="CI7" s="49" t="s">
        <v>318</v>
      </c>
      <c r="CM7" s="49" t="s">
        <v>54</v>
      </c>
      <c r="CV7" s="49" t="s">
        <v>303</v>
      </c>
      <c r="DB7" s="49" t="s">
        <v>319</v>
      </c>
      <c r="DD7" s="48" t="n">
        <v>46272</v>
      </c>
      <c r="DF7" s="49" t="s">
        <v>310</v>
      </c>
      <c r="DG7" s="49" t="s">
        <v>320</v>
      </c>
      <c r="DH7" s="49" t="s">
        <v>53</v>
      </c>
      <c r="DI7" s="49" t="s">
        <v>298</v>
      </c>
      <c r="DJ7" s="49" t="s">
        <v>355</v>
      </c>
      <c r="DK7" s="49" t="s">
        <v>322</v>
      </c>
      <c r="DL7" s="49" t="s">
        <v>323</v>
      </c>
      <c r="DM7" s="49" t="s">
        <v>303</v>
      </c>
      <c r="DN7" s="49" t="s">
        <v>297</v>
      </c>
      <c r="DO7" s="48"/>
      <c r="DP7" s="49" t="s">
        <v>312</v>
      </c>
      <c r="DQ7" s="48"/>
      <c r="DR7" s="49" t="s">
        <v>312</v>
      </c>
      <c r="DS7" s="49" t="s">
        <v>303</v>
      </c>
      <c r="DT7" s="49" t="s">
        <v>303</v>
      </c>
      <c r="DW7" s="49" t="s">
        <v>303</v>
      </c>
      <c r="EA7" s="49" t="s">
        <v>324</v>
      </c>
      <c r="EB7" s="49" t="s">
        <v>303</v>
      </c>
      <c r="EF7" s="49" t="s">
        <v>361</v>
      </c>
      <c r="EH7" s="49" t="s">
        <v>310</v>
      </c>
      <c r="EJ7" s="49" t="s">
        <v>303</v>
      </c>
      <c r="EK7" s="49" t="s">
        <v>362</v>
      </c>
      <c r="EM7" s="49" t="s">
        <v>303</v>
      </c>
      <c r="EN7" s="49" t="s">
        <v>357</v>
      </c>
      <c r="EP7" s="49" t="s">
        <v>298</v>
      </c>
      <c r="EQ7" s="0" t="n">
        <v>1</v>
      </c>
      <c r="ER7" s="49" t="s">
        <v>328</v>
      </c>
      <c r="ES7" s="49" t="s">
        <v>358</v>
      </c>
      <c r="ET7" s="49" t="s">
        <v>310</v>
      </c>
      <c r="EU7" s="49" t="s">
        <v>310</v>
      </c>
      <c r="EV7" s="49" t="s">
        <v>310</v>
      </c>
      <c r="EX7" s="49" t="s">
        <v>303</v>
      </c>
      <c r="EY7" s="49" t="s">
        <v>303</v>
      </c>
      <c r="FC7" s="49" t="s">
        <v>330</v>
      </c>
      <c r="FD7" s="49" t="s">
        <v>310</v>
      </c>
      <c r="FE7" s="49" t="s">
        <v>310</v>
      </c>
      <c r="FF7" s="49" t="s">
        <v>53</v>
      </c>
      <c r="FG7" s="49" t="s">
        <v>359</v>
      </c>
      <c r="FH7" s="49" t="s">
        <v>310</v>
      </c>
      <c r="FI7" s="49" t="s">
        <v>332</v>
      </c>
      <c r="FJ7" s="49" t="s">
        <v>303</v>
      </c>
      <c r="FL7" s="49" t="s">
        <v>325</v>
      </c>
      <c r="FM7" s="49" t="s">
        <v>334</v>
      </c>
      <c r="FP7" s="49" t="s">
        <v>303</v>
      </c>
      <c r="FR7" s="49" t="s">
        <v>303</v>
      </c>
      <c r="FT7" s="49" t="s">
        <v>325</v>
      </c>
      <c r="FU7" s="49" t="s">
        <v>325</v>
      </c>
      <c r="FW7" s="49" t="s">
        <v>333</v>
      </c>
    </row>
    <row r="8" customFormat="false" ht="15" hidden="false" customHeight="false" outlineLevel="0" collapsed="false">
      <c r="A8" s="0" t="n">
        <v>100880189</v>
      </c>
      <c r="B8" s="0" t="s">
        <v>295</v>
      </c>
      <c r="C8" s="0" t="s">
        <v>53</v>
      </c>
      <c r="D8" s="0" t="s">
        <v>54</v>
      </c>
      <c r="E8" s="0" t="s">
        <v>297</v>
      </c>
      <c r="G8" s="0" t="n">
        <v>1</v>
      </c>
      <c r="H8" s="0" t="s">
        <v>298</v>
      </c>
      <c r="I8" s="48" t="n">
        <v>46297</v>
      </c>
      <c r="J8" s="0" t="n">
        <v>0</v>
      </c>
      <c r="K8" s="49" t="s">
        <v>334</v>
      </c>
      <c r="L8" s="49" t="s">
        <v>335</v>
      </c>
      <c r="M8" s="48"/>
      <c r="O8" s="49" t="s">
        <v>336</v>
      </c>
      <c r="P8" s="48"/>
      <c r="Q8" s="48" t="n">
        <v>46297</v>
      </c>
      <c r="R8" s="48" t="n">
        <v>46303</v>
      </c>
      <c r="T8" s="49" t="s">
        <v>302</v>
      </c>
      <c r="U8" s="49" t="s">
        <v>303</v>
      </c>
      <c r="Y8" s="49" t="s">
        <v>312</v>
      </c>
      <c r="AD8" s="49" t="s">
        <v>305</v>
      </c>
      <c r="AE8" s="48" t="n">
        <v>46272</v>
      </c>
      <c r="AF8" s="49" t="s">
        <v>306</v>
      </c>
      <c r="AG8" s="49" t="s">
        <v>307</v>
      </c>
      <c r="AK8" s="49" t="s">
        <v>303</v>
      </c>
      <c r="AL8" s="49" t="s">
        <v>297</v>
      </c>
      <c r="AO8" s="49" t="s">
        <v>303</v>
      </c>
      <c r="AP8" s="48"/>
      <c r="AR8" s="49" t="s">
        <v>303</v>
      </c>
      <c r="AS8" s="49" t="s">
        <v>306</v>
      </c>
      <c r="AT8" s="49" t="s">
        <v>363</v>
      </c>
      <c r="AV8" s="49" t="s">
        <v>309</v>
      </c>
      <c r="AW8" s="49" t="s">
        <v>310</v>
      </c>
      <c r="AX8" s="49" t="s">
        <v>311</v>
      </c>
      <c r="AY8" s="48"/>
      <c r="AZ8" s="48" t="n">
        <v>46289</v>
      </c>
      <c r="BC8" s="49" t="s">
        <v>303</v>
      </c>
      <c r="BD8" s="48"/>
      <c r="BE8" s="49" t="s">
        <v>312</v>
      </c>
      <c r="BF8" s="49" t="s">
        <v>303</v>
      </c>
      <c r="BG8" s="48"/>
      <c r="BI8" s="48"/>
      <c r="BJ8" s="48" t="n">
        <v>46302</v>
      </c>
      <c r="BK8" s="49" t="s">
        <v>313</v>
      </c>
      <c r="BL8" s="49" t="s">
        <v>313</v>
      </c>
      <c r="BM8" s="49" t="s">
        <v>310</v>
      </c>
      <c r="BN8" s="48"/>
      <c r="BO8" s="48"/>
      <c r="BP8" s="48"/>
      <c r="BR8" s="48" t="n">
        <v>46296</v>
      </c>
      <c r="BS8" s="49" t="s">
        <v>312</v>
      </c>
      <c r="BT8" s="49" t="s">
        <v>312</v>
      </c>
      <c r="BU8" s="49" t="s">
        <v>312</v>
      </c>
      <c r="BV8" s="49" t="s">
        <v>303</v>
      </c>
      <c r="BX8" s="0" t="n">
        <v>0</v>
      </c>
      <c r="CC8" s="49" t="s">
        <v>315</v>
      </c>
      <c r="CD8" s="49" t="s">
        <v>303</v>
      </c>
      <c r="CF8" s="49" t="s">
        <v>303</v>
      </c>
      <c r="CG8" s="49" t="s">
        <v>316</v>
      </c>
      <c r="CH8" s="49" t="s">
        <v>317</v>
      </c>
      <c r="CI8" s="49" t="s">
        <v>318</v>
      </c>
      <c r="CM8" s="49" t="s">
        <v>54</v>
      </c>
      <c r="CV8" s="49" t="s">
        <v>303</v>
      </c>
      <c r="DB8" s="49" t="s">
        <v>319</v>
      </c>
      <c r="DD8" s="48" t="n">
        <v>46272</v>
      </c>
      <c r="DF8" s="49" t="s">
        <v>310</v>
      </c>
      <c r="DG8" s="49" t="s">
        <v>320</v>
      </c>
      <c r="DH8" s="49" t="s">
        <v>53</v>
      </c>
      <c r="DI8" s="49" t="s">
        <v>298</v>
      </c>
      <c r="DJ8" s="49" t="s">
        <v>355</v>
      </c>
      <c r="DK8" s="49" t="s">
        <v>322</v>
      </c>
      <c r="DL8" s="49" t="s">
        <v>323</v>
      </c>
      <c r="DM8" s="49" t="s">
        <v>303</v>
      </c>
      <c r="DN8" s="49" t="s">
        <v>297</v>
      </c>
      <c r="DO8" s="48"/>
      <c r="DP8" s="49" t="s">
        <v>312</v>
      </c>
      <c r="DQ8" s="48"/>
      <c r="DR8" s="49" t="s">
        <v>312</v>
      </c>
      <c r="DS8" s="49" t="s">
        <v>303</v>
      </c>
      <c r="DT8" s="49" t="s">
        <v>303</v>
      </c>
      <c r="DW8" s="49" t="s">
        <v>303</v>
      </c>
      <c r="EA8" s="49" t="s">
        <v>324</v>
      </c>
      <c r="EB8" s="49" t="s">
        <v>303</v>
      </c>
      <c r="EF8" s="49" t="s">
        <v>361</v>
      </c>
      <c r="EH8" s="49" t="s">
        <v>310</v>
      </c>
      <c r="EJ8" s="49" t="s">
        <v>303</v>
      </c>
      <c r="EK8" s="49" t="s">
        <v>364</v>
      </c>
      <c r="EM8" s="49" t="s">
        <v>303</v>
      </c>
      <c r="EN8" s="49" t="s">
        <v>357</v>
      </c>
      <c r="EP8" s="49" t="s">
        <v>298</v>
      </c>
      <c r="EQ8" s="0" t="n">
        <v>1</v>
      </c>
      <c r="ER8" s="49" t="s">
        <v>328</v>
      </c>
      <c r="ES8" s="49" t="s">
        <v>358</v>
      </c>
      <c r="ET8" s="49" t="s">
        <v>310</v>
      </c>
      <c r="EU8" s="49" t="s">
        <v>310</v>
      </c>
      <c r="EV8" s="49" t="s">
        <v>310</v>
      </c>
      <c r="EX8" s="49" t="s">
        <v>303</v>
      </c>
      <c r="EY8" s="49" t="s">
        <v>303</v>
      </c>
      <c r="FC8" s="49" t="s">
        <v>330</v>
      </c>
      <c r="FD8" s="49" t="s">
        <v>310</v>
      </c>
      <c r="FE8" s="49" t="s">
        <v>310</v>
      </c>
      <c r="FF8" s="49" t="s">
        <v>53</v>
      </c>
      <c r="FG8" s="49" t="s">
        <v>359</v>
      </c>
      <c r="FH8" s="49" t="s">
        <v>310</v>
      </c>
      <c r="FI8" s="49" t="s">
        <v>332</v>
      </c>
      <c r="FJ8" s="49" t="s">
        <v>303</v>
      </c>
      <c r="FL8" s="49" t="s">
        <v>325</v>
      </c>
      <c r="FM8" s="49" t="s">
        <v>334</v>
      </c>
      <c r="FP8" s="49" t="s">
        <v>303</v>
      </c>
      <c r="FR8" s="49" t="s">
        <v>303</v>
      </c>
      <c r="FT8" s="49" t="s">
        <v>325</v>
      </c>
      <c r="FU8" s="49" t="s">
        <v>325</v>
      </c>
      <c r="FW8" s="49" t="s">
        <v>333</v>
      </c>
    </row>
    <row r="9" customFormat="false" ht="15" hidden="false" customHeight="false" outlineLevel="0" collapsed="false">
      <c r="A9" s="0" t="n">
        <v>100880190</v>
      </c>
      <c r="B9" s="0" t="s">
        <v>295</v>
      </c>
      <c r="C9" s="0" t="s">
        <v>56</v>
      </c>
      <c r="D9" s="0" t="s">
        <v>57</v>
      </c>
      <c r="E9" s="0" t="s">
        <v>297</v>
      </c>
      <c r="G9" s="0" t="n">
        <v>1</v>
      </c>
      <c r="H9" s="0" t="s">
        <v>298</v>
      </c>
      <c r="I9" s="48" t="n">
        <v>46297</v>
      </c>
      <c r="J9" s="0" t="n">
        <v>0</v>
      </c>
      <c r="K9" s="49" t="s">
        <v>334</v>
      </c>
      <c r="L9" s="49" t="s">
        <v>335</v>
      </c>
      <c r="M9" s="48" t="n">
        <v>46297</v>
      </c>
      <c r="N9" s="49" t="s">
        <v>335</v>
      </c>
      <c r="O9" s="49" t="s">
        <v>336</v>
      </c>
      <c r="P9" s="48"/>
      <c r="Q9" s="48" t="n">
        <v>46297</v>
      </c>
      <c r="R9" s="48" t="n">
        <v>46304</v>
      </c>
      <c r="T9" s="49" t="s">
        <v>302</v>
      </c>
      <c r="U9" s="49" t="s">
        <v>303</v>
      </c>
      <c r="Y9" s="49" t="s">
        <v>365</v>
      </c>
      <c r="AD9" s="49" t="s">
        <v>305</v>
      </c>
      <c r="AE9" s="48" t="n">
        <v>46282</v>
      </c>
      <c r="AF9" s="49" t="s">
        <v>306</v>
      </c>
      <c r="AG9" s="49" t="s">
        <v>307</v>
      </c>
      <c r="AK9" s="49" t="s">
        <v>303</v>
      </c>
      <c r="AL9" s="49" t="s">
        <v>297</v>
      </c>
      <c r="AO9" s="49" t="s">
        <v>303</v>
      </c>
      <c r="AP9" s="48"/>
      <c r="AR9" s="49" t="s">
        <v>303</v>
      </c>
      <c r="AS9" s="49" t="s">
        <v>306</v>
      </c>
      <c r="AT9" s="49" t="s">
        <v>366</v>
      </c>
      <c r="AV9" s="49" t="s">
        <v>309</v>
      </c>
      <c r="AW9" s="49" t="s">
        <v>310</v>
      </c>
      <c r="AX9" s="49" t="s">
        <v>311</v>
      </c>
      <c r="AY9" s="48"/>
      <c r="AZ9" s="48" t="n">
        <v>46289</v>
      </c>
      <c r="BC9" s="49" t="s">
        <v>303</v>
      </c>
      <c r="BD9" s="48"/>
      <c r="BE9" s="49" t="s">
        <v>312</v>
      </c>
      <c r="BF9" s="49" t="s">
        <v>303</v>
      </c>
      <c r="BG9" s="48"/>
      <c r="BI9" s="48"/>
      <c r="BJ9" s="48" t="n">
        <v>46302</v>
      </c>
      <c r="BK9" s="49" t="s">
        <v>312</v>
      </c>
      <c r="BL9" s="49" t="s">
        <v>313</v>
      </c>
      <c r="BM9" s="49" t="s">
        <v>310</v>
      </c>
      <c r="BN9" s="48"/>
      <c r="BO9" s="48"/>
      <c r="BP9" s="48"/>
      <c r="BR9" s="48" t="n">
        <v>46296</v>
      </c>
      <c r="BS9" s="49" t="s">
        <v>312</v>
      </c>
      <c r="BT9" s="49" t="s">
        <v>312</v>
      </c>
      <c r="BU9" s="49" t="s">
        <v>312</v>
      </c>
      <c r="BV9" s="49" t="s">
        <v>303</v>
      </c>
      <c r="BX9" s="0" t="n">
        <v>0</v>
      </c>
      <c r="CC9" s="49" t="s">
        <v>315</v>
      </c>
      <c r="CD9" s="49" t="s">
        <v>303</v>
      </c>
      <c r="CF9" s="49" t="s">
        <v>303</v>
      </c>
      <c r="CG9" s="49" t="s">
        <v>316</v>
      </c>
      <c r="CH9" s="49" t="s">
        <v>317</v>
      </c>
      <c r="CI9" s="49" t="s">
        <v>318</v>
      </c>
      <c r="CM9" s="49" t="s">
        <v>57</v>
      </c>
      <c r="CV9" s="49" t="s">
        <v>303</v>
      </c>
      <c r="DB9" s="49" t="s">
        <v>319</v>
      </c>
      <c r="DD9" s="48" t="n">
        <v>46282</v>
      </c>
      <c r="DF9" s="49" t="s">
        <v>310</v>
      </c>
      <c r="DG9" s="49" t="s">
        <v>320</v>
      </c>
      <c r="DH9" s="49" t="s">
        <v>56</v>
      </c>
      <c r="DI9" s="49" t="s">
        <v>298</v>
      </c>
      <c r="DJ9" s="49" t="s">
        <v>367</v>
      </c>
      <c r="DK9" s="49" t="s">
        <v>322</v>
      </c>
      <c r="DL9" s="49" t="s">
        <v>323</v>
      </c>
      <c r="DM9" s="49" t="s">
        <v>303</v>
      </c>
      <c r="DN9" s="49" t="s">
        <v>297</v>
      </c>
      <c r="DO9" s="48"/>
      <c r="DP9" s="49" t="s">
        <v>312</v>
      </c>
      <c r="DQ9" s="48"/>
      <c r="DR9" s="49" t="s">
        <v>312</v>
      </c>
      <c r="DS9" s="49" t="s">
        <v>303</v>
      </c>
      <c r="DT9" s="49" t="s">
        <v>303</v>
      </c>
      <c r="DW9" s="49" t="s">
        <v>303</v>
      </c>
      <c r="EA9" s="49" t="s">
        <v>324</v>
      </c>
      <c r="EB9" s="49" t="s">
        <v>303</v>
      </c>
      <c r="EH9" s="49" t="s">
        <v>310</v>
      </c>
      <c r="EJ9" s="49" t="s">
        <v>303</v>
      </c>
      <c r="EK9" s="49" t="s">
        <v>368</v>
      </c>
      <c r="EM9" s="49" t="s">
        <v>303</v>
      </c>
      <c r="EN9" s="49" t="s">
        <v>369</v>
      </c>
      <c r="EP9" s="49" t="s">
        <v>298</v>
      </c>
      <c r="EQ9" s="0" t="n">
        <v>1</v>
      </c>
      <c r="ER9" s="49" t="s">
        <v>328</v>
      </c>
      <c r="ES9" s="49" t="s">
        <v>342</v>
      </c>
      <c r="ET9" s="49" t="s">
        <v>310</v>
      </c>
      <c r="EU9" s="49" t="s">
        <v>310</v>
      </c>
      <c r="EV9" s="49" t="s">
        <v>310</v>
      </c>
      <c r="EX9" s="49" t="s">
        <v>303</v>
      </c>
      <c r="EY9" s="49" t="s">
        <v>303</v>
      </c>
      <c r="FC9" s="49" t="s">
        <v>330</v>
      </c>
      <c r="FD9" s="49" t="s">
        <v>310</v>
      </c>
      <c r="FE9" s="49" t="s">
        <v>310</v>
      </c>
      <c r="FF9" s="49" t="s">
        <v>56</v>
      </c>
      <c r="FG9" s="49" t="s">
        <v>370</v>
      </c>
      <c r="FH9" s="49" t="s">
        <v>310</v>
      </c>
      <c r="FI9" s="49" t="s">
        <v>332</v>
      </c>
      <c r="FJ9" s="49" t="s">
        <v>303</v>
      </c>
      <c r="FL9" s="49" t="s">
        <v>325</v>
      </c>
      <c r="FM9" s="49" t="s">
        <v>334</v>
      </c>
      <c r="FP9" s="49" t="s">
        <v>303</v>
      </c>
      <c r="FR9" s="49" t="s">
        <v>303</v>
      </c>
      <c r="FT9" s="49" t="s">
        <v>325</v>
      </c>
      <c r="FU9" s="49" t="s">
        <v>325</v>
      </c>
      <c r="FW9" s="49" t="s">
        <v>333</v>
      </c>
    </row>
    <row r="10" customFormat="false" ht="15" hidden="false" customHeight="false" outlineLevel="0" collapsed="false">
      <c r="A10" s="0" t="n">
        <v>100880191</v>
      </c>
      <c r="B10" s="0" t="s">
        <v>295</v>
      </c>
      <c r="C10" s="0" t="s">
        <v>58</v>
      </c>
      <c r="D10" s="0" t="s">
        <v>59</v>
      </c>
      <c r="E10" s="0" t="s">
        <v>297</v>
      </c>
      <c r="G10" s="0" t="n">
        <v>1</v>
      </c>
      <c r="H10" s="0" t="s">
        <v>298</v>
      </c>
      <c r="I10" s="48" t="n">
        <v>46297</v>
      </c>
      <c r="J10" s="0" t="n">
        <v>0</v>
      </c>
      <c r="K10" s="49" t="s">
        <v>334</v>
      </c>
      <c r="L10" s="49" t="s">
        <v>335</v>
      </c>
      <c r="M10" s="48" t="n">
        <v>46297</v>
      </c>
      <c r="N10" s="49" t="s">
        <v>335</v>
      </c>
      <c r="O10" s="49" t="s">
        <v>336</v>
      </c>
      <c r="P10" s="48"/>
      <c r="Q10" s="48" t="n">
        <v>46297</v>
      </c>
      <c r="R10" s="48" t="n">
        <v>46304</v>
      </c>
      <c r="T10" s="49" t="s">
        <v>302</v>
      </c>
      <c r="U10" s="49" t="s">
        <v>303</v>
      </c>
      <c r="Y10" s="49" t="s">
        <v>371</v>
      </c>
      <c r="AD10" s="49" t="s">
        <v>305</v>
      </c>
      <c r="AE10" s="48" t="n">
        <v>46275</v>
      </c>
      <c r="AF10" s="49" t="s">
        <v>306</v>
      </c>
      <c r="AG10" s="49" t="s">
        <v>307</v>
      </c>
      <c r="AK10" s="49" t="s">
        <v>303</v>
      </c>
      <c r="AL10" s="49" t="s">
        <v>297</v>
      </c>
      <c r="AO10" s="49" t="s">
        <v>303</v>
      </c>
      <c r="AP10" s="48"/>
      <c r="AR10" s="49" t="s">
        <v>303</v>
      </c>
      <c r="AS10" s="49" t="s">
        <v>306</v>
      </c>
      <c r="AT10" s="49" t="s">
        <v>372</v>
      </c>
      <c r="AV10" s="49" t="s">
        <v>309</v>
      </c>
      <c r="AW10" s="49" t="s">
        <v>310</v>
      </c>
      <c r="AX10" s="49" t="s">
        <v>311</v>
      </c>
      <c r="AY10" s="48"/>
      <c r="AZ10" s="48" t="n">
        <v>46289</v>
      </c>
      <c r="BC10" s="49" t="s">
        <v>303</v>
      </c>
      <c r="BD10" s="48"/>
      <c r="BE10" s="49" t="s">
        <v>312</v>
      </c>
      <c r="BF10" s="49" t="s">
        <v>303</v>
      </c>
      <c r="BG10" s="48"/>
      <c r="BI10" s="48"/>
      <c r="BJ10" s="48" t="n">
        <v>46302</v>
      </c>
      <c r="BK10" s="49" t="s">
        <v>312</v>
      </c>
      <c r="BL10" s="49" t="s">
        <v>313</v>
      </c>
      <c r="BM10" s="49" t="s">
        <v>310</v>
      </c>
      <c r="BN10" s="48"/>
      <c r="BO10" s="48"/>
      <c r="BP10" s="48"/>
      <c r="BR10" s="48" t="n">
        <v>46296</v>
      </c>
      <c r="BS10" s="49" t="s">
        <v>312</v>
      </c>
      <c r="BT10" s="49" t="s">
        <v>312</v>
      </c>
      <c r="BU10" s="49" t="s">
        <v>312</v>
      </c>
      <c r="BV10" s="49" t="s">
        <v>303</v>
      </c>
      <c r="BX10" s="0" t="n">
        <v>0</v>
      </c>
      <c r="CC10" s="49" t="s">
        <v>315</v>
      </c>
      <c r="CD10" s="49" t="s">
        <v>303</v>
      </c>
      <c r="CF10" s="49" t="s">
        <v>303</v>
      </c>
      <c r="CG10" s="49" t="s">
        <v>316</v>
      </c>
      <c r="CH10" s="49" t="s">
        <v>317</v>
      </c>
      <c r="CI10" s="49" t="s">
        <v>318</v>
      </c>
      <c r="CM10" s="49" t="s">
        <v>59</v>
      </c>
      <c r="CV10" s="49" t="s">
        <v>303</v>
      </c>
      <c r="DB10" s="49" t="s">
        <v>319</v>
      </c>
      <c r="DD10" s="48" t="n">
        <v>46275</v>
      </c>
      <c r="DF10" s="49" t="s">
        <v>310</v>
      </c>
      <c r="DG10" s="49" t="s">
        <v>320</v>
      </c>
      <c r="DH10" s="49" t="s">
        <v>58</v>
      </c>
      <c r="DI10" s="49" t="s">
        <v>298</v>
      </c>
      <c r="DJ10" s="49" t="s">
        <v>367</v>
      </c>
      <c r="DK10" s="49" t="s">
        <v>322</v>
      </c>
      <c r="DL10" s="49" t="s">
        <v>323</v>
      </c>
      <c r="DM10" s="49" t="s">
        <v>303</v>
      </c>
      <c r="DN10" s="49" t="s">
        <v>297</v>
      </c>
      <c r="DO10" s="48"/>
      <c r="DP10" s="49" t="s">
        <v>312</v>
      </c>
      <c r="DQ10" s="48"/>
      <c r="DR10" s="49" t="s">
        <v>312</v>
      </c>
      <c r="DS10" s="49" t="s">
        <v>303</v>
      </c>
      <c r="DT10" s="49" t="s">
        <v>303</v>
      </c>
      <c r="DW10" s="49" t="s">
        <v>303</v>
      </c>
      <c r="EA10" s="49" t="s">
        <v>324</v>
      </c>
      <c r="EB10" s="49" t="s">
        <v>303</v>
      </c>
      <c r="EH10" s="49" t="s">
        <v>310</v>
      </c>
      <c r="EJ10" s="49" t="s">
        <v>303</v>
      </c>
      <c r="EK10" s="49" t="s">
        <v>373</v>
      </c>
      <c r="EM10" s="49" t="s">
        <v>303</v>
      </c>
      <c r="EN10" s="49" t="s">
        <v>374</v>
      </c>
      <c r="EP10" s="49" t="s">
        <v>298</v>
      </c>
      <c r="EQ10" s="0" t="n">
        <v>1</v>
      </c>
      <c r="ER10" s="49" t="s">
        <v>328</v>
      </c>
      <c r="ES10" s="49" t="s">
        <v>342</v>
      </c>
      <c r="ET10" s="49" t="s">
        <v>310</v>
      </c>
      <c r="EU10" s="49" t="s">
        <v>310</v>
      </c>
      <c r="EV10" s="49" t="s">
        <v>310</v>
      </c>
      <c r="EX10" s="49" t="s">
        <v>303</v>
      </c>
      <c r="EY10" s="49" t="s">
        <v>303</v>
      </c>
      <c r="FC10" s="49" t="s">
        <v>330</v>
      </c>
      <c r="FD10" s="49" t="s">
        <v>310</v>
      </c>
      <c r="FE10" s="49" t="s">
        <v>310</v>
      </c>
      <c r="FF10" s="49" t="s">
        <v>58</v>
      </c>
      <c r="FG10" s="49" t="s">
        <v>375</v>
      </c>
      <c r="FH10" s="49" t="s">
        <v>310</v>
      </c>
      <c r="FI10" s="49" t="s">
        <v>332</v>
      </c>
      <c r="FJ10" s="49" t="s">
        <v>303</v>
      </c>
      <c r="FL10" s="49" t="s">
        <v>325</v>
      </c>
      <c r="FM10" s="49" t="s">
        <v>334</v>
      </c>
      <c r="FP10" s="49" t="s">
        <v>303</v>
      </c>
      <c r="FR10" s="49" t="s">
        <v>303</v>
      </c>
      <c r="FT10" s="49" t="s">
        <v>325</v>
      </c>
      <c r="FU10" s="49" t="s">
        <v>325</v>
      </c>
      <c r="FW10" s="49" t="s">
        <v>333</v>
      </c>
    </row>
    <row r="11" customFormat="false" ht="15" hidden="false" customHeight="false" outlineLevel="0" collapsed="false">
      <c r="A11" s="0" t="n">
        <v>100880192</v>
      </c>
      <c r="B11" s="0" t="s">
        <v>295</v>
      </c>
      <c r="C11" s="0" t="s">
        <v>58</v>
      </c>
      <c r="D11" s="0" t="s">
        <v>59</v>
      </c>
      <c r="E11" s="0" t="s">
        <v>297</v>
      </c>
      <c r="G11" s="0" t="n">
        <v>1</v>
      </c>
      <c r="H11" s="0" t="s">
        <v>298</v>
      </c>
      <c r="I11" s="48" t="n">
        <v>46297</v>
      </c>
      <c r="J11" s="0" t="n">
        <v>0</v>
      </c>
      <c r="K11" s="49" t="s">
        <v>334</v>
      </c>
      <c r="L11" s="49" t="s">
        <v>335</v>
      </c>
      <c r="M11" s="48" t="n">
        <v>46297</v>
      </c>
      <c r="N11" s="49" t="s">
        <v>335</v>
      </c>
      <c r="O11" s="49" t="s">
        <v>336</v>
      </c>
      <c r="P11" s="48"/>
      <c r="Q11" s="48" t="n">
        <v>46297</v>
      </c>
      <c r="R11" s="48" t="n">
        <v>46304</v>
      </c>
      <c r="T11" s="49" t="s">
        <v>302</v>
      </c>
      <c r="U11" s="49" t="s">
        <v>303</v>
      </c>
      <c r="Y11" s="49" t="s">
        <v>376</v>
      </c>
      <c r="AD11" s="49" t="s">
        <v>305</v>
      </c>
      <c r="AE11" s="48" t="n">
        <v>46282</v>
      </c>
      <c r="AF11" s="49" t="s">
        <v>306</v>
      </c>
      <c r="AG11" s="49" t="s">
        <v>307</v>
      </c>
      <c r="AK11" s="49" t="s">
        <v>303</v>
      </c>
      <c r="AL11" s="49" t="s">
        <v>297</v>
      </c>
      <c r="AO11" s="49" t="s">
        <v>303</v>
      </c>
      <c r="AP11" s="48"/>
      <c r="AR11" s="49" t="s">
        <v>303</v>
      </c>
      <c r="AS11" s="49" t="s">
        <v>306</v>
      </c>
      <c r="AT11" s="49" t="s">
        <v>377</v>
      </c>
      <c r="AV11" s="49" t="s">
        <v>309</v>
      </c>
      <c r="AW11" s="49" t="s">
        <v>310</v>
      </c>
      <c r="AX11" s="49" t="s">
        <v>311</v>
      </c>
      <c r="AY11" s="48"/>
      <c r="AZ11" s="48" t="n">
        <v>46289</v>
      </c>
      <c r="BC11" s="49" t="s">
        <v>303</v>
      </c>
      <c r="BD11" s="48"/>
      <c r="BE11" s="49" t="s">
        <v>312</v>
      </c>
      <c r="BF11" s="49" t="s">
        <v>303</v>
      </c>
      <c r="BG11" s="48"/>
      <c r="BI11" s="48"/>
      <c r="BJ11" s="48" t="n">
        <v>46302</v>
      </c>
      <c r="BK11" s="49" t="s">
        <v>312</v>
      </c>
      <c r="BL11" s="49" t="s">
        <v>313</v>
      </c>
      <c r="BM11" s="49" t="s">
        <v>310</v>
      </c>
      <c r="BN11" s="48"/>
      <c r="BO11" s="48"/>
      <c r="BP11" s="48"/>
      <c r="BR11" s="48" t="n">
        <v>46296</v>
      </c>
      <c r="BS11" s="49" t="s">
        <v>312</v>
      </c>
      <c r="BT11" s="49" t="s">
        <v>312</v>
      </c>
      <c r="BU11" s="49" t="s">
        <v>312</v>
      </c>
      <c r="BV11" s="49" t="s">
        <v>303</v>
      </c>
      <c r="BX11" s="0" t="n">
        <v>0</v>
      </c>
      <c r="CC11" s="49" t="s">
        <v>315</v>
      </c>
      <c r="CD11" s="49" t="s">
        <v>303</v>
      </c>
      <c r="CF11" s="49" t="s">
        <v>303</v>
      </c>
      <c r="CG11" s="49" t="s">
        <v>316</v>
      </c>
      <c r="CH11" s="49" t="s">
        <v>317</v>
      </c>
      <c r="CI11" s="49" t="s">
        <v>318</v>
      </c>
      <c r="CM11" s="49" t="s">
        <v>59</v>
      </c>
      <c r="CV11" s="49" t="s">
        <v>303</v>
      </c>
      <c r="DB11" s="49" t="s">
        <v>319</v>
      </c>
      <c r="DD11" s="48" t="n">
        <v>46282</v>
      </c>
      <c r="DF11" s="49" t="s">
        <v>310</v>
      </c>
      <c r="DG11" s="49" t="s">
        <v>320</v>
      </c>
      <c r="DH11" s="49" t="s">
        <v>58</v>
      </c>
      <c r="DI11" s="49" t="s">
        <v>298</v>
      </c>
      <c r="DJ11" s="49" t="s">
        <v>367</v>
      </c>
      <c r="DK11" s="49" t="s">
        <v>322</v>
      </c>
      <c r="DL11" s="49" t="s">
        <v>323</v>
      </c>
      <c r="DM11" s="49" t="s">
        <v>303</v>
      </c>
      <c r="DN11" s="49" t="s">
        <v>297</v>
      </c>
      <c r="DO11" s="48"/>
      <c r="DP11" s="49" t="s">
        <v>312</v>
      </c>
      <c r="DQ11" s="48"/>
      <c r="DR11" s="49" t="s">
        <v>312</v>
      </c>
      <c r="DS11" s="49" t="s">
        <v>303</v>
      </c>
      <c r="DT11" s="49" t="s">
        <v>303</v>
      </c>
      <c r="DW11" s="49" t="s">
        <v>303</v>
      </c>
      <c r="EA11" s="49" t="s">
        <v>324</v>
      </c>
      <c r="EB11" s="49" t="s">
        <v>303</v>
      </c>
      <c r="EH11" s="49" t="s">
        <v>310</v>
      </c>
      <c r="EJ11" s="49" t="s">
        <v>303</v>
      </c>
      <c r="EK11" s="49" t="s">
        <v>378</v>
      </c>
      <c r="EM11" s="49" t="s">
        <v>303</v>
      </c>
      <c r="EN11" s="49" t="s">
        <v>374</v>
      </c>
      <c r="EP11" s="49" t="s">
        <v>298</v>
      </c>
      <c r="EQ11" s="0" t="n">
        <v>1</v>
      </c>
      <c r="ER11" s="49" t="s">
        <v>328</v>
      </c>
      <c r="ES11" s="49" t="s">
        <v>342</v>
      </c>
      <c r="ET11" s="49" t="s">
        <v>310</v>
      </c>
      <c r="EU11" s="49" t="s">
        <v>310</v>
      </c>
      <c r="EV11" s="49" t="s">
        <v>310</v>
      </c>
      <c r="EX11" s="49" t="s">
        <v>303</v>
      </c>
      <c r="EY11" s="49" t="s">
        <v>303</v>
      </c>
      <c r="FC11" s="49" t="s">
        <v>330</v>
      </c>
      <c r="FD11" s="49" t="s">
        <v>310</v>
      </c>
      <c r="FE11" s="49" t="s">
        <v>310</v>
      </c>
      <c r="FF11" s="49" t="s">
        <v>58</v>
      </c>
      <c r="FG11" s="49" t="s">
        <v>375</v>
      </c>
      <c r="FH11" s="49" t="s">
        <v>310</v>
      </c>
      <c r="FI11" s="49" t="s">
        <v>332</v>
      </c>
      <c r="FJ11" s="49" t="s">
        <v>303</v>
      </c>
      <c r="FL11" s="49" t="s">
        <v>325</v>
      </c>
      <c r="FM11" s="49" t="s">
        <v>334</v>
      </c>
      <c r="FP11" s="49" t="s">
        <v>303</v>
      </c>
      <c r="FR11" s="49" t="s">
        <v>303</v>
      </c>
      <c r="FT11" s="49" t="s">
        <v>325</v>
      </c>
      <c r="FU11" s="49" t="s">
        <v>325</v>
      </c>
      <c r="FW11" s="49" t="s">
        <v>333</v>
      </c>
    </row>
    <row r="12" customFormat="false" ht="15" hidden="false" customHeight="false" outlineLevel="0" collapsed="false">
      <c r="A12" s="0" t="n">
        <v>100880193</v>
      </c>
      <c r="B12" s="0" t="s">
        <v>295</v>
      </c>
      <c r="C12" s="0" t="s">
        <v>61</v>
      </c>
      <c r="D12" s="0" t="s">
        <v>62</v>
      </c>
      <c r="E12" s="0" t="s">
        <v>297</v>
      </c>
      <c r="G12" s="0" t="n">
        <v>1</v>
      </c>
      <c r="H12" s="0" t="s">
        <v>298</v>
      </c>
      <c r="I12" s="48" t="n">
        <v>46297</v>
      </c>
      <c r="J12" s="0" t="n">
        <v>0</v>
      </c>
      <c r="K12" s="49" t="s">
        <v>334</v>
      </c>
      <c r="L12" s="49" t="s">
        <v>335</v>
      </c>
      <c r="M12" s="48" t="n">
        <v>46297</v>
      </c>
      <c r="N12" s="49" t="s">
        <v>335</v>
      </c>
      <c r="O12" s="49" t="s">
        <v>336</v>
      </c>
      <c r="P12" s="48"/>
      <c r="Q12" s="48" t="n">
        <v>46297</v>
      </c>
      <c r="R12" s="48" t="n">
        <v>46304</v>
      </c>
      <c r="T12" s="49" t="s">
        <v>302</v>
      </c>
      <c r="U12" s="49" t="s">
        <v>303</v>
      </c>
      <c r="Y12" s="49" t="s">
        <v>379</v>
      </c>
      <c r="AD12" s="49" t="s">
        <v>305</v>
      </c>
      <c r="AE12" s="48" t="n">
        <v>46275</v>
      </c>
      <c r="AF12" s="49" t="s">
        <v>306</v>
      </c>
      <c r="AG12" s="49" t="s">
        <v>307</v>
      </c>
      <c r="AK12" s="49" t="s">
        <v>303</v>
      </c>
      <c r="AL12" s="49" t="s">
        <v>297</v>
      </c>
      <c r="AO12" s="49" t="s">
        <v>303</v>
      </c>
      <c r="AP12" s="48"/>
      <c r="AR12" s="49" t="s">
        <v>303</v>
      </c>
      <c r="AS12" s="49" t="s">
        <v>306</v>
      </c>
      <c r="AT12" s="49" t="s">
        <v>380</v>
      </c>
      <c r="AV12" s="49" t="s">
        <v>309</v>
      </c>
      <c r="AW12" s="49" t="s">
        <v>310</v>
      </c>
      <c r="AX12" s="49" t="s">
        <v>311</v>
      </c>
      <c r="AY12" s="48"/>
      <c r="AZ12" s="48" t="n">
        <v>46295</v>
      </c>
      <c r="BC12" s="49" t="s">
        <v>303</v>
      </c>
      <c r="BD12" s="48"/>
      <c r="BE12" s="49" t="s">
        <v>312</v>
      </c>
      <c r="BF12" s="49" t="s">
        <v>303</v>
      </c>
      <c r="BG12" s="48"/>
      <c r="BI12" s="48"/>
      <c r="BJ12" s="48" t="n">
        <v>46302</v>
      </c>
      <c r="BK12" s="49" t="s">
        <v>312</v>
      </c>
      <c r="BL12" s="49" t="s">
        <v>313</v>
      </c>
      <c r="BM12" s="49" t="s">
        <v>310</v>
      </c>
      <c r="BN12" s="48"/>
      <c r="BO12" s="48"/>
      <c r="BP12" s="48"/>
      <c r="BR12" s="48" t="n">
        <v>46302</v>
      </c>
      <c r="BS12" s="49" t="s">
        <v>312</v>
      </c>
      <c r="BT12" s="49" t="s">
        <v>312</v>
      </c>
      <c r="BU12" s="49" t="s">
        <v>313</v>
      </c>
      <c r="BV12" s="49" t="s">
        <v>303</v>
      </c>
      <c r="BX12" s="0" t="n">
        <v>0</v>
      </c>
      <c r="CC12" s="49" t="s">
        <v>315</v>
      </c>
      <c r="CD12" s="49" t="s">
        <v>303</v>
      </c>
      <c r="CF12" s="49" t="s">
        <v>303</v>
      </c>
      <c r="CG12" s="49" t="s">
        <v>316</v>
      </c>
      <c r="CH12" s="49" t="s">
        <v>317</v>
      </c>
      <c r="CI12" s="49" t="s">
        <v>318</v>
      </c>
      <c r="CM12" s="49" t="s">
        <v>62</v>
      </c>
      <c r="CV12" s="49" t="s">
        <v>303</v>
      </c>
      <c r="DB12" s="49" t="s">
        <v>319</v>
      </c>
      <c r="DD12" s="48" t="n">
        <v>46275</v>
      </c>
      <c r="DF12" s="49" t="s">
        <v>310</v>
      </c>
      <c r="DG12" s="49" t="s">
        <v>320</v>
      </c>
      <c r="DH12" s="49" t="s">
        <v>61</v>
      </c>
      <c r="DI12" s="49" t="s">
        <v>298</v>
      </c>
      <c r="DJ12" s="49" t="s">
        <v>381</v>
      </c>
      <c r="DK12" s="49" t="s">
        <v>322</v>
      </c>
      <c r="DL12" s="49" t="s">
        <v>323</v>
      </c>
      <c r="DM12" s="49" t="s">
        <v>303</v>
      </c>
      <c r="DN12" s="49" t="s">
        <v>297</v>
      </c>
      <c r="DO12" s="48"/>
      <c r="DP12" s="49" t="s">
        <v>312</v>
      </c>
      <c r="DQ12" s="48"/>
      <c r="DR12" s="49" t="s">
        <v>312</v>
      </c>
      <c r="DS12" s="49" t="s">
        <v>303</v>
      </c>
      <c r="DT12" s="49" t="s">
        <v>303</v>
      </c>
      <c r="DW12" s="49" t="s">
        <v>303</v>
      </c>
      <c r="EA12" s="49" t="s">
        <v>324</v>
      </c>
      <c r="EB12" s="49" t="s">
        <v>303</v>
      </c>
      <c r="EH12" s="49" t="s">
        <v>310</v>
      </c>
      <c r="EJ12" s="49" t="s">
        <v>303</v>
      </c>
      <c r="EK12" s="49" t="s">
        <v>382</v>
      </c>
      <c r="EM12" s="49" t="s">
        <v>303</v>
      </c>
      <c r="EN12" s="49" t="s">
        <v>383</v>
      </c>
      <c r="EP12" s="49" t="s">
        <v>298</v>
      </c>
      <c r="EQ12" s="0" t="n">
        <v>1</v>
      </c>
      <c r="ER12" s="49" t="s">
        <v>328</v>
      </c>
      <c r="ES12" s="49" t="s">
        <v>384</v>
      </c>
      <c r="ET12" s="49" t="s">
        <v>310</v>
      </c>
      <c r="EU12" s="49" t="s">
        <v>310</v>
      </c>
      <c r="EV12" s="49" t="s">
        <v>310</v>
      </c>
      <c r="EX12" s="49" t="s">
        <v>303</v>
      </c>
      <c r="EY12" s="49" t="s">
        <v>303</v>
      </c>
      <c r="FC12" s="49" t="s">
        <v>330</v>
      </c>
      <c r="FD12" s="49" t="s">
        <v>310</v>
      </c>
      <c r="FE12" s="49" t="s">
        <v>310</v>
      </c>
      <c r="FF12" s="49" t="s">
        <v>61</v>
      </c>
      <c r="FG12" s="49" t="s">
        <v>385</v>
      </c>
      <c r="FH12" s="49" t="s">
        <v>310</v>
      </c>
      <c r="FI12" s="49" t="s">
        <v>332</v>
      </c>
      <c r="FJ12" s="49" t="s">
        <v>303</v>
      </c>
      <c r="FL12" s="49" t="s">
        <v>325</v>
      </c>
      <c r="FM12" s="49" t="s">
        <v>334</v>
      </c>
      <c r="FP12" s="49" t="s">
        <v>303</v>
      </c>
      <c r="FR12" s="49" t="s">
        <v>303</v>
      </c>
      <c r="FT12" s="49" t="s">
        <v>325</v>
      </c>
      <c r="FU12" s="49" t="s">
        <v>325</v>
      </c>
      <c r="FW12" s="49" t="s">
        <v>333</v>
      </c>
    </row>
    <row r="13" customFormat="false" ht="15" hidden="false" customHeight="false" outlineLevel="0" collapsed="false">
      <c r="A13" s="0" t="n">
        <v>100880194</v>
      </c>
      <c r="B13" s="0" t="s">
        <v>295</v>
      </c>
      <c r="C13" s="0" t="s">
        <v>61</v>
      </c>
      <c r="D13" s="0" t="s">
        <v>62</v>
      </c>
      <c r="E13" s="0" t="s">
        <v>297</v>
      </c>
      <c r="G13" s="0" t="n">
        <v>1</v>
      </c>
      <c r="H13" s="0" t="s">
        <v>298</v>
      </c>
      <c r="I13" s="48" t="n">
        <v>46297</v>
      </c>
      <c r="J13" s="0" t="n">
        <v>0</v>
      </c>
      <c r="K13" s="49" t="s">
        <v>334</v>
      </c>
      <c r="L13" s="49" t="s">
        <v>335</v>
      </c>
      <c r="M13" s="48" t="n">
        <v>46297</v>
      </c>
      <c r="N13" s="49" t="s">
        <v>335</v>
      </c>
      <c r="O13" s="49" t="s">
        <v>336</v>
      </c>
      <c r="P13" s="48"/>
      <c r="Q13" s="48" t="n">
        <v>46297</v>
      </c>
      <c r="R13" s="48" t="n">
        <v>46304</v>
      </c>
      <c r="T13" s="49" t="s">
        <v>302</v>
      </c>
      <c r="U13" s="49" t="s">
        <v>303</v>
      </c>
      <c r="Y13" s="49" t="s">
        <v>386</v>
      </c>
      <c r="AD13" s="49" t="s">
        <v>305</v>
      </c>
      <c r="AE13" s="48" t="n">
        <v>46282</v>
      </c>
      <c r="AF13" s="49" t="s">
        <v>306</v>
      </c>
      <c r="AG13" s="49" t="s">
        <v>307</v>
      </c>
      <c r="AK13" s="49" t="s">
        <v>303</v>
      </c>
      <c r="AL13" s="49" t="s">
        <v>297</v>
      </c>
      <c r="AO13" s="49" t="s">
        <v>303</v>
      </c>
      <c r="AP13" s="48"/>
      <c r="AR13" s="49" t="s">
        <v>303</v>
      </c>
      <c r="AS13" s="49" t="s">
        <v>306</v>
      </c>
      <c r="AT13" s="49" t="s">
        <v>387</v>
      </c>
      <c r="AV13" s="49" t="s">
        <v>309</v>
      </c>
      <c r="AW13" s="49" t="s">
        <v>310</v>
      </c>
      <c r="AX13" s="49" t="s">
        <v>311</v>
      </c>
      <c r="AY13" s="48"/>
      <c r="AZ13" s="48" t="n">
        <v>46295</v>
      </c>
      <c r="BC13" s="49" t="s">
        <v>303</v>
      </c>
      <c r="BD13" s="48"/>
      <c r="BE13" s="49" t="s">
        <v>312</v>
      </c>
      <c r="BF13" s="49" t="s">
        <v>303</v>
      </c>
      <c r="BG13" s="48"/>
      <c r="BI13" s="48"/>
      <c r="BJ13" s="48" t="n">
        <v>46302</v>
      </c>
      <c r="BK13" s="49" t="s">
        <v>312</v>
      </c>
      <c r="BL13" s="49" t="s">
        <v>313</v>
      </c>
      <c r="BM13" s="49" t="s">
        <v>310</v>
      </c>
      <c r="BN13" s="48"/>
      <c r="BO13" s="48"/>
      <c r="BP13" s="48"/>
      <c r="BR13" s="48" t="n">
        <v>46302</v>
      </c>
      <c r="BS13" s="49" t="s">
        <v>312</v>
      </c>
      <c r="BT13" s="49" t="s">
        <v>312</v>
      </c>
      <c r="BU13" s="49" t="s">
        <v>313</v>
      </c>
      <c r="BV13" s="49" t="s">
        <v>303</v>
      </c>
      <c r="BX13" s="0" t="n">
        <v>0</v>
      </c>
      <c r="CC13" s="49" t="s">
        <v>315</v>
      </c>
      <c r="CD13" s="49" t="s">
        <v>303</v>
      </c>
      <c r="CF13" s="49" t="s">
        <v>303</v>
      </c>
      <c r="CG13" s="49" t="s">
        <v>316</v>
      </c>
      <c r="CH13" s="49" t="s">
        <v>317</v>
      </c>
      <c r="CI13" s="49" t="s">
        <v>318</v>
      </c>
      <c r="CM13" s="49" t="s">
        <v>62</v>
      </c>
      <c r="CV13" s="49" t="s">
        <v>303</v>
      </c>
      <c r="DB13" s="49" t="s">
        <v>319</v>
      </c>
      <c r="DD13" s="48" t="n">
        <v>46282</v>
      </c>
      <c r="DF13" s="49" t="s">
        <v>310</v>
      </c>
      <c r="DG13" s="49" t="s">
        <v>320</v>
      </c>
      <c r="DH13" s="49" t="s">
        <v>61</v>
      </c>
      <c r="DI13" s="49" t="s">
        <v>298</v>
      </c>
      <c r="DJ13" s="49" t="s">
        <v>381</v>
      </c>
      <c r="DK13" s="49" t="s">
        <v>322</v>
      </c>
      <c r="DL13" s="49" t="s">
        <v>323</v>
      </c>
      <c r="DM13" s="49" t="s">
        <v>303</v>
      </c>
      <c r="DN13" s="49" t="s">
        <v>297</v>
      </c>
      <c r="DO13" s="48"/>
      <c r="DP13" s="49" t="s">
        <v>312</v>
      </c>
      <c r="DQ13" s="48"/>
      <c r="DR13" s="49" t="s">
        <v>312</v>
      </c>
      <c r="DS13" s="49" t="s">
        <v>303</v>
      </c>
      <c r="DT13" s="49" t="s">
        <v>303</v>
      </c>
      <c r="DW13" s="49" t="s">
        <v>303</v>
      </c>
      <c r="EA13" s="49" t="s">
        <v>324</v>
      </c>
      <c r="EB13" s="49" t="s">
        <v>303</v>
      </c>
      <c r="EH13" s="49" t="s">
        <v>310</v>
      </c>
      <c r="EJ13" s="49" t="s">
        <v>303</v>
      </c>
      <c r="EK13" s="49" t="s">
        <v>388</v>
      </c>
      <c r="EM13" s="49" t="s">
        <v>303</v>
      </c>
      <c r="EN13" s="49" t="s">
        <v>383</v>
      </c>
      <c r="EP13" s="49" t="s">
        <v>298</v>
      </c>
      <c r="EQ13" s="0" t="n">
        <v>1</v>
      </c>
      <c r="ER13" s="49" t="s">
        <v>328</v>
      </c>
      <c r="ES13" s="49" t="s">
        <v>384</v>
      </c>
      <c r="ET13" s="49" t="s">
        <v>310</v>
      </c>
      <c r="EU13" s="49" t="s">
        <v>310</v>
      </c>
      <c r="EV13" s="49" t="s">
        <v>310</v>
      </c>
      <c r="EX13" s="49" t="s">
        <v>303</v>
      </c>
      <c r="EY13" s="49" t="s">
        <v>303</v>
      </c>
      <c r="FC13" s="49" t="s">
        <v>330</v>
      </c>
      <c r="FD13" s="49" t="s">
        <v>310</v>
      </c>
      <c r="FE13" s="49" t="s">
        <v>310</v>
      </c>
      <c r="FF13" s="49" t="s">
        <v>61</v>
      </c>
      <c r="FG13" s="49" t="s">
        <v>385</v>
      </c>
      <c r="FH13" s="49" t="s">
        <v>310</v>
      </c>
      <c r="FI13" s="49" t="s">
        <v>332</v>
      </c>
      <c r="FJ13" s="49" t="s">
        <v>303</v>
      </c>
      <c r="FL13" s="49" t="s">
        <v>325</v>
      </c>
      <c r="FM13" s="49" t="s">
        <v>334</v>
      </c>
      <c r="FP13" s="49" t="s">
        <v>303</v>
      </c>
      <c r="FR13" s="49" t="s">
        <v>303</v>
      </c>
      <c r="FT13" s="49" t="s">
        <v>325</v>
      </c>
      <c r="FU13" s="49" t="s">
        <v>325</v>
      </c>
      <c r="FW13" s="49" t="s">
        <v>333</v>
      </c>
    </row>
    <row r="14" customFormat="false" ht="15" hidden="false" customHeight="false" outlineLevel="0" collapsed="false">
      <c r="A14" s="0" t="n">
        <v>100880195</v>
      </c>
      <c r="B14" s="0" t="s">
        <v>295</v>
      </c>
      <c r="C14" s="0" t="s">
        <v>61</v>
      </c>
      <c r="D14" s="0" t="s">
        <v>62</v>
      </c>
      <c r="E14" s="0" t="s">
        <v>297</v>
      </c>
      <c r="G14" s="0" t="n">
        <v>1</v>
      </c>
      <c r="H14" s="0" t="s">
        <v>298</v>
      </c>
      <c r="I14" s="48" t="n">
        <v>46297</v>
      </c>
      <c r="J14" s="0" t="n">
        <v>0</v>
      </c>
      <c r="K14" s="49" t="s">
        <v>334</v>
      </c>
      <c r="L14" s="49" t="s">
        <v>335</v>
      </c>
      <c r="M14" s="48"/>
      <c r="O14" s="49" t="s">
        <v>336</v>
      </c>
      <c r="P14" s="48"/>
      <c r="Q14" s="48" t="n">
        <v>46297</v>
      </c>
      <c r="R14" s="48" t="n">
        <v>46303</v>
      </c>
      <c r="T14" s="49" t="s">
        <v>302</v>
      </c>
      <c r="U14" s="49" t="s">
        <v>303</v>
      </c>
      <c r="Y14" s="49" t="s">
        <v>312</v>
      </c>
      <c r="AD14" s="49" t="s">
        <v>305</v>
      </c>
      <c r="AE14" s="48" t="n">
        <v>46282</v>
      </c>
      <c r="AF14" s="49" t="s">
        <v>306</v>
      </c>
      <c r="AG14" s="49" t="s">
        <v>307</v>
      </c>
      <c r="AK14" s="49" t="s">
        <v>303</v>
      </c>
      <c r="AL14" s="49" t="s">
        <v>297</v>
      </c>
      <c r="AO14" s="49" t="s">
        <v>303</v>
      </c>
      <c r="AP14" s="48"/>
      <c r="AR14" s="49" t="s">
        <v>303</v>
      </c>
      <c r="AS14" s="49" t="s">
        <v>306</v>
      </c>
      <c r="AT14" s="49" t="s">
        <v>389</v>
      </c>
      <c r="AV14" s="49" t="s">
        <v>309</v>
      </c>
      <c r="AW14" s="49" t="s">
        <v>310</v>
      </c>
      <c r="AX14" s="49" t="s">
        <v>311</v>
      </c>
      <c r="AY14" s="48"/>
      <c r="AZ14" s="48" t="n">
        <v>46295</v>
      </c>
      <c r="BC14" s="49" t="s">
        <v>303</v>
      </c>
      <c r="BD14" s="48"/>
      <c r="BE14" s="49" t="s">
        <v>312</v>
      </c>
      <c r="BF14" s="49" t="s">
        <v>303</v>
      </c>
      <c r="BG14" s="48"/>
      <c r="BI14" s="48"/>
      <c r="BJ14" s="48" t="n">
        <v>46302</v>
      </c>
      <c r="BK14" s="49" t="s">
        <v>313</v>
      </c>
      <c r="BL14" s="49" t="s">
        <v>313</v>
      </c>
      <c r="BM14" s="49" t="s">
        <v>310</v>
      </c>
      <c r="BN14" s="48"/>
      <c r="BO14" s="48"/>
      <c r="BP14" s="48"/>
      <c r="BR14" s="48" t="n">
        <v>46302</v>
      </c>
      <c r="BS14" s="49" t="s">
        <v>312</v>
      </c>
      <c r="BT14" s="49" t="s">
        <v>312</v>
      </c>
      <c r="BU14" s="49" t="s">
        <v>313</v>
      </c>
      <c r="BV14" s="49" t="s">
        <v>303</v>
      </c>
      <c r="BX14" s="0" t="n">
        <v>0</v>
      </c>
      <c r="CC14" s="49" t="s">
        <v>315</v>
      </c>
      <c r="CD14" s="49" t="s">
        <v>303</v>
      </c>
      <c r="CF14" s="49" t="s">
        <v>303</v>
      </c>
      <c r="CG14" s="49" t="s">
        <v>316</v>
      </c>
      <c r="CH14" s="49" t="s">
        <v>317</v>
      </c>
      <c r="CI14" s="49" t="s">
        <v>318</v>
      </c>
      <c r="CM14" s="49" t="s">
        <v>62</v>
      </c>
      <c r="CV14" s="49" t="s">
        <v>303</v>
      </c>
      <c r="DB14" s="49" t="s">
        <v>319</v>
      </c>
      <c r="DD14" s="48" t="n">
        <v>46282</v>
      </c>
      <c r="DF14" s="49" t="s">
        <v>310</v>
      </c>
      <c r="DG14" s="49" t="s">
        <v>320</v>
      </c>
      <c r="DH14" s="49" t="s">
        <v>61</v>
      </c>
      <c r="DI14" s="49" t="s">
        <v>298</v>
      </c>
      <c r="DJ14" s="49" t="s">
        <v>381</v>
      </c>
      <c r="DK14" s="49" t="s">
        <v>322</v>
      </c>
      <c r="DL14" s="49" t="s">
        <v>323</v>
      </c>
      <c r="DM14" s="49" t="s">
        <v>303</v>
      </c>
      <c r="DN14" s="49" t="s">
        <v>297</v>
      </c>
      <c r="DO14" s="48"/>
      <c r="DP14" s="49" t="s">
        <v>312</v>
      </c>
      <c r="DQ14" s="48"/>
      <c r="DR14" s="49" t="s">
        <v>312</v>
      </c>
      <c r="DS14" s="49" t="s">
        <v>303</v>
      </c>
      <c r="DT14" s="49" t="s">
        <v>303</v>
      </c>
      <c r="DW14" s="49" t="s">
        <v>303</v>
      </c>
      <c r="EA14" s="49" t="s">
        <v>324</v>
      </c>
      <c r="EB14" s="49" t="s">
        <v>303</v>
      </c>
      <c r="EF14" s="49" t="s">
        <v>390</v>
      </c>
      <c r="EH14" s="49" t="s">
        <v>310</v>
      </c>
      <c r="EJ14" s="49" t="s">
        <v>303</v>
      </c>
      <c r="EK14" s="49" t="s">
        <v>391</v>
      </c>
      <c r="EM14" s="49" t="s">
        <v>303</v>
      </c>
      <c r="EN14" s="49" t="s">
        <v>383</v>
      </c>
      <c r="EP14" s="49" t="s">
        <v>298</v>
      </c>
      <c r="EQ14" s="0" t="n">
        <v>1</v>
      </c>
      <c r="ER14" s="49" t="s">
        <v>328</v>
      </c>
      <c r="ES14" s="49" t="s">
        <v>384</v>
      </c>
      <c r="ET14" s="49" t="s">
        <v>310</v>
      </c>
      <c r="EU14" s="49" t="s">
        <v>310</v>
      </c>
      <c r="EV14" s="49" t="s">
        <v>310</v>
      </c>
      <c r="EX14" s="49" t="s">
        <v>303</v>
      </c>
      <c r="EY14" s="49" t="s">
        <v>303</v>
      </c>
      <c r="FC14" s="49" t="s">
        <v>330</v>
      </c>
      <c r="FD14" s="49" t="s">
        <v>310</v>
      </c>
      <c r="FE14" s="49" t="s">
        <v>310</v>
      </c>
      <c r="FF14" s="49" t="s">
        <v>61</v>
      </c>
      <c r="FG14" s="49" t="s">
        <v>385</v>
      </c>
      <c r="FH14" s="49" t="s">
        <v>310</v>
      </c>
      <c r="FI14" s="49" t="s">
        <v>332</v>
      </c>
      <c r="FJ14" s="49" t="s">
        <v>303</v>
      </c>
      <c r="FL14" s="49" t="s">
        <v>325</v>
      </c>
      <c r="FM14" s="49" t="s">
        <v>334</v>
      </c>
      <c r="FP14" s="49" t="s">
        <v>303</v>
      </c>
      <c r="FR14" s="49" t="s">
        <v>303</v>
      </c>
      <c r="FT14" s="49" t="s">
        <v>325</v>
      </c>
      <c r="FU14" s="49" t="s">
        <v>325</v>
      </c>
      <c r="FW14" s="49" t="s">
        <v>333</v>
      </c>
    </row>
    <row r="15" customFormat="false" ht="15" hidden="false" customHeight="false" outlineLevel="0" collapsed="false">
      <c r="A15" s="0" t="n">
        <v>100880196</v>
      </c>
      <c r="B15" s="0" t="s">
        <v>295</v>
      </c>
      <c r="C15" s="0" t="s">
        <v>64</v>
      </c>
      <c r="D15" s="0" t="s">
        <v>65</v>
      </c>
      <c r="E15" s="0" t="s">
        <v>297</v>
      </c>
      <c r="G15" s="0" t="n">
        <v>1</v>
      </c>
      <c r="H15" s="0" t="s">
        <v>298</v>
      </c>
      <c r="I15" s="48" t="n">
        <v>46297</v>
      </c>
      <c r="J15" s="0" t="n">
        <v>0</v>
      </c>
      <c r="K15" s="49" t="s">
        <v>334</v>
      </c>
      <c r="L15" s="49" t="s">
        <v>335</v>
      </c>
      <c r="M15" s="48" t="n">
        <v>46297</v>
      </c>
      <c r="N15" s="49" t="s">
        <v>335</v>
      </c>
      <c r="O15" s="49" t="s">
        <v>336</v>
      </c>
      <c r="P15" s="48"/>
      <c r="Q15" s="48" t="n">
        <v>46297</v>
      </c>
      <c r="R15" s="48" t="n">
        <v>46304</v>
      </c>
      <c r="T15" s="49" t="s">
        <v>302</v>
      </c>
      <c r="U15" s="49" t="s">
        <v>303</v>
      </c>
      <c r="Y15" s="49" t="s">
        <v>392</v>
      </c>
      <c r="AD15" s="49" t="s">
        <v>305</v>
      </c>
      <c r="AE15" s="48" t="n">
        <v>46286</v>
      </c>
      <c r="AF15" s="49" t="s">
        <v>306</v>
      </c>
      <c r="AG15" s="49" t="s">
        <v>307</v>
      </c>
      <c r="AK15" s="49" t="s">
        <v>303</v>
      </c>
      <c r="AL15" s="49" t="s">
        <v>297</v>
      </c>
      <c r="AO15" s="49" t="s">
        <v>303</v>
      </c>
      <c r="AP15" s="48"/>
      <c r="AR15" s="49" t="s">
        <v>303</v>
      </c>
      <c r="AS15" s="49" t="s">
        <v>306</v>
      </c>
      <c r="AT15" s="49" t="s">
        <v>393</v>
      </c>
      <c r="AV15" s="49" t="s">
        <v>309</v>
      </c>
      <c r="AW15" s="49" t="s">
        <v>310</v>
      </c>
      <c r="AX15" s="49" t="s">
        <v>311</v>
      </c>
      <c r="AY15" s="48"/>
      <c r="AZ15" s="48" t="n">
        <v>46295</v>
      </c>
      <c r="BC15" s="49" t="s">
        <v>303</v>
      </c>
      <c r="BD15" s="48"/>
      <c r="BE15" s="49" t="s">
        <v>312</v>
      </c>
      <c r="BF15" s="49" t="s">
        <v>303</v>
      </c>
      <c r="BG15" s="48"/>
      <c r="BI15" s="48"/>
      <c r="BJ15" s="48" t="n">
        <v>46302</v>
      </c>
      <c r="BK15" s="49" t="s">
        <v>312</v>
      </c>
      <c r="BL15" s="49" t="s">
        <v>313</v>
      </c>
      <c r="BM15" s="49" t="s">
        <v>310</v>
      </c>
      <c r="BN15" s="48"/>
      <c r="BO15" s="48"/>
      <c r="BP15" s="48"/>
      <c r="BR15" s="48" t="n">
        <v>46302</v>
      </c>
      <c r="BS15" s="49" t="s">
        <v>312</v>
      </c>
      <c r="BT15" s="49" t="s">
        <v>312</v>
      </c>
      <c r="BU15" s="49" t="s">
        <v>313</v>
      </c>
      <c r="BV15" s="49" t="s">
        <v>303</v>
      </c>
      <c r="BX15" s="0" t="n">
        <v>0</v>
      </c>
      <c r="CC15" s="49" t="s">
        <v>315</v>
      </c>
      <c r="CD15" s="49" t="s">
        <v>303</v>
      </c>
      <c r="CF15" s="49" t="s">
        <v>303</v>
      </c>
      <c r="CG15" s="49" t="s">
        <v>316</v>
      </c>
      <c r="CH15" s="49" t="s">
        <v>317</v>
      </c>
      <c r="CI15" s="49" t="s">
        <v>318</v>
      </c>
      <c r="CM15" s="49" t="s">
        <v>65</v>
      </c>
      <c r="CV15" s="49" t="s">
        <v>303</v>
      </c>
      <c r="DB15" s="49" t="s">
        <v>319</v>
      </c>
      <c r="DD15" s="48" t="n">
        <v>46286</v>
      </c>
      <c r="DF15" s="49" t="s">
        <v>310</v>
      </c>
      <c r="DG15" s="49" t="s">
        <v>320</v>
      </c>
      <c r="DH15" s="49" t="s">
        <v>64</v>
      </c>
      <c r="DI15" s="49" t="s">
        <v>298</v>
      </c>
      <c r="DJ15" s="49" t="s">
        <v>394</v>
      </c>
      <c r="DK15" s="49" t="s">
        <v>322</v>
      </c>
      <c r="DL15" s="49" t="s">
        <v>323</v>
      </c>
      <c r="DM15" s="49" t="s">
        <v>303</v>
      </c>
      <c r="DN15" s="49" t="s">
        <v>297</v>
      </c>
      <c r="DO15" s="48"/>
      <c r="DP15" s="49" t="s">
        <v>312</v>
      </c>
      <c r="DQ15" s="48"/>
      <c r="DR15" s="49" t="s">
        <v>312</v>
      </c>
      <c r="DS15" s="49" t="s">
        <v>303</v>
      </c>
      <c r="DT15" s="49" t="s">
        <v>303</v>
      </c>
      <c r="DW15" s="49" t="s">
        <v>303</v>
      </c>
      <c r="EA15" s="49" t="s">
        <v>324</v>
      </c>
      <c r="EB15" s="49" t="s">
        <v>303</v>
      </c>
      <c r="EH15" s="49" t="s">
        <v>310</v>
      </c>
      <c r="EJ15" s="49" t="s">
        <v>303</v>
      </c>
      <c r="EK15" s="49" t="s">
        <v>395</v>
      </c>
      <c r="EM15" s="49" t="s">
        <v>303</v>
      </c>
      <c r="EN15" s="49" t="s">
        <v>396</v>
      </c>
      <c r="EP15" s="49" t="s">
        <v>298</v>
      </c>
      <c r="EQ15" s="0" t="n">
        <v>1</v>
      </c>
      <c r="ER15" s="49" t="s">
        <v>328</v>
      </c>
      <c r="ES15" s="49" t="s">
        <v>329</v>
      </c>
      <c r="ET15" s="49" t="s">
        <v>310</v>
      </c>
      <c r="EU15" s="49" t="s">
        <v>310</v>
      </c>
      <c r="EV15" s="49" t="s">
        <v>310</v>
      </c>
      <c r="EX15" s="49" t="s">
        <v>303</v>
      </c>
      <c r="EY15" s="49" t="s">
        <v>303</v>
      </c>
      <c r="FC15" s="49" t="s">
        <v>330</v>
      </c>
      <c r="FD15" s="49" t="s">
        <v>310</v>
      </c>
      <c r="FE15" s="49" t="s">
        <v>310</v>
      </c>
      <c r="FF15" s="49" t="s">
        <v>64</v>
      </c>
      <c r="FG15" s="49" t="s">
        <v>397</v>
      </c>
      <c r="FH15" s="49" t="s">
        <v>310</v>
      </c>
      <c r="FI15" s="49" t="s">
        <v>332</v>
      </c>
      <c r="FJ15" s="49" t="s">
        <v>303</v>
      </c>
      <c r="FL15" s="49" t="s">
        <v>325</v>
      </c>
      <c r="FM15" s="49" t="s">
        <v>334</v>
      </c>
      <c r="FP15" s="49" t="s">
        <v>303</v>
      </c>
      <c r="FR15" s="49" t="s">
        <v>303</v>
      </c>
      <c r="FT15" s="49" t="s">
        <v>325</v>
      </c>
      <c r="FU15" s="49" t="s">
        <v>325</v>
      </c>
      <c r="FW15" s="49" t="s">
        <v>333</v>
      </c>
    </row>
    <row r="16" customFormat="false" ht="15" hidden="false" customHeight="false" outlineLevel="0" collapsed="false">
      <c r="A16" s="0" t="n">
        <v>100880197</v>
      </c>
      <c r="B16" s="0" t="s">
        <v>295</v>
      </c>
      <c r="C16" s="0" t="s">
        <v>64</v>
      </c>
      <c r="D16" s="0" t="s">
        <v>65</v>
      </c>
      <c r="E16" s="0" t="s">
        <v>297</v>
      </c>
      <c r="G16" s="0" t="n">
        <v>1</v>
      </c>
      <c r="H16" s="0" t="s">
        <v>298</v>
      </c>
      <c r="I16" s="48" t="n">
        <v>46297</v>
      </c>
      <c r="J16" s="0" t="n">
        <v>0</v>
      </c>
      <c r="K16" s="49" t="s">
        <v>334</v>
      </c>
      <c r="L16" s="49" t="s">
        <v>335</v>
      </c>
      <c r="M16" s="48"/>
      <c r="O16" s="49" t="s">
        <v>336</v>
      </c>
      <c r="P16" s="48"/>
      <c r="Q16" s="48" t="n">
        <v>46297</v>
      </c>
      <c r="R16" s="48" t="n">
        <v>46303</v>
      </c>
      <c r="T16" s="49" t="s">
        <v>302</v>
      </c>
      <c r="U16" s="49" t="s">
        <v>303</v>
      </c>
      <c r="Y16" s="49" t="s">
        <v>312</v>
      </c>
      <c r="AD16" s="49" t="s">
        <v>305</v>
      </c>
      <c r="AE16" s="48" t="n">
        <v>46286</v>
      </c>
      <c r="AF16" s="49" t="s">
        <v>306</v>
      </c>
      <c r="AG16" s="49" t="s">
        <v>307</v>
      </c>
      <c r="AK16" s="49" t="s">
        <v>303</v>
      </c>
      <c r="AL16" s="49" t="s">
        <v>297</v>
      </c>
      <c r="AO16" s="49" t="s">
        <v>303</v>
      </c>
      <c r="AP16" s="48"/>
      <c r="AR16" s="49" t="s">
        <v>303</v>
      </c>
      <c r="AS16" s="49" t="s">
        <v>306</v>
      </c>
      <c r="AT16" s="49" t="s">
        <v>398</v>
      </c>
      <c r="AV16" s="49" t="s">
        <v>309</v>
      </c>
      <c r="AW16" s="49" t="s">
        <v>310</v>
      </c>
      <c r="AX16" s="49" t="s">
        <v>311</v>
      </c>
      <c r="AY16" s="48"/>
      <c r="AZ16" s="48" t="n">
        <v>46295</v>
      </c>
      <c r="BC16" s="49" t="s">
        <v>303</v>
      </c>
      <c r="BD16" s="48"/>
      <c r="BE16" s="49" t="s">
        <v>312</v>
      </c>
      <c r="BF16" s="49" t="s">
        <v>303</v>
      </c>
      <c r="BG16" s="48"/>
      <c r="BI16" s="48"/>
      <c r="BJ16" s="48" t="n">
        <v>46302</v>
      </c>
      <c r="BK16" s="49" t="s">
        <v>313</v>
      </c>
      <c r="BL16" s="49" t="s">
        <v>313</v>
      </c>
      <c r="BM16" s="49" t="s">
        <v>310</v>
      </c>
      <c r="BN16" s="48"/>
      <c r="BO16" s="48"/>
      <c r="BP16" s="48"/>
      <c r="BR16" s="48" t="n">
        <v>46302</v>
      </c>
      <c r="BS16" s="49" t="s">
        <v>312</v>
      </c>
      <c r="BT16" s="49" t="s">
        <v>312</v>
      </c>
      <c r="BU16" s="49" t="s">
        <v>313</v>
      </c>
      <c r="BV16" s="49" t="s">
        <v>303</v>
      </c>
      <c r="BX16" s="0" t="n">
        <v>0</v>
      </c>
      <c r="CC16" s="49" t="s">
        <v>315</v>
      </c>
      <c r="CD16" s="49" t="s">
        <v>303</v>
      </c>
      <c r="CF16" s="49" t="s">
        <v>303</v>
      </c>
      <c r="CG16" s="49" t="s">
        <v>316</v>
      </c>
      <c r="CH16" s="49" t="s">
        <v>317</v>
      </c>
      <c r="CI16" s="49" t="s">
        <v>318</v>
      </c>
      <c r="CM16" s="49" t="s">
        <v>65</v>
      </c>
      <c r="CV16" s="49" t="s">
        <v>303</v>
      </c>
      <c r="DB16" s="49" t="s">
        <v>319</v>
      </c>
      <c r="DD16" s="48" t="n">
        <v>46286</v>
      </c>
      <c r="DF16" s="49" t="s">
        <v>310</v>
      </c>
      <c r="DG16" s="49" t="s">
        <v>320</v>
      </c>
      <c r="DH16" s="49" t="s">
        <v>64</v>
      </c>
      <c r="DI16" s="49" t="s">
        <v>298</v>
      </c>
      <c r="DJ16" s="49" t="s">
        <v>394</v>
      </c>
      <c r="DK16" s="49" t="s">
        <v>322</v>
      </c>
      <c r="DL16" s="49" t="s">
        <v>323</v>
      </c>
      <c r="DM16" s="49" t="s">
        <v>303</v>
      </c>
      <c r="DN16" s="49" t="s">
        <v>297</v>
      </c>
      <c r="DO16" s="48"/>
      <c r="DP16" s="49" t="s">
        <v>312</v>
      </c>
      <c r="DQ16" s="48"/>
      <c r="DR16" s="49" t="s">
        <v>312</v>
      </c>
      <c r="DS16" s="49" t="s">
        <v>303</v>
      </c>
      <c r="DT16" s="49" t="s">
        <v>303</v>
      </c>
      <c r="DW16" s="49" t="s">
        <v>303</v>
      </c>
      <c r="EA16" s="49" t="s">
        <v>324</v>
      </c>
      <c r="EB16" s="49" t="s">
        <v>303</v>
      </c>
      <c r="EF16" s="49" t="s">
        <v>399</v>
      </c>
      <c r="EH16" s="49" t="s">
        <v>310</v>
      </c>
      <c r="EJ16" s="49" t="s">
        <v>303</v>
      </c>
      <c r="EK16" s="49" t="s">
        <v>400</v>
      </c>
      <c r="EM16" s="49" t="s">
        <v>303</v>
      </c>
      <c r="EN16" s="49" t="s">
        <v>396</v>
      </c>
      <c r="EP16" s="49" t="s">
        <v>298</v>
      </c>
      <c r="EQ16" s="0" t="n">
        <v>1</v>
      </c>
      <c r="ER16" s="49" t="s">
        <v>328</v>
      </c>
      <c r="ES16" s="49" t="s">
        <v>329</v>
      </c>
      <c r="ET16" s="49" t="s">
        <v>310</v>
      </c>
      <c r="EU16" s="49" t="s">
        <v>310</v>
      </c>
      <c r="EV16" s="49" t="s">
        <v>310</v>
      </c>
      <c r="EX16" s="49" t="s">
        <v>303</v>
      </c>
      <c r="EY16" s="49" t="s">
        <v>303</v>
      </c>
      <c r="FC16" s="49" t="s">
        <v>330</v>
      </c>
      <c r="FD16" s="49" t="s">
        <v>310</v>
      </c>
      <c r="FE16" s="49" t="s">
        <v>310</v>
      </c>
      <c r="FF16" s="49" t="s">
        <v>64</v>
      </c>
      <c r="FG16" s="49" t="s">
        <v>397</v>
      </c>
      <c r="FH16" s="49" t="s">
        <v>310</v>
      </c>
      <c r="FI16" s="49" t="s">
        <v>332</v>
      </c>
      <c r="FJ16" s="49" t="s">
        <v>303</v>
      </c>
      <c r="FL16" s="49" t="s">
        <v>325</v>
      </c>
      <c r="FM16" s="49" t="s">
        <v>334</v>
      </c>
      <c r="FP16" s="49" t="s">
        <v>303</v>
      </c>
      <c r="FR16" s="49" t="s">
        <v>303</v>
      </c>
      <c r="FT16" s="49" t="s">
        <v>325</v>
      </c>
      <c r="FU16" s="49" t="s">
        <v>325</v>
      </c>
      <c r="FW16" s="49" t="s">
        <v>333</v>
      </c>
    </row>
    <row r="17" customFormat="false" ht="15" hidden="false" customHeight="false" outlineLevel="0" collapsed="false">
      <c r="A17" s="0" t="n">
        <v>100880198</v>
      </c>
      <c r="B17" s="0" t="s">
        <v>295</v>
      </c>
      <c r="C17" s="0" t="s">
        <v>64</v>
      </c>
      <c r="D17" s="0" t="s">
        <v>65</v>
      </c>
      <c r="E17" s="0" t="s">
        <v>297</v>
      </c>
      <c r="G17" s="0" t="n">
        <v>1</v>
      </c>
      <c r="H17" s="0" t="s">
        <v>298</v>
      </c>
      <c r="I17" s="48" t="n">
        <v>46297</v>
      </c>
      <c r="J17" s="0" t="n">
        <v>0</v>
      </c>
      <c r="K17" s="49" t="s">
        <v>334</v>
      </c>
      <c r="L17" s="49" t="s">
        <v>335</v>
      </c>
      <c r="M17" s="48"/>
      <c r="O17" s="49" t="s">
        <v>336</v>
      </c>
      <c r="P17" s="48"/>
      <c r="Q17" s="48" t="n">
        <v>46297</v>
      </c>
      <c r="R17" s="48" t="n">
        <v>46303</v>
      </c>
      <c r="T17" s="49" t="s">
        <v>302</v>
      </c>
      <c r="U17" s="49" t="s">
        <v>303</v>
      </c>
      <c r="Y17" s="49" t="s">
        <v>312</v>
      </c>
      <c r="AD17" s="49" t="s">
        <v>305</v>
      </c>
      <c r="AE17" s="48" t="n">
        <v>46286</v>
      </c>
      <c r="AF17" s="49" t="s">
        <v>306</v>
      </c>
      <c r="AG17" s="49" t="s">
        <v>307</v>
      </c>
      <c r="AK17" s="49" t="s">
        <v>303</v>
      </c>
      <c r="AL17" s="49" t="s">
        <v>297</v>
      </c>
      <c r="AO17" s="49" t="s">
        <v>303</v>
      </c>
      <c r="AP17" s="48"/>
      <c r="AR17" s="49" t="s">
        <v>303</v>
      </c>
      <c r="AS17" s="49" t="s">
        <v>306</v>
      </c>
      <c r="AT17" s="49" t="s">
        <v>401</v>
      </c>
      <c r="AV17" s="49" t="s">
        <v>309</v>
      </c>
      <c r="AW17" s="49" t="s">
        <v>310</v>
      </c>
      <c r="AX17" s="49" t="s">
        <v>311</v>
      </c>
      <c r="AY17" s="48"/>
      <c r="AZ17" s="48" t="n">
        <v>46295</v>
      </c>
      <c r="BC17" s="49" t="s">
        <v>303</v>
      </c>
      <c r="BD17" s="48"/>
      <c r="BE17" s="49" t="s">
        <v>312</v>
      </c>
      <c r="BF17" s="49" t="s">
        <v>303</v>
      </c>
      <c r="BG17" s="48"/>
      <c r="BI17" s="48"/>
      <c r="BJ17" s="48" t="n">
        <v>46302</v>
      </c>
      <c r="BK17" s="49" t="s">
        <v>313</v>
      </c>
      <c r="BL17" s="49" t="s">
        <v>313</v>
      </c>
      <c r="BM17" s="49" t="s">
        <v>310</v>
      </c>
      <c r="BN17" s="48"/>
      <c r="BO17" s="48"/>
      <c r="BP17" s="48"/>
      <c r="BR17" s="48" t="n">
        <v>46302</v>
      </c>
      <c r="BS17" s="49" t="s">
        <v>312</v>
      </c>
      <c r="BT17" s="49" t="s">
        <v>312</v>
      </c>
      <c r="BU17" s="49" t="s">
        <v>313</v>
      </c>
      <c r="BV17" s="49" t="s">
        <v>303</v>
      </c>
      <c r="BX17" s="0" t="n">
        <v>0</v>
      </c>
      <c r="CC17" s="49" t="s">
        <v>315</v>
      </c>
      <c r="CD17" s="49" t="s">
        <v>303</v>
      </c>
      <c r="CF17" s="49" t="s">
        <v>303</v>
      </c>
      <c r="CG17" s="49" t="s">
        <v>316</v>
      </c>
      <c r="CH17" s="49" t="s">
        <v>317</v>
      </c>
      <c r="CI17" s="49" t="s">
        <v>318</v>
      </c>
      <c r="CM17" s="49" t="s">
        <v>65</v>
      </c>
      <c r="CV17" s="49" t="s">
        <v>303</v>
      </c>
      <c r="DB17" s="49" t="s">
        <v>319</v>
      </c>
      <c r="DD17" s="48" t="n">
        <v>46286</v>
      </c>
      <c r="DF17" s="49" t="s">
        <v>310</v>
      </c>
      <c r="DG17" s="49" t="s">
        <v>320</v>
      </c>
      <c r="DH17" s="49" t="s">
        <v>64</v>
      </c>
      <c r="DI17" s="49" t="s">
        <v>298</v>
      </c>
      <c r="DJ17" s="49" t="s">
        <v>394</v>
      </c>
      <c r="DK17" s="49" t="s">
        <v>322</v>
      </c>
      <c r="DL17" s="49" t="s">
        <v>323</v>
      </c>
      <c r="DM17" s="49" t="s">
        <v>303</v>
      </c>
      <c r="DN17" s="49" t="s">
        <v>297</v>
      </c>
      <c r="DO17" s="48"/>
      <c r="DP17" s="49" t="s">
        <v>312</v>
      </c>
      <c r="DQ17" s="48"/>
      <c r="DR17" s="49" t="s">
        <v>312</v>
      </c>
      <c r="DS17" s="49" t="s">
        <v>303</v>
      </c>
      <c r="DT17" s="49" t="s">
        <v>303</v>
      </c>
      <c r="DW17" s="49" t="s">
        <v>303</v>
      </c>
      <c r="EA17" s="49" t="s">
        <v>324</v>
      </c>
      <c r="EB17" s="49" t="s">
        <v>303</v>
      </c>
      <c r="EF17" s="49" t="s">
        <v>399</v>
      </c>
      <c r="EH17" s="49" t="s">
        <v>310</v>
      </c>
      <c r="EJ17" s="49" t="s">
        <v>303</v>
      </c>
      <c r="EK17" s="49" t="s">
        <v>402</v>
      </c>
      <c r="EM17" s="49" t="s">
        <v>303</v>
      </c>
      <c r="EN17" s="49" t="s">
        <v>396</v>
      </c>
      <c r="EP17" s="49" t="s">
        <v>298</v>
      </c>
      <c r="EQ17" s="0" t="n">
        <v>1</v>
      </c>
      <c r="ER17" s="49" t="s">
        <v>328</v>
      </c>
      <c r="ES17" s="49" t="s">
        <v>329</v>
      </c>
      <c r="ET17" s="49" t="s">
        <v>310</v>
      </c>
      <c r="EU17" s="49" t="s">
        <v>310</v>
      </c>
      <c r="EV17" s="49" t="s">
        <v>310</v>
      </c>
      <c r="EX17" s="49" t="s">
        <v>303</v>
      </c>
      <c r="EY17" s="49" t="s">
        <v>303</v>
      </c>
      <c r="FC17" s="49" t="s">
        <v>330</v>
      </c>
      <c r="FD17" s="49" t="s">
        <v>310</v>
      </c>
      <c r="FE17" s="49" t="s">
        <v>310</v>
      </c>
      <c r="FF17" s="49" t="s">
        <v>64</v>
      </c>
      <c r="FG17" s="49" t="s">
        <v>397</v>
      </c>
      <c r="FH17" s="49" t="s">
        <v>310</v>
      </c>
      <c r="FI17" s="49" t="s">
        <v>332</v>
      </c>
      <c r="FJ17" s="49" t="s">
        <v>303</v>
      </c>
      <c r="FL17" s="49" t="s">
        <v>325</v>
      </c>
      <c r="FM17" s="49" t="s">
        <v>334</v>
      </c>
      <c r="FP17" s="49" t="s">
        <v>303</v>
      </c>
      <c r="FR17" s="49" t="s">
        <v>303</v>
      </c>
      <c r="FT17" s="49" t="s">
        <v>325</v>
      </c>
      <c r="FU17" s="49" t="s">
        <v>325</v>
      </c>
      <c r="FW17" s="49" t="s">
        <v>333</v>
      </c>
    </row>
    <row r="18" customFormat="false" ht="15" hidden="false" customHeight="false" outlineLevel="0" collapsed="false">
      <c r="A18" s="0" t="n">
        <v>100880199</v>
      </c>
      <c r="B18" s="0" t="s">
        <v>295</v>
      </c>
      <c r="C18" s="0" t="s">
        <v>64</v>
      </c>
      <c r="D18" s="0" t="s">
        <v>65</v>
      </c>
      <c r="E18" s="0" t="s">
        <v>297</v>
      </c>
      <c r="G18" s="0" t="n">
        <v>1</v>
      </c>
      <c r="H18" s="0" t="s">
        <v>298</v>
      </c>
      <c r="I18" s="48" t="n">
        <v>46297</v>
      </c>
      <c r="J18" s="0" t="n">
        <v>0</v>
      </c>
      <c r="K18" s="49" t="s">
        <v>334</v>
      </c>
      <c r="L18" s="49" t="s">
        <v>335</v>
      </c>
      <c r="M18" s="48"/>
      <c r="O18" s="49" t="s">
        <v>336</v>
      </c>
      <c r="P18" s="48"/>
      <c r="Q18" s="48" t="n">
        <v>46297</v>
      </c>
      <c r="R18" s="48" t="n">
        <v>46303</v>
      </c>
      <c r="T18" s="49" t="s">
        <v>302</v>
      </c>
      <c r="U18" s="49" t="s">
        <v>303</v>
      </c>
      <c r="Y18" s="49" t="s">
        <v>312</v>
      </c>
      <c r="AD18" s="49" t="s">
        <v>305</v>
      </c>
      <c r="AE18" s="48" t="n">
        <v>46286</v>
      </c>
      <c r="AF18" s="49" t="s">
        <v>306</v>
      </c>
      <c r="AG18" s="49" t="s">
        <v>307</v>
      </c>
      <c r="AK18" s="49" t="s">
        <v>303</v>
      </c>
      <c r="AL18" s="49" t="s">
        <v>297</v>
      </c>
      <c r="AO18" s="49" t="s">
        <v>303</v>
      </c>
      <c r="AP18" s="48"/>
      <c r="AR18" s="49" t="s">
        <v>303</v>
      </c>
      <c r="AS18" s="49" t="s">
        <v>306</v>
      </c>
      <c r="AT18" s="49" t="s">
        <v>403</v>
      </c>
      <c r="AV18" s="49" t="s">
        <v>309</v>
      </c>
      <c r="AW18" s="49" t="s">
        <v>310</v>
      </c>
      <c r="AX18" s="49" t="s">
        <v>311</v>
      </c>
      <c r="AY18" s="48"/>
      <c r="AZ18" s="48" t="n">
        <v>46295</v>
      </c>
      <c r="BC18" s="49" t="s">
        <v>303</v>
      </c>
      <c r="BD18" s="48"/>
      <c r="BE18" s="49" t="s">
        <v>312</v>
      </c>
      <c r="BF18" s="49" t="s">
        <v>303</v>
      </c>
      <c r="BG18" s="48"/>
      <c r="BI18" s="48"/>
      <c r="BJ18" s="48" t="n">
        <v>46302</v>
      </c>
      <c r="BK18" s="49" t="s">
        <v>313</v>
      </c>
      <c r="BL18" s="49" t="s">
        <v>313</v>
      </c>
      <c r="BM18" s="49" t="s">
        <v>310</v>
      </c>
      <c r="BN18" s="48"/>
      <c r="BO18" s="48"/>
      <c r="BP18" s="48"/>
      <c r="BR18" s="48" t="n">
        <v>46302</v>
      </c>
      <c r="BS18" s="49" t="s">
        <v>312</v>
      </c>
      <c r="BT18" s="49" t="s">
        <v>312</v>
      </c>
      <c r="BU18" s="49" t="s">
        <v>313</v>
      </c>
      <c r="BV18" s="49" t="s">
        <v>303</v>
      </c>
      <c r="BX18" s="0" t="n">
        <v>0</v>
      </c>
      <c r="CC18" s="49" t="s">
        <v>315</v>
      </c>
      <c r="CD18" s="49" t="s">
        <v>303</v>
      </c>
      <c r="CF18" s="49" t="s">
        <v>303</v>
      </c>
      <c r="CG18" s="49" t="s">
        <v>316</v>
      </c>
      <c r="CH18" s="49" t="s">
        <v>317</v>
      </c>
      <c r="CI18" s="49" t="s">
        <v>318</v>
      </c>
      <c r="CM18" s="49" t="s">
        <v>65</v>
      </c>
      <c r="CV18" s="49" t="s">
        <v>303</v>
      </c>
      <c r="DB18" s="49" t="s">
        <v>319</v>
      </c>
      <c r="DD18" s="48" t="n">
        <v>46286</v>
      </c>
      <c r="DF18" s="49" t="s">
        <v>310</v>
      </c>
      <c r="DG18" s="49" t="s">
        <v>320</v>
      </c>
      <c r="DH18" s="49" t="s">
        <v>64</v>
      </c>
      <c r="DI18" s="49" t="s">
        <v>298</v>
      </c>
      <c r="DJ18" s="49" t="s">
        <v>394</v>
      </c>
      <c r="DK18" s="49" t="s">
        <v>322</v>
      </c>
      <c r="DL18" s="49" t="s">
        <v>323</v>
      </c>
      <c r="DM18" s="49" t="s">
        <v>303</v>
      </c>
      <c r="DN18" s="49" t="s">
        <v>297</v>
      </c>
      <c r="DO18" s="48"/>
      <c r="DP18" s="49" t="s">
        <v>312</v>
      </c>
      <c r="DQ18" s="48"/>
      <c r="DR18" s="49" t="s">
        <v>312</v>
      </c>
      <c r="DS18" s="49" t="s">
        <v>303</v>
      </c>
      <c r="DT18" s="49" t="s">
        <v>303</v>
      </c>
      <c r="DW18" s="49" t="s">
        <v>303</v>
      </c>
      <c r="EA18" s="49" t="s">
        <v>324</v>
      </c>
      <c r="EB18" s="49" t="s">
        <v>303</v>
      </c>
      <c r="EF18" s="49" t="s">
        <v>399</v>
      </c>
      <c r="EH18" s="49" t="s">
        <v>310</v>
      </c>
      <c r="EJ18" s="49" t="s">
        <v>303</v>
      </c>
      <c r="EK18" s="49" t="s">
        <v>404</v>
      </c>
      <c r="EM18" s="49" t="s">
        <v>303</v>
      </c>
      <c r="EN18" s="49" t="s">
        <v>396</v>
      </c>
      <c r="EP18" s="49" t="s">
        <v>298</v>
      </c>
      <c r="EQ18" s="0" t="n">
        <v>1</v>
      </c>
      <c r="ER18" s="49" t="s">
        <v>328</v>
      </c>
      <c r="ES18" s="49" t="s">
        <v>329</v>
      </c>
      <c r="ET18" s="49" t="s">
        <v>310</v>
      </c>
      <c r="EU18" s="49" t="s">
        <v>310</v>
      </c>
      <c r="EV18" s="49" t="s">
        <v>310</v>
      </c>
      <c r="EX18" s="49" t="s">
        <v>303</v>
      </c>
      <c r="EY18" s="49" t="s">
        <v>303</v>
      </c>
      <c r="FC18" s="49" t="s">
        <v>330</v>
      </c>
      <c r="FD18" s="49" t="s">
        <v>310</v>
      </c>
      <c r="FE18" s="49" t="s">
        <v>310</v>
      </c>
      <c r="FF18" s="49" t="s">
        <v>64</v>
      </c>
      <c r="FG18" s="49" t="s">
        <v>397</v>
      </c>
      <c r="FH18" s="49" t="s">
        <v>310</v>
      </c>
      <c r="FI18" s="49" t="s">
        <v>332</v>
      </c>
      <c r="FJ18" s="49" t="s">
        <v>303</v>
      </c>
      <c r="FL18" s="49" t="s">
        <v>325</v>
      </c>
      <c r="FM18" s="49" t="s">
        <v>334</v>
      </c>
      <c r="FP18" s="49" t="s">
        <v>303</v>
      </c>
      <c r="FR18" s="49" t="s">
        <v>303</v>
      </c>
      <c r="FT18" s="49" t="s">
        <v>325</v>
      </c>
      <c r="FU18" s="49" t="s">
        <v>325</v>
      </c>
      <c r="FW18" s="49" t="s">
        <v>333</v>
      </c>
    </row>
    <row r="19" customFormat="false" ht="15" hidden="false" customHeight="false" outlineLevel="0" collapsed="false">
      <c r="A19" s="0" t="n">
        <v>100880200</v>
      </c>
      <c r="B19" s="0" t="s">
        <v>295</v>
      </c>
      <c r="C19" s="0" t="s">
        <v>64</v>
      </c>
      <c r="D19" s="0" t="s">
        <v>65</v>
      </c>
      <c r="E19" s="0" t="s">
        <v>297</v>
      </c>
      <c r="G19" s="0" t="n">
        <v>1</v>
      </c>
      <c r="H19" s="0" t="s">
        <v>298</v>
      </c>
      <c r="I19" s="48" t="n">
        <v>46297</v>
      </c>
      <c r="J19" s="0" t="n">
        <v>0</v>
      </c>
      <c r="K19" s="49" t="s">
        <v>334</v>
      </c>
      <c r="L19" s="49" t="s">
        <v>335</v>
      </c>
      <c r="M19" s="48"/>
      <c r="O19" s="49" t="s">
        <v>336</v>
      </c>
      <c r="P19" s="48"/>
      <c r="Q19" s="48" t="n">
        <v>46297</v>
      </c>
      <c r="R19" s="48" t="n">
        <v>46303</v>
      </c>
      <c r="T19" s="49" t="s">
        <v>302</v>
      </c>
      <c r="U19" s="49" t="s">
        <v>303</v>
      </c>
      <c r="Y19" s="49" t="s">
        <v>312</v>
      </c>
      <c r="AD19" s="49" t="s">
        <v>305</v>
      </c>
      <c r="AE19" s="48" t="n">
        <v>46286</v>
      </c>
      <c r="AF19" s="49" t="s">
        <v>306</v>
      </c>
      <c r="AG19" s="49" t="s">
        <v>307</v>
      </c>
      <c r="AK19" s="49" t="s">
        <v>303</v>
      </c>
      <c r="AL19" s="49" t="s">
        <v>297</v>
      </c>
      <c r="AO19" s="49" t="s">
        <v>303</v>
      </c>
      <c r="AP19" s="48"/>
      <c r="AR19" s="49" t="s">
        <v>303</v>
      </c>
      <c r="AS19" s="49" t="s">
        <v>306</v>
      </c>
      <c r="AT19" s="49" t="s">
        <v>405</v>
      </c>
      <c r="AV19" s="49" t="s">
        <v>309</v>
      </c>
      <c r="AW19" s="49" t="s">
        <v>310</v>
      </c>
      <c r="AX19" s="49" t="s">
        <v>311</v>
      </c>
      <c r="AY19" s="48"/>
      <c r="AZ19" s="48" t="n">
        <v>46295</v>
      </c>
      <c r="BC19" s="49" t="s">
        <v>303</v>
      </c>
      <c r="BD19" s="48"/>
      <c r="BE19" s="49" t="s">
        <v>312</v>
      </c>
      <c r="BF19" s="49" t="s">
        <v>303</v>
      </c>
      <c r="BG19" s="48"/>
      <c r="BI19" s="48"/>
      <c r="BJ19" s="48" t="n">
        <v>46302</v>
      </c>
      <c r="BK19" s="49" t="s">
        <v>313</v>
      </c>
      <c r="BL19" s="49" t="s">
        <v>313</v>
      </c>
      <c r="BM19" s="49" t="s">
        <v>310</v>
      </c>
      <c r="BN19" s="48"/>
      <c r="BO19" s="48"/>
      <c r="BP19" s="48"/>
      <c r="BR19" s="48" t="n">
        <v>46302</v>
      </c>
      <c r="BS19" s="49" t="s">
        <v>312</v>
      </c>
      <c r="BT19" s="49" t="s">
        <v>312</v>
      </c>
      <c r="BU19" s="49" t="s">
        <v>313</v>
      </c>
      <c r="BV19" s="49" t="s">
        <v>303</v>
      </c>
      <c r="BX19" s="0" t="n">
        <v>0</v>
      </c>
      <c r="CC19" s="49" t="s">
        <v>315</v>
      </c>
      <c r="CD19" s="49" t="s">
        <v>303</v>
      </c>
      <c r="CF19" s="49" t="s">
        <v>303</v>
      </c>
      <c r="CG19" s="49" t="s">
        <v>316</v>
      </c>
      <c r="CH19" s="49" t="s">
        <v>317</v>
      </c>
      <c r="CI19" s="49" t="s">
        <v>318</v>
      </c>
      <c r="CM19" s="49" t="s">
        <v>65</v>
      </c>
      <c r="CV19" s="49" t="s">
        <v>303</v>
      </c>
      <c r="DB19" s="49" t="s">
        <v>319</v>
      </c>
      <c r="DD19" s="48" t="n">
        <v>46286</v>
      </c>
      <c r="DF19" s="49" t="s">
        <v>310</v>
      </c>
      <c r="DG19" s="49" t="s">
        <v>320</v>
      </c>
      <c r="DH19" s="49" t="s">
        <v>64</v>
      </c>
      <c r="DI19" s="49" t="s">
        <v>298</v>
      </c>
      <c r="DJ19" s="49" t="s">
        <v>394</v>
      </c>
      <c r="DK19" s="49" t="s">
        <v>322</v>
      </c>
      <c r="DL19" s="49" t="s">
        <v>323</v>
      </c>
      <c r="DM19" s="49" t="s">
        <v>303</v>
      </c>
      <c r="DN19" s="49" t="s">
        <v>297</v>
      </c>
      <c r="DO19" s="48"/>
      <c r="DP19" s="49" t="s">
        <v>312</v>
      </c>
      <c r="DQ19" s="48"/>
      <c r="DR19" s="49" t="s">
        <v>312</v>
      </c>
      <c r="DS19" s="49" t="s">
        <v>303</v>
      </c>
      <c r="DT19" s="49" t="s">
        <v>303</v>
      </c>
      <c r="DW19" s="49" t="s">
        <v>303</v>
      </c>
      <c r="EA19" s="49" t="s">
        <v>324</v>
      </c>
      <c r="EB19" s="49" t="s">
        <v>303</v>
      </c>
      <c r="EF19" s="49" t="s">
        <v>399</v>
      </c>
      <c r="EH19" s="49" t="s">
        <v>310</v>
      </c>
      <c r="EJ19" s="49" t="s">
        <v>303</v>
      </c>
      <c r="EK19" s="49" t="s">
        <v>406</v>
      </c>
      <c r="EM19" s="49" t="s">
        <v>303</v>
      </c>
      <c r="EN19" s="49" t="s">
        <v>396</v>
      </c>
      <c r="EP19" s="49" t="s">
        <v>298</v>
      </c>
      <c r="EQ19" s="0" t="n">
        <v>1</v>
      </c>
      <c r="ER19" s="49" t="s">
        <v>328</v>
      </c>
      <c r="ES19" s="49" t="s">
        <v>329</v>
      </c>
      <c r="ET19" s="49" t="s">
        <v>310</v>
      </c>
      <c r="EU19" s="49" t="s">
        <v>310</v>
      </c>
      <c r="EV19" s="49" t="s">
        <v>310</v>
      </c>
      <c r="EX19" s="49" t="s">
        <v>303</v>
      </c>
      <c r="EY19" s="49" t="s">
        <v>303</v>
      </c>
      <c r="FC19" s="49" t="s">
        <v>330</v>
      </c>
      <c r="FD19" s="49" t="s">
        <v>310</v>
      </c>
      <c r="FE19" s="49" t="s">
        <v>310</v>
      </c>
      <c r="FF19" s="49" t="s">
        <v>64</v>
      </c>
      <c r="FG19" s="49" t="s">
        <v>397</v>
      </c>
      <c r="FH19" s="49" t="s">
        <v>310</v>
      </c>
      <c r="FI19" s="49" t="s">
        <v>332</v>
      </c>
      <c r="FJ19" s="49" t="s">
        <v>303</v>
      </c>
      <c r="FL19" s="49" t="s">
        <v>325</v>
      </c>
      <c r="FM19" s="49" t="s">
        <v>334</v>
      </c>
      <c r="FP19" s="49" t="s">
        <v>303</v>
      </c>
      <c r="FR19" s="49" t="s">
        <v>303</v>
      </c>
      <c r="FT19" s="49" t="s">
        <v>325</v>
      </c>
      <c r="FU19" s="49" t="s">
        <v>325</v>
      </c>
      <c r="FW19" s="49" t="s">
        <v>333</v>
      </c>
    </row>
    <row r="20" customFormat="false" ht="15" hidden="false" customHeight="false" outlineLevel="0" collapsed="false">
      <c r="A20" s="0" t="n">
        <v>100880201</v>
      </c>
      <c r="B20" s="0" t="s">
        <v>295</v>
      </c>
      <c r="C20" s="0" t="s">
        <v>64</v>
      </c>
      <c r="D20" s="0" t="s">
        <v>65</v>
      </c>
      <c r="E20" s="0" t="s">
        <v>297</v>
      </c>
      <c r="G20" s="0" t="n">
        <v>1</v>
      </c>
      <c r="H20" s="0" t="s">
        <v>298</v>
      </c>
      <c r="I20" s="48" t="n">
        <v>46297</v>
      </c>
      <c r="J20" s="0" t="n">
        <v>0</v>
      </c>
      <c r="K20" s="49" t="s">
        <v>334</v>
      </c>
      <c r="L20" s="49" t="s">
        <v>335</v>
      </c>
      <c r="M20" s="48"/>
      <c r="O20" s="49" t="s">
        <v>336</v>
      </c>
      <c r="P20" s="48"/>
      <c r="Q20" s="48" t="n">
        <v>46297</v>
      </c>
      <c r="R20" s="48" t="n">
        <v>46303</v>
      </c>
      <c r="T20" s="49" t="s">
        <v>302</v>
      </c>
      <c r="U20" s="49" t="s">
        <v>303</v>
      </c>
      <c r="Y20" s="49" t="s">
        <v>312</v>
      </c>
      <c r="AD20" s="49" t="s">
        <v>305</v>
      </c>
      <c r="AE20" s="48" t="n">
        <v>46286</v>
      </c>
      <c r="AF20" s="49" t="s">
        <v>306</v>
      </c>
      <c r="AG20" s="49" t="s">
        <v>307</v>
      </c>
      <c r="AK20" s="49" t="s">
        <v>303</v>
      </c>
      <c r="AL20" s="49" t="s">
        <v>297</v>
      </c>
      <c r="AO20" s="49" t="s">
        <v>303</v>
      </c>
      <c r="AP20" s="48"/>
      <c r="AR20" s="49" t="s">
        <v>303</v>
      </c>
      <c r="AS20" s="49" t="s">
        <v>306</v>
      </c>
      <c r="AT20" s="49" t="s">
        <v>407</v>
      </c>
      <c r="AV20" s="49" t="s">
        <v>309</v>
      </c>
      <c r="AW20" s="49" t="s">
        <v>310</v>
      </c>
      <c r="AX20" s="49" t="s">
        <v>311</v>
      </c>
      <c r="AY20" s="48"/>
      <c r="AZ20" s="48" t="n">
        <v>46295</v>
      </c>
      <c r="BC20" s="49" t="s">
        <v>303</v>
      </c>
      <c r="BD20" s="48"/>
      <c r="BE20" s="49" t="s">
        <v>312</v>
      </c>
      <c r="BF20" s="49" t="s">
        <v>303</v>
      </c>
      <c r="BG20" s="48"/>
      <c r="BI20" s="48"/>
      <c r="BJ20" s="48" t="n">
        <v>46302</v>
      </c>
      <c r="BK20" s="49" t="s">
        <v>313</v>
      </c>
      <c r="BL20" s="49" t="s">
        <v>313</v>
      </c>
      <c r="BM20" s="49" t="s">
        <v>310</v>
      </c>
      <c r="BN20" s="48"/>
      <c r="BO20" s="48"/>
      <c r="BP20" s="48"/>
      <c r="BR20" s="48" t="n">
        <v>46302</v>
      </c>
      <c r="BS20" s="49" t="s">
        <v>312</v>
      </c>
      <c r="BT20" s="49" t="s">
        <v>312</v>
      </c>
      <c r="BU20" s="49" t="s">
        <v>313</v>
      </c>
      <c r="BV20" s="49" t="s">
        <v>303</v>
      </c>
      <c r="BX20" s="0" t="n">
        <v>0</v>
      </c>
      <c r="CC20" s="49" t="s">
        <v>315</v>
      </c>
      <c r="CD20" s="49" t="s">
        <v>303</v>
      </c>
      <c r="CF20" s="49" t="s">
        <v>303</v>
      </c>
      <c r="CG20" s="49" t="s">
        <v>316</v>
      </c>
      <c r="CH20" s="49" t="s">
        <v>317</v>
      </c>
      <c r="CI20" s="49" t="s">
        <v>318</v>
      </c>
      <c r="CM20" s="49" t="s">
        <v>65</v>
      </c>
      <c r="CV20" s="49" t="s">
        <v>303</v>
      </c>
      <c r="DB20" s="49" t="s">
        <v>319</v>
      </c>
      <c r="DD20" s="48" t="n">
        <v>46286</v>
      </c>
      <c r="DF20" s="49" t="s">
        <v>310</v>
      </c>
      <c r="DG20" s="49" t="s">
        <v>320</v>
      </c>
      <c r="DH20" s="49" t="s">
        <v>64</v>
      </c>
      <c r="DI20" s="49" t="s">
        <v>298</v>
      </c>
      <c r="DJ20" s="49" t="s">
        <v>394</v>
      </c>
      <c r="DK20" s="49" t="s">
        <v>322</v>
      </c>
      <c r="DL20" s="49" t="s">
        <v>323</v>
      </c>
      <c r="DM20" s="49" t="s">
        <v>303</v>
      </c>
      <c r="DN20" s="49" t="s">
        <v>297</v>
      </c>
      <c r="DO20" s="48"/>
      <c r="DP20" s="49" t="s">
        <v>312</v>
      </c>
      <c r="DQ20" s="48"/>
      <c r="DR20" s="49" t="s">
        <v>312</v>
      </c>
      <c r="DS20" s="49" t="s">
        <v>303</v>
      </c>
      <c r="DT20" s="49" t="s">
        <v>303</v>
      </c>
      <c r="DW20" s="49" t="s">
        <v>303</v>
      </c>
      <c r="EA20" s="49" t="s">
        <v>324</v>
      </c>
      <c r="EB20" s="49" t="s">
        <v>303</v>
      </c>
      <c r="EF20" s="49" t="s">
        <v>399</v>
      </c>
      <c r="EH20" s="49" t="s">
        <v>310</v>
      </c>
      <c r="EJ20" s="49" t="s">
        <v>303</v>
      </c>
      <c r="EK20" s="49" t="s">
        <v>408</v>
      </c>
      <c r="EM20" s="49" t="s">
        <v>303</v>
      </c>
      <c r="EN20" s="49" t="s">
        <v>396</v>
      </c>
      <c r="EP20" s="49" t="s">
        <v>298</v>
      </c>
      <c r="EQ20" s="0" t="n">
        <v>1</v>
      </c>
      <c r="ER20" s="49" t="s">
        <v>328</v>
      </c>
      <c r="ES20" s="49" t="s">
        <v>329</v>
      </c>
      <c r="ET20" s="49" t="s">
        <v>310</v>
      </c>
      <c r="EU20" s="49" t="s">
        <v>310</v>
      </c>
      <c r="EV20" s="49" t="s">
        <v>310</v>
      </c>
      <c r="EX20" s="49" t="s">
        <v>303</v>
      </c>
      <c r="EY20" s="49" t="s">
        <v>303</v>
      </c>
      <c r="FC20" s="49" t="s">
        <v>330</v>
      </c>
      <c r="FD20" s="49" t="s">
        <v>310</v>
      </c>
      <c r="FE20" s="49" t="s">
        <v>310</v>
      </c>
      <c r="FF20" s="49" t="s">
        <v>64</v>
      </c>
      <c r="FG20" s="49" t="s">
        <v>397</v>
      </c>
      <c r="FH20" s="49" t="s">
        <v>310</v>
      </c>
      <c r="FI20" s="49" t="s">
        <v>332</v>
      </c>
      <c r="FJ20" s="49" t="s">
        <v>303</v>
      </c>
      <c r="FL20" s="49" t="s">
        <v>325</v>
      </c>
      <c r="FM20" s="49" t="s">
        <v>334</v>
      </c>
      <c r="FP20" s="49" t="s">
        <v>303</v>
      </c>
      <c r="FR20" s="49" t="s">
        <v>303</v>
      </c>
      <c r="FT20" s="49" t="s">
        <v>325</v>
      </c>
      <c r="FU20" s="49" t="s">
        <v>325</v>
      </c>
      <c r="FW20" s="49" t="s">
        <v>333</v>
      </c>
    </row>
    <row r="21" customFormat="false" ht="15" hidden="false" customHeight="false" outlineLevel="0" collapsed="false">
      <c r="A21" s="0" t="n">
        <v>100880202</v>
      </c>
      <c r="B21" s="0" t="s">
        <v>295</v>
      </c>
      <c r="C21" s="0" t="s">
        <v>64</v>
      </c>
      <c r="D21" s="0" t="s">
        <v>65</v>
      </c>
      <c r="E21" s="0" t="s">
        <v>297</v>
      </c>
      <c r="G21" s="0" t="n">
        <v>1</v>
      </c>
      <c r="H21" s="0" t="s">
        <v>298</v>
      </c>
      <c r="I21" s="48" t="n">
        <v>46297</v>
      </c>
      <c r="J21" s="0" t="n">
        <v>0</v>
      </c>
      <c r="K21" s="49" t="s">
        <v>334</v>
      </c>
      <c r="L21" s="49" t="s">
        <v>335</v>
      </c>
      <c r="M21" s="48"/>
      <c r="O21" s="49" t="s">
        <v>336</v>
      </c>
      <c r="P21" s="48"/>
      <c r="Q21" s="48" t="n">
        <v>46297</v>
      </c>
      <c r="R21" s="48" t="n">
        <v>46303</v>
      </c>
      <c r="T21" s="49" t="s">
        <v>302</v>
      </c>
      <c r="U21" s="49" t="s">
        <v>303</v>
      </c>
      <c r="Y21" s="49" t="s">
        <v>312</v>
      </c>
      <c r="AD21" s="49" t="s">
        <v>305</v>
      </c>
      <c r="AE21" s="48" t="n">
        <v>46286</v>
      </c>
      <c r="AF21" s="49" t="s">
        <v>306</v>
      </c>
      <c r="AG21" s="49" t="s">
        <v>307</v>
      </c>
      <c r="AK21" s="49" t="s">
        <v>303</v>
      </c>
      <c r="AL21" s="49" t="s">
        <v>297</v>
      </c>
      <c r="AO21" s="49" t="s">
        <v>303</v>
      </c>
      <c r="AP21" s="48"/>
      <c r="AR21" s="49" t="s">
        <v>303</v>
      </c>
      <c r="AS21" s="49" t="s">
        <v>306</v>
      </c>
      <c r="AT21" s="49" t="s">
        <v>409</v>
      </c>
      <c r="AV21" s="49" t="s">
        <v>309</v>
      </c>
      <c r="AW21" s="49" t="s">
        <v>310</v>
      </c>
      <c r="AX21" s="49" t="s">
        <v>311</v>
      </c>
      <c r="AY21" s="48"/>
      <c r="AZ21" s="48" t="n">
        <v>46295</v>
      </c>
      <c r="BC21" s="49" t="s">
        <v>303</v>
      </c>
      <c r="BD21" s="48"/>
      <c r="BE21" s="49" t="s">
        <v>312</v>
      </c>
      <c r="BF21" s="49" t="s">
        <v>303</v>
      </c>
      <c r="BG21" s="48"/>
      <c r="BI21" s="48"/>
      <c r="BJ21" s="48" t="n">
        <v>46302</v>
      </c>
      <c r="BK21" s="49" t="s">
        <v>313</v>
      </c>
      <c r="BL21" s="49" t="s">
        <v>313</v>
      </c>
      <c r="BM21" s="49" t="s">
        <v>310</v>
      </c>
      <c r="BN21" s="48"/>
      <c r="BO21" s="48"/>
      <c r="BP21" s="48"/>
      <c r="BR21" s="48" t="n">
        <v>46302</v>
      </c>
      <c r="BS21" s="49" t="s">
        <v>312</v>
      </c>
      <c r="BT21" s="49" t="s">
        <v>312</v>
      </c>
      <c r="BU21" s="49" t="s">
        <v>313</v>
      </c>
      <c r="BV21" s="49" t="s">
        <v>303</v>
      </c>
      <c r="BX21" s="0" t="n">
        <v>0</v>
      </c>
      <c r="CC21" s="49" t="s">
        <v>315</v>
      </c>
      <c r="CD21" s="49" t="s">
        <v>303</v>
      </c>
      <c r="CF21" s="49" t="s">
        <v>303</v>
      </c>
      <c r="CG21" s="49" t="s">
        <v>316</v>
      </c>
      <c r="CH21" s="49" t="s">
        <v>317</v>
      </c>
      <c r="CI21" s="49" t="s">
        <v>318</v>
      </c>
      <c r="CM21" s="49" t="s">
        <v>65</v>
      </c>
      <c r="CV21" s="49" t="s">
        <v>303</v>
      </c>
      <c r="DB21" s="49" t="s">
        <v>319</v>
      </c>
      <c r="DD21" s="48" t="n">
        <v>46286</v>
      </c>
      <c r="DF21" s="49" t="s">
        <v>310</v>
      </c>
      <c r="DG21" s="49" t="s">
        <v>320</v>
      </c>
      <c r="DH21" s="49" t="s">
        <v>64</v>
      </c>
      <c r="DI21" s="49" t="s">
        <v>298</v>
      </c>
      <c r="DJ21" s="49" t="s">
        <v>394</v>
      </c>
      <c r="DK21" s="49" t="s">
        <v>322</v>
      </c>
      <c r="DL21" s="49" t="s">
        <v>323</v>
      </c>
      <c r="DM21" s="49" t="s">
        <v>303</v>
      </c>
      <c r="DN21" s="49" t="s">
        <v>297</v>
      </c>
      <c r="DO21" s="48"/>
      <c r="DP21" s="49" t="s">
        <v>312</v>
      </c>
      <c r="DQ21" s="48"/>
      <c r="DR21" s="49" t="s">
        <v>312</v>
      </c>
      <c r="DS21" s="49" t="s">
        <v>303</v>
      </c>
      <c r="DT21" s="49" t="s">
        <v>303</v>
      </c>
      <c r="DW21" s="49" t="s">
        <v>303</v>
      </c>
      <c r="EA21" s="49" t="s">
        <v>324</v>
      </c>
      <c r="EB21" s="49" t="s">
        <v>303</v>
      </c>
      <c r="EF21" s="49" t="s">
        <v>399</v>
      </c>
      <c r="EH21" s="49" t="s">
        <v>310</v>
      </c>
      <c r="EJ21" s="49" t="s">
        <v>303</v>
      </c>
      <c r="EK21" s="49" t="s">
        <v>410</v>
      </c>
      <c r="EM21" s="49" t="s">
        <v>303</v>
      </c>
      <c r="EN21" s="49" t="s">
        <v>396</v>
      </c>
      <c r="EP21" s="49" t="s">
        <v>298</v>
      </c>
      <c r="EQ21" s="0" t="n">
        <v>1</v>
      </c>
      <c r="ER21" s="49" t="s">
        <v>328</v>
      </c>
      <c r="ES21" s="49" t="s">
        <v>329</v>
      </c>
      <c r="ET21" s="49" t="s">
        <v>310</v>
      </c>
      <c r="EU21" s="49" t="s">
        <v>310</v>
      </c>
      <c r="EV21" s="49" t="s">
        <v>310</v>
      </c>
      <c r="EX21" s="49" t="s">
        <v>303</v>
      </c>
      <c r="EY21" s="49" t="s">
        <v>303</v>
      </c>
      <c r="FC21" s="49" t="s">
        <v>330</v>
      </c>
      <c r="FD21" s="49" t="s">
        <v>310</v>
      </c>
      <c r="FE21" s="49" t="s">
        <v>310</v>
      </c>
      <c r="FF21" s="49" t="s">
        <v>64</v>
      </c>
      <c r="FG21" s="49" t="s">
        <v>397</v>
      </c>
      <c r="FH21" s="49" t="s">
        <v>310</v>
      </c>
      <c r="FI21" s="49" t="s">
        <v>332</v>
      </c>
      <c r="FJ21" s="49" t="s">
        <v>303</v>
      </c>
      <c r="FL21" s="49" t="s">
        <v>325</v>
      </c>
      <c r="FM21" s="49" t="s">
        <v>334</v>
      </c>
      <c r="FP21" s="49" t="s">
        <v>303</v>
      </c>
      <c r="FR21" s="49" t="s">
        <v>303</v>
      </c>
      <c r="FT21" s="49" t="s">
        <v>325</v>
      </c>
      <c r="FU21" s="49" t="s">
        <v>325</v>
      </c>
      <c r="FW21" s="49" t="s">
        <v>333</v>
      </c>
    </row>
    <row r="22" customFormat="false" ht="15" hidden="false" customHeight="false" outlineLevel="0" collapsed="false">
      <c r="A22" s="0" t="n">
        <v>100880203</v>
      </c>
      <c r="B22" s="0" t="s">
        <v>295</v>
      </c>
      <c r="C22" s="0" t="s">
        <v>64</v>
      </c>
      <c r="D22" s="0" t="s">
        <v>65</v>
      </c>
      <c r="E22" s="0" t="s">
        <v>297</v>
      </c>
      <c r="G22" s="0" t="n">
        <v>1</v>
      </c>
      <c r="H22" s="0" t="s">
        <v>298</v>
      </c>
      <c r="I22" s="48" t="n">
        <v>46297</v>
      </c>
      <c r="J22" s="0" t="n">
        <v>0</v>
      </c>
      <c r="K22" s="49" t="s">
        <v>334</v>
      </c>
      <c r="L22" s="49" t="s">
        <v>335</v>
      </c>
      <c r="M22" s="48"/>
      <c r="O22" s="49" t="s">
        <v>336</v>
      </c>
      <c r="P22" s="48"/>
      <c r="Q22" s="48" t="n">
        <v>46297</v>
      </c>
      <c r="R22" s="48" t="n">
        <v>46303</v>
      </c>
      <c r="T22" s="49" t="s">
        <v>302</v>
      </c>
      <c r="U22" s="49" t="s">
        <v>303</v>
      </c>
      <c r="Y22" s="49" t="s">
        <v>312</v>
      </c>
      <c r="AD22" s="49" t="s">
        <v>305</v>
      </c>
      <c r="AE22" s="48" t="n">
        <v>46286</v>
      </c>
      <c r="AF22" s="49" t="s">
        <v>306</v>
      </c>
      <c r="AG22" s="49" t="s">
        <v>307</v>
      </c>
      <c r="AK22" s="49" t="s">
        <v>303</v>
      </c>
      <c r="AL22" s="49" t="s">
        <v>297</v>
      </c>
      <c r="AO22" s="49" t="s">
        <v>303</v>
      </c>
      <c r="AP22" s="48"/>
      <c r="AR22" s="49" t="s">
        <v>303</v>
      </c>
      <c r="AS22" s="49" t="s">
        <v>306</v>
      </c>
      <c r="AT22" s="49" t="s">
        <v>411</v>
      </c>
      <c r="AV22" s="49" t="s">
        <v>309</v>
      </c>
      <c r="AW22" s="49" t="s">
        <v>310</v>
      </c>
      <c r="AX22" s="49" t="s">
        <v>311</v>
      </c>
      <c r="AY22" s="48"/>
      <c r="AZ22" s="48" t="n">
        <v>46295</v>
      </c>
      <c r="BC22" s="49" t="s">
        <v>303</v>
      </c>
      <c r="BD22" s="48"/>
      <c r="BE22" s="49" t="s">
        <v>312</v>
      </c>
      <c r="BF22" s="49" t="s">
        <v>303</v>
      </c>
      <c r="BG22" s="48"/>
      <c r="BI22" s="48"/>
      <c r="BJ22" s="48" t="n">
        <v>46302</v>
      </c>
      <c r="BK22" s="49" t="s">
        <v>313</v>
      </c>
      <c r="BL22" s="49" t="s">
        <v>313</v>
      </c>
      <c r="BM22" s="49" t="s">
        <v>310</v>
      </c>
      <c r="BN22" s="48"/>
      <c r="BO22" s="48"/>
      <c r="BP22" s="48"/>
      <c r="BR22" s="48" t="n">
        <v>46302</v>
      </c>
      <c r="BS22" s="49" t="s">
        <v>312</v>
      </c>
      <c r="BT22" s="49" t="s">
        <v>312</v>
      </c>
      <c r="BU22" s="49" t="s">
        <v>313</v>
      </c>
      <c r="BV22" s="49" t="s">
        <v>303</v>
      </c>
      <c r="BX22" s="0" t="n">
        <v>0</v>
      </c>
      <c r="CC22" s="49" t="s">
        <v>315</v>
      </c>
      <c r="CD22" s="49" t="s">
        <v>303</v>
      </c>
      <c r="CF22" s="49" t="s">
        <v>303</v>
      </c>
      <c r="CG22" s="49" t="s">
        <v>316</v>
      </c>
      <c r="CH22" s="49" t="s">
        <v>317</v>
      </c>
      <c r="CI22" s="49" t="s">
        <v>318</v>
      </c>
      <c r="CM22" s="49" t="s">
        <v>65</v>
      </c>
      <c r="CV22" s="49" t="s">
        <v>303</v>
      </c>
      <c r="DB22" s="49" t="s">
        <v>319</v>
      </c>
      <c r="DD22" s="48" t="n">
        <v>46286</v>
      </c>
      <c r="DF22" s="49" t="s">
        <v>310</v>
      </c>
      <c r="DG22" s="49" t="s">
        <v>320</v>
      </c>
      <c r="DH22" s="49" t="s">
        <v>64</v>
      </c>
      <c r="DI22" s="49" t="s">
        <v>298</v>
      </c>
      <c r="DJ22" s="49" t="s">
        <v>394</v>
      </c>
      <c r="DK22" s="49" t="s">
        <v>322</v>
      </c>
      <c r="DL22" s="49" t="s">
        <v>323</v>
      </c>
      <c r="DM22" s="49" t="s">
        <v>303</v>
      </c>
      <c r="DN22" s="49" t="s">
        <v>297</v>
      </c>
      <c r="DO22" s="48"/>
      <c r="DP22" s="49" t="s">
        <v>312</v>
      </c>
      <c r="DQ22" s="48"/>
      <c r="DR22" s="49" t="s">
        <v>312</v>
      </c>
      <c r="DS22" s="49" t="s">
        <v>303</v>
      </c>
      <c r="DT22" s="49" t="s">
        <v>303</v>
      </c>
      <c r="DW22" s="49" t="s">
        <v>303</v>
      </c>
      <c r="EA22" s="49" t="s">
        <v>324</v>
      </c>
      <c r="EB22" s="49" t="s">
        <v>303</v>
      </c>
      <c r="EF22" s="49" t="s">
        <v>399</v>
      </c>
      <c r="EH22" s="49" t="s">
        <v>310</v>
      </c>
      <c r="EJ22" s="49" t="s">
        <v>303</v>
      </c>
      <c r="EK22" s="49" t="s">
        <v>412</v>
      </c>
      <c r="EM22" s="49" t="s">
        <v>303</v>
      </c>
      <c r="EN22" s="49" t="s">
        <v>396</v>
      </c>
      <c r="EP22" s="49" t="s">
        <v>298</v>
      </c>
      <c r="EQ22" s="0" t="n">
        <v>1</v>
      </c>
      <c r="ER22" s="49" t="s">
        <v>328</v>
      </c>
      <c r="ES22" s="49" t="s">
        <v>329</v>
      </c>
      <c r="ET22" s="49" t="s">
        <v>310</v>
      </c>
      <c r="EU22" s="49" t="s">
        <v>310</v>
      </c>
      <c r="EV22" s="49" t="s">
        <v>310</v>
      </c>
      <c r="EX22" s="49" t="s">
        <v>303</v>
      </c>
      <c r="EY22" s="49" t="s">
        <v>303</v>
      </c>
      <c r="FC22" s="49" t="s">
        <v>330</v>
      </c>
      <c r="FD22" s="49" t="s">
        <v>310</v>
      </c>
      <c r="FE22" s="49" t="s">
        <v>310</v>
      </c>
      <c r="FF22" s="49" t="s">
        <v>64</v>
      </c>
      <c r="FG22" s="49" t="s">
        <v>397</v>
      </c>
      <c r="FH22" s="49" t="s">
        <v>310</v>
      </c>
      <c r="FI22" s="49" t="s">
        <v>332</v>
      </c>
      <c r="FJ22" s="49" t="s">
        <v>303</v>
      </c>
      <c r="FL22" s="49" t="s">
        <v>325</v>
      </c>
      <c r="FM22" s="49" t="s">
        <v>334</v>
      </c>
      <c r="FP22" s="49" t="s">
        <v>303</v>
      </c>
      <c r="FR22" s="49" t="s">
        <v>303</v>
      </c>
      <c r="FT22" s="49" t="s">
        <v>325</v>
      </c>
      <c r="FU22" s="49" t="s">
        <v>325</v>
      </c>
      <c r="FW22" s="49" t="s">
        <v>333</v>
      </c>
    </row>
    <row r="23" customFormat="false" ht="15" hidden="false" customHeight="false" outlineLevel="0" collapsed="false">
      <c r="A23" s="0" t="n">
        <v>100880204</v>
      </c>
      <c r="B23" s="0" t="s">
        <v>295</v>
      </c>
      <c r="C23" s="0" t="s">
        <v>64</v>
      </c>
      <c r="D23" s="0" t="s">
        <v>65</v>
      </c>
      <c r="E23" s="0" t="s">
        <v>297</v>
      </c>
      <c r="G23" s="0" t="n">
        <v>1</v>
      </c>
      <c r="H23" s="0" t="s">
        <v>298</v>
      </c>
      <c r="I23" s="48" t="n">
        <v>46297</v>
      </c>
      <c r="J23" s="0" t="n">
        <v>0</v>
      </c>
      <c r="K23" s="49" t="s">
        <v>334</v>
      </c>
      <c r="L23" s="49" t="s">
        <v>335</v>
      </c>
      <c r="M23" s="48"/>
      <c r="O23" s="49" t="s">
        <v>336</v>
      </c>
      <c r="P23" s="48"/>
      <c r="Q23" s="48" t="n">
        <v>46297</v>
      </c>
      <c r="R23" s="48" t="n">
        <v>46303</v>
      </c>
      <c r="T23" s="49" t="s">
        <v>302</v>
      </c>
      <c r="U23" s="49" t="s">
        <v>303</v>
      </c>
      <c r="Y23" s="49" t="s">
        <v>312</v>
      </c>
      <c r="AD23" s="49" t="s">
        <v>305</v>
      </c>
      <c r="AE23" s="48" t="n">
        <v>46286</v>
      </c>
      <c r="AF23" s="49" t="s">
        <v>306</v>
      </c>
      <c r="AG23" s="49" t="s">
        <v>307</v>
      </c>
      <c r="AK23" s="49" t="s">
        <v>303</v>
      </c>
      <c r="AL23" s="49" t="s">
        <v>297</v>
      </c>
      <c r="AO23" s="49" t="s">
        <v>303</v>
      </c>
      <c r="AP23" s="48"/>
      <c r="AR23" s="49" t="s">
        <v>303</v>
      </c>
      <c r="AS23" s="49" t="s">
        <v>306</v>
      </c>
      <c r="AT23" s="49" t="s">
        <v>413</v>
      </c>
      <c r="AV23" s="49" t="s">
        <v>309</v>
      </c>
      <c r="AW23" s="49" t="s">
        <v>310</v>
      </c>
      <c r="AX23" s="49" t="s">
        <v>311</v>
      </c>
      <c r="AY23" s="48"/>
      <c r="AZ23" s="48" t="n">
        <v>46295</v>
      </c>
      <c r="BC23" s="49" t="s">
        <v>303</v>
      </c>
      <c r="BD23" s="48"/>
      <c r="BE23" s="49" t="s">
        <v>312</v>
      </c>
      <c r="BF23" s="49" t="s">
        <v>303</v>
      </c>
      <c r="BG23" s="48"/>
      <c r="BI23" s="48"/>
      <c r="BJ23" s="48" t="n">
        <v>46302</v>
      </c>
      <c r="BK23" s="49" t="s">
        <v>313</v>
      </c>
      <c r="BL23" s="49" t="s">
        <v>313</v>
      </c>
      <c r="BM23" s="49" t="s">
        <v>310</v>
      </c>
      <c r="BN23" s="48"/>
      <c r="BO23" s="48"/>
      <c r="BP23" s="48"/>
      <c r="BR23" s="48" t="n">
        <v>46302</v>
      </c>
      <c r="BS23" s="49" t="s">
        <v>312</v>
      </c>
      <c r="BT23" s="49" t="s">
        <v>312</v>
      </c>
      <c r="BU23" s="49" t="s">
        <v>313</v>
      </c>
      <c r="BV23" s="49" t="s">
        <v>303</v>
      </c>
      <c r="BX23" s="0" t="n">
        <v>0</v>
      </c>
      <c r="CC23" s="49" t="s">
        <v>315</v>
      </c>
      <c r="CD23" s="49" t="s">
        <v>303</v>
      </c>
      <c r="CF23" s="49" t="s">
        <v>303</v>
      </c>
      <c r="CG23" s="49" t="s">
        <v>316</v>
      </c>
      <c r="CH23" s="49" t="s">
        <v>317</v>
      </c>
      <c r="CI23" s="49" t="s">
        <v>318</v>
      </c>
      <c r="CM23" s="49" t="s">
        <v>65</v>
      </c>
      <c r="CV23" s="49" t="s">
        <v>303</v>
      </c>
      <c r="DB23" s="49" t="s">
        <v>319</v>
      </c>
      <c r="DD23" s="48" t="n">
        <v>46286</v>
      </c>
      <c r="DF23" s="49" t="s">
        <v>310</v>
      </c>
      <c r="DG23" s="49" t="s">
        <v>320</v>
      </c>
      <c r="DH23" s="49" t="s">
        <v>64</v>
      </c>
      <c r="DI23" s="49" t="s">
        <v>298</v>
      </c>
      <c r="DJ23" s="49" t="s">
        <v>394</v>
      </c>
      <c r="DK23" s="49" t="s">
        <v>322</v>
      </c>
      <c r="DL23" s="49" t="s">
        <v>323</v>
      </c>
      <c r="DM23" s="49" t="s">
        <v>303</v>
      </c>
      <c r="DN23" s="49" t="s">
        <v>297</v>
      </c>
      <c r="DO23" s="48"/>
      <c r="DP23" s="49" t="s">
        <v>312</v>
      </c>
      <c r="DQ23" s="48"/>
      <c r="DR23" s="49" t="s">
        <v>312</v>
      </c>
      <c r="DS23" s="49" t="s">
        <v>303</v>
      </c>
      <c r="DT23" s="49" t="s">
        <v>303</v>
      </c>
      <c r="DW23" s="49" t="s">
        <v>303</v>
      </c>
      <c r="EA23" s="49" t="s">
        <v>324</v>
      </c>
      <c r="EB23" s="49" t="s">
        <v>303</v>
      </c>
      <c r="EF23" s="49" t="s">
        <v>399</v>
      </c>
      <c r="EH23" s="49" t="s">
        <v>310</v>
      </c>
      <c r="EJ23" s="49" t="s">
        <v>303</v>
      </c>
      <c r="EK23" s="49" t="s">
        <v>414</v>
      </c>
      <c r="EM23" s="49" t="s">
        <v>303</v>
      </c>
      <c r="EN23" s="49" t="s">
        <v>396</v>
      </c>
      <c r="EP23" s="49" t="s">
        <v>298</v>
      </c>
      <c r="EQ23" s="0" t="n">
        <v>1</v>
      </c>
      <c r="ER23" s="49" t="s">
        <v>328</v>
      </c>
      <c r="ES23" s="49" t="s">
        <v>329</v>
      </c>
      <c r="ET23" s="49" t="s">
        <v>310</v>
      </c>
      <c r="EU23" s="49" t="s">
        <v>310</v>
      </c>
      <c r="EV23" s="49" t="s">
        <v>310</v>
      </c>
      <c r="EX23" s="49" t="s">
        <v>303</v>
      </c>
      <c r="EY23" s="49" t="s">
        <v>303</v>
      </c>
      <c r="FC23" s="49" t="s">
        <v>330</v>
      </c>
      <c r="FD23" s="49" t="s">
        <v>310</v>
      </c>
      <c r="FE23" s="49" t="s">
        <v>310</v>
      </c>
      <c r="FF23" s="49" t="s">
        <v>64</v>
      </c>
      <c r="FG23" s="49" t="s">
        <v>397</v>
      </c>
      <c r="FH23" s="49" t="s">
        <v>310</v>
      </c>
      <c r="FI23" s="49" t="s">
        <v>332</v>
      </c>
      <c r="FJ23" s="49" t="s">
        <v>303</v>
      </c>
      <c r="FL23" s="49" t="s">
        <v>325</v>
      </c>
      <c r="FM23" s="49" t="s">
        <v>334</v>
      </c>
      <c r="FP23" s="49" t="s">
        <v>303</v>
      </c>
      <c r="FR23" s="49" t="s">
        <v>303</v>
      </c>
      <c r="FT23" s="49" t="s">
        <v>325</v>
      </c>
      <c r="FU23" s="49" t="s">
        <v>325</v>
      </c>
      <c r="FW23" s="49" t="s">
        <v>333</v>
      </c>
    </row>
    <row r="24" customFormat="false" ht="15" hidden="false" customHeight="false" outlineLevel="0" collapsed="false">
      <c r="A24" s="0" t="n">
        <v>100880205</v>
      </c>
      <c r="B24" s="0" t="s">
        <v>295</v>
      </c>
      <c r="C24" s="0" t="s">
        <v>64</v>
      </c>
      <c r="D24" s="0" t="s">
        <v>65</v>
      </c>
      <c r="E24" s="0" t="s">
        <v>297</v>
      </c>
      <c r="G24" s="0" t="n">
        <v>1</v>
      </c>
      <c r="H24" s="0" t="s">
        <v>298</v>
      </c>
      <c r="I24" s="48" t="n">
        <v>46297</v>
      </c>
      <c r="J24" s="0" t="n">
        <v>0</v>
      </c>
      <c r="K24" s="49" t="s">
        <v>334</v>
      </c>
      <c r="L24" s="49" t="s">
        <v>335</v>
      </c>
      <c r="M24" s="48"/>
      <c r="O24" s="49" t="s">
        <v>336</v>
      </c>
      <c r="P24" s="48"/>
      <c r="Q24" s="48" t="n">
        <v>46297</v>
      </c>
      <c r="R24" s="48" t="n">
        <v>46303</v>
      </c>
      <c r="T24" s="49" t="s">
        <v>302</v>
      </c>
      <c r="U24" s="49" t="s">
        <v>303</v>
      </c>
      <c r="Y24" s="49" t="s">
        <v>312</v>
      </c>
      <c r="AD24" s="49" t="s">
        <v>305</v>
      </c>
      <c r="AE24" s="48" t="n">
        <v>46286</v>
      </c>
      <c r="AF24" s="49" t="s">
        <v>306</v>
      </c>
      <c r="AG24" s="49" t="s">
        <v>307</v>
      </c>
      <c r="AK24" s="49" t="s">
        <v>303</v>
      </c>
      <c r="AL24" s="49" t="s">
        <v>297</v>
      </c>
      <c r="AO24" s="49" t="s">
        <v>303</v>
      </c>
      <c r="AP24" s="48"/>
      <c r="AR24" s="49" t="s">
        <v>303</v>
      </c>
      <c r="AS24" s="49" t="s">
        <v>306</v>
      </c>
      <c r="AT24" s="49" t="s">
        <v>415</v>
      </c>
      <c r="AV24" s="49" t="s">
        <v>309</v>
      </c>
      <c r="AW24" s="49" t="s">
        <v>310</v>
      </c>
      <c r="AX24" s="49" t="s">
        <v>311</v>
      </c>
      <c r="AY24" s="48"/>
      <c r="AZ24" s="48" t="n">
        <v>46295</v>
      </c>
      <c r="BC24" s="49" t="s">
        <v>303</v>
      </c>
      <c r="BD24" s="48"/>
      <c r="BE24" s="49" t="s">
        <v>312</v>
      </c>
      <c r="BF24" s="49" t="s">
        <v>303</v>
      </c>
      <c r="BG24" s="48"/>
      <c r="BI24" s="48"/>
      <c r="BJ24" s="48" t="n">
        <v>46302</v>
      </c>
      <c r="BK24" s="49" t="s">
        <v>313</v>
      </c>
      <c r="BL24" s="49" t="s">
        <v>313</v>
      </c>
      <c r="BM24" s="49" t="s">
        <v>310</v>
      </c>
      <c r="BN24" s="48"/>
      <c r="BO24" s="48"/>
      <c r="BP24" s="48"/>
      <c r="BR24" s="48" t="n">
        <v>46302</v>
      </c>
      <c r="BS24" s="49" t="s">
        <v>312</v>
      </c>
      <c r="BT24" s="49" t="s">
        <v>312</v>
      </c>
      <c r="BU24" s="49" t="s">
        <v>313</v>
      </c>
      <c r="BV24" s="49" t="s">
        <v>303</v>
      </c>
      <c r="BX24" s="0" t="n">
        <v>0</v>
      </c>
      <c r="CC24" s="49" t="s">
        <v>315</v>
      </c>
      <c r="CD24" s="49" t="s">
        <v>303</v>
      </c>
      <c r="CF24" s="49" t="s">
        <v>303</v>
      </c>
      <c r="CG24" s="49" t="s">
        <v>316</v>
      </c>
      <c r="CH24" s="49" t="s">
        <v>317</v>
      </c>
      <c r="CI24" s="49" t="s">
        <v>318</v>
      </c>
      <c r="CM24" s="49" t="s">
        <v>65</v>
      </c>
      <c r="CV24" s="49" t="s">
        <v>303</v>
      </c>
      <c r="DB24" s="49" t="s">
        <v>319</v>
      </c>
      <c r="DD24" s="48" t="n">
        <v>46286</v>
      </c>
      <c r="DF24" s="49" t="s">
        <v>310</v>
      </c>
      <c r="DG24" s="49" t="s">
        <v>320</v>
      </c>
      <c r="DH24" s="49" t="s">
        <v>64</v>
      </c>
      <c r="DI24" s="49" t="s">
        <v>298</v>
      </c>
      <c r="DJ24" s="49" t="s">
        <v>394</v>
      </c>
      <c r="DK24" s="49" t="s">
        <v>322</v>
      </c>
      <c r="DL24" s="49" t="s">
        <v>323</v>
      </c>
      <c r="DM24" s="49" t="s">
        <v>303</v>
      </c>
      <c r="DN24" s="49" t="s">
        <v>297</v>
      </c>
      <c r="DO24" s="48"/>
      <c r="DP24" s="49" t="s">
        <v>312</v>
      </c>
      <c r="DQ24" s="48"/>
      <c r="DR24" s="49" t="s">
        <v>312</v>
      </c>
      <c r="DS24" s="49" t="s">
        <v>303</v>
      </c>
      <c r="DT24" s="49" t="s">
        <v>303</v>
      </c>
      <c r="DW24" s="49" t="s">
        <v>303</v>
      </c>
      <c r="EA24" s="49" t="s">
        <v>324</v>
      </c>
      <c r="EB24" s="49" t="s">
        <v>303</v>
      </c>
      <c r="EF24" s="49" t="s">
        <v>399</v>
      </c>
      <c r="EH24" s="49" t="s">
        <v>310</v>
      </c>
      <c r="EJ24" s="49" t="s">
        <v>303</v>
      </c>
      <c r="EK24" s="49" t="s">
        <v>416</v>
      </c>
      <c r="EM24" s="49" t="s">
        <v>303</v>
      </c>
      <c r="EN24" s="49" t="s">
        <v>396</v>
      </c>
      <c r="EP24" s="49" t="s">
        <v>298</v>
      </c>
      <c r="EQ24" s="0" t="n">
        <v>1</v>
      </c>
      <c r="ER24" s="49" t="s">
        <v>328</v>
      </c>
      <c r="ES24" s="49" t="s">
        <v>329</v>
      </c>
      <c r="ET24" s="49" t="s">
        <v>310</v>
      </c>
      <c r="EU24" s="49" t="s">
        <v>310</v>
      </c>
      <c r="EV24" s="49" t="s">
        <v>310</v>
      </c>
      <c r="EX24" s="49" t="s">
        <v>303</v>
      </c>
      <c r="EY24" s="49" t="s">
        <v>303</v>
      </c>
      <c r="FC24" s="49" t="s">
        <v>330</v>
      </c>
      <c r="FD24" s="49" t="s">
        <v>310</v>
      </c>
      <c r="FE24" s="49" t="s">
        <v>310</v>
      </c>
      <c r="FF24" s="49" t="s">
        <v>64</v>
      </c>
      <c r="FG24" s="49" t="s">
        <v>397</v>
      </c>
      <c r="FH24" s="49" t="s">
        <v>310</v>
      </c>
      <c r="FI24" s="49" t="s">
        <v>332</v>
      </c>
      <c r="FJ24" s="49" t="s">
        <v>303</v>
      </c>
      <c r="FL24" s="49" t="s">
        <v>325</v>
      </c>
      <c r="FM24" s="49" t="s">
        <v>334</v>
      </c>
      <c r="FP24" s="49" t="s">
        <v>303</v>
      </c>
      <c r="FR24" s="49" t="s">
        <v>303</v>
      </c>
      <c r="FT24" s="49" t="s">
        <v>325</v>
      </c>
      <c r="FU24" s="49" t="s">
        <v>325</v>
      </c>
      <c r="FW24" s="49" t="s">
        <v>333</v>
      </c>
    </row>
    <row r="25" customFormat="false" ht="15" hidden="false" customHeight="false" outlineLevel="0" collapsed="false">
      <c r="A25" s="0" t="n">
        <v>100880206</v>
      </c>
      <c r="B25" s="0" t="s">
        <v>295</v>
      </c>
      <c r="C25" s="0" t="s">
        <v>64</v>
      </c>
      <c r="D25" s="0" t="s">
        <v>65</v>
      </c>
      <c r="E25" s="0" t="s">
        <v>297</v>
      </c>
      <c r="G25" s="0" t="n">
        <v>1</v>
      </c>
      <c r="H25" s="0" t="s">
        <v>298</v>
      </c>
      <c r="I25" s="48" t="n">
        <v>46297</v>
      </c>
      <c r="J25" s="0" t="n">
        <v>0</v>
      </c>
      <c r="K25" s="49" t="s">
        <v>334</v>
      </c>
      <c r="L25" s="49" t="s">
        <v>335</v>
      </c>
      <c r="M25" s="48"/>
      <c r="O25" s="49" t="s">
        <v>336</v>
      </c>
      <c r="P25" s="48"/>
      <c r="Q25" s="48" t="n">
        <v>46297</v>
      </c>
      <c r="R25" s="48" t="n">
        <v>46303</v>
      </c>
      <c r="T25" s="49" t="s">
        <v>302</v>
      </c>
      <c r="U25" s="49" t="s">
        <v>303</v>
      </c>
      <c r="Y25" s="49" t="s">
        <v>312</v>
      </c>
      <c r="AD25" s="49" t="s">
        <v>305</v>
      </c>
      <c r="AE25" s="48" t="n">
        <v>46286</v>
      </c>
      <c r="AF25" s="49" t="s">
        <v>306</v>
      </c>
      <c r="AG25" s="49" t="s">
        <v>307</v>
      </c>
      <c r="AK25" s="49" t="s">
        <v>303</v>
      </c>
      <c r="AL25" s="49" t="s">
        <v>297</v>
      </c>
      <c r="AO25" s="49" t="s">
        <v>303</v>
      </c>
      <c r="AP25" s="48"/>
      <c r="AR25" s="49" t="s">
        <v>303</v>
      </c>
      <c r="AS25" s="49" t="s">
        <v>306</v>
      </c>
      <c r="AT25" s="49" t="s">
        <v>417</v>
      </c>
      <c r="AV25" s="49" t="s">
        <v>309</v>
      </c>
      <c r="AW25" s="49" t="s">
        <v>310</v>
      </c>
      <c r="AX25" s="49" t="s">
        <v>311</v>
      </c>
      <c r="AY25" s="48"/>
      <c r="AZ25" s="48" t="n">
        <v>46295</v>
      </c>
      <c r="BC25" s="49" t="s">
        <v>303</v>
      </c>
      <c r="BD25" s="48"/>
      <c r="BE25" s="49" t="s">
        <v>312</v>
      </c>
      <c r="BF25" s="49" t="s">
        <v>303</v>
      </c>
      <c r="BG25" s="48"/>
      <c r="BI25" s="48"/>
      <c r="BJ25" s="48" t="n">
        <v>46302</v>
      </c>
      <c r="BK25" s="49" t="s">
        <v>313</v>
      </c>
      <c r="BL25" s="49" t="s">
        <v>313</v>
      </c>
      <c r="BM25" s="49" t="s">
        <v>310</v>
      </c>
      <c r="BN25" s="48"/>
      <c r="BO25" s="48"/>
      <c r="BP25" s="48"/>
      <c r="BR25" s="48" t="n">
        <v>46302</v>
      </c>
      <c r="BS25" s="49" t="s">
        <v>312</v>
      </c>
      <c r="BT25" s="49" t="s">
        <v>312</v>
      </c>
      <c r="BU25" s="49" t="s">
        <v>313</v>
      </c>
      <c r="BV25" s="49" t="s">
        <v>303</v>
      </c>
      <c r="BX25" s="0" t="n">
        <v>0</v>
      </c>
      <c r="CC25" s="49" t="s">
        <v>315</v>
      </c>
      <c r="CD25" s="49" t="s">
        <v>303</v>
      </c>
      <c r="CF25" s="49" t="s">
        <v>303</v>
      </c>
      <c r="CG25" s="49" t="s">
        <v>316</v>
      </c>
      <c r="CH25" s="49" t="s">
        <v>317</v>
      </c>
      <c r="CI25" s="49" t="s">
        <v>318</v>
      </c>
      <c r="CM25" s="49" t="s">
        <v>65</v>
      </c>
      <c r="CV25" s="49" t="s">
        <v>303</v>
      </c>
      <c r="DB25" s="49" t="s">
        <v>319</v>
      </c>
      <c r="DD25" s="48" t="n">
        <v>46286</v>
      </c>
      <c r="DF25" s="49" t="s">
        <v>310</v>
      </c>
      <c r="DG25" s="49" t="s">
        <v>320</v>
      </c>
      <c r="DH25" s="49" t="s">
        <v>64</v>
      </c>
      <c r="DI25" s="49" t="s">
        <v>298</v>
      </c>
      <c r="DJ25" s="49" t="s">
        <v>394</v>
      </c>
      <c r="DK25" s="49" t="s">
        <v>322</v>
      </c>
      <c r="DL25" s="49" t="s">
        <v>323</v>
      </c>
      <c r="DM25" s="49" t="s">
        <v>303</v>
      </c>
      <c r="DN25" s="49" t="s">
        <v>297</v>
      </c>
      <c r="DO25" s="48"/>
      <c r="DP25" s="49" t="s">
        <v>312</v>
      </c>
      <c r="DQ25" s="48"/>
      <c r="DR25" s="49" t="s">
        <v>312</v>
      </c>
      <c r="DS25" s="49" t="s">
        <v>303</v>
      </c>
      <c r="DT25" s="49" t="s">
        <v>303</v>
      </c>
      <c r="DW25" s="49" t="s">
        <v>303</v>
      </c>
      <c r="EA25" s="49" t="s">
        <v>324</v>
      </c>
      <c r="EB25" s="49" t="s">
        <v>303</v>
      </c>
      <c r="EF25" s="49" t="s">
        <v>399</v>
      </c>
      <c r="EH25" s="49" t="s">
        <v>310</v>
      </c>
      <c r="EJ25" s="49" t="s">
        <v>303</v>
      </c>
      <c r="EK25" s="49" t="s">
        <v>418</v>
      </c>
      <c r="EM25" s="49" t="s">
        <v>303</v>
      </c>
      <c r="EN25" s="49" t="s">
        <v>396</v>
      </c>
      <c r="EP25" s="49" t="s">
        <v>298</v>
      </c>
      <c r="EQ25" s="0" t="n">
        <v>1</v>
      </c>
      <c r="ER25" s="49" t="s">
        <v>328</v>
      </c>
      <c r="ES25" s="49" t="s">
        <v>329</v>
      </c>
      <c r="ET25" s="49" t="s">
        <v>310</v>
      </c>
      <c r="EU25" s="49" t="s">
        <v>310</v>
      </c>
      <c r="EV25" s="49" t="s">
        <v>310</v>
      </c>
      <c r="EX25" s="49" t="s">
        <v>303</v>
      </c>
      <c r="EY25" s="49" t="s">
        <v>303</v>
      </c>
      <c r="FC25" s="49" t="s">
        <v>330</v>
      </c>
      <c r="FD25" s="49" t="s">
        <v>310</v>
      </c>
      <c r="FE25" s="49" t="s">
        <v>310</v>
      </c>
      <c r="FF25" s="49" t="s">
        <v>64</v>
      </c>
      <c r="FG25" s="49" t="s">
        <v>397</v>
      </c>
      <c r="FH25" s="49" t="s">
        <v>310</v>
      </c>
      <c r="FI25" s="49" t="s">
        <v>332</v>
      </c>
      <c r="FJ25" s="49" t="s">
        <v>303</v>
      </c>
      <c r="FL25" s="49" t="s">
        <v>325</v>
      </c>
      <c r="FM25" s="49" t="s">
        <v>334</v>
      </c>
      <c r="FP25" s="49" t="s">
        <v>303</v>
      </c>
      <c r="FR25" s="49" t="s">
        <v>303</v>
      </c>
      <c r="FT25" s="49" t="s">
        <v>325</v>
      </c>
      <c r="FU25" s="49" t="s">
        <v>325</v>
      </c>
      <c r="FW25" s="49" t="s">
        <v>333</v>
      </c>
    </row>
    <row r="26" customFormat="false" ht="15" hidden="false" customHeight="false" outlineLevel="0" collapsed="false">
      <c r="A26" s="0" t="n">
        <v>100880207</v>
      </c>
      <c r="B26" s="0" t="s">
        <v>295</v>
      </c>
      <c r="C26" s="0" t="s">
        <v>64</v>
      </c>
      <c r="D26" s="0" t="s">
        <v>65</v>
      </c>
      <c r="E26" s="0" t="s">
        <v>297</v>
      </c>
      <c r="G26" s="0" t="n">
        <v>1</v>
      </c>
      <c r="H26" s="0" t="s">
        <v>298</v>
      </c>
      <c r="I26" s="48" t="n">
        <v>46297</v>
      </c>
      <c r="J26" s="0" t="n">
        <v>0</v>
      </c>
      <c r="K26" s="49" t="s">
        <v>334</v>
      </c>
      <c r="L26" s="49" t="s">
        <v>335</v>
      </c>
      <c r="M26" s="48"/>
      <c r="O26" s="49" t="s">
        <v>336</v>
      </c>
      <c r="P26" s="48"/>
      <c r="Q26" s="48" t="n">
        <v>46297</v>
      </c>
      <c r="R26" s="48" t="n">
        <v>46303</v>
      </c>
      <c r="T26" s="49" t="s">
        <v>302</v>
      </c>
      <c r="U26" s="49" t="s">
        <v>303</v>
      </c>
      <c r="Y26" s="49" t="s">
        <v>312</v>
      </c>
      <c r="AD26" s="49" t="s">
        <v>305</v>
      </c>
      <c r="AE26" s="48" t="n">
        <v>46286</v>
      </c>
      <c r="AF26" s="49" t="s">
        <v>306</v>
      </c>
      <c r="AG26" s="49" t="s">
        <v>307</v>
      </c>
      <c r="AK26" s="49" t="s">
        <v>303</v>
      </c>
      <c r="AL26" s="49" t="s">
        <v>297</v>
      </c>
      <c r="AO26" s="49" t="s">
        <v>303</v>
      </c>
      <c r="AP26" s="48"/>
      <c r="AR26" s="49" t="s">
        <v>303</v>
      </c>
      <c r="AS26" s="49" t="s">
        <v>306</v>
      </c>
      <c r="AT26" s="49" t="s">
        <v>419</v>
      </c>
      <c r="AV26" s="49" t="s">
        <v>309</v>
      </c>
      <c r="AW26" s="49" t="s">
        <v>310</v>
      </c>
      <c r="AX26" s="49" t="s">
        <v>311</v>
      </c>
      <c r="AY26" s="48"/>
      <c r="AZ26" s="48" t="n">
        <v>46295</v>
      </c>
      <c r="BC26" s="49" t="s">
        <v>303</v>
      </c>
      <c r="BD26" s="48"/>
      <c r="BE26" s="49" t="s">
        <v>312</v>
      </c>
      <c r="BF26" s="49" t="s">
        <v>303</v>
      </c>
      <c r="BG26" s="48"/>
      <c r="BI26" s="48"/>
      <c r="BJ26" s="48" t="n">
        <v>46302</v>
      </c>
      <c r="BK26" s="49" t="s">
        <v>313</v>
      </c>
      <c r="BL26" s="49" t="s">
        <v>313</v>
      </c>
      <c r="BM26" s="49" t="s">
        <v>310</v>
      </c>
      <c r="BN26" s="48"/>
      <c r="BO26" s="48"/>
      <c r="BP26" s="48"/>
      <c r="BR26" s="48" t="n">
        <v>46302</v>
      </c>
      <c r="BS26" s="49" t="s">
        <v>312</v>
      </c>
      <c r="BT26" s="49" t="s">
        <v>312</v>
      </c>
      <c r="BU26" s="49" t="s">
        <v>313</v>
      </c>
      <c r="BV26" s="49" t="s">
        <v>303</v>
      </c>
      <c r="BX26" s="0" t="n">
        <v>0</v>
      </c>
      <c r="CC26" s="49" t="s">
        <v>315</v>
      </c>
      <c r="CD26" s="49" t="s">
        <v>303</v>
      </c>
      <c r="CF26" s="49" t="s">
        <v>303</v>
      </c>
      <c r="CG26" s="49" t="s">
        <v>316</v>
      </c>
      <c r="CH26" s="49" t="s">
        <v>317</v>
      </c>
      <c r="CI26" s="49" t="s">
        <v>318</v>
      </c>
      <c r="CM26" s="49" t="s">
        <v>65</v>
      </c>
      <c r="CV26" s="49" t="s">
        <v>303</v>
      </c>
      <c r="DB26" s="49" t="s">
        <v>319</v>
      </c>
      <c r="DD26" s="48" t="n">
        <v>46286</v>
      </c>
      <c r="DF26" s="49" t="s">
        <v>310</v>
      </c>
      <c r="DG26" s="49" t="s">
        <v>320</v>
      </c>
      <c r="DH26" s="49" t="s">
        <v>64</v>
      </c>
      <c r="DI26" s="49" t="s">
        <v>298</v>
      </c>
      <c r="DJ26" s="49" t="s">
        <v>394</v>
      </c>
      <c r="DK26" s="49" t="s">
        <v>322</v>
      </c>
      <c r="DL26" s="49" t="s">
        <v>323</v>
      </c>
      <c r="DM26" s="49" t="s">
        <v>303</v>
      </c>
      <c r="DN26" s="49" t="s">
        <v>297</v>
      </c>
      <c r="DO26" s="48"/>
      <c r="DP26" s="49" t="s">
        <v>312</v>
      </c>
      <c r="DQ26" s="48"/>
      <c r="DR26" s="49" t="s">
        <v>312</v>
      </c>
      <c r="DS26" s="49" t="s">
        <v>303</v>
      </c>
      <c r="DT26" s="49" t="s">
        <v>303</v>
      </c>
      <c r="DW26" s="49" t="s">
        <v>303</v>
      </c>
      <c r="EA26" s="49" t="s">
        <v>324</v>
      </c>
      <c r="EB26" s="49" t="s">
        <v>303</v>
      </c>
      <c r="EF26" s="49" t="s">
        <v>399</v>
      </c>
      <c r="EH26" s="49" t="s">
        <v>310</v>
      </c>
      <c r="EJ26" s="49" t="s">
        <v>303</v>
      </c>
      <c r="EK26" s="49" t="s">
        <v>420</v>
      </c>
      <c r="EM26" s="49" t="s">
        <v>303</v>
      </c>
      <c r="EN26" s="49" t="s">
        <v>396</v>
      </c>
      <c r="EP26" s="49" t="s">
        <v>298</v>
      </c>
      <c r="EQ26" s="0" t="n">
        <v>1</v>
      </c>
      <c r="ER26" s="49" t="s">
        <v>328</v>
      </c>
      <c r="ES26" s="49" t="s">
        <v>329</v>
      </c>
      <c r="ET26" s="49" t="s">
        <v>310</v>
      </c>
      <c r="EU26" s="49" t="s">
        <v>310</v>
      </c>
      <c r="EV26" s="49" t="s">
        <v>310</v>
      </c>
      <c r="EX26" s="49" t="s">
        <v>303</v>
      </c>
      <c r="EY26" s="49" t="s">
        <v>303</v>
      </c>
      <c r="FC26" s="49" t="s">
        <v>330</v>
      </c>
      <c r="FD26" s="49" t="s">
        <v>310</v>
      </c>
      <c r="FE26" s="49" t="s">
        <v>310</v>
      </c>
      <c r="FF26" s="49" t="s">
        <v>64</v>
      </c>
      <c r="FG26" s="49" t="s">
        <v>397</v>
      </c>
      <c r="FH26" s="49" t="s">
        <v>310</v>
      </c>
      <c r="FI26" s="49" t="s">
        <v>332</v>
      </c>
      <c r="FJ26" s="49" t="s">
        <v>303</v>
      </c>
      <c r="FL26" s="49" t="s">
        <v>325</v>
      </c>
      <c r="FM26" s="49" t="s">
        <v>334</v>
      </c>
      <c r="FP26" s="49" t="s">
        <v>303</v>
      </c>
      <c r="FR26" s="49" t="s">
        <v>303</v>
      </c>
      <c r="FT26" s="49" t="s">
        <v>325</v>
      </c>
      <c r="FU26" s="49" t="s">
        <v>325</v>
      </c>
      <c r="FW26" s="49" t="s">
        <v>333</v>
      </c>
    </row>
    <row r="27" customFormat="false" ht="15" hidden="false" customHeight="false" outlineLevel="0" collapsed="false">
      <c r="A27" s="0" t="n">
        <v>100880208</v>
      </c>
      <c r="B27" s="0" t="s">
        <v>295</v>
      </c>
      <c r="C27" s="0" t="s">
        <v>64</v>
      </c>
      <c r="D27" s="0" t="s">
        <v>65</v>
      </c>
      <c r="E27" s="0" t="s">
        <v>297</v>
      </c>
      <c r="G27" s="0" t="n">
        <v>1</v>
      </c>
      <c r="H27" s="0" t="s">
        <v>298</v>
      </c>
      <c r="I27" s="48" t="n">
        <v>46297</v>
      </c>
      <c r="J27" s="0" t="n">
        <v>0</v>
      </c>
      <c r="K27" s="49" t="s">
        <v>334</v>
      </c>
      <c r="L27" s="49" t="s">
        <v>335</v>
      </c>
      <c r="M27" s="48"/>
      <c r="O27" s="49" t="s">
        <v>336</v>
      </c>
      <c r="P27" s="48"/>
      <c r="Q27" s="48" t="n">
        <v>46297</v>
      </c>
      <c r="R27" s="48" t="n">
        <v>46303</v>
      </c>
      <c r="T27" s="49" t="s">
        <v>302</v>
      </c>
      <c r="U27" s="49" t="s">
        <v>303</v>
      </c>
      <c r="Y27" s="49" t="s">
        <v>312</v>
      </c>
      <c r="AD27" s="49" t="s">
        <v>305</v>
      </c>
      <c r="AE27" s="48" t="n">
        <v>46286</v>
      </c>
      <c r="AF27" s="49" t="s">
        <v>306</v>
      </c>
      <c r="AG27" s="49" t="s">
        <v>307</v>
      </c>
      <c r="AK27" s="49" t="s">
        <v>303</v>
      </c>
      <c r="AL27" s="49" t="s">
        <v>297</v>
      </c>
      <c r="AO27" s="49" t="s">
        <v>303</v>
      </c>
      <c r="AP27" s="48"/>
      <c r="AR27" s="49" t="s">
        <v>303</v>
      </c>
      <c r="AS27" s="49" t="s">
        <v>306</v>
      </c>
      <c r="AT27" s="49" t="s">
        <v>421</v>
      </c>
      <c r="AV27" s="49" t="s">
        <v>309</v>
      </c>
      <c r="AW27" s="49" t="s">
        <v>310</v>
      </c>
      <c r="AX27" s="49" t="s">
        <v>311</v>
      </c>
      <c r="AY27" s="48"/>
      <c r="AZ27" s="48" t="n">
        <v>46295</v>
      </c>
      <c r="BC27" s="49" t="s">
        <v>303</v>
      </c>
      <c r="BD27" s="48"/>
      <c r="BE27" s="49" t="s">
        <v>312</v>
      </c>
      <c r="BF27" s="49" t="s">
        <v>303</v>
      </c>
      <c r="BG27" s="48"/>
      <c r="BI27" s="48"/>
      <c r="BJ27" s="48" t="n">
        <v>46302</v>
      </c>
      <c r="BK27" s="49" t="s">
        <v>313</v>
      </c>
      <c r="BL27" s="49" t="s">
        <v>313</v>
      </c>
      <c r="BM27" s="49" t="s">
        <v>310</v>
      </c>
      <c r="BN27" s="48"/>
      <c r="BO27" s="48"/>
      <c r="BP27" s="48"/>
      <c r="BR27" s="48" t="n">
        <v>46302</v>
      </c>
      <c r="BS27" s="49" t="s">
        <v>312</v>
      </c>
      <c r="BT27" s="49" t="s">
        <v>312</v>
      </c>
      <c r="BU27" s="49" t="s">
        <v>313</v>
      </c>
      <c r="BV27" s="49" t="s">
        <v>303</v>
      </c>
      <c r="BX27" s="0" t="n">
        <v>0</v>
      </c>
      <c r="CC27" s="49" t="s">
        <v>315</v>
      </c>
      <c r="CD27" s="49" t="s">
        <v>303</v>
      </c>
      <c r="CF27" s="49" t="s">
        <v>303</v>
      </c>
      <c r="CG27" s="49" t="s">
        <v>316</v>
      </c>
      <c r="CH27" s="49" t="s">
        <v>317</v>
      </c>
      <c r="CI27" s="49" t="s">
        <v>318</v>
      </c>
      <c r="CM27" s="49" t="s">
        <v>65</v>
      </c>
      <c r="CV27" s="49" t="s">
        <v>303</v>
      </c>
      <c r="DB27" s="49" t="s">
        <v>319</v>
      </c>
      <c r="DD27" s="48" t="n">
        <v>46286</v>
      </c>
      <c r="DF27" s="49" t="s">
        <v>310</v>
      </c>
      <c r="DG27" s="49" t="s">
        <v>320</v>
      </c>
      <c r="DH27" s="49" t="s">
        <v>64</v>
      </c>
      <c r="DI27" s="49" t="s">
        <v>298</v>
      </c>
      <c r="DJ27" s="49" t="s">
        <v>394</v>
      </c>
      <c r="DK27" s="49" t="s">
        <v>322</v>
      </c>
      <c r="DL27" s="49" t="s">
        <v>323</v>
      </c>
      <c r="DM27" s="49" t="s">
        <v>303</v>
      </c>
      <c r="DN27" s="49" t="s">
        <v>297</v>
      </c>
      <c r="DO27" s="48"/>
      <c r="DP27" s="49" t="s">
        <v>312</v>
      </c>
      <c r="DQ27" s="48"/>
      <c r="DR27" s="49" t="s">
        <v>312</v>
      </c>
      <c r="DS27" s="49" t="s">
        <v>303</v>
      </c>
      <c r="DT27" s="49" t="s">
        <v>303</v>
      </c>
      <c r="DW27" s="49" t="s">
        <v>303</v>
      </c>
      <c r="EA27" s="49" t="s">
        <v>324</v>
      </c>
      <c r="EB27" s="49" t="s">
        <v>303</v>
      </c>
      <c r="EF27" s="49" t="s">
        <v>399</v>
      </c>
      <c r="EH27" s="49" t="s">
        <v>310</v>
      </c>
      <c r="EJ27" s="49" t="s">
        <v>303</v>
      </c>
      <c r="EK27" s="49" t="s">
        <v>422</v>
      </c>
      <c r="EM27" s="49" t="s">
        <v>303</v>
      </c>
      <c r="EN27" s="49" t="s">
        <v>396</v>
      </c>
      <c r="EP27" s="49" t="s">
        <v>298</v>
      </c>
      <c r="EQ27" s="0" t="n">
        <v>1</v>
      </c>
      <c r="ER27" s="49" t="s">
        <v>328</v>
      </c>
      <c r="ES27" s="49" t="s">
        <v>329</v>
      </c>
      <c r="ET27" s="49" t="s">
        <v>310</v>
      </c>
      <c r="EU27" s="49" t="s">
        <v>310</v>
      </c>
      <c r="EV27" s="49" t="s">
        <v>310</v>
      </c>
      <c r="EX27" s="49" t="s">
        <v>303</v>
      </c>
      <c r="EY27" s="49" t="s">
        <v>303</v>
      </c>
      <c r="FC27" s="49" t="s">
        <v>330</v>
      </c>
      <c r="FD27" s="49" t="s">
        <v>310</v>
      </c>
      <c r="FE27" s="49" t="s">
        <v>310</v>
      </c>
      <c r="FF27" s="49" t="s">
        <v>64</v>
      </c>
      <c r="FG27" s="49" t="s">
        <v>397</v>
      </c>
      <c r="FH27" s="49" t="s">
        <v>310</v>
      </c>
      <c r="FI27" s="49" t="s">
        <v>332</v>
      </c>
      <c r="FJ27" s="49" t="s">
        <v>303</v>
      </c>
      <c r="FL27" s="49" t="s">
        <v>325</v>
      </c>
      <c r="FM27" s="49" t="s">
        <v>334</v>
      </c>
      <c r="FP27" s="49" t="s">
        <v>303</v>
      </c>
      <c r="FR27" s="49" t="s">
        <v>303</v>
      </c>
      <c r="FT27" s="49" t="s">
        <v>325</v>
      </c>
      <c r="FU27" s="49" t="s">
        <v>325</v>
      </c>
      <c r="FW27" s="49" t="s">
        <v>333</v>
      </c>
    </row>
    <row r="28" customFormat="false" ht="15" hidden="false" customHeight="false" outlineLevel="0" collapsed="false">
      <c r="A28" s="0" t="n">
        <v>100880209</v>
      </c>
      <c r="B28" s="0" t="s">
        <v>295</v>
      </c>
      <c r="C28" s="0" t="s">
        <v>64</v>
      </c>
      <c r="D28" s="0" t="s">
        <v>65</v>
      </c>
      <c r="E28" s="0" t="s">
        <v>297</v>
      </c>
      <c r="G28" s="0" t="n">
        <v>1</v>
      </c>
      <c r="H28" s="0" t="s">
        <v>298</v>
      </c>
      <c r="I28" s="48" t="n">
        <v>46297</v>
      </c>
      <c r="J28" s="0" t="n">
        <v>0</v>
      </c>
      <c r="K28" s="49" t="s">
        <v>334</v>
      </c>
      <c r="L28" s="49" t="s">
        <v>335</v>
      </c>
      <c r="M28" s="48"/>
      <c r="O28" s="49" t="s">
        <v>336</v>
      </c>
      <c r="P28" s="48"/>
      <c r="Q28" s="48" t="n">
        <v>46297</v>
      </c>
      <c r="R28" s="48" t="n">
        <v>46303</v>
      </c>
      <c r="T28" s="49" t="s">
        <v>302</v>
      </c>
      <c r="U28" s="49" t="s">
        <v>303</v>
      </c>
      <c r="Y28" s="49" t="s">
        <v>312</v>
      </c>
      <c r="AD28" s="49" t="s">
        <v>305</v>
      </c>
      <c r="AE28" s="48" t="n">
        <v>46286</v>
      </c>
      <c r="AF28" s="49" t="s">
        <v>306</v>
      </c>
      <c r="AG28" s="49" t="s">
        <v>307</v>
      </c>
      <c r="AK28" s="49" t="s">
        <v>303</v>
      </c>
      <c r="AL28" s="49" t="s">
        <v>297</v>
      </c>
      <c r="AO28" s="49" t="s">
        <v>303</v>
      </c>
      <c r="AP28" s="48"/>
      <c r="AR28" s="49" t="s">
        <v>303</v>
      </c>
      <c r="AS28" s="49" t="s">
        <v>306</v>
      </c>
      <c r="AT28" s="49" t="s">
        <v>423</v>
      </c>
      <c r="AV28" s="49" t="s">
        <v>309</v>
      </c>
      <c r="AW28" s="49" t="s">
        <v>310</v>
      </c>
      <c r="AX28" s="49" t="s">
        <v>311</v>
      </c>
      <c r="AY28" s="48"/>
      <c r="AZ28" s="48" t="n">
        <v>46295</v>
      </c>
      <c r="BC28" s="49" t="s">
        <v>303</v>
      </c>
      <c r="BD28" s="48"/>
      <c r="BE28" s="49" t="s">
        <v>312</v>
      </c>
      <c r="BF28" s="49" t="s">
        <v>303</v>
      </c>
      <c r="BG28" s="48"/>
      <c r="BI28" s="48"/>
      <c r="BJ28" s="48" t="n">
        <v>46302</v>
      </c>
      <c r="BK28" s="49" t="s">
        <v>313</v>
      </c>
      <c r="BL28" s="49" t="s">
        <v>313</v>
      </c>
      <c r="BM28" s="49" t="s">
        <v>310</v>
      </c>
      <c r="BN28" s="48"/>
      <c r="BO28" s="48"/>
      <c r="BP28" s="48"/>
      <c r="BR28" s="48" t="n">
        <v>46302</v>
      </c>
      <c r="BS28" s="49" t="s">
        <v>312</v>
      </c>
      <c r="BT28" s="49" t="s">
        <v>312</v>
      </c>
      <c r="BU28" s="49" t="s">
        <v>313</v>
      </c>
      <c r="BV28" s="49" t="s">
        <v>303</v>
      </c>
      <c r="BX28" s="0" t="n">
        <v>0</v>
      </c>
      <c r="CC28" s="49" t="s">
        <v>315</v>
      </c>
      <c r="CD28" s="49" t="s">
        <v>303</v>
      </c>
      <c r="CF28" s="49" t="s">
        <v>303</v>
      </c>
      <c r="CG28" s="49" t="s">
        <v>316</v>
      </c>
      <c r="CH28" s="49" t="s">
        <v>317</v>
      </c>
      <c r="CI28" s="49" t="s">
        <v>318</v>
      </c>
      <c r="CM28" s="49" t="s">
        <v>65</v>
      </c>
      <c r="CV28" s="49" t="s">
        <v>303</v>
      </c>
      <c r="DB28" s="49" t="s">
        <v>319</v>
      </c>
      <c r="DD28" s="48" t="n">
        <v>46286</v>
      </c>
      <c r="DF28" s="49" t="s">
        <v>310</v>
      </c>
      <c r="DG28" s="49" t="s">
        <v>320</v>
      </c>
      <c r="DH28" s="49" t="s">
        <v>64</v>
      </c>
      <c r="DI28" s="49" t="s">
        <v>298</v>
      </c>
      <c r="DJ28" s="49" t="s">
        <v>394</v>
      </c>
      <c r="DK28" s="49" t="s">
        <v>322</v>
      </c>
      <c r="DL28" s="49" t="s">
        <v>323</v>
      </c>
      <c r="DM28" s="49" t="s">
        <v>303</v>
      </c>
      <c r="DN28" s="49" t="s">
        <v>297</v>
      </c>
      <c r="DO28" s="48"/>
      <c r="DP28" s="49" t="s">
        <v>312</v>
      </c>
      <c r="DQ28" s="48"/>
      <c r="DR28" s="49" t="s">
        <v>312</v>
      </c>
      <c r="DS28" s="49" t="s">
        <v>303</v>
      </c>
      <c r="DT28" s="49" t="s">
        <v>303</v>
      </c>
      <c r="DW28" s="49" t="s">
        <v>303</v>
      </c>
      <c r="EA28" s="49" t="s">
        <v>324</v>
      </c>
      <c r="EB28" s="49" t="s">
        <v>303</v>
      </c>
      <c r="EF28" s="49" t="s">
        <v>399</v>
      </c>
      <c r="EH28" s="49" t="s">
        <v>310</v>
      </c>
      <c r="EJ28" s="49" t="s">
        <v>303</v>
      </c>
      <c r="EK28" s="49" t="s">
        <v>424</v>
      </c>
      <c r="EM28" s="49" t="s">
        <v>303</v>
      </c>
      <c r="EN28" s="49" t="s">
        <v>396</v>
      </c>
      <c r="EP28" s="49" t="s">
        <v>298</v>
      </c>
      <c r="EQ28" s="0" t="n">
        <v>1</v>
      </c>
      <c r="ER28" s="49" t="s">
        <v>328</v>
      </c>
      <c r="ES28" s="49" t="s">
        <v>329</v>
      </c>
      <c r="ET28" s="49" t="s">
        <v>310</v>
      </c>
      <c r="EU28" s="49" t="s">
        <v>310</v>
      </c>
      <c r="EV28" s="49" t="s">
        <v>310</v>
      </c>
      <c r="EX28" s="49" t="s">
        <v>303</v>
      </c>
      <c r="EY28" s="49" t="s">
        <v>303</v>
      </c>
      <c r="FC28" s="49" t="s">
        <v>330</v>
      </c>
      <c r="FD28" s="49" t="s">
        <v>310</v>
      </c>
      <c r="FE28" s="49" t="s">
        <v>310</v>
      </c>
      <c r="FF28" s="49" t="s">
        <v>64</v>
      </c>
      <c r="FG28" s="49" t="s">
        <v>397</v>
      </c>
      <c r="FH28" s="49" t="s">
        <v>310</v>
      </c>
      <c r="FI28" s="49" t="s">
        <v>332</v>
      </c>
      <c r="FJ28" s="49" t="s">
        <v>303</v>
      </c>
      <c r="FL28" s="49" t="s">
        <v>325</v>
      </c>
      <c r="FM28" s="49" t="s">
        <v>334</v>
      </c>
      <c r="FP28" s="49" t="s">
        <v>303</v>
      </c>
      <c r="FR28" s="49" t="s">
        <v>303</v>
      </c>
      <c r="FT28" s="49" t="s">
        <v>325</v>
      </c>
      <c r="FU28" s="49" t="s">
        <v>325</v>
      </c>
      <c r="FW28" s="49" t="s">
        <v>333</v>
      </c>
    </row>
    <row r="29" customFormat="false" ht="15" hidden="false" customHeight="false" outlineLevel="0" collapsed="false">
      <c r="A29" s="0" t="n">
        <v>100880210</v>
      </c>
      <c r="B29" s="0" t="s">
        <v>295</v>
      </c>
      <c r="C29" s="0" t="s">
        <v>64</v>
      </c>
      <c r="D29" s="0" t="s">
        <v>65</v>
      </c>
      <c r="E29" s="0" t="s">
        <v>297</v>
      </c>
      <c r="G29" s="0" t="n">
        <v>1</v>
      </c>
      <c r="H29" s="0" t="s">
        <v>298</v>
      </c>
      <c r="I29" s="48" t="n">
        <v>46297</v>
      </c>
      <c r="J29" s="0" t="n">
        <v>0</v>
      </c>
      <c r="K29" s="49" t="s">
        <v>334</v>
      </c>
      <c r="L29" s="49" t="s">
        <v>335</v>
      </c>
      <c r="M29" s="48"/>
      <c r="O29" s="49" t="s">
        <v>336</v>
      </c>
      <c r="P29" s="48"/>
      <c r="Q29" s="48" t="n">
        <v>46297</v>
      </c>
      <c r="R29" s="48" t="n">
        <v>46303</v>
      </c>
      <c r="T29" s="49" t="s">
        <v>302</v>
      </c>
      <c r="U29" s="49" t="s">
        <v>303</v>
      </c>
      <c r="Y29" s="49" t="s">
        <v>312</v>
      </c>
      <c r="AD29" s="49" t="s">
        <v>305</v>
      </c>
      <c r="AE29" s="48" t="n">
        <v>46286</v>
      </c>
      <c r="AF29" s="49" t="s">
        <v>306</v>
      </c>
      <c r="AG29" s="49" t="s">
        <v>307</v>
      </c>
      <c r="AK29" s="49" t="s">
        <v>303</v>
      </c>
      <c r="AL29" s="49" t="s">
        <v>297</v>
      </c>
      <c r="AO29" s="49" t="s">
        <v>303</v>
      </c>
      <c r="AP29" s="48"/>
      <c r="AR29" s="49" t="s">
        <v>303</v>
      </c>
      <c r="AS29" s="49" t="s">
        <v>306</v>
      </c>
      <c r="AT29" s="49" t="s">
        <v>425</v>
      </c>
      <c r="AV29" s="49" t="s">
        <v>309</v>
      </c>
      <c r="AW29" s="49" t="s">
        <v>310</v>
      </c>
      <c r="AX29" s="49" t="s">
        <v>311</v>
      </c>
      <c r="AY29" s="48"/>
      <c r="AZ29" s="48" t="n">
        <v>46295</v>
      </c>
      <c r="BC29" s="49" t="s">
        <v>303</v>
      </c>
      <c r="BD29" s="48"/>
      <c r="BE29" s="49" t="s">
        <v>312</v>
      </c>
      <c r="BF29" s="49" t="s">
        <v>303</v>
      </c>
      <c r="BG29" s="48"/>
      <c r="BI29" s="48"/>
      <c r="BJ29" s="48" t="n">
        <v>46302</v>
      </c>
      <c r="BK29" s="49" t="s">
        <v>313</v>
      </c>
      <c r="BL29" s="49" t="s">
        <v>313</v>
      </c>
      <c r="BM29" s="49" t="s">
        <v>310</v>
      </c>
      <c r="BN29" s="48"/>
      <c r="BO29" s="48"/>
      <c r="BP29" s="48"/>
      <c r="BR29" s="48" t="n">
        <v>46302</v>
      </c>
      <c r="BS29" s="49" t="s">
        <v>312</v>
      </c>
      <c r="BT29" s="49" t="s">
        <v>312</v>
      </c>
      <c r="BU29" s="49" t="s">
        <v>313</v>
      </c>
      <c r="BV29" s="49" t="s">
        <v>303</v>
      </c>
      <c r="BX29" s="0" t="n">
        <v>0</v>
      </c>
      <c r="CC29" s="49" t="s">
        <v>315</v>
      </c>
      <c r="CD29" s="49" t="s">
        <v>303</v>
      </c>
      <c r="CF29" s="49" t="s">
        <v>303</v>
      </c>
      <c r="CG29" s="49" t="s">
        <v>316</v>
      </c>
      <c r="CH29" s="49" t="s">
        <v>317</v>
      </c>
      <c r="CI29" s="49" t="s">
        <v>318</v>
      </c>
      <c r="CM29" s="49" t="s">
        <v>65</v>
      </c>
      <c r="CV29" s="49" t="s">
        <v>303</v>
      </c>
      <c r="DB29" s="49" t="s">
        <v>319</v>
      </c>
      <c r="DD29" s="48" t="n">
        <v>46286</v>
      </c>
      <c r="DF29" s="49" t="s">
        <v>310</v>
      </c>
      <c r="DG29" s="49" t="s">
        <v>320</v>
      </c>
      <c r="DH29" s="49" t="s">
        <v>64</v>
      </c>
      <c r="DI29" s="49" t="s">
        <v>298</v>
      </c>
      <c r="DJ29" s="49" t="s">
        <v>394</v>
      </c>
      <c r="DK29" s="49" t="s">
        <v>322</v>
      </c>
      <c r="DL29" s="49" t="s">
        <v>323</v>
      </c>
      <c r="DM29" s="49" t="s">
        <v>303</v>
      </c>
      <c r="DN29" s="49" t="s">
        <v>297</v>
      </c>
      <c r="DO29" s="48"/>
      <c r="DP29" s="49" t="s">
        <v>312</v>
      </c>
      <c r="DQ29" s="48"/>
      <c r="DR29" s="49" t="s">
        <v>312</v>
      </c>
      <c r="DS29" s="49" t="s">
        <v>303</v>
      </c>
      <c r="DT29" s="49" t="s">
        <v>303</v>
      </c>
      <c r="DW29" s="49" t="s">
        <v>303</v>
      </c>
      <c r="EA29" s="49" t="s">
        <v>324</v>
      </c>
      <c r="EB29" s="49" t="s">
        <v>303</v>
      </c>
      <c r="EF29" s="49" t="s">
        <v>399</v>
      </c>
      <c r="EH29" s="49" t="s">
        <v>310</v>
      </c>
      <c r="EJ29" s="49" t="s">
        <v>303</v>
      </c>
      <c r="EK29" s="49" t="s">
        <v>426</v>
      </c>
      <c r="EM29" s="49" t="s">
        <v>303</v>
      </c>
      <c r="EN29" s="49" t="s">
        <v>396</v>
      </c>
      <c r="EP29" s="49" t="s">
        <v>298</v>
      </c>
      <c r="EQ29" s="0" t="n">
        <v>1</v>
      </c>
      <c r="ER29" s="49" t="s">
        <v>328</v>
      </c>
      <c r="ES29" s="49" t="s">
        <v>329</v>
      </c>
      <c r="ET29" s="49" t="s">
        <v>310</v>
      </c>
      <c r="EU29" s="49" t="s">
        <v>310</v>
      </c>
      <c r="EV29" s="49" t="s">
        <v>310</v>
      </c>
      <c r="EX29" s="49" t="s">
        <v>303</v>
      </c>
      <c r="EY29" s="49" t="s">
        <v>303</v>
      </c>
      <c r="FC29" s="49" t="s">
        <v>330</v>
      </c>
      <c r="FD29" s="49" t="s">
        <v>310</v>
      </c>
      <c r="FE29" s="49" t="s">
        <v>310</v>
      </c>
      <c r="FF29" s="49" t="s">
        <v>64</v>
      </c>
      <c r="FG29" s="49" t="s">
        <v>397</v>
      </c>
      <c r="FH29" s="49" t="s">
        <v>310</v>
      </c>
      <c r="FI29" s="49" t="s">
        <v>332</v>
      </c>
      <c r="FJ29" s="49" t="s">
        <v>303</v>
      </c>
      <c r="FL29" s="49" t="s">
        <v>325</v>
      </c>
      <c r="FM29" s="49" t="s">
        <v>334</v>
      </c>
      <c r="FP29" s="49" t="s">
        <v>303</v>
      </c>
      <c r="FR29" s="49" t="s">
        <v>303</v>
      </c>
      <c r="FT29" s="49" t="s">
        <v>325</v>
      </c>
      <c r="FU29" s="49" t="s">
        <v>325</v>
      </c>
      <c r="FW29" s="49" t="s">
        <v>333</v>
      </c>
    </row>
    <row r="30" customFormat="false" ht="15" hidden="false" customHeight="false" outlineLevel="0" collapsed="false">
      <c r="A30" s="0" t="n">
        <v>100880211</v>
      </c>
      <c r="B30" s="0" t="s">
        <v>295</v>
      </c>
      <c r="C30" s="0" t="s">
        <v>64</v>
      </c>
      <c r="D30" s="0" t="s">
        <v>65</v>
      </c>
      <c r="E30" s="0" t="s">
        <v>297</v>
      </c>
      <c r="G30" s="0" t="n">
        <v>1</v>
      </c>
      <c r="H30" s="0" t="s">
        <v>298</v>
      </c>
      <c r="I30" s="48" t="n">
        <v>46297</v>
      </c>
      <c r="J30" s="0" t="n">
        <v>0</v>
      </c>
      <c r="K30" s="49" t="s">
        <v>334</v>
      </c>
      <c r="L30" s="49" t="s">
        <v>335</v>
      </c>
      <c r="M30" s="48"/>
      <c r="O30" s="49" t="s">
        <v>336</v>
      </c>
      <c r="P30" s="48"/>
      <c r="Q30" s="48" t="n">
        <v>46297</v>
      </c>
      <c r="R30" s="48" t="n">
        <v>46303</v>
      </c>
      <c r="T30" s="49" t="s">
        <v>302</v>
      </c>
      <c r="U30" s="49" t="s">
        <v>303</v>
      </c>
      <c r="Y30" s="49" t="s">
        <v>312</v>
      </c>
      <c r="AD30" s="49" t="s">
        <v>305</v>
      </c>
      <c r="AE30" s="48" t="n">
        <v>46286</v>
      </c>
      <c r="AF30" s="49" t="s">
        <v>306</v>
      </c>
      <c r="AG30" s="49" t="s">
        <v>307</v>
      </c>
      <c r="AK30" s="49" t="s">
        <v>303</v>
      </c>
      <c r="AL30" s="49" t="s">
        <v>297</v>
      </c>
      <c r="AO30" s="49" t="s">
        <v>303</v>
      </c>
      <c r="AP30" s="48"/>
      <c r="AR30" s="49" t="s">
        <v>303</v>
      </c>
      <c r="AS30" s="49" t="s">
        <v>306</v>
      </c>
      <c r="AT30" s="49" t="s">
        <v>427</v>
      </c>
      <c r="AV30" s="49" t="s">
        <v>309</v>
      </c>
      <c r="AW30" s="49" t="s">
        <v>310</v>
      </c>
      <c r="AX30" s="49" t="s">
        <v>311</v>
      </c>
      <c r="AY30" s="48"/>
      <c r="AZ30" s="48" t="n">
        <v>46295</v>
      </c>
      <c r="BC30" s="49" t="s">
        <v>303</v>
      </c>
      <c r="BD30" s="48"/>
      <c r="BE30" s="49" t="s">
        <v>312</v>
      </c>
      <c r="BF30" s="49" t="s">
        <v>303</v>
      </c>
      <c r="BG30" s="48"/>
      <c r="BI30" s="48"/>
      <c r="BJ30" s="48" t="n">
        <v>46302</v>
      </c>
      <c r="BK30" s="49" t="s">
        <v>313</v>
      </c>
      <c r="BL30" s="49" t="s">
        <v>313</v>
      </c>
      <c r="BM30" s="49" t="s">
        <v>310</v>
      </c>
      <c r="BN30" s="48"/>
      <c r="BO30" s="48"/>
      <c r="BP30" s="48"/>
      <c r="BR30" s="48" t="n">
        <v>46302</v>
      </c>
      <c r="BS30" s="49" t="s">
        <v>312</v>
      </c>
      <c r="BT30" s="49" t="s">
        <v>312</v>
      </c>
      <c r="BU30" s="49" t="s">
        <v>313</v>
      </c>
      <c r="BV30" s="49" t="s">
        <v>303</v>
      </c>
      <c r="BX30" s="0" t="n">
        <v>0</v>
      </c>
      <c r="CC30" s="49" t="s">
        <v>315</v>
      </c>
      <c r="CD30" s="49" t="s">
        <v>303</v>
      </c>
      <c r="CF30" s="49" t="s">
        <v>303</v>
      </c>
      <c r="CG30" s="49" t="s">
        <v>316</v>
      </c>
      <c r="CH30" s="49" t="s">
        <v>317</v>
      </c>
      <c r="CI30" s="49" t="s">
        <v>318</v>
      </c>
      <c r="CM30" s="49" t="s">
        <v>65</v>
      </c>
      <c r="CV30" s="49" t="s">
        <v>303</v>
      </c>
      <c r="DB30" s="49" t="s">
        <v>319</v>
      </c>
      <c r="DD30" s="48" t="n">
        <v>46286</v>
      </c>
      <c r="DF30" s="49" t="s">
        <v>310</v>
      </c>
      <c r="DG30" s="49" t="s">
        <v>320</v>
      </c>
      <c r="DH30" s="49" t="s">
        <v>64</v>
      </c>
      <c r="DI30" s="49" t="s">
        <v>298</v>
      </c>
      <c r="DJ30" s="49" t="s">
        <v>394</v>
      </c>
      <c r="DK30" s="49" t="s">
        <v>322</v>
      </c>
      <c r="DL30" s="49" t="s">
        <v>323</v>
      </c>
      <c r="DM30" s="49" t="s">
        <v>303</v>
      </c>
      <c r="DN30" s="49" t="s">
        <v>297</v>
      </c>
      <c r="DO30" s="48"/>
      <c r="DP30" s="49" t="s">
        <v>312</v>
      </c>
      <c r="DQ30" s="48"/>
      <c r="DR30" s="49" t="s">
        <v>312</v>
      </c>
      <c r="DS30" s="49" t="s">
        <v>303</v>
      </c>
      <c r="DT30" s="49" t="s">
        <v>303</v>
      </c>
      <c r="DW30" s="49" t="s">
        <v>303</v>
      </c>
      <c r="EA30" s="49" t="s">
        <v>324</v>
      </c>
      <c r="EB30" s="49" t="s">
        <v>303</v>
      </c>
      <c r="EF30" s="49" t="s">
        <v>399</v>
      </c>
      <c r="EH30" s="49" t="s">
        <v>310</v>
      </c>
      <c r="EJ30" s="49" t="s">
        <v>303</v>
      </c>
      <c r="EK30" s="49" t="s">
        <v>428</v>
      </c>
      <c r="EM30" s="49" t="s">
        <v>303</v>
      </c>
      <c r="EN30" s="49" t="s">
        <v>396</v>
      </c>
      <c r="EP30" s="49" t="s">
        <v>298</v>
      </c>
      <c r="EQ30" s="0" t="n">
        <v>1</v>
      </c>
      <c r="ER30" s="49" t="s">
        <v>328</v>
      </c>
      <c r="ES30" s="49" t="s">
        <v>329</v>
      </c>
      <c r="ET30" s="49" t="s">
        <v>310</v>
      </c>
      <c r="EU30" s="49" t="s">
        <v>310</v>
      </c>
      <c r="EV30" s="49" t="s">
        <v>310</v>
      </c>
      <c r="EX30" s="49" t="s">
        <v>303</v>
      </c>
      <c r="EY30" s="49" t="s">
        <v>303</v>
      </c>
      <c r="FC30" s="49" t="s">
        <v>330</v>
      </c>
      <c r="FD30" s="49" t="s">
        <v>310</v>
      </c>
      <c r="FE30" s="49" t="s">
        <v>310</v>
      </c>
      <c r="FF30" s="49" t="s">
        <v>64</v>
      </c>
      <c r="FG30" s="49" t="s">
        <v>397</v>
      </c>
      <c r="FH30" s="49" t="s">
        <v>310</v>
      </c>
      <c r="FI30" s="49" t="s">
        <v>332</v>
      </c>
      <c r="FJ30" s="49" t="s">
        <v>303</v>
      </c>
      <c r="FL30" s="49" t="s">
        <v>325</v>
      </c>
      <c r="FM30" s="49" t="s">
        <v>334</v>
      </c>
      <c r="FP30" s="49" t="s">
        <v>303</v>
      </c>
      <c r="FR30" s="49" t="s">
        <v>303</v>
      </c>
      <c r="FT30" s="49" t="s">
        <v>325</v>
      </c>
      <c r="FU30" s="49" t="s">
        <v>325</v>
      </c>
      <c r="FW30" s="49" t="s">
        <v>333</v>
      </c>
    </row>
    <row r="31" customFormat="false" ht="15" hidden="false" customHeight="false" outlineLevel="0" collapsed="false">
      <c r="A31" s="0" t="n">
        <v>100880212</v>
      </c>
      <c r="B31" s="0" t="s">
        <v>295</v>
      </c>
      <c r="C31" s="0" t="s">
        <v>64</v>
      </c>
      <c r="D31" s="0" t="s">
        <v>65</v>
      </c>
      <c r="E31" s="0" t="s">
        <v>297</v>
      </c>
      <c r="G31" s="0" t="n">
        <v>1</v>
      </c>
      <c r="H31" s="0" t="s">
        <v>298</v>
      </c>
      <c r="I31" s="48" t="n">
        <v>46297</v>
      </c>
      <c r="J31" s="0" t="n">
        <v>0</v>
      </c>
      <c r="K31" s="49" t="s">
        <v>334</v>
      </c>
      <c r="L31" s="49" t="s">
        <v>335</v>
      </c>
      <c r="M31" s="48"/>
      <c r="O31" s="49" t="s">
        <v>336</v>
      </c>
      <c r="P31" s="48"/>
      <c r="Q31" s="48" t="n">
        <v>46297</v>
      </c>
      <c r="R31" s="48" t="n">
        <v>46303</v>
      </c>
      <c r="T31" s="49" t="s">
        <v>302</v>
      </c>
      <c r="U31" s="49" t="s">
        <v>303</v>
      </c>
      <c r="Y31" s="49" t="s">
        <v>312</v>
      </c>
      <c r="AD31" s="49" t="s">
        <v>305</v>
      </c>
      <c r="AE31" s="48" t="n">
        <v>46286</v>
      </c>
      <c r="AF31" s="49" t="s">
        <v>306</v>
      </c>
      <c r="AG31" s="49" t="s">
        <v>307</v>
      </c>
      <c r="AK31" s="49" t="s">
        <v>303</v>
      </c>
      <c r="AL31" s="49" t="s">
        <v>297</v>
      </c>
      <c r="AO31" s="49" t="s">
        <v>303</v>
      </c>
      <c r="AP31" s="48"/>
      <c r="AR31" s="49" t="s">
        <v>303</v>
      </c>
      <c r="AS31" s="49" t="s">
        <v>306</v>
      </c>
      <c r="AT31" s="49" t="s">
        <v>429</v>
      </c>
      <c r="AV31" s="49" t="s">
        <v>309</v>
      </c>
      <c r="AW31" s="49" t="s">
        <v>310</v>
      </c>
      <c r="AX31" s="49" t="s">
        <v>311</v>
      </c>
      <c r="AY31" s="48"/>
      <c r="AZ31" s="48" t="n">
        <v>46295</v>
      </c>
      <c r="BC31" s="49" t="s">
        <v>303</v>
      </c>
      <c r="BD31" s="48"/>
      <c r="BE31" s="49" t="s">
        <v>312</v>
      </c>
      <c r="BF31" s="49" t="s">
        <v>303</v>
      </c>
      <c r="BG31" s="48"/>
      <c r="BI31" s="48"/>
      <c r="BJ31" s="48" t="n">
        <v>46302</v>
      </c>
      <c r="BK31" s="49" t="s">
        <v>313</v>
      </c>
      <c r="BL31" s="49" t="s">
        <v>313</v>
      </c>
      <c r="BM31" s="49" t="s">
        <v>310</v>
      </c>
      <c r="BN31" s="48"/>
      <c r="BO31" s="48"/>
      <c r="BP31" s="48"/>
      <c r="BR31" s="48" t="n">
        <v>46302</v>
      </c>
      <c r="BS31" s="49" t="s">
        <v>312</v>
      </c>
      <c r="BT31" s="49" t="s">
        <v>312</v>
      </c>
      <c r="BU31" s="49" t="s">
        <v>313</v>
      </c>
      <c r="BV31" s="49" t="s">
        <v>303</v>
      </c>
      <c r="BX31" s="0" t="n">
        <v>0</v>
      </c>
      <c r="CC31" s="49" t="s">
        <v>315</v>
      </c>
      <c r="CD31" s="49" t="s">
        <v>303</v>
      </c>
      <c r="CF31" s="49" t="s">
        <v>303</v>
      </c>
      <c r="CG31" s="49" t="s">
        <v>316</v>
      </c>
      <c r="CH31" s="49" t="s">
        <v>317</v>
      </c>
      <c r="CI31" s="49" t="s">
        <v>318</v>
      </c>
      <c r="CM31" s="49" t="s">
        <v>65</v>
      </c>
      <c r="CV31" s="49" t="s">
        <v>303</v>
      </c>
      <c r="DB31" s="49" t="s">
        <v>319</v>
      </c>
      <c r="DD31" s="48" t="n">
        <v>46286</v>
      </c>
      <c r="DF31" s="49" t="s">
        <v>310</v>
      </c>
      <c r="DG31" s="49" t="s">
        <v>320</v>
      </c>
      <c r="DH31" s="49" t="s">
        <v>64</v>
      </c>
      <c r="DI31" s="49" t="s">
        <v>298</v>
      </c>
      <c r="DJ31" s="49" t="s">
        <v>394</v>
      </c>
      <c r="DK31" s="49" t="s">
        <v>322</v>
      </c>
      <c r="DL31" s="49" t="s">
        <v>323</v>
      </c>
      <c r="DM31" s="49" t="s">
        <v>303</v>
      </c>
      <c r="DN31" s="49" t="s">
        <v>297</v>
      </c>
      <c r="DO31" s="48"/>
      <c r="DP31" s="49" t="s">
        <v>312</v>
      </c>
      <c r="DQ31" s="48"/>
      <c r="DR31" s="49" t="s">
        <v>312</v>
      </c>
      <c r="DS31" s="49" t="s">
        <v>303</v>
      </c>
      <c r="DT31" s="49" t="s">
        <v>303</v>
      </c>
      <c r="DW31" s="49" t="s">
        <v>303</v>
      </c>
      <c r="EA31" s="49" t="s">
        <v>324</v>
      </c>
      <c r="EB31" s="49" t="s">
        <v>303</v>
      </c>
      <c r="EF31" s="49" t="s">
        <v>399</v>
      </c>
      <c r="EH31" s="49" t="s">
        <v>310</v>
      </c>
      <c r="EJ31" s="49" t="s">
        <v>303</v>
      </c>
      <c r="EK31" s="49" t="s">
        <v>430</v>
      </c>
      <c r="EM31" s="49" t="s">
        <v>303</v>
      </c>
      <c r="EN31" s="49" t="s">
        <v>396</v>
      </c>
      <c r="EP31" s="49" t="s">
        <v>298</v>
      </c>
      <c r="EQ31" s="0" t="n">
        <v>1</v>
      </c>
      <c r="ER31" s="49" t="s">
        <v>328</v>
      </c>
      <c r="ES31" s="49" t="s">
        <v>329</v>
      </c>
      <c r="ET31" s="49" t="s">
        <v>310</v>
      </c>
      <c r="EU31" s="49" t="s">
        <v>310</v>
      </c>
      <c r="EV31" s="49" t="s">
        <v>310</v>
      </c>
      <c r="EX31" s="49" t="s">
        <v>303</v>
      </c>
      <c r="EY31" s="49" t="s">
        <v>303</v>
      </c>
      <c r="FC31" s="49" t="s">
        <v>330</v>
      </c>
      <c r="FD31" s="49" t="s">
        <v>310</v>
      </c>
      <c r="FE31" s="49" t="s">
        <v>310</v>
      </c>
      <c r="FF31" s="49" t="s">
        <v>64</v>
      </c>
      <c r="FG31" s="49" t="s">
        <v>397</v>
      </c>
      <c r="FH31" s="49" t="s">
        <v>310</v>
      </c>
      <c r="FI31" s="49" t="s">
        <v>332</v>
      </c>
      <c r="FJ31" s="49" t="s">
        <v>303</v>
      </c>
      <c r="FL31" s="49" t="s">
        <v>325</v>
      </c>
      <c r="FM31" s="49" t="s">
        <v>334</v>
      </c>
      <c r="FP31" s="49" t="s">
        <v>303</v>
      </c>
      <c r="FR31" s="49" t="s">
        <v>303</v>
      </c>
      <c r="FT31" s="49" t="s">
        <v>325</v>
      </c>
      <c r="FU31" s="49" t="s">
        <v>325</v>
      </c>
      <c r="FW31" s="49" t="s">
        <v>333</v>
      </c>
    </row>
    <row r="32" customFormat="false" ht="15" hidden="false" customHeight="false" outlineLevel="0" collapsed="false">
      <c r="A32" s="0" t="n">
        <v>100880213</v>
      </c>
      <c r="B32" s="0" t="s">
        <v>295</v>
      </c>
      <c r="C32" s="0" t="s">
        <v>64</v>
      </c>
      <c r="D32" s="0" t="s">
        <v>65</v>
      </c>
      <c r="E32" s="0" t="s">
        <v>297</v>
      </c>
      <c r="G32" s="0" t="n">
        <v>1</v>
      </c>
      <c r="H32" s="0" t="s">
        <v>298</v>
      </c>
      <c r="I32" s="48" t="n">
        <v>46297</v>
      </c>
      <c r="J32" s="0" t="n">
        <v>0</v>
      </c>
      <c r="K32" s="49" t="s">
        <v>334</v>
      </c>
      <c r="L32" s="49" t="s">
        <v>335</v>
      </c>
      <c r="M32" s="48"/>
      <c r="O32" s="49" t="s">
        <v>336</v>
      </c>
      <c r="P32" s="48"/>
      <c r="Q32" s="48" t="n">
        <v>46297</v>
      </c>
      <c r="R32" s="48" t="n">
        <v>46303</v>
      </c>
      <c r="T32" s="49" t="s">
        <v>302</v>
      </c>
      <c r="U32" s="49" t="s">
        <v>303</v>
      </c>
      <c r="Y32" s="49" t="s">
        <v>312</v>
      </c>
      <c r="AD32" s="49" t="s">
        <v>305</v>
      </c>
      <c r="AE32" s="48" t="n">
        <v>46286</v>
      </c>
      <c r="AF32" s="49" t="s">
        <v>306</v>
      </c>
      <c r="AG32" s="49" t="s">
        <v>307</v>
      </c>
      <c r="AK32" s="49" t="s">
        <v>303</v>
      </c>
      <c r="AL32" s="49" t="s">
        <v>297</v>
      </c>
      <c r="AO32" s="49" t="s">
        <v>303</v>
      </c>
      <c r="AP32" s="48"/>
      <c r="AR32" s="49" t="s">
        <v>303</v>
      </c>
      <c r="AS32" s="49" t="s">
        <v>306</v>
      </c>
      <c r="AT32" s="49" t="s">
        <v>431</v>
      </c>
      <c r="AV32" s="49" t="s">
        <v>309</v>
      </c>
      <c r="AW32" s="49" t="s">
        <v>310</v>
      </c>
      <c r="AX32" s="49" t="s">
        <v>311</v>
      </c>
      <c r="AY32" s="48"/>
      <c r="AZ32" s="48" t="n">
        <v>46295</v>
      </c>
      <c r="BC32" s="49" t="s">
        <v>303</v>
      </c>
      <c r="BD32" s="48"/>
      <c r="BE32" s="49" t="s">
        <v>312</v>
      </c>
      <c r="BF32" s="49" t="s">
        <v>303</v>
      </c>
      <c r="BG32" s="48"/>
      <c r="BI32" s="48"/>
      <c r="BJ32" s="48" t="n">
        <v>46302</v>
      </c>
      <c r="BK32" s="49" t="s">
        <v>313</v>
      </c>
      <c r="BL32" s="49" t="s">
        <v>313</v>
      </c>
      <c r="BM32" s="49" t="s">
        <v>310</v>
      </c>
      <c r="BN32" s="48"/>
      <c r="BO32" s="48"/>
      <c r="BP32" s="48"/>
      <c r="BR32" s="48" t="n">
        <v>46302</v>
      </c>
      <c r="BS32" s="49" t="s">
        <v>312</v>
      </c>
      <c r="BT32" s="49" t="s">
        <v>312</v>
      </c>
      <c r="BU32" s="49" t="s">
        <v>313</v>
      </c>
      <c r="BV32" s="49" t="s">
        <v>303</v>
      </c>
      <c r="BX32" s="0" t="n">
        <v>0</v>
      </c>
      <c r="CC32" s="49" t="s">
        <v>315</v>
      </c>
      <c r="CD32" s="49" t="s">
        <v>303</v>
      </c>
      <c r="CF32" s="49" t="s">
        <v>303</v>
      </c>
      <c r="CG32" s="49" t="s">
        <v>316</v>
      </c>
      <c r="CH32" s="49" t="s">
        <v>317</v>
      </c>
      <c r="CI32" s="49" t="s">
        <v>318</v>
      </c>
      <c r="CM32" s="49" t="s">
        <v>65</v>
      </c>
      <c r="CV32" s="49" t="s">
        <v>303</v>
      </c>
      <c r="DB32" s="49" t="s">
        <v>319</v>
      </c>
      <c r="DD32" s="48" t="n">
        <v>46286</v>
      </c>
      <c r="DF32" s="49" t="s">
        <v>310</v>
      </c>
      <c r="DG32" s="49" t="s">
        <v>320</v>
      </c>
      <c r="DH32" s="49" t="s">
        <v>64</v>
      </c>
      <c r="DI32" s="49" t="s">
        <v>298</v>
      </c>
      <c r="DJ32" s="49" t="s">
        <v>394</v>
      </c>
      <c r="DK32" s="49" t="s">
        <v>322</v>
      </c>
      <c r="DL32" s="49" t="s">
        <v>323</v>
      </c>
      <c r="DM32" s="49" t="s">
        <v>303</v>
      </c>
      <c r="DN32" s="49" t="s">
        <v>297</v>
      </c>
      <c r="DO32" s="48"/>
      <c r="DP32" s="49" t="s">
        <v>312</v>
      </c>
      <c r="DQ32" s="48"/>
      <c r="DR32" s="49" t="s">
        <v>312</v>
      </c>
      <c r="DS32" s="49" t="s">
        <v>303</v>
      </c>
      <c r="DT32" s="49" t="s">
        <v>303</v>
      </c>
      <c r="DW32" s="49" t="s">
        <v>303</v>
      </c>
      <c r="EA32" s="49" t="s">
        <v>324</v>
      </c>
      <c r="EB32" s="49" t="s">
        <v>303</v>
      </c>
      <c r="EF32" s="49" t="s">
        <v>399</v>
      </c>
      <c r="EH32" s="49" t="s">
        <v>310</v>
      </c>
      <c r="EJ32" s="49" t="s">
        <v>303</v>
      </c>
      <c r="EK32" s="49" t="s">
        <v>432</v>
      </c>
      <c r="EM32" s="49" t="s">
        <v>303</v>
      </c>
      <c r="EN32" s="49" t="s">
        <v>396</v>
      </c>
      <c r="EP32" s="49" t="s">
        <v>298</v>
      </c>
      <c r="EQ32" s="0" t="n">
        <v>1</v>
      </c>
      <c r="ER32" s="49" t="s">
        <v>328</v>
      </c>
      <c r="ES32" s="49" t="s">
        <v>329</v>
      </c>
      <c r="ET32" s="49" t="s">
        <v>310</v>
      </c>
      <c r="EU32" s="49" t="s">
        <v>310</v>
      </c>
      <c r="EV32" s="49" t="s">
        <v>310</v>
      </c>
      <c r="EX32" s="49" t="s">
        <v>303</v>
      </c>
      <c r="EY32" s="49" t="s">
        <v>303</v>
      </c>
      <c r="FC32" s="49" t="s">
        <v>330</v>
      </c>
      <c r="FD32" s="49" t="s">
        <v>310</v>
      </c>
      <c r="FE32" s="49" t="s">
        <v>310</v>
      </c>
      <c r="FF32" s="49" t="s">
        <v>64</v>
      </c>
      <c r="FG32" s="49" t="s">
        <v>397</v>
      </c>
      <c r="FH32" s="49" t="s">
        <v>310</v>
      </c>
      <c r="FI32" s="49" t="s">
        <v>332</v>
      </c>
      <c r="FJ32" s="49" t="s">
        <v>303</v>
      </c>
      <c r="FL32" s="49" t="s">
        <v>325</v>
      </c>
      <c r="FM32" s="49" t="s">
        <v>334</v>
      </c>
      <c r="FP32" s="49" t="s">
        <v>303</v>
      </c>
      <c r="FR32" s="49" t="s">
        <v>303</v>
      </c>
      <c r="FT32" s="49" t="s">
        <v>325</v>
      </c>
      <c r="FU32" s="49" t="s">
        <v>325</v>
      </c>
      <c r="FW32" s="49" t="s">
        <v>333</v>
      </c>
    </row>
    <row r="33" customFormat="false" ht="15" hidden="false" customHeight="false" outlineLevel="0" collapsed="false">
      <c r="A33" s="0" t="n">
        <v>100880214</v>
      </c>
      <c r="B33" s="0" t="s">
        <v>295</v>
      </c>
      <c r="C33" s="0" t="s">
        <v>64</v>
      </c>
      <c r="D33" s="0" t="s">
        <v>65</v>
      </c>
      <c r="E33" s="0" t="s">
        <v>297</v>
      </c>
      <c r="G33" s="0" t="n">
        <v>1</v>
      </c>
      <c r="H33" s="0" t="s">
        <v>298</v>
      </c>
      <c r="I33" s="48" t="n">
        <v>46297</v>
      </c>
      <c r="J33" s="0" t="n">
        <v>0</v>
      </c>
      <c r="K33" s="49" t="s">
        <v>334</v>
      </c>
      <c r="L33" s="49" t="s">
        <v>335</v>
      </c>
      <c r="M33" s="48"/>
      <c r="O33" s="49" t="s">
        <v>336</v>
      </c>
      <c r="P33" s="48"/>
      <c r="Q33" s="48" t="n">
        <v>46297</v>
      </c>
      <c r="R33" s="48" t="n">
        <v>46303</v>
      </c>
      <c r="T33" s="49" t="s">
        <v>302</v>
      </c>
      <c r="U33" s="49" t="s">
        <v>303</v>
      </c>
      <c r="Y33" s="49" t="s">
        <v>312</v>
      </c>
      <c r="AD33" s="49" t="s">
        <v>305</v>
      </c>
      <c r="AE33" s="48" t="n">
        <v>46286</v>
      </c>
      <c r="AF33" s="49" t="s">
        <v>306</v>
      </c>
      <c r="AG33" s="49" t="s">
        <v>307</v>
      </c>
      <c r="AK33" s="49" t="s">
        <v>303</v>
      </c>
      <c r="AL33" s="49" t="s">
        <v>297</v>
      </c>
      <c r="AO33" s="49" t="s">
        <v>303</v>
      </c>
      <c r="AP33" s="48"/>
      <c r="AR33" s="49" t="s">
        <v>303</v>
      </c>
      <c r="AS33" s="49" t="s">
        <v>306</v>
      </c>
      <c r="AT33" s="49" t="s">
        <v>433</v>
      </c>
      <c r="AV33" s="49" t="s">
        <v>309</v>
      </c>
      <c r="AW33" s="49" t="s">
        <v>310</v>
      </c>
      <c r="AX33" s="49" t="s">
        <v>311</v>
      </c>
      <c r="AY33" s="48"/>
      <c r="AZ33" s="48" t="n">
        <v>46295</v>
      </c>
      <c r="BC33" s="49" t="s">
        <v>303</v>
      </c>
      <c r="BD33" s="48"/>
      <c r="BE33" s="49" t="s">
        <v>312</v>
      </c>
      <c r="BF33" s="49" t="s">
        <v>303</v>
      </c>
      <c r="BG33" s="48"/>
      <c r="BI33" s="48"/>
      <c r="BJ33" s="48" t="n">
        <v>46302</v>
      </c>
      <c r="BK33" s="49" t="s">
        <v>313</v>
      </c>
      <c r="BL33" s="49" t="s">
        <v>313</v>
      </c>
      <c r="BM33" s="49" t="s">
        <v>310</v>
      </c>
      <c r="BN33" s="48"/>
      <c r="BO33" s="48"/>
      <c r="BP33" s="48"/>
      <c r="BR33" s="48" t="n">
        <v>46302</v>
      </c>
      <c r="BS33" s="49" t="s">
        <v>312</v>
      </c>
      <c r="BT33" s="49" t="s">
        <v>312</v>
      </c>
      <c r="BU33" s="49" t="s">
        <v>313</v>
      </c>
      <c r="BV33" s="49" t="s">
        <v>303</v>
      </c>
      <c r="BX33" s="0" t="n">
        <v>0</v>
      </c>
      <c r="CC33" s="49" t="s">
        <v>315</v>
      </c>
      <c r="CD33" s="49" t="s">
        <v>303</v>
      </c>
      <c r="CF33" s="49" t="s">
        <v>303</v>
      </c>
      <c r="CG33" s="49" t="s">
        <v>316</v>
      </c>
      <c r="CH33" s="49" t="s">
        <v>317</v>
      </c>
      <c r="CI33" s="49" t="s">
        <v>318</v>
      </c>
      <c r="CM33" s="49" t="s">
        <v>65</v>
      </c>
      <c r="CV33" s="49" t="s">
        <v>303</v>
      </c>
      <c r="DB33" s="49" t="s">
        <v>319</v>
      </c>
      <c r="DD33" s="48" t="n">
        <v>46286</v>
      </c>
      <c r="DF33" s="49" t="s">
        <v>310</v>
      </c>
      <c r="DG33" s="49" t="s">
        <v>320</v>
      </c>
      <c r="DH33" s="49" t="s">
        <v>64</v>
      </c>
      <c r="DI33" s="49" t="s">
        <v>298</v>
      </c>
      <c r="DJ33" s="49" t="s">
        <v>394</v>
      </c>
      <c r="DK33" s="49" t="s">
        <v>322</v>
      </c>
      <c r="DL33" s="49" t="s">
        <v>323</v>
      </c>
      <c r="DM33" s="49" t="s">
        <v>303</v>
      </c>
      <c r="DN33" s="49" t="s">
        <v>297</v>
      </c>
      <c r="DO33" s="48"/>
      <c r="DP33" s="49" t="s">
        <v>312</v>
      </c>
      <c r="DQ33" s="48"/>
      <c r="DR33" s="49" t="s">
        <v>312</v>
      </c>
      <c r="DS33" s="49" t="s">
        <v>303</v>
      </c>
      <c r="DT33" s="49" t="s">
        <v>303</v>
      </c>
      <c r="DW33" s="49" t="s">
        <v>303</v>
      </c>
      <c r="EA33" s="49" t="s">
        <v>324</v>
      </c>
      <c r="EB33" s="49" t="s">
        <v>303</v>
      </c>
      <c r="EF33" s="49" t="s">
        <v>399</v>
      </c>
      <c r="EH33" s="49" t="s">
        <v>310</v>
      </c>
      <c r="EJ33" s="49" t="s">
        <v>303</v>
      </c>
      <c r="EK33" s="49" t="s">
        <v>434</v>
      </c>
      <c r="EM33" s="49" t="s">
        <v>303</v>
      </c>
      <c r="EN33" s="49" t="s">
        <v>396</v>
      </c>
      <c r="EP33" s="49" t="s">
        <v>298</v>
      </c>
      <c r="EQ33" s="0" t="n">
        <v>1</v>
      </c>
      <c r="ER33" s="49" t="s">
        <v>328</v>
      </c>
      <c r="ES33" s="49" t="s">
        <v>329</v>
      </c>
      <c r="ET33" s="49" t="s">
        <v>310</v>
      </c>
      <c r="EU33" s="49" t="s">
        <v>310</v>
      </c>
      <c r="EV33" s="49" t="s">
        <v>310</v>
      </c>
      <c r="EX33" s="49" t="s">
        <v>303</v>
      </c>
      <c r="EY33" s="49" t="s">
        <v>303</v>
      </c>
      <c r="FC33" s="49" t="s">
        <v>330</v>
      </c>
      <c r="FD33" s="49" t="s">
        <v>310</v>
      </c>
      <c r="FE33" s="49" t="s">
        <v>310</v>
      </c>
      <c r="FF33" s="49" t="s">
        <v>64</v>
      </c>
      <c r="FG33" s="49" t="s">
        <v>397</v>
      </c>
      <c r="FH33" s="49" t="s">
        <v>310</v>
      </c>
      <c r="FI33" s="49" t="s">
        <v>332</v>
      </c>
      <c r="FJ33" s="49" t="s">
        <v>303</v>
      </c>
      <c r="FL33" s="49" t="s">
        <v>325</v>
      </c>
      <c r="FM33" s="49" t="s">
        <v>334</v>
      </c>
      <c r="FP33" s="49" t="s">
        <v>303</v>
      </c>
      <c r="FR33" s="49" t="s">
        <v>303</v>
      </c>
      <c r="FT33" s="49" t="s">
        <v>325</v>
      </c>
      <c r="FU33" s="49" t="s">
        <v>325</v>
      </c>
      <c r="FW33" s="49" t="s">
        <v>333</v>
      </c>
    </row>
    <row r="34" customFormat="false" ht="15" hidden="false" customHeight="false" outlineLevel="0" collapsed="false">
      <c r="A34" s="0" t="n">
        <v>100880215</v>
      </c>
      <c r="B34" s="0" t="s">
        <v>295</v>
      </c>
      <c r="C34" s="0" t="s">
        <v>64</v>
      </c>
      <c r="D34" s="0" t="s">
        <v>65</v>
      </c>
      <c r="E34" s="0" t="s">
        <v>297</v>
      </c>
      <c r="G34" s="0" t="n">
        <v>1</v>
      </c>
      <c r="H34" s="0" t="s">
        <v>298</v>
      </c>
      <c r="I34" s="48" t="n">
        <v>46297</v>
      </c>
      <c r="J34" s="0" t="n">
        <v>0</v>
      </c>
      <c r="K34" s="49" t="s">
        <v>334</v>
      </c>
      <c r="L34" s="49" t="s">
        <v>335</v>
      </c>
      <c r="M34" s="48"/>
      <c r="O34" s="49" t="s">
        <v>336</v>
      </c>
      <c r="P34" s="48"/>
      <c r="Q34" s="48" t="n">
        <v>46297</v>
      </c>
      <c r="R34" s="48" t="n">
        <v>46303</v>
      </c>
      <c r="T34" s="49" t="s">
        <v>302</v>
      </c>
      <c r="U34" s="49" t="s">
        <v>303</v>
      </c>
      <c r="Y34" s="49" t="s">
        <v>312</v>
      </c>
      <c r="AD34" s="49" t="s">
        <v>305</v>
      </c>
      <c r="AE34" s="48" t="n">
        <v>46286</v>
      </c>
      <c r="AF34" s="49" t="s">
        <v>306</v>
      </c>
      <c r="AG34" s="49" t="s">
        <v>307</v>
      </c>
      <c r="AK34" s="49" t="s">
        <v>303</v>
      </c>
      <c r="AL34" s="49" t="s">
        <v>297</v>
      </c>
      <c r="AO34" s="49" t="s">
        <v>303</v>
      </c>
      <c r="AP34" s="48"/>
      <c r="AR34" s="49" t="s">
        <v>303</v>
      </c>
      <c r="AS34" s="49" t="s">
        <v>306</v>
      </c>
      <c r="AT34" s="49" t="s">
        <v>435</v>
      </c>
      <c r="AV34" s="49" t="s">
        <v>309</v>
      </c>
      <c r="AW34" s="49" t="s">
        <v>310</v>
      </c>
      <c r="AX34" s="49" t="s">
        <v>311</v>
      </c>
      <c r="AY34" s="48"/>
      <c r="AZ34" s="48" t="n">
        <v>46295</v>
      </c>
      <c r="BC34" s="49" t="s">
        <v>303</v>
      </c>
      <c r="BD34" s="48"/>
      <c r="BE34" s="49" t="s">
        <v>312</v>
      </c>
      <c r="BF34" s="49" t="s">
        <v>303</v>
      </c>
      <c r="BG34" s="48"/>
      <c r="BI34" s="48"/>
      <c r="BJ34" s="48" t="n">
        <v>46302</v>
      </c>
      <c r="BK34" s="49" t="s">
        <v>313</v>
      </c>
      <c r="BL34" s="49" t="s">
        <v>313</v>
      </c>
      <c r="BM34" s="49" t="s">
        <v>310</v>
      </c>
      <c r="BN34" s="48"/>
      <c r="BO34" s="48"/>
      <c r="BP34" s="48"/>
      <c r="BR34" s="48" t="n">
        <v>46302</v>
      </c>
      <c r="BS34" s="49" t="s">
        <v>312</v>
      </c>
      <c r="BT34" s="49" t="s">
        <v>312</v>
      </c>
      <c r="BU34" s="49" t="s">
        <v>313</v>
      </c>
      <c r="BV34" s="49" t="s">
        <v>303</v>
      </c>
      <c r="BX34" s="0" t="n">
        <v>0</v>
      </c>
      <c r="CC34" s="49" t="s">
        <v>315</v>
      </c>
      <c r="CD34" s="49" t="s">
        <v>303</v>
      </c>
      <c r="CF34" s="49" t="s">
        <v>303</v>
      </c>
      <c r="CG34" s="49" t="s">
        <v>316</v>
      </c>
      <c r="CH34" s="49" t="s">
        <v>317</v>
      </c>
      <c r="CI34" s="49" t="s">
        <v>318</v>
      </c>
      <c r="CM34" s="49" t="s">
        <v>65</v>
      </c>
      <c r="CV34" s="49" t="s">
        <v>303</v>
      </c>
      <c r="DB34" s="49" t="s">
        <v>319</v>
      </c>
      <c r="DD34" s="48" t="n">
        <v>46286</v>
      </c>
      <c r="DF34" s="49" t="s">
        <v>310</v>
      </c>
      <c r="DG34" s="49" t="s">
        <v>320</v>
      </c>
      <c r="DH34" s="49" t="s">
        <v>64</v>
      </c>
      <c r="DI34" s="49" t="s">
        <v>298</v>
      </c>
      <c r="DJ34" s="49" t="s">
        <v>394</v>
      </c>
      <c r="DK34" s="49" t="s">
        <v>322</v>
      </c>
      <c r="DL34" s="49" t="s">
        <v>323</v>
      </c>
      <c r="DM34" s="49" t="s">
        <v>303</v>
      </c>
      <c r="DN34" s="49" t="s">
        <v>297</v>
      </c>
      <c r="DO34" s="48"/>
      <c r="DP34" s="49" t="s">
        <v>312</v>
      </c>
      <c r="DQ34" s="48"/>
      <c r="DR34" s="49" t="s">
        <v>312</v>
      </c>
      <c r="DS34" s="49" t="s">
        <v>303</v>
      </c>
      <c r="DT34" s="49" t="s">
        <v>303</v>
      </c>
      <c r="DW34" s="49" t="s">
        <v>303</v>
      </c>
      <c r="EA34" s="49" t="s">
        <v>324</v>
      </c>
      <c r="EB34" s="49" t="s">
        <v>303</v>
      </c>
      <c r="EF34" s="49" t="s">
        <v>399</v>
      </c>
      <c r="EH34" s="49" t="s">
        <v>310</v>
      </c>
      <c r="EJ34" s="49" t="s">
        <v>303</v>
      </c>
      <c r="EK34" s="49" t="s">
        <v>436</v>
      </c>
      <c r="EM34" s="49" t="s">
        <v>303</v>
      </c>
      <c r="EN34" s="49" t="s">
        <v>396</v>
      </c>
      <c r="EP34" s="49" t="s">
        <v>298</v>
      </c>
      <c r="EQ34" s="0" t="n">
        <v>1</v>
      </c>
      <c r="ER34" s="49" t="s">
        <v>328</v>
      </c>
      <c r="ES34" s="49" t="s">
        <v>329</v>
      </c>
      <c r="ET34" s="49" t="s">
        <v>310</v>
      </c>
      <c r="EU34" s="49" t="s">
        <v>310</v>
      </c>
      <c r="EV34" s="49" t="s">
        <v>310</v>
      </c>
      <c r="EX34" s="49" t="s">
        <v>303</v>
      </c>
      <c r="EY34" s="49" t="s">
        <v>303</v>
      </c>
      <c r="FC34" s="49" t="s">
        <v>330</v>
      </c>
      <c r="FD34" s="49" t="s">
        <v>310</v>
      </c>
      <c r="FE34" s="49" t="s">
        <v>310</v>
      </c>
      <c r="FF34" s="49" t="s">
        <v>64</v>
      </c>
      <c r="FG34" s="49" t="s">
        <v>397</v>
      </c>
      <c r="FH34" s="49" t="s">
        <v>310</v>
      </c>
      <c r="FI34" s="49" t="s">
        <v>332</v>
      </c>
      <c r="FJ34" s="49" t="s">
        <v>303</v>
      </c>
      <c r="FL34" s="49" t="s">
        <v>325</v>
      </c>
      <c r="FM34" s="49" t="s">
        <v>334</v>
      </c>
      <c r="FP34" s="49" t="s">
        <v>303</v>
      </c>
      <c r="FR34" s="49" t="s">
        <v>303</v>
      </c>
      <c r="FT34" s="49" t="s">
        <v>325</v>
      </c>
      <c r="FU34" s="49" t="s">
        <v>325</v>
      </c>
      <c r="FW34" s="49" t="s">
        <v>333</v>
      </c>
    </row>
    <row r="35" customFormat="false" ht="15" hidden="false" customHeight="false" outlineLevel="0" collapsed="false">
      <c r="A35" s="0" t="n">
        <v>100880216</v>
      </c>
      <c r="B35" s="0" t="s">
        <v>295</v>
      </c>
      <c r="C35" s="0" t="s">
        <v>64</v>
      </c>
      <c r="D35" s="0" t="s">
        <v>65</v>
      </c>
      <c r="E35" s="0" t="s">
        <v>297</v>
      </c>
      <c r="G35" s="0" t="n">
        <v>1</v>
      </c>
      <c r="H35" s="0" t="s">
        <v>298</v>
      </c>
      <c r="I35" s="48" t="n">
        <v>46297</v>
      </c>
      <c r="J35" s="0" t="n">
        <v>0</v>
      </c>
      <c r="K35" s="49" t="s">
        <v>334</v>
      </c>
      <c r="L35" s="49" t="s">
        <v>335</v>
      </c>
      <c r="M35" s="48"/>
      <c r="O35" s="49" t="s">
        <v>336</v>
      </c>
      <c r="P35" s="48"/>
      <c r="Q35" s="48" t="n">
        <v>46297</v>
      </c>
      <c r="R35" s="48" t="n">
        <v>46303</v>
      </c>
      <c r="T35" s="49" t="s">
        <v>302</v>
      </c>
      <c r="U35" s="49" t="s">
        <v>303</v>
      </c>
      <c r="Y35" s="49" t="s">
        <v>312</v>
      </c>
      <c r="AD35" s="49" t="s">
        <v>305</v>
      </c>
      <c r="AE35" s="48" t="n">
        <v>46286</v>
      </c>
      <c r="AF35" s="49" t="s">
        <v>306</v>
      </c>
      <c r="AG35" s="49" t="s">
        <v>307</v>
      </c>
      <c r="AK35" s="49" t="s">
        <v>303</v>
      </c>
      <c r="AL35" s="49" t="s">
        <v>297</v>
      </c>
      <c r="AO35" s="49" t="s">
        <v>303</v>
      </c>
      <c r="AP35" s="48"/>
      <c r="AR35" s="49" t="s">
        <v>303</v>
      </c>
      <c r="AS35" s="49" t="s">
        <v>306</v>
      </c>
      <c r="AT35" s="49" t="s">
        <v>437</v>
      </c>
      <c r="AV35" s="49" t="s">
        <v>309</v>
      </c>
      <c r="AW35" s="49" t="s">
        <v>310</v>
      </c>
      <c r="AX35" s="49" t="s">
        <v>311</v>
      </c>
      <c r="AY35" s="48"/>
      <c r="AZ35" s="48" t="n">
        <v>46295</v>
      </c>
      <c r="BC35" s="49" t="s">
        <v>303</v>
      </c>
      <c r="BD35" s="48"/>
      <c r="BE35" s="49" t="s">
        <v>312</v>
      </c>
      <c r="BF35" s="49" t="s">
        <v>303</v>
      </c>
      <c r="BG35" s="48"/>
      <c r="BI35" s="48"/>
      <c r="BJ35" s="48" t="n">
        <v>46302</v>
      </c>
      <c r="BK35" s="49" t="s">
        <v>313</v>
      </c>
      <c r="BL35" s="49" t="s">
        <v>313</v>
      </c>
      <c r="BM35" s="49" t="s">
        <v>310</v>
      </c>
      <c r="BN35" s="48"/>
      <c r="BO35" s="48"/>
      <c r="BP35" s="48"/>
      <c r="BR35" s="48" t="n">
        <v>46302</v>
      </c>
      <c r="BS35" s="49" t="s">
        <v>312</v>
      </c>
      <c r="BT35" s="49" t="s">
        <v>312</v>
      </c>
      <c r="BU35" s="49" t="s">
        <v>313</v>
      </c>
      <c r="BV35" s="49" t="s">
        <v>303</v>
      </c>
      <c r="BX35" s="0" t="n">
        <v>0</v>
      </c>
      <c r="CC35" s="49" t="s">
        <v>315</v>
      </c>
      <c r="CD35" s="49" t="s">
        <v>303</v>
      </c>
      <c r="CF35" s="49" t="s">
        <v>303</v>
      </c>
      <c r="CG35" s="49" t="s">
        <v>316</v>
      </c>
      <c r="CH35" s="49" t="s">
        <v>317</v>
      </c>
      <c r="CI35" s="49" t="s">
        <v>318</v>
      </c>
      <c r="CM35" s="49" t="s">
        <v>65</v>
      </c>
      <c r="CV35" s="49" t="s">
        <v>303</v>
      </c>
      <c r="DB35" s="49" t="s">
        <v>319</v>
      </c>
      <c r="DD35" s="48" t="n">
        <v>46286</v>
      </c>
      <c r="DF35" s="49" t="s">
        <v>310</v>
      </c>
      <c r="DG35" s="49" t="s">
        <v>320</v>
      </c>
      <c r="DH35" s="49" t="s">
        <v>64</v>
      </c>
      <c r="DI35" s="49" t="s">
        <v>298</v>
      </c>
      <c r="DJ35" s="49" t="s">
        <v>394</v>
      </c>
      <c r="DK35" s="49" t="s">
        <v>322</v>
      </c>
      <c r="DL35" s="49" t="s">
        <v>323</v>
      </c>
      <c r="DM35" s="49" t="s">
        <v>303</v>
      </c>
      <c r="DN35" s="49" t="s">
        <v>297</v>
      </c>
      <c r="DO35" s="48"/>
      <c r="DP35" s="49" t="s">
        <v>312</v>
      </c>
      <c r="DQ35" s="48"/>
      <c r="DR35" s="49" t="s">
        <v>312</v>
      </c>
      <c r="DS35" s="49" t="s">
        <v>303</v>
      </c>
      <c r="DT35" s="49" t="s">
        <v>303</v>
      </c>
      <c r="DW35" s="49" t="s">
        <v>303</v>
      </c>
      <c r="EA35" s="49" t="s">
        <v>324</v>
      </c>
      <c r="EB35" s="49" t="s">
        <v>303</v>
      </c>
      <c r="EF35" s="49" t="s">
        <v>399</v>
      </c>
      <c r="EH35" s="49" t="s">
        <v>310</v>
      </c>
      <c r="EJ35" s="49" t="s">
        <v>303</v>
      </c>
      <c r="EK35" s="49" t="s">
        <v>438</v>
      </c>
      <c r="EM35" s="49" t="s">
        <v>303</v>
      </c>
      <c r="EN35" s="49" t="s">
        <v>396</v>
      </c>
      <c r="EP35" s="49" t="s">
        <v>298</v>
      </c>
      <c r="EQ35" s="0" t="n">
        <v>1</v>
      </c>
      <c r="ER35" s="49" t="s">
        <v>328</v>
      </c>
      <c r="ES35" s="49" t="s">
        <v>329</v>
      </c>
      <c r="ET35" s="49" t="s">
        <v>310</v>
      </c>
      <c r="EU35" s="49" t="s">
        <v>310</v>
      </c>
      <c r="EV35" s="49" t="s">
        <v>310</v>
      </c>
      <c r="EX35" s="49" t="s">
        <v>303</v>
      </c>
      <c r="EY35" s="49" t="s">
        <v>303</v>
      </c>
      <c r="FC35" s="49" t="s">
        <v>330</v>
      </c>
      <c r="FD35" s="49" t="s">
        <v>310</v>
      </c>
      <c r="FE35" s="49" t="s">
        <v>310</v>
      </c>
      <c r="FF35" s="49" t="s">
        <v>64</v>
      </c>
      <c r="FG35" s="49" t="s">
        <v>397</v>
      </c>
      <c r="FH35" s="49" t="s">
        <v>310</v>
      </c>
      <c r="FI35" s="49" t="s">
        <v>332</v>
      </c>
      <c r="FJ35" s="49" t="s">
        <v>303</v>
      </c>
      <c r="FL35" s="49" t="s">
        <v>325</v>
      </c>
      <c r="FM35" s="49" t="s">
        <v>334</v>
      </c>
      <c r="FP35" s="49" t="s">
        <v>303</v>
      </c>
      <c r="FR35" s="49" t="s">
        <v>303</v>
      </c>
      <c r="FT35" s="49" t="s">
        <v>325</v>
      </c>
      <c r="FU35" s="49" t="s">
        <v>325</v>
      </c>
      <c r="FW35" s="49" t="s">
        <v>333</v>
      </c>
    </row>
    <row r="36" customFormat="false" ht="15" hidden="false" customHeight="false" outlineLevel="0" collapsed="false">
      <c r="A36" s="0" t="n">
        <v>100880217</v>
      </c>
      <c r="B36" s="0" t="s">
        <v>295</v>
      </c>
      <c r="C36" s="0" t="s">
        <v>64</v>
      </c>
      <c r="D36" s="0" t="s">
        <v>65</v>
      </c>
      <c r="E36" s="0" t="s">
        <v>297</v>
      </c>
      <c r="G36" s="0" t="n">
        <v>1</v>
      </c>
      <c r="H36" s="0" t="s">
        <v>298</v>
      </c>
      <c r="I36" s="48" t="n">
        <v>46297</v>
      </c>
      <c r="J36" s="0" t="n">
        <v>0</v>
      </c>
      <c r="K36" s="49" t="s">
        <v>334</v>
      </c>
      <c r="L36" s="49" t="s">
        <v>335</v>
      </c>
      <c r="M36" s="48"/>
      <c r="O36" s="49" t="s">
        <v>336</v>
      </c>
      <c r="P36" s="48"/>
      <c r="Q36" s="48" t="n">
        <v>46297</v>
      </c>
      <c r="R36" s="48" t="n">
        <v>46303</v>
      </c>
      <c r="T36" s="49" t="s">
        <v>302</v>
      </c>
      <c r="U36" s="49" t="s">
        <v>303</v>
      </c>
      <c r="Y36" s="49" t="s">
        <v>312</v>
      </c>
      <c r="AD36" s="49" t="s">
        <v>305</v>
      </c>
      <c r="AE36" s="48" t="n">
        <v>46286</v>
      </c>
      <c r="AF36" s="49" t="s">
        <v>306</v>
      </c>
      <c r="AG36" s="49" t="s">
        <v>307</v>
      </c>
      <c r="AK36" s="49" t="s">
        <v>303</v>
      </c>
      <c r="AL36" s="49" t="s">
        <v>297</v>
      </c>
      <c r="AO36" s="49" t="s">
        <v>303</v>
      </c>
      <c r="AP36" s="48"/>
      <c r="AR36" s="49" t="s">
        <v>303</v>
      </c>
      <c r="AS36" s="49" t="s">
        <v>306</v>
      </c>
      <c r="AT36" s="49" t="s">
        <v>439</v>
      </c>
      <c r="AV36" s="49" t="s">
        <v>309</v>
      </c>
      <c r="AW36" s="49" t="s">
        <v>310</v>
      </c>
      <c r="AX36" s="49" t="s">
        <v>311</v>
      </c>
      <c r="AY36" s="48"/>
      <c r="AZ36" s="48" t="n">
        <v>46295</v>
      </c>
      <c r="BC36" s="49" t="s">
        <v>303</v>
      </c>
      <c r="BD36" s="48"/>
      <c r="BE36" s="49" t="s">
        <v>312</v>
      </c>
      <c r="BF36" s="49" t="s">
        <v>303</v>
      </c>
      <c r="BG36" s="48"/>
      <c r="BI36" s="48"/>
      <c r="BJ36" s="48" t="n">
        <v>46302</v>
      </c>
      <c r="BK36" s="49" t="s">
        <v>313</v>
      </c>
      <c r="BL36" s="49" t="s">
        <v>313</v>
      </c>
      <c r="BM36" s="49" t="s">
        <v>310</v>
      </c>
      <c r="BN36" s="48"/>
      <c r="BO36" s="48"/>
      <c r="BP36" s="48"/>
      <c r="BR36" s="48" t="n">
        <v>46302</v>
      </c>
      <c r="BS36" s="49" t="s">
        <v>312</v>
      </c>
      <c r="BT36" s="49" t="s">
        <v>312</v>
      </c>
      <c r="BU36" s="49" t="s">
        <v>313</v>
      </c>
      <c r="BV36" s="49" t="s">
        <v>303</v>
      </c>
      <c r="BX36" s="0" t="n">
        <v>0</v>
      </c>
      <c r="CC36" s="49" t="s">
        <v>315</v>
      </c>
      <c r="CD36" s="49" t="s">
        <v>303</v>
      </c>
      <c r="CF36" s="49" t="s">
        <v>303</v>
      </c>
      <c r="CG36" s="49" t="s">
        <v>316</v>
      </c>
      <c r="CH36" s="49" t="s">
        <v>317</v>
      </c>
      <c r="CI36" s="49" t="s">
        <v>318</v>
      </c>
      <c r="CM36" s="49" t="s">
        <v>65</v>
      </c>
      <c r="CV36" s="49" t="s">
        <v>303</v>
      </c>
      <c r="DB36" s="49" t="s">
        <v>319</v>
      </c>
      <c r="DD36" s="48" t="n">
        <v>46286</v>
      </c>
      <c r="DF36" s="49" t="s">
        <v>310</v>
      </c>
      <c r="DG36" s="49" t="s">
        <v>320</v>
      </c>
      <c r="DH36" s="49" t="s">
        <v>64</v>
      </c>
      <c r="DI36" s="49" t="s">
        <v>298</v>
      </c>
      <c r="DJ36" s="49" t="s">
        <v>394</v>
      </c>
      <c r="DK36" s="49" t="s">
        <v>322</v>
      </c>
      <c r="DL36" s="49" t="s">
        <v>323</v>
      </c>
      <c r="DM36" s="49" t="s">
        <v>303</v>
      </c>
      <c r="DN36" s="49" t="s">
        <v>297</v>
      </c>
      <c r="DO36" s="48"/>
      <c r="DP36" s="49" t="s">
        <v>312</v>
      </c>
      <c r="DQ36" s="48"/>
      <c r="DR36" s="49" t="s">
        <v>312</v>
      </c>
      <c r="DS36" s="49" t="s">
        <v>303</v>
      </c>
      <c r="DT36" s="49" t="s">
        <v>303</v>
      </c>
      <c r="DW36" s="49" t="s">
        <v>303</v>
      </c>
      <c r="EA36" s="49" t="s">
        <v>324</v>
      </c>
      <c r="EB36" s="49" t="s">
        <v>303</v>
      </c>
      <c r="EF36" s="49" t="s">
        <v>399</v>
      </c>
      <c r="EH36" s="49" t="s">
        <v>310</v>
      </c>
      <c r="EJ36" s="49" t="s">
        <v>303</v>
      </c>
      <c r="EK36" s="49" t="s">
        <v>440</v>
      </c>
      <c r="EM36" s="49" t="s">
        <v>303</v>
      </c>
      <c r="EN36" s="49" t="s">
        <v>396</v>
      </c>
      <c r="EP36" s="49" t="s">
        <v>298</v>
      </c>
      <c r="EQ36" s="0" t="n">
        <v>1</v>
      </c>
      <c r="ER36" s="49" t="s">
        <v>328</v>
      </c>
      <c r="ES36" s="49" t="s">
        <v>329</v>
      </c>
      <c r="ET36" s="49" t="s">
        <v>310</v>
      </c>
      <c r="EU36" s="49" t="s">
        <v>310</v>
      </c>
      <c r="EV36" s="49" t="s">
        <v>310</v>
      </c>
      <c r="EX36" s="49" t="s">
        <v>303</v>
      </c>
      <c r="EY36" s="49" t="s">
        <v>303</v>
      </c>
      <c r="FC36" s="49" t="s">
        <v>330</v>
      </c>
      <c r="FD36" s="49" t="s">
        <v>310</v>
      </c>
      <c r="FE36" s="49" t="s">
        <v>310</v>
      </c>
      <c r="FF36" s="49" t="s">
        <v>64</v>
      </c>
      <c r="FG36" s="49" t="s">
        <v>397</v>
      </c>
      <c r="FH36" s="49" t="s">
        <v>310</v>
      </c>
      <c r="FI36" s="49" t="s">
        <v>332</v>
      </c>
      <c r="FJ36" s="49" t="s">
        <v>303</v>
      </c>
      <c r="FL36" s="49" t="s">
        <v>325</v>
      </c>
      <c r="FM36" s="49" t="s">
        <v>334</v>
      </c>
      <c r="FP36" s="49" t="s">
        <v>303</v>
      </c>
      <c r="FR36" s="49" t="s">
        <v>303</v>
      </c>
      <c r="FT36" s="49" t="s">
        <v>325</v>
      </c>
      <c r="FU36" s="49" t="s">
        <v>325</v>
      </c>
      <c r="FW36" s="49" t="s">
        <v>333</v>
      </c>
    </row>
    <row r="37" customFormat="false" ht="15" hidden="false" customHeight="false" outlineLevel="0" collapsed="false">
      <c r="A37" s="0" t="n">
        <v>100880218</v>
      </c>
      <c r="B37" s="0" t="s">
        <v>295</v>
      </c>
      <c r="C37" s="0" t="s">
        <v>64</v>
      </c>
      <c r="D37" s="0" t="s">
        <v>65</v>
      </c>
      <c r="E37" s="0" t="s">
        <v>297</v>
      </c>
      <c r="G37" s="0" t="n">
        <v>1</v>
      </c>
      <c r="H37" s="0" t="s">
        <v>298</v>
      </c>
      <c r="I37" s="48" t="n">
        <v>46297</v>
      </c>
      <c r="J37" s="0" t="n">
        <v>0</v>
      </c>
      <c r="K37" s="49" t="s">
        <v>334</v>
      </c>
      <c r="L37" s="49" t="s">
        <v>335</v>
      </c>
      <c r="M37" s="48"/>
      <c r="O37" s="49" t="s">
        <v>336</v>
      </c>
      <c r="P37" s="48"/>
      <c r="Q37" s="48" t="n">
        <v>46297</v>
      </c>
      <c r="R37" s="48" t="n">
        <v>46303</v>
      </c>
      <c r="T37" s="49" t="s">
        <v>302</v>
      </c>
      <c r="U37" s="49" t="s">
        <v>303</v>
      </c>
      <c r="Y37" s="49" t="s">
        <v>312</v>
      </c>
      <c r="AD37" s="49" t="s">
        <v>305</v>
      </c>
      <c r="AE37" s="48" t="n">
        <v>46286</v>
      </c>
      <c r="AF37" s="49" t="s">
        <v>306</v>
      </c>
      <c r="AG37" s="49" t="s">
        <v>307</v>
      </c>
      <c r="AK37" s="49" t="s">
        <v>303</v>
      </c>
      <c r="AL37" s="49" t="s">
        <v>297</v>
      </c>
      <c r="AO37" s="49" t="s">
        <v>303</v>
      </c>
      <c r="AP37" s="48"/>
      <c r="AR37" s="49" t="s">
        <v>303</v>
      </c>
      <c r="AS37" s="49" t="s">
        <v>306</v>
      </c>
      <c r="AT37" s="49" t="s">
        <v>441</v>
      </c>
      <c r="AV37" s="49" t="s">
        <v>309</v>
      </c>
      <c r="AW37" s="49" t="s">
        <v>310</v>
      </c>
      <c r="AX37" s="49" t="s">
        <v>311</v>
      </c>
      <c r="AY37" s="48"/>
      <c r="AZ37" s="48" t="n">
        <v>46295</v>
      </c>
      <c r="BC37" s="49" t="s">
        <v>303</v>
      </c>
      <c r="BD37" s="48"/>
      <c r="BE37" s="49" t="s">
        <v>312</v>
      </c>
      <c r="BF37" s="49" t="s">
        <v>303</v>
      </c>
      <c r="BG37" s="48"/>
      <c r="BI37" s="48"/>
      <c r="BJ37" s="48" t="n">
        <v>46302</v>
      </c>
      <c r="BK37" s="49" t="s">
        <v>313</v>
      </c>
      <c r="BL37" s="49" t="s">
        <v>313</v>
      </c>
      <c r="BM37" s="49" t="s">
        <v>310</v>
      </c>
      <c r="BN37" s="48"/>
      <c r="BO37" s="48"/>
      <c r="BP37" s="48"/>
      <c r="BR37" s="48" t="n">
        <v>46302</v>
      </c>
      <c r="BS37" s="49" t="s">
        <v>312</v>
      </c>
      <c r="BT37" s="49" t="s">
        <v>312</v>
      </c>
      <c r="BU37" s="49" t="s">
        <v>313</v>
      </c>
      <c r="BV37" s="49" t="s">
        <v>303</v>
      </c>
      <c r="BX37" s="0" t="n">
        <v>0</v>
      </c>
      <c r="CC37" s="49" t="s">
        <v>315</v>
      </c>
      <c r="CD37" s="49" t="s">
        <v>303</v>
      </c>
      <c r="CF37" s="49" t="s">
        <v>303</v>
      </c>
      <c r="CG37" s="49" t="s">
        <v>316</v>
      </c>
      <c r="CH37" s="49" t="s">
        <v>317</v>
      </c>
      <c r="CI37" s="49" t="s">
        <v>318</v>
      </c>
      <c r="CM37" s="49" t="s">
        <v>65</v>
      </c>
      <c r="CV37" s="49" t="s">
        <v>303</v>
      </c>
      <c r="DB37" s="49" t="s">
        <v>319</v>
      </c>
      <c r="DD37" s="48" t="n">
        <v>46286</v>
      </c>
      <c r="DF37" s="49" t="s">
        <v>310</v>
      </c>
      <c r="DG37" s="49" t="s">
        <v>320</v>
      </c>
      <c r="DH37" s="49" t="s">
        <v>64</v>
      </c>
      <c r="DI37" s="49" t="s">
        <v>298</v>
      </c>
      <c r="DJ37" s="49" t="s">
        <v>394</v>
      </c>
      <c r="DK37" s="49" t="s">
        <v>322</v>
      </c>
      <c r="DL37" s="49" t="s">
        <v>323</v>
      </c>
      <c r="DM37" s="49" t="s">
        <v>303</v>
      </c>
      <c r="DN37" s="49" t="s">
        <v>297</v>
      </c>
      <c r="DO37" s="48"/>
      <c r="DP37" s="49" t="s">
        <v>312</v>
      </c>
      <c r="DQ37" s="48"/>
      <c r="DR37" s="49" t="s">
        <v>312</v>
      </c>
      <c r="DS37" s="49" t="s">
        <v>303</v>
      </c>
      <c r="DT37" s="49" t="s">
        <v>303</v>
      </c>
      <c r="DW37" s="49" t="s">
        <v>303</v>
      </c>
      <c r="EA37" s="49" t="s">
        <v>324</v>
      </c>
      <c r="EB37" s="49" t="s">
        <v>303</v>
      </c>
      <c r="EF37" s="49" t="s">
        <v>399</v>
      </c>
      <c r="EH37" s="49" t="s">
        <v>310</v>
      </c>
      <c r="EJ37" s="49" t="s">
        <v>303</v>
      </c>
      <c r="EK37" s="49" t="s">
        <v>442</v>
      </c>
      <c r="EM37" s="49" t="s">
        <v>303</v>
      </c>
      <c r="EN37" s="49" t="s">
        <v>396</v>
      </c>
      <c r="EP37" s="49" t="s">
        <v>298</v>
      </c>
      <c r="EQ37" s="0" t="n">
        <v>1</v>
      </c>
      <c r="ER37" s="49" t="s">
        <v>328</v>
      </c>
      <c r="ES37" s="49" t="s">
        <v>329</v>
      </c>
      <c r="ET37" s="49" t="s">
        <v>310</v>
      </c>
      <c r="EU37" s="49" t="s">
        <v>310</v>
      </c>
      <c r="EV37" s="49" t="s">
        <v>310</v>
      </c>
      <c r="EX37" s="49" t="s">
        <v>303</v>
      </c>
      <c r="EY37" s="49" t="s">
        <v>303</v>
      </c>
      <c r="FC37" s="49" t="s">
        <v>330</v>
      </c>
      <c r="FD37" s="49" t="s">
        <v>310</v>
      </c>
      <c r="FE37" s="49" t="s">
        <v>310</v>
      </c>
      <c r="FF37" s="49" t="s">
        <v>64</v>
      </c>
      <c r="FG37" s="49" t="s">
        <v>397</v>
      </c>
      <c r="FH37" s="49" t="s">
        <v>310</v>
      </c>
      <c r="FI37" s="49" t="s">
        <v>332</v>
      </c>
      <c r="FJ37" s="49" t="s">
        <v>303</v>
      </c>
      <c r="FL37" s="49" t="s">
        <v>325</v>
      </c>
      <c r="FM37" s="49" t="s">
        <v>334</v>
      </c>
      <c r="FP37" s="49" t="s">
        <v>303</v>
      </c>
      <c r="FR37" s="49" t="s">
        <v>303</v>
      </c>
      <c r="FT37" s="49" t="s">
        <v>325</v>
      </c>
      <c r="FU37" s="49" t="s">
        <v>325</v>
      </c>
      <c r="FW37" s="49" t="s">
        <v>333</v>
      </c>
    </row>
    <row r="38" customFormat="false" ht="15" hidden="false" customHeight="false" outlineLevel="0" collapsed="false">
      <c r="A38" s="0" t="n">
        <v>100880219</v>
      </c>
      <c r="B38" s="0" t="s">
        <v>295</v>
      </c>
      <c r="C38" s="0" t="s">
        <v>64</v>
      </c>
      <c r="D38" s="0" t="s">
        <v>65</v>
      </c>
      <c r="E38" s="0" t="s">
        <v>297</v>
      </c>
      <c r="G38" s="0" t="n">
        <v>1</v>
      </c>
      <c r="H38" s="0" t="s">
        <v>298</v>
      </c>
      <c r="I38" s="48" t="n">
        <v>46297</v>
      </c>
      <c r="J38" s="0" t="n">
        <v>0</v>
      </c>
      <c r="K38" s="49" t="s">
        <v>334</v>
      </c>
      <c r="L38" s="49" t="s">
        <v>335</v>
      </c>
      <c r="M38" s="48"/>
      <c r="O38" s="49" t="s">
        <v>336</v>
      </c>
      <c r="P38" s="48"/>
      <c r="Q38" s="48" t="n">
        <v>46297</v>
      </c>
      <c r="R38" s="48" t="n">
        <v>46303</v>
      </c>
      <c r="T38" s="49" t="s">
        <v>302</v>
      </c>
      <c r="U38" s="49" t="s">
        <v>303</v>
      </c>
      <c r="Y38" s="49" t="s">
        <v>312</v>
      </c>
      <c r="AD38" s="49" t="s">
        <v>305</v>
      </c>
      <c r="AE38" s="48" t="n">
        <v>46286</v>
      </c>
      <c r="AF38" s="49" t="s">
        <v>306</v>
      </c>
      <c r="AG38" s="49" t="s">
        <v>307</v>
      </c>
      <c r="AK38" s="49" t="s">
        <v>303</v>
      </c>
      <c r="AL38" s="49" t="s">
        <v>297</v>
      </c>
      <c r="AO38" s="49" t="s">
        <v>303</v>
      </c>
      <c r="AP38" s="48"/>
      <c r="AR38" s="49" t="s">
        <v>303</v>
      </c>
      <c r="AS38" s="49" t="s">
        <v>306</v>
      </c>
      <c r="AT38" s="49" t="s">
        <v>443</v>
      </c>
      <c r="AV38" s="49" t="s">
        <v>309</v>
      </c>
      <c r="AW38" s="49" t="s">
        <v>310</v>
      </c>
      <c r="AX38" s="49" t="s">
        <v>311</v>
      </c>
      <c r="AY38" s="48"/>
      <c r="AZ38" s="48" t="n">
        <v>46295</v>
      </c>
      <c r="BC38" s="49" t="s">
        <v>303</v>
      </c>
      <c r="BD38" s="48"/>
      <c r="BE38" s="49" t="s">
        <v>312</v>
      </c>
      <c r="BF38" s="49" t="s">
        <v>303</v>
      </c>
      <c r="BG38" s="48"/>
      <c r="BI38" s="48"/>
      <c r="BJ38" s="48" t="n">
        <v>46302</v>
      </c>
      <c r="BK38" s="49" t="s">
        <v>313</v>
      </c>
      <c r="BL38" s="49" t="s">
        <v>313</v>
      </c>
      <c r="BM38" s="49" t="s">
        <v>310</v>
      </c>
      <c r="BN38" s="48"/>
      <c r="BO38" s="48"/>
      <c r="BP38" s="48"/>
      <c r="BR38" s="48" t="n">
        <v>46302</v>
      </c>
      <c r="BS38" s="49" t="s">
        <v>312</v>
      </c>
      <c r="BT38" s="49" t="s">
        <v>312</v>
      </c>
      <c r="BU38" s="49" t="s">
        <v>313</v>
      </c>
      <c r="BV38" s="49" t="s">
        <v>303</v>
      </c>
      <c r="BX38" s="0" t="n">
        <v>0</v>
      </c>
      <c r="CC38" s="49" t="s">
        <v>315</v>
      </c>
      <c r="CD38" s="49" t="s">
        <v>303</v>
      </c>
      <c r="CF38" s="49" t="s">
        <v>303</v>
      </c>
      <c r="CG38" s="49" t="s">
        <v>316</v>
      </c>
      <c r="CH38" s="49" t="s">
        <v>317</v>
      </c>
      <c r="CI38" s="49" t="s">
        <v>318</v>
      </c>
      <c r="CM38" s="49" t="s">
        <v>65</v>
      </c>
      <c r="CV38" s="49" t="s">
        <v>303</v>
      </c>
      <c r="DB38" s="49" t="s">
        <v>319</v>
      </c>
      <c r="DD38" s="48" t="n">
        <v>46286</v>
      </c>
      <c r="DF38" s="49" t="s">
        <v>310</v>
      </c>
      <c r="DG38" s="49" t="s">
        <v>320</v>
      </c>
      <c r="DH38" s="49" t="s">
        <v>64</v>
      </c>
      <c r="DI38" s="49" t="s">
        <v>298</v>
      </c>
      <c r="DJ38" s="49" t="s">
        <v>394</v>
      </c>
      <c r="DK38" s="49" t="s">
        <v>322</v>
      </c>
      <c r="DL38" s="49" t="s">
        <v>323</v>
      </c>
      <c r="DM38" s="49" t="s">
        <v>303</v>
      </c>
      <c r="DN38" s="49" t="s">
        <v>297</v>
      </c>
      <c r="DO38" s="48"/>
      <c r="DP38" s="49" t="s">
        <v>312</v>
      </c>
      <c r="DQ38" s="48"/>
      <c r="DR38" s="49" t="s">
        <v>312</v>
      </c>
      <c r="DS38" s="49" t="s">
        <v>303</v>
      </c>
      <c r="DT38" s="49" t="s">
        <v>303</v>
      </c>
      <c r="DW38" s="49" t="s">
        <v>303</v>
      </c>
      <c r="EA38" s="49" t="s">
        <v>324</v>
      </c>
      <c r="EB38" s="49" t="s">
        <v>303</v>
      </c>
      <c r="EF38" s="49" t="s">
        <v>399</v>
      </c>
      <c r="EH38" s="49" t="s">
        <v>310</v>
      </c>
      <c r="EJ38" s="49" t="s">
        <v>303</v>
      </c>
      <c r="EK38" s="49" t="s">
        <v>444</v>
      </c>
      <c r="EM38" s="49" t="s">
        <v>303</v>
      </c>
      <c r="EN38" s="49" t="s">
        <v>396</v>
      </c>
      <c r="EP38" s="49" t="s">
        <v>298</v>
      </c>
      <c r="EQ38" s="0" t="n">
        <v>1</v>
      </c>
      <c r="ER38" s="49" t="s">
        <v>328</v>
      </c>
      <c r="ES38" s="49" t="s">
        <v>329</v>
      </c>
      <c r="ET38" s="49" t="s">
        <v>310</v>
      </c>
      <c r="EU38" s="49" t="s">
        <v>310</v>
      </c>
      <c r="EV38" s="49" t="s">
        <v>310</v>
      </c>
      <c r="EX38" s="49" t="s">
        <v>303</v>
      </c>
      <c r="EY38" s="49" t="s">
        <v>303</v>
      </c>
      <c r="FC38" s="49" t="s">
        <v>330</v>
      </c>
      <c r="FD38" s="49" t="s">
        <v>310</v>
      </c>
      <c r="FE38" s="49" t="s">
        <v>310</v>
      </c>
      <c r="FF38" s="49" t="s">
        <v>64</v>
      </c>
      <c r="FG38" s="49" t="s">
        <v>397</v>
      </c>
      <c r="FH38" s="49" t="s">
        <v>310</v>
      </c>
      <c r="FI38" s="49" t="s">
        <v>332</v>
      </c>
      <c r="FJ38" s="49" t="s">
        <v>303</v>
      </c>
      <c r="FL38" s="49" t="s">
        <v>325</v>
      </c>
      <c r="FM38" s="49" t="s">
        <v>334</v>
      </c>
      <c r="FP38" s="49" t="s">
        <v>303</v>
      </c>
      <c r="FR38" s="49" t="s">
        <v>303</v>
      </c>
      <c r="FT38" s="49" t="s">
        <v>325</v>
      </c>
      <c r="FU38" s="49" t="s">
        <v>325</v>
      </c>
      <c r="FW38" s="49" t="s">
        <v>333</v>
      </c>
    </row>
    <row r="39" customFormat="false" ht="15" hidden="false" customHeight="false" outlineLevel="0" collapsed="false">
      <c r="A39" s="0" t="n">
        <v>100880222</v>
      </c>
      <c r="B39" s="0" t="s">
        <v>295</v>
      </c>
      <c r="C39" s="0" t="s">
        <v>66</v>
      </c>
      <c r="D39" s="0" t="s">
        <v>296</v>
      </c>
      <c r="E39" s="0" t="s">
        <v>297</v>
      </c>
      <c r="G39" s="0" t="n">
        <v>1</v>
      </c>
      <c r="H39" s="0" t="s">
        <v>298</v>
      </c>
      <c r="I39" s="48" t="n">
        <v>46297</v>
      </c>
      <c r="J39" s="0" t="n">
        <v>0</v>
      </c>
      <c r="K39" s="49" t="s">
        <v>334</v>
      </c>
      <c r="L39" s="49" t="s">
        <v>335</v>
      </c>
      <c r="M39" s="48" t="n">
        <v>46297</v>
      </c>
      <c r="N39" s="49" t="s">
        <v>335</v>
      </c>
      <c r="O39" s="49" t="s">
        <v>445</v>
      </c>
      <c r="P39" s="48"/>
      <c r="Q39" s="48" t="n">
        <v>46297</v>
      </c>
      <c r="R39" s="48" t="n">
        <v>46304</v>
      </c>
      <c r="T39" s="49" t="s">
        <v>302</v>
      </c>
      <c r="U39" s="49" t="s">
        <v>303</v>
      </c>
      <c r="Y39" s="49" t="s">
        <v>446</v>
      </c>
      <c r="AD39" s="49" t="s">
        <v>305</v>
      </c>
      <c r="AE39" s="48" t="n">
        <v>46289</v>
      </c>
      <c r="AF39" s="49" t="s">
        <v>306</v>
      </c>
      <c r="AG39" s="49" t="s">
        <v>307</v>
      </c>
      <c r="AK39" s="49" t="s">
        <v>303</v>
      </c>
      <c r="AL39" s="49" t="s">
        <v>297</v>
      </c>
      <c r="AO39" s="49" t="s">
        <v>303</v>
      </c>
      <c r="AP39" s="48"/>
      <c r="AR39" s="49" t="s">
        <v>303</v>
      </c>
      <c r="AS39" s="49" t="s">
        <v>306</v>
      </c>
      <c r="AT39" s="49" t="s">
        <v>447</v>
      </c>
      <c r="AV39" s="49" t="s">
        <v>309</v>
      </c>
      <c r="AW39" s="49" t="s">
        <v>310</v>
      </c>
      <c r="AX39" s="49" t="s">
        <v>311</v>
      </c>
      <c r="AY39" s="48"/>
      <c r="AZ39" s="48" t="n">
        <v>46295</v>
      </c>
      <c r="BC39" s="49" t="s">
        <v>303</v>
      </c>
      <c r="BD39" s="48"/>
      <c r="BE39" s="49" t="s">
        <v>312</v>
      </c>
      <c r="BF39" s="49" t="s">
        <v>303</v>
      </c>
      <c r="BG39" s="48"/>
      <c r="BI39" s="48"/>
      <c r="BJ39" s="48" t="n">
        <v>46302</v>
      </c>
      <c r="BK39" s="49" t="s">
        <v>312</v>
      </c>
      <c r="BL39" s="49" t="s">
        <v>313</v>
      </c>
      <c r="BM39" s="49" t="s">
        <v>310</v>
      </c>
      <c r="BN39" s="48"/>
      <c r="BO39" s="48"/>
      <c r="BP39" s="48"/>
      <c r="BQ39" s="49" t="s">
        <v>299</v>
      </c>
      <c r="BR39" s="48" t="n">
        <v>46302</v>
      </c>
      <c r="BS39" s="49" t="s">
        <v>448</v>
      </c>
      <c r="BT39" s="49" t="s">
        <v>312</v>
      </c>
      <c r="BU39" s="49" t="s">
        <v>313</v>
      </c>
      <c r="BV39" s="49" t="s">
        <v>303</v>
      </c>
      <c r="BX39" s="0" t="n">
        <v>0</v>
      </c>
      <c r="CC39" s="49" t="s">
        <v>315</v>
      </c>
      <c r="CD39" s="49" t="s">
        <v>303</v>
      </c>
      <c r="CF39" s="49" t="s">
        <v>303</v>
      </c>
      <c r="CG39" s="49" t="s">
        <v>316</v>
      </c>
      <c r="CH39" s="49" t="s">
        <v>317</v>
      </c>
      <c r="CI39" s="49" t="s">
        <v>318</v>
      </c>
      <c r="CM39" s="49" t="s">
        <v>296</v>
      </c>
      <c r="CV39" s="49" t="s">
        <v>303</v>
      </c>
      <c r="DB39" s="49" t="s">
        <v>319</v>
      </c>
      <c r="DD39" s="48" t="n">
        <v>46289</v>
      </c>
      <c r="DF39" s="49" t="s">
        <v>310</v>
      </c>
      <c r="DG39" s="49" t="s">
        <v>320</v>
      </c>
      <c r="DH39" s="49" t="s">
        <v>66</v>
      </c>
      <c r="DI39" s="49" t="s">
        <v>298</v>
      </c>
      <c r="DJ39" s="49" t="s">
        <v>321</v>
      </c>
      <c r="DK39" s="49" t="s">
        <v>322</v>
      </c>
      <c r="DL39" s="49" t="s">
        <v>323</v>
      </c>
      <c r="DM39" s="49" t="s">
        <v>303</v>
      </c>
      <c r="DN39" s="49" t="s">
        <v>297</v>
      </c>
      <c r="DO39" s="48"/>
      <c r="DP39" s="49" t="s">
        <v>313</v>
      </c>
      <c r="DQ39" s="48"/>
      <c r="DR39" s="49" t="s">
        <v>312</v>
      </c>
      <c r="DS39" s="49" t="s">
        <v>303</v>
      </c>
      <c r="DT39" s="49" t="s">
        <v>303</v>
      </c>
      <c r="DW39" s="49" t="s">
        <v>303</v>
      </c>
      <c r="EA39" s="49" t="s">
        <v>324</v>
      </c>
      <c r="EB39" s="49" t="s">
        <v>303</v>
      </c>
      <c r="EH39" s="49" t="s">
        <v>325</v>
      </c>
      <c r="EJ39" s="49" t="s">
        <v>303</v>
      </c>
      <c r="EK39" s="49" t="s">
        <v>449</v>
      </c>
      <c r="EM39" s="49" t="s">
        <v>303</v>
      </c>
      <c r="EN39" s="49" t="s">
        <v>327</v>
      </c>
      <c r="EP39" s="49" t="s">
        <v>298</v>
      </c>
      <c r="EQ39" s="0" t="n">
        <v>1</v>
      </c>
      <c r="ER39" s="49" t="s">
        <v>328</v>
      </c>
      <c r="ES39" s="49" t="s">
        <v>329</v>
      </c>
      <c r="ET39" s="49" t="s">
        <v>310</v>
      </c>
      <c r="EU39" s="49" t="s">
        <v>310</v>
      </c>
      <c r="EV39" s="49" t="s">
        <v>310</v>
      </c>
      <c r="EX39" s="49" t="s">
        <v>303</v>
      </c>
      <c r="EY39" s="49" t="s">
        <v>303</v>
      </c>
      <c r="FC39" s="49" t="s">
        <v>330</v>
      </c>
      <c r="FD39" s="49" t="s">
        <v>310</v>
      </c>
      <c r="FE39" s="49" t="s">
        <v>310</v>
      </c>
      <c r="FF39" s="49" t="s">
        <v>66</v>
      </c>
      <c r="FG39" s="49" t="s">
        <v>331</v>
      </c>
      <c r="FH39" s="49" t="s">
        <v>310</v>
      </c>
      <c r="FI39" s="49" t="s">
        <v>332</v>
      </c>
      <c r="FJ39" s="49" t="s">
        <v>303</v>
      </c>
      <c r="FL39" s="49" t="s">
        <v>325</v>
      </c>
      <c r="FM39" s="49" t="s">
        <v>334</v>
      </c>
      <c r="FP39" s="49" t="s">
        <v>303</v>
      </c>
      <c r="FR39" s="49" t="s">
        <v>303</v>
      </c>
      <c r="FT39" s="49" t="s">
        <v>325</v>
      </c>
      <c r="FU39" s="49" t="s">
        <v>325</v>
      </c>
      <c r="FW39" s="49" t="s">
        <v>333</v>
      </c>
    </row>
    <row r="40" customFormat="false" ht="15" hidden="false" customHeight="false" outlineLevel="0" collapsed="false">
      <c r="A40" s="0" t="n">
        <v>100880223</v>
      </c>
      <c r="B40" s="0" t="s">
        <v>295</v>
      </c>
      <c r="C40" s="0" t="s">
        <v>66</v>
      </c>
      <c r="D40" s="0" t="s">
        <v>296</v>
      </c>
      <c r="E40" s="0" t="s">
        <v>297</v>
      </c>
      <c r="G40" s="0" t="n">
        <v>1</v>
      </c>
      <c r="H40" s="0" t="s">
        <v>298</v>
      </c>
      <c r="I40" s="48" t="n">
        <v>46297</v>
      </c>
      <c r="J40" s="0" t="n">
        <v>0</v>
      </c>
      <c r="K40" s="49" t="s">
        <v>334</v>
      </c>
      <c r="L40" s="49" t="s">
        <v>335</v>
      </c>
      <c r="M40" s="48"/>
      <c r="O40" s="49" t="s">
        <v>445</v>
      </c>
      <c r="P40" s="48"/>
      <c r="Q40" s="48" t="n">
        <v>46297</v>
      </c>
      <c r="R40" s="48" t="n">
        <v>46303</v>
      </c>
      <c r="T40" s="49" t="s">
        <v>302</v>
      </c>
      <c r="U40" s="49" t="s">
        <v>303</v>
      </c>
      <c r="Y40" s="49" t="s">
        <v>312</v>
      </c>
      <c r="AD40" s="49" t="s">
        <v>305</v>
      </c>
      <c r="AE40" s="48" t="n">
        <v>46289</v>
      </c>
      <c r="AF40" s="49" t="s">
        <v>306</v>
      </c>
      <c r="AG40" s="49" t="s">
        <v>307</v>
      </c>
      <c r="AK40" s="49" t="s">
        <v>303</v>
      </c>
      <c r="AL40" s="49" t="s">
        <v>297</v>
      </c>
      <c r="AO40" s="49" t="s">
        <v>303</v>
      </c>
      <c r="AP40" s="48"/>
      <c r="AR40" s="49" t="s">
        <v>303</v>
      </c>
      <c r="AS40" s="49" t="s">
        <v>306</v>
      </c>
      <c r="AT40" s="49" t="s">
        <v>450</v>
      </c>
      <c r="AV40" s="49" t="s">
        <v>309</v>
      </c>
      <c r="AW40" s="49" t="s">
        <v>310</v>
      </c>
      <c r="AX40" s="49" t="s">
        <v>311</v>
      </c>
      <c r="AY40" s="48"/>
      <c r="AZ40" s="48" t="n">
        <v>46295</v>
      </c>
      <c r="BC40" s="49" t="s">
        <v>303</v>
      </c>
      <c r="BD40" s="48"/>
      <c r="BE40" s="49" t="s">
        <v>312</v>
      </c>
      <c r="BF40" s="49" t="s">
        <v>303</v>
      </c>
      <c r="BG40" s="48"/>
      <c r="BI40" s="48"/>
      <c r="BJ40" s="48" t="n">
        <v>46302</v>
      </c>
      <c r="BK40" s="49" t="s">
        <v>313</v>
      </c>
      <c r="BL40" s="49" t="s">
        <v>313</v>
      </c>
      <c r="BM40" s="49" t="s">
        <v>310</v>
      </c>
      <c r="BN40" s="48"/>
      <c r="BO40" s="48"/>
      <c r="BP40" s="48"/>
      <c r="BQ40" s="49" t="s">
        <v>299</v>
      </c>
      <c r="BR40" s="48" t="n">
        <v>46302</v>
      </c>
      <c r="BS40" s="49" t="s">
        <v>451</v>
      </c>
      <c r="BT40" s="49" t="s">
        <v>312</v>
      </c>
      <c r="BU40" s="49" t="s">
        <v>313</v>
      </c>
      <c r="BV40" s="49" t="s">
        <v>303</v>
      </c>
      <c r="BX40" s="0" t="n">
        <v>0</v>
      </c>
      <c r="CC40" s="49" t="s">
        <v>315</v>
      </c>
      <c r="CD40" s="49" t="s">
        <v>303</v>
      </c>
      <c r="CF40" s="49" t="s">
        <v>303</v>
      </c>
      <c r="CG40" s="49" t="s">
        <v>316</v>
      </c>
      <c r="CH40" s="49" t="s">
        <v>317</v>
      </c>
      <c r="CI40" s="49" t="s">
        <v>318</v>
      </c>
      <c r="CM40" s="49" t="s">
        <v>296</v>
      </c>
      <c r="CV40" s="49" t="s">
        <v>303</v>
      </c>
      <c r="DB40" s="49" t="s">
        <v>319</v>
      </c>
      <c r="DD40" s="48" t="n">
        <v>46289</v>
      </c>
      <c r="DF40" s="49" t="s">
        <v>310</v>
      </c>
      <c r="DG40" s="49" t="s">
        <v>320</v>
      </c>
      <c r="DH40" s="49" t="s">
        <v>66</v>
      </c>
      <c r="DI40" s="49" t="s">
        <v>298</v>
      </c>
      <c r="DJ40" s="49" t="s">
        <v>321</v>
      </c>
      <c r="DK40" s="49" t="s">
        <v>322</v>
      </c>
      <c r="DL40" s="49" t="s">
        <v>323</v>
      </c>
      <c r="DM40" s="49" t="s">
        <v>303</v>
      </c>
      <c r="DN40" s="49" t="s">
        <v>297</v>
      </c>
      <c r="DO40" s="48"/>
      <c r="DP40" s="49" t="s">
        <v>313</v>
      </c>
      <c r="DQ40" s="48"/>
      <c r="DR40" s="49" t="s">
        <v>312</v>
      </c>
      <c r="DS40" s="49" t="s">
        <v>303</v>
      </c>
      <c r="DT40" s="49" t="s">
        <v>303</v>
      </c>
      <c r="DW40" s="49" t="s">
        <v>303</v>
      </c>
      <c r="EA40" s="49" t="s">
        <v>324</v>
      </c>
      <c r="EB40" s="49" t="s">
        <v>303</v>
      </c>
      <c r="EF40" s="49" t="s">
        <v>452</v>
      </c>
      <c r="EH40" s="49" t="s">
        <v>325</v>
      </c>
      <c r="EJ40" s="49" t="s">
        <v>303</v>
      </c>
      <c r="EK40" s="49" t="s">
        <v>453</v>
      </c>
      <c r="EM40" s="49" t="s">
        <v>303</v>
      </c>
      <c r="EN40" s="49" t="s">
        <v>327</v>
      </c>
      <c r="EP40" s="49" t="s">
        <v>298</v>
      </c>
      <c r="EQ40" s="0" t="n">
        <v>1</v>
      </c>
      <c r="ER40" s="49" t="s">
        <v>328</v>
      </c>
      <c r="ES40" s="49" t="s">
        <v>329</v>
      </c>
      <c r="ET40" s="49" t="s">
        <v>310</v>
      </c>
      <c r="EU40" s="49" t="s">
        <v>310</v>
      </c>
      <c r="EV40" s="49" t="s">
        <v>310</v>
      </c>
      <c r="EX40" s="49" t="s">
        <v>303</v>
      </c>
      <c r="EY40" s="49" t="s">
        <v>303</v>
      </c>
      <c r="FC40" s="49" t="s">
        <v>330</v>
      </c>
      <c r="FD40" s="49" t="s">
        <v>310</v>
      </c>
      <c r="FE40" s="49" t="s">
        <v>310</v>
      </c>
      <c r="FF40" s="49" t="s">
        <v>66</v>
      </c>
      <c r="FG40" s="49" t="s">
        <v>331</v>
      </c>
      <c r="FH40" s="49" t="s">
        <v>310</v>
      </c>
      <c r="FI40" s="49" t="s">
        <v>332</v>
      </c>
      <c r="FJ40" s="49" t="s">
        <v>303</v>
      </c>
      <c r="FL40" s="49" t="s">
        <v>325</v>
      </c>
      <c r="FM40" s="49" t="s">
        <v>334</v>
      </c>
      <c r="FP40" s="49" t="s">
        <v>303</v>
      </c>
      <c r="FR40" s="49" t="s">
        <v>303</v>
      </c>
      <c r="FT40" s="49" t="s">
        <v>325</v>
      </c>
      <c r="FU40" s="49" t="s">
        <v>325</v>
      </c>
      <c r="FW40" s="49" t="s">
        <v>333</v>
      </c>
    </row>
    <row r="41" customFormat="false" ht="15" hidden="false" customHeight="false" outlineLevel="0" collapsed="false">
      <c r="A41" s="0" t="n">
        <v>100880224</v>
      </c>
      <c r="B41" s="0" t="s">
        <v>295</v>
      </c>
      <c r="C41" s="0" t="s">
        <v>66</v>
      </c>
      <c r="D41" s="0" t="s">
        <v>296</v>
      </c>
      <c r="E41" s="0" t="s">
        <v>297</v>
      </c>
      <c r="G41" s="0" t="n">
        <v>1</v>
      </c>
      <c r="H41" s="0" t="s">
        <v>298</v>
      </c>
      <c r="I41" s="48" t="n">
        <v>46297</v>
      </c>
      <c r="J41" s="0" t="n">
        <v>0</v>
      </c>
      <c r="K41" s="49" t="s">
        <v>334</v>
      </c>
      <c r="L41" s="49" t="s">
        <v>335</v>
      </c>
      <c r="M41" s="48"/>
      <c r="O41" s="49" t="s">
        <v>445</v>
      </c>
      <c r="P41" s="48"/>
      <c r="Q41" s="48" t="n">
        <v>46297</v>
      </c>
      <c r="R41" s="48" t="n">
        <v>46303</v>
      </c>
      <c r="T41" s="49" t="s">
        <v>302</v>
      </c>
      <c r="U41" s="49" t="s">
        <v>303</v>
      </c>
      <c r="Y41" s="49" t="s">
        <v>312</v>
      </c>
      <c r="AD41" s="49" t="s">
        <v>305</v>
      </c>
      <c r="AE41" s="48" t="n">
        <v>46289</v>
      </c>
      <c r="AF41" s="49" t="s">
        <v>306</v>
      </c>
      <c r="AG41" s="49" t="s">
        <v>307</v>
      </c>
      <c r="AK41" s="49" t="s">
        <v>303</v>
      </c>
      <c r="AL41" s="49" t="s">
        <v>297</v>
      </c>
      <c r="AO41" s="49" t="s">
        <v>303</v>
      </c>
      <c r="AP41" s="48"/>
      <c r="AR41" s="49" t="s">
        <v>303</v>
      </c>
      <c r="AS41" s="49" t="s">
        <v>306</v>
      </c>
      <c r="AT41" s="49" t="s">
        <v>454</v>
      </c>
      <c r="AV41" s="49" t="s">
        <v>309</v>
      </c>
      <c r="AW41" s="49" t="s">
        <v>310</v>
      </c>
      <c r="AX41" s="49" t="s">
        <v>311</v>
      </c>
      <c r="AY41" s="48"/>
      <c r="AZ41" s="48" t="n">
        <v>46295</v>
      </c>
      <c r="BC41" s="49" t="s">
        <v>303</v>
      </c>
      <c r="BD41" s="48"/>
      <c r="BE41" s="49" t="s">
        <v>312</v>
      </c>
      <c r="BF41" s="49" t="s">
        <v>303</v>
      </c>
      <c r="BG41" s="48"/>
      <c r="BI41" s="48"/>
      <c r="BJ41" s="48" t="n">
        <v>46302</v>
      </c>
      <c r="BK41" s="49" t="s">
        <v>313</v>
      </c>
      <c r="BL41" s="49" t="s">
        <v>313</v>
      </c>
      <c r="BM41" s="49" t="s">
        <v>310</v>
      </c>
      <c r="BN41" s="48"/>
      <c r="BO41" s="48"/>
      <c r="BP41" s="48"/>
      <c r="BQ41" s="49" t="s">
        <v>299</v>
      </c>
      <c r="BR41" s="48" t="n">
        <v>46302</v>
      </c>
      <c r="BS41" s="49" t="s">
        <v>451</v>
      </c>
      <c r="BT41" s="49" t="s">
        <v>312</v>
      </c>
      <c r="BU41" s="49" t="s">
        <v>313</v>
      </c>
      <c r="BV41" s="49" t="s">
        <v>303</v>
      </c>
      <c r="BX41" s="0" t="n">
        <v>0</v>
      </c>
      <c r="CC41" s="49" t="s">
        <v>315</v>
      </c>
      <c r="CD41" s="49" t="s">
        <v>303</v>
      </c>
      <c r="CF41" s="49" t="s">
        <v>303</v>
      </c>
      <c r="CG41" s="49" t="s">
        <v>316</v>
      </c>
      <c r="CH41" s="49" t="s">
        <v>317</v>
      </c>
      <c r="CI41" s="49" t="s">
        <v>318</v>
      </c>
      <c r="CM41" s="49" t="s">
        <v>296</v>
      </c>
      <c r="CV41" s="49" t="s">
        <v>303</v>
      </c>
      <c r="DB41" s="49" t="s">
        <v>319</v>
      </c>
      <c r="DD41" s="48" t="n">
        <v>46289</v>
      </c>
      <c r="DF41" s="49" t="s">
        <v>310</v>
      </c>
      <c r="DG41" s="49" t="s">
        <v>320</v>
      </c>
      <c r="DH41" s="49" t="s">
        <v>66</v>
      </c>
      <c r="DI41" s="49" t="s">
        <v>298</v>
      </c>
      <c r="DJ41" s="49" t="s">
        <v>321</v>
      </c>
      <c r="DK41" s="49" t="s">
        <v>322</v>
      </c>
      <c r="DL41" s="49" t="s">
        <v>323</v>
      </c>
      <c r="DM41" s="49" t="s">
        <v>303</v>
      </c>
      <c r="DN41" s="49" t="s">
        <v>297</v>
      </c>
      <c r="DO41" s="48"/>
      <c r="DP41" s="49" t="s">
        <v>313</v>
      </c>
      <c r="DQ41" s="48"/>
      <c r="DR41" s="49" t="s">
        <v>312</v>
      </c>
      <c r="DS41" s="49" t="s">
        <v>303</v>
      </c>
      <c r="DT41" s="49" t="s">
        <v>303</v>
      </c>
      <c r="DW41" s="49" t="s">
        <v>303</v>
      </c>
      <c r="EA41" s="49" t="s">
        <v>324</v>
      </c>
      <c r="EB41" s="49" t="s">
        <v>303</v>
      </c>
      <c r="EF41" s="49" t="s">
        <v>452</v>
      </c>
      <c r="EH41" s="49" t="s">
        <v>325</v>
      </c>
      <c r="EJ41" s="49" t="s">
        <v>303</v>
      </c>
      <c r="EK41" s="49" t="s">
        <v>455</v>
      </c>
      <c r="EM41" s="49" t="s">
        <v>303</v>
      </c>
      <c r="EN41" s="49" t="s">
        <v>327</v>
      </c>
      <c r="EP41" s="49" t="s">
        <v>298</v>
      </c>
      <c r="EQ41" s="0" t="n">
        <v>1</v>
      </c>
      <c r="ER41" s="49" t="s">
        <v>328</v>
      </c>
      <c r="ES41" s="49" t="s">
        <v>329</v>
      </c>
      <c r="ET41" s="49" t="s">
        <v>310</v>
      </c>
      <c r="EU41" s="49" t="s">
        <v>310</v>
      </c>
      <c r="EV41" s="49" t="s">
        <v>310</v>
      </c>
      <c r="EX41" s="49" t="s">
        <v>303</v>
      </c>
      <c r="EY41" s="49" t="s">
        <v>303</v>
      </c>
      <c r="FC41" s="49" t="s">
        <v>330</v>
      </c>
      <c r="FD41" s="49" t="s">
        <v>310</v>
      </c>
      <c r="FE41" s="49" t="s">
        <v>310</v>
      </c>
      <c r="FF41" s="49" t="s">
        <v>66</v>
      </c>
      <c r="FG41" s="49" t="s">
        <v>331</v>
      </c>
      <c r="FH41" s="49" t="s">
        <v>310</v>
      </c>
      <c r="FI41" s="49" t="s">
        <v>332</v>
      </c>
      <c r="FJ41" s="49" t="s">
        <v>303</v>
      </c>
      <c r="FL41" s="49" t="s">
        <v>325</v>
      </c>
      <c r="FM41" s="49" t="s">
        <v>334</v>
      </c>
      <c r="FP41" s="49" t="s">
        <v>303</v>
      </c>
      <c r="FR41" s="49" t="s">
        <v>303</v>
      </c>
      <c r="FT41" s="49" t="s">
        <v>325</v>
      </c>
      <c r="FU41" s="49" t="s">
        <v>325</v>
      </c>
      <c r="FW41" s="49" t="s">
        <v>333</v>
      </c>
    </row>
    <row r="42" customFormat="false" ht="15" hidden="false" customHeight="false" outlineLevel="0" collapsed="false">
      <c r="A42" s="0" t="n">
        <v>100880225</v>
      </c>
      <c r="B42" s="0" t="s">
        <v>295</v>
      </c>
      <c r="C42" s="0" t="s">
        <v>68</v>
      </c>
      <c r="D42" s="0" t="s">
        <v>456</v>
      </c>
      <c r="E42" s="0" t="s">
        <v>297</v>
      </c>
      <c r="G42" s="0" t="n">
        <v>1</v>
      </c>
      <c r="H42" s="0" t="s">
        <v>298</v>
      </c>
      <c r="I42" s="48" t="n">
        <v>46297</v>
      </c>
      <c r="J42" s="0" t="n">
        <v>0</v>
      </c>
      <c r="K42" s="49" t="s">
        <v>334</v>
      </c>
      <c r="L42" s="49" t="s">
        <v>335</v>
      </c>
      <c r="M42" s="48" t="n">
        <v>46297</v>
      </c>
      <c r="N42" s="49" t="s">
        <v>335</v>
      </c>
      <c r="O42" s="49" t="s">
        <v>445</v>
      </c>
      <c r="P42" s="48"/>
      <c r="Q42" s="48" t="n">
        <v>46297</v>
      </c>
      <c r="R42" s="48" t="n">
        <v>46304</v>
      </c>
      <c r="T42" s="49" t="s">
        <v>302</v>
      </c>
      <c r="U42" s="49" t="s">
        <v>303</v>
      </c>
      <c r="Y42" s="49" t="s">
        <v>457</v>
      </c>
      <c r="AD42" s="49" t="s">
        <v>305</v>
      </c>
      <c r="AE42" s="48" t="n">
        <v>46289</v>
      </c>
      <c r="AF42" s="49" t="s">
        <v>306</v>
      </c>
      <c r="AG42" s="49" t="s">
        <v>307</v>
      </c>
      <c r="AK42" s="49" t="s">
        <v>303</v>
      </c>
      <c r="AL42" s="49" t="s">
        <v>297</v>
      </c>
      <c r="AO42" s="49" t="s">
        <v>303</v>
      </c>
      <c r="AP42" s="48"/>
      <c r="AR42" s="49" t="s">
        <v>303</v>
      </c>
      <c r="AS42" s="49" t="s">
        <v>306</v>
      </c>
      <c r="AT42" s="49" t="s">
        <v>458</v>
      </c>
      <c r="AV42" s="49" t="s">
        <v>309</v>
      </c>
      <c r="AW42" s="49" t="s">
        <v>310</v>
      </c>
      <c r="AX42" s="49" t="s">
        <v>311</v>
      </c>
      <c r="AY42" s="48"/>
      <c r="AZ42" s="48" t="n">
        <v>46295</v>
      </c>
      <c r="BC42" s="49" t="s">
        <v>303</v>
      </c>
      <c r="BD42" s="48"/>
      <c r="BE42" s="49" t="s">
        <v>312</v>
      </c>
      <c r="BF42" s="49" t="s">
        <v>303</v>
      </c>
      <c r="BG42" s="48"/>
      <c r="BI42" s="48"/>
      <c r="BJ42" s="48" t="n">
        <v>46302</v>
      </c>
      <c r="BK42" s="49" t="s">
        <v>312</v>
      </c>
      <c r="BL42" s="49" t="s">
        <v>313</v>
      </c>
      <c r="BM42" s="49" t="s">
        <v>310</v>
      </c>
      <c r="BN42" s="48"/>
      <c r="BO42" s="48"/>
      <c r="BP42" s="48"/>
      <c r="BQ42" s="49" t="s">
        <v>299</v>
      </c>
      <c r="BR42" s="48" t="n">
        <v>46302</v>
      </c>
      <c r="BS42" s="49" t="s">
        <v>451</v>
      </c>
      <c r="BT42" s="49" t="s">
        <v>312</v>
      </c>
      <c r="BU42" s="49" t="s">
        <v>313</v>
      </c>
      <c r="BV42" s="49" t="s">
        <v>303</v>
      </c>
      <c r="BX42" s="0" t="n">
        <v>0</v>
      </c>
      <c r="CC42" s="49" t="s">
        <v>315</v>
      </c>
      <c r="CD42" s="49" t="s">
        <v>303</v>
      </c>
      <c r="CF42" s="49" t="s">
        <v>303</v>
      </c>
      <c r="CG42" s="49" t="s">
        <v>316</v>
      </c>
      <c r="CH42" s="49" t="s">
        <v>317</v>
      </c>
      <c r="CI42" s="49" t="s">
        <v>318</v>
      </c>
      <c r="CM42" s="49" t="s">
        <v>456</v>
      </c>
      <c r="CV42" s="49" t="s">
        <v>303</v>
      </c>
      <c r="DB42" s="49" t="s">
        <v>319</v>
      </c>
      <c r="DD42" s="48" t="n">
        <v>46289</v>
      </c>
      <c r="DF42" s="49" t="s">
        <v>310</v>
      </c>
      <c r="DG42" s="49" t="s">
        <v>320</v>
      </c>
      <c r="DH42" s="49" t="s">
        <v>68</v>
      </c>
      <c r="DI42" s="49" t="s">
        <v>298</v>
      </c>
      <c r="DJ42" s="49" t="s">
        <v>321</v>
      </c>
      <c r="DK42" s="49" t="s">
        <v>322</v>
      </c>
      <c r="DL42" s="49" t="s">
        <v>323</v>
      </c>
      <c r="DM42" s="49" t="s">
        <v>303</v>
      </c>
      <c r="DN42" s="49" t="s">
        <v>297</v>
      </c>
      <c r="DO42" s="48"/>
      <c r="DP42" s="49" t="s">
        <v>313</v>
      </c>
      <c r="DQ42" s="48"/>
      <c r="DR42" s="49" t="s">
        <v>312</v>
      </c>
      <c r="DS42" s="49" t="s">
        <v>303</v>
      </c>
      <c r="DT42" s="49" t="s">
        <v>303</v>
      </c>
      <c r="DW42" s="49" t="s">
        <v>303</v>
      </c>
      <c r="EA42" s="49" t="s">
        <v>324</v>
      </c>
      <c r="EB42" s="49" t="s">
        <v>303</v>
      </c>
      <c r="EH42" s="49" t="s">
        <v>325</v>
      </c>
      <c r="EJ42" s="49" t="s">
        <v>303</v>
      </c>
      <c r="EK42" s="49" t="s">
        <v>459</v>
      </c>
      <c r="EM42" s="49" t="s">
        <v>303</v>
      </c>
      <c r="EN42" s="49" t="s">
        <v>460</v>
      </c>
      <c r="EP42" s="49" t="s">
        <v>298</v>
      </c>
      <c r="EQ42" s="0" t="n">
        <v>1</v>
      </c>
      <c r="ER42" s="49" t="s">
        <v>328</v>
      </c>
      <c r="ES42" s="49" t="s">
        <v>329</v>
      </c>
      <c r="ET42" s="49" t="s">
        <v>310</v>
      </c>
      <c r="EU42" s="49" t="s">
        <v>310</v>
      </c>
      <c r="EV42" s="49" t="s">
        <v>310</v>
      </c>
      <c r="EX42" s="49" t="s">
        <v>303</v>
      </c>
      <c r="EY42" s="49" t="s">
        <v>303</v>
      </c>
      <c r="FC42" s="49" t="s">
        <v>330</v>
      </c>
      <c r="FD42" s="49" t="s">
        <v>310</v>
      </c>
      <c r="FE42" s="49" t="s">
        <v>310</v>
      </c>
      <c r="FF42" s="49" t="s">
        <v>68</v>
      </c>
      <c r="FG42" s="49" t="s">
        <v>461</v>
      </c>
      <c r="FH42" s="49" t="s">
        <v>310</v>
      </c>
      <c r="FI42" s="49" t="s">
        <v>332</v>
      </c>
      <c r="FJ42" s="49" t="s">
        <v>303</v>
      </c>
      <c r="FL42" s="49" t="s">
        <v>325</v>
      </c>
      <c r="FM42" s="49" t="s">
        <v>334</v>
      </c>
      <c r="FP42" s="49" t="s">
        <v>303</v>
      </c>
      <c r="FR42" s="49" t="s">
        <v>303</v>
      </c>
      <c r="FT42" s="49" t="s">
        <v>325</v>
      </c>
      <c r="FU42" s="49" t="s">
        <v>325</v>
      </c>
      <c r="FW42" s="49" t="s">
        <v>333</v>
      </c>
    </row>
    <row r="43" customFormat="false" ht="15" hidden="false" customHeight="false" outlineLevel="0" collapsed="false">
      <c r="A43" s="0" t="n">
        <v>100880226</v>
      </c>
      <c r="B43" s="0" t="s">
        <v>295</v>
      </c>
      <c r="C43" s="0" t="s">
        <v>68</v>
      </c>
      <c r="D43" s="0" t="s">
        <v>456</v>
      </c>
      <c r="E43" s="0" t="s">
        <v>297</v>
      </c>
      <c r="G43" s="0" t="n">
        <v>1</v>
      </c>
      <c r="H43" s="0" t="s">
        <v>298</v>
      </c>
      <c r="I43" s="48" t="n">
        <v>46297</v>
      </c>
      <c r="J43" s="0" t="n">
        <v>0</v>
      </c>
      <c r="K43" s="49" t="s">
        <v>334</v>
      </c>
      <c r="L43" s="49" t="s">
        <v>335</v>
      </c>
      <c r="M43" s="48"/>
      <c r="O43" s="49" t="s">
        <v>445</v>
      </c>
      <c r="P43" s="48"/>
      <c r="Q43" s="48" t="n">
        <v>46297</v>
      </c>
      <c r="R43" s="48" t="n">
        <v>46303</v>
      </c>
      <c r="T43" s="49" t="s">
        <v>302</v>
      </c>
      <c r="U43" s="49" t="s">
        <v>303</v>
      </c>
      <c r="Y43" s="49" t="s">
        <v>312</v>
      </c>
      <c r="AD43" s="49" t="s">
        <v>305</v>
      </c>
      <c r="AE43" s="48" t="n">
        <v>46289</v>
      </c>
      <c r="AF43" s="49" t="s">
        <v>306</v>
      </c>
      <c r="AG43" s="49" t="s">
        <v>307</v>
      </c>
      <c r="AK43" s="49" t="s">
        <v>303</v>
      </c>
      <c r="AL43" s="49" t="s">
        <v>297</v>
      </c>
      <c r="AO43" s="49" t="s">
        <v>303</v>
      </c>
      <c r="AP43" s="48"/>
      <c r="AR43" s="49" t="s">
        <v>303</v>
      </c>
      <c r="AS43" s="49" t="s">
        <v>306</v>
      </c>
      <c r="AT43" s="49" t="s">
        <v>462</v>
      </c>
      <c r="AV43" s="49" t="s">
        <v>309</v>
      </c>
      <c r="AW43" s="49" t="s">
        <v>310</v>
      </c>
      <c r="AX43" s="49" t="s">
        <v>311</v>
      </c>
      <c r="AY43" s="48"/>
      <c r="AZ43" s="48" t="n">
        <v>46295</v>
      </c>
      <c r="BC43" s="49" t="s">
        <v>303</v>
      </c>
      <c r="BD43" s="48"/>
      <c r="BE43" s="49" t="s">
        <v>312</v>
      </c>
      <c r="BF43" s="49" t="s">
        <v>303</v>
      </c>
      <c r="BG43" s="48"/>
      <c r="BI43" s="48"/>
      <c r="BJ43" s="48" t="n">
        <v>46302</v>
      </c>
      <c r="BK43" s="49" t="s">
        <v>313</v>
      </c>
      <c r="BL43" s="49" t="s">
        <v>313</v>
      </c>
      <c r="BM43" s="49" t="s">
        <v>310</v>
      </c>
      <c r="BN43" s="48"/>
      <c r="BO43" s="48"/>
      <c r="BP43" s="48"/>
      <c r="BQ43" s="49" t="s">
        <v>299</v>
      </c>
      <c r="BR43" s="48" t="n">
        <v>46302</v>
      </c>
      <c r="BS43" s="49" t="s">
        <v>463</v>
      </c>
      <c r="BT43" s="49" t="s">
        <v>312</v>
      </c>
      <c r="BU43" s="49" t="s">
        <v>313</v>
      </c>
      <c r="BV43" s="49" t="s">
        <v>303</v>
      </c>
      <c r="BX43" s="0" t="n">
        <v>0</v>
      </c>
      <c r="CC43" s="49" t="s">
        <v>315</v>
      </c>
      <c r="CD43" s="49" t="s">
        <v>303</v>
      </c>
      <c r="CF43" s="49" t="s">
        <v>303</v>
      </c>
      <c r="CG43" s="49" t="s">
        <v>316</v>
      </c>
      <c r="CH43" s="49" t="s">
        <v>317</v>
      </c>
      <c r="CI43" s="49" t="s">
        <v>318</v>
      </c>
      <c r="CM43" s="49" t="s">
        <v>456</v>
      </c>
      <c r="CV43" s="49" t="s">
        <v>303</v>
      </c>
      <c r="DB43" s="49" t="s">
        <v>319</v>
      </c>
      <c r="DD43" s="48" t="n">
        <v>46289</v>
      </c>
      <c r="DF43" s="49" t="s">
        <v>310</v>
      </c>
      <c r="DG43" s="49" t="s">
        <v>320</v>
      </c>
      <c r="DH43" s="49" t="s">
        <v>68</v>
      </c>
      <c r="DI43" s="49" t="s">
        <v>298</v>
      </c>
      <c r="DJ43" s="49" t="s">
        <v>321</v>
      </c>
      <c r="DK43" s="49" t="s">
        <v>322</v>
      </c>
      <c r="DL43" s="49" t="s">
        <v>323</v>
      </c>
      <c r="DM43" s="49" t="s">
        <v>303</v>
      </c>
      <c r="DN43" s="49" t="s">
        <v>297</v>
      </c>
      <c r="DO43" s="48"/>
      <c r="DP43" s="49" t="s">
        <v>313</v>
      </c>
      <c r="DQ43" s="48"/>
      <c r="DR43" s="49" t="s">
        <v>312</v>
      </c>
      <c r="DS43" s="49" t="s">
        <v>303</v>
      </c>
      <c r="DT43" s="49" t="s">
        <v>303</v>
      </c>
      <c r="DW43" s="49" t="s">
        <v>303</v>
      </c>
      <c r="EA43" s="49" t="s">
        <v>324</v>
      </c>
      <c r="EB43" s="49" t="s">
        <v>303</v>
      </c>
      <c r="EF43" s="49" t="s">
        <v>464</v>
      </c>
      <c r="EH43" s="49" t="s">
        <v>325</v>
      </c>
      <c r="EJ43" s="49" t="s">
        <v>303</v>
      </c>
      <c r="EK43" s="49" t="s">
        <v>465</v>
      </c>
      <c r="EM43" s="49" t="s">
        <v>303</v>
      </c>
      <c r="EN43" s="49" t="s">
        <v>460</v>
      </c>
      <c r="EP43" s="49" t="s">
        <v>298</v>
      </c>
      <c r="EQ43" s="0" t="n">
        <v>1</v>
      </c>
      <c r="ER43" s="49" t="s">
        <v>328</v>
      </c>
      <c r="ES43" s="49" t="s">
        <v>329</v>
      </c>
      <c r="ET43" s="49" t="s">
        <v>310</v>
      </c>
      <c r="EU43" s="49" t="s">
        <v>310</v>
      </c>
      <c r="EV43" s="49" t="s">
        <v>310</v>
      </c>
      <c r="EX43" s="49" t="s">
        <v>303</v>
      </c>
      <c r="EY43" s="49" t="s">
        <v>303</v>
      </c>
      <c r="FC43" s="49" t="s">
        <v>330</v>
      </c>
      <c r="FD43" s="49" t="s">
        <v>310</v>
      </c>
      <c r="FE43" s="49" t="s">
        <v>310</v>
      </c>
      <c r="FF43" s="49" t="s">
        <v>68</v>
      </c>
      <c r="FG43" s="49" t="s">
        <v>461</v>
      </c>
      <c r="FH43" s="49" t="s">
        <v>310</v>
      </c>
      <c r="FI43" s="49" t="s">
        <v>332</v>
      </c>
      <c r="FJ43" s="49" t="s">
        <v>303</v>
      </c>
      <c r="FL43" s="49" t="s">
        <v>325</v>
      </c>
      <c r="FM43" s="49" t="s">
        <v>334</v>
      </c>
      <c r="FP43" s="49" t="s">
        <v>303</v>
      </c>
      <c r="FR43" s="49" t="s">
        <v>303</v>
      </c>
      <c r="FT43" s="49" t="s">
        <v>325</v>
      </c>
      <c r="FU43" s="49" t="s">
        <v>325</v>
      </c>
      <c r="FW43" s="49" t="s">
        <v>333</v>
      </c>
    </row>
    <row r="44" customFormat="false" ht="15" hidden="false" customHeight="false" outlineLevel="0" collapsed="false">
      <c r="A44" s="0" t="n">
        <v>100880227</v>
      </c>
      <c r="B44" s="0" t="s">
        <v>295</v>
      </c>
      <c r="C44" s="0" t="s">
        <v>68</v>
      </c>
      <c r="D44" s="0" t="s">
        <v>456</v>
      </c>
      <c r="E44" s="0" t="s">
        <v>297</v>
      </c>
      <c r="G44" s="0" t="n">
        <v>1</v>
      </c>
      <c r="H44" s="0" t="s">
        <v>298</v>
      </c>
      <c r="I44" s="48" t="n">
        <v>46297</v>
      </c>
      <c r="J44" s="0" t="n">
        <v>0</v>
      </c>
      <c r="K44" s="49" t="s">
        <v>334</v>
      </c>
      <c r="L44" s="49" t="s">
        <v>335</v>
      </c>
      <c r="M44" s="48"/>
      <c r="O44" s="49" t="s">
        <v>445</v>
      </c>
      <c r="P44" s="48"/>
      <c r="Q44" s="48" t="n">
        <v>46297</v>
      </c>
      <c r="R44" s="48" t="n">
        <v>46303</v>
      </c>
      <c r="T44" s="49" t="s">
        <v>302</v>
      </c>
      <c r="U44" s="49" t="s">
        <v>303</v>
      </c>
      <c r="Y44" s="49" t="s">
        <v>312</v>
      </c>
      <c r="AD44" s="49" t="s">
        <v>305</v>
      </c>
      <c r="AE44" s="48" t="n">
        <v>46289</v>
      </c>
      <c r="AF44" s="49" t="s">
        <v>306</v>
      </c>
      <c r="AG44" s="49" t="s">
        <v>307</v>
      </c>
      <c r="AK44" s="49" t="s">
        <v>303</v>
      </c>
      <c r="AL44" s="49" t="s">
        <v>297</v>
      </c>
      <c r="AO44" s="49" t="s">
        <v>303</v>
      </c>
      <c r="AP44" s="48"/>
      <c r="AR44" s="49" t="s">
        <v>303</v>
      </c>
      <c r="AS44" s="49" t="s">
        <v>306</v>
      </c>
      <c r="AT44" s="49" t="s">
        <v>466</v>
      </c>
      <c r="AV44" s="49" t="s">
        <v>309</v>
      </c>
      <c r="AW44" s="49" t="s">
        <v>310</v>
      </c>
      <c r="AX44" s="49" t="s">
        <v>311</v>
      </c>
      <c r="AY44" s="48"/>
      <c r="AZ44" s="48" t="n">
        <v>46295</v>
      </c>
      <c r="BC44" s="49" t="s">
        <v>303</v>
      </c>
      <c r="BD44" s="48"/>
      <c r="BE44" s="49" t="s">
        <v>312</v>
      </c>
      <c r="BF44" s="49" t="s">
        <v>303</v>
      </c>
      <c r="BG44" s="48"/>
      <c r="BI44" s="48"/>
      <c r="BJ44" s="48" t="n">
        <v>46302</v>
      </c>
      <c r="BK44" s="49" t="s">
        <v>313</v>
      </c>
      <c r="BL44" s="49" t="s">
        <v>313</v>
      </c>
      <c r="BM44" s="49" t="s">
        <v>310</v>
      </c>
      <c r="BN44" s="48"/>
      <c r="BO44" s="48"/>
      <c r="BP44" s="48"/>
      <c r="BQ44" s="49" t="s">
        <v>299</v>
      </c>
      <c r="BR44" s="48" t="n">
        <v>46302</v>
      </c>
      <c r="BS44" s="49" t="s">
        <v>463</v>
      </c>
      <c r="BT44" s="49" t="s">
        <v>312</v>
      </c>
      <c r="BU44" s="49" t="s">
        <v>313</v>
      </c>
      <c r="BV44" s="49" t="s">
        <v>303</v>
      </c>
      <c r="BX44" s="0" t="n">
        <v>0</v>
      </c>
      <c r="CC44" s="49" t="s">
        <v>315</v>
      </c>
      <c r="CD44" s="49" t="s">
        <v>303</v>
      </c>
      <c r="CF44" s="49" t="s">
        <v>303</v>
      </c>
      <c r="CG44" s="49" t="s">
        <v>316</v>
      </c>
      <c r="CH44" s="49" t="s">
        <v>317</v>
      </c>
      <c r="CI44" s="49" t="s">
        <v>318</v>
      </c>
      <c r="CM44" s="49" t="s">
        <v>456</v>
      </c>
      <c r="CV44" s="49" t="s">
        <v>303</v>
      </c>
      <c r="DB44" s="49" t="s">
        <v>319</v>
      </c>
      <c r="DD44" s="48" t="n">
        <v>46289</v>
      </c>
      <c r="DF44" s="49" t="s">
        <v>310</v>
      </c>
      <c r="DG44" s="49" t="s">
        <v>320</v>
      </c>
      <c r="DH44" s="49" t="s">
        <v>68</v>
      </c>
      <c r="DI44" s="49" t="s">
        <v>298</v>
      </c>
      <c r="DJ44" s="49" t="s">
        <v>321</v>
      </c>
      <c r="DK44" s="49" t="s">
        <v>322</v>
      </c>
      <c r="DL44" s="49" t="s">
        <v>323</v>
      </c>
      <c r="DM44" s="49" t="s">
        <v>303</v>
      </c>
      <c r="DN44" s="49" t="s">
        <v>297</v>
      </c>
      <c r="DO44" s="48"/>
      <c r="DP44" s="49" t="s">
        <v>313</v>
      </c>
      <c r="DQ44" s="48"/>
      <c r="DR44" s="49" t="s">
        <v>312</v>
      </c>
      <c r="DS44" s="49" t="s">
        <v>303</v>
      </c>
      <c r="DT44" s="49" t="s">
        <v>303</v>
      </c>
      <c r="DW44" s="49" t="s">
        <v>303</v>
      </c>
      <c r="EA44" s="49" t="s">
        <v>324</v>
      </c>
      <c r="EB44" s="49" t="s">
        <v>303</v>
      </c>
      <c r="EF44" s="49" t="s">
        <v>464</v>
      </c>
      <c r="EH44" s="49" t="s">
        <v>325</v>
      </c>
      <c r="EJ44" s="49" t="s">
        <v>303</v>
      </c>
      <c r="EK44" s="49" t="s">
        <v>467</v>
      </c>
      <c r="EM44" s="49" t="s">
        <v>303</v>
      </c>
      <c r="EN44" s="49" t="s">
        <v>460</v>
      </c>
      <c r="EP44" s="49" t="s">
        <v>298</v>
      </c>
      <c r="EQ44" s="0" t="n">
        <v>1</v>
      </c>
      <c r="ER44" s="49" t="s">
        <v>328</v>
      </c>
      <c r="ES44" s="49" t="s">
        <v>329</v>
      </c>
      <c r="ET44" s="49" t="s">
        <v>310</v>
      </c>
      <c r="EU44" s="49" t="s">
        <v>310</v>
      </c>
      <c r="EV44" s="49" t="s">
        <v>310</v>
      </c>
      <c r="EX44" s="49" t="s">
        <v>303</v>
      </c>
      <c r="EY44" s="49" t="s">
        <v>303</v>
      </c>
      <c r="FC44" s="49" t="s">
        <v>330</v>
      </c>
      <c r="FD44" s="49" t="s">
        <v>310</v>
      </c>
      <c r="FE44" s="49" t="s">
        <v>310</v>
      </c>
      <c r="FF44" s="49" t="s">
        <v>68</v>
      </c>
      <c r="FG44" s="49" t="s">
        <v>461</v>
      </c>
      <c r="FH44" s="49" t="s">
        <v>310</v>
      </c>
      <c r="FI44" s="49" t="s">
        <v>332</v>
      </c>
      <c r="FJ44" s="49" t="s">
        <v>303</v>
      </c>
      <c r="FL44" s="49" t="s">
        <v>325</v>
      </c>
      <c r="FM44" s="49" t="s">
        <v>334</v>
      </c>
      <c r="FP44" s="49" t="s">
        <v>303</v>
      </c>
      <c r="FR44" s="49" t="s">
        <v>303</v>
      </c>
      <c r="FT44" s="49" t="s">
        <v>325</v>
      </c>
      <c r="FU44" s="49" t="s">
        <v>325</v>
      </c>
      <c r="FW44" s="49" t="s">
        <v>333</v>
      </c>
    </row>
    <row r="45" customFormat="false" ht="15" hidden="false" customHeight="false" outlineLevel="0" collapsed="false">
      <c r="A45" s="0" t="n">
        <v>100880228</v>
      </c>
      <c r="B45" s="0" t="s">
        <v>295</v>
      </c>
      <c r="C45" s="0" t="s">
        <v>70</v>
      </c>
      <c r="D45" s="0" t="s">
        <v>468</v>
      </c>
      <c r="E45" s="0" t="s">
        <v>297</v>
      </c>
      <c r="G45" s="0" t="n">
        <v>1</v>
      </c>
      <c r="H45" s="0" t="s">
        <v>298</v>
      </c>
      <c r="I45" s="48" t="n">
        <v>46297</v>
      </c>
      <c r="J45" s="0" t="n">
        <v>0</v>
      </c>
      <c r="K45" s="49" t="s">
        <v>334</v>
      </c>
      <c r="L45" s="49" t="s">
        <v>335</v>
      </c>
      <c r="M45" s="48" t="n">
        <v>46297</v>
      </c>
      <c r="N45" s="49" t="s">
        <v>335</v>
      </c>
      <c r="O45" s="49" t="s">
        <v>445</v>
      </c>
      <c r="P45" s="48"/>
      <c r="Q45" s="48" t="n">
        <v>46297</v>
      </c>
      <c r="R45" s="48" t="n">
        <v>46304</v>
      </c>
      <c r="T45" s="49" t="s">
        <v>302</v>
      </c>
      <c r="U45" s="49" t="s">
        <v>303</v>
      </c>
      <c r="Y45" s="49" t="s">
        <v>469</v>
      </c>
      <c r="AD45" s="49" t="s">
        <v>305</v>
      </c>
      <c r="AE45" s="48" t="n">
        <v>46293</v>
      </c>
      <c r="AF45" s="49" t="s">
        <v>306</v>
      </c>
      <c r="AG45" s="49" t="s">
        <v>307</v>
      </c>
      <c r="AK45" s="49" t="s">
        <v>303</v>
      </c>
      <c r="AL45" s="49" t="s">
        <v>297</v>
      </c>
      <c r="AO45" s="49" t="s">
        <v>303</v>
      </c>
      <c r="AP45" s="48"/>
      <c r="AR45" s="49" t="s">
        <v>303</v>
      </c>
      <c r="AS45" s="49" t="s">
        <v>306</v>
      </c>
      <c r="AT45" s="49" t="s">
        <v>470</v>
      </c>
      <c r="AV45" s="49" t="s">
        <v>309</v>
      </c>
      <c r="AW45" s="49" t="s">
        <v>310</v>
      </c>
      <c r="AX45" s="49" t="s">
        <v>311</v>
      </c>
      <c r="AY45" s="48"/>
      <c r="AZ45" s="48" t="n">
        <v>46295</v>
      </c>
      <c r="BC45" s="49" t="s">
        <v>303</v>
      </c>
      <c r="BD45" s="48"/>
      <c r="BE45" s="49" t="s">
        <v>312</v>
      </c>
      <c r="BF45" s="49" t="s">
        <v>303</v>
      </c>
      <c r="BG45" s="48"/>
      <c r="BI45" s="48"/>
      <c r="BJ45" s="48" t="n">
        <v>46302</v>
      </c>
      <c r="BK45" s="49" t="s">
        <v>312</v>
      </c>
      <c r="BL45" s="49" t="s">
        <v>313</v>
      </c>
      <c r="BM45" s="49" t="s">
        <v>310</v>
      </c>
      <c r="BN45" s="48"/>
      <c r="BO45" s="48"/>
      <c r="BP45" s="48"/>
      <c r="BQ45" s="49" t="s">
        <v>299</v>
      </c>
      <c r="BR45" s="48" t="n">
        <v>46302</v>
      </c>
      <c r="BS45" s="49" t="s">
        <v>463</v>
      </c>
      <c r="BT45" s="49" t="s">
        <v>312</v>
      </c>
      <c r="BU45" s="49" t="s">
        <v>313</v>
      </c>
      <c r="BV45" s="49" t="s">
        <v>303</v>
      </c>
      <c r="BX45" s="0" t="n">
        <v>0</v>
      </c>
      <c r="CC45" s="49" t="s">
        <v>315</v>
      </c>
      <c r="CD45" s="49" t="s">
        <v>303</v>
      </c>
      <c r="CF45" s="49" t="s">
        <v>303</v>
      </c>
      <c r="CG45" s="49" t="s">
        <v>316</v>
      </c>
      <c r="CH45" s="49" t="s">
        <v>317</v>
      </c>
      <c r="CI45" s="49" t="s">
        <v>318</v>
      </c>
      <c r="CM45" s="49" t="s">
        <v>468</v>
      </c>
      <c r="CV45" s="49" t="s">
        <v>303</v>
      </c>
      <c r="DB45" s="49" t="s">
        <v>319</v>
      </c>
      <c r="DD45" s="48" t="n">
        <v>46293</v>
      </c>
      <c r="DF45" s="49" t="s">
        <v>310</v>
      </c>
      <c r="DG45" s="49" t="s">
        <v>320</v>
      </c>
      <c r="DH45" s="49" t="s">
        <v>70</v>
      </c>
      <c r="DI45" s="49" t="s">
        <v>298</v>
      </c>
      <c r="DJ45" s="49" t="s">
        <v>321</v>
      </c>
      <c r="DK45" s="49" t="s">
        <v>322</v>
      </c>
      <c r="DL45" s="49" t="s">
        <v>323</v>
      </c>
      <c r="DM45" s="49" t="s">
        <v>303</v>
      </c>
      <c r="DN45" s="49" t="s">
        <v>297</v>
      </c>
      <c r="DO45" s="48"/>
      <c r="DP45" s="49" t="s">
        <v>313</v>
      </c>
      <c r="DQ45" s="48"/>
      <c r="DR45" s="49" t="s">
        <v>312</v>
      </c>
      <c r="DS45" s="49" t="s">
        <v>303</v>
      </c>
      <c r="DT45" s="49" t="s">
        <v>303</v>
      </c>
      <c r="DW45" s="49" t="s">
        <v>303</v>
      </c>
      <c r="EA45" s="49" t="s">
        <v>324</v>
      </c>
      <c r="EB45" s="49" t="s">
        <v>303</v>
      </c>
      <c r="EH45" s="49" t="s">
        <v>325</v>
      </c>
      <c r="EJ45" s="49" t="s">
        <v>303</v>
      </c>
      <c r="EK45" s="49" t="s">
        <v>471</v>
      </c>
      <c r="EM45" s="49" t="s">
        <v>303</v>
      </c>
      <c r="EN45" s="49" t="s">
        <v>472</v>
      </c>
      <c r="EP45" s="49" t="s">
        <v>298</v>
      </c>
      <c r="EQ45" s="0" t="n">
        <v>1</v>
      </c>
      <c r="ER45" s="49" t="s">
        <v>328</v>
      </c>
      <c r="ES45" s="49" t="s">
        <v>329</v>
      </c>
      <c r="ET45" s="49" t="s">
        <v>310</v>
      </c>
      <c r="EU45" s="49" t="s">
        <v>310</v>
      </c>
      <c r="EV45" s="49" t="s">
        <v>310</v>
      </c>
      <c r="EX45" s="49" t="s">
        <v>303</v>
      </c>
      <c r="EY45" s="49" t="s">
        <v>303</v>
      </c>
      <c r="FC45" s="49" t="s">
        <v>330</v>
      </c>
      <c r="FD45" s="49" t="s">
        <v>310</v>
      </c>
      <c r="FE45" s="49" t="s">
        <v>310</v>
      </c>
      <c r="FF45" s="49" t="s">
        <v>70</v>
      </c>
      <c r="FG45" s="49" t="s">
        <v>473</v>
      </c>
      <c r="FH45" s="49" t="s">
        <v>310</v>
      </c>
      <c r="FI45" s="49" t="s">
        <v>332</v>
      </c>
      <c r="FJ45" s="49" t="s">
        <v>303</v>
      </c>
      <c r="FL45" s="49" t="s">
        <v>325</v>
      </c>
      <c r="FM45" s="49" t="s">
        <v>334</v>
      </c>
      <c r="FP45" s="49" t="s">
        <v>303</v>
      </c>
      <c r="FR45" s="49" t="s">
        <v>303</v>
      </c>
      <c r="FT45" s="49" t="s">
        <v>325</v>
      </c>
      <c r="FU45" s="49" t="s">
        <v>325</v>
      </c>
      <c r="FW45" s="49" t="s">
        <v>333</v>
      </c>
    </row>
    <row r="46" customFormat="false" ht="15" hidden="false" customHeight="false" outlineLevel="0" collapsed="false">
      <c r="A46" s="0" t="n">
        <v>100880229</v>
      </c>
      <c r="B46" s="0" t="s">
        <v>295</v>
      </c>
      <c r="C46" s="0" t="s">
        <v>70</v>
      </c>
      <c r="D46" s="0" t="s">
        <v>468</v>
      </c>
      <c r="E46" s="0" t="s">
        <v>297</v>
      </c>
      <c r="G46" s="0" t="n">
        <v>1</v>
      </c>
      <c r="H46" s="0" t="s">
        <v>298</v>
      </c>
      <c r="I46" s="48" t="n">
        <v>46297</v>
      </c>
      <c r="J46" s="0" t="n">
        <v>0</v>
      </c>
      <c r="K46" s="49" t="s">
        <v>334</v>
      </c>
      <c r="L46" s="49" t="s">
        <v>335</v>
      </c>
      <c r="M46" s="48"/>
      <c r="O46" s="49" t="s">
        <v>445</v>
      </c>
      <c r="P46" s="48"/>
      <c r="Q46" s="48" t="n">
        <v>46297</v>
      </c>
      <c r="R46" s="48" t="n">
        <v>46303</v>
      </c>
      <c r="T46" s="49" t="s">
        <v>302</v>
      </c>
      <c r="U46" s="49" t="s">
        <v>303</v>
      </c>
      <c r="Y46" s="49" t="s">
        <v>312</v>
      </c>
      <c r="AD46" s="49" t="s">
        <v>305</v>
      </c>
      <c r="AE46" s="48" t="n">
        <v>46293</v>
      </c>
      <c r="AF46" s="49" t="s">
        <v>306</v>
      </c>
      <c r="AG46" s="49" t="s">
        <v>307</v>
      </c>
      <c r="AK46" s="49" t="s">
        <v>303</v>
      </c>
      <c r="AL46" s="49" t="s">
        <v>297</v>
      </c>
      <c r="AO46" s="49" t="s">
        <v>303</v>
      </c>
      <c r="AP46" s="48"/>
      <c r="AR46" s="49" t="s">
        <v>303</v>
      </c>
      <c r="AS46" s="49" t="s">
        <v>306</v>
      </c>
      <c r="AT46" s="49" t="s">
        <v>474</v>
      </c>
      <c r="AV46" s="49" t="s">
        <v>309</v>
      </c>
      <c r="AW46" s="49" t="s">
        <v>310</v>
      </c>
      <c r="AX46" s="49" t="s">
        <v>311</v>
      </c>
      <c r="AY46" s="48"/>
      <c r="AZ46" s="48" t="n">
        <v>46295</v>
      </c>
      <c r="BC46" s="49" t="s">
        <v>303</v>
      </c>
      <c r="BD46" s="48"/>
      <c r="BE46" s="49" t="s">
        <v>312</v>
      </c>
      <c r="BF46" s="49" t="s">
        <v>303</v>
      </c>
      <c r="BG46" s="48"/>
      <c r="BI46" s="48"/>
      <c r="BJ46" s="48" t="n">
        <v>46302</v>
      </c>
      <c r="BK46" s="49" t="s">
        <v>313</v>
      </c>
      <c r="BL46" s="49" t="s">
        <v>313</v>
      </c>
      <c r="BM46" s="49" t="s">
        <v>310</v>
      </c>
      <c r="BN46" s="48"/>
      <c r="BO46" s="48"/>
      <c r="BP46" s="48"/>
      <c r="BQ46" s="49" t="s">
        <v>299</v>
      </c>
      <c r="BR46" s="48" t="n">
        <v>46302</v>
      </c>
      <c r="BS46" s="49" t="s">
        <v>475</v>
      </c>
      <c r="BT46" s="49" t="s">
        <v>312</v>
      </c>
      <c r="BU46" s="49" t="s">
        <v>313</v>
      </c>
      <c r="BV46" s="49" t="s">
        <v>303</v>
      </c>
      <c r="BX46" s="0" t="n">
        <v>0</v>
      </c>
      <c r="CC46" s="49" t="s">
        <v>315</v>
      </c>
      <c r="CD46" s="49" t="s">
        <v>303</v>
      </c>
      <c r="CF46" s="49" t="s">
        <v>303</v>
      </c>
      <c r="CG46" s="49" t="s">
        <v>316</v>
      </c>
      <c r="CH46" s="49" t="s">
        <v>317</v>
      </c>
      <c r="CI46" s="49" t="s">
        <v>318</v>
      </c>
      <c r="CM46" s="49" t="s">
        <v>468</v>
      </c>
      <c r="CV46" s="49" t="s">
        <v>303</v>
      </c>
      <c r="DB46" s="49" t="s">
        <v>319</v>
      </c>
      <c r="DD46" s="48" t="n">
        <v>46293</v>
      </c>
      <c r="DF46" s="49" t="s">
        <v>310</v>
      </c>
      <c r="DG46" s="49" t="s">
        <v>320</v>
      </c>
      <c r="DH46" s="49" t="s">
        <v>70</v>
      </c>
      <c r="DI46" s="49" t="s">
        <v>298</v>
      </c>
      <c r="DJ46" s="49" t="s">
        <v>321</v>
      </c>
      <c r="DK46" s="49" t="s">
        <v>322</v>
      </c>
      <c r="DL46" s="49" t="s">
        <v>323</v>
      </c>
      <c r="DM46" s="49" t="s">
        <v>303</v>
      </c>
      <c r="DN46" s="49" t="s">
        <v>297</v>
      </c>
      <c r="DO46" s="48"/>
      <c r="DP46" s="49" t="s">
        <v>313</v>
      </c>
      <c r="DQ46" s="48"/>
      <c r="DR46" s="49" t="s">
        <v>312</v>
      </c>
      <c r="DS46" s="49" t="s">
        <v>303</v>
      </c>
      <c r="DT46" s="49" t="s">
        <v>303</v>
      </c>
      <c r="DW46" s="49" t="s">
        <v>303</v>
      </c>
      <c r="EA46" s="49" t="s">
        <v>324</v>
      </c>
      <c r="EB46" s="49" t="s">
        <v>303</v>
      </c>
      <c r="EF46" s="49" t="s">
        <v>476</v>
      </c>
      <c r="EH46" s="49" t="s">
        <v>325</v>
      </c>
      <c r="EJ46" s="49" t="s">
        <v>303</v>
      </c>
      <c r="EK46" s="49" t="s">
        <v>477</v>
      </c>
      <c r="EM46" s="49" t="s">
        <v>303</v>
      </c>
      <c r="EN46" s="49" t="s">
        <v>472</v>
      </c>
      <c r="EP46" s="49" t="s">
        <v>298</v>
      </c>
      <c r="EQ46" s="0" t="n">
        <v>1</v>
      </c>
      <c r="ER46" s="49" t="s">
        <v>328</v>
      </c>
      <c r="ES46" s="49" t="s">
        <v>329</v>
      </c>
      <c r="ET46" s="49" t="s">
        <v>310</v>
      </c>
      <c r="EU46" s="49" t="s">
        <v>310</v>
      </c>
      <c r="EV46" s="49" t="s">
        <v>310</v>
      </c>
      <c r="EX46" s="49" t="s">
        <v>303</v>
      </c>
      <c r="EY46" s="49" t="s">
        <v>303</v>
      </c>
      <c r="FC46" s="49" t="s">
        <v>330</v>
      </c>
      <c r="FD46" s="49" t="s">
        <v>310</v>
      </c>
      <c r="FE46" s="49" t="s">
        <v>310</v>
      </c>
      <c r="FF46" s="49" t="s">
        <v>70</v>
      </c>
      <c r="FG46" s="49" t="s">
        <v>473</v>
      </c>
      <c r="FH46" s="49" t="s">
        <v>310</v>
      </c>
      <c r="FI46" s="49" t="s">
        <v>332</v>
      </c>
      <c r="FJ46" s="49" t="s">
        <v>303</v>
      </c>
      <c r="FL46" s="49" t="s">
        <v>325</v>
      </c>
      <c r="FM46" s="49" t="s">
        <v>334</v>
      </c>
      <c r="FP46" s="49" t="s">
        <v>303</v>
      </c>
      <c r="FR46" s="49" t="s">
        <v>303</v>
      </c>
      <c r="FT46" s="49" t="s">
        <v>325</v>
      </c>
      <c r="FU46" s="49" t="s">
        <v>325</v>
      </c>
      <c r="FW46" s="49" t="s">
        <v>333</v>
      </c>
    </row>
    <row r="47" customFormat="false" ht="15" hidden="false" customHeight="false" outlineLevel="0" collapsed="false">
      <c r="A47" s="0" t="n">
        <v>100880230</v>
      </c>
      <c r="B47" s="0" t="s">
        <v>295</v>
      </c>
      <c r="C47" s="0" t="s">
        <v>70</v>
      </c>
      <c r="D47" s="0" t="s">
        <v>468</v>
      </c>
      <c r="E47" s="0" t="s">
        <v>297</v>
      </c>
      <c r="G47" s="0" t="n">
        <v>1</v>
      </c>
      <c r="H47" s="0" t="s">
        <v>298</v>
      </c>
      <c r="I47" s="48" t="n">
        <v>46297</v>
      </c>
      <c r="J47" s="0" t="n">
        <v>0</v>
      </c>
      <c r="K47" s="49" t="s">
        <v>334</v>
      </c>
      <c r="L47" s="49" t="s">
        <v>335</v>
      </c>
      <c r="M47" s="48"/>
      <c r="O47" s="49" t="s">
        <v>445</v>
      </c>
      <c r="P47" s="48"/>
      <c r="Q47" s="48" t="n">
        <v>46297</v>
      </c>
      <c r="R47" s="48" t="n">
        <v>46303</v>
      </c>
      <c r="T47" s="49" t="s">
        <v>302</v>
      </c>
      <c r="U47" s="49" t="s">
        <v>303</v>
      </c>
      <c r="Y47" s="49" t="s">
        <v>312</v>
      </c>
      <c r="AD47" s="49" t="s">
        <v>305</v>
      </c>
      <c r="AE47" s="48" t="n">
        <v>46293</v>
      </c>
      <c r="AF47" s="49" t="s">
        <v>306</v>
      </c>
      <c r="AG47" s="49" t="s">
        <v>307</v>
      </c>
      <c r="AK47" s="49" t="s">
        <v>303</v>
      </c>
      <c r="AL47" s="49" t="s">
        <v>297</v>
      </c>
      <c r="AO47" s="49" t="s">
        <v>303</v>
      </c>
      <c r="AP47" s="48"/>
      <c r="AR47" s="49" t="s">
        <v>303</v>
      </c>
      <c r="AS47" s="49" t="s">
        <v>306</v>
      </c>
      <c r="AT47" s="49" t="s">
        <v>478</v>
      </c>
      <c r="AV47" s="49" t="s">
        <v>309</v>
      </c>
      <c r="AW47" s="49" t="s">
        <v>310</v>
      </c>
      <c r="AX47" s="49" t="s">
        <v>311</v>
      </c>
      <c r="AY47" s="48"/>
      <c r="AZ47" s="48" t="n">
        <v>46295</v>
      </c>
      <c r="BC47" s="49" t="s">
        <v>303</v>
      </c>
      <c r="BD47" s="48"/>
      <c r="BE47" s="49" t="s">
        <v>312</v>
      </c>
      <c r="BF47" s="49" t="s">
        <v>303</v>
      </c>
      <c r="BG47" s="48"/>
      <c r="BI47" s="48"/>
      <c r="BJ47" s="48" t="n">
        <v>46302</v>
      </c>
      <c r="BK47" s="49" t="s">
        <v>313</v>
      </c>
      <c r="BL47" s="49" t="s">
        <v>313</v>
      </c>
      <c r="BM47" s="49" t="s">
        <v>310</v>
      </c>
      <c r="BN47" s="48"/>
      <c r="BO47" s="48"/>
      <c r="BP47" s="48"/>
      <c r="BQ47" s="49" t="s">
        <v>299</v>
      </c>
      <c r="BR47" s="48" t="n">
        <v>46302</v>
      </c>
      <c r="BS47" s="49" t="s">
        <v>475</v>
      </c>
      <c r="BT47" s="49" t="s">
        <v>312</v>
      </c>
      <c r="BU47" s="49" t="s">
        <v>313</v>
      </c>
      <c r="BV47" s="49" t="s">
        <v>303</v>
      </c>
      <c r="BX47" s="0" t="n">
        <v>0</v>
      </c>
      <c r="CC47" s="49" t="s">
        <v>315</v>
      </c>
      <c r="CD47" s="49" t="s">
        <v>303</v>
      </c>
      <c r="CF47" s="49" t="s">
        <v>303</v>
      </c>
      <c r="CG47" s="49" t="s">
        <v>316</v>
      </c>
      <c r="CH47" s="49" t="s">
        <v>317</v>
      </c>
      <c r="CI47" s="49" t="s">
        <v>318</v>
      </c>
      <c r="CM47" s="49" t="s">
        <v>468</v>
      </c>
      <c r="CV47" s="49" t="s">
        <v>303</v>
      </c>
      <c r="DB47" s="49" t="s">
        <v>319</v>
      </c>
      <c r="DD47" s="48" t="n">
        <v>46293</v>
      </c>
      <c r="DF47" s="49" t="s">
        <v>310</v>
      </c>
      <c r="DG47" s="49" t="s">
        <v>320</v>
      </c>
      <c r="DH47" s="49" t="s">
        <v>70</v>
      </c>
      <c r="DI47" s="49" t="s">
        <v>298</v>
      </c>
      <c r="DJ47" s="49" t="s">
        <v>321</v>
      </c>
      <c r="DK47" s="49" t="s">
        <v>322</v>
      </c>
      <c r="DL47" s="49" t="s">
        <v>323</v>
      </c>
      <c r="DM47" s="49" t="s">
        <v>303</v>
      </c>
      <c r="DN47" s="49" t="s">
        <v>297</v>
      </c>
      <c r="DO47" s="48"/>
      <c r="DP47" s="49" t="s">
        <v>313</v>
      </c>
      <c r="DQ47" s="48"/>
      <c r="DR47" s="49" t="s">
        <v>312</v>
      </c>
      <c r="DS47" s="49" t="s">
        <v>303</v>
      </c>
      <c r="DT47" s="49" t="s">
        <v>303</v>
      </c>
      <c r="DW47" s="49" t="s">
        <v>303</v>
      </c>
      <c r="EA47" s="49" t="s">
        <v>324</v>
      </c>
      <c r="EB47" s="49" t="s">
        <v>303</v>
      </c>
      <c r="EF47" s="49" t="s">
        <v>476</v>
      </c>
      <c r="EH47" s="49" t="s">
        <v>325</v>
      </c>
      <c r="EJ47" s="49" t="s">
        <v>303</v>
      </c>
      <c r="EK47" s="49" t="s">
        <v>479</v>
      </c>
      <c r="EM47" s="49" t="s">
        <v>303</v>
      </c>
      <c r="EN47" s="49" t="s">
        <v>472</v>
      </c>
      <c r="EP47" s="49" t="s">
        <v>298</v>
      </c>
      <c r="EQ47" s="0" t="n">
        <v>1</v>
      </c>
      <c r="ER47" s="49" t="s">
        <v>328</v>
      </c>
      <c r="ES47" s="49" t="s">
        <v>329</v>
      </c>
      <c r="ET47" s="49" t="s">
        <v>310</v>
      </c>
      <c r="EU47" s="49" t="s">
        <v>310</v>
      </c>
      <c r="EV47" s="49" t="s">
        <v>310</v>
      </c>
      <c r="EX47" s="49" t="s">
        <v>303</v>
      </c>
      <c r="EY47" s="49" t="s">
        <v>303</v>
      </c>
      <c r="FC47" s="49" t="s">
        <v>330</v>
      </c>
      <c r="FD47" s="49" t="s">
        <v>310</v>
      </c>
      <c r="FE47" s="49" t="s">
        <v>310</v>
      </c>
      <c r="FF47" s="49" t="s">
        <v>70</v>
      </c>
      <c r="FG47" s="49" t="s">
        <v>473</v>
      </c>
      <c r="FH47" s="49" t="s">
        <v>310</v>
      </c>
      <c r="FI47" s="49" t="s">
        <v>332</v>
      </c>
      <c r="FJ47" s="49" t="s">
        <v>303</v>
      </c>
      <c r="FL47" s="49" t="s">
        <v>325</v>
      </c>
      <c r="FM47" s="49" t="s">
        <v>334</v>
      </c>
      <c r="FP47" s="49" t="s">
        <v>303</v>
      </c>
      <c r="FR47" s="49" t="s">
        <v>303</v>
      </c>
      <c r="FT47" s="49" t="s">
        <v>325</v>
      </c>
      <c r="FU47" s="49" t="s">
        <v>325</v>
      </c>
      <c r="FW47" s="49" t="s">
        <v>333</v>
      </c>
    </row>
    <row r="48" customFormat="false" ht="15" hidden="false" customHeight="false" outlineLevel="0" collapsed="false">
      <c r="A48" s="0" t="n">
        <v>100880231</v>
      </c>
      <c r="B48" s="0" t="s">
        <v>295</v>
      </c>
      <c r="C48" s="0" t="s">
        <v>72</v>
      </c>
      <c r="D48" s="0" t="s">
        <v>480</v>
      </c>
      <c r="E48" s="0" t="s">
        <v>297</v>
      </c>
      <c r="G48" s="0" t="n">
        <v>1</v>
      </c>
      <c r="H48" s="0" t="s">
        <v>298</v>
      </c>
      <c r="I48" s="48" t="n">
        <v>46297</v>
      </c>
      <c r="J48" s="0" t="n">
        <v>0</v>
      </c>
      <c r="K48" s="49" t="s">
        <v>334</v>
      </c>
      <c r="L48" s="49" t="s">
        <v>335</v>
      </c>
      <c r="M48" s="48" t="n">
        <v>46297</v>
      </c>
      <c r="N48" s="49" t="s">
        <v>335</v>
      </c>
      <c r="O48" s="49" t="s">
        <v>445</v>
      </c>
      <c r="P48" s="48"/>
      <c r="Q48" s="48" t="n">
        <v>46297</v>
      </c>
      <c r="R48" s="48" t="n">
        <v>46304</v>
      </c>
      <c r="T48" s="49" t="s">
        <v>302</v>
      </c>
      <c r="U48" s="49" t="s">
        <v>303</v>
      </c>
      <c r="Y48" s="49" t="s">
        <v>481</v>
      </c>
      <c r="AD48" s="49" t="s">
        <v>305</v>
      </c>
      <c r="AE48" s="48" t="n">
        <v>46289</v>
      </c>
      <c r="AF48" s="49" t="s">
        <v>306</v>
      </c>
      <c r="AG48" s="49" t="s">
        <v>307</v>
      </c>
      <c r="AK48" s="49" t="s">
        <v>303</v>
      </c>
      <c r="AL48" s="49" t="s">
        <v>297</v>
      </c>
      <c r="AO48" s="49" t="s">
        <v>303</v>
      </c>
      <c r="AP48" s="48"/>
      <c r="AR48" s="49" t="s">
        <v>303</v>
      </c>
      <c r="AS48" s="49" t="s">
        <v>306</v>
      </c>
      <c r="AT48" s="49" t="s">
        <v>482</v>
      </c>
      <c r="AV48" s="49" t="s">
        <v>309</v>
      </c>
      <c r="AW48" s="49" t="s">
        <v>310</v>
      </c>
      <c r="AX48" s="49" t="s">
        <v>311</v>
      </c>
      <c r="AY48" s="48"/>
      <c r="AZ48" s="48" t="n">
        <v>46295</v>
      </c>
      <c r="BC48" s="49" t="s">
        <v>303</v>
      </c>
      <c r="BD48" s="48"/>
      <c r="BE48" s="49" t="s">
        <v>312</v>
      </c>
      <c r="BF48" s="49" t="s">
        <v>303</v>
      </c>
      <c r="BG48" s="48"/>
      <c r="BI48" s="48"/>
      <c r="BJ48" s="48" t="n">
        <v>46302</v>
      </c>
      <c r="BK48" s="49" t="s">
        <v>312</v>
      </c>
      <c r="BL48" s="49" t="s">
        <v>313</v>
      </c>
      <c r="BM48" s="49" t="s">
        <v>310</v>
      </c>
      <c r="BN48" s="48"/>
      <c r="BO48" s="48"/>
      <c r="BP48" s="48"/>
      <c r="BQ48" s="49" t="s">
        <v>299</v>
      </c>
      <c r="BR48" s="48" t="n">
        <v>46302</v>
      </c>
      <c r="BS48" s="49" t="s">
        <v>483</v>
      </c>
      <c r="BT48" s="49" t="s">
        <v>312</v>
      </c>
      <c r="BU48" s="49" t="s">
        <v>313</v>
      </c>
      <c r="BV48" s="49" t="s">
        <v>303</v>
      </c>
      <c r="BX48" s="0" t="n">
        <v>0</v>
      </c>
      <c r="CC48" s="49" t="s">
        <v>315</v>
      </c>
      <c r="CD48" s="49" t="s">
        <v>303</v>
      </c>
      <c r="CF48" s="49" t="s">
        <v>303</v>
      </c>
      <c r="CG48" s="49" t="s">
        <v>316</v>
      </c>
      <c r="CH48" s="49" t="s">
        <v>317</v>
      </c>
      <c r="CI48" s="49" t="s">
        <v>318</v>
      </c>
      <c r="CM48" s="49" t="s">
        <v>480</v>
      </c>
      <c r="CV48" s="49" t="s">
        <v>303</v>
      </c>
      <c r="DB48" s="49" t="s">
        <v>319</v>
      </c>
      <c r="DD48" s="48" t="n">
        <v>46289</v>
      </c>
      <c r="DF48" s="49" t="s">
        <v>310</v>
      </c>
      <c r="DG48" s="49" t="s">
        <v>320</v>
      </c>
      <c r="DH48" s="49" t="s">
        <v>72</v>
      </c>
      <c r="DI48" s="49" t="s">
        <v>298</v>
      </c>
      <c r="DJ48" s="49" t="s">
        <v>321</v>
      </c>
      <c r="DK48" s="49" t="s">
        <v>322</v>
      </c>
      <c r="DL48" s="49" t="s">
        <v>323</v>
      </c>
      <c r="DM48" s="49" t="s">
        <v>303</v>
      </c>
      <c r="DN48" s="49" t="s">
        <v>297</v>
      </c>
      <c r="DO48" s="48"/>
      <c r="DP48" s="49" t="s">
        <v>313</v>
      </c>
      <c r="DQ48" s="48"/>
      <c r="DR48" s="49" t="s">
        <v>312</v>
      </c>
      <c r="DS48" s="49" t="s">
        <v>303</v>
      </c>
      <c r="DT48" s="49" t="s">
        <v>303</v>
      </c>
      <c r="DW48" s="49" t="s">
        <v>303</v>
      </c>
      <c r="EA48" s="49" t="s">
        <v>324</v>
      </c>
      <c r="EB48" s="49" t="s">
        <v>303</v>
      </c>
      <c r="EH48" s="49" t="s">
        <v>325</v>
      </c>
      <c r="EJ48" s="49" t="s">
        <v>303</v>
      </c>
      <c r="EK48" s="49" t="s">
        <v>484</v>
      </c>
      <c r="EM48" s="49" t="s">
        <v>303</v>
      </c>
      <c r="EN48" s="49" t="s">
        <v>485</v>
      </c>
      <c r="EP48" s="49" t="s">
        <v>298</v>
      </c>
      <c r="EQ48" s="0" t="n">
        <v>1</v>
      </c>
      <c r="ER48" s="49" t="s">
        <v>328</v>
      </c>
      <c r="ES48" s="49" t="s">
        <v>329</v>
      </c>
      <c r="ET48" s="49" t="s">
        <v>310</v>
      </c>
      <c r="EU48" s="49" t="s">
        <v>310</v>
      </c>
      <c r="EV48" s="49" t="s">
        <v>310</v>
      </c>
      <c r="EX48" s="49" t="s">
        <v>303</v>
      </c>
      <c r="EY48" s="49" t="s">
        <v>303</v>
      </c>
      <c r="FC48" s="49" t="s">
        <v>330</v>
      </c>
      <c r="FD48" s="49" t="s">
        <v>310</v>
      </c>
      <c r="FE48" s="49" t="s">
        <v>310</v>
      </c>
      <c r="FF48" s="49" t="s">
        <v>72</v>
      </c>
      <c r="FG48" s="49" t="s">
        <v>486</v>
      </c>
      <c r="FH48" s="49" t="s">
        <v>310</v>
      </c>
      <c r="FI48" s="49" t="s">
        <v>332</v>
      </c>
      <c r="FJ48" s="49" t="s">
        <v>303</v>
      </c>
      <c r="FL48" s="49" t="s">
        <v>325</v>
      </c>
      <c r="FM48" s="49" t="s">
        <v>334</v>
      </c>
      <c r="FP48" s="49" t="s">
        <v>303</v>
      </c>
      <c r="FR48" s="49" t="s">
        <v>303</v>
      </c>
      <c r="FT48" s="49" t="s">
        <v>325</v>
      </c>
      <c r="FU48" s="49" t="s">
        <v>325</v>
      </c>
      <c r="FW48" s="49" t="s">
        <v>333</v>
      </c>
    </row>
    <row r="49" customFormat="false" ht="15" hidden="false" customHeight="false" outlineLevel="0" collapsed="false">
      <c r="A49" s="0" t="n">
        <v>100880232</v>
      </c>
      <c r="B49" s="0" t="s">
        <v>295</v>
      </c>
      <c r="C49" s="0" t="s">
        <v>72</v>
      </c>
      <c r="D49" s="0" t="s">
        <v>480</v>
      </c>
      <c r="E49" s="0" t="s">
        <v>297</v>
      </c>
      <c r="G49" s="0" t="n">
        <v>1</v>
      </c>
      <c r="H49" s="0" t="s">
        <v>298</v>
      </c>
      <c r="I49" s="48" t="n">
        <v>46297</v>
      </c>
      <c r="J49" s="0" t="n">
        <v>0</v>
      </c>
      <c r="K49" s="49" t="s">
        <v>334</v>
      </c>
      <c r="L49" s="49" t="s">
        <v>335</v>
      </c>
      <c r="M49" s="48"/>
      <c r="O49" s="49" t="s">
        <v>445</v>
      </c>
      <c r="P49" s="48"/>
      <c r="Q49" s="48" t="n">
        <v>46297</v>
      </c>
      <c r="R49" s="48" t="n">
        <v>46303</v>
      </c>
      <c r="T49" s="49" t="s">
        <v>302</v>
      </c>
      <c r="U49" s="49" t="s">
        <v>303</v>
      </c>
      <c r="Y49" s="49" t="s">
        <v>312</v>
      </c>
      <c r="AD49" s="49" t="s">
        <v>305</v>
      </c>
      <c r="AE49" s="48" t="n">
        <v>46289</v>
      </c>
      <c r="AF49" s="49" t="s">
        <v>306</v>
      </c>
      <c r="AG49" s="49" t="s">
        <v>307</v>
      </c>
      <c r="AK49" s="49" t="s">
        <v>303</v>
      </c>
      <c r="AL49" s="49" t="s">
        <v>297</v>
      </c>
      <c r="AO49" s="49" t="s">
        <v>303</v>
      </c>
      <c r="AP49" s="48"/>
      <c r="AR49" s="49" t="s">
        <v>303</v>
      </c>
      <c r="AS49" s="49" t="s">
        <v>306</v>
      </c>
      <c r="AT49" s="49" t="s">
        <v>487</v>
      </c>
      <c r="AV49" s="49" t="s">
        <v>309</v>
      </c>
      <c r="AW49" s="49" t="s">
        <v>310</v>
      </c>
      <c r="AX49" s="49" t="s">
        <v>311</v>
      </c>
      <c r="AY49" s="48"/>
      <c r="AZ49" s="48" t="n">
        <v>46295</v>
      </c>
      <c r="BC49" s="49" t="s">
        <v>303</v>
      </c>
      <c r="BD49" s="48"/>
      <c r="BE49" s="49" t="s">
        <v>312</v>
      </c>
      <c r="BF49" s="49" t="s">
        <v>303</v>
      </c>
      <c r="BG49" s="48"/>
      <c r="BI49" s="48"/>
      <c r="BJ49" s="48" t="n">
        <v>46302</v>
      </c>
      <c r="BK49" s="49" t="s">
        <v>313</v>
      </c>
      <c r="BL49" s="49" t="s">
        <v>313</v>
      </c>
      <c r="BM49" s="49" t="s">
        <v>310</v>
      </c>
      <c r="BN49" s="48"/>
      <c r="BO49" s="48"/>
      <c r="BP49" s="48"/>
      <c r="BQ49" s="49" t="s">
        <v>299</v>
      </c>
      <c r="BR49" s="48" t="n">
        <v>46302</v>
      </c>
      <c r="BS49" s="49" t="s">
        <v>483</v>
      </c>
      <c r="BT49" s="49" t="s">
        <v>312</v>
      </c>
      <c r="BU49" s="49" t="s">
        <v>313</v>
      </c>
      <c r="BV49" s="49" t="s">
        <v>303</v>
      </c>
      <c r="BX49" s="0" t="n">
        <v>0</v>
      </c>
      <c r="CC49" s="49" t="s">
        <v>315</v>
      </c>
      <c r="CD49" s="49" t="s">
        <v>303</v>
      </c>
      <c r="CF49" s="49" t="s">
        <v>303</v>
      </c>
      <c r="CG49" s="49" t="s">
        <v>316</v>
      </c>
      <c r="CH49" s="49" t="s">
        <v>317</v>
      </c>
      <c r="CI49" s="49" t="s">
        <v>318</v>
      </c>
      <c r="CM49" s="49" t="s">
        <v>480</v>
      </c>
      <c r="CV49" s="49" t="s">
        <v>303</v>
      </c>
      <c r="DB49" s="49" t="s">
        <v>319</v>
      </c>
      <c r="DD49" s="48" t="n">
        <v>46289</v>
      </c>
      <c r="DF49" s="49" t="s">
        <v>310</v>
      </c>
      <c r="DG49" s="49" t="s">
        <v>320</v>
      </c>
      <c r="DH49" s="49" t="s">
        <v>72</v>
      </c>
      <c r="DI49" s="49" t="s">
        <v>298</v>
      </c>
      <c r="DJ49" s="49" t="s">
        <v>321</v>
      </c>
      <c r="DK49" s="49" t="s">
        <v>322</v>
      </c>
      <c r="DL49" s="49" t="s">
        <v>323</v>
      </c>
      <c r="DM49" s="49" t="s">
        <v>303</v>
      </c>
      <c r="DN49" s="49" t="s">
        <v>297</v>
      </c>
      <c r="DO49" s="48"/>
      <c r="DP49" s="49" t="s">
        <v>313</v>
      </c>
      <c r="DQ49" s="48"/>
      <c r="DR49" s="49" t="s">
        <v>312</v>
      </c>
      <c r="DS49" s="49" t="s">
        <v>303</v>
      </c>
      <c r="DT49" s="49" t="s">
        <v>303</v>
      </c>
      <c r="DW49" s="49" t="s">
        <v>303</v>
      </c>
      <c r="EA49" s="49" t="s">
        <v>324</v>
      </c>
      <c r="EB49" s="49" t="s">
        <v>303</v>
      </c>
      <c r="EF49" s="49" t="s">
        <v>488</v>
      </c>
      <c r="EH49" s="49" t="s">
        <v>325</v>
      </c>
      <c r="EJ49" s="49" t="s">
        <v>303</v>
      </c>
      <c r="EK49" s="49" t="s">
        <v>489</v>
      </c>
      <c r="EM49" s="49" t="s">
        <v>303</v>
      </c>
      <c r="EN49" s="49" t="s">
        <v>485</v>
      </c>
      <c r="EP49" s="49" t="s">
        <v>298</v>
      </c>
      <c r="EQ49" s="0" t="n">
        <v>1</v>
      </c>
      <c r="ER49" s="49" t="s">
        <v>328</v>
      </c>
      <c r="ES49" s="49" t="s">
        <v>329</v>
      </c>
      <c r="ET49" s="49" t="s">
        <v>310</v>
      </c>
      <c r="EU49" s="49" t="s">
        <v>310</v>
      </c>
      <c r="EV49" s="49" t="s">
        <v>310</v>
      </c>
      <c r="EX49" s="49" t="s">
        <v>303</v>
      </c>
      <c r="EY49" s="49" t="s">
        <v>303</v>
      </c>
      <c r="FC49" s="49" t="s">
        <v>330</v>
      </c>
      <c r="FD49" s="49" t="s">
        <v>310</v>
      </c>
      <c r="FE49" s="49" t="s">
        <v>310</v>
      </c>
      <c r="FF49" s="49" t="s">
        <v>72</v>
      </c>
      <c r="FG49" s="49" t="s">
        <v>486</v>
      </c>
      <c r="FH49" s="49" t="s">
        <v>310</v>
      </c>
      <c r="FI49" s="49" t="s">
        <v>332</v>
      </c>
      <c r="FJ49" s="49" t="s">
        <v>303</v>
      </c>
      <c r="FL49" s="49" t="s">
        <v>325</v>
      </c>
      <c r="FM49" s="49" t="s">
        <v>334</v>
      </c>
      <c r="FP49" s="49" t="s">
        <v>303</v>
      </c>
      <c r="FR49" s="49" t="s">
        <v>303</v>
      </c>
      <c r="FT49" s="49" t="s">
        <v>325</v>
      </c>
      <c r="FU49" s="49" t="s">
        <v>325</v>
      </c>
      <c r="FW49" s="49" t="s">
        <v>333</v>
      </c>
    </row>
    <row r="50" customFormat="false" ht="15" hidden="false" customHeight="false" outlineLevel="0" collapsed="false">
      <c r="A50" s="0" t="n">
        <v>100880233</v>
      </c>
      <c r="B50" s="0" t="s">
        <v>295</v>
      </c>
      <c r="C50" s="0" t="s">
        <v>72</v>
      </c>
      <c r="D50" s="0" t="s">
        <v>480</v>
      </c>
      <c r="E50" s="0" t="s">
        <v>297</v>
      </c>
      <c r="G50" s="0" t="n">
        <v>1</v>
      </c>
      <c r="H50" s="0" t="s">
        <v>298</v>
      </c>
      <c r="I50" s="48" t="n">
        <v>46297</v>
      </c>
      <c r="J50" s="0" t="n">
        <v>0</v>
      </c>
      <c r="K50" s="49" t="s">
        <v>334</v>
      </c>
      <c r="L50" s="49" t="s">
        <v>335</v>
      </c>
      <c r="M50" s="48"/>
      <c r="O50" s="49" t="s">
        <v>445</v>
      </c>
      <c r="P50" s="48"/>
      <c r="Q50" s="48" t="n">
        <v>46297</v>
      </c>
      <c r="R50" s="48" t="n">
        <v>46303</v>
      </c>
      <c r="T50" s="49" t="s">
        <v>302</v>
      </c>
      <c r="U50" s="49" t="s">
        <v>303</v>
      </c>
      <c r="Y50" s="49" t="s">
        <v>312</v>
      </c>
      <c r="AD50" s="49" t="s">
        <v>305</v>
      </c>
      <c r="AE50" s="48" t="n">
        <v>46289</v>
      </c>
      <c r="AF50" s="49" t="s">
        <v>306</v>
      </c>
      <c r="AG50" s="49" t="s">
        <v>307</v>
      </c>
      <c r="AK50" s="49" t="s">
        <v>303</v>
      </c>
      <c r="AL50" s="49" t="s">
        <v>297</v>
      </c>
      <c r="AO50" s="49" t="s">
        <v>303</v>
      </c>
      <c r="AP50" s="48"/>
      <c r="AR50" s="49" t="s">
        <v>303</v>
      </c>
      <c r="AS50" s="49" t="s">
        <v>306</v>
      </c>
      <c r="AT50" s="49" t="s">
        <v>490</v>
      </c>
      <c r="AV50" s="49" t="s">
        <v>309</v>
      </c>
      <c r="AW50" s="49" t="s">
        <v>310</v>
      </c>
      <c r="AX50" s="49" t="s">
        <v>311</v>
      </c>
      <c r="AY50" s="48"/>
      <c r="AZ50" s="48" t="n">
        <v>46295</v>
      </c>
      <c r="BC50" s="49" t="s">
        <v>303</v>
      </c>
      <c r="BD50" s="48"/>
      <c r="BE50" s="49" t="s">
        <v>312</v>
      </c>
      <c r="BF50" s="49" t="s">
        <v>303</v>
      </c>
      <c r="BG50" s="48"/>
      <c r="BI50" s="48"/>
      <c r="BJ50" s="48" t="n">
        <v>46302</v>
      </c>
      <c r="BK50" s="49" t="s">
        <v>313</v>
      </c>
      <c r="BL50" s="49" t="s">
        <v>313</v>
      </c>
      <c r="BM50" s="49" t="s">
        <v>310</v>
      </c>
      <c r="BN50" s="48"/>
      <c r="BO50" s="48"/>
      <c r="BP50" s="48"/>
      <c r="BQ50" s="49" t="s">
        <v>299</v>
      </c>
      <c r="BR50" s="48" t="n">
        <v>46302</v>
      </c>
      <c r="BS50" s="49" t="s">
        <v>483</v>
      </c>
      <c r="BT50" s="49" t="s">
        <v>312</v>
      </c>
      <c r="BU50" s="49" t="s">
        <v>313</v>
      </c>
      <c r="BV50" s="49" t="s">
        <v>303</v>
      </c>
      <c r="BX50" s="0" t="n">
        <v>0</v>
      </c>
      <c r="CC50" s="49" t="s">
        <v>315</v>
      </c>
      <c r="CD50" s="49" t="s">
        <v>303</v>
      </c>
      <c r="CF50" s="49" t="s">
        <v>303</v>
      </c>
      <c r="CG50" s="49" t="s">
        <v>316</v>
      </c>
      <c r="CH50" s="49" t="s">
        <v>317</v>
      </c>
      <c r="CI50" s="49" t="s">
        <v>318</v>
      </c>
      <c r="CM50" s="49" t="s">
        <v>480</v>
      </c>
      <c r="CV50" s="49" t="s">
        <v>303</v>
      </c>
      <c r="DB50" s="49" t="s">
        <v>319</v>
      </c>
      <c r="DD50" s="48" t="n">
        <v>46289</v>
      </c>
      <c r="DF50" s="49" t="s">
        <v>310</v>
      </c>
      <c r="DG50" s="49" t="s">
        <v>320</v>
      </c>
      <c r="DH50" s="49" t="s">
        <v>72</v>
      </c>
      <c r="DI50" s="49" t="s">
        <v>298</v>
      </c>
      <c r="DJ50" s="49" t="s">
        <v>321</v>
      </c>
      <c r="DK50" s="49" t="s">
        <v>322</v>
      </c>
      <c r="DL50" s="49" t="s">
        <v>323</v>
      </c>
      <c r="DM50" s="49" t="s">
        <v>303</v>
      </c>
      <c r="DN50" s="49" t="s">
        <v>297</v>
      </c>
      <c r="DO50" s="48"/>
      <c r="DP50" s="49" t="s">
        <v>313</v>
      </c>
      <c r="DQ50" s="48"/>
      <c r="DR50" s="49" t="s">
        <v>312</v>
      </c>
      <c r="DS50" s="49" t="s">
        <v>303</v>
      </c>
      <c r="DT50" s="49" t="s">
        <v>303</v>
      </c>
      <c r="DW50" s="49" t="s">
        <v>303</v>
      </c>
      <c r="EA50" s="49" t="s">
        <v>324</v>
      </c>
      <c r="EB50" s="49" t="s">
        <v>303</v>
      </c>
      <c r="EF50" s="49" t="s">
        <v>488</v>
      </c>
      <c r="EH50" s="49" t="s">
        <v>325</v>
      </c>
      <c r="EJ50" s="49" t="s">
        <v>303</v>
      </c>
      <c r="EK50" s="49" t="s">
        <v>491</v>
      </c>
      <c r="EM50" s="49" t="s">
        <v>303</v>
      </c>
      <c r="EN50" s="49" t="s">
        <v>485</v>
      </c>
      <c r="EP50" s="49" t="s">
        <v>298</v>
      </c>
      <c r="EQ50" s="0" t="n">
        <v>1</v>
      </c>
      <c r="ER50" s="49" t="s">
        <v>328</v>
      </c>
      <c r="ES50" s="49" t="s">
        <v>329</v>
      </c>
      <c r="ET50" s="49" t="s">
        <v>310</v>
      </c>
      <c r="EU50" s="49" t="s">
        <v>310</v>
      </c>
      <c r="EV50" s="49" t="s">
        <v>310</v>
      </c>
      <c r="EX50" s="49" t="s">
        <v>303</v>
      </c>
      <c r="EY50" s="49" t="s">
        <v>303</v>
      </c>
      <c r="FC50" s="49" t="s">
        <v>330</v>
      </c>
      <c r="FD50" s="49" t="s">
        <v>310</v>
      </c>
      <c r="FE50" s="49" t="s">
        <v>310</v>
      </c>
      <c r="FF50" s="49" t="s">
        <v>72</v>
      </c>
      <c r="FG50" s="49" t="s">
        <v>486</v>
      </c>
      <c r="FH50" s="49" t="s">
        <v>310</v>
      </c>
      <c r="FI50" s="49" t="s">
        <v>332</v>
      </c>
      <c r="FJ50" s="49" t="s">
        <v>303</v>
      </c>
      <c r="FL50" s="49" t="s">
        <v>325</v>
      </c>
      <c r="FM50" s="49" t="s">
        <v>334</v>
      </c>
      <c r="FP50" s="49" t="s">
        <v>303</v>
      </c>
      <c r="FR50" s="49" t="s">
        <v>303</v>
      </c>
      <c r="FT50" s="49" t="s">
        <v>325</v>
      </c>
      <c r="FU50" s="49" t="s">
        <v>325</v>
      </c>
      <c r="FW50" s="49" t="s">
        <v>333</v>
      </c>
    </row>
    <row r="51" customFormat="false" ht="15" hidden="false" customHeight="false" outlineLevel="0" collapsed="false">
      <c r="A51" s="0" t="n">
        <v>100880234</v>
      </c>
      <c r="B51" s="0" t="s">
        <v>295</v>
      </c>
      <c r="C51" s="0" t="s">
        <v>75</v>
      </c>
      <c r="D51" s="0" t="s">
        <v>492</v>
      </c>
      <c r="E51" s="0" t="s">
        <v>297</v>
      </c>
      <c r="G51" s="0" t="n">
        <v>1</v>
      </c>
      <c r="H51" s="0" t="s">
        <v>298</v>
      </c>
      <c r="I51" s="48" t="n">
        <v>46297</v>
      </c>
      <c r="J51" s="0" t="n">
        <v>0</v>
      </c>
      <c r="K51" s="49" t="s">
        <v>334</v>
      </c>
      <c r="L51" s="49" t="s">
        <v>335</v>
      </c>
      <c r="M51" s="48" t="n">
        <v>46297</v>
      </c>
      <c r="N51" s="49" t="s">
        <v>335</v>
      </c>
      <c r="O51" s="49" t="s">
        <v>336</v>
      </c>
      <c r="P51" s="48"/>
      <c r="Q51" s="48" t="n">
        <v>46297</v>
      </c>
      <c r="R51" s="48" t="n">
        <v>46325</v>
      </c>
      <c r="T51" s="49" t="s">
        <v>302</v>
      </c>
      <c r="U51" s="49" t="s">
        <v>303</v>
      </c>
      <c r="Y51" s="49" t="s">
        <v>493</v>
      </c>
      <c r="AD51" s="49" t="s">
        <v>305</v>
      </c>
      <c r="AE51" s="48" t="n">
        <v>46268</v>
      </c>
      <c r="AF51" s="49" t="s">
        <v>306</v>
      </c>
      <c r="AG51" s="49" t="s">
        <v>307</v>
      </c>
      <c r="AK51" s="49" t="s">
        <v>303</v>
      </c>
      <c r="AL51" s="49" t="s">
        <v>297</v>
      </c>
      <c r="AO51" s="49" t="s">
        <v>303</v>
      </c>
      <c r="AP51" s="48"/>
      <c r="AR51" s="49" t="s">
        <v>303</v>
      </c>
      <c r="AS51" s="49" t="s">
        <v>306</v>
      </c>
      <c r="AT51" s="49" t="s">
        <v>494</v>
      </c>
      <c r="AV51" s="49" t="s">
        <v>309</v>
      </c>
      <c r="AW51" s="49" t="s">
        <v>310</v>
      </c>
      <c r="AX51" s="49" t="s">
        <v>311</v>
      </c>
      <c r="AY51" s="48"/>
      <c r="AZ51" s="48" t="n">
        <v>46316</v>
      </c>
      <c r="BC51" s="49" t="s">
        <v>303</v>
      </c>
      <c r="BD51" s="48"/>
      <c r="BE51" s="49" t="s">
        <v>312</v>
      </c>
      <c r="BF51" s="49" t="s">
        <v>303</v>
      </c>
      <c r="BG51" s="48"/>
      <c r="BI51" s="48"/>
      <c r="BJ51" s="48" t="n">
        <v>46323</v>
      </c>
      <c r="BK51" s="49" t="s">
        <v>312</v>
      </c>
      <c r="BL51" s="49" t="s">
        <v>313</v>
      </c>
      <c r="BM51" s="49" t="s">
        <v>310</v>
      </c>
      <c r="BN51" s="48"/>
      <c r="BO51" s="48"/>
      <c r="BP51" s="48"/>
      <c r="BR51" s="48" t="n">
        <v>46323</v>
      </c>
      <c r="BS51" s="49" t="s">
        <v>312</v>
      </c>
      <c r="BT51" s="49" t="s">
        <v>312</v>
      </c>
      <c r="BU51" s="49" t="s">
        <v>313</v>
      </c>
      <c r="BV51" s="49" t="s">
        <v>303</v>
      </c>
      <c r="BX51" s="0" t="n">
        <v>0</v>
      </c>
      <c r="CC51" s="49" t="s">
        <v>315</v>
      </c>
      <c r="CD51" s="49" t="s">
        <v>303</v>
      </c>
      <c r="CF51" s="49" t="s">
        <v>303</v>
      </c>
      <c r="CG51" s="49" t="s">
        <v>316</v>
      </c>
      <c r="CH51" s="49" t="s">
        <v>317</v>
      </c>
      <c r="CI51" s="49" t="s">
        <v>318</v>
      </c>
      <c r="CM51" s="49" t="s">
        <v>492</v>
      </c>
      <c r="CV51" s="49" t="s">
        <v>303</v>
      </c>
      <c r="DB51" s="49" t="s">
        <v>319</v>
      </c>
      <c r="DD51" s="48" t="n">
        <v>46268</v>
      </c>
      <c r="DF51" s="49" t="s">
        <v>310</v>
      </c>
      <c r="DG51" s="49" t="s">
        <v>320</v>
      </c>
      <c r="DH51" s="49" t="s">
        <v>75</v>
      </c>
      <c r="DI51" s="49" t="s">
        <v>298</v>
      </c>
      <c r="DJ51" s="49" t="s">
        <v>495</v>
      </c>
      <c r="DK51" s="49" t="s">
        <v>322</v>
      </c>
      <c r="DL51" s="49" t="s">
        <v>323</v>
      </c>
      <c r="DM51" s="49" t="s">
        <v>303</v>
      </c>
      <c r="DN51" s="49" t="s">
        <v>297</v>
      </c>
      <c r="DO51" s="48"/>
      <c r="DP51" s="49" t="s">
        <v>312</v>
      </c>
      <c r="DQ51" s="48"/>
      <c r="DR51" s="49" t="s">
        <v>312</v>
      </c>
      <c r="DS51" s="49" t="s">
        <v>303</v>
      </c>
      <c r="DT51" s="49" t="s">
        <v>303</v>
      </c>
      <c r="DW51" s="49" t="s">
        <v>303</v>
      </c>
      <c r="EA51" s="49" t="s">
        <v>324</v>
      </c>
      <c r="EB51" s="49" t="s">
        <v>303</v>
      </c>
      <c r="EH51" s="49" t="s">
        <v>310</v>
      </c>
      <c r="EJ51" s="49" t="s">
        <v>303</v>
      </c>
      <c r="EK51" s="49" t="s">
        <v>496</v>
      </c>
      <c r="EM51" s="49" t="s">
        <v>303</v>
      </c>
      <c r="EN51" s="49" t="s">
        <v>497</v>
      </c>
      <c r="EP51" s="49" t="s">
        <v>298</v>
      </c>
      <c r="EQ51" s="0" t="n">
        <v>1</v>
      </c>
      <c r="ER51" s="49" t="s">
        <v>328</v>
      </c>
      <c r="ES51" s="49" t="s">
        <v>329</v>
      </c>
      <c r="ET51" s="49" t="s">
        <v>310</v>
      </c>
      <c r="EU51" s="49" t="s">
        <v>310</v>
      </c>
      <c r="EV51" s="49" t="s">
        <v>310</v>
      </c>
      <c r="EX51" s="49" t="s">
        <v>303</v>
      </c>
      <c r="EY51" s="49" t="s">
        <v>303</v>
      </c>
      <c r="FC51" s="49" t="s">
        <v>330</v>
      </c>
      <c r="FD51" s="49" t="s">
        <v>310</v>
      </c>
      <c r="FE51" s="49" t="s">
        <v>310</v>
      </c>
      <c r="FF51" s="49" t="s">
        <v>75</v>
      </c>
      <c r="FG51" s="49" t="s">
        <v>498</v>
      </c>
      <c r="FH51" s="49" t="s">
        <v>310</v>
      </c>
      <c r="FI51" s="49" t="s">
        <v>332</v>
      </c>
      <c r="FJ51" s="49" t="s">
        <v>303</v>
      </c>
      <c r="FL51" s="49" t="s">
        <v>325</v>
      </c>
      <c r="FM51" s="49" t="s">
        <v>334</v>
      </c>
      <c r="FP51" s="49" t="s">
        <v>303</v>
      </c>
      <c r="FR51" s="49" t="s">
        <v>303</v>
      </c>
      <c r="FT51" s="49" t="s">
        <v>325</v>
      </c>
      <c r="FU51" s="49" t="s">
        <v>325</v>
      </c>
      <c r="FW51" s="49" t="s">
        <v>333</v>
      </c>
      <c r="FX51" s="49" t="s">
        <v>499</v>
      </c>
    </row>
    <row r="52" customFormat="false" ht="15" hidden="false" customHeight="false" outlineLevel="0" collapsed="false">
      <c r="A52" s="0" t="n">
        <v>100880235</v>
      </c>
      <c r="B52" s="0" t="s">
        <v>295</v>
      </c>
      <c r="C52" s="0" t="s">
        <v>77</v>
      </c>
      <c r="D52" s="0" t="s">
        <v>500</v>
      </c>
      <c r="E52" s="0" t="s">
        <v>297</v>
      </c>
      <c r="G52" s="0" t="n">
        <v>1</v>
      </c>
      <c r="H52" s="0" t="s">
        <v>298</v>
      </c>
      <c r="I52" s="48" t="n">
        <v>46297</v>
      </c>
      <c r="J52" s="0" t="n">
        <v>0</v>
      </c>
      <c r="K52" s="49" t="s">
        <v>334</v>
      </c>
      <c r="L52" s="49" t="s">
        <v>335</v>
      </c>
      <c r="M52" s="48" t="n">
        <v>46297</v>
      </c>
      <c r="N52" s="49" t="s">
        <v>335</v>
      </c>
      <c r="O52" s="49" t="s">
        <v>336</v>
      </c>
      <c r="P52" s="48"/>
      <c r="Q52" s="48" t="n">
        <v>46297</v>
      </c>
      <c r="R52" s="48" t="n">
        <v>46325</v>
      </c>
      <c r="T52" s="49" t="s">
        <v>302</v>
      </c>
      <c r="U52" s="49" t="s">
        <v>303</v>
      </c>
      <c r="Y52" s="49" t="s">
        <v>501</v>
      </c>
      <c r="AD52" s="49" t="s">
        <v>305</v>
      </c>
      <c r="AE52" s="48" t="n">
        <v>46268</v>
      </c>
      <c r="AF52" s="49" t="s">
        <v>306</v>
      </c>
      <c r="AG52" s="49" t="s">
        <v>307</v>
      </c>
      <c r="AK52" s="49" t="s">
        <v>303</v>
      </c>
      <c r="AL52" s="49" t="s">
        <v>297</v>
      </c>
      <c r="AO52" s="49" t="s">
        <v>303</v>
      </c>
      <c r="AP52" s="48"/>
      <c r="AR52" s="49" t="s">
        <v>303</v>
      </c>
      <c r="AS52" s="49" t="s">
        <v>306</v>
      </c>
      <c r="AT52" s="49" t="s">
        <v>502</v>
      </c>
      <c r="AV52" s="49" t="s">
        <v>309</v>
      </c>
      <c r="AW52" s="49" t="s">
        <v>310</v>
      </c>
      <c r="AX52" s="49" t="s">
        <v>311</v>
      </c>
      <c r="AY52" s="48"/>
      <c r="AZ52" s="48" t="n">
        <v>46316</v>
      </c>
      <c r="BC52" s="49" t="s">
        <v>303</v>
      </c>
      <c r="BD52" s="48"/>
      <c r="BE52" s="49" t="s">
        <v>312</v>
      </c>
      <c r="BF52" s="49" t="s">
        <v>303</v>
      </c>
      <c r="BG52" s="48"/>
      <c r="BI52" s="48"/>
      <c r="BJ52" s="48" t="n">
        <v>46323</v>
      </c>
      <c r="BK52" s="49" t="s">
        <v>312</v>
      </c>
      <c r="BL52" s="49" t="s">
        <v>313</v>
      </c>
      <c r="BM52" s="49" t="s">
        <v>310</v>
      </c>
      <c r="BN52" s="48"/>
      <c r="BO52" s="48"/>
      <c r="BP52" s="48"/>
      <c r="BR52" s="48" t="n">
        <v>46323</v>
      </c>
      <c r="BS52" s="49" t="s">
        <v>312</v>
      </c>
      <c r="BT52" s="49" t="s">
        <v>312</v>
      </c>
      <c r="BU52" s="49" t="s">
        <v>313</v>
      </c>
      <c r="BV52" s="49" t="s">
        <v>303</v>
      </c>
      <c r="BX52" s="0" t="n">
        <v>0</v>
      </c>
      <c r="CC52" s="49" t="s">
        <v>315</v>
      </c>
      <c r="CD52" s="49" t="s">
        <v>303</v>
      </c>
      <c r="CF52" s="49" t="s">
        <v>303</v>
      </c>
      <c r="CG52" s="49" t="s">
        <v>316</v>
      </c>
      <c r="CH52" s="49" t="s">
        <v>317</v>
      </c>
      <c r="CI52" s="49" t="s">
        <v>318</v>
      </c>
      <c r="CM52" s="49" t="s">
        <v>500</v>
      </c>
      <c r="CV52" s="49" t="s">
        <v>303</v>
      </c>
      <c r="DB52" s="49" t="s">
        <v>319</v>
      </c>
      <c r="DD52" s="48" t="n">
        <v>46268</v>
      </c>
      <c r="DF52" s="49" t="s">
        <v>310</v>
      </c>
      <c r="DG52" s="49" t="s">
        <v>320</v>
      </c>
      <c r="DH52" s="49" t="s">
        <v>77</v>
      </c>
      <c r="DI52" s="49" t="s">
        <v>298</v>
      </c>
      <c r="DJ52" s="49" t="s">
        <v>495</v>
      </c>
      <c r="DK52" s="49" t="s">
        <v>322</v>
      </c>
      <c r="DL52" s="49" t="s">
        <v>323</v>
      </c>
      <c r="DM52" s="49" t="s">
        <v>303</v>
      </c>
      <c r="DN52" s="49" t="s">
        <v>297</v>
      </c>
      <c r="DO52" s="48"/>
      <c r="DP52" s="49" t="s">
        <v>312</v>
      </c>
      <c r="DQ52" s="48"/>
      <c r="DR52" s="49" t="s">
        <v>312</v>
      </c>
      <c r="DS52" s="49" t="s">
        <v>303</v>
      </c>
      <c r="DT52" s="49" t="s">
        <v>303</v>
      </c>
      <c r="DW52" s="49" t="s">
        <v>303</v>
      </c>
      <c r="EA52" s="49" t="s">
        <v>324</v>
      </c>
      <c r="EB52" s="49" t="s">
        <v>303</v>
      </c>
      <c r="EH52" s="49" t="s">
        <v>310</v>
      </c>
      <c r="EJ52" s="49" t="s">
        <v>303</v>
      </c>
      <c r="EK52" s="49" t="s">
        <v>503</v>
      </c>
      <c r="EM52" s="49" t="s">
        <v>303</v>
      </c>
      <c r="EN52" s="49" t="s">
        <v>504</v>
      </c>
      <c r="EP52" s="49" t="s">
        <v>298</v>
      </c>
      <c r="EQ52" s="0" t="n">
        <v>1</v>
      </c>
      <c r="ER52" s="49" t="s">
        <v>328</v>
      </c>
      <c r="ES52" s="49" t="s">
        <v>329</v>
      </c>
      <c r="ET52" s="49" t="s">
        <v>310</v>
      </c>
      <c r="EU52" s="49" t="s">
        <v>310</v>
      </c>
      <c r="EV52" s="49" t="s">
        <v>310</v>
      </c>
      <c r="EX52" s="49" t="s">
        <v>303</v>
      </c>
      <c r="EY52" s="49" t="s">
        <v>303</v>
      </c>
      <c r="FC52" s="49" t="s">
        <v>330</v>
      </c>
      <c r="FD52" s="49" t="s">
        <v>310</v>
      </c>
      <c r="FE52" s="49" t="s">
        <v>310</v>
      </c>
      <c r="FF52" s="49" t="s">
        <v>77</v>
      </c>
      <c r="FG52" s="49" t="s">
        <v>505</v>
      </c>
      <c r="FH52" s="49" t="s">
        <v>310</v>
      </c>
      <c r="FI52" s="49" t="s">
        <v>332</v>
      </c>
      <c r="FJ52" s="49" t="s">
        <v>303</v>
      </c>
      <c r="FL52" s="49" t="s">
        <v>325</v>
      </c>
      <c r="FM52" s="49" t="s">
        <v>334</v>
      </c>
      <c r="FP52" s="49" t="s">
        <v>303</v>
      </c>
      <c r="FR52" s="49" t="s">
        <v>303</v>
      </c>
      <c r="FT52" s="49" t="s">
        <v>325</v>
      </c>
      <c r="FU52" s="49" t="s">
        <v>325</v>
      </c>
      <c r="FW52" s="49" t="s">
        <v>333</v>
      </c>
      <c r="FX52" s="49" t="s">
        <v>499</v>
      </c>
    </row>
    <row r="53" customFormat="false" ht="15" hidden="false" customHeight="false" outlineLevel="0" collapsed="false">
      <c r="A53" s="0" t="n">
        <v>100880236</v>
      </c>
      <c r="B53" s="0" t="s">
        <v>295</v>
      </c>
      <c r="C53" s="0" t="s">
        <v>79</v>
      </c>
      <c r="D53" s="0" t="s">
        <v>506</v>
      </c>
      <c r="E53" s="0" t="s">
        <v>297</v>
      </c>
      <c r="G53" s="0" t="n">
        <v>1</v>
      </c>
      <c r="H53" s="0" t="s">
        <v>298</v>
      </c>
      <c r="I53" s="48" t="n">
        <v>46297</v>
      </c>
      <c r="J53" s="0" t="n">
        <v>0</v>
      </c>
      <c r="K53" s="49" t="s">
        <v>334</v>
      </c>
      <c r="L53" s="49" t="s">
        <v>335</v>
      </c>
      <c r="M53" s="48" t="n">
        <v>46297</v>
      </c>
      <c r="N53" s="49" t="s">
        <v>335</v>
      </c>
      <c r="O53" s="49" t="s">
        <v>336</v>
      </c>
      <c r="P53" s="48"/>
      <c r="Q53" s="48" t="n">
        <v>46297</v>
      </c>
      <c r="R53" s="48" t="n">
        <v>46325</v>
      </c>
      <c r="T53" s="49" t="s">
        <v>302</v>
      </c>
      <c r="U53" s="49" t="s">
        <v>303</v>
      </c>
      <c r="Y53" s="49" t="s">
        <v>507</v>
      </c>
      <c r="AD53" s="49" t="s">
        <v>305</v>
      </c>
      <c r="AE53" s="48" t="n">
        <v>46268</v>
      </c>
      <c r="AF53" s="49" t="s">
        <v>306</v>
      </c>
      <c r="AG53" s="49" t="s">
        <v>307</v>
      </c>
      <c r="AK53" s="49" t="s">
        <v>303</v>
      </c>
      <c r="AL53" s="49" t="s">
        <v>297</v>
      </c>
      <c r="AO53" s="49" t="s">
        <v>303</v>
      </c>
      <c r="AP53" s="48"/>
      <c r="AR53" s="49" t="s">
        <v>303</v>
      </c>
      <c r="AS53" s="49" t="s">
        <v>306</v>
      </c>
      <c r="AT53" s="49" t="s">
        <v>508</v>
      </c>
      <c r="AV53" s="49" t="s">
        <v>309</v>
      </c>
      <c r="AW53" s="49" t="s">
        <v>310</v>
      </c>
      <c r="AX53" s="49" t="s">
        <v>311</v>
      </c>
      <c r="AY53" s="48"/>
      <c r="AZ53" s="48" t="n">
        <v>46316</v>
      </c>
      <c r="BC53" s="49" t="s">
        <v>303</v>
      </c>
      <c r="BD53" s="48"/>
      <c r="BE53" s="49" t="s">
        <v>312</v>
      </c>
      <c r="BF53" s="49" t="s">
        <v>303</v>
      </c>
      <c r="BG53" s="48"/>
      <c r="BI53" s="48"/>
      <c r="BJ53" s="48" t="n">
        <v>46323</v>
      </c>
      <c r="BK53" s="49" t="s">
        <v>312</v>
      </c>
      <c r="BL53" s="49" t="s">
        <v>313</v>
      </c>
      <c r="BM53" s="49" t="s">
        <v>310</v>
      </c>
      <c r="BN53" s="48"/>
      <c r="BO53" s="48"/>
      <c r="BP53" s="48"/>
      <c r="BR53" s="48" t="n">
        <v>46323</v>
      </c>
      <c r="BS53" s="49" t="s">
        <v>312</v>
      </c>
      <c r="BT53" s="49" t="s">
        <v>312</v>
      </c>
      <c r="BU53" s="49" t="s">
        <v>313</v>
      </c>
      <c r="BV53" s="49" t="s">
        <v>303</v>
      </c>
      <c r="BX53" s="0" t="n">
        <v>0</v>
      </c>
      <c r="CC53" s="49" t="s">
        <v>315</v>
      </c>
      <c r="CD53" s="49" t="s">
        <v>303</v>
      </c>
      <c r="CF53" s="49" t="s">
        <v>303</v>
      </c>
      <c r="CG53" s="49" t="s">
        <v>316</v>
      </c>
      <c r="CH53" s="49" t="s">
        <v>317</v>
      </c>
      <c r="CI53" s="49" t="s">
        <v>318</v>
      </c>
      <c r="CM53" s="49" t="s">
        <v>506</v>
      </c>
      <c r="CV53" s="49" t="s">
        <v>303</v>
      </c>
      <c r="DB53" s="49" t="s">
        <v>319</v>
      </c>
      <c r="DD53" s="48" t="n">
        <v>46268</v>
      </c>
      <c r="DF53" s="49" t="s">
        <v>310</v>
      </c>
      <c r="DG53" s="49" t="s">
        <v>320</v>
      </c>
      <c r="DH53" s="49" t="s">
        <v>79</v>
      </c>
      <c r="DI53" s="49" t="s">
        <v>298</v>
      </c>
      <c r="DJ53" s="49" t="s">
        <v>495</v>
      </c>
      <c r="DK53" s="49" t="s">
        <v>322</v>
      </c>
      <c r="DL53" s="49" t="s">
        <v>323</v>
      </c>
      <c r="DM53" s="49" t="s">
        <v>303</v>
      </c>
      <c r="DN53" s="49" t="s">
        <v>297</v>
      </c>
      <c r="DO53" s="48"/>
      <c r="DP53" s="49" t="s">
        <v>312</v>
      </c>
      <c r="DQ53" s="48"/>
      <c r="DR53" s="49" t="s">
        <v>312</v>
      </c>
      <c r="DS53" s="49" t="s">
        <v>303</v>
      </c>
      <c r="DT53" s="49" t="s">
        <v>303</v>
      </c>
      <c r="DW53" s="49" t="s">
        <v>303</v>
      </c>
      <c r="EA53" s="49" t="s">
        <v>324</v>
      </c>
      <c r="EB53" s="49" t="s">
        <v>303</v>
      </c>
      <c r="EH53" s="49" t="s">
        <v>310</v>
      </c>
      <c r="EJ53" s="49" t="s">
        <v>303</v>
      </c>
      <c r="EK53" s="49" t="s">
        <v>509</v>
      </c>
      <c r="EM53" s="49" t="s">
        <v>303</v>
      </c>
      <c r="EN53" s="49" t="s">
        <v>510</v>
      </c>
      <c r="EP53" s="49" t="s">
        <v>298</v>
      </c>
      <c r="EQ53" s="0" t="n">
        <v>1</v>
      </c>
      <c r="ER53" s="49" t="s">
        <v>328</v>
      </c>
      <c r="ES53" s="49" t="s">
        <v>329</v>
      </c>
      <c r="ET53" s="49" t="s">
        <v>310</v>
      </c>
      <c r="EU53" s="49" t="s">
        <v>310</v>
      </c>
      <c r="EV53" s="49" t="s">
        <v>310</v>
      </c>
      <c r="EX53" s="49" t="s">
        <v>303</v>
      </c>
      <c r="EY53" s="49" t="s">
        <v>303</v>
      </c>
      <c r="FC53" s="49" t="s">
        <v>330</v>
      </c>
      <c r="FD53" s="49" t="s">
        <v>310</v>
      </c>
      <c r="FE53" s="49" t="s">
        <v>310</v>
      </c>
      <c r="FF53" s="49" t="s">
        <v>79</v>
      </c>
      <c r="FG53" s="49" t="s">
        <v>511</v>
      </c>
      <c r="FH53" s="49" t="s">
        <v>310</v>
      </c>
      <c r="FI53" s="49" t="s">
        <v>332</v>
      </c>
      <c r="FJ53" s="49" t="s">
        <v>303</v>
      </c>
      <c r="FL53" s="49" t="s">
        <v>325</v>
      </c>
      <c r="FM53" s="49" t="s">
        <v>334</v>
      </c>
      <c r="FP53" s="49" t="s">
        <v>303</v>
      </c>
      <c r="FR53" s="49" t="s">
        <v>303</v>
      </c>
      <c r="FT53" s="49" t="s">
        <v>325</v>
      </c>
      <c r="FU53" s="49" t="s">
        <v>325</v>
      </c>
      <c r="FW53" s="49" t="s">
        <v>333</v>
      </c>
      <c r="FX53" s="49" t="s">
        <v>499</v>
      </c>
    </row>
    <row r="54" customFormat="false" ht="15" hidden="false" customHeight="false" outlineLevel="0" collapsed="false">
      <c r="A54" s="0" t="n">
        <v>100880245</v>
      </c>
      <c r="B54" s="0" t="s">
        <v>295</v>
      </c>
      <c r="C54" s="0" t="s">
        <v>48</v>
      </c>
      <c r="D54" s="0" t="s">
        <v>49</v>
      </c>
      <c r="E54" s="0" t="s">
        <v>297</v>
      </c>
      <c r="G54" s="0" t="n">
        <v>1</v>
      </c>
      <c r="H54" s="0" t="s">
        <v>298</v>
      </c>
      <c r="I54" s="48" t="n">
        <v>46297</v>
      </c>
      <c r="J54" s="0" t="n">
        <v>0</v>
      </c>
      <c r="K54" s="49" t="s">
        <v>334</v>
      </c>
      <c r="L54" s="49" t="s">
        <v>335</v>
      </c>
      <c r="M54" s="48" t="n">
        <v>46297</v>
      </c>
      <c r="N54" s="49" t="s">
        <v>335</v>
      </c>
      <c r="O54" s="49" t="s">
        <v>336</v>
      </c>
      <c r="P54" s="48"/>
      <c r="Q54" s="48" t="n">
        <v>46297</v>
      </c>
      <c r="R54" s="48" t="n">
        <v>46304</v>
      </c>
      <c r="T54" s="49" t="s">
        <v>302</v>
      </c>
      <c r="U54" s="49" t="s">
        <v>303</v>
      </c>
      <c r="Y54" s="49" t="s">
        <v>512</v>
      </c>
      <c r="AD54" s="49" t="s">
        <v>305</v>
      </c>
      <c r="AE54" s="48" t="n">
        <v>46287</v>
      </c>
      <c r="AF54" s="49" t="s">
        <v>306</v>
      </c>
      <c r="AG54" s="49" t="s">
        <v>307</v>
      </c>
      <c r="AK54" s="49" t="s">
        <v>303</v>
      </c>
      <c r="AL54" s="49" t="s">
        <v>297</v>
      </c>
      <c r="AO54" s="49" t="s">
        <v>303</v>
      </c>
      <c r="AP54" s="48"/>
      <c r="AR54" s="49" t="s">
        <v>303</v>
      </c>
      <c r="AS54" s="49" t="s">
        <v>306</v>
      </c>
      <c r="AT54" s="49" t="s">
        <v>513</v>
      </c>
      <c r="AV54" s="49" t="s">
        <v>309</v>
      </c>
      <c r="AW54" s="49" t="s">
        <v>310</v>
      </c>
      <c r="AX54" s="49" t="s">
        <v>311</v>
      </c>
      <c r="AY54" s="48"/>
      <c r="AZ54" s="48" t="n">
        <v>46289</v>
      </c>
      <c r="BC54" s="49" t="s">
        <v>303</v>
      </c>
      <c r="BD54" s="48"/>
      <c r="BE54" s="49" t="s">
        <v>312</v>
      </c>
      <c r="BF54" s="49" t="s">
        <v>303</v>
      </c>
      <c r="BG54" s="48"/>
      <c r="BI54" s="48"/>
      <c r="BJ54" s="48" t="n">
        <v>46302</v>
      </c>
      <c r="BK54" s="49" t="s">
        <v>312</v>
      </c>
      <c r="BL54" s="49" t="s">
        <v>313</v>
      </c>
      <c r="BM54" s="49" t="s">
        <v>310</v>
      </c>
      <c r="BN54" s="48"/>
      <c r="BO54" s="48"/>
      <c r="BP54" s="48"/>
      <c r="BR54" s="48" t="n">
        <v>46296</v>
      </c>
      <c r="BS54" s="49" t="s">
        <v>312</v>
      </c>
      <c r="BT54" s="49" t="s">
        <v>312</v>
      </c>
      <c r="BU54" s="49" t="s">
        <v>312</v>
      </c>
      <c r="BV54" s="49" t="s">
        <v>303</v>
      </c>
      <c r="BX54" s="0" t="n">
        <v>0</v>
      </c>
      <c r="CC54" s="49" t="s">
        <v>315</v>
      </c>
      <c r="CD54" s="49" t="s">
        <v>303</v>
      </c>
      <c r="CF54" s="49" t="s">
        <v>303</v>
      </c>
      <c r="CG54" s="49" t="s">
        <v>316</v>
      </c>
      <c r="CH54" s="49" t="s">
        <v>317</v>
      </c>
      <c r="CI54" s="49" t="s">
        <v>318</v>
      </c>
      <c r="CM54" s="49" t="s">
        <v>49</v>
      </c>
      <c r="CV54" s="49" t="s">
        <v>303</v>
      </c>
      <c r="DB54" s="49" t="s">
        <v>319</v>
      </c>
      <c r="DD54" s="48" t="n">
        <v>46287</v>
      </c>
      <c r="DF54" s="49" t="s">
        <v>310</v>
      </c>
      <c r="DG54" s="49" t="s">
        <v>320</v>
      </c>
      <c r="DH54" s="49" t="s">
        <v>48</v>
      </c>
      <c r="DI54" s="49" t="s">
        <v>298</v>
      </c>
      <c r="DJ54" s="49" t="s">
        <v>339</v>
      </c>
      <c r="DK54" s="49" t="s">
        <v>322</v>
      </c>
      <c r="DL54" s="49" t="s">
        <v>323</v>
      </c>
      <c r="DM54" s="49" t="s">
        <v>303</v>
      </c>
      <c r="DN54" s="49" t="s">
        <v>297</v>
      </c>
      <c r="DO54" s="48"/>
      <c r="DP54" s="49" t="s">
        <v>312</v>
      </c>
      <c r="DQ54" s="48"/>
      <c r="DR54" s="49" t="s">
        <v>312</v>
      </c>
      <c r="DS54" s="49" t="s">
        <v>303</v>
      </c>
      <c r="DT54" s="49" t="s">
        <v>303</v>
      </c>
      <c r="DW54" s="49" t="s">
        <v>303</v>
      </c>
      <c r="EA54" s="49" t="s">
        <v>324</v>
      </c>
      <c r="EB54" s="49" t="s">
        <v>303</v>
      </c>
      <c r="EH54" s="49" t="s">
        <v>310</v>
      </c>
      <c r="EJ54" s="49" t="s">
        <v>303</v>
      </c>
      <c r="EK54" s="49" t="s">
        <v>514</v>
      </c>
      <c r="EM54" s="49" t="s">
        <v>303</v>
      </c>
      <c r="EN54" s="49" t="s">
        <v>341</v>
      </c>
      <c r="EP54" s="49" t="s">
        <v>298</v>
      </c>
      <c r="EQ54" s="0" t="n">
        <v>1</v>
      </c>
      <c r="ER54" s="49" t="s">
        <v>328</v>
      </c>
      <c r="ES54" s="49" t="s">
        <v>342</v>
      </c>
      <c r="ET54" s="49" t="s">
        <v>310</v>
      </c>
      <c r="EU54" s="49" t="s">
        <v>310</v>
      </c>
      <c r="EV54" s="49" t="s">
        <v>310</v>
      </c>
      <c r="EX54" s="49" t="s">
        <v>303</v>
      </c>
      <c r="EY54" s="49" t="s">
        <v>303</v>
      </c>
      <c r="FC54" s="49" t="s">
        <v>330</v>
      </c>
      <c r="FD54" s="49" t="s">
        <v>310</v>
      </c>
      <c r="FE54" s="49" t="s">
        <v>310</v>
      </c>
      <c r="FF54" s="49" t="s">
        <v>48</v>
      </c>
      <c r="FG54" s="49" t="s">
        <v>343</v>
      </c>
      <c r="FH54" s="49" t="s">
        <v>310</v>
      </c>
      <c r="FI54" s="49" t="s">
        <v>332</v>
      </c>
      <c r="FJ54" s="49" t="s">
        <v>303</v>
      </c>
      <c r="FL54" s="49" t="s">
        <v>325</v>
      </c>
      <c r="FM54" s="49" t="s">
        <v>334</v>
      </c>
      <c r="FP54" s="49" t="s">
        <v>303</v>
      </c>
      <c r="FR54" s="49" t="s">
        <v>303</v>
      </c>
      <c r="FT54" s="49" t="s">
        <v>325</v>
      </c>
      <c r="FU54" s="49" t="s">
        <v>325</v>
      </c>
      <c r="FW54" s="49" t="s">
        <v>333</v>
      </c>
    </row>
    <row r="55" customFormat="false" ht="15" hidden="false" customHeight="false" outlineLevel="0" collapsed="false">
      <c r="A55" s="0" t="n">
        <v>100880246</v>
      </c>
      <c r="B55" s="0" t="s">
        <v>295</v>
      </c>
      <c r="C55" s="0" t="s">
        <v>50</v>
      </c>
      <c r="D55" s="0" t="s">
        <v>51</v>
      </c>
      <c r="E55" s="0" t="s">
        <v>297</v>
      </c>
      <c r="G55" s="0" t="n">
        <v>1</v>
      </c>
      <c r="H55" s="0" t="s">
        <v>298</v>
      </c>
      <c r="I55" s="48" t="n">
        <v>46297</v>
      </c>
      <c r="J55" s="0" t="n">
        <v>0</v>
      </c>
      <c r="K55" s="49" t="s">
        <v>334</v>
      </c>
      <c r="L55" s="49" t="s">
        <v>335</v>
      </c>
      <c r="M55" s="48" t="n">
        <v>46297</v>
      </c>
      <c r="N55" s="49" t="s">
        <v>335</v>
      </c>
      <c r="O55" s="49" t="s">
        <v>336</v>
      </c>
      <c r="P55" s="48"/>
      <c r="Q55" s="48" t="n">
        <v>46297</v>
      </c>
      <c r="R55" s="48" t="n">
        <v>46304</v>
      </c>
      <c r="T55" s="49" t="s">
        <v>302</v>
      </c>
      <c r="U55" s="49" t="s">
        <v>303</v>
      </c>
      <c r="Y55" s="49" t="s">
        <v>515</v>
      </c>
      <c r="AD55" s="49" t="s">
        <v>305</v>
      </c>
      <c r="AE55" s="48" t="n">
        <v>46287</v>
      </c>
      <c r="AF55" s="49" t="s">
        <v>306</v>
      </c>
      <c r="AG55" s="49" t="s">
        <v>307</v>
      </c>
      <c r="AK55" s="49" t="s">
        <v>303</v>
      </c>
      <c r="AL55" s="49" t="s">
        <v>297</v>
      </c>
      <c r="AO55" s="49" t="s">
        <v>303</v>
      </c>
      <c r="AP55" s="48"/>
      <c r="AR55" s="49" t="s">
        <v>303</v>
      </c>
      <c r="AS55" s="49" t="s">
        <v>306</v>
      </c>
      <c r="AT55" s="49" t="s">
        <v>516</v>
      </c>
      <c r="AV55" s="49" t="s">
        <v>309</v>
      </c>
      <c r="AW55" s="49" t="s">
        <v>310</v>
      </c>
      <c r="AX55" s="49" t="s">
        <v>311</v>
      </c>
      <c r="AY55" s="48"/>
      <c r="AZ55" s="48" t="n">
        <v>46289</v>
      </c>
      <c r="BC55" s="49" t="s">
        <v>303</v>
      </c>
      <c r="BD55" s="48"/>
      <c r="BE55" s="49" t="s">
        <v>312</v>
      </c>
      <c r="BF55" s="49" t="s">
        <v>303</v>
      </c>
      <c r="BG55" s="48"/>
      <c r="BI55" s="48"/>
      <c r="BJ55" s="48" t="n">
        <v>46302</v>
      </c>
      <c r="BK55" s="49" t="s">
        <v>312</v>
      </c>
      <c r="BL55" s="49" t="s">
        <v>313</v>
      </c>
      <c r="BM55" s="49" t="s">
        <v>310</v>
      </c>
      <c r="BN55" s="48"/>
      <c r="BO55" s="48"/>
      <c r="BP55" s="48"/>
      <c r="BR55" s="48" t="n">
        <v>46296</v>
      </c>
      <c r="BS55" s="49" t="s">
        <v>312</v>
      </c>
      <c r="BT55" s="49" t="s">
        <v>312</v>
      </c>
      <c r="BU55" s="49" t="s">
        <v>312</v>
      </c>
      <c r="BV55" s="49" t="s">
        <v>303</v>
      </c>
      <c r="BX55" s="0" t="n">
        <v>0</v>
      </c>
      <c r="CC55" s="49" t="s">
        <v>315</v>
      </c>
      <c r="CD55" s="49" t="s">
        <v>303</v>
      </c>
      <c r="CF55" s="49" t="s">
        <v>303</v>
      </c>
      <c r="CG55" s="49" t="s">
        <v>316</v>
      </c>
      <c r="CH55" s="49" t="s">
        <v>317</v>
      </c>
      <c r="CI55" s="49" t="s">
        <v>318</v>
      </c>
      <c r="CM55" s="49" t="s">
        <v>51</v>
      </c>
      <c r="CV55" s="49" t="s">
        <v>303</v>
      </c>
      <c r="DB55" s="49" t="s">
        <v>319</v>
      </c>
      <c r="DD55" s="48" t="n">
        <v>46287</v>
      </c>
      <c r="DF55" s="49" t="s">
        <v>310</v>
      </c>
      <c r="DG55" s="49" t="s">
        <v>320</v>
      </c>
      <c r="DH55" s="49" t="s">
        <v>50</v>
      </c>
      <c r="DI55" s="49" t="s">
        <v>298</v>
      </c>
      <c r="DJ55" s="49" t="s">
        <v>346</v>
      </c>
      <c r="DK55" s="49" t="s">
        <v>322</v>
      </c>
      <c r="DL55" s="49" t="s">
        <v>323</v>
      </c>
      <c r="DM55" s="49" t="s">
        <v>303</v>
      </c>
      <c r="DN55" s="49" t="s">
        <v>297</v>
      </c>
      <c r="DO55" s="48"/>
      <c r="DP55" s="49" t="s">
        <v>312</v>
      </c>
      <c r="DQ55" s="48"/>
      <c r="DR55" s="49" t="s">
        <v>312</v>
      </c>
      <c r="DS55" s="49" t="s">
        <v>303</v>
      </c>
      <c r="DT55" s="49" t="s">
        <v>303</v>
      </c>
      <c r="DW55" s="49" t="s">
        <v>303</v>
      </c>
      <c r="EA55" s="49" t="s">
        <v>324</v>
      </c>
      <c r="EB55" s="49" t="s">
        <v>303</v>
      </c>
      <c r="EH55" s="49" t="s">
        <v>310</v>
      </c>
      <c r="EJ55" s="49" t="s">
        <v>303</v>
      </c>
      <c r="EK55" s="49" t="s">
        <v>517</v>
      </c>
      <c r="EM55" s="49" t="s">
        <v>303</v>
      </c>
      <c r="EN55" s="49" t="s">
        <v>348</v>
      </c>
      <c r="EP55" s="49" t="s">
        <v>298</v>
      </c>
      <c r="EQ55" s="0" t="n">
        <v>1</v>
      </c>
      <c r="ER55" s="49" t="s">
        <v>328</v>
      </c>
      <c r="ES55" s="49" t="s">
        <v>342</v>
      </c>
      <c r="ET55" s="49" t="s">
        <v>310</v>
      </c>
      <c r="EU55" s="49" t="s">
        <v>310</v>
      </c>
      <c r="EV55" s="49" t="s">
        <v>310</v>
      </c>
      <c r="EX55" s="49" t="s">
        <v>303</v>
      </c>
      <c r="EY55" s="49" t="s">
        <v>303</v>
      </c>
      <c r="FC55" s="49" t="s">
        <v>330</v>
      </c>
      <c r="FD55" s="49" t="s">
        <v>310</v>
      </c>
      <c r="FE55" s="49" t="s">
        <v>310</v>
      </c>
      <c r="FF55" s="49" t="s">
        <v>50</v>
      </c>
      <c r="FG55" s="49" t="s">
        <v>349</v>
      </c>
      <c r="FH55" s="49" t="s">
        <v>310</v>
      </c>
      <c r="FI55" s="49" t="s">
        <v>332</v>
      </c>
      <c r="FJ55" s="49" t="s">
        <v>303</v>
      </c>
      <c r="FL55" s="49" t="s">
        <v>325</v>
      </c>
      <c r="FM55" s="49" t="s">
        <v>334</v>
      </c>
      <c r="FP55" s="49" t="s">
        <v>303</v>
      </c>
      <c r="FR55" s="49" t="s">
        <v>303</v>
      </c>
      <c r="FT55" s="49" t="s">
        <v>325</v>
      </c>
      <c r="FU55" s="49" t="s">
        <v>325</v>
      </c>
      <c r="FW55" s="49" t="s">
        <v>333</v>
      </c>
    </row>
    <row r="56" customFormat="false" ht="15" hidden="false" customHeight="false" outlineLevel="0" collapsed="false">
      <c r="A56" s="0" t="n">
        <v>100880247</v>
      </c>
      <c r="B56" s="0" t="s">
        <v>295</v>
      </c>
      <c r="C56" s="0" t="s">
        <v>50</v>
      </c>
      <c r="D56" s="0" t="s">
        <v>51</v>
      </c>
      <c r="E56" s="0" t="s">
        <v>297</v>
      </c>
      <c r="G56" s="0" t="n">
        <v>1</v>
      </c>
      <c r="H56" s="0" t="s">
        <v>298</v>
      </c>
      <c r="I56" s="48" t="n">
        <v>46297</v>
      </c>
      <c r="J56" s="0" t="n">
        <v>0</v>
      </c>
      <c r="K56" s="49" t="s">
        <v>334</v>
      </c>
      <c r="L56" s="49" t="s">
        <v>335</v>
      </c>
      <c r="M56" s="48"/>
      <c r="O56" s="49" t="s">
        <v>336</v>
      </c>
      <c r="P56" s="48"/>
      <c r="Q56" s="48" t="n">
        <v>46297</v>
      </c>
      <c r="R56" s="48" t="n">
        <v>46303</v>
      </c>
      <c r="T56" s="49" t="s">
        <v>302</v>
      </c>
      <c r="U56" s="49" t="s">
        <v>303</v>
      </c>
      <c r="Y56" s="49" t="s">
        <v>312</v>
      </c>
      <c r="AD56" s="49" t="s">
        <v>305</v>
      </c>
      <c r="AE56" s="48" t="n">
        <v>46287</v>
      </c>
      <c r="AF56" s="49" t="s">
        <v>306</v>
      </c>
      <c r="AG56" s="49" t="s">
        <v>307</v>
      </c>
      <c r="AK56" s="49" t="s">
        <v>303</v>
      </c>
      <c r="AL56" s="49" t="s">
        <v>297</v>
      </c>
      <c r="AO56" s="49" t="s">
        <v>303</v>
      </c>
      <c r="AP56" s="48"/>
      <c r="AR56" s="49" t="s">
        <v>303</v>
      </c>
      <c r="AS56" s="49" t="s">
        <v>306</v>
      </c>
      <c r="AT56" s="49" t="s">
        <v>518</v>
      </c>
      <c r="AV56" s="49" t="s">
        <v>309</v>
      </c>
      <c r="AW56" s="49" t="s">
        <v>310</v>
      </c>
      <c r="AX56" s="49" t="s">
        <v>311</v>
      </c>
      <c r="AY56" s="48"/>
      <c r="AZ56" s="48" t="n">
        <v>46289</v>
      </c>
      <c r="BC56" s="49" t="s">
        <v>303</v>
      </c>
      <c r="BD56" s="48"/>
      <c r="BE56" s="49" t="s">
        <v>312</v>
      </c>
      <c r="BF56" s="49" t="s">
        <v>303</v>
      </c>
      <c r="BG56" s="48"/>
      <c r="BI56" s="48"/>
      <c r="BJ56" s="48" t="n">
        <v>46302</v>
      </c>
      <c r="BK56" s="49" t="s">
        <v>313</v>
      </c>
      <c r="BL56" s="49" t="s">
        <v>313</v>
      </c>
      <c r="BM56" s="49" t="s">
        <v>310</v>
      </c>
      <c r="BN56" s="48"/>
      <c r="BO56" s="48"/>
      <c r="BP56" s="48"/>
      <c r="BR56" s="48" t="n">
        <v>46296</v>
      </c>
      <c r="BS56" s="49" t="s">
        <v>312</v>
      </c>
      <c r="BT56" s="49" t="s">
        <v>312</v>
      </c>
      <c r="BU56" s="49" t="s">
        <v>312</v>
      </c>
      <c r="BV56" s="49" t="s">
        <v>303</v>
      </c>
      <c r="BX56" s="0" t="n">
        <v>0</v>
      </c>
      <c r="CC56" s="49" t="s">
        <v>315</v>
      </c>
      <c r="CD56" s="49" t="s">
        <v>303</v>
      </c>
      <c r="CF56" s="49" t="s">
        <v>303</v>
      </c>
      <c r="CG56" s="49" t="s">
        <v>316</v>
      </c>
      <c r="CH56" s="49" t="s">
        <v>317</v>
      </c>
      <c r="CI56" s="49" t="s">
        <v>318</v>
      </c>
      <c r="CM56" s="49" t="s">
        <v>51</v>
      </c>
      <c r="CV56" s="49" t="s">
        <v>303</v>
      </c>
      <c r="DB56" s="49" t="s">
        <v>319</v>
      </c>
      <c r="DD56" s="48" t="n">
        <v>46287</v>
      </c>
      <c r="DF56" s="49" t="s">
        <v>310</v>
      </c>
      <c r="DG56" s="49" t="s">
        <v>320</v>
      </c>
      <c r="DH56" s="49" t="s">
        <v>50</v>
      </c>
      <c r="DI56" s="49" t="s">
        <v>298</v>
      </c>
      <c r="DJ56" s="49" t="s">
        <v>346</v>
      </c>
      <c r="DK56" s="49" t="s">
        <v>322</v>
      </c>
      <c r="DL56" s="49" t="s">
        <v>323</v>
      </c>
      <c r="DM56" s="49" t="s">
        <v>303</v>
      </c>
      <c r="DN56" s="49" t="s">
        <v>297</v>
      </c>
      <c r="DO56" s="48"/>
      <c r="DP56" s="49" t="s">
        <v>312</v>
      </c>
      <c r="DQ56" s="48"/>
      <c r="DR56" s="49" t="s">
        <v>312</v>
      </c>
      <c r="DS56" s="49" t="s">
        <v>303</v>
      </c>
      <c r="DT56" s="49" t="s">
        <v>303</v>
      </c>
      <c r="DW56" s="49" t="s">
        <v>303</v>
      </c>
      <c r="EA56" s="49" t="s">
        <v>324</v>
      </c>
      <c r="EB56" s="49" t="s">
        <v>303</v>
      </c>
      <c r="EF56" s="49" t="s">
        <v>519</v>
      </c>
      <c r="EH56" s="49" t="s">
        <v>310</v>
      </c>
      <c r="EJ56" s="49" t="s">
        <v>303</v>
      </c>
      <c r="EK56" s="49" t="s">
        <v>520</v>
      </c>
      <c r="EM56" s="49" t="s">
        <v>303</v>
      </c>
      <c r="EN56" s="49" t="s">
        <v>348</v>
      </c>
      <c r="EP56" s="49" t="s">
        <v>298</v>
      </c>
      <c r="EQ56" s="0" t="n">
        <v>1</v>
      </c>
      <c r="ER56" s="49" t="s">
        <v>328</v>
      </c>
      <c r="ES56" s="49" t="s">
        <v>342</v>
      </c>
      <c r="ET56" s="49" t="s">
        <v>310</v>
      </c>
      <c r="EU56" s="49" t="s">
        <v>310</v>
      </c>
      <c r="EV56" s="49" t="s">
        <v>310</v>
      </c>
      <c r="EX56" s="49" t="s">
        <v>303</v>
      </c>
      <c r="EY56" s="49" t="s">
        <v>303</v>
      </c>
      <c r="FC56" s="49" t="s">
        <v>330</v>
      </c>
      <c r="FD56" s="49" t="s">
        <v>310</v>
      </c>
      <c r="FE56" s="49" t="s">
        <v>310</v>
      </c>
      <c r="FF56" s="49" t="s">
        <v>50</v>
      </c>
      <c r="FG56" s="49" t="s">
        <v>349</v>
      </c>
      <c r="FH56" s="49" t="s">
        <v>310</v>
      </c>
      <c r="FI56" s="49" t="s">
        <v>332</v>
      </c>
      <c r="FJ56" s="49" t="s">
        <v>303</v>
      </c>
      <c r="FL56" s="49" t="s">
        <v>325</v>
      </c>
      <c r="FM56" s="49" t="s">
        <v>334</v>
      </c>
      <c r="FP56" s="49" t="s">
        <v>303</v>
      </c>
      <c r="FR56" s="49" t="s">
        <v>303</v>
      </c>
      <c r="FT56" s="49" t="s">
        <v>325</v>
      </c>
      <c r="FU56" s="49" t="s">
        <v>325</v>
      </c>
      <c r="FW56" s="49" t="s">
        <v>333</v>
      </c>
    </row>
    <row r="57" customFormat="false" ht="15" hidden="false" customHeight="false" outlineLevel="0" collapsed="false">
      <c r="A57" s="0" t="n">
        <v>100880248</v>
      </c>
      <c r="B57" s="0" t="s">
        <v>295</v>
      </c>
      <c r="C57" s="0" t="s">
        <v>53</v>
      </c>
      <c r="D57" s="0" t="s">
        <v>54</v>
      </c>
      <c r="E57" s="0" t="s">
        <v>297</v>
      </c>
      <c r="G57" s="0" t="n">
        <v>1</v>
      </c>
      <c r="H57" s="0" t="s">
        <v>298</v>
      </c>
      <c r="I57" s="48" t="n">
        <v>46297</v>
      </c>
      <c r="J57" s="0" t="n">
        <v>0</v>
      </c>
      <c r="K57" s="49" t="s">
        <v>334</v>
      </c>
      <c r="L57" s="49" t="s">
        <v>335</v>
      </c>
      <c r="M57" s="48" t="n">
        <v>46297</v>
      </c>
      <c r="N57" s="49" t="s">
        <v>335</v>
      </c>
      <c r="O57" s="49" t="s">
        <v>336</v>
      </c>
      <c r="P57" s="48"/>
      <c r="Q57" s="48" t="n">
        <v>46297</v>
      </c>
      <c r="R57" s="48" t="n">
        <v>46304</v>
      </c>
      <c r="T57" s="49" t="s">
        <v>302</v>
      </c>
      <c r="U57" s="49" t="s">
        <v>303</v>
      </c>
      <c r="Y57" s="49" t="s">
        <v>521</v>
      </c>
      <c r="AD57" s="49" t="s">
        <v>305</v>
      </c>
      <c r="AE57" s="48" t="n">
        <v>46279</v>
      </c>
      <c r="AF57" s="49" t="s">
        <v>306</v>
      </c>
      <c r="AG57" s="49" t="s">
        <v>307</v>
      </c>
      <c r="AK57" s="49" t="s">
        <v>303</v>
      </c>
      <c r="AL57" s="49" t="s">
        <v>297</v>
      </c>
      <c r="AO57" s="49" t="s">
        <v>303</v>
      </c>
      <c r="AP57" s="48"/>
      <c r="AR57" s="49" t="s">
        <v>303</v>
      </c>
      <c r="AS57" s="49" t="s">
        <v>306</v>
      </c>
      <c r="AT57" s="49" t="s">
        <v>522</v>
      </c>
      <c r="AV57" s="49" t="s">
        <v>309</v>
      </c>
      <c r="AW57" s="49" t="s">
        <v>310</v>
      </c>
      <c r="AX57" s="49" t="s">
        <v>311</v>
      </c>
      <c r="AY57" s="48"/>
      <c r="AZ57" s="48" t="n">
        <v>46289</v>
      </c>
      <c r="BC57" s="49" t="s">
        <v>303</v>
      </c>
      <c r="BD57" s="48"/>
      <c r="BE57" s="49" t="s">
        <v>312</v>
      </c>
      <c r="BF57" s="49" t="s">
        <v>303</v>
      </c>
      <c r="BG57" s="48"/>
      <c r="BI57" s="48"/>
      <c r="BJ57" s="48" t="n">
        <v>46302</v>
      </c>
      <c r="BK57" s="49" t="s">
        <v>312</v>
      </c>
      <c r="BL57" s="49" t="s">
        <v>313</v>
      </c>
      <c r="BM57" s="49" t="s">
        <v>310</v>
      </c>
      <c r="BN57" s="48"/>
      <c r="BO57" s="48"/>
      <c r="BP57" s="48"/>
      <c r="BR57" s="48" t="n">
        <v>46296</v>
      </c>
      <c r="BS57" s="49" t="s">
        <v>312</v>
      </c>
      <c r="BT57" s="49" t="s">
        <v>312</v>
      </c>
      <c r="BU57" s="49" t="s">
        <v>312</v>
      </c>
      <c r="BV57" s="49" t="s">
        <v>303</v>
      </c>
      <c r="BX57" s="0" t="n">
        <v>0</v>
      </c>
      <c r="CC57" s="49" t="s">
        <v>315</v>
      </c>
      <c r="CD57" s="49" t="s">
        <v>303</v>
      </c>
      <c r="CF57" s="49" t="s">
        <v>303</v>
      </c>
      <c r="CG57" s="49" t="s">
        <v>316</v>
      </c>
      <c r="CH57" s="49" t="s">
        <v>317</v>
      </c>
      <c r="CI57" s="49" t="s">
        <v>318</v>
      </c>
      <c r="CM57" s="49" t="s">
        <v>54</v>
      </c>
      <c r="CV57" s="49" t="s">
        <v>303</v>
      </c>
      <c r="DB57" s="49" t="s">
        <v>319</v>
      </c>
      <c r="DD57" s="48" t="n">
        <v>46279</v>
      </c>
      <c r="DF57" s="49" t="s">
        <v>310</v>
      </c>
      <c r="DG57" s="49" t="s">
        <v>320</v>
      </c>
      <c r="DH57" s="49" t="s">
        <v>53</v>
      </c>
      <c r="DI57" s="49" t="s">
        <v>298</v>
      </c>
      <c r="DJ57" s="49" t="s">
        <v>355</v>
      </c>
      <c r="DK57" s="49" t="s">
        <v>322</v>
      </c>
      <c r="DL57" s="49" t="s">
        <v>323</v>
      </c>
      <c r="DM57" s="49" t="s">
        <v>303</v>
      </c>
      <c r="DN57" s="49" t="s">
        <v>297</v>
      </c>
      <c r="DO57" s="48"/>
      <c r="DP57" s="49" t="s">
        <v>312</v>
      </c>
      <c r="DQ57" s="48"/>
      <c r="DR57" s="49" t="s">
        <v>312</v>
      </c>
      <c r="DS57" s="49" t="s">
        <v>303</v>
      </c>
      <c r="DT57" s="49" t="s">
        <v>303</v>
      </c>
      <c r="DW57" s="49" t="s">
        <v>303</v>
      </c>
      <c r="EA57" s="49" t="s">
        <v>324</v>
      </c>
      <c r="EB57" s="49" t="s">
        <v>303</v>
      </c>
      <c r="EH57" s="49" t="s">
        <v>310</v>
      </c>
      <c r="EJ57" s="49" t="s">
        <v>303</v>
      </c>
      <c r="EK57" s="49" t="s">
        <v>523</v>
      </c>
      <c r="EM57" s="49" t="s">
        <v>303</v>
      </c>
      <c r="EN57" s="49" t="s">
        <v>357</v>
      </c>
      <c r="EP57" s="49" t="s">
        <v>298</v>
      </c>
      <c r="EQ57" s="0" t="n">
        <v>1</v>
      </c>
      <c r="ER57" s="49" t="s">
        <v>328</v>
      </c>
      <c r="ES57" s="49" t="s">
        <v>358</v>
      </c>
      <c r="ET57" s="49" t="s">
        <v>310</v>
      </c>
      <c r="EU57" s="49" t="s">
        <v>310</v>
      </c>
      <c r="EV57" s="49" t="s">
        <v>310</v>
      </c>
      <c r="EX57" s="49" t="s">
        <v>303</v>
      </c>
      <c r="EY57" s="49" t="s">
        <v>303</v>
      </c>
      <c r="FC57" s="49" t="s">
        <v>330</v>
      </c>
      <c r="FD57" s="49" t="s">
        <v>310</v>
      </c>
      <c r="FE57" s="49" t="s">
        <v>310</v>
      </c>
      <c r="FF57" s="49" t="s">
        <v>53</v>
      </c>
      <c r="FG57" s="49" t="s">
        <v>359</v>
      </c>
      <c r="FH57" s="49" t="s">
        <v>310</v>
      </c>
      <c r="FI57" s="49" t="s">
        <v>332</v>
      </c>
      <c r="FJ57" s="49" t="s">
        <v>303</v>
      </c>
      <c r="FL57" s="49" t="s">
        <v>325</v>
      </c>
      <c r="FM57" s="49" t="s">
        <v>334</v>
      </c>
      <c r="FP57" s="49" t="s">
        <v>303</v>
      </c>
      <c r="FR57" s="49" t="s">
        <v>303</v>
      </c>
      <c r="FT57" s="49" t="s">
        <v>325</v>
      </c>
      <c r="FU57" s="49" t="s">
        <v>325</v>
      </c>
      <c r="FW57" s="49" t="s">
        <v>333</v>
      </c>
    </row>
    <row r="58" customFormat="false" ht="15" hidden="false" customHeight="false" outlineLevel="0" collapsed="false">
      <c r="A58" s="0" t="n">
        <v>100880249</v>
      </c>
      <c r="B58" s="0" t="s">
        <v>295</v>
      </c>
      <c r="C58" s="0" t="s">
        <v>53</v>
      </c>
      <c r="D58" s="0" t="s">
        <v>54</v>
      </c>
      <c r="E58" s="0" t="s">
        <v>297</v>
      </c>
      <c r="G58" s="0" t="n">
        <v>1</v>
      </c>
      <c r="H58" s="0" t="s">
        <v>298</v>
      </c>
      <c r="I58" s="48" t="n">
        <v>46297</v>
      </c>
      <c r="J58" s="0" t="n">
        <v>0</v>
      </c>
      <c r="K58" s="49" t="s">
        <v>334</v>
      </c>
      <c r="L58" s="49" t="s">
        <v>335</v>
      </c>
      <c r="M58" s="48"/>
      <c r="O58" s="49" t="s">
        <v>336</v>
      </c>
      <c r="P58" s="48"/>
      <c r="Q58" s="48" t="n">
        <v>46297</v>
      </c>
      <c r="R58" s="48" t="n">
        <v>46303</v>
      </c>
      <c r="T58" s="49" t="s">
        <v>302</v>
      </c>
      <c r="U58" s="49" t="s">
        <v>303</v>
      </c>
      <c r="Y58" s="49" t="s">
        <v>312</v>
      </c>
      <c r="AD58" s="49" t="s">
        <v>305</v>
      </c>
      <c r="AE58" s="48" t="n">
        <v>46279</v>
      </c>
      <c r="AF58" s="49" t="s">
        <v>306</v>
      </c>
      <c r="AG58" s="49" t="s">
        <v>307</v>
      </c>
      <c r="AK58" s="49" t="s">
        <v>303</v>
      </c>
      <c r="AL58" s="49" t="s">
        <v>297</v>
      </c>
      <c r="AO58" s="49" t="s">
        <v>303</v>
      </c>
      <c r="AP58" s="48"/>
      <c r="AR58" s="49" t="s">
        <v>303</v>
      </c>
      <c r="AS58" s="49" t="s">
        <v>306</v>
      </c>
      <c r="AT58" s="49" t="s">
        <v>524</v>
      </c>
      <c r="AV58" s="49" t="s">
        <v>309</v>
      </c>
      <c r="AW58" s="49" t="s">
        <v>310</v>
      </c>
      <c r="AX58" s="49" t="s">
        <v>311</v>
      </c>
      <c r="AY58" s="48"/>
      <c r="AZ58" s="48" t="n">
        <v>46289</v>
      </c>
      <c r="BC58" s="49" t="s">
        <v>303</v>
      </c>
      <c r="BD58" s="48"/>
      <c r="BE58" s="49" t="s">
        <v>312</v>
      </c>
      <c r="BF58" s="49" t="s">
        <v>303</v>
      </c>
      <c r="BG58" s="48"/>
      <c r="BI58" s="48"/>
      <c r="BJ58" s="48" t="n">
        <v>46302</v>
      </c>
      <c r="BK58" s="49" t="s">
        <v>313</v>
      </c>
      <c r="BL58" s="49" t="s">
        <v>313</v>
      </c>
      <c r="BM58" s="49" t="s">
        <v>310</v>
      </c>
      <c r="BN58" s="48"/>
      <c r="BO58" s="48"/>
      <c r="BP58" s="48"/>
      <c r="BR58" s="48" t="n">
        <v>46296</v>
      </c>
      <c r="BS58" s="49" t="s">
        <v>312</v>
      </c>
      <c r="BT58" s="49" t="s">
        <v>312</v>
      </c>
      <c r="BU58" s="49" t="s">
        <v>312</v>
      </c>
      <c r="BV58" s="49" t="s">
        <v>303</v>
      </c>
      <c r="BX58" s="0" t="n">
        <v>0</v>
      </c>
      <c r="CC58" s="49" t="s">
        <v>315</v>
      </c>
      <c r="CD58" s="49" t="s">
        <v>303</v>
      </c>
      <c r="CF58" s="49" t="s">
        <v>303</v>
      </c>
      <c r="CG58" s="49" t="s">
        <v>316</v>
      </c>
      <c r="CH58" s="49" t="s">
        <v>317</v>
      </c>
      <c r="CI58" s="49" t="s">
        <v>318</v>
      </c>
      <c r="CM58" s="49" t="s">
        <v>54</v>
      </c>
      <c r="CV58" s="49" t="s">
        <v>303</v>
      </c>
      <c r="DB58" s="49" t="s">
        <v>319</v>
      </c>
      <c r="DD58" s="48" t="n">
        <v>46279</v>
      </c>
      <c r="DF58" s="49" t="s">
        <v>310</v>
      </c>
      <c r="DG58" s="49" t="s">
        <v>320</v>
      </c>
      <c r="DH58" s="49" t="s">
        <v>53</v>
      </c>
      <c r="DI58" s="49" t="s">
        <v>298</v>
      </c>
      <c r="DJ58" s="49" t="s">
        <v>355</v>
      </c>
      <c r="DK58" s="49" t="s">
        <v>322</v>
      </c>
      <c r="DL58" s="49" t="s">
        <v>323</v>
      </c>
      <c r="DM58" s="49" t="s">
        <v>303</v>
      </c>
      <c r="DN58" s="49" t="s">
        <v>297</v>
      </c>
      <c r="DO58" s="48"/>
      <c r="DP58" s="49" t="s">
        <v>312</v>
      </c>
      <c r="DQ58" s="48"/>
      <c r="DR58" s="49" t="s">
        <v>312</v>
      </c>
      <c r="DS58" s="49" t="s">
        <v>303</v>
      </c>
      <c r="DT58" s="49" t="s">
        <v>303</v>
      </c>
      <c r="DW58" s="49" t="s">
        <v>303</v>
      </c>
      <c r="EA58" s="49" t="s">
        <v>324</v>
      </c>
      <c r="EB58" s="49" t="s">
        <v>303</v>
      </c>
      <c r="EF58" s="49" t="s">
        <v>525</v>
      </c>
      <c r="EH58" s="49" t="s">
        <v>310</v>
      </c>
      <c r="EJ58" s="49" t="s">
        <v>303</v>
      </c>
      <c r="EK58" s="49" t="s">
        <v>526</v>
      </c>
      <c r="EM58" s="49" t="s">
        <v>303</v>
      </c>
      <c r="EN58" s="49" t="s">
        <v>357</v>
      </c>
      <c r="EP58" s="49" t="s">
        <v>298</v>
      </c>
      <c r="EQ58" s="0" t="n">
        <v>1</v>
      </c>
      <c r="ER58" s="49" t="s">
        <v>328</v>
      </c>
      <c r="ES58" s="49" t="s">
        <v>358</v>
      </c>
      <c r="ET58" s="49" t="s">
        <v>310</v>
      </c>
      <c r="EU58" s="49" t="s">
        <v>310</v>
      </c>
      <c r="EV58" s="49" t="s">
        <v>310</v>
      </c>
      <c r="EX58" s="49" t="s">
        <v>303</v>
      </c>
      <c r="EY58" s="49" t="s">
        <v>303</v>
      </c>
      <c r="FC58" s="49" t="s">
        <v>330</v>
      </c>
      <c r="FD58" s="49" t="s">
        <v>310</v>
      </c>
      <c r="FE58" s="49" t="s">
        <v>310</v>
      </c>
      <c r="FF58" s="49" t="s">
        <v>53</v>
      </c>
      <c r="FG58" s="49" t="s">
        <v>359</v>
      </c>
      <c r="FH58" s="49" t="s">
        <v>310</v>
      </c>
      <c r="FI58" s="49" t="s">
        <v>332</v>
      </c>
      <c r="FJ58" s="49" t="s">
        <v>303</v>
      </c>
      <c r="FL58" s="49" t="s">
        <v>325</v>
      </c>
      <c r="FM58" s="49" t="s">
        <v>334</v>
      </c>
      <c r="FP58" s="49" t="s">
        <v>303</v>
      </c>
      <c r="FR58" s="49" t="s">
        <v>303</v>
      </c>
      <c r="FT58" s="49" t="s">
        <v>325</v>
      </c>
      <c r="FU58" s="49" t="s">
        <v>325</v>
      </c>
      <c r="FW58" s="49" t="s">
        <v>333</v>
      </c>
    </row>
    <row r="59" customFormat="false" ht="15" hidden="false" customHeight="false" outlineLevel="0" collapsed="false">
      <c r="A59" s="0" t="n">
        <v>100880250</v>
      </c>
      <c r="B59" s="0" t="s">
        <v>295</v>
      </c>
      <c r="C59" s="0" t="s">
        <v>53</v>
      </c>
      <c r="D59" s="0" t="s">
        <v>54</v>
      </c>
      <c r="E59" s="0" t="s">
        <v>297</v>
      </c>
      <c r="G59" s="0" t="n">
        <v>1</v>
      </c>
      <c r="H59" s="0" t="s">
        <v>298</v>
      </c>
      <c r="I59" s="48" t="n">
        <v>46297</v>
      </c>
      <c r="J59" s="0" t="n">
        <v>0</v>
      </c>
      <c r="K59" s="49" t="s">
        <v>334</v>
      </c>
      <c r="L59" s="49" t="s">
        <v>335</v>
      </c>
      <c r="M59" s="48"/>
      <c r="O59" s="49" t="s">
        <v>336</v>
      </c>
      <c r="P59" s="48"/>
      <c r="Q59" s="48" t="n">
        <v>46297</v>
      </c>
      <c r="R59" s="48" t="n">
        <v>46303</v>
      </c>
      <c r="T59" s="49" t="s">
        <v>302</v>
      </c>
      <c r="U59" s="49" t="s">
        <v>303</v>
      </c>
      <c r="Y59" s="49" t="s">
        <v>312</v>
      </c>
      <c r="AD59" s="49" t="s">
        <v>305</v>
      </c>
      <c r="AE59" s="48" t="n">
        <v>46279</v>
      </c>
      <c r="AF59" s="49" t="s">
        <v>306</v>
      </c>
      <c r="AG59" s="49" t="s">
        <v>307</v>
      </c>
      <c r="AK59" s="49" t="s">
        <v>303</v>
      </c>
      <c r="AL59" s="49" t="s">
        <v>297</v>
      </c>
      <c r="AO59" s="49" t="s">
        <v>303</v>
      </c>
      <c r="AP59" s="48"/>
      <c r="AR59" s="49" t="s">
        <v>303</v>
      </c>
      <c r="AS59" s="49" t="s">
        <v>306</v>
      </c>
      <c r="AT59" s="49" t="s">
        <v>527</v>
      </c>
      <c r="AV59" s="49" t="s">
        <v>309</v>
      </c>
      <c r="AW59" s="49" t="s">
        <v>310</v>
      </c>
      <c r="AX59" s="49" t="s">
        <v>311</v>
      </c>
      <c r="AY59" s="48"/>
      <c r="AZ59" s="48" t="n">
        <v>46289</v>
      </c>
      <c r="BC59" s="49" t="s">
        <v>303</v>
      </c>
      <c r="BD59" s="48"/>
      <c r="BE59" s="49" t="s">
        <v>312</v>
      </c>
      <c r="BF59" s="49" t="s">
        <v>303</v>
      </c>
      <c r="BG59" s="48"/>
      <c r="BI59" s="48"/>
      <c r="BJ59" s="48" t="n">
        <v>46302</v>
      </c>
      <c r="BK59" s="49" t="s">
        <v>313</v>
      </c>
      <c r="BL59" s="49" t="s">
        <v>313</v>
      </c>
      <c r="BM59" s="49" t="s">
        <v>310</v>
      </c>
      <c r="BN59" s="48"/>
      <c r="BO59" s="48"/>
      <c r="BP59" s="48"/>
      <c r="BR59" s="48" t="n">
        <v>46296</v>
      </c>
      <c r="BS59" s="49" t="s">
        <v>312</v>
      </c>
      <c r="BT59" s="49" t="s">
        <v>312</v>
      </c>
      <c r="BU59" s="49" t="s">
        <v>312</v>
      </c>
      <c r="BV59" s="49" t="s">
        <v>303</v>
      </c>
      <c r="BX59" s="0" t="n">
        <v>0</v>
      </c>
      <c r="CC59" s="49" t="s">
        <v>315</v>
      </c>
      <c r="CD59" s="49" t="s">
        <v>303</v>
      </c>
      <c r="CF59" s="49" t="s">
        <v>303</v>
      </c>
      <c r="CG59" s="49" t="s">
        <v>316</v>
      </c>
      <c r="CH59" s="49" t="s">
        <v>317</v>
      </c>
      <c r="CI59" s="49" t="s">
        <v>318</v>
      </c>
      <c r="CM59" s="49" t="s">
        <v>54</v>
      </c>
      <c r="CV59" s="49" t="s">
        <v>303</v>
      </c>
      <c r="DB59" s="49" t="s">
        <v>319</v>
      </c>
      <c r="DD59" s="48" t="n">
        <v>46279</v>
      </c>
      <c r="DF59" s="49" t="s">
        <v>310</v>
      </c>
      <c r="DG59" s="49" t="s">
        <v>320</v>
      </c>
      <c r="DH59" s="49" t="s">
        <v>53</v>
      </c>
      <c r="DI59" s="49" t="s">
        <v>298</v>
      </c>
      <c r="DJ59" s="49" t="s">
        <v>355</v>
      </c>
      <c r="DK59" s="49" t="s">
        <v>322</v>
      </c>
      <c r="DL59" s="49" t="s">
        <v>323</v>
      </c>
      <c r="DM59" s="49" t="s">
        <v>303</v>
      </c>
      <c r="DN59" s="49" t="s">
        <v>297</v>
      </c>
      <c r="DO59" s="48"/>
      <c r="DP59" s="49" t="s">
        <v>312</v>
      </c>
      <c r="DQ59" s="48"/>
      <c r="DR59" s="49" t="s">
        <v>312</v>
      </c>
      <c r="DS59" s="49" t="s">
        <v>303</v>
      </c>
      <c r="DT59" s="49" t="s">
        <v>303</v>
      </c>
      <c r="DW59" s="49" t="s">
        <v>303</v>
      </c>
      <c r="EA59" s="49" t="s">
        <v>324</v>
      </c>
      <c r="EB59" s="49" t="s">
        <v>303</v>
      </c>
      <c r="EF59" s="49" t="s">
        <v>525</v>
      </c>
      <c r="EH59" s="49" t="s">
        <v>310</v>
      </c>
      <c r="EJ59" s="49" t="s">
        <v>303</v>
      </c>
      <c r="EK59" s="49" t="s">
        <v>528</v>
      </c>
      <c r="EM59" s="49" t="s">
        <v>303</v>
      </c>
      <c r="EN59" s="49" t="s">
        <v>357</v>
      </c>
      <c r="EP59" s="49" t="s">
        <v>298</v>
      </c>
      <c r="EQ59" s="0" t="n">
        <v>1</v>
      </c>
      <c r="ER59" s="49" t="s">
        <v>328</v>
      </c>
      <c r="ES59" s="49" t="s">
        <v>358</v>
      </c>
      <c r="ET59" s="49" t="s">
        <v>310</v>
      </c>
      <c r="EU59" s="49" t="s">
        <v>310</v>
      </c>
      <c r="EV59" s="49" t="s">
        <v>310</v>
      </c>
      <c r="EX59" s="49" t="s">
        <v>303</v>
      </c>
      <c r="EY59" s="49" t="s">
        <v>303</v>
      </c>
      <c r="FC59" s="49" t="s">
        <v>330</v>
      </c>
      <c r="FD59" s="49" t="s">
        <v>310</v>
      </c>
      <c r="FE59" s="49" t="s">
        <v>310</v>
      </c>
      <c r="FF59" s="49" t="s">
        <v>53</v>
      </c>
      <c r="FG59" s="49" t="s">
        <v>359</v>
      </c>
      <c r="FH59" s="49" t="s">
        <v>310</v>
      </c>
      <c r="FI59" s="49" t="s">
        <v>332</v>
      </c>
      <c r="FJ59" s="49" t="s">
        <v>303</v>
      </c>
      <c r="FL59" s="49" t="s">
        <v>325</v>
      </c>
      <c r="FM59" s="49" t="s">
        <v>334</v>
      </c>
      <c r="FP59" s="49" t="s">
        <v>303</v>
      </c>
      <c r="FR59" s="49" t="s">
        <v>303</v>
      </c>
      <c r="FT59" s="49" t="s">
        <v>325</v>
      </c>
      <c r="FU59" s="49" t="s">
        <v>325</v>
      </c>
      <c r="FW59" s="49" t="s">
        <v>333</v>
      </c>
    </row>
    <row r="60" customFormat="false" ht="15" hidden="false" customHeight="false" outlineLevel="0" collapsed="false">
      <c r="A60" s="0" t="n">
        <v>100880251</v>
      </c>
      <c r="B60" s="0" t="s">
        <v>295</v>
      </c>
      <c r="C60" s="0" t="s">
        <v>56</v>
      </c>
      <c r="D60" s="0" t="s">
        <v>57</v>
      </c>
      <c r="E60" s="0" t="s">
        <v>297</v>
      </c>
      <c r="G60" s="0" t="n">
        <v>1</v>
      </c>
      <c r="H60" s="0" t="s">
        <v>298</v>
      </c>
      <c r="I60" s="48" t="n">
        <v>46297</v>
      </c>
      <c r="J60" s="0" t="n">
        <v>0</v>
      </c>
      <c r="K60" s="49" t="s">
        <v>334</v>
      </c>
      <c r="L60" s="49" t="s">
        <v>335</v>
      </c>
      <c r="M60" s="48" t="n">
        <v>46297</v>
      </c>
      <c r="N60" s="49" t="s">
        <v>335</v>
      </c>
      <c r="O60" s="49" t="s">
        <v>336</v>
      </c>
      <c r="P60" s="48"/>
      <c r="Q60" s="48" t="n">
        <v>46297</v>
      </c>
      <c r="R60" s="48" t="n">
        <v>46304</v>
      </c>
      <c r="T60" s="49" t="s">
        <v>302</v>
      </c>
      <c r="U60" s="49" t="s">
        <v>303</v>
      </c>
      <c r="Y60" s="49" t="s">
        <v>529</v>
      </c>
      <c r="AD60" s="49" t="s">
        <v>305</v>
      </c>
      <c r="AE60" s="48" t="n">
        <v>46286</v>
      </c>
      <c r="AF60" s="49" t="s">
        <v>306</v>
      </c>
      <c r="AG60" s="49" t="s">
        <v>307</v>
      </c>
      <c r="AK60" s="49" t="s">
        <v>303</v>
      </c>
      <c r="AL60" s="49" t="s">
        <v>297</v>
      </c>
      <c r="AO60" s="49" t="s">
        <v>303</v>
      </c>
      <c r="AP60" s="48"/>
      <c r="AR60" s="49" t="s">
        <v>303</v>
      </c>
      <c r="AS60" s="49" t="s">
        <v>306</v>
      </c>
      <c r="AT60" s="49" t="s">
        <v>530</v>
      </c>
      <c r="AV60" s="49" t="s">
        <v>309</v>
      </c>
      <c r="AW60" s="49" t="s">
        <v>310</v>
      </c>
      <c r="AX60" s="49" t="s">
        <v>311</v>
      </c>
      <c r="AY60" s="48"/>
      <c r="AZ60" s="48" t="n">
        <v>46289</v>
      </c>
      <c r="BC60" s="49" t="s">
        <v>303</v>
      </c>
      <c r="BD60" s="48"/>
      <c r="BE60" s="49" t="s">
        <v>312</v>
      </c>
      <c r="BF60" s="49" t="s">
        <v>303</v>
      </c>
      <c r="BG60" s="48"/>
      <c r="BI60" s="48"/>
      <c r="BJ60" s="48" t="n">
        <v>46302</v>
      </c>
      <c r="BK60" s="49" t="s">
        <v>312</v>
      </c>
      <c r="BL60" s="49" t="s">
        <v>313</v>
      </c>
      <c r="BM60" s="49" t="s">
        <v>310</v>
      </c>
      <c r="BN60" s="48"/>
      <c r="BO60" s="48"/>
      <c r="BP60" s="48"/>
      <c r="BR60" s="48" t="n">
        <v>46296</v>
      </c>
      <c r="BS60" s="49" t="s">
        <v>312</v>
      </c>
      <c r="BT60" s="49" t="s">
        <v>312</v>
      </c>
      <c r="BU60" s="49" t="s">
        <v>312</v>
      </c>
      <c r="BV60" s="49" t="s">
        <v>303</v>
      </c>
      <c r="BX60" s="0" t="n">
        <v>0</v>
      </c>
      <c r="CC60" s="49" t="s">
        <v>315</v>
      </c>
      <c r="CD60" s="49" t="s">
        <v>303</v>
      </c>
      <c r="CF60" s="49" t="s">
        <v>303</v>
      </c>
      <c r="CG60" s="49" t="s">
        <v>316</v>
      </c>
      <c r="CH60" s="49" t="s">
        <v>317</v>
      </c>
      <c r="CI60" s="49" t="s">
        <v>318</v>
      </c>
      <c r="CM60" s="49" t="s">
        <v>57</v>
      </c>
      <c r="CV60" s="49" t="s">
        <v>303</v>
      </c>
      <c r="DB60" s="49" t="s">
        <v>319</v>
      </c>
      <c r="DD60" s="48" t="n">
        <v>46286</v>
      </c>
      <c r="DF60" s="49" t="s">
        <v>310</v>
      </c>
      <c r="DG60" s="49" t="s">
        <v>320</v>
      </c>
      <c r="DH60" s="49" t="s">
        <v>56</v>
      </c>
      <c r="DI60" s="49" t="s">
        <v>298</v>
      </c>
      <c r="DJ60" s="49" t="s">
        <v>367</v>
      </c>
      <c r="DK60" s="49" t="s">
        <v>322</v>
      </c>
      <c r="DL60" s="49" t="s">
        <v>323</v>
      </c>
      <c r="DM60" s="49" t="s">
        <v>303</v>
      </c>
      <c r="DN60" s="49" t="s">
        <v>297</v>
      </c>
      <c r="DO60" s="48"/>
      <c r="DP60" s="49" t="s">
        <v>312</v>
      </c>
      <c r="DQ60" s="48"/>
      <c r="DR60" s="49" t="s">
        <v>312</v>
      </c>
      <c r="DS60" s="49" t="s">
        <v>303</v>
      </c>
      <c r="DT60" s="49" t="s">
        <v>303</v>
      </c>
      <c r="DW60" s="49" t="s">
        <v>303</v>
      </c>
      <c r="EA60" s="49" t="s">
        <v>324</v>
      </c>
      <c r="EB60" s="49" t="s">
        <v>303</v>
      </c>
      <c r="EH60" s="49" t="s">
        <v>310</v>
      </c>
      <c r="EJ60" s="49" t="s">
        <v>303</v>
      </c>
      <c r="EK60" s="49" t="s">
        <v>531</v>
      </c>
      <c r="EM60" s="49" t="s">
        <v>303</v>
      </c>
      <c r="EN60" s="49" t="s">
        <v>369</v>
      </c>
      <c r="EP60" s="49" t="s">
        <v>298</v>
      </c>
      <c r="EQ60" s="0" t="n">
        <v>1</v>
      </c>
      <c r="ER60" s="49" t="s">
        <v>328</v>
      </c>
      <c r="ES60" s="49" t="s">
        <v>342</v>
      </c>
      <c r="ET60" s="49" t="s">
        <v>310</v>
      </c>
      <c r="EU60" s="49" t="s">
        <v>310</v>
      </c>
      <c r="EV60" s="49" t="s">
        <v>310</v>
      </c>
      <c r="EX60" s="49" t="s">
        <v>303</v>
      </c>
      <c r="EY60" s="49" t="s">
        <v>303</v>
      </c>
      <c r="FC60" s="49" t="s">
        <v>330</v>
      </c>
      <c r="FD60" s="49" t="s">
        <v>310</v>
      </c>
      <c r="FE60" s="49" t="s">
        <v>310</v>
      </c>
      <c r="FF60" s="49" t="s">
        <v>56</v>
      </c>
      <c r="FG60" s="49" t="s">
        <v>370</v>
      </c>
      <c r="FH60" s="49" t="s">
        <v>310</v>
      </c>
      <c r="FI60" s="49" t="s">
        <v>332</v>
      </c>
      <c r="FJ60" s="49" t="s">
        <v>303</v>
      </c>
      <c r="FL60" s="49" t="s">
        <v>325</v>
      </c>
      <c r="FM60" s="49" t="s">
        <v>334</v>
      </c>
      <c r="FP60" s="49" t="s">
        <v>303</v>
      </c>
      <c r="FR60" s="49" t="s">
        <v>303</v>
      </c>
      <c r="FT60" s="49" t="s">
        <v>325</v>
      </c>
      <c r="FU60" s="49" t="s">
        <v>325</v>
      </c>
      <c r="FW60" s="49" t="s">
        <v>333</v>
      </c>
    </row>
    <row r="61" customFormat="false" ht="15" hidden="false" customHeight="false" outlineLevel="0" collapsed="false">
      <c r="A61" s="0" t="n">
        <v>100880252</v>
      </c>
      <c r="B61" s="0" t="s">
        <v>295</v>
      </c>
      <c r="C61" s="0" t="s">
        <v>58</v>
      </c>
      <c r="D61" s="0" t="s">
        <v>59</v>
      </c>
      <c r="E61" s="0" t="s">
        <v>297</v>
      </c>
      <c r="G61" s="0" t="n">
        <v>1</v>
      </c>
      <c r="H61" s="0" t="s">
        <v>298</v>
      </c>
      <c r="I61" s="48" t="n">
        <v>46297</v>
      </c>
      <c r="J61" s="0" t="n">
        <v>0</v>
      </c>
      <c r="K61" s="49" t="s">
        <v>334</v>
      </c>
      <c r="L61" s="49" t="s">
        <v>335</v>
      </c>
      <c r="M61" s="48" t="n">
        <v>46297</v>
      </c>
      <c r="N61" s="49" t="s">
        <v>335</v>
      </c>
      <c r="O61" s="49" t="s">
        <v>336</v>
      </c>
      <c r="P61" s="48"/>
      <c r="Q61" s="48" t="n">
        <v>46297</v>
      </c>
      <c r="R61" s="48" t="n">
        <v>46304</v>
      </c>
      <c r="T61" s="49" t="s">
        <v>302</v>
      </c>
      <c r="U61" s="49" t="s">
        <v>303</v>
      </c>
      <c r="Y61" s="49" t="s">
        <v>532</v>
      </c>
      <c r="AD61" s="49" t="s">
        <v>305</v>
      </c>
      <c r="AE61" s="48" t="n">
        <v>46286</v>
      </c>
      <c r="AF61" s="49" t="s">
        <v>306</v>
      </c>
      <c r="AG61" s="49" t="s">
        <v>307</v>
      </c>
      <c r="AK61" s="49" t="s">
        <v>303</v>
      </c>
      <c r="AL61" s="49" t="s">
        <v>297</v>
      </c>
      <c r="AO61" s="49" t="s">
        <v>303</v>
      </c>
      <c r="AP61" s="48"/>
      <c r="AR61" s="49" t="s">
        <v>303</v>
      </c>
      <c r="AS61" s="49" t="s">
        <v>306</v>
      </c>
      <c r="AT61" s="49" t="s">
        <v>533</v>
      </c>
      <c r="AV61" s="49" t="s">
        <v>309</v>
      </c>
      <c r="AW61" s="49" t="s">
        <v>310</v>
      </c>
      <c r="AX61" s="49" t="s">
        <v>311</v>
      </c>
      <c r="AY61" s="48"/>
      <c r="AZ61" s="48" t="n">
        <v>46289</v>
      </c>
      <c r="BC61" s="49" t="s">
        <v>303</v>
      </c>
      <c r="BD61" s="48"/>
      <c r="BE61" s="49" t="s">
        <v>312</v>
      </c>
      <c r="BF61" s="49" t="s">
        <v>303</v>
      </c>
      <c r="BG61" s="48"/>
      <c r="BI61" s="48"/>
      <c r="BJ61" s="48" t="n">
        <v>46302</v>
      </c>
      <c r="BK61" s="49" t="s">
        <v>312</v>
      </c>
      <c r="BL61" s="49" t="s">
        <v>313</v>
      </c>
      <c r="BM61" s="49" t="s">
        <v>310</v>
      </c>
      <c r="BN61" s="48"/>
      <c r="BO61" s="48"/>
      <c r="BP61" s="48"/>
      <c r="BR61" s="48" t="n">
        <v>46296</v>
      </c>
      <c r="BS61" s="49" t="s">
        <v>312</v>
      </c>
      <c r="BT61" s="49" t="s">
        <v>312</v>
      </c>
      <c r="BU61" s="49" t="s">
        <v>312</v>
      </c>
      <c r="BV61" s="49" t="s">
        <v>303</v>
      </c>
      <c r="BX61" s="0" t="n">
        <v>0</v>
      </c>
      <c r="CC61" s="49" t="s">
        <v>315</v>
      </c>
      <c r="CD61" s="49" t="s">
        <v>303</v>
      </c>
      <c r="CF61" s="49" t="s">
        <v>303</v>
      </c>
      <c r="CG61" s="49" t="s">
        <v>316</v>
      </c>
      <c r="CH61" s="49" t="s">
        <v>317</v>
      </c>
      <c r="CI61" s="49" t="s">
        <v>318</v>
      </c>
      <c r="CM61" s="49" t="s">
        <v>59</v>
      </c>
      <c r="CV61" s="49" t="s">
        <v>303</v>
      </c>
      <c r="DB61" s="49" t="s">
        <v>319</v>
      </c>
      <c r="DD61" s="48" t="n">
        <v>46286</v>
      </c>
      <c r="DF61" s="49" t="s">
        <v>310</v>
      </c>
      <c r="DG61" s="49" t="s">
        <v>320</v>
      </c>
      <c r="DH61" s="49" t="s">
        <v>58</v>
      </c>
      <c r="DI61" s="49" t="s">
        <v>298</v>
      </c>
      <c r="DJ61" s="49" t="s">
        <v>367</v>
      </c>
      <c r="DK61" s="49" t="s">
        <v>322</v>
      </c>
      <c r="DL61" s="49" t="s">
        <v>323</v>
      </c>
      <c r="DM61" s="49" t="s">
        <v>303</v>
      </c>
      <c r="DN61" s="49" t="s">
        <v>297</v>
      </c>
      <c r="DO61" s="48"/>
      <c r="DP61" s="49" t="s">
        <v>312</v>
      </c>
      <c r="DQ61" s="48"/>
      <c r="DR61" s="49" t="s">
        <v>312</v>
      </c>
      <c r="DS61" s="49" t="s">
        <v>303</v>
      </c>
      <c r="DT61" s="49" t="s">
        <v>303</v>
      </c>
      <c r="DW61" s="49" t="s">
        <v>303</v>
      </c>
      <c r="EA61" s="49" t="s">
        <v>324</v>
      </c>
      <c r="EB61" s="49" t="s">
        <v>303</v>
      </c>
      <c r="EH61" s="49" t="s">
        <v>310</v>
      </c>
      <c r="EJ61" s="49" t="s">
        <v>303</v>
      </c>
      <c r="EK61" s="49" t="s">
        <v>534</v>
      </c>
      <c r="EM61" s="49" t="s">
        <v>303</v>
      </c>
      <c r="EN61" s="49" t="s">
        <v>374</v>
      </c>
      <c r="EP61" s="49" t="s">
        <v>298</v>
      </c>
      <c r="EQ61" s="0" t="n">
        <v>1</v>
      </c>
      <c r="ER61" s="49" t="s">
        <v>328</v>
      </c>
      <c r="ES61" s="49" t="s">
        <v>342</v>
      </c>
      <c r="ET61" s="49" t="s">
        <v>310</v>
      </c>
      <c r="EU61" s="49" t="s">
        <v>310</v>
      </c>
      <c r="EV61" s="49" t="s">
        <v>310</v>
      </c>
      <c r="EX61" s="49" t="s">
        <v>303</v>
      </c>
      <c r="EY61" s="49" t="s">
        <v>303</v>
      </c>
      <c r="FC61" s="49" t="s">
        <v>330</v>
      </c>
      <c r="FD61" s="49" t="s">
        <v>310</v>
      </c>
      <c r="FE61" s="49" t="s">
        <v>310</v>
      </c>
      <c r="FF61" s="49" t="s">
        <v>58</v>
      </c>
      <c r="FG61" s="49" t="s">
        <v>375</v>
      </c>
      <c r="FH61" s="49" t="s">
        <v>310</v>
      </c>
      <c r="FI61" s="49" t="s">
        <v>332</v>
      </c>
      <c r="FJ61" s="49" t="s">
        <v>303</v>
      </c>
      <c r="FL61" s="49" t="s">
        <v>325</v>
      </c>
      <c r="FM61" s="49" t="s">
        <v>334</v>
      </c>
      <c r="FP61" s="49" t="s">
        <v>303</v>
      </c>
      <c r="FR61" s="49" t="s">
        <v>303</v>
      </c>
      <c r="FT61" s="49" t="s">
        <v>325</v>
      </c>
      <c r="FU61" s="49" t="s">
        <v>325</v>
      </c>
      <c r="FW61" s="49" t="s">
        <v>333</v>
      </c>
    </row>
    <row r="62" customFormat="false" ht="15" hidden="false" customHeight="false" outlineLevel="0" collapsed="false">
      <c r="A62" s="0" t="n">
        <v>100880253</v>
      </c>
      <c r="B62" s="0" t="s">
        <v>295</v>
      </c>
      <c r="C62" s="0" t="s">
        <v>58</v>
      </c>
      <c r="D62" s="0" t="s">
        <v>59</v>
      </c>
      <c r="E62" s="0" t="s">
        <v>297</v>
      </c>
      <c r="G62" s="0" t="n">
        <v>1</v>
      </c>
      <c r="H62" s="0" t="s">
        <v>298</v>
      </c>
      <c r="I62" s="48" t="n">
        <v>46297</v>
      </c>
      <c r="J62" s="0" t="n">
        <v>0</v>
      </c>
      <c r="K62" s="49" t="s">
        <v>334</v>
      </c>
      <c r="L62" s="49" t="s">
        <v>335</v>
      </c>
      <c r="M62" s="48"/>
      <c r="O62" s="49" t="s">
        <v>336</v>
      </c>
      <c r="P62" s="48"/>
      <c r="Q62" s="48" t="n">
        <v>46297</v>
      </c>
      <c r="R62" s="48" t="n">
        <v>46303</v>
      </c>
      <c r="T62" s="49" t="s">
        <v>302</v>
      </c>
      <c r="U62" s="49" t="s">
        <v>303</v>
      </c>
      <c r="Y62" s="49" t="s">
        <v>312</v>
      </c>
      <c r="AD62" s="49" t="s">
        <v>305</v>
      </c>
      <c r="AE62" s="48" t="n">
        <v>46286</v>
      </c>
      <c r="AF62" s="49" t="s">
        <v>306</v>
      </c>
      <c r="AG62" s="49" t="s">
        <v>307</v>
      </c>
      <c r="AK62" s="49" t="s">
        <v>303</v>
      </c>
      <c r="AL62" s="49" t="s">
        <v>297</v>
      </c>
      <c r="AO62" s="49" t="s">
        <v>303</v>
      </c>
      <c r="AP62" s="48"/>
      <c r="AR62" s="49" t="s">
        <v>303</v>
      </c>
      <c r="AS62" s="49" t="s">
        <v>306</v>
      </c>
      <c r="AT62" s="49" t="s">
        <v>535</v>
      </c>
      <c r="AV62" s="49" t="s">
        <v>309</v>
      </c>
      <c r="AW62" s="49" t="s">
        <v>310</v>
      </c>
      <c r="AX62" s="49" t="s">
        <v>311</v>
      </c>
      <c r="AY62" s="48"/>
      <c r="AZ62" s="48" t="n">
        <v>46289</v>
      </c>
      <c r="BC62" s="49" t="s">
        <v>303</v>
      </c>
      <c r="BD62" s="48"/>
      <c r="BE62" s="49" t="s">
        <v>312</v>
      </c>
      <c r="BF62" s="49" t="s">
        <v>303</v>
      </c>
      <c r="BG62" s="48"/>
      <c r="BI62" s="48"/>
      <c r="BJ62" s="48" t="n">
        <v>46302</v>
      </c>
      <c r="BK62" s="49" t="s">
        <v>313</v>
      </c>
      <c r="BL62" s="49" t="s">
        <v>313</v>
      </c>
      <c r="BM62" s="49" t="s">
        <v>310</v>
      </c>
      <c r="BN62" s="48"/>
      <c r="BO62" s="48"/>
      <c r="BP62" s="48"/>
      <c r="BR62" s="48" t="n">
        <v>46296</v>
      </c>
      <c r="BS62" s="49" t="s">
        <v>312</v>
      </c>
      <c r="BT62" s="49" t="s">
        <v>312</v>
      </c>
      <c r="BU62" s="49" t="s">
        <v>312</v>
      </c>
      <c r="BV62" s="49" t="s">
        <v>303</v>
      </c>
      <c r="BX62" s="0" t="n">
        <v>0</v>
      </c>
      <c r="CC62" s="49" t="s">
        <v>315</v>
      </c>
      <c r="CD62" s="49" t="s">
        <v>303</v>
      </c>
      <c r="CF62" s="49" t="s">
        <v>303</v>
      </c>
      <c r="CG62" s="49" t="s">
        <v>316</v>
      </c>
      <c r="CH62" s="49" t="s">
        <v>317</v>
      </c>
      <c r="CI62" s="49" t="s">
        <v>318</v>
      </c>
      <c r="CM62" s="49" t="s">
        <v>59</v>
      </c>
      <c r="CV62" s="49" t="s">
        <v>303</v>
      </c>
      <c r="DB62" s="49" t="s">
        <v>319</v>
      </c>
      <c r="DD62" s="48" t="n">
        <v>46286</v>
      </c>
      <c r="DF62" s="49" t="s">
        <v>310</v>
      </c>
      <c r="DG62" s="49" t="s">
        <v>320</v>
      </c>
      <c r="DH62" s="49" t="s">
        <v>58</v>
      </c>
      <c r="DI62" s="49" t="s">
        <v>298</v>
      </c>
      <c r="DJ62" s="49" t="s">
        <v>367</v>
      </c>
      <c r="DK62" s="49" t="s">
        <v>322</v>
      </c>
      <c r="DL62" s="49" t="s">
        <v>323</v>
      </c>
      <c r="DM62" s="49" t="s">
        <v>303</v>
      </c>
      <c r="DN62" s="49" t="s">
        <v>297</v>
      </c>
      <c r="DO62" s="48"/>
      <c r="DP62" s="49" t="s">
        <v>312</v>
      </c>
      <c r="DQ62" s="48"/>
      <c r="DR62" s="49" t="s">
        <v>312</v>
      </c>
      <c r="DS62" s="49" t="s">
        <v>303</v>
      </c>
      <c r="DT62" s="49" t="s">
        <v>303</v>
      </c>
      <c r="DW62" s="49" t="s">
        <v>303</v>
      </c>
      <c r="EA62" s="49" t="s">
        <v>324</v>
      </c>
      <c r="EB62" s="49" t="s">
        <v>303</v>
      </c>
      <c r="EF62" s="49" t="s">
        <v>536</v>
      </c>
      <c r="EH62" s="49" t="s">
        <v>310</v>
      </c>
      <c r="EJ62" s="49" t="s">
        <v>303</v>
      </c>
      <c r="EK62" s="49" t="s">
        <v>537</v>
      </c>
      <c r="EM62" s="49" t="s">
        <v>303</v>
      </c>
      <c r="EN62" s="49" t="s">
        <v>374</v>
      </c>
      <c r="EP62" s="49" t="s">
        <v>298</v>
      </c>
      <c r="EQ62" s="0" t="n">
        <v>1</v>
      </c>
      <c r="ER62" s="49" t="s">
        <v>328</v>
      </c>
      <c r="ES62" s="49" t="s">
        <v>342</v>
      </c>
      <c r="ET62" s="49" t="s">
        <v>310</v>
      </c>
      <c r="EU62" s="49" t="s">
        <v>310</v>
      </c>
      <c r="EV62" s="49" t="s">
        <v>310</v>
      </c>
      <c r="EX62" s="49" t="s">
        <v>303</v>
      </c>
      <c r="EY62" s="49" t="s">
        <v>303</v>
      </c>
      <c r="FC62" s="49" t="s">
        <v>330</v>
      </c>
      <c r="FD62" s="49" t="s">
        <v>310</v>
      </c>
      <c r="FE62" s="49" t="s">
        <v>310</v>
      </c>
      <c r="FF62" s="49" t="s">
        <v>58</v>
      </c>
      <c r="FG62" s="49" t="s">
        <v>375</v>
      </c>
      <c r="FH62" s="49" t="s">
        <v>310</v>
      </c>
      <c r="FI62" s="49" t="s">
        <v>332</v>
      </c>
      <c r="FJ62" s="49" t="s">
        <v>303</v>
      </c>
      <c r="FL62" s="49" t="s">
        <v>325</v>
      </c>
      <c r="FM62" s="49" t="s">
        <v>334</v>
      </c>
      <c r="FP62" s="49" t="s">
        <v>303</v>
      </c>
      <c r="FR62" s="49" t="s">
        <v>303</v>
      </c>
      <c r="FT62" s="49" t="s">
        <v>325</v>
      </c>
      <c r="FU62" s="49" t="s">
        <v>325</v>
      </c>
      <c r="FW62" s="49" t="s">
        <v>333</v>
      </c>
    </row>
    <row r="63" customFormat="false" ht="15" hidden="false" customHeight="false" outlineLevel="0" collapsed="false">
      <c r="A63" s="0" t="n">
        <v>100880254</v>
      </c>
      <c r="B63" s="0" t="s">
        <v>295</v>
      </c>
      <c r="C63" s="0" t="s">
        <v>61</v>
      </c>
      <c r="D63" s="0" t="s">
        <v>62</v>
      </c>
      <c r="E63" s="0" t="s">
        <v>297</v>
      </c>
      <c r="G63" s="0" t="n">
        <v>1</v>
      </c>
      <c r="H63" s="0" t="s">
        <v>298</v>
      </c>
      <c r="I63" s="48" t="n">
        <v>46297</v>
      </c>
      <c r="J63" s="0" t="n">
        <v>0</v>
      </c>
      <c r="K63" s="49" t="s">
        <v>334</v>
      </c>
      <c r="L63" s="49" t="s">
        <v>335</v>
      </c>
      <c r="M63" s="48" t="n">
        <v>46297</v>
      </c>
      <c r="N63" s="49" t="s">
        <v>335</v>
      </c>
      <c r="O63" s="49" t="s">
        <v>336</v>
      </c>
      <c r="P63" s="48"/>
      <c r="Q63" s="48" t="n">
        <v>46297</v>
      </c>
      <c r="R63" s="48" t="n">
        <v>46304</v>
      </c>
      <c r="T63" s="49" t="s">
        <v>302</v>
      </c>
      <c r="U63" s="49" t="s">
        <v>303</v>
      </c>
      <c r="Y63" s="49" t="s">
        <v>538</v>
      </c>
      <c r="AD63" s="49" t="s">
        <v>305</v>
      </c>
      <c r="AE63" s="48" t="n">
        <v>46286</v>
      </c>
      <c r="AF63" s="49" t="s">
        <v>306</v>
      </c>
      <c r="AG63" s="49" t="s">
        <v>307</v>
      </c>
      <c r="AK63" s="49" t="s">
        <v>303</v>
      </c>
      <c r="AL63" s="49" t="s">
        <v>297</v>
      </c>
      <c r="AO63" s="49" t="s">
        <v>303</v>
      </c>
      <c r="AP63" s="48"/>
      <c r="AR63" s="49" t="s">
        <v>303</v>
      </c>
      <c r="AS63" s="49" t="s">
        <v>306</v>
      </c>
      <c r="AT63" s="49" t="s">
        <v>539</v>
      </c>
      <c r="AV63" s="49" t="s">
        <v>309</v>
      </c>
      <c r="AW63" s="49" t="s">
        <v>310</v>
      </c>
      <c r="AX63" s="49" t="s">
        <v>311</v>
      </c>
      <c r="AY63" s="48"/>
      <c r="AZ63" s="48" t="n">
        <v>46295</v>
      </c>
      <c r="BC63" s="49" t="s">
        <v>303</v>
      </c>
      <c r="BD63" s="48"/>
      <c r="BE63" s="49" t="s">
        <v>312</v>
      </c>
      <c r="BF63" s="49" t="s">
        <v>303</v>
      </c>
      <c r="BG63" s="48"/>
      <c r="BI63" s="48"/>
      <c r="BJ63" s="48" t="n">
        <v>46302</v>
      </c>
      <c r="BK63" s="49" t="s">
        <v>312</v>
      </c>
      <c r="BL63" s="49" t="s">
        <v>313</v>
      </c>
      <c r="BM63" s="49" t="s">
        <v>310</v>
      </c>
      <c r="BN63" s="48"/>
      <c r="BO63" s="48"/>
      <c r="BP63" s="48"/>
      <c r="BR63" s="48" t="n">
        <v>46302</v>
      </c>
      <c r="BS63" s="49" t="s">
        <v>312</v>
      </c>
      <c r="BT63" s="49" t="s">
        <v>312</v>
      </c>
      <c r="BU63" s="49" t="s">
        <v>313</v>
      </c>
      <c r="BV63" s="49" t="s">
        <v>303</v>
      </c>
      <c r="BX63" s="0" t="n">
        <v>0</v>
      </c>
      <c r="CC63" s="49" t="s">
        <v>315</v>
      </c>
      <c r="CD63" s="49" t="s">
        <v>303</v>
      </c>
      <c r="CF63" s="49" t="s">
        <v>303</v>
      </c>
      <c r="CG63" s="49" t="s">
        <v>316</v>
      </c>
      <c r="CH63" s="49" t="s">
        <v>317</v>
      </c>
      <c r="CI63" s="49" t="s">
        <v>318</v>
      </c>
      <c r="CM63" s="49" t="s">
        <v>62</v>
      </c>
      <c r="CV63" s="49" t="s">
        <v>303</v>
      </c>
      <c r="DB63" s="49" t="s">
        <v>319</v>
      </c>
      <c r="DD63" s="48" t="n">
        <v>46286</v>
      </c>
      <c r="DF63" s="49" t="s">
        <v>310</v>
      </c>
      <c r="DG63" s="49" t="s">
        <v>320</v>
      </c>
      <c r="DH63" s="49" t="s">
        <v>61</v>
      </c>
      <c r="DI63" s="49" t="s">
        <v>298</v>
      </c>
      <c r="DJ63" s="49" t="s">
        <v>381</v>
      </c>
      <c r="DK63" s="49" t="s">
        <v>322</v>
      </c>
      <c r="DL63" s="49" t="s">
        <v>323</v>
      </c>
      <c r="DM63" s="49" t="s">
        <v>303</v>
      </c>
      <c r="DN63" s="49" t="s">
        <v>297</v>
      </c>
      <c r="DO63" s="48"/>
      <c r="DP63" s="49" t="s">
        <v>312</v>
      </c>
      <c r="DQ63" s="48"/>
      <c r="DR63" s="49" t="s">
        <v>312</v>
      </c>
      <c r="DS63" s="49" t="s">
        <v>303</v>
      </c>
      <c r="DT63" s="49" t="s">
        <v>303</v>
      </c>
      <c r="DW63" s="49" t="s">
        <v>303</v>
      </c>
      <c r="EA63" s="49" t="s">
        <v>324</v>
      </c>
      <c r="EB63" s="49" t="s">
        <v>303</v>
      </c>
      <c r="EH63" s="49" t="s">
        <v>310</v>
      </c>
      <c r="EJ63" s="49" t="s">
        <v>303</v>
      </c>
      <c r="EK63" s="49" t="s">
        <v>540</v>
      </c>
      <c r="EM63" s="49" t="s">
        <v>303</v>
      </c>
      <c r="EN63" s="49" t="s">
        <v>383</v>
      </c>
      <c r="EP63" s="49" t="s">
        <v>298</v>
      </c>
      <c r="EQ63" s="0" t="n">
        <v>1</v>
      </c>
      <c r="ER63" s="49" t="s">
        <v>328</v>
      </c>
      <c r="ES63" s="49" t="s">
        <v>384</v>
      </c>
      <c r="ET63" s="49" t="s">
        <v>310</v>
      </c>
      <c r="EU63" s="49" t="s">
        <v>310</v>
      </c>
      <c r="EV63" s="49" t="s">
        <v>310</v>
      </c>
      <c r="EX63" s="49" t="s">
        <v>303</v>
      </c>
      <c r="EY63" s="49" t="s">
        <v>303</v>
      </c>
      <c r="FC63" s="49" t="s">
        <v>330</v>
      </c>
      <c r="FD63" s="49" t="s">
        <v>310</v>
      </c>
      <c r="FE63" s="49" t="s">
        <v>310</v>
      </c>
      <c r="FF63" s="49" t="s">
        <v>61</v>
      </c>
      <c r="FG63" s="49" t="s">
        <v>385</v>
      </c>
      <c r="FH63" s="49" t="s">
        <v>310</v>
      </c>
      <c r="FI63" s="49" t="s">
        <v>332</v>
      </c>
      <c r="FJ63" s="49" t="s">
        <v>303</v>
      </c>
      <c r="FL63" s="49" t="s">
        <v>325</v>
      </c>
      <c r="FM63" s="49" t="s">
        <v>334</v>
      </c>
      <c r="FP63" s="49" t="s">
        <v>303</v>
      </c>
      <c r="FR63" s="49" t="s">
        <v>303</v>
      </c>
      <c r="FT63" s="49" t="s">
        <v>325</v>
      </c>
      <c r="FU63" s="49" t="s">
        <v>325</v>
      </c>
      <c r="FW63" s="49" t="s">
        <v>333</v>
      </c>
    </row>
    <row r="64" customFormat="false" ht="15" hidden="false" customHeight="false" outlineLevel="0" collapsed="false">
      <c r="A64" s="0" t="n">
        <v>100880255</v>
      </c>
      <c r="B64" s="0" t="s">
        <v>295</v>
      </c>
      <c r="C64" s="0" t="s">
        <v>61</v>
      </c>
      <c r="D64" s="0" t="s">
        <v>62</v>
      </c>
      <c r="E64" s="0" t="s">
        <v>297</v>
      </c>
      <c r="G64" s="0" t="n">
        <v>1</v>
      </c>
      <c r="H64" s="0" t="s">
        <v>298</v>
      </c>
      <c r="I64" s="48" t="n">
        <v>46297</v>
      </c>
      <c r="J64" s="0" t="n">
        <v>0</v>
      </c>
      <c r="K64" s="49" t="s">
        <v>334</v>
      </c>
      <c r="L64" s="49" t="s">
        <v>335</v>
      </c>
      <c r="M64" s="48"/>
      <c r="O64" s="49" t="s">
        <v>336</v>
      </c>
      <c r="P64" s="48"/>
      <c r="Q64" s="48" t="n">
        <v>46297</v>
      </c>
      <c r="R64" s="48" t="n">
        <v>46303</v>
      </c>
      <c r="T64" s="49" t="s">
        <v>302</v>
      </c>
      <c r="U64" s="49" t="s">
        <v>303</v>
      </c>
      <c r="Y64" s="49" t="s">
        <v>312</v>
      </c>
      <c r="AD64" s="49" t="s">
        <v>305</v>
      </c>
      <c r="AE64" s="48" t="n">
        <v>46286</v>
      </c>
      <c r="AF64" s="49" t="s">
        <v>306</v>
      </c>
      <c r="AG64" s="49" t="s">
        <v>307</v>
      </c>
      <c r="AK64" s="49" t="s">
        <v>303</v>
      </c>
      <c r="AL64" s="49" t="s">
        <v>297</v>
      </c>
      <c r="AO64" s="49" t="s">
        <v>303</v>
      </c>
      <c r="AP64" s="48"/>
      <c r="AR64" s="49" t="s">
        <v>303</v>
      </c>
      <c r="AS64" s="49" t="s">
        <v>306</v>
      </c>
      <c r="AT64" s="49" t="s">
        <v>541</v>
      </c>
      <c r="AV64" s="49" t="s">
        <v>309</v>
      </c>
      <c r="AW64" s="49" t="s">
        <v>310</v>
      </c>
      <c r="AX64" s="49" t="s">
        <v>311</v>
      </c>
      <c r="AY64" s="48"/>
      <c r="AZ64" s="48" t="n">
        <v>46295</v>
      </c>
      <c r="BC64" s="49" t="s">
        <v>303</v>
      </c>
      <c r="BD64" s="48"/>
      <c r="BE64" s="49" t="s">
        <v>312</v>
      </c>
      <c r="BF64" s="49" t="s">
        <v>303</v>
      </c>
      <c r="BG64" s="48"/>
      <c r="BI64" s="48"/>
      <c r="BJ64" s="48" t="n">
        <v>46302</v>
      </c>
      <c r="BK64" s="49" t="s">
        <v>313</v>
      </c>
      <c r="BL64" s="49" t="s">
        <v>313</v>
      </c>
      <c r="BM64" s="49" t="s">
        <v>310</v>
      </c>
      <c r="BN64" s="48"/>
      <c r="BO64" s="48"/>
      <c r="BP64" s="48"/>
      <c r="BR64" s="48" t="n">
        <v>46302</v>
      </c>
      <c r="BS64" s="49" t="s">
        <v>312</v>
      </c>
      <c r="BT64" s="49" t="s">
        <v>312</v>
      </c>
      <c r="BU64" s="49" t="s">
        <v>313</v>
      </c>
      <c r="BV64" s="49" t="s">
        <v>303</v>
      </c>
      <c r="BX64" s="0" t="n">
        <v>0</v>
      </c>
      <c r="CC64" s="49" t="s">
        <v>315</v>
      </c>
      <c r="CD64" s="49" t="s">
        <v>303</v>
      </c>
      <c r="CF64" s="49" t="s">
        <v>303</v>
      </c>
      <c r="CG64" s="49" t="s">
        <v>316</v>
      </c>
      <c r="CH64" s="49" t="s">
        <v>317</v>
      </c>
      <c r="CI64" s="49" t="s">
        <v>318</v>
      </c>
      <c r="CM64" s="49" t="s">
        <v>62</v>
      </c>
      <c r="CV64" s="49" t="s">
        <v>303</v>
      </c>
      <c r="DB64" s="49" t="s">
        <v>319</v>
      </c>
      <c r="DD64" s="48" t="n">
        <v>46286</v>
      </c>
      <c r="DF64" s="49" t="s">
        <v>310</v>
      </c>
      <c r="DG64" s="49" t="s">
        <v>320</v>
      </c>
      <c r="DH64" s="49" t="s">
        <v>61</v>
      </c>
      <c r="DI64" s="49" t="s">
        <v>298</v>
      </c>
      <c r="DJ64" s="49" t="s">
        <v>381</v>
      </c>
      <c r="DK64" s="49" t="s">
        <v>322</v>
      </c>
      <c r="DL64" s="49" t="s">
        <v>323</v>
      </c>
      <c r="DM64" s="49" t="s">
        <v>303</v>
      </c>
      <c r="DN64" s="49" t="s">
        <v>297</v>
      </c>
      <c r="DO64" s="48"/>
      <c r="DP64" s="49" t="s">
        <v>312</v>
      </c>
      <c r="DQ64" s="48"/>
      <c r="DR64" s="49" t="s">
        <v>312</v>
      </c>
      <c r="DS64" s="49" t="s">
        <v>303</v>
      </c>
      <c r="DT64" s="49" t="s">
        <v>303</v>
      </c>
      <c r="DW64" s="49" t="s">
        <v>303</v>
      </c>
      <c r="EA64" s="49" t="s">
        <v>324</v>
      </c>
      <c r="EB64" s="49" t="s">
        <v>303</v>
      </c>
      <c r="EF64" s="49" t="s">
        <v>542</v>
      </c>
      <c r="EH64" s="49" t="s">
        <v>310</v>
      </c>
      <c r="EJ64" s="49" t="s">
        <v>303</v>
      </c>
      <c r="EK64" s="49" t="s">
        <v>543</v>
      </c>
      <c r="EM64" s="49" t="s">
        <v>303</v>
      </c>
      <c r="EN64" s="49" t="s">
        <v>383</v>
      </c>
      <c r="EP64" s="49" t="s">
        <v>298</v>
      </c>
      <c r="EQ64" s="0" t="n">
        <v>1</v>
      </c>
      <c r="ER64" s="49" t="s">
        <v>328</v>
      </c>
      <c r="ES64" s="49" t="s">
        <v>384</v>
      </c>
      <c r="ET64" s="49" t="s">
        <v>310</v>
      </c>
      <c r="EU64" s="49" t="s">
        <v>310</v>
      </c>
      <c r="EV64" s="49" t="s">
        <v>310</v>
      </c>
      <c r="EX64" s="49" t="s">
        <v>303</v>
      </c>
      <c r="EY64" s="49" t="s">
        <v>303</v>
      </c>
      <c r="FC64" s="49" t="s">
        <v>330</v>
      </c>
      <c r="FD64" s="49" t="s">
        <v>310</v>
      </c>
      <c r="FE64" s="49" t="s">
        <v>310</v>
      </c>
      <c r="FF64" s="49" t="s">
        <v>61</v>
      </c>
      <c r="FG64" s="49" t="s">
        <v>385</v>
      </c>
      <c r="FH64" s="49" t="s">
        <v>310</v>
      </c>
      <c r="FI64" s="49" t="s">
        <v>332</v>
      </c>
      <c r="FJ64" s="49" t="s">
        <v>303</v>
      </c>
      <c r="FL64" s="49" t="s">
        <v>325</v>
      </c>
      <c r="FM64" s="49" t="s">
        <v>334</v>
      </c>
      <c r="FP64" s="49" t="s">
        <v>303</v>
      </c>
      <c r="FR64" s="49" t="s">
        <v>303</v>
      </c>
      <c r="FT64" s="49" t="s">
        <v>325</v>
      </c>
      <c r="FU64" s="49" t="s">
        <v>325</v>
      </c>
      <c r="FW64" s="49" t="s">
        <v>333</v>
      </c>
    </row>
    <row r="65" customFormat="false" ht="15" hidden="false" customHeight="false" outlineLevel="0" collapsed="false">
      <c r="A65" s="0" t="n">
        <v>100880256</v>
      </c>
      <c r="B65" s="0" t="s">
        <v>295</v>
      </c>
      <c r="C65" s="0" t="s">
        <v>61</v>
      </c>
      <c r="D65" s="0" t="s">
        <v>62</v>
      </c>
      <c r="E65" s="0" t="s">
        <v>297</v>
      </c>
      <c r="G65" s="0" t="n">
        <v>1</v>
      </c>
      <c r="H65" s="0" t="s">
        <v>298</v>
      </c>
      <c r="I65" s="48" t="n">
        <v>46297</v>
      </c>
      <c r="J65" s="0" t="n">
        <v>0</v>
      </c>
      <c r="K65" s="49" t="s">
        <v>334</v>
      </c>
      <c r="L65" s="49" t="s">
        <v>335</v>
      </c>
      <c r="M65" s="48"/>
      <c r="O65" s="49" t="s">
        <v>336</v>
      </c>
      <c r="P65" s="48"/>
      <c r="Q65" s="48" t="n">
        <v>46297</v>
      </c>
      <c r="R65" s="48" t="n">
        <v>46303</v>
      </c>
      <c r="T65" s="49" t="s">
        <v>302</v>
      </c>
      <c r="U65" s="49" t="s">
        <v>303</v>
      </c>
      <c r="Y65" s="49" t="s">
        <v>312</v>
      </c>
      <c r="AD65" s="49" t="s">
        <v>305</v>
      </c>
      <c r="AE65" s="48" t="n">
        <v>46286</v>
      </c>
      <c r="AF65" s="49" t="s">
        <v>306</v>
      </c>
      <c r="AG65" s="49" t="s">
        <v>307</v>
      </c>
      <c r="AK65" s="49" t="s">
        <v>303</v>
      </c>
      <c r="AL65" s="49" t="s">
        <v>297</v>
      </c>
      <c r="AO65" s="49" t="s">
        <v>303</v>
      </c>
      <c r="AP65" s="48"/>
      <c r="AR65" s="49" t="s">
        <v>303</v>
      </c>
      <c r="AS65" s="49" t="s">
        <v>306</v>
      </c>
      <c r="AT65" s="49" t="s">
        <v>544</v>
      </c>
      <c r="AV65" s="49" t="s">
        <v>309</v>
      </c>
      <c r="AW65" s="49" t="s">
        <v>310</v>
      </c>
      <c r="AX65" s="49" t="s">
        <v>311</v>
      </c>
      <c r="AY65" s="48"/>
      <c r="AZ65" s="48" t="n">
        <v>46295</v>
      </c>
      <c r="BC65" s="49" t="s">
        <v>303</v>
      </c>
      <c r="BD65" s="48"/>
      <c r="BE65" s="49" t="s">
        <v>312</v>
      </c>
      <c r="BF65" s="49" t="s">
        <v>303</v>
      </c>
      <c r="BG65" s="48"/>
      <c r="BI65" s="48"/>
      <c r="BJ65" s="48" t="n">
        <v>46302</v>
      </c>
      <c r="BK65" s="49" t="s">
        <v>313</v>
      </c>
      <c r="BL65" s="49" t="s">
        <v>313</v>
      </c>
      <c r="BM65" s="49" t="s">
        <v>310</v>
      </c>
      <c r="BN65" s="48"/>
      <c r="BO65" s="48"/>
      <c r="BP65" s="48"/>
      <c r="BR65" s="48" t="n">
        <v>46302</v>
      </c>
      <c r="BS65" s="49" t="s">
        <v>312</v>
      </c>
      <c r="BT65" s="49" t="s">
        <v>312</v>
      </c>
      <c r="BU65" s="49" t="s">
        <v>313</v>
      </c>
      <c r="BV65" s="49" t="s">
        <v>303</v>
      </c>
      <c r="BX65" s="0" t="n">
        <v>0</v>
      </c>
      <c r="CC65" s="49" t="s">
        <v>315</v>
      </c>
      <c r="CD65" s="49" t="s">
        <v>303</v>
      </c>
      <c r="CF65" s="49" t="s">
        <v>303</v>
      </c>
      <c r="CG65" s="49" t="s">
        <v>316</v>
      </c>
      <c r="CH65" s="49" t="s">
        <v>317</v>
      </c>
      <c r="CI65" s="49" t="s">
        <v>318</v>
      </c>
      <c r="CM65" s="49" t="s">
        <v>62</v>
      </c>
      <c r="CV65" s="49" t="s">
        <v>303</v>
      </c>
      <c r="DB65" s="49" t="s">
        <v>319</v>
      </c>
      <c r="DD65" s="48" t="n">
        <v>46286</v>
      </c>
      <c r="DF65" s="49" t="s">
        <v>310</v>
      </c>
      <c r="DG65" s="49" t="s">
        <v>320</v>
      </c>
      <c r="DH65" s="49" t="s">
        <v>61</v>
      </c>
      <c r="DI65" s="49" t="s">
        <v>298</v>
      </c>
      <c r="DJ65" s="49" t="s">
        <v>381</v>
      </c>
      <c r="DK65" s="49" t="s">
        <v>322</v>
      </c>
      <c r="DL65" s="49" t="s">
        <v>323</v>
      </c>
      <c r="DM65" s="49" t="s">
        <v>303</v>
      </c>
      <c r="DN65" s="49" t="s">
        <v>297</v>
      </c>
      <c r="DO65" s="48"/>
      <c r="DP65" s="49" t="s">
        <v>312</v>
      </c>
      <c r="DQ65" s="48"/>
      <c r="DR65" s="49" t="s">
        <v>312</v>
      </c>
      <c r="DS65" s="49" t="s">
        <v>303</v>
      </c>
      <c r="DT65" s="49" t="s">
        <v>303</v>
      </c>
      <c r="DW65" s="49" t="s">
        <v>303</v>
      </c>
      <c r="EA65" s="49" t="s">
        <v>324</v>
      </c>
      <c r="EB65" s="49" t="s">
        <v>303</v>
      </c>
      <c r="EF65" s="49" t="s">
        <v>542</v>
      </c>
      <c r="EH65" s="49" t="s">
        <v>310</v>
      </c>
      <c r="EJ65" s="49" t="s">
        <v>303</v>
      </c>
      <c r="EK65" s="49" t="s">
        <v>545</v>
      </c>
      <c r="EM65" s="49" t="s">
        <v>303</v>
      </c>
      <c r="EN65" s="49" t="s">
        <v>383</v>
      </c>
      <c r="EP65" s="49" t="s">
        <v>298</v>
      </c>
      <c r="EQ65" s="0" t="n">
        <v>1</v>
      </c>
      <c r="ER65" s="49" t="s">
        <v>328</v>
      </c>
      <c r="ES65" s="49" t="s">
        <v>384</v>
      </c>
      <c r="ET65" s="49" t="s">
        <v>310</v>
      </c>
      <c r="EU65" s="49" t="s">
        <v>310</v>
      </c>
      <c r="EV65" s="49" t="s">
        <v>310</v>
      </c>
      <c r="EX65" s="49" t="s">
        <v>303</v>
      </c>
      <c r="EY65" s="49" t="s">
        <v>303</v>
      </c>
      <c r="FC65" s="49" t="s">
        <v>330</v>
      </c>
      <c r="FD65" s="49" t="s">
        <v>310</v>
      </c>
      <c r="FE65" s="49" t="s">
        <v>310</v>
      </c>
      <c r="FF65" s="49" t="s">
        <v>61</v>
      </c>
      <c r="FG65" s="49" t="s">
        <v>385</v>
      </c>
      <c r="FH65" s="49" t="s">
        <v>310</v>
      </c>
      <c r="FI65" s="49" t="s">
        <v>332</v>
      </c>
      <c r="FJ65" s="49" t="s">
        <v>303</v>
      </c>
      <c r="FL65" s="49" t="s">
        <v>325</v>
      </c>
      <c r="FM65" s="49" t="s">
        <v>334</v>
      </c>
      <c r="FP65" s="49" t="s">
        <v>303</v>
      </c>
      <c r="FR65" s="49" t="s">
        <v>303</v>
      </c>
      <c r="FT65" s="49" t="s">
        <v>325</v>
      </c>
      <c r="FU65" s="49" t="s">
        <v>325</v>
      </c>
      <c r="FW65" s="49" t="s">
        <v>333</v>
      </c>
    </row>
    <row r="66" customFormat="false" ht="15" hidden="false" customHeight="false" outlineLevel="0" collapsed="false">
      <c r="A66" s="0" t="n">
        <v>100880257</v>
      </c>
      <c r="B66" s="0" t="s">
        <v>295</v>
      </c>
      <c r="C66" s="0" t="s">
        <v>64</v>
      </c>
      <c r="D66" s="0" t="s">
        <v>65</v>
      </c>
      <c r="E66" s="0" t="s">
        <v>297</v>
      </c>
      <c r="G66" s="0" t="n">
        <v>1</v>
      </c>
      <c r="H66" s="0" t="s">
        <v>298</v>
      </c>
      <c r="I66" s="48" t="n">
        <v>46297</v>
      </c>
      <c r="J66" s="0" t="n">
        <v>0</v>
      </c>
      <c r="K66" s="49" t="s">
        <v>334</v>
      </c>
      <c r="L66" s="49" t="s">
        <v>335</v>
      </c>
      <c r="M66" s="48" t="n">
        <v>46297</v>
      </c>
      <c r="N66" s="49" t="s">
        <v>335</v>
      </c>
      <c r="O66" s="49" t="s">
        <v>336</v>
      </c>
      <c r="P66" s="48"/>
      <c r="Q66" s="48" t="n">
        <v>46297</v>
      </c>
      <c r="R66" s="48" t="n">
        <v>46304</v>
      </c>
      <c r="T66" s="49" t="s">
        <v>302</v>
      </c>
      <c r="U66" s="49" t="s">
        <v>303</v>
      </c>
      <c r="Y66" s="49" t="s">
        <v>546</v>
      </c>
      <c r="AD66" s="49" t="s">
        <v>305</v>
      </c>
      <c r="AE66" s="48" t="n">
        <v>46294</v>
      </c>
      <c r="AF66" s="49" t="s">
        <v>306</v>
      </c>
      <c r="AG66" s="49" t="s">
        <v>307</v>
      </c>
      <c r="AK66" s="49" t="s">
        <v>303</v>
      </c>
      <c r="AL66" s="49" t="s">
        <v>297</v>
      </c>
      <c r="AO66" s="49" t="s">
        <v>303</v>
      </c>
      <c r="AP66" s="48"/>
      <c r="AR66" s="49" t="s">
        <v>303</v>
      </c>
      <c r="AS66" s="49" t="s">
        <v>306</v>
      </c>
      <c r="AT66" s="49" t="s">
        <v>547</v>
      </c>
      <c r="AV66" s="49" t="s">
        <v>309</v>
      </c>
      <c r="AW66" s="49" t="s">
        <v>310</v>
      </c>
      <c r="AX66" s="49" t="s">
        <v>311</v>
      </c>
      <c r="AY66" s="48"/>
      <c r="AZ66" s="48" t="n">
        <v>46295</v>
      </c>
      <c r="BC66" s="49" t="s">
        <v>303</v>
      </c>
      <c r="BD66" s="48"/>
      <c r="BE66" s="49" t="s">
        <v>312</v>
      </c>
      <c r="BF66" s="49" t="s">
        <v>303</v>
      </c>
      <c r="BG66" s="48"/>
      <c r="BI66" s="48"/>
      <c r="BJ66" s="48" t="n">
        <v>46302</v>
      </c>
      <c r="BK66" s="49" t="s">
        <v>312</v>
      </c>
      <c r="BL66" s="49" t="s">
        <v>313</v>
      </c>
      <c r="BM66" s="49" t="s">
        <v>310</v>
      </c>
      <c r="BN66" s="48"/>
      <c r="BO66" s="48"/>
      <c r="BP66" s="48"/>
      <c r="BR66" s="48" t="n">
        <v>46302</v>
      </c>
      <c r="BS66" s="49" t="s">
        <v>312</v>
      </c>
      <c r="BT66" s="49" t="s">
        <v>312</v>
      </c>
      <c r="BU66" s="49" t="s">
        <v>313</v>
      </c>
      <c r="BV66" s="49" t="s">
        <v>303</v>
      </c>
      <c r="BX66" s="0" t="n">
        <v>0</v>
      </c>
      <c r="CC66" s="49" t="s">
        <v>315</v>
      </c>
      <c r="CD66" s="49" t="s">
        <v>303</v>
      </c>
      <c r="CF66" s="49" t="s">
        <v>303</v>
      </c>
      <c r="CG66" s="49" t="s">
        <v>316</v>
      </c>
      <c r="CH66" s="49" t="s">
        <v>317</v>
      </c>
      <c r="CI66" s="49" t="s">
        <v>318</v>
      </c>
      <c r="CM66" s="49" t="s">
        <v>65</v>
      </c>
      <c r="CV66" s="49" t="s">
        <v>303</v>
      </c>
      <c r="DB66" s="49" t="s">
        <v>319</v>
      </c>
      <c r="DD66" s="48" t="n">
        <v>46294</v>
      </c>
      <c r="DF66" s="49" t="s">
        <v>310</v>
      </c>
      <c r="DG66" s="49" t="s">
        <v>320</v>
      </c>
      <c r="DH66" s="49" t="s">
        <v>64</v>
      </c>
      <c r="DI66" s="49" t="s">
        <v>298</v>
      </c>
      <c r="DJ66" s="49" t="s">
        <v>394</v>
      </c>
      <c r="DK66" s="49" t="s">
        <v>322</v>
      </c>
      <c r="DL66" s="49" t="s">
        <v>323</v>
      </c>
      <c r="DM66" s="49" t="s">
        <v>303</v>
      </c>
      <c r="DN66" s="49" t="s">
        <v>297</v>
      </c>
      <c r="DO66" s="48"/>
      <c r="DP66" s="49" t="s">
        <v>312</v>
      </c>
      <c r="DQ66" s="48"/>
      <c r="DR66" s="49" t="s">
        <v>312</v>
      </c>
      <c r="DS66" s="49" t="s">
        <v>303</v>
      </c>
      <c r="DT66" s="49" t="s">
        <v>303</v>
      </c>
      <c r="DW66" s="49" t="s">
        <v>303</v>
      </c>
      <c r="EA66" s="49" t="s">
        <v>324</v>
      </c>
      <c r="EB66" s="49" t="s">
        <v>303</v>
      </c>
      <c r="EH66" s="49" t="s">
        <v>310</v>
      </c>
      <c r="EJ66" s="49" t="s">
        <v>303</v>
      </c>
      <c r="EK66" s="49" t="s">
        <v>548</v>
      </c>
      <c r="EM66" s="49" t="s">
        <v>303</v>
      </c>
      <c r="EN66" s="49" t="s">
        <v>396</v>
      </c>
      <c r="EP66" s="49" t="s">
        <v>298</v>
      </c>
      <c r="EQ66" s="0" t="n">
        <v>1</v>
      </c>
      <c r="ER66" s="49" t="s">
        <v>328</v>
      </c>
      <c r="ES66" s="49" t="s">
        <v>329</v>
      </c>
      <c r="ET66" s="49" t="s">
        <v>310</v>
      </c>
      <c r="EU66" s="49" t="s">
        <v>310</v>
      </c>
      <c r="EV66" s="49" t="s">
        <v>310</v>
      </c>
      <c r="EX66" s="49" t="s">
        <v>303</v>
      </c>
      <c r="EY66" s="49" t="s">
        <v>303</v>
      </c>
      <c r="FC66" s="49" t="s">
        <v>330</v>
      </c>
      <c r="FD66" s="49" t="s">
        <v>310</v>
      </c>
      <c r="FE66" s="49" t="s">
        <v>310</v>
      </c>
      <c r="FF66" s="49" t="s">
        <v>64</v>
      </c>
      <c r="FG66" s="49" t="s">
        <v>397</v>
      </c>
      <c r="FH66" s="49" t="s">
        <v>310</v>
      </c>
      <c r="FI66" s="49" t="s">
        <v>332</v>
      </c>
      <c r="FJ66" s="49" t="s">
        <v>303</v>
      </c>
      <c r="FL66" s="49" t="s">
        <v>325</v>
      </c>
      <c r="FM66" s="49" t="s">
        <v>334</v>
      </c>
      <c r="FP66" s="49" t="s">
        <v>303</v>
      </c>
      <c r="FR66" s="49" t="s">
        <v>303</v>
      </c>
      <c r="FT66" s="49" t="s">
        <v>325</v>
      </c>
      <c r="FU66" s="49" t="s">
        <v>325</v>
      </c>
      <c r="FW66" s="49" t="s">
        <v>333</v>
      </c>
    </row>
    <row r="67" customFormat="false" ht="15" hidden="false" customHeight="false" outlineLevel="0" collapsed="false">
      <c r="A67" s="0" t="n">
        <v>100880258</v>
      </c>
      <c r="B67" s="0" t="s">
        <v>295</v>
      </c>
      <c r="C67" s="0" t="s">
        <v>64</v>
      </c>
      <c r="D67" s="0" t="s">
        <v>65</v>
      </c>
      <c r="E67" s="0" t="s">
        <v>297</v>
      </c>
      <c r="G67" s="0" t="n">
        <v>1</v>
      </c>
      <c r="H67" s="0" t="s">
        <v>298</v>
      </c>
      <c r="I67" s="48" t="n">
        <v>46297</v>
      </c>
      <c r="J67" s="0" t="n">
        <v>0</v>
      </c>
      <c r="K67" s="49" t="s">
        <v>334</v>
      </c>
      <c r="L67" s="49" t="s">
        <v>335</v>
      </c>
      <c r="M67" s="48"/>
      <c r="O67" s="49" t="s">
        <v>336</v>
      </c>
      <c r="P67" s="48"/>
      <c r="Q67" s="48" t="n">
        <v>46297</v>
      </c>
      <c r="R67" s="48" t="n">
        <v>46303</v>
      </c>
      <c r="T67" s="49" t="s">
        <v>302</v>
      </c>
      <c r="U67" s="49" t="s">
        <v>303</v>
      </c>
      <c r="Y67" s="49" t="s">
        <v>312</v>
      </c>
      <c r="AD67" s="49" t="s">
        <v>305</v>
      </c>
      <c r="AE67" s="48" t="n">
        <v>46294</v>
      </c>
      <c r="AF67" s="49" t="s">
        <v>306</v>
      </c>
      <c r="AG67" s="49" t="s">
        <v>307</v>
      </c>
      <c r="AK67" s="49" t="s">
        <v>303</v>
      </c>
      <c r="AL67" s="49" t="s">
        <v>297</v>
      </c>
      <c r="AO67" s="49" t="s">
        <v>303</v>
      </c>
      <c r="AP67" s="48"/>
      <c r="AR67" s="49" t="s">
        <v>303</v>
      </c>
      <c r="AS67" s="49" t="s">
        <v>306</v>
      </c>
      <c r="AT67" s="49" t="s">
        <v>549</v>
      </c>
      <c r="AV67" s="49" t="s">
        <v>309</v>
      </c>
      <c r="AW67" s="49" t="s">
        <v>310</v>
      </c>
      <c r="AX67" s="49" t="s">
        <v>311</v>
      </c>
      <c r="AY67" s="48"/>
      <c r="AZ67" s="48" t="n">
        <v>46295</v>
      </c>
      <c r="BC67" s="49" t="s">
        <v>303</v>
      </c>
      <c r="BD67" s="48"/>
      <c r="BE67" s="49" t="s">
        <v>312</v>
      </c>
      <c r="BF67" s="49" t="s">
        <v>303</v>
      </c>
      <c r="BG67" s="48"/>
      <c r="BI67" s="48"/>
      <c r="BJ67" s="48" t="n">
        <v>46302</v>
      </c>
      <c r="BK67" s="49" t="s">
        <v>313</v>
      </c>
      <c r="BL67" s="49" t="s">
        <v>313</v>
      </c>
      <c r="BM67" s="49" t="s">
        <v>310</v>
      </c>
      <c r="BN67" s="48"/>
      <c r="BO67" s="48"/>
      <c r="BP67" s="48"/>
      <c r="BR67" s="48" t="n">
        <v>46302</v>
      </c>
      <c r="BS67" s="49" t="s">
        <v>312</v>
      </c>
      <c r="BT67" s="49" t="s">
        <v>312</v>
      </c>
      <c r="BU67" s="49" t="s">
        <v>313</v>
      </c>
      <c r="BV67" s="49" t="s">
        <v>303</v>
      </c>
      <c r="BX67" s="0" t="n">
        <v>0</v>
      </c>
      <c r="CC67" s="49" t="s">
        <v>315</v>
      </c>
      <c r="CD67" s="49" t="s">
        <v>303</v>
      </c>
      <c r="CF67" s="49" t="s">
        <v>303</v>
      </c>
      <c r="CG67" s="49" t="s">
        <v>316</v>
      </c>
      <c r="CH67" s="49" t="s">
        <v>317</v>
      </c>
      <c r="CI67" s="49" t="s">
        <v>318</v>
      </c>
      <c r="CM67" s="49" t="s">
        <v>65</v>
      </c>
      <c r="CV67" s="49" t="s">
        <v>303</v>
      </c>
      <c r="DB67" s="49" t="s">
        <v>319</v>
      </c>
      <c r="DD67" s="48" t="n">
        <v>46294</v>
      </c>
      <c r="DF67" s="49" t="s">
        <v>310</v>
      </c>
      <c r="DG67" s="49" t="s">
        <v>320</v>
      </c>
      <c r="DH67" s="49" t="s">
        <v>64</v>
      </c>
      <c r="DI67" s="49" t="s">
        <v>298</v>
      </c>
      <c r="DJ67" s="49" t="s">
        <v>394</v>
      </c>
      <c r="DK67" s="49" t="s">
        <v>322</v>
      </c>
      <c r="DL67" s="49" t="s">
        <v>323</v>
      </c>
      <c r="DM67" s="49" t="s">
        <v>303</v>
      </c>
      <c r="DN67" s="49" t="s">
        <v>297</v>
      </c>
      <c r="DO67" s="48"/>
      <c r="DP67" s="49" t="s">
        <v>312</v>
      </c>
      <c r="DQ67" s="48"/>
      <c r="DR67" s="49" t="s">
        <v>312</v>
      </c>
      <c r="DS67" s="49" t="s">
        <v>303</v>
      </c>
      <c r="DT67" s="49" t="s">
        <v>303</v>
      </c>
      <c r="DW67" s="49" t="s">
        <v>303</v>
      </c>
      <c r="EA67" s="49" t="s">
        <v>324</v>
      </c>
      <c r="EB67" s="49" t="s">
        <v>303</v>
      </c>
      <c r="EF67" s="49" t="s">
        <v>550</v>
      </c>
      <c r="EH67" s="49" t="s">
        <v>310</v>
      </c>
      <c r="EJ67" s="49" t="s">
        <v>303</v>
      </c>
      <c r="EK67" s="49" t="s">
        <v>551</v>
      </c>
      <c r="EM67" s="49" t="s">
        <v>303</v>
      </c>
      <c r="EN67" s="49" t="s">
        <v>396</v>
      </c>
      <c r="EP67" s="49" t="s">
        <v>298</v>
      </c>
      <c r="EQ67" s="0" t="n">
        <v>1</v>
      </c>
      <c r="ER67" s="49" t="s">
        <v>328</v>
      </c>
      <c r="ES67" s="49" t="s">
        <v>329</v>
      </c>
      <c r="ET67" s="49" t="s">
        <v>310</v>
      </c>
      <c r="EU67" s="49" t="s">
        <v>310</v>
      </c>
      <c r="EV67" s="49" t="s">
        <v>310</v>
      </c>
      <c r="EX67" s="49" t="s">
        <v>303</v>
      </c>
      <c r="EY67" s="49" t="s">
        <v>303</v>
      </c>
      <c r="FC67" s="49" t="s">
        <v>330</v>
      </c>
      <c r="FD67" s="49" t="s">
        <v>310</v>
      </c>
      <c r="FE67" s="49" t="s">
        <v>310</v>
      </c>
      <c r="FF67" s="49" t="s">
        <v>64</v>
      </c>
      <c r="FG67" s="49" t="s">
        <v>397</v>
      </c>
      <c r="FH67" s="49" t="s">
        <v>310</v>
      </c>
      <c r="FI67" s="49" t="s">
        <v>332</v>
      </c>
      <c r="FJ67" s="49" t="s">
        <v>303</v>
      </c>
      <c r="FL67" s="49" t="s">
        <v>325</v>
      </c>
      <c r="FM67" s="49" t="s">
        <v>334</v>
      </c>
      <c r="FP67" s="49" t="s">
        <v>303</v>
      </c>
      <c r="FR67" s="49" t="s">
        <v>303</v>
      </c>
      <c r="FT67" s="49" t="s">
        <v>325</v>
      </c>
      <c r="FU67" s="49" t="s">
        <v>325</v>
      </c>
      <c r="FW67" s="49" t="s">
        <v>333</v>
      </c>
    </row>
    <row r="68" customFormat="false" ht="15" hidden="false" customHeight="false" outlineLevel="0" collapsed="false">
      <c r="A68" s="0" t="n">
        <v>100880259</v>
      </c>
      <c r="B68" s="0" t="s">
        <v>295</v>
      </c>
      <c r="C68" s="0" t="s">
        <v>64</v>
      </c>
      <c r="D68" s="0" t="s">
        <v>65</v>
      </c>
      <c r="E68" s="0" t="s">
        <v>297</v>
      </c>
      <c r="G68" s="0" t="n">
        <v>1</v>
      </c>
      <c r="H68" s="0" t="s">
        <v>298</v>
      </c>
      <c r="I68" s="48" t="n">
        <v>46297</v>
      </c>
      <c r="J68" s="0" t="n">
        <v>0</v>
      </c>
      <c r="K68" s="49" t="s">
        <v>334</v>
      </c>
      <c r="L68" s="49" t="s">
        <v>335</v>
      </c>
      <c r="M68" s="48"/>
      <c r="O68" s="49" t="s">
        <v>336</v>
      </c>
      <c r="P68" s="48"/>
      <c r="Q68" s="48" t="n">
        <v>46297</v>
      </c>
      <c r="R68" s="48" t="n">
        <v>46303</v>
      </c>
      <c r="T68" s="49" t="s">
        <v>302</v>
      </c>
      <c r="U68" s="49" t="s">
        <v>303</v>
      </c>
      <c r="Y68" s="49" t="s">
        <v>312</v>
      </c>
      <c r="AD68" s="49" t="s">
        <v>305</v>
      </c>
      <c r="AE68" s="48" t="n">
        <v>46294</v>
      </c>
      <c r="AF68" s="49" t="s">
        <v>306</v>
      </c>
      <c r="AG68" s="49" t="s">
        <v>307</v>
      </c>
      <c r="AK68" s="49" t="s">
        <v>303</v>
      </c>
      <c r="AL68" s="49" t="s">
        <v>297</v>
      </c>
      <c r="AO68" s="49" t="s">
        <v>303</v>
      </c>
      <c r="AP68" s="48"/>
      <c r="AR68" s="49" t="s">
        <v>303</v>
      </c>
      <c r="AS68" s="49" t="s">
        <v>306</v>
      </c>
      <c r="AT68" s="49" t="s">
        <v>552</v>
      </c>
      <c r="AV68" s="49" t="s">
        <v>309</v>
      </c>
      <c r="AW68" s="49" t="s">
        <v>310</v>
      </c>
      <c r="AX68" s="49" t="s">
        <v>311</v>
      </c>
      <c r="AY68" s="48"/>
      <c r="AZ68" s="48" t="n">
        <v>46295</v>
      </c>
      <c r="BC68" s="49" t="s">
        <v>303</v>
      </c>
      <c r="BD68" s="48"/>
      <c r="BE68" s="49" t="s">
        <v>312</v>
      </c>
      <c r="BF68" s="49" t="s">
        <v>303</v>
      </c>
      <c r="BG68" s="48"/>
      <c r="BI68" s="48"/>
      <c r="BJ68" s="48" t="n">
        <v>46302</v>
      </c>
      <c r="BK68" s="49" t="s">
        <v>313</v>
      </c>
      <c r="BL68" s="49" t="s">
        <v>313</v>
      </c>
      <c r="BM68" s="49" t="s">
        <v>310</v>
      </c>
      <c r="BN68" s="48"/>
      <c r="BO68" s="48"/>
      <c r="BP68" s="48"/>
      <c r="BR68" s="48" t="n">
        <v>46302</v>
      </c>
      <c r="BS68" s="49" t="s">
        <v>312</v>
      </c>
      <c r="BT68" s="49" t="s">
        <v>312</v>
      </c>
      <c r="BU68" s="49" t="s">
        <v>313</v>
      </c>
      <c r="BV68" s="49" t="s">
        <v>303</v>
      </c>
      <c r="BX68" s="0" t="n">
        <v>0</v>
      </c>
      <c r="CC68" s="49" t="s">
        <v>315</v>
      </c>
      <c r="CD68" s="49" t="s">
        <v>303</v>
      </c>
      <c r="CF68" s="49" t="s">
        <v>303</v>
      </c>
      <c r="CG68" s="49" t="s">
        <v>316</v>
      </c>
      <c r="CH68" s="49" t="s">
        <v>317</v>
      </c>
      <c r="CI68" s="49" t="s">
        <v>318</v>
      </c>
      <c r="CM68" s="49" t="s">
        <v>65</v>
      </c>
      <c r="CV68" s="49" t="s">
        <v>303</v>
      </c>
      <c r="DB68" s="49" t="s">
        <v>319</v>
      </c>
      <c r="DD68" s="48" t="n">
        <v>46294</v>
      </c>
      <c r="DF68" s="49" t="s">
        <v>310</v>
      </c>
      <c r="DG68" s="49" t="s">
        <v>320</v>
      </c>
      <c r="DH68" s="49" t="s">
        <v>64</v>
      </c>
      <c r="DI68" s="49" t="s">
        <v>298</v>
      </c>
      <c r="DJ68" s="49" t="s">
        <v>394</v>
      </c>
      <c r="DK68" s="49" t="s">
        <v>322</v>
      </c>
      <c r="DL68" s="49" t="s">
        <v>323</v>
      </c>
      <c r="DM68" s="49" t="s">
        <v>303</v>
      </c>
      <c r="DN68" s="49" t="s">
        <v>297</v>
      </c>
      <c r="DO68" s="48"/>
      <c r="DP68" s="49" t="s">
        <v>312</v>
      </c>
      <c r="DQ68" s="48"/>
      <c r="DR68" s="49" t="s">
        <v>312</v>
      </c>
      <c r="DS68" s="49" t="s">
        <v>303</v>
      </c>
      <c r="DT68" s="49" t="s">
        <v>303</v>
      </c>
      <c r="DW68" s="49" t="s">
        <v>303</v>
      </c>
      <c r="EA68" s="49" t="s">
        <v>324</v>
      </c>
      <c r="EB68" s="49" t="s">
        <v>303</v>
      </c>
      <c r="EF68" s="49" t="s">
        <v>550</v>
      </c>
      <c r="EH68" s="49" t="s">
        <v>310</v>
      </c>
      <c r="EJ68" s="49" t="s">
        <v>303</v>
      </c>
      <c r="EK68" s="49" t="s">
        <v>553</v>
      </c>
      <c r="EM68" s="49" t="s">
        <v>303</v>
      </c>
      <c r="EN68" s="49" t="s">
        <v>396</v>
      </c>
      <c r="EP68" s="49" t="s">
        <v>298</v>
      </c>
      <c r="EQ68" s="0" t="n">
        <v>1</v>
      </c>
      <c r="ER68" s="49" t="s">
        <v>328</v>
      </c>
      <c r="ES68" s="49" t="s">
        <v>329</v>
      </c>
      <c r="ET68" s="49" t="s">
        <v>310</v>
      </c>
      <c r="EU68" s="49" t="s">
        <v>310</v>
      </c>
      <c r="EV68" s="49" t="s">
        <v>310</v>
      </c>
      <c r="EX68" s="49" t="s">
        <v>303</v>
      </c>
      <c r="EY68" s="49" t="s">
        <v>303</v>
      </c>
      <c r="FC68" s="49" t="s">
        <v>330</v>
      </c>
      <c r="FD68" s="49" t="s">
        <v>310</v>
      </c>
      <c r="FE68" s="49" t="s">
        <v>310</v>
      </c>
      <c r="FF68" s="49" t="s">
        <v>64</v>
      </c>
      <c r="FG68" s="49" t="s">
        <v>397</v>
      </c>
      <c r="FH68" s="49" t="s">
        <v>310</v>
      </c>
      <c r="FI68" s="49" t="s">
        <v>332</v>
      </c>
      <c r="FJ68" s="49" t="s">
        <v>303</v>
      </c>
      <c r="FL68" s="49" t="s">
        <v>325</v>
      </c>
      <c r="FM68" s="49" t="s">
        <v>334</v>
      </c>
      <c r="FP68" s="49" t="s">
        <v>303</v>
      </c>
      <c r="FR68" s="49" t="s">
        <v>303</v>
      </c>
      <c r="FT68" s="49" t="s">
        <v>325</v>
      </c>
      <c r="FU68" s="49" t="s">
        <v>325</v>
      </c>
      <c r="FW68" s="49" t="s">
        <v>333</v>
      </c>
    </row>
    <row r="69" customFormat="false" ht="15" hidden="false" customHeight="false" outlineLevel="0" collapsed="false">
      <c r="A69" s="0" t="n">
        <v>100880260</v>
      </c>
      <c r="B69" s="0" t="s">
        <v>295</v>
      </c>
      <c r="C69" s="0" t="s">
        <v>64</v>
      </c>
      <c r="D69" s="0" t="s">
        <v>65</v>
      </c>
      <c r="E69" s="0" t="s">
        <v>297</v>
      </c>
      <c r="G69" s="0" t="n">
        <v>1</v>
      </c>
      <c r="H69" s="0" t="s">
        <v>298</v>
      </c>
      <c r="I69" s="48" t="n">
        <v>46297</v>
      </c>
      <c r="J69" s="0" t="n">
        <v>0</v>
      </c>
      <c r="K69" s="49" t="s">
        <v>334</v>
      </c>
      <c r="L69" s="49" t="s">
        <v>335</v>
      </c>
      <c r="M69" s="48"/>
      <c r="O69" s="49" t="s">
        <v>336</v>
      </c>
      <c r="P69" s="48"/>
      <c r="Q69" s="48" t="n">
        <v>46297</v>
      </c>
      <c r="R69" s="48" t="n">
        <v>46303</v>
      </c>
      <c r="T69" s="49" t="s">
        <v>302</v>
      </c>
      <c r="U69" s="49" t="s">
        <v>303</v>
      </c>
      <c r="Y69" s="49" t="s">
        <v>312</v>
      </c>
      <c r="AD69" s="49" t="s">
        <v>305</v>
      </c>
      <c r="AE69" s="48" t="n">
        <v>46294</v>
      </c>
      <c r="AF69" s="49" t="s">
        <v>306</v>
      </c>
      <c r="AG69" s="49" t="s">
        <v>307</v>
      </c>
      <c r="AK69" s="49" t="s">
        <v>303</v>
      </c>
      <c r="AL69" s="49" t="s">
        <v>297</v>
      </c>
      <c r="AO69" s="49" t="s">
        <v>303</v>
      </c>
      <c r="AP69" s="48"/>
      <c r="AR69" s="49" t="s">
        <v>303</v>
      </c>
      <c r="AS69" s="49" t="s">
        <v>306</v>
      </c>
      <c r="AT69" s="49" t="s">
        <v>554</v>
      </c>
      <c r="AV69" s="49" t="s">
        <v>309</v>
      </c>
      <c r="AW69" s="49" t="s">
        <v>310</v>
      </c>
      <c r="AX69" s="49" t="s">
        <v>311</v>
      </c>
      <c r="AY69" s="48"/>
      <c r="AZ69" s="48" t="n">
        <v>46295</v>
      </c>
      <c r="BC69" s="49" t="s">
        <v>303</v>
      </c>
      <c r="BD69" s="48"/>
      <c r="BE69" s="49" t="s">
        <v>312</v>
      </c>
      <c r="BF69" s="49" t="s">
        <v>303</v>
      </c>
      <c r="BG69" s="48"/>
      <c r="BI69" s="48"/>
      <c r="BJ69" s="48" t="n">
        <v>46302</v>
      </c>
      <c r="BK69" s="49" t="s">
        <v>313</v>
      </c>
      <c r="BL69" s="49" t="s">
        <v>313</v>
      </c>
      <c r="BM69" s="49" t="s">
        <v>310</v>
      </c>
      <c r="BN69" s="48"/>
      <c r="BO69" s="48"/>
      <c r="BP69" s="48"/>
      <c r="BR69" s="48" t="n">
        <v>46302</v>
      </c>
      <c r="BS69" s="49" t="s">
        <v>312</v>
      </c>
      <c r="BT69" s="49" t="s">
        <v>312</v>
      </c>
      <c r="BU69" s="49" t="s">
        <v>313</v>
      </c>
      <c r="BV69" s="49" t="s">
        <v>303</v>
      </c>
      <c r="BX69" s="0" t="n">
        <v>0</v>
      </c>
      <c r="CC69" s="49" t="s">
        <v>315</v>
      </c>
      <c r="CD69" s="49" t="s">
        <v>303</v>
      </c>
      <c r="CF69" s="49" t="s">
        <v>303</v>
      </c>
      <c r="CG69" s="49" t="s">
        <v>316</v>
      </c>
      <c r="CH69" s="49" t="s">
        <v>317</v>
      </c>
      <c r="CI69" s="49" t="s">
        <v>318</v>
      </c>
      <c r="CM69" s="49" t="s">
        <v>65</v>
      </c>
      <c r="CV69" s="49" t="s">
        <v>303</v>
      </c>
      <c r="DB69" s="49" t="s">
        <v>319</v>
      </c>
      <c r="DD69" s="48" t="n">
        <v>46294</v>
      </c>
      <c r="DF69" s="49" t="s">
        <v>310</v>
      </c>
      <c r="DG69" s="49" t="s">
        <v>320</v>
      </c>
      <c r="DH69" s="49" t="s">
        <v>64</v>
      </c>
      <c r="DI69" s="49" t="s">
        <v>298</v>
      </c>
      <c r="DJ69" s="49" t="s">
        <v>394</v>
      </c>
      <c r="DK69" s="49" t="s">
        <v>322</v>
      </c>
      <c r="DL69" s="49" t="s">
        <v>323</v>
      </c>
      <c r="DM69" s="49" t="s">
        <v>303</v>
      </c>
      <c r="DN69" s="49" t="s">
        <v>297</v>
      </c>
      <c r="DO69" s="48"/>
      <c r="DP69" s="49" t="s">
        <v>312</v>
      </c>
      <c r="DQ69" s="48"/>
      <c r="DR69" s="49" t="s">
        <v>312</v>
      </c>
      <c r="DS69" s="49" t="s">
        <v>303</v>
      </c>
      <c r="DT69" s="49" t="s">
        <v>303</v>
      </c>
      <c r="DW69" s="49" t="s">
        <v>303</v>
      </c>
      <c r="EA69" s="49" t="s">
        <v>324</v>
      </c>
      <c r="EB69" s="49" t="s">
        <v>303</v>
      </c>
      <c r="EF69" s="49" t="s">
        <v>550</v>
      </c>
      <c r="EH69" s="49" t="s">
        <v>310</v>
      </c>
      <c r="EJ69" s="49" t="s">
        <v>303</v>
      </c>
      <c r="EK69" s="49" t="s">
        <v>555</v>
      </c>
      <c r="EM69" s="49" t="s">
        <v>303</v>
      </c>
      <c r="EN69" s="49" t="s">
        <v>396</v>
      </c>
      <c r="EP69" s="49" t="s">
        <v>298</v>
      </c>
      <c r="EQ69" s="0" t="n">
        <v>1</v>
      </c>
      <c r="ER69" s="49" t="s">
        <v>328</v>
      </c>
      <c r="ES69" s="49" t="s">
        <v>329</v>
      </c>
      <c r="ET69" s="49" t="s">
        <v>310</v>
      </c>
      <c r="EU69" s="49" t="s">
        <v>310</v>
      </c>
      <c r="EV69" s="49" t="s">
        <v>310</v>
      </c>
      <c r="EX69" s="49" t="s">
        <v>303</v>
      </c>
      <c r="EY69" s="49" t="s">
        <v>303</v>
      </c>
      <c r="FC69" s="49" t="s">
        <v>330</v>
      </c>
      <c r="FD69" s="49" t="s">
        <v>310</v>
      </c>
      <c r="FE69" s="49" t="s">
        <v>310</v>
      </c>
      <c r="FF69" s="49" t="s">
        <v>64</v>
      </c>
      <c r="FG69" s="49" t="s">
        <v>397</v>
      </c>
      <c r="FH69" s="49" t="s">
        <v>310</v>
      </c>
      <c r="FI69" s="49" t="s">
        <v>332</v>
      </c>
      <c r="FJ69" s="49" t="s">
        <v>303</v>
      </c>
      <c r="FL69" s="49" t="s">
        <v>325</v>
      </c>
      <c r="FM69" s="49" t="s">
        <v>334</v>
      </c>
      <c r="FP69" s="49" t="s">
        <v>303</v>
      </c>
      <c r="FR69" s="49" t="s">
        <v>303</v>
      </c>
      <c r="FT69" s="49" t="s">
        <v>325</v>
      </c>
      <c r="FU69" s="49" t="s">
        <v>325</v>
      </c>
      <c r="FW69" s="49" t="s">
        <v>333</v>
      </c>
    </row>
    <row r="70" customFormat="false" ht="15" hidden="false" customHeight="false" outlineLevel="0" collapsed="false">
      <c r="A70" s="0" t="n">
        <v>100880261</v>
      </c>
      <c r="B70" s="0" t="s">
        <v>295</v>
      </c>
      <c r="C70" s="0" t="s">
        <v>64</v>
      </c>
      <c r="D70" s="0" t="s">
        <v>65</v>
      </c>
      <c r="E70" s="0" t="s">
        <v>297</v>
      </c>
      <c r="G70" s="0" t="n">
        <v>1</v>
      </c>
      <c r="H70" s="0" t="s">
        <v>298</v>
      </c>
      <c r="I70" s="48" t="n">
        <v>46297</v>
      </c>
      <c r="J70" s="0" t="n">
        <v>0</v>
      </c>
      <c r="K70" s="49" t="s">
        <v>334</v>
      </c>
      <c r="L70" s="49" t="s">
        <v>335</v>
      </c>
      <c r="M70" s="48"/>
      <c r="O70" s="49" t="s">
        <v>336</v>
      </c>
      <c r="P70" s="48"/>
      <c r="Q70" s="48" t="n">
        <v>46297</v>
      </c>
      <c r="R70" s="48" t="n">
        <v>46303</v>
      </c>
      <c r="T70" s="49" t="s">
        <v>302</v>
      </c>
      <c r="U70" s="49" t="s">
        <v>303</v>
      </c>
      <c r="Y70" s="49" t="s">
        <v>312</v>
      </c>
      <c r="AD70" s="49" t="s">
        <v>305</v>
      </c>
      <c r="AE70" s="48" t="n">
        <v>46294</v>
      </c>
      <c r="AF70" s="49" t="s">
        <v>306</v>
      </c>
      <c r="AG70" s="49" t="s">
        <v>307</v>
      </c>
      <c r="AK70" s="49" t="s">
        <v>303</v>
      </c>
      <c r="AL70" s="49" t="s">
        <v>297</v>
      </c>
      <c r="AO70" s="49" t="s">
        <v>303</v>
      </c>
      <c r="AP70" s="48"/>
      <c r="AR70" s="49" t="s">
        <v>303</v>
      </c>
      <c r="AS70" s="49" t="s">
        <v>306</v>
      </c>
      <c r="AT70" s="49" t="s">
        <v>556</v>
      </c>
      <c r="AV70" s="49" t="s">
        <v>309</v>
      </c>
      <c r="AW70" s="49" t="s">
        <v>310</v>
      </c>
      <c r="AX70" s="49" t="s">
        <v>311</v>
      </c>
      <c r="AY70" s="48"/>
      <c r="AZ70" s="48" t="n">
        <v>46295</v>
      </c>
      <c r="BC70" s="49" t="s">
        <v>303</v>
      </c>
      <c r="BD70" s="48"/>
      <c r="BE70" s="49" t="s">
        <v>312</v>
      </c>
      <c r="BF70" s="49" t="s">
        <v>303</v>
      </c>
      <c r="BG70" s="48"/>
      <c r="BI70" s="48"/>
      <c r="BJ70" s="48" t="n">
        <v>46302</v>
      </c>
      <c r="BK70" s="49" t="s">
        <v>313</v>
      </c>
      <c r="BL70" s="49" t="s">
        <v>313</v>
      </c>
      <c r="BM70" s="49" t="s">
        <v>310</v>
      </c>
      <c r="BN70" s="48"/>
      <c r="BO70" s="48"/>
      <c r="BP70" s="48"/>
      <c r="BR70" s="48" t="n">
        <v>46302</v>
      </c>
      <c r="BS70" s="49" t="s">
        <v>312</v>
      </c>
      <c r="BT70" s="49" t="s">
        <v>312</v>
      </c>
      <c r="BU70" s="49" t="s">
        <v>313</v>
      </c>
      <c r="BV70" s="49" t="s">
        <v>303</v>
      </c>
      <c r="BX70" s="0" t="n">
        <v>0</v>
      </c>
      <c r="CC70" s="49" t="s">
        <v>315</v>
      </c>
      <c r="CD70" s="49" t="s">
        <v>303</v>
      </c>
      <c r="CF70" s="49" t="s">
        <v>303</v>
      </c>
      <c r="CG70" s="49" t="s">
        <v>316</v>
      </c>
      <c r="CH70" s="49" t="s">
        <v>317</v>
      </c>
      <c r="CI70" s="49" t="s">
        <v>318</v>
      </c>
      <c r="CM70" s="49" t="s">
        <v>65</v>
      </c>
      <c r="CV70" s="49" t="s">
        <v>303</v>
      </c>
      <c r="DB70" s="49" t="s">
        <v>319</v>
      </c>
      <c r="DD70" s="48" t="n">
        <v>46294</v>
      </c>
      <c r="DF70" s="49" t="s">
        <v>310</v>
      </c>
      <c r="DG70" s="49" t="s">
        <v>320</v>
      </c>
      <c r="DH70" s="49" t="s">
        <v>64</v>
      </c>
      <c r="DI70" s="49" t="s">
        <v>298</v>
      </c>
      <c r="DJ70" s="49" t="s">
        <v>394</v>
      </c>
      <c r="DK70" s="49" t="s">
        <v>322</v>
      </c>
      <c r="DL70" s="49" t="s">
        <v>323</v>
      </c>
      <c r="DM70" s="49" t="s">
        <v>303</v>
      </c>
      <c r="DN70" s="49" t="s">
        <v>297</v>
      </c>
      <c r="DO70" s="48"/>
      <c r="DP70" s="49" t="s">
        <v>312</v>
      </c>
      <c r="DQ70" s="48"/>
      <c r="DR70" s="49" t="s">
        <v>312</v>
      </c>
      <c r="DS70" s="49" t="s">
        <v>303</v>
      </c>
      <c r="DT70" s="49" t="s">
        <v>303</v>
      </c>
      <c r="DW70" s="49" t="s">
        <v>303</v>
      </c>
      <c r="EA70" s="49" t="s">
        <v>324</v>
      </c>
      <c r="EB70" s="49" t="s">
        <v>303</v>
      </c>
      <c r="EF70" s="49" t="s">
        <v>550</v>
      </c>
      <c r="EH70" s="49" t="s">
        <v>310</v>
      </c>
      <c r="EJ70" s="49" t="s">
        <v>303</v>
      </c>
      <c r="EK70" s="49" t="s">
        <v>557</v>
      </c>
      <c r="EM70" s="49" t="s">
        <v>303</v>
      </c>
      <c r="EN70" s="49" t="s">
        <v>396</v>
      </c>
      <c r="EP70" s="49" t="s">
        <v>298</v>
      </c>
      <c r="EQ70" s="0" t="n">
        <v>1</v>
      </c>
      <c r="ER70" s="49" t="s">
        <v>328</v>
      </c>
      <c r="ES70" s="49" t="s">
        <v>329</v>
      </c>
      <c r="ET70" s="49" t="s">
        <v>310</v>
      </c>
      <c r="EU70" s="49" t="s">
        <v>310</v>
      </c>
      <c r="EV70" s="49" t="s">
        <v>310</v>
      </c>
      <c r="EX70" s="49" t="s">
        <v>303</v>
      </c>
      <c r="EY70" s="49" t="s">
        <v>303</v>
      </c>
      <c r="FC70" s="49" t="s">
        <v>330</v>
      </c>
      <c r="FD70" s="49" t="s">
        <v>310</v>
      </c>
      <c r="FE70" s="49" t="s">
        <v>310</v>
      </c>
      <c r="FF70" s="49" t="s">
        <v>64</v>
      </c>
      <c r="FG70" s="49" t="s">
        <v>397</v>
      </c>
      <c r="FH70" s="49" t="s">
        <v>310</v>
      </c>
      <c r="FI70" s="49" t="s">
        <v>332</v>
      </c>
      <c r="FJ70" s="49" t="s">
        <v>303</v>
      </c>
      <c r="FL70" s="49" t="s">
        <v>325</v>
      </c>
      <c r="FM70" s="49" t="s">
        <v>334</v>
      </c>
      <c r="FP70" s="49" t="s">
        <v>303</v>
      </c>
      <c r="FR70" s="49" t="s">
        <v>303</v>
      </c>
      <c r="FT70" s="49" t="s">
        <v>325</v>
      </c>
      <c r="FU70" s="49" t="s">
        <v>325</v>
      </c>
      <c r="FW70" s="49" t="s">
        <v>333</v>
      </c>
    </row>
    <row r="71" customFormat="false" ht="15" hidden="false" customHeight="false" outlineLevel="0" collapsed="false">
      <c r="A71" s="0" t="n">
        <v>100880262</v>
      </c>
      <c r="B71" s="0" t="s">
        <v>295</v>
      </c>
      <c r="C71" s="0" t="s">
        <v>64</v>
      </c>
      <c r="D71" s="0" t="s">
        <v>65</v>
      </c>
      <c r="E71" s="0" t="s">
        <v>297</v>
      </c>
      <c r="G71" s="0" t="n">
        <v>1</v>
      </c>
      <c r="H71" s="0" t="s">
        <v>298</v>
      </c>
      <c r="I71" s="48" t="n">
        <v>46297</v>
      </c>
      <c r="J71" s="0" t="n">
        <v>0</v>
      </c>
      <c r="K71" s="49" t="s">
        <v>334</v>
      </c>
      <c r="L71" s="49" t="s">
        <v>335</v>
      </c>
      <c r="M71" s="48"/>
      <c r="O71" s="49" t="s">
        <v>336</v>
      </c>
      <c r="P71" s="48"/>
      <c r="Q71" s="48" t="n">
        <v>46297</v>
      </c>
      <c r="R71" s="48" t="n">
        <v>46303</v>
      </c>
      <c r="T71" s="49" t="s">
        <v>302</v>
      </c>
      <c r="U71" s="49" t="s">
        <v>303</v>
      </c>
      <c r="Y71" s="49" t="s">
        <v>312</v>
      </c>
      <c r="AD71" s="49" t="s">
        <v>305</v>
      </c>
      <c r="AE71" s="48" t="n">
        <v>46294</v>
      </c>
      <c r="AF71" s="49" t="s">
        <v>306</v>
      </c>
      <c r="AG71" s="49" t="s">
        <v>307</v>
      </c>
      <c r="AK71" s="49" t="s">
        <v>303</v>
      </c>
      <c r="AL71" s="49" t="s">
        <v>297</v>
      </c>
      <c r="AO71" s="49" t="s">
        <v>303</v>
      </c>
      <c r="AP71" s="48"/>
      <c r="AR71" s="49" t="s">
        <v>303</v>
      </c>
      <c r="AS71" s="49" t="s">
        <v>306</v>
      </c>
      <c r="AT71" s="49" t="s">
        <v>558</v>
      </c>
      <c r="AV71" s="49" t="s">
        <v>309</v>
      </c>
      <c r="AW71" s="49" t="s">
        <v>310</v>
      </c>
      <c r="AX71" s="49" t="s">
        <v>311</v>
      </c>
      <c r="AY71" s="48"/>
      <c r="AZ71" s="48" t="n">
        <v>46295</v>
      </c>
      <c r="BC71" s="49" t="s">
        <v>303</v>
      </c>
      <c r="BD71" s="48"/>
      <c r="BE71" s="49" t="s">
        <v>312</v>
      </c>
      <c r="BF71" s="49" t="s">
        <v>303</v>
      </c>
      <c r="BG71" s="48"/>
      <c r="BI71" s="48"/>
      <c r="BJ71" s="48" t="n">
        <v>46302</v>
      </c>
      <c r="BK71" s="49" t="s">
        <v>313</v>
      </c>
      <c r="BL71" s="49" t="s">
        <v>313</v>
      </c>
      <c r="BM71" s="49" t="s">
        <v>310</v>
      </c>
      <c r="BN71" s="48"/>
      <c r="BO71" s="48"/>
      <c r="BP71" s="48"/>
      <c r="BR71" s="48" t="n">
        <v>46302</v>
      </c>
      <c r="BS71" s="49" t="s">
        <v>312</v>
      </c>
      <c r="BT71" s="49" t="s">
        <v>312</v>
      </c>
      <c r="BU71" s="49" t="s">
        <v>313</v>
      </c>
      <c r="BV71" s="49" t="s">
        <v>303</v>
      </c>
      <c r="BX71" s="0" t="n">
        <v>0</v>
      </c>
      <c r="CC71" s="49" t="s">
        <v>315</v>
      </c>
      <c r="CD71" s="49" t="s">
        <v>303</v>
      </c>
      <c r="CF71" s="49" t="s">
        <v>303</v>
      </c>
      <c r="CG71" s="49" t="s">
        <v>316</v>
      </c>
      <c r="CH71" s="49" t="s">
        <v>317</v>
      </c>
      <c r="CI71" s="49" t="s">
        <v>318</v>
      </c>
      <c r="CM71" s="49" t="s">
        <v>65</v>
      </c>
      <c r="CV71" s="49" t="s">
        <v>303</v>
      </c>
      <c r="DB71" s="49" t="s">
        <v>319</v>
      </c>
      <c r="DD71" s="48" t="n">
        <v>46294</v>
      </c>
      <c r="DF71" s="49" t="s">
        <v>310</v>
      </c>
      <c r="DG71" s="49" t="s">
        <v>320</v>
      </c>
      <c r="DH71" s="49" t="s">
        <v>64</v>
      </c>
      <c r="DI71" s="49" t="s">
        <v>298</v>
      </c>
      <c r="DJ71" s="49" t="s">
        <v>394</v>
      </c>
      <c r="DK71" s="49" t="s">
        <v>322</v>
      </c>
      <c r="DL71" s="49" t="s">
        <v>323</v>
      </c>
      <c r="DM71" s="49" t="s">
        <v>303</v>
      </c>
      <c r="DN71" s="49" t="s">
        <v>297</v>
      </c>
      <c r="DO71" s="48"/>
      <c r="DP71" s="49" t="s">
        <v>312</v>
      </c>
      <c r="DQ71" s="48"/>
      <c r="DR71" s="49" t="s">
        <v>312</v>
      </c>
      <c r="DS71" s="49" t="s">
        <v>303</v>
      </c>
      <c r="DT71" s="49" t="s">
        <v>303</v>
      </c>
      <c r="DW71" s="49" t="s">
        <v>303</v>
      </c>
      <c r="EA71" s="49" t="s">
        <v>324</v>
      </c>
      <c r="EB71" s="49" t="s">
        <v>303</v>
      </c>
      <c r="EF71" s="49" t="s">
        <v>550</v>
      </c>
      <c r="EH71" s="49" t="s">
        <v>310</v>
      </c>
      <c r="EJ71" s="49" t="s">
        <v>303</v>
      </c>
      <c r="EK71" s="49" t="s">
        <v>559</v>
      </c>
      <c r="EM71" s="49" t="s">
        <v>303</v>
      </c>
      <c r="EN71" s="49" t="s">
        <v>396</v>
      </c>
      <c r="EP71" s="49" t="s">
        <v>298</v>
      </c>
      <c r="EQ71" s="0" t="n">
        <v>1</v>
      </c>
      <c r="ER71" s="49" t="s">
        <v>328</v>
      </c>
      <c r="ES71" s="49" t="s">
        <v>329</v>
      </c>
      <c r="ET71" s="49" t="s">
        <v>310</v>
      </c>
      <c r="EU71" s="49" t="s">
        <v>310</v>
      </c>
      <c r="EV71" s="49" t="s">
        <v>310</v>
      </c>
      <c r="EX71" s="49" t="s">
        <v>303</v>
      </c>
      <c r="EY71" s="49" t="s">
        <v>303</v>
      </c>
      <c r="FC71" s="49" t="s">
        <v>330</v>
      </c>
      <c r="FD71" s="49" t="s">
        <v>310</v>
      </c>
      <c r="FE71" s="49" t="s">
        <v>310</v>
      </c>
      <c r="FF71" s="49" t="s">
        <v>64</v>
      </c>
      <c r="FG71" s="49" t="s">
        <v>397</v>
      </c>
      <c r="FH71" s="49" t="s">
        <v>310</v>
      </c>
      <c r="FI71" s="49" t="s">
        <v>332</v>
      </c>
      <c r="FJ71" s="49" t="s">
        <v>303</v>
      </c>
      <c r="FL71" s="49" t="s">
        <v>325</v>
      </c>
      <c r="FM71" s="49" t="s">
        <v>334</v>
      </c>
      <c r="FP71" s="49" t="s">
        <v>303</v>
      </c>
      <c r="FR71" s="49" t="s">
        <v>303</v>
      </c>
      <c r="FT71" s="49" t="s">
        <v>325</v>
      </c>
      <c r="FU71" s="49" t="s">
        <v>325</v>
      </c>
      <c r="FW71" s="49" t="s">
        <v>333</v>
      </c>
    </row>
    <row r="72" customFormat="false" ht="15" hidden="false" customHeight="false" outlineLevel="0" collapsed="false">
      <c r="A72" s="0" t="n">
        <v>100880263</v>
      </c>
      <c r="B72" s="0" t="s">
        <v>295</v>
      </c>
      <c r="C72" s="0" t="s">
        <v>64</v>
      </c>
      <c r="D72" s="0" t="s">
        <v>65</v>
      </c>
      <c r="E72" s="0" t="s">
        <v>297</v>
      </c>
      <c r="G72" s="0" t="n">
        <v>1</v>
      </c>
      <c r="H72" s="0" t="s">
        <v>298</v>
      </c>
      <c r="I72" s="48" t="n">
        <v>46297</v>
      </c>
      <c r="J72" s="0" t="n">
        <v>0</v>
      </c>
      <c r="K72" s="49" t="s">
        <v>334</v>
      </c>
      <c r="L72" s="49" t="s">
        <v>335</v>
      </c>
      <c r="M72" s="48"/>
      <c r="O72" s="49" t="s">
        <v>336</v>
      </c>
      <c r="P72" s="48"/>
      <c r="Q72" s="48" t="n">
        <v>46297</v>
      </c>
      <c r="R72" s="48" t="n">
        <v>46303</v>
      </c>
      <c r="T72" s="49" t="s">
        <v>302</v>
      </c>
      <c r="U72" s="49" t="s">
        <v>303</v>
      </c>
      <c r="Y72" s="49" t="s">
        <v>312</v>
      </c>
      <c r="AD72" s="49" t="s">
        <v>305</v>
      </c>
      <c r="AE72" s="48" t="n">
        <v>46294</v>
      </c>
      <c r="AF72" s="49" t="s">
        <v>306</v>
      </c>
      <c r="AG72" s="49" t="s">
        <v>307</v>
      </c>
      <c r="AK72" s="49" t="s">
        <v>303</v>
      </c>
      <c r="AL72" s="49" t="s">
        <v>297</v>
      </c>
      <c r="AO72" s="49" t="s">
        <v>303</v>
      </c>
      <c r="AP72" s="48"/>
      <c r="AR72" s="49" t="s">
        <v>303</v>
      </c>
      <c r="AS72" s="49" t="s">
        <v>306</v>
      </c>
      <c r="AT72" s="49" t="s">
        <v>560</v>
      </c>
      <c r="AV72" s="49" t="s">
        <v>309</v>
      </c>
      <c r="AW72" s="49" t="s">
        <v>310</v>
      </c>
      <c r="AX72" s="49" t="s">
        <v>311</v>
      </c>
      <c r="AY72" s="48"/>
      <c r="AZ72" s="48" t="n">
        <v>46295</v>
      </c>
      <c r="BC72" s="49" t="s">
        <v>303</v>
      </c>
      <c r="BD72" s="48"/>
      <c r="BE72" s="49" t="s">
        <v>312</v>
      </c>
      <c r="BF72" s="49" t="s">
        <v>303</v>
      </c>
      <c r="BG72" s="48"/>
      <c r="BI72" s="48"/>
      <c r="BJ72" s="48" t="n">
        <v>46302</v>
      </c>
      <c r="BK72" s="49" t="s">
        <v>313</v>
      </c>
      <c r="BL72" s="49" t="s">
        <v>313</v>
      </c>
      <c r="BM72" s="49" t="s">
        <v>310</v>
      </c>
      <c r="BN72" s="48"/>
      <c r="BO72" s="48"/>
      <c r="BP72" s="48"/>
      <c r="BR72" s="48" t="n">
        <v>46302</v>
      </c>
      <c r="BS72" s="49" t="s">
        <v>312</v>
      </c>
      <c r="BT72" s="49" t="s">
        <v>312</v>
      </c>
      <c r="BU72" s="49" t="s">
        <v>313</v>
      </c>
      <c r="BV72" s="49" t="s">
        <v>303</v>
      </c>
      <c r="BX72" s="0" t="n">
        <v>0</v>
      </c>
      <c r="CC72" s="49" t="s">
        <v>315</v>
      </c>
      <c r="CD72" s="49" t="s">
        <v>303</v>
      </c>
      <c r="CF72" s="49" t="s">
        <v>303</v>
      </c>
      <c r="CG72" s="49" t="s">
        <v>316</v>
      </c>
      <c r="CH72" s="49" t="s">
        <v>317</v>
      </c>
      <c r="CI72" s="49" t="s">
        <v>318</v>
      </c>
      <c r="CM72" s="49" t="s">
        <v>65</v>
      </c>
      <c r="CV72" s="49" t="s">
        <v>303</v>
      </c>
      <c r="DB72" s="49" t="s">
        <v>319</v>
      </c>
      <c r="DD72" s="48" t="n">
        <v>46294</v>
      </c>
      <c r="DF72" s="49" t="s">
        <v>310</v>
      </c>
      <c r="DG72" s="49" t="s">
        <v>320</v>
      </c>
      <c r="DH72" s="49" t="s">
        <v>64</v>
      </c>
      <c r="DI72" s="49" t="s">
        <v>298</v>
      </c>
      <c r="DJ72" s="49" t="s">
        <v>394</v>
      </c>
      <c r="DK72" s="49" t="s">
        <v>322</v>
      </c>
      <c r="DL72" s="49" t="s">
        <v>323</v>
      </c>
      <c r="DM72" s="49" t="s">
        <v>303</v>
      </c>
      <c r="DN72" s="49" t="s">
        <v>297</v>
      </c>
      <c r="DO72" s="48"/>
      <c r="DP72" s="49" t="s">
        <v>312</v>
      </c>
      <c r="DQ72" s="48"/>
      <c r="DR72" s="49" t="s">
        <v>312</v>
      </c>
      <c r="DS72" s="49" t="s">
        <v>303</v>
      </c>
      <c r="DT72" s="49" t="s">
        <v>303</v>
      </c>
      <c r="DW72" s="49" t="s">
        <v>303</v>
      </c>
      <c r="EA72" s="49" t="s">
        <v>324</v>
      </c>
      <c r="EB72" s="49" t="s">
        <v>303</v>
      </c>
      <c r="EF72" s="49" t="s">
        <v>550</v>
      </c>
      <c r="EH72" s="49" t="s">
        <v>310</v>
      </c>
      <c r="EJ72" s="49" t="s">
        <v>303</v>
      </c>
      <c r="EK72" s="49" t="s">
        <v>561</v>
      </c>
      <c r="EM72" s="49" t="s">
        <v>303</v>
      </c>
      <c r="EN72" s="49" t="s">
        <v>396</v>
      </c>
      <c r="EP72" s="49" t="s">
        <v>298</v>
      </c>
      <c r="EQ72" s="0" t="n">
        <v>1</v>
      </c>
      <c r="ER72" s="49" t="s">
        <v>328</v>
      </c>
      <c r="ES72" s="49" t="s">
        <v>329</v>
      </c>
      <c r="ET72" s="49" t="s">
        <v>310</v>
      </c>
      <c r="EU72" s="49" t="s">
        <v>310</v>
      </c>
      <c r="EV72" s="49" t="s">
        <v>310</v>
      </c>
      <c r="EX72" s="49" t="s">
        <v>303</v>
      </c>
      <c r="EY72" s="49" t="s">
        <v>303</v>
      </c>
      <c r="FC72" s="49" t="s">
        <v>330</v>
      </c>
      <c r="FD72" s="49" t="s">
        <v>310</v>
      </c>
      <c r="FE72" s="49" t="s">
        <v>310</v>
      </c>
      <c r="FF72" s="49" t="s">
        <v>64</v>
      </c>
      <c r="FG72" s="49" t="s">
        <v>397</v>
      </c>
      <c r="FH72" s="49" t="s">
        <v>310</v>
      </c>
      <c r="FI72" s="49" t="s">
        <v>332</v>
      </c>
      <c r="FJ72" s="49" t="s">
        <v>303</v>
      </c>
      <c r="FL72" s="49" t="s">
        <v>325</v>
      </c>
      <c r="FM72" s="49" t="s">
        <v>334</v>
      </c>
      <c r="FP72" s="49" t="s">
        <v>303</v>
      </c>
      <c r="FR72" s="49" t="s">
        <v>303</v>
      </c>
      <c r="FT72" s="49" t="s">
        <v>325</v>
      </c>
      <c r="FU72" s="49" t="s">
        <v>325</v>
      </c>
      <c r="FW72" s="49" t="s">
        <v>333</v>
      </c>
    </row>
    <row r="73" customFormat="false" ht="15" hidden="false" customHeight="false" outlineLevel="0" collapsed="false">
      <c r="A73" s="0" t="n">
        <v>100880264</v>
      </c>
      <c r="B73" s="0" t="s">
        <v>295</v>
      </c>
      <c r="C73" s="0" t="s">
        <v>64</v>
      </c>
      <c r="D73" s="0" t="s">
        <v>65</v>
      </c>
      <c r="E73" s="0" t="s">
        <v>297</v>
      </c>
      <c r="G73" s="0" t="n">
        <v>1</v>
      </c>
      <c r="H73" s="0" t="s">
        <v>298</v>
      </c>
      <c r="I73" s="48" t="n">
        <v>46297</v>
      </c>
      <c r="J73" s="0" t="n">
        <v>0</v>
      </c>
      <c r="K73" s="49" t="s">
        <v>334</v>
      </c>
      <c r="L73" s="49" t="s">
        <v>335</v>
      </c>
      <c r="M73" s="48"/>
      <c r="O73" s="49" t="s">
        <v>336</v>
      </c>
      <c r="P73" s="48"/>
      <c r="Q73" s="48" t="n">
        <v>46297</v>
      </c>
      <c r="R73" s="48" t="n">
        <v>46303</v>
      </c>
      <c r="T73" s="49" t="s">
        <v>302</v>
      </c>
      <c r="U73" s="49" t="s">
        <v>303</v>
      </c>
      <c r="Y73" s="49" t="s">
        <v>312</v>
      </c>
      <c r="AD73" s="49" t="s">
        <v>305</v>
      </c>
      <c r="AE73" s="48" t="n">
        <v>46294</v>
      </c>
      <c r="AF73" s="49" t="s">
        <v>306</v>
      </c>
      <c r="AG73" s="49" t="s">
        <v>307</v>
      </c>
      <c r="AK73" s="49" t="s">
        <v>303</v>
      </c>
      <c r="AL73" s="49" t="s">
        <v>297</v>
      </c>
      <c r="AO73" s="49" t="s">
        <v>303</v>
      </c>
      <c r="AP73" s="48"/>
      <c r="AR73" s="49" t="s">
        <v>303</v>
      </c>
      <c r="AS73" s="49" t="s">
        <v>306</v>
      </c>
      <c r="AT73" s="49" t="s">
        <v>562</v>
      </c>
      <c r="AV73" s="49" t="s">
        <v>309</v>
      </c>
      <c r="AW73" s="49" t="s">
        <v>310</v>
      </c>
      <c r="AX73" s="49" t="s">
        <v>311</v>
      </c>
      <c r="AY73" s="48"/>
      <c r="AZ73" s="48" t="n">
        <v>46295</v>
      </c>
      <c r="BC73" s="49" t="s">
        <v>303</v>
      </c>
      <c r="BD73" s="48"/>
      <c r="BE73" s="49" t="s">
        <v>312</v>
      </c>
      <c r="BF73" s="49" t="s">
        <v>303</v>
      </c>
      <c r="BG73" s="48"/>
      <c r="BI73" s="48"/>
      <c r="BJ73" s="48" t="n">
        <v>46302</v>
      </c>
      <c r="BK73" s="49" t="s">
        <v>313</v>
      </c>
      <c r="BL73" s="49" t="s">
        <v>313</v>
      </c>
      <c r="BM73" s="49" t="s">
        <v>310</v>
      </c>
      <c r="BN73" s="48"/>
      <c r="BO73" s="48"/>
      <c r="BP73" s="48"/>
      <c r="BR73" s="48" t="n">
        <v>46302</v>
      </c>
      <c r="BS73" s="49" t="s">
        <v>312</v>
      </c>
      <c r="BT73" s="49" t="s">
        <v>312</v>
      </c>
      <c r="BU73" s="49" t="s">
        <v>313</v>
      </c>
      <c r="BV73" s="49" t="s">
        <v>303</v>
      </c>
      <c r="BX73" s="0" t="n">
        <v>0</v>
      </c>
      <c r="CC73" s="49" t="s">
        <v>315</v>
      </c>
      <c r="CD73" s="49" t="s">
        <v>303</v>
      </c>
      <c r="CF73" s="49" t="s">
        <v>303</v>
      </c>
      <c r="CG73" s="49" t="s">
        <v>316</v>
      </c>
      <c r="CH73" s="49" t="s">
        <v>317</v>
      </c>
      <c r="CI73" s="49" t="s">
        <v>318</v>
      </c>
      <c r="CM73" s="49" t="s">
        <v>65</v>
      </c>
      <c r="CV73" s="49" t="s">
        <v>303</v>
      </c>
      <c r="DB73" s="49" t="s">
        <v>319</v>
      </c>
      <c r="DD73" s="48" t="n">
        <v>46294</v>
      </c>
      <c r="DF73" s="49" t="s">
        <v>310</v>
      </c>
      <c r="DG73" s="49" t="s">
        <v>320</v>
      </c>
      <c r="DH73" s="49" t="s">
        <v>64</v>
      </c>
      <c r="DI73" s="49" t="s">
        <v>298</v>
      </c>
      <c r="DJ73" s="49" t="s">
        <v>394</v>
      </c>
      <c r="DK73" s="49" t="s">
        <v>322</v>
      </c>
      <c r="DL73" s="49" t="s">
        <v>323</v>
      </c>
      <c r="DM73" s="49" t="s">
        <v>303</v>
      </c>
      <c r="DN73" s="49" t="s">
        <v>297</v>
      </c>
      <c r="DO73" s="48"/>
      <c r="DP73" s="49" t="s">
        <v>312</v>
      </c>
      <c r="DQ73" s="48"/>
      <c r="DR73" s="49" t="s">
        <v>312</v>
      </c>
      <c r="DS73" s="49" t="s">
        <v>303</v>
      </c>
      <c r="DT73" s="49" t="s">
        <v>303</v>
      </c>
      <c r="DW73" s="49" t="s">
        <v>303</v>
      </c>
      <c r="EA73" s="49" t="s">
        <v>324</v>
      </c>
      <c r="EB73" s="49" t="s">
        <v>303</v>
      </c>
      <c r="EF73" s="49" t="s">
        <v>550</v>
      </c>
      <c r="EH73" s="49" t="s">
        <v>310</v>
      </c>
      <c r="EJ73" s="49" t="s">
        <v>303</v>
      </c>
      <c r="EK73" s="49" t="s">
        <v>563</v>
      </c>
      <c r="EM73" s="49" t="s">
        <v>303</v>
      </c>
      <c r="EN73" s="49" t="s">
        <v>396</v>
      </c>
      <c r="EP73" s="49" t="s">
        <v>298</v>
      </c>
      <c r="EQ73" s="0" t="n">
        <v>1</v>
      </c>
      <c r="ER73" s="49" t="s">
        <v>328</v>
      </c>
      <c r="ES73" s="49" t="s">
        <v>329</v>
      </c>
      <c r="ET73" s="49" t="s">
        <v>310</v>
      </c>
      <c r="EU73" s="49" t="s">
        <v>310</v>
      </c>
      <c r="EV73" s="49" t="s">
        <v>310</v>
      </c>
      <c r="EX73" s="49" t="s">
        <v>303</v>
      </c>
      <c r="EY73" s="49" t="s">
        <v>303</v>
      </c>
      <c r="FC73" s="49" t="s">
        <v>330</v>
      </c>
      <c r="FD73" s="49" t="s">
        <v>310</v>
      </c>
      <c r="FE73" s="49" t="s">
        <v>310</v>
      </c>
      <c r="FF73" s="49" t="s">
        <v>64</v>
      </c>
      <c r="FG73" s="49" t="s">
        <v>397</v>
      </c>
      <c r="FH73" s="49" t="s">
        <v>310</v>
      </c>
      <c r="FI73" s="49" t="s">
        <v>332</v>
      </c>
      <c r="FJ73" s="49" t="s">
        <v>303</v>
      </c>
      <c r="FL73" s="49" t="s">
        <v>325</v>
      </c>
      <c r="FM73" s="49" t="s">
        <v>334</v>
      </c>
      <c r="FP73" s="49" t="s">
        <v>303</v>
      </c>
      <c r="FR73" s="49" t="s">
        <v>303</v>
      </c>
      <c r="FT73" s="49" t="s">
        <v>325</v>
      </c>
      <c r="FU73" s="49" t="s">
        <v>325</v>
      </c>
      <c r="FW73" s="49" t="s">
        <v>333</v>
      </c>
    </row>
    <row r="74" customFormat="false" ht="15" hidden="false" customHeight="false" outlineLevel="0" collapsed="false">
      <c r="A74" s="0" t="n">
        <v>100880265</v>
      </c>
      <c r="B74" s="0" t="s">
        <v>295</v>
      </c>
      <c r="C74" s="0" t="s">
        <v>64</v>
      </c>
      <c r="D74" s="0" t="s">
        <v>65</v>
      </c>
      <c r="E74" s="0" t="s">
        <v>297</v>
      </c>
      <c r="G74" s="0" t="n">
        <v>1</v>
      </c>
      <c r="H74" s="0" t="s">
        <v>298</v>
      </c>
      <c r="I74" s="48" t="n">
        <v>46297</v>
      </c>
      <c r="J74" s="0" t="n">
        <v>0</v>
      </c>
      <c r="K74" s="49" t="s">
        <v>334</v>
      </c>
      <c r="L74" s="49" t="s">
        <v>335</v>
      </c>
      <c r="M74" s="48"/>
      <c r="O74" s="49" t="s">
        <v>336</v>
      </c>
      <c r="P74" s="48"/>
      <c r="Q74" s="48" t="n">
        <v>46297</v>
      </c>
      <c r="R74" s="48" t="n">
        <v>46303</v>
      </c>
      <c r="T74" s="49" t="s">
        <v>302</v>
      </c>
      <c r="U74" s="49" t="s">
        <v>303</v>
      </c>
      <c r="Y74" s="49" t="s">
        <v>312</v>
      </c>
      <c r="AD74" s="49" t="s">
        <v>305</v>
      </c>
      <c r="AE74" s="48" t="n">
        <v>46294</v>
      </c>
      <c r="AF74" s="49" t="s">
        <v>306</v>
      </c>
      <c r="AG74" s="49" t="s">
        <v>307</v>
      </c>
      <c r="AK74" s="49" t="s">
        <v>303</v>
      </c>
      <c r="AL74" s="49" t="s">
        <v>297</v>
      </c>
      <c r="AO74" s="49" t="s">
        <v>303</v>
      </c>
      <c r="AP74" s="48"/>
      <c r="AR74" s="49" t="s">
        <v>303</v>
      </c>
      <c r="AS74" s="49" t="s">
        <v>306</v>
      </c>
      <c r="AT74" s="49" t="s">
        <v>564</v>
      </c>
      <c r="AV74" s="49" t="s">
        <v>309</v>
      </c>
      <c r="AW74" s="49" t="s">
        <v>310</v>
      </c>
      <c r="AX74" s="49" t="s">
        <v>311</v>
      </c>
      <c r="AY74" s="48"/>
      <c r="AZ74" s="48" t="n">
        <v>46295</v>
      </c>
      <c r="BC74" s="49" t="s">
        <v>303</v>
      </c>
      <c r="BD74" s="48"/>
      <c r="BE74" s="49" t="s">
        <v>312</v>
      </c>
      <c r="BF74" s="49" t="s">
        <v>303</v>
      </c>
      <c r="BG74" s="48"/>
      <c r="BI74" s="48"/>
      <c r="BJ74" s="48" t="n">
        <v>46302</v>
      </c>
      <c r="BK74" s="49" t="s">
        <v>313</v>
      </c>
      <c r="BL74" s="49" t="s">
        <v>313</v>
      </c>
      <c r="BM74" s="49" t="s">
        <v>310</v>
      </c>
      <c r="BN74" s="48"/>
      <c r="BO74" s="48"/>
      <c r="BP74" s="48"/>
      <c r="BR74" s="48" t="n">
        <v>46302</v>
      </c>
      <c r="BS74" s="49" t="s">
        <v>312</v>
      </c>
      <c r="BT74" s="49" t="s">
        <v>312</v>
      </c>
      <c r="BU74" s="49" t="s">
        <v>313</v>
      </c>
      <c r="BV74" s="49" t="s">
        <v>303</v>
      </c>
      <c r="BX74" s="0" t="n">
        <v>0</v>
      </c>
      <c r="CC74" s="49" t="s">
        <v>315</v>
      </c>
      <c r="CD74" s="49" t="s">
        <v>303</v>
      </c>
      <c r="CF74" s="49" t="s">
        <v>303</v>
      </c>
      <c r="CG74" s="49" t="s">
        <v>316</v>
      </c>
      <c r="CH74" s="49" t="s">
        <v>317</v>
      </c>
      <c r="CI74" s="49" t="s">
        <v>318</v>
      </c>
      <c r="CM74" s="49" t="s">
        <v>65</v>
      </c>
      <c r="CV74" s="49" t="s">
        <v>303</v>
      </c>
      <c r="DB74" s="49" t="s">
        <v>319</v>
      </c>
      <c r="DD74" s="48" t="n">
        <v>46294</v>
      </c>
      <c r="DF74" s="49" t="s">
        <v>310</v>
      </c>
      <c r="DG74" s="49" t="s">
        <v>320</v>
      </c>
      <c r="DH74" s="49" t="s">
        <v>64</v>
      </c>
      <c r="DI74" s="49" t="s">
        <v>298</v>
      </c>
      <c r="DJ74" s="49" t="s">
        <v>394</v>
      </c>
      <c r="DK74" s="49" t="s">
        <v>322</v>
      </c>
      <c r="DL74" s="49" t="s">
        <v>323</v>
      </c>
      <c r="DM74" s="49" t="s">
        <v>303</v>
      </c>
      <c r="DN74" s="49" t="s">
        <v>297</v>
      </c>
      <c r="DO74" s="48"/>
      <c r="DP74" s="49" t="s">
        <v>312</v>
      </c>
      <c r="DQ74" s="48"/>
      <c r="DR74" s="49" t="s">
        <v>312</v>
      </c>
      <c r="DS74" s="49" t="s">
        <v>303</v>
      </c>
      <c r="DT74" s="49" t="s">
        <v>303</v>
      </c>
      <c r="DW74" s="49" t="s">
        <v>303</v>
      </c>
      <c r="EA74" s="49" t="s">
        <v>324</v>
      </c>
      <c r="EB74" s="49" t="s">
        <v>303</v>
      </c>
      <c r="EF74" s="49" t="s">
        <v>550</v>
      </c>
      <c r="EH74" s="49" t="s">
        <v>310</v>
      </c>
      <c r="EJ74" s="49" t="s">
        <v>303</v>
      </c>
      <c r="EK74" s="49" t="s">
        <v>565</v>
      </c>
      <c r="EM74" s="49" t="s">
        <v>303</v>
      </c>
      <c r="EN74" s="49" t="s">
        <v>396</v>
      </c>
      <c r="EP74" s="49" t="s">
        <v>298</v>
      </c>
      <c r="EQ74" s="0" t="n">
        <v>1</v>
      </c>
      <c r="ER74" s="49" t="s">
        <v>328</v>
      </c>
      <c r="ES74" s="49" t="s">
        <v>329</v>
      </c>
      <c r="ET74" s="49" t="s">
        <v>310</v>
      </c>
      <c r="EU74" s="49" t="s">
        <v>310</v>
      </c>
      <c r="EV74" s="49" t="s">
        <v>310</v>
      </c>
      <c r="EX74" s="49" t="s">
        <v>303</v>
      </c>
      <c r="EY74" s="49" t="s">
        <v>303</v>
      </c>
      <c r="FC74" s="49" t="s">
        <v>330</v>
      </c>
      <c r="FD74" s="49" t="s">
        <v>310</v>
      </c>
      <c r="FE74" s="49" t="s">
        <v>310</v>
      </c>
      <c r="FF74" s="49" t="s">
        <v>64</v>
      </c>
      <c r="FG74" s="49" t="s">
        <v>397</v>
      </c>
      <c r="FH74" s="49" t="s">
        <v>310</v>
      </c>
      <c r="FI74" s="49" t="s">
        <v>332</v>
      </c>
      <c r="FJ74" s="49" t="s">
        <v>303</v>
      </c>
      <c r="FL74" s="49" t="s">
        <v>325</v>
      </c>
      <c r="FM74" s="49" t="s">
        <v>334</v>
      </c>
      <c r="FP74" s="49" t="s">
        <v>303</v>
      </c>
      <c r="FR74" s="49" t="s">
        <v>303</v>
      </c>
      <c r="FT74" s="49" t="s">
        <v>325</v>
      </c>
      <c r="FU74" s="49" t="s">
        <v>325</v>
      </c>
      <c r="FW74" s="49" t="s">
        <v>333</v>
      </c>
    </row>
    <row r="75" customFormat="false" ht="15" hidden="false" customHeight="false" outlineLevel="0" collapsed="false">
      <c r="A75" s="0" t="n">
        <v>100880266</v>
      </c>
      <c r="B75" s="0" t="s">
        <v>295</v>
      </c>
      <c r="C75" s="0" t="s">
        <v>64</v>
      </c>
      <c r="D75" s="0" t="s">
        <v>65</v>
      </c>
      <c r="E75" s="0" t="s">
        <v>297</v>
      </c>
      <c r="G75" s="0" t="n">
        <v>1</v>
      </c>
      <c r="H75" s="0" t="s">
        <v>298</v>
      </c>
      <c r="I75" s="48" t="n">
        <v>46297</v>
      </c>
      <c r="J75" s="0" t="n">
        <v>0</v>
      </c>
      <c r="K75" s="49" t="s">
        <v>334</v>
      </c>
      <c r="L75" s="49" t="s">
        <v>335</v>
      </c>
      <c r="M75" s="48"/>
      <c r="O75" s="49" t="s">
        <v>336</v>
      </c>
      <c r="P75" s="48"/>
      <c r="Q75" s="48" t="n">
        <v>46297</v>
      </c>
      <c r="R75" s="48" t="n">
        <v>46303</v>
      </c>
      <c r="T75" s="49" t="s">
        <v>302</v>
      </c>
      <c r="U75" s="49" t="s">
        <v>303</v>
      </c>
      <c r="Y75" s="49" t="s">
        <v>312</v>
      </c>
      <c r="AD75" s="49" t="s">
        <v>305</v>
      </c>
      <c r="AE75" s="48" t="n">
        <v>46294</v>
      </c>
      <c r="AF75" s="49" t="s">
        <v>306</v>
      </c>
      <c r="AG75" s="49" t="s">
        <v>307</v>
      </c>
      <c r="AK75" s="49" t="s">
        <v>303</v>
      </c>
      <c r="AL75" s="49" t="s">
        <v>297</v>
      </c>
      <c r="AO75" s="49" t="s">
        <v>303</v>
      </c>
      <c r="AP75" s="48"/>
      <c r="AR75" s="49" t="s">
        <v>303</v>
      </c>
      <c r="AS75" s="49" t="s">
        <v>306</v>
      </c>
      <c r="AT75" s="49" t="s">
        <v>566</v>
      </c>
      <c r="AV75" s="49" t="s">
        <v>309</v>
      </c>
      <c r="AW75" s="49" t="s">
        <v>310</v>
      </c>
      <c r="AX75" s="49" t="s">
        <v>311</v>
      </c>
      <c r="AY75" s="48"/>
      <c r="AZ75" s="48" t="n">
        <v>46295</v>
      </c>
      <c r="BC75" s="49" t="s">
        <v>303</v>
      </c>
      <c r="BD75" s="48"/>
      <c r="BE75" s="49" t="s">
        <v>312</v>
      </c>
      <c r="BF75" s="49" t="s">
        <v>303</v>
      </c>
      <c r="BG75" s="48"/>
      <c r="BI75" s="48"/>
      <c r="BJ75" s="48" t="n">
        <v>46302</v>
      </c>
      <c r="BK75" s="49" t="s">
        <v>313</v>
      </c>
      <c r="BL75" s="49" t="s">
        <v>313</v>
      </c>
      <c r="BM75" s="49" t="s">
        <v>310</v>
      </c>
      <c r="BN75" s="48"/>
      <c r="BO75" s="48"/>
      <c r="BP75" s="48"/>
      <c r="BR75" s="48" t="n">
        <v>46302</v>
      </c>
      <c r="BS75" s="49" t="s">
        <v>312</v>
      </c>
      <c r="BT75" s="49" t="s">
        <v>312</v>
      </c>
      <c r="BU75" s="49" t="s">
        <v>313</v>
      </c>
      <c r="BV75" s="49" t="s">
        <v>303</v>
      </c>
      <c r="BX75" s="0" t="n">
        <v>0</v>
      </c>
      <c r="CC75" s="49" t="s">
        <v>315</v>
      </c>
      <c r="CD75" s="49" t="s">
        <v>303</v>
      </c>
      <c r="CF75" s="49" t="s">
        <v>303</v>
      </c>
      <c r="CG75" s="49" t="s">
        <v>316</v>
      </c>
      <c r="CH75" s="49" t="s">
        <v>317</v>
      </c>
      <c r="CI75" s="49" t="s">
        <v>318</v>
      </c>
      <c r="CM75" s="49" t="s">
        <v>65</v>
      </c>
      <c r="CV75" s="49" t="s">
        <v>303</v>
      </c>
      <c r="DB75" s="49" t="s">
        <v>319</v>
      </c>
      <c r="DD75" s="48" t="n">
        <v>46294</v>
      </c>
      <c r="DF75" s="49" t="s">
        <v>310</v>
      </c>
      <c r="DG75" s="49" t="s">
        <v>320</v>
      </c>
      <c r="DH75" s="49" t="s">
        <v>64</v>
      </c>
      <c r="DI75" s="49" t="s">
        <v>298</v>
      </c>
      <c r="DJ75" s="49" t="s">
        <v>394</v>
      </c>
      <c r="DK75" s="49" t="s">
        <v>322</v>
      </c>
      <c r="DL75" s="49" t="s">
        <v>323</v>
      </c>
      <c r="DM75" s="49" t="s">
        <v>303</v>
      </c>
      <c r="DN75" s="49" t="s">
        <v>297</v>
      </c>
      <c r="DO75" s="48"/>
      <c r="DP75" s="49" t="s">
        <v>312</v>
      </c>
      <c r="DQ75" s="48"/>
      <c r="DR75" s="49" t="s">
        <v>312</v>
      </c>
      <c r="DS75" s="49" t="s">
        <v>303</v>
      </c>
      <c r="DT75" s="49" t="s">
        <v>303</v>
      </c>
      <c r="DW75" s="49" t="s">
        <v>303</v>
      </c>
      <c r="EA75" s="49" t="s">
        <v>324</v>
      </c>
      <c r="EB75" s="49" t="s">
        <v>303</v>
      </c>
      <c r="EF75" s="49" t="s">
        <v>550</v>
      </c>
      <c r="EH75" s="49" t="s">
        <v>310</v>
      </c>
      <c r="EJ75" s="49" t="s">
        <v>303</v>
      </c>
      <c r="EK75" s="49" t="s">
        <v>567</v>
      </c>
      <c r="EM75" s="49" t="s">
        <v>303</v>
      </c>
      <c r="EN75" s="49" t="s">
        <v>396</v>
      </c>
      <c r="EP75" s="49" t="s">
        <v>298</v>
      </c>
      <c r="EQ75" s="0" t="n">
        <v>1</v>
      </c>
      <c r="ER75" s="49" t="s">
        <v>328</v>
      </c>
      <c r="ES75" s="49" t="s">
        <v>329</v>
      </c>
      <c r="ET75" s="49" t="s">
        <v>310</v>
      </c>
      <c r="EU75" s="49" t="s">
        <v>310</v>
      </c>
      <c r="EV75" s="49" t="s">
        <v>310</v>
      </c>
      <c r="EX75" s="49" t="s">
        <v>303</v>
      </c>
      <c r="EY75" s="49" t="s">
        <v>303</v>
      </c>
      <c r="FC75" s="49" t="s">
        <v>330</v>
      </c>
      <c r="FD75" s="49" t="s">
        <v>310</v>
      </c>
      <c r="FE75" s="49" t="s">
        <v>310</v>
      </c>
      <c r="FF75" s="49" t="s">
        <v>64</v>
      </c>
      <c r="FG75" s="49" t="s">
        <v>397</v>
      </c>
      <c r="FH75" s="49" t="s">
        <v>310</v>
      </c>
      <c r="FI75" s="49" t="s">
        <v>332</v>
      </c>
      <c r="FJ75" s="49" t="s">
        <v>303</v>
      </c>
      <c r="FL75" s="49" t="s">
        <v>325</v>
      </c>
      <c r="FM75" s="49" t="s">
        <v>334</v>
      </c>
      <c r="FP75" s="49" t="s">
        <v>303</v>
      </c>
      <c r="FR75" s="49" t="s">
        <v>303</v>
      </c>
      <c r="FT75" s="49" t="s">
        <v>325</v>
      </c>
      <c r="FU75" s="49" t="s">
        <v>325</v>
      </c>
      <c r="FW75" s="49" t="s">
        <v>333</v>
      </c>
    </row>
    <row r="76" customFormat="false" ht="15" hidden="false" customHeight="false" outlineLevel="0" collapsed="false">
      <c r="A76" s="0" t="n">
        <v>100880267</v>
      </c>
      <c r="B76" s="0" t="s">
        <v>295</v>
      </c>
      <c r="C76" s="0" t="s">
        <v>64</v>
      </c>
      <c r="D76" s="0" t="s">
        <v>65</v>
      </c>
      <c r="E76" s="0" t="s">
        <v>297</v>
      </c>
      <c r="G76" s="0" t="n">
        <v>1</v>
      </c>
      <c r="H76" s="0" t="s">
        <v>298</v>
      </c>
      <c r="I76" s="48" t="n">
        <v>46297</v>
      </c>
      <c r="J76" s="0" t="n">
        <v>0</v>
      </c>
      <c r="K76" s="49" t="s">
        <v>334</v>
      </c>
      <c r="L76" s="49" t="s">
        <v>335</v>
      </c>
      <c r="M76" s="48"/>
      <c r="O76" s="49" t="s">
        <v>336</v>
      </c>
      <c r="P76" s="48"/>
      <c r="Q76" s="48" t="n">
        <v>46297</v>
      </c>
      <c r="R76" s="48" t="n">
        <v>46303</v>
      </c>
      <c r="T76" s="49" t="s">
        <v>302</v>
      </c>
      <c r="U76" s="49" t="s">
        <v>303</v>
      </c>
      <c r="Y76" s="49" t="s">
        <v>312</v>
      </c>
      <c r="AD76" s="49" t="s">
        <v>305</v>
      </c>
      <c r="AE76" s="48" t="n">
        <v>46294</v>
      </c>
      <c r="AF76" s="49" t="s">
        <v>306</v>
      </c>
      <c r="AG76" s="49" t="s">
        <v>307</v>
      </c>
      <c r="AK76" s="49" t="s">
        <v>303</v>
      </c>
      <c r="AL76" s="49" t="s">
        <v>297</v>
      </c>
      <c r="AO76" s="49" t="s">
        <v>303</v>
      </c>
      <c r="AP76" s="48"/>
      <c r="AR76" s="49" t="s">
        <v>303</v>
      </c>
      <c r="AS76" s="49" t="s">
        <v>306</v>
      </c>
      <c r="AT76" s="49" t="s">
        <v>568</v>
      </c>
      <c r="AV76" s="49" t="s">
        <v>309</v>
      </c>
      <c r="AW76" s="49" t="s">
        <v>310</v>
      </c>
      <c r="AX76" s="49" t="s">
        <v>311</v>
      </c>
      <c r="AY76" s="48"/>
      <c r="AZ76" s="48" t="n">
        <v>46295</v>
      </c>
      <c r="BC76" s="49" t="s">
        <v>303</v>
      </c>
      <c r="BD76" s="48"/>
      <c r="BE76" s="49" t="s">
        <v>312</v>
      </c>
      <c r="BF76" s="49" t="s">
        <v>303</v>
      </c>
      <c r="BG76" s="48"/>
      <c r="BI76" s="48"/>
      <c r="BJ76" s="48" t="n">
        <v>46302</v>
      </c>
      <c r="BK76" s="49" t="s">
        <v>313</v>
      </c>
      <c r="BL76" s="49" t="s">
        <v>313</v>
      </c>
      <c r="BM76" s="49" t="s">
        <v>310</v>
      </c>
      <c r="BN76" s="48"/>
      <c r="BO76" s="48"/>
      <c r="BP76" s="48"/>
      <c r="BR76" s="48" t="n">
        <v>46302</v>
      </c>
      <c r="BS76" s="49" t="s">
        <v>312</v>
      </c>
      <c r="BT76" s="49" t="s">
        <v>312</v>
      </c>
      <c r="BU76" s="49" t="s">
        <v>313</v>
      </c>
      <c r="BV76" s="49" t="s">
        <v>303</v>
      </c>
      <c r="BX76" s="0" t="n">
        <v>0</v>
      </c>
      <c r="CC76" s="49" t="s">
        <v>315</v>
      </c>
      <c r="CD76" s="49" t="s">
        <v>303</v>
      </c>
      <c r="CF76" s="49" t="s">
        <v>303</v>
      </c>
      <c r="CG76" s="49" t="s">
        <v>316</v>
      </c>
      <c r="CH76" s="49" t="s">
        <v>317</v>
      </c>
      <c r="CI76" s="49" t="s">
        <v>318</v>
      </c>
      <c r="CM76" s="49" t="s">
        <v>65</v>
      </c>
      <c r="CV76" s="49" t="s">
        <v>303</v>
      </c>
      <c r="DB76" s="49" t="s">
        <v>319</v>
      </c>
      <c r="DD76" s="48" t="n">
        <v>46294</v>
      </c>
      <c r="DF76" s="49" t="s">
        <v>310</v>
      </c>
      <c r="DG76" s="49" t="s">
        <v>320</v>
      </c>
      <c r="DH76" s="49" t="s">
        <v>64</v>
      </c>
      <c r="DI76" s="49" t="s">
        <v>298</v>
      </c>
      <c r="DJ76" s="49" t="s">
        <v>394</v>
      </c>
      <c r="DK76" s="49" t="s">
        <v>322</v>
      </c>
      <c r="DL76" s="49" t="s">
        <v>323</v>
      </c>
      <c r="DM76" s="49" t="s">
        <v>303</v>
      </c>
      <c r="DN76" s="49" t="s">
        <v>297</v>
      </c>
      <c r="DO76" s="48"/>
      <c r="DP76" s="49" t="s">
        <v>312</v>
      </c>
      <c r="DQ76" s="48"/>
      <c r="DR76" s="49" t="s">
        <v>312</v>
      </c>
      <c r="DS76" s="49" t="s">
        <v>303</v>
      </c>
      <c r="DT76" s="49" t="s">
        <v>303</v>
      </c>
      <c r="DW76" s="49" t="s">
        <v>303</v>
      </c>
      <c r="EA76" s="49" t="s">
        <v>324</v>
      </c>
      <c r="EB76" s="49" t="s">
        <v>303</v>
      </c>
      <c r="EF76" s="49" t="s">
        <v>550</v>
      </c>
      <c r="EH76" s="49" t="s">
        <v>310</v>
      </c>
      <c r="EJ76" s="49" t="s">
        <v>303</v>
      </c>
      <c r="EK76" s="49" t="s">
        <v>569</v>
      </c>
      <c r="EM76" s="49" t="s">
        <v>303</v>
      </c>
      <c r="EN76" s="49" t="s">
        <v>396</v>
      </c>
      <c r="EP76" s="49" t="s">
        <v>298</v>
      </c>
      <c r="EQ76" s="0" t="n">
        <v>1</v>
      </c>
      <c r="ER76" s="49" t="s">
        <v>328</v>
      </c>
      <c r="ES76" s="49" t="s">
        <v>329</v>
      </c>
      <c r="ET76" s="49" t="s">
        <v>310</v>
      </c>
      <c r="EU76" s="49" t="s">
        <v>310</v>
      </c>
      <c r="EV76" s="49" t="s">
        <v>310</v>
      </c>
      <c r="EX76" s="49" t="s">
        <v>303</v>
      </c>
      <c r="EY76" s="49" t="s">
        <v>303</v>
      </c>
      <c r="FC76" s="49" t="s">
        <v>330</v>
      </c>
      <c r="FD76" s="49" t="s">
        <v>310</v>
      </c>
      <c r="FE76" s="49" t="s">
        <v>310</v>
      </c>
      <c r="FF76" s="49" t="s">
        <v>64</v>
      </c>
      <c r="FG76" s="49" t="s">
        <v>397</v>
      </c>
      <c r="FH76" s="49" t="s">
        <v>310</v>
      </c>
      <c r="FI76" s="49" t="s">
        <v>332</v>
      </c>
      <c r="FJ76" s="49" t="s">
        <v>303</v>
      </c>
      <c r="FL76" s="49" t="s">
        <v>325</v>
      </c>
      <c r="FM76" s="49" t="s">
        <v>334</v>
      </c>
      <c r="FP76" s="49" t="s">
        <v>303</v>
      </c>
      <c r="FR76" s="49" t="s">
        <v>303</v>
      </c>
      <c r="FT76" s="49" t="s">
        <v>325</v>
      </c>
      <c r="FU76" s="49" t="s">
        <v>325</v>
      </c>
      <c r="FW76" s="49" t="s">
        <v>333</v>
      </c>
    </row>
    <row r="77" customFormat="false" ht="15" hidden="false" customHeight="false" outlineLevel="0" collapsed="false">
      <c r="A77" s="0" t="n">
        <v>100880268</v>
      </c>
      <c r="B77" s="0" t="s">
        <v>295</v>
      </c>
      <c r="C77" s="0" t="s">
        <v>64</v>
      </c>
      <c r="D77" s="0" t="s">
        <v>65</v>
      </c>
      <c r="E77" s="0" t="s">
        <v>297</v>
      </c>
      <c r="G77" s="0" t="n">
        <v>1</v>
      </c>
      <c r="H77" s="0" t="s">
        <v>298</v>
      </c>
      <c r="I77" s="48" t="n">
        <v>46297</v>
      </c>
      <c r="J77" s="0" t="n">
        <v>0</v>
      </c>
      <c r="K77" s="49" t="s">
        <v>334</v>
      </c>
      <c r="L77" s="49" t="s">
        <v>335</v>
      </c>
      <c r="M77" s="48"/>
      <c r="O77" s="49" t="s">
        <v>336</v>
      </c>
      <c r="P77" s="48"/>
      <c r="Q77" s="48" t="n">
        <v>46297</v>
      </c>
      <c r="R77" s="48" t="n">
        <v>46303</v>
      </c>
      <c r="T77" s="49" t="s">
        <v>302</v>
      </c>
      <c r="U77" s="49" t="s">
        <v>303</v>
      </c>
      <c r="Y77" s="49" t="s">
        <v>312</v>
      </c>
      <c r="AD77" s="49" t="s">
        <v>305</v>
      </c>
      <c r="AE77" s="48" t="n">
        <v>46294</v>
      </c>
      <c r="AF77" s="49" t="s">
        <v>306</v>
      </c>
      <c r="AG77" s="49" t="s">
        <v>307</v>
      </c>
      <c r="AK77" s="49" t="s">
        <v>303</v>
      </c>
      <c r="AL77" s="49" t="s">
        <v>297</v>
      </c>
      <c r="AO77" s="49" t="s">
        <v>303</v>
      </c>
      <c r="AP77" s="48"/>
      <c r="AR77" s="49" t="s">
        <v>303</v>
      </c>
      <c r="AS77" s="49" t="s">
        <v>306</v>
      </c>
      <c r="AT77" s="49" t="s">
        <v>570</v>
      </c>
      <c r="AV77" s="49" t="s">
        <v>309</v>
      </c>
      <c r="AW77" s="49" t="s">
        <v>310</v>
      </c>
      <c r="AX77" s="49" t="s">
        <v>311</v>
      </c>
      <c r="AY77" s="48"/>
      <c r="AZ77" s="48" t="n">
        <v>46295</v>
      </c>
      <c r="BC77" s="49" t="s">
        <v>303</v>
      </c>
      <c r="BD77" s="48"/>
      <c r="BE77" s="49" t="s">
        <v>312</v>
      </c>
      <c r="BF77" s="49" t="s">
        <v>303</v>
      </c>
      <c r="BG77" s="48"/>
      <c r="BI77" s="48"/>
      <c r="BJ77" s="48" t="n">
        <v>46302</v>
      </c>
      <c r="BK77" s="49" t="s">
        <v>313</v>
      </c>
      <c r="BL77" s="49" t="s">
        <v>313</v>
      </c>
      <c r="BM77" s="49" t="s">
        <v>310</v>
      </c>
      <c r="BN77" s="48"/>
      <c r="BO77" s="48"/>
      <c r="BP77" s="48"/>
      <c r="BR77" s="48" t="n">
        <v>46302</v>
      </c>
      <c r="BS77" s="49" t="s">
        <v>312</v>
      </c>
      <c r="BT77" s="49" t="s">
        <v>312</v>
      </c>
      <c r="BU77" s="49" t="s">
        <v>313</v>
      </c>
      <c r="BV77" s="49" t="s">
        <v>303</v>
      </c>
      <c r="BX77" s="0" t="n">
        <v>0</v>
      </c>
      <c r="CC77" s="49" t="s">
        <v>315</v>
      </c>
      <c r="CD77" s="49" t="s">
        <v>303</v>
      </c>
      <c r="CF77" s="49" t="s">
        <v>303</v>
      </c>
      <c r="CG77" s="49" t="s">
        <v>316</v>
      </c>
      <c r="CH77" s="49" t="s">
        <v>317</v>
      </c>
      <c r="CI77" s="49" t="s">
        <v>318</v>
      </c>
      <c r="CM77" s="49" t="s">
        <v>65</v>
      </c>
      <c r="CV77" s="49" t="s">
        <v>303</v>
      </c>
      <c r="DB77" s="49" t="s">
        <v>319</v>
      </c>
      <c r="DD77" s="48" t="n">
        <v>46294</v>
      </c>
      <c r="DF77" s="49" t="s">
        <v>310</v>
      </c>
      <c r="DG77" s="49" t="s">
        <v>320</v>
      </c>
      <c r="DH77" s="49" t="s">
        <v>64</v>
      </c>
      <c r="DI77" s="49" t="s">
        <v>298</v>
      </c>
      <c r="DJ77" s="49" t="s">
        <v>394</v>
      </c>
      <c r="DK77" s="49" t="s">
        <v>322</v>
      </c>
      <c r="DL77" s="49" t="s">
        <v>323</v>
      </c>
      <c r="DM77" s="49" t="s">
        <v>303</v>
      </c>
      <c r="DN77" s="49" t="s">
        <v>297</v>
      </c>
      <c r="DO77" s="48"/>
      <c r="DP77" s="49" t="s">
        <v>312</v>
      </c>
      <c r="DQ77" s="48"/>
      <c r="DR77" s="49" t="s">
        <v>312</v>
      </c>
      <c r="DS77" s="49" t="s">
        <v>303</v>
      </c>
      <c r="DT77" s="49" t="s">
        <v>303</v>
      </c>
      <c r="DW77" s="49" t="s">
        <v>303</v>
      </c>
      <c r="EA77" s="49" t="s">
        <v>324</v>
      </c>
      <c r="EB77" s="49" t="s">
        <v>303</v>
      </c>
      <c r="EF77" s="49" t="s">
        <v>550</v>
      </c>
      <c r="EH77" s="49" t="s">
        <v>310</v>
      </c>
      <c r="EJ77" s="49" t="s">
        <v>303</v>
      </c>
      <c r="EK77" s="49" t="s">
        <v>571</v>
      </c>
      <c r="EM77" s="49" t="s">
        <v>303</v>
      </c>
      <c r="EN77" s="49" t="s">
        <v>396</v>
      </c>
      <c r="EP77" s="49" t="s">
        <v>298</v>
      </c>
      <c r="EQ77" s="0" t="n">
        <v>1</v>
      </c>
      <c r="ER77" s="49" t="s">
        <v>328</v>
      </c>
      <c r="ES77" s="49" t="s">
        <v>329</v>
      </c>
      <c r="ET77" s="49" t="s">
        <v>310</v>
      </c>
      <c r="EU77" s="49" t="s">
        <v>310</v>
      </c>
      <c r="EV77" s="49" t="s">
        <v>310</v>
      </c>
      <c r="EX77" s="49" t="s">
        <v>303</v>
      </c>
      <c r="EY77" s="49" t="s">
        <v>303</v>
      </c>
      <c r="FC77" s="49" t="s">
        <v>330</v>
      </c>
      <c r="FD77" s="49" t="s">
        <v>310</v>
      </c>
      <c r="FE77" s="49" t="s">
        <v>310</v>
      </c>
      <c r="FF77" s="49" t="s">
        <v>64</v>
      </c>
      <c r="FG77" s="49" t="s">
        <v>397</v>
      </c>
      <c r="FH77" s="49" t="s">
        <v>310</v>
      </c>
      <c r="FI77" s="49" t="s">
        <v>332</v>
      </c>
      <c r="FJ77" s="49" t="s">
        <v>303</v>
      </c>
      <c r="FL77" s="49" t="s">
        <v>325</v>
      </c>
      <c r="FM77" s="49" t="s">
        <v>334</v>
      </c>
      <c r="FP77" s="49" t="s">
        <v>303</v>
      </c>
      <c r="FR77" s="49" t="s">
        <v>303</v>
      </c>
      <c r="FT77" s="49" t="s">
        <v>325</v>
      </c>
      <c r="FU77" s="49" t="s">
        <v>325</v>
      </c>
      <c r="FW77" s="49" t="s">
        <v>333</v>
      </c>
    </row>
    <row r="78" customFormat="false" ht="15" hidden="false" customHeight="false" outlineLevel="0" collapsed="false">
      <c r="A78" s="0" t="n">
        <v>100880269</v>
      </c>
      <c r="B78" s="0" t="s">
        <v>295</v>
      </c>
      <c r="C78" s="0" t="s">
        <v>64</v>
      </c>
      <c r="D78" s="0" t="s">
        <v>65</v>
      </c>
      <c r="E78" s="0" t="s">
        <v>297</v>
      </c>
      <c r="G78" s="0" t="n">
        <v>1</v>
      </c>
      <c r="H78" s="0" t="s">
        <v>298</v>
      </c>
      <c r="I78" s="48" t="n">
        <v>46297</v>
      </c>
      <c r="J78" s="0" t="n">
        <v>0</v>
      </c>
      <c r="K78" s="49" t="s">
        <v>334</v>
      </c>
      <c r="L78" s="49" t="s">
        <v>335</v>
      </c>
      <c r="M78" s="48"/>
      <c r="O78" s="49" t="s">
        <v>336</v>
      </c>
      <c r="P78" s="48"/>
      <c r="Q78" s="48" t="n">
        <v>46297</v>
      </c>
      <c r="R78" s="48" t="n">
        <v>46303</v>
      </c>
      <c r="T78" s="49" t="s">
        <v>302</v>
      </c>
      <c r="U78" s="49" t="s">
        <v>303</v>
      </c>
      <c r="Y78" s="49" t="s">
        <v>312</v>
      </c>
      <c r="AD78" s="49" t="s">
        <v>305</v>
      </c>
      <c r="AE78" s="48" t="n">
        <v>46294</v>
      </c>
      <c r="AF78" s="49" t="s">
        <v>306</v>
      </c>
      <c r="AG78" s="49" t="s">
        <v>307</v>
      </c>
      <c r="AK78" s="49" t="s">
        <v>303</v>
      </c>
      <c r="AL78" s="49" t="s">
        <v>297</v>
      </c>
      <c r="AO78" s="49" t="s">
        <v>303</v>
      </c>
      <c r="AP78" s="48"/>
      <c r="AR78" s="49" t="s">
        <v>303</v>
      </c>
      <c r="AS78" s="49" t="s">
        <v>306</v>
      </c>
      <c r="AT78" s="49" t="s">
        <v>572</v>
      </c>
      <c r="AV78" s="49" t="s">
        <v>309</v>
      </c>
      <c r="AW78" s="49" t="s">
        <v>310</v>
      </c>
      <c r="AX78" s="49" t="s">
        <v>311</v>
      </c>
      <c r="AY78" s="48"/>
      <c r="AZ78" s="48" t="n">
        <v>46295</v>
      </c>
      <c r="BC78" s="49" t="s">
        <v>303</v>
      </c>
      <c r="BD78" s="48"/>
      <c r="BE78" s="49" t="s">
        <v>312</v>
      </c>
      <c r="BF78" s="49" t="s">
        <v>303</v>
      </c>
      <c r="BG78" s="48"/>
      <c r="BI78" s="48"/>
      <c r="BJ78" s="48" t="n">
        <v>46302</v>
      </c>
      <c r="BK78" s="49" t="s">
        <v>313</v>
      </c>
      <c r="BL78" s="49" t="s">
        <v>313</v>
      </c>
      <c r="BM78" s="49" t="s">
        <v>310</v>
      </c>
      <c r="BN78" s="48"/>
      <c r="BO78" s="48"/>
      <c r="BP78" s="48"/>
      <c r="BR78" s="48" t="n">
        <v>46302</v>
      </c>
      <c r="BS78" s="49" t="s">
        <v>312</v>
      </c>
      <c r="BT78" s="49" t="s">
        <v>312</v>
      </c>
      <c r="BU78" s="49" t="s">
        <v>313</v>
      </c>
      <c r="BV78" s="49" t="s">
        <v>303</v>
      </c>
      <c r="BX78" s="0" t="n">
        <v>0</v>
      </c>
      <c r="CC78" s="49" t="s">
        <v>315</v>
      </c>
      <c r="CD78" s="49" t="s">
        <v>303</v>
      </c>
      <c r="CF78" s="49" t="s">
        <v>303</v>
      </c>
      <c r="CG78" s="49" t="s">
        <v>316</v>
      </c>
      <c r="CH78" s="49" t="s">
        <v>317</v>
      </c>
      <c r="CI78" s="49" t="s">
        <v>318</v>
      </c>
      <c r="CM78" s="49" t="s">
        <v>65</v>
      </c>
      <c r="CV78" s="49" t="s">
        <v>303</v>
      </c>
      <c r="DB78" s="49" t="s">
        <v>319</v>
      </c>
      <c r="DD78" s="48" t="n">
        <v>46294</v>
      </c>
      <c r="DF78" s="49" t="s">
        <v>310</v>
      </c>
      <c r="DG78" s="49" t="s">
        <v>320</v>
      </c>
      <c r="DH78" s="49" t="s">
        <v>64</v>
      </c>
      <c r="DI78" s="49" t="s">
        <v>298</v>
      </c>
      <c r="DJ78" s="49" t="s">
        <v>394</v>
      </c>
      <c r="DK78" s="49" t="s">
        <v>322</v>
      </c>
      <c r="DL78" s="49" t="s">
        <v>323</v>
      </c>
      <c r="DM78" s="49" t="s">
        <v>303</v>
      </c>
      <c r="DN78" s="49" t="s">
        <v>297</v>
      </c>
      <c r="DO78" s="48"/>
      <c r="DP78" s="49" t="s">
        <v>312</v>
      </c>
      <c r="DQ78" s="48"/>
      <c r="DR78" s="49" t="s">
        <v>312</v>
      </c>
      <c r="DS78" s="49" t="s">
        <v>303</v>
      </c>
      <c r="DT78" s="49" t="s">
        <v>303</v>
      </c>
      <c r="DW78" s="49" t="s">
        <v>303</v>
      </c>
      <c r="EA78" s="49" t="s">
        <v>324</v>
      </c>
      <c r="EB78" s="49" t="s">
        <v>303</v>
      </c>
      <c r="EF78" s="49" t="s">
        <v>550</v>
      </c>
      <c r="EH78" s="49" t="s">
        <v>310</v>
      </c>
      <c r="EJ78" s="49" t="s">
        <v>303</v>
      </c>
      <c r="EK78" s="49" t="s">
        <v>573</v>
      </c>
      <c r="EM78" s="49" t="s">
        <v>303</v>
      </c>
      <c r="EN78" s="49" t="s">
        <v>396</v>
      </c>
      <c r="EP78" s="49" t="s">
        <v>298</v>
      </c>
      <c r="EQ78" s="0" t="n">
        <v>1</v>
      </c>
      <c r="ER78" s="49" t="s">
        <v>328</v>
      </c>
      <c r="ES78" s="49" t="s">
        <v>329</v>
      </c>
      <c r="ET78" s="49" t="s">
        <v>310</v>
      </c>
      <c r="EU78" s="49" t="s">
        <v>310</v>
      </c>
      <c r="EV78" s="49" t="s">
        <v>310</v>
      </c>
      <c r="EX78" s="49" t="s">
        <v>303</v>
      </c>
      <c r="EY78" s="49" t="s">
        <v>303</v>
      </c>
      <c r="FC78" s="49" t="s">
        <v>330</v>
      </c>
      <c r="FD78" s="49" t="s">
        <v>310</v>
      </c>
      <c r="FE78" s="49" t="s">
        <v>310</v>
      </c>
      <c r="FF78" s="49" t="s">
        <v>64</v>
      </c>
      <c r="FG78" s="49" t="s">
        <v>397</v>
      </c>
      <c r="FH78" s="49" t="s">
        <v>310</v>
      </c>
      <c r="FI78" s="49" t="s">
        <v>332</v>
      </c>
      <c r="FJ78" s="49" t="s">
        <v>303</v>
      </c>
      <c r="FL78" s="49" t="s">
        <v>325</v>
      </c>
      <c r="FM78" s="49" t="s">
        <v>334</v>
      </c>
      <c r="FP78" s="49" t="s">
        <v>303</v>
      </c>
      <c r="FR78" s="49" t="s">
        <v>303</v>
      </c>
      <c r="FT78" s="49" t="s">
        <v>325</v>
      </c>
      <c r="FU78" s="49" t="s">
        <v>325</v>
      </c>
      <c r="FW78" s="49" t="s">
        <v>333</v>
      </c>
    </row>
    <row r="79" customFormat="false" ht="15" hidden="false" customHeight="false" outlineLevel="0" collapsed="false">
      <c r="A79" s="0" t="n">
        <v>100880270</v>
      </c>
      <c r="B79" s="0" t="s">
        <v>295</v>
      </c>
      <c r="C79" s="0" t="s">
        <v>64</v>
      </c>
      <c r="D79" s="0" t="s">
        <v>65</v>
      </c>
      <c r="E79" s="0" t="s">
        <v>297</v>
      </c>
      <c r="G79" s="0" t="n">
        <v>1</v>
      </c>
      <c r="H79" s="0" t="s">
        <v>298</v>
      </c>
      <c r="I79" s="48" t="n">
        <v>46297</v>
      </c>
      <c r="J79" s="0" t="n">
        <v>0</v>
      </c>
      <c r="K79" s="49" t="s">
        <v>334</v>
      </c>
      <c r="L79" s="49" t="s">
        <v>335</v>
      </c>
      <c r="M79" s="48"/>
      <c r="O79" s="49" t="s">
        <v>336</v>
      </c>
      <c r="P79" s="48"/>
      <c r="Q79" s="48" t="n">
        <v>46297</v>
      </c>
      <c r="R79" s="48" t="n">
        <v>46303</v>
      </c>
      <c r="T79" s="49" t="s">
        <v>302</v>
      </c>
      <c r="U79" s="49" t="s">
        <v>303</v>
      </c>
      <c r="Y79" s="49" t="s">
        <v>312</v>
      </c>
      <c r="AD79" s="49" t="s">
        <v>305</v>
      </c>
      <c r="AE79" s="48" t="n">
        <v>46294</v>
      </c>
      <c r="AF79" s="49" t="s">
        <v>306</v>
      </c>
      <c r="AG79" s="49" t="s">
        <v>307</v>
      </c>
      <c r="AK79" s="49" t="s">
        <v>303</v>
      </c>
      <c r="AL79" s="49" t="s">
        <v>297</v>
      </c>
      <c r="AO79" s="49" t="s">
        <v>303</v>
      </c>
      <c r="AP79" s="48"/>
      <c r="AR79" s="49" t="s">
        <v>303</v>
      </c>
      <c r="AS79" s="49" t="s">
        <v>306</v>
      </c>
      <c r="AT79" s="49" t="s">
        <v>574</v>
      </c>
      <c r="AV79" s="49" t="s">
        <v>309</v>
      </c>
      <c r="AW79" s="49" t="s">
        <v>310</v>
      </c>
      <c r="AX79" s="49" t="s">
        <v>311</v>
      </c>
      <c r="AY79" s="48"/>
      <c r="AZ79" s="48" t="n">
        <v>46295</v>
      </c>
      <c r="BC79" s="49" t="s">
        <v>303</v>
      </c>
      <c r="BD79" s="48"/>
      <c r="BE79" s="49" t="s">
        <v>312</v>
      </c>
      <c r="BF79" s="49" t="s">
        <v>303</v>
      </c>
      <c r="BG79" s="48"/>
      <c r="BI79" s="48"/>
      <c r="BJ79" s="48" t="n">
        <v>46302</v>
      </c>
      <c r="BK79" s="49" t="s">
        <v>313</v>
      </c>
      <c r="BL79" s="49" t="s">
        <v>313</v>
      </c>
      <c r="BM79" s="49" t="s">
        <v>310</v>
      </c>
      <c r="BN79" s="48"/>
      <c r="BO79" s="48"/>
      <c r="BP79" s="48"/>
      <c r="BR79" s="48" t="n">
        <v>46302</v>
      </c>
      <c r="BS79" s="49" t="s">
        <v>312</v>
      </c>
      <c r="BT79" s="49" t="s">
        <v>312</v>
      </c>
      <c r="BU79" s="49" t="s">
        <v>313</v>
      </c>
      <c r="BV79" s="49" t="s">
        <v>303</v>
      </c>
      <c r="BX79" s="0" t="n">
        <v>0</v>
      </c>
      <c r="CC79" s="49" t="s">
        <v>315</v>
      </c>
      <c r="CD79" s="49" t="s">
        <v>303</v>
      </c>
      <c r="CF79" s="49" t="s">
        <v>303</v>
      </c>
      <c r="CG79" s="49" t="s">
        <v>316</v>
      </c>
      <c r="CH79" s="49" t="s">
        <v>317</v>
      </c>
      <c r="CI79" s="49" t="s">
        <v>318</v>
      </c>
      <c r="CM79" s="49" t="s">
        <v>65</v>
      </c>
      <c r="CV79" s="49" t="s">
        <v>303</v>
      </c>
      <c r="DB79" s="49" t="s">
        <v>319</v>
      </c>
      <c r="DD79" s="48" t="n">
        <v>46294</v>
      </c>
      <c r="DF79" s="49" t="s">
        <v>310</v>
      </c>
      <c r="DG79" s="49" t="s">
        <v>320</v>
      </c>
      <c r="DH79" s="49" t="s">
        <v>64</v>
      </c>
      <c r="DI79" s="49" t="s">
        <v>298</v>
      </c>
      <c r="DJ79" s="49" t="s">
        <v>394</v>
      </c>
      <c r="DK79" s="49" t="s">
        <v>322</v>
      </c>
      <c r="DL79" s="49" t="s">
        <v>323</v>
      </c>
      <c r="DM79" s="49" t="s">
        <v>303</v>
      </c>
      <c r="DN79" s="49" t="s">
        <v>297</v>
      </c>
      <c r="DO79" s="48"/>
      <c r="DP79" s="49" t="s">
        <v>312</v>
      </c>
      <c r="DQ79" s="48"/>
      <c r="DR79" s="49" t="s">
        <v>312</v>
      </c>
      <c r="DS79" s="49" t="s">
        <v>303</v>
      </c>
      <c r="DT79" s="49" t="s">
        <v>303</v>
      </c>
      <c r="DW79" s="49" t="s">
        <v>303</v>
      </c>
      <c r="EA79" s="49" t="s">
        <v>324</v>
      </c>
      <c r="EB79" s="49" t="s">
        <v>303</v>
      </c>
      <c r="EF79" s="49" t="s">
        <v>550</v>
      </c>
      <c r="EH79" s="49" t="s">
        <v>310</v>
      </c>
      <c r="EJ79" s="49" t="s">
        <v>303</v>
      </c>
      <c r="EK79" s="49" t="s">
        <v>575</v>
      </c>
      <c r="EM79" s="49" t="s">
        <v>303</v>
      </c>
      <c r="EN79" s="49" t="s">
        <v>396</v>
      </c>
      <c r="EP79" s="49" t="s">
        <v>298</v>
      </c>
      <c r="EQ79" s="0" t="n">
        <v>1</v>
      </c>
      <c r="ER79" s="49" t="s">
        <v>328</v>
      </c>
      <c r="ES79" s="49" t="s">
        <v>329</v>
      </c>
      <c r="ET79" s="49" t="s">
        <v>310</v>
      </c>
      <c r="EU79" s="49" t="s">
        <v>310</v>
      </c>
      <c r="EV79" s="49" t="s">
        <v>310</v>
      </c>
      <c r="EX79" s="49" t="s">
        <v>303</v>
      </c>
      <c r="EY79" s="49" t="s">
        <v>303</v>
      </c>
      <c r="FC79" s="49" t="s">
        <v>330</v>
      </c>
      <c r="FD79" s="49" t="s">
        <v>310</v>
      </c>
      <c r="FE79" s="49" t="s">
        <v>310</v>
      </c>
      <c r="FF79" s="49" t="s">
        <v>64</v>
      </c>
      <c r="FG79" s="49" t="s">
        <v>397</v>
      </c>
      <c r="FH79" s="49" t="s">
        <v>310</v>
      </c>
      <c r="FI79" s="49" t="s">
        <v>332</v>
      </c>
      <c r="FJ79" s="49" t="s">
        <v>303</v>
      </c>
      <c r="FL79" s="49" t="s">
        <v>325</v>
      </c>
      <c r="FM79" s="49" t="s">
        <v>334</v>
      </c>
      <c r="FP79" s="49" t="s">
        <v>303</v>
      </c>
      <c r="FR79" s="49" t="s">
        <v>303</v>
      </c>
      <c r="FT79" s="49" t="s">
        <v>325</v>
      </c>
      <c r="FU79" s="49" t="s">
        <v>325</v>
      </c>
      <c r="FW79" s="49" t="s">
        <v>333</v>
      </c>
    </row>
    <row r="80" customFormat="false" ht="15" hidden="false" customHeight="false" outlineLevel="0" collapsed="false">
      <c r="A80" s="0" t="n">
        <v>100880271</v>
      </c>
      <c r="B80" s="0" t="s">
        <v>295</v>
      </c>
      <c r="C80" s="0" t="s">
        <v>64</v>
      </c>
      <c r="D80" s="0" t="s">
        <v>65</v>
      </c>
      <c r="E80" s="0" t="s">
        <v>297</v>
      </c>
      <c r="G80" s="0" t="n">
        <v>1</v>
      </c>
      <c r="H80" s="0" t="s">
        <v>298</v>
      </c>
      <c r="I80" s="48" t="n">
        <v>46297</v>
      </c>
      <c r="J80" s="0" t="n">
        <v>0</v>
      </c>
      <c r="K80" s="49" t="s">
        <v>334</v>
      </c>
      <c r="L80" s="49" t="s">
        <v>335</v>
      </c>
      <c r="M80" s="48"/>
      <c r="O80" s="49" t="s">
        <v>336</v>
      </c>
      <c r="P80" s="48"/>
      <c r="Q80" s="48" t="n">
        <v>46297</v>
      </c>
      <c r="R80" s="48" t="n">
        <v>46303</v>
      </c>
      <c r="T80" s="49" t="s">
        <v>302</v>
      </c>
      <c r="U80" s="49" t="s">
        <v>303</v>
      </c>
      <c r="Y80" s="49" t="s">
        <v>312</v>
      </c>
      <c r="AD80" s="49" t="s">
        <v>305</v>
      </c>
      <c r="AE80" s="48" t="n">
        <v>46294</v>
      </c>
      <c r="AF80" s="49" t="s">
        <v>306</v>
      </c>
      <c r="AG80" s="49" t="s">
        <v>307</v>
      </c>
      <c r="AK80" s="49" t="s">
        <v>303</v>
      </c>
      <c r="AL80" s="49" t="s">
        <v>297</v>
      </c>
      <c r="AO80" s="49" t="s">
        <v>303</v>
      </c>
      <c r="AP80" s="48"/>
      <c r="AR80" s="49" t="s">
        <v>303</v>
      </c>
      <c r="AS80" s="49" t="s">
        <v>306</v>
      </c>
      <c r="AT80" s="49" t="s">
        <v>576</v>
      </c>
      <c r="AV80" s="49" t="s">
        <v>309</v>
      </c>
      <c r="AW80" s="49" t="s">
        <v>310</v>
      </c>
      <c r="AX80" s="49" t="s">
        <v>311</v>
      </c>
      <c r="AY80" s="48"/>
      <c r="AZ80" s="48" t="n">
        <v>46295</v>
      </c>
      <c r="BC80" s="49" t="s">
        <v>303</v>
      </c>
      <c r="BD80" s="48"/>
      <c r="BE80" s="49" t="s">
        <v>312</v>
      </c>
      <c r="BF80" s="49" t="s">
        <v>303</v>
      </c>
      <c r="BG80" s="48"/>
      <c r="BI80" s="48"/>
      <c r="BJ80" s="48" t="n">
        <v>46302</v>
      </c>
      <c r="BK80" s="49" t="s">
        <v>313</v>
      </c>
      <c r="BL80" s="49" t="s">
        <v>313</v>
      </c>
      <c r="BM80" s="49" t="s">
        <v>310</v>
      </c>
      <c r="BN80" s="48"/>
      <c r="BO80" s="48"/>
      <c r="BP80" s="48"/>
      <c r="BR80" s="48" t="n">
        <v>46302</v>
      </c>
      <c r="BS80" s="49" t="s">
        <v>312</v>
      </c>
      <c r="BT80" s="49" t="s">
        <v>312</v>
      </c>
      <c r="BU80" s="49" t="s">
        <v>313</v>
      </c>
      <c r="BV80" s="49" t="s">
        <v>303</v>
      </c>
      <c r="BX80" s="0" t="n">
        <v>0</v>
      </c>
      <c r="CC80" s="49" t="s">
        <v>315</v>
      </c>
      <c r="CD80" s="49" t="s">
        <v>303</v>
      </c>
      <c r="CF80" s="49" t="s">
        <v>303</v>
      </c>
      <c r="CG80" s="49" t="s">
        <v>316</v>
      </c>
      <c r="CH80" s="49" t="s">
        <v>317</v>
      </c>
      <c r="CI80" s="49" t="s">
        <v>318</v>
      </c>
      <c r="CM80" s="49" t="s">
        <v>65</v>
      </c>
      <c r="CV80" s="49" t="s">
        <v>303</v>
      </c>
      <c r="DB80" s="49" t="s">
        <v>319</v>
      </c>
      <c r="DD80" s="48" t="n">
        <v>46294</v>
      </c>
      <c r="DF80" s="49" t="s">
        <v>310</v>
      </c>
      <c r="DG80" s="49" t="s">
        <v>320</v>
      </c>
      <c r="DH80" s="49" t="s">
        <v>64</v>
      </c>
      <c r="DI80" s="49" t="s">
        <v>298</v>
      </c>
      <c r="DJ80" s="49" t="s">
        <v>394</v>
      </c>
      <c r="DK80" s="49" t="s">
        <v>322</v>
      </c>
      <c r="DL80" s="49" t="s">
        <v>323</v>
      </c>
      <c r="DM80" s="49" t="s">
        <v>303</v>
      </c>
      <c r="DN80" s="49" t="s">
        <v>297</v>
      </c>
      <c r="DO80" s="48"/>
      <c r="DP80" s="49" t="s">
        <v>312</v>
      </c>
      <c r="DQ80" s="48"/>
      <c r="DR80" s="49" t="s">
        <v>312</v>
      </c>
      <c r="DS80" s="49" t="s">
        <v>303</v>
      </c>
      <c r="DT80" s="49" t="s">
        <v>303</v>
      </c>
      <c r="DW80" s="49" t="s">
        <v>303</v>
      </c>
      <c r="EA80" s="49" t="s">
        <v>324</v>
      </c>
      <c r="EB80" s="49" t="s">
        <v>303</v>
      </c>
      <c r="EF80" s="49" t="s">
        <v>550</v>
      </c>
      <c r="EH80" s="49" t="s">
        <v>310</v>
      </c>
      <c r="EJ80" s="49" t="s">
        <v>303</v>
      </c>
      <c r="EK80" s="49" t="s">
        <v>577</v>
      </c>
      <c r="EM80" s="49" t="s">
        <v>303</v>
      </c>
      <c r="EN80" s="49" t="s">
        <v>396</v>
      </c>
      <c r="EP80" s="49" t="s">
        <v>298</v>
      </c>
      <c r="EQ80" s="0" t="n">
        <v>1</v>
      </c>
      <c r="ER80" s="49" t="s">
        <v>328</v>
      </c>
      <c r="ES80" s="49" t="s">
        <v>329</v>
      </c>
      <c r="ET80" s="49" t="s">
        <v>310</v>
      </c>
      <c r="EU80" s="49" t="s">
        <v>310</v>
      </c>
      <c r="EV80" s="49" t="s">
        <v>310</v>
      </c>
      <c r="EX80" s="49" t="s">
        <v>303</v>
      </c>
      <c r="EY80" s="49" t="s">
        <v>303</v>
      </c>
      <c r="FC80" s="49" t="s">
        <v>330</v>
      </c>
      <c r="FD80" s="49" t="s">
        <v>310</v>
      </c>
      <c r="FE80" s="49" t="s">
        <v>310</v>
      </c>
      <c r="FF80" s="49" t="s">
        <v>64</v>
      </c>
      <c r="FG80" s="49" t="s">
        <v>397</v>
      </c>
      <c r="FH80" s="49" t="s">
        <v>310</v>
      </c>
      <c r="FI80" s="49" t="s">
        <v>332</v>
      </c>
      <c r="FJ80" s="49" t="s">
        <v>303</v>
      </c>
      <c r="FL80" s="49" t="s">
        <v>325</v>
      </c>
      <c r="FM80" s="49" t="s">
        <v>334</v>
      </c>
      <c r="FP80" s="49" t="s">
        <v>303</v>
      </c>
      <c r="FR80" s="49" t="s">
        <v>303</v>
      </c>
      <c r="FT80" s="49" t="s">
        <v>325</v>
      </c>
      <c r="FU80" s="49" t="s">
        <v>325</v>
      </c>
      <c r="FW80" s="49" t="s">
        <v>333</v>
      </c>
    </row>
    <row r="81" customFormat="false" ht="15" hidden="false" customHeight="false" outlineLevel="0" collapsed="false">
      <c r="A81" s="0" t="n">
        <v>100880272</v>
      </c>
      <c r="B81" s="0" t="s">
        <v>295</v>
      </c>
      <c r="C81" s="0" t="s">
        <v>64</v>
      </c>
      <c r="D81" s="0" t="s">
        <v>65</v>
      </c>
      <c r="E81" s="0" t="s">
        <v>297</v>
      </c>
      <c r="G81" s="0" t="n">
        <v>1</v>
      </c>
      <c r="H81" s="0" t="s">
        <v>298</v>
      </c>
      <c r="I81" s="48" t="n">
        <v>46297</v>
      </c>
      <c r="J81" s="0" t="n">
        <v>0</v>
      </c>
      <c r="K81" s="49" t="s">
        <v>334</v>
      </c>
      <c r="L81" s="49" t="s">
        <v>335</v>
      </c>
      <c r="M81" s="48"/>
      <c r="O81" s="49" t="s">
        <v>336</v>
      </c>
      <c r="P81" s="48"/>
      <c r="Q81" s="48" t="n">
        <v>46297</v>
      </c>
      <c r="R81" s="48" t="n">
        <v>46303</v>
      </c>
      <c r="T81" s="49" t="s">
        <v>302</v>
      </c>
      <c r="U81" s="49" t="s">
        <v>303</v>
      </c>
      <c r="Y81" s="49" t="s">
        <v>312</v>
      </c>
      <c r="AD81" s="49" t="s">
        <v>305</v>
      </c>
      <c r="AE81" s="48" t="n">
        <v>46294</v>
      </c>
      <c r="AF81" s="49" t="s">
        <v>306</v>
      </c>
      <c r="AG81" s="49" t="s">
        <v>307</v>
      </c>
      <c r="AK81" s="49" t="s">
        <v>303</v>
      </c>
      <c r="AL81" s="49" t="s">
        <v>297</v>
      </c>
      <c r="AO81" s="49" t="s">
        <v>303</v>
      </c>
      <c r="AP81" s="48"/>
      <c r="AR81" s="49" t="s">
        <v>303</v>
      </c>
      <c r="AS81" s="49" t="s">
        <v>306</v>
      </c>
      <c r="AT81" s="49" t="s">
        <v>578</v>
      </c>
      <c r="AV81" s="49" t="s">
        <v>309</v>
      </c>
      <c r="AW81" s="49" t="s">
        <v>310</v>
      </c>
      <c r="AX81" s="49" t="s">
        <v>311</v>
      </c>
      <c r="AY81" s="48"/>
      <c r="AZ81" s="48" t="n">
        <v>46295</v>
      </c>
      <c r="BC81" s="49" t="s">
        <v>303</v>
      </c>
      <c r="BD81" s="48"/>
      <c r="BE81" s="49" t="s">
        <v>312</v>
      </c>
      <c r="BF81" s="49" t="s">
        <v>303</v>
      </c>
      <c r="BG81" s="48"/>
      <c r="BI81" s="48"/>
      <c r="BJ81" s="48" t="n">
        <v>46302</v>
      </c>
      <c r="BK81" s="49" t="s">
        <v>313</v>
      </c>
      <c r="BL81" s="49" t="s">
        <v>313</v>
      </c>
      <c r="BM81" s="49" t="s">
        <v>310</v>
      </c>
      <c r="BN81" s="48"/>
      <c r="BO81" s="48"/>
      <c r="BP81" s="48"/>
      <c r="BR81" s="48" t="n">
        <v>46302</v>
      </c>
      <c r="BS81" s="49" t="s">
        <v>312</v>
      </c>
      <c r="BT81" s="49" t="s">
        <v>312</v>
      </c>
      <c r="BU81" s="49" t="s">
        <v>313</v>
      </c>
      <c r="BV81" s="49" t="s">
        <v>303</v>
      </c>
      <c r="BX81" s="0" t="n">
        <v>0</v>
      </c>
      <c r="CC81" s="49" t="s">
        <v>315</v>
      </c>
      <c r="CD81" s="49" t="s">
        <v>303</v>
      </c>
      <c r="CF81" s="49" t="s">
        <v>303</v>
      </c>
      <c r="CG81" s="49" t="s">
        <v>316</v>
      </c>
      <c r="CH81" s="49" t="s">
        <v>317</v>
      </c>
      <c r="CI81" s="49" t="s">
        <v>318</v>
      </c>
      <c r="CM81" s="49" t="s">
        <v>65</v>
      </c>
      <c r="CV81" s="49" t="s">
        <v>303</v>
      </c>
      <c r="DB81" s="49" t="s">
        <v>319</v>
      </c>
      <c r="DD81" s="48" t="n">
        <v>46294</v>
      </c>
      <c r="DF81" s="49" t="s">
        <v>310</v>
      </c>
      <c r="DG81" s="49" t="s">
        <v>320</v>
      </c>
      <c r="DH81" s="49" t="s">
        <v>64</v>
      </c>
      <c r="DI81" s="49" t="s">
        <v>298</v>
      </c>
      <c r="DJ81" s="49" t="s">
        <v>394</v>
      </c>
      <c r="DK81" s="49" t="s">
        <v>322</v>
      </c>
      <c r="DL81" s="49" t="s">
        <v>323</v>
      </c>
      <c r="DM81" s="49" t="s">
        <v>303</v>
      </c>
      <c r="DN81" s="49" t="s">
        <v>297</v>
      </c>
      <c r="DO81" s="48"/>
      <c r="DP81" s="49" t="s">
        <v>312</v>
      </c>
      <c r="DQ81" s="48"/>
      <c r="DR81" s="49" t="s">
        <v>312</v>
      </c>
      <c r="DS81" s="49" t="s">
        <v>303</v>
      </c>
      <c r="DT81" s="49" t="s">
        <v>303</v>
      </c>
      <c r="DW81" s="49" t="s">
        <v>303</v>
      </c>
      <c r="EA81" s="49" t="s">
        <v>324</v>
      </c>
      <c r="EB81" s="49" t="s">
        <v>303</v>
      </c>
      <c r="EF81" s="49" t="s">
        <v>550</v>
      </c>
      <c r="EH81" s="49" t="s">
        <v>310</v>
      </c>
      <c r="EJ81" s="49" t="s">
        <v>303</v>
      </c>
      <c r="EK81" s="49" t="s">
        <v>579</v>
      </c>
      <c r="EM81" s="49" t="s">
        <v>303</v>
      </c>
      <c r="EN81" s="49" t="s">
        <v>396</v>
      </c>
      <c r="EP81" s="49" t="s">
        <v>298</v>
      </c>
      <c r="EQ81" s="0" t="n">
        <v>1</v>
      </c>
      <c r="ER81" s="49" t="s">
        <v>328</v>
      </c>
      <c r="ES81" s="49" t="s">
        <v>329</v>
      </c>
      <c r="ET81" s="49" t="s">
        <v>310</v>
      </c>
      <c r="EU81" s="49" t="s">
        <v>310</v>
      </c>
      <c r="EV81" s="49" t="s">
        <v>310</v>
      </c>
      <c r="EX81" s="49" t="s">
        <v>303</v>
      </c>
      <c r="EY81" s="49" t="s">
        <v>303</v>
      </c>
      <c r="FC81" s="49" t="s">
        <v>330</v>
      </c>
      <c r="FD81" s="49" t="s">
        <v>310</v>
      </c>
      <c r="FE81" s="49" t="s">
        <v>310</v>
      </c>
      <c r="FF81" s="49" t="s">
        <v>64</v>
      </c>
      <c r="FG81" s="49" t="s">
        <v>397</v>
      </c>
      <c r="FH81" s="49" t="s">
        <v>310</v>
      </c>
      <c r="FI81" s="49" t="s">
        <v>332</v>
      </c>
      <c r="FJ81" s="49" t="s">
        <v>303</v>
      </c>
      <c r="FL81" s="49" t="s">
        <v>325</v>
      </c>
      <c r="FM81" s="49" t="s">
        <v>334</v>
      </c>
      <c r="FP81" s="49" t="s">
        <v>303</v>
      </c>
      <c r="FR81" s="49" t="s">
        <v>303</v>
      </c>
      <c r="FT81" s="49" t="s">
        <v>325</v>
      </c>
      <c r="FU81" s="49" t="s">
        <v>325</v>
      </c>
      <c r="FW81" s="49" t="s">
        <v>333</v>
      </c>
    </row>
    <row r="82" customFormat="false" ht="15" hidden="false" customHeight="false" outlineLevel="0" collapsed="false">
      <c r="A82" s="0" t="n">
        <v>100880273</v>
      </c>
      <c r="B82" s="0" t="s">
        <v>295</v>
      </c>
      <c r="C82" s="0" t="s">
        <v>64</v>
      </c>
      <c r="D82" s="0" t="s">
        <v>65</v>
      </c>
      <c r="E82" s="0" t="s">
        <v>297</v>
      </c>
      <c r="G82" s="0" t="n">
        <v>1</v>
      </c>
      <c r="H82" s="0" t="s">
        <v>298</v>
      </c>
      <c r="I82" s="48" t="n">
        <v>46297</v>
      </c>
      <c r="J82" s="0" t="n">
        <v>0</v>
      </c>
      <c r="K82" s="49" t="s">
        <v>334</v>
      </c>
      <c r="L82" s="49" t="s">
        <v>335</v>
      </c>
      <c r="M82" s="48"/>
      <c r="O82" s="49" t="s">
        <v>336</v>
      </c>
      <c r="P82" s="48"/>
      <c r="Q82" s="48" t="n">
        <v>46297</v>
      </c>
      <c r="R82" s="48" t="n">
        <v>46303</v>
      </c>
      <c r="T82" s="49" t="s">
        <v>302</v>
      </c>
      <c r="U82" s="49" t="s">
        <v>303</v>
      </c>
      <c r="Y82" s="49" t="s">
        <v>312</v>
      </c>
      <c r="AD82" s="49" t="s">
        <v>305</v>
      </c>
      <c r="AE82" s="48" t="n">
        <v>46294</v>
      </c>
      <c r="AF82" s="49" t="s">
        <v>306</v>
      </c>
      <c r="AG82" s="49" t="s">
        <v>307</v>
      </c>
      <c r="AK82" s="49" t="s">
        <v>303</v>
      </c>
      <c r="AL82" s="49" t="s">
        <v>297</v>
      </c>
      <c r="AO82" s="49" t="s">
        <v>303</v>
      </c>
      <c r="AP82" s="48"/>
      <c r="AR82" s="49" t="s">
        <v>303</v>
      </c>
      <c r="AS82" s="49" t="s">
        <v>306</v>
      </c>
      <c r="AT82" s="49" t="s">
        <v>580</v>
      </c>
      <c r="AV82" s="49" t="s">
        <v>309</v>
      </c>
      <c r="AW82" s="49" t="s">
        <v>310</v>
      </c>
      <c r="AX82" s="49" t="s">
        <v>311</v>
      </c>
      <c r="AY82" s="48"/>
      <c r="AZ82" s="48" t="n">
        <v>46295</v>
      </c>
      <c r="BC82" s="49" t="s">
        <v>303</v>
      </c>
      <c r="BD82" s="48"/>
      <c r="BE82" s="49" t="s">
        <v>312</v>
      </c>
      <c r="BF82" s="49" t="s">
        <v>303</v>
      </c>
      <c r="BG82" s="48"/>
      <c r="BI82" s="48"/>
      <c r="BJ82" s="48" t="n">
        <v>46302</v>
      </c>
      <c r="BK82" s="49" t="s">
        <v>313</v>
      </c>
      <c r="BL82" s="49" t="s">
        <v>313</v>
      </c>
      <c r="BM82" s="49" t="s">
        <v>310</v>
      </c>
      <c r="BN82" s="48"/>
      <c r="BO82" s="48"/>
      <c r="BP82" s="48"/>
      <c r="BR82" s="48" t="n">
        <v>46302</v>
      </c>
      <c r="BS82" s="49" t="s">
        <v>312</v>
      </c>
      <c r="BT82" s="49" t="s">
        <v>312</v>
      </c>
      <c r="BU82" s="49" t="s">
        <v>313</v>
      </c>
      <c r="BV82" s="49" t="s">
        <v>303</v>
      </c>
      <c r="BX82" s="0" t="n">
        <v>0</v>
      </c>
      <c r="CC82" s="49" t="s">
        <v>315</v>
      </c>
      <c r="CD82" s="49" t="s">
        <v>303</v>
      </c>
      <c r="CF82" s="49" t="s">
        <v>303</v>
      </c>
      <c r="CG82" s="49" t="s">
        <v>316</v>
      </c>
      <c r="CH82" s="49" t="s">
        <v>317</v>
      </c>
      <c r="CI82" s="49" t="s">
        <v>318</v>
      </c>
      <c r="CM82" s="49" t="s">
        <v>65</v>
      </c>
      <c r="CV82" s="49" t="s">
        <v>303</v>
      </c>
      <c r="DB82" s="49" t="s">
        <v>319</v>
      </c>
      <c r="DD82" s="48" t="n">
        <v>46294</v>
      </c>
      <c r="DF82" s="49" t="s">
        <v>310</v>
      </c>
      <c r="DG82" s="49" t="s">
        <v>320</v>
      </c>
      <c r="DH82" s="49" t="s">
        <v>64</v>
      </c>
      <c r="DI82" s="49" t="s">
        <v>298</v>
      </c>
      <c r="DJ82" s="49" t="s">
        <v>394</v>
      </c>
      <c r="DK82" s="49" t="s">
        <v>322</v>
      </c>
      <c r="DL82" s="49" t="s">
        <v>323</v>
      </c>
      <c r="DM82" s="49" t="s">
        <v>303</v>
      </c>
      <c r="DN82" s="49" t="s">
        <v>297</v>
      </c>
      <c r="DO82" s="48"/>
      <c r="DP82" s="49" t="s">
        <v>312</v>
      </c>
      <c r="DQ82" s="48"/>
      <c r="DR82" s="49" t="s">
        <v>312</v>
      </c>
      <c r="DS82" s="49" t="s">
        <v>303</v>
      </c>
      <c r="DT82" s="49" t="s">
        <v>303</v>
      </c>
      <c r="DW82" s="49" t="s">
        <v>303</v>
      </c>
      <c r="EA82" s="49" t="s">
        <v>324</v>
      </c>
      <c r="EB82" s="49" t="s">
        <v>303</v>
      </c>
      <c r="EF82" s="49" t="s">
        <v>550</v>
      </c>
      <c r="EH82" s="49" t="s">
        <v>310</v>
      </c>
      <c r="EJ82" s="49" t="s">
        <v>303</v>
      </c>
      <c r="EK82" s="49" t="s">
        <v>581</v>
      </c>
      <c r="EM82" s="49" t="s">
        <v>303</v>
      </c>
      <c r="EN82" s="49" t="s">
        <v>396</v>
      </c>
      <c r="EP82" s="49" t="s">
        <v>298</v>
      </c>
      <c r="EQ82" s="0" t="n">
        <v>1</v>
      </c>
      <c r="ER82" s="49" t="s">
        <v>328</v>
      </c>
      <c r="ES82" s="49" t="s">
        <v>329</v>
      </c>
      <c r="ET82" s="49" t="s">
        <v>310</v>
      </c>
      <c r="EU82" s="49" t="s">
        <v>310</v>
      </c>
      <c r="EV82" s="49" t="s">
        <v>310</v>
      </c>
      <c r="EX82" s="49" t="s">
        <v>303</v>
      </c>
      <c r="EY82" s="49" t="s">
        <v>303</v>
      </c>
      <c r="FC82" s="49" t="s">
        <v>330</v>
      </c>
      <c r="FD82" s="49" t="s">
        <v>310</v>
      </c>
      <c r="FE82" s="49" t="s">
        <v>310</v>
      </c>
      <c r="FF82" s="49" t="s">
        <v>64</v>
      </c>
      <c r="FG82" s="49" t="s">
        <v>397</v>
      </c>
      <c r="FH82" s="49" t="s">
        <v>310</v>
      </c>
      <c r="FI82" s="49" t="s">
        <v>332</v>
      </c>
      <c r="FJ82" s="49" t="s">
        <v>303</v>
      </c>
      <c r="FL82" s="49" t="s">
        <v>325</v>
      </c>
      <c r="FM82" s="49" t="s">
        <v>334</v>
      </c>
      <c r="FP82" s="49" t="s">
        <v>303</v>
      </c>
      <c r="FR82" s="49" t="s">
        <v>303</v>
      </c>
      <c r="FT82" s="49" t="s">
        <v>325</v>
      </c>
      <c r="FU82" s="49" t="s">
        <v>325</v>
      </c>
      <c r="FW82" s="49" t="s">
        <v>333</v>
      </c>
    </row>
    <row r="83" customFormat="false" ht="15" hidden="false" customHeight="false" outlineLevel="0" collapsed="false">
      <c r="A83" s="0" t="n">
        <v>100880274</v>
      </c>
      <c r="B83" s="0" t="s">
        <v>295</v>
      </c>
      <c r="C83" s="0" t="s">
        <v>64</v>
      </c>
      <c r="D83" s="0" t="s">
        <v>65</v>
      </c>
      <c r="E83" s="0" t="s">
        <v>297</v>
      </c>
      <c r="G83" s="0" t="n">
        <v>1</v>
      </c>
      <c r="H83" s="0" t="s">
        <v>298</v>
      </c>
      <c r="I83" s="48" t="n">
        <v>46297</v>
      </c>
      <c r="J83" s="0" t="n">
        <v>0</v>
      </c>
      <c r="K83" s="49" t="s">
        <v>334</v>
      </c>
      <c r="L83" s="49" t="s">
        <v>335</v>
      </c>
      <c r="M83" s="48"/>
      <c r="O83" s="49" t="s">
        <v>336</v>
      </c>
      <c r="P83" s="48"/>
      <c r="Q83" s="48" t="n">
        <v>46297</v>
      </c>
      <c r="R83" s="48" t="n">
        <v>46303</v>
      </c>
      <c r="T83" s="49" t="s">
        <v>302</v>
      </c>
      <c r="U83" s="49" t="s">
        <v>303</v>
      </c>
      <c r="Y83" s="49" t="s">
        <v>312</v>
      </c>
      <c r="AD83" s="49" t="s">
        <v>305</v>
      </c>
      <c r="AE83" s="48" t="n">
        <v>46294</v>
      </c>
      <c r="AF83" s="49" t="s">
        <v>306</v>
      </c>
      <c r="AG83" s="49" t="s">
        <v>307</v>
      </c>
      <c r="AK83" s="49" t="s">
        <v>303</v>
      </c>
      <c r="AL83" s="49" t="s">
        <v>297</v>
      </c>
      <c r="AO83" s="49" t="s">
        <v>303</v>
      </c>
      <c r="AP83" s="48"/>
      <c r="AR83" s="49" t="s">
        <v>303</v>
      </c>
      <c r="AS83" s="49" t="s">
        <v>306</v>
      </c>
      <c r="AT83" s="49" t="s">
        <v>582</v>
      </c>
      <c r="AV83" s="49" t="s">
        <v>309</v>
      </c>
      <c r="AW83" s="49" t="s">
        <v>310</v>
      </c>
      <c r="AX83" s="49" t="s">
        <v>311</v>
      </c>
      <c r="AY83" s="48"/>
      <c r="AZ83" s="48" t="n">
        <v>46295</v>
      </c>
      <c r="BC83" s="49" t="s">
        <v>303</v>
      </c>
      <c r="BD83" s="48"/>
      <c r="BE83" s="49" t="s">
        <v>312</v>
      </c>
      <c r="BF83" s="49" t="s">
        <v>303</v>
      </c>
      <c r="BG83" s="48"/>
      <c r="BI83" s="48"/>
      <c r="BJ83" s="48" t="n">
        <v>46302</v>
      </c>
      <c r="BK83" s="49" t="s">
        <v>313</v>
      </c>
      <c r="BL83" s="49" t="s">
        <v>313</v>
      </c>
      <c r="BM83" s="49" t="s">
        <v>310</v>
      </c>
      <c r="BN83" s="48"/>
      <c r="BO83" s="48"/>
      <c r="BP83" s="48"/>
      <c r="BR83" s="48" t="n">
        <v>46302</v>
      </c>
      <c r="BS83" s="49" t="s">
        <v>312</v>
      </c>
      <c r="BT83" s="49" t="s">
        <v>312</v>
      </c>
      <c r="BU83" s="49" t="s">
        <v>313</v>
      </c>
      <c r="BV83" s="49" t="s">
        <v>303</v>
      </c>
      <c r="BX83" s="0" t="n">
        <v>0</v>
      </c>
      <c r="CC83" s="49" t="s">
        <v>315</v>
      </c>
      <c r="CD83" s="49" t="s">
        <v>303</v>
      </c>
      <c r="CF83" s="49" t="s">
        <v>303</v>
      </c>
      <c r="CG83" s="49" t="s">
        <v>316</v>
      </c>
      <c r="CH83" s="49" t="s">
        <v>317</v>
      </c>
      <c r="CI83" s="49" t="s">
        <v>318</v>
      </c>
      <c r="CM83" s="49" t="s">
        <v>65</v>
      </c>
      <c r="CV83" s="49" t="s">
        <v>303</v>
      </c>
      <c r="DB83" s="49" t="s">
        <v>319</v>
      </c>
      <c r="DD83" s="48" t="n">
        <v>46294</v>
      </c>
      <c r="DF83" s="49" t="s">
        <v>310</v>
      </c>
      <c r="DG83" s="49" t="s">
        <v>320</v>
      </c>
      <c r="DH83" s="49" t="s">
        <v>64</v>
      </c>
      <c r="DI83" s="49" t="s">
        <v>298</v>
      </c>
      <c r="DJ83" s="49" t="s">
        <v>394</v>
      </c>
      <c r="DK83" s="49" t="s">
        <v>322</v>
      </c>
      <c r="DL83" s="49" t="s">
        <v>323</v>
      </c>
      <c r="DM83" s="49" t="s">
        <v>303</v>
      </c>
      <c r="DN83" s="49" t="s">
        <v>297</v>
      </c>
      <c r="DO83" s="48"/>
      <c r="DP83" s="49" t="s">
        <v>312</v>
      </c>
      <c r="DQ83" s="48"/>
      <c r="DR83" s="49" t="s">
        <v>312</v>
      </c>
      <c r="DS83" s="49" t="s">
        <v>303</v>
      </c>
      <c r="DT83" s="49" t="s">
        <v>303</v>
      </c>
      <c r="DW83" s="49" t="s">
        <v>303</v>
      </c>
      <c r="EA83" s="49" t="s">
        <v>324</v>
      </c>
      <c r="EB83" s="49" t="s">
        <v>303</v>
      </c>
      <c r="EF83" s="49" t="s">
        <v>550</v>
      </c>
      <c r="EH83" s="49" t="s">
        <v>310</v>
      </c>
      <c r="EJ83" s="49" t="s">
        <v>303</v>
      </c>
      <c r="EK83" s="49" t="s">
        <v>583</v>
      </c>
      <c r="EM83" s="49" t="s">
        <v>303</v>
      </c>
      <c r="EN83" s="49" t="s">
        <v>396</v>
      </c>
      <c r="EP83" s="49" t="s">
        <v>298</v>
      </c>
      <c r="EQ83" s="0" t="n">
        <v>1</v>
      </c>
      <c r="ER83" s="49" t="s">
        <v>328</v>
      </c>
      <c r="ES83" s="49" t="s">
        <v>329</v>
      </c>
      <c r="ET83" s="49" t="s">
        <v>310</v>
      </c>
      <c r="EU83" s="49" t="s">
        <v>310</v>
      </c>
      <c r="EV83" s="49" t="s">
        <v>310</v>
      </c>
      <c r="EX83" s="49" t="s">
        <v>303</v>
      </c>
      <c r="EY83" s="49" t="s">
        <v>303</v>
      </c>
      <c r="FC83" s="49" t="s">
        <v>330</v>
      </c>
      <c r="FD83" s="49" t="s">
        <v>310</v>
      </c>
      <c r="FE83" s="49" t="s">
        <v>310</v>
      </c>
      <c r="FF83" s="49" t="s">
        <v>64</v>
      </c>
      <c r="FG83" s="49" t="s">
        <v>397</v>
      </c>
      <c r="FH83" s="49" t="s">
        <v>310</v>
      </c>
      <c r="FI83" s="49" t="s">
        <v>332</v>
      </c>
      <c r="FJ83" s="49" t="s">
        <v>303</v>
      </c>
      <c r="FL83" s="49" t="s">
        <v>325</v>
      </c>
      <c r="FM83" s="49" t="s">
        <v>334</v>
      </c>
      <c r="FP83" s="49" t="s">
        <v>303</v>
      </c>
      <c r="FR83" s="49" t="s">
        <v>303</v>
      </c>
      <c r="FT83" s="49" t="s">
        <v>325</v>
      </c>
      <c r="FU83" s="49" t="s">
        <v>325</v>
      </c>
      <c r="FW83" s="49" t="s">
        <v>333</v>
      </c>
    </row>
    <row r="84" customFormat="false" ht="15" hidden="false" customHeight="false" outlineLevel="0" collapsed="false">
      <c r="A84" s="0" t="n">
        <v>100880275</v>
      </c>
      <c r="B84" s="0" t="s">
        <v>295</v>
      </c>
      <c r="C84" s="0" t="s">
        <v>64</v>
      </c>
      <c r="D84" s="0" t="s">
        <v>65</v>
      </c>
      <c r="E84" s="0" t="s">
        <v>297</v>
      </c>
      <c r="G84" s="0" t="n">
        <v>1</v>
      </c>
      <c r="H84" s="0" t="s">
        <v>298</v>
      </c>
      <c r="I84" s="48" t="n">
        <v>46297</v>
      </c>
      <c r="J84" s="0" t="n">
        <v>0</v>
      </c>
      <c r="K84" s="49" t="s">
        <v>334</v>
      </c>
      <c r="L84" s="49" t="s">
        <v>335</v>
      </c>
      <c r="M84" s="48"/>
      <c r="O84" s="49" t="s">
        <v>336</v>
      </c>
      <c r="P84" s="48"/>
      <c r="Q84" s="48" t="n">
        <v>46297</v>
      </c>
      <c r="R84" s="48" t="n">
        <v>46303</v>
      </c>
      <c r="T84" s="49" t="s">
        <v>302</v>
      </c>
      <c r="U84" s="49" t="s">
        <v>303</v>
      </c>
      <c r="Y84" s="49" t="s">
        <v>312</v>
      </c>
      <c r="AD84" s="49" t="s">
        <v>305</v>
      </c>
      <c r="AE84" s="48" t="n">
        <v>46294</v>
      </c>
      <c r="AF84" s="49" t="s">
        <v>306</v>
      </c>
      <c r="AG84" s="49" t="s">
        <v>307</v>
      </c>
      <c r="AK84" s="49" t="s">
        <v>303</v>
      </c>
      <c r="AL84" s="49" t="s">
        <v>297</v>
      </c>
      <c r="AO84" s="49" t="s">
        <v>303</v>
      </c>
      <c r="AP84" s="48"/>
      <c r="AR84" s="49" t="s">
        <v>303</v>
      </c>
      <c r="AS84" s="49" t="s">
        <v>306</v>
      </c>
      <c r="AT84" s="49" t="s">
        <v>584</v>
      </c>
      <c r="AV84" s="49" t="s">
        <v>309</v>
      </c>
      <c r="AW84" s="49" t="s">
        <v>310</v>
      </c>
      <c r="AX84" s="49" t="s">
        <v>311</v>
      </c>
      <c r="AY84" s="48"/>
      <c r="AZ84" s="48" t="n">
        <v>46295</v>
      </c>
      <c r="BC84" s="49" t="s">
        <v>303</v>
      </c>
      <c r="BD84" s="48"/>
      <c r="BE84" s="49" t="s">
        <v>312</v>
      </c>
      <c r="BF84" s="49" t="s">
        <v>303</v>
      </c>
      <c r="BG84" s="48"/>
      <c r="BI84" s="48"/>
      <c r="BJ84" s="48" t="n">
        <v>46302</v>
      </c>
      <c r="BK84" s="49" t="s">
        <v>313</v>
      </c>
      <c r="BL84" s="49" t="s">
        <v>313</v>
      </c>
      <c r="BM84" s="49" t="s">
        <v>310</v>
      </c>
      <c r="BN84" s="48"/>
      <c r="BO84" s="48"/>
      <c r="BP84" s="48"/>
      <c r="BR84" s="48" t="n">
        <v>46302</v>
      </c>
      <c r="BS84" s="49" t="s">
        <v>312</v>
      </c>
      <c r="BT84" s="49" t="s">
        <v>312</v>
      </c>
      <c r="BU84" s="49" t="s">
        <v>313</v>
      </c>
      <c r="BV84" s="49" t="s">
        <v>303</v>
      </c>
      <c r="BX84" s="0" t="n">
        <v>0</v>
      </c>
      <c r="CC84" s="49" t="s">
        <v>315</v>
      </c>
      <c r="CD84" s="49" t="s">
        <v>303</v>
      </c>
      <c r="CF84" s="49" t="s">
        <v>303</v>
      </c>
      <c r="CG84" s="49" t="s">
        <v>316</v>
      </c>
      <c r="CH84" s="49" t="s">
        <v>317</v>
      </c>
      <c r="CI84" s="49" t="s">
        <v>318</v>
      </c>
      <c r="CM84" s="49" t="s">
        <v>65</v>
      </c>
      <c r="CV84" s="49" t="s">
        <v>303</v>
      </c>
      <c r="DB84" s="49" t="s">
        <v>319</v>
      </c>
      <c r="DD84" s="48" t="n">
        <v>46294</v>
      </c>
      <c r="DF84" s="49" t="s">
        <v>310</v>
      </c>
      <c r="DG84" s="49" t="s">
        <v>320</v>
      </c>
      <c r="DH84" s="49" t="s">
        <v>64</v>
      </c>
      <c r="DI84" s="49" t="s">
        <v>298</v>
      </c>
      <c r="DJ84" s="49" t="s">
        <v>394</v>
      </c>
      <c r="DK84" s="49" t="s">
        <v>322</v>
      </c>
      <c r="DL84" s="49" t="s">
        <v>323</v>
      </c>
      <c r="DM84" s="49" t="s">
        <v>303</v>
      </c>
      <c r="DN84" s="49" t="s">
        <v>297</v>
      </c>
      <c r="DO84" s="48"/>
      <c r="DP84" s="49" t="s">
        <v>312</v>
      </c>
      <c r="DQ84" s="48"/>
      <c r="DR84" s="49" t="s">
        <v>312</v>
      </c>
      <c r="DS84" s="49" t="s">
        <v>303</v>
      </c>
      <c r="DT84" s="49" t="s">
        <v>303</v>
      </c>
      <c r="DW84" s="49" t="s">
        <v>303</v>
      </c>
      <c r="EA84" s="49" t="s">
        <v>324</v>
      </c>
      <c r="EB84" s="49" t="s">
        <v>303</v>
      </c>
      <c r="EF84" s="49" t="s">
        <v>550</v>
      </c>
      <c r="EH84" s="49" t="s">
        <v>310</v>
      </c>
      <c r="EJ84" s="49" t="s">
        <v>303</v>
      </c>
      <c r="EK84" s="49" t="s">
        <v>585</v>
      </c>
      <c r="EM84" s="49" t="s">
        <v>303</v>
      </c>
      <c r="EN84" s="49" t="s">
        <v>396</v>
      </c>
      <c r="EP84" s="49" t="s">
        <v>298</v>
      </c>
      <c r="EQ84" s="0" t="n">
        <v>1</v>
      </c>
      <c r="ER84" s="49" t="s">
        <v>328</v>
      </c>
      <c r="ES84" s="49" t="s">
        <v>329</v>
      </c>
      <c r="ET84" s="49" t="s">
        <v>310</v>
      </c>
      <c r="EU84" s="49" t="s">
        <v>310</v>
      </c>
      <c r="EV84" s="49" t="s">
        <v>310</v>
      </c>
      <c r="EX84" s="49" t="s">
        <v>303</v>
      </c>
      <c r="EY84" s="49" t="s">
        <v>303</v>
      </c>
      <c r="FC84" s="49" t="s">
        <v>330</v>
      </c>
      <c r="FD84" s="49" t="s">
        <v>310</v>
      </c>
      <c r="FE84" s="49" t="s">
        <v>310</v>
      </c>
      <c r="FF84" s="49" t="s">
        <v>64</v>
      </c>
      <c r="FG84" s="49" t="s">
        <v>397</v>
      </c>
      <c r="FH84" s="49" t="s">
        <v>310</v>
      </c>
      <c r="FI84" s="49" t="s">
        <v>332</v>
      </c>
      <c r="FJ84" s="49" t="s">
        <v>303</v>
      </c>
      <c r="FL84" s="49" t="s">
        <v>325</v>
      </c>
      <c r="FM84" s="49" t="s">
        <v>334</v>
      </c>
      <c r="FP84" s="49" t="s">
        <v>303</v>
      </c>
      <c r="FR84" s="49" t="s">
        <v>303</v>
      </c>
      <c r="FT84" s="49" t="s">
        <v>325</v>
      </c>
      <c r="FU84" s="49" t="s">
        <v>325</v>
      </c>
      <c r="FW84" s="49" t="s">
        <v>333</v>
      </c>
    </row>
    <row r="85" customFormat="false" ht="15" hidden="false" customHeight="false" outlineLevel="0" collapsed="false">
      <c r="A85" s="0" t="n">
        <v>100880276</v>
      </c>
      <c r="B85" s="0" t="s">
        <v>295</v>
      </c>
      <c r="C85" s="0" t="s">
        <v>64</v>
      </c>
      <c r="D85" s="0" t="s">
        <v>65</v>
      </c>
      <c r="E85" s="0" t="s">
        <v>297</v>
      </c>
      <c r="G85" s="0" t="n">
        <v>1</v>
      </c>
      <c r="H85" s="0" t="s">
        <v>298</v>
      </c>
      <c r="I85" s="48" t="n">
        <v>46297</v>
      </c>
      <c r="J85" s="0" t="n">
        <v>0</v>
      </c>
      <c r="K85" s="49" t="s">
        <v>334</v>
      </c>
      <c r="L85" s="49" t="s">
        <v>335</v>
      </c>
      <c r="M85" s="48"/>
      <c r="O85" s="49" t="s">
        <v>336</v>
      </c>
      <c r="P85" s="48"/>
      <c r="Q85" s="48" t="n">
        <v>46297</v>
      </c>
      <c r="R85" s="48" t="n">
        <v>46303</v>
      </c>
      <c r="T85" s="49" t="s">
        <v>302</v>
      </c>
      <c r="U85" s="49" t="s">
        <v>303</v>
      </c>
      <c r="Y85" s="49" t="s">
        <v>312</v>
      </c>
      <c r="AD85" s="49" t="s">
        <v>305</v>
      </c>
      <c r="AE85" s="48" t="n">
        <v>46294</v>
      </c>
      <c r="AF85" s="49" t="s">
        <v>306</v>
      </c>
      <c r="AG85" s="49" t="s">
        <v>307</v>
      </c>
      <c r="AK85" s="49" t="s">
        <v>303</v>
      </c>
      <c r="AL85" s="49" t="s">
        <v>297</v>
      </c>
      <c r="AO85" s="49" t="s">
        <v>303</v>
      </c>
      <c r="AP85" s="48"/>
      <c r="AR85" s="49" t="s">
        <v>303</v>
      </c>
      <c r="AS85" s="49" t="s">
        <v>306</v>
      </c>
      <c r="AT85" s="49" t="s">
        <v>586</v>
      </c>
      <c r="AV85" s="49" t="s">
        <v>309</v>
      </c>
      <c r="AW85" s="49" t="s">
        <v>310</v>
      </c>
      <c r="AX85" s="49" t="s">
        <v>311</v>
      </c>
      <c r="AY85" s="48"/>
      <c r="AZ85" s="48" t="n">
        <v>46295</v>
      </c>
      <c r="BC85" s="49" t="s">
        <v>303</v>
      </c>
      <c r="BD85" s="48"/>
      <c r="BE85" s="49" t="s">
        <v>312</v>
      </c>
      <c r="BF85" s="49" t="s">
        <v>303</v>
      </c>
      <c r="BG85" s="48"/>
      <c r="BI85" s="48"/>
      <c r="BJ85" s="48" t="n">
        <v>46302</v>
      </c>
      <c r="BK85" s="49" t="s">
        <v>313</v>
      </c>
      <c r="BL85" s="49" t="s">
        <v>313</v>
      </c>
      <c r="BM85" s="49" t="s">
        <v>310</v>
      </c>
      <c r="BN85" s="48"/>
      <c r="BO85" s="48"/>
      <c r="BP85" s="48"/>
      <c r="BR85" s="48" t="n">
        <v>46302</v>
      </c>
      <c r="BS85" s="49" t="s">
        <v>312</v>
      </c>
      <c r="BT85" s="49" t="s">
        <v>312</v>
      </c>
      <c r="BU85" s="49" t="s">
        <v>313</v>
      </c>
      <c r="BV85" s="49" t="s">
        <v>303</v>
      </c>
      <c r="BX85" s="0" t="n">
        <v>0</v>
      </c>
      <c r="CC85" s="49" t="s">
        <v>315</v>
      </c>
      <c r="CD85" s="49" t="s">
        <v>303</v>
      </c>
      <c r="CF85" s="49" t="s">
        <v>303</v>
      </c>
      <c r="CG85" s="49" t="s">
        <v>316</v>
      </c>
      <c r="CH85" s="49" t="s">
        <v>317</v>
      </c>
      <c r="CI85" s="49" t="s">
        <v>318</v>
      </c>
      <c r="CM85" s="49" t="s">
        <v>65</v>
      </c>
      <c r="CV85" s="49" t="s">
        <v>303</v>
      </c>
      <c r="DB85" s="49" t="s">
        <v>319</v>
      </c>
      <c r="DD85" s="48" t="n">
        <v>46294</v>
      </c>
      <c r="DF85" s="49" t="s">
        <v>310</v>
      </c>
      <c r="DG85" s="49" t="s">
        <v>320</v>
      </c>
      <c r="DH85" s="49" t="s">
        <v>64</v>
      </c>
      <c r="DI85" s="49" t="s">
        <v>298</v>
      </c>
      <c r="DJ85" s="49" t="s">
        <v>394</v>
      </c>
      <c r="DK85" s="49" t="s">
        <v>322</v>
      </c>
      <c r="DL85" s="49" t="s">
        <v>323</v>
      </c>
      <c r="DM85" s="49" t="s">
        <v>303</v>
      </c>
      <c r="DN85" s="49" t="s">
        <v>297</v>
      </c>
      <c r="DO85" s="48"/>
      <c r="DP85" s="49" t="s">
        <v>312</v>
      </c>
      <c r="DQ85" s="48"/>
      <c r="DR85" s="49" t="s">
        <v>312</v>
      </c>
      <c r="DS85" s="49" t="s">
        <v>303</v>
      </c>
      <c r="DT85" s="49" t="s">
        <v>303</v>
      </c>
      <c r="DW85" s="49" t="s">
        <v>303</v>
      </c>
      <c r="EA85" s="49" t="s">
        <v>324</v>
      </c>
      <c r="EB85" s="49" t="s">
        <v>303</v>
      </c>
      <c r="EF85" s="49" t="s">
        <v>550</v>
      </c>
      <c r="EH85" s="49" t="s">
        <v>310</v>
      </c>
      <c r="EJ85" s="49" t="s">
        <v>303</v>
      </c>
      <c r="EK85" s="49" t="s">
        <v>587</v>
      </c>
      <c r="EM85" s="49" t="s">
        <v>303</v>
      </c>
      <c r="EN85" s="49" t="s">
        <v>396</v>
      </c>
      <c r="EP85" s="49" t="s">
        <v>298</v>
      </c>
      <c r="EQ85" s="0" t="n">
        <v>1</v>
      </c>
      <c r="ER85" s="49" t="s">
        <v>328</v>
      </c>
      <c r="ES85" s="49" t="s">
        <v>329</v>
      </c>
      <c r="ET85" s="49" t="s">
        <v>310</v>
      </c>
      <c r="EU85" s="49" t="s">
        <v>310</v>
      </c>
      <c r="EV85" s="49" t="s">
        <v>310</v>
      </c>
      <c r="EX85" s="49" t="s">
        <v>303</v>
      </c>
      <c r="EY85" s="49" t="s">
        <v>303</v>
      </c>
      <c r="FC85" s="49" t="s">
        <v>330</v>
      </c>
      <c r="FD85" s="49" t="s">
        <v>310</v>
      </c>
      <c r="FE85" s="49" t="s">
        <v>310</v>
      </c>
      <c r="FF85" s="49" t="s">
        <v>64</v>
      </c>
      <c r="FG85" s="49" t="s">
        <v>397</v>
      </c>
      <c r="FH85" s="49" t="s">
        <v>310</v>
      </c>
      <c r="FI85" s="49" t="s">
        <v>332</v>
      </c>
      <c r="FJ85" s="49" t="s">
        <v>303</v>
      </c>
      <c r="FL85" s="49" t="s">
        <v>325</v>
      </c>
      <c r="FM85" s="49" t="s">
        <v>334</v>
      </c>
      <c r="FP85" s="49" t="s">
        <v>303</v>
      </c>
      <c r="FR85" s="49" t="s">
        <v>303</v>
      </c>
      <c r="FT85" s="49" t="s">
        <v>325</v>
      </c>
      <c r="FU85" s="49" t="s">
        <v>325</v>
      </c>
      <c r="FW85" s="49" t="s">
        <v>333</v>
      </c>
    </row>
    <row r="86" customFormat="false" ht="15" hidden="false" customHeight="false" outlineLevel="0" collapsed="false">
      <c r="A86" s="0" t="n">
        <v>100880277</v>
      </c>
      <c r="B86" s="0" t="s">
        <v>295</v>
      </c>
      <c r="C86" s="0" t="s">
        <v>64</v>
      </c>
      <c r="D86" s="0" t="s">
        <v>65</v>
      </c>
      <c r="E86" s="0" t="s">
        <v>297</v>
      </c>
      <c r="G86" s="0" t="n">
        <v>1</v>
      </c>
      <c r="H86" s="0" t="s">
        <v>298</v>
      </c>
      <c r="I86" s="48" t="n">
        <v>46297</v>
      </c>
      <c r="J86" s="0" t="n">
        <v>0</v>
      </c>
      <c r="K86" s="49" t="s">
        <v>334</v>
      </c>
      <c r="L86" s="49" t="s">
        <v>335</v>
      </c>
      <c r="M86" s="48"/>
      <c r="O86" s="49" t="s">
        <v>336</v>
      </c>
      <c r="P86" s="48"/>
      <c r="Q86" s="48" t="n">
        <v>46297</v>
      </c>
      <c r="R86" s="48" t="n">
        <v>46303</v>
      </c>
      <c r="T86" s="49" t="s">
        <v>302</v>
      </c>
      <c r="U86" s="49" t="s">
        <v>303</v>
      </c>
      <c r="Y86" s="49" t="s">
        <v>312</v>
      </c>
      <c r="AD86" s="49" t="s">
        <v>305</v>
      </c>
      <c r="AE86" s="48" t="n">
        <v>46294</v>
      </c>
      <c r="AF86" s="49" t="s">
        <v>306</v>
      </c>
      <c r="AG86" s="49" t="s">
        <v>307</v>
      </c>
      <c r="AK86" s="49" t="s">
        <v>303</v>
      </c>
      <c r="AL86" s="49" t="s">
        <v>297</v>
      </c>
      <c r="AO86" s="49" t="s">
        <v>303</v>
      </c>
      <c r="AP86" s="48"/>
      <c r="AR86" s="49" t="s">
        <v>303</v>
      </c>
      <c r="AS86" s="49" t="s">
        <v>306</v>
      </c>
      <c r="AT86" s="49" t="s">
        <v>588</v>
      </c>
      <c r="AV86" s="49" t="s">
        <v>309</v>
      </c>
      <c r="AW86" s="49" t="s">
        <v>310</v>
      </c>
      <c r="AX86" s="49" t="s">
        <v>311</v>
      </c>
      <c r="AY86" s="48"/>
      <c r="AZ86" s="48" t="n">
        <v>46295</v>
      </c>
      <c r="BC86" s="49" t="s">
        <v>303</v>
      </c>
      <c r="BD86" s="48"/>
      <c r="BE86" s="49" t="s">
        <v>312</v>
      </c>
      <c r="BF86" s="49" t="s">
        <v>303</v>
      </c>
      <c r="BG86" s="48"/>
      <c r="BI86" s="48"/>
      <c r="BJ86" s="48" t="n">
        <v>46302</v>
      </c>
      <c r="BK86" s="49" t="s">
        <v>313</v>
      </c>
      <c r="BL86" s="49" t="s">
        <v>313</v>
      </c>
      <c r="BM86" s="49" t="s">
        <v>310</v>
      </c>
      <c r="BN86" s="48"/>
      <c r="BO86" s="48"/>
      <c r="BP86" s="48"/>
      <c r="BR86" s="48" t="n">
        <v>46302</v>
      </c>
      <c r="BS86" s="49" t="s">
        <v>312</v>
      </c>
      <c r="BT86" s="49" t="s">
        <v>312</v>
      </c>
      <c r="BU86" s="49" t="s">
        <v>313</v>
      </c>
      <c r="BV86" s="49" t="s">
        <v>303</v>
      </c>
      <c r="BX86" s="0" t="n">
        <v>0</v>
      </c>
      <c r="CC86" s="49" t="s">
        <v>315</v>
      </c>
      <c r="CD86" s="49" t="s">
        <v>303</v>
      </c>
      <c r="CF86" s="49" t="s">
        <v>303</v>
      </c>
      <c r="CG86" s="49" t="s">
        <v>316</v>
      </c>
      <c r="CH86" s="49" t="s">
        <v>317</v>
      </c>
      <c r="CI86" s="49" t="s">
        <v>318</v>
      </c>
      <c r="CM86" s="49" t="s">
        <v>65</v>
      </c>
      <c r="CV86" s="49" t="s">
        <v>303</v>
      </c>
      <c r="DB86" s="49" t="s">
        <v>319</v>
      </c>
      <c r="DD86" s="48" t="n">
        <v>46294</v>
      </c>
      <c r="DF86" s="49" t="s">
        <v>310</v>
      </c>
      <c r="DG86" s="49" t="s">
        <v>320</v>
      </c>
      <c r="DH86" s="49" t="s">
        <v>64</v>
      </c>
      <c r="DI86" s="49" t="s">
        <v>298</v>
      </c>
      <c r="DJ86" s="49" t="s">
        <v>394</v>
      </c>
      <c r="DK86" s="49" t="s">
        <v>322</v>
      </c>
      <c r="DL86" s="49" t="s">
        <v>323</v>
      </c>
      <c r="DM86" s="49" t="s">
        <v>303</v>
      </c>
      <c r="DN86" s="49" t="s">
        <v>297</v>
      </c>
      <c r="DO86" s="48"/>
      <c r="DP86" s="49" t="s">
        <v>312</v>
      </c>
      <c r="DQ86" s="48"/>
      <c r="DR86" s="49" t="s">
        <v>312</v>
      </c>
      <c r="DS86" s="49" t="s">
        <v>303</v>
      </c>
      <c r="DT86" s="49" t="s">
        <v>303</v>
      </c>
      <c r="DW86" s="49" t="s">
        <v>303</v>
      </c>
      <c r="EA86" s="49" t="s">
        <v>324</v>
      </c>
      <c r="EB86" s="49" t="s">
        <v>303</v>
      </c>
      <c r="EF86" s="49" t="s">
        <v>550</v>
      </c>
      <c r="EH86" s="49" t="s">
        <v>310</v>
      </c>
      <c r="EJ86" s="49" t="s">
        <v>303</v>
      </c>
      <c r="EK86" s="49" t="s">
        <v>589</v>
      </c>
      <c r="EM86" s="49" t="s">
        <v>303</v>
      </c>
      <c r="EN86" s="49" t="s">
        <v>396</v>
      </c>
      <c r="EP86" s="49" t="s">
        <v>298</v>
      </c>
      <c r="EQ86" s="0" t="n">
        <v>1</v>
      </c>
      <c r="ER86" s="49" t="s">
        <v>328</v>
      </c>
      <c r="ES86" s="49" t="s">
        <v>329</v>
      </c>
      <c r="ET86" s="49" t="s">
        <v>310</v>
      </c>
      <c r="EU86" s="49" t="s">
        <v>310</v>
      </c>
      <c r="EV86" s="49" t="s">
        <v>310</v>
      </c>
      <c r="EX86" s="49" t="s">
        <v>303</v>
      </c>
      <c r="EY86" s="49" t="s">
        <v>303</v>
      </c>
      <c r="FC86" s="49" t="s">
        <v>330</v>
      </c>
      <c r="FD86" s="49" t="s">
        <v>310</v>
      </c>
      <c r="FE86" s="49" t="s">
        <v>310</v>
      </c>
      <c r="FF86" s="49" t="s">
        <v>64</v>
      </c>
      <c r="FG86" s="49" t="s">
        <v>397</v>
      </c>
      <c r="FH86" s="49" t="s">
        <v>310</v>
      </c>
      <c r="FI86" s="49" t="s">
        <v>332</v>
      </c>
      <c r="FJ86" s="49" t="s">
        <v>303</v>
      </c>
      <c r="FL86" s="49" t="s">
        <v>325</v>
      </c>
      <c r="FM86" s="49" t="s">
        <v>334</v>
      </c>
      <c r="FP86" s="49" t="s">
        <v>303</v>
      </c>
      <c r="FR86" s="49" t="s">
        <v>303</v>
      </c>
      <c r="FT86" s="49" t="s">
        <v>325</v>
      </c>
      <c r="FU86" s="49" t="s">
        <v>325</v>
      </c>
      <c r="FW86" s="49" t="s">
        <v>333</v>
      </c>
    </row>
    <row r="87" customFormat="false" ht="15" hidden="false" customHeight="false" outlineLevel="0" collapsed="false">
      <c r="A87" s="0" t="n">
        <v>100880278</v>
      </c>
      <c r="B87" s="0" t="s">
        <v>295</v>
      </c>
      <c r="C87" s="0" t="s">
        <v>64</v>
      </c>
      <c r="D87" s="0" t="s">
        <v>65</v>
      </c>
      <c r="E87" s="0" t="s">
        <v>297</v>
      </c>
      <c r="G87" s="0" t="n">
        <v>1</v>
      </c>
      <c r="H87" s="0" t="s">
        <v>298</v>
      </c>
      <c r="I87" s="48" t="n">
        <v>46297</v>
      </c>
      <c r="J87" s="0" t="n">
        <v>0</v>
      </c>
      <c r="K87" s="49" t="s">
        <v>334</v>
      </c>
      <c r="L87" s="49" t="s">
        <v>335</v>
      </c>
      <c r="M87" s="48"/>
      <c r="O87" s="49" t="s">
        <v>336</v>
      </c>
      <c r="P87" s="48"/>
      <c r="Q87" s="48" t="n">
        <v>46297</v>
      </c>
      <c r="R87" s="48" t="n">
        <v>46303</v>
      </c>
      <c r="T87" s="49" t="s">
        <v>302</v>
      </c>
      <c r="U87" s="49" t="s">
        <v>303</v>
      </c>
      <c r="Y87" s="49" t="s">
        <v>312</v>
      </c>
      <c r="AD87" s="49" t="s">
        <v>305</v>
      </c>
      <c r="AE87" s="48" t="n">
        <v>46294</v>
      </c>
      <c r="AF87" s="49" t="s">
        <v>306</v>
      </c>
      <c r="AG87" s="49" t="s">
        <v>307</v>
      </c>
      <c r="AK87" s="49" t="s">
        <v>303</v>
      </c>
      <c r="AL87" s="49" t="s">
        <v>297</v>
      </c>
      <c r="AO87" s="49" t="s">
        <v>303</v>
      </c>
      <c r="AP87" s="48"/>
      <c r="AR87" s="49" t="s">
        <v>303</v>
      </c>
      <c r="AS87" s="49" t="s">
        <v>306</v>
      </c>
      <c r="AT87" s="49" t="s">
        <v>590</v>
      </c>
      <c r="AV87" s="49" t="s">
        <v>309</v>
      </c>
      <c r="AW87" s="49" t="s">
        <v>310</v>
      </c>
      <c r="AX87" s="49" t="s">
        <v>311</v>
      </c>
      <c r="AY87" s="48"/>
      <c r="AZ87" s="48" t="n">
        <v>46295</v>
      </c>
      <c r="BC87" s="49" t="s">
        <v>303</v>
      </c>
      <c r="BD87" s="48"/>
      <c r="BE87" s="49" t="s">
        <v>312</v>
      </c>
      <c r="BF87" s="49" t="s">
        <v>303</v>
      </c>
      <c r="BG87" s="48"/>
      <c r="BI87" s="48"/>
      <c r="BJ87" s="48" t="n">
        <v>46302</v>
      </c>
      <c r="BK87" s="49" t="s">
        <v>313</v>
      </c>
      <c r="BL87" s="49" t="s">
        <v>313</v>
      </c>
      <c r="BM87" s="49" t="s">
        <v>310</v>
      </c>
      <c r="BN87" s="48"/>
      <c r="BO87" s="48"/>
      <c r="BP87" s="48"/>
      <c r="BR87" s="48" t="n">
        <v>46302</v>
      </c>
      <c r="BS87" s="49" t="s">
        <v>312</v>
      </c>
      <c r="BT87" s="49" t="s">
        <v>312</v>
      </c>
      <c r="BU87" s="49" t="s">
        <v>313</v>
      </c>
      <c r="BV87" s="49" t="s">
        <v>303</v>
      </c>
      <c r="BX87" s="0" t="n">
        <v>0</v>
      </c>
      <c r="CC87" s="49" t="s">
        <v>315</v>
      </c>
      <c r="CD87" s="49" t="s">
        <v>303</v>
      </c>
      <c r="CF87" s="49" t="s">
        <v>303</v>
      </c>
      <c r="CG87" s="49" t="s">
        <v>316</v>
      </c>
      <c r="CH87" s="49" t="s">
        <v>317</v>
      </c>
      <c r="CI87" s="49" t="s">
        <v>318</v>
      </c>
      <c r="CM87" s="49" t="s">
        <v>65</v>
      </c>
      <c r="CV87" s="49" t="s">
        <v>303</v>
      </c>
      <c r="DB87" s="49" t="s">
        <v>319</v>
      </c>
      <c r="DD87" s="48" t="n">
        <v>46294</v>
      </c>
      <c r="DF87" s="49" t="s">
        <v>310</v>
      </c>
      <c r="DG87" s="49" t="s">
        <v>320</v>
      </c>
      <c r="DH87" s="49" t="s">
        <v>64</v>
      </c>
      <c r="DI87" s="49" t="s">
        <v>298</v>
      </c>
      <c r="DJ87" s="49" t="s">
        <v>394</v>
      </c>
      <c r="DK87" s="49" t="s">
        <v>322</v>
      </c>
      <c r="DL87" s="49" t="s">
        <v>323</v>
      </c>
      <c r="DM87" s="49" t="s">
        <v>303</v>
      </c>
      <c r="DN87" s="49" t="s">
        <v>297</v>
      </c>
      <c r="DO87" s="48"/>
      <c r="DP87" s="49" t="s">
        <v>312</v>
      </c>
      <c r="DQ87" s="48"/>
      <c r="DR87" s="49" t="s">
        <v>312</v>
      </c>
      <c r="DS87" s="49" t="s">
        <v>303</v>
      </c>
      <c r="DT87" s="49" t="s">
        <v>303</v>
      </c>
      <c r="DW87" s="49" t="s">
        <v>303</v>
      </c>
      <c r="EA87" s="49" t="s">
        <v>324</v>
      </c>
      <c r="EB87" s="49" t="s">
        <v>303</v>
      </c>
      <c r="EF87" s="49" t="s">
        <v>550</v>
      </c>
      <c r="EH87" s="49" t="s">
        <v>310</v>
      </c>
      <c r="EJ87" s="49" t="s">
        <v>303</v>
      </c>
      <c r="EK87" s="49" t="s">
        <v>591</v>
      </c>
      <c r="EM87" s="49" t="s">
        <v>303</v>
      </c>
      <c r="EN87" s="49" t="s">
        <v>396</v>
      </c>
      <c r="EP87" s="49" t="s">
        <v>298</v>
      </c>
      <c r="EQ87" s="0" t="n">
        <v>1</v>
      </c>
      <c r="ER87" s="49" t="s">
        <v>328</v>
      </c>
      <c r="ES87" s="49" t="s">
        <v>329</v>
      </c>
      <c r="ET87" s="49" t="s">
        <v>310</v>
      </c>
      <c r="EU87" s="49" t="s">
        <v>310</v>
      </c>
      <c r="EV87" s="49" t="s">
        <v>310</v>
      </c>
      <c r="EX87" s="49" t="s">
        <v>303</v>
      </c>
      <c r="EY87" s="49" t="s">
        <v>303</v>
      </c>
      <c r="FC87" s="49" t="s">
        <v>330</v>
      </c>
      <c r="FD87" s="49" t="s">
        <v>310</v>
      </c>
      <c r="FE87" s="49" t="s">
        <v>310</v>
      </c>
      <c r="FF87" s="49" t="s">
        <v>64</v>
      </c>
      <c r="FG87" s="49" t="s">
        <v>397</v>
      </c>
      <c r="FH87" s="49" t="s">
        <v>310</v>
      </c>
      <c r="FI87" s="49" t="s">
        <v>332</v>
      </c>
      <c r="FJ87" s="49" t="s">
        <v>303</v>
      </c>
      <c r="FL87" s="49" t="s">
        <v>325</v>
      </c>
      <c r="FM87" s="49" t="s">
        <v>334</v>
      </c>
      <c r="FP87" s="49" t="s">
        <v>303</v>
      </c>
      <c r="FR87" s="49" t="s">
        <v>303</v>
      </c>
      <c r="FT87" s="49" t="s">
        <v>325</v>
      </c>
      <c r="FU87" s="49" t="s">
        <v>325</v>
      </c>
      <c r="FW87" s="49" t="s">
        <v>333</v>
      </c>
    </row>
    <row r="88" customFormat="false" ht="15" hidden="false" customHeight="false" outlineLevel="0" collapsed="false">
      <c r="A88" s="0" t="n">
        <v>100880279</v>
      </c>
      <c r="B88" s="0" t="s">
        <v>295</v>
      </c>
      <c r="C88" s="0" t="s">
        <v>64</v>
      </c>
      <c r="D88" s="0" t="s">
        <v>65</v>
      </c>
      <c r="E88" s="0" t="s">
        <v>297</v>
      </c>
      <c r="G88" s="0" t="n">
        <v>1</v>
      </c>
      <c r="H88" s="0" t="s">
        <v>298</v>
      </c>
      <c r="I88" s="48" t="n">
        <v>46297</v>
      </c>
      <c r="J88" s="0" t="n">
        <v>0</v>
      </c>
      <c r="K88" s="49" t="s">
        <v>334</v>
      </c>
      <c r="L88" s="49" t="s">
        <v>335</v>
      </c>
      <c r="M88" s="48"/>
      <c r="O88" s="49" t="s">
        <v>336</v>
      </c>
      <c r="P88" s="48"/>
      <c r="Q88" s="48" t="n">
        <v>46297</v>
      </c>
      <c r="R88" s="48" t="n">
        <v>46303</v>
      </c>
      <c r="T88" s="49" t="s">
        <v>302</v>
      </c>
      <c r="U88" s="49" t="s">
        <v>303</v>
      </c>
      <c r="Y88" s="49" t="s">
        <v>312</v>
      </c>
      <c r="AD88" s="49" t="s">
        <v>305</v>
      </c>
      <c r="AE88" s="48" t="n">
        <v>46294</v>
      </c>
      <c r="AF88" s="49" t="s">
        <v>306</v>
      </c>
      <c r="AG88" s="49" t="s">
        <v>307</v>
      </c>
      <c r="AK88" s="49" t="s">
        <v>303</v>
      </c>
      <c r="AL88" s="49" t="s">
        <v>297</v>
      </c>
      <c r="AO88" s="49" t="s">
        <v>303</v>
      </c>
      <c r="AP88" s="48"/>
      <c r="AR88" s="49" t="s">
        <v>303</v>
      </c>
      <c r="AS88" s="49" t="s">
        <v>306</v>
      </c>
      <c r="AT88" s="49" t="s">
        <v>592</v>
      </c>
      <c r="AV88" s="49" t="s">
        <v>309</v>
      </c>
      <c r="AW88" s="49" t="s">
        <v>310</v>
      </c>
      <c r="AX88" s="49" t="s">
        <v>311</v>
      </c>
      <c r="AY88" s="48"/>
      <c r="AZ88" s="48" t="n">
        <v>46295</v>
      </c>
      <c r="BC88" s="49" t="s">
        <v>303</v>
      </c>
      <c r="BD88" s="48"/>
      <c r="BE88" s="49" t="s">
        <v>312</v>
      </c>
      <c r="BF88" s="49" t="s">
        <v>303</v>
      </c>
      <c r="BG88" s="48"/>
      <c r="BI88" s="48"/>
      <c r="BJ88" s="48" t="n">
        <v>46302</v>
      </c>
      <c r="BK88" s="49" t="s">
        <v>313</v>
      </c>
      <c r="BL88" s="49" t="s">
        <v>313</v>
      </c>
      <c r="BM88" s="49" t="s">
        <v>310</v>
      </c>
      <c r="BN88" s="48"/>
      <c r="BO88" s="48"/>
      <c r="BP88" s="48"/>
      <c r="BR88" s="48" t="n">
        <v>46302</v>
      </c>
      <c r="BS88" s="49" t="s">
        <v>312</v>
      </c>
      <c r="BT88" s="49" t="s">
        <v>312</v>
      </c>
      <c r="BU88" s="49" t="s">
        <v>313</v>
      </c>
      <c r="BV88" s="49" t="s">
        <v>303</v>
      </c>
      <c r="BX88" s="0" t="n">
        <v>0</v>
      </c>
      <c r="CC88" s="49" t="s">
        <v>315</v>
      </c>
      <c r="CD88" s="49" t="s">
        <v>303</v>
      </c>
      <c r="CF88" s="49" t="s">
        <v>303</v>
      </c>
      <c r="CG88" s="49" t="s">
        <v>316</v>
      </c>
      <c r="CH88" s="49" t="s">
        <v>317</v>
      </c>
      <c r="CI88" s="49" t="s">
        <v>318</v>
      </c>
      <c r="CM88" s="49" t="s">
        <v>65</v>
      </c>
      <c r="CV88" s="49" t="s">
        <v>303</v>
      </c>
      <c r="DB88" s="49" t="s">
        <v>319</v>
      </c>
      <c r="DD88" s="48" t="n">
        <v>46294</v>
      </c>
      <c r="DF88" s="49" t="s">
        <v>310</v>
      </c>
      <c r="DG88" s="49" t="s">
        <v>320</v>
      </c>
      <c r="DH88" s="49" t="s">
        <v>64</v>
      </c>
      <c r="DI88" s="49" t="s">
        <v>298</v>
      </c>
      <c r="DJ88" s="49" t="s">
        <v>394</v>
      </c>
      <c r="DK88" s="49" t="s">
        <v>322</v>
      </c>
      <c r="DL88" s="49" t="s">
        <v>323</v>
      </c>
      <c r="DM88" s="49" t="s">
        <v>303</v>
      </c>
      <c r="DN88" s="49" t="s">
        <v>297</v>
      </c>
      <c r="DO88" s="48"/>
      <c r="DP88" s="49" t="s">
        <v>312</v>
      </c>
      <c r="DQ88" s="48"/>
      <c r="DR88" s="49" t="s">
        <v>312</v>
      </c>
      <c r="DS88" s="49" t="s">
        <v>303</v>
      </c>
      <c r="DT88" s="49" t="s">
        <v>303</v>
      </c>
      <c r="DW88" s="49" t="s">
        <v>303</v>
      </c>
      <c r="EA88" s="49" t="s">
        <v>324</v>
      </c>
      <c r="EB88" s="49" t="s">
        <v>303</v>
      </c>
      <c r="EF88" s="49" t="s">
        <v>550</v>
      </c>
      <c r="EH88" s="49" t="s">
        <v>310</v>
      </c>
      <c r="EJ88" s="49" t="s">
        <v>303</v>
      </c>
      <c r="EK88" s="49" t="s">
        <v>593</v>
      </c>
      <c r="EM88" s="49" t="s">
        <v>303</v>
      </c>
      <c r="EN88" s="49" t="s">
        <v>396</v>
      </c>
      <c r="EP88" s="49" t="s">
        <v>298</v>
      </c>
      <c r="EQ88" s="0" t="n">
        <v>1</v>
      </c>
      <c r="ER88" s="49" t="s">
        <v>328</v>
      </c>
      <c r="ES88" s="49" t="s">
        <v>329</v>
      </c>
      <c r="ET88" s="49" t="s">
        <v>310</v>
      </c>
      <c r="EU88" s="49" t="s">
        <v>310</v>
      </c>
      <c r="EV88" s="49" t="s">
        <v>310</v>
      </c>
      <c r="EX88" s="49" t="s">
        <v>303</v>
      </c>
      <c r="EY88" s="49" t="s">
        <v>303</v>
      </c>
      <c r="FC88" s="49" t="s">
        <v>330</v>
      </c>
      <c r="FD88" s="49" t="s">
        <v>310</v>
      </c>
      <c r="FE88" s="49" t="s">
        <v>310</v>
      </c>
      <c r="FF88" s="49" t="s">
        <v>64</v>
      </c>
      <c r="FG88" s="49" t="s">
        <v>397</v>
      </c>
      <c r="FH88" s="49" t="s">
        <v>310</v>
      </c>
      <c r="FI88" s="49" t="s">
        <v>332</v>
      </c>
      <c r="FJ88" s="49" t="s">
        <v>303</v>
      </c>
      <c r="FL88" s="49" t="s">
        <v>325</v>
      </c>
      <c r="FM88" s="49" t="s">
        <v>334</v>
      </c>
      <c r="FP88" s="49" t="s">
        <v>303</v>
      </c>
      <c r="FR88" s="49" t="s">
        <v>303</v>
      </c>
      <c r="FT88" s="49" t="s">
        <v>325</v>
      </c>
      <c r="FU88" s="49" t="s">
        <v>325</v>
      </c>
      <c r="FW88" s="49" t="s">
        <v>333</v>
      </c>
    </row>
    <row r="89" customFormat="false" ht="15" hidden="false" customHeight="false" outlineLevel="0" collapsed="false">
      <c r="A89" s="0" t="n">
        <v>100880280</v>
      </c>
      <c r="B89" s="0" t="s">
        <v>295</v>
      </c>
      <c r="C89" s="0" t="s">
        <v>64</v>
      </c>
      <c r="D89" s="0" t="s">
        <v>65</v>
      </c>
      <c r="E89" s="0" t="s">
        <v>297</v>
      </c>
      <c r="G89" s="0" t="n">
        <v>1</v>
      </c>
      <c r="H89" s="0" t="s">
        <v>298</v>
      </c>
      <c r="I89" s="48" t="n">
        <v>46297</v>
      </c>
      <c r="J89" s="0" t="n">
        <v>0</v>
      </c>
      <c r="K89" s="49" t="s">
        <v>334</v>
      </c>
      <c r="L89" s="49" t="s">
        <v>335</v>
      </c>
      <c r="M89" s="48"/>
      <c r="O89" s="49" t="s">
        <v>336</v>
      </c>
      <c r="P89" s="48"/>
      <c r="Q89" s="48" t="n">
        <v>46297</v>
      </c>
      <c r="R89" s="48" t="n">
        <v>46303</v>
      </c>
      <c r="T89" s="49" t="s">
        <v>302</v>
      </c>
      <c r="U89" s="49" t="s">
        <v>303</v>
      </c>
      <c r="Y89" s="49" t="s">
        <v>312</v>
      </c>
      <c r="AD89" s="49" t="s">
        <v>305</v>
      </c>
      <c r="AE89" s="48" t="n">
        <v>46294</v>
      </c>
      <c r="AF89" s="49" t="s">
        <v>306</v>
      </c>
      <c r="AG89" s="49" t="s">
        <v>307</v>
      </c>
      <c r="AK89" s="49" t="s">
        <v>303</v>
      </c>
      <c r="AL89" s="49" t="s">
        <v>297</v>
      </c>
      <c r="AO89" s="49" t="s">
        <v>303</v>
      </c>
      <c r="AP89" s="48"/>
      <c r="AR89" s="49" t="s">
        <v>303</v>
      </c>
      <c r="AS89" s="49" t="s">
        <v>306</v>
      </c>
      <c r="AT89" s="49" t="s">
        <v>594</v>
      </c>
      <c r="AV89" s="49" t="s">
        <v>309</v>
      </c>
      <c r="AW89" s="49" t="s">
        <v>310</v>
      </c>
      <c r="AX89" s="49" t="s">
        <v>311</v>
      </c>
      <c r="AY89" s="48"/>
      <c r="AZ89" s="48" t="n">
        <v>46295</v>
      </c>
      <c r="BC89" s="49" t="s">
        <v>303</v>
      </c>
      <c r="BD89" s="48"/>
      <c r="BE89" s="49" t="s">
        <v>312</v>
      </c>
      <c r="BF89" s="49" t="s">
        <v>303</v>
      </c>
      <c r="BG89" s="48"/>
      <c r="BI89" s="48"/>
      <c r="BJ89" s="48" t="n">
        <v>46302</v>
      </c>
      <c r="BK89" s="49" t="s">
        <v>313</v>
      </c>
      <c r="BL89" s="49" t="s">
        <v>313</v>
      </c>
      <c r="BM89" s="49" t="s">
        <v>310</v>
      </c>
      <c r="BN89" s="48"/>
      <c r="BO89" s="48"/>
      <c r="BP89" s="48"/>
      <c r="BR89" s="48" t="n">
        <v>46302</v>
      </c>
      <c r="BS89" s="49" t="s">
        <v>312</v>
      </c>
      <c r="BT89" s="49" t="s">
        <v>312</v>
      </c>
      <c r="BU89" s="49" t="s">
        <v>313</v>
      </c>
      <c r="BV89" s="49" t="s">
        <v>303</v>
      </c>
      <c r="BX89" s="0" t="n">
        <v>0</v>
      </c>
      <c r="CC89" s="49" t="s">
        <v>315</v>
      </c>
      <c r="CD89" s="49" t="s">
        <v>303</v>
      </c>
      <c r="CF89" s="49" t="s">
        <v>303</v>
      </c>
      <c r="CG89" s="49" t="s">
        <v>316</v>
      </c>
      <c r="CH89" s="49" t="s">
        <v>317</v>
      </c>
      <c r="CI89" s="49" t="s">
        <v>318</v>
      </c>
      <c r="CM89" s="49" t="s">
        <v>65</v>
      </c>
      <c r="CV89" s="49" t="s">
        <v>303</v>
      </c>
      <c r="DB89" s="49" t="s">
        <v>319</v>
      </c>
      <c r="DD89" s="48" t="n">
        <v>46294</v>
      </c>
      <c r="DF89" s="49" t="s">
        <v>310</v>
      </c>
      <c r="DG89" s="49" t="s">
        <v>320</v>
      </c>
      <c r="DH89" s="49" t="s">
        <v>64</v>
      </c>
      <c r="DI89" s="49" t="s">
        <v>298</v>
      </c>
      <c r="DJ89" s="49" t="s">
        <v>394</v>
      </c>
      <c r="DK89" s="49" t="s">
        <v>322</v>
      </c>
      <c r="DL89" s="49" t="s">
        <v>323</v>
      </c>
      <c r="DM89" s="49" t="s">
        <v>303</v>
      </c>
      <c r="DN89" s="49" t="s">
        <v>297</v>
      </c>
      <c r="DO89" s="48"/>
      <c r="DP89" s="49" t="s">
        <v>312</v>
      </c>
      <c r="DQ89" s="48"/>
      <c r="DR89" s="49" t="s">
        <v>312</v>
      </c>
      <c r="DS89" s="49" t="s">
        <v>303</v>
      </c>
      <c r="DT89" s="49" t="s">
        <v>303</v>
      </c>
      <c r="DW89" s="49" t="s">
        <v>303</v>
      </c>
      <c r="EA89" s="49" t="s">
        <v>324</v>
      </c>
      <c r="EB89" s="49" t="s">
        <v>303</v>
      </c>
      <c r="EF89" s="49" t="s">
        <v>550</v>
      </c>
      <c r="EH89" s="49" t="s">
        <v>310</v>
      </c>
      <c r="EJ89" s="49" t="s">
        <v>303</v>
      </c>
      <c r="EK89" s="49" t="s">
        <v>595</v>
      </c>
      <c r="EM89" s="49" t="s">
        <v>303</v>
      </c>
      <c r="EN89" s="49" t="s">
        <v>396</v>
      </c>
      <c r="EP89" s="49" t="s">
        <v>298</v>
      </c>
      <c r="EQ89" s="0" t="n">
        <v>1</v>
      </c>
      <c r="ER89" s="49" t="s">
        <v>328</v>
      </c>
      <c r="ES89" s="49" t="s">
        <v>329</v>
      </c>
      <c r="ET89" s="49" t="s">
        <v>310</v>
      </c>
      <c r="EU89" s="49" t="s">
        <v>310</v>
      </c>
      <c r="EV89" s="49" t="s">
        <v>310</v>
      </c>
      <c r="EX89" s="49" t="s">
        <v>303</v>
      </c>
      <c r="EY89" s="49" t="s">
        <v>303</v>
      </c>
      <c r="FC89" s="49" t="s">
        <v>330</v>
      </c>
      <c r="FD89" s="49" t="s">
        <v>310</v>
      </c>
      <c r="FE89" s="49" t="s">
        <v>310</v>
      </c>
      <c r="FF89" s="49" t="s">
        <v>64</v>
      </c>
      <c r="FG89" s="49" t="s">
        <v>397</v>
      </c>
      <c r="FH89" s="49" t="s">
        <v>310</v>
      </c>
      <c r="FI89" s="49" t="s">
        <v>332</v>
      </c>
      <c r="FJ89" s="49" t="s">
        <v>303</v>
      </c>
      <c r="FL89" s="49" t="s">
        <v>325</v>
      </c>
      <c r="FM89" s="49" t="s">
        <v>334</v>
      </c>
      <c r="FP89" s="49" t="s">
        <v>303</v>
      </c>
      <c r="FR89" s="49" t="s">
        <v>303</v>
      </c>
      <c r="FT89" s="49" t="s">
        <v>325</v>
      </c>
      <c r="FU89" s="49" t="s">
        <v>325</v>
      </c>
      <c r="FW89" s="49" t="s">
        <v>333</v>
      </c>
    </row>
    <row r="90" customFormat="false" ht="15" hidden="false" customHeight="false" outlineLevel="0" collapsed="false">
      <c r="A90" s="0" t="n">
        <v>100880281</v>
      </c>
      <c r="B90" s="0" t="s">
        <v>295</v>
      </c>
      <c r="C90" s="0" t="s">
        <v>66</v>
      </c>
      <c r="D90" s="0" t="s">
        <v>296</v>
      </c>
      <c r="E90" s="0" t="s">
        <v>297</v>
      </c>
      <c r="G90" s="0" t="n">
        <v>1</v>
      </c>
      <c r="H90" s="0" t="s">
        <v>298</v>
      </c>
      <c r="I90" s="48" t="n">
        <v>46297</v>
      </c>
      <c r="J90" s="0" t="n">
        <v>0</v>
      </c>
      <c r="K90" s="49" t="s">
        <v>334</v>
      </c>
      <c r="L90" s="49" t="s">
        <v>335</v>
      </c>
      <c r="M90" s="48" t="n">
        <v>46297</v>
      </c>
      <c r="N90" s="49" t="s">
        <v>335</v>
      </c>
      <c r="O90" s="49" t="s">
        <v>445</v>
      </c>
      <c r="P90" s="48"/>
      <c r="Q90" s="48" t="n">
        <v>46297</v>
      </c>
      <c r="R90" s="48" t="n">
        <v>46304</v>
      </c>
      <c r="T90" s="49" t="s">
        <v>302</v>
      </c>
      <c r="U90" s="49" t="s">
        <v>303</v>
      </c>
      <c r="Y90" s="49" t="s">
        <v>596</v>
      </c>
      <c r="AD90" s="49" t="s">
        <v>305</v>
      </c>
      <c r="AE90" s="48" t="n">
        <v>46293</v>
      </c>
      <c r="AF90" s="49" t="s">
        <v>306</v>
      </c>
      <c r="AG90" s="49" t="s">
        <v>307</v>
      </c>
      <c r="AK90" s="49" t="s">
        <v>303</v>
      </c>
      <c r="AL90" s="49" t="s">
        <v>297</v>
      </c>
      <c r="AO90" s="49" t="s">
        <v>303</v>
      </c>
      <c r="AP90" s="48"/>
      <c r="AR90" s="49" t="s">
        <v>303</v>
      </c>
      <c r="AS90" s="49" t="s">
        <v>306</v>
      </c>
      <c r="AT90" s="49" t="s">
        <v>597</v>
      </c>
      <c r="AV90" s="49" t="s">
        <v>309</v>
      </c>
      <c r="AW90" s="49" t="s">
        <v>310</v>
      </c>
      <c r="AX90" s="49" t="s">
        <v>311</v>
      </c>
      <c r="AY90" s="48"/>
      <c r="AZ90" s="48" t="n">
        <v>46295</v>
      </c>
      <c r="BC90" s="49" t="s">
        <v>303</v>
      </c>
      <c r="BD90" s="48"/>
      <c r="BE90" s="49" t="s">
        <v>312</v>
      </c>
      <c r="BF90" s="49" t="s">
        <v>303</v>
      </c>
      <c r="BG90" s="48"/>
      <c r="BI90" s="48"/>
      <c r="BJ90" s="48" t="n">
        <v>46302</v>
      </c>
      <c r="BK90" s="49" t="s">
        <v>312</v>
      </c>
      <c r="BL90" s="49" t="s">
        <v>313</v>
      </c>
      <c r="BM90" s="49" t="s">
        <v>310</v>
      </c>
      <c r="BN90" s="48"/>
      <c r="BO90" s="48"/>
      <c r="BP90" s="48"/>
      <c r="BQ90" s="49" t="s">
        <v>299</v>
      </c>
      <c r="BR90" s="48" t="n">
        <v>46302</v>
      </c>
      <c r="BS90" s="49" t="s">
        <v>598</v>
      </c>
      <c r="BT90" s="49" t="s">
        <v>312</v>
      </c>
      <c r="BU90" s="49" t="s">
        <v>313</v>
      </c>
      <c r="BV90" s="49" t="s">
        <v>303</v>
      </c>
      <c r="BX90" s="0" t="n">
        <v>0</v>
      </c>
      <c r="CC90" s="49" t="s">
        <v>315</v>
      </c>
      <c r="CD90" s="49" t="s">
        <v>303</v>
      </c>
      <c r="CF90" s="49" t="s">
        <v>303</v>
      </c>
      <c r="CG90" s="49" t="s">
        <v>316</v>
      </c>
      <c r="CH90" s="49" t="s">
        <v>317</v>
      </c>
      <c r="CI90" s="49" t="s">
        <v>318</v>
      </c>
      <c r="CM90" s="49" t="s">
        <v>296</v>
      </c>
      <c r="CV90" s="49" t="s">
        <v>303</v>
      </c>
      <c r="DB90" s="49" t="s">
        <v>319</v>
      </c>
      <c r="DD90" s="48" t="n">
        <v>46293</v>
      </c>
      <c r="DF90" s="49" t="s">
        <v>310</v>
      </c>
      <c r="DG90" s="49" t="s">
        <v>320</v>
      </c>
      <c r="DH90" s="49" t="s">
        <v>66</v>
      </c>
      <c r="DI90" s="49" t="s">
        <v>298</v>
      </c>
      <c r="DJ90" s="49" t="s">
        <v>321</v>
      </c>
      <c r="DK90" s="49" t="s">
        <v>322</v>
      </c>
      <c r="DL90" s="49" t="s">
        <v>323</v>
      </c>
      <c r="DM90" s="49" t="s">
        <v>303</v>
      </c>
      <c r="DN90" s="49" t="s">
        <v>297</v>
      </c>
      <c r="DO90" s="48"/>
      <c r="DP90" s="49" t="s">
        <v>313</v>
      </c>
      <c r="DQ90" s="48"/>
      <c r="DR90" s="49" t="s">
        <v>312</v>
      </c>
      <c r="DS90" s="49" t="s">
        <v>303</v>
      </c>
      <c r="DT90" s="49" t="s">
        <v>303</v>
      </c>
      <c r="DW90" s="49" t="s">
        <v>303</v>
      </c>
      <c r="EA90" s="49" t="s">
        <v>324</v>
      </c>
      <c r="EB90" s="49" t="s">
        <v>303</v>
      </c>
      <c r="EH90" s="49" t="s">
        <v>325</v>
      </c>
      <c r="EJ90" s="49" t="s">
        <v>303</v>
      </c>
      <c r="EK90" s="49" t="s">
        <v>599</v>
      </c>
      <c r="EM90" s="49" t="s">
        <v>303</v>
      </c>
      <c r="EN90" s="49" t="s">
        <v>327</v>
      </c>
      <c r="EP90" s="49" t="s">
        <v>298</v>
      </c>
      <c r="EQ90" s="0" t="n">
        <v>1</v>
      </c>
      <c r="ER90" s="49" t="s">
        <v>328</v>
      </c>
      <c r="ES90" s="49" t="s">
        <v>329</v>
      </c>
      <c r="ET90" s="49" t="s">
        <v>310</v>
      </c>
      <c r="EU90" s="49" t="s">
        <v>310</v>
      </c>
      <c r="EV90" s="49" t="s">
        <v>310</v>
      </c>
      <c r="EX90" s="49" t="s">
        <v>303</v>
      </c>
      <c r="EY90" s="49" t="s">
        <v>303</v>
      </c>
      <c r="FC90" s="49" t="s">
        <v>330</v>
      </c>
      <c r="FD90" s="49" t="s">
        <v>310</v>
      </c>
      <c r="FE90" s="49" t="s">
        <v>310</v>
      </c>
      <c r="FF90" s="49" t="s">
        <v>66</v>
      </c>
      <c r="FG90" s="49" t="s">
        <v>331</v>
      </c>
      <c r="FH90" s="49" t="s">
        <v>310</v>
      </c>
      <c r="FI90" s="49" t="s">
        <v>332</v>
      </c>
      <c r="FJ90" s="49" t="s">
        <v>303</v>
      </c>
      <c r="FL90" s="49" t="s">
        <v>325</v>
      </c>
      <c r="FM90" s="49" t="s">
        <v>334</v>
      </c>
      <c r="FP90" s="49" t="s">
        <v>303</v>
      </c>
      <c r="FR90" s="49" t="s">
        <v>303</v>
      </c>
      <c r="FT90" s="49" t="s">
        <v>325</v>
      </c>
      <c r="FU90" s="49" t="s">
        <v>325</v>
      </c>
      <c r="FW90" s="49" t="s">
        <v>333</v>
      </c>
    </row>
    <row r="91" customFormat="false" ht="15" hidden="false" customHeight="false" outlineLevel="0" collapsed="false">
      <c r="A91" s="0" t="n">
        <v>100880282</v>
      </c>
      <c r="B91" s="0" t="s">
        <v>295</v>
      </c>
      <c r="C91" s="0" t="s">
        <v>66</v>
      </c>
      <c r="D91" s="0" t="s">
        <v>296</v>
      </c>
      <c r="E91" s="0" t="s">
        <v>297</v>
      </c>
      <c r="G91" s="0" t="n">
        <v>1</v>
      </c>
      <c r="H91" s="0" t="s">
        <v>298</v>
      </c>
      <c r="I91" s="48" t="n">
        <v>46297</v>
      </c>
      <c r="J91" s="0" t="n">
        <v>0</v>
      </c>
      <c r="K91" s="49" t="s">
        <v>334</v>
      </c>
      <c r="L91" s="49" t="s">
        <v>335</v>
      </c>
      <c r="M91" s="48"/>
      <c r="O91" s="49" t="s">
        <v>445</v>
      </c>
      <c r="P91" s="48"/>
      <c r="Q91" s="48" t="n">
        <v>46297</v>
      </c>
      <c r="R91" s="48" t="n">
        <v>46303</v>
      </c>
      <c r="T91" s="49" t="s">
        <v>302</v>
      </c>
      <c r="U91" s="49" t="s">
        <v>303</v>
      </c>
      <c r="Y91" s="49" t="s">
        <v>312</v>
      </c>
      <c r="AD91" s="49" t="s">
        <v>305</v>
      </c>
      <c r="AE91" s="48" t="n">
        <v>46293</v>
      </c>
      <c r="AF91" s="49" t="s">
        <v>306</v>
      </c>
      <c r="AG91" s="49" t="s">
        <v>307</v>
      </c>
      <c r="AK91" s="49" t="s">
        <v>303</v>
      </c>
      <c r="AL91" s="49" t="s">
        <v>297</v>
      </c>
      <c r="AO91" s="49" t="s">
        <v>303</v>
      </c>
      <c r="AP91" s="48"/>
      <c r="AR91" s="49" t="s">
        <v>303</v>
      </c>
      <c r="AS91" s="49" t="s">
        <v>306</v>
      </c>
      <c r="AT91" s="49" t="s">
        <v>600</v>
      </c>
      <c r="AV91" s="49" t="s">
        <v>309</v>
      </c>
      <c r="AW91" s="49" t="s">
        <v>310</v>
      </c>
      <c r="AX91" s="49" t="s">
        <v>311</v>
      </c>
      <c r="AY91" s="48"/>
      <c r="AZ91" s="48" t="n">
        <v>46295</v>
      </c>
      <c r="BC91" s="49" t="s">
        <v>303</v>
      </c>
      <c r="BD91" s="48"/>
      <c r="BE91" s="49" t="s">
        <v>312</v>
      </c>
      <c r="BF91" s="49" t="s">
        <v>303</v>
      </c>
      <c r="BG91" s="48"/>
      <c r="BI91" s="48"/>
      <c r="BJ91" s="48" t="n">
        <v>46302</v>
      </c>
      <c r="BK91" s="49" t="s">
        <v>313</v>
      </c>
      <c r="BL91" s="49" t="s">
        <v>313</v>
      </c>
      <c r="BM91" s="49" t="s">
        <v>310</v>
      </c>
      <c r="BN91" s="48"/>
      <c r="BO91" s="48"/>
      <c r="BP91" s="48"/>
      <c r="BQ91" s="49" t="s">
        <v>299</v>
      </c>
      <c r="BR91" s="48" t="n">
        <v>46302</v>
      </c>
      <c r="BS91" s="49" t="s">
        <v>598</v>
      </c>
      <c r="BT91" s="49" t="s">
        <v>312</v>
      </c>
      <c r="BU91" s="49" t="s">
        <v>313</v>
      </c>
      <c r="BV91" s="49" t="s">
        <v>303</v>
      </c>
      <c r="BX91" s="0" t="n">
        <v>0</v>
      </c>
      <c r="CC91" s="49" t="s">
        <v>315</v>
      </c>
      <c r="CD91" s="49" t="s">
        <v>303</v>
      </c>
      <c r="CF91" s="49" t="s">
        <v>303</v>
      </c>
      <c r="CG91" s="49" t="s">
        <v>316</v>
      </c>
      <c r="CH91" s="49" t="s">
        <v>317</v>
      </c>
      <c r="CI91" s="49" t="s">
        <v>318</v>
      </c>
      <c r="CM91" s="49" t="s">
        <v>296</v>
      </c>
      <c r="CV91" s="49" t="s">
        <v>303</v>
      </c>
      <c r="DB91" s="49" t="s">
        <v>319</v>
      </c>
      <c r="DD91" s="48" t="n">
        <v>46293</v>
      </c>
      <c r="DF91" s="49" t="s">
        <v>310</v>
      </c>
      <c r="DG91" s="49" t="s">
        <v>320</v>
      </c>
      <c r="DH91" s="49" t="s">
        <v>66</v>
      </c>
      <c r="DI91" s="49" t="s">
        <v>298</v>
      </c>
      <c r="DJ91" s="49" t="s">
        <v>321</v>
      </c>
      <c r="DK91" s="49" t="s">
        <v>322</v>
      </c>
      <c r="DL91" s="49" t="s">
        <v>323</v>
      </c>
      <c r="DM91" s="49" t="s">
        <v>303</v>
      </c>
      <c r="DN91" s="49" t="s">
        <v>297</v>
      </c>
      <c r="DO91" s="48"/>
      <c r="DP91" s="49" t="s">
        <v>313</v>
      </c>
      <c r="DQ91" s="48"/>
      <c r="DR91" s="49" t="s">
        <v>312</v>
      </c>
      <c r="DS91" s="49" t="s">
        <v>303</v>
      </c>
      <c r="DT91" s="49" t="s">
        <v>303</v>
      </c>
      <c r="DW91" s="49" t="s">
        <v>303</v>
      </c>
      <c r="EA91" s="49" t="s">
        <v>324</v>
      </c>
      <c r="EB91" s="49" t="s">
        <v>303</v>
      </c>
      <c r="EF91" s="49" t="s">
        <v>601</v>
      </c>
      <c r="EH91" s="49" t="s">
        <v>325</v>
      </c>
      <c r="EJ91" s="49" t="s">
        <v>303</v>
      </c>
      <c r="EK91" s="49" t="s">
        <v>602</v>
      </c>
      <c r="EM91" s="49" t="s">
        <v>303</v>
      </c>
      <c r="EN91" s="49" t="s">
        <v>327</v>
      </c>
      <c r="EP91" s="49" t="s">
        <v>298</v>
      </c>
      <c r="EQ91" s="0" t="n">
        <v>1</v>
      </c>
      <c r="ER91" s="49" t="s">
        <v>328</v>
      </c>
      <c r="ES91" s="49" t="s">
        <v>329</v>
      </c>
      <c r="ET91" s="49" t="s">
        <v>310</v>
      </c>
      <c r="EU91" s="49" t="s">
        <v>310</v>
      </c>
      <c r="EV91" s="49" t="s">
        <v>310</v>
      </c>
      <c r="EX91" s="49" t="s">
        <v>303</v>
      </c>
      <c r="EY91" s="49" t="s">
        <v>303</v>
      </c>
      <c r="FC91" s="49" t="s">
        <v>330</v>
      </c>
      <c r="FD91" s="49" t="s">
        <v>310</v>
      </c>
      <c r="FE91" s="49" t="s">
        <v>310</v>
      </c>
      <c r="FF91" s="49" t="s">
        <v>66</v>
      </c>
      <c r="FG91" s="49" t="s">
        <v>331</v>
      </c>
      <c r="FH91" s="49" t="s">
        <v>310</v>
      </c>
      <c r="FI91" s="49" t="s">
        <v>332</v>
      </c>
      <c r="FJ91" s="49" t="s">
        <v>303</v>
      </c>
      <c r="FL91" s="49" t="s">
        <v>325</v>
      </c>
      <c r="FM91" s="49" t="s">
        <v>334</v>
      </c>
      <c r="FP91" s="49" t="s">
        <v>303</v>
      </c>
      <c r="FR91" s="49" t="s">
        <v>303</v>
      </c>
      <c r="FT91" s="49" t="s">
        <v>325</v>
      </c>
      <c r="FU91" s="49" t="s">
        <v>325</v>
      </c>
      <c r="FW91" s="49" t="s">
        <v>333</v>
      </c>
    </row>
    <row r="92" customFormat="false" ht="15" hidden="false" customHeight="false" outlineLevel="0" collapsed="false">
      <c r="A92" s="0" t="n">
        <v>100880283</v>
      </c>
      <c r="B92" s="0" t="s">
        <v>295</v>
      </c>
      <c r="C92" s="0" t="s">
        <v>66</v>
      </c>
      <c r="D92" s="0" t="s">
        <v>296</v>
      </c>
      <c r="E92" s="0" t="s">
        <v>297</v>
      </c>
      <c r="G92" s="0" t="n">
        <v>1</v>
      </c>
      <c r="H92" s="0" t="s">
        <v>298</v>
      </c>
      <c r="I92" s="48" t="n">
        <v>46297</v>
      </c>
      <c r="J92" s="0" t="n">
        <v>0</v>
      </c>
      <c r="K92" s="49" t="s">
        <v>334</v>
      </c>
      <c r="L92" s="49" t="s">
        <v>335</v>
      </c>
      <c r="M92" s="48"/>
      <c r="O92" s="49" t="s">
        <v>445</v>
      </c>
      <c r="P92" s="48"/>
      <c r="Q92" s="48" t="n">
        <v>46297</v>
      </c>
      <c r="R92" s="48" t="n">
        <v>46303</v>
      </c>
      <c r="T92" s="49" t="s">
        <v>302</v>
      </c>
      <c r="U92" s="49" t="s">
        <v>303</v>
      </c>
      <c r="Y92" s="49" t="s">
        <v>312</v>
      </c>
      <c r="AD92" s="49" t="s">
        <v>305</v>
      </c>
      <c r="AE92" s="48" t="n">
        <v>46293</v>
      </c>
      <c r="AF92" s="49" t="s">
        <v>306</v>
      </c>
      <c r="AG92" s="49" t="s">
        <v>307</v>
      </c>
      <c r="AK92" s="49" t="s">
        <v>303</v>
      </c>
      <c r="AL92" s="49" t="s">
        <v>297</v>
      </c>
      <c r="AO92" s="49" t="s">
        <v>303</v>
      </c>
      <c r="AP92" s="48"/>
      <c r="AR92" s="49" t="s">
        <v>303</v>
      </c>
      <c r="AS92" s="49" t="s">
        <v>306</v>
      </c>
      <c r="AT92" s="49" t="s">
        <v>603</v>
      </c>
      <c r="AV92" s="49" t="s">
        <v>309</v>
      </c>
      <c r="AW92" s="49" t="s">
        <v>310</v>
      </c>
      <c r="AX92" s="49" t="s">
        <v>311</v>
      </c>
      <c r="AY92" s="48"/>
      <c r="AZ92" s="48" t="n">
        <v>46295</v>
      </c>
      <c r="BC92" s="49" t="s">
        <v>303</v>
      </c>
      <c r="BD92" s="48"/>
      <c r="BE92" s="49" t="s">
        <v>312</v>
      </c>
      <c r="BF92" s="49" t="s">
        <v>303</v>
      </c>
      <c r="BG92" s="48"/>
      <c r="BI92" s="48"/>
      <c r="BJ92" s="48" t="n">
        <v>46302</v>
      </c>
      <c r="BK92" s="49" t="s">
        <v>313</v>
      </c>
      <c r="BL92" s="49" t="s">
        <v>313</v>
      </c>
      <c r="BM92" s="49" t="s">
        <v>310</v>
      </c>
      <c r="BN92" s="48"/>
      <c r="BO92" s="48"/>
      <c r="BP92" s="48"/>
      <c r="BQ92" s="49" t="s">
        <v>299</v>
      </c>
      <c r="BR92" s="48" t="n">
        <v>46302</v>
      </c>
      <c r="BS92" s="49" t="s">
        <v>598</v>
      </c>
      <c r="BT92" s="49" t="s">
        <v>312</v>
      </c>
      <c r="BU92" s="49" t="s">
        <v>313</v>
      </c>
      <c r="BV92" s="49" t="s">
        <v>303</v>
      </c>
      <c r="BX92" s="0" t="n">
        <v>0</v>
      </c>
      <c r="CC92" s="49" t="s">
        <v>315</v>
      </c>
      <c r="CD92" s="49" t="s">
        <v>303</v>
      </c>
      <c r="CF92" s="49" t="s">
        <v>303</v>
      </c>
      <c r="CG92" s="49" t="s">
        <v>316</v>
      </c>
      <c r="CH92" s="49" t="s">
        <v>317</v>
      </c>
      <c r="CI92" s="49" t="s">
        <v>318</v>
      </c>
      <c r="CM92" s="49" t="s">
        <v>296</v>
      </c>
      <c r="CV92" s="49" t="s">
        <v>303</v>
      </c>
      <c r="DB92" s="49" t="s">
        <v>319</v>
      </c>
      <c r="DD92" s="48" t="n">
        <v>46293</v>
      </c>
      <c r="DF92" s="49" t="s">
        <v>310</v>
      </c>
      <c r="DG92" s="49" t="s">
        <v>320</v>
      </c>
      <c r="DH92" s="49" t="s">
        <v>66</v>
      </c>
      <c r="DI92" s="49" t="s">
        <v>298</v>
      </c>
      <c r="DJ92" s="49" t="s">
        <v>321</v>
      </c>
      <c r="DK92" s="49" t="s">
        <v>322</v>
      </c>
      <c r="DL92" s="49" t="s">
        <v>323</v>
      </c>
      <c r="DM92" s="49" t="s">
        <v>303</v>
      </c>
      <c r="DN92" s="49" t="s">
        <v>297</v>
      </c>
      <c r="DO92" s="48"/>
      <c r="DP92" s="49" t="s">
        <v>313</v>
      </c>
      <c r="DQ92" s="48"/>
      <c r="DR92" s="49" t="s">
        <v>312</v>
      </c>
      <c r="DS92" s="49" t="s">
        <v>303</v>
      </c>
      <c r="DT92" s="49" t="s">
        <v>303</v>
      </c>
      <c r="DW92" s="49" t="s">
        <v>303</v>
      </c>
      <c r="EA92" s="49" t="s">
        <v>324</v>
      </c>
      <c r="EB92" s="49" t="s">
        <v>303</v>
      </c>
      <c r="EF92" s="49" t="s">
        <v>601</v>
      </c>
      <c r="EH92" s="49" t="s">
        <v>325</v>
      </c>
      <c r="EJ92" s="49" t="s">
        <v>303</v>
      </c>
      <c r="EK92" s="49" t="s">
        <v>604</v>
      </c>
      <c r="EM92" s="49" t="s">
        <v>303</v>
      </c>
      <c r="EN92" s="49" t="s">
        <v>327</v>
      </c>
      <c r="EP92" s="49" t="s">
        <v>298</v>
      </c>
      <c r="EQ92" s="0" t="n">
        <v>1</v>
      </c>
      <c r="ER92" s="49" t="s">
        <v>328</v>
      </c>
      <c r="ES92" s="49" t="s">
        <v>329</v>
      </c>
      <c r="ET92" s="49" t="s">
        <v>310</v>
      </c>
      <c r="EU92" s="49" t="s">
        <v>310</v>
      </c>
      <c r="EV92" s="49" t="s">
        <v>310</v>
      </c>
      <c r="EX92" s="49" t="s">
        <v>303</v>
      </c>
      <c r="EY92" s="49" t="s">
        <v>303</v>
      </c>
      <c r="FC92" s="49" t="s">
        <v>330</v>
      </c>
      <c r="FD92" s="49" t="s">
        <v>310</v>
      </c>
      <c r="FE92" s="49" t="s">
        <v>310</v>
      </c>
      <c r="FF92" s="49" t="s">
        <v>66</v>
      </c>
      <c r="FG92" s="49" t="s">
        <v>331</v>
      </c>
      <c r="FH92" s="49" t="s">
        <v>310</v>
      </c>
      <c r="FI92" s="49" t="s">
        <v>332</v>
      </c>
      <c r="FJ92" s="49" t="s">
        <v>303</v>
      </c>
      <c r="FL92" s="49" t="s">
        <v>325</v>
      </c>
      <c r="FM92" s="49" t="s">
        <v>334</v>
      </c>
      <c r="FP92" s="49" t="s">
        <v>303</v>
      </c>
      <c r="FR92" s="49" t="s">
        <v>303</v>
      </c>
      <c r="FT92" s="49" t="s">
        <v>325</v>
      </c>
      <c r="FU92" s="49" t="s">
        <v>325</v>
      </c>
      <c r="FW92" s="49" t="s">
        <v>333</v>
      </c>
    </row>
    <row r="93" customFormat="false" ht="15" hidden="false" customHeight="false" outlineLevel="0" collapsed="false">
      <c r="A93" s="0" t="n">
        <v>100880284</v>
      </c>
      <c r="B93" s="0" t="s">
        <v>295</v>
      </c>
      <c r="C93" s="0" t="s">
        <v>68</v>
      </c>
      <c r="D93" s="0" t="s">
        <v>456</v>
      </c>
      <c r="E93" s="0" t="s">
        <v>297</v>
      </c>
      <c r="G93" s="0" t="n">
        <v>1</v>
      </c>
      <c r="H93" s="0" t="s">
        <v>298</v>
      </c>
      <c r="I93" s="48" t="n">
        <v>46297</v>
      </c>
      <c r="J93" s="0" t="n">
        <v>0</v>
      </c>
      <c r="K93" s="49" t="s">
        <v>334</v>
      </c>
      <c r="L93" s="49" t="s">
        <v>335</v>
      </c>
      <c r="M93" s="48" t="n">
        <v>46297</v>
      </c>
      <c r="N93" s="49" t="s">
        <v>335</v>
      </c>
      <c r="O93" s="49" t="s">
        <v>445</v>
      </c>
      <c r="P93" s="48"/>
      <c r="Q93" s="48" t="n">
        <v>46297</v>
      </c>
      <c r="R93" s="48" t="n">
        <v>46304</v>
      </c>
      <c r="T93" s="49" t="s">
        <v>302</v>
      </c>
      <c r="U93" s="49" t="s">
        <v>303</v>
      </c>
      <c r="Y93" s="49" t="s">
        <v>605</v>
      </c>
      <c r="AD93" s="49" t="s">
        <v>305</v>
      </c>
      <c r="AE93" s="48" t="n">
        <v>46293</v>
      </c>
      <c r="AF93" s="49" t="s">
        <v>306</v>
      </c>
      <c r="AG93" s="49" t="s">
        <v>307</v>
      </c>
      <c r="AK93" s="49" t="s">
        <v>303</v>
      </c>
      <c r="AL93" s="49" t="s">
        <v>297</v>
      </c>
      <c r="AO93" s="49" t="s">
        <v>303</v>
      </c>
      <c r="AP93" s="48"/>
      <c r="AR93" s="49" t="s">
        <v>303</v>
      </c>
      <c r="AS93" s="49" t="s">
        <v>306</v>
      </c>
      <c r="AT93" s="49" t="s">
        <v>606</v>
      </c>
      <c r="AV93" s="49" t="s">
        <v>309</v>
      </c>
      <c r="AW93" s="49" t="s">
        <v>310</v>
      </c>
      <c r="AX93" s="49" t="s">
        <v>311</v>
      </c>
      <c r="AY93" s="48"/>
      <c r="AZ93" s="48" t="n">
        <v>46295</v>
      </c>
      <c r="BC93" s="49" t="s">
        <v>303</v>
      </c>
      <c r="BD93" s="48"/>
      <c r="BE93" s="49" t="s">
        <v>312</v>
      </c>
      <c r="BF93" s="49" t="s">
        <v>303</v>
      </c>
      <c r="BG93" s="48"/>
      <c r="BI93" s="48"/>
      <c r="BJ93" s="48" t="n">
        <v>46302</v>
      </c>
      <c r="BK93" s="49" t="s">
        <v>312</v>
      </c>
      <c r="BL93" s="49" t="s">
        <v>313</v>
      </c>
      <c r="BM93" s="49" t="s">
        <v>310</v>
      </c>
      <c r="BN93" s="48"/>
      <c r="BO93" s="48"/>
      <c r="BP93" s="48"/>
      <c r="BQ93" s="49" t="s">
        <v>299</v>
      </c>
      <c r="BR93" s="48" t="n">
        <v>46302</v>
      </c>
      <c r="BS93" s="49" t="s">
        <v>607</v>
      </c>
      <c r="BT93" s="49" t="s">
        <v>312</v>
      </c>
      <c r="BU93" s="49" t="s">
        <v>313</v>
      </c>
      <c r="BV93" s="49" t="s">
        <v>303</v>
      </c>
      <c r="BX93" s="0" t="n">
        <v>0</v>
      </c>
      <c r="CC93" s="49" t="s">
        <v>315</v>
      </c>
      <c r="CD93" s="49" t="s">
        <v>303</v>
      </c>
      <c r="CF93" s="49" t="s">
        <v>303</v>
      </c>
      <c r="CG93" s="49" t="s">
        <v>316</v>
      </c>
      <c r="CH93" s="49" t="s">
        <v>317</v>
      </c>
      <c r="CI93" s="49" t="s">
        <v>318</v>
      </c>
      <c r="CM93" s="49" t="s">
        <v>456</v>
      </c>
      <c r="CV93" s="49" t="s">
        <v>303</v>
      </c>
      <c r="DB93" s="49" t="s">
        <v>319</v>
      </c>
      <c r="DD93" s="48" t="n">
        <v>46293</v>
      </c>
      <c r="DF93" s="49" t="s">
        <v>310</v>
      </c>
      <c r="DG93" s="49" t="s">
        <v>320</v>
      </c>
      <c r="DH93" s="49" t="s">
        <v>68</v>
      </c>
      <c r="DI93" s="49" t="s">
        <v>298</v>
      </c>
      <c r="DJ93" s="49" t="s">
        <v>321</v>
      </c>
      <c r="DK93" s="49" t="s">
        <v>322</v>
      </c>
      <c r="DL93" s="49" t="s">
        <v>323</v>
      </c>
      <c r="DM93" s="49" t="s">
        <v>303</v>
      </c>
      <c r="DN93" s="49" t="s">
        <v>297</v>
      </c>
      <c r="DO93" s="48"/>
      <c r="DP93" s="49" t="s">
        <v>313</v>
      </c>
      <c r="DQ93" s="48"/>
      <c r="DR93" s="49" t="s">
        <v>312</v>
      </c>
      <c r="DS93" s="49" t="s">
        <v>303</v>
      </c>
      <c r="DT93" s="49" t="s">
        <v>303</v>
      </c>
      <c r="DW93" s="49" t="s">
        <v>303</v>
      </c>
      <c r="EA93" s="49" t="s">
        <v>324</v>
      </c>
      <c r="EB93" s="49" t="s">
        <v>303</v>
      </c>
      <c r="EH93" s="49" t="s">
        <v>325</v>
      </c>
      <c r="EJ93" s="49" t="s">
        <v>303</v>
      </c>
      <c r="EK93" s="49" t="s">
        <v>608</v>
      </c>
      <c r="EM93" s="49" t="s">
        <v>303</v>
      </c>
      <c r="EN93" s="49" t="s">
        <v>460</v>
      </c>
      <c r="EP93" s="49" t="s">
        <v>298</v>
      </c>
      <c r="EQ93" s="0" t="n">
        <v>1</v>
      </c>
      <c r="ER93" s="49" t="s">
        <v>328</v>
      </c>
      <c r="ES93" s="49" t="s">
        <v>329</v>
      </c>
      <c r="ET93" s="49" t="s">
        <v>310</v>
      </c>
      <c r="EU93" s="49" t="s">
        <v>310</v>
      </c>
      <c r="EV93" s="49" t="s">
        <v>310</v>
      </c>
      <c r="EX93" s="49" t="s">
        <v>303</v>
      </c>
      <c r="EY93" s="49" t="s">
        <v>303</v>
      </c>
      <c r="FC93" s="49" t="s">
        <v>330</v>
      </c>
      <c r="FD93" s="49" t="s">
        <v>310</v>
      </c>
      <c r="FE93" s="49" t="s">
        <v>310</v>
      </c>
      <c r="FF93" s="49" t="s">
        <v>68</v>
      </c>
      <c r="FG93" s="49" t="s">
        <v>461</v>
      </c>
      <c r="FH93" s="49" t="s">
        <v>310</v>
      </c>
      <c r="FI93" s="49" t="s">
        <v>332</v>
      </c>
      <c r="FJ93" s="49" t="s">
        <v>303</v>
      </c>
      <c r="FL93" s="49" t="s">
        <v>325</v>
      </c>
      <c r="FM93" s="49" t="s">
        <v>334</v>
      </c>
      <c r="FP93" s="49" t="s">
        <v>303</v>
      </c>
      <c r="FR93" s="49" t="s">
        <v>303</v>
      </c>
      <c r="FT93" s="49" t="s">
        <v>325</v>
      </c>
      <c r="FU93" s="49" t="s">
        <v>325</v>
      </c>
      <c r="FW93" s="49" t="s">
        <v>333</v>
      </c>
    </row>
    <row r="94" customFormat="false" ht="15" hidden="false" customHeight="false" outlineLevel="0" collapsed="false">
      <c r="A94" s="0" t="n">
        <v>100880285</v>
      </c>
      <c r="B94" s="0" t="s">
        <v>295</v>
      </c>
      <c r="C94" s="0" t="s">
        <v>68</v>
      </c>
      <c r="D94" s="0" t="s">
        <v>456</v>
      </c>
      <c r="E94" s="0" t="s">
        <v>297</v>
      </c>
      <c r="G94" s="0" t="n">
        <v>1</v>
      </c>
      <c r="H94" s="0" t="s">
        <v>298</v>
      </c>
      <c r="I94" s="48" t="n">
        <v>46297</v>
      </c>
      <c r="J94" s="0" t="n">
        <v>0</v>
      </c>
      <c r="K94" s="49" t="s">
        <v>334</v>
      </c>
      <c r="L94" s="49" t="s">
        <v>335</v>
      </c>
      <c r="M94" s="48"/>
      <c r="O94" s="49" t="s">
        <v>445</v>
      </c>
      <c r="P94" s="48"/>
      <c r="Q94" s="48" t="n">
        <v>46297</v>
      </c>
      <c r="R94" s="48" t="n">
        <v>46303</v>
      </c>
      <c r="T94" s="49" t="s">
        <v>302</v>
      </c>
      <c r="U94" s="49" t="s">
        <v>303</v>
      </c>
      <c r="Y94" s="49" t="s">
        <v>312</v>
      </c>
      <c r="AD94" s="49" t="s">
        <v>305</v>
      </c>
      <c r="AE94" s="48" t="n">
        <v>46293</v>
      </c>
      <c r="AF94" s="49" t="s">
        <v>306</v>
      </c>
      <c r="AG94" s="49" t="s">
        <v>307</v>
      </c>
      <c r="AK94" s="49" t="s">
        <v>303</v>
      </c>
      <c r="AL94" s="49" t="s">
        <v>297</v>
      </c>
      <c r="AO94" s="49" t="s">
        <v>303</v>
      </c>
      <c r="AP94" s="48"/>
      <c r="AR94" s="49" t="s">
        <v>303</v>
      </c>
      <c r="AS94" s="49" t="s">
        <v>306</v>
      </c>
      <c r="AT94" s="49" t="s">
        <v>609</v>
      </c>
      <c r="AV94" s="49" t="s">
        <v>309</v>
      </c>
      <c r="AW94" s="49" t="s">
        <v>310</v>
      </c>
      <c r="AX94" s="49" t="s">
        <v>311</v>
      </c>
      <c r="AY94" s="48"/>
      <c r="AZ94" s="48" t="n">
        <v>46295</v>
      </c>
      <c r="BC94" s="49" t="s">
        <v>303</v>
      </c>
      <c r="BD94" s="48"/>
      <c r="BE94" s="49" t="s">
        <v>312</v>
      </c>
      <c r="BF94" s="49" t="s">
        <v>303</v>
      </c>
      <c r="BG94" s="48"/>
      <c r="BI94" s="48"/>
      <c r="BJ94" s="48" t="n">
        <v>46302</v>
      </c>
      <c r="BK94" s="49" t="s">
        <v>313</v>
      </c>
      <c r="BL94" s="49" t="s">
        <v>313</v>
      </c>
      <c r="BM94" s="49" t="s">
        <v>310</v>
      </c>
      <c r="BN94" s="48"/>
      <c r="BO94" s="48"/>
      <c r="BP94" s="48"/>
      <c r="BQ94" s="49" t="s">
        <v>299</v>
      </c>
      <c r="BR94" s="48" t="n">
        <v>46302</v>
      </c>
      <c r="BS94" s="49" t="s">
        <v>607</v>
      </c>
      <c r="BT94" s="49" t="s">
        <v>312</v>
      </c>
      <c r="BU94" s="49" t="s">
        <v>313</v>
      </c>
      <c r="BV94" s="49" t="s">
        <v>303</v>
      </c>
      <c r="BX94" s="0" t="n">
        <v>0</v>
      </c>
      <c r="CC94" s="49" t="s">
        <v>315</v>
      </c>
      <c r="CD94" s="49" t="s">
        <v>303</v>
      </c>
      <c r="CF94" s="49" t="s">
        <v>303</v>
      </c>
      <c r="CG94" s="49" t="s">
        <v>316</v>
      </c>
      <c r="CH94" s="49" t="s">
        <v>317</v>
      </c>
      <c r="CI94" s="49" t="s">
        <v>318</v>
      </c>
      <c r="CM94" s="49" t="s">
        <v>456</v>
      </c>
      <c r="CV94" s="49" t="s">
        <v>303</v>
      </c>
      <c r="DB94" s="49" t="s">
        <v>319</v>
      </c>
      <c r="DD94" s="48" t="n">
        <v>46293</v>
      </c>
      <c r="DF94" s="49" t="s">
        <v>310</v>
      </c>
      <c r="DG94" s="49" t="s">
        <v>320</v>
      </c>
      <c r="DH94" s="49" t="s">
        <v>68</v>
      </c>
      <c r="DI94" s="49" t="s">
        <v>298</v>
      </c>
      <c r="DJ94" s="49" t="s">
        <v>321</v>
      </c>
      <c r="DK94" s="49" t="s">
        <v>322</v>
      </c>
      <c r="DL94" s="49" t="s">
        <v>323</v>
      </c>
      <c r="DM94" s="49" t="s">
        <v>303</v>
      </c>
      <c r="DN94" s="49" t="s">
        <v>297</v>
      </c>
      <c r="DO94" s="48"/>
      <c r="DP94" s="49" t="s">
        <v>313</v>
      </c>
      <c r="DQ94" s="48"/>
      <c r="DR94" s="49" t="s">
        <v>312</v>
      </c>
      <c r="DS94" s="49" t="s">
        <v>303</v>
      </c>
      <c r="DT94" s="49" t="s">
        <v>303</v>
      </c>
      <c r="DW94" s="49" t="s">
        <v>303</v>
      </c>
      <c r="EA94" s="49" t="s">
        <v>324</v>
      </c>
      <c r="EB94" s="49" t="s">
        <v>303</v>
      </c>
      <c r="EF94" s="49" t="s">
        <v>610</v>
      </c>
      <c r="EH94" s="49" t="s">
        <v>325</v>
      </c>
      <c r="EJ94" s="49" t="s">
        <v>303</v>
      </c>
      <c r="EK94" s="49" t="s">
        <v>611</v>
      </c>
      <c r="EM94" s="49" t="s">
        <v>303</v>
      </c>
      <c r="EN94" s="49" t="s">
        <v>460</v>
      </c>
      <c r="EP94" s="49" t="s">
        <v>298</v>
      </c>
      <c r="EQ94" s="0" t="n">
        <v>1</v>
      </c>
      <c r="ER94" s="49" t="s">
        <v>328</v>
      </c>
      <c r="ES94" s="49" t="s">
        <v>329</v>
      </c>
      <c r="ET94" s="49" t="s">
        <v>310</v>
      </c>
      <c r="EU94" s="49" t="s">
        <v>310</v>
      </c>
      <c r="EV94" s="49" t="s">
        <v>310</v>
      </c>
      <c r="EX94" s="49" t="s">
        <v>303</v>
      </c>
      <c r="EY94" s="49" t="s">
        <v>303</v>
      </c>
      <c r="FC94" s="49" t="s">
        <v>330</v>
      </c>
      <c r="FD94" s="49" t="s">
        <v>310</v>
      </c>
      <c r="FE94" s="49" t="s">
        <v>310</v>
      </c>
      <c r="FF94" s="49" t="s">
        <v>68</v>
      </c>
      <c r="FG94" s="49" t="s">
        <v>461</v>
      </c>
      <c r="FH94" s="49" t="s">
        <v>310</v>
      </c>
      <c r="FI94" s="49" t="s">
        <v>332</v>
      </c>
      <c r="FJ94" s="49" t="s">
        <v>303</v>
      </c>
      <c r="FL94" s="49" t="s">
        <v>325</v>
      </c>
      <c r="FM94" s="49" t="s">
        <v>334</v>
      </c>
      <c r="FP94" s="49" t="s">
        <v>303</v>
      </c>
      <c r="FR94" s="49" t="s">
        <v>303</v>
      </c>
      <c r="FT94" s="49" t="s">
        <v>325</v>
      </c>
      <c r="FU94" s="49" t="s">
        <v>325</v>
      </c>
      <c r="FW94" s="49" t="s">
        <v>333</v>
      </c>
    </row>
    <row r="95" customFormat="false" ht="15" hidden="false" customHeight="false" outlineLevel="0" collapsed="false">
      <c r="A95" s="0" t="n">
        <v>100880286</v>
      </c>
      <c r="B95" s="0" t="s">
        <v>295</v>
      </c>
      <c r="C95" s="0" t="s">
        <v>68</v>
      </c>
      <c r="D95" s="0" t="s">
        <v>456</v>
      </c>
      <c r="E95" s="0" t="s">
        <v>297</v>
      </c>
      <c r="G95" s="0" t="n">
        <v>1</v>
      </c>
      <c r="H95" s="0" t="s">
        <v>298</v>
      </c>
      <c r="I95" s="48" t="n">
        <v>46297</v>
      </c>
      <c r="J95" s="0" t="n">
        <v>0</v>
      </c>
      <c r="K95" s="49" t="s">
        <v>334</v>
      </c>
      <c r="L95" s="49" t="s">
        <v>335</v>
      </c>
      <c r="M95" s="48"/>
      <c r="O95" s="49" t="s">
        <v>445</v>
      </c>
      <c r="P95" s="48"/>
      <c r="Q95" s="48" t="n">
        <v>46297</v>
      </c>
      <c r="R95" s="48" t="n">
        <v>46303</v>
      </c>
      <c r="T95" s="49" t="s">
        <v>302</v>
      </c>
      <c r="U95" s="49" t="s">
        <v>303</v>
      </c>
      <c r="Y95" s="49" t="s">
        <v>312</v>
      </c>
      <c r="AD95" s="49" t="s">
        <v>305</v>
      </c>
      <c r="AE95" s="48" t="n">
        <v>46293</v>
      </c>
      <c r="AF95" s="49" t="s">
        <v>306</v>
      </c>
      <c r="AG95" s="49" t="s">
        <v>307</v>
      </c>
      <c r="AK95" s="49" t="s">
        <v>303</v>
      </c>
      <c r="AL95" s="49" t="s">
        <v>297</v>
      </c>
      <c r="AO95" s="49" t="s">
        <v>303</v>
      </c>
      <c r="AP95" s="48"/>
      <c r="AR95" s="49" t="s">
        <v>303</v>
      </c>
      <c r="AS95" s="49" t="s">
        <v>306</v>
      </c>
      <c r="AT95" s="49" t="s">
        <v>612</v>
      </c>
      <c r="AV95" s="49" t="s">
        <v>309</v>
      </c>
      <c r="AW95" s="49" t="s">
        <v>310</v>
      </c>
      <c r="AX95" s="49" t="s">
        <v>311</v>
      </c>
      <c r="AY95" s="48"/>
      <c r="AZ95" s="48" t="n">
        <v>46295</v>
      </c>
      <c r="BC95" s="49" t="s">
        <v>303</v>
      </c>
      <c r="BD95" s="48"/>
      <c r="BE95" s="49" t="s">
        <v>312</v>
      </c>
      <c r="BF95" s="49" t="s">
        <v>303</v>
      </c>
      <c r="BG95" s="48"/>
      <c r="BI95" s="48"/>
      <c r="BJ95" s="48" t="n">
        <v>46302</v>
      </c>
      <c r="BK95" s="49" t="s">
        <v>313</v>
      </c>
      <c r="BL95" s="49" t="s">
        <v>313</v>
      </c>
      <c r="BM95" s="49" t="s">
        <v>310</v>
      </c>
      <c r="BN95" s="48"/>
      <c r="BO95" s="48"/>
      <c r="BP95" s="48"/>
      <c r="BQ95" s="49" t="s">
        <v>299</v>
      </c>
      <c r="BR95" s="48" t="n">
        <v>46302</v>
      </c>
      <c r="BS95" s="49" t="s">
        <v>607</v>
      </c>
      <c r="BT95" s="49" t="s">
        <v>312</v>
      </c>
      <c r="BU95" s="49" t="s">
        <v>313</v>
      </c>
      <c r="BV95" s="49" t="s">
        <v>303</v>
      </c>
      <c r="BX95" s="0" t="n">
        <v>0</v>
      </c>
      <c r="CC95" s="49" t="s">
        <v>315</v>
      </c>
      <c r="CD95" s="49" t="s">
        <v>303</v>
      </c>
      <c r="CF95" s="49" t="s">
        <v>303</v>
      </c>
      <c r="CG95" s="49" t="s">
        <v>316</v>
      </c>
      <c r="CH95" s="49" t="s">
        <v>317</v>
      </c>
      <c r="CI95" s="49" t="s">
        <v>318</v>
      </c>
      <c r="CM95" s="49" t="s">
        <v>456</v>
      </c>
      <c r="CV95" s="49" t="s">
        <v>303</v>
      </c>
      <c r="DB95" s="49" t="s">
        <v>319</v>
      </c>
      <c r="DD95" s="48" t="n">
        <v>46293</v>
      </c>
      <c r="DF95" s="49" t="s">
        <v>310</v>
      </c>
      <c r="DG95" s="49" t="s">
        <v>320</v>
      </c>
      <c r="DH95" s="49" t="s">
        <v>68</v>
      </c>
      <c r="DI95" s="49" t="s">
        <v>298</v>
      </c>
      <c r="DJ95" s="49" t="s">
        <v>321</v>
      </c>
      <c r="DK95" s="49" t="s">
        <v>322</v>
      </c>
      <c r="DL95" s="49" t="s">
        <v>323</v>
      </c>
      <c r="DM95" s="49" t="s">
        <v>303</v>
      </c>
      <c r="DN95" s="49" t="s">
        <v>297</v>
      </c>
      <c r="DO95" s="48"/>
      <c r="DP95" s="49" t="s">
        <v>313</v>
      </c>
      <c r="DQ95" s="48"/>
      <c r="DR95" s="49" t="s">
        <v>312</v>
      </c>
      <c r="DS95" s="49" t="s">
        <v>303</v>
      </c>
      <c r="DT95" s="49" t="s">
        <v>303</v>
      </c>
      <c r="DW95" s="49" t="s">
        <v>303</v>
      </c>
      <c r="EA95" s="49" t="s">
        <v>324</v>
      </c>
      <c r="EB95" s="49" t="s">
        <v>303</v>
      </c>
      <c r="EF95" s="49" t="s">
        <v>610</v>
      </c>
      <c r="EH95" s="49" t="s">
        <v>325</v>
      </c>
      <c r="EJ95" s="49" t="s">
        <v>303</v>
      </c>
      <c r="EK95" s="49" t="s">
        <v>613</v>
      </c>
      <c r="EM95" s="49" t="s">
        <v>303</v>
      </c>
      <c r="EN95" s="49" t="s">
        <v>460</v>
      </c>
      <c r="EP95" s="49" t="s">
        <v>298</v>
      </c>
      <c r="EQ95" s="0" t="n">
        <v>1</v>
      </c>
      <c r="ER95" s="49" t="s">
        <v>328</v>
      </c>
      <c r="ES95" s="49" t="s">
        <v>329</v>
      </c>
      <c r="ET95" s="49" t="s">
        <v>310</v>
      </c>
      <c r="EU95" s="49" t="s">
        <v>310</v>
      </c>
      <c r="EV95" s="49" t="s">
        <v>310</v>
      </c>
      <c r="EX95" s="49" t="s">
        <v>303</v>
      </c>
      <c r="EY95" s="49" t="s">
        <v>303</v>
      </c>
      <c r="FC95" s="49" t="s">
        <v>330</v>
      </c>
      <c r="FD95" s="49" t="s">
        <v>310</v>
      </c>
      <c r="FE95" s="49" t="s">
        <v>310</v>
      </c>
      <c r="FF95" s="49" t="s">
        <v>68</v>
      </c>
      <c r="FG95" s="49" t="s">
        <v>461</v>
      </c>
      <c r="FH95" s="49" t="s">
        <v>310</v>
      </c>
      <c r="FI95" s="49" t="s">
        <v>332</v>
      </c>
      <c r="FJ95" s="49" t="s">
        <v>303</v>
      </c>
      <c r="FL95" s="49" t="s">
        <v>325</v>
      </c>
      <c r="FM95" s="49" t="s">
        <v>334</v>
      </c>
      <c r="FP95" s="49" t="s">
        <v>303</v>
      </c>
      <c r="FR95" s="49" t="s">
        <v>303</v>
      </c>
      <c r="FT95" s="49" t="s">
        <v>325</v>
      </c>
      <c r="FU95" s="49" t="s">
        <v>325</v>
      </c>
      <c r="FW95" s="49" t="s">
        <v>333</v>
      </c>
    </row>
    <row r="96" customFormat="false" ht="15" hidden="false" customHeight="false" outlineLevel="0" collapsed="false">
      <c r="A96" s="0" t="n">
        <v>100880287</v>
      </c>
      <c r="B96" s="0" t="s">
        <v>295</v>
      </c>
      <c r="C96" s="0" t="s">
        <v>70</v>
      </c>
      <c r="D96" s="0" t="s">
        <v>468</v>
      </c>
      <c r="E96" s="0" t="s">
        <v>297</v>
      </c>
      <c r="G96" s="0" t="n">
        <v>1</v>
      </c>
      <c r="H96" s="0" t="s">
        <v>298</v>
      </c>
      <c r="I96" s="48" t="n">
        <v>46297</v>
      </c>
      <c r="J96" s="0" t="n">
        <v>0</v>
      </c>
      <c r="K96" s="49" t="s">
        <v>334</v>
      </c>
      <c r="L96" s="49" t="s">
        <v>335</v>
      </c>
      <c r="M96" s="48" t="n">
        <v>46297</v>
      </c>
      <c r="N96" s="49" t="s">
        <v>335</v>
      </c>
      <c r="O96" s="49" t="s">
        <v>445</v>
      </c>
      <c r="P96" s="48"/>
      <c r="Q96" s="48" t="n">
        <v>46297</v>
      </c>
      <c r="R96" s="48" t="n">
        <v>46304</v>
      </c>
      <c r="T96" s="49" t="s">
        <v>302</v>
      </c>
      <c r="U96" s="49" t="s">
        <v>303</v>
      </c>
      <c r="Y96" s="49" t="s">
        <v>614</v>
      </c>
      <c r="AD96" s="49" t="s">
        <v>305</v>
      </c>
      <c r="AE96" s="48" t="n">
        <v>46301</v>
      </c>
      <c r="AF96" s="49" t="s">
        <v>306</v>
      </c>
      <c r="AG96" s="49" t="s">
        <v>307</v>
      </c>
      <c r="AK96" s="49" t="s">
        <v>303</v>
      </c>
      <c r="AL96" s="49" t="s">
        <v>297</v>
      </c>
      <c r="AO96" s="49" t="s">
        <v>303</v>
      </c>
      <c r="AP96" s="48"/>
      <c r="AR96" s="49" t="s">
        <v>303</v>
      </c>
      <c r="AS96" s="49" t="s">
        <v>306</v>
      </c>
      <c r="AT96" s="49" t="s">
        <v>615</v>
      </c>
      <c r="AV96" s="49" t="s">
        <v>309</v>
      </c>
      <c r="AW96" s="49" t="s">
        <v>310</v>
      </c>
      <c r="AX96" s="49" t="s">
        <v>311</v>
      </c>
      <c r="AY96" s="48"/>
      <c r="AZ96" s="48" t="n">
        <v>46295</v>
      </c>
      <c r="BC96" s="49" t="s">
        <v>303</v>
      </c>
      <c r="BD96" s="48"/>
      <c r="BE96" s="49" t="s">
        <v>312</v>
      </c>
      <c r="BF96" s="49" t="s">
        <v>303</v>
      </c>
      <c r="BG96" s="48"/>
      <c r="BI96" s="48"/>
      <c r="BJ96" s="48" t="n">
        <v>46302</v>
      </c>
      <c r="BK96" s="49" t="s">
        <v>312</v>
      </c>
      <c r="BL96" s="49" t="s">
        <v>313</v>
      </c>
      <c r="BM96" s="49" t="s">
        <v>310</v>
      </c>
      <c r="BN96" s="48"/>
      <c r="BO96" s="48"/>
      <c r="BP96" s="48"/>
      <c r="BQ96" s="49" t="s">
        <v>299</v>
      </c>
      <c r="BR96" s="48" t="n">
        <v>46302</v>
      </c>
      <c r="BS96" s="49" t="s">
        <v>616</v>
      </c>
      <c r="BT96" s="49" t="s">
        <v>312</v>
      </c>
      <c r="BU96" s="49" t="s">
        <v>313</v>
      </c>
      <c r="BV96" s="49" t="s">
        <v>303</v>
      </c>
      <c r="BX96" s="0" t="n">
        <v>0</v>
      </c>
      <c r="CC96" s="49" t="s">
        <v>315</v>
      </c>
      <c r="CD96" s="49" t="s">
        <v>303</v>
      </c>
      <c r="CF96" s="49" t="s">
        <v>303</v>
      </c>
      <c r="CG96" s="49" t="s">
        <v>316</v>
      </c>
      <c r="CH96" s="49" t="s">
        <v>317</v>
      </c>
      <c r="CI96" s="49" t="s">
        <v>318</v>
      </c>
      <c r="CM96" s="49" t="s">
        <v>468</v>
      </c>
      <c r="CV96" s="49" t="s">
        <v>303</v>
      </c>
      <c r="DB96" s="49" t="s">
        <v>319</v>
      </c>
      <c r="DD96" s="48" t="n">
        <v>46301</v>
      </c>
      <c r="DF96" s="49" t="s">
        <v>310</v>
      </c>
      <c r="DG96" s="49" t="s">
        <v>320</v>
      </c>
      <c r="DH96" s="49" t="s">
        <v>70</v>
      </c>
      <c r="DI96" s="49" t="s">
        <v>298</v>
      </c>
      <c r="DJ96" s="49" t="s">
        <v>321</v>
      </c>
      <c r="DK96" s="49" t="s">
        <v>322</v>
      </c>
      <c r="DL96" s="49" t="s">
        <v>323</v>
      </c>
      <c r="DM96" s="49" t="s">
        <v>303</v>
      </c>
      <c r="DN96" s="49" t="s">
        <v>297</v>
      </c>
      <c r="DO96" s="48"/>
      <c r="DP96" s="49" t="s">
        <v>313</v>
      </c>
      <c r="DQ96" s="48"/>
      <c r="DR96" s="49" t="s">
        <v>312</v>
      </c>
      <c r="DS96" s="49" t="s">
        <v>303</v>
      </c>
      <c r="DT96" s="49" t="s">
        <v>303</v>
      </c>
      <c r="DW96" s="49" t="s">
        <v>303</v>
      </c>
      <c r="EA96" s="49" t="s">
        <v>324</v>
      </c>
      <c r="EB96" s="49" t="s">
        <v>303</v>
      </c>
      <c r="EH96" s="49" t="s">
        <v>325</v>
      </c>
      <c r="EJ96" s="49" t="s">
        <v>303</v>
      </c>
      <c r="EK96" s="49" t="s">
        <v>617</v>
      </c>
      <c r="EM96" s="49" t="s">
        <v>303</v>
      </c>
      <c r="EN96" s="49" t="s">
        <v>472</v>
      </c>
      <c r="EP96" s="49" t="s">
        <v>298</v>
      </c>
      <c r="EQ96" s="0" t="n">
        <v>1</v>
      </c>
      <c r="ER96" s="49" t="s">
        <v>328</v>
      </c>
      <c r="ES96" s="49" t="s">
        <v>329</v>
      </c>
      <c r="ET96" s="49" t="s">
        <v>310</v>
      </c>
      <c r="EU96" s="49" t="s">
        <v>310</v>
      </c>
      <c r="EV96" s="49" t="s">
        <v>310</v>
      </c>
      <c r="EX96" s="49" t="s">
        <v>303</v>
      </c>
      <c r="EY96" s="49" t="s">
        <v>303</v>
      </c>
      <c r="FC96" s="49" t="s">
        <v>330</v>
      </c>
      <c r="FD96" s="49" t="s">
        <v>310</v>
      </c>
      <c r="FE96" s="49" t="s">
        <v>310</v>
      </c>
      <c r="FF96" s="49" t="s">
        <v>70</v>
      </c>
      <c r="FG96" s="49" t="s">
        <v>473</v>
      </c>
      <c r="FH96" s="49" t="s">
        <v>310</v>
      </c>
      <c r="FI96" s="49" t="s">
        <v>332</v>
      </c>
      <c r="FJ96" s="49" t="s">
        <v>303</v>
      </c>
      <c r="FL96" s="49" t="s">
        <v>325</v>
      </c>
      <c r="FM96" s="49" t="s">
        <v>334</v>
      </c>
      <c r="FP96" s="49" t="s">
        <v>303</v>
      </c>
      <c r="FR96" s="49" t="s">
        <v>303</v>
      </c>
      <c r="FT96" s="49" t="s">
        <v>325</v>
      </c>
      <c r="FU96" s="49" t="s">
        <v>325</v>
      </c>
      <c r="FW96" s="49" t="s">
        <v>333</v>
      </c>
    </row>
    <row r="97" customFormat="false" ht="15" hidden="false" customHeight="false" outlineLevel="0" collapsed="false">
      <c r="A97" s="0" t="n">
        <v>100880288</v>
      </c>
      <c r="B97" s="0" t="s">
        <v>295</v>
      </c>
      <c r="C97" s="0" t="s">
        <v>70</v>
      </c>
      <c r="D97" s="0" t="s">
        <v>468</v>
      </c>
      <c r="E97" s="0" t="s">
        <v>297</v>
      </c>
      <c r="G97" s="0" t="n">
        <v>1</v>
      </c>
      <c r="H97" s="0" t="s">
        <v>298</v>
      </c>
      <c r="I97" s="48" t="n">
        <v>46297</v>
      </c>
      <c r="J97" s="0" t="n">
        <v>0</v>
      </c>
      <c r="K97" s="49" t="s">
        <v>334</v>
      </c>
      <c r="L97" s="49" t="s">
        <v>335</v>
      </c>
      <c r="M97" s="48"/>
      <c r="O97" s="49" t="s">
        <v>445</v>
      </c>
      <c r="P97" s="48"/>
      <c r="Q97" s="48" t="n">
        <v>46297</v>
      </c>
      <c r="R97" s="48" t="n">
        <v>46303</v>
      </c>
      <c r="T97" s="49" t="s">
        <v>302</v>
      </c>
      <c r="U97" s="49" t="s">
        <v>303</v>
      </c>
      <c r="Y97" s="49" t="s">
        <v>312</v>
      </c>
      <c r="AD97" s="49" t="s">
        <v>305</v>
      </c>
      <c r="AE97" s="48" t="n">
        <v>46301</v>
      </c>
      <c r="AF97" s="49" t="s">
        <v>306</v>
      </c>
      <c r="AG97" s="49" t="s">
        <v>307</v>
      </c>
      <c r="AK97" s="49" t="s">
        <v>303</v>
      </c>
      <c r="AL97" s="49" t="s">
        <v>297</v>
      </c>
      <c r="AO97" s="49" t="s">
        <v>303</v>
      </c>
      <c r="AP97" s="48"/>
      <c r="AR97" s="49" t="s">
        <v>303</v>
      </c>
      <c r="AS97" s="49" t="s">
        <v>306</v>
      </c>
      <c r="AT97" s="49" t="s">
        <v>618</v>
      </c>
      <c r="AV97" s="49" t="s">
        <v>309</v>
      </c>
      <c r="AW97" s="49" t="s">
        <v>310</v>
      </c>
      <c r="AX97" s="49" t="s">
        <v>311</v>
      </c>
      <c r="AY97" s="48"/>
      <c r="AZ97" s="48" t="n">
        <v>46295</v>
      </c>
      <c r="BC97" s="49" t="s">
        <v>303</v>
      </c>
      <c r="BD97" s="48"/>
      <c r="BE97" s="49" t="s">
        <v>312</v>
      </c>
      <c r="BF97" s="49" t="s">
        <v>303</v>
      </c>
      <c r="BG97" s="48"/>
      <c r="BI97" s="48"/>
      <c r="BJ97" s="48" t="n">
        <v>46302</v>
      </c>
      <c r="BK97" s="49" t="s">
        <v>313</v>
      </c>
      <c r="BL97" s="49" t="s">
        <v>313</v>
      </c>
      <c r="BM97" s="49" t="s">
        <v>310</v>
      </c>
      <c r="BN97" s="48"/>
      <c r="BO97" s="48"/>
      <c r="BP97" s="48"/>
      <c r="BQ97" s="49" t="s">
        <v>299</v>
      </c>
      <c r="BR97" s="48" t="n">
        <v>46302</v>
      </c>
      <c r="BS97" s="49" t="s">
        <v>616</v>
      </c>
      <c r="BT97" s="49" t="s">
        <v>312</v>
      </c>
      <c r="BU97" s="49" t="s">
        <v>313</v>
      </c>
      <c r="BV97" s="49" t="s">
        <v>303</v>
      </c>
      <c r="BX97" s="0" t="n">
        <v>0</v>
      </c>
      <c r="CC97" s="49" t="s">
        <v>315</v>
      </c>
      <c r="CD97" s="49" t="s">
        <v>303</v>
      </c>
      <c r="CF97" s="49" t="s">
        <v>303</v>
      </c>
      <c r="CG97" s="49" t="s">
        <v>316</v>
      </c>
      <c r="CH97" s="49" t="s">
        <v>317</v>
      </c>
      <c r="CI97" s="49" t="s">
        <v>318</v>
      </c>
      <c r="CM97" s="49" t="s">
        <v>468</v>
      </c>
      <c r="CV97" s="49" t="s">
        <v>303</v>
      </c>
      <c r="DB97" s="49" t="s">
        <v>319</v>
      </c>
      <c r="DD97" s="48" t="n">
        <v>46301</v>
      </c>
      <c r="DF97" s="49" t="s">
        <v>310</v>
      </c>
      <c r="DG97" s="49" t="s">
        <v>320</v>
      </c>
      <c r="DH97" s="49" t="s">
        <v>70</v>
      </c>
      <c r="DI97" s="49" t="s">
        <v>298</v>
      </c>
      <c r="DJ97" s="49" t="s">
        <v>321</v>
      </c>
      <c r="DK97" s="49" t="s">
        <v>322</v>
      </c>
      <c r="DL97" s="49" t="s">
        <v>323</v>
      </c>
      <c r="DM97" s="49" t="s">
        <v>303</v>
      </c>
      <c r="DN97" s="49" t="s">
        <v>297</v>
      </c>
      <c r="DO97" s="48"/>
      <c r="DP97" s="49" t="s">
        <v>313</v>
      </c>
      <c r="DQ97" s="48"/>
      <c r="DR97" s="49" t="s">
        <v>312</v>
      </c>
      <c r="DS97" s="49" t="s">
        <v>303</v>
      </c>
      <c r="DT97" s="49" t="s">
        <v>303</v>
      </c>
      <c r="DW97" s="49" t="s">
        <v>303</v>
      </c>
      <c r="EA97" s="49" t="s">
        <v>324</v>
      </c>
      <c r="EB97" s="49" t="s">
        <v>303</v>
      </c>
      <c r="EF97" s="49" t="s">
        <v>619</v>
      </c>
      <c r="EH97" s="49" t="s">
        <v>325</v>
      </c>
      <c r="EJ97" s="49" t="s">
        <v>303</v>
      </c>
      <c r="EK97" s="49" t="s">
        <v>620</v>
      </c>
      <c r="EM97" s="49" t="s">
        <v>303</v>
      </c>
      <c r="EN97" s="49" t="s">
        <v>472</v>
      </c>
      <c r="EP97" s="49" t="s">
        <v>298</v>
      </c>
      <c r="EQ97" s="0" t="n">
        <v>1</v>
      </c>
      <c r="ER97" s="49" t="s">
        <v>328</v>
      </c>
      <c r="ES97" s="49" t="s">
        <v>329</v>
      </c>
      <c r="ET97" s="49" t="s">
        <v>310</v>
      </c>
      <c r="EU97" s="49" t="s">
        <v>310</v>
      </c>
      <c r="EV97" s="49" t="s">
        <v>310</v>
      </c>
      <c r="EX97" s="49" t="s">
        <v>303</v>
      </c>
      <c r="EY97" s="49" t="s">
        <v>303</v>
      </c>
      <c r="FC97" s="49" t="s">
        <v>330</v>
      </c>
      <c r="FD97" s="49" t="s">
        <v>310</v>
      </c>
      <c r="FE97" s="49" t="s">
        <v>310</v>
      </c>
      <c r="FF97" s="49" t="s">
        <v>70</v>
      </c>
      <c r="FG97" s="49" t="s">
        <v>473</v>
      </c>
      <c r="FH97" s="49" t="s">
        <v>310</v>
      </c>
      <c r="FI97" s="49" t="s">
        <v>332</v>
      </c>
      <c r="FJ97" s="49" t="s">
        <v>303</v>
      </c>
      <c r="FL97" s="49" t="s">
        <v>325</v>
      </c>
      <c r="FM97" s="49" t="s">
        <v>334</v>
      </c>
      <c r="FP97" s="49" t="s">
        <v>303</v>
      </c>
      <c r="FR97" s="49" t="s">
        <v>303</v>
      </c>
      <c r="FT97" s="49" t="s">
        <v>325</v>
      </c>
      <c r="FU97" s="49" t="s">
        <v>325</v>
      </c>
      <c r="FW97" s="49" t="s">
        <v>333</v>
      </c>
    </row>
    <row r="98" customFormat="false" ht="15" hidden="false" customHeight="false" outlineLevel="0" collapsed="false">
      <c r="A98" s="0" t="n">
        <v>100880289</v>
      </c>
      <c r="B98" s="0" t="s">
        <v>295</v>
      </c>
      <c r="C98" s="0" t="s">
        <v>70</v>
      </c>
      <c r="D98" s="0" t="s">
        <v>468</v>
      </c>
      <c r="E98" s="0" t="s">
        <v>297</v>
      </c>
      <c r="G98" s="0" t="n">
        <v>1</v>
      </c>
      <c r="H98" s="0" t="s">
        <v>298</v>
      </c>
      <c r="I98" s="48" t="n">
        <v>46297</v>
      </c>
      <c r="J98" s="0" t="n">
        <v>0</v>
      </c>
      <c r="K98" s="49" t="s">
        <v>334</v>
      </c>
      <c r="L98" s="49" t="s">
        <v>335</v>
      </c>
      <c r="M98" s="48"/>
      <c r="O98" s="49" t="s">
        <v>445</v>
      </c>
      <c r="P98" s="48"/>
      <c r="Q98" s="48" t="n">
        <v>46297</v>
      </c>
      <c r="R98" s="48" t="n">
        <v>46303</v>
      </c>
      <c r="T98" s="49" t="s">
        <v>302</v>
      </c>
      <c r="U98" s="49" t="s">
        <v>303</v>
      </c>
      <c r="Y98" s="49" t="s">
        <v>312</v>
      </c>
      <c r="AD98" s="49" t="s">
        <v>305</v>
      </c>
      <c r="AE98" s="48" t="n">
        <v>46301</v>
      </c>
      <c r="AF98" s="49" t="s">
        <v>306</v>
      </c>
      <c r="AG98" s="49" t="s">
        <v>307</v>
      </c>
      <c r="AK98" s="49" t="s">
        <v>303</v>
      </c>
      <c r="AL98" s="49" t="s">
        <v>297</v>
      </c>
      <c r="AO98" s="49" t="s">
        <v>303</v>
      </c>
      <c r="AP98" s="48"/>
      <c r="AR98" s="49" t="s">
        <v>303</v>
      </c>
      <c r="AS98" s="49" t="s">
        <v>306</v>
      </c>
      <c r="AT98" s="49" t="s">
        <v>621</v>
      </c>
      <c r="AV98" s="49" t="s">
        <v>309</v>
      </c>
      <c r="AW98" s="49" t="s">
        <v>310</v>
      </c>
      <c r="AX98" s="49" t="s">
        <v>311</v>
      </c>
      <c r="AY98" s="48"/>
      <c r="AZ98" s="48" t="n">
        <v>46295</v>
      </c>
      <c r="BC98" s="49" t="s">
        <v>303</v>
      </c>
      <c r="BD98" s="48"/>
      <c r="BE98" s="49" t="s">
        <v>312</v>
      </c>
      <c r="BF98" s="49" t="s">
        <v>303</v>
      </c>
      <c r="BG98" s="48"/>
      <c r="BI98" s="48"/>
      <c r="BJ98" s="48" t="n">
        <v>46302</v>
      </c>
      <c r="BK98" s="49" t="s">
        <v>313</v>
      </c>
      <c r="BL98" s="49" t="s">
        <v>313</v>
      </c>
      <c r="BM98" s="49" t="s">
        <v>310</v>
      </c>
      <c r="BN98" s="48"/>
      <c r="BO98" s="48"/>
      <c r="BP98" s="48"/>
      <c r="BQ98" s="49" t="s">
        <v>299</v>
      </c>
      <c r="BR98" s="48" t="n">
        <v>46302</v>
      </c>
      <c r="BS98" s="49" t="s">
        <v>616</v>
      </c>
      <c r="BT98" s="49" t="s">
        <v>312</v>
      </c>
      <c r="BU98" s="49" t="s">
        <v>313</v>
      </c>
      <c r="BV98" s="49" t="s">
        <v>303</v>
      </c>
      <c r="BX98" s="0" t="n">
        <v>0</v>
      </c>
      <c r="CC98" s="49" t="s">
        <v>315</v>
      </c>
      <c r="CD98" s="49" t="s">
        <v>303</v>
      </c>
      <c r="CF98" s="49" t="s">
        <v>303</v>
      </c>
      <c r="CG98" s="49" t="s">
        <v>316</v>
      </c>
      <c r="CH98" s="49" t="s">
        <v>317</v>
      </c>
      <c r="CI98" s="49" t="s">
        <v>318</v>
      </c>
      <c r="CM98" s="49" t="s">
        <v>468</v>
      </c>
      <c r="CV98" s="49" t="s">
        <v>303</v>
      </c>
      <c r="DB98" s="49" t="s">
        <v>319</v>
      </c>
      <c r="DD98" s="48" t="n">
        <v>46301</v>
      </c>
      <c r="DF98" s="49" t="s">
        <v>310</v>
      </c>
      <c r="DG98" s="49" t="s">
        <v>320</v>
      </c>
      <c r="DH98" s="49" t="s">
        <v>70</v>
      </c>
      <c r="DI98" s="49" t="s">
        <v>298</v>
      </c>
      <c r="DJ98" s="49" t="s">
        <v>321</v>
      </c>
      <c r="DK98" s="49" t="s">
        <v>322</v>
      </c>
      <c r="DL98" s="49" t="s">
        <v>323</v>
      </c>
      <c r="DM98" s="49" t="s">
        <v>303</v>
      </c>
      <c r="DN98" s="49" t="s">
        <v>297</v>
      </c>
      <c r="DO98" s="48"/>
      <c r="DP98" s="49" t="s">
        <v>313</v>
      </c>
      <c r="DQ98" s="48"/>
      <c r="DR98" s="49" t="s">
        <v>312</v>
      </c>
      <c r="DS98" s="49" t="s">
        <v>303</v>
      </c>
      <c r="DT98" s="49" t="s">
        <v>303</v>
      </c>
      <c r="DW98" s="49" t="s">
        <v>303</v>
      </c>
      <c r="EA98" s="49" t="s">
        <v>324</v>
      </c>
      <c r="EB98" s="49" t="s">
        <v>303</v>
      </c>
      <c r="EF98" s="49" t="s">
        <v>619</v>
      </c>
      <c r="EH98" s="49" t="s">
        <v>325</v>
      </c>
      <c r="EJ98" s="49" t="s">
        <v>303</v>
      </c>
      <c r="EK98" s="49" t="s">
        <v>622</v>
      </c>
      <c r="EM98" s="49" t="s">
        <v>303</v>
      </c>
      <c r="EN98" s="49" t="s">
        <v>472</v>
      </c>
      <c r="EP98" s="49" t="s">
        <v>298</v>
      </c>
      <c r="EQ98" s="0" t="n">
        <v>1</v>
      </c>
      <c r="ER98" s="49" t="s">
        <v>328</v>
      </c>
      <c r="ES98" s="49" t="s">
        <v>329</v>
      </c>
      <c r="ET98" s="49" t="s">
        <v>310</v>
      </c>
      <c r="EU98" s="49" t="s">
        <v>310</v>
      </c>
      <c r="EV98" s="49" t="s">
        <v>310</v>
      </c>
      <c r="EX98" s="49" t="s">
        <v>303</v>
      </c>
      <c r="EY98" s="49" t="s">
        <v>303</v>
      </c>
      <c r="FC98" s="49" t="s">
        <v>330</v>
      </c>
      <c r="FD98" s="49" t="s">
        <v>310</v>
      </c>
      <c r="FE98" s="49" t="s">
        <v>310</v>
      </c>
      <c r="FF98" s="49" t="s">
        <v>70</v>
      </c>
      <c r="FG98" s="49" t="s">
        <v>473</v>
      </c>
      <c r="FH98" s="49" t="s">
        <v>310</v>
      </c>
      <c r="FI98" s="49" t="s">
        <v>332</v>
      </c>
      <c r="FJ98" s="49" t="s">
        <v>303</v>
      </c>
      <c r="FL98" s="49" t="s">
        <v>325</v>
      </c>
      <c r="FM98" s="49" t="s">
        <v>334</v>
      </c>
      <c r="FP98" s="49" t="s">
        <v>303</v>
      </c>
      <c r="FR98" s="49" t="s">
        <v>303</v>
      </c>
      <c r="FT98" s="49" t="s">
        <v>325</v>
      </c>
      <c r="FU98" s="49" t="s">
        <v>325</v>
      </c>
      <c r="FW98" s="49" t="s">
        <v>333</v>
      </c>
    </row>
    <row r="99" customFormat="false" ht="15" hidden="false" customHeight="false" outlineLevel="0" collapsed="false">
      <c r="A99" s="0" t="n">
        <v>100880290</v>
      </c>
      <c r="B99" s="0" t="s">
        <v>295</v>
      </c>
      <c r="C99" s="0" t="s">
        <v>72</v>
      </c>
      <c r="D99" s="0" t="s">
        <v>480</v>
      </c>
      <c r="E99" s="0" t="s">
        <v>297</v>
      </c>
      <c r="G99" s="0" t="n">
        <v>1</v>
      </c>
      <c r="H99" s="0" t="s">
        <v>298</v>
      </c>
      <c r="I99" s="48" t="n">
        <v>46297</v>
      </c>
      <c r="J99" s="0" t="n">
        <v>0</v>
      </c>
      <c r="K99" s="49" t="s">
        <v>334</v>
      </c>
      <c r="L99" s="49" t="s">
        <v>335</v>
      </c>
      <c r="M99" s="48" t="n">
        <v>46297</v>
      </c>
      <c r="N99" s="49" t="s">
        <v>335</v>
      </c>
      <c r="O99" s="49" t="s">
        <v>445</v>
      </c>
      <c r="P99" s="48"/>
      <c r="Q99" s="48" t="n">
        <v>46297</v>
      </c>
      <c r="R99" s="48" t="n">
        <v>46304</v>
      </c>
      <c r="T99" s="49" t="s">
        <v>302</v>
      </c>
      <c r="U99" s="49" t="s">
        <v>303</v>
      </c>
      <c r="Y99" s="49" t="s">
        <v>623</v>
      </c>
      <c r="AD99" s="49" t="s">
        <v>305</v>
      </c>
      <c r="AE99" s="48" t="n">
        <v>46293</v>
      </c>
      <c r="AF99" s="49" t="s">
        <v>306</v>
      </c>
      <c r="AG99" s="49" t="s">
        <v>307</v>
      </c>
      <c r="AK99" s="49" t="s">
        <v>303</v>
      </c>
      <c r="AL99" s="49" t="s">
        <v>297</v>
      </c>
      <c r="AO99" s="49" t="s">
        <v>303</v>
      </c>
      <c r="AP99" s="48"/>
      <c r="AR99" s="49" t="s">
        <v>303</v>
      </c>
      <c r="AS99" s="49" t="s">
        <v>306</v>
      </c>
      <c r="AT99" s="49" t="s">
        <v>624</v>
      </c>
      <c r="AV99" s="49" t="s">
        <v>309</v>
      </c>
      <c r="AW99" s="49" t="s">
        <v>310</v>
      </c>
      <c r="AX99" s="49" t="s">
        <v>311</v>
      </c>
      <c r="AY99" s="48"/>
      <c r="AZ99" s="48" t="n">
        <v>46295</v>
      </c>
      <c r="BC99" s="49" t="s">
        <v>303</v>
      </c>
      <c r="BD99" s="48"/>
      <c r="BE99" s="49" t="s">
        <v>312</v>
      </c>
      <c r="BF99" s="49" t="s">
        <v>303</v>
      </c>
      <c r="BG99" s="48"/>
      <c r="BI99" s="48"/>
      <c r="BJ99" s="48" t="n">
        <v>46302</v>
      </c>
      <c r="BK99" s="49" t="s">
        <v>312</v>
      </c>
      <c r="BL99" s="49" t="s">
        <v>313</v>
      </c>
      <c r="BM99" s="49" t="s">
        <v>310</v>
      </c>
      <c r="BN99" s="48"/>
      <c r="BO99" s="48"/>
      <c r="BP99" s="48"/>
      <c r="BQ99" s="49" t="s">
        <v>299</v>
      </c>
      <c r="BR99" s="48" t="n">
        <v>46302</v>
      </c>
      <c r="BS99" s="49" t="s">
        <v>625</v>
      </c>
      <c r="BT99" s="49" t="s">
        <v>312</v>
      </c>
      <c r="BU99" s="49" t="s">
        <v>313</v>
      </c>
      <c r="BV99" s="49" t="s">
        <v>303</v>
      </c>
      <c r="BX99" s="0" t="n">
        <v>0</v>
      </c>
      <c r="CC99" s="49" t="s">
        <v>315</v>
      </c>
      <c r="CD99" s="49" t="s">
        <v>303</v>
      </c>
      <c r="CF99" s="49" t="s">
        <v>303</v>
      </c>
      <c r="CG99" s="49" t="s">
        <v>316</v>
      </c>
      <c r="CH99" s="49" t="s">
        <v>317</v>
      </c>
      <c r="CI99" s="49" t="s">
        <v>318</v>
      </c>
      <c r="CM99" s="49" t="s">
        <v>480</v>
      </c>
      <c r="CV99" s="49" t="s">
        <v>303</v>
      </c>
      <c r="DB99" s="49" t="s">
        <v>319</v>
      </c>
      <c r="DD99" s="48" t="n">
        <v>46293</v>
      </c>
      <c r="DF99" s="49" t="s">
        <v>310</v>
      </c>
      <c r="DG99" s="49" t="s">
        <v>320</v>
      </c>
      <c r="DH99" s="49" t="s">
        <v>72</v>
      </c>
      <c r="DI99" s="49" t="s">
        <v>298</v>
      </c>
      <c r="DJ99" s="49" t="s">
        <v>321</v>
      </c>
      <c r="DK99" s="49" t="s">
        <v>322</v>
      </c>
      <c r="DL99" s="49" t="s">
        <v>323</v>
      </c>
      <c r="DM99" s="49" t="s">
        <v>303</v>
      </c>
      <c r="DN99" s="49" t="s">
        <v>297</v>
      </c>
      <c r="DO99" s="48"/>
      <c r="DP99" s="49" t="s">
        <v>313</v>
      </c>
      <c r="DQ99" s="48"/>
      <c r="DR99" s="49" t="s">
        <v>312</v>
      </c>
      <c r="DS99" s="49" t="s">
        <v>303</v>
      </c>
      <c r="DT99" s="49" t="s">
        <v>303</v>
      </c>
      <c r="DW99" s="49" t="s">
        <v>303</v>
      </c>
      <c r="EA99" s="49" t="s">
        <v>324</v>
      </c>
      <c r="EB99" s="49" t="s">
        <v>303</v>
      </c>
      <c r="EH99" s="49" t="s">
        <v>325</v>
      </c>
      <c r="EJ99" s="49" t="s">
        <v>303</v>
      </c>
      <c r="EK99" s="49" t="s">
        <v>626</v>
      </c>
      <c r="EM99" s="49" t="s">
        <v>303</v>
      </c>
      <c r="EN99" s="49" t="s">
        <v>485</v>
      </c>
      <c r="EP99" s="49" t="s">
        <v>298</v>
      </c>
      <c r="EQ99" s="0" t="n">
        <v>1</v>
      </c>
      <c r="ER99" s="49" t="s">
        <v>328</v>
      </c>
      <c r="ES99" s="49" t="s">
        <v>329</v>
      </c>
      <c r="ET99" s="49" t="s">
        <v>310</v>
      </c>
      <c r="EU99" s="49" t="s">
        <v>310</v>
      </c>
      <c r="EV99" s="49" t="s">
        <v>310</v>
      </c>
      <c r="EX99" s="49" t="s">
        <v>303</v>
      </c>
      <c r="EY99" s="49" t="s">
        <v>303</v>
      </c>
      <c r="FC99" s="49" t="s">
        <v>330</v>
      </c>
      <c r="FD99" s="49" t="s">
        <v>310</v>
      </c>
      <c r="FE99" s="49" t="s">
        <v>310</v>
      </c>
      <c r="FF99" s="49" t="s">
        <v>72</v>
      </c>
      <c r="FG99" s="49" t="s">
        <v>486</v>
      </c>
      <c r="FH99" s="49" t="s">
        <v>310</v>
      </c>
      <c r="FI99" s="49" t="s">
        <v>332</v>
      </c>
      <c r="FJ99" s="49" t="s">
        <v>303</v>
      </c>
      <c r="FL99" s="49" t="s">
        <v>325</v>
      </c>
      <c r="FM99" s="49" t="s">
        <v>334</v>
      </c>
      <c r="FP99" s="49" t="s">
        <v>303</v>
      </c>
      <c r="FR99" s="49" t="s">
        <v>303</v>
      </c>
      <c r="FT99" s="49" t="s">
        <v>325</v>
      </c>
      <c r="FU99" s="49" t="s">
        <v>325</v>
      </c>
      <c r="FW99" s="49" t="s">
        <v>333</v>
      </c>
    </row>
    <row r="100" customFormat="false" ht="15" hidden="false" customHeight="false" outlineLevel="0" collapsed="false">
      <c r="A100" s="0" t="n">
        <v>100880291</v>
      </c>
      <c r="B100" s="0" t="s">
        <v>295</v>
      </c>
      <c r="C100" s="0" t="s">
        <v>72</v>
      </c>
      <c r="D100" s="0" t="s">
        <v>480</v>
      </c>
      <c r="E100" s="0" t="s">
        <v>297</v>
      </c>
      <c r="G100" s="0" t="n">
        <v>1</v>
      </c>
      <c r="H100" s="0" t="s">
        <v>298</v>
      </c>
      <c r="I100" s="48" t="n">
        <v>46297</v>
      </c>
      <c r="J100" s="0" t="n">
        <v>0</v>
      </c>
      <c r="K100" s="49" t="s">
        <v>334</v>
      </c>
      <c r="L100" s="49" t="s">
        <v>335</v>
      </c>
      <c r="M100" s="48"/>
      <c r="O100" s="49" t="s">
        <v>445</v>
      </c>
      <c r="P100" s="48"/>
      <c r="Q100" s="48" t="n">
        <v>46297</v>
      </c>
      <c r="R100" s="48" t="n">
        <v>46303</v>
      </c>
      <c r="T100" s="49" t="s">
        <v>302</v>
      </c>
      <c r="U100" s="49" t="s">
        <v>303</v>
      </c>
      <c r="Y100" s="49" t="s">
        <v>312</v>
      </c>
      <c r="AD100" s="49" t="s">
        <v>305</v>
      </c>
      <c r="AE100" s="48" t="n">
        <v>46293</v>
      </c>
      <c r="AF100" s="49" t="s">
        <v>306</v>
      </c>
      <c r="AG100" s="49" t="s">
        <v>307</v>
      </c>
      <c r="AK100" s="49" t="s">
        <v>303</v>
      </c>
      <c r="AL100" s="49" t="s">
        <v>297</v>
      </c>
      <c r="AO100" s="49" t="s">
        <v>303</v>
      </c>
      <c r="AP100" s="48"/>
      <c r="AR100" s="49" t="s">
        <v>303</v>
      </c>
      <c r="AS100" s="49" t="s">
        <v>306</v>
      </c>
      <c r="AT100" s="49" t="s">
        <v>627</v>
      </c>
      <c r="AV100" s="49" t="s">
        <v>309</v>
      </c>
      <c r="AW100" s="49" t="s">
        <v>310</v>
      </c>
      <c r="AX100" s="49" t="s">
        <v>311</v>
      </c>
      <c r="AY100" s="48"/>
      <c r="AZ100" s="48" t="n">
        <v>46295</v>
      </c>
      <c r="BC100" s="49" t="s">
        <v>303</v>
      </c>
      <c r="BD100" s="48"/>
      <c r="BE100" s="49" t="s">
        <v>312</v>
      </c>
      <c r="BF100" s="49" t="s">
        <v>303</v>
      </c>
      <c r="BG100" s="48"/>
      <c r="BI100" s="48"/>
      <c r="BJ100" s="48" t="n">
        <v>46302</v>
      </c>
      <c r="BK100" s="49" t="s">
        <v>313</v>
      </c>
      <c r="BL100" s="49" t="s">
        <v>313</v>
      </c>
      <c r="BM100" s="49" t="s">
        <v>310</v>
      </c>
      <c r="BN100" s="48"/>
      <c r="BO100" s="48"/>
      <c r="BP100" s="48"/>
      <c r="BQ100" s="49" t="s">
        <v>299</v>
      </c>
      <c r="BR100" s="48" t="n">
        <v>46302</v>
      </c>
      <c r="BS100" s="49" t="s">
        <v>625</v>
      </c>
      <c r="BT100" s="49" t="s">
        <v>312</v>
      </c>
      <c r="BU100" s="49" t="s">
        <v>313</v>
      </c>
      <c r="BV100" s="49" t="s">
        <v>303</v>
      </c>
      <c r="BX100" s="0" t="n">
        <v>0</v>
      </c>
      <c r="CC100" s="49" t="s">
        <v>315</v>
      </c>
      <c r="CD100" s="49" t="s">
        <v>303</v>
      </c>
      <c r="CF100" s="49" t="s">
        <v>303</v>
      </c>
      <c r="CG100" s="49" t="s">
        <v>316</v>
      </c>
      <c r="CH100" s="49" t="s">
        <v>317</v>
      </c>
      <c r="CI100" s="49" t="s">
        <v>318</v>
      </c>
      <c r="CM100" s="49" t="s">
        <v>480</v>
      </c>
      <c r="CV100" s="49" t="s">
        <v>303</v>
      </c>
      <c r="DB100" s="49" t="s">
        <v>319</v>
      </c>
      <c r="DD100" s="48" t="n">
        <v>46293</v>
      </c>
      <c r="DF100" s="49" t="s">
        <v>310</v>
      </c>
      <c r="DG100" s="49" t="s">
        <v>320</v>
      </c>
      <c r="DH100" s="49" t="s">
        <v>72</v>
      </c>
      <c r="DI100" s="49" t="s">
        <v>298</v>
      </c>
      <c r="DJ100" s="49" t="s">
        <v>321</v>
      </c>
      <c r="DK100" s="49" t="s">
        <v>322</v>
      </c>
      <c r="DL100" s="49" t="s">
        <v>323</v>
      </c>
      <c r="DM100" s="49" t="s">
        <v>303</v>
      </c>
      <c r="DN100" s="49" t="s">
        <v>297</v>
      </c>
      <c r="DO100" s="48"/>
      <c r="DP100" s="49" t="s">
        <v>313</v>
      </c>
      <c r="DQ100" s="48"/>
      <c r="DR100" s="49" t="s">
        <v>312</v>
      </c>
      <c r="DS100" s="49" t="s">
        <v>303</v>
      </c>
      <c r="DT100" s="49" t="s">
        <v>303</v>
      </c>
      <c r="DW100" s="49" t="s">
        <v>303</v>
      </c>
      <c r="EA100" s="49" t="s">
        <v>324</v>
      </c>
      <c r="EB100" s="49" t="s">
        <v>303</v>
      </c>
      <c r="EF100" s="49" t="s">
        <v>628</v>
      </c>
      <c r="EH100" s="49" t="s">
        <v>325</v>
      </c>
      <c r="EJ100" s="49" t="s">
        <v>303</v>
      </c>
      <c r="EK100" s="49" t="s">
        <v>629</v>
      </c>
      <c r="EM100" s="49" t="s">
        <v>303</v>
      </c>
      <c r="EN100" s="49" t="s">
        <v>485</v>
      </c>
      <c r="EP100" s="49" t="s">
        <v>298</v>
      </c>
      <c r="EQ100" s="0" t="n">
        <v>1</v>
      </c>
      <c r="ER100" s="49" t="s">
        <v>328</v>
      </c>
      <c r="ES100" s="49" t="s">
        <v>329</v>
      </c>
      <c r="ET100" s="49" t="s">
        <v>310</v>
      </c>
      <c r="EU100" s="49" t="s">
        <v>310</v>
      </c>
      <c r="EV100" s="49" t="s">
        <v>310</v>
      </c>
      <c r="EX100" s="49" t="s">
        <v>303</v>
      </c>
      <c r="EY100" s="49" t="s">
        <v>303</v>
      </c>
      <c r="FC100" s="49" t="s">
        <v>330</v>
      </c>
      <c r="FD100" s="49" t="s">
        <v>310</v>
      </c>
      <c r="FE100" s="49" t="s">
        <v>310</v>
      </c>
      <c r="FF100" s="49" t="s">
        <v>72</v>
      </c>
      <c r="FG100" s="49" t="s">
        <v>486</v>
      </c>
      <c r="FH100" s="49" t="s">
        <v>310</v>
      </c>
      <c r="FI100" s="49" t="s">
        <v>332</v>
      </c>
      <c r="FJ100" s="49" t="s">
        <v>303</v>
      </c>
      <c r="FL100" s="49" t="s">
        <v>325</v>
      </c>
      <c r="FM100" s="49" t="s">
        <v>334</v>
      </c>
      <c r="FP100" s="49" t="s">
        <v>303</v>
      </c>
      <c r="FR100" s="49" t="s">
        <v>303</v>
      </c>
      <c r="FT100" s="49" t="s">
        <v>325</v>
      </c>
      <c r="FU100" s="49" t="s">
        <v>325</v>
      </c>
      <c r="FW100" s="49" t="s">
        <v>333</v>
      </c>
    </row>
    <row r="101" customFormat="false" ht="15" hidden="false" customHeight="false" outlineLevel="0" collapsed="false">
      <c r="A101" s="0" t="n">
        <v>100880292</v>
      </c>
      <c r="B101" s="0" t="s">
        <v>295</v>
      </c>
      <c r="C101" s="0" t="s">
        <v>72</v>
      </c>
      <c r="D101" s="0" t="s">
        <v>480</v>
      </c>
      <c r="E101" s="0" t="s">
        <v>297</v>
      </c>
      <c r="G101" s="0" t="n">
        <v>1</v>
      </c>
      <c r="H101" s="0" t="s">
        <v>298</v>
      </c>
      <c r="I101" s="48" t="n">
        <v>46297</v>
      </c>
      <c r="J101" s="0" t="n">
        <v>0</v>
      </c>
      <c r="K101" s="49" t="s">
        <v>334</v>
      </c>
      <c r="L101" s="49" t="s">
        <v>335</v>
      </c>
      <c r="M101" s="48"/>
      <c r="O101" s="49" t="s">
        <v>445</v>
      </c>
      <c r="P101" s="48"/>
      <c r="Q101" s="48" t="n">
        <v>46297</v>
      </c>
      <c r="R101" s="48" t="n">
        <v>46303</v>
      </c>
      <c r="T101" s="49" t="s">
        <v>302</v>
      </c>
      <c r="U101" s="49" t="s">
        <v>303</v>
      </c>
      <c r="Y101" s="49" t="s">
        <v>312</v>
      </c>
      <c r="AD101" s="49" t="s">
        <v>305</v>
      </c>
      <c r="AE101" s="48" t="n">
        <v>46293</v>
      </c>
      <c r="AF101" s="49" t="s">
        <v>306</v>
      </c>
      <c r="AG101" s="49" t="s">
        <v>307</v>
      </c>
      <c r="AK101" s="49" t="s">
        <v>303</v>
      </c>
      <c r="AL101" s="49" t="s">
        <v>297</v>
      </c>
      <c r="AO101" s="49" t="s">
        <v>303</v>
      </c>
      <c r="AP101" s="48"/>
      <c r="AR101" s="49" t="s">
        <v>303</v>
      </c>
      <c r="AS101" s="49" t="s">
        <v>306</v>
      </c>
      <c r="AT101" s="49" t="s">
        <v>630</v>
      </c>
      <c r="AV101" s="49" t="s">
        <v>309</v>
      </c>
      <c r="AW101" s="49" t="s">
        <v>310</v>
      </c>
      <c r="AX101" s="49" t="s">
        <v>311</v>
      </c>
      <c r="AY101" s="48"/>
      <c r="AZ101" s="48" t="n">
        <v>46295</v>
      </c>
      <c r="BC101" s="49" t="s">
        <v>303</v>
      </c>
      <c r="BD101" s="48"/>
      <c r="BE101" s="49" t="s">
        <v>312</v>
      </c>
      <c r="BF101" s="49" t="s">
        <v>303</v>
      </c>
      <c r="BG101" s="48"/>
      <c r="BI101" s="48"/>
      <c r="BJ101" s="48" t="n">
        <v>46302</v>
      </c>
      <c r="BK101" s="49" t="s">
        <v>313</v>
      </c>
      <c r="BL101" s="49" t="s">
        <v>313</v>
      </c>
      <c r="BM101" s="49" t="s">
        <v>310</v>
      </c>
      <c r="BN101" s="48"/>
      <c r="BO101" s="48"/>
      <c r="BP101" s="48"/>
      <c r="BQ101" s="49" t="s">
        <v>299</v>
      </c>
      <c r="BR101" s="48" t="n">
        <v>46302</v>
      </c>
      <c r="BS101" s="49" t="s">
        <v>625</v>
      </c>
      <c r="BT101" s="49" t="s">
        <v>312</v>
      </c>
      <c r="BU101" s="49" t="s">
        <v>313</v>
      </c>
      <c r="BV101" s="49" t="s">
        <v>303</v>
      </c>
      <c r="BX101" s="0" t="n">
        <v>0</v>
      </c>
      <c r="CC101" s="49" t="s">
        <v>315</v>
      </c>
      <c r="CD101" s="49" t="s">
        <v>303</v>
      </c>
      <c r="CF101" s="49" t="s">
        <v>303</v>
      </c>
      <c r="CG101" s="49" t="s">
        <v>316</v>
      </c>
      <c r="CH101" s="49" t="s">
        <v>317</v>
      </c>
      <c r="CI101" s="49" t="s">
        <v>318</v>
      </c>
      <c r="CM101" s="49" t="s">
        <v>480</v>
      </c>
      <c r="CV101" s="49" t="s">
        <v>303</v>
      </c>
      <c r="DB101" s="49" t="s">
        <v>319</v>
      </c>
      <c r="DD101" s="48" t="n">
        <v>46293</v>
      </c>
      <c r="DF101" s="49" t="s">
        <v>310</v>
      </c>
      <c r="DG101" s="49" t="s">
        <v>320</v>
      </c>
      <c r="DH101" s="49" t="s">
        <v>72</v>
      </c>
      <c r="DI101" s="49" t="s">
        <v>298</v>
      </c>
      <c r="DJ101" s="49" t="s">
        <v>321</v>
      </c>
      <c r="DK101" s="49" t="s">
        <v>322</v>
      </c>
      <c r="DL101" s="49" t="s">
        <v>323</v>
      </c>
      <c r="DM101" s="49" t="s">
        <v>303</v>
      </c>
      <c r="DN101" s="49" t="s">
        <v>297</v>
      </c>
      <c r="DO101" s="48"/>
      <c r="DP101" s="49" t="s">
        <v>313</v>
      </c>
      <c r="DQ101" s="48"/>
      <c r="DR101" s="49" t="s">
        <v>312</v>
      </c>
      <c r="DS101" s="49" t="s">
        <v>303</v>
      </c>
      <c r="DT101" s="49" t="s">
        <v>303</v>
      </c>
      <c r="DW101" s="49" t="s">
        <v>303</v>
      </c>
      <c r="EA101" s="49" t="s">
        <v>324</v>
      </c>
      <c r="EB101" s="49" t="s">
        <v>303</v>
      </c>
      <c r="EF101" s="49" t="s">
        <v>628</v>
      </c>
      <c r="EH101" s="49" t="s">
        <v>325</v>
      </c>
      <c r="EJ101" s="49" t="s">
        <v>303</v>
      </c>
      <c r="EK101" s="49" t="s">
        <v>631</v>
      </c>
      <c r="EM101" s="49" t="s">
        <v>303</v>
      </c>
      <c r="EN101" s="49" t="s">
        <v>485</v>
      </c>
      <c r="EP101" s="49" t="s">
        <v>298</v>
      </c>
      <c r="EQ101" s="0" t="n">
        <v>1</v>
      </c>
      <c r="ER101" s="49" t="s">
        <v>328</v>
      </c>
      <c r="ES101" s="49" t="s">
        <v>329</v>
      </c>
      <c r="ET101" s="49" t="s">
        <v>310</v>
      </c>
      <c r="EU101" s="49" t="s">
        <v>310</v>
      </c>
      <c r="EV101" s="49" t="s">
        <v>310</v>
      </c>
      <c r="EX101" s="49" t="s">
        <v>303</v>
      </c>
      <c r="EY101" s="49" t="s">
        <v>303</v>
      </c>
      <c r="FC101" s="49" t="s">
        <v>330</v>
      </c>
      <c r="FD101" s="49" t="s">
        <v>310</v>
      </c>
      <c r="FE101" s="49" t="s">
        <v>310</v>
      </c>
      <c r="FF101" s="49" t="s">
        <v>72</v>
      </c>
      <c r="FG101" s="49" t="s">
        <v>486</v>
      </c>
      <c r="FH101" s="49" t="s">
        <v>310</v>
      </c>
      <c r="FI101" s="49" t="s">
        <v>332</v>
      </c>
      <c r="FJ101" s="49" t="s">
        <v>303</v>
      </c>
      <c r="FL101" s="49" t="s">
        <v>325</v>
      </c>
      <c r="FM101" s="49" t="s">
        <v>334</v>
      </c>
      <c r="FP101" s="49" t="s">
        <v>303</v>
      </c>
      <c r="FR101" s="49" t="s">
        <v>303</v>
      </c>
      <c r="FT101" s="49" t="s">
        <v>325</v>
      </c>
      <c r="FU101" s="49" t="s">
        <v>325</v>
      </c>
      <c r="FW101" s="49" t="s">
        <v>333</v>
      </c>
    </row>
    <row r="102" customFormat="false" ht="15" hidden="false" customHeight="false" outlineLevel="0" collapsed="false">
      <c r="A102" s="0" t="n">
        <v>100880293</v>
      </c>
      <c r="B102" s="0" t="s">
        <v>295</v>
      </c>
      <c r="C102" s="0" t="s">
        <v>75</v>
      </c>
      <c r="D102" s="0" t="s">
        <v>492</v>
      </c>
      <c r="E102" s="0" t="s">
        <v>297</v>
      </c>
      <c r="G102" s="0" t="n">
        <v>1</v>
      </c>
      <c r="H102" s="0" t="s">
        <v>298</v>
      </c>
      <c r="I102" s="48" t="n">
        <v>46297</v>
      </c>
      <c r="J102" s="0" t="n">
        <v>0</v>
      </c>
      <c r="K102" s="49" t="s">
        <v>334</v>
      </c>
      <c r="L102" s="49" t="s">
        <v>335</v>
      </c>
      <c r="M102" s="48" t="n">
        <v>46297</v>
      </c>
      <c r="N102" s="49" t="s">
        <v>335</v>
      </c>
      <c r="O102" s="49" t="s">
        <v>336</v>
      </c>
      <c r="P102" s="48"/>
      <c r="Q102" s="48" t="n">
        <v>46297</v>
      </c>
      <c r="R102" s="48" t="n">
        <v>46325</v>
      </c>
      <c r="T102" s="49" t="s">
        <v>302</v>
      </c>
      <c r="U102" s="49" t="s">
        <v>303</v>
      </c>
      <c r="Y102" s="49" t="s">
        <v>632</v>
      </c>
      <c r="AD102" s="49" t="s">
        <v>305</v>
      </c>
      <c r="AE102" s="48" t="n">
        <v>46275</v>
      </c>
      <c r="AF102" s="49" t="s">
        <v>306</v>
      </c>
      <c r="AG102" s="49" t="s">
        <v>307</v>
      </c>
      <c r="AK102" s="49" t="s">
        <v>303</v>
      </c>
      <c r="AL102" s="49" t="s">
        <v>297</v>
      </c>
      <c r="AO102" s="49" t="s">
        <v>303</v>
      </c>
      <c r="AP102" s="48"/>
      <c r="AR102" s="49" t="s">
        <v>303</v>
      </c>
      <c r="AS102" s="49" t="s">
        <v>306</v>
      </c>
      <c r="AT102" s="49" t="s">
        <v>633</v>
      </c>
      <c r="AV102" s="49" t="s">
        <v>309</v>
      </c>
      <c r="AW102" s="49" t="s">
        <v>310</v>
      </c>
      <c r="AX102" s="49" t="s">
        <v>311</v>
      </c>
      <c r="AY102" s="48"/>
      <c r="AZ102" s="48" t="n">
        <v>46316</v>
      </c>
      <c r="BC102" s="49" t="s">
        <v>303</v>
      </c>
      <c r="BD102" s="48"/>
      <c r="BE102" s="49" t="s">
        <v>312</v>
      </c>
      <c r="BF102" s="49" t="s">
        <v>303</v>
      </c>
      <c r="BG102" s="48"/>
      <c r="BI102" s="48"/>
      <c r="BJ102" s="48" t="n">
        <v>46323</v>
      </c>
      <c r="BK102" s="49" t="s">
        <v>312</v>
      </c>
      <c r="BL102" s="49" t="s">
        <v>313</v>
      </c>
      <c r="BM102" s="49" t="s">
        <v>310</v>
      </c>
      <c r="BN102" s="48"/>
      <c r="BO102" s="48"/>
      <c r="BP102" s="48"/>
      <c r="BR102" s="48" t="n">
        <v>46323</v>
      </c>
      <c r="BS102" s="49" t="s">
        <v>312</v>
      </c>
      <c r="BT102" s="49" t="s">
        <v>312</v>
      </c>
      <c r="BU102" s="49" t="s">
        <v>313</v>
      </c>
      <c r="BV102" s="49" t="s">
        <v>303</v>
      </c>
      <c r="BX102" s="0" t="n">
        <v>0</v>
      </c>
      <c r="CC102" s="49" t="s">
        <v>315</v>
      </c>
      <c r="CD102" s="49" t="s">
        <v>303</v>
      </c>
      <c r="CF102" s="49" t="s">
        <v>303</v>
      </c>
      <c r="CG102" s="49" t="s">
        <v>316</v>
      </c>
      <c r="CH102" s="49" t="s">
        <v>317</v>
      </c>
      <c r="CI102" s="49" t="s">
        <v>318</v>
      </c>
      <c r="CM102" s="49" t="s">
        <v>492</v>
      </c>
      <c r="CV102" s="49" t="s">
        <v>303</v>
      </c>
      <c r="DB102" s="49" t="s">
        <v>319</v>
      </c>
      <c r="DD102" s="48" t="n">
        <v>46275</v>
      </c>
      <c r="DF102" s="49" t="s">
        <v>310</v>
      </c>
      <c r="DG102" s="49" t="s">
        <v>320</v>
      </c>
      <c r="DH102" s="49" t="s">
        <v>75</v>
      </c>
      <c r="DI102" s="49" t="s">
        <v>298</v>
      </c>
      <c r="DJ102" s="49" t="s">
        <v>495</v>
      </c>
      <c r="DK102" s="49" t="s">
        <v>322</v>
      </c>
      <c r="DL102" s="49" t="s">
        <v>323</v>
      </c>
      <c r="DM102" s="49" t="s">
        <v>303</v>
      </c>
      <c r="DN102" s="49" t="s">
        <v>297</v>
      </c>
      <c r="DO102" s="48"/>
      <c r="DP102" s="49" t="s">
        <v>312</v>
      </c>
      <c r="DQ102" s="48"/>
      <c r="DR102" s="49" t="s">
        <v>312</v>
      </c>
      <c r="DS102" s="49" t="s">
        <v>303</v>
      </c>
      <c r="DT102" s="49" t="s">
        <v>303</v>
      </c>
      <c r="DW102" s="49" t="s">
        <v>303</v>
      </c>
      <c r="EA102" s="49" t="s">
        <v>324</v>
      </c>
      <c r="EB102" s="49" t="s">
        <v>303</v>
      </c>
      <c r="EH102" s="49" t="s">
        <v>310</v>
      </c>
      <c r="EJ102" s="49" t="s">
        <v>303</v>
      </c>
      <c r="EK102" s="49" t="s">
        <v>634</v>
      </c>
      <c r="EM102" s="49" t="s">
        <v>303</v>
      </c>
      <c r="EN102" s="49" t="s">
        <v>497</v>
      </c>
      <c r="EP102" s="49" t="s">
        <v>298</v>
      </c>
      <c r="EQ102" s="0" t="n">
        <v>1</v>
      </c>
      <c r="ER102" s="49" t="s">
        <v>328</v>
      </c>
      <c r="ES102" s="49" t="s">
        <v>329</v>
      </c>
      <c r="ET102" s="49" t="s">
        <v>310</v>
      </c>
      <c r="EU102" s="49" t="s">
        <v>310</v>
      </c>
      <c r="EV102" s="49" t="s">
        <v>310</v>
      </c>
      <c r="EX102" s="49" t="s">
        <v>303</v>
      </c>
      <c r="EY102" s="49" t="s">
        <v>303</v>
      </c>
      <c r="FC102" s="49" t="s">
        <v>330</v>
      </c>
      <c r="FD102" s="49" t="s">
        <v>310</v>
      </c>
      <c r="FE102" s="49" t="s">
        <v>310</v>
      </c>
      <c r="FF102" s="49" t="s">
        <v>75</v>
      </c>
      <c r="FG102" s="49" t="s">
        <v>498</v>
      </c>
      <c r="FH102" s="49" t="s">
        <v>310</v>
      </c>
      <c r="FI102" s="49" t="s">
        <v>332</v>
      </c>
      <c r="FJ102" s="49" t="s">
        <v>303</v>
      </c>
      <c r="FL102" s="49" t="s">
        <v>325</v>
      </c>
      <c r="FM102" s="49" t="s">
        <v>334</v>
      </c>
      <c r="FP102" s="49" t="s">
        <v>303</v>
      </c>
      <c r="FR102" s="49" t="s">
        <v>303</v>
      </c>
      <c r="FT102" s="49" t="s">
        <v>325</v>
      </c>
      <c r="FU102" s="49" t="s">
        <v>325</v>
      </c>
      <c r="FW102" s="49" t="s">
        <v>333</v>
      </c>
      <c r="FX102" s="49" t="s">
        <v>499</v>
      </c>
    </row>
    <row r="103" customFormat="false" ht="15" hidden="false" customHeight="false" outlineLevel="0" collapsed="false">
      <c r="A103" s="0" t="n">
        <v>100880294</v>
      </c>
      <c r="B103" s="0" t="s">
        <v>295</v>
      </c>
      <c r="C103" s="0" t="s">
        <v>77</v>
      </c>
      <c r="D103" s="0" t="s">
        <v>500</v>
      </c>
      <c r="E103" s="0" t="s">
        <v>297</v>
      </c>
      <c r="G103" s="0" t="n">
        <v>1</v>
      </c>
      <c r="H103" s="0" t="s">
        <v>298</v>
      </c>
      <c r="I103" s="48" t="n">
        <v>46297</v>
      </c>
      <c r="J103" s="0" t="n">
        <v>0</v>
      </c>
      <c r="K103" s="49" t="s">
        <v>334</v>
      </c>
      <c r="L103" s="49" t="s">
        <v>335</v>
      </c>
      <c r="M103" s="48" t="n">
        <v>46297</v>
      </c>
      <c r="N103" s="49" t="s">
        <v>335</v>
      </c>
      <c r="O103" s="49" t="s">
        <v>336</v>
      </c>
      <c r="P103" s="48"/>
      <c r="Q103" s="48" t="n">
        <v>46297</v>
      </c>
      <c r="R103" s="48" t="n">
        <v>46325</v>
      </c>
      <c r="T103" s="49" t="s">
        <v>302</v>
      </c>
      <c r="U103" s="49" t="s">
        <v>303</v>
      </c>
      <c r="Y103" s="49" t="s">
        <v>635</v>
      </c>
      <c r="AD103" s="49" t="s">
        <v>305</v>
      </c>
      <c r="AE103" s="48" t="n">
        <v>46275</v>
      </c>
      <c r="AF103" s="49" t="s">
        <v>306</v>
      </c>
      <c r="AG103" s="49" t="s">
        <v>307</v>
      </c>
      <c r="AK103" s="49" t="s">
        <v>303</v>
      </c>
      <c r="AL103" s="49" t="s">
        <v>297</v>
      </c>
      <c r="AO103" s="49" t="s">
        <v>303</v>
      </c>
      <c r="AP103" s="48"/>
      <c r="AR103" s="49" t="s">
        <v>303</v>
      </c>
      <c r="AS103" s="49" t="s">
        <v>306</v>
      </c>
      <c r="AT103" s="49" t="s">
        <v>636</v>
      </c>
      <c r="AV103" s="49" t="s">
        <v>309</v>
      </c>
      <c r="AW103" s="49" t="s">
        <v>310</v>
      </c>
      <c r="AX103" s="49" t="s">
        <v>311</v>
      </c>
      <c r="AY103" s="48"/>
      <c r="AZ103" s="48" t="n">
        <v>46316</v>
      </c>
      <c r="BC103" s="49" t="s">
        <v>303</v>
      </c>
      <c r="BD103" s="48"/>
      <c r="BE103" s="49" t="s">
        <v>312</v>
      </c>
      <c r="BF103" s="49" t="s">
        <v>303</v>
      </c>
      <c r="BG103" s="48"/>
      <c r="BI103" s="48"/>
      <c r="BJ103" s="48" t="n">
        <v>46323</v>
      </c>
      <c r="BK103" s="49" t="s">
        <v>312</v>
      </c>
      <c r="BL103" s="49" t="s">
        <v>313</v>
      </c>
      <c r="BM103" s="49" t="s">
        <v>310</v>
      </c>
      <c r="BN103" s="48"/>
      <c r="BO103" s="48"/>
      <c r="BP103" s="48"/>
      <c r="BR103" s="48" t="n">
        <v>46323</v>
      </c>
      <c r="BS103" s="49" t="s">
        <v>312</v>
      </c>
      <c r="BT103" s="49" t="s">
        <v>312</v>
      </c>
      <c r="BU103" s="49" t="s">
        <v>313</v>
      </c>
      <c r="BV103" s="49" t="s">
        <v>303</v>
      </c>
      <c r="BX103" s="0" t="n">
        <v>0</v>
      </c>
      <c r="CC103" s="49" t="s">
        <v>315</v>
      </c>
      <c r="CD103" s="49" t="s">
        <v>303</v>
      </c>
      <c r="CF103" s="49" t="s">
        <v>303</v>
      </c>
      <c r="CG103" s="49" t="s">
        <v>316</v>
      </c>
      <c r="CH103" s="49" t="s">
        <v>317</v>
      </c>
      <c r="CI103" s="49" t="s">
        <v>318</v>
      </c>
      <c r="CM103" s="49" t="s">
        <v>500</v>
      </c>
      <c r="CV103" s="49" t="s">
        <v>303</v>
      </c>
      <c r="DB103" s="49" t="s">
        <v>319</v>
      </c>
      <c r="DD103" s="48" t="n">
        <v>46275</v>
      </c>
      <c r="DF103" s="49" t="s">
        <v>310</v>
      </c>
      <c r="DG103" s="49" t="s">
        <v>320</v>
      </c>
      <c r="DH103" s="49" t="s">
        <v>77</v>
      </c>
      <c r="DI103" s="49" t="s">
        <v>298</v>
      </c>
      <c r="DJ103" s="49" t="s">
        <v>495</v>
      </c>
      <c r="DK103" s="49" t="s">
        <v>322</v>
      </c>
      <c r="DL103" s="49" t="s">
        <v>323</v>
      </c>
      <c r="DM103" s="49" t="s">
        <v>303</v>
      </c>
      <c r="DN103" s="49" t="s">
        <v>297</v>
      </c>
      <c r="DO103" s="48"/>
      <c r="DP103" s="49" t="s">
        <v>312</v>
      </c>
      <c r="DQ103" s="48"/>
      <c r="DR103" s="49" t="s">
        <v>312</v>
      </c>
      <c r="DS103" s="49" t="s">
        <v>303</v>
      </c>
      <c r="DT103" s="49" t="s">
        <v>303</v>
      </c>
      <c r="DW103" s="49" t="s">
        <v>303</v>
      </c>
      <c r="EA103" s="49" t="s">
        <v>324</v>
      </c>
      <c r="EB103" s="49" t="s">
        <v>303</v>
      </c>
      <c r="EH103" s="49" t="s">
        <v>310</v>
      </c>
      <c r="EJ103" s="49" t="s">
        <v>303</v>
      </c>
      <c r="EK103" s="49" t="s">
        <v>637</v>
      </c>
      <c r="EM103" s="49" t="s">
        <v>303</v>
      </c>
      <c r="EN103" s="49" t="s">
        <v>504</v>
      </c>
      <c r="EP103" s="49" t="s">
        <v>298</v>
      </c>
      <c r="EQ103" s="0" t="n">
        <v>1</v>
      </c>
      <c r="ER103" s="49" t="s">
        <v>328</v>
      </c>
      <c r="ES103" s="49" t="s">
        <v>329</v>
      </c>
      <c r="ET103" s="49" t="s">
        <v>310</v>
      </c>
      <c r="EU103" s="49" t="s">
        <v>310</v>
      </c>
      <c r="EV103" s="49" t="s">
        <v>310</v>
      </c>
      <c r="EX103" s="49" t="s">
        <v>303</v>
      </c>
      <c r="EY103" s="49" t="s">
        <v>303</v>
      </c>
      <c r="FC103" s="49" t="s">
        <v>330</v>
      </c>
      <c r="FD103" s="49" t="s">
        <v>310</v>
      </c>
      <c r="FE103" s="49" t="s">
        <v>310</v>
      </c>
      <c r="FF103" s="49" t="s">
        <v>77</v>
      </c>
      <c r="FG103" s="49" t="s">
        <v>505</v>
      </c>
      <c r="FH103" s="49" t="s">
        <v>310</v>
      </c>
      <c r="FI103" s="49" t="s">
        <v>332</v>
      </c>
      <c r="FJ103" s="49" t="s">
        <v>303</v>
      </c>
      <c r="FL103" s="49" t="s">
        <v>325</v>
      </c>
      <c r="FM103" s="49" t="s">
        <v>334</v>
      </c>
      <c r="FP103" s="49" t="s">
        <v>303</v>
      </c>
      <c r="FR103" s="49" t="s">
        <v>303</v>
      </c>
      <c r="FT103" s="49" t="s">
        <v>325</v>
      </c>
      <c r="FU103" s="49" t="s">
        <v>325</v>
      </c>
      <c r="FW103" s="49" t="s">
        <v>333</v>
      </c>
      <c r="FX103" s="49" t="s">
        <v>499</v>
      </c>
    </row>
    <row r="104" customFormat="false" ht="15" hidden="false" customHeight="false" outlineLevel="0" collapsed="false">
      <c r="A104" s="0" t="n">
        <v>100880295</v>
      </c>
      <c r="B104" s="0" t="s">
        <v>295</v>
      </c>
      <c r="C104" s="0" t="s">
        <v>79</v>
      </c>
      <c r="D104" s="0" t="s">
        <v>506</v>
      </c>
      <c r="E104" s="0" t="s">
        <v>297</v>
      </c>
      <c r="G104" s="0" t="n">
        <v>1</v>
      </c>
      <c r="H104" s="0" t="s">
        <v>298</v>
      </c>
      <c r="I104" s="48" t="n">
        <v>46297</v>
      </c>
      <c r="J104" s="0" t="n">
        <v>0</v>
      </c>
      <c r="K104" s="49" t="s">
        <v>334</v>
      </c>
      <c r="L104" s="49" t="s">
        <v>335</v>
      </c>
      <c r="M104" s="48" t="n">
        <v>46297</v>
      </c>
      <c r="N104" s="49" t="s">
        <v>335</v>
      </c>
      <c r="O104" s="49" t="s">
        <v>336</v>
      </c>
      <c r="P104" s="48"/>
      <c r="Q104" s="48" t="n">
        <v>46297</v>
      </c>
      <c r="R104" s="48" t="n">
        <v>46325</v>
      </c>
      <c r="T104" s="49" t="s">
        <v>302</v>
      </c>
      <c r="U104" s="49" t="s">
        <v>303</v>
      </c>
      <c r="Y104" s="49" t="s">
        <v>638</v>
      </c>
      <c r="AD104" s="49" t="s">
        <v>305</v>
      </c>
      <c r="AE104" s="48" t="n">
        <v>46275</v>
      </c>
      <c r="AF104" s="49" t="s">
        <v>306</v>
      </c>
      <c r="AG104" s="49" t="s">
        <v>307</v>
      </c>
      <c r="AK104" s="49" t="s">
        <v>303</v>
      </c>
      <c r="AL104" s="49" t="s">
        <v>297</v>
      </c>
      <c r="AO104" s="49" t="s">
        <v>303</v>
      </c>
      <c r="AP104" s="48"/>
      <c r="AR104" s="49" t="s">
        <v>303</v>
      </c>
      <c r="AS104" s="49" t="s">
        <v>306</v>
      </c>
      <c r="AT104" s="49" t="s">
        <v>639</v>
      </c>
      <c r="AV104" s="49" t="s">
        <v>309</v>
      </c>
      <c r="AW104" s="49" t="s">
        <v>310</v>
      </c>
      <c r="AX104" s="49" t="s">
        <v>311</v>
      </c>
      <c r="AY104" s="48"/>
      <c r="AZ104" s="48" t="n">
        <v>46316</v>
      </c>
      <c r="BC104" s="49" t="s">
        <v>303</v>
      </c>
      <c r="BD104" s="48"/>
      <c r="BE104" s="49" t="s">
        <v>312</v>
      </c>
      <c r="BF104" s="49" t="s">
        <v>303</v>
      </c>
      <c r="BG104" s="48"/>
      <c r="BI104" s="48"/>
      <c r="BJ104" s="48" t="n">
        <v>46323</v>
      </c>
      <c r="BK104" s="49" t="s">
        <v>312</v>
      </c>
      <c r="BL104" s="49" t="s">
        <v>313</v>
      </c>
      <c r="BM104" s="49" t="s">
        <v>310</v>
      </c>
      <c r="BN104" s="48"/>
      <c r="BO104" s="48"/>
      <c r="BP104" s="48"/>
      <c r="BR104" s="48" t="n">
        <v>46323</v>
      </c>
      <c r="BS104" s="49" t="s">
        <v>312</v>
      </c>
      <c r="BT104" s="49" t="s">
        <v>312</v>
      </c>
      <c r="BU104" s="49" t="s">
        <v>313</v>
      </c>
      <c r="BV104" s="49" t="s">
        <v>303</v>
      </c>
      <c r="BX104" s="0" t="n">
        <v>0</v>
      </c>
      <c r="CC104" s="49" t="s">
        <v>315</v>
      </c>
      <c r="CD104" s="49" t="s">
        <v>303</v>
      </c>
      <c r="CF104" s="49" t="s">
        <v>303</v>
      </c>
      <c r="CG104" s="49" t="s">
        <v>316</v>
      </c>
      <c r="CH104" s="49" t="s">
        <v>317</v>
      </c>
      <c r="CI104" s="49" t="s">
        <v>318</v>
      </c>
      <c r="CM104" s="49" t="s">
        <v>506</v>
      </c>
      <c r="CV104" s="49" t="s">
        <v>303</v>
      </c>
      <c r="DB104" s="49" t="s">
        <v>319</v>
      </c>
      <c r="DD104" s="48" t="n">
        <v>46275</v>
      </c>
      <c r="DF104" s="49" t="s">
        <v>310</v>
      </c>
      <c r="DG104" s="49" t="s">
        <v>320</v>
      </c>
      <c r="DH104" s="49" t="s">
        <v>79</v>
      </c>
      <c r="DI104" s="49" t="s">
        <v>298</v>
      </c>
      <c r="DJ104" s="49" t="s">
        <v>495</v>
      </c>
      <c r="DK104" s="49" t="s">
        <v>322</v>
      </c>
      <c r="DL104" s="49" t="s">
        <v>323</v>
      </c>
      <c r="DM104" s="49" t="s">
        <v>303</v>
      </c>
      <c r="DN104" s="49" t="s">
        <v>297</v>
      </c>
      <c r="DO104" s="48"/>
      <c r="DP104" s="49" t="s">
        <v>312</v>
      </c>
      <c r="DQ104" s="48"/>
      <c r="DR104" s="49" t="s">
        <v>312</v>
      </c>
      <c r="DS104" s="49" t="s">
        <v>303</v>
      </c>
      <c r="DT104" s="49" t="s">
        <v>303</v>
      </c>
      <c r="DW104" s="49" t="s">
        <v>303</v>
      </c>
      <c r="EA104" s="49" t="s">
        <v>324</v>
      </c>
      <c r="EB104" s="49" t="s">
        <v>303</v>
      </c>
      <c r="EH104" s="49" t="s">
        <v>310</v>
      </c>
      <c r="EJ104" s="49" t="s">
        <v>303</v>
      </c>
      <c r="EK104" s="49" t="s">
        <v>640</v>
      </c>
      <c r="EM104" s="49" t="s">
        <v>303</v>
      </c>
      <c r="EN104" s="49" t="s">
        <v>510</v>
      </c>
      <c r="EP104" s="49" t="s">
        <v>298</v>
      </c>
      <c r="EQ104" s="0" t="n">
        <v>1</v>
      </c>
      <c r="ER104" s="49" t="s">
        <v>328</v>
      </c>
      <c r="ES104" s="49" t="s">
        <v>329</v>
      </c>
      <c r="ET104" s="49" t="s">
        <v>310</v>
      </c>
      <c r="EU104" s="49" t="s">
        <v>310</v>
      </c>
      <c r="EV104" s="49" t="s">
        <v>310</v>
      </c>
      <c r="EX104" s="49" t="s">
        <v>303</v>
      </c>
      <c r="EY104" s="49" t="s">
        <v>303</v>
      </c>
      <c r="FC104" s="49" t="s">
        <v>330</v>
      </c>
      <c r="FD104" s="49" t="s">
        <v>310</v>
      </c>
      <c r="FE104" s="49" t="s">
        <v>310</v>
      </c>
      <c r="FF104" s="49" t="s">
        <v>79</v>
      </c>
      <c r="FG104" s="49" t="s">
        <v>511</v>
      </c>
      <c r="FH104" s="49" t="s">
        <v>310</v>
      </c>
      <c r="FI104" s="49" t="s">
        <v>332</v>
      </c>
      <c r="FJ104" s="49" t="s">
        <v>303</v>
      </c>
      <c r="FL104" s="49" t="s">
        <v>325</v>
      </c>
      <c r="FM104" s="49" t="s">
        <v>334</v>
      </c>
      <c r="FP104" s="49" t="s">
        <v>303</v>
      </c>
      <c r="FR104" s="49" t="s">
        <v>303</v>
      </c>
      <c r="FT104" s="49" t="s">
        <v>325</v>
      </c>
      <c r="FU104" s="49" t="s">
        <v>325</v>
      </c>
      <c r="FW104" s="49" t="s">
        <v>333</v>
      </c>
      <c r="FX104" s="49" t="s">
        <v>499</v>
      </c>
    </row>
    <row r="105" customFormat="false" ht="15" hidden="false" customHeight="false" outlineLevel="0" collapsed="false">
      <c r="A105" s="0" t="n">
        <v>100879967</v>
      </c>
      <c r="B105" s="0" t="s">
        <v>295</v>
      </c>
      <c r="C105" s="0" t="s">
        <v>48</v>
      </c>
      <c r="D105" s="0" t="s">
        <v>49</v>
      </c>
      <c r="E105" s="0" t="s">
        <v>297</v>
      </c>
      <c r="G105" s="0" t="n">
        <v>1</v>
      </c>
      <c r="H105" s="0" t="s">
        <v>298</v>
      </c>
      <c r="I105" s="48" t="n">
        <v>46296</v>
      </c>
      <c r="J105" s="0" t="n">
        <v>0</v>
      </c>
      <c r="K105" s="49" t="s">
        <v>641</v>
      </c>
      <c r="L105" s="49" t="s">
        <v>335</v>
      </c>
      <c r="M105" s="48" t="n">
        <v>46296</v>
      </c>
      <c r="N105" s="49" t="s">
        <v>335</v>
      </c>
      <c r="O105" s="49" t="s">
        <v>445</v>
      </c>
      <c r="P105" s="48"/>
      <c r="Q105" s="48" t="n">
        <v>46296</v>
      </c>
      <c r="R105" s="48" t="n">
        <v>46303</v>
      </c>
      <c r="T105" s="49" t="s">
        <v>302</v>
      </c>
      <c r="U105" s="49" t="s">
        <v>303</v>
      </c>
      <c r="Y105" s="49" t="s">
        <v>642</v>
      </c>
      <c r="AD105" s="49" t="s">
        <v>305</v>
      </c>
      <c r="AE105" s="48" t="n">
        <v>46268</v>
      </c>
      <c r="AF105" s="49" t="s">
        <v>306</v>
      </c>
      <c r="AG105" s="49" t="s">
        <v>307</v>
      </c>
      <c r="AK105" s="49" t="s">
        <v>303</v>
      </c>
      <c r="AL105" s="49" t="s">
        <v>297</v>
      </c>
      <c r="AO105" s="49" t="s">
        <v>303</v>
      </c>
      <c r="AP105" s="48"/>
      <c r="AR105" s="49" t="s">
        <v>303</v>
      </c>
      <c r="AS105" s="49" t="s">
        <v>306</v>
      </c>
      <c r="AT105" s="49" t="s">
        <v>643</v>
      </c>
      <c r="AV105" s="49" t="s">
        <v>309</v>
      </c>
      <c r="AW105" s="49" t="s">
        <v>310</v>
      </c>
      <c r="AX105" s="49" t="s">
        <v>311</v>
      </c>
      <c r="AY105" s="48"/>
      <c r="AZ105" s="48" t="n">
        <v>46288</v>
      </c>
      <c r="BC105" s="49" t="s">
        <v>303</v>
      </c>
      <c r="BD105" s="48"/>
      <c r="BE105" s="49" t="s">
        <v>312</v>
      </c>
      <c r="BF105" s="49" t="s">
        <v>303</v>
      </c>
      <c r="BG105" s="48"/>
      <c r="BI105" s="48"/>
      <c r="BJ105" s="48" t="n">
        <v>46301</v>
      </c>
      <c r="BK105" s="49" t="s">
        <v>312</v>
      </c>
      <c r="BL105" s="49" t="s">
        <v>313</v>
      </c>
      <c r="BM105" s="49" t="s">
        <v>310</v>
      </c>
      <c r="BN105" s="48"/>
      <c r="BO105" s="48"/>
      <c r="BP105" s="48"/>
      <c r="BQ105" s="49" t="s">
        <v>641</v>
      </c>
      <c r="BR105" s="48" t="n">
        <v>46295</v>
      </c>
      <c r="BS105" s="49" t="s">
        <v>644</v>
      </c>
      <c r="BT105" s="49" t="s">
        <v>312</v>
      </c>
      <c r="BU105" s="49" t="s">
        <v>312</v>
      </c>
      <c r="BV105" s="49" t="s">
        <v>303</v>
      </c>
      <c r="BX105" s="0" t="n">
        <v>0</v>
      </c>
      <c r="CC105" s="49" t="s">
        <v>315</v>
      </c>
      <c r="CD105" s="49" t="s">
        <v>303</v>
      </c>
      <c r="CF105" s="49" t="s">
        <v>303</v>
      </c>
      <c r="CG105" s="49" t="s">
        <v>316</v>
      </c>
      <c r="CH105" s="49" t="s">
        <v>317</v>
      </c>
      <c r="CI105" s="49" t="s">
        <v>318</v>
      </c>
      <c r="CM105" s="49" t="s">
        <v>49</v>
      </c>
      <c r="CV105" s="49" t="s">
        <v>303</v>
      </c>
      <c r="DB105" s="49" t="s">
        <v>319</v>
      </c>
      <c r="DD105" s="48" t="n">
        <v>46268</v>
      </c>
      <c r="DF105" s="49" t="s">
        <v>310</v>
      </c>
      <c r="DG105" s="49" t="s">
        <v>320</v>
      </c>
      <c r="DH105" s="49" t="s">
        <v>48</v>
      </c>
      <c r="DI105" s="49" t="s">
        <v>298</v>
      </c>
      <c r="DJ105" s="49" t="s">
        <v>339</v>
      </c>
      <c r="DK105" s="49" t="s">
        <v>322</v>
      </c>
      <c r="DL105" s="49" t="s">
        <v>323</v>
      </c>
      <c r="DM105" s="49" t="s">
        <v>303</v>
      </c>
      <c r="DN105" s="49" t="s">
        <v>297</v>
      </c>
      <c r="DO105" s="48"/>
      <c r="DP105" s="49" t="s">
        <v>312</v>
      </c>
      <c r="DQ105" s="48"/>
      <c r="DR105" s="49" t="s">
        <v>312</v>
      </c>
      <c r="DS105" s="49" t="s">
        <v>303</v>
      </c>
      <c r="DT105" s="49" t="s">
        <v>303</v>
      </c>
      <c r="DW105" s="49" t="s">
        <v>303</v>
      </c>
      <c r="EA105" s="49" t="s">
        <v>324</v>
      </c>
      <c r="EB105" s="49" t="s">
        <v>303</v>
      </c>
      <c r="EH105" s="49" t="s">
        <v>310</v>
      </c>
      <c r="EJ105" s="49" t="s">
        <v>303</v>
      </c>
      <c r="EK105" s="49" t="s">
        <v>645</v>
      </c>
      <c r="EM105" s="49" t="s">
        <v>303</v>
      </c>
      <c r="EN105" s="49" t="s">
        <v>341</v>
      </c>
      <c r="EP105" s="49" t="s">
        <v>298</v>
      </c>
      <c r="EQ105" s="0" t="n">
        <v>1</v>
      </c>
      <c r="ER105" s="49" t="s">
        <v>328</v>
      </c>
      <c r="ES105" s="49" t="s">
        <v>342</v>
      </c>
      <c r="ET105" s="49" t="s">
        <v>310</v>
      </c>
      <c r="EU105" s="49" t="s">
        <v>310</v>
      </c>
      <c r="EV105" s="49" t="s">
        <v>310</v>
      </c>
      <c r="EX105" s="49" t="s">
        <v>303</v>
      </c>
      <c r="EY105" s="49" t="s">
        <v>303</v>
      </c>
      <c r="FC105" s="49" t="s">
        <v>330</v>
      </c>
      <c r="FD105" s="49" t="s">
        <v>310</v>
      </c>
      <c r="FE105" s="49" t="s">
        <v>310</v>
      </c>
      <c r="FF105" s="49" t="s">
        <v>48</v>
      </c>
      <c r="FG105" s="49" t="s">
        <v>343</v>
      </c>
      <c r="FH105" s="49" t="s">
        <v>310</v>
      </c>
      <c r="FI105" s="49" t="s">
        <v>332</v>
      </c>
      <c r="FJ105" s="49" t="s">
        <v>303</v>
      </c>
      <c r="FL105" s="49" t="s">
        <v>325</v>
      </c>
      <c r="FM105" s="49" t="s">
        <v>641</v>
      </c>
      <c r="FP105" s="49" t="s">
        <v>303</v>
      </c>
      <c r="FR105" s="49" t="s">
        <v>303</v>
      </c>
      <c r="FT105" s="49" t="s">
        <v>325</v>
      </c>
      <c r="FU105" s="49" t="s">
        <v>325</v>
      </c>
      <c r="FW105" s="49" t="s">
        <v>333</v>
      </c>
    </row>
    <row r="106" customFormat="false" ht="15" hidden="false" customHeight="false" outlineLevel="0" collapsed="false">
      <c r="A106" s="0" t="n">
        <v>100879968</v>
      </c>
      <c r="B106" s="0" t="s">
        <v>295</v>
      </c>
      <c r="C106" s="0" t="s">
        <v>50</v>
      </c>
      <c r="D106" s="0" t="s">
        <v>51</v>
      </c>
      <c r="E106" s="0" t="s">
        <v>297</v>
      </c>
      <c r="G106" s="0" t="n">
        <v>1</v>
      </c>
      <c r="H106" s="0" t="s">
        <v>298</v>
      </c>
      <c r="I106" s="48" t="n">
        <v>46296</v>
      </c>
      <c r="J106" s="0" t="n">
        <v>0</v>
      </c>
      <c r="K106" s="49" t="s">
        <v>641</v>
      </c>
      <c r="L106" s="49" t="s">
        <v>335</v>
      </c>
      <c r="M106" s="48" t="n">
        <v>46296</v>
      </c>
      <c r="N106" s="49" t="s">
        <v>335</v>
      </c>
      <c r="O106" s="49" t="s">
        <v>445</v>
      </c>
      <c r="P106" s="48"/>
      <c r="Q106" s="48" t="n">
        <v>46296</v>
      </c>
      <c r="R106" s="48" t="n">
        <v>46303</v>
      </c>
      <c r="T106" s="49" t="s">
        <v>302</v>
      </c>
      <c r="U106" s="49" t="s">
        <v>303</v>
      </c>
      <c r="Y106" s="49" t="s">
        <v>646</v>
      </c>
      <c r="AD106" s="49" t="s">
        <v>305</v>
      </c>
      <c r="AE106" s="48" t="n">
        <v>46260</v>
      </c>
      <c r="AF106" s="49" t="s">
        <v>306</v>
      </c>
      <c r="AG106" s="49" t="s">
        <v>307</v>
      </c>
      <c r="AK106" s="49" t="s">
        <v>303</v>
      </c>
      <c r="AL106" s="49" t="s">
        <v>297</v>
      </c>
      <c r="AO106" s="49" t="s">
        <v>303</v>
      </c>
      <c r="AP106" s="48"/>
      <c r="AR106" s="49" t="s">
        <v>303</v>
      </c>
      <c r="AS106" s="49" t="s">
        <v>306</v>
      </c>
      <c r="AT106" s="49" t="s">
        <v>647</v>
      </c>
      <c r="AV106" s="49" t="s">
        <v>309</v>
      </c>
      <c r="AW106" s="49" t="s">
        <v>310</v>
      </c>
      <c r="AX106" s="49" t="s">
        <v>311</v>
      </c>
      <c r="AY106" s="48"/>
      <c r="AZ106" s="48" t="n">
        <v>46288</v>
      </c>
      <c r="BC106" s="49" t="s">
        <v>303</v>
      </c>
      <c r="BD106" s="48"/>
      <c r="BE106" s="49" t="s">
        <v>312</v>
      </c>
      <c r="BF106" s="49" t="s">
        <v>303</v>
      </c>
      <c r="BG106" s="48"/>
      <c r="BI106" s="48"/>
      <c r="BJ106" s="48" t="n">
        <v>46301</v>
      </c>
      <c r="BK106" s="49" t="s">
        <v>312</v>
      </c>
      <c r="BL106" s="49" t="s">
        <v>313</v>
      </c>
      <c r="BM106" s="49" t="s">
        <v>310</v>
      </c>
      <c r="BN106" s="48"/>
      <c r="BO106" s="48"/>
      <c r="BP106" s="48"/>
      <c r="BQ106" s="49" t="s">
        <v>641</v>
      </c>
      <c r="BR106" s="48" t="n">
        <v>46295</v>
      </c>
      <c r="BS106" s="49" t="s">
        <v>648</v>
      </c>
      <c r="BT106" s="49" t="s">
        <v>312</v>
      </c>
      <c r="BU106" s="49" t="s">
        <v>312</v>
      </c>
      <c r="BV106" s="49" t="s">
        <v>303</v>
      </c>
      <c r="BX106" s="0" t="n">
        <v>0</v>
      </c>
      <c r="CC106" s="49" t="s">
        <v>315</v>
      </c>
      <c r="CD106" s="49" t="s">
        <v>303</v>
      </c>
      <c r="CF106" s="49" t="s">
        <v>303</v>
      </c>
      <c r="CG106" s="49" t="s">
        <v>316</v>
      </c>
      <c r="CH106" s="49" t="s">
        <v>317</v>
      </c>
      <c r="CI106" s="49" t="s">
        <v>318</v>
      </c>
      <c r="CM106" s="49" t="s">
        <v>51</v>
      </c>
      <c r="CV106" s="49" t="s">
        <v>303</v>
      </c>
      <c r="DB106" s="49" t="s">
        <v>319</v>
      </c>
      <c r="DD106" s="48" t="n">
        <v>46260</v>
      </c>
      <c r="DF106" s="49" t="s">
        <v>310</v>
      </c>
      <c r="DG106" s="49" t="s">
        <v>320</v>
      </c>
      <c r="DH106" s="49" t="s">
        <v>50</v>
      </c>
      <c r="DI106" s="49" t="s">
        <v>298</v>
      </c>
      <c r="DJ106" s="49" t="s">
        <v>346</v>
      </c>
      <c r="DK106" s="49" t="s">
        <v>322</v>
      </c>
      <c r="DL106" s="49" t="s">
        <v>323</v>
      </c>
      <c r="DM106" s="49" t="s">
        <v>303</v>
      </c>
      <c r="DN106" s="49" t="s">
        <v>297</v>
      </c>
      <c r="DO106" s="48"/>
      <c r="DP106" s="49" t="s">
        <v>312</v>
      </c>
      <c r="DQ106" s="48"/>
      <c r="DR106" s="49" t="s">
        <v>312</v>
      </c>
      <c r="DS106" s="49" t="s">
        <v>303</v>
      </c>
      <c r="DT106" s="49" t="s">
        <v>303</v>
      </c>
      <c r="DW106" s="49" t="s">
        <v>303</v>
      </c>
      <c r="EA106" s="49" t="s">
        <v>324</v>
      </c>
      <c r="EB106" s="49" t="s">
        <v>303</v>
      </c>
      <c r="EH106" s="49" t="s">
        <v>310</v>
      </c>
      <c r="EJ106" s="49" t="s">
        <v>303</v>
      </c>
      <c r="EK106" s="49" t="s">
        <v>649</v>
      </c>
      <c r="EM106" s="49" t="s">
        <v>303</v>
      </c>
      <c r="EN106" s="49" t="s">
        <v>348</v>
      </c>
      <c r="EP106" s="49" t="s">
        <v>298</v>
      </c>
      <c r="EQ106" s="0" t="n">
        <v>1</v>
      </c>
      <c r="ER106" s="49" t="s">
        <v>328</v>
      </c>
      <c r="ES106" s="49" t="s">
        <v>342</v>
      </c>
      <c r="ET106" s="49" t="s">
        <v>310</v>
      </c>
      <c r="EU106" s="49" t="s">
        <v>310</v>
      </c>
      <c r="EV106" s="49" t="s">
        <v>310</v>
      </c>
      <c r="EX106" s="49" t="s">
        <v>303</v>
      </c>
      <c r="EY106" s="49" t="s">
        <v>303</v>
      </c>
      <c r="FC106" s="49" t="s">
        <v>330</v>
      </c>
      <c r="FD106" s="49" t="s">
        <v>310</v>
      </c>
      <c r="FE106" s="49" t="s">
        <v>310</v>
      </c>
      <c r="FF106" s="49" t="s">
        <v>50</v>
      </c>
      <c r="FG106" s="49" t="s">
        <v>349</v>
      </c>
      <c r="FH106" s="49" t="s">
        <v>310</v>
      </c>
      <c r="FI106" s="49" t="s">
        <v>332</v>
      </c>
      <c r="FJ106" s="49" t="s">
        <v>303</v>
      </c>
      <c r="FL106" s="49" t="s">
        <v>325</v>
      </c>
      <c r="FM106" s="49" t="s">
        <v>641</v>
      </c>
      <c r="FP106" s="49" t="s">
        <v>303</v>
      </c>
      <c r="FR106" s="49" t="s">
        <v>303</v>
      </c>
      <c r="FT106" s="49" t="s">
        <v>325</v>
      </c>
      <c r="FU106" s="49" t="s">
        <v>325</v>
      </c>
      <c r="FW106" s="49" t="s">
        <v>333</v>
      </c>
    </row>
    <row r="107" customFormat="false" ht="15" hidden="false" customHeight="false" outlineLevel="0" collapsed="false">
      <c r="A107" s="0" t="n">
        <v>100879969</v>
      </c>
      <c r="B107" s="0" t="s">
        <v>295</v>
      </c>
      <c r="C107" s="0" t="s">
        <v>50</v>
      </c>
      <c r="D107" s="0" t="s">
        <v>51</v>
      </c>
      <c r="E107" s="0" t="s">
        <v>297</v>
      </c>
      <c r="G107" s="0" t="n">
        <v>1</v>
      </c>
      <c r="H107" s="0" t="s">
        <v>298</v>
      </c>
      <c r="I107" s="48" t="n">
        <v>46296</v>
      </c>
      <c r="J107" s="0" t="n">
        <v>0</v>
      </c>
      <c r="K107" s="49" t="s">
        <v>641</v>
      </c>
      <c r="L107" s="49" t="s">
        <v>335</v>
      </c>
      <c r="M107" s="48"/>
      <c r="O107" s="49" t="s">
        <v>445</v>
      </c>
      <c r="P107" s="48"/>
      <c r="Q107" s="48" t="n">
        <v>46296</v>
      </c>
      <c r="R107" s="48" t="n">
        <v>46302</v>
      </c>
      <c r="T107" s="49" t="s">
        <v>302</v>
      </c>
      <c r="U107" s="49" t="s">
        <v>303</v>
      </c>
      <c r="Y107" s="49" t="s">
        <v>312</v>
      </c>
      <c r="AD107" s="49" t="s">
        <v>305</v>
      </c>
      <c r="AE107" s="48" t="n">
        <v>46260</v>
      </c>
      <c r="AF107" s="49" t="s">
        <v>306</v>
      </c>
      <c r="AG107" s="49" t="s">
        <v>307</v>
      </c>
      <c r="AK107" s="49" t="s">
        <v>303</v>
      </c>
      <c r="AL107" s="49" t="s">
        <v>297</v>
      </c>
      <c r="AO107" s="49" t="s">
        <v>303</v>
      </c>
      <c r="AP107" s="48"/>
      <c r="AR107" s="49" t="s">
        <v>303</v>
      </c>
      <c r="AS107" s="49" t="s">
        <v>306</v>
      </c>
      <c r="AT107" s="49" t="s">
        <v>650</v>
      </c>
      <c r="AV107" s="49" t="s">
        <v>309</v>
      </c>
      <c r="AW107" s="49" t="s">
        <v>310</v>
      </c>
      <c r="AX107" s="49" t="s">
        <v>311</v>
      </c>
      <c r="AY107" s="48"/>
      <c r="AZ107" s="48" t="n">
        <v>46288</v>
      </c>
      <c r="BC107" s="49" t="s">
        <v>303</v>
      </c>
      <c r="BD107" s="48"/>
      <c r="BE107" s="49" t="s">
        <v>312</v>
      </c>
      <c r="BF107" s="49" t="s">
        <v>303</v>
      </c>
      <c r="BG107" s="48"/>
      <c r="BI107" s="48"/>
      <c r="BJ107" s="48" t="n">
        <v>46301</v>
      </c>
      <c r="BK107" s="49" t="s">
        <v>313</v>
      </c>
      <c r="BL107" s="49" t="s">
        <v>313</v>
      </c>
      <c r="BM107" s="49" t="s">
        <v>310</v>
      </c>
      <c r="BN107" s="48"/>
      <c r="BO107" s="48"/>
      <c r="BP107" s="48"/>
      <c r="BQ107" s="49" t="s">
        <v>641</v>
      </c>
      <c r="BR107" s="48" t="n">
        <v>46295</v>
      </c>
      <c r="BS107" s="49" t="s">
        <v>648</v>
      </c>
      <c r="BT107" s="49" t="s">
        <v>312</v>
      </c>
      <c r="BU107" s="49" t="s">
        <v>312</v>
      </c>
      <c r="BV107" s="49" t="s">
        <v>303</v>
      </c>
      <c r="BX107" s="0" t="n">
        <v>0</v>
      </c>
      <c r="CC107" s="49" t="s">
        <v>315</v>
      </c>
      <c r="CD107" s="49" t="s">
        <v>303</v>
      </c>
      <c r="CF107" s="49" t="s">
        <v>303</v>
      </c>
      <c r="CG107" s="49" t="s">
        <v>316</v>
      </c>
      <c r="CH107" s="49" t="s">
        <v>317</v>
      </c>
      <c r="CI107" s="49" t="s">
        <v>318</v>
      </c>
      <c r="CM107" s="49" t="s">
        <v>51</v>
      </c>
      <c r="CV107" s="49" t="s">
        <v>303</v>
      </c>
      <c r="DB107" s="49" t="s">
        <v>319</v>
      </c>
      <c r="DD107" s="48" t="n">
        <v>46260</v>
      </c>
      <c r="DF107" s="49" t="s">
        <v>310</v>
      </c>
      <c r="DG107" s="49" t="s">
        <v>320</v>
      </c>
      <c r="DH107" s="49" t="s">
        <v>50</v>
      </c>
      <c r="DI107" s="49" t="s">
        <v>298</v>
      </c>
      <c r="DJ107" s="49" t="s">
        <v>346</v>
      </c>
      <c r="DK107" s="49" t="s">
        <v>322</v>
      </c>
      <c r="DL107" s="49" t="s">
        <v>323</v>
      </c>
      <c r="DM107" s="49" t="s">
        <v>303</v>
      </c>
      <c r="DN107" s="49" t="s">
        <v>297</v>
      </c>
      <c r="DO107" s="48"/>
      <c r="DP107" s="49" t="s">
        <v>312</v>
      </c>
      <c r="DQ107" s="48"/>
      <c r="DR107" s="49" t="s">
        <v>312</v>
      </c>
      <c r="DS107" s="49" t="s">
        <v>303</v>
      </c>
      <c r="DT107" s="49" t="s">
        <v>303</v>
      </c>
      <c r="DW107" s="49" t="s">
        <v>303</v>
      </c>
      <c r="EA107" s="49" t="s">
        <v>324</v>
      </c>
      <c r="EB107" s="49" t="s">
        <v>303</v>
      </c>
      <c r="EF107" s="49" t="s">
        <v>651</v>
      </c>
      <c r="EH107" s="49" t="s">
        <v>310</v>
      </c>
      <c r="EJ107" s="49" t="s">
        <v>303</v>
      </c>
      <c r="EK107" s="49" t="s">
        <v>652</v>
      </c>
      <c r="EM107" s="49" t="s">
        <v>303</v>
      </c>
      <c r="EN107" s="49" t="s">
        <v>348</v>
      </c>
      <c r="EP107" s="49" t="s">
        <v>298</v>
      </c>
      <c r="EQ107" s="0" t="n">
        <v>1</v>
      </c>
      <c r="ER107" s="49" t="s">
        <v>328</v>
      </c>
      <c r="ES107" s="49" t="s">
        <v>342</v>
      </c>
      <c r="ET107" s="49" t="s">
        <v>310</v>
      </c>
      <c r="EU107" s="49" t="s">
        <v>310</v>
      </c>
      <c r="EV107" s="49" t="s">
        <v>310</v>
      </c>
      <c r="EX107" s="49" t="s">
        <v>303</v>
      </c>
      <c r="EY107" s="49" t="s">
        <v>303</v>
      </c>
      <c r="FC107" s="49" t="s">
        <v>330</v>
      </c>
      <c r="FD107" s="49" t="s">
        <v>310</v>
      </c>
      <c r="FE107" s="49" t="s">
        <v>310</v>
      </c>
      <c r="FF107" s="49" t="s">
        <v>50</v>
      </c>
      <c r="FG107" s="49" t="s">
        <v>349</v>
      </c>
      <c r="FH107" s="49" t="s">
        <v>310</v>
      </c>
      <c r="FI107" s="49" t="s">
        <v>332</v>
      </c>
      <c r="FJ107" s="49" t="s">
        <v>303</v>
      </c>
      <c r="FL107" s="49" t="s">
        <v>325</v>
      </c>
      <c r="FM107" s="49" t="s">
        <v>641</v>
      </c>
      <c r="FP107" s="49" t="s">
        <v>303</v>
      </c>
      <c r="FR107" s="49" t="s">
        <v>303</v>
      </c>
      <c r="FT107" s="49" t="s">
        <v>325</v>
      </c>
      <c r="FU107" s="49" t="s">
        <v>325</v>
      </c>
      <c r="FW107" s="49" t="s">
        <v>333</v>
      </c>
    </row>
    <row r="108" customFormat="false" ht="15" hidden="false" customHeight="false" outlineLevel="0" collapsed="false">
      <c r="A108" s="0" t="n">
        <v>100879971</v>
      </c>
      <c r="B108" s="0" t="s">
        <v>295</v>
      </c>
      <c r="C108" s="0" t="s">
        <v>56</v>
      </c>
      <c r="D108" s="0" t="s">
        <v>57</v>
      </c>
      <c r="E108" s="0" t="s">
        <v>297</v>
      </c>
      <c r="G108" s="0" t="n">
        <v>1</v>
      </c>
      <c r="H108" s="0" t="s">
        <v>298</v>
      </c>
      <c r="I108" s="48" t="n">
        <v>46296</v>
      </c>
      <c r="J108" s="0" t="n">
        <v>0</v>
      </c>
      <c r="K108" s="49" t="s">
        <v>641</v>
      </c>
      <c r="L108" s="49" t="s">
        <v>335</v>
      </c>
      <c r="M108" s="48" t="n">
        <v>46296</v>
      </c>
      <c r="N108" s="49" t="s">
        <v>335</v>
      </c>
      <c r="O108" s="49" t="s">
        <v>445</v>
      </c>
      <c r="P108" s="48"/>
      <c r="Q108" s="48" t="n">
        <v>46296</v>
      </c>
      <c r="R108" s="48" t="n">
        <v>46303</v>
      </c>
      <c r="T108" s="49" t="s">
        <v>302</v>
      </c>
      <c r="U108" s="49" t="s">
        <v>303</v>
      </c>
      <c r="Y108" s="49" t="s">
        <v>653</v>
      </c>
      <c r="AD108" s="49" t="s">
        <v>305</v>
      </c>
      <c r="AE108" s="48" t="n">
        <v>46260</v>
      </c>
      <c r="AF108" s="49" t="s">
        <v>306</v>
      </c>
      <c r="AG108" s="49" t="s">
        <v>307</v>
      </c>
      <c r="AK108" s="49" t="s">
        <v>303</v>
      </c>
      <c r="AL108" s="49" t="s">
        <v>297</v>
      </c>
      <c r="AO108" s="49" t="s">
        <v>303</v>
      </c>
      <c r="AP108" s="48"/>
      <c r="AR108" s="49" t="s">
        <v>303</v>
      </c>
      <c r="AS108" s="49" t="s">
        <v>306</v>
      </c>
      <c r="AT108" s="49" t="s">
        <v>654</v>
      </c>
      <c r="AV108" s="49" t="s">
        <v>309</v>
      </c>
      <c r="AW108" s="49" t="s">
        <v>310</v>
      </c>
      <c r="AX108" s="49" t="s">
        <v>311</v>
      </c>
      <c r="AY108" s="48"/>
      <c r="AZ108" s="48" t="n">
        <v>46288</v>
      </c>
      <c r="BC108" s="49" t="s">
        <v>303</v>
      </c>
      <c r="BD108" s="48"/>
      <c r="BE108" s="49" t="s">
        <v>312</v>
      </c>
      <c r="BF108" s="49" t="s">
        <v>303</v>
      </c>
      <c r="BG108" s="48"/>
      <c r="BI108" s="48"/>
      <c r="BJ108" s="48" t="n">
        <v>46301</v>
      </c>
      <c r="BK108" s="49" t="s">
        <v>312</v>
      </c>
      <c r="BL108" s="49" t="s">
        <v>313</v>
      </c>
      <c r="BM108" s="49" t="s">
        <v>310</v>
      </c>
      <c r="BN108" s="48"/>
      <c r="BO108" s="48"/>
      <c r="BP108" s="48"/>
      <c r="BQ108" s="49" t="s">
        <v>641</v>
      </c>
      <c r="BR108" s="48" t="n">
        <v>46295</v>
      </c>
      <c r="BS108" s="49" t="s">
        <v>655</v>
      </c>
      <c r="BT108" s="49" t="s">
        <v>312</v>
      </c>
      <c r="BU108" s="49" t="s">
        <v>312</v>
      </c>
      <c r="BV108" s="49" t="s">
        <v>303</v>
      </c>
      <c r="BX108" s="0" t="n">
        <v>0</v>
      </c>
      <c r="CC108" s="49" t="s">
        <v>315</v>
      </c>
      <c r="CD108" s="49" t="s">
        <v>303</v>
      </c>
      <c r="CF108" s="49" t="s">
        <v>303</v>
      </c>
      <c r="CG108" s="49" t="s">
        <v>316</v>
      </c>
      <c r="CH108" s="49" t="s">
        <v>317</v>
      </c>
      <c r="CI108" s="49" t="s">
        <v>318</v>
      </c>
      <c r="CM108" s="49" t="s">
        <v>57</v>
      </c>
      <c r="CV108" s="49" t="s">
        <v>303</v>
      </c>
      <c r="DB108" s="49" t="s">
        <v>319</v>
      </c>
      <c r="DD108" s="48" t="n">
        <v>46260</v>
      </c>
      <c r="DF108" s="49" t="s">
        <v>310</v>
      </c>
      <c r="DG108" s="49" t="s">
        <v>320</v>
      </c>
      <c r="DH108" s="49" t="s">
        <v>56</v>
      </c>
      <c r="DI108" s="49" t="s">
        <v>298</v>
      </c>
      <c r="DJ108" s="49" t="s">
        <v>367</v>
      </c>
      <c r="DK108" s="49" t="s">
        <v>322</v>
      </c>
      <c r="DL108" s="49" t="s">
        <v>323</v>
      </c>
      <c r="DM108" s="49" t="s">
        <v>303</v>
      </c>
      <c r="DN108" s="49" t="s">
        <v>297</v>
      </c>
      <c r="DO108" s="48"/>
      <c r="DP108" s="49" t="s">
        <v>312</v>
      </c>
      <c r="DQ108" s="48"/>
      <c r="DR108" s="49" t="s">
        <v>312</v>
      </c>
      <c r="DS108" s="49" t="s">
        <v>303</v>
      </c>
      <c r="DT108" s="49" t="s">
        <v>303</v>
      </c>
      <c r="DW108" s="49" t="s">
        <v>303</v>
      </c>
      <c r="EA108" s="49" t="s">
        <v>324</v>
      </c>
      <c r="EB108" s="49" t="s">
        <v>303</v>
      </c>
      <c r="EH108" s="49" t="s">
        <v>310</v>
      </c>
      <c r="EJ108" s="49" t="s">
        <v>303</v>
      </c>
      <c r="EK108" s="49" t="s">
        <v>656</v>
      </c>
      <c r="EM108" s="49" t="s">
        <v>303</v>
      </c>
      <c r="EN108" s="49" t="s">
        <v>369</v>
      </c>
      <c r="EP108" s="49" t="s">
        <v>298</v>
      </c>
      <c r="EQ108" s="0" t="n">
        <v>1</v>
      </c>
      <c r="ER108" s="49" t="s">
        <v>328</v>
      </c>
      <c r="ES108" s="49" t="s">
        <v>342</v>
      </c>
      <c r="ET108" s="49" t="s">
        <v>310</v>
      </c>
      <c r="EU108" s="49" t="s">
        <v>310</v>
      </c>
      <c r="EV108" s="49" t="s">
        <v>310</v>
      </c>
      <c r="EX108" s="49" t="s">
        <v>303</v>
      </c>
      <c r="EY108" s="49" t="s">
        <v>303</v>
      </c>
      <c r="FC108" s="49" t="s">
        <v>330</v>
      </c>
      <c r="FD108" s="49" t="s">
        <v>310</v>
      </c>
      <c r="FE108" s="49" t="s">
        <v>310</v>
      </c>
      <c r="FF108" s="49" t="s">
        <v>56</v>
      </c>
      <c r="FG108" s="49" t="s">
        <v>370</v>
      </c>
      <c r="FH108" s="49" t="s">
        <v>310</v>
      </c>
      <c r="FI108" s="49" t="s">
        <v>332</v>
      </c>
      <c r="FJ108" s="49" t="s">
        <v>303</v>
      </c>
      <c r="FL108" s="49" t="s">
        <v>325</v>
      </c>
      <c r="FM108" s="49" t="s">
        <v>641</v>
      </c>
      <c r="FP108" s="49" t="s">
        <v>303</v>
      </c>
      <c r="FR108" s="49" t="s">
        <v>303</v>
      </c>
      <c r="FT108" s="49" t="s">
        <v>325</v>
      </c>
      <c r="FU108" s="49" t="s">
        <v>325</v>
      </c>
      <c r="FW108" s="49" t="s">
        <v>333</v>
      </c>
    </row>
    <row r="109" customFormat="false" ht="15" hidden="false" customHeight="false" outlineLevel="0" collapsed="false">
      <c r="A109" s="0" t="n">
        <v>100879972</v>
      </c>
      <c r="B109" s="0" t="s">
        <v>295</v>
      </c>
      <c r="C109" s="0" t="s">
        <v>58</v>
      </c>
      <c r="D109" s="0" t="s">
        <v>59</v>
      </c>
      <c r="E109" s="0" t="s">
        <v>297</v>
      </c>
      <c r="G109" s="0" t="n">
        <v>1</v>
      </c>
      <c r="H109" s="0" t="s">
        <v>298</v>
      </c>
      <c r="I109" s="48" t="n">
        <v>46296</v>
      </c>
      <c r="J109" s="0" t="n">
        <v>0</v>
      </c>
      <c r="K109" s="49" t="s">
        <v>641</v>
      </c>
      <c r="L109" s="49" t="s">
        <v>335</v>
      </c>
      <c r="M109" s="48" t="n">
        <v>46296</v>
      </c>
      <c r="N109" s="49" t="s">
        <v>335</v>
      </c>
      <c r="O109" s="49" t="s">
        <v>445</v>
      </c>
      <c r="P109" s="48"/>
      <c r="Q109" s="48" t="n">
        <v>46296</v>
      </c>
      <c r="R109" s="48" t="n">
        <v>46303</v>
      </c>
      <c r="T109" s="49" t="s">
        <v>302</v>
      </c>
      <c r="U109" s="49" t="s">
        <v>303</v>
      </c>
      <c r="Y109" s="49" t="s">
        <v>657</v>
      </c>
      <c r="AD109" s="49" t="s">
        <v>305</v>
      </c>
      <c r="AE109" s="48" t="n">
        <v>46260</v>
      </c>
      <c r="AF109" s="49" t="s">
        <v>306</v>
      </c>
      <c r="AG109" s="49" t="s">
        <v>307</v>
      </c>
      <c r="AK109" s="49" t="s">
        <v>303</v>
      </c>
      <c r="AL109" s="49" t="s">
        <v>297</v>
      </c>
      <c r="AO109" s="49" t="s">
        <v>303</v>
      </c>
      <c r="AP109" s="48"/>
      <c r="AR109" s="49" t="s">
        <v>303</v>
      </c>
      <c r="AS109" s="49" t="s">
        <v>306</v>
      </c>
      <c r="AT109" s="49" t="s">
        <v>658</v>
      </c>
      <c r="AV109" s="49" t="s">
        <v>309</v>
      </c>
      <c r="AW109" s="49" t="s">
        <v>310</v>
      </c>
      <c r="AX109" s="49" t="s">
        <v>311</v>
      </c>
      <c r="AY109" s="48"/>
      <c r="AZ109" s="48" t="n">
        <v>46288</v>
      </c>
      <c r="BC109" s="49" t="s">
        <v>303</v>
      </c>
      <c r="BD109" s="48"/>
      <c r="BE109" s="49" t="s">
        <v>312</v>
      </c>
      <c r="BF109" s="49" t="s">
        <v>303</v>
      </c>
      <c r="BG109" s="48"/>
      <c r="BI109" s="48"/>
      <c r="BJ109" s="48" t="n">
        <v>46301</v>
      </c>
      <c r="BK109" s="49" t="s">
        <v>312</v>
      </c>
      <c r="BL109" s="49" t="s">
        <v>313</v>
      </c>
      <c r="BM109" s="49" t="s">
        <v>310</v>
      </c>
      <c r="BN109" s="48"/>
      <c r="BO109" s="48"/>
      <c r="BP109" s="48"/>
      <c r="BQ109" s="49" t="s">
        <v>641</v>
      </c>
      <c r="BR109" s="48" t="n">
        <v>46295</v>
      </c>
      <c r="BS109" s="49" t="s">
        <v>655</v>
      </c>
      <c r="BT109" s="49" t="s">
        <v>312</v>
      </c>
      <c r="BU109" s="49" t="s">
        <v>312</v>
      </c>
      <c r="BV109" s="49" t="s">
        <v>303</v>
      </c>
      <c r="BX109" s="0" t="n">
        <v>0</v>
      </c>
      <c r="CC109" s="49" t="s">
        <v>315</v>
      </c>
      <c r="CD109" s="49" t="s">
        <v>303</v>
      </c>
      <c r="CF109" s="49" t="s">
        <v>303</v>
      </c>
      <c r="CG109" s="49" t="s">
        <v>316</v>
      </c>
      <c r="CH109" s="49" t="s">
        <v>317</v>
      </c>
      <c r="CI109" s="49" t="s">
        <v>318</v>
      </c>
      <c r="CM109" s="49" t="s">
        <v>59</v>
      </c>
      <c r="CV109" s="49" t="s">
        <v>303</v>
      </c>
      <c r="DB109" s="49" t="s">
        <v>319</v>
      </c>
      <c r="DD109" s="48" t="n">
        <v>46260</v>
      </c>
      <c r="DF109" s="49" t="s">
        <v>310</v>
      </c>
      <c r="DG109" s="49" t="s">
        <v>320</v>
      </c>
      <c r="DH109" s="49" t="s">
        <v>58</v>
      </c>
      <c r="DI109" s="49" t="s">
        <v>298</v>
      </c>
      <c r="DJ109" s="49" t="s">
        <v>367</v>
      </c>
      <c r="DK109" s="49" t="s">
        <v>322</v>
      </c>
      <c r="DL109" s="49" t="s">
        <v>323</v>
      </c>
      <c r="DM109" s="49" t="s">
        <v>303</v>
      </c>
      <c r="DN109" s="49" t="s">
        <v>297</v>
      </c>
      <c r="DO109" s="48"/>
      <c r="DP109" s="49" t="s">
        <v>312</v>
      </c>
      <c r="DQ109" s="48"/>
      <c r="DR109" s="49" t="s">
        <v>312</v>
      </c>
      <c r="DS109" s="49" t="s">
        <v>303</v>
      </c>
      <c r="DT109" s="49" t="s">
        <v>303</v>
      </c>
      <c r="DW109" s="49" t="s">
        <v>303</v>
      </c>
      <c r="EA109" s="49" t="s">
        <v>324</v>
      </c>
      <c r="EB109" s="49" t="s">
        <v>303</v>
      </c>
      <c r="EH109" s="49" t="s">
        <v>310</v>
      </c>
      <c r="EJ109" s="49" t="s">
        <v>303</v>
      </c>
      <c r="EK109" s="49" t="s">
        <v>659</v>
      </c>
      <c r="EM109" s="49" t="s">
        <v>303</v>
      </c>
      <c r="EN109" s="49" t="s">
        <v>374</v>
      </c>
      <c r="EP109" s="49" t="s">
        <v>298</v>
      </c>
      <c r="EQ109" s="0" t="n">
        <v>1</v>
      </c>
      <c r="ER109" s="49" t="s">
        <v>328</v>
      </c>
      <c r="ES109" s="49" t="s">
        <v>342</v>
      </c>
      <c r="ET109" s="49" t="s">
        <v>310</v>
      </c>
      <c r="EU109" s="49" t="s">
        <v>310</v>
      </c>
      <c r="EV109" s="49" t="s">
        <v>310</v>
      </c>
      <c r="EX109" s="49" t="s">
        <v>303</v>
      </c>
      <c r="EY109" s="49" t="s">
        <v>303</v>
      </c>
      <c r="FC109" s="49" t="s">
        <v>330</v>
      </c>
      <c r="FD109" s="49" t="s">
        <v>310</v>
      </c>
      <c r="FE109" s="49" t="s">
        <v>310</v>
      </c>
      <c r="FF109" s="49" t="s">
        <v>58</v>
      </c>
      <c r="FG109" s="49" t="s">
        <v>375</v>
      </c>
      <c r="FH109" s="49" t="s">
        <v>310</v>
      </c>
      <c r="FI109" s="49" t="s">
        <v>332</v>
      </c>
      <c r="FJ109" s="49" t="s">
        <v>303</v>
      </c>
      <c r="FL109" s="49" t="s">
        <v>325</v>
      </c>
      <c r="FM109" s="49" t="s">
        <v>641</v>
      </c>
      <c r="FP109" s="49" t="s">
        <v>303</v>
      </c>
      <c r="FR109" s="49" t="s">
        <v>303</v>
      </c>
      <c r="FT109" s="49" t="s">
        <v>325</v>
      </c>
      <c r="FU109" s="49" t="s">
        <v>325</v>
      </c>
      <c r="FW109" s="49" t="s">
        <v>333</v>
      </c>
    </row>
    <row r="110" customFormat="false" ht="15" hidden="false" customHeight="false" outlineLevel="0" collapsed="false">
      <c r="A110" s="0" t="n">
        <v>100879973</v>
      </c>
      <c r="B110" s="0" t="s">
        <v>295</v>
      </c>
      <c r="C110" s="0" t="s">
        <v>58</v>
      </c>
      <c r="D110" s="0" t="s">
        <v>59</v>
      </c>
      <c r="E110" s="0" t="s">
        <v>297</v>
      </c>
      <c r="G110" s="0" t="n">
        <v>1</v>
      </c>
      <c r="H110" s="0" t="s">
        <v>298</v>
      </c>
      <c r="I110" s="48" t="n">
        <v>46296</v>
      </c>
      <c r="J110" s="0" t="n">
        <v>0</v>
      </c>
      <c r="K110" s="49" t="s">
        <v>641</v>
      </c>
      <c r="L110" s="49" t="s">
        <v>335</v>
      </c>
      <c r="M110" s="48"/>
      <c r="O110" s="49" t="s">
        <v>445</v>
      </c>
      <c r="P110" s="48"/>
      <c r="Q110" s="48" t="n">
        <v>46296</v>
      </c>
      <c r="R110" s="48" t="n">
        <v>46302</v>
      </c>
      <c r="T110" s="49" t="s">
        <v>302</v>
      </c>
      <c r="U110" s="49" t="s">
        <v>303</v>
      </c>
      <c r="Y110" s="49" t="s">
        <v>312</v>
      </c>
      <c r="AD110" s="49" t="s">
        <v>305</v>
      </c>
      <c r="AE110" s="48" t="n">
        <v>46260</v>
      </c>
      <c r="AF110" s="49" t="s">
        <v>306</v>
      </c>
      <c r="AG110" s="49" t="s">
        <v>307</v>
      </c>
      <c r="AK110" s="49" t="s">
        <v>303</v>
      </c>
      <c r="AL110" s="49" t="s">
        <v>297</v>
      </c>
      <c r="AO110" s="49" t="s">
        <v>303</v>
      </c>
      <c r="AP110" s="48"/>
      <c r="AR110" s="49" t="s">
        <v>303</v>
      </c>
      <c r="AS110" s="49" t="s">
        <v>306</v>
      </c>
      <c r="AT110" s="49" t="s">
        <v>660</v>
      </c>
      <c r="AV110" s="49" t="s">
        <v>309</v>
      </c>
      <c r="AW110" s="49" t="s">
        <v>310</v>
      </c>
      <c r="AX110" s="49" t="s">
        <v>311</v>
      </c>
      <c r="AY110" s="48"/>
      <c r="AZ110" s="48" t="n">
        <v>46288</v>
      </c>
      <c r="BC110" s="49" t="s">
        <v>303</v>
      </c>
      <c r="BD110" s="48"/>
      <c r="BE110" s="49" t="s">
        <v>312</v>
      </c>
      <c r="BF110" s="49" t="s">
        <v>303</v>
      </c>
      <c r="BG110" s="48"/>
      <c r="BI110" s="48"/>
      <c r="BJ110" s="48" t="n">
        <v>46301</v>
      </c>
      <c r="BK110" s="49" t="s">
        <v>313</v>
      </c>
      <c r="BL110" s="49" t="s">
        <v>313</v>
      </c>
      <c r="BM110" s="49" t="s">
        <v>310</v>
      </c>
      <c r="BN110" s="48"/>
      <c r="BO110" s="48"/>
      <c r="BP110" s="48"/>
      <c r="BQ110" s="49" t="s">
        <v>641</v>
      </c>
      <c r="BR110" s="48" t="n">
        <v>46295</v>
      </c>
      <c r="BS110" s="49" t="s">
        <v>661</v>
      </c>
      <c r="BT110" s="49" t="s">
        <v>312</v>
      </c>
      <c r="BU110" s="49" t="s">
        <v>312</v>
      </c>
      <c r="BV110" s="49" t="s">
        <v>303</v>
      </c>
      <c r="BX110" s="0" t="n">
        <v>0</v>
      </c>
      <c r="CC110" s="49" t="s">
        <v>315</v>
      </c>
      <c r="CD110" s="49" t="s">
        <v>303</v>
      </c>
      <c r="CF110" s="49" t="s">
        <v>303</v>
      </c>
      <c r="CG110" s="49" t="s">
        <v>316</v>
      </c>
      <c r="CH110" s="49" t="s">
        <v>317</v>
      </c>
      <c r="CI110" s="49" t="s">
        <v>318</v>
      </c>
      <c r="CM110" s="49" t="s">
        <v>59</v>
      </c>
      <c r="CV110" s="49" t="s">
        <v>303</v>
      </c>
      <c r="DB110" s="49" t="s">
        <v>319</v>
      </c>
      <c r="DD110" s="48" t="n">
        <v>46260</v>
      </c>
      <c r="DF110" s="49" t="s">
        <v>310</v>
      </c>
      <c r="DG110" s="49" t="s">
        <v>320</v>
      </c>
      <c r="DH110" s="49" t="s">
        <v>58</v>
      </c>
      <c r="DI110" s="49" t="s">
        <v>298</v>
      </c>
      <c r="DJ110" s="49" t="s">
        <v>367</v>
      </c>
      <c r="DK110" s="49" t="s">
        <v>322</v>
      </c>
      <c r="DL110" s="49" t="s">
        <v>323</v>
      </c>
      <c r="DM110" s="49" t="s">
        <v>303</v>
      </c>
      <c r="DN110" s="49" t="s">
        <v>297</v>
      </c>
      <c r="DO110" s="48"/>
      <c r="DP110" s="49" t="s">
        <v>312</v>
      </c>
      <c r="DQ110" s="48"/>
      <c r="DR110" s="49" t="s">
        <v>312</v>
      </c>
      <c r="DS110" s="49" t="s">
        <v>303</v>
      </c>
      <c r="DT110" s="49" t="s">
        <v>303</v>
      </c>
      <c r="DW110" s="49" t="s">
        <v>303</v>
      </c>
      <c r="EA110" s="49" t="s">
        <v>324</v>
      </c>
      <c r="EB110" s="49" t="s">
        <v>303</v>
      </c>
      <c r="EF110" s="49" t="s">
        <v>662</v>
      </c>
      <c r="EH110" s="49" t="s">
        <v>310</v>
      </c>
      <c r="EJ110" s="49" t="s">
        <v>303</v>
      </c>
      <c r="EK110" s="49" t="s">
        <v>663</v>
      </c>
      <c r="EM110" s="49" t="s">
        <v>303</v>
      </c>
      <c r="EN110" s="49" t="s">
        <v>374</v>
      </c>
      <c r="EP110" s="49" t="s">
        <v>298</v>
      </c>
      <c r="EQ110" s="0" t="n">
        <v>1</v>
      </c>
      <c r="ER110" s="49" t="s">
        <v>328</v>
      </c>
      <c r="ES110" s="49" t="s">
        <v>342</v>
      </c>
      <c r="ET110" s="49" t="s">
        <v>310</v>
      </c>
      <c r="EU110" s="49" t="s">
        <v>310</v>
      </c>
      <c r="EV110" s="49" t="s">
        <v>310</v>
      </c>
      <c r="EX110" s="49" t="s">
        <v>303</v>
      </c>
      <c r="EY110" s="49" t="s">
        <v>303</v>
      </c>
      <c r="FC110" s="49" t="s">
        <v>330</v>
      </c>
      <c r="FD110" s="49" t="s">
        <v>310</v>
      </c>
      <c r="FE110" s="49" t="s">
        <v>310</v>
      </c>
      <c r="FF110" s="49" t="s">
        <v>58</v>
      </c>
      <c r="FG110" s="49" t="s">
        <v>375</v>
      </c>
      <c r="FH110" s="49" t="s">
        <v>310</v>
      </c>
      <c r="FI110" s="49" t="s">
        <v>332</v>
      </c>
      <c r="FJ110" s="49" t="s">
        <v>303</v>
      </c>
      <c r="FL110" s="49" t="s">
        <v>325</v>
      </c>
      <c r="FM110" s="49" t="s">
        <v>641</v>
      </c>
      <c r="FP110" s="49" t="s">
        <v>303</v>
      </c>
      <c r="FR110" s="49" t="s">
        <v>303</v>
      </c>
      <c r="FT110" s="49" t="s">
        <v>325</v>
      </c>
      <c r="FU110" s="49" t="s">
        <v>325</v>
      </c>
      <c r="FW110" s="49" t="s">
        <v>333</v>
      </c>
    </row>
    <row r="111" customFormat="false" ht="15" hidden="false" customHeight="false" outlineLevel="0" collapsed="false">
      <c r="A111" s="0" t="n">
        <v>100879978</v>
      </c>
      <c r="B111" s="0" t="s">
        <v>295</v>
      </c>
      <c r="C111" s="0" t="s">
        <v>61</v>
      </c>
      <c r="D111" s="0" t="s">
        <v>62</v>
      </c>
      <c r="E111" s="0" t="s">
        <v>297</v>
      </c>
      <c r="G111" s="0" t="n">
        <v>1</v>
      </c>
      <c r="H111" s="0" t="s">
        <v>298</v>
      </c>
      <c r="I111" s="48" t="n">
        <v>46296</v>
      </c>
      <c r="J111" s="0" t="n">
        <v>0</v>
      </c>
      <c r="K111" s="49" t="s">
        <v>641</v>
      </c>
      <c r="L111" s="49" t="s">
        <v>335</v>
      </c>
      <c r="M111" s="48" t="n">
        <v>46296</v>
      </c>
      <c r="N111" s="49" t="s">
        <v>335</v>
      </c>
      <c r="O111" s="49" t="s">
        <v>445</v>
      </c>
      <c r="P111" s="48"/>
      <c r="Q111" s="48" t="n">
        <v>46296</v>
      </c>
      <c r="R111" s="48" t="n">
        <v>46303</v>
      </c>
      <c r="T111" s="49" t="s">
        <v>302</v>
      </c>
      <c r="U111" s="49" t="s">
        <v>303</v>
      </c>
      <c r="Y111" s="49" t="s">
        <v>664</v>
      </c>
      <c r="AD111" s="49" t="s">
        <v>305</v>
      </c>
      <c r="AE111" s="48" t="n">
        <v>46260</v>
      </c>
      <c r="AF111" s="49" t="s">
        <v>306</v>
      </c>
      <c r="AG111" s="49" t="s">
        <v>307</v>
      </c>
      <c r="AK111" s="49" t="s">
        <v>303</v>
      </c>
      <c r="AL111" s="49" t="s">
        <v>297</v>
      </c>
      <c r="AO111" s="49" t="s">
        <v>303</v>
      </c>
      <c r="AP111" s="48"/>
      <c r="AR111" s="49" t="s">
        <v>303</v>
      </c>
      <c r="AS111" s="49" t="s">
        <v>306</v>
      </c>
      <c r="AT111" s="49" t="s">
        <v>665</v>
      </c>
      <c r="AV111" s="49" t="s">
        <v>309</v>
      </c>
      <c r="AW111" s="49" t="s">
        <v>310</v>
      </c>
      <c r="AX111" s="49" t="s">
        <v>311</v>
      </c>
      <c r="AY111" s="48"/>
      <c r="AZ111" s="48" t="n">
        <v>46294</v>
      </c>
      <c r="BC111" s="49" t="s">
        <v>303</v>
      </c>
      <c r="BD111" s="48"/>
      <c r="BE111" s="49" t="s">
        <v>312</v>
      </c>
      <c r="BF111" s="49" t="s">
        <v>303</v>
      </c>
      <c r="BG111" s="48"/>
      <c r="BI111" s="48"/>
      <c r="BJ111" s="48" t="n">
        <v>46301</v>
      </c>
      <c r="BK111" s="49" t="s">
        <v>312</v>
      </c>
      <c r="BL111" s="49" t="s">
        <v>313</v>
      </c>
      <c r="BM111" s="49" t="s">
        <v>310</v>
      </c>
      <c r="BN111" s="48"/>
      <c r="BO111" s="48"/>
      <c r="BP111" s="48"/>
      <c r="BQ111" s="49" t="s">
        <v>641</v>
      </c>
      <c r="BR111" s="48" t="n">
        <v>46301</v>
      </c>
      <c r="BS111" s="49" t="s">
        <v>666</v>
      </c>
      <c r="BT111" s="49" t="s">
        <v>312</v>
      </c>
      <c r="BU111" s="49" t="s">
        <v>313</v>
      </c>
      <c r="BV111" s="49" t="s">
        <v>303</v>
      </c>
      <c r="BX111" s="0" t="n">
        <v>0</v>
      </c>
      <c r="CC111" s="49" t="s">
        <v>315</v>
      </c>
      <c r="CD111" s="49" t="s">
        <v>303</v>
      </c>
      <c r="CF111" s="49" t="s">
        <v>303</v>
      </c>
      <c r="CG111" s="49" t="s">
        <v>316</v>
      </c>
      <c r="CH111" s="49" t="s">
        <v>317</v>
      </c>
      <c r="CI111" s="49" t="s">
        <v>318</v>
      </c>
      <c r="CM111" s="49" t="s">
        <v>62</v>
      </c>
      <c r="CV111" s="49" t="s">
        <v>303</v>
      </c>
      <c r="DB111" s="49" t="s">
        <v>319</v>
      </c>
      <c r="DD111" s="48" t="n">
        <v>46260</v>
      </c>
      <c r="DF111" s="49" t="s">
        <v>310</v>
      </c>
      <c r="DG111" s="49" t="s">
        <v>320</v>
      </c>
      <c r="DH111" s="49" t="s">
        <v>61</v>
      </c>
      <c r="DI111" s="49" t="s">
        <v>298</v>
      </c>
      <c r="DJ111" s="49" t="s">
        <v>381</v>
      </c>
      <c r="DK111" s="49" t="s">
        <v>322</v>
      </c>
      <c r="DL111" s="49" t="s">
        <v>323</v>
      </c>
      <c r="DM111" s="49" t="s">
        <v>303</v>
      </c>
      <c r="DN111" s="49" t="s">
        <v>297</v>
      </c>
      <c r="DO111" s="48"/>
      <c r="DP111" s="49" t="s">
        <v>312</v>
      </c>
      <c r="DQ111" s="48"/>
      <c r="DR111" s="49" t="s">
        <v>312</v>
      </c>
      <c r="DS111" s="49" t="s">
        <v>303</v>
      </c>
      <c r="DT111" s="49" t="s">
        <v>303</v>
      </c>
      <c r="DW111" s="49" t="s">
        <v>303</v>
      </c>
      <c r="EA111" s="49" t="s">
        <v>324</v>
      </c>
      <c r="EB111" s="49" t="s">
        <v>303</v>
      </c>
      <c r="EH111" s="49" t="s">
        <v>310</v>
      </c>
      <c r="EJ111" s="49" t="s">
        <v>303</v>
      </c>
      <c r="EK111" s="49" t="s">
        <v>667</v>
      </c>
      <c r="EM111" s="49" t="s">
        <v>303</v>
      </c>
      <c r="EN111" s="49" t="s">
        <v>383</v>
      </c>
      <c r="EP111" s="49" t="s">
        <v>298</v>
      </c>
      <c r="EQ111" s="0" t="n">
        <v>1</v>
      </c>
      <c r="ER111" s="49" t="s">
        <v>328</v>
      </c>
      <c r="ES111" s="49" t="s">
        <v>384</v>
      </c>
      <c r="ET111" s="49" t="s">
        <v>310</v>
      </c>
      <c r="EU111" s="49" t="s">
        <v>310</v>
      </c>
      <c r="EV111" s="49" t="s">
        <v>310</v>
      </c>
      <c r="EX111" s="49" t="s">
        <v>303</v>
      </c>
      <c r="EY111" s="49" t="s">
        <v>303</v>
      </c>
      <c r="FC111" s="49" t="s">
        <v>330</v>
      </c>
      <c r="FD111" s="49" t="s">
        <v>310</v>
      </c>
      <c r="FE111" s="49" t="s">
        <v>310</v>
      </c>
      <c r="FF111" s="49" t="s">
        <v>61</v>
      </c>
      <c r="FG111" s="49" t="s">
        <v>385</v>
      </c>
      <c r="FH111" s="49" t="s">
        <v>310</v>
      </c>
      <c r="FI111" s="49" t="s">
        <v>332</v>
      </c>
      <c r="FJ111" s="49" t="s">
        <v>303</v>
      </c>
      <c r="FL111" s="49" t="s">
        <v>325</v>
      </c>
      <c r="FM111" s="49" t="s">
        <v>641</v>
      </c>
      <c r="FP111" s="49" t="s">
        <v>303</v>
      </c>
      <c r="FR111" s="49" t="s">
        <v>303</v>
      </c>
      <c r="FT111" s="49" t="s">
        <v>325</v>
      </c>
      <c r="FU111" s="49" t="s">
        <v>325</v>
      </c>
      <c r="FW111" s="49" t="s">
        <v>333</v>
      </c>
    </row>
    <row r="112" customFormat="false" ht="15" hidden="false" customHeight="false" outlineLevel="0" collapsed="false">
      <c r="A112" s="0" t="n">
        <v>100879979</v>
      </c>
      <c r="B112" s="0" t="s">
        <v>295</v>
      </c>
      <c r="C112" s="0" t="s">
        <v>61</v>
      </c>
      <c r="D112" s="0" t="s">
        <v>62</v>
      </c>
      <c r="E112" s="0" t="s">
        <v>297</v>
      </c>
      <c r="G112" s="0" t="n">
        <v>1</v>
      </c>
      <c r="H112" s="0" t="s">
        <v>298</v>
      </c>
      <c r="I112" s="48" t="n">
        <v>46296</v>
      </c>
      <c r="J112" s="0" t="n">
        <v>0</v>
      </c>
      <c r="K112" s="49" t="s">
        <v>641</v>
      </c>
      <c r="L112" s="49" t="s">
        <v>335</v>
      </c>
      <c r="M112" s="48"/>
      <c r="O112" s="49" t="s">
        <v>445</v>
      </c>
      <c r="P112" s="48"/>
      <c r="Q112" s="48" t="n">
        <v>46296</v>
      </c>
      <c r="R112" s="48" t="n">
        <v>46302</v>
      </c>
      <c r="T112" s="49" t="s">
        <v>302</v>
      </c>
      <c r="U112" s="49" t="s">
        <v>303</v>
      </c>
      <c r="Y112" s="49" t="s">
        <v>312</v>
      </c>
      <c r="AD112" s="49" t="s">
        <v>305</v>
      </c>
      <c r="AE112" s="48" t="n">
        <v>46260</v>
      </c>
      <c r="AF112" s="49" t="s">
        <v>306</v>
      </c>
      <c r="AG112" s="49" t="s">
        <v>307</v>
      </c>
      <c r="AK112" s="49" t="s">
        <v>303</v>
      </c>
      <c r="AL112" s="49" t="s">
        <v>297</v>
      </c>
      <c r="AO112" s="49" t="s">
        <v>303</v>
      </c>
      <c r="AP112" s="48"/>
      <c r="AR112" s="49" t="s">
        <v>303</v>
      </c>
      <c r="AS112" s="49" t="s">
        <v>306</v>
      </c>
      <c r="AT112" s="49" t="s">
        <v>668</v>
      </c>
      <c r="AV112" s="49" t="s">
        <v>309</v>
      </c>
      <c r="AW112" s="49" t="s">
        <v>310</v>
      </c>
      <c r="AX112" s="49" t="s">
        <v>311</v>
      </c>
      <c r="AY112" s="48"/>
      <c r="AZ112" s="48" t="n">
        <v>46294</v>
      </c>
      <c r="BC112" s="49" t="s">
        <v>303</v>
      </c>
      <c r="BD112" s="48"/>
      <c r="BE112" s="49" t="s">
        <v>312</v>
      </c>
      <c r="BF112" s="49" t="s">
        <v>303</v>
      </c>
      <c r="BG112" s="48"/>
      <c r="BI112" s="48"/>
      <c r="BJ112" s="48" t="n">
        <v>46301</v>
      </c>
      <c r="BK112" s="49" t="s">
        <v>313</v>
      </c>
      <c r="BL112" s="49" t="s">
        <v>313</v>
      </c>
      <c r="BM112" s="49" t="s">
        <v>310</v>
      </c>
      <c r="BN112" s="48"/>
      <c r="BO112" s="48"/>
      <c r="BP112" s="48"/>
      <c r="BQ112" s="49" t="s">
        <v>641</v>
      </c>
      <c r="BR112" s="48" t="n">
        <v>46301</v>
      </c>
      <c r="BS112" s="49" t="s">
        <v>669</v>
      </c>
      <c r="BT112" s="49" t="s">
        <v>312</v>
      </c>
      <c r="BU112" s="49" t="s">
        <v>313</v>
      </c>
      <c r="BV112" s="49" t="s">
        <v>303</v>
      </c>
      <c r="BX112" s="0" t="n">
        <v>0</v>
      </c>
      <c r="CC112" s="49" t="s">
        <v>315</v>
      </c>
      <c r="CD112" s="49" t="s">
        <v>303</v>
      </c>
      <c r="CF112" s="49" t="s">
        <v>303</v>
      </c>
      <c r="CG112" s="49" t="s">
        <v>316</v>
      </c>
      <c r="CH112" s="49" t="s">
        <v>317</v>
      </c>
      <c r="CI112" s="49" t="s">
        <v>318</v>
      </c>
      <c r="CM112" s="49" t="s">
        <v>62</v>
      </c>
      <c r="CV112" s="49" t="s">
        <v>303</v>
      </c>
      <c r="DB112" s="49" t="s">
        <v>319</v>
      </c>
      <c r="DD112" s="48" t="n">
        <v>46260</v>
      </c>
      <c r="DF112" s="49" t="s">
        <v>310</v>
      </c>
      <c r="DG112" s="49" t="s">
        <v>320</v>
      </c>
      <c r="DH112" s="49" t="s">
        <v>61</v>
      </c>
      <c r="DI112" s="49" t="s">
        <v>298</v>
      </c>
      <c r="DJ112" s="49" t="s">
        <v>381</v>
      </c>
      <c r="DK112" s="49" t="s">
        <v>322</v>
      </c>
      <c r="DL112" s="49" t="s">
        <v>323</v>
      </c>
      <c r="DM112" s="49" t="s">
        <v>303</v>
      </c>
      <c r="DN112" s="49" t="s">
        <v>297</v>
      </c>
      <c r="DO112" s="48"/>
      <c r="DP112" s="49" t="s">
        <v>312</v>
      </c>
      <c r="DQ112" s="48"/>
      <c r="DR112" s="49" t="s">
        <v>312</v>
      </c>
      <c r="DS112" s="49" t="s">
        <v>303</v>
      </c>
      <c r="DT112" s="49" t="s">
        <v>303</v>
      </c>
      <c r="DW112" s="49" t="s">
        <v>303</v>
      </c>
      <c r="EA112" s="49" t="s">
        <v>324</v>
      </c>
      <c r="EB112" s="49" t="s">
        <v>303</v>
      </c>
      <c r="EF112" s="49" t="s">
        <v>670</v>
      </c>
      <c r="EH112" s="49" t="s">
        <v>310</v>
      </c>
      <c r="EJ112" s="49" t="s">
        <v>303</v>
      </c>
      <c r="EK112" s="49" t="s">
        <v>671</v>
      </c>
      <c r="EM112" s="49" t="s">
        <v>303</v>
      </c>
      <c r="EN112" s="49" t="s">
        <v>383</v>
      </c>
      <c r="EP112" s="49" t="s">
        <v>298</v>
      </c>
      <c r="EQ112" s="0" t="n">
        <v>1</v>
      </c>
      <c r="ER112" s="49" t="s">
        <v>328</v>
      </c>
      <c r="ES112" s="49" t="s">
        <v>384</v>
      </c>
      <c r="ET112" s="49" t="s">
        <v>310</v>
      </c>
      <c r="EU112" s="49" t="s">
        <v>310</v>
      </c>
      <c r="EV112" s="49" t="s">
        <v>310</v>
      </c>
      <c r="EX112" s="49" t="s">
        <v>303</v>
      </c>
      <c r="EY112" s="49" t="s">
        <v>303</v>
      </c>
      <c r="FC112" s="49" t="s">
        <v>330</v>
      </c>
      <c r="FD112" s="49" t="s">
        <v>310</v>
      </c>
      <c r="FE112" s="49" t="s">
        <v>310</v>
      </c>
      <c r="FF112" s="49" t="s">
        <v>61</v>
      </c>
      <c r="FG112" s="49" t="s">
        <v>385</v>
      </c>
      <c r="FH112" s="49" t="s">
        <v>310</v>
      </c>
      <c r="FI112" s="49" t="s">
        <v>332</v>
      </c>
      <c r="FJ112" s="49" t="s">
        <v>303</v>
      </c>
      <c r="FL112" s="49" t="s">
        <v>325</v>
      </c>
      <c r="FM112" s="49" t="s">
        <v>641</v>
      </c>
      <c r="FP112" s="49" t="s">
        <v>303</v>
      </c>
      <c r="FR112" s="49" t="s">
        <v>303</v>
      </c>
      <c r="FT112" s="49" t="s">
        <v>325</v>
      </c>
      <c r="FU112" s="49" t="s">
        <v>325</v>
      </c>
      <c r="FW112" s="49" t="s">
        <v>333</v>
      </c>
    </row>
    <row r="113" customFormat="false" ht="15" hidden="false" customHeight="false" outlineLevel="0" collapsed="false">
      <c r="A113" s="0" t="n">
        <v>100879980</v>
      </c>
      <c r="B113" s="0" t="s">
        <v>295</v>
      </c>
      <c r="C113" s="0" t="s">
        <v>61</v>
      </c>
      <c r="D113" s="0" t="s">
        <v>62</v>
      </c>
      <c r="E113" s="0" t="s">
        <v>297</v>
      </c>
      <c r="G113" s="0" t="n">
        <v>1</v>
      </c>
      <c r="H113" s="0" t="s">
        <v>298</v>
      </c>
      <c r="I113" s="48" t="n">
        <v>46296</v>
      </c>
      <c r="J113" s="0" t="n">
        <v>0</v>
      </c>
      <c r="K113" s="49" t="s">
        <v>641</v>
      </c>
      <c r="L113" s="49" t="s">
        <v>335</v>
      </c>
      <c r="M113" s="48"/>
      <c r="O113" s="49" t="s">
        <v>445</v>
      </c>
      <c r="P113" s="48"/>
      <c r="Q113" s="48" t="n">
        <v>46296</v>
      </c>
      <c r="R113" s="48" t="n">
        <v>46302</v>
      </c>
      <c r="T113" s="49" t="s">
        <v>302</v>
      </c>
      <c r="U113" s="49" t="s">
        <v>303</v>
      </c>
      <c r="Y113" s="49" t="s">
        <v>312</v>
      </c>
      <c r="AD113" s="49" t="s">
        <v>305</v>
      </c>
      <c r="AE113" s="48" t="n">
        <v>46260</v>
      </c>
      <c r="AF113" s="49" t="s">
        <v>306</v>
      </c>
      <c r="AG113" s="49" t="s">
        <v>307</v>
      </c>
      <c r="AK113" s="49" t="s">
        <v>303</v>
      </c>
      <c r="AL113" s="49" t="s">
        <v>297</v>
      </c>
      <c r="AO113" s="49" t="s">
        <v>303</v>
      </c>
      <c r="AP113" s="48"/>
      <c r="AR113" s="49" t="s">
        <v>303</v>
      </c>
      <c r="AS113" s="49" t="s">
        <v>306</v>
      </c>
      <c r="AT113" s="49" t="s">
        <v>672</v>
      </c>
      <c r="AV113" s="49" t="s">
        <v>309</v>
      </c>
      <c r="AW113" s="49" t="s">
        <v>310</v>
      </c>
      <c r="AX113" s="49" t="s">
        <v>311</v>
      </c>
      <c r="AY113" s="48"/>
      <c r="AZ113" s="48" t="n">
        <v>46294</v>
      </c>
      <c r="BC113" s="49" t="s">
        <v>303</v>
      </c>
      <c r="BD113" s="48"/>
      <c r="BE113" s="49" t="s">
        <v>312</v>
      </c>
      <c r="BF113" s="49" t="s">
        <v>303</v>
      </c>
      <c r="BG113" s="48"/>
      <c r="BI113" s="48"/>
      <c r="BJ113" s="48" t="n">
        <v>46301</v>
      </c>
      <c r="BK113" s="49" t="s">
        <v>313</v>
      </c>
      <c r="BL113" s="49" t="s">
        <v>313</v>
      </c>
      <c r="BM113" s="49" t="s">
        <v>310</v>
      </c>
      <c r="BN113" s="48"/>
      <c r="BO113" s="48"/>
      <c r="BP113" s="48"/>
      <c r="BQ113" s="49" t="s">
        <v>641</v>
      </c>
      <c r="BR113" s="48" t="n">
        <v>46301</v>
      </c>
      <c r="BS113" s="49" t="s">
        <v>669</v>
      </c>
      <c r="BT113" s="49" t="s">
        <v>312</v>
      </c>
      <c r="BU113" s="49" t="s">
        <v>313</v>
      </c>
      <c r="BV113" s="49" t="s">
        <v>303</v>
      </c>
      <c r="BX113" s="0" t="n">
        <v>0</v>
      </c>
      <c r="CC113" s="49" t="s">
        <v>315</v>
      </c>
      <c r="CD113" s="49" t="s">
        <v>303</v>
      </c>
      <c r="CF113" s="49" t="s">
        <v>303</v>
      </c>
      <c r="CG113" s="49" t="s">
        <v>316</v>
      </c>
      <c r="CH113" s="49" t="s">
        <v>317</v>
      </c>
      <c r="CI113" s="49" t="s">
        <v>318</v>
      </c>
      <c r="CM113" s="49" t="s">
        <v>62</v>
      </c>
      <c r="CV113" s="49" t="s">
        <v>303</v>
      </c>
      <c r="DB113" s="49" t="s">
        <v>319</v>
      </c>
      <c r="DD113" s="48" t="n">
        <v>46260</v>
      </c>
      <c r="DF113" s="49" t="s">
        <v>310</v>
      </c>
      <c r="DG113" s="49" t="s">
        <v>320</v>
      </c>
      <c r="DH113" s="49" t="s">
        <v>61</v>
      </c>
      <c r="DI113" s="49" t="s">
        <v>298</v>
      </c>
      <c r="DJ113" s="49" t="s">
        <v>381</v>
      </c>
      <c r="DK113" s="49" t="s">
        <v>322</v>
      </c>
      <c r="DL113" s="49" t="s">
        <v>323</v>
      </c>
      <c r="DM113" s="49" t="s">
        <v>303</v>
      </c>
      <c r="DN113" s="49" t="s">
        <v>297</v>
      </c>
      <c r="DO113" s="48"/>
      <c r="DP113" s="49" t="s">
        <v>312</v>
      </c>
      <c r="DQ113" s="48"/>
      <c r="DR113" s="49" t="s">
        <v>312</v>
      </c>
      <c r="DS113" s="49" t="s">
        <v>303</v>
      </c>
      <c r="DT113" s="49" t="s">
        <v>303</v>
      </c>
      <c r="DW113" s="49" t="s">
        <v>303</v>
      </c>
      <c r="EA113" s="49" t="s">
        <v>324</v>
      </c>
      <c r="EB113" s="49" t="s">
        <v>303</v>
      </c>
      <c r="EF113" s="49" t="s">
        <v>670</v>
      </c>
      <c r="EH113" s="49" t="s">
        <v>310</v>
      </c>
      <c r="EJ113" s="49" t="s">
        <v>303</v>
      </c>
      <c r="EK113" s="49" t="s">
        <v>673</v>
      </c>
      <c r="EM113" s="49" t="s">
        <v>303</v>
      </c>
      <c r="EN113" s="49" t="s">
        <v>383</v>
      </c>
      <c r="EP113" s="49" t="s">
        <v>298</v>
      </c>
      <c r="EQ113" s="0" t="n">
        <v>1</v>
      </c>
      <c r="ER113" s="49" t="s">
        <v>328</v>
      </c>
      <c r="ES113" s="49" t="s">
        <v>384</v>
      </c>
      <c r="ET113" s="49" t="s">
        <v>310</v>
      </c>
      <c r="EU113" s="49" t="s">
        <v>310</v>
      </c>
      <c r="EV113" s="49" t="s">
        <v>310</v>
      </c>
      <c r="EX113" s="49" t="s">
        <v>303</v>
      </c>
      <c r="EY113" s="49" t="s">
        <v>303</v>
      </c>
      <c r="FC113" s="49" t="s">
        <v>330</v>
      </c>
      <c r="FD113" s="49" t="s">
        <v>310</v>
      </c>
      <c r="FE113" s="49" t="s">
        <v>310</v>
      </c>
      <c r="FF113" s="49" t="s">
        <v>61</v>
      </c>
      <c r="FG113" s="49" t="s">
        <v>385</v>
      </c>
      <c r="FH113" s="49" t="s">
        <v>310</v>
      </c>
      <c r="FI113" s="49" t="s">
        <v>332</v>
      </c>
      <c r="FJ113" s="49" t="s">
        <v>303</v>
      </c>
      <c r="FL113" s="49" t="s">
        <v>325</v>
      </c>
      <c r="FM113" s="49" t="s">
        <v>641</v>
      </c>
      <c r="FP113" s="49" t="s">
        <v>303</v>
      </c>
      <c r="FR113" s="49" t="s">
        <v>303</v>
      </c>
      <c r="FT113" s="49" t="s">
        <v>325</v>
      </c>
      <c r="FU113" s="49" t="s">
        <v>325</v>
      </c>
      <c r="FW113" s="49" t="s">
        <v>333</v>
      </c>
    </row>
    <row r="114" customFormat="false" ht="15" hidden="false" customHeight="false" outlineLevel="0" collapsed="false">
      <c r="A114" s="0" t="n">
        <v>100879981</v>
      </c>
      <c r="B114" s="0" t="s">
        <v>295</v>
      </c>
      <c r="C114" s="0" t="s">
        <v>64</v>
      </c>
      <c r="D114" s="0" t="s">
        <v>65</v>
      </c>
      <c r="E114" s="0" t="s">
        <v>297</v>
      </c>
      <c r="G114" s="0" t="n">
        <v>1</v>
      </c>
      <c r="H114" s="0" t="s">
        <v>298</v>
      </c>
      <c r="I114" s="48" t="n">
        <v>46296</v>
      </c>
      <c r="J114" s="0" t="n">
        <v>0</v>
      </c>
      <c r="K114" s="49" t="s">
        <v>641</v>
      </c>
      <c r="L114" s="49" t="s">
        <v>335</v>
      </c>
      <c r="M114" s="48" t="n">
        <v>46296</v>
      </c>
      <c r="N114" s="49" t="s">
        <v>335</v>
      </c>
      <c r="O114" s="49" t="s">
        <v>445</v>
      </c>
      <c r="P114" s="48"/>
      <c r="Q114" s="48" t="n">
        <v>46296</v>
      </c>
      <c r="R114" s="48" t="n">
        <v>46303</v>
      </c>
      <c r="T114" s="49" t="s">
        <v>302</v>
      </c>
      <c r="U114" s="49" t="s">
        <v>303</v>
      </c>
      <c r="Y114" s="49" t="s">
        <v>674</v>
      </c>
      <c r="AD114" s="49" t="s">
        <v>305</v>
      </c>
      <c r="AE114" s="48" t="n">
        <v>46275</v>
      </c>
      <c r="AF114" s="49" t="s">
        <v>306</v>
      </c>
      <c r="AG114" s="49" t="s">
        <v>307</v>
      </c>
      <c r="AK114" s="49" t="s">
        <v>303</v>
      </c>
      <c r="AL114" s="49" t="s">
        <v>297</v>
      </c>
      <c r="AO114" s="49" t="s">
        <v>303</v>
      </c>
      <c r="AP114" s="48"/>
      <c r="AR114" s="49" t="s">
        <v>303</v>
      </c>
      <c r="AS114" s="49" t="s">
        <v>306</v>
      </c>
      <c r="AT114" s="49" t="s">
        <v>675</v>
      </c>
      <c r="AV114" s="49" t="s">
        <v>309</v>
      </c>
      <c r="AW114" s="49" t="s">
        <v>310</v>
      </c>
      <c r="AX114" s="49" t="s">
        <v>311</v>
      </c>
      <c r="AY114" s="48"/>
      <c r="AZ114" s="48" t="n">
        <v>46294</v>
      </c>
      <c r="BC114" s="49" t="s">
        <v>303</v>
      </c>
      <c r="BD114" s="48"/>
      <c r="BE114" s="49" t="s">
        <v>312</v>
      </c>
      <c r="BF114" s="49" t="s">
        <v>303</v>
      </c>
      <c r="BG114" s="48"/>
      <c r="BI114" s="48"/>
      <c r="BJ114" s="48" t="n">
        <v>46301</v>
      </c>
      <c r="BK114" s="49" t="s">
        <v>312</v>
      </c>
      <c r="BL114" s="49" t="s">
        <v>313</v>
      </c>
      <c r="BM114" s="49" t="s">
        <v>310</v>
      </c>
      <c r="BN114" s="48"/>
      <c r="BO114" s="48"/>
      <c r="BP114" s="48"/>
      <c r="BQ114" s="49" t="s">
        <v>641</v>
      </c>
      <c r="BR114" s="48" t="n">
        <v>46301</v>
      </c>
      <c r="BS114" s="49" t="s">
        <v>676</v>
      </c>
      <c r="BT114" s="49" t="s">
        <v>312</v>
      </c>
      <c r="BU114" s="49" t="s">
        <v>313</v>
      </c>
      <c r="BV114" s="49" t="s">
        <v>303</v>
      </c>
      <c r="BX114" s="0" t="n">
        <v>0</v>
      </c>
      <c r="CC114" s="49" t="s">
        <v>315</v>
      </c>
      <c r="CD114" s="49" t="s">
        <v>303</v>
      </c>
      <c r="CF114" s="49" t="s">
        <v>303</v>
      </c>
      <c r="CG114" s="49" t="s">
        <v>316</v>
      </c>
      <c r="CH114" s="49" t="s">
        <v>317</v>
      </c>
      <c r="CI114" s="49" t="s">
        <v>318</v>
      </c>
      <c r="CM114" s="49" t="s">
        <v>65</v>
      </c>
      <c r="CV114" s="49" t="s">
        <v>303</v>
      </c>
      <c r="DB114" s="49" t="s">
        <v>319</v>
      </c>
      <c r="DD114" s="48" t="n">
        <v>46275</v>
      </c>
      <c r="DF114" s="49" t="s">
        <v>310</v>
      </c>
      <c r="DG114" s="49" t="s">
        <v>320</v>
      </c>
      <c r="DH114" s="49" t="s">
        <v>64</v>
      </c>
      <c r="DI114" s="49" t="s">
        <v>298</v>
      </c>
      <c r="DJ114" s="49" t="s">
        <v>394</v>
      </c>
      <c r="DK114" s="49" t="s">
        <v>322</v>
      </c>
      <c r="DL114" s="49" t="s">
        <v>323</v>
      </c>
      <c r="DM114" s="49" t="s">
        <v>303</v>
      </c>
      <c r="DN114" s="49" t="s">
        <v>297</v>
      </c>
      <c r="DO114" s="48"/>
      <c r="DP114" s="49" t="s">
        <v>312</v>
      </c>
      <c r="DQ114" s="48"/>
      <c r="DR114" s="49" t="s">
        <v>312</v>
      </c>
      <c r="DS114" s="49" t="s">
        <v>303</v>
      </c>
      <c r="DT114" s="49" t="s">
        <v>303</v>
      </c>
      <c r="DW114" s="49" t="s">
        <v>303</v>
      </c>
      <c r="EA114" s="49" t="s">
        <v>324</v>
      </c>
      <c r="EB114" s="49" t="s">
        <v>303</v>
      </c>
      <c r="EH114" s="49" t="s">
        <v>310</v>
      </c>
      <c r="EJ114" s="49" t="s">
        <v>303</v>
      </c>
      <c r="EK114" s="49" t="s">
        <v>677</v>
      </c>
      <c r="EM114" s="49" t="s">
        <v>303</v>
      </c>
      <c r="EN114" s="49" t="s">
        <v>396</v>
      </c>
      <c r="EP114" s="49" t="s">
        <v>298</v>
      </c>
      <c r="EQ114" s="0" t="n">
        <v>1</v>
      </c>
      <c r="ER114" s="49" t="s">
        <v>328</v>
      </c>
      <c r="ES114" s="49" t="s">
        <v>329</v>
      </c>
      <c r="ET114" s="49" t="s">
        <v>310</v>
      </c>
      <c r="EU114" s="49" t="s">
        <v>310</v>
      </c>
      <c r="EV114" s="49" t="s">
        <v>310</v>
      </c>
      <c r="EX114" s="49" t="s">
        <v>303</v>
      </c>
      <c r="EY114" s="49" t="s">
        <v>303</v>
      </c>
      <c r="FC114" s="49" t="s">
        <v>330</v>
      </c>
      <c r="FD114" s="49" t="s">
        <v>310</v>
      </c>
      <c r="FE114" s="49" t="s">
        <v>310</v>
      </c>
      <c r="FF114" s="49" t="s">
        <v>64</v>
      </c>
      <c r="FG114" s="49" t="s">
        <v>397</v>
      </c>
      <c r="FH114" s="49" t="s">
        <v>310</v>
      </c>
      <c r="FI114" s="49" t="s">
        <v>332</v>
      </c>
      <c r="FJ114" s="49" t="s">
        <v>303</v>
      </c>
      <c r="FL114" s="49" t="s">
        <v>325</v>
      </c>
      <c r="FM114" s="49" t="s">
        <v>641</v>
      </c>
      <c r="FP114" s="49" t="s">
        <v>303</v>
      </c>
      <c r="FR114" s="49" t="s">
        <v>303</v>
      </c>
      <c r="FT114" s="49" t="s">
        <v>325</v>
      </c>
      <c r="FU114" s="49" t="s">
        <v>325</v>
      </c>
      <c r="FW114" s="49" t="s">
        <v>333</v>
      </c>
    </row>
    <row r="115" customFormat="false" ht="15" hidden="false" customHeight="false" outlineLevel="0" collapsed="false">
      <c r="A115" s="0" t="n">
        <v>100879982</v>
      </c>
      <c r="B115" s="0" t="s">
        <v>295</v>
      </c>
      <c r="C115" s="0" t="s">
        <v>64</v>
      </c>
      <c r="D115" s="0" t="s">
        <v>65</v>
      </c>
      <c r="E115" s="0" t="s">
        <v>297</v>
      </c>
      <c r="G115" s="0" t="n">
        <v>1</v>
      </c>
      <c r="H115" s="0" t="s">
        <v>298</v>
      </c>
      <c r="I115" s="48" t="n">
        <v>46296</v>
      </c>
      <c r="J115" s="0" t="n">
        <v>0</v>
      </c>
      <c r="K115" s="49" t="s">
        <v>641</v>
      </c>
      <c r="L115" s="49" t="s">
        <v>335</v>
      </c>
      <c r="M115" s="48"/>
      <c r="O115" s="49" t="s">
        <v>445</v>
      </c>
      <c r="P115" s="48"/>
      <c r="Q115" s="48" t="n">
        <v>46296</v>
      </c>
      <c r="R115" s="48" t="n">
        <v>46302</v>
      </c>
      <c r="T115" s="49" t="s">
        <v>302</v>
      </c>
      <c r="U115" s="49" t="s">
        <v>303</v>
      </c>
      <c r="Y115" s="49" t="s">
        <v>312</v>
      </c>
      <c r="AD115" s="49" t="s">
        <v>305</v>
      </c>
      <c r="AE115" s="48" t="n">
        <v>46275</v>
      </c>
      <c r="AF115" s="49" t="s">
        <v>306</v>
      </c>
      <c r="AG115" s="49" t="s">
        <v>307</v>
      </c>
      <c r="AK115" s="49" t="s">
        <v>303</v>
      </c>
      <c r="AL115" s="49" t="s">
        <v>297</v>
      </c>
      <c r="AO115" s="49" t="s">
        <v>303</v>
      </c>
      <c r="AP115" s="48"/>
      <c r="AR115" s="49" t="s">
        <v>303</v>
      </c>
      <c r="AS115" s="49" t="s">
        <v>306</v>
      </c>
      <c r="AT115" s="49" t="s">
        <v>678</v>
      </c>
      <c r="AV115" s="49" t="s">
        <v>309</v>
      </c>
      <c r="AW115" s="49" t="s">
        <v>310</v>
      </c>
      <c r="AX115" s="49" t="s">
        <v>311</v>
      </c>
      <c r="AY115" s="48"/>
      <c r="AZ115" s="48" t="n">
        <v>46294</v>
      </c>
      <c r="BC115" s="49" t="s">
        <v>303</v>
      </c>
      <c r="BD115" s="48"/>
      <c r="BE115" s="49" t="s">
        <v>312</v>
      </c>
      <c r="BF115" s="49" t="s">
        <v>303</v>
      </c>
      <c r="BG115" s="48"/>
      <c r="BI115" s="48"/>
      <c r="BJ115" s="48" t="n">
        <v>46301</v>
      </c>
      <c r="BK115" s="49" t="s">
        <v>313</v>
      </c>
      <c r="BL115" s="49" t="s">
        <v>313</v>
      </c>
      <c r="BM115" s="49" t="s">
        <v>310</v>
      </c>
      <c r="BN115" s="48"/>
      <c r="BO115" s="48"/>
      <c r="BP115" s="48"/>
      <c r="BQ115" s="49" t="s">
        <v>641</v>
      </c>
      <c r="BR115" s="48" t="n">
        <v>46301</v>
      </c>
      <c r="BS115" s="49" t="s">
        <v>676</v>
      </c>
      <c r="BT115" s="49" t="s">
        <v>312</v>
      </c>
      <c r="BU115" s="49" t="s">
        <v>313</v>
      </c>
      <c r="BV115" s="49" t="s">
        <v>303</v>
      </c>
      <c r="BX115" s="0" t="n">
        <v>0</v>
      </c>
      <c r="CC115" s="49" t="s">
        <v>315</v>
      </c>
      <c r="CD115" s="49" t="s">
        <v>303</v>
      </c>
      <c r="CF115" s="49" t="s">
        <v>303</v>
      </c>
      <c r="CG115" s="49" t="s">
        <v>316</v>
      </c>
      <c r="CH115" s="49" t="s">
        <v>317</v>
      </c>
      <c r="CI115" s="49" t="s">
        <v>318</v>
      </c>
      <c r="CM115" s="49" t="s">
        <v>65</v>
      </c>
      <c r="CV115" s="49" t="s">
        <v>303</v>
      </c>
      <c r="DB115" s="49" t="s">
        <v>319</v>
      </c>
      <c r="DD115" s="48" t="n">
        <v>46275</v>
      </c>
      <c r="DF115" s="49" t="s">
        <v>310</v>
      </c>
      <c r="DG115" s="49" t="s">
        <v>320</v>
      </c>
      <c r="DH115" s="49" t="s">
        <v>64</v>
      </c>
      <c r="DI115" s="49" t="s">
        <v>298</v>
      </c>
      <c r="DJ115" s="49" t="s">
        <v>394</v>
      </c>
      <c r="DK115" s="49" t="s">
        <v>322</v>
      </c>
      <c r="DL115" s="49" t="s">
        <v>323</v>
      </c>
      <c r="DM115" s="49" t="s">
        <v>303</v>
      </c>
      <c r="DN115" s="49" t="s">
        <v>297</v>
      </c>
      <c r="DO115" s="48"/>
      <c r="DP115" s="49" t="s">
        <v>312</v>
      </c>
      <c r="DQ115" s="48"/>
      <c r="DR115" s="49" t="s">
        <v>312</v>
      </c>
      <c r="DS115" s="49" t="s">
        <v>303</v>
      </c>
      <c r="DT115" s="49" t="s">
        <v>303</v>
      </c>
      <c r="DW115" s="49" t="s">
        <v>303</v>
      </c>
      <c r="EA115" s="49" t="s">
        <v>324</v>
      </c>
      <c r="EB115" s="49" t="s">
        <v>303</v>
      </c>
      <c r="EF115" s="49" t="s">
        <v>679</v>
      </c>
      <c r="EH115" s="49" t="s">
        <v>310</v>
      </c>
      <c r="EJ115" s="49" t="s">
        <v>303</v>
      </c>
      <c r="EK115" s="49" t="s">
        <v>680</v>
      </c>
      <c r="EM115" s="49" t="s">
        <v>303</v>
      </c>
      <c r="EN115" s="49" t="s">
        <v>396</v>
      </c>
      <c r="EP115" s="49" t="s">
        <v>298</v>
      </c>
      <c r="EQ115" s="0" t="n">
        <v>1</v>
      </c>
      <c r="ER115" s="49" t="s">
        <v>328</v>
      </c>
      <c r="ES115" s="49" t="s">
        <v>329</v>
      </c>
      <c r="ET115" s="49" t="s">
        <v>310</v>
      </c>
      <c r="EU115" s="49" t="s">
        <v>310</v>
      </c>
      <c r="EV115" s="49" t="s">
        <v>310</v>
      </c>
      <c r="EX115" s="49" t="s">
        <v>303</v>
      </c>
      <c r="EY115" s="49" t="s">
        <v>303</v>
      </c>
      <c r="FC115" s="49" t="s">
        <v>330</v>
      </c>
      <c r="FD115" s="49" t="s">
        <v>310</v>
      </c>
      <c r="FE115" s="49" t="s">
        <v>310</v>
      </c>
      <c r="FF115" s="49" t="s">
        <v>64</v>
      </c>
      <c r="FG115" s="49" t="s">
        <v>397</v>
      </c>
      <c r="FH115" s="49" t="s">
        <v>310</v>
      </c>
      <c r="FI115" s="49" t="s">
        <v>332</v>
      </c>
      <c r="FJ115" s="49" t="s">
        <v>303</v>
      </c>
      <c r="FL115" s="49" t="s">
        <v>325</v>
      </c>
      <c r="FM115" s="49" t="s">
        <v>641</v>
      </c>
      <c r="FP115" s="49" t="s">
        <v>303</v>
      </c>
      <c r="FR115" s="49" t="s">
        <v>303</v>
      </c>
      <c r="FT115" s="49" t="s">
        <v>325</v>
      </c>
      <c r="FU115" s="49" t="s">
        <v>325</v>
      </c>
      <c r="FW115" s="49" t="s">
        <v>333</v>
      </c>
    </row>
    <row r="116" customFormat="false" ht="15" hidden="false" customHeight="false" outlineLevel="0" collapsed="false">
      <c r="A116" s="0" t="n">
        <v>100879983</v>
      </c>
      <c r="B116" s="0" t="s">
        <v>295</v>
      </c>
      <c r="C116" s="0" t="s">
        <v>64</v>
      </c>
      <c r="D116" s="0" t="s">
        <v>65</v>
      </c>
      <c r="E116" s="0" t="s">
        <v>297</v>
      </c>
      <c r="G116" s="0" t="n">
        <v>1</v>
      </c>
      <c r="H116" s="0" t="s">
        <v>298</v>
      </c>
      <c r="I116" s="48" t="n">
        <v>46296</v>
      </c>
      <c r="J116" s="0" t="n">
        <v>0</v>
      </c>
      <c r="K116" s="49" t="s">
        <v>641</v>
      </c>
      <c r="L116" s="49" t="s">
        <v>335</v>
      </c>
      <c r="M116" s="48"/>
      <c r="O116" s="49" t="s">
        <v>445</v>
      </c>
      <c r="P116" s="48"/>
      <c r="Q116" s="48" t="n">
        <v>46296</v>
      </c>
      <c r="R116" s="48" t="n">
        <v>46302</v>
      </c>
      <c r="T116" s="49" t="s">
        <v>302</v>
      </c>
      <c r="U116" s="49" t="s">
        <v>303</v>
      </c>
      <c r="Y116" s="49" t="s">
        <v>312</v>
      </c>
      <c r="AD116" s="49" t="s">
        <v>305</v>
      </c>
      <c r="AE116" s="48" t="n">
        <v>46275</v>
      </c>
      <c r="AF116" s="49" t="s">
        <v>306</v>
      </c>
      <c r="AG116" s="49" t="s">
        <v>307</v>
      </c>
      <c r="AK116" s="49" t="s">
        <v>303</v>
      </c>
      <c r="AL116" s="49" t="s">
        <v>297</v>
      </c>
      <c r="AO116" s="49" t="s">
        <v>303</v>
      </c>
      <c r="AP116" s="48"/>
      <c r="AR116" s="49" t="s">
        <v>303</v>
      </c>
      <c r="AS116" s="49" t="s">
        <v>306</v>
      </c>
      <c r="AT116" s="49" t="s">
        <v>681</v>
      </c>
      <c r="AV116" s="49" t="s">
        <v>309</v>
      </c>
      <c r="AW116" s="49" t="s">
        <v>310</v>
      </c>
      <c r="AX116" s="49" t="s">
        <v>311</v>
      </c>
      <c r="AY116" s="48"/>
      <c r="AZ116" s="48" t="n">
        <v>46294</v>
      </c>
      <c r="BC116" s="49" t="s">
        <v>303</v>
      </c>
      <c r="BD116" s="48"/>
      <c r="BE116" s="49" t="s">
        <v>312</v>
      </c>
      <c r="BF116" s="49" t="s">
        <v>303</v>
      </c>
      <c r="BG116" s="48"/>
      <c r="BI116" s="48"/>
      <c r="BJ116" s="48" t="n">
        <v>46301</v>
      </c>
      <c r="BK116" s="49" t="s">
        <v>313</v>
      </c>
      <c r="BL116" s="49" t="s">
        <v>313</v>
      </c>
      <c r="BM116" s="49" t="s">
        <v>310</v>
      </c>
      <c r="BN116" s="48"/>
      <c r="BO116" s="48"/>
      <c r="BP116" s="48"/>
      <c r="BQ116" s="49" t="s">
        <v>641</v>
      </c>
      <c r="BR116" s="48" t="n">
        <v>46301</v>
      </c>
      <c r="BS116" s="49" t="s">
        <v>676</v>
      </c>
      <c r="BT116" s="49" t="s">
        <v>312</v>
      </c>
      <c r="BU116" s="49" t="s">
        <v>313</v>
      </c>
      <c r="BV116" s="49" t="s">
        <v>303</v>
      </c>
      <c r="BX116" s="0" t="n">
        <v>0</v>
      </c>
      <c r="CC116" s="49" t="s">
        <v>315</v>
      </c>
      <c r="CD116" s="49" t="s">
        <v>303</v>
      </c>
      <c r="CF116" s="49" t="s">
        <v>303</v>
      </c>
      <c r="CG116" s="49" t="s">
        <v>316</v>
      </c>
      <c r="CH116" s="49" t="s">
        <v>317</v>
      </c>
      <c r="CI116" s="49" t="s">
        <v>318</v>
      </c>
      <c r="CM116" s="49" t="s">
        <v>65</v>
      </c>
      <c r="CV116" s="49" t="s">
        <v>303</v>
      </c>
      <c r="DB116" s="49" t="s">
        <v>319</v>
      </c>
      <c r="DD116" s="48" t="n">
        <v>46275</v>
      </c>
      <c r="DF116" s="49" t="s">
        <v>310</v>
      </c>
      <c r="DG116" s="49" t="s">
        <v>320</v>
      </c>
      <c r="DH116" s="49" t="s">
        <v>64</v>
      </c>
      <c r="DI116" s="49" t="s">
        <v>298</v>
      </c>
      <c r="DJ116" s="49" t="s">
        <v>394</v>
      </c>
      <c r="DK116" s="49" t="s">
        <v>322</v>
      </c>
      <c r="DL116" s="49" t="s">
        <v>323</v>
      </c>
      <c r="DM116" s="49" t="s">
        <v>303</v>
      </c>
      <c r="DN116" s="49" t="s">
        <v>297</v>
      </c>
      <c r="DO116" s="48"/>
      <c r="DP116" s="49" t="s">
        <v>312</v>
      </c>
      <c r="DQ116" s="48"/>
      <c r="DR116" s="49" t="s">
        <v>312</v>
      </c>
      <c r="DS116" s="49" t="s">
        <v>303</v>
      </c>
      <c r="DT116" s="49" t="s">
        <v>303</v>
      </c>
      <c r="DW116" s="49" t="s">
        <v>303</v>
      </c>
      <c r="EA116" s="49" t="s">
        <v>324</v>
      </c>
      <c r="EB116" s="49" t="s">
        <v>303</v>
      </c>
      <c r="EF116" s="49" t="s">
        <v>679</v>
      </c>
      <c r="EH116" s="49" t="s">
        <v>310</v>
      </c>
      <c r="EJ116" s="49" t="s">
        <v>303</v>
      </c>
      <c r="EK116" s="49" t="s">
        <v>682</v>
      </c>
      <c r="EM116" s="49" t="s">
        <v>303</v>
      </c>
      <c r="EN116" s="49" t="s">
        <v>396</v>
      </c>
      <c r="EP116" s="49" t="s">
        <v>298</v>
      </c>
      <c r="EQ116" s="0" t="n">
        <v>1</v>
      </c>
      <c r="ER116" s="49" t="s">
        <v>328</v>
      </c>
      <c r="ES116" s="49" t="s">
        <v>329</v>
      </c>
      <c r="ET116" s="49" t="s">
        <v>310</v>
      </c>
      <c r="EU116" s="49" t="s">
        <v>310</v>
      </c>
      <c r="EV116" s="49" t="s">
        <v>310</v>
      </c>
      <c r="EX116" s="49" t="s">
        <v>303</v>
      </c>
      <c r="EY116" s="49" t="s">
        <v>303</v>
      </c>
      <c r="FC116" s="49" t="s">
        <v>330</v>
      </c>
      <c r="FD116" s="49" t="s">
        <v>310</v>
      </c>
      <c r="FE116" s="49" t="s">
        <v>310</v>
      </c>
      <c r="FF116" s="49" t="s">
        <v>64</v>
      </c>
      <c r="FG116" s="49" t="s">
        <v>397</v>
      </c>
      <c r="FH116" s="49" t="s">
        <v>310</v>
      </c>
      <c r="FI116" s="49" t="s">
        <v>332</v>
      </c>
      <c r="FJ116" s="49" t="s">
        <v>303</v>
      </c>
      <c r="FL116" s="49" t="s">
        <v>325</v>
      </c>
      <c r="FM116" s="49" t="s">
        <v>641</v>
      </c>
      <c r="FP116" s="49" t="s">
        <v>303</v>
      </c>
      <c r="FR116" s="49" t="s">
        <v>303</v>
      </c>
      <c r="FT116" s="49" t="s">
        <v>325</v>
      </c>
      <c r="FU116" s="49" t="s">
        <v>325</v>
      </c>
      <c r="FW116" s="49" t="s">
        <v>333</v>
      </c>
    </row>
    <row r="117" customFormat="false" ht="15" hidden="false" customHeight="false" outlineLevel="0" collapsed="false">
      <c r="A117" s="0" t="n">
        <v>100879984</v>
      </c>
      <c r="B117" s="0" t="s">
        <v>295</v>
      </c>
      <c r="C117" s="0" t="s">
        <v>64</v>
      </c>
      <c r="D117" s="0" t="s">
        <v>65</v>
      </c>
      <c r="E117" s="0" t="s">
        <v>297</v>
      </c>
      <c r="G117" s="0" t="n">
        <v>1</v>
      </c>
      <c r="H117" s="0" t="s">
        <v>298</v>
      </c>
      <c r="I117" s="48" t="n">
        <v>46296</v>
      </c>
      <c r="J117" s="0" t="n">
        <v>0</v>
      </c>
      <c r="K117" s="49" t="s">
        <v>641</v>
      </c>
      <c r="L117" s="49" t="s">
        <v>335</v>
      </c>
      <c r="M117" s="48"/>
      <c r="O117" s="49" t="s">
        <v>445</v>
      </c>
      <c r="P117" s="48"/>
      <c r="Q117" s="48" t="n">
        <v>46296</v>
      </c>
      <c r="R117" s="48" t="n">
        <v>46302</v>
      </c>
      <c r="T117" s="49" t="s">
        <v>302</v>
      </c>
      <c r="U117" s="49" t="s">
        <v>303</v>
      </c>
      <c r="Y117" s="49" t="s">
        <v>312</v>
      </c>
      <c r="AD117" s="49" t="s">
        <v>305</v>
      </c>
      <c r="AE117" s="48" t="n">
        <v>46275</v>
      </c>
      <c r="AF117" s="49" t="s">
        <v>306</v>
      </c>
      <c r="AG117" s="49" t="s">
        <v>307</v>
      </c>
      <c r="AK117" s="49" t="s">
        <v>303</v>
      </c>
      <c r="AL117" s="49" t="s">
        <v>297</v>
      </c>
      <c r="AO117" s="49" t="s">
        <v>303</v>
      </c>
      <c r="AP117" s="48"/>
      <c r="AR117" s="49" t="s">
        <v>303</v>
      </c>
      <c r="AS117" s="49" t="s">
        <v>306</v>
      </c>
      <c r="AT117" s="49" t="s">
        <v>683</v>
      </c>
      <c r="AV117" s="49" t="s">
        <v>309</v>
      </c>
      <c r="AW117" s="49" t="s">
        <v>310</v>
      </c>
      <c r="AX117" s="49" t="s">
        <v>311</v>
      </c>
      <c r="AY117" s="48"/>
      <c r="AZ117" s="48" t="n">
        <v>46294</v>
      </c>
      <c r="BC117" s="49" t="s">
        <v>303</v>
      </c>
      <c r="BD117" s="48"/>
      <c r="BE117" s="49" t="s">
        <v>312</v>
      </c>
      <c r="BF117" s="49" t="s">
        <v>303</v>
      </c>
      <c r="BG117" s="48"/>
      <c r="BI117" s="48"/>
      <c r="BJ117" s="48" t="n">
        <v>46301</v>
      </c>
      <c r="BK117" s="49" t="s">
        <v>313</v>
      </c>
      <c r="BL117" s="49" t="s">
        <v>313</v>
      </c>
      <c r="BM117" s="49" t="s">
        <v>310</v>
      </c>
      <c r="BN117" s="48"/>
      <c r="BO117" s="48"/>
      <c r="BP117" s="48"/>
      <c r="BQ117" s="49" t="s">
        <v>641</v>
      </c>
      <c r="BR117" s="48" t="n">
        <v>46301</v>
      </c>
      <c r="BS117" s="49" t="s">
        <v>684</v>
      </c>
      <c r="BT117" s="49" t="s">
        <v>312</v>
      </c>
      <c r="BU117" s="49" t="s">
        <v>313</v>
      </c>
      <c r="BV117" s="49" t="s">
        <v>303</v>
      </c>
      <c r="BX117" s="0" t="n">
        <v>0</v>
      </c>
      <c r="CC117" s="49" t="s">
        <v>315</v>
      </c>
      <c r="CD117" s="49" t="s">
        <v>303</v>
      </c>
      <c r="CF117" s="49" t="s">
        <v>303</v>
      </c>
      <c r="CG117" s="49" t="s">
        <v>316</v>
      </c>
      <c r="CH117" s="49" t="s">
        <v>317</v>
      </c>
      <c r="CI117" s="49" t="s">
        <v>318</v>
      </c>
      <c r="CM117" s="49" t="s">
        <v>65</v>
      </c>
      <c r="CV117" s="49" t="s">
        <v>303</v>
      </c>
      <c r="DB117" s="49" t="s">
        <v>319</v>
      </c>
      <c r="DD117" s="48" t="n">
        <v>46275</v>
      </c>
      <c r="DF117" s="49" t="s">
        <v>310</v>
      </c>
      <c r="DG117" s="49" t="s">
        <v>320</v>
      </c>
      <c r="DH117" s="49" t="s">
        <v>64</v>
      </c>
      <c r="DI117" s="49" t="s">
        <v>298</v>
      </c>
      <c r="DJ117" s="49" t="s">
        <v>394</v>
      </c>
      <c r="DK117" s="49" t="s">
        <v>322</v>
      </c>
      <c r="DL117" s="49" t="s">
        <v>323</v>
      </c>
      <c r="DM117" s="49" t="s">
        <v>303</v>
      </c>
      <c r="DN117" s="49" t="s">
        <v>297</v>
      </c>
      <c r="DO117" s="48"/>
      <c r="DP117" s="49" t="s">
        <v>312</v>
      </c>
      <c r="DQ117" s="48"/>
      <c r="DR117" s="49" t="s">
        <v>312</v>
      </c>
      <c r="DS117" s="49" t="s">
        <v>303</v>
      </c>
      <c r="DT117" s="49" t="s">
        <v>303</v>
      </c>
      <c r="DW117" s="49" t="s">
        <v>303</v>
      </c>
      <c r="EA117" s="49" t="s">
        <v>324</v>
      </c>
      <c r="EB117" s="49" t="s">
        <v>303</v>
      </c>
      <c r="EF117" s="49" t="s">
        <v>679</v>
      </c>
      <c r="EH117" s="49" t="s">
        <v>310</v>
      </c>
      <c r="EJ117" s="49" t="s">
        <v>303</v>
      </c>
      <c r="EK117" s="49" t="s">
        <v>685</v>
      </c>
      <c r="EM117" s="49" t="s">
        <v>303</v>
      </c>
      <c r="EN117" s="49" t="s">
        <v>396</v>
      </c>
      <c r="EP117" s="49" t="s">
        <v>298</v>
      </c>
      <c r="EQ117" s="0" t="n">
        <v>1</v>
      </c>
      <c r="ER117" s="49" t="s">
        <v>328</v>
      </c>
      <c r="ES117" s="49" t="s">
        <v>329</v>
      </c>
      <c r="ET117" s="49" t="s">
        <v>310</v>
      </c>
      <c r="EU117" s="49" t="s">
        <v>310</v>
      </c>
      <c r="EV117" s="49" t="s">
        <v>310</v>
      </c>
      <c r="EX117" s="49" t="s">
        <v>303</v>
      </c>
      <c r="EY117" s="49" t="s">
        <v>303</v>
      </c>
      <c r="FC117" s="49" t="s">
        <v>330</v>
      </c>
      <c r="FD117" s="49" t="s">
        <v>310</v>
      </c>
      <c r="FE117" s="49" t="s">
        <v>310</v>
      </c>
      <c r="FF117" s="49" t="s">
        <v>64</v>
      </c>
      <c r="FG117" s="49" t="s">
        <v>397</v>
      </c>
      <c r="FH117" s="49" t="s">
        <v>310</v>
      </c>
      <c r="FI117" s="49" t="s">
        <v>332</v>
      </c>
      <c r="FJ117" s="49" t="s">
        <v>303</v>
      </c>
      <c r="FL117" s="49" t="s">
        <v>325</v>
      </c>
      <c r="FM117" s="49" t="s">
        <v>641</v>
      </c>
      <c r="FP117" s="49" t="s">
        <v>303</v>
      </c>
      <c r="FR117" s="49" t="s">
        <v>303</v>
      </c>
      <c r="FT117" s="49" t="s">
        <v>325</v>
      </c>
      <c r="FU117" s="49" t="s">
        <v>325</v>
      </c>
      <c r="FW117" s="49" t="s">
        <v>333</v>
      </c>
    </row>
    <row r="118" customFormat="false" ht="15" hidden="false" customHeight="false" outlineLevel="0" collapsed="false">
      <c r="A118" s="0" t="n">
        <v>100879985</v>
      </c>
      <c r="B118" s="0" t="s">
        <v>295</v>
      </c>
      <c r="C118" s="0" t="s">
        <v>64</v>
      </c>
      <c r="D118" s="0" t="s">
        <v>65</v>
      </c>
      <c r="E118" s="0" t="s">
        <v>297</v>
      </c>
      <c r="G118" s="0" t="n">
        <v>1</v>
      </c>
      <c r="H118" s="0" t="s">
        <v>298</v>
      </c>
      <c r="I118" s="48" t="n">
        <v>46296</v>
      </c>
      <c r="J118" s="0" t="n">
        <v>0</v>
      </c>
      <c r="K118" s="49" t="s">
        <v>641</v>
      </c>
      <c r="L118" s="49" t="s">
        <v>335</v>
      </c>
      <c r="M118" s="48"/>
      <c r="O118" s="49" t="s">
        <v>445</v>
      </c>
      <c r="P118" s="48"/>
      <c r="Q118" s="48" t="n">
        <v>46296</v>
      </c>
      <c r="R118" s="48" t="n">
        <v>46302</v>
      </c>
      <c r="T118" s="49" t="s">
        <v>302</v>
      </c>
      <c r="U118" s="49" t="s">
        <v>303</v>
      </c>
      <c r="Y118" s="49" t="s">
        <v>312</v>
      </c>
      <c r="AD118" s="49" t="s">
        <v>305</v>
      </c>
      <c r="AE118" s="48" t="n">
        <v>46275</v>
      </c>
      <c r="AF118" s="49" t="s">
        <v>306</v>
      </c>
      <c r="AG118" s="49" t="s">
        <v>307</v>
      </c>
      <c r="AK118" s="49" t="s">
        <v>303</v>
      </c>
      <c r="AL118" s="49" t="s">
        <v>297</v>
      </c>
      <c r="AO118" s="49" t="s">
        <v>303</v>
      </c>
      <c r="AP118" s="48"/>
      <c r="AR118" s="49" t="s">
        <v>303</v>
      </c>
      <c r="AS118" s="49" t="s">
        <v>306</v>
      </c>
      <c r="AT118" s="49" t="s">
        <v>686</v>
      </c>
      <c r="AV118" s="49" t="s">
        <v>309</v>
      </c>
      <c r="AW118" s="49" t="s">
        <v>310</v>
      </c>
      <c r="AX118" s="49" t="s">
        <v>311</v>
      </c>
      <c r="AY118" s="48"/>
      <c r="AZ118" s="48" t="n">
        <v>46294</v>
      </c>
      <c r="BC118" s="49" t="s">
        <v>303</v>
      </c>
      <c r="BD118" s="48"/>
      <c r="BE118" s="49" t="s">
        <v>312</v>
      </c>
      <c r="BF118" s="49" t="s">
        <v>303</v>
      </c>
      <c r="BG118" s="48"/>
      <c r="BI118" s="48"/>
      <c r="BJ118" s="48" t="n">
        <v>46301</v>
      </c>
      <c r="BK118" s="49" t="s">
        <v>313</v>
      </c>
      <c r="BL118" s="49" t="s">
        <v>313</v>
      </c>
      <c r="BM118" s="49" t="s">
        <v>310</v>
      </c>
      <c r="BN118" s="48"/>
      <c r="BO118" s="48"/>
      <c r="BP118" s="48"/>
      <c r="BQ118" s="49" t="s">
        <v>641</v>
      </c>
      <c r="BR118" s="48" t="n">
        <v>46301</v>
      </c>
      <c r="BS118" s="49" t="s">
        <v>684</v>
      </c>
      <c r="BT118" s="49" t="s">
        <v>312</v>
      </c>
      <c r="BU118" s="49" t="s">
        <v>313</v>
      </c>
      <c r="BV118" s="49" t="s">
        <v>303</v>
      </c>
      <c r="BX118" s="0" t="n">
        <v>0</v>
      </c>
      <c r="CC118" s="49" t="s">
        <v>315</v>
      </c>
      <c r="CD118" s="49" t="s">
        <v>303</v>
      </c>
      <c r="CF118" s="49" t="s">
        <v>303</v>
      </c>
      <c r="CG118" s="49" t="s">
        <v>316</v>
      </c>
      <c r="CH118" s="49" t="s">
        <v>317</v>
      </c>
      <c r="CI118" s="49" t="s">
        <v>318</v>
      </c>
      <c r="CM118" s="49" t="s">
        <v>65</v>
      </c>
      <c r="CV118" s="49" t="s">
        <v>303</v>
      </c>
      <c r="DB118" s="49" t="s">
        <v>319</v>
      </c>
      <c r="DD118" s="48" t="n">
        <v>46275</v>
      </c>
      <c r="DF118" s="49" t="s">
        <v>310</v>
      </c>
      <c r="DG118" s="49" t="s">
        <v>320</v>
      </c>
      <c r="DH118" s="49" t="s">
        <v>64</v>
      </c>
      <c r="DI118" s="49" t="s">
        <v>298</v>
      </c>
      <c r="DJ118" s="49" t="s">
        <v>394</v>
      </c>
      <c r="DK118" s="49" t="s">
        <v>322</v>
      </c>
      <c r="DL118" s="49" t="s">
        <v>323</v>
      </c>
      <c r="DM118" s="49" t="s">
        <v>303</v>
      </c>
      <c r="DN118" s="49" t="s">
        <v>297</v>
      </c>
      <c r="DO118" s="48"/>
      <c r="DP118" s="49" t="s">
        <v>312</v>
      </c>
      <c r="DQ118" s="48"/>
      <c r="DR118" s="49" t="s">
        <v>312</v>
      </c>
      <c r="DS118" s="49" t="s">
        <v>303</v>
      </c>
      <c r="DT118" s="49" t="s">
        <v>303</v>
      </c>
      <c r="DW118" s="49" t="s">
        <v>303</v>
      </c>
      <c r="EA118" s="49" t="s">
        <v>324</v>
      </c>
      <c r="EB118" s="49" t="s">
        <v>303</v>
      </c>
      <c r="EF118" s="49" t="s">
        <v>679</v>
      </c>
      <c r="EH118" s="49" t="s">
        <v>310</v>
      </c>
      <c r="EJ118" s="49" t="s">
        <v>303</v>
      </c>
      <c r="EK118" s="49" t="s">
        <v>687</v>
      </c>
      <c r="EM118" s="49" t="s">
        <v>303</v>
      </c>
      <c r="EN118" s="49" t="s">
        <v>396</v>
      </c>
      <c r="EP118" s="49" t="s">
        <v>298</v>
      </c>
      <c r="EQ118" s="0" t="n">
        <v>1</v>
      </c>
      <c r="ER118" s="49" t="s">
        <v>328</v>
      </c>
      <c r="ES118" s="49" t="s">
        <v>329</v>
      </c>
      <c r="ET118" s="49" t="s">
        <v>310</v>
      </c>
      <c r="EU118" s="49" t="s">
        <v>310</v>
      </c>
      <c r="EV118" s="49" t="s">
        <v>310</v>
      </c>
      <c r="EX118" s="49" t="s">
        <v>303</v>
      </c>
      <c r="EY118" s="49" t="s">
        <v>303</v>
      </c>
      <c r="FC118" s="49" t="s">
        <v>330</v>
      </c>
      <c r="FD118" s="49" t="s">
        <v>310</v>
      </c>
      <c r="FE118" s="49" t="s">
        <v>310</v>
      </c>
      <c r="FF118" s="49" t="s">
        <v>64</v>
      </c>
      <c r="FG118" s="49" t="s">
        <v>397</v>
      </c>
      <c r="FH118" s="49" t="s">
        <v>310</v>
      </c>
      <c r="FI118" s="49" t="s">
        <v>332</v>
      </c>
      <c r="FJ118" s="49" t="s">
        <v>303</v>
      </c>
      <c r="FL118" s="49" t="s">
        <v>325</v>
      </c>
      <c r="FM118" s="49" t="s">
        <v>641</v>
      </c>
      <c r="FP118" s="49" t="s">
        <v>303</v>
      </c>
      <c r="FR118" s="49" t="s">
        <v>303</v>
      </c>
      <c r="FT118" s="49" t="s">
        <v>325</v>
      </c>
      <c r="FU118" s="49" t="s">
        <v>325</v>
      </c>
      <c r="FW118" s="49" t="s">
        <v>333</v>
      </c>
    </row>
    <row r="119" customFormat="false" ht="15" hidden="false" customHeight="false" outlineLevel="0" collapsed="false">
      <c r="A119" s="0" t="n">
        <v>100879986</v>
      </c>
      <c r="B119" s="0" t="s">
        <v>295</v>
      </c>
      <c r="C119" s="0" t="s">
        <v>64</v>
      </c>
      <c r="D119" s="0" t="s">
        <v>65</v>
      </c>
      <c r="E119" s="0" t="s">
        <v>297</v>
      </c>
      <c r="G119" s="0" t="n">
        <v>1</v>
      </c>
      <c r="H119" s="0" t="s">
        <v>298</v>
      </c>
      <c r="I119" s="48" t="n">
        <v>46296</v>
      </c>
      <c r="J119" s="0" t="n">
        <v>0</v>
      </c>
      <c r="K119" s="49" t="s">
        <v>641</v>
      </c>
      <c r="L119" s="49" t="s">
        <v>335</v>
      </c>
      <c r="M119" s="48"/>
      <c r="O119" s="49" t="s">
        <v>445</v>
      </c>
      <c r="P119" s="48"/>
      <c r="Q119" s="48" t="n">
        <v>46296</v>
      </c>
      <c r="R119" s="48" t="n">
        <v>46302</v>
      </c>
      <c r="T119" s="49" t="s">
        <v>302</v>
      </c>
      <c r="U119" s="49" t="s">
        <v>303</v>
      </c>
      <c r="Y119" s="49" t="s">
        <v>312</v>
      </c>
      <c r="AD119" s="49" t="s">
        <v>305</v>
      </c>
      <c r="AE119" s="48" t="n">
        <v>46275</v>
      </c>
      <c r="AF119" s="49" t="s">
        <v>306</v>
      </c>
      <c r="AG119" s="49" t="s">
        <v>307</v>
      </c>
      <c r="AK119" s="49" t="s">
        <v>303</v>
      </c>
      <c r="AL119" s="49" t="s">
        <v>297</v>
      </c>
      <c r="AO119" s="49" t="s">
        <v>303</v>
      </c>
      <c r="AP119" s="48"/>
      <c r="AR119" s="49" t="s">
        <v>303</v>
      </c>
      <c r="AS119" s="49" t="s">
        <v>306</v>
      </c>
      <c r="AT119" s="49" t="s">
        <v>688</v>
      </c>
      <c r="AV119" s="49" t="s">
        <v>309</v>
      </c>
      <c r="AW119" s="49" t="s">
        <v>310</v>
      </c>
      <c r="AX119" s="49" t="s">
        <v>311</v>
      </c>
      <c r="AY119" s="48"/>
      <c r="AZ119" s="48" t="n">
        <v>46294</v>
      </c>
      <c r="BC119" s="49" t="s">
        <v>303</v>
      </c>
      <c r="BD119" s="48"/>
      <c r="BE119" s="49" t="s">
        <v>312</v>
      </c>
      <c r="BF119" s="49" t="s">
        <v>303</v>
      </c>
      <c r="BG119" s="48"/>
      <c r="BI119" s="48"/>
      <c r="BJ119" s="48" t="n">
        <v>46301</v>
      </c>
      <c r="BK119" s="49" t="s">
        <v>313</v>
      </c>
      <c r="BL119" s="49" t="s">
        <v>313</v>
      </c>
      <c r="BM119" s="49" t="s">
        <v>310</v>
      </c>
      <c r="BN119" s="48"/>
      <c r="BO119" s="48"/>
      <c r="BP119" s="48"/>
      <c r="BQ119" s="49" t="s">
        <v>641</v>
      </c>
      <c r="BR119" s="48" t="n">
        <v>46301</v>
      </c>
      <c r="BS119" s="49" t="s">
        <v>684</v>
      </c>
      <c r="BT119" s="49" t="s">
        <v>312</v>
      </c>
      <c r="BU119" s="49" t="s">
        <v>313</v>
      </c>
      <c r="BV119" s="49" t="s">
        <v>303</v>
      </c>
      <c r="BX119" s="0" t="n">
        <v>0</v>
      </c>
      <c r="CC119" s="49" t="s">
        <v>315</v>
      </c>
      <c r="CD119" s="49" t="s">
        <v>303</v>
      </c>
      <c r="CF119" s="49" t="s">
        <v>303</v>
      </c>
      <c r="CG119" s="49" t="s">
        <v>316</v>
      </c>
      <c r="CH119" s="49" t="s">
        <v>317</v>
      </c>
      <c r="CI119" s="49" t="s">
        <v>318</v>
      </c>
      <c r="CM119" s="49" t="s">
        <v>65</v>
      </c>
      <c r="CV119" s="49" t="s">
        <v>303</v>
      </c>
      <c r="DB119" s="49" t="s">
        <v>319</v>
      </c>
      <c r="DD119" s="48" t="n">
        <v>46275</v>
      </c>
      <c r="DF119" s="49" t="s">
        <v>310</v>
      </c>
      <c r="DG119" s="49" t="s">
        <v>320</v>
      </c>
      <c r="DH119" s="49" t="s">
        <v>64</v>
      </c>
      <c r="DI119" s="49" t="s">
        <v>298</v>
      </c>
      <c r="DJ119" s="49" t="s">
        <v>394</v>
      </c>
      <c r="DK119" s="49" t="s">
        <v>322</v>
      </c>
      <c r="DL119" s="49" t="s">
        <v>323</v>
      </c>
      <c r="DM119" s="49" t="s">
        <v>303</v>
      </c>
      <c r="DN119" s="49" t="s">
        <v>297</v>
      </c>
      <c r="DO119" s="48"/>
      <c r="DP119" s="49" t="s">
        <v>312</v>
      </c>
      <c r="DQ119" s="48"/>
      <c r="DR119" s="49" t="s">
        <v>312</v>
      </c>
      <c r="DS119" s="49" t="s">
        <v>303</v>
      </c>
      <c r="DT119" s="49" t="s">
        <v>303</v>
      </c>
      <c r="DW119" s="49" t="s">
        <v>303</v>
      </c>
      <c r="EA119" s="49" t="s">
        <v>324</v>
      </c>
      <c r="EB119" s="49" t="s">
        <v>303</v>
      </c>
      <c r="EF119" s="49" t="s">
        <v>679</v>
      </c>
      <c r="EH119" s="49" t="s">
        <v>310</v>
      </c>
      <c r="EJ119" s="49" t="s">
        <v>303</v>
      </c>
      <c r="EK119" s="49" t="s">
        <v>689</v>
      </c>
      <c r="EM119" s="49" t="s">
        <v>303</v>
      </c>
      <c r="EN119" s="49" t="s">
        <v>396</v>
      </c>
      <c r="EP119" s="49" t="s">
        <v>298</v>
      </c>
      <c r="EQ119" s="0" t="n">
        <v>1</v>
      </c>
      <c r="ER119" s="49" t="s">
        <v>328</v>
      </c>
      <c r="ES119" s="49" t="s">
        <v>329</v>
      </c>
      <c r="ET119" s="49" t="s">
        <v>310</v>
      </c>
      <c r="EU119" s="49" t="s">
        <v>310</v>
      </c>
      <c r="EV119" s="49" t="s">
        <v>310</v>
      </c>
      <c r="EX119" s="49" t="s">
        <v>303</v>
      </c>
      <c r="EY119" s="49" t="s">
        <v>303</v>
      </c>
      <c r="FC119" s="49" t="s">
        <v>330</v>
      </c>
      <c r="FD119" s="49" t="s">
        <v>310</v>
      </c>
      <c r="FE119" s="49" t="s">
        <v>310</v>
      </c>
      <c r="FF119" s="49" t="s">
        <v>64</v>
      </c>
      <c r="FG119" s="49" t="s">
        <v>397</v>
      </c>
      <c r="FH119" s="49" t="s">
        <v>310</v>
      </c>
      <c r="FI119" s="49" t="s">
        <v>332</v>
      </c>
      <c r="FJ119" s="49" t="s">
        <v>303</v>
      </c>
      <c r="FL119" s="49" t="s">
        <v>325</v>
      </c>
      <c r="FM119" s="49" t="s">
        <v>641</v>
      </c>
      <c r="FP119" s="49" t="s">
        <v>303</v>
      </c>
      <c r="FR119" s="49" t="s">
        <v>303</v>
      </c>
      <c r="FT119" s="49" t="s">
        <v>325</v>
      </c>
      <c r="FU119" s="49" t="s">
        <v>325</v>
      </c>
      <c r="FW119" s="49" t="s">
        <v>333</v>
      </c>
    </row>
    <row r="120" customFormat="false" ht="15" hidden="false" customHeight="false" outlineLevel="0" collapsed="false">
      <c r="A120" s="0" t="n">
        <v>100879987</v>
      </c>
      <c r="B120" s="0" t="s">
        <v>295</v>
      </c>
      <c r="C120" s="0" t="s">
        <v>64</v>
      </c>
      <c r="D120" s="0" t="s">
        <v>65</v>
      </c>
      <c r="E120" s="0" t="s">
        <v>297</v>
      </c>
      <c r="G120" s="0" t="n">
        <v>1</v>
      </c>
      <c r="H120" s="0" t="s">
        <v>298</v>
      </c>
      <c r="I120" s="48" t="n">
        <v>46296</v>
      </c>
      <c r="J120" s="0" t="n">
        <v>0</v>
      </c>
      <c r="K120" s="49" t="s">
        <v>641</v>
      </c>
      <c r="L120" s="49" t="s">
        <v>335</v>
      </c>
      <c r="M120" s="48"/>
      <c r="O120" s="49" t="s">
        <v>445</v>
      </c>
      <c r="P120" s="48"/>
      <c r="Q120" s="48" t="n">
        <v>46296</v>
      </c>
      <c r="R120" s="48" t="n">
        <v>46302</v>
      </c>
      <c r="T120" s="49" t="s">
        <v>302</v>
      </c>
      <c r="U120" s="49" t="s">
        <v>303</v>
      </c>
      <c r="Y120" s="49" t="s">
        <v>312</v>
      </c>
      <c r="AD120" s="49" t="s">
        <v>305</v>
      </c>
      <c r="AE120" s="48" t="n">
        <v>46275</v>
      </c>
      <c r="AF120" s="49" t="s">
        <v>306</v>
      </c>
      <c r="AG120" s="49" t="s">
        <v>307</v>
      </c>
      <c r="AK120" s="49" t="s">
        <v>303</v>
      </c>
      <c r="AL120" s="49" t="s">
        <v>297</v>
      </c>
      <c r="AO120" s="49" t="s">
        <v>303</v>
      </c>
      <c r="AP120" s="48"/>
      <c r="AR120" s="49" t="s">
        <v>303</v>
      </c>
      <c r="AS120" s="49" t="s">
        <v>306</v>
      </c>
      <c r="AT120" s="49" t="s">
        <v>690</v>
      </c>
      <c r="AV120" s="49" t="s">
        <v>309</v>
      </c>
      <c r="AW120" s="49" t="s">
        <v>310</v>
      </c>
      <c r="AX120" s="49" t="s">
        <v>311</v>
      </c>
      <c r="AY120" s="48"/>
      <c r="AZ120" s="48" t="n">
        <v>46294</v>
      </c>
      <c r="BC120" s="49" t="s">
        <v>303</v>
      </c>
      <c r="BD120" s="48"/>
      <c r="BE120" s="49" t="s">
        <v>312</v>
      </c>
      <c r="BF120" s="49" t="s">
        <v>303</v>
      </c>
      <c r="BG120" s="48"/>
      <c r="BI120" s="48"/>
      <c r="BJ120" s="48" t="n">
        <v>46301</v>
      </c>
      <c r="BK120" s="49" t="s">
        <v>313</v>
      </c>
      <c r="BL120" s="49" t="s">
        <v>313</v>
      </c>
      <c r="BM120" s="49" t="s">
        <v>310</v>
      </c>
      <c r="BN120" s="48"/>
      <c r="BO120" s="48"/>
      <c r="BP120" s="48"/>
      <c r="BQ120" s="49" t="s">
        <v>641</v>
      </c>
      <c r="BR120" s="48" t="n">
        <v>46301</v>
      </c>
      <c r="BS120" s="49" t="s">
        <v>691</v>
      </c>
      <c r="BT120" s="49" t="s">
        <v>312</v>
      </c>
      <c r="BU120" s="49" t="s">
        <v>313</v>
      </c>
      <c r="BV120" s="49" t="s">
        <v>303</v>
      </c>
      <c r="BX120" s="0" t="n">
        <v>0</v>
      </c>
      <c r="CC120" s="49" t="s">
        <v>315</v>
      </c>
      <c r="CD120" s="49" t="s">
        <v>303</v>
      </c>
      <c r="CF120" s="49" t="s">
        <v>303</v>
      </c>
      <c r="CG120" s="49" t="s">
        <v>316</v>
      </c>
      <c r="CH120" s="49" t="s">
        <v>317</v>
      </c>
      <c r="CI120" s="49" t="s">
        <v>318</v>
      </c>
      <c r="CM120" s="49" t="s">
        <v>65</v>
      </c>
      <c r="CV120" s="49" t="s">
        <v>303</v>
      </c>
      <c r="DB120" s="49" t="s">
        <v>319</v>
      </c>
      <c r="DD120" s="48" t="n">
        <v>46275</v>
      </c>
      <c r="DF120" s="49" t="s">
        <v>310</v>
      </c>
      <c r="DG120" s="49" t="s">
        <v>320</v>
      </c>
      <c r="DH120" s="49" t="s">
        <v>64</v>
      </c>
      <c r="DI120" s="49" t="s">
        <v>298</v>
      </c>
      <c r="DJ120" s="49" t="s">
        <v>394</v>
      </c>
      <c r="DK120" s="49" t="s">
        <v>322</v>
      </c>
      <c r="DL120" s="49" t="s">
        <v>323</v>
      </c>
      <c r="DM120" s="49" t="s">
        <v>303</v>
      </c>
      <c r="DN120" s="49" t="s">
        <v>297</v>
      </c>
      <c r="DO120" s="48"/>
      <c r="DP120" s="49" t="s">
        <v>312</v>
      </c>
      <c r="DQ120" s="48"/>
      <c r="DR120" s="49" t="s">
        <v>312</v>
      </c>
      <c r="DS120" s="49" t="s">
        <v>303</v>
      </c>
      <c r="DT120" s="49" t="s">
        <v>303</v>
      </c>
      <c r="DW120" s="49" t="s">
        <v>303</v>
      </c>
      <c r="EA120" s="49" t="s">
        <v>324</v>
      </c>
      <c r="EB120" s="49" t="s">
        <v>303</v>
      </c>
      <c r="EF120" s="49" t="s">
        <v>679</v>
      </c>
      <c r="EH120" s="49" t="s">
        <v>310</v>
      </c>
      <c r="EJ120" s="49" t="s">
        <v>303</v>
      </c>
      <c r="EK120" s="49" t="s">
        <v>692</v>
      </c>
      <c r="EM120" s="49" t="s">
        <v>303</v>
      </c>
      <c r="EN120" s="49" t="s">
        <v>396</v>
      </c>
      <c r="EP120" s="49" t="s">
        <v>298</v>
      </c>
      <c r="EQ120" s="0" t="n">
        <v>1</v>
      </c>
      <c r="ER120" s="49" t="s">
        <v>328</v>
      </c>
      <c r="ES120" s="49" t="s">
        <v>329</v>
      </c>
      <c r="ET120" s="49" t="s">
        <v>310</v>
      </c>
      <c r="EU120" s="49" t="s">
        <v>310</v>
      </c>
      <c r="EV120" s="49" t="s">
        <v>310</v>
      </c>
      <c r="EX120" s="49" t="s">
        <v>303</v>
      </c>
      <c r="EY120" s="49" t="s">
        <v>303</v>
      </c>
      <c r="FC120" s="49" t="s">
        <v>330</v>
      </c>
      <c r="FD120" s="49" t="s">
        <v>310</v>
      </c>
      <c r="FE120" s="49" t="s">
        <v>310</v>
      </c>
      <c r="FF120" s="49" t="s">
        <v>64</v>
      </c>
      <c r="FG120" s="49" t="s">
        <v>397</v>
      </c>
      <c r="FH120" s="49" t="s">
        <v>310</v>
      </c>
      <c r="FI120" s="49" t="s">
        <v>332</v>
      </c>
      <c r="FJ120" s="49" t="s">
        <v>303</v>
      </c>
      <c r="FL120" s="49" t="s">
        <v>325</v>
      </c>
      <c r="FM120" s="49" t="s">
        <v>641</v>
      </c>
      <c r="FP120" s="49" t="s">
        <v>303</v>
      </c>
      <c r="FR120" s="49" t="s">
        <v>303</v>
      </c>
      <c r="FT120" s="49" t="s">
        <v>325</v>
      </c>
      <c r="FU120" s="49" t="s">
        <v>325</v>
      </c>
      <c r="FW120" s="49" t="s">
        <v>333</v>
      </c>
    </row>
    <row r="121" customFormat="false" ht="15" hidden="false" customHeight="false" outlineLevel="0" collapsed="false">
      <c r="A121" s="0" t="n">
        <v>100879988</v>
      </c>
      <c r="B121" s="0" t="s">
        <v>295</v>
      </c>
      <c r="C121" s="0" t="s">
        <v>64</v>
      </c>
      <c r="D121" s="0" t="s">
        <v>65</v>
      </c>
      <c r="E121" s="0" t="s">
        <v>297</v>
      </c>
      <c r="G121" s="0" t="n">
        <v>1</v>
      </c>
      <c r="H121" s="0" t="s">
        <v>298</v>
      </c>
      <c r="I121" s="48" t="n">
        <v>46296</v>
      </c>
      <c r="J121" s="0" t="n">
        <v>0</v>
      </c>
      <c r="K121" s="49" t="s">
        <v>641</v>
      </c>
      <c r="L121" s="49" t="s">
        <v>335</v>
      </c>
      <c r="M121" s="48"/>
      <c r="O121" s="49" t="s">
        <v>445</v>
      </c>
      <c r="P121" s="48"/>
      <c r="Q121" s="48" t="n">
        <v>46296</v>
      </c>
      <c r="R121" s="48" t="n">
        <v>46302</v>
      </c>
      <c r="T121" s="49" t="s">
        <v>302</v>
      </c>
      <c r="U121" s="49" t="s">
        <v>303</v>
      </c>
      <c r="Y121" s="49" t="s">
        <v>312</v>
      </c>
      <c r="AD121" s="49" t="s">
        <v>305</v>
      </c>
      <c r="AE121" s="48" t="n">
        <v>46275</v>
      </c>
      <c r="AF121" s="49" t="s">
        <v>306</v>
      </c>
      <c r="AG121" s="49" t="s">
        <v>307</v>
      </c>
      <c r="AK121" s="49" t="s">
        <v>303</v>
      </c>
      <c r="AL121" s="49" t="s">
        <v>297</v>
      </c>
      <c r="AO121" s="49" t="s">
        <v>303</v>
      </c>
      <c r="AP121" s="48"/>
      <c r="AR121" s="49" t="s">
        <v>303</v>
      </c>
      <c r="AS121" s="49" t="s">
        <v>306</v>
      </c>
      <c r="AT121" s="49" t="s">
        <v>693</v>
      </c>
      <c r="AV121" s="49" t="s">
        <v>309</v>
      </c>
      <c r="AW121" s="49" t="s">
        <v>310</v>
      </c>
      <c r="AX121" s="49" t="s">
        <v>311</v>
      </c>
      <c r="AY121" s="48"/>
      <c r="AZ121" s="48" t="n">
        <v>46294</v>
      </c>
      <c r="BC121" s="49" t="s">
        <v>303</v>
      </c>
      <c r="BD121" s="48"/>
      <c r="BE121" s="49" t="s">
        <v>312</v>
      </c>
      <c r="BF121" s="49" t="s">
        <v>303</v>
      </c>
      <c r="BG121" s="48"/>
      <c r="BI121" s="48"/>
      <c r="BJ121" s="48" t="n">
        <v>46301</v>
      </c>
      <c r="BK121" s="49" t="s">
        <v>313</v>
      </c>
      <c r="BL121" s="49" t="s">
        <v>313</v>
      </c>
      <c r="BM121" s="49" t="s">
        <v>310</v>
      </c>
      <c r="BN121" s="48"/>
      <c r="BO121" s="48"/>
      <c r="BP121" s="48"/>
      <c r="BQ121" s="49" t="s">
        <v>641</v>
      </c>
      <c r="BR121" s="48" t="n">
        <v>46301</v>
      </c>
      <c r="BS121" s="49" t="s">
        <v>691</v>
      </c>
      <c r="BT121" s="49" t="s">
        <v>312</v>
      </c>
      <c r="BU121" s="49" t="s">
        <v>313</v>
      </c>
      <c r="BV121" s="49" t="s">
        <v>303</v>
      </c>
      <c r="BX121" s="0" t="n">
        <v>0</v>
      </c>
      <c r="CC121" s="49" t="s">
        <v>315</v>
      </c>
      <c r="CD121" s="49" t="s">
        <v>303</v>
      </c>
      <c r="CF121" s="49" t="s">
        <v>303</v>
      </c>
      <c r="CG121" s="49" t="s">
        <v>316</v>
      </c>
      <c r="CH121" s="49" t="s">
        <v>317</v>
      </c>
      <c r="CI121" s="49" t="s">
        <v>318</v>
      </c>
      <c r="CM121" s="49" t="s">
        <v>65</v>
      </c>
      <c r="CV121" s="49" t="s">
        <v>303</v>
      </c>
      <c r="DB121" s="49" t="s">
        <v>319</v>
      </c>
      <c r="DD121" s="48" t="n">
        <v>46275</v>
      </c>
      <c r="DF121" s="49" t="s">
        <v>310</v>
      </c>
      <c r="DG121" s="49" t="s">
        <v>320</v>
      </c>
      <c r="DH121" s="49" t="s">
        <v>64</v>
      </c>
      <c r="DI121" s="49" t="s">
        <v>298</v>
      </c>
      <c r="DJ121" s="49" t="s">
        <v>394</v>
      </c>
      <c r="DK121" s="49" t="s">
        <v>322</v>
      </c>
      <c r="DL121" s="49" t="s">
        <v>323</v>
      </c>
      <c r="DM121" s="49" t="s">
        <v>303</v>
      </c>
      <c r="DN121" s="49" t="s">
        <v>297</v>
      </c>
      <c r="DO121" s="48"/>
      <c r="DP121" s="49" t="s">
        <v>312</v>
      </c>
      <c r="DQ121" s="48"/>
      <c r="DR121" s="49" t="s">
        <v>312</v>
      </c>
      <c r="DS121" s="49" t="s">
        <v>303</v>
      </c>
      <c r="DT121" s="49" t="s">
        <v>303</v>
      </c>
      <c r="DW121" s="49" t="s">
        <v>303</v>
      </c>
      <c r="EA121" s="49" t="s">
        <v>324</v>
      </c>
      <c r="EB121" s="49" t="s">
        <v>303</v>
      </c>
      <c r="EF121" s="49" t="s">
        <v>679</v>
      </c>
      <c r="EH121" s="49" t="s">
        <v>310</v>
      </c>
      <c r="EJ121" s="49" t="s">
        <v>303</v>
      </c>
      <c r="EK121" s="49" t="s">
        <v>694</v>
      </c>
      <c r="EM121" s="49" t="s">
        <v>303</v>
      </c>
      <c r="EN121" s="49" t="s">
        <v>396</v>
      </c>
      <c r="EP121" s="49" t="s">
        <v>298</v>
      </c>
      <c r="EQ121" s="0" t="n">
        <v>1</v>
      </c>
      <c r="ER121" s="49" t="s">
        <v>328</v>
      </c>
      <c r="ES121" s="49" t="s">
        <v>329</v>
      </c>
      <c r="ET121" s="49" t="s">
        <v>310</v>
      </c>
      <c r="EU121" s="49" t="s">
        <v>310</v>
      </c>
      <c r="EV121" s="49" t="s">
        <v>310</v>
      </c>
      <c r="EX121" s="49" t="s">
        <v>303</v>
      </c>
      <c r="EY121" s="49" t="s">
        <v>303</v>
      </c>
      <c r="FC121" s="49" t="s">
        <v>330</v>
      </c>
      <c r="FD121" s="49" t="s">
        <v>310</v>
      </c>
      <c r="FE121" s="49" t="s">
        <v>310</v>
      </c>
      <c r="FF121" s="49" t="s">
        <v>64</v>
      </c>
      <c r="FG121" s="49" t="s">
        <v>397</v>
      </c>
      <c r="FH121" s="49" t="s">
        <v>310</v>
      </c>
      <c r="FI121" s="49" t="s">
        <v>332</v>
      </c>
      <c r="FJ121" s="49" t="s">
        <v>303</v>
      </c>
      <c r="FL121" s="49" t="s">
        <v>325</v>
      </c>
      <c r="FM121" s="49" t="s">
        <v>641</v>
      </c>
      <c r="FP121" s="49" t="s">
        <v>303</v>
      </c>
      <c r="FR121" s="49" t="s">
        <v>303</v>
      </c>
      <c r="FT121" s="49" t="s">
        <v>325</v>
      </c>
      <c r="FU121" s="49" t="s">
        <v>325</v>
      </c>
      <c r="FW121" s="49" t="s">
        <v>333</v>
      </c>
    </row>
    <row r="122" customFormat="false" ht="15" hidden="false" customHeight="false" outlineLevel="0" collapsed="false">
      <c r="A122" s="0" t="n">
        <v>100879989</v>
      </c>
      <c r="B122" s="0" t="s">
        <v>295</v>
      </c>
      <c r="C122" s="0" t="s">
        <v>64</v>
      </c>
      <c r="D122" s="0" t="s">
        <v>65</v>
      </c>
      <c r="E122" s="0" t="s">
        <v>297</v>
      </c>
      <c r="G122" s="0" t="n">
        <v>1</v>
      </c>
      <c r="H122" s="0" t="s">
        <v>298</v>
      </c>
      <c r="I122" s="48" t="n">
        <v>46296</v>
      </c>
      <c r="J122" s="0" t="n">
        <v>0</v>
      </c>
      <c r="K122" s="49" t="s">
        <v>641</v>
      </c>
      <c r="L122" s="49" t="s">
        <v>335</v>
      </c>
      <c r="M122" s="48"/>
      <c r="O122" s="49" t="s">
        <v>445</v>
      </c>
      <c r="P122" s="48"/>
      <c r="Q122" s="48" t="n">
        <v>46296</v>
      </c>
      <c r="R122" s="48" t="n">
        <v>46302</v>
      </c>
      <c r="T122" s="49" t="s">
        <v>302</v>
      </c>
      <c r="U122" s="49" t="s">
        <v>303</v>
      </c>
      <c r="Y122" s="49" t="s">
        <v>312</v>
      </c>
      <c r="AD122" s="49" t="s">
        <v>305</v>
      </c>
      <c r="AE122" s="48" t="n">
        <v>46275</v>
      </c>
      <c r="AF122" s="49" t="s">
        <v>306</v>
      </c>
      <c r="AG122" s="49" t="s">
        <v>307</v>
      </c>
      <c r="AK122" s="49" t="s">
        <v>303</v>
      </c>
      <c r="AL122" s="49" t="s">
        <v>297</v>
      </c>
      <c r="AO122" s="49" t="s">
        <v>303</v>
      </c>
      <c r="AP122" s="48"/>
      <c r="AR122" s="49" t="s">
        <v>303</v>
      </c>
      <c r="AS122" s="49" t="s">
        <v>306</v>
      </c>
      <c r="AT122" s="49" t="s">
        <v>695</v>
      </c>
      <c r="AV122" s="49" t="s">
        <v>309</v>
      </c>
      <c r="AW122" s="49" t="s">
        <v>310</v>
      </c>
      <c r="AX122" s="49" t="s">
        <v>311</v>
      </c>
      <c r="AY122" s="48"/>
      <c r="AZ122" s="48" t="n">
        <v>46294</v>
      </c>
      <c r="BC122" s="49" t="s">
        <v>303</v>
      </c>
      <c r="BD122" s="48"/>
      <c r="BE122" s="49" t="s">
        <v>312</v>
      </c>
      <c r="BF122" s="49" t="s">
        <v>303</v>
      </c>
      <c r="BG122" s="48"/>
      <c r="BI122" s="48"/>
      <c r="BJ122" s="48" t="n">
        <v>46301</v>
      </c>
      <c r="BK122" s="49" t="s">
        <v>313</v>
      </c>
      <c r="BL122" s="49" t="s">
        <v>313</v>
      </c>
      <c r="BM122" s="49" t="s">
        <v>310</v>
      </c>
      <c r="BN122" s="48"/>
      <c r="BO122" s="48"/>
      <c r="BP122" s="48"/>
      <c r="BQ122" s="49" t="s">
        <v>641</v>
      </c>
      <c r="BR122" s="48" t="n">
        <v>46301</v>
      </c>
      <c r="BS122" s="49" t="s">
        <v>691</v>
      </c>
      <c r="BT122" s="49" t="s">
        <v>312</v>
      </c>
      <c r="BU122" s="49" t="s">
        <v>313</v>
      </c>
      <c r="BV122" s="49" t="s">
        <v>303</v>
      </c>
      <c r="BX122" s="0" t="n">
        <v>0</v>
      </c>
      <c r="CC122" s="49" t="s">
        <v>315</v>
      </c>
      <c r="CD122" s="49" t="s">
        <v>303</v>
      </c>
      <c r="CF122" s="49" t="s">
        <v>303</v>
      </c>
      <c r="CG122" s="49" t="s">
        <v>316</v>
      </c>
      <c r="CH122" s="49" t="s">
        <v>317</v>
      </c>
      <c r="CI122" s="49" t="s">
        <v>318</v>
      </c>
      <c r="CM122" s="49" t="s">
        <v>65</v>
      </c>
      <c r="CV122" s="49" t="s">
        <v>303</v>
      </c>
      <c r="DB122" s="49" t="s">
        <v>319</v>
      </c>
      <c r="DD122" s="48" t="n">
        <v>46275</v>
      </c>
      <c r="DF122" s="49" t="s">
        <v>310</v>
      </c>
      <c r="DG122" s="49" t="s">
        <v>320</v>
      </c>
      <c r="DH122" s="49" t="s">
        <v>64</v>
      </c>
      <c r="DI122" s="49" t="s">
        <v>298</v>
      </c>
      <c r="DJ122" s="49" t="s">
        <v>394</v>
      </c>
      <c r="DK122" s="49" t="s">
        <v>322</v>
      </c>
      <c r="DL122" s="49" t="s">
        <v>323</v>
      </c>
      <c r="DM122" s="49" t="s">
        <v>303</v>
      </c>
      <c r="DN122" s="49" t="s">
        <v>297</v>
      </c>
      <c r="DO122" s="48"/>
      <c r="DP122" s="49" t="s">
        <v>312</v>
      </c>
      <c r="DQ122" s="48"/>
      <c r="DR122" s="49" t="s">
        <v>312</v>
      </c>
      <c r="DS122" s="49" t="s">
        <v>303</v>
      </c>
      <c r="DT122" s="49" t="s">
        <v>303</v>
      </c>
      <c r="DW122" s="49" t="s">
        <v>303</v>
      </c>
      <c r="EA122" s="49" t="s">
        <v>324</v>
      </c>
      <c r="EB122" s="49" t="s">
        <v>303</v>
      </c>
      <c r="EF122" s="49" t="s">
        <v>679</v>
      </c>
      <c r="EH122" s="49" t="s">
        <v>310</v>
      </c>
      <c r="EJ122" s="49" t="s">
        <v>303</v>
      </c>
      <c r="EK122" s="49" t="s">
        <v>696</v>
      </c>
      <c r="EM122" s="49" t="s">
        <v>303</v>
      </c>
      <c r="EN122" s="49" t="s">
        <v>396</v>
      </c>
      <c r="EP122" s="49" t="s">
        <v>298</v>
      </c>
      <c r="EQ122" s="0" t="n">
        <v>1</v>
      </c>
      <c r="ER122" s="49" t="s">
        <v>328</v>
      </c>
      <c r="ES122" s="49" t="s">
        <v>329</v>
      </c>
      <c r="ET122" s="49" t="s">
        <v>310</v>
      </c>
      <c r="EU122" s="49" t="s">
        <v>310</v>
      </c>
      <c r="EV122" s="49" t="s">
        <v>310</v>
      </c>
      <c r="EX122" s="49" t="s">
        <v>303</v>
      </c>
      <c r="EY122" s="49" t="s">
        <v>303</v>
      </c>
      <c r="FC122" s="49" t="s">
        <v>330</v>
      </c>
      <c r="FD122" s="49" t="s">
        <v>310</v>
      </c>
      <c r="FE122" s="49" t="s">
        <v>310</v>
      </c>
      <c r="FF122" s="49" t="s">
        <v>64</v>
      </c>
      <c r="FG122" s="49" t="s">
        <v>397</v>
      </c>
      <c r="FH122" s="49" t="s">
        <v>310</v>
      </c>
      <c r="FI122" s="49" t="s">
        <v>332</v>
      </c>
      <c r="FJ122" s="49" t="s">
        <v>303</v>
      </c>
      <c r="FL122" s="49" t="s">
        <v>325</v>
      </c>
      <c r="FM122" s="49" t="s">
        <v>641</v>
      </c>
      <c r="FP122" s="49" t="s">
        <v>303</v>
      </c>
      <c r="FR122" s="49" t="s">
        <v>303</v>
      </c>
      <c r="FT122" s="49" t="s">
        <v>325</v>
      </c>
      <c r="FU122" s="49" t="s">
        <v>325</v>
      </c>
      <c r="FW122" s="49" t="s">
        <v>333</v>
      </c>
    </row>
    <row r="123" customFormat="false" ht="15" hidden="false" customHeight="false" outlineLevel="0" collapsed="false">
      <c r="A123" s="0" t="n">
        <v>100879990</v>
      </c>
      <c r="B123" s="0" t="s">
        <v>295</v>
      </c>
      <c r="C123" s="0" t="s">
        <v>64</v>
      </c>
      <c r="D123" s="0" t="s">
        <v>65</v>
      </c>
      <c r="E123" s="0" t="s">
        <v>297</v>
      </c>
      <c r="G123" s="0" t="n">
        <v>1</v>
      </c>
      <c r="H123" s="0" t="s">
        <v>298</v>
      </c>
      <c r="I123" s="48" t="n">
        <v>46296</v>
      </c>
      <c r="J123" s="0" t="n">
        <v>0</v>
      </c>
      <c r="K123" s="49" t="s">
        <v>641</v>
      </c>
      <c r="L123" s="49" t="s">
        <v>335</v>
      </c>
      <c r="M123" s="48"/>
      <c r="O123" s="49" t="s">
        <v>445</v>
      </c>
      <c r="P123" s="48"/>
      <c r="Q123" s="48" t="n">
        <v>46296</v>
      </c>
      <c r="R123" s="48" t="n">
        <v>46302</v>
      </c>
      <c r="T123" s="49" t="s">
        <v>302</v>
      </c>
      <c r="U123" s="49" t="s">
        <v>303</v>
      </c>
      <c r="Y123" s="49" t="s">
        <v>312</v>
      </c>
      <c r="AD123" s="49" t="s">
        <v>305</v>
      </c>
      <c r="AE123" s="48" t="n">
        <v>46275</v>
      </c>
      <c r="AF123" s="49" t="s">
        <v>306</v>
      </c>
      <c r="AG123" s="49" t="s">
        <v>307</v>
      </c>
      <c r="AK123" s="49" t="s">
        <v>303</v>
      </c>
      <c r="AL123" s="49" t="s">
        <v>297</v>
      </c>
      <c r="AO123" s="49" t="s">
        <v>303</v>
      </c>
      <c r="AP123" s="48"/>
      <c r="AR123" s="49" t="s">
        <v>303</v>
      </c>
      <c r="AS123" s="49" t="s">
        <v>306</v>
      </c>
      <c r="AT123" s="49" t="s">
        <v>697</v>
      </c>
      <c r="AV123" s="49" t="s">
        <v>309</v>
      </c>
      <c r="AW123" s="49" t="s">
        <v>310</v>
      </c>
      <c r="AX123" s="49" t="s">
        <v>311</v>
      </c>
      <c r="AY123" s="48"/>
      <c r="AZ123" s="48" t="n">
        <v>46294</v>
      </c>
      <c r="BC123" s="49" t="s">
        <v>303</v>
      </c>
      <c r="BD123" s="48"/>
      <c r="BE123" s="49" t="s">
        <v>312</v>
      </c>
      <c r="BF123" s="49" t="s">
        <v>303</v>
      </c>
      <c r="BG123" s="48"/>
      <c r="BI123" s="48"/>
      <c r="BJ123" s="48" t="n">
        <v>46301</v>
      </c>
      <c r="BK123" s="49" t="s">
        <v>313</v>
      </c>
      <c r="BL123" s="49" t="s">
        <v>313</v>
      </c>
      <c r="BM123" s="49" t="s">
        <v>310</v>
      </c>
      <c r="BN123" s="48"/>
      <c r="BO123" s="48"/>
      <c r="BP123" s="48"/>
      <c r="BQ123" s="49" t="s">
        <v>641</v>
      </c>
      <c r="BR123" s="48" t="n">
        <v>46301</v>
      </c>
      <c r="BS123" s="49" t="s">
        <v>698</v>
      </c>
      <c r="BT123" s="49" t="s">
        <v>312</v>
      </c>
      <c r="BU123" s="49" t="s">
        <v>313</v>
      </c>
      <c r="BV123" s="49" t="s">
        <v>303</v>
      </c>
      <c r="BX123" s="0" t="n">
        <v>0</v>
      </c>
      <c r="CC123" s="49" t="s">
        <v>315</v>
      </c>
      <c r="CD123" s="49" t="s">
        <v>303</v>
      </c>
      <c r="CF123" s="49" t="s">
        <v>303</v>
      </c>
      <c r="CG123" s="49" t="s">
        <v>316</v>
      </c>
      <c r="CH123" s="49" t="s">
        <v>317</v>
      </c>
      <c r="CI123" s="49" t="s">
        <v>318</v>
      </c>
      <c r="CM123" s="49" t="s">
        <v>65</v>
      </c>
      <c r="CV123" s="49" t="s">
        <v>303</v>
      </c>
      <c r="DB123" s="49" t="s">
        <v>319</v>
      </c>
      <c r="DD123" s="48" t="n">
        <v>46275</v>
      </c>
      <c r="DF123" s="49" t="s">
        <v>310</v>
      </c>
      <c r="DG123" s="49" t="s">
        <v>320</v>
      </c>
      <c r="DH123" s="49" t="s">
        <v>64</v>
      </c>
      <c r="DI123" s="49" t="s">
        <v>298</v>
      </c>
      <c r="DJ123" s="49" t="s">
        <v>394</v>
      </c>
      <c r="DK123" s="49" t="s">
        <v>322</v>
      </c>
      <c r="DL123" s="49" t="s">
        <v>323</v>
      </c>
      <c r="DM123" s="49" t="s">
        <v>303</v>
      </c>
      <c r="DN123" s="49" t="s">
        <v>297</v>
      </c>
      <c r="DO123" s="48"/>
      <c r="DP123" s="49" t="s">
        <v>312</v>
      </c>
      <c r="DQ123" s="48"/>
      <c r="DR123" s="49" t="s">
        <v>312</v>
      </c>
      <c r="DS123" s="49" t="s">
        <v>303</v>
      </c>
      <c r="DT123" s="49" t="s">
        <v>303</v>
      </c>
      <c r="DW123" s="49" t="s">
        <v>303</v>
      </c>
      <c r="EA123" s="49" t="s">
        <v>324</v>
      </c>
      <c r="EB123" s="49" t="s">
        <v>303</v>
      </c>
      <c r="EF123" s="49" t="s">
        <v>679</v>
      </c>
      <c r="EH123" s="49" t="s">
        <v>310</v>
      </c>
      <c r="EJ123" s="49" t="s">
        <v>303</v>
      </c>
      <c r="EK123" s="49" t="s">
        <v>699</v>
      </c>
      <c r="EM123" s="49" t="s">
        <v>303</v>
      </c>
      <c r="EN123" s="49" t="s">
        <v>396</v>
      </c>
      <c r="EP123" s="49" t="s">
        <v>298</v>
      </c>
      <c r="EQ123" s="0" t="n">
        <v>1</v>
      </c>
      <c r="ER123" s="49" t="s">
        <v>328</v>
      </c>
      <c r="ES123" s="49" t="s">
        <v>329</v>
      </c>
      <c r="ET123" s="49" t="s">
        <v>310</v>
      </c>
      <c r="EU123" s="49" t="s">
        <v>310</v>
      </c>
      <c r="EV123" s="49" t="s">
        <v>310</v>
      </c>
      <c r="EX123" s="49" t="s">
        <v>303</v>
      </c>
      <c r="EY123" s="49" t="s">
        <v>303</v>
      </c>
      <c r="FC123" s="49" t="s">
        <v>330</v>
      </c>
      <c r="FD123" s="49" t="s">
        <v>310</v>
      </c>
      <c r="FE123" s="49" t="s">
        <v>310</v>
      </c>
      <c r="FF123" s="49" t="s">
        <v>64</v>
      </c>
      <c r="FG123" s="49" t="s">
        <v>397</v>
      </c>
      <c r="FH123" s="49" t="s">
        <v>310</v>
      </c>
      <c r="FI123" s="49" t="s">
        <v>332</v>
      </c>
      <c r="FJ123" s="49" t="s">
        <v>303</v>
      </c>
      <c r="FL123" s="49" t="s">
        <v>325</v>
      </c>
      <c r="FM123" s="49" t="s">
        <v>641</v>
      </c>
      <c r="FP123" s="49" t="s">
        <v>303</v>
      </c>
      <c r="FR123" s="49" t="s">
        <v>303</v>
      </c>
      <c r="FT123" s="49" t="s">
        <v>325</v>
      </c>
      <c r="FU123" s="49" t="s">
        <v>325</v>
      </c>
      <c r="FW123" s="49" t="s">
        <v>333</v>
      </c>
    </row>
    <row r="124" customFormat="false" ht="15" hidden="false" customHeight="false" outlineLevel="0" collapsed="false">
      <c r="A124" s="0" t="n">
        <v>100879991</v>
      </c>
      <c r="B124" s="0" t="s">
        <v>295</v>
      </c>
      <c r="C124" s="0" t="s">
        <v>64</v>
      </c>
      <c r="D124" s="0" t="s">
        <v>65</v>
      </c>
      <c r="E124" s="0" t="s">
        <v>297</v>
      </c>
      <c r="G124" s="0" t="n">
        <v>1</v>
      </c>
      <c r="H124" s="0" t="s">
        <v>298</v>
      </c>
      <c r="I124" s="48" t="n">
        <v>46296</v>
      </c>
      <c r="J124" s="0" t="n">
        <v>0</v>
      </c>
      <c r="K124" s="49" t="s">
        <v>641</v>
      </c>
      <c r="L124" s="49" t="s">
        <v>335</v>
      </c>
      <c r="M124" s="48"/>
      <c r="O124" s="49" t="s">
        <v>445</v>
      </c>
      <c r="P124" s="48"/>
      <c r="Q124" s="48" t="n">
        <v>46296</v>
      </c>
      <c r="R124" s="48" t="n">
        <v>46302</v>
      </c>
      <c r="T124" s="49" t="s">
        <v>302</v>
      </c>
      <c r="U124" s="49" t="s">
        <v>303</v>
      </c>
      <c r="Y124" s="49" t="s">
        <v>312</v>
      </c>
      <c r="AD124" s="49" t="s">
        <v>305</v>
      </c>
      <c r="AE124" s="48" t="n">
        <v>46275</v>
      </c>
      <c r="AF124" s="49" t="s">
        <v>306</v>
      </c>
      <c r="AG124" s="49" t="s">
        <v>307</v>
      </c>
      <c r="AK124" s="49" t="s">
        <v>303</v>
      </c>
      <c r="AL124" s="49" t="s">
        <v>297</v>
      </c>
      <c r="AO124" s="49" t="s">
        <v>303</v>
      </c>
      <c r="AP124" s="48"/>
      <c r="AR124" s="49" t="s">
        <v>303</v>
      </c>
      <c r="AS124" s="49" t="s">
        <v>306</v>
      </c>
      <c r="AT124" s="49" t="s">
        <v>700</v>
      </c>
      <c r="AV124" s="49" t="s">
        <v>309</v>
      </c>
      <c r="AW124" s="49" t="s">
        <v>310</v>
      </c>
      <c r="AX124" s="49" t="s">
        <v>311</v>
      </c>
      <c r="AY124" s="48"/>
      <c r="AZ124" s="48" t="n">
        <v>46294</v>
      </c>
      <c r="BC124" s="49" t="s">
        <v>303</v>
      </c>
      <c r="BD124" s="48"/>
      <c r="BE124" s="49" t="s">
        <v>312</v>
      </c>
      <c r="BF124" s="49" t="s">
        <v>303</v>
      </c>
      <c r="BG124" s="48"/>
      <c r="BI124" s="48"/>
      <c r="BJ124" s="48" t="n">
        <v>46301</v>
      </c>
      <c r="BK124" s="49" t="s">
        <v>313</v>
      </c>
      <c r="BL124" s="49" t="s">
        <v>313</v>
      </c>
      <c r="BM124" s="49" t="s">
        <v>310</v>
      </c>
      <c r="BN124" s="48"/>
      <c r="BO124" s="48"/>
      <c r="BP124" s="48"/>
      <c r="BQ124" s="49" t="s">
        <v>641</v>
      </c>
      <c r="BR124" s="48" t="n">
        <v>46301</v>
      </c>
      <c r="BS124" s="49" t="s">
        <v>698</v>
      </c>
      <c r="BT124" s="49" t="s">
        <v>312</v>
      </c>
      <c r="BU124" s="49" t="s">
        <v>313</v>
      </c>
      <c r="BV124" s="49" t="s">
        <v>303</v>
      </c>
      <c r="BX124" s="0" t="n">
        <v>0</v>
      </c>
      <c r="CC124" s="49" t="s">
        <v>315</v>
      </c>
      <c r="CD124" s="49" t="s">
        <v>303</v>
      </c>
      <c r="CF124" s="49" t="s">
        <v>303</v>
      </c>
      <c r="CG124" s="49" t="s">
        <v>316</v>
      </c>
      <c r="CH124" s="49" t="s">
        <v>317</v>
      </c>
      <c r="CI124" s="49" t="s">
        <v>318</v>
      </c>
      <c r="CM124" s="49" t="s">
        <v>65</v>
      </c>
      <c r="CV124" s="49" t="s">
        <v>303</v>
      </c>
      <c r="DB124" s="49" t="s">
        <v>319</v>
      </c>
      <c r="DD124" s="48" t="n">
        <v>46275</v>
      </c>
      <c r="DF124" s="49" t="s">
        <v>310</v>
      </c>
      <c r="DG124" s="49" t="s">
        <v>320</v>
      </c>
      <c r="DH124" s="49" t="s">
        <v>64</v>
      </c>
      <c r="DI124" s="49" t="s">
        <v>298</v>
      </c>
      <c r="DJ124" s="49" t="s">
        <v>394</v>
      </c>
      <c r="DK124" s="49" t="s">
        <v>322</v>
      </c>
      <c r="DL124" s="49" t="s">
        <v>323</v>
      </c>
      <c r="DM124" s="49" t="s">
        <v>303</v>
      </c>
      <c r="DN124" s="49" t="s">
        <v>297</v>
      </c>
      <c r="DO124" s="48"/>
      <c r="DP124" s="49" t="s">
        <v>312</v>
      </c>
      <c r="DQ124" s="48"/>
      <c r="DR124" s="49" t="s">
        <v>312</v>
      </c>
      <c r="DS124" s="49" t="s">
        <v>303</v>
      </c>
      <c r="DT124" s="49" t="s">
        <v>303</v>
      </c>
      <c r="DW124" s="49" t="s">
        <v>303</v>
      </c>
      <c r="EA124" s="49" t="s">
        <v>324</v>
      </c>
      <c r="EB124" s="49" t="s">
        <v>303</v>
      </c>
      <c r="EF124" s="49" t="s">
        <v>679</v>
      </c>
      <c r="EH124" s="49" t="s">
        <v>310</v>
      </c>
      <c r="EJ124" s="49" t="s">
        <v>303</v>
      </c>
      <c r="EK124" s="49" t="s">
        <v>701</v>
      </c>
      <c r="EM124" s="49" t="s">
        <v>303</v>
      </c>
      <c r="EN124" s="49" t="s">
        <v>396</v>
      </c>
      <c r="EP124" s="49" t="s">
        <v>298</v>
      </c>
      <c r="EQ124" s="0" t="n">
        <v>1</v>
      </c>
      <c r="ER124" s="49" t="s">
        <v>328</v>
      </c>
      <c r="ES124" s="49" t="s">
        <v>329</v>
      </c>
      <c r="ET124" s="49" t="s">
        <v>310</v>
      </c>
      <c r="EU124" s="49" t="s">
        <v>310</v>
      </c>
      <c r="EV124" s="49" t="s">
        <v>310</v>
      </c>
      <c r="EX124" s="49" t="s">
        <v>303</v>
      </c>
      <c r="EY124" s="49" t="s">
        <v>303</v>
      </c>
      <c r="FC124" s="49" t="s">
        <v>330</v>
      </c>
      <c r="FD124" s="49" t="s">
        <v>310</v>
      </c>
      <c r="FE124" s="49" t="s">
        <v>310</v>
      </c>
      <c r="FF124" s="49" t="s">
        <v>64</v>
      </c>
      <c r="FG124" s="49" t="s">
        <v>397</v>
      </c>
      <c r="FH124" s="49" t="s">
        <v>310</v>
      </c>
      <c r="FI124" s="49" t="s">
        <v>332</v>
      </c>
      <c r="FJ124" s="49" t="s">
        <v>303</v>
      </c>
      <c r="FL124" s="49" t="s">
        <v>325</v>
      </c>
      <c r="FM124" s="49" t="s">
        <v>641</v>
      </c>
      <c r="FP124" s="49" t="s">
        <v>303</v>
      </c>
      <c r="FR124" s="49" t="s">
        <v>303</v>
      </c>
      <c r="FT124" s="49" t="s">
        <v>325</v>
      </c>
      <c r="FU124" s="49" t="s">
        <v>325</v>
      </c>
      <c r="FW124" s="49" t="s">
        <v>333</v>
      </c>
    </row>
    <row r="125" customFormat="false" ht="15" hidden="false" customHeight="false" outlineLevel="0" collapsed="false">
      <c r="A125" s="0" t="n">
        <v>100879992</v>
      </c>
      <c r="B125" s="0" t="s">
        <v>295</v>
      </c>
      <c r="C125" s="0" t="s">
        <v>64</v>
      </c>
      <c r="D125" s="0" t="s">
        <v>65</v>
      </c>
      <c r="E125" s="0" t="s">
        <v>297</v>
      </c>
      <c r="G125" s="0" t="n">
        <v>1</v>
      </c>
      <c r="H125" s="0" t="s">
        <v>298</v>
      </c>
      <c r="I125" s="48" t="n">
        <v>46296</v>
      </c>
      <c r="J125" s="0" t="n">
        <v>0</v>
      </c>
      <c r="K125" s="49" t="s">
        <v>641</v>
      </c>
      <c r="L125" s="49" t="s">
        <v>335</v>
      </c>
      <c r="M125" s="48"/>
      <c r="O125" s="49" t="s">
        <v>445</v>
      </c>
      <c r="P125" s="48"/>
      <c r="Q125" s="48" t="n">
        <v>46296</v>
      </c>
      <c r="R125" s="48" t="n">
        <v>46302</v>
      </c>
      <c r="T125" s="49" t="s">
        <v>302</v>
      </c>
      <c r="U125" s="49" t="s">
        <v>303</v>
      </c>
      <c r="Y125" s="49" t="s">
        <v>312</v>
      </c>
      <c r="AD125" s="49" t="s">
        <v>305</v>
      </c>
      <c r="AE125" s="48" t="n">
        <v>46275</v>
      </c>
      <c r="AF125" s="49" t="s">
        <v>306</v>
      </c>
      <c r="AG125" s="49" t="s">
        <v>307</v>
      </c>
      <c r="AK125" s="49" t="s">
        <v>303</v>
      </c>
      <c r="AL125" s="49" t="s">
        <v>297</v>
      </c>
      <c r="AO125" s="49" t="s">
        <v>303</v>
      </c>
      <c r="AP125" s="48"/>
      <c r="AR125" s="49" t="s">
        <v>303</v>
      </c>
      <c r="AS125" s="49" t="s">
        <v>306</v>
      </c>
      <c r="AT125" s="49" t="s">
        <v>702</v>
      </c>
      <c r="AV125" s="49" t="s">
        <v>309</v>
      </c>
      <c r="AW125" s="49" t="s">
        <v>310</v>
      </c>
      <c r="AX125" s="49" t="s">
        <v>311</v>
      </c>
      <c r="AY125" s="48"/>
      <c r="AZ125" s="48" t="n">
        <v>46294</v>
      </c>
      <c r="BC125" s="49" t="s">
        <v>303</v>
      </c>
      <c r="BD125" s="48"/>
      <c r="BE125" s="49" t="s">
        <v>312</v>
      </c>
      <c r="BF125" s="49" t="s">
        <v>303</v>
      </c>
      <c r="BG125" s="48"/>
      <c r="BI125" s="48"/>
      <c r="BJ125" s="48" t="n">
        <v>46301</v>
      </c>
      <c r="BK125" s="49" t="s">
        <v>313</v>
      </c>
      <c r="BL125" s="49" t="s">
        <v>313</v>
      </c>
      <c r="BM125" s="49" t="s">
        <v>310</v>
      </c>
      <c r="BN125" s="48"/>
      <c r="BO125" s="48"/>
      <c r="BP125" s="48"/>
      <c r="BQ125" s="49" t="s">
        <v>641</v>
      </c>
      <c r="BR125" s="48" t="n">
        <v>46301</v>
      </c>
      <c r="BS125" s="49" t="s">
        <v>698</v>
      </c>
      <c r="BT125" s="49" t="s">
        <v>312</v>
      </c>
      <c r="BU125" s="49" t="s">
        <v>313</v>
      </c>
      <c r="BV125" s="49" t="s">
        <v>303</v>
      </c>
      <c r="BX125" s="0" t="n">
        <v>0</v>
      </c>
      <c r="CC125" s="49" t="s">
        <v>315</v>
      </c>
      <c r="CD125" s="49" t="s">
        <v>303</v>
      </c>
      <c r="CF125" s="49" t="s">
        <v>303</v>
      </c>
      <c r="CG125" s="49" t="s">
        <v>316</v>
      </c>
      <c r="CH125" s="49" t="s">
        <v>317</v>
      </c>
      <c r="CI125" s="49" t="s">
        <v>318</v>
      </c>
      <c r="CM125" s="49" t="s">
        <v>65</v>
      </c>
      <c r="CV125" s="49" t="s">
        <v>303</v>
      </c>
      <c r="DB125" s="49" t="s">
        <v>319</v>
      </c>
      <c r="DD125" s="48" t="n">
        <v>46275</v>
      </c>
      <c r="DF125" s="49" t="s">
        <v>310</v>
      </c>
      <c r="DG125" s="49" t="s">
        <v>320</v>
      </c>
      <c r="DH125" s="49" t="s">
        <v>64</v>
      </c>
      <c r="DI125" s="49" t="s">
        <v>298</v>
      </c>
      <c r="DJ125" s="49" t="s">
        <v>394</v>
      </c>
      <c r="DK125" s="49" t="s">
        <v>322</v>
      </c>
      <c r="DL125" s="49" t="s">
        <v>323</v>
      </c>
      <c r="DM125" s="49" t="s">
        <v>303</v>
      </c>
      <c r="DN125" s="49" t="s">
        <v>297</v>
      </c>
      <c r="DO125" s="48"/>
      <c r="DP125" s="49" t="s">
        <v>312</v>
      </c>
      <c r="DQ125" s="48"/>
      <c r="DR125" s="49" t="s">
        <v>312</v>
      </c>
      <c r="DS125" s="49" t="s">
        <v>303</v>
      </c>
      <c r="DT125" s="49" t="s">
        <v>303</v>
      </c>
      <c r="DW125" s="49" t="s">
        <v>303</v>
      </c>
      <c r="EA125" s="49" t="s">
        <v>324</v>
      </c>
      <c r="EB125" s="49" t="s">
        <v>303</v>
      </c>
      <c r="EF125" s="49" t="s">
        <v>679</v>
      </c>
      <c r="EH125" s="49" t="s">
        <v>310</v>
      </c>
      <c r="EJ125" s="49" t="s">
        <v>303</v>
      </c>
      <c r="EK125" s="49" t="s">
        <v>703</v>
      </c>
      <c r="EM125" s="49" t="s">
        <v>303</v>
      </c>
      <c r="EN125" s="49" t="s">
        <v>396</v>
      </c>
      <c r="EP125" s="49" t="s">
        <v>298</v>
      </c>
      <c r="EQ125" s="0" t="n">
        <v>1</v>
      </c>
      <c r="ER125" s="49" t="s">
        <v>328</v>
      </c>
      <c r="ES125" s="49" t="s">
        <v>329</v>
      </c>
      <c r="ET125" s="49" t="s">
        <v>310</v>
      </c>
      <c r="EU125" s="49" t="s">
        <v>310</v>
      </c>
      <c r="EV125" s="49" t="s">
        <v>310</v>
      </c>
      <c r="EX125" s="49" t="s">
        <v>303</v>
      </c>
      <c r="EY125" s="49" t="s">
        <v>303</v>
      </c>
      <c r="FC125" s="49" t="s">
        <v>330</v>
      </c>
      <c r="FD125" s="49" t="s">
        <v>310</v>
      </c>
      <c r="FE125" s="49" t="s">
        <v>310</v>
      </c>
      <c r="FF125" s="49" t="s">
        <v>64</v>
      </c>
      <c r="FG125" s="49" t="s">
        <v>397</v>
      </c>
      <c r="FH125" s="49" t="s">
        <v>310</v>
      </c>
      <c r="FI125" s="49" t="s">
        <v>332</v>
      </c>
      <c r="FJ125" s="49" t="s">
        <v>303</v>
      </c>
      <c r="FL125" s="49" t="s">
        <v>325</v>
      </c>
      <c r="FM125" s="49" t="s">
        <v>641</v>
      </c>
      <c r="FP125" s="49" t="s">
        <v>303</v>
      </c>
      <c r="FR125" s="49" t="s">
        <v>303</v>
      </c>
      <c r="FT125" s="49" t="s">
        <v>325</v>
      </c>
      <c r="FU125" s="49" t="s">
        <v>325</v>
      </c>
      <c r="FW125" s="49" t="s">
        <v>333</v>
      </c>
    </row>
    <row r="126" customFormat="false" ht="15" hidden="false" customHeight="false" outlineLevel="0" collapsed="false">
      <c r="A126" s="0" t="n">
        <v>100879993</v>
      </c>
      <c r="B126" s="0" t="s">
        <v>295</v>
      </c>
      <c r="C126" s="0" t="s">
        <v>64</v>
      </c>
      <c r="D126" s="0" t="s">
        <v>65</v>
      </c>
      <c r="E126" s="0" t="s">
        <v>297</v>
      </c>
      <c r="G126" s="0" t="n">
        <v>1</v>
      </c>
      <c r="H126" s="0" t="s">
        <v>298</v>
      </c>
      <c r="I126" s="48" t="n">
        <v>46296</v>
      </c>
      <c r="J126" s="0" t="n">
        <v>0</v>
      </c>
      <c r="K126" s="49" t="s">
        <v>641</v>
      </c>
      <c r="L126" s="49" t="s">
        <v>335</v>
      </c>
      <c r="M126" s="48"/>
      <c r="O126" s="49" t="s">
        <v>445</v>
      </c>
      <c r="P126" s="48"/>
      <c r="Q126" s="48" t="n">
        <v>46296</v>
      </c>
      <c r="R126" s="48" t="n">
        <v>46302</v>
      </c>
      <c r="T126" s="49" t="s">
        <v>302</v>
      </c>
      <c r="U126" s="49" t="s">
        <v>303</v>
      </c>
      <c r="Y126" s="49" t="s">
        <v>312</v>
      </c>
      <c r="AD126" s="49" t="s">
        <v>305</v>
      </c>
      <c r="AE126" s="48" t="n">
        <v>46275</v>
      </c>
      <c r="AF126" s="49" t="s">
        <v>306</v>
      </c>
      <c r="AG126" s="49" t="s">
        <v>307</v>
      </c>
      <c r="AK126" s="49" t="s">
        <v>303</v>
      </c>
      <c r="AL126" s="49" t="s">
        <v>297</v>
      </c>
      <c r="AO126" s="49" t="s">
        <v>303</v>
      </c>
      <c r="AP126" s="48"/>
      <c r="AR126" s="49" t="s">
        <v>303</v>
      </c>
      <c r="AS126" s="49" t="s">
        <v>306</v>
      </c>
      <c r="AT126" s="49" t="s">
        <v>704</v>
      </c>
      <c r="AV126" s="49" t="s">
        <v>309</v>
      </c>
      <c r="AW126" s="49" t="s">
        <v>310</v>
      </c>
      <c r="AX126" s="49" t="s">
        <v>311</v>
      </c>
      <c r="AY126" s="48"/>
      <c r="AZ126" s="48" t="n">
        <v>46294</v>
      </c>
      <c r="BC126" s="49" t="s">
        <v>303</v>
      </c>
      <c r="BD126" s="48"/>
      <c r="BE126" s="49" t="s">
        <v>312</v>
      </c>
      <c r="BF126" s="49" t="s">
        <v>303</v>
      </c>
      <c r="BG126" s="48"/>
      <c r="BI126" s="48"/>
      <c r="BJ126" s="48" t="n">
        <v>46301</v>
      </c>
      <c r="BK126" s="49" t="s">
        <v>313</v>
      </c>
      <c r="BL126" s="49" t="s">
        <v>313</v>
      </c>
      <c r="BM126" s="49" t="s">
        <v>310</v>
      </c>
      <c r="BN126" s="48"/>
      <c r="BO126" s="48"/>
      <c r="BP126" s="48"/>
      <c r="BQ126" s="49" t="s">
        <v>641</v>
      </c>
      <c r="BR126" s="48" t="n">
        <v>46301</v>
      </c>
      <c r="BS126" s="49" t="s">
        <v>698</v>
      </c>
      <c r="BT126" s="49" t="s">
        <v>312</v>
      </c>
      <c r="BU126" s="49" t="s">
        <v>313</v>
      </c>
      <c r="BV126" s="49" t="s">
        <v>303</v>
      </c>
      <c r="BX126" s="0" t="n">
        <v>0</v>
      </c>
      <c r="CC126" s="49" t="s">
        <v>315</v>
      </c>
      <c r="CD126" s="49" t="s">
        <v>303</v>
      </c>
      <c r="CF126" s="49" t="s">
        <v>303</v>
      </c>
      <c r="CG126" s="49" t="s">
        <v>316</v>
      </c>
      <c r="CH126" s="49" t="s">
        <v>317</v>
      </c>
      <c r="CI126" s="49" t="s">
        <v>318</v>
      </c>
      <c r="CM126" s="49" t="s">
        <v>65</v>
      </c>
      <c r="CV126" s="49" t="s">
        <v>303</v>
      </c>
      <c r="DB126" s="49" t="s">
        <v>319</v>
      </c>
      <c r="DD126" s="48" t="n">
        <v>46275</v>
      </c>
      <c r="DF126" s="49" t="s">
        <v>310</v>
      </c>
      <c r="DG126" s="49" t="s">
        <v>320</v>
      </c>
      <c r="DH126" s="49" t="s">
        <v>64</v>
      </c>
      <c r="DI126" s="49" t="s">
        <v>298</v>
      </c>
      <c r="DJ126" s="49" t="s">
        <v>394</v>
      </c>
      <c r="DK126" s="49" t="s">
        <v>322</v>
      </c>
      <c r="DL126" s="49" t="s">
        <v>323</v>
      </c>
      <c r="DM126" s="49" t="s">
        <v>303</v>
      </c>
      <c r="DN126" s="49" t="s">
        <v>297</v>
      </c>
      <c r="DO126" s="48"/>
      <c r="DP126" s="49" t="s">
        <v>312</v>
      </c>
      <c r="DQ126" s="48"/>
      <c r="DR126" s="49" t="s">
        <v>312</v>
      </c>
      <c r="DS126" s="49" t="s">
        <v>303</v>
      </c>
      <c r="DT126" s="49" t="s">
        <v>303</v>
      </c>
      <c r="DW126" s="49" t="s">
        <v>303</v>
      </c>
      <c r="EA126" s="49" t="s">
        <v>324</v>
      </c>
      <c r="EB126" s="49" t="s">
        <v>303</v>
      </c>
      <c r="EF126" s="49" t="s">
        <v>679</v>
      </c>
      <c r="EH126" s="49" t="s">
        <v>310</v>
      </c>
      <c r="EJ126" s="49" t="s">
        <v>303</v>
      </c>
      <c r="EK126" s="49" t="s">
        <v>705</v>
      </c>
      <c r="EM126" s="49" t="s">
        <v>303</v>
      </c>
      <c r="EN126" s="49" t="s">
        <v>396</v>
      </c>
      <c r="EP126" s="49" t="s">
        <v>298</v>
      </c>
      <c r="EQ126" s="0" t="n">
        <v>1</v>
      </c>
      <c r="ER126" s="49" t="s">
        <v>328</v>
      </c>
      <c r="ES126" s="49" t="s">
        <v>329</v>
      </c>
      <c r="ET126" s="49" t="s">
        <v>310</v>
      </c>
      <c r="EU126" s="49" t="s">
        <v>310</v>
      </c>
      <c r="EV126" s="49" t="s">
        <v>310</v>
      </c>
      <c r="EX126" s="49" t="s">
        <v>303</v>
      </c>
      <c r="EY126" s="49" t="s">
        <v>303</v>
      </c>
      <c r="FC126" s="49" t="s">
        <v>330</v>
      </c>
      <c r="FD126" s="49" t="s">
        <v>310</v>
      </c>
      <c r="FE126" s="49" t="s">
        <v>310</v>
      </c>
      <c r="FF126" s="49" t="s">
        <v>64</v>
      </c>
      <c r="FG126" s="49" t="s">
        <v>397</v>
      </c>
      <c r="FH126" s="49" t="s">
        <v>310</v>
      </c>
      <c r="FI126" s="49" t="s">
        <v>332</v>
      </c>
      <c r="FJ126" s="49" t="s">
        <v>303</v>
      </c>
      <c r="FL126" s="49" t="s">
        <v>325</v>
      </c>
      <c r="FM126" s="49" t="s">
        <v>641</v>
      </c>
      <c r="FP126" s="49" t="s">
        <v>303</v>
      </c>
      <c r="FR126" s="49" t="s">
        <v>303</v>
      </c>
      <c r="FT126" s="49" t="s">
        <v>325</v>
      </c>
      <c r="FU126" s="49" t="s">
        <v>325</v>
      </c>
      <c r="FW126" s="49" t="s">
        <v>333</v>
      </c>
    </row>
    <row r="127" customFormat="false" ht="15" hidden="false" customHeight="false" outlineLevel="0" collapsed="false">
      <c r="A127" s="0" t="n">
        <v>100879994</v>
      </c>
      <c r="B127" s="0" t="s">
        <v>295</v>
      </c>
      <c r="C127" s="0" t="s">
        <v>64</v>
      </c>
      <c r="D127" s="0" t="s">
        <v>65</v>
      </c>
      <c r="E127" s="0" t="s">
        <v>297</v>
      </c>
      <c r="G127" s="0" t="n">
        <v>1</v>
      </c>
      <c r="H127" s="0" t="s">
        <v>298</v>
      </c>
      <c r="I127" s="48" t="n">
        <v>46296</v>
      </c>
      <c r="J127" s="0" t="n">
        <v>0</v>
      </c>
      <c r="K127" s="49" t="s">
        <v>641</v>
      </c>
      <c r="L127" s="49" t="s">
        <v>335</v>
      </c>
      <c r="M127" s="48"/>
      <c r="O127" s="49" t="s">
        <v>445</v>
      </c>
      <c r="P127" s="48"/>
      <c r="Q127" s="48" t="n">
        <v>46296</v>
      </c>
      <c r="R127" s="48" t="n">
        <v>46302</v>
      </c>
      <c r="T127" s="49" t="s">
        <v>302</v>
      </c>
      <c r="U127" s="49" t="s">
        <v>303</v>
      </c>
      <c r="Y127" s="49" t="s">
        <v>312</v>
      </c>
      <c r="AD127" s="49" t="s">
        <v>305</v>
      </c>
      <c r="AE127" s="48" t="n">
        <v>46275</v>
      </c>
      <c r="AF127" s="49" t="s">
        <v>306</v>
      </c>
      <c r="AG127" s="49" t="s">
        <v>307</v>
      </c>
      <c r="AK127" s="49" t="s">
        <v>303</v>
      </c>
      <c r="AL127" s="49" t="s">
        <v>297</v>
      </c>
      <c r="AO127" s="49" t="s">
        <v>303</v>
      </c>
      <c r="AP127" s="48"/>
      <c r="AR127" s="49" t="s">
        <v>303</v>
      </c>
      <c r="AS127" s="49" t="s">
        <v>306</v>
      </c>
      <c r="AT127" s="49" t="s">
        <v>706</v>
      </c>
      <c r="AV127" s="49" t="s">
        <v>309</v>
      </c>
      <c r="AW127" s="49" t="s">
        <v>310</v>
      </c>
      <c r="AX127" s="49" t="s">
        <v>311</v>
      </c>
      <c r="AY127" s="48"/>
      <c r="AZ127" s="48" t="n">
        <v>46294</v>
      </c>
      <c r="BC127" s="49" t="s">
        <v>303</v>
      </c>
      <c r="BD127" s="48"/>
      <c r="BE127" s="49" t="s">
        <v>312</v>
      </c>
      <c r="BF127" s="49" t="s">
        <v>303</v>
      </c>
      <c r="BG127" s="48"/>
      <c r="BI127" s="48"/>
      <c r="BJ127" s="48" t="n">
        <v>46301</v>
      </c>
      <c r="BK127" s="49" t="s">
        <v>313</v>
      </c>
      <c r="BL127" s="49" t="s">
        <v>313</v>
      </c>
      <c r="BM127" s="49" t="s">
        <v>310</v>
      </c>
      <c r="BN127" s="48"/>
      <c r="BO127" s="48"/>
      <c r="BP127" s="48"/>
      <c r="BQ127" s="49" t="s">
        <v>641</v>
      </c>
      <c r="BR127" s="48" t="n">
        <v>46301</v>
      </c>
      <c r="BS127" s="49" t="s">
        <v>707</v>
      </c>
      <c r="BT127" s="49" t="s">
        <v>312</v>
      </c>
      <c r="BU127" s="49" t="s">
        <v>313</v>
      </c>
      <c r="BV127" s="49" t="s">
        <v>303</v>
      </c>
      <c r="BX127" s="0" t="n">
        <v>0</v>
      </c>
      <c r="CC127" s="49" t="s">
        <v>315</v>
      </c>
      <c r="CD127" s="49" t="s">
        <v>303</v>
      </c>
      <c r="CF127" s="49" t="s">
        <v>303</v>
      </c>
      <c r="CG127" s="49" t="s">
        <v>316</v>
      </c>
      <c r="CH127" s="49" t="s">
        <v>317</v>
      </c>
      <c r="CI127" s="49" t="s">
        <v>318</v>
      </c>
      <c r="CM127" s="49" t="s">
        <v>65</v>
      </c>
      <c r="CV127" s="49" t="s">
        <v>303</v>
      </c>
      <c r="DB127" s="49" t="s">
        <v>319</v>
      </c>
      <c r="DD127" s="48" t="n">
        <v>46275</v>
      </c>
      <c r="DF127" s="49" t="s">
        <v>310</v>
      </c>
      <c r="DG127" s="49" t="s">
        <v>320</v>
      </c>
      <c r="DH127" s="49" t="s">
        <v>64</v>
      </c>
      <c r="DI127" s="49" t="s">
        <v>298</v>
      </c>
      <c r="DJ127" s="49" t="s">
        <v>394</v>
      </c>
      <c r="DK127" s="49" t="s">
        <v>322</v>
      </c>
      <c r="DL127" s="49" t="s">
        <v>323</v>
      </c>
      <c r="DM127" s="49" t="s">
        <v>303</v>
      </c>
      <c r="DN127" s="49" t="s">
        <v>297</v>
      </c>
      <c r="DO127" s="48"/>
      <c r="DP127" s="49" t="s">
        <v>312</v>
      </c>
      <c r="DQ127" s="48"/>
      <c r="DR127" s="49" t="s">
        <v>312</v>
      </c>
      <c r="DS127" s="49" t="s">
        <v>303</v>
      </c>
      <c r="DT127" s="49" t="s">
        <v>303</v>
      </c>
      <c r="DW127" s="49" t="s">
        <v>303</v>
      </c>
      <c r="EA127" s="49" t="s">
        <v>324</v>
      </c>
      <c r="EB127" s="49" t="s">
        <v>303</v>
      </c>
      <c r="EF127" s="49" t="s">
        <v>679</v>
      </c>
      <c r="EH127" s="49" t="s">
        <v>310</v>
      </c>
      <c r="EJ127" s="49" t="s">
        <v>303</v>
      </c>
      <c r="EK127" s="49" t="s">
        <v>708</v>
      </c>
      <c r="EM127" s="49" t="s">
        <v>303</v>
      </c>
      <c r="EN127" s="49" t="s">
        <v>396</v>
      </c>
      <c r="EP127" s="49" t="s">
        <v>298</v>
      </c>
      <c r="EQ127" s="0" t="n">
        <v>1</v>
      </c>
      <c r="ER127" s="49" t="s">
        <v>328</v>
      </c>
      <c r="ES127" s="49" t="s">
        <v>329</v>
      </c>
      <c r="ET127" s="49" t="s">
        <v>310</v>
      </c>
      <c r="EU127" s="49" t="s">
        <v>310</v>
      </c>
      <c r="EV127" s="49" t="s">
        <v>310</v>
      </c>
      <c r="EX127" s="49" t="s">
        <v>303</v>
      </c>
      <c r="EY127" s="49" t="s">
        <v>303</v>
      </c>
      <c r="FC127" s="49" t="s">
        <v>330</v>
      </c>
      <c r="FD127" s="49" t="s">
        <v>310</v>
      </c>
      <c r="FE127" s="49" t="s">
        <v>310</v>
      </c>
      <c r="FF127" s="49" t="s">
        <v>64</v>
      </c>
      <c r="FG127" s="49" t="s">
        <v>397</v>
      </c>
      <c r="FH127" s="49" t="s">
        <v>310</v>
      </c>
      <c r="FI127" s="49" t="s">
        <v>332</v>
      </c>
      <c r="FJ127" s="49" t="s">
        <v>303</v>
      </c>
      <c r="FL127" s="49" t="s">
        <v>325</v>
      </c>
      <c r="FM127" s="49" t="s">
        <v>641</v>
      </c>
      <c r="FP127" s="49" t="s">
        <v>303</v>
      </c>
      <c r="FR127" s="49" t="s">
        <v>303</v>
      </c>
      <c r="FT127" s="49" t="s">
        <v>325</v>
      </c>
      <c r="FU127" s="49" t="s">
        <v>325</v>
      </c>
      <c r="FW127" s="49" t="s">
        <v>333</v>
      </c>
    </row>
    <row r="128" customFormat="false" ht="15" hidden="false" customHeight="false" outlineLevel="0" collapsed="false">
      <c r="A128" s="0" t="n">
        <v>100879995</v>
      </c>
      <c r="B128" s="0" t="s">
        <v>295</v>
      </c>
      <c r="C128" s="0" t="s">
        <v>64</v>
      </c>
      <c r="D128" s="0" t="s">
        <v>65</v>
      </c>
      <c r="E128" s="0" t="s">
        <v>297</v>
      </c>
      <c r="G128" s="0" t="n">
        <v>1</v>
      </c>
      <c r="H128" s="0" t="s">
        <v>298</v>
      </c>
      <c r="I128" s="48" t="n">
        <v>46296</v>
      </c>
      <c r="J128" s="0" t="n">
        <v>0</v>
      </c>
      <c r="K128" s="49" t="s">
        <v>641</v>
      </c>
      <c r="L128" s="49" t="s">
        <v>335</v>
      </c>
      <c r="M128" s="48"/>
      <c r="O128" s="49" t="s">
        <v>445</v>
      </c>
      <c r="P128" s="48"/>
      <c r="Q128" s="48" t="n">
        <v>46296</v>
      </c>
      <c r="R128" s="48" t="n">
        <v>46302</v>
      </c>
      <c r="T128" s="49" t="s">
        <v>302</v>
      </c>
      <c r="U128" s="49" t="s">
        <v>303</v>
      </c>
      <c r="Y128" s="49" t="s">
        <v>312</v>
      </c>
      <c r="AD128" s="49" t="s">
        <v>305</v>
      </c>
      <c r="AE128" s="48" t="n">
        <v>46275</v>
      </c>
      <c r="AF128" s="49" t="s">
        <v>306</v>
      </c>
      <c r="AG128" s="49" t="s">
        <v>307</v>
      </c>
      <c r="AK128" s="49" t="s">
        <v>303</v>
      </c>
      <c r="AL128" s="49" t="s">
        <v>297</v>
      </c>
      <c r="AO128" s="49" t="s">
        <v>303</v>
      </c>
      <c r="AP128" s="48"/>
      <c r="AR128" s="49" t="s">
        <v>303</v>
      </c>
      <c r="AS128" s="49" t="s">
        <v>306</v>
      </c>
      <c r="AT128" s="49" t="s">
        <v>709</v>
      </c>
      <c r="AV128" s="49" t="s">
        <v>309</v>
      </c>
      <c r="AW128" s="49" t="s">
        <v>310</v>
      </c>
      <c r="AX128" s="49" t="s">
        <v>311</v>
      </c>
      <c r="AY128" s="48"/>
      <c r="AZ128" s="48" t="n">
        <v>46294</v>
      </c>
      <c r="BC128" s="49" t="s">
        <v>303</v>
      </c>
      <c r="BD128" s="48"/>
      <c r="BE128" s="49" t="s">
        <v>312</v>
      </c>
      <c r="BF128" s="49" t="s">
        <v>303</v>
      </c>
      <c r="BG128" s="48"/>
      <c r="BI128" s="48"/>
      <c r="BJ128" s="48" t="n">
        <v>46301</v>
      </c>
      <c r="BK128" s="49" t="s">
        <v>313</v>
      </c>
      <c r="BL128" s="49" t="s">
        <v>313</v>
      </c>
      <c r="BM128" s="49" t="s">
        <v>310</v>
      </c>
      <c r="BN128" s="48"/>
      <c r="BO128" s="48"/>
      <c r="BP128" s="48"/>
      <c r="BQ128" s="49" t="s">
        <v>641</v>
      </c>
      <c r="BR128" s="48" t="n">
        <v>46301</v>
      </c>
      <c r="BS128" s="49" t="s">
        <v>707</v>
      </c>
      <c r="BT128" s="49" t="s">
        <v>312</v>
      </c>
      <c r="BU128" s="49" t="s">
        <v>313</v>
      </c>
      <c r="BV128" s="49" t="s">
        <v>303</v>
      </c>
      <c r="BX128" s="0" t="n">
        <v>0</v>
      </c>
      <c r="CC128" s="49" t="s">
        <v>315</v>
      </c>
      <c r="CD128" s="49" t="s">
        <v>303</v>
      </c>
      <c r="CF128" s="49" t="s">
        <v>303</v>
      </c>
      <c r="CG128" s="49" t="s">
        <v>316</v>
      </c>
      <c r="CH128" s="49" t="s">
        <v>317</v>
      </c>
      <c r="CI128" s="49" t="s">
        <v>318</v>
      </c>
      <c r="CM128" s="49" t="s">
        <v>65</v>
      </c>
      <c r="CV128" s="49" t="s">
        <v>303</v>
      </c>
      <c r="DB128" s="49" t="s">
        <v>319</v>
      </c>
      <c r="DD128" s="48" t="n">
        <v>46275</v>
      </c>
      <c r="DF128" s="49" t="s">
        <v>310</v>
      </c>
      <c r="DG128" s="49" t="s">
        <v>320</v>
      </c>
      <c r="DH128" s="49" t="s">
        <v>64</v>
      </c>
      <c r="DI128" s="49" t="s">
        <v>298</v>
      </c>
      <c r="DJ128" s="49" t="s">
        <v>394</v>
      </c>
      <c r="DK128" s="49" t="s">
        <v>322</v>
      </c>
      <c r="DL128" s="49" t="s">
        <v>323</v>
      </c>
      <c r="DM128" s="49" t="s">
        <v>303</v>
      </c>
      <c r="DN128" s="49" t="s">
        <v>297</v>
      </c>
      <c r="DO128" s="48"/>
      <c r="DP128" s="49" t="s">
        <v>312</v>
      </c>
      <c r="DQ128" s="48"/>
      <c r="DR128" s="49" t="s">
        <v>312</v>
      </c>
      <c r="DS128" s="49" t="s">
        <v>303</v>
      </c>
      <c r="DT128" s="49" t="s">
        <v>303</v>
      </c>
      <c r="DW128" s="49" t="s">
        <v>303</v>
      </c>
      <c r="EA128" s="49" t="s">
        <v>324</v>
      </c>
      <c r="EB128" s="49" t="s">
        <v>303</v>
      </c>
      <c r="EF128" s="49" t="s">
        <v>679</v>
      </c>
      <c r="EH128" s="49" t="s">
        <v>310</v>
      </c>
      <c r="EJ128" s="49" t="s">
        <v>303</v>
      </c>
      <c r="EK128" s="49" t="s">
        <v>710</v>
      </c>
      <c r="EM128" s="49" t="s">
        <v>303</v>
      </c>
      <c r="EN128" s="49" t="s">
        <v>396</v>
      </c>
      <c r="EP128" s="49" t="s">
        <v>298</v>
      </c>
      <c r="EQ128" s="0" t="n">
        <v>1</v>
      </c>
      <c r="ER128" s="49" t="s">
        <v>328</v>
      </c>
      <c r="ES128" s="49" t="s">
        <v>329</v>
      </c>
      <c r="ET128" s="49" t="s">
        <v>310</v>
      </c>
      <c r="EU128" s="49" t="s">
        <v>310</v>
      </c>
      <c r="EV128" s="49" t="s">
        <v>310</v>
      </c>
      <c r="EX128" s="49" t="s">
        <v>303</v>
      </c>
      <c r="EY128" s="49" t="s">
        <v>303</v>
      </c>
      <c r="FC128" s="49" t="s">
        <v>330</v>
      </c>
      <c r="FD128" s="49" t="s">
        <v>310</v>
      </c>
      <c r="FE128" s="49" t="s">
        <v>310</v>
      </c>
      <c r="FF128" s="49" t="s">
        <v>64</v>
      </c>
      <c r="FG128" s="49" t="s">
        <v>397</v>
      </c>
      <c r="FH128" s="49" t="s">
        <v>310</v>
      </c>
      <c r="FI128" s="49" t="s">
        <v>332</v>
      </c>
      <c r="FJ128" s="49" t="s">
        <v>303</v>
      </c>
      <c r="FL128" s="49" t="s">
        <v>325</v>
      </c>
      <c r="FM128" s="49" t="s">
        <v>641</v>
      </c>
      <c r="FP128" s="49" t="s">
        <v>303</v>
      </c>
      <c r="FR128" s="49" t="s">
        <v>303</v>
      </c>
      <c r="FT128" s="49" t="s">
        <v>325</v>
      </c>
      <c r="FU128" s="49" t="s">
        <v>325</v>
      </c>
      <c r="FW128" s="49" t="s">
        <v>333</v>
      </c>
    </row>
    <row r="129" customFormat="false" ht="15" hidden="false" customHeight="false" outlineLevel="0" collapsed="false">
      <c r="A129" s="0" t="n">
        <v>100879996</v>
      </c>
      <c r="B129" s="0" t="s">
        <v>295</v>
      </c>
      <c r="C129" s="0" t="s">
        <v>64</v>
      </c>
      <c r="D129" s="0" t="s">
        <v>65</v>
      </c>
      <c r="E129" s="0" t="s">
        <v>297</v>
      </c>
      <c r="G129" s="0" t="n">
        <v>1</v>
      </c>
      <c r="H129" s="0" t="s">
        <v>298</v>
      </c>
      <c r="I129" s="48" t="n">
        <v>46296</v>
      </c>
      <c r="J129" s="0" t="n">
        <v>0</v>
      </c>
      <c r="K129" s="49" t="s">
        <v>641</v>
      </c>
      <c r="L129" s="49" t="s">
        <v>335</v>
      </c>
      <c r="M129" s="48"/>
      <c r="O129" s="49" t="s">
        <v>445</v>
      </c>
      <c r="P129" s="48"/>
      <c r="Q129" s="48" t="n">
        <v>46296</v>
      </c>
      <c r="R129" s="48" t="n">
        <v>46302</v>
      </c>
      <c r="T129" s="49" t="s">
        <v>302</v>
      </c>
      <c r="U129" s="49" t="s">
        <v>303</v>
      </c>
      <c r="Y129" s="49" t="s">
        <v>312</v>
      </c>
      <c r="AD129" s="49" t="s">
        <v>305</v>
      </c>
      <c r="AE129" s="48" t="n">
        <v>46275</v>
      </c>
      <c r="AF129" s="49" t="s">
        <v>306</v>
      </c>
      <c r="AG129" s="49" t="s">
        <v>307</v>
      </c>
      <c r="AK129" s="49" t="s">
        <v>303</v>
      </c>
      <c r="AL129" s="49" t="s">
        <v>297</v>
      </c>
      <c r="AO129" s="49" t="s">
        <v>303</v>
      </c>
      <c r="AP129" s="48"/>
      <c r="AR129" s="49" t="s">
        <v>303</v>
      </c>
      <c r="AS129" s="49" t="s">
        <v>306</v>
      </c>
      <c r="AT129" s="49" t="s">
        <v>711</v>
      </c>
      <c r="AV129" s="49" t="s">
        <v>309</v>
      </c>
      <c r="AW129" s="49" t="s">
        <v>310</v>
      </c>
      <c r="AX129" s="49" t="s">
        <v>311</v>
      </c>
      <c r="AY129" s="48"/>
      <c r="AZ129" s="48" t="n">
        <v>46294</v>
      </c>
      <c r="BC129" s="49" t="s">
        <v>303</v>
      </c>
      <c r="BD129" s="48"/>
      <c r="BE129" s="49" t="s">
        <v>312</v>
      </c>
      <c r="BF129" s="49" t="s">
        <v>303</v>
      </c>
      <c r="BG129" s="48"/>
      <c r="BI129" s="48"/>
      <c r="BJ129" s="48" t="n">
        <v>46301</v>
      </c>
      <c r="BK129" s="49" t="s">
        <v>313</v>
      </c>
      <c r="BL129" s="49" t="s">
        <v>313</v>
      </c>
      <c r="BM129" s="49" t="s">
        <v>310</v>
      </c>
      <c r="BN129" s="48"/>
      <c r="BO129" s="48"/>
      <c r="BP129" s="48"/>
      <c r="BQ129" s="49" t="s">
        <v>641</v>
      </c>
      <c r="BR129" s="48" t="n">
        <v>46301</v>
      </c>
      <c r="BS129" s="49" t="s">
        <v>707</v>
      </c>
      <c r="BT129" s="49" t="s">
        <v>312</v>
      </c>
      <c r="BU129" s="49" t="s">
        <v>313</v>
      </c>
      <c r="BV129" s="49" t="s">
        <v>303</v>
      </c>
      <c r="BX129" s="0" t="n">
        <v>0</v>
      </c>
      <c r="CC129" s="49" t="s">
        <v>315</v>
      </c>
      <c r="CD129" s="49" t="s">
        <v>303</v>
      </c>
      <c r="CF129" s="49" t="s">
        <v>303</v>
      </c>
      <c r="CG129" s="49" t="s">
        <v>316</v>
      </c>
      <c r="CH129" s="49" t="s">
        <v>317</v>
      </c>
      <c r="CI129" s="49" t="s">
        <v>318</v>
      </c>
      <c r="CM129" s="49" t="s">
        <v>65</v>
      </c>
      <c r="CV129" s="49" t="s">
        <v>303</v>
      </c>
      <c r="DB129" s="49" t="s">
        <v>319</v>
      </c>
      <c r="DD129" s="48" t="n">
        <v>46275</v>
      </c>
      <c r="DF129" s="49" t="s">
        <v>310</v>
      </c>
      <c r="DG129" s="49" t="s">
        <v>320</v>
      </c>
      <c r="DH129" s="49" t="s">
        <v>64</v>
      </c>
      <c r="DI129" s="49" t="s">
        <v>298</v>
      </c>
      <c r="DJ129" s="49" t="s">
        <v>394</v>
      </c>
      <c r="DK129" s="49" t="s">
        <v>322</v>
      </c>
      <c r="DL129" s="49" t="s">
        <v>323</v>
      </c>
      <c r="DM129" s="49" t="s">
        <v>303</v>
      </c>
      <c r="DN129" s="49" t="s">
        <v>297</v>
      </c>
      <c r="DO129" s="48"/>
      <c r="DP129" s="49" t="s">
        <v>312</v>
      </c>
      <c r="DQ129" s="48"/>
      <c r="DR129" s="49" t="s">
        <v>312</v>
      </c>
      <c r="DS129" s="49" t="s">
        <v>303</v>
      </c>
      <c r="DT129" s="49" t="s">
        <v>303</v>
      </c>
      <c r="DW129" s="49" t="s">
        <v>303</v>
      </c>
      <c r="EA129" s="49" t="s">
        <v>324</v>
      </c>
      <c r="EB129" s="49" t="s">
        <v>303</v>
      </c>
      <c r="EF129" s="49" t="s">
        <v>679</v>
      </c>
      <c r="EH129" s="49" t="s">
        <v>310</v>
      </c>
      <c r="EJ129" s="49" t="s">
        <v>303</v>
      </c>
      <c r="EK129" s="49" t="s">
        <v>712</v>
      </c>
      <c r="EM129" s="49" t="s">
        <v>303</v>
      </c>
      <c r="EN129" s="49" t="s">
        <v>396</v>
      </c>
      <c r="EP129" s="49" t="s">
        <v>298</v>
      </c>
      <c r="EQ129" s="0" t="n">
        <v>1</v>
      </c>
      <c r="ER129" s="49" t="s">
        <v>328</v>
      </c>
      <c r="ES129" s="49" t="s">
        <v>329</v>
      </c>
      <c r="ET129" s="49" t="s">
        <v>310</v>
      </c>
      <c r="EU129" s="49" t="s">
        <v>310</v>
      </c>
      <c r="EV129" s="49" t="s">
        <v>310</v>
      </c>
      <c r="EX129" s="49" t="s">
        <v>303</v>
      </c>
      <c r="EY129" s="49" t="s">
        <v>303</v>
      </c>
      <c r="FC129" s="49" t="s">
        <v>330</v>
      </c>
      <c r="FD129" s="49" t="s">
        <v>310</v>
      </c>
      <c r="FE129" s="49" t="s">
        <v>310</v>
      </c>
      <c r="FF129" s="49" t="s">
        <v>64</v>
      </c>
      <c r="FG129" s="49" t="s">
        <v>397</v>
      </c>
      <c r="FH129" s="49" t="s">
        <v>310</v>
      </c>
      <c r="FI129" s="49" t="s">
        <v>332</v>
      </c>
      <c r="FJ129" s="49" t="s">
        <v>303</v>
      </c>
      <c r="FL129" s="49" t="s">
        <v>325</v>
      </c>
      <c r="FM129" s="49" t="s">
        <v>641</v>
      </c>
      <c r="FP129" s="49" t="s">
        <v>303</v>
      </c>
      <c r="FR129" s="49" t="s">
        <v>303</v>
      </c>
      <c r="FT129" s="49" t="s">
        <v>325</v>
      </c>
      <c r="FU129" s="49" t="s">
        <v>325</v>
      </c>
      <c r="FW129" s="49" t="s">
        <v>333</v>
      </c>
    </row>
    <row r="130" customFormat="false" ht="15" hidden="false" customHeight="false" outlineLevel="0" collapsed="false">
      <c r="A130" s="0" t="n">
        <v>100879997</v>
      </c>
      <c r="B130" s="0" t="s">
        <v>295</v>
      </c>
      <c r="C130" s="0" t="s">
        <v>64</v>
      </c>
      <c r="D130" s="0" t="s">
        <v>65</v>
      </c>
      <c r="E130" s="0" t="s">
        <v>297</v>
      </c>
      <c r="G130" s="0" t="n">
        <v>1</v>
      </c>
      <c r="H130" s="0" t="s">
        <v>298</v>
      </c>
      <c r="I130" s="48" t="n">
        <v>46296</v>
      </c>
      <c r="J130" s="0" t="n">
        <v>0</v>
      </c>
      <c r="K130" s="49" t="s">
        <v>641</v>
      </c>
      <c r="L130" s="49" t="s">
        <v>335</v>
      </c>
      <c r="M130" s="48"/>
      <c r="O130" s="49" t="s">
        <v>445</v>
      </c>
      <c r="P130" s="48"/>
      <c r="Q130" s="48" t="n">
        <v>46296</v>
      </c>
      <c r="R130" s="48" t="n">
        <v>46302</v>
      </c>
      <c r="T130" s="49" t="s">
        <v>302</v>
      </c>
      <c r="U130" s="49" t="s">
        <v>303</v>
      </c>
      <c r="Y130" s="49" t="s">
        <v>312</v>
      </c>
      <c r="AD130" s="49" t="s">
        <v>305</v>
      </c>
      <c r="AE130" s="48" t="n">
        <v>46275</v>
      </c>
      <c r="AF130" s="49" t="s">
        <v>306</v>
      </c>
      <c r="AG130" s="49" t="s">
        <v>307</v>
      </c>
      <c r="AK130" s="49" t="s">
        <v>303</v>
      </c>
      <c r="AL130" s="49" t="s">
        <v>297</v>
      </c>
      <c r="AO130" s="49" t="s">
        <v>303</v>
      </c>
      <c r="AP130" s="48"/>
      <c r="AR130" s="49" t="s">
        <v>303</v>
      </c>
      <c r="AS130" s="49" t="s">
        <v>306</v>
      </c>
      <c r="AT130" s="49" t="s">
        <v>713</v>
      </c>
      <c r="AV130" s="49" t="s">
        <v>309</v>
      </c>
      <c r="AW130" s="49" t="s">
        <v>310</v>
      </c>
      <c r="AX130" s="49" t="s">
        <v>311</v>
      </c>
      <c r="AY130" s="48"/>
      <c r="AZ130" s="48" t="n">
        <v>46294</v>
      </c>
      <c r="BC130" s="49" t="s">
        <v>303</v>
      </c>
      <c r="BD130" s="48"/>
      <c r="BE130" s="49" t="s">
        <v>312</v>
      </c>
      <c r="BF130" s="49" t="s">
        <v>303</v>
      </c>
      <c r="BG130" s="48"/>
      <c r="BI130" s="48"/>
      <c r="BJ130" s="48" t="n">
        <v>46301</v>
      </c>
      <c r="BK130" s="49" t="s">
        <v>313</v>
      </c>
      <c r="BL130" s="49" t="s">
        <v>313</v>
      </c>
      <c r="BM130" s="49" t="s">
        <v>310</v>
      </c>
      <c r="BN130" s="48"/>
      <c r="BO130" s="48"/>
      <c r="BP130" s="48"/>
      <c r="BQ130" s="49" t="s">
        <v>641</v>
      </c>
      <c r="BR130" s="48" t="n">
        <v>46301</v>
      </c>
      <c r="BS130" s="49" t="s">
        <v>714</v>
      </c>
      <c r="BT130" s="49" t="s">
        <v>312</v>
      </c>
      <c r="BU130" s="49" t="s">
        <v>313</v>
      </c>
      <c r="BV130" s="49" t="s">
        <v>303</v>
      </c>
      <c r="BX130" s="0" t="n">
        <v>0</v>
      </c>
      <c r="CC130" s="49" t="s">
        <v>315</v>
      </c>
      <c r="CD130" s="49" t="s">
        <v>303</v>
      </c>
      <c r="CF130" s="49" t="s">
        <v>303</v>
      </c>
      <c r="CG130" s="49" t="s">
        <v>316</v>
      </c>
      <c r="CH130" s="49" t="s">
        <v>317</v>
      </c>
      <c r="CI130" s="49" t="s">
        <v>318</v>
      </c>
      <c r="CM130" s="49" t="s">
        <v>65</v>
      </c>
      <c r="CV130" s="49" t="s">
        <v>303</v>
      </c>
      <c r="DB130" s="49" t="s">
        <v>319</v>
      </c>
      <c r="DD130" s="48" t="n">
        <v>46275</v>
      </c>
      <c r="DF130" s="49" t="s">
        <v>310</v>
      </c>
      <c r="DG130" s="49" t="s">
        <v>320</v>
      </c>
      <c r="DH130" s="49" t="s">
        <v>64</v>
      </c>
      <c r="DI130" s="49" t="s">
        <v>298</v>
      </c>
      <c r="DJ130" s="49" t="s">
        <v>394</v>
      </c>
      <c r="DK130" s="49" t="s">
        <v>322</v>
      </c>
      <c r="DL130" s="49" t="s">
        <v>323</v>
      </c>
      <c r="DM130" s="49" t="s">
        <v>303</v>
      </c>
      <c r="DN130" s="49" t="s">
        <v>297</v>
      </c>
      <c r="DO130" s="48"/>
      <c r="DP130" s="49" t="s">
        <v>312</v>
      </c>
      <c r="DQ130" s="48"/>
      <c r="DR130" s="49" t="s">
        <v>312</v>
      </c>
      <c r="DS130" s="49" t="s">
        <v>303</v>
      </c>
      <c r="DT130" s="49" t="s">
        <v>303</v>
      </c>
      <c r="DW130" s="49" t="s">
        <v>303</v>
      </c>
      <c r="EA130" s="49" t="s">
        <v>324</v>
      </c>
      <c r="EB130" s="49" t="s">
        <v>303</v>
      </c>
      <c r="EF130" s="49" t="s">
        <v>679</v>
      </c>
      <c r="EH130" s="49" t="s">
        <v>310</v>
      </c>
      <c r="EJ130" s="49" t="s">
        <v>303</v>
      </c>
      <c r="EK130" s="49" t="s">
        <v>715</v>
      </c>
      <c r="EM130" s="49" t="s">
        <v>303</v>
      </c>
      <c r="EN130" s="49" t="s">
        <v>396</v>
      </c>
      <c r="EP130" s="49" t="s">
        <v>298</v>
      </c>
      <c r="EQ130" s="0" t="n">
        <v>1</v>
      </c>
      <c r="ER130" s="49" t="s">
        <v>328</v>
      </c>
      <c r="ES130" s="49" t="s">
        <v>329</v>
      </c>
      <c r="ET130" s="49" t="s">
        <v>310</v>
      </c>
      <c r="EU130" s="49" t="s">
        <v>310</v>
      </c>
      <c r="EV130" s="49" t="s">
        <v>310</v>
      </c>
      <c r="EX130" s="49" t="s">
        <v>303</v>
      </c>
      <c r="EY130" s="49" t="s">
        <v>303</v>
      </c>
      <c r="FC130" s="49" t="s">
        <v>330</v>
      </c>
      <c r="FD130" s="49" t="s">
        <v>310</v>
      </c>
      <c r="FE130" s="49" t="s">
        <v>310</v>
      </c>
      <c r="FF130" s="49" t="s">
        <v>64</v>
      </c>
      <c r="FG130" s="49" t="s">
        <v>397</v>
      </c>
      <c r="FH130" s="49" t="s">
        <v>310</v>
      </c>
      <c r="FI130" s="49" t="s">
        <v>332</v>
      </c>
      <c r="FJ130" s="49" t="s">
        <v>303</v>
      </c>
      <c r="FL130" s="49" t="s">
        <v>325</v>
      </c>
      <c r="FM130" s="49" t="s">
        <v>641</v>
      </c>
      <c r="FP130" s="49" t="s">
        <v>303</v>
      </c>
      <c r="FR130" s="49" t="s">
        <v>303</v>
      </c>
      <c r="FT130" s="49" t="s">
        <v>325</v>
      </c>
      <c r="FU130" s="49" t="s">
        <v>325</v>
      </c>
      <c r="FW130" s="49" t="s">
        <v>333</v>
      </c>
    </row>
    <row r="131" customFormat="false" ht="15" hidden="false" customHeight="false" outlineLevel="0" collapsed="false">
      <c r="A131" s="0" t="n">
        <v>100879998</v>
      </c>
      <c r="B131" s="0" t="s">
        <v>295</v>
      </c>
      <c r="C131" s="0" t="s">
        <v>64</v>
      </c>
      <c r="D131" s="0" t="s">
        <v>65</v>
      </c>
      <c r="E131" s="0" t="s">
        <v>297</v>
      </c>
      <c r="G131" s="0" t="n">
        <v>1</v>
      </c>
      <c r="H131" s="0" t="s">
        <v>298</v>
      </c>
      <c r="I131" s="48" t="n">
        <v>46296</v>
      </c>
      <c r="J131" s="0" t="n">
        <v>0</v>
      </c>
      <c r="K131" s="49" t="s">
        <v>641</v>
      </c>
      <c r="L131" s="49" t="s">
        <v>335</v>
      </c>
      <c r="M131" s="48"/>
      <c r="O131" s="49" t="s">
        <v>445</v>
      </c>
      <c r="P131" s="48"/>
      <c r="Q131" s="48" t="n">
        <v>46296</v>
      </c>
      <c r="R131" s="48" t="n">
        <v>46302</v>
      </c>
      <c r="T131" s="49" t="s">
        <v>302</v>
      </c>
      <c r="U131" s="49" t="s">
        <v>303</v>
      </c>
      <c r="Y131" s="49" t="s">
        <v>312</v>
      </c>
      <c r="AD131" s="49" t="s">
        <v>305</v>
      </c>
      <c r="AE131" s="48" t="n">
        <v>46275</v>
      </c>
      <c r="AF131" s="49" t="s">
        <v>306</v>
      </c>
      <c r="AG131" s="49" t="s">
        <v>307</v>
      </c>
      <c r="AK131" s="49" t="s">
        <v>303</v>
      </c>
      <c r="AL131" s="49" t="s">
        <v>297</v>
      </c>
      <c r="AO131" s="49" t="s">
        <v>303</v>
      </c>
      <c r="AP131" s="48"/>
      <c r="AR131" s="49" t="s">
        <v>303</v>
      </c>
      <c r="AS131" s="49" t="s">
        <v>306</v>
      </c>
      <c r="AT131" s="49" t="s">
        <v>716</v>
      </c>
      <c r="AV131" s="49" t="s">
        <v>309</v>
      </c>
      <c r="AW131" s="49" t="s">
        <v>310</v>
      </c>
      <c r="AX131" s="49" t="s">
        <v>311</v>
      </c>
      <c r="AY131" s="48"/>
      <c r="AZ131" s="48" t="n">
        <v>46294</v>
      </c>
      <c r="BC131" s="49" t="s">
        <v>303</v>
      </c>
      <c r="BD131" s="48"/>
      <c r="BE131" s="49" t="s">
        <v>312</v>
      </c>
      <c r="BF131" s="49" t="s">
        <v>303</v>
      </c>
      <c r="BG131" s="48"/>
      <c r="BI131" s="48"/>
      <c r="BJ131" s="48" t="n">
        <v>46301</v>
      </c>
      <c r="BK131" s="49" t="s">
        <v>313</v>
      </c>
      <c r="BL131" s="49" t="s">
        <v>313</v>
      </c>
      <c r="BM131" s="49" t="s">
        <v>310</v>
      </c>
      <c r="BN131" s="48"/>
      <c r="BO131" s="48"/>
      <c r="BP131" s="48"/>
      <c r="BQ131" s="49" t="s">
        <v>641</v>
      </c>
      <c r="BR131" s="48" t="n">
        <v>46301</v>
      </c>
      <c r="BS131" s="49" t="s">
        <v>714</v>
      </c>
      <c r="BT131" s="49" t="s">
        <v>312</v>
      </c>
      <c r="BU131" s="49" t="s">
        <v>313</v>
      </c>
      <c r="BV131" s="49" t="s">
        <v>303</v>
      </c>
      <c r="BX131" s="0" t="n">
        <v>0</v>
      </c>
      <c r="CC131" s="49" t="s">
        <v>315</v>
      </c>
      <c r="CD131" s="49" t="s">
        <v>303</v>
      </c>
      <c r="CF131" s="49" t="s">
        <v>303</v>
      </c>
      <c r="CG131" s="49" t="s">
        <v>316</v>
      </c>
      <c r="CH131" s="49" t="s">
        <v>317</v>
      </c>
      <c r="CI131" s="49" t="s">
        <v>318</v>
      </c>
      <c r="CM131" s="49" t="s">
        <v>65</v>
      </c>
      <c r="CV131" s="49" t="s">
        <v>303</v>
      </c>
      <c r="DB131" s="49" t="s">
        <v>319</v>
      </c>
      <c r="DD131" s="48" t="n">
        <v>46275</v>
      </c>
      <c r="DF131" s="49" t="s">
        <v>310</v>
      </c>
      <c r="DG131" s="49" t="s">
        <v>320</v>
      </c>
      <c r="DH131" s="49" t="s">
        <v>64</v>
      </c>
      <c r="DI131" s="49" t="s">
        <v>298</v>
      </c>
      <c r="DJ131" s="49" t="s">
        <v>394</v>
      </c>
      <c r="DK131" s="49" t="s">
        <v>322</v>
      </c>
      <c r="DL131" s="49" t="s">
        <v>323</v>
      </c>
      <c r="DM131" s="49" t="s">
        <v>303</v>
      </c>
      <c r="DN131" s="49" t="s">
        <v>297</v>
      </c>
      <c r="DO131" s="48"/>
      <c r="DP131" s="49" t="s">
        <v>312</v>
      </c>
      <c r="DQ131" s="48"/>
      <c r="DR131" s="49" t="s">
        <v>312</v>
      </c>
      <c r="DS131" s="49" t="s">
        <v>303</v>
      </c>
      <c r="DT131" s="49" t="s">
        <v>303</v>
      </c>
      <c r="DW131" s="49" t="s">
        <v>303</v>
      </c>
      <c r="EA131" s="49" t="s">
        <v>324</v>
      </c>
      <c r="EB131" s="49" t="s">
        <v>303</v>
      </c>
      <c r="EF131" s="49" t="s">
        <v>679</v>
      </c>
      <c r="EH131" s="49" t="s">
        <v>310</v>
      </c>
      <c r="EJ131" s="49" t="s">
        <v>303</v>
      </c>
      <c r="EK131" s="49" t="s">
        <v>717</v>
      </c>
      <c r="EM131" s="49" t="s">
        <v>303</v>
      </c>
      <c r="EN131" s="49" t="s">
        <v>396</v>
      </c>
      <c r="EP131" s="49" t="s">
        <v>298</v>
      </c>
      <c r="EQ131" s="0" t="n">
        <v>1</v>
      </c>
      <c r="ER131" s="49" t="s">
        <v>328</v>
      </c>
      <c r="ES131" s="49" t="s">
        <v>329</v>
      </c>
      <c r="ET131" s="49" t="s">
        <v>310</v>
      </c>
      <c r="EU131" s="49" t="s">
        <v>310</v>
      </c>
      <c r="EV131" s="49" t="s">
        <v>310</v>
      </c>
      <c r="EX131" s="49" t="s">
        <v>303</v>
      </c>
      <c r="EY131" s="49" t="s">
        <v>303</v>
      </c>
      <c r="FC131" s="49" t="s">
        <v>330</v>
      </c>
      <c r="FD131" s="49" t="s">
        <v>310</v>
      </c>
      <c r="FE131" s="49" t="s">
        <v>310</v>
      </c>
      <c r="FF131" s="49" t="s">
        <v>64</v>
      </c>
      <c r="FG131" s="49" t="s">
        <v>397</v>
      </c>
      <c r="FH131" s="49" t="s">
        <v>310</v>
      </c>
      <c r="FI131" s="49" t="s">
        <v>332</v>
      </c>
      <c r="FJ131" s="49" t="s">
        <v>303</v>
      </c>
      <c r="FL131" s="49" t="s">
        <v>325</v>
      </c>
      <c r="FM131" s="49" t="s">
        <v>641</v>
      </c>
      <c r="FP131" s="49" t="s">
        <v>303</v>
      </c>
      <c r="FR131" s="49" t="s">
        <v>303</v>
      </c>
      <c r="FT131" s="49" t="s">
        <v>325</v>
      </c>
      <c r="FU131" s="49" t="s">
        <v>325</v>
      </c>
      <c r="FW131" s="49" t="s">
        <v>333</v>
      </c>
    </row>
    <row r="132" customFormat="false" ht="15" hidden="false" customHeight="false" outlineLevel="0" collapsed="false">
      <c r="A132" s="0" t="n">
        <v>100879999</v>
      </c>
      <c r="B132" s="0" t="s">
        <v>295</v>
      </c>
      <c r="C132" s="0" t="s">
        <v>64</v>
      </c>
      <c r="D132" s="0" t="s">
        <v>65</v>
      </c>
      <c r="E132" s="0" t="s">
        <v>297</v>
      </c>
      <c r="G132" s="0" t="n">
        <v>1</v>
      </c>
      <c r="H132" s="0" t="s">
        <v>298</v>
      </c>
      <c r="I132" s="48" t="n">
        <v>46296</v>
      </c>
      <c r="J132" s="0" t="n">
        <v>0</v>
      </c>
      <c r="K132" s="49" t="s">
        <v>641</v>
      </c>
      <c r="L132" s="49" t="s">
        <v>335</v>
      </c>
      <c r="M132" s="48"/>
      <c r="O132" s="49" t="s">
        <v>445</v>
      </c>
      <c r="P132" s="48"/>
      <c r="Q132" s="48" t="n">
        <v>46296</v>
      </c>
      <c r="R132" s="48" t="n">
        <v>46302</v>
      </c>
      <c r="T132" s="49" t="s">
        <v>302</v>
      </c>
      <c r="U132" s="49" t="s">
        <v>303</v>
      </c>
      <c r="Y132" s="49" t="s">
        <v>312</v>
      </c>
      <c r="AD132" s="49" t="s">
        <v>305</v>
      </c>
      <c r="AE132" s="48" t="n">
        <v>46275</v>
      </c>
      <c r="AF132" s="49" t="s">
        <v>306</v>
      </c>
      <c r="AG132" s="49" t="s">
        <v>307</v>
      </c>
      <c r="AK132" s="49" t="s">
        <v>303</v>
      </c>
      <c r="AL132" s="49" t="s">
        <v>297</v>
      </c>
      <c r="AO132" s="49" t="s">
        <v>303</v>
      </c>
      <c r="AP132" s="48"/>
      <c r="AR132" s="49" t="s">
        <v>303</v>
      </c>
      <c r="AS132" s="49" t="s">
        <v>306</v>
      </c>
      <c r="AT132" s="49" t="s">
        <v>718</v>
      </c>
      <c r="AV132" s="49" t="s">
        <v>309</v>
      </c>
      <c r="AW132" s="49" t="s">
        <v>310</v>
      </c>
      <c r="AX132" s="49" t="s">
        <v>311</v>
      </c>
      <c r="AY132" s="48"/>
      <c r="AZ132" s="48" t="n">
        <v>46294</v>
      </c>
      <c r="BC132" s="49" t="s">
        <v>303</v>
      </c>
      <c r="BD132" s="48"/>
      <c r="BE132" s="49" t="s">
        <v>312</v>
      </c>
      <c r="BF132" s="49" t="s">
        <v>303</v>
      </c>
      <c r="BG132" s="48"/>
      <c r="BI132" s="48"/>
      <c r="BJ132" s="48" t="n">
        <v>46301</v>
      </c>
      <c r="BK132" s="49" t="s">
        <v>313</v>
      </c>
      <c r="BL132" s="49" t="s">
        <v>313</v>
      </c>
      <c r="BM132" s="49" t="s">
        <v>310</v>
      </c>
      <c r="BN132" s="48"/>
      <c r="BO132" s="48"/>
      <c r="BP132" s="48"/>
      <c r="BQ132" s="49" t="s">
        <v>641</v>
      </c>
      <c r="BR132" s="48" t="n">
        <v>46301</v>
      </c>
      <c r="BS132" s="49" t="s">
        <v>714</v>
      </c>
      <c r="BT132" s="49" t="s">
        <v>312</v>
      </c>
      <c r="BU132" s="49" t="s">
        <v>313</v>
      </c>
      <c r="BV132" s="49" t="s">
        <v>303</v>
      </c>
      <c r="BX132" s="0" t="n">
        <v>0</v>
      </c>
      <c r="CC132" s="49" t="s">
        <v>315</v>
      </c>
      <c r="CD132" s="49" t="s">
        <v>303</v>
      </c>
      <c r="CF132" s="49" t="s">
        <v>303</v>
      </c>
      <c r="CG132" s="49" t="s">
        <v>316</v>
      </c>
      <c r="CH132" s="49" t="s">
        <v>317</v>
      </c>
      <c r="CI132" s="49" t="s">
        <v>318</v>
      </c>
      <c r="CM132" s="49" t="s">
        <v>65</v>
      </c>
      <c r="CV132" s="49" t="s">
        <v>303</v>
      </c>
      <c r="DB132" s="49" t="s">
        <v>319</v>
      </c>
      <c r="DD132" s="48" t="n">
        <v>46275</v>
      </c>
      <c r="DF132" s="49" t="s">
        <v>310</v>
      </c>
      <c r="DG132" s="49" t="s">
        <v>320</v>
      </c>
      <c r="DH132" s="49" t="s">
        <v>64</v>
      </c>
      <c r="DI132" s="49" t="s">
        <v>298</v>
      </c>
      <c r="DJ132" s="49" t="s">
        <v>394</v>
      </c>
      <c r="DK132" s="49" t="s">
        <v>322</v>
      </c>
      <c r="DL132" s="49" t="s">
        <v>323</v>
      </c>
      <c r="DM132" s="49" t="s">
        <v>303</v>
      </c>
      <c r="DN132" s="49" t="s">
        <v>297</v>
      </c>
      <c r="DO132" s="48"/>
      <c r="DP132" s="49" t="s">
        <v>312</v>
      </c>
      <c r="DQ132" s="48"/>
      <c r="DR132" s="49" t="s">
        <v>312</v>
      </c>
      <c r="DS132" s="49" t="s">
        <v>303</v>
      </c>
      <c r="DT132" s="49" t="s">
        <v>303</v>
      </c>
      <c r="DW132" s="49" t="s">
        <v>303</v>
      </c>
      <c r="EA132" s="49" t="s">
        <v>324</v>
      </c>
      <c r="EB132" s="49" t="s">
        <v>303</v>
      </c>
      <c r="EF132" s="49" t="s">
        <v>679</v>
      </c>
      <c r="EH132" s="49" t="s">
        <v>310</v>
      </c>
      <c r="EJ132" s="49" t="s">
        <v>303</v>
      </c>
      <c r="EK132" s="49" t="s">
        <v>719</v>
      </c>
      <c r="EM132" s="49" t="s">
        <v>303</v>
      </c>
      <c r="EN132" s="49" t="s">
        <v>396</v>
      </c>
      <c r="EP132" s="49" t="s">
        <v>298</v>
      </c>
      <c r="EQ132" s="0" t="n">
        <v>1</v>
      </c>
      <c r="ER132" s="49" t="s">
        <v>328</v>
      </c>
      <c r="ES132" s="49" t="s">
        <v>329</v>
      </c>
      <c r="ET132" s="49" t="s">
        <v>310</v>
      </c>
      <c r="EU132" s="49" t="s">
        <v>310</v>
      </c>
      <c r="EV132" s="49" t="s">
        <v>310</v>
      </c>
      <c r="EX132" s="49" t="s">
        <v>303</v>
      </c>
      <c r="EY132" s="49" t="s">
        <v>303</v>
      </c>
      <c r="FC132" s="49" t="s">
        <v>330</v>
      </c>
      <c r="FD132" s="49" t="s">
        <v>310</v>
      </c>
      <c r="FE132" s="49" t="s">
        <v>310</v>
      </c>
      <c r="FF132" s="49" t="s">
        <v>64</v>
      </c>
      <c r="FG132" s="49" t="s">
        <v>397</v>
      </c>
      <c r="FH132" s="49" t="s">
        <v>310</v>
      </c>
      <c r="FI132" s="49" t="s">
        <v>332</v>
      </c>
      <c r="FJ132" s="49" t="s">
        <v>303</v>
      </c>
      <c r="FL132" s="49" t="s">
        <v>325</v>
      </c>
      <c r="FM132" s="49" t="s">
        <v>641</v>
      </c>
      <c r="FP132" s="49" t="s">
        <v>303</v>
      </c>
      <c r="FR132" s="49" t="s">
        <v>303</v>
      </c>
      <c r="FT132" s="49" t="s">
        <v>325</v>
      </c>
      <c r="FU132" s="49" t="s">
        <v>325</v>
      </c>
      <c r="FW132" s="49" t="s">
        <v>333</v>
      </c>
    </row>
    <row r="133" customFormat="false" ht="15" hidden="false" customHeight="false" outlineLevel="0" collapsed="false">
      <c r="A133" s="0" t="n">
        <v>100880000</v>
      </c>
      <c r="B133" s="0" t="s">
        <v>295</v>
      </c>
      <c r="C133" s="0" t="s">
        <v>64</v>
      </c>
      <c r="D133" s="0" t="s">
        <v>65</v>
      </c>
      <c r="E133" s="0" t="s">
        <v>297</v>
      </c>
      <c r="G133" s="0" t="n">
        <v>1</v>
      </c>
      <c r="H133" s="0" t="s">
        <v>298</v>
      </c>
      <c r="I133" s="48" t="n">
        <v>46296</v>
      </c>
      <c r="J133" s="0" t="n">
        <v>0</v>
      </c>
      <c r="K133" s="49" t="s">
        <v>641</v>
      </c>
      <c r="L133" s="49" t="s">
        <v>335</v>
      </c>
      <c r="M133" s="48"/>
      <c r="O133" s="49" t="s">
        <v>445</v>
      </c>
      <c r="P133" s="48"/>
      <c r="Q133" s="48" t="n">
        <v>46296</v>
      </c>
      <c r="R133" s="48" t="n">
        <v>46302</v>
      </c>
      <c r="T133" s="49" t="s">
        <v>302</v>
      </c>
      <c r="U133" s="49" t="s">
        <v>303</v>
      </c>
      <c r="Y133" s="49" t="s">
        <v>312</v>
      </c>
      <c r="AD133" s="49" t="s">
        <v>305</v>
      </c>
      <c r="AE133" s="48" t="n">
        <v>46275</v>
      </c>
      <c r="AF133" s="49" t="s">
        <v>306</v>
      </c>
      <c r="AG133" s="49" t="s">
        <v>307</v>
      </c>
      <c r="AK133" s="49" t="s">
        <v>303</v>
      </c>
      <c r="AL133" s="49" t="s">
        <v>297</v>
      </c>
      <c r="AO133" s="49" t="s">
        <v>303</v>
      </c>
      <c r="AP133" s="48"/>
      <c r="AR133" s="49" t="s">
        <v>303</v>
      </c>
      <c r="AS133" s="49" t="s">
        <v>306</v>
      </c>
      <c r="AT133" s="49" t="s">
        <v>720</v>
      </c>
      <c r="AV133" s="49" t="s">
        <v>309</v>
      </c>
      <c r="AW133" s="49" t="s">
        <v>310</v>
      </c>
      <c r="AX133" s="49" t="s">
        <v>311</v>
      </c>
      <c r="AY133" s="48"/>
      <c r="AZ133" s="48" t="n">
        <v>46294</v>
      </c>
      <c r="BC133" s="49" t="s">
        <v>303</v>
      </c>
      <c r="BD133" s="48"/>
      <c r="BE133" s="49" t="s">
        <v>312</v>
      </c>
      <c r="BF133" s="49" t="s">
        <v>303</v>
      </c>
      <c r="BG133" s="48"/>
      <c r="BI133" s="48"/>
      <c r="BJ133" s="48" t="n">
        <v>46301</v>
      </c>
      <c r="BK133" s="49" t="s">
        <v>313</v>
      </c>
      <c r="BL133" s="49" t="s">
        <v>313</v>
      </c>
      <c r="BM133" s="49" t="s">
        <v>310</v>
      </c>
      <c r="BN133" s="48"/>
      <c r="BO133" s="48"/>
      <c r="BP133" s="48"/>
      <c r="BQ133" s="49" t="s">
        <v>641</v>
      </c>
      <c r="BR133" s="48" t="n">
        <v>46301</v>
      </c>
      <c r="BS133" s="49" t="s">
        <v>721</v>
      </c>
      <c r="BT133" s="49" t="s">
        <v>312</v>
      </c>
      <c r="BU133" s="49" t="s">
        <v>313</v>
      </c>
      <c r="BV133" s="49" t="s">
        <v>303</v>
      </c>
      <c r="BX133" s="0" t="n">
        <v>0</v>
      </c>
      <c r="CC133" s="49" t="s">
        <v>315</v>
      </c>
      <c r="CD133" s="49" t="s">
        <v>303</v>
      </c>
      <c r="CF133" s="49" t="s">
        <v>303</v>
      </c>
      <c r="CG133" s="49" t="s">
        <v>316</v>
      </c>
      <c r="CH133" s="49" t="s">
        <v>317</v>
      </c>
      <c r="CI133" s="49" t="s">
        <v>318</v>
      </c>
      <c r="CM133" s="49" t="s">
        <v>65</v>
      </c>
      <c r="CV133" s="49" t="s">
        <v>303</v>
      </c>
      <c r="DB133" s="49" t="s">
        <v>319</v>
      </c>
      <c r="DD133" s="48" t="n">
        <v>46275</v>
      </c>
      <c r="DF133" s="49" t="s">
        <v>310</v>
      </c>
      <c r="DG133" s="49" t="s">
        <v>320</v>
      </c>
      <c r="DH133" s="49" t="s">
        <v>64</v>
      </c>
      <c r="DI133" s="49" t="s">
        <v>298</v>
      </c>
      <c r="DJ133" s="49" t="s">
        <v>394</v>
      </c>
      <c r="DK133" s="49" t="s">
        <v>322</v>
      </c>
      <c r="DL133" s="49" t="s">
        <v>323</v>
      </c>
      <c r="DM133" s="49" t="s">
        <v>303</v>
      </c>
      <c r="DN133" s="49" t="s">
        <v>297</v>
      </c>
      <c r="DO133" s="48"/>
      <c r="DP133" s="49" t="s">
        <v>312</v>
      </c>
      <c r="DQ133" s="48"/>
      <c r="DR133" s="49" t="s">
        <v>312</v>
      </c>
      <c r="DS133" s="49" t="s">
        <v>303</v>
      </c>
      <c r="DT133" s="49" t="s">
        <v>303</v>
      </c>
      <c r="DW133" s="49" t="s">
        <v>303</v>
      </c>
      <c r="EA133" s="49" t="s">
        <v>324</v>
      </c>
      <c r="EB133" s="49" t="s">
        <v>303</v>
      </c>
      <c r="EF133" s="49" t="s">
        <v>679</v>
      </c>
      <c r="EH133" s="49" t="s">
        <v>310</v>
      </c>
      <c r="EJ133" s="49" t="s">
        <v>303</v>
      </c>
      <c r="EK133" s="49" t="s">
        <v>722</v>
      </c>
      <c r="EM133" s="49" t="s">
        <v>303</v>
      </c>
      <c r="EN133" s="49" t="s">
        <v>396</v>
      </c>
      <c r="EP133" s="49" t="s">
        <v>298</v>
      </c>
      <c r="EQ133" s="0" t="n">
        <v>1</v>
      </c>
      <c r="ER133" s="49" t="s">
        <v>328</v>
      </c>
      <c r="ES133" s="49" t="s">
        <v>329</v>
      </c>
      <c r="ET133" s="49" t="s">
        <v>310</v>
      </c>
      <c r="EU133" s="49" t="s">
        <v>310</v>
      </c>
      <c r="EV133" s="49" t="s">
        <v>310</v>
      </c>
      <c r="EX133" s="49" t="s">
        <v>303</v>
      </c>
      <c r="EY133" s="49" t="s">
        <v>303</v>
      </c>
      <c r="FC133" s="49" t="s">
        <v>330</v>
      </c>
      <c r="FD133" s="49" t="s">
        <v>310</v>
      </c>
      <c r="FE133" s="49" t="s">
        <v>310</v>
      </c>
      <c r="FF133" s="49" t="s">
        <v>64</v>
      </c>
      <c r="FG133" s="49" t="s">
        <v>397</v>
      </c>
      <c r="FH133" s="49" t="s">
        <v>310</v>
      </c>
      <c r="FI133" s="49" t="s">
        <v>332</v>
      </c>
      <c r="FJ133" s="49" t="s">
        <v>303</v>
      </c>
      <c r="FL133" s="49" t="s">
        <v>325</v>
      </c>
      <c r="FM133" s="49" t="s">
        <v>641</v>
      </c>
      <c r="FP133" s="49" t="s">
        <v>303</v>
      </c>
      <c r="FR133" s="49" t="s">
        <v>303</v>
      </c>
      <c r="FT133" s="49" t="s">
        <v>325</v>
      </c>
      <c r="FU133" s="49" t="s">
        <v>325</v>
      </c>
      <c r="FW133" s="49" t="s">
        <v>333</v>
      </c>
    </row>
    <row r="134" customFormat="false" ht="15" hidden="false" customHeight="false" outlineLevel="0" collapsed="false">
      <c r="A134" s="0" t="n">
        <v>100880001</v>
      </c>
      <c r="B134" s="0" t="s">
        <v>295</v>
      </c>
      <c r="C134" s="0" t="s">
        <v>64</v>
      </c>
      <c r="D134" s="0" t="s">
        <v>65</v>
      </c>
      <c r="E134" s="0" t="s">
        <v>297</v>
      </c>
      <c r="G134" s="0" t="n">
        <v>1</v>
      </c>
      <c r="H134" s="0" t="s">
        <v>298</v>
      </c>
      <c r="I134" s="48" t="n">
        <v>46296</v>
      </c>
      <c r="J134" s="0" t="n">
        <v>0</v>
      </c>
      <c r="K134" s="49" t="s">
        <v>641</v>
      </c>
      <c r="L134" s="49" t="s">
        <v>335</v>
      </c>
      <c r="M134" s="48"/>
      <c r="O134" s="49" t="s">
        <v>445</v>
      </c>
      <c r="P134" s="48"/>
      <c r="Q134" s="48" t="n">
        <v>46296</v>
      </c>
      <c r="R134" s="48" t="n">
        <v>46302</v>
      </c>
      <c r="T134" s="49" t="s">
        <v>302</v>
      </c>
      <c r="U134" s="49" t="s">
        <v>303</v>
      </c>
      <c r="Y134" s="49" t="s">
        <v>312</v>
      </c>
      <c r="AD134" s="49" t="s">
        <v>305</v>
      </c>
      <c r="AE134" s="48" t="n">
        <v>46275</v>
      </c>
      <c r="AF134" s="49" t="s">
        <v>306</v>
      </c>
      <c r="AG134" s="49" t="s">
        <v>307</v>
      </c>
      <c r="AK134" s="49" t="s">
        <v>303</v>
      </c>
      <c r="AL134" s="49" t="s">
        <v>297</v>
      </c>
      <c r="AO134" s="49" t="s">
        <v>303</v>
      </c>
      <c r="AP134" s="48"/>
      <c r="AR134" s="49" t="s">
        <v>303</v>
      </c>
      <c r="AS134" s="49" t="s">
        <v>306</v>
      </c>
      <c r="AT134" s="49" t="s">
        <v>723</v>
      </c>
      <c r="AV134" s="49" t="s">
        <v>309</v>
      </c>
      <c r="AW134" s="49" t="s">
        <v>310</v>
      </c>
      <c r="AX134" s="49" t="s">
        <v>311</v>
      </c>
      <c r="AY134" s="48"/>
      <c r="AZ134" s="48" t="n">
        <v>46294</v>
      </c>
      <c r="BC134" s="49" t="s">
        <v>303</v>
      </c>
      <c r="BD134" s="48"/>
      <c r="BE134" s="49" t="s">
        <v>312</v>
      </c>
      <c r="BF134" s="49" t="s">
        <v>303</v>
      </c>
      <c r="BG134" s="48"/>
      <c r="BI134" s="48"/>
      <c r="BJ134" s="48" t="n">
        <v>46301</v>
      </c>
      <c r="BK134" s="49" t="s">
        <v>313</v>
      </c>
      <c r="BL134" s="49" t="s">
        <v>313</v>
      </c>
      <c r="BM134" s="49" t="s">
        <v>310</v>
      </c>
      <c r="BN134" s="48"/>
      <c r="BO134" s="48"/>
      <c r="BP134" s="48"/>
      <c r="BQ134" s="49" t="s">
        <v>641</v>
      </c>
      <c r="BR134" s="48" t="n">
        <v>46301</v>
      </c>
      <c r="BS134" s="49" t="s">
        <v>721</v>
      </c>
      <c r="BT134" s="49" t="s">
        <v>312</v>
      </c>
      <c r="BU134" s="49" t="s">
        <v>313</v>
      </c>
      <c r="BV134" s="49" t="s">
        <v>303</v>
      </c>
      <c r="BX134" s="0" t="n">
        <v>0</v>
      </c>
      <c r="CC134" s="49" t="s">
        <v>315</v>
      </c>
      <c r="CD134" s="49" t="s">
        <v>303</v>
      </c>
      <c r="CF134" s="49" t="s">
        <v>303</v>
      </c>
      <c r="CG134" s="49" t="s">
        <v>316</v>
      </c>
      <c r="CH134" s="49" t="s">
        <v>317</v>
      </c>
      <c r="CI134" s="49" t="s">
        <v>318</v>
      </c>
      <c r="CM134" s="49" t="s">
        <v>65</v>
      </c>
      <c r="CV134" s="49" t="s">
        <v>303</v>
      </c>
      <c r="DB134" s="49" t="s">
        <v>319</v>
      </c>
      <c r="DD134" s="48" t="n">
        <v>46275</v>
      </c>
      <c r="DF134" s="49" t="s">
        <v>310</v>
      </c>
      <c r="DG134" s="49" t="s">
        <v>320</v>
      </c>
      <c r="DH134" s="49" t="s">
        <v>64</v>
      </c>
      <c r="DI134" s="49" t="s">
        <v>298</v>
      </c>
      <c r="DJ134" s="49" t="s">
        <v>394</v>
      </c>
      <c r="DK134" s="49" t="s">
        <v>322</v>
      </c>
      <c r="DL134" s="49" t="s">
        <v>323</v>
      </c>
      <c r="DM134" s="49" t="s">
        <v>303</v>
      </c>
      <c r="DN134" s="49" t="s">
        <v>297</v>
      </c>
      <c r="DO134" s="48"/>
      <c r="DP134" s="49" t="s">
        <v>312</v>
      </c>
      <c r="DQ134" s="48"/>
      <c r="DR134" s="49" t="s">
        <v>312</v>
      </c>
      <c r="DS134" s="49" t="s">
        <v>303</v>
      </c>
      <c r="DT134" s="49" t="s">
        <v>303</v>
      </c>
      <c r="DW134" s="49" t="s">
        <v>303</v>
      </c>
      <c r="EA134" s="49" t="s">
        <v>324</v>
      </c>
      <c r="EB134" s="49" t="s">
        <v>303</v>
      </c>
      <c r="EF134" s="49" t="s">
        <v>679</v>
      </c>
      <c r="EH134" s="49" t="s">
        <v>310</v>
      </c>
      <c r="EJ134" s="49" t="s">
        <v>303</v>
      </c>
      <c r="EK134" s="49" t="s">
        <v>724</v>
      </c>
      <c r="EM134" s="49" t="s">
        <v>303</v>
      </c>
      <c r="EN134" s="49" t="s">
        <v>396</v>
      </c>
      <c r="EP134" s="49" t="s">
        <v>298</v>
      </c>
      <c r="EQ134" s="0" t="n">
        <v>1</v>
      </c>
      <c r="ER134" s="49" t="s">
        <v>328</v>
      </c>
      <c r="ES134" s="49" t="s">
        <v>329</v>
      </c>
      <c r="ET134" s="49" t="s">
        <v>310</v>
      </c>
      <c r="EU134" s="49" t="s">
        <v>310</v>
      </c>
      <c r="EV134" s="49" t="s">
        <v>310</v>
      </c>
      <c r="EX134" s="49" t="s">
        <v>303</v>
      </c>
      <c r="EY134" s="49" t="s">
        <v>303</v>
      </c>
      <c r="FC134" s="49" t="s">
        <v>330</v>
      </c>
      <c r="FD134" s="49" t="s">
        <v>310</v>
      </c>
      <c r="FE134" s="49" t="s">
        <v>310</v>
      </c>
      <c r="FF134" s="49" t="s">
        <v>64</v>
      </c>
      <c r="FG134" s="49" t="s">
        <v>397</v>
      </c>
      <c r="FH134" s="49" t="s">
        <v>310</v>
      </c>
      <c r="FI134" s="49" t="s">
        <v>332</v>
      </c>
      <c r="FJ134" s="49" t="s">
        <v>303</v>
      </c>
      <c r="FL134" s="49" t="s">
        <v>325</v>
      </c>
      <c r="FM134" s="49" t="s">
        <v>641</v>
      </c>
      <c r="FP134" s="49" t="s">
        <v>303</v>
      </c>
      <c r="FR134" s="49" t="s">
        <v>303</v>
      </c>
      <c r="FT134" s="49" t="s">
        <v>325</v>
      </c>
      <c r="FU134" s="49" t="s">
        <v>325</v>
      </c>
      <c r="FW134" s="49" t="s">
        <v>333</v>
      </c>
    </row>
    <row r="135" customFormat="false" ht="15" hidden="false" customHeight="false" outlineLevel="0" collapsed="false">
      <c r="A135" s="0" t="n">
        <v>100880002</v>
      </c>
      <c r="B135" s="0" t="s">
        <v>295</v>
      </c>
      <c r="C135" s="0" t="s">
        <v>64</v>
      </c>
      <c r="D135" s="0" t="s">
        <v>65</v>
      </c>
      <c r="E135" s="0" t="s">
        <v>297</v>
      </c>
      <c r="G135" s="0" t="n">
        <v>1</v>
      </c>
      <c r="H135" s="0" t="s">
        <v>298</v>
      </c>
      <c r="I135" s="48" t="n">
        <v>46296</v>
      </c>
      <c r="J135" s="0" t="n">
        <v>0</v>
      </c>
      <c r="K135" s="49" t="s">
        <v>641</v>
      </c>
      <c r="L135" s="49" t="s">
        <v>335</v>
      </c>
      <c r="M135" s="48"/>
      <c r="O135" s="49" t="s">
        <v>445</v>
      </c>
      <c r="P135" s="48"/>
      <c r="Q135" s="48" t="n">
        <v>46296</v>
      </c>
      <c r="R135" s="48" t="n">
        <v>46302</v>
      </c>
      <c r="T135" s="49" t="s">
        <v>302</v>
      </c>
      <c r="U135" s="49" t="s">
        <v>303</v>
      </c>
      <c r="Y135" s="49" t="s">
        <v>312</v>
      </c>
      <c r="AD135" s="49" t="s">
        <v>305</v>
      </c>
      <c r="AE135" s="48" t="n">
        <v>46275</v>
      </c>
      <c r="AF135" s="49" t="s">
        <v>306</v>
      </c>
      <c r="AG135" s="49" t="s">
        <v>307</v>
      </c>
      <c r="AK135" s="49" t="s">
        <v>303</v>
      </c>
      <c r="AL135" s="49" t="s">
        <v>297</v>
      </c>
      <c r="AO135" s="49" t="s">
        <v>303</v>
      </c>
      <c r="AP135" s="48"/>
      <c r="AR135" s="49" t="s">
        <v>303</v>
      </c>
      <c r="AS135" s="49" t="s">
        <v>306</v>
      </c>
      <c r="AT135" s="49" t="s">
        <v>725</v>
      </c>
      <c r="AV135" s="49" t="s">
        <v>309</v>
      </c>
      <c r="AW135" s="49" t="s">
        <v>310</v>
      </c>
      <c r="AX135" s="49" t="s">
        <v>311</v>
      </c>
      <c r="AY135" s="48"/>
      <c r="AZ135" s="48" t="n">
        <v>46294</v>
      </c>
      <c r="BC135" s="49" t="s">
        <v>303</v>
      </c>
      <c r="BD135" s="48"/>
      <c r="BE135" s="49" t="s">
        <v>312</v>
      </c>
      <c r="BF135" s="49" t="s">
        <v>303</v>
      </c>
      <c r="BG135" s="48"/>
      <c r="BI135" s="48"/>
      <c r="BJ135" s="48" t="n">
        <v>46301</v>
      </c>
      <c r="BK135" s="49" t="s">
        <v>313</v>
      </c>
      <c r="BL135" s="49" t="s">
        <v>313</v>
      </c>
      <c r="BM135" s="49" t="s">
        <v>310</v>
      </c>
      <c r="BN135" s="48"/>
      <c r="BO135" s="48"/>
      <c r="BP135" s="48"/>
      <c r="BQ135" s="49" t="s">
        <v>641</v>
      </c>
      <c r="BR135" s="48" t="n">
        <v>46301</v>
      </c>
      <c r="BS135" s="49" t="s">
        <v>721</v>
      </c>
      <c r="BT135" s="49" t="s">
        <v>312</v>
      </c>
      <c r="BU135" s="49" t="s">
        <v>313</v>
      </c>
      <c r="BV135" s="49" t="s">
        <v>303</v>
      </c>
      <c r="BX135" s="0" t="n">
        <v>0</v>
      </c>
      <c r="CC135" s="49" t="s">
        <v>315</v>
      </c>
      <c r="CD135" s="49" t="s">
        <v>303</v>
      </c>
      <c r="CF135" s="49" t="s">
        <v>303</v>
      </c>
      <c r="CG135" s="49" t="s">
        <v>316</v>
      </c>
      <c r="CH135" s="49" t="s">
        <v>317</v>
      </c>
      <c r="CI135" s="49" t="s">
        <v>318</v>
      </c>
      <c r="CM135" s="49" t="s">
        <v>65</v>
      </c>
      <c r="CV135" s="49" t="s">
        <v>303</v>
      </c>
      <c r="DB135" s="49" t="s">
        <v>319</v>
      </c>
      <c r="DD135" s="48" t="n">
        <v>46275</v>
      </c>
      <c r="DF135" s="49" t="s">
        <v>310</v>
      </c>
      <c r="DG135" s="49" t="s">
        <v>320</v>
      </c>
      <c r="DH135" s="49" t="s">
        <v>64</v>
      </c>
      <c r="DI135" s="49" t="s">
        <v>298</v>
      </c>
      <c r="DJ135" s="49" t="s">
        <v>394</v>
      </c>
      <c r="DK135" s="49" t="s">
        <v>322</v>
      </c>
      <c r="DL135" s="49" t="s">
        <v>323</v>
      </c>
      <c r="DM135" s="49" t="s">
        <v>303</v>
      </c>
      <c r="DN135" s="49" t="s">
        <v>297</v>
      </c>
      <c r="DO135" s="48"/>
      <c r="DP135" s="49" t="s">
        <v>312</v>
      </c>
      <c r="DQ135" s="48"/>
      <c r="DR135" s="49" t="s">
        <v>312</v>
      </c>
      <c r="DS135" s="49" t="s">
        <v>303</v>
      </c>
      <c r="DT135" s="49" t="s">
        <v>303</v>
      </c>
      <c r="DW135" s="49" t="s">
        <v>303</v>
      </c>
      <c r="EA135" s="49" t="s">
        <v>324</v>
      </c>
      <c r="EB135" s="49" t="s">
        <v>303</v>
      </c>
      <c r="EF135" s="49" t="s">
        <v>679</v>
      </c>
      <c r="EH135" s="49" t="s">
        <v>310</v>
      </c>
      <c r="EJ135" s="49" t="s">
        <v>303</v>
      </c>
      <c r="EK135" s="49" t="s">
        <v>726</v>
      </c>
      <c r="EM135" s="49" t="s">
        <v>303</v>
      </c>
      <c r="EN135" s="49" t="s">
        <v>396</v>
      </c>
      <c r="EP135" s="49" t="s">
        <v>298</v>
      </c>
      <c r="EQ135" s="0" t="n">
        <v>1</v>
      </c>
      <c r="ER135" s="49" t="s">
        <v>328</v>
      </c>
      <c r="ES135" s="49" t="s">
        <v>329</v>
      </c>
      <c r="ET135" s="49" t="s">
        <v>310</v>
      </c>
      <c r="EU135" s="49" t="s">
        <v>310</v>
      </c>
      <c r="EV135" s="49" t="s">
        <v>310</v>
      </c>
      <c r="EX135" s="49" t="s">
        <v>303</v>
      </c>
      <c r="EY135" s="49" t="s">
        <v>303</v>
      </c>
      <c r="FC135" s="49" t="s">
        <v>330</v>
      </c>
      <c r="FD135" s="49" t="s">
        <v>310</v>
      </c>
      <c r="FE135" s="49" t="s">
        <v>310</v>
      </c>
      <c r="FF135" s="49" t="s">
        <v>64</v>
      </c>
      <c r="FG135" s="49" t="s">
        <v>397</v>
      </c>
      <c r="FH135" s="49" t="s">
        <v>310</v>
      </c>
      <c r="FI135" s="49" t="s">
        <v>332</v>
      </c>
      <c r="FJ135" s="49" t="s">
        <v>303</v>
      </c>
      <c r="FL135" s="49" t="s">
        <v>325</v>
      </c>
      <c r="FM135" s="49" t="s">
        <v>641</v>
      </c>
      <c r="FP135" s="49" t="s">
        <v>303</v>
      </c>
      <c r="FR135" s="49" t="s">
        <v>303</v>
      </c>
      <c r="FT135" s="49" t="s">
        <v>325</v>
      </c>
      <c r="FU135" s="49" t="s">
        <v>325</v>
      </c>
      <c r="FW135" s="49" t="s">
        <v>333</v>
      </c>
    </row>
    <row r="136" customFormat="false" ht="15" hidden="false" customHeight="false" outlineLevel="0" collapsed="false">
      <c r="A136" s="0" t="n">
        <v>100880003</v>
      </c>
      <c r="B136" s="0" t="s">
        <v>295</v>
      </c>
      <c r="C136" s="0" t="s">
        <v>64</v>
      </c>
      <c r="D136" s="0" t="s">
        <v>65</v>
      </c>
      <c r="E136" s="0" t="s">
        <v>297</v>
      </c>
      <c r="G136" s="0" t="n">
        <v>1</v>
      </c>
      <c r="H136" s="0" t="s">
        <v>298</v>
      </c>
      <c r="I136" s="48" t="n">
        <v>46296</v>
      </c>
      <c r="J136" s="0" t="n">
        <v>0</v>
      </c>
      <c r="K136" s="49" t="s">
        <v>641</v>
      </c>
      <c r="L136" s="49" t="s">
        <v>335</v>
      </c>
      <c r="M136" s="48"/>
      <c r="O136" s="49" t="s">
        <v>445</v>
      </c>
      <c r="P136" s="48"/>
      <c r="Q136" s="48" t="n">
        <v>46296</v>
      </c>
      <c r="R136" s="48" t="n">
        <v>46302</v>
      </c>
      <c r="T136" s="49" t="s">
        <v>302</v>
      </c>
      <c r="U136" s="49" t="s">
        <v>303</v>
      </c>
      <c r="Y136" s="49" t="s">
        <v>312</v>
      </c>
      <c r="AD136" s="49" t="s">
        <v>305</v>
      </c>
      <c r="AE136" s="48" t="n">
        <v>46275</v>
      </c>
      <c r="AF136" s="49" t="s">
        <v>306</v>
      </c>
      <c r="AG136" s="49" t="s">
        <v>307</v>
      </c>
      <c r="AK136" s="49" t="s">
        <v>303</v>
      </c>
      <c r="AL136" s="49" t="s">
        <v>297</v>
      </c>
      <c r="AO136" s="49" t="s">
        <v>303</v>
      </c>
      <c r="AP136" s="48"/>
      <c r="AR136" s="49" t="s">
        <v>303</v>
      </c>
      <c r="AS136" s="49" t="s">
        <v>306</v>
      </c>
      <c r="AT136" s="49" t="s">
        <v>727</v>
      </c>
      <c r="AV136" s="49" t="s">
        <v>309</v>
      </c>
      <c r="AW136" s="49" t="s">
        <v>310</v>
      </c>
      <c r="AX136" s="49" t="s">
        <v>311</v>
      </c>
      <c r="AY136" s="48"/>
      <c r="AZ136" s="48" t="n">
        <v>46294</v>
      </c>
      <c r="BC136" s="49" t="s">
        <v>303</v>
      </c>
      <c r="BD136" s="48"/>
      <c r="BE136" s="49" t="s">
        <v>312</v>
      </c>
      <c r="BF136" s="49" t="s">
        <v>303</v>
      </c>
      <c r="BG136" s="48"/>
      <c r="BI136" s="48"/>
      <c r="BJ136" s="48" t="n">
        <v>46301</v>
      </c>
      <c r="BK136" s="49" t="s">
        <v>313</v>
      </c>
      <c r="BL136" s="49" t="s">
        <v>313</v>
      </c>
      <c r="BM136" s="49" t="s">
        <v>310</v>
      </c>
      <c r="BN136" s="48"/>
      <c r="BO136" s="48"/>
      <c r="BP136" s="48"/>
      <c r="BQ136" s="49" t="s">
        <v>641</v>
      </c>
      <c r="BR136" s="48" t="n">
        <v>46301</v>
      </c>
      <c r="BS136" s="49" t="s">
        <v>721</v>
      </c>
      <c r="BT136" s="49" t="s">
        <v>312</v>
      </c>
      <c r="BU136" s="49" t="s">
        <v>313</v>
      </c>
      <c r="BV136" s="49" t="s">
        <v>303</v>
      </c>
      <c r="BX136" s="0" t="n">
        <v>0</v>
      </c>
      <c r="CC136" s="49" t="s">
        <v>315</v>
      </c>
      <c r="CD136" s="49" t="s">
        <v>303</v>
      </c>
      <c r="CF136" s="49" t="s">
        <v>303</v>
      </c>
      <c r="CG136" s="49" t="s">
        <v>316</v>
      </c>
      <c r="CH136" s="49" t="s">
        <v>317</v>
      </c>
      <c r="CI136" s="49" t="s">
        <v>318</v>
      </c>
      <c r="CM136" s="49" t="s">
        <v>65</v>
      </c>
      <c r="CV136" s="49" t="s">
        <v>303</v>
      </c>
      <c r="DB136" s="49" t="s">
        <v>319</v>
      </c>
      <c r="DD136" s="48" t="n">
        <v>46275</v>
      </c>
      <c r="DF136" s="49" t="s">
        <v>310</v>
      </c>
      <c r="DG136" s="49" t="s">
        <v>320</v>
      </c>
      <c r="DH136" s="49" t="s">
        <v>64</v>
      </c>
      <c r="DI136" s="49" t="s">
        <v>298</v>
      </c>
      <c r="DJ136" s="49" t="s">
        <v>394</v>
      </c>
      <c r="DK136" s="49" t="s">
        <v>322</v>
      </c>
      <c r="DL136" s="49" t="s">
        <v>323</v>
      </c>
      <c r="DM136" s="49" t="s">
        <v>303</v>
      </c>
      <c r="DN136" s="49" t="s">
        <v>297</v>
      </c>
      <c r="DO136" s="48"/>
      <c r="DP136" s="49" t="s">
        <v>312</v>
      </c>
      <c r="DQ136" s="48"/>
      <c r="DR136" s="49" t="s">
        <v>312</v>
      </c>
      <c r="DS136" s="49" t="s">
        <v>303</v>
      </c>
      <c r="DT136" s="49" t="s">
        <v>303</v>
      </c>
      <c r="DW136" s="49" t="s">
        <v>303</v>
      </c>
      <c r="EA136" s="49" t="s">
        <v>324</v>
      </c>
      <c r="EB136" s="49" t="s">
        <v>303</v>
      </c>
      <c r="EF136" s="49" t="s">
        <v>679</v>
      </c>
      <c r="EH136" s="49" t="s">
        <v>310</v>
      </c>
      <c r="EJ136" s="49" t="s">
        <v>303</v>
      </c>
      <c r="EK136" s="49" t="s">
        <v>728</v>
      </c>
      <c r="EM136" s="49" t="s">
        <v>303</v>
      </c>
      <c r="EN136" s="49" t="s">
        <v>396</v>
      </c>
      <c r="EP136" s="49" t="s">
        <v>298</v>
      </c>
      <c r="EQ136" s="0" t="n">
        <v>1</v>
      </c>
      <c r="ER136" s="49" t="s">
        <v>328</v>
      </c>
      <c r="ES136" s="49" t="s">
        <v>329</v>
      </c>
      <c r="ET136" s="49" t="s">
        <v>310</v>
      </c>
      <c r="EU136" s="49" t="s">
        <v>310</v>
      </c>
      <c r="EV136" s="49" t="s">
        <v>310</v>
      </c>
      <c r="EX136" s="49" t="s">
        <v>303</v>
      </c>
      <c r="EY136" s="49" t="s">
        <v>303</v>
      </c>
      <c r="FC136" s="49" t="s">
        <v>330</v>
      </c>
      <c r="FD136" s="49" t="s">
        <v>310</v>
      </c>
      <c r="FE136" s="49" t="s">
        <v>310</v>
      </c>
      <c r="FF136" s="49" t="s">
        <v>64</v>
      </c>
      <c r="FG136" s="49" t="s">
        <v>397</v>
      </c>
      <c r="FH136" s="49" t="s">
        <v>310</v>
      </c>
      <c r="FI136" s="49" t="s">
        <v>332</v>
      </c>
      <c r="FJ136" s="49" t="s">
        <v>303</v>
      </c>
      <c r="FL136" s="49" t="s">
        <v>325</v>
      </c>
      <c r="FM136" s="49" t="s">
        <v>641</v>
      </c>
      <c r="FP136" s="49" t="s">
        <v>303</v>
      </c>
      <c r="FR136" s="49" t="s">
        <v>303</v>
      </c>
      <c r="FT136" s="49" t="s">
        <v>325</v>
      </c>
      <c r="FU136" s="49" t="s">
        <v>325</v>
      </c>
      <c r="FW136" s="49" t="s">
        <v>333</v>
      </c>
    </row>
    <row r="137" customFormat="false" ht="15" hidden="false" customHeight="false" outlineLevel="0" collapsed="false">
      <c r="A137" s="0" t="n">
        <v>100880004</v>
      </c>
      <c r="B137" s="0" t="s">
        <v>295</v>
      </c>
      <c r="C137" s="0" t="s">
        <v>64</v>
      </c>
      <c r="D137" s="0" t="s">
        <v>65</v>
      </c>
      <c r="E137" s="0" t="s">
        <v>297</v>
      </c>
      <c r="G137" s="0" t="n">
        <v>1</v>
      </c>
      <c r="H137" s="0" t="s">
        <v>298</v>
      </c>
      <c r="I137" s="48" t="n">
        <v>46296</v>
      </c>
      <c r="J137" s="0" t="n">
        <v>0</v>
      </c>
      <c r="K137" s="49" t="s">
        <v>641</v>
      </c>
      <c r="L137" s="49" t="s">
        <v>335</v>
      </c>
      <c r="M137" s="48"/>
      <c r="O137" s="49" t="s">
        <v>445</v>
      </c>
      <c r="P137" s="48"/>
      <c r="Q137" s="48" t="n">
        <v>46296</v>
      </c>
      <c r="R137" s="48" t="n">
        <v>46302</v>
      </c>
      <c r="T137" s="49" t="s">
        <v>302</v>
      </c>
      <c r="U137" s="49" t="s">
        <v>303</v>
      </c>
      <c r="Y137" s="49" t="s">
        <v>312</v>
      </c>
      <c r="AD137" s="49" t="s">
        <v>305</v>
      </c>
      <c r="AE137" s="48" t="n">
        <v>46275</v>
      </c>
      <c r="AF137" s="49" t="s">
        <v>306</v>
      </c>
      <c r="AG137" s="49" t="s">
        <v>307</v>
      </c>
      <c r="AK137" s="49" t="s">
        <v>303</v>
      </c>
      <c r="AL137" s="49" t="s">
        <v>297</v>
      </c>
      <c r="AO137" s="49" t="s">
        <v>303</v>
      </c>
      <c r="AP137" s="48"/>
      <c r="AR137" s="49" t="s">
        <v>303</v>
      </c>
      <c r="AS137" s="49" t="s">
        <v>306</v>
      </c>
      <c r="AT137" s="49" t="s">
        <v>729</v>
      </c>
      <c r="AV137" s="49" t="s">
        <v>309</v>
      </c>
      <c r="AW137" s="49" t="s">
        <v>310</v>
      </c>
      <c r="AX137" s="49" t="s">
        <v>311</v>
      </c>
      <c r="AY137" s="48"/>
      <c r="AZ137" s="48" t="n">
        <v>46294</v>
      </c>
      <c r="BC137" s="49" t="s">
        <v>303</v>
      </c>
      <c r="BD137" s="48"/>
      <c r="BE137" s="49" t="s">
        <v>312</v>
      </c>
      <c r="BF137" s="49" t="s">
        <v>303</v>
      </c>
      <c r="BG137" s="48"/>
      <c r="BI137" s="48"/>
      <c r="BJ137" s="48" t="n">
        <v>46301</v>
      </c>
      <c r="BK137" s="49" t="s">
        <v>313</v>
      </c>
      <c r="BL137" s="49" t="s">
        <v>313</v>
      </c>
      <c r="BM137" s="49" t="s">
        <v>310</v>
      </c>
      <c r="BN137" s="48"/>
      <c r="BO137" s="48"/>
      <c r="BP137" s="48"/>
      <c r="BQ137" s="49" t="s">
        <v>641</v>
      </c>
      <c r="BR137" s="48" t="n">
        <v>46301</v>
      </c>
      <c r="BS137" s="49" t="s">
        <v>730</v>
      </c>
      <c r="BT137" s="49" t="s">
        <v>312</v>
      </c>
      <c r="BU137" s="49" t="s">
        <v>313</v>
      </c>
      <c r="BV137" s="49" t="s">
        <v>303</v>
      </c>
      <c r="BX137" s="0" t="n">
        <v>0</v>
      </c>
      <c r="CC137" s="49" t="s">
        <v>315</v>
      </c>
      <c r="CD137" s="49" t="s">
        <v>303</v>
      </c>
      <c r="CF137" s="49" t="s">
        <v>303</v>
      </c>
      <c r="CG137" s="49" t="s">
        <v>316</v>
      </c>
      <c r="CH137" s="49" t="s">
        <v>317</v>
      </c>
      <c r="CI137" s="49" t="s">
        <v>318</v>
      </c>
      <c r="CM137" s="49" t="s">
        <v>65</v>
      </c>
      <c r="CV137" s="49" t="s">
        <v>303</v>
      </c>
      <c r="DB137" s="49" t="s">
        <v>319</v>
      </c>
      <c r="DD137" s="48" t="n">
        <v>46275</v>
      </c>
      <c r="DF137" s="49" t="s">
        <v>310</v>
      </c>
      <c r="DG137" s="49" t="s">
        <v>320</v>
      </c>
      <c r="DH137" s="49" t="s">
        <v>64</v>
      </c>
      <c r="DI137" s="49" t="s">
        <v>298</v>
      </c>
      <c r="DJ137" s="49" t="s">
        <v>394</v>
      </c>
      <c r="DK137" s="49" t="s">
        <v>322</v>
      </c>
      <c r="DL137" s="49" t="s">
        <v>323</v>
      </c>
      <c r="DM137" s="49" t="s">
        <v>303</v>
      </c>
      <c r="DN137" s="49" t="s">
        <v>297</v>
      </c>
      <c r="DO137" s="48"/>
      <c r="DP137" s="49" t="s">
        <v>312</v>
      </c>
      <c r="DQ137" s="48"/>
      <c r="DR137" s="49" t="s">
        <v>312</v>
      </c>
      <c r="DS137" s="49" t="s">
        <v>303</v>
      </c>
      <c r="DT137" s="49" t="s">
        <v>303</v>
      </c>
      <c r="DW137" s="49" t="s">
        <v>303</v>
      </c>
      <c r="EA137" s="49" t="s">
        <v>324</v>
      </c>
      <c r="EB137" s="49" t="s">
        <v>303</v>
      </c>
      <c r="EF137" s="49" t="s">
        <v>679</v>
      </c>
      <c r="EH137" s="49" t="s">
        <v>310</v>
      </c>
      <c r="EJ137" s="49" t="s">
        <v>303</v>
      </c>
      <c r="EK137" s="49" t="s">
        <v>731</v>
      </c>
      <c r="EM137" s="49" t="s">
        <v>303</v>
      </c>
      <c r="EN137" s="49" t="s">
        <v>396</v>
      </c>
      <c r="EP137" s="49" t="s">
        <v>298</v>
      </c>
      <c r="EQ137" s="0" t="n">
        <v>1</v>
      </c>
      <c r="ER137" s="49" t="s">
        <v>328</v>
      </c>
      <c r="ES137" s="49" t="s">
        <v>329</v>
      </c>
      <c r="ET137" s="49" t="s">
        <v>310</v>
      </c>
      <c r="EU137" s="49" t="s">
        <v>310</v>
      </c>
      <c r="EV137" s="49" t="s">
        <v>310</v>
      </c>
      <c r="EX137" s="49" t="s">
        <v>303</v>
      </c>
      <c r="EY137" s="49" t="s">
        <v>303</v>
      </c>
      <c r="FC137" s="49" t="s">
        <v>330</v>
      </c>
      <c r="FD137" s="49" t="s">
        <v>310</v>
      </c>
      <c r="FE137" s="49" t="s">
        <v>310</v>
      </c>
      <c r="FF137" s="49" t="s">
        <v>64</v>
      </c>
      <c r="FG137" s="49" t="s">
        <v>397</v>
      </c>
      <c r="FH137" s="49" t="s">
        <v>310</v>
      </c>
      <c r="FI137" s="49" t="s">
        <v>332</v>
      </c>
      <c r="FJ137" s="49" t="s">
        <v>303</v>
      </c>
      <c r="FL137" s="49" t="s">
        <v>325</v>
      </c>
      <c r="FM137" s="49" t="s">
        <v>641</v>
      </c>
      <c r="FP137" s="49" t="s">
        <v>303</v>
      </c>
      <c r="FR137" s="49" t="s">
        <v>303</v>
      </c>
      <c r="FT137" s="49" t="s">
        <v>325</v>
      </c>
      <c r="FU137" s="49" t="s">
        <v>325</v>
      </c>
      <c r="FW137" s="49" t="s">
        <v>333</v>
      </c>
    </row>
    <row r="138" customFormat="false" ht="15" hidden="false" customHeight="false" outlineLevel="0" collapsed="false">
      <c r="A138" s="0" t="n">
        <v>100880010</v>
      </c>
      <c r="B138" s="0" t="s">
        <v>295</v>
      </c>
      <c r="C138" s="0" t="s">
        <v>66</v>
      </c>
      <c r="D138" s="0" t="s">
        <v>296</v>
      </c>
      <c r="E138" s="0" t="s">
        <v>297</v>
      </c>
      <c r="G138" s="0" t="n">
        <v>1</v>
      </c>
      <c r="H138" s="0" t="s">
        <v>298</v>
      </c>
      <c r="I138" s="48" t="n">
        <v>46296</v>
      </c>
      <c r="J138" s="0" t="n">
        <v>0</v>
      </c>
      <c r="K138" s="49" t="s">
        <v>641</v>
      </c>
      <c r="L138" s="49" t="s">
        <v>335</v>
      </c>
      <c r="M138" s="48" t="n">
        <v>46296</v>
      </c>
      <c r="N138" s="49" t="s">
        <v>335</v>
      </c>
      <c r="O138" s="49" t="s">
        <v>445</v>
      </c>
      <c r="P138" s="48"/>
      <c r="Q138" s="48" t="n">
        <v>46296</v>
      </c>
      <c r="R138" s="48" t="n">
        <v>46303</v>
      </c>
      <c r="T138" s="49" t="s">
        <v>302</v>
      </c>
      <c r="U138" s="49" t="s">
        <v>303</v>
      </c>
      <c r="Y138" s="49" t="s">
        <v>732</v>
      </c>
      <c r="AD138" s="49" t="s">
        <v>305</v>
      </c>
      <c r="AE138" s="48" t="n">
        <v>46275</v>
      </c>
      <c r="AF138" s="49" t="s">
        <v>306</v>
      </c>
      <c r="AG138" s="49" t="s">
        <v>307</v>
      </c>
      <c r="AK138" s="49" t="s">
        <v>303</v>
      </c>
      <c r="AL138" s="49" t="s">
        <v>297</v>
      </c>
      <c r="AO138" s="49" t="s">
        <v>303</v>
      </c>
      <c r="AP138" s="48"/>
      <c r="AR138" s="49" t="s">
        <v>303</v>
      </c>
      <c r="AS138" s="49" t="s">
        <v>306</v>
      </c>
      <c r="AT138" s="49" t="s">
        <v>733</v>
      </c>
      <c r="AV138" s="49" t="s">
        <v>309</v>
      </c>
      <c r="AW138" s="49" t="s">
        <v>310</v>
      </c>
      <c r="AX138" s="49" t="s">
        <v>311</v>
      </c>
      <c r="AY138" s="48"/>
      <c r="AZ138" s="48" t="n">
        <v>46294</v>
      </c>
      <c r="BC138" s="49" t="s">
        <v>303</v>
      </c>
      <c r="BD138" s="48"/>
      <c r="BE138" s="49" t="s">
        <v>312</v>
      </c>
      <c r="BF138" s="49" t="s">
        <v>303</v>
      </c>
      <c r="BG138" s="48"/>
      <c r="BI138" s="48"/>
      <c r="BJ138" s="48" t="n">
        <v>46301</v>
      </c>
      <c r="BK138" s="49" t="s">
        <v>312</v>
      </c>
      <c r="BL138" s="49" t="s">
        <v>313</v>
      </c>
      <c r="BM138" s="49" t="s">
        <v>310</v>
      </c>
      <c r="BN138" s="48"/>
      <c r="BO138" s="48"/>
      <c r="BP138" s="48"/>
      <c r="BQ138" s="49" t="s">
        <v>641</v>
      </c>
      <c r="BR138" s="48" t="n">
        <v>46301</v>
      </c>
      <c r="BS138" s="49" t="s">
        <v>734</v>
      </c>
      <c r="BT138" s="49" t="s">
        <v>312</v>
      </c>
      <c r="BU138" s="49" t="s">
        <v>313</v>
      </c>
      <c r="BV138" s="49" t="s">
        <v>303</v>
      </c>
      <c r="BX138" s="0" t="n">
        <v>0</v>
      </c>
      <c r="CC138" s="49" t="s">
        <v>315</v>
      </c>
      <c r="CD138" s="49" t="s">
        <v>303</v>
      </c>
      <c r="CF138" s="49" t="s">
        <v>303</v>
      </c>
      <c r="CG138" s="49" t="s">
        <v>316</v>
      </c>
      <c r="CH138" s="49" t="s">
        <v>317</v>
      </c>
      <c r="CI138" s="49" t="s">
        <v>318</v>
      </c>
      <c r="CM138" s="49" t="s">
        <v>296</v>
      </c>
      <c r="CV138" s="49" t="s">
        <v>303</v>
      </c>
      <c r="DB138" s="49" t="s">
        <v>319</v>
      </c>
      <c r="DD138" s="48" t="n">
        <v>46275</v>
      </c>
      <c r="DF138" s="49" t="s">
        <v>310</v>
      </c>
      <c r="DG138" s="49" t="s">
        <v>320</v>
      </c>
      <c r="DH138" s="49" t="s">
        <v>66</v>
      </c>
      <c r="DI138" s="49" t="s">
        <v>298</v>
      </c>
      <c r="DJ138" s="49" t="s">
        <v>321</v>
      </c>
      <c r="DK138" s="49" t="s">
        <v>322</v>
      </c>
      <c r="DL138" s="49" t="s">
        <v>323</v>
      </c>
      <c r="DM138" s="49" t="s">
        <v>303</v>
      </c>
      <c r="DN138" s="49" t="s">
        <v>297</v>
      </c>
      <c r="DO138" s="48"/>
      <c r="DP138" s="49" t="s">
        <v>313</v>
      </c>
      <c r="DQ138" s="48"/>
      <c r="DR138" s="49" t="s">
        <v>312</v>
      </c>
      <c r="DS138" s="49" t="s">
        <v>303</v>
      </c>
      <c r="DT138" s="49" t="s">
        <v>303</v>
      </c>
      <c r="DW138" s="49" t="s">
        <v>303</v>
      </c>
      <c r="EA138" s="49" t="s">
        <v>324</v>
      </c>
      <c r="EB138" s="49" t="s">
        <v>303</v>
      </c>
      <c r="EH138" s="49" t="s">
        <v>325</v>
      </c>
      <c r="EJ138" s="49" t="s">
        <v>303</v>
      </c>
      <c r="EK138" s="49" t="s">
        <v>735</v>
      </c>
      <c r="EM138" s="49" t="s">
        <v>303</v>
      </c>
      <c r="EN138" s="49" t="s">
        <v>327</v>
      </c>
      <c r="EP138" s="49" t="s">
        <v>298</v>
      </c>
      <c r="EQ138" s="0" t="n">
        <v>1</v>
      </c>
      <c r="ER138" s="49" t="s">
        <v>328</v>
      </c>
      <c r="ES138" s="49" t="s">
        <v>329</v>
      </c>
      <c r="ET138" s="49" t="s">
        <v>310</v>
      </c>
      <c r="EU138" s="49" t="s">
        <v>310</v>
      </c>
      <c r="EV138" s="49" t="s">
        <v>310</v>
      </c>
      <c r="EX138" s="49" t="s">
        <v>303</v>
      </c>
      <c r="EY138" s="49" t="s">
        <v>303</v>
      </c>
      <c r="FC138" s="49" t="s">
        <v>330</v>
      </c>
      <c r="FD138" s="49" t="s">
        <v>310</v>
      </c>
      <c r="FE138" s="49" t="s">
        <v>310</v>
      </c>
      <c r="FF138" s="49" t="s">
        <v>66</v>
      </c>
      <c r="FG138" s="49" t="s">
        <v>331</v>
      </c>
      <c r="FH138" s="49" t="s">
        <v>310</v>
      </c>
      <c r="FI138" s="49" t="s">
        <v>332</v>
      </c>
      <c r="FJ138" s="49" t="s">
        <v>303</v>
      </c>
      <c r="FL138" s="49" t="s">
        <v>325</v>
      </c>
      <c r="FM138" s="49" t="s">
        <v>641</v>
      </c>
      <c r="FP138" s="49" t="s">
        <v>303</v>
      </c>
      <c r="FR138" s="49" t="s">
        <v>303</v>
      </c>
      <c r="FT138" s="49" t="s">
        <v>325</v>
      </c>
      <c r="FU138" s="49" t="s">
        <v>325</v>
      </c>
      <c r="FW138" s="49" t="s">
        <v>333</v>
      </c>
    </row>
    <row r="139" customFormat="false" ht="15" hidden="false" customHeight="false" outlineLevel="0" collapsed="false">
      <c r="A139" s="0" t="n">
        <v>100880011</v>
      </c>
      <c r="B139" s="0" t="s">
        <v>295</v>
      </c>
      <c r="C139" s="0" t="s">
        <v>66</v>
      </c>
      <c r="D139" s="0" t="s">
        <v>296</v>
      </c>
      <c r="E139" s="0" t="s">
        <v>297</v>
      </c>
      <c r="G139" s="0" t="n">
        <v>1</v>
      </c>
      <c r="H139" s="0" t="s">
        <v>298</v>
      </c>
      <c r="I139" s="48" t="n">
        <v>46296</v>
      </c>
      <c r="J139" s="0" t="n">
        <v>0</v>
      </c>
      <c r="K139" s="49" t="s">
        <v>641</v>
      </c>
      <c r="L139" s="49" t="s">
        <v>335</v>
      </c>
      <c r="M139" s="48"/>
      <c r="O139" s="49" t="s">
        <v>445</v>
      </c>
      <c r="P139" s="48"/>
      <c r="Q139" s="48" t="n">
        <v>46296</v>
      </c>
      <c r="R139" s="48" t="n">
        <v>46302</v>
      </c>
      <c r="T139" s="49" t="s">
        <v>302</v>
      </c>
      <c r="U139" s="49" t="s">
        <v>303</v>
      </c>
      <c r="Y139" s="49" t="s">
        <v>312</v>
      </c>
      <c r="AD139" s="49" t="s">
        <v>305</v>
      </c>
      <c r="AE139" s="48" t="n">
        <v>46275</v>
      </c>
      <c r="AF139" s="49" t="s">
        <v>306</v>
      </c>
      <c r="AG139" s="49" t="s">
        <v>307</v>
      </c>
      <c r="AK139" s="49" t="s">
        <v>303</v>
      </c>
      <c r="AL139" s="49" t="s">
        <v>297</v>
      </c>
      <c r="AO139" s="49" t="s">
        <v>303</v>
      </c>
      <c r="AP139" s="48"/>
      <c r="AR139" s="49" t="s">
        <v>303</v>
      </c>
      <c r="AS139" s="49" t="s">
        <v>306</v>
      </c>
      <c r="AT139" s="49" t="s">
        <v>736</v>
      </c>
      <c r="AV139" s="49" t="s">
        <v>309</v>
      </c>
      <c r="AW139" s="49" t="s">
        <v>310</v>
      </c>
      <c r="AX139" s="49" t="s">
        <v>311</v>
      </c>
      <c r="AY139" s="48"/>
      <c r="AZ139" s="48" t="n">
        <v>46294</v>
      </c>
      <c r="BC139" s="49" t="s">
        <v>303</v>
      </c>
      <c r="BD139" s="48"/>
      <c r="BE139" s="49" t="s">
        <v>312</v>
      </c>
      <c r="BF139" s="49" t="s">
        <v>303</v>
      </c>
      <c r="BG139" s="48"/>
      <c r="BI139" s="48"/>
      <c r="BJ139" s="48" t="n">
        <v>46301</v>
      </c>
      <c r="BK139" s="49" t="s">
        <v>313</v>
      </c>
      <c r="BL139" s="49" t="s">
        <v>313</v>
      </c>
      <c r="BM139" s="49" t="s">
        <v>310</v>
      </c>
      <c r="BN139" s="48"/>
      <c r="BO139" s="48"/>
      <c r="BP139" s="48"/>
      <c r="BQ139" s="49" t="s">
        <v>641</v>
      </c>
      <c r="BR139" s="48" t="n">
        <v>46301</v>
      </c>
      <c r="BS139" s="49" t="s">
        <v>737</v>
      </c>
      <c r="BT139" s="49" t="s">
        <v>312</v>
      </c>
      <c r="BU139" s="49" t="s">
        <v>313</v>
      </c>
      <c r="BV139" s="49" t="s">
        <v>303</v>
      </c>
      <c r="BX139" s="0" t="n">
        <v>0</v>
      </c>
      <c r="CC139" s="49" t="s">
        <v>315</v>
      </c>
      <c r="CD139" s="49" t="s">
        <v>303</v>
      </c>
      <c r="CF139" s="49" t="s">
        <v>303</v>
      </c>
      <c r="CG139" s="49" t="s">
        <v>316</v>
      </c>
      <c r="CH139" s="49" t="s">
        <v>317</v>
      </c>
      <c r="CI139" s="49" t="s">
        <v>318</v>
      </c>
      <c r="CM139" s="49" t="s">
        <v>296</v>
      </c>
      <c r="CV139" s="49" t="s">
        <v>303</v>
      </c>
      <c r="DB139" s="49" t="s">
        <v>319</v>
      </c>
      <c r="DD139" s="48" t="n">
        <v>46275</v>
      </c>
      <c r="DF139" s="49" t="s">
        <v>310</v>
      </c>
      <c r="DG139" s="49" t="s">
        <v>320</v>
      </c>
      <c r="DH139" s="49" t="s">
        <v>66</v>
      </c>
      <c r="DI139" s="49" t="s">
        <v>298</v>
      </c>
      <c r="DJ139" s="49" t="s">
        <v>321</v>
      </c>
      <c r="DK139" s="49" t="s">
        <v>322</v>
      </c>
      <c r="DL139" s="49" t="s">
        <v>323</v>
      </c>
      <c r="DM139" s="49" t="s">
        <v>303</v>
      </c>
      <c r="DN139" s="49" t="s">
        <v>297</v>
      </c>
      <c r="DO139" s="48"/>
      <c r="DP139" s="49" t="s">
        <v>313</v>
      </c>
      <c r="DQ139" s="48"/>
      <c r="DR139" s="49" t="s">
        <v>312</v>
      </c>
      <c r="DS139" s="49" t="s">
        <v>303</v>
      </c>
      <c r="DT139" s="49" t="s">
        <v>303</v>
      </c>
      <c r="DW139" s="49" t="s">
        <v>303</v>
      </c>
      <c r="EA139" s="49" t="s">
        <v>324</v>
      </c>
      <c r="EB139" s="49" t="s">
        <v>303</v>
      </c>
      <c r="EF139" s="49" t="s">
        <v>738</v>
      </c>
      <c r="EH139" s="49" t="s">
        <v>325</v>
      </c>
      <c r="EJ139" s="49" t="s">
        <v>303</v>
      </c>
      <c r="EK139" s="49" t="s">
        <v>739</v>
      </c>
      <c r="EM139" s="49" t="s">
        <v>303</v>
      </c>
      <c r="EN139" s="49" t="s">
        <v>327</v>
      </c>
      <c r="EP139" s="49" t="s">
        <v>298</v>
      </c>
      <c r="EQ139" s="0" t="n">
        <v>1</v>
      </c>
      <c r="ER139" s="49" t="s">
        <v>328</v>
      </c>
      <c r="ES139" s="49" t="s">
        <v>329</v>
      </c>
      <c r="ET139" s="49" t="s">
        <v>310</v>
      </c>
      <c r="EU139" s="49" t="s">
        <v>310</v>
      </c>
      <c r="EV139" s="49" t="s">
        <v>310</v>
      </c>
      <c r="EX139" s="49" t="s">
        <v>303</v>
      </c>
      <c r="EY139" s="49" t="s">
        <v>303</v>
      </c>
      <c r="FC139" s="49" t="s">
        <v>330</v>
      </c>
      <c r="FD139" s="49" t="s">
        <v>310</v>
      </c>
      <c r="FE139" s="49" t="s">
        <v>310</v>
      </c>
      <c r="FF139" s="49" t="s">
        <v>66</v>
      </c>
      <c r="FG139" s="49" t="s">
        <v>331</v>
      </c>
      <c r="FH139" s="49" t="s">
        <v>310</v>
      </c>
      <c r="FI139" s="49" t="s">
        <v>332</v>
      </c>
      <c r="FJ139" s="49" t="s">
        <v>303</v>
      </c>
      <c r="FL139" s="49" t="s">
        <v>325</v>
      </c>
      <c r="FM139" s="49" t="s">
        <v>641</v>
      </c>
      <c r="FP139" s="49" t="s">
        <v>303</v>
      </c>
      <c r="FR139" s="49" t="s">
        <v>303</v>
      </c>
      <c r="FT139" s="49" t="s">
        <v>325</v>
      </c>
      <c r="FU139" s="49" t="s">
        <v>325</v>
      </c>
      <c r="FW139" s="49" t="s">
        <v>333</v>
      </c>
    </row>
    <row r="140" customFormat="false" ht="15" hidden="false" customHeight="false" outlineLevel="0" collapsed="false">
      <c r="A140" s="0" t="n">
        <v>100880012</v>
      </c>
      <c r="B140" s="0" t="s">
        <v>295</v>
      </c>
      <c r="C140" s="0" t="s">
        <v>66</v>
      </c>
      <c r="D140" s="0" t="s">
        <v>296</v>
      </c>
      <c r="E140" s="0" t="s">
        <v>297</v>
      </c>
      <c r="G140" s="0" t="n">
        <v>1</v>
      </c>
      <c r="H140" s="0" t="s">
        <v>298</v>
      </c>
      <c r="I140" s="48" t="n">
        <v>46296</v>
      </c>
      <c r="J140" s="0" t="n">
        <v>0</v>
      </c>
      <c r="K140" s="49" t="s">
        <v>641</v>
      </c>
      <c r="L140" s="49" t="s">
        <v>335</v>
      </c>
      <c r="M140" s="48"/>
      <c r="O140" s="49" t="s">
        <v>445</v>
      </c>
      <c r="P140" s="48"/>
      <c r="Q140" s="48" t="n">
        <v>46296</v>
      </c>
      <c r="R140" s="48" t="n">
        <v>46302</v>
      </c>
      <c r="T140" s="49" t="s">
        <v>302</v>
      </c>
      <c r="U140" s="49" t="s">
        <v>303</v>
      </c>
      <c r="Y140" s="49" t="s">
        <v>312</v>
      </c>
      <c r="AD140" s="49" t="s">
        <v>305</v>
      </c>
      <c r="AE140" s="48" t="n">
        <v>46275</v>
      </c>
      <c r="AF140" s="49" t="s">
        <v>306</v>
      </c>
      <c r="AG140" s="49" t="s">
        <v>307</v>
      </c>
      <c r="AK140" s="49" t="s">
        <v>303</v>
      </c>
      <c r="AL140" s="49" t="s">
        <v>297</v>
      </c>
      <c r="AO140" s="49" t="s">
        <v>303</v>
      </c>
      <c r="AP140" s="48"/>
      <c r="AR140" s="49" t="s">
        <v>303</v>
      </c>
      <c r="AS140" s="49" t="s">
        <v>306</v>
      </c>
      <c r="AT140" s="49" t="s">
        <v>740</v>
      </c>
      <c r="AV140" s="49" t="s">
        <v>309</v>
      </c>
      <c r="AW140" s="49" t="s">
        <v>310</v>
      </c>
      <c r="AX140" s="49" t="s">
        <v>311</v>
      </c>
      <c r="AY140" s="48"/>
      <c r="AZ140" s="48" t="n">
        <v>46294</v>
      </c>
      <c r="BC140" s="49" t="s">
        <v>303</v>
      </c>
      <c r="BD140" s="48"/>
      <c r="BE140" s="49" t="s">
        <v>312</v>
      </c>
      <c r="BF140" s="49" t="s">
        <v>303</v>
      </c>
      <c r="BG140" s="48"/>
      <c r="BI140" s="48"/>
      <c r="BJ140" s="48" t="n">
        <v>46301</v>
      </c>
      <c r="BK140" s="49" t="s">
        <v>313</v>
      </c>
      <c r="BL140" s="49" t="s">
        <v>313</v>
      </c>
      <c r="BM140" s="49" t="s">
        <v>310</v>
      </c>
      <c r="BN140" s="48"/>
      <c r="BO140" s="48"/>
      <c r="BP140" s="48"/>
      <c r="BQ140" s="49" t="s">
        <v>641</v>
      </c>
      <c r="BR140" s="48" t="n">
        <v>46301</v>
      </c>
      <c r="BS140" s="49" t="s">
        <v>737</v>
      </c>
      <c r="BT140" s="49" t="s">
        <v>312</v>
      </c>
      <c r="BU140" s="49" t="s">
        <v>313</v>
      </c>
      <c r="BV140" s="49" t="s">
        <v>303</v>
      </c>
      <c r="BX140" s="0" t="n">
        <v>0</v>
      </c>
      <c r="CC140" s="49" t="s">
        <v>315</v>
      </c>
      <c r="CD140" s="49" t="s">
        <v>303</v>
      </c>
      <c r="CF140" s="49" t="s">
        <v>303</v>
      </c>
      <c r="CG140" s="49" t="s">
        <v>316</v>
      </c>
      <c r="CH140" s="49" t="s">
        <v>317</v>
      </c>
      <c r="CI140" s="49" t="s">
        <v>318</v>
      </c>
      <c r="CM140" s="49" t="s">
        <v>296</v>
      </c>
      <c r="CV140" s="49" t="s">
        <v>303</v>
      </c>
      <c r="DB140" s="49" t="s">
        <v>319</v>
      </c>
      <c r="DD140" s="48" t="n">
        <v>46275</v>
      </c>
      <c r="DF140" s="49" t="s">
        <v>310</v>
      </c>
      <c r="DG140" s="49" t="s">
        <v>320</v>
      </c>
      <c r="DH140" s="49" t="s">
        <v>66</v>
      </c>
      <c r="DI140" s="49" t="s">
        <v>298</v>
      </c>
      <c r="DJ140" s="49" t="s">
        <v>321</v>
      </c>
      <c r="DK140" s="49" t="s">
        <v>322</v>
      </c>
      <c r="DL140" s="49" t="s">
        <v>323</v>
      </c>
      <c r="DM140" s="49" t="s">
        <v>303</v>
      </c>
      <c r="DN140" s="49" t="s">
        <v>297</v>
      </c>
      <c r="DO140" s="48"/>
      <c r="DP140" s="49" t="s">
        <v>313</v>
      </c>
      <c r="DQ140" s="48"/>
      <c r="DR140" s="49" t="s">
        <v>312</v>
      </c>
      <c r="DS140" s="49" t="s">
        <v>303</v>
      </c>
      <c r="DT140" s="49" t="s">
        <v>303</v>
      </c>
      <c r="DW140" s="49" t="s">
        <v>303</v>
      </c>
      <c r="EA140" s="49" t="s">
        <v>324</v>
      </c>
      <c r="EB140" s="49" t="s">
        <v>303</v>
      </c>
      <c r="EF140" s="49" t="s">
        <v>738</v>
      </c>
      <c r="EH140" s="49" t="s">
        <v>325</v>
      </c>
      <c r="EJ140" s="49" t="s">
        <v>303</v>
      </c>
      <c r="EK140" s="49" t="s">
        <v>741</v>
      </c>
      <c r="EM140" s="49" t="s">
        <v>303</v>
      </c>
      <c r="EN140" s="49" t="s">
        <v>327</v>
      </c>
      <c r="EP140" s="49" t="s">
        <v>298</v>
      </c>
      <c r="EQ140" s="0" t="n">
        <v>1</v>
      </c>
      <c r="ER140" s="49" t="s">
        <v>328</v>
      </c>
      <c r="ES140" s="49" t="s">
        <v>329</v>
      </c>
      <c r="ET140" s="49" t="s">
        <v>310</v>
      </c>
      <c r="EU140" s="49" t="s">
        <v>310</v>
      </c>
      <c r="EV140" s="49" t="s">
        <v>310</v>
      </c>
      <c r="EX140" s="49" t="s">
        <v>303</v>
      </c>
      <c r="EY140" s="49" t="s">
        <v>303</v>
      </c>
      <c r="FC140" s="49" t="s">
        <v>330</v>
      </c>
      <c r="FD140" s="49" t="s">
        <v>310</v>
      </c>
      <c r="FE140" s="49" t="s">
        <v>310</v>
      </c>
      <c r="FF140" s="49" t="s">
        <v>66</v>
      </c>
      <c r="FG140" s="49" t="s">
        <v>331</v>
      </c>
      <c r="FH140" s="49" t="s">
        <v>310</v>
      </c>
      <c r="FI140" s="49" t="s">
        <v>332</v>
      </c>
      <c r="FJ140" s="49" t="s">
        <v>303</v>
      </c>
      <c r="FL140" s="49" t="s">
        <v>325</v>
      </c>
      <c r="FM140" s="49" t="s">
        <v>641</v>
      </c>
      <c r="FP140" s="49" t="s">
        <v>303</v>
      </c>
      <c r="FR140" s="49" t="s">
        <v>303</v>
      </c>
      <c r="FT140" s="49" t="s">
        <v>325</v>
      </c>
      <c r="FU140" s="49" t="s">
        <v>325</v>
      </c>
      <c r="FW140" s="49" t="s">
        <v>333</v>
      </c>
    </row>
    <row r="141" customFormat="false" ht="15" hidden="false" customHeight="false" outlineLevel="0" collapsed="false">
      <c r="A141" s="0" t="n">
        <v>100880013</v>
      </c>
      <c r="B141" s="0" t="s">
        <v>295</v>
      </c>
      <c r="C141" s="0" t="s">
        <v>68</v>
      </c>
      <c r="D141" s="0" t="s">
        <v>456</v>
      </c>
      <c r="E141" s="0" t="s">
        <v>297</v>
      </c>
      <c r="G141" s="0" t="n">
        <v>1</v>
      </c>
      <c r="H141" s="0" t="s">
        <v>298</v>
      </c>
      <c r="I141" s="48" t="n">
        <v>46296</v>
      </c>
      <c r="J141" s="0" t="n">
        <v>0</v>
      </c>
      <c r="K141" s="49" t="s">
        <v>641</v>
      </c>
      <c r="L141" s="49" t="s">
        <v>335</v>
      </c>
      <c r="M141" s="48" t="n">
        <v>46296</v>
      </c>
      <c r="N141" s="49" t="s">
        <v>335</v>
      </c>
      <c r="O141" s="49" t="s">
        <v>445</v>
      </c>
      <c r="P141" s="48"/>
      <c r="Q141" s="48" t="n">
        <v>46296</v>
      </c>
      <c r="R141" s="48" t="n">
        <v>46303</v>
      </c>
      <c r="T141" s="49" t="s">
        <v>302</v>
      </c>
      <c r="U141" s="49" t="s">
        <v>303</v>
      </c>
      <c r="Y141" s="49" t="s">
        <v>742</v>
      </c>
      <c r="AD141" s="49" t="s">
        <v>305</v>
      </c>
      <c r="AE141" s="48" t="n">
        <v>46275</v>
      </c>
      <c r="AF141" s="49" t="s">
        <v>306</v>
      </c>
      <c r="AG141" s="49" t="s">
        <v>307</v>
      </c>
      <c r="AK141" s="49" t="s">
        <v>303</v>
      </c>
      <c r="AL141" s="49" t="s">
        <v>297</v>
      </c>
      <c r="AO141" s="49" t="s">
        <v>303</v>
      </c>
      <c r="AP141" s="48"/>
      <c r="AR141" s="49" t="s">
        <v>303</v>
      </c>
      <c r="AS141" s="49" t="s">
        <v>306</v>
      </c>
      <c r="AT141" s="49" t="s">
        <v>743</v>
      </c>
      <c r="AV141" s="49" t="s">
        <v>309</v>
      </c>
      <c r="AW141" s="49" t="s">
        <v>310</v>
      </c>
      <c r="AX141" s="49" t="s">
        <v>311</v>
      </c>
      <c r="AY141" s="48"/>
      <c r="AZ141" s="48" t="n">
        <v>46294</v>
      </c>
      <c r="BC141" s="49" t="s">
        <v>303</v>
      </c>
      <c r="BD141" s="48"/>
      <c r="BE141" s="49" t="s">
        <v>312</v>
      </c>
      <c r="BF141" s="49" t="s">
        <v>303</v>
      </c>
      <c r="BG141" s="48"/>
      <c r="BI141" s="48"/>
      <c r="BJ141" s="48" t="n">
        <v>46301</v>
      </c>
      <c r="BK141" s="49" t="s">
        <v>312</v>
      </c>
      <c r="BL141" s="49" t="s">
        <v>313</v>
      </c>
      <c r="BM141" s="49" t="s">
        <v>310</v>
      </c>
      <c r="BN141" s="48"/>
      <c r="BO141" s="48"/>
      <c r="BP141" s="48"/>
      <c r="BQ141" s="49" t="s">
        <v>641</v>
      </c>
      <c r="BR141" s="48" t="n">
        <v>46301</v>
      </c>
      <c r="BS141" s="49" t="s">
        <v>744</v>
      </c>
      <c r="BT141" s="49" t="s">
        <v>312</v>
      </c>
      <c r="BU141" s="49" t="s">
        <v>313</v>
      </c>
      <c r="BV141" s="49" t="s">
        <v>303</v>
      </c>
      <c r="BX141" s="0" t="n">
        <v>0</v>
      </c>
      <c r="CC141" s="49" t="s">
        <v>315</v>
      </c>
      <c r="CD141" s="49" t="s">
        <v>303</v>
      </c>
      <c r="CF141" s="49" t="s">
        <v>303</v>
      </c>
      <c r="CG141" s="49" t="s">
        <v>316</v>
      </c>
      <c r="CH141" s="49" t="s">
        <v>317</v>
      </c>
      <c r="CI141" s="49" t="s">
        <v>318</v>
      </c>
      <c r="CM141" s="49" t="s">
        <v>456</v>
      </c>
      <c r="CV141" s="49" t="s">
        <v>303</v>
      </c>
      <c r="DB141" s="49" t="s">
        <v>319</v>
      </c>
      <c r="DD141" s="48" t="n">
        <v>46275</v>
      </c>
      <c r="DF141" s="49" t="s">
        <v>310</v>
      </c>
      <c r="DG141" s="49" t="s">
        <v>320</v>
      </c>
      <c r="DH141" s="49" t="s">
        <v>68</v>
      </c>
      <c r="DI141" s="49" t="s">
        <v>298</v>
      </c>
      <c r="DJ141" s="49" t="s">
        <v>321</v>
      </c>
      <c r="DK141" s="49" t="s">
        <v>322</v>
      </c>
      <c r="DL141" s="49" t="s">
        <v>323</v>
      </c>
      <c r="DM141" s="49" t="s">
        <v>303</v>
      </c>
      <c r="DN141" s="49" t="s">
        <v>297</v>
      </c>
      <c r="DO141" s="48"/>
      <c r="DP141" s="49" t="s">
        <v>313</v>
      </c>
      <c r="DQ141" s="48"/>
      <c r="DR141" s="49" t="s">
        <v>312</v>
      </c>
      <c r="DS141" s="49" t="s">
        <v>303</v>
      </c>
      <c r="DT141" s="49" t="s">
        <v>303</v>
      </c>
      <c r="DW141" s="49" t="s">
        <v>303</v>
      </c>
      <c r="EA141" s="49" t="s">
        <v>324</v>
      </c>
      <c r="EB141" s="49" t="s">
        <v>303</v>
      </c>
      <c r="EH141" s="49" t="s">
        <v>325</v>
      </c>
      <c r="EJ141" s="49" t="s">
        <v>303</v>
      </c>
      <c r="EK141" s="49" t="s">
        <v>745</v>
      </c>
      <c r="EM141" s="49" t="s">
        <v>303</v>
      </c>
      <c r="EN141" s="49" t="s">
        <v>460</v>
      </c>
      <c r="EP141" s="49" t="s">
        <v>298</v>
      </c>
      <c r="EQ141" s="0" t="n">
        <v>1</v>
      </c>
      <c r="ER141" s="49" t="s">
        <v>328</v>
      </c>
      <c r="ES141" s="49" t="s">
        <v>329</v>
      </c>
      <c r="ET141" s="49" t="s">
        <v>310</v>
      </c>
      <c r="EU141" s="49" t="s">
        <v>310</v>
      </c>
      <c r="EV141" s="49" t="s">
        <v>310</v>
      </c>
      <c r="EX141" s="49" t="s">
        <v>303</v>
      </c>
      <c r="EY141" s="49" t="s">
        <v>303</v>
      </c>
      <c r="FC141" s="49" t="s">
        <v>330</v>
      </c>
      <c r="FD141" s="49" t="s">
        <v>310</v>
      </c>
      <c r="FE141" s="49" t="s">
        <v>310</v>
      </c>
      <c r="FF141" s="49" t="s">
        <v>68</v>
      </c>
      <c r="FG141" s="49" t="s">
        <v>461</v>
      </c>
      <c r="FH141" s="49" t="s">
        <v>310</v>
      </c>
      <c r="FI141" s="49" t="s">
        <v>332</v>
      </c>
      <c r="FJ141" s="49" t="s">
        <v>303</v>
      </c>
      <c r="FL141" s="49" t="s">
        <v>325</v>
      </c>
      <c r="FM141" s="49" t="s">
        <v>641</v>
      </c>
      <c r="FP141" s="49" t="s">
        <v>303</v>
      </c>
      <c r="FR141" s="49" t="s">
        <v>303</v>
      </c>
      <c r="FT141" s="49" t="s">
        <v>325</v>
      </c>
      <c r="FU141" s="49" t="s">
        <v>325</v>
      </c>
      <c r="FW141" s="49" t="s">
        <v>333</v>
      </c>
    </row>
    <row r="142" customFormat="false" ht="15" hidden="false" customHeight="false" outlineLevel="0" collapsed="false">
      <c r="A142" s="0" t="n">
        <v>100880014</v>
      </c>
      <c r="B142" s="0" t="s">
        <v>295</v>
      </c>
      <c r="C142" s="0" t="s">
        <v>68</v>
      </c>
      <c r="D142" s="0" t="s">
        <v>456</v>
      </c>
      <c r="E142" s="0" t="s">
        <v>297</v>
      </c>
      <c r="G142" s="0" t="n">
        <v>1</v>
      </c>
      <c r="H142" s="0" t="s">
        <v>298</v>
      </c>
      <c r="I142" s="48" t="n">
        <v>46296</v>
      </c>
      <c r="J142" s="0" t="n">
        <v>0</v>
      </c>
      <c r="K142" s="49" t="s">
        <v>641</v>
      </c>
      <c r="L142" s="49" t="s">
        <v>335</v>
      </c>
      <c r="M142" s="48"/>
      <c r="O142" s="49" t="s">
        <v>445</v>
      </c>
      <c r="P142" s="48"/>
      <c r="Q142" s="48" t="n">
        <v>46296</v>
      </c>
      <c r="R142" s="48" t="n">
        <v>46302</v>
      </c>
      <c r="T142" s="49" t="s">
        <v>302</v>
      </c>
      <c r="U142" s="49" t="s">
        <v>303</v>
      </c>
      <c r="Y142" s="49" t="s">
        <v>312</v>
      </c>
      <c r="AD142" s="49" t="s">
        <v>305</v>
      </c>
      <c r="AE142" s="48" t="n">
        <v>46275</v>
      </c>
      <c r="AF142" s="49" t="s">
        <v>306</v>
      </c>
      <c r="AG142" s="49" t="s">
        <v>307</v>
      </c>
      <c r="AK142" s="49" t="s">
        <v>303</v>
      </c>
      <c r="AL142" s="49" t="s">
        <v>297</v>
      </c>
      <c r="AO142" s="49" t="s">
        <v>303</v>
      </c>
      <c r="AP142" s="48"/>
      <c r="AR142" s="49" t="s">
        <v>303</v>
      </c>
      <c r="AS142" s="49" t="s">
        <v>306</v>
      </c>
      <c r="AT142" s="49" t="s">
        <v>746</v>
      </c>
      <c r="AV142" s="49" t="s">
        <v>309</v>
      </c>
      <c r="AW142" s="49" t="s">
        <v>310</v>
      </c>
      <c r="AX142" s="49" t="s">
        <v>311</v>
      </c>
      <c r="AY142" s="48"/>
      <c r="AZ142" s="48" t="n">
        <v>46294</v>
      </c>
      <c r="BC142" s="49" t="s">
        <v>303</v>
      </c>
      <c r="BD142" s="48"/>
      <c r="BE142" s="49" t="s">
        <v>312</v>
      </c>
      <c r="BF142" s="49" t="s">
        <v>303</v>
      </c>
      <c r="BG142" s="48"/>
      <c r="BI142" s="48"/>
      <c r="BJ142" s="48" t="n">
        <v>46301</v>
      </c>
      <c r="BK142" s="49" t="s">
        <v>313</v>
      </c>
      <c r="BL142" s="49" t="s">
        <v>313</v>
      </c>
      <c r="BM142" s="49" t="s">
        <v>310</v>
      </c>
      <c r="BN142" s="48"/>
      <c r="BO142" s="48"/>
      <c r="BP142" s="48"/>
      <c r="BQ142" s="49" t="s">
        <v>641</v>
      </c>
      <c r="BR142" s="48" t="n">
        <v>46301</v>
      </c>
      <c r="BS142" s="49" t="s">
        <v>744</v>
      </c>
      <c r="BT142" s="49" t="s">
        <v>312</v>
      </c>
      <c r="BU142" s="49" t="s">
        <v>313</v>
      </c>
      <c r="BV142" s="49" t="s">
        <v>303</v>
      </c>
      <c r="BX142" s="0" t="n">
        <v>0</v>
      </c>
      <c r="CC142" s="49" t="s">
        <v>315</v>
      </c>
      <c r="CD142" s="49" t="s">
        <v>303</v>
      </c>
      <c r="CF142" s="49" t="s">
        <v>303</v>
      </c>
      <c r="CG142" s="49" t="s">
        <v>316</v>
      </c>
      <c r="CH142" s="49" t="s">
        <v>317</v>
      </c>
      <c r="CI142" s="49" t="s">
        <v>318</v>
      </c>
      <c r="CM142" s="49" t="s">
        <v>456</v>
      </c>
      <c r="CV142" s="49" t="s">
        <v>303</v>
      </c>
      <c r="DB142" s="49" t="s">
        <v>319</v>
      </c>
      <c r="DD142" s="48" t="n">
        <v>46275</v>
      </c>
      <c r="DF142" s="49" t="s">
        <v>310</v>
      </c>
      <c r="DG142" s="49" t="s">
        <v>320</v>
      </c>
      <c r="DH142" s="49" t="s">
        <v>68</v>
      </c>
      <c r="DI142" s="49" t="s">
        <v>298</v>
      </c>
      <c r="DJ142" s="49" t="s">
        <v>321</v>
      </c>
      <c r="DK142" s="49" t="s">
        <v>322</v>
      </c>
      <c r="DL142" s="49" t="s">
        <v>323</v>
      </c>
      <c r="DM142" s="49" t="s">
        <v>303</v>
      </c>
      <c r="DN142" s="49" t="s">
        <v>297</v>
      </c>
      <c r="DO142" s="48"/>
      <c r="DP142" s="49" t="s">
        <v>313</v>
      </c>
      <c r="DQ142" s="48"/>
      <c r="DR142" s="49" t="s">
        <v>312</v>
      </c>
      <c r="DS142" s="49" t="s">
        <v>303</v>
      </c>
      <c r="DT142" s="49" t="s">
        <v>303</v>
      </c>
      <c r="DW142" s="49" t="s">
        <v>303</v>
      </c>
      <c r="EA142" s="49" t="s">
        <v>324</v>
      </c>
      <c r="EB142" s="49" t="s">
        <v>303</v>
      </c>
      <c r="EF142" s="49" t="s">
        <v>747</v>
      </c>
      <c r="EH142" s="49" t="s">
        <v>325</v>
      </c>
      <c r="EJ142" s="49" t="s">
        <v>303</v>
      </c>
      <c r="EK142" s="49" t="s">
        <v>748</v>
      </c>
      <c r="EM142" s="49" t="s">
        <v>303</v>
      </c>
      <c r="EN142" s="49" t="s">
        <v>460</v>
      </c>
      <c r="EP142" s="49" t="s">
        <v>298</v>
      </c>
      <c r="EQ142" s="0" t="n">
        <v>1</v>
      </c>
      <c r="ER142" s="49" t="s">
        <v>328</v>
      </c>
      <c r="ES142" s="49" t="s">
        <v>329</v>
      </c>
      <c r="ET142" s="49" t="s">
        <v>310</v>
      </c>
      <c r="EU142" s="49" t="s">
        <v>310</v>
      </c>
      <c r="EV142" s="49" t="s">
        <v>310</v>
      </c>
      <c r="EX142" s="49" t="s">
        <v>303</v>
      </c>
      <c r="EY142" s="49" t="s">
        <v>303</v>
      </c>
      <c r="FC142" s="49" t="s">
        <v>330</v>
      </c>
      <c r="FD142" s="49" t="s">
        <v>310</v>
      </c>
      <c r="FE142" s="49" t="s">
        <v>310</v>
      </c>
      <c r="FF142" s="49" t="s">
        <v>68</v>
      </c>
      <c r="FG142" s="49" t="s">
        <v>461</v>
      </c>
      <c r="FH142" s="49" t="s">
        <v>310</v>
      </c>
      <c r="FI142" s="49" t="s">
        <v>332</v>
      </c>
      <c r="FJ142" s="49" t="s">
        <v>303</v>
      </c>
      <c r="FL142" s="49" t="s">
        <v>325</v>
      </c>
      <c r="FM142" s="49" t="s">
        <v>641</v>
      </c>
      <c r="FP142" s="49" t="s">
        <v>303</v>
      </c>
      <c r="FR142" s="49" t="s">
        <v>303</v>
      </c>
      <c r="FT142" s="49" t="s">
        <v>325</v>
      </c>
      <c r="FU142" s="49" t="s">
        <v>325</v>
      </c>
      <c r="FW142" s="49" t="s">
        <v>333</v>
      </c>
    </row>
    <row r="143" customFormat="false" ht="15" hidden="false" customHeight="false" outlineLevel="0" collapsed="false">
      <c r="A143" s="0" t="n">
        <v>100880015</v>
      </c>
      <c r="B143" s="0" t="s">
        <v>295</v>
      </c>
      <c r="C143" s="0" t="s">
        <v>68</v>
      </c>
      <c r="D143" s="0" t="s">
        <v>456</v>
      </c>
      <c r="E143" s="0" t="s">
        <v>297</v>
      </c>
      <c r="G143" s="0" t="n">
        <v>1</v>
      </c>
      <c r="H143" s="0" t="s">
        <v>298</v>
      </c>
      <c r="I143" s="48" t="n">
        <v>46296</v>
      </c>
      <c r="J143" s="0" t="n">
        <v>0</v>
      </c>
      <c r="K143" s="49" t="s">
        <v>641</v>
      </c>
      <c r="L143" s="49" t="s">
        <v>335</v>
      </c>
      <c r="M143" s="48"/>
      <c r="O143" s="49" t="s">
        <v>445</v>
      </c>
      <c r="P143" s="48"/>
      <c r="Q143" s="48" t="n">
        <v>46296</v>
      </c>
      <c r="R143" s="48" t="n">
        <v>46302</v>
      </c>
      <c r="T143" s="49" t="s">
        <v>302</v>
      </c>
      <c r="U143" s="49" t="s">
        <v>303</v>
      </c>
      <c r="Y143" s="49" t="s">
        <v>312</v>
      </c>
      <c r="AD143" s="49" t="s">
        <v>305</v>
      </c>
      <c r="AE143" s="48" t="n">
        <v>46275</v>
      </c>
      <c r="AF143" s="49" t="s">
        <v>306</v>
      </c>
      <c r="AG143" s="49" t="s">
        <v>307</v>
      </c>
      <c r="AK143" s="49" t="s">
        <v>303</v>
      </c>
      <c r="AL143" s="49" t="s">
        <v>297</v>
      </c>
      <c r="AO143" s="49" t="s">
        <v>303</v>
      </c>
      <c r="AP143" s="48"/>
      <c r="AR143" s="49" t="s">
        <v>303</v>
      </c>
      <c r="AS143" s="49" t="s">
        <v>306</v>
      </c>
      <c r="AT143" s="49" t="s">
        <v>749</v>
      </c>
      <c r="AV143" s="49" t="s">
        <v>309</v>
      </c>
      <c r="AW143" s="49" t="s">
        <v>310</v>
      </c>
      <c r="AX143" s="49" t="s">
        <v>311</v>
      </c>
      <c r="AY143" s="48"/>
      <c r="AZ143" s="48" t="n">
        <v>46294</v>
      </c>
      <c r="BC143" s="49" t="s">
        <v>303</v>
      </c>
      <c r="BD143" s="48"/>
      <c r="BE143" s="49" t="s">
        <v>312</v>
      </c>
      <c r="BF143" s="49" t="s">
        <v>303</v>
      </c>
      <c r="BG143" s="48"/>
      <c r="BI143" s="48"/>
      <c r="BJ143" s="48" t="n">
        <v>46301</v>
      </c>
      <c r="BK143" s="49" t="s">
        <v>313</v>
      </c>
      <c r="BL143" s="49" t="s">
        <v>313</v>
      </c>
      <c r="BM143" s="49" t="s">
        <v>310</v>
      </c>
      <c r="BN143" s="48"/>
      <c r="BO143" s="48"/>
      <c r="BP143" s="48"/>
      <c r="BQ143" s="49" t="s">
        <v>641</v>
      </c>
      <c r="BR143" s="48" t="n">
        <v>46301</v>
      </c>
      <c r="BS143" s="49" t="s">
        <v>750</v>
      </c>
      <c r="BT143" s="49" t="s">
        <v>312</v>
      </c>
      <c r="BU143" s="49" t="s">
        <v>313</v>
      </c>
      <c r="BV143" s="49" t="s">
        <v>303</v>
      </c>
      <c r="BX143" s="0" t="n">
        <v>0</v>
      </c>
      <c r="CC143" s="49" t="s">
        <v>315</v>
      </c>
      <c r="CD143" s="49" t="s">
        <v>303</v>
      </c>
      <c r="CF143" s="49" t="s">
        <v>303</v>
      </c>
      <c r="CG143" s="49" t="s">
        <v>316</v>
      </c>
      <c r="CH143" s="49" t="s">
        <v>317</v>
      </c>
      <c r="CI143" s="49" t="s">
        <v>318</v>
      </c>
      <c r="CM143" s="49" t="s">
        <v>456</v>
      </c>
      <c r="CV143" s="49" t="s">
        <v>303</v>
      </c>
      <c r="DB143" s="49" t="s">
        <v>319</v>
      </c>
      <c r="DD143" s="48" t="n">
        <v>46275</v>
      </c>
      <c r="DF143" s="49" t="s">
        <v>310</v>
      </c>
      <c r="DG143" s="49" t="s">
        <v>320</v>
      </c>
      <c r="DH143" s="49" t="s">
        <v>68</v>
      </c>
      <c r="DI143" s="49" t="s">
        <v>298</v>
      </c>
      <c r="DJ143" s="49" t="s">
        <v>321</v>
      </c>
      <c r="DK143" s="49" t="s">
        <v>322</v>
      </c>
      <c r="DL143" s="49" t="s">
        <v>323</v>
      </c>
      <c r="DM143" s="49" t="s">
        <v>303</v>
      </c>
      <c r="DN143" s="49" t="s">
        <v>297</v>
      </c>
      <c r="DO143" s="48"/>
      <c r="DP143" s="49" t="s">
        <v>313</v>
      </c>
      <c r="DQ143" s="48"/>
      <c r="DR143" s="49" t="s">
        <v>312</v>
      </c>
      <c r="DS143" s="49" t="s">
        <v>303</v>
      </c>
      <c r="DT143" s="49" t="s">
        <v>303</v>
      </c>
      <c r="DW143" s="49" t="s">
        <v>303</v>
      </c>
      <c r="EA143" s="49" t="s">
        <v>324</v>
      </c>
      <c r="EB143" s="49" t="s">
        <v>303</v>
      </c>
      <c r="EF143" s="49" t="s">
        <v>747</v>
      </c>
      <c r="EH143" s="49" t="s">
        <v>325</v>
      </c>
      <c r="EJ143" s="49" t="s">
        <v>303</v>
      </c>
      <c r="EK143" s="49" t="s">
        <v>751</v>
      </c>
      <c r="EM143" s="49" t="s">
        <v>303</v>
      </c>
      <c r="EN143" s="49" t="s">
        <v>460</v>
      </c>
      <c r="EP143" s="49" t="s">
        <v>298</v>
      </c>
      <c r="EQ143" s="0" t="n">
        <v>1</v>
      </c>
      <c r="ER143" s="49" t="s">
        <v>328</v>
      </c>
      <c r="ES143" s="49" t="s">
        <v>329</v>
      </c>
      <c r="ET143" s="49" t="s">
        <v>310</v>
      </c>
      <c r="EU143" s="49" t="s">
        <v>310</v>
      </c>
      <c r="EV143" s="49" t="s">
        <v>310</v>
      </c>
      <c r="EX143" s="49" t="s">
        <v>303</v>
      </c>
      <c r="EY143" s="49" t="s">
        <v>303</v>
      </c>
      <c r="FC143" s="49" t="s">
        <v>330</v>
      </c>
      <c r="FD143" s="49" t="s">
        <v>310</v>
      </c>
      <c r="FE143" s="49" t="s">
        <v>310</v>
      </c>
      <c r="FF143" s="49" t="s">
        <v>68</v>
      </c>
      <c r="FG143" s="49" t="s">
        <v>461</v>
      </c>
      <c r="FH143" s="49" t="s">
        <v>310</v>
      </c>
      <c r="FI143" s="49" t="s">
        <v>332</v>
      </c>
      <c r="FJ143" s="49" t="s">
        <v>303</v>
      </c>
      <c r="FL143" s="49" t="s">
        <v>325</v>
      </c>
      <c r="FM143" s="49" t="s">
        <v>641</v>
      </c>
      <c r="FP143" s="49" t="s">
        <v>303</v>
      </c>
      <c r="FR143" s="49" t="s">
        <v>303</v>
      </c>
      <c r="FT143" s="49" t="s">
        <v>325</v>
      </c>
      <c r="FU143" s="49" t="s">
        <v>325</v>
      </c>
      <c r="FW143" s="49" t="s">
        <v>333</v>
      </c>
    </row>
    <row r="144" customFormat="false" ht="15" hidden="false" customHeight="false" outlineLevel="0" collapsed="false">
      <c r="A144" s="0" t="n">
        <v>100880016</v>
      </c>
      <c r="B144" s="0" t="s">
        <v>295</v>
      </c>
      <c r="C144" s="0" t="s">
        <v>70</v>
      </c>
      <c r="D144" s="0" t="s">
        <v>468</v>
      </c>
      <c r="E144" s="0" t="s">
        <v>297</v>
      </c>
      <c r="G144" s="0" t="n">
        <v>1</v>
      </c>
      <c r="H144" s="0" t="s">
        <v>298</v>
      </c>
      <c r="I144" s="48" t="n">
        <v>46296</v>
      </c>
      <c r="J144" s="0" t="n">
        <v>0</v>
      </c>
      <c r="K144" s="49" t="s">
        <v>641</v>
      </c>
      <c r="L144" s="49" t="s">
        <v>335</v>
      </c>
      <c r="M144" s="48" t="n">
        <v>46296</v>
      </c>
      <c r="N144" s="49" t="s">
        <v>335</v>
      </c>
      <c r="O144" s="49" t="s">
        <v>445</v>
      </c>
      <c r="P144" s="48"/>
      <c r="Q144" s="48" t="n">
        <v>46296</v>
      </c>
      <c r="R144" s="48" t="n">
        <v>46303</v>
      </c>
      <c r="T144" s="49" t="s">
        <v>302</v>
      </c>
      <c r="U144" s="49" t="s">
        <v>303</v>
      </c>
      <c r="Y144" s="49" t="s">
        <v>752</v>
      </c>
      <c r="AD144" s="49" t="s">
        <v>305</v>
      </c>
      <c r="AE144" s="48" t="n">
        <v>46275</v>
      </c>
      <c r="AF144" s="49" t="s">
        <v>306</v>
      </c>
      <c r="AG144" s="49" t="s">
        <v>307</v>
      </c>
      <c r="AK144" s="49" t="s">
        <v>303</v>
      </c>
      <c r="AL144" s="49" t="s">
        <v>297</v>
      </c>
      <c r="AO144" s="49" t="s">
        <v>303</v>
      </c>
      <c r="AP144" s="48"/>
      <c r="AR144" s="49" t="s">
        <v>303</v>
      </c>
      <c r="AS144" s="49" t="s">
        <v>306</v>
      </c>
      <c r="AT144" s="49" t="s">
        <v>753</v>
      </c>
      <c r="AV144" s="49" t="s">
        <v>309</v>
      </c>
      <c r="AW144" s="49" t="s">
        <v>310</v>
      </c>
      <c r="AX144" s="49" t="s">
        <v>311</v>
      </c>
      <c r="AY144" s="48"/>
      <c r="AZ144" s="48" t="n">
        <v>46294</v>
      </c>
      <c r="BC144" s="49" t="s">
        <v>303</v>
      </c>
      <c r="BD144" s="48"/>
      <c r="BE144" s="49" t="s">
        <v>312</v>
      </c>
      <c r="BF144" s="49" t="s">
        <v>303</v>
      </c>
      <c r="BG144" s="48"/>
      <c r="BI144" s="48"/>
      <c r="BJ144" s="48" t="n">
        <v>46301</v>
      </c>
      <c r="BK144" s="49" t="s">
        <v>312</v>
      </c>
      <c r="BL144" s="49" t="s">
        <v>313</v>
      </c>
      <c r="BM144" s="49" t="s">
        <v>310</v>
      </c>
      <c r="BN144" s="48"/>
      <c r="BO144" s="48"/>
      <c r="BP144" s="48"/>
      <c r="BQ144" s="49" t="s">
        <v>641</v>
      </c>
      <c r="BR144" s="48" t="n">
        <v>46301</v>
      </c>
      <c r="BS144" s="49" t="s">
        <v>750</v>
      </c>
      <c r="BT144" s="49" t="s">
        <v>312</v>
      </c>
      <c r="BU144" s="49" t="s">
        <v>313</v>
      </c>
      <c r="BV144" s="49" t="s">
        <v>303</v>
      </c>
      <c r="BX144" s="0" t="n">
        <v>0</v>
      </c>
      <c r="CC144" s="49" t="s">
        <v>315</v>
      </c>
      <c r="CD144" s="49" t="s">
        <v>303</v>
      </c>
      <c r="CF144" s="49" t="s">
        <v>303</v>
      </c>
      <c r="CG144" s="49" t="s">
        <v>316</v>
      </c>
      <c r="CH144" s="49" t="s">
        <v>317</v>
      </c>
      <c r="CI144" s="49" t="s">
        <v>318</v>
      </c>
      <c r="CM144" s="49" t="s">
        <v>468</v>
      </c>
      <c r="CV144" s="49" t="s">
        <v>303</v>
      </c>
      <c r="DB144" s="49" t="s">
        <v>319</v>
      </c>
      <c r="DD144" s="48" t="n">
        <v>46275</v>
      </c>
      <c r="DF144" s="49" t="s">
        <v>310</v>
      </c>
      <c r="DG144" s="49" t="s">
        <v>320</v>
      </c>
      <c r="DH144" s="49" t="s">
        <v>70</v>
      </c>
      <c r="DI144" s="49" t="s">
        <v>298</v>
      </c>
      <c r="DJ144" s="49" t="s">
        <v>321</v>
      </c>
      <c r="DK144" s="49" t="s">
        <v>322</v>
      </c>
      <c r="DL144" s="49" t="s">
        <v>323</v>
      </c>
      <c r="DM144" s="49" t="s">
        <v>303</v>
      </c>
      <c r="DN144" s="49" t="s">
        <v>297</v>
      </c>
      <c r="DO144" s="48"/>
      <c r="DP144" s="49" t="s">
        <v>313</v>
      </c>
      <c r="DQ144" s="48"/>
      <c r="DR144" s="49" t="s">
        <v>312</v>
      </c>
      <c r="DS144" s="49" t="s">
        <v>303</v>
      </c>
      <c r="DT144" s="49" t="s">
        <v>303</v>
      </c>
      <c r="DW144" s="49" t="s">
        <v>303</v>
      </c>
      <c r="EA144" s="49" t="s">
        <v>324</v>
      </c>
      <c r="EB144" s="49" t="s">
        <v>303</v>
      </c>
      <c r="EH144" s="49" t="s">
        <v>325</v>
      </c>
      <c r="EJ144" s="49" t="s">
        <v>303</v>
      </c>
      <c r="EK144" s="49" t="s">
        <v>754</v>
      </c>
      <c r="EM144" s="49" t="s">
        <v>303</v>
      </c>
      <c r="EN144" s="49" t="s">
        <v>472</v>
      </c>
      <c r="EP144" s="49" t="s">
        <v>298</v>
      </c>
      <c r="EQ144" s="0" t="n">
        <v>1</v>
      </c>
      <c r="ER144" s="49" t="s">
        <v>328</v>
      </c>
      <c r="ES144" s="49" t="s">
        <v>329</v>
      </c>
      <c r="ET144" s="49" t="s">
        <v>310</v>
      </c>
      <c r="EU144" s="49" t="s">
        <v>310</v>
      </c>
      <c r="EV144" s="49" t="s">
        <v>310</v>
      </c>
      <c r="EX144" s="49" t="s">
        <v>303</v>
      </c>
      <c r="EY144" s="49" t="s">
        <v>303</v>
      </c>
      <c r="FC144" s="49" t="s">
        <v>330</v>
      </c>
      <c r="FD144" s="49" t="s">
        <v>310</v>
      </c>
      <c r="FE144" s="49" t="s">
        <v>310</v>
      </c>
      <c r="FF144" s="49" t="s">
        <v>70</v>
      </c>
      <c r="FG144" s="49" t="s">
        <v>473</v>
      </c>
      <c r="FH144" s="49" t="s">
        <v>310</v>
      </c>
      <c r="FI144" s="49" t="s">
        <v>332</v>
      </c>
      <c r="FJ144" s="49" t="s">
        <v>303</v>
      </c>
      <c r="FL144" s="49" t="s">
        <v>325</v>
      </c>
      <c r="FM144" s="49" t="s">
        <v>641</v>
      </c>
      <c r="FP144" s="49" t="s">
        <v>303</v>
      </c>
      <c r="FR144" s="49" t="s">
        <v>303</v>
      </c>
      <c r="FT144" s="49" t="s">
        <v>325</v>
      </c>
      <c r="FU144" s="49" t="s">
        <v>325</v>
      </c>
      <c r="FW144" s="49" t="s">
        <v>333</v>
      </c>
    </row>
    <row r="145" customFormat="false" ht="15" hidden="false" customHeight="false" outlineLevel="0" collapsed="false">
      <c r="A145" s="0" t="n">
        <v>100880017</v>
      </c>
      <c r="B145" s="0" t="s">
        <v>295</v>
      </c>
      <c r="C145" s="0" t="s">
        <v>70</v>
      </c>
      <c r="D145" s="0" t="s">
        <v>468</v>
      </c>
      <c r="E145" s="0" t="s">
        <v>297</v>
      </c>
      <c r="G145" s="0" t="n">
        <v>1</v>
      </c>
      <c r="H145" s="0" t="s">
        <v>298</v>
      </c>
      <c r="I145" s="48" t="n">
        <v>46296</v>
      </c>
      <c r="J145" s="0" t="n">
        <v>0</v>
      </c>
      <c r="K145" s="49" t="s">
        <v>641</v>
      </c>
      <c r="L145" s="49" t="s">
        <v>335</v>
      </c>
      <c r="M145" s="48"/>
      <c r="O145" s="49" t="s">
        <v>445</v>
      </c>
      <c r="P145" s="48"/>
      <c r="Q145" s="48" t="n">
        <v>46296</v>
      </c>
      <c r="R145" s="48" t="n">
        <v>46302</v>
      </c>
      <c r="T145" s="49" t="s">
        <v>302</v>
      </c>
      <c r="U145" s="49" t="s">
        <v>303</v>
      </c>
      <c r="Y145" s="49" t="s">
        <v>312</v>
      </c>
      <c r="AD145" s="49" t="s">
        <v>305</v>
      </c>
      <c r="AE145" s="48" t="n">
        <v>46275</v>
      </c>
      <c r="AF145" s="49" t="s">
        <v>306</v>
      </c>
      <c r="AG145" s="49" t="s">
        <v>307</v>
      </c>
      <c r="AK145" s="49" t="s">
        <v>303</v>
      </c>
      <c r="AL145" s="49" t="s">
        <v>297</v>
      </c>
      <c r="AO145" s="49" t="s">
        <v>303</v>
      </c>
      <c r="AP145" s="48"/>
      <c r="AR145" s="49" t="s">
        <v>303</v>
      </c>
      <c r="AS145" s="49" t="s">
        <v>306</v>
      </c>
      <c r="AT145" s="49" t="s">
        <v>755</v>
      </c>
      <c r="AV145" s="49" t="s">
        <v>309</v>
      </c>
      <c r="AW145" s="49" t="s">
        <v>310</v>
      </c>
      <c r="AX145" s="49" t="s">
        <v>311</v>
      </c>
      <c r="AY145" s="48"/>
      <c r="AZ145" s="48" t="n">
        <v>46294</v>
      </c>
      <c r="BC145" s="49" t="s">
        <v>303</v>
      </c>
      <c r="BD145" s="48"/>
      <c r="BE145" s="49" t="s">
        <v>312</v>
      </c>
      <c r="BF145" s="49" t="s">
        <v>303</v>
      </c>
      <c r="BG145" s="48"/>
      <c r="BI145" s="48"/>
      <c r="BJ145" s="48" t="n">
        <v>46301</v>
      </c>
      <c r="BK145" s="49" t="s">
        <v>313</v>
      </c>
      <c r="BL145" s="49" t="s">
        <v>313</v>
      </c>
      <c r="BM145" s="49" t="s">
        <v>310</v>
      </c>
      <c r="BN145" s="48"/>
      <c r="BO145" s="48"/>
      <c r="BP145" s="48"/>
      <c r="BQ145" s="49" t="s">
        <v>641</v>
      </c>
      <c r="BR145" s="48" t="n">
        <v>46301</v>
      </c>
      <c r="BS145" s="49" t="s">
        <v>750</v>
      </c>
      <c r="BT145" s="49" t="s">
        <v>312</v>
      </c>
      <c r="BU145" s="49" t="s">
        <v>313</v>
      </c>
      <c r="BV145" s="49" t="s">
        <v>303</v>
      </c>
      <c r="BX145" s="0" t="n">
        <v>0</v>
      </c>
      <c r="CC145" s="49" t="s">
        <v>315</v>
      </c>
      <c r="CD145" s="49" t="s">
        <v>303</v>
      </c>
      <c r="CF145" s="49" t="s">
        <v>303</v>
      </c>
      <c r="CG145" s="49" t="s">
        <v>316</v>
      </c>
      <c r="CH145" s="49" t="s">
        <v>317</v>
      </c>
      <c r="CI145" s="49" t="s">
        <v>318</v>
      </c>
      <c r="CM145" s="49" t="s">
        <v>468</v>
      </c>
      <c r="CV145" s="49" t="s">
        <v>303</v>
      </c>
      <c r="DB145" s="49" t="s">
        <v>319</v>
      </c>
      <c r="DD145" s="48" t="n">
        <v>46275</v>
      </c>
      <c r="DF145" s="49" t="s">
        <v>310</v>
      </c>
      <c r="DG145" s="49" t="s">
        <v>320</v>
      </c>
      <c r="DH145" s="49" t="s">
        <v>70</v>
      </c>
      <c r="DI145" s="49" t="s">
        <v>298</v>
      </c>
      <c r="DJ145" s="49" t="s">
        <v>321</v>
      </c>
      <c r="DK145" s="49" t="s">
        <v>322</v>
      </c>
      <c r="DL145" s="49" t="s">
        <v>323</v>
      </c>
      <c r="DM145" s="49" t="s">
        <v>303</v>
      </c>
      <c r="DN145" s="49" t="s">
        <v>297</v>
      </c>
      <c r="DO145" s="48"/>
      <c r="DP145" s="49" t="s">
        <v>313</v>
      </c>
      <c r="DQ145" s="48"/>
      <c r="DR145" s="49" t="s">
        <v>312</v>
      </c>
      <c r="DS145" s="49" t="s">
        <v>303</v>
      </c>
      <c r="DT145" s="49" t="s">
        <v>303</v>
      </c>
      <c r="DW145" s="49" t="s">
        <v>303</v>
      </c>
      <c r="EA145" s="49" t="s">
        <v>324</v>
      </c>
      <c r="EB145" s="49" t="s">
        <v>303</v>
      </c>
      <c r="EF145" s="49" t="s">
        <v>756</v>
      </c>
      <c r="EH145" s="49" t="s">
        <v>325</v>
      </c>
      <c r="EJ145" s="49" t="s">
        <v>303</v>
      </c>
      <c r="EK145" s="49" t="s">
        <v>757</v>
      </c>
      <c r="EM145" s="49" t="s">
        <v>303</v>
      </c>
      <c r="EN145" s="49" t="s">
        <v>472</v>
      </c>
      <c r="EP145" s="49" t="s">
        <v>298</v>
      </c>
      <c r="EQ145" s="0" t="n">
        <v>1</v>
      </c>
      <c r="ER145" s="49" t="s">
        <v>328</v>
      </c>
      <c r="ES145" s="49" t="s">
        <v>329</v>
      </c>
      <c r="ET145" s="49" t="s">
        <v>310</v>
      </c>
      <c r="EU145" s="49" t="s">
        <v>310</v>
      </c>
      <c r="EV145" s="49" t="s">
        <v>310</v>
      </c>
      <c r="EX145" s="49" t="s">
        <v>303</v>
      </c>
      <c r="EY145" s="49" t="s">
        <v>303</v>
      </c>
      <c r="FC145" s="49" t="s">
        <v>330</v>
      </c>
      <c r="FD145" s="49" t="s">
        <v>310</v>
      </c>
      <c r="FE145" s="49" t="s">
        <v>310</v>
      </c>
      <c r="FF145" s="49" t="s">
        <v>70</v>
      </c>
      <c r="FG145" s="49" t="s">
        <v>473</v>
      </c>
      <c r="FH145" s="49" t="s">
        <v>310</v>
      </c>
      <c r="FI145" s="49" t="s">
        <v>332</v>
      </c>
      <c r="FJ145" s="49" t="s">
        <v>303</v>
      </c>
      <c r="FL145" s="49" t="s">
        <v>325</v>
      </c>
      <c r="FM145" s="49" t="s">
        <v>641</v>
      </c>
      <c r="FP145" s="49" t="s">
        <v>303</v>
      </c>
      <c r="FR145" s="49" t="s">
        <v>303</v>
      </c>
      <c r="FT145" s="49" t="s">
        <v>325</v>
      </c>
      <c r="FU145" s="49" t="s">
        <v>325</v>
      </c>
      <c r="FW145" s="49" t="s">
        <v>333</v>
      </c>
    </row>
    <row r="146" customFormat="false" ht="15" hidden="false" customHeight="false" outlineLevel="0" collapsed="false">
      <c r="A146" s="0" t="n">
        <v>100880018</v>
      </c>
      <c r="B146" s="0" t="s">
        <v>295</v>
      </c>
      <c r="C146" s="0" t="s">
        <v>70</v>
      </c>
      <c r="D146" s="0" t="s">
        <v>468</v>
      </c>
      <c r="E146" s="0" t="s">
        <v>297</v>
      </c>
      <c r="G146" s="0" t="n">
        <v>1</v>
      </c>
      <c r="H146" s="0" t="s">
        <v>298</v>
      </c>
      <c r="I146" s="48" t="n">
        <v>46296</v>
      </c>
      <c r="J146" s="0" t="n">
        <v>0</v>
      </c>
      <c r="K146" s="49" t="s">
        <v>641</v>
      </c>
      <c r="L146" s="49" t="s">
        <v>335</v>
      </c>
      <c r="M146" s="48"/>
      <c r="O146" s="49" t="s">
        <v>445</v>
      </c>
      <c r="P146" s="48"/>
      <c r="Q146" s="48" t="n">
        <v>46296</v>
      </c>
      <c r="R146" s="48" t="n">
        <v>46302</v>
      </c>
      <c r="T146" s="49" t="s">
        <v>302</v>
      </c>
      <c r="U146" s="49" t="s">
        <v>303</v>
      </c>
      <c r="Y146" s="49" t="s">
        <v>312</v>
      </c>
      <c r="AD146" s="49" t="s">
        <v>305</v>
      </c>
      <c r="AE146" s="48" t="n">
        <v>46275</v>
      </c>
      <c r="AF146" s="49" t="s">
        <v>306</v>
      </c>
      <c r="AG146" s="49" t="s">
        <v>307</v>
      </c>
      <c r="AK146" s="49" t="s">
        <v>303</v>
      </c>
      <c r="AL146" s="49" t="s">
        <v>297</v>
      </c>
      <c r="AO146" s="49" t="s">
        <v>303</v>
      </c>
      <c r="AP146" s="48"/>
      <c r="AR146" s="49" t="s">
        <v>303</v>
      </c>
      <c r="AS146" s="49" t="s">
        <v>306</v>
      </c>
      <c r="AT146" s="49" t="s">
        <v>758</v>
      </c>
      <c r="AV146" s="49" t="s">
        <v>309</v>
      </c>
      <c r="AW146" s="49" t="s">
        <v>310</v>
      </c>
      <c r="AX146" s="49" t="s">
        <v>311</v>
      </c>
      <c r="AY146" s="48"/>
      <c r="AZ146" s="48" t="n">
        <v>46294</v>
      </c>
      <c r="BC146" s="49" t="s">
        <v>303</v>
      </c>
      <c r="BD146" s="48"/>
      <c r="BE146" s="49" t="s">
        <v>312</v>
      </c>
      <c r="BF146" s="49" t="s">
        <v>303</v>
      </c>
      <c r="BG146" s="48"/>
      <c r="BI146" s="48"/>
      <c r="BJ146" s="48" t="n">
        <v>46301</v>
      </c>
      <c r="BK146" s="49" t="s">
        <v>313</v>
      </c>
      <c r="BL146" s="49" t="s">
        <v>313</v>
      </c>
      <c r="BM146" s="49" t="s">
        <v>310</v>
      </c>
      <c r="BN146" s="48"/>
      <c r="BO146" s="48"/>
      <c r="BP146" s="48"/>
      <c r="BQ146" s="49" t="s">
        <v>641</v>
      </c>
      <c r="BR146" s="48" t="n">
        <v>46301</v>
      </c>
      <c r="BS146" s="49" t="s">
        <v>759</v>
      </c>
      <c r="BT146" s="49" t="s">
        <v>312</v>
      </c>
      <c r="BU146" s="49" t="s">
        <v>313</v>
      </c>
      <c r="BV146" s="49" t="s">
        <v>303</v>
      </c>
      <c r="BX146" s="0" t="n">
        <v>0</v>
      </c>
      <c r="CC146" s="49" t="s">
        <v>315</v>
      </c>
      <c r="CD146" s="49" t="s">
        <v>303</v>
      </c>
      <c r="CF146" s="49" t="s">
        <v>303</v>
      </c>
      <c r="CG146" s="49" t="s">
        <v>316</v>
      </c>
      <c r="CH146" s="49" t="s">
        <v>317</v>
      </c>
      <c r="CI146" s="49" t="s">
        <v>318</v>
      </c>
      <c r="CM146" s="49" t="s">
        <v>468</v>
      </c>
      <c r="CV146" s="49" t="s">
        <v>303</v>
      </c>
      <c r="DB146" s="49" t="s">
        <v>319</v>
      </c>
      <c r="DD146" s="48" t="n">
        <v>46275</v>
      </c>
      <c r="DF146" s="49" t="s">
        <v>310</v>
      </c>
      <c r="DG146" s="49" t="s">
        <v>320</v>
      </c>
      <c r="DH146" s="49" t="s">
        <v>70</v>
      </c>
      <c r="DI146" s="49" t="s">
        <v>298</v>
      </c>
      <c r="DJ146" s="49" t="s">
        <v>321</v>
      </c>
      <c r="DK146" s="49" t="s">
        <v>322</v>
      </c>
      <c r="DL146" s="49" t="s">
        <v>323</v>
      </c>
      <c r="DM146" s="49" t="s">
        <v>303</v>
      </c>
      <c r="DN146" s="49" t="s">
        <v>297</v>
      </c>
      <c r="DO146" s="48"/>
      <c r="DP146" s="49" t="s">
        <v>313</v>
      </c>
      <c r="DQ146" s="48"/>
      <c r="DR146" s="49" t="s">
        <v>312</v>
      </c>
      <c r="DS146" s="49" t="s">
        <v>303</v>
      </c>
      <c r="DT146" s="49" t="s">
        <v>303</v>
      </c>
      <c r="DW146" s="49" t="s">
        <v>303</v>
      </c>
      <c r="EA146" s="49" t="s">
        <v>324</v>
      </c>
      <c r="EB146" s="49" t="s">
        <v>303</v>
      </c>
      <c r="EF146" s="49" t="s">
        <v>756</v>
      </c>
      <c r="EH146" s="49" t="s">
        <v>325</v>
      </c>
      <c r="EJ146" s="49" t="s">
        <v>303</v>
      </c>
      <c r="EK146" s="49" t="s">
        <v>760</v>
      </c>
      <c r="EM146" s="49" t="s">
        <v>303</v>
      </c>
      <c r="EN146" s="49" t="s">
        <v>472</v>
      </c>
      <c r="EP146" s="49" t="s">
        <v>298</v>
      </c>
      <c r="EQ146" s="0" t="n">
        <v>1</v>
      </c>
      <c r="ER146" s="49" t="s">
        <v>328</v>
      </c>
      <c r="ES146" s="49" t="s">
        <v>329</v>
      </c>
      <c r="ET146" s="49" t="s">
        <v>310</v>
      </c>
      <c r="EU146" s="49" t="s">
        <v>310</v>
      </c>
      <c r="EV146" s="49" t="s">
        <v>310</v>
      </c>
      <c r="EX146" s="49" t="s">
        <v>303</v>
      </c>
      <c r="EY146" s="49" t="s">
        <v>303</v>
      </c>
      <c r="FC146" s="49" t="s">
        <v>330</v>
      </c>
      <c r="FD146" s="49" t="s">
        <v>310</v>
      </c>
      <c r="FE146" s="49" t="s">
        <v>310</v>
      </c>
      <c r="FF146" s="49" t="s">
        <v>70</v>
      </c>
      <c r="FG146" s="49" t="s">
        <v>473</v>
      </c>
      <c r="FH146" s="49" t="s">
        <v>310</v>
      </c>
      <c r="FI146" s="49" t="s">
        <v>332</v>
      </c>
      <c r="FJ146" s="49" t="s">
        <v>303</v>
      </c>
      <c r="FL146" s="49" t="s">
        <v>325</v>
      </c>
      <c r="FM146" s="49" t="s">
        <v>641</v>
      </c>
      <c r="FP146" s="49" t="s">
        <v>303</v>
      </c>
      <c r="FR146" s="49" t="s">
        <v>303</v>
      </c>
      <c r="FT146" s="49" t="s">
        <v>325</v>
      </c>
      <c r="FU146" s="49" t="s">
        <v>325</v>
      </c>
      <c r="FW146" s="49" t="s">
        <v>333</v>
      </c>
    </row>
    <row r="147" customFormat="false" ht="15" hidden="false" customHeight="false" outlineLevel="0" collapsed="false">
      <c r="A147" s="0" t="n">
        <v>100880019</v>
      </c>
      <c r="B147" s="0" t="s">
        <v>295</v>
      </c>
      <c r="C147" s="0" t="s">
        <v>72</v>
      </c>
      <c r="D147" s="0" t="s">
        <v>480</v>
      </c>
      <c r="E147" s="0" t="s">
        <v>297</v>
      </c>
      <c r="G147" s="0" t="n">
        <v>1</v>
      </c>
      <c r="H147" s="0" t="s">
        <v>298</v>
      </c>
      <c r="I147" s="48" t="n">
        <v>46296</v>
      </c>
      <c r="J147" s="0" t="n">
        <v>0</v>
      </c>
      <c r="K147" s="49" t="s">
        <v>641</v>
      </c>
      <c r="L147" s="49" t="s">
        <v>335</v>
      </c>
      <c r="M147" s="48" t="n">
        <v>46296</v>
      </c>
      <c r="N147" s="49" t="s">
        <v>335</v>
      </c>
      <c r="O147" s="49" t="s">
        <v>445</v>
      </c>
      <c r="P147" s="48"/>
      <c r="Q147" s="48" t="n">
        <v>46296</v>
      </c>
      <c r="R147" s="48" t="n">
        <v>46303</v>
      </c>
      <c r="T147" s="49" t="s">
        <v>302</v>
      </c>
      <c r="U147" s="49" t="s">
        <v>303</v>
      </c>
      <c r="Y147" s="49" t="s">
        <v>761</v>
      </c>
      <c r="AD147" s="49" t="s">
        <v>305</v>
      </c>
      <c r="AE147" s="48" t="n">
        <v>46275</v>
      </c>
      <c r="AF147" s="49" t="s">
        <v>306</v>
      </c>
      <c r="AG147" s="49" t="s">
        <v>307</v>
      </c>
      <c r="AK147" s="49" t="s">
        <v>303</v>
      </c>
      <c r="AL147" s="49" t="s">
        <v>297</v>
      </c>
      <c r="AO147" s="49" t="s">
        <v>303</v>
      </c>
      <c r="AP147" s="48"/>
      <c r="AR147" s="49" t="s">
        <v>303</v>
      </c>
      <c r="AS147" s="49" t="s">
        <v>306</v>
      </c>
      <c r="AT147" s="49" t="s">
        <v>762</v>
      </c>
      <c r="AV147" s="49" t="s">
        <v>309</v>
      </c>
      <c r="AW147" s="49" t="s">
        <v>310</v>
      </c>
      <c r="AX147" s="49" t="s">
        <v>311</v>
      </c>
      <c r="AY147" s="48"/>
      <c r="AZ147" s="48" t="n">
        <v>46294</v>
      </c>
      <c r="BC147" s="49" t="s">
        <v>303</v>
      </c>
      <c r="BD147" s="48"/>
      <c r="BE147" s="49" t="s">
        <v>312</v>
      </c>
      <c r="BF147" s="49" t="s">
        <v>303</v>
      </c>
      <c r="BG147" s="48"/>
      <c r="BI147" s="48"/>
      <c r="BJ147" s="48" t="n">
        <v>46301</v>
      </c>
      <c r="BK147" s="49" t="s">
        <v>312</v>
      </c>
      <c r="BL147" s="49" t="s">
        <v>313</v>
      </c>
      <c r="BM147" s="49" t="s">
        <v>310</v>
      </c>
      <c r="BN147" s="48"/>
      <c r="BO147" s="48"/>
      <c r="BP147" s="48"/>
      <c r="BQ147" s="49" t="s">
        <v>641</v>
      </c>
      <c r="BR147" s="48" t="n">
        <v>46301</v>
      </c>
      <c r="BS147" s="49" t="s">
        <v>759</v>
      </c>
      <c r="BT147" s="49" t="s">
        <v>312</v>
      </c>
      <c r="BU147" s="49" t="s">
        <v>313</v>
      </c>
      <c r="BV147" s="49" t="s">
        <v>303</v>
      </c>
      <c r="BX147" s="0" t="n">
        <v>0</v>
      </c>
      <c r="CC147" s="49" t="s">
        <v>315</v>
      </c>
      <c r="CD147" s="49" t="s">
        <v>303</v>
      </c>
      <c r="CF147" s="49" t="s">
        <v>303</v>
      </c>
      <c r="CG147" s="49" t="s">
        <v>316</v>
      </c>
      <c r="CH147" s="49" t="s">
        <v>317</v>
      </c>
      <c r="CI147" s="49" t="s">
        <v>318</v>
      </c>
      <c r="CM147" s="49" t="s">
        <v>480</v>
      </c>
      <c r="CV147" s="49" t="s">
        <v>303</v>
      </c>
      <c r="DB147" s="49" t="s">
        <v>319</v>
      </c>
      <c r="DD147" s="48" t="n">
        <v>46275</v>
      </c>
      <c r="DF147" s="49" t="s">
        <v>310</v>
      </c>
      <c r="DG147" s="49" t="s">
        <v>320</v>
      </c>
      <c r="DH147" s="49" t="s">
        <v>72</v>
      </c>
      <c r="DI147" s="49" t="s">
        <v>298</v>
      </c>
      <c r="DJ147" s="49" t="s">
        <v>321</v>
      </c>
      <c r="DK147" s="49" t="s">
        <v>322</v>
      </c>
      <c r="DL147" s="49" t="s">
        <v>323</v>
      </c>
      <c r="DM147" s="49" t="s">
        <v>303</v>
      </c>
      <c r="DN147" s="49" t="s">
        <v>297</v>
      </c>
      <c r="DO147" s="48"/>
      <c r="DP147" s="49" t="s">
        <v>313</v>
      </c>
      <c r="DQ147" s="48"/>
      <c r="DR147" s="49" t="s">
        <v>312</v>
      </c>
      <c r="DS147" s="49" t="s">
        <v>303</v>
      </c>
      <c r="DT147" s="49" t="s">
        <v>303</v>
      </c>
      <c r="DW147" s="49" t="s">
        <v>303</v>
      </c>
      <c r="EA147" s="49" t="s">
        <v>324</v>
      </c>
      <c r="EB147" s="49" t="s">
        <v>303</v>
      </c>
      <c r="EH147" s="49" t="s">
        <v>325</v>
      </c>
      <c r="EJ147" s="49" t="s">
        <v>303</v>
      </c>
      <c r="EK147" s="49" t="s">
        <v>763</v>
      </c>
      <c r="EM147" s="49" t="s">
        <v>303</v>
      </c>
      <c r="EN147" s="49" t="s">
        <v>485</v>
      </c>
      <c r="EP147" s="49" t="s">
        <v>298</v>
      </c>
      <c r="EQ147" s="0" t="n">
        <v>1</v>
      </c>
      <c r="ER147" s="49" t="s">
        <v>328</v>
      </c>
      <c r="ES147" s="49" t="s">
        <v>329</v>
      </c>
      <c r="ET147" s="49" t="s">
        <v>310</v>
      </c>
      <c r="EU147" s="49" t="s">
        <v>310</v>
      </c>
      <c r="EV147" s="49" t="s">
        <v>310</v>
      </c>
      <c r="EX147" s="49" t="s">
        <v>303</v>
      </c>
      <c r="EY147" s="49" t="s">
        <v>303</v>
      </c>
      <c r="FC147" s="49" t="s">
        <v>330</v>
      </c>
      <c r="FD147" s="49" t="s">
        <v>310</v>
      </c>
      <c r="FE147" s="49" t="s">
        <v>310</v>
      </c>
      <c r="FF147" s="49" t="s">
        <v>72</v>
      </c>
      <c r="FG147" s="49" t="s">
        <v>486</v>
      </c>
      <c r="FH147" s="49" t="s">
        <v>310</v>
      </c>
      <c r="FI147" s="49" t="s">
        <v>332</v>
      </c>
      <c r="FJ147" s="49" t="s">
        <v>303</v>
      </c>
      <c r="FL147" s="49" t="s">
        <v>325</v>
      </c>
      <c r="FM147" s="49" t="s">
        <v>641</v>
      </c>
      <c r="FP147" s="49" t="s">
        <v>303</v>
      </c>
      <c r="FR147" s="49" t="s">
        <v>303</v>
      </c>
      <c r="FT147" s="49" t="s">
        <v>325</v>
      </c>
      <c r="FU147" s="49" t="s">
        <v>325</v>
      </c>
      <c r="FW147" s="49" t="s">
        <v>333</v>
      </c>
    </row>
    <row r="148" customFormat="false" ht="15" hidden="false" customHeight="false" outlineLevel="0" collapsed="false">
      <c r="A148" s="0" t="n">
        <v>100880020</v>
      </c>
      <c r="B148" s="0" t="s">
        <v>295</v>
      </c>
      <c r="C148" s="0" t="s">
        <v>72</v>
      </c>
      <c r="D148" s="0" t="s">
        <v>480</v>
      </c>
      <c r="E148" s="0" t="s">
        <v>297</v>
      </c>
      <c r="G148" s="0" t="n">
        <v>1</v>
      </c>
      <c r="H148" s="0" t="s">
        <v>298</v>
      </c>
      <c r="I148" s="48" t="n">
        <v>46296</v>
      </c>
      <c r="J148" s="0" t="n">
        <v>0</v>
      </c>
      <c r="K148" s="49" t="s">
        <v>641</v>
      </c>
      <c r="L148" s="49" t="s">
        <v>335</v>
      </c>
      <c r="M148" s="48"/>
      <c r="O148" s="49" t="s">
        <v>445</v>
      </c>
      <c r="P148" s="48"/>
      <c r="Q148" s="48" t="n">
        <v>46296</v>
      </c>
      <c r="R148" s="48" t="n">
        <v>46302</v>
      </c>
      <c r="T148" s="49" t="s">
        <v>302</v>
      </c>
      <c r="U148" s="49" t="s">
        <v>303</v>
      </c>
      <c r="Y148" s="49" t="s">
        <v>312</v>
      </c>
      <c r="AD148" s="49" t="s">
        <v>305</v>
      </c>
      <c r="AE148" s="48" t="n">
        <v>46275</v>
      </c>
      <c r="AF148" s="49" t="s">
        <v>306</v>
      </c>
      <c r="AG148" s="49" t="s">
        <v>307</v>
      </c>
      <c r="AK148" s="49" t="s">
        <v>303</v>
      </c>
      <c r="AL148" s="49" t="s">
        <v>297</v>
      </c>
      <c r="AO148" s="49" t="s">
        <v>303</v>
      </c>
      <c r="AP148" s="48"/>
      <c r="AR148" s="49" t="s">
        <v>303</v>
      </c>
      <c r="AS148" s="49" t="s">
        <v>306</v>
      </c>
      <c r="AT148" s="49" t="s">
        <v>764</v>
      </c>
      <c r="AV148" s="49" t="s">
        <v>309</v>
      </c>
      <c r="AW148" s="49" t="s">
        <v>310</v>
      </c>
      <c r="AX148" s="49" t="s">
        <v>311</v>
      </c>
      <c r="AY148" s="48"/>
      <c r="AZ148" s="48" t="n">
        <v>46294</v>
      </c>
      <c r="BC148" s="49" t="s">
        <v>303</v>
      </c>
      <c r="BD148" s="48"/>
      <c r="BE148" s="49" t="s">
        <v>312</v>
      </c>
      <c r="BF148" s="49" t="s">
        <v>303</v>
      </c>
      <c r="BG148" s="48"/>
      <c r="BI148" s="48"/>
      <c r="BJ148" s="48" t="n">
        <v>46301</v>
      </c>
      <c r="BK148" s="49" t="s">
        <v>313</v>
      </c>
      <c r="BL148" s="49" t="s">
        <v>313</v>
      </c>
      <c r="BM148" s="49" t="s">
        <v>310</v>
      </c>
      <c r="BN148" s="48"/>
      <c r="BO148" s="48"/>
      <c r="BP148" s="48"/>
      <c r="BQ148" s="49" t="s">
        <v>641</v>
      </c>
      <c r="BR148" s="48" t="n">
        <v>46301</v>
      </c>
      <c r="BS148" s="49" t="s">
        <v>765</v>
      </c>
      <c r="BT148" s="49" t="s">
        <v>312</v>
      </c>
      <c r="BU148" s="49" t="s">
        <v>313</v>
      </c>
      <c r="BV148" s="49" t="s">
        <v>303</v>
      </c>
      <c r="BX148" s="0" t="n">
        <v>0</v>
      </c>
      <c r="CC148" s="49" t="s">
        <v>315</v>
      </c>
      <c r="CD148" s="49" t="s">
        <v>303</v>
      </c>
      <c r="CF148" s="49" t="s">
        <v>303</v>
      </c>
      <c r="CG148" s="49" t="s">
        <v>316</v>
      </c>
      <c r="CH148" s="49" t="s">
        <v>317</v>
      </c>
      <c r="CI148" s="49" t="s">
        <v>318</v>
      </c>
      <c r="CM148" s="49" t="s">
        <v>480</v>
      </c>
      <c r="CV148" s="49" t="s">
        <v>303</v>
      </c>
      <c r="DB148" s="49" t="s">
        <v>319</v>
      </c>
      <c r="DD148" s="48" t="n">
        <v>46275</v>
      </c>
      <c r="DF148" s="49" t="s">
        <v>310</v>
      </c>
      <c r="DG148" s="49" t="s">
        <v>320</v>
      </c>
      <c r="DH148" s="49" t="s">
        <v>72</v>
      </c>
      <c r="DI148" s="49" t="s">
        <v>298</v>
      </c>
      <c r="DJ148" s="49" t="s">
        <v>321</v>
      </c>
      <c r="DK148" s="49" t="s">
        <v>322</v>
      </c>
      <c r="DL148" s="49" t="s">
        <v>323</v>
      </c>
      <c r="DM148" s="49" t="s">
        <v>303</v>
      </c>
      <c r="DN148" s="49" t="s">
        <v>297</v>
      </c>
      <c r="DO148" s="48"/>
      <c r="DP148" s="49" t="s">
        <v>313</v>
      </c>
      <c r="DQ148" s="48"/>
      <c r="DR148" s="49" t="s">
        <v>312</v>
      </c>
      <c r="DS148" s="49" t="s">
        <v>303</v>
      </c>
      <c r="DT148" s="49" t="s">
        <v>303</v>
      </c>
      <c r="DW148" s="49" t="s">
        <v>303</v>
      </c>
      <c r="EA148" s="49" t="s">
        <v>324</v>
      </c>
      <c r="EB148" s="49" t="s">
        <v>303</v>
      </c>
      <c r="EF148" s="49" t="s">
        <v>766</v>
      </c>
      <c r="EH148" s="49" t="s">
        <v>325</v>
      </c>
      <c r="EJ148" s="49" t="s">
        <v>303</v>
      </c>
      <c r="EK148" s="49" t="s">
        <v>767</v>
      </c>
      <c r="EM148" s="49" t="s">
        <v>303</v>
      </c>
      <c r="EN148" s="49" t="s">
        <v>485</v>
      </c>
      <c r="EP148" s="49" t="s">
        <v>298</v>
      </c>
      <c r="EQ148" s="0" t="n">
        <v>1</v>
      </c>
      <c r="ER148" s="49" t="s">
        <v>328</v>
      </c>
      <c r="ES148" s="49" t="s">
        <v>329</v>
      </c>
      <c r="ET148" s="49" t="s">
        <v>310</v>
      </c>
      <c r="EU148" s="49" t="s">
        <v>310</v>
      </c>
      <c r="EV148" s="49" t="s">
        <v>310</v>
      </c>
      <c r="EX148" s="49" t="s">
        <v>303</v>
      </c>
      <c r="EY148" s="49" t="s">
        <v>303</v>
      </c>
      <c r="FC148" s="49" t="s">
        <v>330</v>
      </c>
      <c r="FD148" s="49" t="s">
        <v>310</v>
      </c>
      <c r="FE148" s="49" t="s">
        <v>310</v>
      </c>
      <c r="FF148" s="49" t="s">
        <v>72</v>
      </c>
      <c r="FG148" s="49" t="s">
        <v>486</v>
      </c>
      <c r="FH148" s="49" t="s">
        <v>310</v>
      </c>
      <c r="FI148" s="49" t="s">
        <v>332</v>
      </c>
      <c r="FJ148" s="49" t="s">
        <v>303</v>
      </c>
      <c r="FL148" s="49" t="s">
        <v>325</v>
      </c>
      <c r="FM148" s="49" t="s">
        <v>641</v>
      </c>
      <c r="FP148" s="49" t="s">
        <v>303</v>
      </c>
      <c r="FR148" s="49" t="s">
        <v>303</v>
      </c>
      <c r="FT148" s="49" t="s">
        <v>325</v>
      </c>
      <c r="FU148" s="49" t="s">
        <v>325</v>
      </c>
      <c r="FW148" s="49" t="s">
        <v>333</v>
      </c>
    </row>
    <row r="149" customFormat="false" ht="15" hidden="false" customHeight="false" outlineLevel="0" collapsed="false">
      <c r="A149" s="0" t="n">
        <v>100880021</v>
      </c>
      <c r="B149" s="0" t="s">
        <v>295</v>
      </c>
      <c r="C149" s="0" t="s">
        <v>72</v>
      </c>
      <c r="D149" s="0" t="s">
        <v>480</v>
      </c>
      <c r="E149" s="0" t="s">
        <v>297</v>
      </c>
      <c r="G149" s="0" t="n">
        <v>1</v>
      </c>
      <c r="H149" s="0" t="s">
        <v>298</v>
      </c>
      <c r="I149" s="48" t="n">
        <v>46296</v>
      </c>
      <c r="J149" s="0" t="n">
        <v>0</v>
      </c>
      <c r="K149" s="49" t="s">
        <v>641</v>
      </c>
      <c r="L149" s="49" t="s">
        <v>335</v>
      </c>
      <c r="M149" s="48"/>
      <c r="O149" s="49" t="s">
        <v>445</v>
      </c>
      <c r="P149" s="48"/>
      <c r="Q149" s="48" t="n">
        <v>46296</v>
      </c>
      <c r="R149" s="48" t="n">
        <v>46302</v>
      </c>
      <c r="T149" s="49" t="s">
        <v>302</v>
      </c>
      <c r="U149" s="49" t="s">
        <v>303</v>
      </c>
      <c r="Y149" s="49" t="s">
        <v>312</v>
      </c>
      <c r="AD149" s="49" t="s">
        <v>305</v>
      </c>
      <c r="AE149" s="48" t="n">
        <v>46275</v>
      </c>
      <c r="AF149" s="49" t="s">
        <v>306</v>
      </c>
      <c r="AG149" s="49" t="s">
        <v>307</v>
      </c>
      <c r="AK149" s="49" t="s">
        <v>303</v>
      </c>
      <c r="AL149" s="49" t="s">
        <v>297</v>
      </c>
      <c r="AO149" s="49" t="s">
        <v>303</v>
      </c>
      <c r="AP149" s="48"/>
      <c r="AR149" s="49" t="s">
        <v>303</v>
      </c>
      <c r="AS149" s="49" t="s">
        <v>306</v>
      </c>
      <c r="AT149" s="49" t="s">
        <v>768</v>
      </c>
      <c r="AV149" s="49" t="s">
        <v>309</v>
      </c>
      <c r="AW149" s="49" t="s">
        <v>310</v>
      </c>
      <c r="AX149" s="49" t="s">
        <v>311</v>
      </c>
      <c r="AY149" s="48"/>
      <c r="AZ149" s="48" t="n">
        <v>46294</v>
      </c>
      <c r="BC149" s="49" t="s">
        <v>303</v>
      </c>
      <c r="BD149" s="48"/>
      <c r="BE149" s="49" t="s">
        <v>312</v>
      </c>
      <c r="BF149" s="49" t="s">
        <v>303</v>
      </c>
      <c r="BG149" s="48"/>
      <c r="BI149" s="48"/>
      <c r="BJ149" s="48" t="n">
        <v>46301</v>
      </c>
      <c r="BK149" s="49" t="s">
        <v>313</v>
      </c>
      <c r="BL149" s="49" t="s">
        <v>313</v>
      </c>
      <c r="BM149" s="49" t="s">
        <v>310</v>
      </c>
      <c r="BN149" s="48"/>
      <c r="BO149" s="48"/>
      <c r="BP149" s="48"/>
      <c r="BQ149" s="49" t="s">
        <v>641</v>
      </c>
      <c r="BR149" s="48" t="n">
        <v>46301</v>
      </c>
      <c r="BS149" s="49" t="s">
        <v>765</v>
      </c>
      <c r="BT149" s="49" t="s">
        <v>312</v>
      </c>
      <c r="BU149" s="49" t="s">
        <v>313</v>
      </c>
      <c r="BV149" s="49" t="s">
        <v>303</v>
      </c>
      <c r="BX149" s="0" t="n">
        <v>0</v>
      </c>
      <c r="CC149" s="49" t="s">
        <v>315</v>
      </c>
      <c r="CD149" s="49" t="s">
        <v>303</v>
      </c>
      <c r="CF149" s="49" t="s">
        <v>303</v>
      </c>
      <c r="CG149" s="49" t="s">
        <v>316</v>
      </c>
      <c r="CH149" s="49" t="s">
        <v>317</v>
      </c>
      <c r="CI149" s="49" t="s">
        <v>318</v>
      </c>
      <c r="CM149" s="49" t="s">
        <v>480</v>
      </c>
      <c r="CV149" s="49" t="s">
        <v>303</v>
      </c>
      <c r="DB149" s="49" t="s">
        <v>319</v>
      </c>
      <c r="DD149" s="48" t="n">
        <v>46275</v>
      </c>
      <c r="DF149" s="49" t="s">
        <v>310</v>
      </c>
      <c r="DG149" s="49" t="s">
        <v>320</v>
      </c>
      <c r="DH149" s="49" t="s">
        <v>72</v>
      </c>
      <c r="DI149" s="49" t="s">
        <v>298</v>
      </c>
      <c r="DJ149" s="49" t="s">
        <v>321</v>
      </c>
      <c r="DK149" s="49" t="s">
        <v>322</v>
      </c>
      <c r="DL149" s="49" t="s">
        <v>323</v>
      </c>
      <c r="DM149" s="49" t="s">
        <v>303</v>
      </c>
      <c r="DN149" s="49" t="s">
        <v>297</v>
      </c>
      <c r="DO149" s="48"/>
      <c r="DP149" s="49" t="s">
        <v>313</v>
      </c>
      <c r="DQ149" s="48"/>
      <c r="DR149" s="49" t="s">
        <v>312</v>
      </c>
      <c r="DS149" s="49" t="s">
        <v>303</v>
      </c>
      <c r="DT149" s="49" t="s">
        <v>303</v>
      </c>
      <c r="DW149" s="49" t="s">
        <v>303</v>
      </c>
      <c r="EA149" s="49" t="s">
        <v>324</v>
      </c>
      <c r="EB149" s="49" t="s">
        <v>303</v>
      </c>
      <c r="EF149" s="49" t="s">
        <v>766</v>
      </c>
      <c r="EH149" s="49" t="s">
        <v>325</v>
      </c>
      <c r="EJ149" s="49" t="s">
        <v>303</v>
      </c>
      <c r="EK149" s="49" t="s">
        <v>769</v>
      </c>
      <c r="EM149" s="49" t="s">
        <v>303</v>
      </c>
      <c r="EN149" s="49" t="s">
        <v>485</v>
      </c>
      <c r="EP149" s="49" t="s">
        <v>298</v>
      </c>
      <c r="EQ149" s="0" t="n">
        <v>1</v>
      </c>
      <c r="ER149" s="49" t="s">
        <v>328</v>
      </c>
      <c r="ES149" s="49" t="s">
        <v>329</v>
      </c>
      <c r="ET149" s="49" t="s">
        <v>310</v>
      </c>
      <c r="EU149" s="49" t="s">
        <v>310</v>
      </c>
      <c r="EV149" s="49" t="s">
        <v>310</v>
      </c>
      <c r="EX149" s="49" t="s">
        <v>303</v>
      </c>
      <c r="EY149" s="49" t="s">
        <v>303</v>
      </c>
      <c r="FC149" s="49" t="s">
        <v>330</v>
      </c>
      <c r="FD149" s="49" t="s">
        <v>310</v>
      </c>
      <c r="FE149" s="49" t="s">
        <v>310</v>
      </c>
      <c r="FF149" s="49" t="s">
        <v>72</v>
      </c>
      <c r="FG149" s="49" t="s">
        <v>486</v>
      </c>
      <c r="FH149" s="49" t="s">
        <v>310</v>
      </c>
      <c r="FI149" s="49" t="s">
        <v>332</v>
      </c>
      <c r="FJ149" s="49" t="s">
        <v>303</v>
      </c>
      <c r="FL149" s="49" t="s">
        <v>325</v>
      </c>
      <c r="FM149" s="49" t="s">
        <v>641</v>
      </c>
      <c r="FP149" s="49" t="s">
        <v>303</v>
      </c>
      <c r="FR149" s="49" t="s">
        <v>303</v>
      </c>
      <c r="FT149" s="49" t="s">
        <v>325</v>
      </c>
      <c r="FU149" s="49" t="s">
        <v>325</v>
      </c>
      <c r="FW149" s="49" t="s">
        <v>333</v>
      </c>
    </row>
    <row r="150" customFormat="false" ht="15" hidden="false" customHeight="false" outlineLevel="0" collapsed="false">
      <c r="A150" s="0" t="n">
        <v>100880022</v>
      </c>
      <c r="B150" s="0" t="s">
        <v>295</v>
      </c>
      <c r="C150" s="0" t="s">
        <v>75</v>
      </c>
      <c r="D150" s="0" t="s">
        <v>492</v>
      </c>
      <c r="E150" s="0" t="s">
        <v>297</v>
      </c>
      <c r="G150" s="0" t="n">
        <v>1</v>
      </c>
      <c r="H150" s="0" t="s">
        <v>298</v>
      </c>
      <c r="I150" s="48" t="n">
        <v>46296</v>
      </c>
      <c r="J150" s="0" t="n">
        <v>0</v>
      </c>
      <c r="K150" s="49" t="s">
        <v>641</v>
      </c>
      <c r="L150" s="49" t="s">
        <v>335</v>
      </c>
      <c r="M150" s="48" t="n">
        <v>46296</v>
      </c>
      <c r="N150" s="49" t="s">
        <v>335</v>
      </c>
      <c r="O150" s="49" t="s">
        <v>445</v>
      </c>
      <c r="P150" s="48"/>
      <c r="Q150" s="48" t="n">
        <v>46296</v>
      </c>
      <c r="R150" s="48" t="n">
        <v>46303</v>
      </c>
      <c r="T150" s="49" t="s">
        <v>302</v>
      </c>
      <c r="U150" s="49" t="s">
        <v>303</v>
      </c>
      <c r="Y150" s="49" t="s">
        <v>770</v>
      </c>
      <c r="AD150" s="49" t="s">
        <v>305</v>
      </c>
      <c r="AE150" s="48" t="n">
        <v>46258</v>
      </c>
      <c r="AF150" s="49" t="s">
        <v>306</v>
      </c>
      <c r="AG150" s="49" t="s">
        <v>307</v>
      </c>
      <c r="AK150" s="49" t="s">
        <v>303</v>
      </c>
      <c r="AL150" s="49" t="s">
        <v>297</v>
      </c>
      <c r="AO150" s="49" t="s">
        <v>303</v>
      </c>
      <c r="AP150" s="48"/>
      <c r="AR150" s="49" t="s">
        <v>303</v>
      </c>
      <c r="AS150" s="49" t="s">
        <v>306</v>
      </c>
      <c r="AT150" s="49" t="s">
        <v>771</v>
      </c>
      <c r="AV150" s="49" t="s">
        <v>309</v>
      </c>
      <c r="AW150" s="49" t="s">
        <v>310</v>
      </c>
      <c r="AX150" s="49" t="s">
        <v>311</v>
      </c>
      <c r="AY150" s="48"/>
      <c r="AZ150" s="48" t="n">
        <v>46294</v>
      </c>
      <c r="BC150" s="49" t="s">
        <v>303</v>
      </c>
      <c r="BD150" s="48"/>
      <c r="BE150" s="49" t="s">
        <v>312</v>
      </c>
      <c r="BF150" s="49" t="s">
        <v>303</v>
      </c>
      <c r="BG150" s="48"/>
      <c r="BI150" s="48"/>
      <c r="BJ150" s="48" t="n">
        <v>46301</v>
      </c>
      <c r="BK150" s="49" t="s">
        <v>312</v>
      </c>
      <c r="BL150" s="49" t="s">
        <v>313</v>
      </c>
      <c r="BM150" s="49" t="s">
        <v>310</v>
      </c>
      <c r="BN150" s="48"/>
      <c r="BO150" s="48"/>
      <c r="BP150" s="48"/>
      <c r="BQ150" s="49" t="s">
        <v>641</v>
      </c>
      <c r="BR150" s="48" t="n">
        <v>46301</v>
      </c>
      <c r="BS150" s="49" t="s">
        <v>730</v>
      </c>
      <c r="BT150" s="49" t="s">
        <v>312</v>
      </c>
      <c r="BU150" s="49" t="s">
        <v>313</v>
      </c>
      <c r="BV150" s="49" t="s">
        <v>303</v>
      </c>
      <c r="BX150" s="0" t="n">
        <v>0</v>
      </c>
      <c r="CC150" s="49" t="s">
        <v>315</v>
      </c>
      <c r="CD150" s="49" t="s">
        <v>303</v>
      </c>
      <c r="CF150" s="49" t="s">
        <v>303</v>
      </c>
      <c r="CG150" s="49" t="s">
        <v>316</v>
      </c>
      <c r="CH150" s="49" t="s">
        <v>317</v>
      </c>
      <c r="CI150" s="49" t="s">
        <v>318</v>
      </c>
      <c r="CM150" s="49" t="s">
        <v>492</v>
      </c>
      <c r="CV150" s="49" t="s">
        <v>303</v>
      </c>
      <c r="DB150" s="49" t="s">
        <v>319</v>
      </c>
      <c r="DD150" s="48" t="n">
        <v>46258</v>
      </c>
      <c r="DF150" s="49" t="s">
        <v>310</v>
      </c>
      <c r="DG150" s="49" t="s">
        <v>320</v>
      </c>
      <c r="DH150" s="49" t="s">
        <v>75</v>
      </c>
      <c r="DI150" s="49" t="s">
        <v>298</v>
      </c>
      <c r="DJ150" s="49" t="s">
        <v>495</v>
      </c>
      <c r="DK150" s="49" t="s">
        <v>322</v>
      </c>
      <c r="DL150" s="49" t="s">
        <v>323</v>
      </c>
      <c r="DM150" s="49" t="s">
        <v>303</v>
      </c>
      <c r="DN150" s="49" t="s">
        <v>297</v>
      </c>
      <c r="DO150" s="48"/>
      <c r="DP150" s="49" t="s">
        <v>312</v>
      </c>
      <c r="DQ150" s="48"/>
      <c r="DR150" s="49" t="s">
        <v>312</v>
      </c>
      <c r="DS150" s="49" t="s">
        <v>303</v>
      </c>
      <c r="DT150" s="49" t="s">
        <v>303</v>
      </c>
      <c r="DW150" s="49" t="s">
        <v>303</v>
      </c>
      <c r="EA150" s="49" t="s">
        <v>324</v>
      </c>
      <c r="EB150" s="49" t="s">
        <v>303</v>
      </c>
      <c r="EH150" s="49" t="s">
        <v>310</v>
      </c>
      <c r="EJ150" s="49" t="s">
        <v>303</v>
      </c>
      <c r="EK150" s="49" t="s">
        <v>772</v>
      </c>
      <c r="EM150" s="49" t="s">
        <v>303</v>
      </c>
      <c r="EN150" s="49" t="s">
        <v>497</v>
      </c>
      <c r="EP150" s="49" t="s">
        <v>298</v>
      </c>
      <c r="EQ150" s="0" t="n">
        <v>1</v>
      </c>
      <c r="ER150" s="49" t="s">
        <v>328</v>
      </c>
      <c r="ES150" s="49" t="s">
        <v>329</v>
      </c>
      <c r="ET150" s="49" t="s">
        <v>310</v>
      </c>
      <c r="EU150" s="49" t="s">
        <v>310</v>
      </c>
      <c r="EV150" s="49" t="s">
        <v>310</v>
      </c>
      <c r="EX150" s="49" t="s">
        <v>303</v>
      </c>
      <c r="EY150" s="49" t="s">
        <v>303</v>
      </c>
      <c r="FC150" s="49" t="s">
        <v>330</v>
      </c>
      <c r="FD150" s="49" t="s">
        <v>310</v>
      </c>
      <c r="FE150" s="49" t="s">
        <v>310</v>
      </c>
      <c r="FF150" s="49" t="s">
        <v>75</v>
      </c>
      <c r="FG150" s="49" t="s">
        <v>498</v>
      </c>
      <c r="FH150" s="49" t="s">
        <v>310</v>
      </c>
      <c r="FI150" s="49" t="s">
        <v>332</v>
      </c>
      <c r="FJ150" s="49" t="s">
        <v>303</v>
      </c>
      <c r="FL150" s="49" t="s">
        <v>325</v>
      </c>
      <c r="FM150" s="49" t="s">
        <v>641</v>
      </c>
      <c r="FP150" s="49" t="s">
        <v>303</v>
      </c>
      <c r="FR150" s="49" t="s">
        <v>303</v>
      </c>
      <c r="FT150" s="49" t="s">
        <v>325</v>
      </c>
      <c r="FU150" s="49" t="s">
        <v>325</v>
      </c>
      <c r="FW150" s="49" t="s">
        <v>333</v>
      </c>
      <c r="FX150" s="49" t="s">
        <v>499</v>
      </c>
    </row>
    <row r="151" customFormat="false" ht="15" hidden="false" customHeight="false" outlineLevel="0" collapsed="false">
      <c r="A151" s="0" t="n">
        <v>100880023</v>
      </c>
      <c r="B151" s="0" t="s">
        <v>295</v>
      </c>
      <c r="C151" s="0" t="s">
        <v>77</v>
      </c>
      <c r="D151" s="0" t="s">
        <v>500</v>
      </c>
      <c r="E151" s="0" t="s">
        <v>297</v>
      </c>
      <c r="G151" s="0" t="n">
        <v>1</v>
      </c>
      <c r="H151" s="0" t="s">
        <v>298</v>
      </c>
      <c r="I151" s="48" t="n">
        <v>46296</v>
      </c>
      <c r="J151" s="0" t="n">
        <v>0</v>
      </c>
      <c r="K151" s="49" t="s">
        <v>641</v>
      </c>
      <c r="L151" s="49" t="s">
        <v>335</v>
      </c>
      <c r="M151" s="48" t="n">
        <v>46296</v>
      </c>
      <c r="N151" s="49" t="s">
        <v>335</v>
      </c>
      <c r="O151" s="49" t="s">
        <v>445</v>
      </c>
      <c r="P151" s="48"/>
      <c r="Q151" s="48" t="n">
        <v>46296</v>
      </c>
      <c r="R151" s="48" t="n">
        <v>46303</v>
      </c>
      <c r="T151" s="49" t="s">
        <v>302</v>
      </c>
      <c r="U151" s="49" t="s">
        <v>303</v>
      </c>
      <c r="Y151" s="49" t="s">
        <v>773</v>
      </c>
      <c r="AD151" s="49" t="s">
        <v>305</v>
      </c>
      <c r="AE151" s="48" t="n">
        <v>46258</v>
      </c>
      <c r="AF151" s="49" t="s">
        <v>306</v>
      </c>
      <c r="AG151" s="49" t="s">
        <v>307</v>
      </c>
      <c r="AK151" s="49" t="s">
        <v>303</v>
      </c>
      <c r="AL151" s="49" t="s">
        <v>297</v>
      </c>
      <c r="AO151" s="49" t="s">
        <v>303</v>
      </c>
      <c r="AP151" s="48"/>
      <c r="AR151" s="49" t="s">
        <v>303</v>
      </c>
      <c r="AS151" s="49" t="s">
        <v>306</v>
      </c>
      <c r="AT151" s="49" t="s">
        <v>774</v>
      </c>
      <c r="AV151" s="49" t="s">
        <v>309</v>
      </c>
      <c r="AW151" s="49" t="s">
        <v>310</v>
      </c>
      <c r="AX151" s="49" t="s">
        <v>311</v>
      </c>
      <c r="AY151" s="48"/>
      <c r="AZ151" s="48" t="n">
        <v>46294</v>
      </c>
      <c r="BC151" s="49" t="s">
        <v>303</v>
      </c>
      <c r="BD151" s="48"/>
      <c r="BE151" s="49" t="s">
        <v>312</v>
      </c>
      <c r="BF151" s="49" t="s">
        <v>303</v>
      </c>
      <c r="BG151" s="48"/>
      <c r="BI151" s="48"/>
      <c r="BJ151" s="48" t="n">
        <v>46301</v>
      </c>
      <c r="BK151" s="49" t="s">
        <v>312</v>
      </c>
      <c r="BL151" s="49" t="s">
        <v>313</v>
      </c>
      <c r="BM151" s="49" t="s">
        <v>310</v>
      </c>
      <c r="BN151" s="48"/>
      <c r="BO151" s="48"/>
      <c r="BP151" s="48"/>
      <c r="BQ151" s="49" t="s">
        <v>641</v>
      </c>
      <c r="BR151" s="48" t="n">
        <v>46301</v>
      </c>
      <c r="BS151" s="49" t="s">
        <v>775</v>
      </c>
      <c r="BT151" s="49" t="s">
        <v>312</v>
      </c>
      <c r="BU151" s="49" t="s">
        <v>313</v>
      </c>
      <c r="BV151" s="49" t="s">
        <v>303</v>
      </c>
      <c r="BX151" s="0" t="n">
        <v>0</v>
      </c>
      <c r="CC151" s="49" t="s">
        <v>315</v>
      </c>
      <c r="CD151" s="49" t="s">
        <v>303</v>
      </c>
      <c r="CF151" s="49" t="s">
        <v>303</v>
      </c>
      <c r="CG151" s="49" t="s">
        <v>316</v>
      </c>
      <c r="CH151" s="49" t="s">
        <v>317</v>
      </c>
      <c r="CI151" s="49" t="s">
        <v>318</v>
      </c>
      <c r="CM151" s="49" t="s">
        <v>500</v>
      </c>
      <c r="CV151" s="49" t="s">
        <v>303</v>
      </c>
      <c r="DB151" s="49" t="s">
        <v>319</v>
      </c>
      <c r="DD151" s="48" t="n">
        <v>46258</v>
      </c>
      <c r="DF151" s="49" t="s">
        <v>310</v>
      </c>
      <c r="DG151" s="49" t="s">
        <v>320</v>
      </c>
      <c r="DH151" s="49" t="s">
        <v>77</v>
      </c>
      <c r="DI151" s="49" t="s">
        <v>298</v>
      </c>
      <c r="DJ151" s="49" t="s">
        <v>495</v>
      </c>
      <c r="DK151" s="49" t="s">
        <v>322</v>
      </c>
      <c r="DL151" s="49" t="s">
        <v>323</v>
      </c>
      <c r="DM151" s="49" t="s">
        <v>303</v>
      </c>
      <c r="DN151" s="49" t="s">
        <v>297</v>
      </c>
      <c r="DO151" s="48"/>
      <c r="DP151" s="49" t="s">
        <v>312</v>
      </c>
      <c r="DQ151" s="48"/>
      <c r="DR151" s="49" t="s">
        <v>312</v>
      </c>
      <c r="DS151" s="49" t="s">
        <v>303</v>
      </c>
      <c r="DT151" s="49" t="s">
        <v>303</v>
      </c>
      <c r="DW151" s="49" t="s">
        <v>303</v>
      </c>
      <c r="EA151" s="49" t="s">
        <v>324</v>
      </c>
      <c r="EB151" s="49" t="s">
        <v>303</v>
      </c>
      <c r="EH151" s="49" t="s">
        <v>310</v>
      </c>
      <c r="EJ151" s="49" t="s">
        <v>303</v>
      </c>
      <c r="EK151" s="49" t="s">
        <v>776</v>
      </c>
      <c r="EM151" s="49" t="s">
        <v>303</v>
      </c>
      <c r="EN151" s="49" t="s">
        <v>504</v>
      </c>
      <c r="EP151" s="49" t="s">
        <v>298</v>
      </c>
      <c r="EQ151" s="0" t="n">
        <v>1</v>
      </c>
      <c r="ER151" s="49" t="s">
        <v>328</v>
      </c>
      <c r="ES151" s="49" t="s">
        <v>329</v>
      </c>
      <c r="ET151" s="49" t="s">
        <v>310</v>
      </c>
      <c r="EU151" s="49" t="s">
        <v>310</v>
      </c>
      <c r="EV151" s="49" t="s">
        <v>310</v>
      </c>
      <c r="EX151" s="49" t="s">
        <v>303</v>
      </c>
      <c r="EY151" s="49" t="s">
        <v>303</v>
      </c>
      <c r="FC151" s="49" t="s">
        <v>330</v>
      </c>
      <c r="FD151" s="49" t="s">
        <v>310</v>
      </c>
      <c r="FE151" s="49" t="s">
        <v>310</v>
      </c>
      <c r="FF151" s="49" t="s">
        <v>77</v>
      </c>
      <c r="FG151" s="49" t="s">
        <v>505</v>
      </c>
      <c r="FH151" s="49" t="s">
        <v>310</v>
      </c>
      <c r="FI151" s="49" t="s">
        <v>332</v>
      </c>
      <c r="FJ151" s="49" t="s">
        <v>303</v>
      </c>
      <c r="FL151" s="49" t="s">
        <v>325</v>
      </c>
      <c r="FM151" s="49" t="s">
        <v>641</v>
      </c>
      <c r="FP151" s="49" t="s">
        <v>303</v>
      </c>
      <c r="FR151" s="49" t="s">
        <v>303</v>
      </c>
      <c r="FT151" s="49" t="s">
        <v>325</v>
      </c>
      <c r="FU151" s="49" t="s">
        <v>325</v>
      </c>
      <c r="FW151" s="49" t="s">
        <v>333</v>
      </c>
      <c r="FX151" s="49" t="s">
        <v>499</v>
      </c>
    </row>
    <row r="152" customFormat="false" ht="15" hidden="false" customHeight="false" outlineLevel="0" collapsed="false">
      <c r="A152" s="0" t="n">
        <v>100880024</v>
      </c>
      <c r="B152" s="0" t="s">
        <v>295</v>
      </c>
      <c r="C152" s="0" t="s">
        <v>79</v>
      </c>
      <c r="D152" s="0" t="s">
        <v>506</v>
      </c>
      <c r="E152" s="0" t="s">
        <v>297</v>
      </c>
      <c r="G152" s="0" t="n">
        <v>1</v>
      </c>
      <c r="H152" s="0" t="s">
        <v>298</v>
      </c>
      <c r="I152" s="48" t="n">
        <v>46296</v>
      </c>
      <c r="J152" s="0" t="n">
        <v>0</v>
      </c>
      <c r="K152" s="49" t="s">
        <v>641</v>
      </c>
      <c r="L152" s="49" t="s">
        <v>335</v>
      </c>
      <c r="M152" s="48" t="n">
        <v>46296</v>
      </c>
      <c r="N152" s="49" t="s">
        <v>335</v>
      </c>
      <c r="O152" s="49" t="s">
        <v>445</v>
      </c>
      <c r="P152" s="48"/>
      <c r="Q152" s="48" t="n">
        <v>46296</v>
      </c>
      <c r="R152" s="48" t="n">
        <v>46303</v>
      </c>
      <c r="T152" s="49" t="s">
        <v>302</v>
      </c>
      <c r="U152" s="49" t="s">
        <v>303</v>
      </c>
      <c r="Y152" s="49" t="s">
        <v>777</v>
      </c>
      <c r="AD152" s="49" t="s">
        <v>305</v>
      </c>
      <c r="AE152" s="48" t="n">
        <v>46258</v>
      </c>
      <c r="AF152" s="49" t="s">
        <v>306</v>
      </c>
      <c r="AG152" s="49" t="s">
        <v>307</v>
      </c>
      <c r="AK152" s="49" t="s">
        <v>303</v>
      </c>
      <c r="AL152" s="49" t="s">
        <v>297</v>
      </c>
      <c r="AO152" s="49" t="s">
        <v>303</v>
      </c>
      <c r="AP152" s="48"/>
      <c r="AR152" s="49" t="s">
        <v>303</v>
      </c>
      <c r="AS152" s="49" t="s">
        <v>306</v>
      </c>
      <c r="AT152" s="49" t="s">
        <v>778</v>
      </c>
      <c r="AV152" s="49" t="s">
        <v>309</v>
      </c>
      <c r="AW152" s="49" t="s">
        <v>310</v>
      </c>
      <c r="AX152" s="49" t="s">
        <v>311</v>
      </c>
      <c r="AY152" s="48"/>
      <c r="AZ152" s="48" t="n">
        <v>46294</v>
      </c>
      <c r="BC152" s="49" t="s">
        <v>303</v>
      </c>
      <c r="BD152" s="48"/>
      <c r="BE152" s="49" t="s">
        <v>312</v>
      </c>
      <c r="BF152" s="49" t="s">
        <v>303</v>
      </c>
      <c r="BG152" s="48"/>
      <c r="BI152" s="48"/>
      <c r="BJ152" s="48" t="n">
        <v>46301</v>
      </c>
      <c r="BK152" s="49" t="s">
        <v>312</v>
      </c>
      <c r="BL152" s="49" t="s">
        <v>313</v>
      </c>
      <c r="BM152" s="49" t="s">
        <v>310</v>
      </c>
      <c r="BN152" s="48"/>
      <c r="BO152" s="48"/>
      <c r="BP152" s="48"/>
      <c r="BQ152" s="49" t="s">
        <v>641</v>
      </c>
      <c r="BR152" s="48" t="n">
        <v>46301</v>
      </c>
      <c r="BS152" s="49" t="s">
        <v>734</v>
      </c>
      <c r="BT152" s="49" t="s">
        <v>312</v>
      </c>
      <c r="BU152" s="49" t="s">
        <v>313</v>
      </c>
      <c r="BV152" s="49" t="s">
        <v>303</v>
      </c>
      <c r="BX152" s="0" t="n">
        <v>0</v>
      </c>
      <c r="CC152" s="49" t="s">
        <v>315</v>
      </c>
      <c r="CD152" s="49" t="s">
        <v>303</v>
      </c>
      <c r="CF152" s="49" t="s">
        <v>303</v>
      </c>
      <c r="CG152" s="49" t="s">
        <v>316</v>
      </c>
      <c r="CH152" s="49" t="s">
        <v>317</v>
      </c>
      <c r="CI152" s="49" t="s">
        <v>318</v>
      </c>
      <c r="CM152" s="49" t="s">
        <v>506</v>
      </c>
      <c r="CV152" s="49" t="s">
        <v>303</v>
      </c>
      <c r="DB152" s="49" t="s">
        <v>319</v>
      </c>
      <c r="DD152" s="48" t="n">
        <v>46258</v>
      </c>
      <c r="DF152" s="49" t="s">
        <v>310</v>
      </c>
      <c r="DG152" s="49" t="s">
        <v>320</v>
      </c>
      <c r="DH152" s="49" t="s">
        <v>79</v>
      </c>
      <c r="DI152" s="49" t="s">
        <v>298</v>
      </c>
      <c r="DJ152" s="49" t="s">
        <v>495</v>
      </c>
      <c r="DK152" s="49" t="s">
        <v>322</v>
      </c>
      <c r="DL152" s="49" t="s">
        <v>323</v>
      </c>
      <c r="DM152" s="49" t="s">
        <v>303</v>
      </c>
      <c r="DN152" s="49" t="s">
        <v>297</v>
      </c>
      <c r="DO152" s="48"/>
      <c r="DP152" s="49" t="s">
        <v>312</v>
      </c>
      <c r="DQ152" s="48"/>
      <c r="DR152" s="49" t="s">
        <v>312</v>
      </c>
      <c r="DS152" s="49" t="s">
        <v>303</v>
      </c>
      <c r="DT152" s="49" t="s">
        <v>303</v>
      </c>
      <c r="DW152" s="49" t="s">
        <v>303</v>
      </c>
      <c r="EA152" s="49" t="s">
        <v>324</v>
      </c>
      <c r="EB152" s="49" t="s">
        <v>303</v>
      </c>
      <c r="EH152" s="49" t="s">
        <v>310</v>
      </c>
      <c r="EJ152" s="49" t="s">
        <v>303</v>
      </c>
      <c r="EK152" s="49" t="s">
        <v>779</v>
      </c>
      <c r="EM152" s="49" t="s">
        <v>303</v>
      </c>
      <c r="EN152" s="49" t="s">
        <v>510</v>
      </c>
      <c r="EP152" s="49" t="s">
        <v>298</v>
      </c>
      <c r="EQ152" s="0" t="n">
        <v>1</v>
      </c>
      <c r="ER152" s="49" t="s">
        <v>328</v>
      </c>
      <c r="ES152" s="49" t="s">
        <v>329</v>
      </c>
      <c r="ET152" s="49" t="s">
        <v>310</v>
      </c>
      <c r="EU152" s="49" t="s">
        <v>310</v>
      </c>
      <c r="EV152" s="49" t="s">
        <v>310</v>
      </c>
      <c r="EX152" s="49" t="s">
        <v>303</v>
      </c>
      <c r="EY152" s="49" t="s">
        <v>303</v>
      </c>
      <c r="FC152" s="49" t="s">
        <v>330</v>
      </c>
      <c r="FD152" s="49" t="s">
        <v>310</v>
      </c>
      <c r="FE152" s="49" t="s">
        <v>310</v>
      </c>
      <c r="FF152" s="49" t="s">
        <v>79</v>
      </c>
      <c r="FG152" s="49" t="s">
        <v>511</v>
      </c>
      <c r="FH152" s="49" t="s">
        <v>310</v>
      </c>
      <c r="FI152" s="49" t="s">
        <v>332</v>
      </c>
      <c r="FJ152" s="49" t="s">
        <v>303</v>
      </c>
      <c r="FL152" s="49" t="s">
        <v>325</v>
      </c>
      <c r="FM152" s="49" t="s">
        <v>641</v>
      </c>
      <c r="FP152" s="49" t="s">
        <v>303</v>
      </c>
      <c r="FR152" s="49" t="s">
        <v>303</v>
      </c>
      <c r="FT152" s="49" t="s">
        <v>325</v>
      </c>
      <c r="FU152" s="49" t="s">
        <v>325</v>
      </c>
      <c r="FW152" s="49" t="s">
        <v>333</v>
      </c>
      <c r="FX152" s="49" t="s">
        <v>499</v>
      </c>
    </row>
    <row r="153" customFormat="false" ht="15" hidden="false" customHeight="false" outlineLevel="0" collapsed="false">
      <c r="A153" s="0" t="n">
        <v>100880067</v>
      </c>
      <c r="B153" s="0" t="s">
        <v>295</v>
      </c>
      <c r="C153" s="0" t="s">
        <v>48</v>
      </c>
      <c r="D153" s="0" t="s">
        <v>49</v>
      </c>
      <c r="E153" s="0" t="s">
        <v>297</v>
      </c>
      <c r="G153" s="0" t="n">
        <v>1</v>
      </c>
      <c r="H153" s="0" t="s">
        <v>298</v>
      </c>
      <c r="I153" s="48" t="n">
        <v>46296</v>
      </c>
      <c r="J153" s="0" t="n">
        <v>0</v>
      </c>
      <c r="K153" s="49" t="s">
        <v>641</v>
      </c>
      <c r="L153" s="49" t="s">
        <v>335</v>
      </c>
      <c r="M153" s="48" t="n">
        <v>46296</v>
      </c>
      <c r="N153" s="49" t="s">
        <v>335</v>
      </c>
      <c r="O153" s="49" t="s">
        <v>336</v>
      </c>
      <c r="P153" s="48"/>
      <c r="Q153" s="48" t="n">
        <v>46296</v>
      </c>
      <c r="R153" s="48" t="n">
        <v>46303</v>
      </c>
      <c r="T153" s="49" t="s">
        <v>302</v>
      </c>
      <c r="U153" s="49" t="s">
        <v>303</v>
      </c>
      <c r="Y153" s="49" t="s">
        <v>780</v>
      </c>
      <c r="AD153" s="49" t="s">
        <v>305</v>
      </c>
      <c r="AE153" s="48" t="n">
        <v>46275</v>
      </c>
      <c r="AF153" s="49" t="s">
        <v>306</v>
      </c>
      <c r="AG153" s="49" t="s">
        <v>307</v>
      </c>
      <c r="AK153" s="49" t="s">
        <v>303</v>
      </c>
      <c r="AL153" s="49" t="s">
        <v>297</v>
      </c>
      <c r="AO153" s="49" t="s">
        <v>303</v>
      </c>
      <c r="AP153" s="48"/>
      <c r="AR153" s="49" t="s">
        <v>303</v>
      </c>
      <c r="AS153" s="49" t="s">
        <v>306</v>
      </c>
      <c r="AT153" s="49" t="s">
        <v>781</v>
      </c>
      <c r="AV153" s="49" t="s">
        <v>309</v>
      </c>
      <c r="AW153" s="49" t="s">
        <v>310</v>
      </c>
      <c r="AX153" s="49" t="s">
        <v>311</v>
      </c>
      <c r="AY153" s="48"/>
      <c r="AZ153" s="48" t="n">
        <v>46288</v>
      </c>
      <c r="BC153" s="49" t="s">
        <v>303</v>
      </c>
      <c r="BD153" s="48"/>
      <c r="BE153" s="49" t="s">
        <v>312</v>
      </c>
      <c r="BF153" s="49" t="s">
        <v>303</v>
      </c>
      <c r="BG153" s="48"/>
      <c r="BI153" s="48"/>
      <c r="BJ153" s="48" t="n">
        <v>46301</v>
      </c>
      <c r="BK153" s="49" t="s">
        <v>312</v>
      </c>
      <c r="BL153" s="49" t="s">
        <v>313</v>
      </c>
      <c r="BM153" s="49" t="s">
        <v>310</v>
      </c>
      <c r="BN153" s="48"/>
      <c r="BO153" s="48"/>
      <c r="BP153" s="48"/>
      <c r="BR153" s="48" t="n">
        <v>46295</v>
      </c>
      <c r="BS153" s="49" t="s">
        <v>312</v>
      </c>
      <c r="BT153" s="49" t="s">
        <v>312</v>
      </c>
      <c r="BU153" s="49" t="s">
        <v>312</v>
      </c>
      <c r="BV153" s="49" t="s">
        <v>303</v>
      </c>
      <c r="BX153" s="0" t="n">
        <v>0</v>
      </c>
      <c r="CC153" s="49" t="s">
        <v>315</v>
      </c>
      <c r="CD153" s="49" t="s">
        <v>303</v>
      </c>
      <c r="CF153" s="49" t="s">
        <v>303</v>
      </c>
      <c r="CG153" s="49" t="s">
        <v>316</v>
      </c>
      <c r="CH153" s="49" t="s">
        <v>317</v>
      </c>
      <c r="CI153" s="49" t="s">
        <v>318</v>
      </c>
      <c r="CM153" s="49" t="s">
        <v>49</v>
      </c>
      <c r="CV153" s="49" t="s">
        <v>303</v>
      </c>
      <c r="DB153" s="49" t="s">
        <v>319</v>
      </c>
      <c r="DD153" s="48" t="n">
        <v>46275</v>
      </c>
      <c r="DF153" s="49" t="s">
        <v>310</v>
      </c>
      <c r="DG153" s="49" t="s">
        <v>320</v>
      </c>
      <c r="DH153" s="49" t="s">
        <v>48</v>
      </c>
      <c r="DI153" s="49" t="s">
        <v>298</v>
      </c>
      <c r="DJ153" s="49" t="s">
        <v>339</v>
      </c>
      <c r="DK153" s="49" t="s">
        <v>322</v>
      </c>
      <c r="DL153" s="49" t="s">
        <v>323</v>
      </c>
      <c r="DM153" s="49" t="s">
        <v>303</v>
      </c>
      <c r="DN153" s="49" t="s">
        <v>297</v>
      </c>
      <c r="DO153" s="48"/>
      <c r="DP153" s="49" t="s">
        <v>312</v>
      </c>
      <c r="DQ153" s="48"/>
      <c r="DR153" s="49" t="s">
        <v>312</v>
      </c>
      <c r="DS153" s="49" t="s">
        <v>303</v>
      </c>
      <c r="DT153" s="49" t="s">
        <v>303</v>
      </c>
      <c r="DW153" s="49" t="s">
        <v>303</v>
      </c>
      <c r="EA153" s="49" t="s">
        <v>324</v>
      </c>
      <c r="EB153" s="49" t="s">
        <v>303</v>
      </c>
      <c r="EH153" s="49" t="s">
        <v>310</v>
      </c>
      <c r="EJ153" s="49" t="s">
        <v>303</v>
      </c>
      <c r="EK153" s="49" t="s">
        <v>782</v>
      </c>
      <c r="EM153" s="49" t="s">
        <v>303</v>
      </c>
      <c r="EN153" s="49" t="s">
        <v>341</v>
      </c>
      <c r="EP153" s="49" t="s">
        <v>298</v>
      </c>
      <c r="EQ153" s="0" t="n">
        <v>1</v>
      </c>
      <c r="ER153" s="49" t="s">
        <v>328</v>
      </c>
      <c r="ES153" s="49" t="s">
        <v>342</v>
      </c>
      <c r="ET153" s="49" t="s">
        <v>310</v>
      </c>
      <c r="EU153" s="49" t="s">
        <v>310</v>
      </c>
      <c r="EV153" s="49" t="s">
        <v>310</v>
      </c>
      <c r="EX153" s="49" t="s">
        <v>303</v>
      </c>
      <c r="EY153" s="49" t="s">
        <v>303</v>
      </c>
      <c r="FC153" s="49" t="s">
        <v>330</v>
      </c>
      <c r="FD153" s="49" t="s">
        <v>310</v>
      </c>
      <c r="FE153" s="49" t="s">
        <v>310</v>
      </c>
      <c r="FF153" s="49" t="s">
        <v>48</v>
      </c>
      <c r="FG153" s="49" t="s">
        <v>343</v>
      </c>
      <c r="FH153" s="49" t="s">
        <v>310</v>
      </c>
      <c r="FI153" s="49" t="s">
        <v>332</v>
      </c>
      <c r="FJ153" s="49" t="s">
        <v>303</v>
      </c>
      <c r="FL153" s="49" t="s">
        <v>325</v>
      </c>
      <c r="FM153" s="49" t="s">
        <v>641</v>
      </c>
      <c r="FP153" s="49" t="s">
        <v>303</v>
      </c>
      <c r="FR153" s="49" t="s">
        <v>303</v>
      </c>
      <c r="FT153" s="49" t="s">
        <v>325</v>
      </c>
      <c r="FU153" s="49" t="s">
        <v>325</v>
      </c>
      <c r="FW153" s="49" t="s">
        <v>333</v>
      </c>
    </row>
    <row r="154" customFormat="false" ht="15" hidden="false" customHeight="false" outlineLevel="0" collapsed="false">
      <c r="A154" s="0" t="n">
        <v>100880075</v>
      </c>
      <c r="B154" s="0" t="s">
        <v>295</v>
      </c>
      <c r="C154" s="0" t="s">
        <v>50</v>
      </c>
      <c r="D154" s="0" t="s">
        <v>51</v>
      </c>
      <c r="E154" s="0" t="s">
        <v>297</v>
      </c>
      <c r="G154" s="0" t="n">
        <v>1</v>
      </c>
      <c r="H154" s="0" t="s">
        <v>298</v>
      </c>
      <c r="I154" s="48" t="n">
        <v>46296</v>
      </c>
      <c r="J154" s="0" t="n">
        <v>0</v>
      </c>
      <c r="K154" s="49" t="s">
        <v>641</v>
      </c>
      <c r="L154" s="49" t="s">
        <v>335</v>
      </c>
      <c r="M154" s="48" t="n">
        <v>46296</v>
      </c>
      <c r="N154" s="49" t="s">
        <v>335</v>
      </c>
      <c r="O154" s="49" t="s">
        <v>336</v>
      </c>
      <c r="P154" s="48"/>
      <c r="Q154" s="48" t="n">
        <v>46296</v>
      </c>
      <c r="R154" s="48" t="n">
        <v>46303</v>
      </c>
      <c r="T154" s="49" t="s">
        <v>302</v>
      </c>
      <c r="U154" s="49" t="s">
        <v>303</v>
      </c>
      <c r="Y154" s="49" t="s">
        <v>783</v>
      </c>
      <c r="AD154" s="49" t="s">
        <v>305</v>
      </c>
      <c r="AE154" s="48" t="n">
        <v>46268</v>
      </c>
      <c r="AF154" s="49" t="s">
        <v>306</v>
      </c>
      <c r="AG154" s="49" t="s">
        <v>307</v>
      </c>
      <c r="AK154" s="49" t="s">
        <v>303</v>
      </c>
      <c r="AL154" s="49" t="s">
        <v>297</v>
      </c>
      <c r="AO154" s="49" t="s">
        <v>303</v>
      </c>
      <c r="AP154" s="48"/>
      <c r="AR154" s="49" t="s">
        <v>303</v>
      </c>
      <c r="AS154" s="49" t="s">
        <v>306</v>
      </c>
      <c r="AT154" s="49" t="s">
        <v>784</v>
      </c>
      <c r="AV154" s="49" t="s">
        <v>309</v>
      </c>
      <c r="AW154" s="49" t="s">
        <v>310</v>
      </c>
      <c r="AX154" s="49" t="s">
        <v>311</v>
      </c>
      <c r="AY154" s="48"/>
      <c r="AZ154" s="48" t="n">
        <v>46288</v>
      </c>
      <c r="BC154" s="49" t="s">
        <v>303</v>
      </c>
      <c r="BD154" s="48"/>
      <c r="BE154" s="49" t="s">
        <v>312</v>
      </c>
      <c r="BF154" s="49" t="s">
        <v>303</v>
      </c>
      <c r="BG154" s="48"/>
      <c r="BI154" s="48"/>
      <c r="BJ154" s="48" t="n">
        <v>46301</v>
      </c>
      <c r="BK154" s="49" t="s">
        <v>312</v>
      </c>
      <c r="BL154" s="49" t="s">
        <v>313</v>
      </c>
      <c r="BM154" s="49" t="s">
        <v>310</v>
      </c>
      <c r="BN154" s="48"/>
      <c r="BO154" s="48"/>
      <c r="BP154" s="48"/>
      <c r="BR154" s="48" t="n">
        <v>46295</v>
      </c>
      <c r="BS154" s="49" t="s">
        <v>312</v>
      </c>
      <c r="BT154" s="49" t="s">
        <v>312</v>
      </c>
      <c r="BU154" s="49" t="s">
        <v>312</v>
      </c>
      <c r="BV154" s="49" t="s">
        <v>303</v>
      </c>
      <c r="BX154" s="0" t="n">
        <v>0</v>
      </c>
      <c r="CC154" s="49" t="s">
        <v>315</v>
      </c>
      <c r="CD154" s="49" t="s">
        <v>303</v>
      </c>
      <c r="CF154" s="49" t="s">
        <v>303</v>
      </c>
      <c r="CG154" s="49" t="s">
        <v>316</v>
      </c>
      <c r="CH154" s="49" t="s">
        <v>317</v>
      </c>
      <c r="CI154" s="49" t="s">
        <v>318</v>
      </c>
      <c r="CM154" s="49" t="s">
        <v>51</v>
      </c>
      <c r="CV154" s="49" t="s">
        <v>303</v>
      </c>
      <c r="DB154" s="49" t="s">
        <v>319</v>
      </c>
      <c r="DD154" s="48" t="n">
        <v>46268</v>
      </c>
      <c r="DF154" s="49" t="s">
        <v>310</v>
      </c>
      <c r="DG154" s="49" t="s">
        <v>320</v>
      </c>
      <c r="DH154" s="49" t="s">
        <v>50</v>
      </c>
      <c r="DI154" s="49" t="s">
        <v>298</v>
      </c>
      <c r="DJ154" s="49" t="s">
        <v>346</v>
      </c>
      <c r="DK154" s="49" t="s">
        <v>322</v>
      </c>
      <c r="DL154" s="49" t="s">
        <v>323</v>
      </c>
      <c r="DM154" s="49" t="s">
        <v>303</v>
      </c>
      <c r="DN154" s="49" t="s">
        <v>297</v>
      </c>
      <c r="DO154" s="48"/>
      <c r="DP154" s="49" t="s">
        <v>312</v>
      </c>
      <c r="DQ154" s="48"/>
      <c r="DR154" s="49" t="s">
        <v>312</v>
      </c>
      <c r="DS154" s="49" t="s">
        <v>303</v>
      </c>
      <c r="DT154" s="49" t="s">
        <v>303</v>
      </c>
      <c r="DW154" s="49" t="s">
        <v>303</v>
      </c>
      <c r="EA154" s="49" t="s">
        <v>324</v>
      </c>
      <c r="EB154" s="49" t="s">
        <v>303</v>
      </c>
      <c r="EH154" s="49" t="s">
        <v>310</v>
      </c>
      <c r="EJ154" s="49" t="s">
        <v>303</v>
      </c>
      <c r="EK154" s="49" t="s">
        <v>785</v>
      </c>
      <c r="EM154" s="49" t="s">
        <v>303</v>
      </c>
      <c r="EN154" s="49" t="s">
        <v>348</v>
      </c>
      <c r="EP154" s="49" t="s">
        <v>298</v>
      </c>
      <c r="EQ154" s="0" t="n">
        <v>1</v>
      </c>
      <c r="ER154" s="49" t="s">
        <v>328</v>
      </c>
      <c r="ES154" s="49" t="s">
        <v>342</v>
      </c>
      <c r="ET154" s="49" t="s">
        <v>310</v>
      </c>
      <c r="EU154" s="49" t="s">
        <v>310</v>
      </c>
      <c r="EV154" s="49" t="s">
        <v>310</v>
      </c>
      <c r="EX154" s="49" t="s">
        <v>303</v>
      </c>
      <c r="EY154" s="49" t="s">
        <v>303</v>
      </c>
      <c r="FC154" s="49" t="s">
        <v>330</v>
      </c>
      <c r="FD154" s="49" t="s">
        <v>310</v>
      </c>
      <c r="FE154" s="49" t="s">
        <v>310</v>
      </c>
      <c r="FF154" s="49" t="s">
        <v>50</v>
      </c>
      <c r="FG154" s="49" t="s">
        <v>349</v>
      </c>
      <c r="FH154" s="49" t="s">
        <v>310</v>
      </c>
      <c r="FI154" s="49" t="s">
        <v>332</v>
      </c>
      <c r="FJ154" s="49" t="s">
        <v>303</v>
      </c>
      <c r="FL154" s="49" t="s">
        <v>325</v>
      </c>
      <c r="FM154" s="49" t="s">
        <v>641</v>
      </c>
      <c r="FP154" s="49" t="s">
        <v>303</v>
      </c>
      <c r="FR154" s="49" t="s">
        <v>303</v>
      </c>
      <c r="FT154" s="49" t="s">
        <v>325</v>
      </c>
      <c r="FU154" s="49" t="s">
        <v>325</v>
      </c>
      <c r="FW154" s="49" t="s">
        <v>333</v>
      </c>
    </row>
    <row r="155" customFormat="false" ht="15" hidden="false" customHeight="false" outlineLevel="0" collapsed="false">
      <c r="A155" s="0" t="n">
        <v>100880076</v>
      </c>
      <c r="B155" s="0" t="s">
        <v>295</v>
      </c>
      <c r="C155" s="0" t="s">
        <v>50</v>
      </c>
      <c r="D155" s="0" t="s">
        <v>51</v>
      </c>
      <c r="E155" s="0" t="s">
        <v>297</v>
      </c>
      <c r="G155" s="0" t="n">
        <v>1</v>
      </c>
      <c r="H155" s="0" t="s">
        <v>298</v>
      </c>
      <c r="I155" s="48" t="n">
        <v>46296</v>
      </c>
      <c r="J155" s="0" t="n">
        <v>0</v>
      </c>
      <c r="K155" s="49" t="s">
        <v>641</v>
      </c>
      <c r="L155" s="49" t="s">
        <v>335</v>
      </c>
      <c r="M155" s="48"/>
      <c r="O155" s="49" t="s">
        <v>336</v>
      </c>
      <c r="P155" s="48"/>
      <c r="Q155" s="48" t="n">
        <v>46296</v>
      </c>
      <c r="R155" s="48" t="n">
        <v>46302</v>
      </c>
      <c r="T155" s="49" t="s">
        <v>302</v>
      </c>
      <c r="U155" s="49" t="s">
        <v>303</v>
      </c>
      <c r="Y155" s="49" t="s">
        <v>312</v>
      </c>
      <c r="AD155" s="49" t="s">
        <v>305</v>
      </c>
      <c r="AE155" s="48" t="n">
        <v>46268</v>
      </c>
      <c r="AF155" s="49" t="s">
        <v>306</v>
      </c>
      <c r="AG155" s="49" t="s">
        <v>307</v>
      </c>
      <c r="AK155" s="49" t="s">
        <v>303</v>
      </c>
      <c r="AL155" s="49" t="s">
        <v>297</v>
      </c>
      <c r="AO155" s="49" t="s">
        <v>303</v>
      </c>
      <c r="AP155" s="48"/>
      <c r="AR155" s="49" t="s">
        <v>303</v>
      </c>
      <c r="AS155" s="49" t="s">
        <v>306</v>
      </c>
      <c r="AT155" s="49" t="s">
        <v>786</v>
      </c>
      <c r="AV155" s="49" t="s">
        <v>309</v>
      </c>
      <c r="AW155" s="49" t="s">
        <v>310</v>
      </c>
      <c r="AX155" s="49" t="s">
        <v>311</v>
      </c>
      <c r="AY155" s="48"/>
      <c r="AZ155" s="48" t="n">
        <v>46288</v>
      </c>
      <c r="BC155" s="49" t="s">
        <v>303</v>
      </c>
      <c r="BD155" s="48"/>
      <c r="BE155" s="49" t="s">
        <v>312</v>
      </c>
      <c r="BF155" s="49" t="s">
        <v>303</v>
      </c>
      <c r="BG155" s="48"/>
      <c r="BI155" s="48"/>
      <c r="BJ155" s="48" t="n">
        <v>46301</v>
      </c>
      <c r="BK155" s="49" t="s">
        <v>313</v>
      </c>
      <c r="BL155" s="49" t="s">
        <v>313</v>
      </c>
      <c r="BM155" s="49" t="s">
        <v>310</v>
      </c>
      <c r="BN155" s="48"/>
      <c r="BO155" s="48"/>
      <c r="BP155" s="48"/>
      <c r="BR155" s="48" t="n">
        <v>46295</v>
      </c>
      <c r="BS155" s="49" t="s">
        <v>312</v>
      </c>
      <c r="BT155" s="49" t="s">
        <v>312</v>
      </c>
      <c r="BU155" s="49" t="s">
        <v>312</v>
      </c>
      <c r="BV155" s="49" t="s">
        <v>303</v>
      </c>
      <c r="BX155" s="0" t="n">
        <v>0</v>
      </c>
      <c r="CC155" s="49" t="s">
        <v>315</v>
      </c>
      <c r="CD155" s="49" t="s">
        <v>303</v>
      </c>
      <c r="CF155" s="49" t="s">
        <v>303</v>
      </c>
      <c r="CG155" s="49" t="s">
        <v>316</v>
      </c>
      <c r="CH155" s="49" t="s">
        <v>317</v>
      </c>
      <c r="CI155" s="49" t="s">
        <v>318</v>
      </c>
      <c r="CM155" s="49" t="s">
        <v>51</v>
      </c>
      <c r="CV155" s="49" t="s">
        <v>303</v>
      </c>
      <c r="DB155" s="49" t="s">
        <v>319</v>
      </c>
      <c r="DD155" s="48" t="n">
        <v>46268</v>
      </c>
      <c r="DF155" s="49" t="s">
        <v>310</v>
      </c>
      <c r="DG155" s="49" t="s">
        <v>320</v>
      </c>
      <c r="DH155" s="49" t="s">
        <v>50</v>
      </c>
      <c r="DI155" s="49" t="s">
        <v>298</v>
      </c>
      <c r="DJ155" s="49" t="s">
        <v>346</v>
      </c>
      <c r="DK155" s="49" t="s">
        <v>322</v>
      </c>
      <c r="DL155" s="49" t="s">
        <v>323</v>
      </c>
      <c r="DM155" s="49" t="s">
        <v>303</v>
      </c>
      <c r="DN155" s="49" t="s">
        <v>297</v>
      </c>
      <c r="DO155" s="48"/>
      <c r="DP155" s="49" t="s">
        <v>312</v>
      </c>
      <c r="DQ155" s="48"/>
      <c r="DR155" s="49" t="s">
        <v>312</v>
      </c>
      <c r="DS155" s="49" t="s">
        <v>303</v>
      </c>
      <c r="DT155" s="49" t="s">
        <v>303</v>
      </c>
      <c r="DW155" s="49" t="s">
        <v>303</v>
      </c>
      <c r="EA155" s="49" t="s">
        <v>324</v>
      </c>
      <c r="EB155" s="49" t="s">
        <v>303</v>
      </c>
      <c r="EF155" s="49" t="s">
        <v>787</v>
      </c>
      <c r="EH155" s="49" t="s">
        <v>310</v>
      </c>
      <c r="EJ155" s="49" t="s">
        <v>303</v>
      </c>
      <c r="EK155" s="49" t="s">
        <v>788</v>
      </c>
      <c r="EM155" s="49" t="s">
        <v>303</v>
      </c>
      <c r="EN155" s="49" t="s">
        <v>348</v>
      </c>
      <c r="EP155" s="49" t="s">
        <v>298</v>
      </c>
      <c r="EQ155" s="0" t="n">
        <v>1</v>
      </c>
      <c r="ER155" s="49" t="s">
        <v>328</v>
      </c>
      <c r="ES155" s="49" t="s">
        <v>342</v>
      </c>
      <c r="ET155" s="49" t="s">
        <v>310</v>
      </c>
      <c r="EU155" s="49" t="s">
        <v>310</v>
      </c>
      <c r="EV155" s="49" t="s">
        <v>310</v>
      </c>
      <c r="EX155" s="49" t="s">
        <v>303</v>
      </c>
      <c r="EY155" s="49" t="s">
        <v>303</v>
      </c>
      <c r="FC155" s="49" t="s">
        <v>330</v>
      </c>
      <c r="FD155" s="49" t="s">
        <v>310</v>
      </c>
      <c r="FE155" s="49" t="s">
        <v>310</v>
      </c>
      <c r="FF155" s="49" t="s">
        <v>50</v>
      </c>
      <c r="FG155" s="49" t="s">
        <v>349</v>
      </c>
      <c r="FH155" s="49" t="s">
        <v>310</v>
      </c>
      <c r="FI155" s="49" t="s">
        <v>332</v>
      </c>
      <c r="FJ155" s="49" t="s">
        <v>303</v>
      </c>
      <c r="FL155" s="49" t="s">
        <v>325</v>
      </c>
      <c r="FM155" s="49" t="s">
        <v>641</v>
      </c>
      <c r="FP155" s="49" t="s">
        <v>303</v>
      </c>
      <c r="FR155" s="49" t="s">
        <v>303</v>
      </c>
      <c r="FT155" s="49" t="s">
        <v>325</v>
      </c>
      <c r="FU155" s="49" t="s">
        <v>325</v>
      </c>
      <c r="FW155" s="49" t="s">
        <v>333</v>
      </c>
    </row>
    <row r="156" customFormat="false" ht="15" hidden="false" customHeight="false" outlineLevel="0" collapsed="false">
      <c r="A156" s="0" t="n">
        <v>100880077</v>
      </c>
      <c r="B156" s="0" t="s">
        <v>295</v>
      </c>
      <c r="C156" s="0" t="s">
        <v>53</v>
      </c>
      <c r="D156" s="0" t="s">
        <v>54</v>
      </c>
      <c r="E156" s="0" t="s">
        <v>297</v>
      </c>
      <c r="G156" s="0" t="n">
        <v>1</v>
      </c>
      <c r="H156" s="0" t="s">
        <v>298</v>
      </c>
      <c r="I156" s="48" t="n">
        <v>46296</v>
      </c>
      <c r="J156" s="0" t="n">
        <v>0</v>
      </c>
      <c r="K156" s="49" t="s">
        <v>641</v>
      </c>
      <c r="L156" s="49" t="s">
        <v>335</v>
      </c>
      <c r="M156" s="48" t="n">
        <v>46296</v>
      </c>
      <c r="N156" s="49" t="s">
        <v>335</v>
      </c>
      <c r="O156" s="49" t="s">
        <v>336</v>
      </c>
      <c r="P156" s="48"/>
      <c r="Q156" s="48" t="n">
        <v>46296</v>
      </c>
      <c r="R156" s="48" t="n">
        <v>46303</v>
      </c>
      <c r="T156" s="49" t="s">
        <v>302</v>
      </c>
      <c r="U156" s="49" t="s">
        <v>303</v>
      </c>
      <c r="Y156" s="49" t="s">
        <v>789</v>
      </c>
      <c r="AD156" s="49" t="s">
        <v>305</v>
      </c>
      <c r="AE156" s="48" t="n">
        <v>46260</v>
      </c>
      <c r="AF156" s="49" t="s">
        <v>306</v>
      </c>
      <c r="AG156" s="49" t="s">
        <v>307</v>
      </c>
      <c r="AK156" s="49" t="s">
        <v>303</v>
      </c>
      <c r="AL156" s="49" t="s">
        <v>297</v>
      </c>
      <c r="AO156" s="49" t="s">
        <v>303</v>
      </c>
      <c r="AP156" s="48"/>
      <c r="AR156" s="49" t="s">
        <v>303</v>
      </c>
      <c r="AS156" s="49" t="s">
        <v>306</v>
      </c>
      <c r="AT156" s="49" t="s">
        <v>790</v>
      </c>
      <c r="AV156" s="49" t="s">
        <v>309</v>
      </c>
      <c r="AW156" s="49" t="s">
        <v>310</v>
      </c>
      <c r="AX156" s="49" t="s">
        <v>311</v>
      </c>
      <c r="AY156" s="48"/>
      <c r="AZ156" s="48" t="n">
        <v>46288</v>
      </c>
      <c r="BC156" s="49" t="s">
        <v>303</v>
      </c>
      <c r="BD156" s="48"/>
      <c r="BE156" s="49" t="s">
        <v>312</v>
      </c>
      <c r="BF156" s="49" t="s">
        <v>303</v>
      </c>
      <c r="BG156" s="48"/>
      <c r="BI156" s="48"/>
      <c r="BJ156" s="48" t="n">
        <v>46301</v>
      </c>
      <c r="BK156" s="49" t="s">
        <v>312</v>
      </c>
      <c r="BL156" s="49" t="s">
        <v>313</v>
      </c>
      <c r="BM156" s="49" t="s">
        <v>310</v>
      </c>
      <c r="BN156" s="48"/>
      <c r="BO156" s="48"/>
      <c r="BP156" s="48"/>
      <c r="BR156" s="48" t="n">
        <v>46295</v>
      </c>
      <c r="BS156" s="49" t="s">
        <v>312</v>
      </c>
      <c r="BT156" s="49" t="s">
        <v>312</v>
      </c>
      <c r="BU156" s="49" t="s">
        <v>312</v>
      </c>
      <c r="BV156" s="49" t="s">
        <v>303</v>
      </c>
      <c r="BX156" s="0" t="n">
        <v>0</v>
      </c>
      <c r="CC156" s="49" t="s">
        <v>315</v>
      </c>
      <c r="CD156" s="49" t="s">
        <v>303</v>
      </c>
      <c r="CF156" s="49" t="s">
        <v>303</v>
      </c>
      <c r="CG156" s="49" t="s">
        <v>316</v>
      </c>
      <c r="CH156" s="49" t="s">
        <v>317</v>
      </c>
      <c r="CI156" s="49" t="s">
        <v>318</v>
      </c>
      <c r="CM156" s="49" t="s">
        <v>54</v>
      </c>
      <c r="CV156" s="49" t="s">
        <v>303</v>
      </c>
      <c r="DB156" s="49" t="s">
        <v>319</v>
      </c>
      <c r="DD156" s="48" t="n">
        <v>46260</v>
      </c>
      <c r="DF156" s="49" t="s">
        <v>310</v>
      </c>
      <c r="DG156" s="49" t="s">
        <v>320</v>
      </c>
      <c r="DH156" s="49" t="s">
        <v>53</v>
      </c>
      <c r="DI156" s="49" t="s">
        <v>298</v>
      </c>
      <c r="DJ156" s="49" t="s">
        <v>355</v>
      </c>
      <c r="DK156" s="49" t="s">
        <v>322</v>
      </c>
      <c r="DL156" s="49" t="s">
        <v>323</v>
      </c>
      <c r="DM156" s="49" t="s">
        <v>303</v>
      </c>
      <c r="DN156" s="49" t="s">
        <v>297</v>
      </c>
      <c r="DO156" s="48"/>
      <c r="DP156" s="49" t="s">
        <v>312</v>
      </c>
      <c r="DQ156" s="48"/>
      <c r="DR156" s="49" t="s">
        <v>312</v>
      </c>
      <c r="DS156" s="49" t="s">
        <v>303</v>
      </c>
      <c r="DT156" s="49" t="s">
        <v>303</v>
      </c>
      <c r="DW156" s="49" t="s">
        <v>303</v>
      </c>
      <c r="EA156" s="49" t="s">
        <v>324</v>
      </c>
      <c r="EB156" s="49" t="s">
        <v>303</v>
      </c>
      <c r="EH156" s="49" t="s">
        <v>310</v>
      </c>
      <c r="EJ156" s="49" t="s">
        <v>303</v>
      </c>
      <c r="EK156" s="49" t="s">
        <v>791</v>
      </c>
      <c r="EM156" s="49" t="s">
        <v>303</v>
      </c>
      <c r="EN156" s="49" t="s">
        <v>357</v>
      </c>
      <c r="EP156" s="49" t="s">
        <v>298</v>
      </c>
      <c r="EQ156" s="0" t="n">
        <v>1</v>
      </c>
      <c r="ER156" s="49" t="s">
        <v>328</v>
      </c>
      <c r="ES156" s="49" t="s">
        <v>358</v>
      </c>
      <c r="ET156" s="49" t="s">
        <v>310</v>
      </c>
      <c r="EU156" s="49" t="s">
        <v>310</v>
      </c>
      <c r="EV156" s="49" t="s">
        <v>310</v>
      </c>
      <c r="EX156" s="49" t="s">
        <v>303</v>
      </c>
      <c r="EY156" s="49" t="s">
        <v>303</v>
      </c>
      <c r="FC156" s="49" t="s">
        <v>330</v>
      </c>
      <c r="FD156" s="49" t="s">
        <v>310</v>
      </c>
      <c r="FE156" s="49" t="s">
        <v>310</v>
      </c>
      <c r="FF156" s="49" t="s">
        <v>53</v>
      </c>
      <c r="FG156" s="49" t="s">
        <v>359</v>
      </c>
      <c r="FH156" s="49" t="s">
        <v>310</v>
      </c>
      <c r="FI156" s="49" t="s">
        <v>332</v>
      </c>
      <c r="FJ156" s="49" t="s">
        <v>303</v>
      </c>
      <c r="FL156" s="49" t="s">
        <v>325</v>
      </c>
      <c r="FM156" s="49" t="s">
        <v>641</v>
      </c>
      <c r="FP156" s="49" t="s">
        <v>303</v>
      </c>
      <c r="FR156" s="49" t="s">
        <v>303</v>
      </c>
      <c r="FT156" s="49" t="s">
        <v>325</v>
      </c>
      <c r="FU156" s="49" t="s">
        <v>325</v>
      </c>
      <c r="FW156" s="49" t="s">
        <v>333</v>
      </c>
    </row>
    <row r="157" customFormat="false" ht="15" hidden="false" customHeight="false" outlineLevel="0" collapsed="false">
      <c r="A157" s="0" t="n">
        <v>100880078</v>
      </c>
      <c r="B157" s="0" t="s">
        <v>295</v>
      </c>
      <c r="C157" s="0" t="s">
        <v>53</v>
      </c>
      <c r="D157" s="0" t="s">
        <v>54</v>
      </c>
      <c r="E157" s="0" t="s">
        <v>297</v>
      </c>
      <c r="G157" s="0" t="n">
        <v>1</v>
      </c>
      <c r="H157" s="0" t="s">
        <v>298</v>
      </c>
      <c r="I157" s="48" t="n">
        <v>46296</v>
      </c>
      <c r="J157" s="0" t="n">
        <v>0</v>
      </c>
      <c r="K157" s="49" t="s">
        <v>641</v>
      </c>
      <c r="L157" s="49" t="s">
        <v>335</v>
      </c>
      <c r="M157" s="48"/>
      <c r="O157" s="49" t="s">
        <v>336</v>
      </c>
      <c r="P157" s="48"/>
      <c r="Q157" s="48" t="n">
        <v>46296</v>
      </c>
      <c r="R157" s="48" t="n">
        <v>46302</v>
      </c>
      <c r="T157" s="49" t="s">
        <v>302</v>
      </c>
      <c r="U157" s="49" t="s">
        <v>303</v>
      </c>
      <c r="Y157" s="49" t="s">
        <v>312</v>
      </c>
      <c r="AD157" s="49" t="s">
        <v>305</v>
      </c>
      <c r="AE157" s="48" t="n">
        <v>46260</v>
      </c>
      <c r="AF157" s="49" t="s">
        <v>306</v>
      </c>
      <c r="AG157" s="49" t="s">
        <v>307</v>
      </c>
      <c r="AK157" s="49" t="s">
        <v>303</v>
      </c>
      <c r="AL157" s="49" t="s">
        <v>297</v>
      </c>
      <c r="AO157" s="49" t="s">
        <v>303</v>
      </c>
      <c r="AP157" s="48"/>
      <c r="AR157" s="49" t="s">
        <v>303</v>
      </c>
      <c r="AS157" s="49" t="s">
        <v>306</v>
      </c>
      <c r="AT157" s="49" t="s">
        <v>792</v>
      </c>
      <c r="AV157" s="49" t="s">
        <v>309</v>
      </c>
      <c r="AW157" s="49" t="s">
        <v>310</v>
      </c>
      <c r="AX157" s="49" t="s">
        <v>311</v>
      </c>
      <c r="AY157" s="48"/>
      <c r="AZ157" s="48" t="n">
        <v>46288</v>
      </c>
      <c r="BC157" s="49" t="s">
        <v>303</v>
      </c>
      <c r="BD157" s="48"/>
      <c r="BE157" s="49" t="s">
        <v>312</v>
      </c>
      <c r="BF157" s="49" t="s">
        <v>303</v>
      </c>
      <c r="BG157" s="48"/>
      <c r="BI157" s="48"/>
      <c r="BJ157" s="48" t="n">
        <v>46301</v>
      </c>
      <c r="BK157" s="49" t="s">
        <v>313</v>
      </c>
      <c r="BL157" s="49" t="s">
        <v>313</v>
      </c>
      <c r="BM157" s="49" t="s">
        <v>310</v>
      </c>
      <c r="BN157" s="48"/>
      <c r="BO157" s="48"/>
      <c r="BP157" s="48"/>
      <c r="BR157" s="48" t="n">
        <v>46295</v>
      </c>
      <c r="BS157" s="49" t="s">
        <v>312</v>
      </c>
      <c r="BT157" s="49" t="s">
        <v>312</v>
      </c>
      <c r="BU157" s="49" t="s">
        <v>312</v>
      </c>
      <c r="BV157" s="49" t="s">
        <v>303</v>
      </c>
      <c r="BX157" s="0" t="n">
        <v>0</v>
      </c>
      <c r="CC157" s="49" t="s">
        <v>315</v>
      </c>
      <c r="CD157" s="49" t="s">
        <v>303</v>
      </c>
      <c r="CF157" s="49" t="s">
        <v>303</v>
      </c>
      <c r="CG157" s="49" t="s">
        <v>316</v>
      </c>
      <c r="CH157" s="49" t="s">
        <v>317</v>
      </c>
      <c r="CI157" s="49" t="s">
        <v>318</v>
      </c>
      <c r="CM157" s="49" t="s">
        <v>54</v>
      </c>
      <c r="CV157" s="49" t="s">
        <v>303</v>
      </c>
      <c r="DB157" s="49" t="s">
        <v>319</v>
      </c>
      <c r="DD157" s="48" t="n">
        <v>46260</v>
      </c>
      <c r="DF157" s="49" t="s">
        <v>310</v>
      </c>
      <c r="DG157" s="49" t="s">
        <v>320</v>
      </c>
      <c r="DH157" s="49" t="s">
        <v>53</v>
      </c>
      <c r="DI157" s="49" t="s">
        <v>298</v>
      </c>
      <c r="DJ157" s="49" t="s">
        <v>355</v>
      </c>
      <c r="DK157" s="49" t="s">
        <v>322</v>
      </c>
      <c r="DL157" s="49" t="s">
        <v>323</v>
      </c>
      <c r="DM157" s="49" t="s">
        <v>303</v>
      </c>
      <c r="DN157" s="49" t="s">
        <v>297</v>
      </c>
      <c r="DO157" s="48"/>
      <c r="DP157" s="49" t="s">
        <v>312</v>
      </c>
      <c r="DQ157" s="48"/>
      <c r="DR157" s="49" t="s">
        <v>312</v>
      </c>
      <c r="DS157" s="49" t="s">
        <v>303</v>
      </c>
      <c r="DT157" s="49" t="s">
        <v>303</v>
      </c>
      <c r="DW157" s="49" t="s">
        <v>303</v>
      </c>
      <c r="EA157" s="49" t="s">
        <v>324</v>
      </c>
      <c r="EB157" s="49" t="s">
        <v>303</v>
      </c>
      <c r="EF157" s="49" t="s">
        <v>793</v>
      </c>
      <c r="EH157" s="49" t="s">
        <v>310</v>
      </c>
      <c r="EJ157" s="49" t="s">
        <v>303</v>
      </c>
      <c r="EK157" s="49" t="s">
        <v>794</v>
      </c>
      <c r="EM157" s="49" t="s">
        <v>303</v>
      </c>
      <c r="EN157" s="49" t="s">
        <v>357</v>
      </c>
      <c r="EP157" s="49" t="s">
        <v>298</v>
      </c>
      <c r="EQ157" s="0" t="n">
        <v>1</v>
      </c>
      <c r="ER157" s="49" t="s">
        <v>328</v>
      </c>
      <c r="ES157" s="49" t="s">
        <v>358</v>
      </c>
      <c r="ET157" s="49" t="s">
        <v>310</v>
      </c>
      <c r="EU157" s="49" t="s">
        <v>310</v>
      </c>
      <c r="EV157" s="49" t="s">
        <v>310</v>
      </c>
      <c r="EX157" s="49" t="s">
        <v>303</v>
      </c>
      <c r="EY157" s="49" t="s">
        <v>303</v>
      </c>
      <c r="FC157" s="49" t="s">
        <v>330</v>
      </c>
      <c r="FD157" s="49" t="s">
        <v>310</v>
      </c>
      <c r="FE157" s="49" t="s">
        <v>310</v>
      </c>
      <c r="FF157" s="49" t="s">
        <v>53</v>
      </c>
      <c r="FG157" s="49" t="s">
        <v>359</v>
      </c>
      <c r="FH157" s="49" t="s">
        <v>310</v>
      </c>
      <c r="FI157" s="49" t="s">
        <v>332</v>
      </c>
      <c r="FJ157" s="49" t="s">
        <v>303</v>
      </c>
      <c r="FL157" s="49" t="s">
        <v>325</v>
      </c>
      <c r="FM157" s="49" t="s">
        <v>641</v>
      </c>
      <c r="FP157" s="49" t="s">
        <v>303</v>
      </c>
      <c r="FR157" s="49" t="s">
        <v>303</v>
      </c>
      <c r="FT157" s="49" t="s">
        <v>325</v>
      </c>
      <c r="FU157" s="49" t="s">
        <v>325</v>
      </c>
      <c r="FW157" s="49" t="s">
        <v>333</v>
      </c>
    </row>
    <row r="158" customFormat="false" ht="15" hidden="false" customHeight="false" outlineLevel="0" collapsed="false">
      <c r="A158" s="0" t="n">
        <v>100880079</v>
      </c>
      <c r="B158" s="0" t="s">
        <v>295</v>
      </c>
      <c r="C158" s="0" t="s">
        <v>53</v>
      </c>
      <c r="D158" s="0" t="s">
        <v>54</v>
      </c>
      <c r="E158" s="0" t="s">
        <v>297</v>
      </c>
      <c r="G158" s="0" t="n">
        <v>1</v>
      </c>
      <c r="H158" s="0" t="s">
        <v>298</v>
      </c>
      <c r="I158" s="48" t="n">
        <v>46296</v>
      </c>
      <c r="J158" s="0" t="n">
        <v>0</v>
      </c>
      <c r="K158" s="49" t="s">
        <v>641</v>
      </c>
      <c r="L158" s="49" t="s">
        <v>335</v>
      </c>
      <c r="M158" s="48"/>
      <c r="O158" s="49" t="s">
        <v>336</v>
      </c>
      <c r="P158" s="48"/>
      <c r="Q158" s="48" t="n">
        <v>46296</v>
      </c>
      <c r="R158" s="48" t="n">
        <v>46302</v>
      </c>
      <c r="T158" s="49" t="s">
        <v>302</v>
      </c>
      <c r="U158" s="49" t="s">
        <v>303</v>
      </c>
      <c r="Y158" s="49" t="s">
        <v>312</v>
      </c>
      <c r="AD158" s="49" t="s">
        <v>305</v>
      </c>
      <c r="AE158" s="48" t="n">
        <v>46260</v>
      </c>
      <c r="AF158" s="49" t="s">
        <v>306</v>
      </c>
      <c r="AG158" s="49" t="s">
        <v>307</v>
      </c>
      <c r="AK158" s="49" t="s">
        <v>303</v>
      </c>
      <c r="AL158" s="49" t="s">
        <v>297</v>
      </c>
      <c r="AO158" s="49" t="s">
        <v>303</v>
      </c>
      <c r="AP158" s="48"/>
      <c r="AR158" s="49" t="s">
        <v>303</v>
      </c>
      <c r="AS158" s="49" t="s">
        <v>306</v>
      </c>
      <c r="AT158" s="49" t="s">
        <v>795</v>
      </c>
      <c r="AV158" s="49" t="s">
        <v>309</v>
      </c>
      <c r="AW158" s="49" t="s">
        <v>310</v>
      </c>
      <c r="AX158" s="49" t="s">
        <v>311</v>
      </c>
      <c r="AY158" s="48"/>
      <c r="AZ158" s="48" t="n">
        <v>46288</v>
      </c>
      <c r="BC158" s="49" t="s">
        <v>303</v>
      </c>
      <c r="BD158" s="48"/>
      <c r="BE158" s="49" t="s">
        <v>312</v>
      </c>
      <c r="BF158" s="49" t="s">
        <v>303</v>
      </c>
      <c r="BG158" s="48"/>
      <c r="BI158" s="48"/>
      <c r="BJ158" s="48" t="n">
        <v>46301</v>
      </c>
      <c r="BK158" s="49" t="s">
        <v>313</v>
      </c>
      <c r="BL158" s="49" t="s">
        <v>313</v>
      </c>
      <c r="BM158" s="49" t="s">
        <v>310</v>
      </c>
      <c r="BN158" s="48"/>
      <c r="BO158" s="48"/>
      <c r="BP158" s="48"/>
      <c r="BR158" s="48" t="n">
        <v>46295</v>
      </c>
      <c r="BS158" s="49" t="s">
        <v>312</v>
      </c>
      <c r="BT158" s="49" t="s">
        <v>312</v>
      </c>
      <c r="BU158" s="49" t="s">
        <v>312</v>
      </c>
      <c r="BV158" s="49" t="s">
        <v>303</v>
      </c>
      <c r="BX158" s="0" t="n">
        <v>0</v>
      </c>
      <c r="CC158" s="49" t="s">
        <v>315</v>
      </c>
      <c r="CD158" s="49" t="s">
        <v>303</v>
      </c>
      <c r="CF158" s="49" t="s">
        <v>303</v>
      </c>
      <c r="CG158" s="49" t="s">
        <v>316</v>
      </c>
      <c r="CH158" s="49" t="s">
        <v>317</v>
      </c>
      <c r="CI158" s="49" t="s">
        <v>318</v>
      </c>
      <c r="CM158" s="49" t="s">
        <v>54</v>
      </c>
      <c r="CV158" s="49" t="s">
        <v>303</v>
      </c>
      <c r="DB158" s="49" t="s">
        <v>319</v>
      </c>
      <c r="DD158" s="48" t="n">
        <v>46260</v>
      </c>
      <c r="DF158" s="49" t="s">
        <v>310</v>
      </c>
      <c r="DG158" s="49" t="s">
        <v>320</v>
      </c>
      <c r="DH158" s="49" t="s">
        <v>53</v>
      </c>
      <c r="DI158" s="49" t="s">
        <v>298</v>
      </c>
      <c r="DJ158" s="49" t="s">
        <v>355</v>
      </c>
      <c r="DK158" s="49" t="s">
        <v>322</v>
      </c>
      <c r="DL158" s="49" t="s">
        <v>323</v>
      </c>
      <c r="DM158" s="49" t="s">
        <v>303</v>
      </c>
      <c r="DN158" s="49" t="s">
        <v>297</v>
      </c>
      <c r="DO158" s="48"/>
      <c r="DP158" s="49" t="s">
        <v>312</v>
      </c>
      <c r="DQ158" s="48"/>
      <c r="DR158" s="49" t="s">
        <v>312</v>
      </c>
      <c r="DS158" s="49" t="s">
        <v>303</v>
      </c>
      <c r="DT158" s="49" t="s">
        <v>303</v>
      </c>
      <c r="DW158" s="49" t="s">
        <v>303</v>
      </c>
      <c r="EA158" s="49" t="s">
        <v>324</v>
      </c>
      <c r="EB158" s="49" t="s">
        <v>303</v>
      </c>
      <c r="EF158" s="49" t="s">
        <v>793</v>
      </c>
      <c r="EH158" s="49" t="s">
        <v>310</v>
      </c>
      <c r="EJ158" s="49" t="s">
        <v>303</v>
      </c>
      <c r="EK158" s="49" t="s">
        <v>796</v>
      </c>
      <c r="EM158" s="49" t="s">
        <v>303</v>
      </c>
      <c r="EN158" s="49" t="s">
        <v>357</v>
      </c>
      <c r="EP158" s="49" t="s">
        <v>298</v>
      </c>
      <c r="EQ158" s="0" t="n">
        <v>1</v>
      </c>
      <c r="ER158" s="49" t="s">
        <v>328</v>
      </c>
      <c r="ES158" s="49" t="s">
        <v>358</v>
      </c>
      <c r="ET158" s="49" t="s">
        <v>310</v>
      </c>
      <c r="EU158" s="49" t="s">
        <v>310</v>
      </c>
      <c r="EV158" s="49" t="s">
        <v>310</v>
      </c>
      <c r="EX158" s="49" t="s">
        <v>303</v>
      </c>
      <c r="EY158" s="49" t="s">
        <v>303</v>
      </c>
      <c r="FC158" s="49" t="s">
        <v>330</v>
      </c>
      <c r="FD158" s="49" t="s">
        <v>310</v>
      </c>
      <c r="FE158" s="49" t="s">
        <v>310</v>
      </c>
      <c r="FF158" s="49" t="s">
        <v>53</v>
      </c>
      <c r="FG158" s="49" t="s">
        <v>359</v>
      </c>
      <c r="FH158" s="49" t="s">
        <v>310</v>
      </c>
      <c r="FI158" s="49" t="s">
        <v>332</v>
      </c>
      <c r="FJ158" s="49" t="s">
        <v>303</v>
      </c>
      <c r="FL158" s="49" t="s">
        <v>325</v>
      </c>
      <c r="FM158" s="49" t="s">
        <v>641</v>
      </c>
      <c r="FP158" s="49" t="s">
        <v>303</v>
      </c>
      <c r="FR158" s="49" t="s">
        <v>303</v>
      </c>
      <c r="FT158" s="49" t="s">
        <v>325</v>
      </c>
      <c r="FU158" s="49" t="s">
        <v>325</v>
      </c>
      <c r="FW158" s="49" t="s">
        <v>333</v>
      </c>
    </row>
    <row r="159" customFormat="false" ht="15" hidden="false" customHeight="false" outlineLevel="0" collapsed="false">
      <c r="A159" s="0" t="n">
        <v>100880080</v>
      </c>
      <c r="B159" s="0" t="s">
        <v>295</v>
      </c>
      <c r="C159" s="0" t="s">
        <v>56</v>
      </c>
      <c r="D159" s="0" t="s">
        <v>57</v>
      </c>
      <c r="E159" s="0" t="s">
        <v>297</v>
      </c>
      <c r="G159" s="0" t="n">
        <v>1</v>
      </c>
      <c r="H159" s="0" t="s">
        <v>298</v>
      </c>
      <c r="I159" s="48" t="n">
        <v>46296</v>
      </c>
      <c r="J159" s="0" t="n">
        <v>0</v>
      </c>
      <c r="K159" s="49" t="s">
        <v>641</v>
      </c>
      <c r="L159" s="49" t="s">
        <v>335</v>
      </c>
      <c r="M159" s="48" t="n">
        <v>46296</v>
      </c>
      <c r="N159" s="49" t="s">
        <v>335</v>
      </c>
      <c r="O159" s="49" t="s">
        <v>336</v>
      </c>
      <c r="P159" s="48"/>
      <c r="Q159" s="48" t="n">
        <v>46296</v>
      </c>
      <c r="R159" s="48" t="n">
        <v>46303</v>
      </c>
      <c r="T159" s="49" t="s">
        <v>302</v>
      </c>
      <c r="U159" s="49" t="s">
        <v>303</v>
      </c>
      <c r="Y159" s="49" t="s">
        <v>797</v>
      </c>
      <c r="AD159" s="49" t="s">
        <v>305</v>
      </c>
      <c r="AE159" s="48" t="n">
        <v>46268</v>
      </c>
      <c r="AF159" s="49" t="s">
        <v>306</v>
      </c>
      <c r="AG159" s="49" t="s">
        <v>307</v>
      </c>
      <c r="AK159" s="49" t="s">
        <v>303</v>
      </c>
      <c r="AL159" s="49" t="s">
        <v>297</v>
      </c>
      <c r="AO159" s="49" t="s">
        <v>303</v>
      </c>
      <c r="AP159" s="48"/>
      <c r="AR159" s="49" t="s">
        <v>303</v>
      </c>
      <c r="AS159" s="49" t="s">
        <v>306</v>
      </c>
      <c r="AT159" s="49" t="s">
        <v>798</v>
      </c>
      <c r="AV159" s="49" t="s">
        <v>309</v>
      </c>
      <c r="AW159" s="49" t="s">
        <v>310</v>
      </c>
      <c r="AX159" s="49" t="s">
        <v>311</v>
      </c>
      <c r="AY159" s="48"/>
      <c r="AZ159" s="48" t="n">
        <v>46288</v>
      </c>
      <c r="BC159" s="49" t="s">
        <v>303</v>
      </c>
      <c r="BD159" s="48"/>
      <c r="BE159" s="49" t="s">
        <v>312</v>
      </c>
      <c r="BF159" s="49" t="s">
        <v>303</v>
      </c>
      <c r="BG159" s="48"/>
      <c r="BI159" s="48"/>
      <c r="BJ159" s="48" t="n">
        <v>46301</v>
      </c>
      <c r="BK159" s="49" t="s">
        <v>312</v>
      </c>
      <c r="BL159" s="49" t="s">
        <v>313</v>
      </c>
      <c r="BM159" s="49" t="s">
        <v>310</v>
      </c>
      <c r="BN159" s="48"/>
      <c r="BO159" s="48"/>
      <c r="BP159" s="48"/>
      <c r="BR159" s="48" t="n">
        <v>46295</v>
      </c>
      <c r="BS159" s="49" t="s">
        <v>312</v>
      </c>
      <c r="BT159" s="49" t="s">
        <v>312</v>
      </c>
      <c r="BU159" s="49" t="s">
        <v>312</v>
      </c>
      <c r="BV159" s="49" t="s">
        <v>303</v>
      </c>
      <c r="BX159" s="0" t="n">
        <v>0</v>
      </c>
      <c r="CC159" s="49" t="s">
        <v>315</v>
      </c>
      <c r="CD159" s="49" t="s">
        <v>303</v>
      </c>
      <c r="CF159" s="49" t="s">
        <v>303</v>
      </c>
      <c r="CG159" s="49" t="s">
        <v>316</v>
      </c>
      <c r="CH159" s="49" t="s">
        <v>317</v>
      </c>
      <c r="CI159" s="49" t="s">
        <v>318</v>
      </c>
      <c r="CM159" s="49" t="s">
        <v>57</v>
      </c>
      <c r="CV159" s="49" t="s">
        <v>303</v>
      </c>
      <c r="DB159" s="49" t="s">
        <v>319</v>
      </c>
      <c r="DD159" s="48" t="n">
        <v>46268</v>
      </c>
      <c r="DF159" s="49" t="s">
        <v>310</v>
      </c>
      <c r="DG159" s="49" t="s">
        <v>320</v>
      </c>
      <c r="DH159" s="49" t="s">
        <v>56</v>
      </c>
      <c r="DI159" s="49" t="s">
        <v>298</v>
      </c>
      <c r="DJ159" s="49" t="s">
        <v>367</v>
      </c>
      <c r="DK159" s="49" t="s">
        <v>322</v>
      </c>
      <c r="DL159" s="49" t="s">
        <v>323</v>
      </c>
      <c r="DM159" s="49" t="s">
        <v>303</v>
      </c>
      <c r="DN159" s="49" t="s">
        <v>297</v>
      </c>
      <c r="DO159" s="48"/>
      <c r="DP159" s="49" t="s">
        <v>312</v>
      </c>
      <c r="DQ159" s="48"/>
      <c r="DR159" s="49" t="s">
        <v>312</v>
      </c>
      <c r="DS159" s="49" t="s">
        <v>303</v>
      </c>
      <c r="DT159" s="49" t="s">
        <v>303</v>
      </c>
      <c r="DW159" s="49" t="s">
        <v>303</v>
      </c>
      <c r="EA159" s="49" t="s">
        <v>324</v>
      </c>
      <c r="EB159" s="49" t="s">
        <v>303</v>
      </c>
      <c r="EH159" s="49" t="s">
        <v>310</v>
      </c>
      <c r="EJ159" s="49" t="s">
        <v>303</v>
      </c>
      <c r="EK159" s="49" t="s">
        <v>799</v>
      </c>
      <c r="EM159" s="49" t="s">
        <v>303</v>
      </c>
      <c r="EN159" s="49" t="s">
        <v>369</v>
      </c>
      <c r="EP159" s="49" t="s">
        <v>298</v>
      </c>
      <c r="EQ159" s="0" t="n">
        <v>1</v>
      </c>
      <c r="ER159" s="49" t="s">
        <v>328</v>
      </c>
      <c r="ES159" s="49" t="s">
        <v>342</v>
      </c>
      <c r="ET159" s="49" t="s">
        <v>310</v>
      </c>
      <c r="EU159" s="49" t="s">
        <v>310</v>
      </c>
      <c r="EV159" s="49" t="s">
        <v>310</v>
      </c>
      <c r="EX159" s="49" t="s">
        <v>303</v>
      </c>
      <c r="EY159" s="49" t="s">
        <v>303</v>
      </c>
      <c r="FC159" s="49" t="s">
        <v>330</v>
      </c>
      <c r="FD159" s="49" t="s">
        <v>310</v>
      </c>
      <c r="FE159" s="49" t="s">
        <v>310</v>
      </c>
      <c r="FF159" s="49" t="s">
        <v>56</v>
      </c>
      <c r="FG159" s="49" t="s">
        <v>370</v>
      </c>
      <c r="FH159" s="49" t="s">
        <v>310</v>
      </c>
      <c r="FI159" s="49" t="s">
        <v>332</v>
      </c>
      <c r="FJ159" s="49" t="s">
        <v>303</v>
      </c>
      <c r="FL159" s="49" t="s">
        <v>325</v>
      </c>
      <c r="FM159" s="49" t="s">
        <v>641</v>
      </c>
      <c r="FP159" s="49" t="s">
        <v>303</v>
      </c>
      <c r="FR159" s="49" t="s">
        <v>303</v>
      </c>
      <c r="FT159" s="49" t="s">
        <v>325</v>
      </c>
      <c r="FU159" s="49" t="s">
        <v>325</v>
      </c>
      <c r="FW159" s="49" t="s">
        <v>333</v>
      </c>
    </row>
    <row r="160" customFormat="false" ht="15" hidden="false" customHeight="false" outlineLevel="0" collapsed="false">
      <c r="A160" s="0" t="n">
        <v>100880081</v>
      </c>
      <c r="B160" s="0" t="s">
        <v>295</v>
      </c>
      <c r="C160" s="0" t="s">
        <v>58</v>
      </c>
      <c r="D160" s="0" t="s">
        <v>59</v>
      </c>
      <c r="E160" s="0" t="s">
        <v>297</v>
      </c>
      <c r="G160" s="0" t="n">
        <v>1</v>
      </c>
      <c r="H160" s="0" t="s">
        <v>298</v>
      </c>
      <c r="I160" s="48" t="n">
        <v>46296</v>
      </c>
      <c r="J160" s="0" t="n">
        <v>0</v>
      </c>
      <c r="K160" s="49" t="s">
        <v>641</v>
      </c>
      <c r="L160" s="49" t="s">
        <v>335</v>
      </c>
      <c r="M160" s="48" t="n">
        <v>46296</v>
      </c>
      <c r="N160" s="49" t="s">
        <v>335</v>
      </c>
      <c r="O160" s="49" t="s">
        <v>336</v>
      </c>
      <c r="P160" s="48"/>
      <c r="Q160" s="48" t="n">
        <v>46296</v>
      </c>
      <c r="R160" s="48" t="n">
        <v>46303</v>
      </c>
      <c r="T160" s="49" t="s">
        <v>302</v>
      </c>
      <c r="U160" s="49" t="s">
        <v>303</v>
      </c>
      <c r="Y160" s="49" t="s">
        <v>800</v>
      </c>
      <c r="AD160" s="49" t="s">
        <v>305</v>
      </c>
      <c r="AE160" s="48" t="n">
        <v>46268</v>
      </c>
      <c r="AF160" s="49" t="s">
        <v>306</v>
      </c>
      <c r="AG160" s="49" t="s">
        <v>307</v>
      </c>
      <c r="AK160" s="49" t="s">
        <v>303</v>
      </c>
      <c r="AL160" s="49" t="s">
        <v>297</v>
      </c>
      <c r="AO160" s="49" t="s">
        <v>303</v>
      </c>
      <c r="AP160" s="48"/>
      <c r="AR160" s="49" t="s">
        <v>303</v>
      </c>
      <c r="AS160" s="49" t="s">
        <v>306</v>
      </c>
      <c r="AT160" s="49" t="s">
        <v>801</v>
      </c>
      <c r="AV160" s="49" t="s">
        <v>309</v>
      </c>
      <c r="AW160" s="49" t="s">
        <v>310</v>
      </c>
      <c r="AX160" s="49" t="s">
        <v>311</v>
      </c>
      <c r="AY160" s="48"/>
      <c r="AZ160" s="48" t="n">
        <v>46288</v>
      </c>
      <c r="BC160" s="49" t="s">
        <v>303</v>
      </c>
      <c r="BD160" s="48"/>
      <c r="BE160" s="49" t="s">
        <v>312</v>
      </c>
      <c r="BF160" s="49" t="s">
        <v>303</v>
      </c>
      <c r="BG160" s="48"/>
      <c r="BI160" s="48"/>
      <c r="BJ160" s="48" t="n">
        <v>46301</v>
      </c>
      <c r="BK160" s="49" t="s">
        <v>312</v>
      </c>
      <c r="BL160" s="49" t="s">
        <v>313</v>
      </c>
      <c r="BM160" s="49" t="s">
        <v>310</v>
      </c>
      <c r="BN160" s="48"/>
      <c r="BO160" s="48"/>
      <c r="BP160" s="48"/>
      <c r="BR160" s="48" t="n">
        <v>46295</v>
      </c>
      <c r="BS160" s="49" t="s">
        <v>312</v>
      </c>
      <c r="BT160" s="49" t="s">
        <v>312</v>
      </c>
      <c r="BU160" s="49" t="s">
        <v>312</v>
      </c>
      <c r="BV160" s="49" t="s">
        <v>303</v>
      </c>
      <c r="BX160" s="0" t="n">
        <v>0</v>
      </c>
      <c r="CC160" s="49" t="s">
        <v>315</v>
      </c>
      <c r="CD160" s="49" t="s">
        <v>303</v>
      </c>
      <c r="CF160" s="49" t="s">
        <v>303</v>
      </c>
      <c r="CG160" s="49" t="s">
        <v>316</v>
      </c>
      <c r="CH160" s="49" t="s">
        <v>317</v>
      </c>
      <c r="CI160" s="49" t="s">
        <v>318</v>
      </c>
      <c r="CM160" s="49" t="s">
        <v>59</v>
      </c>
      <c r="CV160" s="49" t="s">
        <v>303</v>
      </c>
      <c r="DB160" s="49" t="s">
        <v>319</v>
      </c>
      <c r="DD160" s="48" t="n">
        <v>46268</v>
      </c>
      <c r="DF160" s="49" t="s">
        <v>310</v>
      </c>
      <c r="DG160" s="49" t="s">
        <v>320</v>
      </c>
      <c r="DH160" s="49" t="s">
        <v>58</v>
      </c>
      <c r="DI160" s="49" t="s">
        <v>298</v>
      </c>
      <c r="DJ160" s="49" t="s">
        <v>367</v>
      </c>
      <c r="DK160" s="49" t="s">
        <v>322</v>
      </c>
      <c r="DL160" s="49" t="s">
        <v>323</v>
      </c>
      <c r="DM160" s="49" t="s">
        <v>303</v>
      </c>
      <c r="DN160" s="49" t="s">
        <v>297</v>
      </c>
      <c r="DO160" s="48"/>
      <c r="DP160" s="49" t="s">
        <v>312</v>
      </c>
      <c r="DQ160" s="48"/>
      <c r="DR160" s="49" t="s">
        <v>312</v>
      </c>
      <c r="DS160" s="49" t="s">
        <v>303</v>
      </c>
      <c r="DT160" s="49" t="s">
        <v>303</v>
      </c>
      <c r="DW160" s="49" t="s">
        <v>303</v>
      </c>
      <c r="EA160" s="49" t="s">
        <v>324</v>
      </c>
      <c r="EB160" s="49" t="s">
        <v>303</v>
      </c>
      <c r="EH160" s="49" t="s">
        <v>310</v>
      </c>
      <c r="EJ160" s="49" t="s">
        <v>303</v>
      </c>
      <c r="EK160" s="49" t="s">
        <v>802</v>
      </c>
      <c r="EM160" s="49" t="s">
        <v>303</v>
      </c>
      <c r="EN160" s="49" t="s">
        <v>374</v>
      </c>
      <c r="EP160" s="49" t="s">
        <v>298</v>
      </c>
      <c r="EQ160" s="0" t="n">
        <v>1</v>
      </c>
      <c r="ER160" s="49" t="s">
        <v>328</v>
      </c>
      <c r="ES160" s="49" t="s">
        <v>342</v>
      </c>
      <c r="ET160" s="49" t="s">
        <v>310</v>
      </c>
      <c r="EU160" s="49" t="s">
        <v>310</v>
      </c>
      <c r="EV160" s="49" t="s">
        <v>310</v>
      </c>
      <c r="EX160" s="49" t="s">
        <v>303</v>
      </c>
      <c r="EY160" s="49" t="s">
        <v>303</v>
      </c>
      <c r="FC160" s="49" t="s">
        <v>330</v>
      </c>
      <c r="FD160" s="49" t="s">
        <v>310</v>
      </c>
      <c r="FE160" s="49" t="s">
        <v>310</v>
      </c>
      <c r="FF160" s="49" t="s">
        <v>58</v>
      </c>
      <c r="FG160" s="49" t="s">
        <v>375</v>
      </c>
      <c r="FH160" s="49" t="s">
        <v>310</v>
      </c>
      <c r="FI160" s="49" t="s">
        <v>332</v>
      </c>
      <c r="FJ160" s="49" t="s">
        <v>303</v>
      </c>
      <c r="FL160" s="49" t="s">
        <v>325</v>
      </c>
      <c r="FM160" s="49" t="s">
        <v>641</v>
      </c>
      <c r="FP160" s="49" t="s">
        <v>303</v>
      </c>
      <c r="FR160" s="49" t="s">
        <v>303</v>
      </c>
      <c r="FT160" s="49" t="s">
        <v>325</v>
      </c>
      <c r="FU160" s="49" t="s">
        <v>325</v>
      </c>
      <c r="FW160" s="49" t="s">
        <v>333</v>
      </c>
    </row>
    <row r="161" customFormat="false" ht="15" hidden="false" customHeight="false" outlineLevel="0" collapsed="false">
      <c r="A161" s="0" t="n">
        <v>100880082</v>
      </c>
      <c r="B161" s="0" t="s">
        <v>295</v>
      </c>
      <c r="C161" s="0" t="s">
        <v>58</v>
      </c>
      <c r="D161" s="0" t="s">
        <v>59</v>
      </c>
      <c r="E161" s="0" t="s">
        <v>297</v>
      </c>
      <c r="G161" s="0" t="n">
        <v>1</v>
      </c>
      <c r="H161" s="0" t="s">
        <v>298</v>
      </c>
      <c r="I161" s="48" t="n">
        <v>46296</v>
      </c>
      <c r="J161" s="0" t="n">
        <v>0</v>
      </c>
      <c r="K161" s="49" t="s">
        <v>641</v>
      </c>
      <c r="L161" s="49" t="s">
        <v>335</v>
      </c>
      <c r="M161" s="48"/>
      <c r="O161" s="49" t="s">
        <v>336</v>
      </c>
      <c r="P161" s="48"/>
      <c r="Q161" s="48" t="n">
        <v>46296</v>
      </c>
      <c r="R161" s="48" t="n">
        <v>46302</v>
      </c>
      <c r="T161" s="49" t="s">
        <v>302</v>
      </c>
      <c r="U161" s="49" t="s">
        <v>303</v>
      </c>
      <c r="Y161" s="49" t="s">
        <v>312</v>
      </c>
      <c r="AD161" s="49" t="s">
        <v>305</v>
      </c>
      <c r="AE161" s="48" t="n">
        <v>46268</v>
      </c>
      <c r="AF161" s="49" t="s">
        <v>306</v>
      </c>
      <c r="AG161" s="49" t="s">
        <v>307</v>
      </c>
      <c r="AK161" s="49" t="s">
        <v>303</v>
      </c>
      <c r="AL161" s="49" t="s">
        <v>297</v>
      </c>
      <c r="AO161" s="49" t="s">
        <v>303</v>
      </c>
      <c r="AP161" s="48"/>
      <c r="AR161" s="49" t="s">
        <v>303</v>
      </c>
      <c r="AS161" s="49" t="s">
        <v>306</v>
      </c>
      <c r="AT161" s="49" t="s">
        <v>803</v>
      </c>
      <c r="AV161" s="49" t="s">
        <v>309</v>
      </c>
      <c r="AW161" s="49" t="s">
        <v>310</v>
      </c>
      <c r="AX161" s="49" t="s">
        <v>311</v>
      </c>
      <c r="AY161" s="48"/>
      <c r="AZ161" s="48" t="n">
        <v>46288</v>
      </c>
      <c r="BC161" s="49" t="s">
        <v>303</v>
      </c>
      <c r="BD161" s="48"/>
      <c r="BE161" s="49" t="s">
        <v>312</v>
      </c>
      <c r="BF161" s="49" t="s">
        <v>303</v>
      </c>
      <c r="BG161" s="48"/>
      <c r="BI161" s="48"/>
      <c r="BJ161" s="48" t="n">
        <v>46301</v>
      </c>
      <c r="BK161" s="49" t="s">
        <v>313</v>
      </c>
      <c r="BL161" s="49" t="s">
        <v>313</v>
      </c>
      <c r="BM161" s="49" t="s">
        <v>310</v>
      </c>
      <c r="BN161" s="48"/>
      <c r="BO161" s="48"/>
      <c r="BP161" s="48"/>
      <c r="BR161" s="48" t="n">
        <v>46295</v>
      </c>
      <c r="BS161" s="49" t="s">
        <v>312</v>
      </c>
      <c r="BT161" s="49" t="s">
        <v>312</v>
      </c>
      <c r="BU161" s="49" t="s">
        <v>312</v>
      </c>
      <c r="BV161" s="49" t="s">
        <v>303</v>
      </c>
      <c r="BX161" s="0" t="n">
        <v>0</v>
      </c>
      <c r="CC161" s="49" t="s">
        <v>315</v>
      </c>
      <c r="CD161" s="49" t="s">
        <v>303</v>
      </c>
      <c r="CF161" s="49" t="s">
        <v>303</v>
      </c>
      <c r="CG161" s="49" t="s">
        <v>316</v>
      </c>
      <c r="CH161" s="49" t="s">
        <v>317</v>
      </c>
      <c r="CI161" s="49" t="s">
        <v>318</v>
      </c>
      <c r="CM161" s="49" t="s">
        <v>59</v>
      </c>
      <c r="CV161" s="49" t="s">
        <v>303</v>
      </c>
      <c r="DB161" s="49" t="s">
        <v>319</v>
      </c>
      <c r="DD161" s="48" t="n">
        <v>46268</v>
      </c>
      <c r="DF161" s="49" t="s">
        <v>310</v>
      </c>
      <c r="DG161" s="49" t="s">
        <v>320</v>
      </c>
      <c r="DH161" s="49" t="s">
        <v>58</v>
      </c>
      <c r="DI161" s="49" t="s">
        <v>298</v>
      </c>
      <c r="DJ161" s="49" t="s">
        <v>367</v>
      </c>
      <c r="DK161" s="49" t="s">
        <v>322</v>
      </c>
      <c r="DL161" s="49" t="s">
        <v>323</v>
      </c>
      <c r="DM161" s="49" t="s">
        <v>303</v>
      </c>
      <c r="DN161" s="49" t="s">
        <v>297</v>
      </c>
      <c r="DO161" s="48"/>
      <c r="DP161" s="49" t="s">
        <v>312</v>
      </c>
      <c r="DQ161" s="48"/>
      <c r="DR161" s="49" t="s">
        <v>312</v>
      </c>
      <c r="DS161" s="49" t="s">
        <v>303</v>
      </c>
      <c r="DT161" s="49" t="s">
        <v>303</v>
      </c>
      <c r="DW161" s="49" t="s">
        <v>303</v>
      </c>
      <c r="EA161" s="49" t="s">
        <v>324</v>
      </c>
      <c r="EB161" s="49" t="s">
        <v>303</v>
      </c>
      <c r="EF161" s="49" t="s">
        <v>804</v>
      </c>
      <c r="EH161" s="49" t="s">
        <v>310</v>
      </c>
      <c r="EJ161" s="49" t="s">
        <v>303</v>
      </c>
      <c r="EK161" s="49" t="s">
        <v>805</v>
      </c>
      <c r="EM161" s="49" t="s">
        <v>303</v>
      </c>
      <c r="EN161" s="49" t="s">
        <v>374</v>
      </c>
      <c r="EP161" s="49" t="s">
        <v>298</v>
      </c>
      <c r="EQ161" s="0" t="n">
        <v>1</v>
      </c>
      <c r="ER161" s="49" t="s">
        <v>328</v>
      </c>
      <c r="ES161" s="49" t="s">
        <v>342</v>
      </c>
      <c r="ET161" s="49" t="s">
        <v>310</v>
      </c>
      <c r="EU161" s="49" t="s">
        <v>310</v>
      </c>
      <c r="EV161" s="49" t="s">
        <v>310</v>
      </c>
      <c r="EX161" s="49" t="s">
        <v>303</v>
      </c>
      <c r="EY161" s="49" t="s">
        <v>303</v>
      </c>
      <c r="FC161" s="49" t="s">
        <v>330</v>
      </c>
      <c r="FD161" s="49" t="s">
        <v>310</v>
      </c>
      <c r="FE161" s="49" t="s">
        <v>310</v>
      </c>
      <c r="FF161" s="49" t="s">
        <v>58</v>
      </c>
      <c r="FG161" s="49" t="s">
        <v>375</v>
      </c>
      <c r="FH161" s="49" t="s">
        <v>310</v>
      </c>
      <c r="FI161" s="49" t="s">
        <v>332</v>
      </c>
      <c r="FJ161" s="49" t="s">
        <v>303</v>
      </c>
      <c r="FL161" s="49" t="s">
        <v>325</v>
      </c>
      <c r="FM161" s="49" t="s">
        <v>641</v>
      </c>
      <c r="FP161" s="49" t="s">
        <v>303</v>
      </c>
      <c r="FR161" s="49" t="s">
        <v>303</v>
      </c>
      <c r="FT161" s="49" t="s">
        <v>325</v>
      </c>
      <c r="FU161" s="49" t="s">
        <v>325</v>
      </c>
      <c r="FW161" s="49" t="s">
        <v>333</v>
      </c>
    </row>
    <row r="162" customFormat="false" ht="15" hidden="false" customHeight="false" outlineLevel="0" collapsed="false">
      <c r="A162" s="0" t="n">
        <v>100880083</v>
      </c>
      <c r="B162" s="0" t="s">
        <v>295</v>
      </c>
      <c r="C162" s="0" t="s">
        <v>61</v>
      </c>
      <c r="D162" s="0" t="s">
        <v>62</v>
      </c>
      <c r="E162" s="0" t="s">
        <v>297</v>
      </c>
      <c r="G162" s="0" t="n">
        <v>1</v>
      </c>
      <c r="H162" s="0" t="s">
        <v>298</v>
      </c>
      <c r="I162" s="48" t="n">
        <v>46296</v>
      </c>
      <c r="J162" s="0" t="n">
        <v>0</v>
      </c>
      <c r="K162" s="49" t="s">
        <v>641</v>
      </c>
      <c r="L162" s="49" t="s">
        <v>335</v>
      </c>
      <c r="M162" s="48" t="n">
        <v>46296</v>
      </c>
      <c r="N162" s="49" t="s">
        <v>335</v>
      </c>
      <c r="O162" s="49" t="s">
        <v>445</v>
      </c>
      <c r="P162" s="48"/>
      <c r="Q162" s="48" t="n">
        <v>46296</v>
      </c>
      <c r="R162" s="48" t="n">
        <v>46303</v>
      </c>
      <c r="T162" s="49" t="s">
        <v>302</v>
      </c>
      <c r="U162" s="49" t="s">
        <v>303</v>
      </c>
      <c r="Y162" s="49" t="s">
        <v>806</v>
      </c>
      <c r="AD162" s="49" t="s">
        <v>305</v>
      </c>
      <c r="AE162" s="48" t="n">
        <v>46268</v>
      </c>
      <c r="AF162" s="49" t="s">
        <v>306</v>
      </c>
      <c r="AG162" s="49" t="s">
        <v>307</v>
      </c>
      <c r="AK162" s="49" t="s">
        <v>303</v>
      </c>
      <c r="AL162" s="49" t="s">
        <v>297</v>
      </c>
      <c r="AO162" s="49" t="s">
        <v>303</v>
      </c>
      <c r="AP162" s="48"/>
      <c r="AR162" s="49" t="s">
        <v>303</v>
      </c>
      <c r="AS162" s="49" t="s">
        <v>306</v>
      </c>
      <c r="AT162" s="49" t="s">
        <v>807</v>
      </c>
      <c r="AV162" s="49" t="s">
        <v>309</v>
      </c>
      <c r="AW162" s="49" t="s">
        <v>310</v>
      </c>
      <c r="AX162" s="49" t="s">
        <v>311</v>
      </c>
      <c r="AY162" s="48"/>
      <c r="AZ162" s="48" t="n">
        <v>46294</v>
      </c>
      <c r="BC162" s="49" t="s">
        <v>303</v>
      </c>
      <c r="BD162" s="48"/>
      <c r="BE162" s="49" t="s">
        <v>312</v>
      </c>
      <c r="BF162" s="49" t="s">
        <v>303</v>
      </c>
      <c r="BG162" s="48"/>
      <c r="BI162" s="48"/>
      <c r="BJ162" s="48" t="n">
        <v>46301</v>
      </c>
      <c r="BK162" s="49" t="s">
        <v>312</v>
      </c>
      <c r="BL162" s="49" t="s">
        <v>313</v>
      </c>
      <c r="BM162" s="49" t="s">
        <v>310</v>
      </c>
      <c r="BN162" s="48"/>
      <c r="BO162" s="48"/>
      <c r="BP162" s="48"/>
      <c r="BQ162" s="49" t="s">
        <v>641</v>
      </c>
      <c r="BR162" s="48" t="n">
        <v>46301</v>
      </c>
      <c r="BS162" s="49" t="s">
        <v>808</v>
      </c>
      <c r="BT162" s="49" t="s">
        <v>312</v>
      </c>
      <c r="BU162" s="49" t="s">
        <v>313</v>
      </c>
      <c r="BV162" s="49" t="s">
        <v>303</v>
      </c>
      <c r="BX162" s="0" t="n">
        <v>0</v>
      </c>
      <c r="CC162" s="49" t="s">
        <v>315</v>
      </c>
      <c r="CD162" s="49" t="s">
        <v>303</v>
      </c>
      <c r="CF162" s="49" t="s">
        <v>303</v>
      </c>
      <c r="CG162" s="49" t="s">
        <v>316</v>
      </c>
      <c r="CH162" s="49" t="s">
        <v>317</v>
      </c>
      <c r="CI162" s="49" t="s">
        <v>318</v>
      </c>
      <c r="CM162" s="49" t="s">
        <v>62</v>
      </c>
      <c r="CV162" s="49" t="s">
        <v>303</v>
      </c>
      <c r="DB162" s="49" t="s">
        <v>319</v>
      </c>
      <c r="DD162" s="48" t="n">
        <v>46268</v>
      </c>
      <c r="DF162" s="49" t="s">
        <v>310</v>
      </c>
      <c r="DG162" s="49" t="s">
        <v>320</v>
      </c>
      <c r="DH162" s="49" t="s">
        <v>61</v>
      </c>
      <c r="DI162" s="49" t="s">
        <v>298</v>
      </c>
      <c r="DJ162" s="49" t="s">
        <v>381</v>
      </c>
      <c r="DK162" s="49" t="s">
        <v>322</v>
      </c>
      <c r="DL162" s="49" t="s">
        <v>323</v>
      </c>
      <c r="DM162" s="49" t="s">
        <v>303</v>
      </c>
      <c r="DN162" s="49" t="s">
        <v>297</v>
      </c>
      <c r="DO162" s="48"/>
      <c r="DP162" s="49" t="s">
        <v>312</v>
      </c>
      <c r="DQ162" s="48"/>
      <c r="DR162" s="49" t="s">
        <v>312</v>
      </c>
      <c r="DS162" s="49" t="s">
        <v>303</v>
      </c>
      <c r="DT162" s="49" t="s">
        <v>303</v>
      </c>
      <c r="DW162" s="49" t="s">
        <v>303</v>
      </c>
      <c r="EA162" s="49" t="s">
        <v>324</v>
      </c>
      <c r="EB162" s="49" t="s">
        <v>303</v>
      </c>
      <c r="EH162" s="49" t="s">
        <v>310</v>
      </c>
      <c r="EJ162" s="49" t="s">
        <v>303</v>
      </c>
      <c r="EK162" s="49" t="s">
        <v>809</v>
      </c>
      <c r="EM162" s="49" t="s">
        <v>303</v>
      </c>
      <c r="EN162" s="49" t="s">
        <v>383</v>
      </c>
      <c r="EP162" s="49" t="s">
        <v>298</v>
      </c>
      <c r="EQ162" s="0" t="n">
        <v>1</v>
      </c>
      <c r="ER162" s="49" t="s">
        <v>328</v>
      </c>
      <c r="ES162" s="49" t="s">
        <v>384</v>
      </c>
      <c r="ET162" s="49" t="s">
        <v>310</v>
      </c>
      <c r="EU162" s="49" t="s">
        <v>310</v>
      </c>
      <c r="EV162" s="49" t="s">
        <v>310</v>
      </c>
      <c r="EX162" s="49" t="s">
        <v>303</v>
      </c>
      <c r="EY162" s="49" t="s">
        <v>303</v>
      </c>
      <c r="FC162" s="49" t="s">
        <v>330</v>
      </c>
      <c r="FD162" s="49" t="s">
        <v>310</v>
      </c>
      <c r="FE162" s="49" t="s">
        <v>310</v>
      </c>
      <c r="FF162" s="49" t="s">
        <v>61</v>
      </c>
      <c r="FG162" s="49" t="s">
        <v>385</v>
      </c>
      <c r="FH162" s="49" t="s">
        <v>310</v>
      </c>
      <c r="FI162" s="49" t="s">
        <v>332</v>
      </c>
      <c r="FJ162" s="49" t="s">
        <v>303</v>
      </c>
      <c r="FL162" s="49" t="s">
        <v>325</v>
      </c>
      <c r="FM162" s="49" t="s">
        <v>641</v>
      </c>
      <c r="FP162" s="49" t="s">
        <v>303</v>
      </c>
      <c r="FR162" s="49" t="s">
        <v>303</v>
      </c>
      <c r="FT162" s="49" t="s">
        <v>325</v>
      </c>
      <c r="FU162" s="49" t="s">
        <v>325</v>
      </c>
      <c r="FW162" s="49" t="s">
        <v>333</v>
      </c>
    </row>
    <row r="163" customFormat="false" ht="15" hidden="false" customHeight="false" outlineLevel="0" collapsed="false">
      <c r="A163" s="0" t="n">
        <v>100880084</v>
      </c>
      <c r="B163" s="0" t="s">
        <v>295</v>
      </c>
      <c r="C163" s="0" t="s">
        <v>61</v>
      </c>
      <c r="D163" s="0" t="s">
        <v>62</v>
      </c>
      <c r="E163" s="0" t="s">
        <v>297</v>
      </c>
      <c r="G163" s="0" t="n">
        <v>1</v>
      </c>
      <c r="H163" s="0" t="s">
        <v>298</v>
      </c>
      <c r="I163" s="48" t="n">
        <v>46296</v>
      </c>
      <c r="J163" s="0" t="n">
        <v>0</v>
      </c>
      <c r="K163" s="49" t="s">
        <v>641</v>
      </c>
      <c r="L163" s="49" t="s">
        <v>335</v>
      </c>
      <c r="M163" s="48"/>
      <c r="O163" s="49" t="s">
        <v>445</v>
      </c>
      <c r="P163" s="48"/>
      <c r="Q163" s="48" t="n">
        <v>46296</v>
      </c>
      <c r="R163" s="48" t="n">
        <v>46302</v>
      </c>
      <c r="T163" s="49" t="s">
        <v>302</v>
      </c>
      <c r="U163" s="49" t="s">
        <v>303</v>
      </c>
      <c r="Y163" s="49" t="s">
        <v>312</v>
      </c>
      <c r="AD163" s="49" t="s">
        <v>305</v>
      </c>
      <c r="AE163" s="48" t="n">
        <v>46268</v>
      </c>
      <c r="AF163" s="49" t="s">
        <v>306</v>
      </c>
      <c r="AG163" s="49" t="s">
        <v>307</v>
      </c>
      <c r="AK163" s="49" t="s">
        <v>303</v>
      </c>
      <c r="AL163" s="49" t="s">
        <v>297</v>
      </c>
      <c r="AO163" s="49" t="s">
        <v>303</v>
      </c>
      <c r="AP163" s="48"/>
      <c r="AR163" s="49" t="s">
        <v>303</v>
      </c>
      <c r="AS163" s="49" t="s">
        <v>306</v>
      </c>
      <c r="AT163" s="49" t="s">
        <v>810</v>
      </c>
      <c r="AV163" s="49" t="s">
        <v>309</v>
      </c>
      <c r="AW163" s="49" t="s">
        <v>310</v>
      </c>
      <c r="AX163" s="49" t="s">
        <v>311</v>
      </c>
      <c r="AY163" s="48"/>
      <c r="AZ163" s="48" t="n">
        <v>46294</v>
      </c>
      <c r="BC163" s="49" t="s">
        <v>303</v>
      </c>
      <c r="BD163" s="48"/>
      <c r="BE163" s="49" t="s">
        <v>312</v>
      </c>
      <c r="BF163" s="49" t="s">
        <v>303</v>
      </c>
      <c r="BG163" s="48"/>
      <c r="BI163" s="48"/>
      <c r="BJ163" s="48" t="n">
        <v>46301</v>
      </c>
      <c r="BK163" s="49" t="s">
        <v>313</v>
      </c>
      <c r="BL163" s="49" t="s">
        <v>313</v>
      </c>
      <c r="BM163" s="49" t="s">
        <v>310</v>
      </c>
      <c r="BN163" s="48"/>
      <c r="BO163" s="48"/>
      <c r="BP163" s="48"/>
      <c r="BQ163" s="49" t="s">
        <v>641</v>
      </c>
      <c r="BR163" s="48" t="n">
        <v>46301</v>
      </c>
      <c r="BS163" s="49" t="s">
        <v>808</v>
      </c>
      <c r="BT163" s="49" t="s">
        <v>312</v>
      </c>
      <c r="BU163" s="49" t="s">
        <v>313</v>
      </c>
      <c r="BV163" s="49" t="s">
        <v>303</v>
      </c>
      <c r="BX163" s="0" t="n">
        <v>0</v>
      </c>
      <c r="CC163" s="49" t="s">
        <v>315</v>
      </c>
      <c r="CD163" s="49" t="s">
        <v>303</v>
      </c>
      <c r="CF163" s="49" t="s">
        <v>303</v>
      </c>
      <c r="CG163" s="49" t="s">
        <v>316</v>
      </c>
      <c r="CH163" s="49" t="s">
        <v>317</v>
      </c>
      <c r="CI163" s="49" t="s">
        <v>318</v>
      </c>
      <c r="CM163" s="49" t="s">
        <v>62</v>
      </c>
      <c r="CV163" s="49" t="s">
        <v>303</v>
      </c>
      <c r="DB163" s="49" t="s">
        <v>319</v>
      </c>
      <c r="DD163" s="48" t="n">
        <v>46268</v>
      </c>
      <c r="DF163" s="49" t="s">
        <v>310</v>
      </c>
      <c r="DG163" s="49" t="s">
        <v>320</v>
      </c>
      <c r="DH163" s="49" t="s">
        <v>61</v>
      </c>
      <c r="DI163" s="49" t="s">
        <v>298</v>
      </c>
      <c r="DJ163" s="49" t="s">
        <v>381</v>
      </c>
      <c r="DK163" s="49" t="s">
        <v>322</v>
      </c>
      <c r="DL163" s="49" t="s">
        <v>323</v>
      </c>
      <c r="DM163" s="49" t="s">
        <v>303</v>
      </c>
      <c r="DN163" s="49" t="s">
        <v>297</v>
      </c>
      <c r="DO163" s="48"/>
      <c r="DP163" s="49" t="s">
        <v>312</v>
      </c>
      <c r="DQ163" s="48"/>
      <c r="DR163" s="49" t="s">
        <v>312</v>
      </c>
      <c r="DS163" s="49" t="s">
        <v>303</v>
      </c>
      <c r="DT163" s="49" t="s">
        <v>303</v>
      </c>
      <c r="DW163" s="49" t="s">
        <v>303</v>
      </c>
      <c r="EA163" s="49" t="s">
        <v>324</v>
      </c>
      <c r="EB163" s="49" t="s">
        <v>303</v>
      </c>
      <c r="EF163" s="49" t="s">
        <v>811</v>
      </c>
      <c r="EH163" s="49" t="s">
        <v>310</v>
      </c>
      <c r="EJ163" s="49" t="s">
        <v>303</v>
      </c>
      <c r="EK163" s="49" t="s">
        <v>812</v>
      </c>
      <c r="EM163" s="49" t="s">
        <v>303</v>
      </c>
      <c r="EN163" s="49" t="s">
        <v>383</v>
      </c>
      <c r="EP163" s="49" t="s">
        <v>298</v>
      </c>
      <c r="EQ163" s="0" t="n">
        <v>1</v>
      </c>
      <c r="ER163" s="49" t="s">
        <v>328</v>
      </c>
      <c r="ES163" s="49" t="s">
        <v>384</v>
      </c>
      <c r="ET163" s="49" t="s">
        <v>310</v>
      </c>
      <c r="EU163" s="49" t="s">
        <v>310</v>
      </c>
      <c r="EV163" s="49" t="s">
        <v>310</v>
      </c>
      <c r="EX163" s="49" t="s">
        <v>303</v>
      </c>
      <c r="EY163" s="49" t="s">
        <v>303</v>
      </c>
      <c r="FC163" s="49" t="s">
        <v>330</v>
      </c>
      <c r="FD163" s="49" t="s">
        <v>310</v>
      </c>
      <c r="FE163" s="49" t="s">
        <v>310</v>
      </c>
      <c r="FF163" s="49" t="s">
        <v>61</v>
      </c>
      <c r="FG163" s="49" t="s">
        <v>385</v>
      </c>
      <c r="FH163" s="49" t="s">
        <v>310</v>
      </c>
      <c r="FI163" s="49" t="s">
        <v>332</v>
      </c>
      <c r="FJ163" s="49" t="s">
        <v>303</v>
      </c>
      <c r="FL163" s="49" t="s">
        <v>325</v>
      </c>
      <c r="FM163" s="49" t="s">
        <v>641</v>
      </c>
      <c r="FP163" s="49" t="s">
        <v>303</v>
      </c>
      <c r="FR163" s="49" t="s">
        <v>303</v>
      </c>
      <c r="FT163" s="49" t="s">
        <v>325</v>
      </c>
      <c r="FU163" s="49" t="s">
        <v>325</v>
      </c>
      <c r="FW163" s="49" t="s">
        <v>333</v>
      </c>
    </row>
    <row r="164" customFormat="false" ht="15" hidden="false" customHeight="false" outlineLevel="0" collapsed="false">
      <c r="A164" s="0" t="n">
        <v>100880085</v>
      </c>
      <c r="B164" s="0" t="s">
        <v>295</v>
      </c>
      <c r="C164" s="0" t="s">
        <v>61</v>
      </c>
      <c r="D164" s="0" t="s">
        <v>62</v>
      </c>
      <c r="E164" s="0" t="s">
        <v>297</v>
      </c>
      <c r="G164" s="0" t="n">
        <v>1</v>
      </c>
      <c r="H164" s="0" t="s">
        <v>298</v>
      </c>
      <c r="I164" s="48" t="n">
        <v>46296</v>
      </c>
      <c r="J164" s="0" t="n">
        <v>0</v>
      </c>
      <c r="K164" s="49" t="s">
        <v>641</v>
      </c>
      <c r="L164" s="49" t="s">
        <v>335</v>
      </c>
      <c r="M164" s="48"/>
      <c r="O164" s="49" t="s">
        <v>445</v>
      </c>
      <c r="P164" s="48"/>
      <c r="Q164" s="48" t="n">
        <v>46296</v>
      </c>
      <c r="R164" s="48" t="n">
        <v>46302</v>
      </c>
      <c r="T164" s="49" t="s">
        <v>302</v>
      </c>
      <c r="U164" s="49" t="s">
        <v>303</v>
      </c>
      <c r="Y164" s="49" t="s">
        <v>312</v>
      </c>
      <c r="AD164" s="49" t="s">
        <v>305</v>
      </c>
      <c r="AE164" s="48" t="n">
        <v>46268</v>
      </c>
      <c r="AF164" s="49" t="s">
        <v>306</v>
      </c>
      <c r="AG164" s="49" t="s">
        <v>307</v>
      </c>
      <c r="AK164" s="49" t="s">
        <v>303</v>
      </c>
      <c r="AL164" s="49" t="s">
        <v>297</v>
      </c>
      <c r="AO164" s="49" t="s">
        <v>303</v>
      </c>
      <c r="AP164" s="48"/>
      <c r="AR164" s="49" t="s">
        <v>303</v>
      </c>
      <c r="AS164" s="49" t="s">
        <v>306</v>
      </c>
      <c r="AT164" s="49" t="s">
        <v>813</v>
      </c>
      <c r="AV164" s="49" t="s">
        <v>309</v>
      </c>
      <c r="AW164" s="49" t="s">
        <v>310</v>
      </c>
      <c r="AX164" s="49" t="s">
        <v>311</v>
      </c>
      <c r="AY164" s="48"/>
      <c r="AZ164" s="48" t="n">
        <v>46294</v>
      </c>
      <c r="BC164" s="49" t="s">
        <v>303</v>
      </c>
      <c r="BD164" s="48"/>
      <c r="BE164" s="49" t="s">
        <v>312</v>
      </c>
      <c r="BF164" s="49" t="s">
        <v>303</v>
      </c>
      <c r="BG164" s="48"/>
      <c r="BI164" s="48"/>
      <c r="BJ164" s="48" t="n">
        <v>46301</v>
      </c>
      <c r="BK164" s="49" t="s">
        <v>313</v>
      </c>
      <c r="BL164" s="49" t="s">
        <v>313</v>
      </c>
      <c r="BM164" s="49" t="s">
        <v>310</v>
      </c>
      <c r="BN164" s="48"/>
      <c r="BO164" s="48"/>
      <c r="BP164" s="48"/>
      <c r="BQ164" s="49" t="s">
        <v>641</v>
      </c>
      <c r="BR164" s="48" t="n">
        <v>46301</v>
      </c>
      <c r="BS164" s="49" t="s">
        <v>814</v>
      </c>
      <c r="BT164" s="49" t="s">
        <v>312</v>
      </c>
      <c r="BU164" s="49" t="s">
        <v>313</v>
      </c>
      <c r="BV164" s="49" t="s">
        <v>303</v>
      </c>
      <c r="BX164" s="0" t="n">
        <v>0</v>
      </c>
      <c r="CC164" s="49" t="s">
        <v>315</v>
      </c>
      <c r="CD164" s="49" t="s">
        <v>303</v>
      </c>
      <c r="CF164" s="49" t="s">
        <v>303</v>
      </c>
      <c r="CG164" s="49" t="s">
        <v>316</v>
      </c>
      <c r="CH164" s="49" t="s">
        <v>317</v>
      </c>
      <c r="CI164" s="49" t="s">
        <v>318</v>
      </c>
      <c r="CM164" s="49" t="s">
        <v>62</v>
      </c>
      <c r="CV164" s="49" t="s">
        <v>303</v>
      </c>
      <c r="DB164" s="49" t="s">
        <v>319</v>
      </c>
      <c r="DD164" s="48" t="n">
        <v>46268</v>
      </c>
      <c r="DF164" s="49" t="s">
        <v>310</v>
      </c>
      <c r="DG164" s="49" t="s">
        <v>320</v>
      </c>
      <c r="DH164" s="49" t="s">
        <v>61</v>
      </c>
      <c r="DI164" s="49" t="s">
        <v>298</v>
      </c>
      <c r="DJ164" s="49" t="s">
        <v>381</v>
      </c>
      <c r="DK164" s="49" t="s">
        <v>322</v>
      </c>
      <c r="DL164" s="49" t="s">
        <v>323</v>
      </c>
      <c r="DM164" s="49" t="s">
        <v>303</v>
      </c>
      <c r="DN164" s="49" t="s">
        <v>297</v>
      </c>
      <c r="DO164" s="48"/>
      <c r="DP164" s="49" t="s">
        <v>312</v>
      </c>
      <c r="DQ164" s="48"/>
      <c r="DR164" s="49" t="s">
        <v>312</v>
      </c>
      <c r="DS164" s="49" t="s">
        <v>303</v>
      </c>
      <c r="DT164" s="49" t="s">
        <v>303</v>
      </c>
      <c r="DW164" s="49" t="s">
        <v>303</v>
      </c>
      <c r="EA164" s="49" t="s">
        <v>324</v>
      </c>
      <c r="EB164" s="49" t="s">
        <v>303</v>
      </c>
      <c r="EF164" s="49" t="s">
        <v>811</v>
      </c>
      <c r="EH164" s="49" t="s">
        <v>310</v>
      </c>
      <c r="EJ164" s="49" t="s">
        <v>303</v>
      </c>
      <c r="EK164" s="49" t="s">
        <v>815</v>
      </c>
      <c r="EM164" s="49" t="s">
        <v>303</v>
      </c>
      <c r="EN164" s="49" t="s">
        <v>383</v>
      </c>
      <c r="EP164" s="49" t="s">
        <v>298</v>
      </c>
      <c r="EQ164" s="0" t="n">
        <v>1</v>
      </c>
      <c r="ER164" s="49" t="s">
        <v>328</v>
      </c>
      <c r="ES164" s="49" t="s">
        <v>384</v>
      </c>
      <c r="ET164" s="49" t="s">
        <v>310</v>
      </c>
      <c r="EU164" s="49" t="s">
        <v>310</v>
      </c>
      <c r="EV164" s="49" t="s">
        <v>310</v>
      </c>
      <c r="EX164" s="49" t="s">
        <v>303</v>
      </c>
      <c r="EY164" s="49" t="s">
        <v>303</v>
      </c>
      <c r="FC164" s="49" t="s">
        <v>330</v>
      </c>
      <c r="FD164" s="49" t="s">
        <v>310</v>
      </c>
      <c r="FE164" s="49" t="s">
        <v>310</v>
      </c>
      <c r="FF164" s="49" t="s">
        <v>61</v>
      </c>
      <c r="FG164" s="49" t="s">
        <v>385</v>
      </c>
      <c r="FH164" s="49" t="s">
        <v>310</v>
      </c>
      <c r="FI164" s="49" t="s">
        <v>332</v>
      </c>
      <c r="FJ164" s="49" t="s">
        <v>303</v>
      </c>
      <c r="FL164" s="49" t="s">
        <v>325</v>
      </c>
      <c r="FM164" s="49" t="s">
        <v>641</v>
      </c>
      <c r="FP164" s="49" t="s">
        <v>303</v>
      </c>
      <c r="FR164" s="49" t="s">
        <v>303</v>
      </c>
      <c r="FT164" s="49" t="s">
        <v>325</v>
      </c>
      <c r="FU164" s="49" t="s">
        <v>325</v>
      </c>
      <c r="FW164" s="49" t="s">
        <v>333</v>
      </c>
    </row>
    <row r="165" customFormat="false" ht="15" hidden="false" customHeight="false" outlineLevel="0" collapsed="false">
      <c r="A165" s="0" t="n">
        <v>100880086</v>
      </c>
      <c r="B165" s="0" t="s">
        <v>295</v>
      </c>
      <c r="C165" s="0" t="s">
        <v>64</v>
      </c>
      <c r="D165" s="0" t="s">
        <v>65</v>
      </c>
      <c r="E165" s="0" t="s">
        <v>297</v>
      </c>
      <c r="G165" s="0" t="n">
        <v>1</v>
      </c>
      <c r="H165" s="0" t="s">
        <v>298</v>
      </c>
      <c r="I165" s="48" t="n">
        <v>46296</v>
      </c>
      <c r="J165" s="0" t="n">
        <v>0</v>
      </c>
      <c r="K165" s="49" t="s">
        <v>641</v>
      </c>
      <c r="L165" s="49" t="s">
        <v>335</v>
      </c>
      <c r="M165" s="48" t="n">
        <v>46296</v>
      </c>
      <c r="N165" s="49" t="s">
        <v>335</v>
      </c>
      <c r="O165" s="49" t="s">
        <v>445</v>
      </c>
      <c r="P165" s="48"/>
      <c r="Q165" s="48" t="n">
        <v>46296</v>
      </c>
      <c r="R165" s="48" t="n">
        <v>46303</v>
      </c>
      <c r="T165" s="49" t="s">
        <v>302</v>
      </c>
      <c r="U165" s="49" t="s">
        <v>303</v>
      </c>
      <c r="Y165" s="49" t="s">
        <v>816</v>
      </c>
      <c r="AD165" s="49" t="s">
        <v>305</v>
      </c>
      <c r="AE165" s="48" t="n">
        <v>46279</v>
      </c>
      <c r="AF165" s="49" t="s">
        <v>306</v>
      </c>
      <c r="AG165" s="49" t="s">
        <v>307</v>
      </c>
      <c r="AK165" s="49" t="s">
        <v>303</v>
      </c>
      <c r="AL165" s="49" t="s">
        <v>297</v>
      </c>
      <c r="AO165" s="49" t="s">
        <v>303</v>
      </c>
      <c r="AP165" s="48"/>
      <c r="AR165" s="49" t="s">
        <v>303</v>
      </c>
      <c r="AS165" s="49" t="s">
        <v>306</v>
      </c>
      <c r="AT165" s="49" t="s">
        <v>817</v>
      </c>
      <c r="AV165" s="49" t="s">
        <v>309</v>
      </c>
      <c r="AW165" s="49" t="s">
        <v>310</v>
      </c>
      <c r="AX165" s="49" t="s">
        <v>311</v>
      </c>
      <c r="AY165" s="48"/>
      <c r="AZ165" s="48" t="n">
        <v>46294</v>
      </c>
      <c r="BC165" s="49" t="s">
        <v>303</v>
      </c>
      <c r="BD165" s="48"/>
      <c r="BE165" s="49" t="s">
        <v>312</v>
      </c>
      <c r="BF165" s="49" t="s">
        <v>303</v>
      </c>
      <c r="BG165" s="48"/>
      <c r="BI165" s="48"/>
      <c r="BJ165" s="48" t="n">
        <v>46301</v>
      </c>
      <c r="BK165" s="49" t="s">
        <v>312</v>
      </c>
      <c r="BL165" s="49" t="s">
        <v>313</v>
      </c>
      <c r="BM165" s="49" t="s">
        <v>310</v>
      </c>
      <c r="BN165" s="48"/>
      <c r="BO165" s="48"/>
      <c r="BP165" s="48"/>
      <c r="BQ165" s="49" t="s">
        <v>641</v>
      </c>
      <c r="BR165" s="48" t="n">
        <v>46301</v>
      </c>
      <c r="BS165" s="49" t="s">
        <v>814</v>
      </c>
      <c r="BT165" s="49" t="s">
        <v>312</v>
      </c>
      <c r="BU165" s="49" t="s">
        <v>313</v>
      </c>
      <c r="BV165" s="49" t="s">
        <v>303</v>
      </c>
      <c r="BX165" s="0" t="n">
        <v>0</v>
      </c>
      <c r="CC165" s="49" t="s">
        <v>315</v>
      </c>
      <c r="CD165" s="49" t="s">
        <v>303</v>
      </c>
      <c r="CF165" s="49" t="s">
        <v>303</v>
      </c>
      <c r="CG165" s="49" t="s">
        <v>316</v>
      </c>
      <c r="CH165" s="49" t="s">
        <v>317</v>
      </c>
      <c r="CI165" s="49" t="s">
        <v>318</v>
      </c>
      <c r="CM165" s="49" t="s">
        <v>65</v>
      </c>
      <c r="CV165" s="49" t="s">
        <v>303</v>
      </c>
      <c r="DB165" s="49" t="s">
        <v>319</v>
      </c>
      <c r="DD165" s="48" t="n">
        <v>46279</v>
      </c>
      <c r="DF165" s="49" t="s">
        <v>310</v>
      </c>
      <c r="DG165" s="49" t="s">
        <v>320</v>
      </c>
      <c r="DH165" s="49" t="s">
        <v>64</v>
      </c>
      <c r="DI165" s="49" t="s">
        <v>298</v>
      </c>
      <c r="DJ165" s="49" t="s">
        <v>394</v>
      </c>
      <c r="DK165" s="49" t="s">
        <v>322</v>
      </c>
      <c r="DL165" s="49" t="s">
        <v>323</v>
      </c>
      <c r="DM165" s="49" t="s">
        <v>303</v>
      </c>
      <c r="DN165" s="49" t="s">
        <v>297</v>
      </c>
      <c r="DO165" s="48"/>
      <c r="DP165" s="49" t="s">
        <v>312</v>
      </c>
      <c r="DQ165" s="48"/>
      <c r="DR165" s="49" t="s">
        <v>312</v>
      </c>
      <c r="DS165" s="49" t="s">
        <v>303</v>
      </c>
      <c r="DT165" s="49" t="s">
        <v>303</v>
      </c>
      <c r="DW165" s="49" t="s">
        <v>303</v>
      </c>
      <c r="EA165" s="49" t="s">
        <v>324</v>
      </c>
      <c r="EB165" s="49" t="s">
        <v>303</v>
      </c>
      <c r="EH165" s="49" t="s">
        <v>310</v>
      </c>
      <c r="EJ165" s="49" t="s">
        <v>303</v>
      </c>
      <c r="EK165" s="49" t="s">
        <v>818</v>
      </c>
      <c r="EM165" s="49" t="s">
        <v>303</v>
      </c>
      <c r="EN165" s="49" t="s">
        <v>396</v>
      </c>
      <c r="EP165" s="49" t="s">
        <v>298</v>
      </c>
      <c r="EQ165" s="0" t="n">
        <v>1</v>
      </c>
      <c r="ER165" s="49" t="s">
        <v>328</v>
      </c>
      <c r="ES165" s="49" t="s">
        <v>329</v>
      </c>
      <c r="ET165" s="49" t="s">
        <v>310</v>
      </c>
      <c r="EU165" s="49" t="s">
        <v>310</v>
      </c>
      <c r="EV165" s="49" t="s">
        <v>310</v>
      </c>
      <c r="EX165" s="49" t="s">
        <v>303</v>
      </c>
      <c r="EY165" s="49" t="s">
        <v>303</v>
      </c>
      <c r="FC165" s="49" t="s">
        <v>330</v>
      </c>
      <c r="FD165" s="49" t="s">
        <v>310</v>
      </c>
      <c r="FE165" s="49" t="s">
        <v>310</v>
      </c>
      <c r="FF165" s="49" t="s">
        <v>64</v>
      </c>
      <c r="FG165" s="49" t="s">
        <v>397</v>
      </c>
      <c r="FH165" s="49" t="s">
        <v>310</v>
      </c>
      <c r="FI165" s="49" t="s">
        <v>332</v>
      </c>
      <c r="FJ165" s="49" t="s">
        <v>303</v>
      </c>
      <c r="FL165" s="49" t="s">
        <v>325</v>
      </c>
      <c r="FM165" s="49" t="s">
        <v>641</v>
      </c>
      <c r="FP165" s="49" t="s">
        <v>303</v>
      </c>
      <c r="FR165" s="49" t="s">
        <v>303</v>
      </c>
      <c r="FT165" s="49" t="s">
        <v>325</v>
      </c>
      <c r="FU165" s="49" t="s">
        <v>325</v>
      </c>
      <c r="FW165" s="49" t="s">
        <v>333</v>
      </c>
    </row>
    <row r="166" customFormat="false" ht="15" hidden="false" customHeight="false" outlineLevel="0" collapsed="false">
      <c r="A166" s="0" t="n">
        <v>100880087</v>
      </c>
      <c r="B166" s="0" t="s">
        <v>295</v>
      </c>
      <c r="C166" s="0" t="s">
        <v>64</v>
      </c>
      <c r="D166" s="0" t="s">
        <v>65</v>
      </c>
      <c r="E166" s="0" t="s">
        <v>297</v>
      </c>
      <c r="G166" s="0" t="n">
        <v>1</v>
      </c>
      <c r="H166" s="0" t="s">
        <v>298</v>
      </c>
      <c r="I166" s="48" t="n">
        <v>46296</v>
      </c>
      <c r="J166" s="0" t="n">
        <v>0</v>
      </c>
      <c r="K166" s="49" t="s">
        <v>641</v>
      </c>
      <c r="L166" s="49" t="s">
        <v>335</v>
      </c>
      <c r="M166" s="48"/>
      <c r="O166" s="49" t="s">
        <v>445</v>
      </c>
      <c r="P166" s="48"/>
      <c r="Q166" s="48" t="n">
        <v>46296</v>
      </c>
      <c r="R166" s="48" t="n">
        <v>46302</v>
      </c>
      <c r="T166" s="49" t="s">
        <v>302</v>
      </c>
      <c r="U166" s="49" t="s">
        <v>303</v>
      </c>
      <c r="Y166" s="49" t="s">
        <v>312</v>
      </c>
      <c r="AD166" s="49" t="s">
        <v>305</v>
      </c>
      <c r="AE166" s="48" t="n">
        <v>46279</v>
      </c>
      <c r="AF166" s="49" t="s">
        <v>306</v>
      </c>
      <c r="AG166" s="49" t="s">
        <v>307</v>
      </c>
      <c r="AK166" s="49" t="s">
        <v>303</v>
      </c>
      <c r="AL166" s="49" t="s">
        <v>297</v>
      </c>
      <c r="AO166" s="49" t="s">
        <v>303</v>
      </c>
      <c r="AP166" s="48"/>
      <c r="AR166" s="49" t="s">
        <v>303</v>
      </c>
      <c r="AS166" s="49" t="s">
        <v>306</v>
      </c>
      <c r="AT166" s="49" t="s">
        <v>819</v>
      </c>
      <c r="AV166" s="49" t="s">
        <v>309</v>
      </c>
      <c r="AW166" s="49" t="s">
        <v>310</v>
      </c>
      <c r="AX166" s="49" t="s">
        <v>311</v>
      </c>
      <c r="AY166" s="48"/>
      <c r="AZ166" s="48" t="n">
        <v>46294</v>
      </c>
      <c r="BC166" s="49" t="s">
        <v>303</v>
      </c>
      <c r="BD166" s="48"/>
      <c r="BE166" s="49" t="s">
        <v>312</v>
      </c>
      <c r="BF166" s="49" t="s">
        <v>303</v>
      </c>
      <c r="BG166" s="48"/>
      <c r="BI166" s="48"/>
      <c r="BJ166" s="48" t="n">
        <v>46301</v>
      </c>
      <c r="BK166" s="49" t="s">
        <v>313</v>
      </c>
      <c r="BL166" s="49" t="s">
        <v>313</v>
      </c>
      <c r="BM166" s="49" t="s">
        <v>310</v>
      </c>
      <c r="BN166" s="48"/>
      <c r="BO166" s="48"/>
      <c r="BP166" s="48"/>
      <c r="BQ166" s="49" t="s">
        <v>641</v>
      </c>
      <c r="BR166" s="48" t="n">
        <v>46301</v>
      </c>
      <c r="BS166" s="49" t="s">
        <v>814</v>
      </c>
      <c r="BT166" s="49" t="s">
        <v>312</v>
      </c>
      <c r="BU166" s="49" t="s">
        <v>313</v>
      </c>
      <c r="BV166" s="49" t="s">
        <v>303</v>
      </c>
      <c r="BX166" s="0" t="n">
        <v>0</v>
      </c>
      <c r="CC166" s="49" t="s">
        <v>315</v>
      </c>
      <c r="CD166" s="49" t="s">
        <v>303</v>
      </c>
      <c r="CF166" s="49" t="s">
        <v>303</v>
      </c>
      <c r="CG166" s="49" t="s">
        <v>316</v>
      </c>
      <c r="CH166" s="49" t="s">
        <v>317</v>
      </c>
      <c r="CI166" s="49" t="s">
        <v>318</v>
      </c>
      <c r="CM166" s="49" t="s">
        <v>65</v>
      </c>
      <c r="CV166" s="49" t="s">
        <v>303</v>
      </c>
      <c r="DB166" s="49" t="s">
        <v>319</v>
      </c>
      <c r="DD166" s="48" t="n">
        <v>46279</v>
      </c>
      <c r="DF166" s="49" t="s">
        <v>310</v>
      </c>
      <c r="DG166" s="49" t="s">
        <v>320</v>
      </c>
      <c r="DH166" s="49" t="s">
        <v>64</v>
      </c>
      <c r="DI166" s="49" t="s">
        <v>298</v>
      </c>
      <c r="DJ166" s="49" t="s">
        <v>394</v>
      </c>
      <c r="DK166" s="49" t="s">
        <v>322</v>
      </c>
      <c r="DL166" s="49" t="s">
        <v>323</v>
      </c>
      <c r="DM166" s="49" t="s">
        <v>303</v>
      </c>
      <c r="DN166" s="49" t="s">
        <v>297</v>
      </c>
      <c r="DO166" s="48"/>
      <c r="DP166" s="49" t="s">
        <v>312</v>
      </c>
      <c r="DQ166" s="48"/>
      <c r="DR166" s="49" t="s">
        <v>312</v>
      </c>
      <c r="DS166" s="49" t="s">
        <v>303</v>
      </c>
      <c r="DT166" s="49" t="s">
        <v>303</v>
      </c>
      <c r="DW166" s="49" t="s">
        <v>303</v>
      </c>
      <c r="EA166" s="49" t="s">
        <v>324</v>
      </c>
      <c r="EB166" s="49" t="s">
        <v>303</v>
      </c>
      <c r="EF166" s="49" t="s">
        <v>820</v>
      </c>
      <c r="EH166" s="49" t="s">
        <v>310</v>
      </c>
      <c r="EJ166" s="49" t="s">
        <v>303</v>
      </c>
      <c r="EK166" s="49" t="s">
        <v>821</v>
      </c>
      <c r="EM166" s="49" t="s">
        <v>303</v>
      </c>
      <c r="EN166" s="49" t="s">
        <v>396</v>
      </c>
      <c r="EP166" s="49" t="s">
        <v>298</v>
      </c>
      <c r="EQ166" s="0" t="n">
        <v>1</v>
      </c>
      <c r="ER166" s="49" t="s">
        <v>328</v>
      </c>
      <c r="ES166" s="49" t="s">
        <v>329</v>
      </c>
      <c r="ET166" s="49" t="s">
        <v>310</v>
      </c>
      <c r="EU166" s="49" t="s">
        <v>310</v>
      </c>
      <c r="EV166" s="49" t="s">
        <v>310</v>
      </c>
      <c r="EX166" s="49" t="s">
        <v>303</v>
      </c>
      <c r="EY166" s="49" t="s">
        <v>303</v>
      </c>
      <c r="FC166" s="49" t="s">
        <v>330</v>
      </c>
      <c r="FD166" s="49" t="s">
        <v>310</v>
      </c>
      <c r="FE166" s="49" t="s">
        <v>310</v>
      </c>
      <c r="FF166" s="49" t="s">
        <v>64</v>
      </c>
      <c r="FG166" s="49" t="s">
        <v>397</v>
      </c>
      <c r="FH166" s="49" t="s">
        <v>310</v>
      </c>
      <c r="FI166" s="49" t="s">
        <v>332</v>
      </c>
      <c r="FJ166" s="49" t="s">
        <v>303</v>
      </c>
      <c r="FL166" s="49" t="s">
        <v>325</v>
      </c>
      <c r="FM166" s="49" t="s">
        <v>641</v>
      </c>
      <c r="FP166" s="49" t="s">
        <v>303</v>
      </c>
      <c r="FR166" s="49" t="s">
        <v>303</v>
      </c>
      <c r="FT166" s="49" t="s">
        <v>325</v>
      </c>
      <c r="FU166" s="49" t="s">
        <v>325</v>
      </c>
      <c r="FW166" s="49" t="s">
        <v>333</v>
      </c>
    </row>
    <row r="167" customFormat="false" ht="15" hidden="false" customHeight="false" outlineLevel="0" collapsed="false">
      <c r="A167" s="0" t="n">
        <v>100880088</v>
      </c>
      <c r="B167" s="0" t="s">
        <v>295</v>
      </c>
      <c r="C167" s="0" t="s">
        <v>64</v>
      </c>
      <c r="D167" s="0" t="s">
        <v>65</v>
      </c>
      <c r="E167" s="0" t="s">
        <v>297</v>
      </c>
      <c r="G167" s="0" t="n">
        <v>1</v>
      </c>
      <c r="H167" s="0" t="s">
        <v>298</v>
      </c>
      <c r="I167" s="48" t="n">
        <v>46296</v>
      </c>
      <c r="J167" s="0" t="n">
        <v>0</v>
      </c>
      <c r="K167" s="49" t="s">
        <v>641</v>
      </c>
      <c r="L167" s="49" t="s">
        <v>335</v>
      </c>
      <c r="M167" s="48"/>
      <c r="O167" s="49" t="s">
        <v>445</v>
      </c>
      <c r="P167" s="48"/>
      <c r="Q167" s="48" t="n">
        <v>46296</v>
      </c>
      <c r="R167" s="48" t="n">
        <v>46302</v>
      </c>
      <c r="T167" s="49" t="s">
        <v>302</v>
      </c>
      <c r="U167" s="49" t="s">
        <v>303</v>
      </c>
      <c r="Y167" s="49" t="s">
        <v>312</v>
      </c>
      <c r="AD167" s="49" t="s">
        <v>305</v>
      </c>
      <c r="AE167" s="48" t="n">
        <v>46279</v>
      </c>
      <c r="AF167" s="49" t="s">
        <v>306</v>
      </c>
      <c r="AG167" s="49" t="s">
        <v>307</v>
      </c>
      <c r="AK167" s="49" t="s">
        <v>303</v>
      </c>
      <c r="AL167" s="49" t="s">
        <v>297</v>
      </c>
      <c r="AO167" s="49" t="s">
        <v>303</v>
      </c>
      <c r="AP167" s="48"/>
      <c r="AR167" s="49" t="s">
        <v>303</v>
      </c>
      <c r="AS167" s="49" t="s">
        <v>306</v>
      </c>
      <c r="AT167" s="49" t="s">
        <v>822</v>
      </c>
      <c r="AV167" s="49" t="s">
        <v>309</v>
      </c>
      <c r="AW167" s="49" t="s">
        <v>310</v>
      </c>
      <c r="AX167" s="49" t="s">
        <v>311</v>
      </c>
      <c r="AY167" s="48"/>
      <c r="AZ167" s="48" t="n">
        <v>46294</v>
      </c>
      <c r="BC167" s="49" t="s">
        <v>303</v>
      </c>
      <c r="BD167" s="48"/>
      <c r="BE167" s="49" t="s">
        <v>312</v>
      </c>
      <c r="BF167" s="49" t="s">
        <v>303</v>
      </c>
      <c r="BG167" s="48"/>
      <c r="BI167" s="48"/>
      <c r="BJ167" s="48" t="n">
        <v>46301</v>
      </c>
      <c r="BK167" s="49" t="s">
        <v>313</v>
      </c>
      <c r="BL167" s="49" t="s">
        <v>313</v>
      </c>
      <c r="BM167" s="49" t="s">
        <v>310</v>
      </c>
      <c r="BN167" s="48"/>
      <c r="BO167" s="48"/>
      <c r="BP167" s="48"/>
      <c r="BQ167" s="49" t="s">
        <v>641</v>
      </c>
      <c r="BR167" s="48" t="n">
        <v>46301</v>
      </c>
      <c r="BS167" s="49" t="s">
        <v>823</v>
      </c>
      <c r="BT167" s="49" t="s">
        <v>312</v>
      </c>
      <c r="BU167" s="49" t="s">
        <v>313</v>
      </c>
      <c r="BV167" s="49" t="s">
        <v>303</v>
      </c>
      <c r="BX167" s="0" t="n">
        <v>0</v>
      </c>
      <c r="CC167" s="49" t="s">
        <v>315</v>
      </c>
      <c r="CD167" s="49" t="s">
        <v>303</v>
      </c>
      <c r="CF167" s="49" t="s">
        <v>303</v>
      </c>
      <c r="CG167" s="49" t="s">
        <v>316</v>
      </c>
      <c r="CH167" s="49" t="s">
        <v>317</v>
      </c>
      <c r="CI167" s="49" t="s">
        <v>318</v>
      </c>
      <c r="CM167" s="49" t="s">
        <v>65</v>
      </c>
      <c r="CV167" s="49" t="s">
        <v>303</v>
      </c>
      <c r="DB167" s="49" t="s">
        <v>319</v>
      </c>
      <c r="DD167" s="48" t="n">
        <v>46279</v>
      </c>
      <c r="DF167" s="49" t="s">
        <v>310</v>
      </c>
      <c r="DG167" s="49" t="s">
        <v>320</v>
      </c>
      <c r="DH167" s="49" t="s">
        <v>64</v>
      </c>
      <c r="DI167" s="49" t="s">
        <v>298</v>
      </c>
      <c r="DJ167" s="49" t="s">
        <v>394</v>
      </c>
      <c r="DK167" s="49" t="s">
        <v>322</v>
      </c>
      <c r="DL167" s="49" t="s">
        <v>323</v>
      </c>
      <c r="DM167" s="49" t="s">
        <v>303</v>
      </c>
      <c r="DN167" s="49" t="s">
        <v>297</v>
      </c>
      <c r="DO167" s="48"/>
      <c r="DP167" s="49" t="s">
        <v>312</v>
      </c>
      <c r="DQ167" s="48"/>
      <c r="DR167" s="49" t="s">
        <v>312</v>
      </c>
      <c r="DS167" s="49" t="s">
        <v>303</v>
      </c>
      <c r="DT167" s="49" t="s">
        <v>303</v>
      </c>
      <c r="DW167" s="49" t="s">
        <v>303</v>
      </c>
      <c r="EA167" s="49" t="s">
        <v>324</v>
      </c>
      <c r="EB167" s="49" t="s">
        <v>303</v>
      </c>
      <c r="EF167" s="49" t="s">
        <v>820</v>
      </c>
      <c r="EH167" s="49" t="s">
        <v>310</v>
      </c>
      <c r="EJ167" s="49" t="s">
        <v>303</v>
      </c>
      <c r="EK167" s="49" t="s">
        <v>824</v>
      </c>
      <c r="EM167" s="49" t="s">
        <v>303</v>
      </c>
      <c r="EN167" s="49" t="s">
        <v>396</v>
      </c>
      <c r="EP167" s="49" t="s">
        <v>298</v>
      </c>
      <c r="EQ167" s="0" t="n">
        <v>1</v>
      </c>
      <c r="ER167" s="49" t="s">
        <v>328</v>
      </c>
      <c r="ES167" s="49" t="s">
        <v>329</v>
      </c>
      <c r="ET167" s="49" t="s">
        <v>310</v>
      </c>
      <c r="EU167" s="49" t="s">
        <v>310</v>
      </c>
      <c r="EV167" s="49" t="s">
        <v>310</v>
      </c>
      <c r="EX167" s="49" t="s">
        <v>303</v>
      </c>
      <c r="EY167" s="49" t="s">
        <v>303</v>
      </c>
      <c r="FC167" s="49" t="s">
        <v>330</v>
      </c>
      <c r="FD167" s="49" t="s">
        <v>310</v>
      </c>
      <c r="FE167" s="49" t="s">
        <v>310</v>
      </c>
      <c r="FF167" s="49" t="s">
        <v>64</v>
      </c>
      <c r="FG167" s="49" t="s">
        <v>397</v>
      </c>
      <c r="FH167" s="49" t="s">
        <v>310</v>
      </c>
      <c r="FI167" s="49" t="s">
        <v>332</v>
      </c>
      <c r="FJ167" s="49" t="s">
        <v>303</v>
      </c>
      <c r="FL167" s="49" t="s">
        <v>325</v>
      </c>
      <c r="FM167" s="49" t="s">
        <v>641</v>
      </c>
      <c r="FP167" s="49" t="s">
        <v>303</v>
      </c>
      <c r="FR167" s="49" t="s">
        <v>303</v>
      </c>
      <c r="FT167" s="49" t="s">
        <v>325</v>
      </c>
      <c r="FU167" s="49" t="s">
        <v>325</v>
      </c>
      <c r="FW167" s="49" t="s">
        <v>333</v>
      </c>
    </row>
    <row r="168" customFormat="false" ht="15" hidden="false" customHeight="false" outlineLevel="0" collapsed="false">
      <c r="A168" s="0" t="n">
        <v>100880089</v>
      </c>
      <c r="B168" s="0" t="s">
        <v>295</v>
      </c>
      <c r="C168" s="0" t="s">
        <v>64</v>
      </c>
      <c r="D168" s="0" t="s">
        <v>65</v>
      </c>
      <c r="E168" s="0" t="s">
        <v>297</v>
      </c>
      <c r="G168" s="0" t="n">
        <v>1</v>
      </c>
      <c r="H168" s="0" t="s">
        <v>298</v>
      </c>
      <c r="I168" s="48" t="n">
        <v>46296</v>
      </c>
      <c r="J168" s="0" t="n">
        <v>0</v>
      </c>
      <c r="K168" s="49" t="s">
        <v>641</v>
      </c>
      <c r="L168" s="49" t="s">
        <v>335</v>
      </c>
      <c r="M168" s="48"/>
      <c r="O168" s="49" t="s">
        <v>445</v>
      </c>
      <c r="P168" s="48"/>
      <c r="Q168" s="48" t="n">
        <v>46296</v>
      </c>
      <c r="R168" s="48" t="n">
        <v>46302</v>
      </c>
      <c r="T168" s="49" t="s">
        <v>302</v>
      </c>
      <c r="U168" s="49" t="s">
        <v>303</v>
      </c>
      <c r="Y168" s="49" t="s">
        <v>312</v>
      </c>
      <c r="AD168" s="49" t="s">
        <v>305</v>
      </c>
      <c r="AE168" s="48" t="n">
        <v>46279</v>
      </c>
      <c r="AF168" s="49" t="s">
        <v>306</v>
      </c>
      <c r="AG168" s="49" t="s">
        <v>307</v>
      </c>
      <c r="AK168" s="49" t="s">
        <v>303</v>
      </c>
      <c r="AL168" s="49" t="s">
        <v>297</v>
      </c>
      <c r="AO168" s="49" t="s">
        <v>303</v>
      </c>
      <c r="AP168" s="48"/>
      <c r="AR168" s="49" t="s">
        <v>303</v>
      </c>
      <c r="AS168" s="49" t="s">
        <v>306</v>
      </c>
      <c r="AT168" s="49" t="s">
        <v>825</v>
      </c>
      <c r="AV168" s="49" t="s">
        <v>309</v>
      </c>
      <c r="AW168" s="49" t="s">
        <v>310</v>
      </c>
      <c r="AX168" s="49" t="s">
        <v>311</v>
      </c>
      <c r="AY168" s="48"/>
      <c r="AZ168" s="48" t="n">
        <v>46294</v>
      </c>
      <c r="BC168" s="49" t="s">
        <v>303</v>
      </c>
      <c r="BD168" s="48"/>
      <c r="BE168" s="49" t="s">
        <v>312</v>
      </c>
      <c r="BF168" s="49" t="s">
        <v>303</v>
      </c>
      <c r="BG168" s="48"/>
      <c r="BI168" s="48"/>
      <c r="BJ168" s="48" t="n">
        <v>46301</v>
      </c>
      <c r="BK168" s="49" t="s">
        <v>313</v>
      </c>
      <c r="BL168" s="49" t="s">
        <v>313</v>
      </c>
      <c r="BM168" s="49" t="s">
        <v>310</v>
      </c>
      <c r="BN168" s="48"/>
      <c r="BO168" s="48"/>
      <c r="BP168" s="48"/>
      <c r="BQ168" s="49" t="s">
        <v>641</v>
      </c>
      <c r="BR168" s="48" t="n">
        <v>46301</v>
      </c>
      <c r="BS168" s="49" t="s">
        <v>823</v>
      </c>
      <c r="BT168" s="49" t="s">
        <v>312</v>
      </c>
      <c r="BU168" s="49" t="s">
        <v>313</v>
      </c>
      <c r="BV168" s="49" t="s">
        <v>303</v>
      </c>
      <c r="BX168" s="0" t="n">
        <v>0</v>
      </c>
      <c r="CC168" s="49" t="s">
        <v>315</v>
      </c>
      <c r="CD168" s="49" t="s">
        <v>303</v>
      </c>
      <c r="CF168" s="49" t="s">
        <v>303</v>
      </c>
      <c r="CG168" s="49" t="s">
        <v>316</v>
      </c>
      <c r="CH168" s="49" t="s">
        <v>317</v>
      </c>
      <c r="CI168" s="49" t="s">
        <v>318</v>
      </c>
      <c r="CM168" s="49" t="s">
        <v>65</v>
      </c>
      <c r="CV168" s="49" t="s">
        <v>303</v>
      </c>
      <c r="DB168" s="49" t="s">
        <v>319</v>
      </c>
      <c r="DD168" s="48" t="n">
        <v>46279</v>
      </c>
      <c r="DF168" s="49" t="s">
        <v>310</v>
      </c>
      <c r="DG168" s="49" t="s">
        <v>320</v>
      </c>
      <c r="DH168" s="49" t="s">
        <v>64</v>
      </c>
      <c r="DI168" s="49" t="s">
        <v>298</v>
      </c>
      <c r="DJ168" s="49" t="s">
        <v>394</v>
      </c>
      <c r="DK168" s="49" t="s">
        <v>322</v>
      </c>
      <c r="DL168" s="49" t="s">
        <v>323</v>
      </c>
      <c r="DM168" s="49" t="s">
        <v>303</v>
      </c>
      <c r="DN168" s="49" t="s">
        <v>297</v>
      </c>
      <c r="DO168" s="48"/>
      <c r="DP168" s="49" t="s">
        <v>312</v>
      </c>
      <c r="DQ168" s="48"/>
      <c r="DR168" s="49" t="s">
        <v>312</v>
      </c>
      <c r="DS168" s="49" t="s">
        <v>303</v>
      </c>
      <c r="DT168" s="49" t="s">
        <v>303</v>
      </c>
      <c r="DW168" s="49" t="s">
        <v>303</v>
      </c>
      <c r="EA168" s="49" t="s">
        <v>324</v>
      </c>
      <c r="EB168" s="49" t="s">
        <v>303</v>
      </c>
      <c r="EF168" s="49" t="s">
        <v>820</v>
      </c>
      <c r="EH168" s="49" t="s">
        <v>310</v>
      </c>
      <c r="EJ168" s="49" t="s">
        <v>303</v>
      </c>
      <c r="EK168" s="49" t="s">
        <v>826</v>
      </c>
      <c r="EM168" s="49" t="s">
        <v>303</v>
      </c>
      <c r="EN168" s="49" t="s">
        <v>396</v>
      </c>
      <c r="EP168" s="49" t="s">
        <v>298</v>
      </c>
      <c r="EQ168" s="0" t="n">
        <v>1</v>
      </c>
      <c r="ER168" s="49" t="s">
        <v>328</v>
      </c>
      <c r="ES168" s="49" t="s">
        <v>329</v>
      </c>
      <c r="ET168" s="49" t="s">
        <v>310</v>
      </c>
      <c r="EU168" s="49" t="s">
        <v>310</v>
      </c>
      <c r="EV168" s="49" t="s">
        <v>310</v>
      </c>
      <c r="EX168" s="49" t="s">
        <v>303</v>
      </c>
      <c r="EY168" s="49" t="s">
        <v>303</v>
      </c>
      <c r="FC168" s="49" t="s">
        <v>330</v>
      </c>
      <c r="FD168" s="49" t="s">
        <v>310</v>
      </c>
      <c r="FE168" s="49" t="s">
        <v>310</v>
      </c>
      <c r="FF168" s="49" t="s">
        <v>64</v>
      </c>
      <c r="FG168" s="49" t="s">
        <v>397</v>
      </c>
      <c r="FH168" s="49" t="s">
        <v>310</v>
      </c>
      <c r="FI168" s="49" t="s">
        <v>332</v>
      </c>
      <c r="FJ168" s="49" t="s">
        <v>303</v>
      </c>
      <c r="FL168" s="49" t="s">
        <v>325</v>
      </c>
      <c r="FM168" s="49" t="s">
        <v>641</v>
      </c>
      <c r="FP168" s="49" t="s">
        <v>303</v>
      </c>
      <c r="FR168" s="49" t="s">
        <v>303</v>
      </c>
      <c r="FT168" s="49" t="s">
        <v>325</v>
      </c>
      <c r="FU168" s="49" t="s">
        <v>325</v>
      </c>
      <c r="FW168" s="49" t="s">
        <v>333</v>
      </c>
    </row>
    <row r="169" customFormat="false" ht="15" hidden="false" customHeight="false" outlineLevel="0" collapsed="false">
      <c r="A169" s="0" t="n">
        <v>100880090</v>
      </c>
      <c r="B169" s="0" t="s">
        <v>295</v>
      </c>
      <c r="C169" s="0" t="s">
        <v>64</v>
      </c>
      <c r="D169" s="0" t="s">
        <v>65</v>
      </c>
      <c r="E169" s="0" t="s">
        <v>297</v>
      </c>
      <c r="G169" s="0" t="n">
        <v>1</v>
      </c>
      <c r="H169" s="0" t="s">
        <v>298</v>
      </c>
      <c r="I169" s="48" t="n">
        <v>46296</v>
      </c>
      <c r="J169" s="0" t="n">
        <v>0</v>
      </c>
      <c r="K169" s="49" t="s">
        <v>641</v>
      </c>
      <c r="L169" s="49" t="s">
        <v>335</v>
      </c>
      <c r="M169" s="48"/>
      <c r="O169" s="49" t="s">
        <v>445</v>
      </c>
      <c r="P169" s="48"/>
      <c r="Q169" s="48" t="n">
        <v>46296</v>
      </c>
      <c r="R169" s="48" t="n">
        <v>46302</v>
      </c>
      <c r="T169" s="49" t="s">
        <v>302</v>
      </c>
      <c r="U169" s="49" t="s">
        <v>303</v>
      </c>
      <c r="Y169" s="49" t="s">
        <v>312</v>
      </c>
      <c r="AD169" s="49" t="s">
        <v>305</v>
      </c>
      <c r="AE169" s="48" t="n">
        <v>46279</v>
      </c>
      <c r="AF169" s="49" t="s">
        <v>306</v>
      </c>
      <c r="AG169" s="49" t="s">
        <v>307</v>
      </c>
      <c r="AK169" s="49" t="s">
        <v>303</v>
      </c>
      <c r="AL169" s="49" t="s">
        <v>297</v>
      </c>
      <c r="AO169" s="49" t="s">
        <v>303</v>
      </c>
      <c r="AP169" s="48"/>
      <c r="AR169" s="49" t="s">
        <v>303</v>
      </c>
      <c r="AS169" s="49" t="s">
        <v>306</v>
      </c>
      <c r="AT169" s="49" t="s">
        <v>827</v>
      </c>
      <c r="AV169" s="49" t="s">
        <v>309</v>
      </c>
      <c r="AW169" s="49" t="s">
        <v>310</v>
      </c>
      <c r="AX169" s="49" t="s">
        <v>311</v>
      </c>
      <c r="AY169" s="48"/>
      <c r="AZ169" s="48" t="n">
        <v>46294</v>
      </c>
      <c r="BC169" s="49" t="s">
        <v>303</v>
      </c>
      <c r="BD169" s="48"/>
      <c r="BE169" s="49" t="s">
        <v>312</v>
      </c>
      <c r="BF169" s="49" t="s">
        <v>303</v>
      </c>
      <c r="BG169" s="48"/>
      <c r="BI169" s="48"/>
      <c r="BJ169" s="48" t="n">
        <v>46301</v>
      </c>
      <c r="BK169" s="49" t="s">
        <v>313</v>
      </c>
      <c r="BL169" s="49" t="s">
        <v>313</v>
      </c>
      <c r="BM169" s="49" t="s">
        <v>310</v>
      </c>
      <c r="BN169" s="48"/>
      <c r="BO169" s="48"/>
      <c r="BP169" s="48"/>
      <c r="BQ169" s="49" t="s">
        <v>641</v>
      </c>
      <c r="BR169" s="48" t="n">
        <v>46301</v>
      </c>
      <c r="BS169" s="49" t="s">
        <v>828</v>
      </c>
      <c r="BT169" s="49" t="s">
        <v>312</v>
      </c>
      <c r="BU169" s="49" t="s">
        <v>313</v>
      </c>
      <c r="BV169" s="49" t="s">
        <v>303</v>
      </c>
      <c r="BX169" s="0" t="n">
        <v>0</v>
      </c>
      <c r="CC169" s="49" t="s">
        <v>315</v>
      </c>
      <c r="CD169" s="49" t="s">
        <v>303</v>
      </c>
      <c r="CF169" s="49" t="s">
        <v>303</v>
      </c>
      <c r="CG169" s="49" t="s">
        <v>316</v>
      </c>
      <c r="CH169" s="49" t="s">
        <v>317</v>
      </c>
      <c r="CI169" s="49" t="s">
        <v>318</v>
      </c>
      <c r="CM169" s="49" t="s">
        <v>65</v>
      </c>
      <c r="CV169" s="49" t="s">
        <v>303</v>
      </c>
      <c r="DB169" s="49" t="s">
        <v>319</v>
      </c>
      <c r="DD169" s="48" t="n">
        <v>46279</v>
      </c>
      <c r="DF169" s="49" t="s">
        <v>310</v>
      </c>
      <c r="DG169" s="49" t="s">
        <v>320</v>
      </c>
      <c r="DH169" s="49" t="s">
        <v>64</v>
      </c>
      <c r="DI169" s="49" t="s">
        <v>298</v>
      </c>
      <c r="DJ169" s="49" t="s">
        <v>394</v>
      </c>
      <c r="DK169" s="49" t="s">
        <v>322</v>
      </c>
      <c r="DL169" s="49" t="s">
        <v>323</v>
      </c>
      <c r="DM169" s="49" t="s">
        <v>303</v>
      </c>
      <c r="DN169" s="49" t="s">
        <v>297</v>
      </c>
      <c r="DO169" s="48"/>
      <c r="DP169" s="49" t="s">
        <v>312</v>
      </c>
      <c r="DQ169" s="48"/>
      <c r="DR169" s="49" t="s">
        <v>312</v>
      </c>
      <c r="DS169" s="49" t="s">
        <v>303</v>
      </c>
      <c r="DT169" s="49" t="s">
        <v>303</v>
      </c>
      <c r="DW169" s="49" t="s">
        <v>303</v>
      </c>
      <c r="EA169" s="49" t="s">
        <v>324</v>
      </c>
      <c r="EB169" s="49" t="s">
        <v>303</v>
      </c>
      <c r="EF169" s="49" t="s">
        <v>820</v>
      </c>
      <c r="EH169" s="49" t="s">
        <v>310</v>
      </c>
      <c r="EJ169" s="49" t="s">
        <v>303</v>
      </c>
      <c r="EK169" s="49" t="s">
        <v>829</v>
      </c>
      <c r="EM169" s="49" t="s">
        <v>303</v>
      </c>
      <c r="EN169" s="49" t="s">
        <v>396</v>
      </c>
      <c r="EP169" s="49" t="s">
        <v>298</v>
      </c>
      <c r="EQ169" s="0" t="n">
        <v>1</v>
      </c>
      <c r="ER169" s="49" t="s">
        <v>328</v>
      </c>
      <c r="ES169" s="49" t="s">
        <v>329</v>
      </c>
      <c r="ET169" s="49" t="s">
        <v>310</v>
      </c>
      <c r="EU169" s="49" t="s">
        <v>310</v>
      </c>
      <c r="EV169" s="49" t="s">
        <v>310</v>
      </c>
      <c r="EX169" s="49" t="s">
        <v>303</v>
      </c>
      <c r="EY169" s="49" t="s">
        <v>303</v>
      </c>
      <c r="FC169" s="49" t="s">
        <v>330</v>
      </c>
      <c r="FD169" s="49" t="s">
        <v>310</v>
      </c>
      <c r="FE169" s="49" t="s">
        <v>310</v>
      </c>
      <c r="FF169" s="49" t="s">
        <v>64</v>
      </c>
      <c r="FG169" s="49" t="s">
        <v>397</v>
      </c>
      <c r="FH169" s="49" t="s">
        <v>310</v>
      </c>
      <c r="FI169" s="49" t="s">
        <v>332</v>
      </c>
      <c r="FJ169" s="49" t="s">
        <v>303</v>
      </c>
      <c r="FL169" s="49" t="s">
        <v>325</v>
      </c>
      <c r="FM169" s="49" t="s">
        <v>641</v>
      </c>
      <c r="FP169" s="49" t="s">
        <v>303</v>
      </c>
      <c r="FR169" s="49" t="s">
        <v>303</v>
      </c>
      <c r="FT169" s="49" t="s">
        <v>325</v>
      </c>
      <c r="FU169" s="49" t="s">
        <v>325</v>
      </c>
      <c r="FW169" s="49" t="s">
        <v>333</v>
      </c>
    </row>
    <row r="170" customFormat="false" ht="15" hidden="false" customHeight="false" outlineLevel="0" collapsed="false">
      <c r="A170" s="0" t="n">
        <v>100880091</v>
      </c>
      <c r="B170" s="0" t="s">
        <v>295</v>
      </c>
      <c r="C170" s="0" t="s">
        <v>64</v>
      </c>
      <c r="D170" s="0" t="s">
        <v>65</v>
      </c>
      <c r="E170" s="0" t="s">
        <v>297</v>
      </c>
      <c r="G170" s="0" t="n">
        <v>1</v>
      </c>
      <c r="H170" s="0" t="s">
        <v>298</v>
      </c>
      <c r="I170" s="48" t="n">
        <v>46296</v>
      </c>
      <c r="J170" s="0" t="n">
        <v>0</v>
      </c>
      <c r="K170" s="49" t="s">
        <v>641</v>
      </c>
      <c r="L170" s="49" t="s">
        <v>335</v>
      </c>
      <c r="M170" s="48"/>
      <c r="O170" s="49" t="s">
        <v>445</v>
      </c>
      <c r="P170" s="48"/>
      <c r="Q170" s="48" t="n">
        <v>46296</v>
      </c>
      <c r="R170" s="48" t="n">
        <v>46302</v>
      </c>
      <c r="T170" s="49" t="s">
        <v>302</v>
      </c>
      <c r="U170" s="49" t="s">
        <v>303</v>
      </c>
      <c r="Y170" s="49" t="s">
        <v>312</v>
      </c>
      <c r="AD170" s="49" t="s">
        <v>305</v>
      </c>
      <c r="AE170" s="48" t="n">
        <v>46279</v>
      </c>
      <c r="AF170" s="49" t="s">
        <v>306</v>
      </c>
      <c r="AG170" s="49" t="s">
        <v>307</v>
      </c>
      <c r="AK170" s="49" t="s">
        <v>303</v>
      </c>
      <c r="AL170" s="49" t="s">
        <v>297</v>
      </c>
      <c r="AO170" s="49" t="s">
        <v>303</v>
      </c>
      <c r="AP170" s="48"/>
      <c r="AR170" s="49" t="s">
        <v>303</v>
      </c>
      <c r="AS170" s="49" t="s">
        <v>306</v>
      </c>
      <c r="AT170" s="49" t="s">
        <v>830</v>
      </c>
      <c r="AV170" s="49" t="s">
        <v>309</v>
      </c>
      <c r="AW170" s="49" t="s">
        <v>310</v>
      </c>
      <c r="AX170" s="49" t="s">
        <v>311</v>
      </c>
      <c r="AY170" s="48"/>
      <c r="AZ170" s="48" t="n">
        <v>46294</v>
      </c>
      <c r="BC170" s="49" t="s">
        <v>303</v>
      </c>
      <c r="BD170" s="48"/>
      <c r="BE170" s="49" t="s">
        <v>312</v>
      </c>
      <c r="BF170" s="49" t="s">
        <v>303</v>
      </c>
      <c r="BG170" s="48"/>
      <c r="BI170" s="48"/>
      <c r="BJ170" s="48" t="n">
        <v>46301</v>
      </c>
      <c r="BK170" s="49" t="s">
        <v>313</v>
      </c>
      <c r="BL170" s="49" t="s">
        <v>313</v>
      </c>
      <c r="BM170" s="49" t="s">
        <v>310</v>
      </c>
      <c r="BN170" s="48"/>
      <c r="BO170" s="48"/>
      <c r="BP170" s="48"/>
      <c r="BQ170" s="49" t="s">
        <v>641</v>
      </c>
      <c r="BR170" s="48" t="n">
        <v>46301</v>
      </c>
      <c r="BS170" s="49" t="s">
        <v>828</v>
      </c>
      <c r="BT170" s="49" t="s">
        <v>312</v>
      </c>
      <c r="BU170" s="49" t="s">
        <v>313</v>
      </c>
      <c r="BV170" s="49" t="s">
        <v>303</v>
      </c>
      <c r="BX170" s="0" t="n">
        <v>0</v>
      </c>
      <c r="CC170" s="49" t="s">
        <v>315</v>
      </c>
      <c r="CD170" s="49" t="s">
        <v>303</v>
      </c>
      <c r="CF170" s="49" t="s">
        <v>303</v>
      </c>
      <c r="CG170" s="49" t="s">
        <v>316</v>
      </c>
      <c r="CH170" s="49" t="s">
        <v>317</v>
      </c>
      <c r="CI170" s="49" t="s">
        <v>318</v>
      </c>
      <c r="CM170" s="49" t="s">
        <v>65</v>
      </c>
      <c r="CV170" s="49" t="s">
        <v>303</v>
      </c>
      <c r="DB170" s="49" t="s">
        <v>319</v>
      </c>
      <c r="DD170" s="48" t="n">
        <v>46279</v>
      </c>
      <c r="DF170" s="49" t="s">
        <v>310</v>
      </c>
      <c r="DG170" s="49" t="s">
        <v>320</v>
      </c>
      <c r="DH170" s="49" t="s">
        <v>64</v>
      </c>
      <c r="DI170" s="49" t="s">
        <v>298</v>
      </c>
      <c r="DJ170" s="49" t="s">
        <v>394</v>
      </c>
      <c r="DK170" s="49" t="s">
        <v>322</v>
      </c>
      <c r="DL170" s="49" t="s">
        <v>323</v>
      </c>
      <c r="DM170" s="49" t="s">
        <v>303</v>
      </c>
      <c r="DN170" s="49" t="s">
        <v>297</v>
      </c>
      <c r="DO170" s="48"/>
      <c r="DP170" s="49" t="s">
        <v>312</v>
      </c>
      <c r="DQ170" s="48"/>
      <c r="DR170" s="49" t="s">
        <v>312</v>
      </c>
      <c r="DS170" s="49" t="s">
        <v>303</v>
      </c>
      <c r="DT170" s="49" t="s">
        <v>303</v>
      </c>
      <c r="DW170" s="49" t="s">
        <v>303</v>
      </c>
      <c r="EA170" s="49" t="s">
        <v>324</v>
      </c>
      <c r="EB170" s="49" t="s">
        <v>303</v>
      </c>
      <c r="EF170" s="49" t="s">
        <v>820</v>
      </c>
      <c r="EH170" s="49" t="s">
        <v>310</v>
      </c>
      <c r="EJ170" s="49" t="s">
        <v>303</v>
      </c>
      <c r="EK170" s="49" t="s">
        <v>831</v>
      </c>
      <c r="EM170" s="49" t="s">
        <v>303</v>
      </c>
      <c r="EN170" s="49" t="s">
        <v>396</v>
      </c>
      <c r="EP170" s="49" t="s">
        <v>298</v>
      </c>
      <c r="EQ170" s="0" t="n">
        <v>1</v>
      </c>
      <c r="ER170" s="49" t="s">
        <v>328</v>
      </c>
      <c r="ES170" s="49" t="s">
        <v>329</v>
      </c>
      <c r="ET170" s="49" t="s">
        <v>310</v>
      </c>
      <c r="EU170" s="49" t="s">
        <v>310</v>
      </c>
      <c r="EV170" s="49" t="s">
        <v>310</v>
      </c>
      <c r="EX170" s="49" t="s">
        <v>303</v>
      </c>
      <c r="EY170" s="49" t="s">
        <v>303</v>
      </c>
      <c r="FC170" s="49" t="s">
        <v>330</v>
      </c>
      <c r="FD170" s="49" t="s">
        <v>310</v>
      </c>
      <c r="FE170" s="49" t="s">
        <v>310</v>
      </c>
      <c r="FF170" s="49" t="s">
        <v>64</v>
      </c>
      <c r="FG170" s="49" t="s">
        <v>397</v>
      </c>
      <c r="FH170" s="49" t="s">
        <v>310</v>
      </c>
      <c r="FI170" s="49" t="s">
        <v>332</v>
      </c>
      <c r="FJ170" s="49" t="s">
        <v>303</v>
      </c>
      <c r="FL170" s="49" t="s">
        <v>325</v>
      </c>
      <c r="FM170" s="49" t="s">
        <v>641</v>
      </c>
      <c r="FP170" s="49" t="s">
        <v>303</v>
      </c>
      <c r="FR170" s="49" t="s">
        <v>303</v>
      </c>
      <c r="FT170" s="49" t="s">
        <v>325</v>
      </c>
      <c r="FU170" s="49" t="s">
        <v>325</v>
      </c>
      <c r="FW170" s="49" t="s">
        <v>333</v>
      </c>
    </row>
    <row r="171" customFormat="false" ht="15" hidden="false" customHeight="false" outlineLevel="0" collapsed="false">
      <c r="A171" s="0" t="n">
        <v>100880092</v>
      </c>
      <c r="B171" s="0" t="s">
        <v>295</v>
      </c>
      <c r="C171" s="0" t="s">
        <v>64</v>
      </c>
      <c r="D171" s="0" t="s">
        <v>65</v>
      </c>
      <c r="E171" s="0" t="s">
        <v>297</v>
      </c>
      <c r="G171" s="0" t="n">
        <v>1</v>
      </c>
      <c r="H171" s="0" t="s">
        <v>298</v>
      </c>
      <c r="I171" s="48" t="n">
        <v>46296</v>
      </c>
      <c r="J171" s="0" t="n">
        <v>0</v>
      </c>
      <c r="K171" s="49" t="s">
        <v>641</v>
      </c>
      <c r="L171" s="49" t="s">
        <v>335</v>
      </c>
      <c r="M171" s="48"/>
      <c r="O171" s="49" t="s">
        <v>445</v>
      </c>
      <c r="P171" s="48"/>
      <c r="Q171" s="48" t="n">
        <v>46296</v>
      </c>
      <c r="R171" s="48" t="n">
        <v>46302</v>
      </c>
      <c r="T171" s="49" t="s">
        <v>302</v>
      </c>
      <c r="U171" s="49" t="s">
        <v>303</v>
      </c>
      <c r="Y171" s="49" t="s">
        <v>312</v>
      </c>
      <c r="AD171" s="49" t="s">
        <v>305</v>
      </c>
      <c r="AE171" s="48" t="n">
        <v>46279</v>
      </c>
      <c r="AF171" s="49" t="s">
        <v>306</v>
      </c>
      <c r="AG171" s="49" t="s">
        <v>307</v>
      </c>
      <c r="AK171" s="49" t="s">
        <v>303</v>
      </c>
      <c r="AL171" s="49" t="s">
        <v>297</v>
      </c>
      <c r="AO171" s="49" t="s">
        <v>303</v>
      </c>
      <c r="AP171" s="48"/>
      <c r="AR171" s="49" t="s">
        <v>303</v>
      </c>
      <c r="AS171" s="49" t="s">
        <v>306</v>
      </c>
      <c r="AT171" s="49" t="s">
        <v>832</v>
      </c>
      <c r="AV171" s="49" t="s">
        <v>309</v>
      </c>
      <c r="AW171" s="49" t="s">
        <v>310</v>
      </c>
      <c r="AX171" s="49" t="s">
        <v>311</v>
      </c>
      <c r="AY171" s="48"/>
      <c r="AZ171" s="48" t="n">
        <v>46294</v>
      </c>
      <c r="BC171" s="49" t="s">
        <v>303</v>
      </c>
      <c r="BD171" s="48"/>
      <c r="BE171" s="49" t="s">
        <v>312</v>
      </c>
      <c r="BF171" s="49" t="s">
        <v>303</v>
      </c>
      <c r="BG171" s="48"/>
      <c r="BI171" s="48"/>
      <c r="BJ171" s="48" t="n">
        <v>46301</v>
      </c>
      <c r="BK171" s="49" t="s">
        <v>313</v>
      </c>
      <c r="BL171" s="49" t="s">
        <v>313</v>
      </c>
      <c r="BM171" s="49" t="s">
        <v>310</v>
      </c>
      <c r="BN171" s="48"/>
      <c r="BO171" s="48"/>
      <c r="BP171" s="48"/>
      <c r="BQ171" s="49" t="s">
        <v>641</v>
      </c>
      <c r="BR171" s="48" t="n">
        <v>46301</v>
      </c>
      <c r="BS171" s="49" t="s">
        <v>828</v>
      </c>
      <c r="BT171" s="49" t="s">
        <v>312</v>
      </c>
      <c r="BU171" s="49" t="s">
        <v>313</v>
      </c>
      <c r="BV171" s="49" t="s">
        <v>303</v>
      </c>
      <c r="BX171" s="0" t="n">
        <v>0</v>
      </c>
      <c r="CC171" s="49" t="s">
        <v>315</v>
      </c>
      <c r="CD171" s="49" t="s">
        <v>303</v>
      </c>
      <c r="CF171" s="49" t="s">
        <v>303</v>
      </c>
      <c r="CG171" s="49" t="s">
        <v>316</v>
      </c>
      <c r="CH171" s="49" t="s">
        <v>317</v>
      </c>
      <c r="CI171" s="49" t="s">
        <v>318</v>
      </c>
      <c r="CM171" s="49" t="s">
        <v>65</v>
      </c>
      <c r="CV171" s="49" t="s">
        <v>303</v>
      </c>
      <c r="DB171" s="49" t="s">
        <v>319</v>
      </c>
      <c r="DD171" s="48" t="n">
        <v>46279</v>
      </c>
      <c r="DF171" s="49" t="s">
        <v>310</v>
      </c>
      <c r="DG171" s="49" t="s">
        <v>320</v>
      </c>
      <c r="DH171" s="49" t="s">
        <v>64</v>
      </c>
      <c r="DI171" s="49" t="s">
        <v>298</v>
      </c>
      <c r="DJ171" s="49" t="s">
        <v>394</v>
      </c>
      <c r="DK171" s="49" t="s">
        <v>322</v>
      </c>
      <c r="DL171" s="49" t="s">
        <v>323</v>
      </c>
      <c r="DM171" s="49" t="s">
        <v>303</v>
      </c>
      <c r="DN171" s="49" t="s">
        <v>297</v>
      </c>
      <c r="DO171" s="48"/>
      <c r="DP171" s="49" t="s">
        <v>312</v>
      </c>
      <c r="DQ171" s="48"/>
      <c r="DR171" s="49" t="s">
        <v>312</v>
      </c>
      <c r="DS171" s="49" t="s">
        <v>303</v>
      </c>
      <c r="DT171" s="49" t="s">
        <v>303</v>
      </c>
      <c r="DW171" s="49" t="s">
        <v>303</v>
      </c>
      <c r="EA171" s="49" t="s">
        <v>324</v>
      </c>
      <c r="EB171" s="49" t="s">
        <v>303</v>
      </c>
      <c r="EF171" s="49" t="s">
        <v>820</v>
      </c>
      <c r="EH171" s="49" t="s">
        <v>310</v>
      </c>
      <c r="EJ171" s="49" t="s">
        <v>303</v>
      </c>
      <c r="EK171" s="49" t="s">
        <v>833</v>
      </c>
      <c r="EM171" s="49" t="s">
        <v>303</v>
      </c>
      <c r="EN171" s="49" t="s">
        <v>396</v>
      </c>
      <c r="EP171" s="49" t="s">
        <v>298</v>
      </c>
      <c r="EQ171" s="0" t="n">
        <v>1</v>
      </c>
      <c r="ER171" s="49" t="s">
        <v>328</v>
      </c>
      <c r="ES171" s="49" t="s">
        <v>329</v>
      </c>
      <c r="ET171" s="49" t="s">
        <v>310</v>
      </c>
      <c r="EU171" s="49" t="s">
        <v>310</v>
      </c>
      <c r="EV171" s="49" t="s">
        <v>310</v>
      </c>
      <c r="EX171" s="49" t="s">
        <v>303</v>
      </c>
      <c r="EY171" s="49" t="s">
        <v>303</v>
      </c>
      <c r="FC171" s="49" t="s">
        <v>330</v>
      </c>
      <c r="FD171" s="49" t="s">
        <v>310</v>
      </c>
      <c r="FE171" s="49" t="s">
        <v>310</v>
      </c>
      <c r="FF171" s="49" t="s">
        <v>64</v>
      </c>
      <c r="FG171" s="49" t="s">
        <v>397</v>
      </c>
      <c r="FH171" s="49" t="s">
        <v>310</v>
      </c>
      <c r="FI171" s="49" t="s">
        <v>332</v>
      </c>
      <c r="FJ171" s="49" t="s">
        <v>303</v>
      </c>
      <c r="FL171" s="49" t="s">
        <v>325</v>
      </c>
      <c r="FM171" s="49" t="s">
        <v>641</v>
      </c>
      <c r="FP171" s="49" t="s">
        <v>303</v>
      </c>
      <c r="FR171" s="49" t="s">
        <v>303</v>
      </c>
      <c r="FT171" s="49" t="s">
        <v>325</v>
      </c>
      <c r="FU171" s="49" t="s">
        <v>325</v>
      </c>
      <c r="FW171" s="49" t="s">
        <v>333</v>
      </c>
    </row>
    <row r="172" customFormat="false" ht="15" hidden="false" customHeight="false" outlineLevel="0" collapsed="false">
      <c r="A172" s="0" t="n">
        <v>100880093</v>
      </c>
      <c r="B172" s="0" t="s">
        <v>295</v>
      </c>
      <c r="C172" s="0" t="s">
        <v>64</v>
      </c>
      <c r="D172" s="0" t="s">
        <v>65</v>
      </c>
      <c r="E172" s="0" t="s">
        <v>297</v>
      </c>
      <c r="G172" s="0" t="n">
        <v>1</v>
      </c>
      <c r="H172" s="0" t="s">
        <v>298</v>
      </c>
      <c r="I172" s="48" t="n">
        <v>46296</v>
      </c>
      <c r="J172" s="0" t="n">
        <v>0</v>
      </c>
      <c r="K172" s="49" t="s">
        <v>641</v>
      </c>
      <c r="L172" s="49" t="s">
        <v>335</v>
      </c>
      <c r="M172" s="48"/>
      <c r="O172" s="49" t="s">
        <v>445</v>
      </c>
      <c r="P172" s="48"/>
      <c r="Q172" s="48" t="n">
        <v>46296</v>
      </c>
      <c r="R172" s="48" t="n">
        <v>46302</v>
      </c>
      <c r="T172" s="49" t="s">
        <v>302</v>
      </c>
      <c r="U172" s="49" t="s">
        <v>303</v>
      </c>
      <c r="Y172" s="49" t="s">
        <v>312</v>
      </c>
      <c r="AD172" s="49" t="s">
        <v>305</v>
      </c>
      <c r="AE172" s="48" t="n">
        <v>46279</v>
      </c>
      <c r="AF172" s="49" t="s">
        <v>306</v>
      </c>
      <c r="AG172" s="49" t="s">
        <v>307</v>
      </c>
      <c r="AK172" s="49" t="s">
        <v>303</v>
      </c>
      <c r="AL172" s="49" t="s">
        <v>297</v>
      </c>
      <c r="AO172" s="49" t="s">
        <v>303</v>
      </c>
      <c r="AP172" s="48"/>
      <c r="AR172" s="49" t="s">
        <v>303</v>
      </c>
      <c r="AS172" s="49" t="s">
        <v>306</v>
      </c>
      <c r="AT172" s="49" t="s">
        <v>834</v>
      </c>
      <c r="AV172" s="49" t="s">
        <v>309</v>
      </c>
      <c r="AW172" s="49" t="s">
        <v>310</v>
      </c>
      <c r="AX172" s="49" t="s">
        <v>311</v>
      </c>
      <c r="AY172" s="48"/>
      <c r="AZ172" s="48" t="n">
        <v>46294</v>
      </c>
      <c r="BC172" s="49" t="s">
        <v>303</v>
      </c>
      <c r="BD172" s="48"/>
      <c r="BE172" s="49" t="s">
        <v>312</v>
      </c>
      <c r="BF172" s="49" t="s">
        <v>303</v>
      </c>
      <c r="BG172" s="48"/>
      <c r="BI172" s="48"/>
      <c r="BJ172" s="48" t="n">
        <v>46301</v>
      </c>
      <c r="BK172" s="49" t="s">
        <v>313</v>
      </c>
      <c r="BL172" s="49" t="s">
        <v>313</v>
      </c>
      <c r="BM172" s="49" t="s">
        <v>310</v>
      </c>
      <c r="BN172" s="48"/>
      <c r="BO172" s="48"/>
      <c r="BP172" s="48"/>
      <c r="BQ172" s="49" t="s">
        <v>641</v>
      </c>
      <c r="BR172" s="48" t="n">
        <v>46301</v>
      </c>
      <c r="BS172" s="49" t="s">
        <v>835</v>
      </c>
      <c r="BT172" s="49" t="s">
        <v>312</v>
      </c>
      <c r="BU172" s="49" t="s">
        <v>313</v>
      </c>
      <c r="BV172" s="49" t="s">
        <v>303</v>
      </c>
      <c r="BX172" s="0" t="n">
        <v>0</v>
      </c>
      <c r="CC172" s="49" t="s">
        <v>315</v>
      </c>
      <c r="CD172" s="49" t="s">
        <v>303</v>
      </c>
      <c r="CF172" s="49" t="s">
        <v>303</v>
      </c>
      <c r="CG172" s="49" t="s">
        <v>316</v>
      </c>
      <c r="CH172" s="49" t="s">
        <v>317</v>
      </c>
      <c r="CI172" s="49" t="s">
        <v>318</v>
      </c>
      <c r="CM172" s="49" t="s">
        <v>65</v>
      </c>
      <c r="CV172" s="49" t="s">
        <v>303</v>
      </c>
      <c r="DB172" s="49" t="s">
        <v>319</v>
      </c>
      <c r="DD172" s="48" t="n">
        <v>46279</v>
      </c>
      <c r="DF172" s="49" t="s">
        <v>310</v>
      </c>
      <c r="DG172" s="49" t="s">
        <v>320</v>
      </c>
      <c r="DH172" s="49" t="s">
        <v>64</v>
      </c>
      <c r="DI172" s="49" t="s">
        <v>298</v>
      </c>
      <c r="DJ172" s="49" t="s">
        <v>394</v>
      </c>
      <c r="DK172" s="49" t="s">
        <v>322</v>
      </c>
      <c r="DL172" s="49" t="s">
        <v>323</v>
      </c>
      <c r="DM172" s="49" t="s">
        <v>303</v>
      </c>
      <c r="DN172" s="49" t="s">
        <v>297</v>
      </c>
      <c r="DO172" s="48"/>
      <c r="DP172" s="49" t="s">
        <v>312</v>
      </c>
      <c r="DQ172" s="48"/>
      <c r="DR172" s="49" t="s">
        <v>312</v>
      </c>
      <c r="DS172" s="49" t="s">
        <v>303</v>
      </c>
      <c r="DT172" s="49" t="s">
        <v>303</v>
      </c>
      <c r="DW172" s="49" t="s">
        <v>303</v>
      </c>
      <c r="EA172" s="49" t="s">
        <v>324</v>
      </c>
      <c r="EB172" s="49" t="s">
        <v>303</v>
      </c>
      <c r="EF172" s="49" t="s">
        <v>820</v>
      </c>
      <c r="EH172" s="49" t="s">
        <v>310</v>
      </c>
      <c r="EJ172" s="49" t="s">
        <v>303</v>
      </c>
      <c r="EK172" s="49" t="s">
        <v>836</v>
      </c>
      <c r="EM172" s="49" t="s">
        <v>303</v>
      </c>
      <c r="EN172" s="49" t="s">
        <v>396</v>
      </c>
      <c r="EP172" s="49" t="s">
        <v>298</v>
      </c>
      <c r="EQ172" s="0" t="n">
        <v>1</v>
      </c>
      <c r="ER172" s="49" t="s">
        <v>328</v>
      </c>
      <c r="ES172" s="49" t="s">
        <v>329</v>
      </c>
      <c r="ET172" s="49" t="s">
        <v>310</v>
      </c>
      <c r="EU172" s="49" t="s">
        <v>310</v>
      </c>
      <c r="EV172" s="49" t="s">
        <v>310</v>
      </c>
      <c r="EX172" s="49" t="s">
        <v>303</v>
      </c>
      <c r="EY172" s="49" t="s">
        <v>303</v>
      </c>
      <c r="FC172" s="49" t="s">
        <v>330</v>
      </c>
      <c r="FD172" s="49" t="s">
        <v>310</v>
      </c>
      <c r="FE172" s="49" t="s">
        <v>310</v>
      </c>
      <c r="FF172" s="49" t="s">
        <v>64</v>
      </c>
      <c r="FG172" s="49" t="s">
        <v>397</v>
      </c>
      <c r="FH172" s="49" t="s">
        <v>310</v>
      </c>
      <c r="FI172" s="49" t="s">
        <v>332</v>
      </c>
      <c r="FJ172" s="49" t="s">
        <v>303</v>
      </c>
      <c r="FL172" s="49" t="s">
        <v>325</v>
      </c>
      <c r="FM172" s="49" t="s">
        <v>641</v>
      </c>
      <c r="FP172" s="49" t="s">
        <v>303</v>
      </c>
      <c r="FR172" s="49" t="s">
        <v>303</v>
      </c>
      <c r="FT172" s="49" t="s">
        <v>325</v>
      </c>
      <c r="FU172" s="49" t="s">
        <v>325</v>
      </c>
      <c r="FW172" s="49" t="s">
        <v>333</v>
      </c>
    </row>
    <row r="173" customFormat="false" ht="15" hidden="false" customHeight="false" outlineLevel="0" collapsed="false">
      <c r="A173" s="0" t="n">
        <v>100880094</v>
      </c>
      <c r="B173" s="0" t="s">
        <v>295</v>
      </c>
      <c r="C173" s="0" t="s">
        <v>64</v>
      </c>
      <c r="D173" s="0" t="s">
        <v>65</v>
      </c>
      <c r="E173" s="0" t="s">
        <v>297</v>
      </c>
      <c r="G173" s="0" t="n">
        <v>1</v>
      </c>
      <c r="H173" s="0" t="s">
        <v>298</v>
      </c>
      <c r="I173" s="48" t="n">
        <v>46296</v>
      </c>
      <c r="J173" s="0" t="n">
        <v>0</v>
      </c>
      <c r="K173" s="49" t="s">
        <v>641</v>
      </c>
      <c r="L173" s="49" t="s">
        <v>335</v>
      </c>
      <c r="M173" s="48"/>
      <c r="O173" s="49" t="s">
        <v>445</v>
      </c>
      <c r="P173" s="48"/>
      <c r="Q173" s="48" t="n">
        <v>46296</v>
      </c>
      <c r="R173" s="48" t="n">
        <v>46302</v>
      </c>
      <c r="T173" s="49" t="s">
        <v>302</v>
      </c>
      <c r="U173" s="49" t="s">
        <v>303</v>
      </c>
      <c r="Y173" s="49" t="s">
        <v>312</v>
      </c>
      <c r="AD173" s="49" t="s">
        <v>305</v>
      </c>
      <c r="AE173" s="48" t="n">
        <v>46279</v>
      </c>
      <c r="AF173" s="49" t="s">
        <v>306</v>
      </c>
      <c r="AG173" s="49" t="s">
        <v>307</v>
      </c>
      <c r="AK173" s="49" t="s">
        <v>303</v>
      </c>
      <c r="AL173" s="49" t="s">
        <v>297</v>
      </c>
      <c r="AO173" s="49" t="s">
        <v>303</v>
      </c>
      <c r="AP173" s="48"/>
      <c r="AR173" s="49" t="s">
        <v>303</v>
      </c>
      <c r="AS173" s="49" t="s">
        <v>306</v>
      </c>
      <c r="AT173" s="49" t="s">
        <v>837</v>
      </c>
      <c r="AV173" s="49" t="s">
        <v>309</v>
      </c>
      <c r="AW173" s="49" t="s">
        <v>310</v>
      </c>
      <c r="AX173" s="49" t="s">
        <v>311</v>
      </c>
      <c r="AY173" s="48"/>
      <c r="AZ173" s="48" t="n">
        <v>46294</v>
      </c>
      <c r="BC173" s="49" t="s">
        <v>303</v>
      </c>
      <c r="BD173" s="48"/>
      <c r="BE173" s="49" t="s">
        <v>312</v>
      </c>
      <c r="BF173" s="49" t="s">
        <v>303</v>
      </c>
      <c r="BG173" s="48"/>
      <c r="BI173" s="48"/>
      <c r="BJ173" s="48" t="n">
        <v>46301</v>
      </c>
      <c r="BK173" s="49" t="s">
        <v>313</v>
      </c>
      <c r="BL173" s="49" t="s">
        <v>313</v>
      </c>
      <c r="BM173" s="49" t="s">
        <v>310</v>
      </c>
      <c r="BN173" s="48"/>
      <c r="BO173" s="48"/>
      <c r="BP173" s="48"/>
      <c r="BQ173" s="49" t="s">
        <v>641</v>
      </c>
      <c r="BR173" s="48" t="n">
        <v>46301</v>
      </c>
      <c r="BS173" s="49" t="s">
        <v>835</v>
      </c>
      <c r="BT173" s="49" t="s">
        <v>312</v>
      </c>
      <c r="BU173" s="49" t="s">
        <v>313</v>
      </c>
      <c r="BV173" s="49" t="s">
        <v>303</v>
      </c>
      <c r="BX173" s="0" t="n">
        <v>0</v>
      </c>
      <c r="CC173" s="49" t="s">
        <v>315</v>
      </c>
      <c r="CD173" s="49" t="s">
        <v>303</v>
      </c>
      <c r="CF173" s="49" t="s">
        <v>303</v>
      </c>
      <c r="CG173" s="49" t="s">
        <v>316</v>
      </c>
      <c r="CH173" s="49" t="s">
        <v>317</v>
      </c>
      <c r="CI173" s="49" t="s">
        <v>318</v>
      </c>
      <c r="CM173" s="49" t="s">
        <v>65</v>
      </c>
      <c r="CV173" s="49" t="s">
        <v>303</v>
      </c>
      <c r="DB173" s="49" t="s">
        <v>319</v>
      </c>
      <c r="DD173" s="48" t="n">
        <v>46279</v>
      </c>
      <c r="DF173" s="49" t="s">
        <v>310</v>
      </c>
      <c r="DG173" s="49" t="s">
        <v>320</v>
      </c>
      <c r="DH173" s="49" t="s">
        <v>64</v>
      </c>
      <c r="DI173" s="49" t="s">
        <v>298</v>
      </c>
      <c r="DJ173" s="49" t="s">
        <v>394</v>
      </c>
      <c r="DK173" s="49" t="s">
        <v>322</v>
      </c>
      <c r="DL173" s="49" t="s">
        <v>323</v>
      </c>
      <c r="DM173" s="49" t="s">
        <v>303</v>
      </c>
      <c r="DN173" s="49" t="s">
        <v>297</v>
      </c>
      <c r="DO173" s="48"/>
      <c r="DP173" s="49" t="s">
        <v>312</v>
      </c>
      <c r="DQ173" s="48"/>
      <c r="DR173" s="49" t="s">
        <v>312</v>
      </c>
      <c r="DS173" s="49" t="s">
        <v>303</v>
      </c>
      <c r="DT173" s="49" t="s">
        <v>303</v>
      </c>
      <c r="DW173" s="49" t="s">
        <v>303</v>
      </c>
      <c r="EA173" s="49" t="s">
        <v>324</v>
      </c>
      <c r="EB173" s="49" t="s">
        <v>303</v>
      </c>
      <c r="EF173" s="49" t="s">
        <v>820</v>
      </c>
      <c r="EH173" s="49" t="s">
        <v>310</v>
      </c>
      <c r="EJ173" s="49" t="s">
        <v>303</v>
      </c>
      <c r="EK173" s="49" t="s">
        <v>838</v>
      </c>
      <c r="EM173" s="49" t="s">
        <v>303</v>
      </c>
      <c r="EN173" s="49" t="s">
        <v>396</v>
      </c>
      <c r="EP173" s="49" t="s">
        <v>298</v>
      </c>
      <c r="EQ173" s="0" t="n">
        <v>1</v>
      </c>
      <c r="ER173" s="49" t="s">
        <v>328</v>
      </c>
      <c r="ES173" s="49" t="s">
        <v>329</v>
      </c>
      <c r="ET173" s="49" t="s">
        <v>310</v>
      </c>
      <c r="EU173" s="49" t="s">
        <v>310</v>
      </c>
      <c r="EV173" s="49" t="s">
        <v>310</v>
      </c>
      <c r="EX173" s="49" t="s">
        <v>303</v>
      </c>
      <c r="EY173" s="49" t="s">
        <v>303</v>
      </c>
      <c r="FC173" s="49" t="s">
        <v>330</v>
      </c>
      <c r="FD173" s="49" t="s">
        <v>310</v>
      </c>
      <c r="FE173" s="49" t="s">
        <v>310</v>
      </c>
      <c r="FF173" s="49" t="s">
        <v>64</v>
      </c>
      <c r="FG173" s="49" t="s">
        <v>397</v>
      </c>
      <c r="FH173" s="49" t="s">
        <v>310</v>
      </c>
      <c r="FI173" s="49" t="s">
        <v>332</v>
      </c>
      <c r="FJ173" s="49" t="s">
        <v>303</v>
      </c>
      <c r="FL173" s="49" t="s">
        <v>325</v>
      </c>
      <c r="FM173" s="49" t="s">
        <v>641</v>
      </c>
      <c r="FP173" s="49" t="s">
        <v>303</v>
      </c>
      <c r="FR173" s="49" t="s">
        <v>303</v>
      </c>
      <c r="FT173" s="49" t="s">
        <v>325</v>
      </c>
      <c r="FU173" s="49" t="s">
        <v>325</v>
      </c>
      <c r="FW173" s="49" t="s">
        <v>333</v>
      </c>
    </row>
    <row r="174" customFormat="false" ht="15" hidden="false" customHeight="false" outlineLevel="0" collapsed="false">
      <c r="A174" s="0" t="n">
        <v>100880095</v>
      </c>
      <c r="B174" s="0" t="s">
        <v>295</v>
      </c>
      <c r="C174" s="0" t="s">
        <v>64</v>
      </c>
      <c r="D174" s="0" t="s">
        <v>65</v>
      </c>
      <c r="E174" s="0" t="s">
        <v>297</v>
      </c>
      <c r="G174" s="0" t="n">
        <v>1</v>
      </c>
      <c r="H174" s="0" t="s">
        <v>298</v>
      </c>
      <c r="I174" s="48" t="n">
        <v>46296</v>
      </c>
      <c r="J174" s="0" t="n">
        <v>0</v>
      </c>
      <c r="K174" s="49" t="s">
        <v>641</v>
      </c>
      <c r="L174" s="49" t="s">
        <v>335</v>
      </c>
      <c r="M174" s="48"/>
      <c r="O174" s="49" t="s">
        <v>445</v>
      </c>
      <c r="P174" s="48"/>
      <c r="Q174" s="48" t="n">
        <v>46296</v>
      </c>
      <c r="R174" s="48" t="n">
        <v>46302</v>
      </c>
      <c r="T174" s="49" t="s">
        <v>302</v>
      </c>
      <c r="U174" s="49" t="s">
        <v>303</v>
      </c>
      <c r="Y174" s="49" t="s">
        <v>312</v>
      </c>
      <c r="AD174" s="49" t="s">
        <v>305</v>
      </c>
      <c r="AE174" s="48" t="n">
        <v>46279</v>
      </c>
      <c r="AF174" s="49" t="s">
        <v>306</v>
      </c>
      <c r="AG174" s="49" t="s">
        <v>307</v>
      </c>
      <c r="AK174" s="49" t="s">
        <v>303</v>
      </c>
      <c r="AL174" s="49" t="s">
        <v>297</v>
      </c>
      <c r="AO174" s="49" t="s">
        <v>303</v>
      </c>
      <c r="AP174" s="48"/>
      <c r="AR174" s="49" t="s">
        <v>303</v>
      </c>
      <c r="AS174" s="49" t="s">
        <v>306</v>
      </c>
      <c r="AT174" s="49" t="s">
        <v>839</v>
      </c>
      <c r="AV174" s="49" t="s">
        <v>309</v>
      </c>
      <c r="AW174" s="49" t="s">
        <v>310</v>
      </c>
      <c r="AX174" s="49" t="s">
        <v>311</v>
      </c>
      <c r="AY174" s="48"/>
      <c r="AZ174" s="48" t="n">
        <v>46294</v>
      </c>
      <c r="BC174" s="49" t="s">
        <v>303</v>
      </c>
      <c r="BD174" s="48"/>
      <c r="BE174" s="49" t="s">
        <v>312</v>
      </c>
      <c r="BF174" s="49" t="s">
        <v>303</v>
      </c>
      <c r="BG174" s="48"/>
      <c r="BI174" s="48"/>
      <c r="BJ174" s="48" t="n">
        <v>46301</v>
      </c>
      <c r="BK174" s="49" t="s">
        <v>313</v>
      </c>
      <c r="BL174" s="49" t="s">
        <v>313</v>
      </c>
      <c r="BM174" s="49" t="s">
        <v>310</v>
      </c>
      <c r="BN174" s="48"/>
      <c r="BO174" s="48"/>
      <c r="BP174" s="48"/>
      <c r="BQ174" s="49" t="s">
        <v>641</v>
      </c>
      <c r="BR174" s="48" t="n">
        <v>46301</v>
      </c>
      <c r="BS174" s="49" t="s">
        <v>835</v>
      </c>
      <c r="BT174" s="49" t="s">
        <v>312</v>
      </c>
      <c r="BU174" s="49" t="s">
        <v>313</v>
      </c>
      <c r="BV174" s="49" t="s">
        <v>303</v>
      </c>
      <c r="BX174" s="0" t="n">
        <v>0</v>
      </c>
      <c r="CC174" s="49" t="s">
        <v>315</v>
      </c>
      <c r="CD174" s="49" t="s">
        <v>303</v>
      </c>
      <c r="CF174" s="49" t="s">
        <v>303</v>
      </c>
      <c r="CG174" s="49" t="s">
        <v>316</v>
      </c>
      <c r="CH174" s="49" t="s">
        <v>317</v>
      </c>
      <c r="CI174" s="49" t="s">
        <v>318</v>
      </c>
      <c r="CM174" s="49" t="s">
        <v>65</v>
      </c>
      <c r="CV174" s="49" t="s">
        <v>303</v>
      </c>
      <c r="DB174" s="49" t="s">
        <v>319</v>
      </c>
      <c r="DD174" s="48" t="n">
        <v>46279</v>
      </c>
      <c r="DF174" s="49" t="s">
        <v>310</v>
      </c>
      <c r="DG174" s="49" t="s">
        <v>320</v>
      </c>
      <c r="DH174" s="49" t="s">
        <v>64</v>
      </c>
      <c r="DI174" s="49" t="s">
        <v>298</v>
      </c>
      <c r="DJ174" s="49" t="s">
        <v>394</v>
      </c>
      <c r="DK174" s="49" t="s">
        <v>322</v>
      </c>
      <c r="DL174" s="49" t="s">
        <v>323</v>
      </c>
      <c r="DM174" s="49" t="s">
        <v>303</v>
      </c>
      <c r="DN174" s="49" t="s">
        <v>297</v>
      </c>
      <c r="DO174" s="48"/>
      <c r="DP174" s="49" t="s">
        <v>312</v>
      </c>
      <c r="DQ174" s="48"/>
      <c r="DR174" s="49" t="s">
        <v>312</v>
      </c>
      <c r="DS174" s="49" t="s">
        <v>303</v>
      </c>
      <c r="DT174" s="49" t="s">
        <v>303</v>
      </c>
      <c r="DW174" s="49" t="s">
        <v>303</v>
      </c>
      <c r="EA174" s="49" t="s">
        <v>324</v>
      </c>
      <c r="EB174" s="49" t="s">
        <v>303</v>
      </c>
      <c r="EF174" s="49" t="s">
        <v>820</v>
      </c>
      <c r="EH174" s="49" t="s">
        <v>310</v>
      </c>
      <c r="EJ174" s="49" t="s">
        <v>303</v>
      </c>
      <c r="EK174" s="49" t="s">
        <v>840</v>
      </c>
      <c r="EM174" s="49" t="s">
        <v>303</v>
      </c>
      <c r="EN174" s="49" t="s">
        <v>396</v>
      </c>
      <c r="EP174" s="49" t="s">
        <v>298</v>
      </c>
      <c r="EQ174" s="0" t="n">
        <v>1</v>
      </c>
      <c r="ER174" s="49" t="s">
        <v>328</v>
      </c>
      <c r="ES174" s="49" t="s">
        <v>329</v>
      </c>
      <c r="ET174" s="49" t="s">
        <v>310</v>
      </c>
      <c r="EU174" s="49" t="s">
        <v>310</v>
      </c>
      <c r="EV174" s="49" t="s">
        <v>310</v>
      </c>
      <c r="EX174" s="49" t="s">
        <v>303</v>
      </c>
      <c r="EY174" s="49" t="s">
        <v>303</v>
      </c>
      <c r="FC174" s="49" t="s">
        <v>330</v>
      </c>
      <c r="FD174" s="49" t="s">
        <v>310</v>
      </c>
      <c r="FE174" s="49" t="s">
        <v>310</v>
      </c>
      <c r="FF174" s="49" t="s">
        <v>64</v>
      </c>
      <c r="FG174" s="49" t="s">
        <v>397</v>
      </c>
      <c r="FH174" s="49" t="s">
        <v>310</v>
      </c>
      <c r="FI174" s="49" t="s">
        <v>332</v>
      </c>
      <c r="FJ174" s="49" t="s">
        <v>303</v>
      </c>
      <c r="FL174" s="49" t="s">
        <v>325</v>
      </c>
      <c r="FM174" s="49" t="s">
        <v>641</v>
      </c>
      <c r="FP174" s="49" t="s">
        <v>303</v>
      </c>
      <c r="FR174" s="49" t="s">
        <v>303</v>
      </c>
      <c r="FT174" s="49" t="s">
        <v>325</v>
      </c>
      <c r="FU174" s="49" t="s">
        <v>325</v>
      </c>
      <c r="FW174" s="49" t="s">
        <v>333</v>
      </c>
    </row>
    <row r="175" customFormat="false" ht="15" hidden="false" customHeight="false" outlineLevel="0" collapsed="false">
      <c r="A175" s="0" t="n">
        <v>100880096</v>
      </c>
      <c r="B175" s="0" t="s">
        <v>295</v>
      </c>
      <c r="C175" s="0" t="s">
        <v>64</v>
      </c>
      <c r="D175" s="0" t="s">
        <v>65</v>
      </c>
      <c r="E175" s="0" t="s">
        <v>297</v>
      </c>
      <c r="G175" s="0" t="n">
        <v>1</v>
      </c>
      <c r="H175" s="0" t="s">
        <v>298</v>
      </c>
      <c r="I175" s="48" t="n">
        <v>46296</v>
      </c>
      <c r="J175" s="0" t="n">
        <v>0</v>
      </c>
      <c r="K175" s="49" t="s">
        <v>641</v>
      </c>
      <c r="L175" s="49" t="s">
        <v>335</v>
      </c>
      <c r="M175" s="48"/>
      <c r="O175" s="49" t="s">
        <v>445</v>
      </c>
      <c r="P175" s="48"/>
      <c r="Q175" s="48" t="n">
        <v>46296</v>
      </c>
      <c r="R175" s="48" t="n">
        <v>46302</v>
      </c>
      <c r="T175" s="49" t="s">
        <v>302</v>
      </c>
      <c r="U175" s="49" t="s">
        <v>303</v>
      </c>
      <c r="Y175" s="49" t="s">
        <v>312</v>
      </c>
      <c r="AD175" s="49" t="s">
        <v>305</v>
      </c>
      <c r="AE175" s="48" t="n">
        <v>46279</v>
      </c>
      <c r="AF175" s="49" t="s">
        <v>306</v>
      </c>
      <c r="AG175" s="49" t="s">
        <v>307</v>
      </c>
      <c r="AK175" s="49" t="s">
        <v>303</v>
      </c>
      <c r="AL175" s="49" t="s">
        <v>297</v>
      </c>
      <c r="AO175" s="49" t="s">
        <v>303</v>
      </c>
      <c r="AP175" s="48"/>
      <c r="AR175" s="49" t="s">
        <v>303</v>
      </c>
      <c r="AS175" s="49" t="s">
        <v>306</v>
      </c>
      <c r="AT175" s="49" t="s">
        <v>841</v>
      </c>
      <c r="AV175" s="49" t="s">
        <v>309</v>
      </c>
      <c r="AW175" s="49" t="s">
        <v>310</v>
      </c>
      <c r="AX175" s="49" t="s">
        <v>311</v>
      </c>
      <c r="AY175" s="48"/>
      <c r="AZ175" s="48" t="n">
        <v>46294</v>
      </c>
      <c r="BC175" s="49" t="s">
        <v>303</v>
      </c>
      <c r="BD175" s="48"/>
      <c r="BE175" s="49" t="s">
        <v>312</v>
      </c>
      <c r="BF175" s="49" t="s">
        <v>303</v>
      </c>
      <c r="BG175" s="48"/>
      <c r="BI175" s="48"/>
      <c r="BJ175" s="48" t="n">
        <v>46301</v>
      </c>
      <c r="BK175" s="49" t="s">
        <v>313</v>
      </c>
      <c r="BL175" s="49" t="s">
        <v>313</v>
      </c>
      <c r="BM175" s="49" t="s">
        <v>310</v>
      </c>
      <c r="BN175" s="48"/>
      <c r="BO175" s="48"/>
      <c r="BP175" s="48"/>
      <c r="BQ175" s="49" t="s">
        <v>641</v>
      </c>
      <c r="BR175" s="48" t="n">
        <v>46301</v>
      </c>
      <c r="BS175" s="49" t="s">
        <v>842</v>
      </c>
      <c r="BT175" s="49" t="s">
        <v>312</v>
      </c>
      <c r="BU175" s="49" t="s">
        <v>313</v>
      </c>
      <c r="BV175" s="49" t="s">
        <v>303</v>
      </c>
      <c r="BX175" s="0" t="n">
        <v>0</v>
      </c>
      <c r="CC175" s="49" t="s">
        <v>315</v>
      </c>
      <c r="CD175" s="49" t="s">
        <v>303</v>
      </c>
      <c r="CF175" s="49" t="s">
        <v>303</v>
      </c>
      <c r="CG175" s="49" t="s">
        <v>316</v>
      </c>
      <c r="CH175" s="49" t="s">
        <v>317</v>
      </c>
      <c r="CI175" s="49" t="s">
        <v>318</v>
      </c>
      <c r="CM175" s="49" t="s">
        <v>65</v>
      </c>
      <c r="CV175" s="49" t="s">
        <v>303</v>
      </c>
      <c r="DB175" s="49" t="s">
        <v>319</v>
      </c>
      <c r="DD175" s="48" t="n">
        <v>46279</v>
      </c>
      <c r="DF175" s="49" t="s">
        <v>310</v>
      </c>
      <c r="DG175" s="49" t="s">
        <v>320</v>
      </c>
      <c r="DH175" s="49" t="s">
        <v>64</v>
      </c>
      <c r="DI175" s="49" t="s">
        <v>298</v>
      </c>
      <c r="DJ175" s="49" t="s">
        <v>394</v>
      </c>
      <c r="DK175" s="49" t="s">
        <v>322</v>
      </c>
      <c r="DL175" s="49" t="s">
        <v>323</v>
      </c>
      <c r="DM175" s="49" t="s">
        <v>303</v>
      </c>
      <c r="DN175" s="49" t="s">
        <v>297</v>
      </c>
      <c r="DO175" s="48"/>
      <c r="DP175" s="49" t="s">
        <v>312</v>
      </c>
      <c r="DQ175" s="48"/>
      <c r="DR175" s="49" t="s">
        <v>312</v>
      </c>
      <c r="DS175" s="49" t="s">
        <v>303</v>
      </c>
      <c r="DT175" s="49" t="s">
        <v>303</v>
      </c>
      <c r="DW175" s="49" t="s">
        <v>303</v>
      </c>
      <c r="EA175" s="49" t="s">
        <v>324</v>
      </c>
      <c r="EB175" s="49" t="s">
        <v>303</v>
      </c>
      <c r="EF175" s="49" t="s">
        <v>820</v>
      </c>
      <c r="EH175" s="49" t="s">
        <v>310</v>
      </c>
      <c r="EJ175" s="49" t="s">
        <v>303</v>
      </c>
      <c r="EK175" s="49" t="s">
        <v>843</v>
      </c>
      <c r="EM175" s="49" t="s">
        <v>303</v>
      </c>
      <c r="EN175" s="49" t="s">
        <v>396</v>
      </c>
      <c r="EP175" s="49" t="s">
        <v>298</v>
      </c>
      <c r="EQ175" s="0" t="n">
        <v>1</v>
      </c>
      <c r="ER175" s="49" t="s">
        <v>328</v>
      </c>
      <c r="ES175" s="49" t="s">
        <v>329</v>
      </c>
      <c r="ET175" s="49" t="s">
        <v>310</v>
      </c>
      <c r="EU175" s="49" t="s">
        <v>310</v>
      </c>
      <c r="EV175" s="49" t="s">
        <v>310</v>
      </c>
      <c r="EX175" s="49" t="s">
        <v>303</v>
      </c>
      <c r="EY175" s="49" t="s">
        <v>303</v>
      </c>
      <c r="FC175" s="49" t="s">
        <v>330</v>
      </c>
      <c r="FD175" s="49" t="s">
        <v>310</v>
      </c>
      <c r="FE175" s="49" t="s">
        <v>310</v>
      </c>
      <c r="FF175" s="49" t="s">
        <v>64</v>
      </c>
      <c r="FG175" s="49" t="s">
        <v>397</v>
      </c>
      <c r="FH175" s="49" t="s">
        <v>310</v>
      </c>
      <c r="FI175" s="49" t="s">
        <v>332</v>
      </c>
      <c r="FJ175" s="49" t="s">
        <v>303</v>
      </c>
      <c r="FL175" s="49" t="s">
        <v>325</v>
      </c>
      <c r="FM175" s="49" t="s">
        <v>641</v>
      </c>
      <c r="FP175" s="49" t="s">
        <v>303</v>
      </c>
      <c r="FR175" s="49" t="s">
        <v>303</v>
      </c>
      <c r="FT175" s="49" t="s">
        <v>325</v>
      </c>
      <c r="FU175" s="49" t="s">
        <v>325</v>
      </c>
      <c r="FW175" s="49" t="s">
        <v>333</v>
      </c>
    </row>
    <row r="176" customFormat="false" ht="15" hidden="false" customHeight="false" outlineLevel="0" collapsed="false">
      <c r="A176" s="0" t="n">
        <v>100880097</v>
      </c>
      <c r="B176" s="0" t="s">
        <v>295</v>
      </c>
      <c r="C176" s="0" t="s">
        <v>64</v>
      </c>
      <c r="D176" s="0" t="s">
        <v>65</v>
      </c>
      <c r="E176" s="0" t="s">
        <v>297</v>
      </c>
      <c r="G176" s="0" t="n">
        <v>1</v>
      </c>
      <c r="H176" s="0" t="s">
        <v>298</v>
      </c>
      <c r="I176" s="48" t="n">
        <v>46296</v>
      </c>
      <c r="J176" s="0" t="n">
        <v>0</v>
      </c>
      <c r="K176" s="49" t="s">
        <v>641</v>
      </c>
      <c r="L176" s="49" t="s">
        <v>335</v>
      </c>
      <c r="M176" s="48"/>
      <c r="O176" s="49" t="s">
        <v>445</v>
      </c>
      <c r="P176" s="48"/>
      <c r="Q176" s="48" t="n">
        <v>46296</v>
      </c>
      <c r="R176" s="48" t="n">
        <v>46302</v>
      </c>
      <c r="T176" s="49" t="s">
        <v>302</v>
      </c>
      <c r="U176" s="49" t="s">
        <v>303</v>
      </c>
      <c r="Y176" s="49" t="s">
        <v>312</v>
      </c>
      <c r="AD176" s="49" t="s">
        <v>305</v>
      </c>
      <c r="AE176" s="48" t="n">
        <v>46279</v>
      </c>
      <c r="AF176" s="49" t="s">
        <v>306</v>
      </c>
      <c r="AG176" s="49" t="s">
        <v>307</v>
      </c>
      <c r="AK176" s="49" t="s">
        <v>303</v>
      </c>
      <c r="AL176" s="49" t="s">
        <v>297</v>
      </c>
      <c r="AO176" s="49" t="s">
        <v>303</v>
      </c>
      <c r="AP176" s="48"/>
      <c r="AR176" s="49" t="s">
        <v>303</v>
      </c>
      <c r="AS176" s="49" t="s">
        <v>306</v>
      </c>
      <c r="AT176" s="49" t="s">
        <v>844</v>
      </c>
      <c r="AV176" s="49" t="s">
        <v>309</v>
      </c>
      <c r="AW176" s="49" t="s">
        <v>310</v>
      </c>
      <c r="AX176" s="49" t="s">
        <v>311</v>
      </c>
      <c r="AY176" s="48"/>
      <c r="AZ176" s="48" t="n">
        <v>46294</v>
      </c>
      <c r="BC176" s="49" t="s">
        <v>303</v>
      </c>
      <c r="BD176" s="48"/>
      <c r="BE176" s="49" t="s">
        <v>312</v>
      </c>
      <c r="BF176" s="49" t="s">
        <v>303</v>
      </c>
      <c r="BG176" s="48"/>
      <c r="BI176" s="48"/>
      <c r="BJ176" s="48" t="n">
        <v>46301</v>
      </c>
      <c r="BK176" s="49" t="s">
        <v>313</v>
      </c>
      <c r="BL176" s="49" t="s">
        <v>313</v>
      </c>
      <c r="BM176" s="49" t="s">
        <v>310</v>
      </c>
      <c r="BN176" s="48"/>
      <c r="BO176" s="48"/>
      <c r="BP176" s="48"/>
      <c r="BQ176" s="49" t="s">
        <v>641</v>
      </c>
      <c r="BR176" s="48" t="n">
        <v>46301</v>
      </c>
      <c r="BS176" s="49" t="s">
        <v>842</v>
      </c>
      <c r="BT176" s="49" t="s">
        <v>312</v>
      </c>
      <c r="BU176" s="49" t="s">
        <v>313</v>
      </c>
      <c r="BV176" s="49" t="s">
        <v>303</v>
      </c>
      <c r="BX176" s="0" t="n">
        <v>0</v>
      </c>
      <c r="CC176" s="49" t="s">
        <v>315</v>
      </c>
      <c r="CD176" s="49" t="s">
        <v>303</v>
      </c>
      <c r="CF176" s="49" t="s">
        <v>303</v>
      </c>
      <c r="CG176" s="49" t="s">
        <v>316</v>
      </c>
      <c r="CH176" s="49" t="s">
        <v>317</v>
      </c>
      <c r="CI176" s="49" t="s">
        <v>318</v>
      </c>
      <c r="CM176" s="49" t="s">
        <v>65</v>
      </c>
      <c r="CV176" s="49" t="s">
        <v>303</v>
      </c>
      <c r="DB176" s="49" t="s">
        <v>319</v>
      </c>
      <c r="DD176" s="48" t="n">
        <v>46279</v>
      </c>
      <c r="DF176" s="49" t="s">
        <v>310</v>
      </c>
      <c r="DG176" s="49" t="s">
        <v>320</v>
      </c>
      <c r="DH176" s="49" t="s">
        <v>64</v>
      </c>
      <c r="DI176" s="49" t="s">
        <v>298</v>
      </c>
      <c r="DJ176" s="49" t="s">
        <v>394</v>
      </c>
      <c r="DK176" s="49" t="s">
        <v>322</v>
      </c>
      <c r="DL176" s="49" t="s">
        <v>323</v>
      </c>
      <c r="DM176" s="49" t="s">
        <v>303</v>
      </c>
      <c r="DN176" s="49" t="s">
        <v>297</v>
      </c>
      <c r="DO176" s="48"/>
      <c r="DP176" s="49" t="s">
        <v>312</v>
      </c>
      <c r="DQ176" s="48"/>
      <c r="DR176" s="49" t="s">
        <v>312</v>
      </c>
      <c r="DS176" s="49" t="s">
        <v>303</v>
      </c>
      <c r="DT176" s="49" t="s">
        <v>303</v>
      </c>
      <c r="DW176" s="49" t="s">
        <v>303</v>
      </c>
      <c r="EA176" s="49" t="s">
        <v>324</v>
      </c>
      <c r="EB176" s="49" t="s">
        <v>303</v>
      </c>
      <c r="EF176" s="49" t="s">
        <v>820</v>
      </c>
      <c r="EH176" s="49" t="s">
        <v>310</v>
      </c>
      <c r="EJ176" s="49" t="s">
        <v>303</v>
      </c>
      <c r="EK176" s="49" t="s">
        <v>845</v>
      </c>
      <c r="EM176" s="49" t="s">
        <v>303</v>
      </c>
      <c r="EN176" s="49" t="s">
        <v>396</v>
      </c>
      <c r="EP176" s="49" t="s">
        <v>298</v>
      </c>
      <c r="EQ176" s="0" t="n">
        <v>1</v>
      </c>
      <c r="ER176" s="49" t="s">
        <v>328</v>
      </c>
      <c r="ES176" s="49" t="s">
        <v>329</v>
      </c>
      <c r="ET176" s="49" t="s">
        <v>310</v>
      </c>
      <c r="EU176" s="49" t="s">
        <v>310</v>
      </c>
      <c r="EV176" s="49" t="s">
        <v>310</v>
      </c>
      <c r="EX176" s="49" t="s">
        <v>303</v>
      </c>
      <c r="EY176" s="49" t="s">
        <v>303</v>
      </c>
      <c r="FC176" s="49" t="s">
        <v>330</v>
      </c>
      <c r="FD176" s="49" t="s">
        <v>310</v>
      </c>
      <c r="FE176" s="49" t="s">
        <v>310</v>
      </c>
      <c r="FF176" s="49" t="s">
        <v>64</v>
      </c>
      <c r="FG176" s="49" t="s">
        <v>397</v>
      </c>
      <c r="FH176" s="49" t="s">
        <v>310</v>
      </c>
      <c r="FI176" s="49" t="s">
        <v>332</v>
      </c>
      <c r="FJ176" s="49" t="s">
        <v>303</v>
      </c>
      <c r="FL176" s="49" t="s">
        <v>325</v>
      </c>
      <c r="FM176" s="49" t="s">
        <v>641</v>
      </c>
      <c r="FP176" s="49" t="s">
        <v>303</v>
      </c>
      <c r="FR176" s="49" t="s">
        <v>303</v>
      </c>
      <c r="FT176" s="49" t="s">
        <v>325</v>
      </c>
      <c r="FU176" s="49" t="s">
        <v>325</v>
      </c>
      <c r="FW176" s="49" t="s">
        <v>333</v>
      </c>
    </row>
    <row r="177" customFormat="false" ht="15" hidden="false" customHeight="false" outlineLevel="0" collapsed="false">
      <c r="A177" s="0" t="n">
        <v>100880098</v>
      </c>
      <c r="B177" s="0" t="s">
        <v>295</v>
      </c>
      <c r="C177" s="0" t="s">
        <v>64</v>
      </c>
      <c r="D177" s="0" t="s">
        <v>65</v>
      </c>
      <c r="E177" s="0" t="s">
        <v>297</v>
      </c>
      <c r="G177" s="0" t="n">
        <v>1</v>
      </c>
      <c r="H177" s="0" t="s">
        <v>298</v>
      </c>
      <c r="I177" s="48" t="n">
        <v>46296</v>
      </c>
      <c r="J177" s="0" t="n">
        <v>0</v>
      </c>
      <c r="K177" s="49" t="s">
        <v>641</v>
      </c>
      <c r="L177" s="49" t="s">
        <v>335</v>
      </c>
      <c r="M177" s="48"/>
      <c r="O177" s="49" t="s">
        <v>445</v>
      </c>
      <c r="P177" s="48"/>
      <c r="Q177" s="48" t="n">
        <v>46296</v>
      </c>
      <c r="R177" s="48" t="n">
        <v>46302</v>
      </c>
      <c r="T177" s="49" t="s">
        <v>302</v>
      </c>
      <c r="U177" s="49" t="s">
        <v>303</v>
      </c>
      <c r="Y177" s="49" t="s">
        <v>312</v>
      </c>
      <c r="AD177" s="49" t="s">
        <v>305</v>
      </c>
      <c r="AE177" s="48" t="n">
        <v>46279</v>
      </c>
      <c r="AF177" s="49" t="s">
        <v>306</v>
      </c>
      <c r="AG177" s="49" t="s">
        <v>307</v>
      </c>
      <c r="AK177" s="49" t="s">
        <v>303</v>
      </c>
      <c r="AL177" s="49" t="s">
        <v>297</v>
      </c>
      <c r="AO177" s="49" t="s">
        <v>303</v>
      </c>
      <c r="AP177" s="48"/>
      <c r="AR177" s="49" t="s">
        <v>303</v>
      </c>
      <c r="AS177" s="49" t="s">
        <v>306</v>
      </c>
      <c r="AT177" s="49" t="s">
        <v>846</v>
      </c>
      <c r="AV177" s="49" t="s">
        <v>309</v>
      </c>
      <c r="AW177" s="49" t="s">
        <v>310</v>
      </c>
      <c r="AX177" s="49" t="s">
        <v>311</v>
      </c>
      <c r="AY177" s="48"/>
      <c r="AZ177" s="48" t="n">
        <v>46294</v>
      </c>
      <c r="BC177" s="49" t="s">
        <v>303</v>
      </c>
      <c r="BD177" s="48"/>
      <c r="BE177" s="49" t="s">
        <v>312</v>
      </c>
      <c r="BF177" s="49" t="s">
        <v>303</v>
      </c>
      <c r="BG177" s="48"/>
      <c r="BI177" s="48"/>
      <c r="BJ177" s="48" t="n">
        <v>46301</v>
      </c>
      <c r="BK177" s="49" t="s">
        <v>313</v>
      </c>
      <c r="BL177" s="49" t="s">
        <v>313</v>
      </c>
      <c r="BM177" s="49" t="s">
        <v>310</v>
      </c>
      <c r="BN177" s="48"/>
      <c r="BO177" s="48"/>
      <c r="BP177" s="48"/>
      <c r="BQ177" s="49" t="s">
        <v>641</v>
      </c>
      <c r="BR177" s="48" t="n">
        <v>46301</v>
      </c>
      <c r="BS177" s="49" t="s">
        <v>847</v>
      </c>
      <c r="BT177" s="49" t="s">
        <v>312</v>
      </c>
      <c r="BU177" s="49" t="s">
        <v>313</v>
      </c>
      <c r="BV177" s="49" t="s">
        <v>303</v>
      </c>
      <c r="BX177" s="0" t="n">
        <v>0</v>
      </c>
      <c r="CC177" s="49" t="s">
        <v>315</v>
      </c>
      <c r="CD177" s="49" t="s">
        <v>303</v>
      </c>
      <c r="CF177" s="49" t="s">
        <v>303</v>
      </c>
      <c r="CG177" s="49" t="s">
        <v>316</v>
      </c>
      <c r="CH177" s="49" t="s">
        <v>317</v>
      </c>
      <c r="CI177" s="49" t="s">
        <v>318</v>
      </c>
      <c r="CM177" s="49" t="s">
        <v>65</v>
      </c>
      <c r="CV177" s="49" t="s">
        <v>303</v>
      </c>
      <c r="DB177" s="49" t="s">
        <v>319</v>
      </c>
      <c r="DD177" s="48" t="n">
        <v>46279</v>
      </c>
      <c r="DF177" s="49" t="s">
        <v>310</v>
      </c>
      <c r="DG177" s="49" t="s">
        <v>320</v>
      </c>
      <c r="DH177" s="49" t="s">
        <v>64</v>
      </c>
      <c r="DI177" s="49" t="s">
        <v>298</v>
      </c>
      <c r="DJ177" s="49" t="s">
        <v>394</v>
      </c>
      <c r="DK177" s="49" t="s">
        <v>322</v>
      </c>
      <c r="DL177" s="49" t="s">
        <v>323</v>
      </c>
      <c r="DM177" s="49" t="s">
        <v>303</v>
      </c>
      <c r="DN177" s="49" t="s">
        <v>297</v>
      </c>
      <c r="DO177" s="48"/>
      <c r="DP177" s="49" t="s">
        <v>312</v>
      </c>
      <c r="DQ177" s="48"/>
      <c r="DR177" s="49" t="s">
        <v>312</v>
      </c>
      <c r="DS177" s="49" t="s">
        <v>303</v>
      </c>
      <c r="DT177" s="49" t="s">
        <v>303</v>
      </c>
      <c r="DW177" s="49" t="s">
        <v>303</v>
      </c>
      <c r="EA177" s="49" t="s">
        <v>324</v>
      </c>
      <c r="EB177" s="49" t="s">
        <v>303</v>
      </c>
      <c r="EF177" s="49" t="s">
        <v>820</v>
      </c>
      <c r="EH177" s="49" t="s">
        <v>310</v>
      </c>
      <c r="EJ177" s="49" t="s">
        <v>303</v>
      </c>
      <c r="EK177" s="49" t="s">
        <v>848</v>
      </c>
      <c r="EM177" s="49" t="s">
        <v>303</v>
      </c>
      <c r="EN177" s="49" t="s">
        <v>396</v>
      </c>
      <c r="EP177" s="49" t="s">
        <v>298</v>
      </c>
      <c r="EQ177" s="0" t="n">
        <v>1</v>
      </c>
      <c r="ER177" s="49" t="s">
        <v>328</v>
      </c>
      <c r="ES177" s="49" t="s">
        <v>329</v>
      </c>
      <c r="ET177" s="49" t="s">
        <v>310</v>
      </c>
      <c r="EU177" s="49" t="s">
        <v>310</v>
      </c>
      <c r="EV177" s="49" t="s">
        <v>310</v>
      </c>
      <c r="EX177" s="49" t="s">
        <v>303</v>
      </c>
      <c r="EY177" s="49" t="s">
        <v>303</v>
      </c>
      <c r="FC177" s="49" t="s">
        <v>330</v>
      </c>
      <c r="FD177" s="49" t="s">
        <v>310</v>
      </c>
      <c r="FE177" s="49" t="s">
        <v>310</v>
      </c>
      <c r="FF177" s="49" t="s">
        <v>64</v>
      </c>
      <c r="FG177" s="49" t="s">
        <v>397</v>
      </c>
      <c r="FH177" s="49" t="s">
        <v>310</v>
      </c>
      <c r="FI177" s="49" t="s">
        <v>332</v>
      </c>
      <c r="FJ177" s="49" t="s">
        <v>303</v>
      </c>
      <c r="FL177" s="49" t="s">
        <v>325</v>
      </c>
      <c r="FM177" s="49" t="s">
        <v>641</v>
      </c>
      <c r="FP177" s="49" t="s">
        <v>303</v>
      </c>
      <c r="FR177" s="49" t="s">
        <v>303</v>
      </c>
      <c r="FT177" s="49" t="s">
        <v>325</v>
      </c>
      <c r="FU177" s="49" t="s">
        <v>325</v>
      </c>
      <c r="FW177" s="49" t="s">
        <v>333</v>
      </c>
    </row>
    <row r="178" customFormat="false" ht="15" hidden="false" customHeight="false" outlineLevel="0" collapsed="false">
      <c r="A178" s="0" t="n">
        <v>100880099</v>
      </c>
      <c r="B178" s="0" t="s">
        <v>295</v>
      </c>
      <c r="C178" s="0" t="s">
        <v>64</v>
      </c>
      <c r="D178" s="0" t="s">
        <v>65</v>
      </c>
      <c r="E178" s="0" t="s">
        <v>297</v>
      </c>
      <c r="G178" s="0" t="n">
        <v>1</v>
      </c>
      <c r="H178" s="0" t="s">
        <v>298</v>
      </c>
      <c r="I178" s="48" t="n">
        <v>46296</v>
      </c>
      <c r="J178" s="0" t="n">
        <v>0</v>
      </c>
      <c r="K178" s="49" t="s">
        <v>641</v>
      </c>
      <c r="L178" s="49" t="s">
        <v>335</v>
      </c>
      <c r="M178" s="48"/>
      <c r="O178" s="49" t="s">
        <v>445</v>
      </c>
      <c r="P178" s="48"/>
      <c r="Q178" s="48" t="n">
        <v>46296</v>
      </c>
      <c r="R178" s="48" t="n">
        <v>46302</v>
      </c>
      <c r="T178" s="49" t="s">
        <v>302</v>
      </c>
      <c r="U178" s="49" t="s">
        <v>303</v>
      </c>
      <c r="Y178" s="49" t="s">
        <v>312</v>
      </c>
      <c r="AD178" s="49" t="s">
        <v>305</v>
      </c>
      <c r="AE178" s="48" t="n">
        <v>46279</v>
      </c>
      <c r="AF178" s="49" t="s">
        <v>306</v>
      </c>
      <c r="AG178" s="49" t="s">
        <v>307</v>
      </c>
      <c r="AK178" s="49" t="s">
        <v>303</v>
      </c>
      <c r="AL178" s="49" t="s">
        <v>297</v>
      </c>
      <c r="AO178" s="49" t="s">
        <v>303</v>
      </c>
      <c r="AP178" s="48"/>
      <c r="AR178" s="49" t="s">
        <v>303</v>
      </c>
      <c r="AS178" s="49" t="s">
        <v>306</v>
      </c>
      <c r="AT178" s="49" t="s">
        <v>849</v>
      </c>
      <c r="AV178" s="49" t="s">
        <v>309</v>
      </c>
      <c r="AW178" s="49" t="s">
        <v>310</v>
      </c>
      <c r="AX178" s="49" t="s">
        <v>311</v>
      </c>
      <c r="AY178" s="48"/>
      <c r="AZ178" s="48" t="n">
        <v>46294</v>
      </c>
      <c r="BC178" s="49" t="s">
        <v>303</v>
      </c>
      <c r="BD178" s="48"/>
      <c r="BE178" s="49" t="s">
        <v>312</v>
      </c>
      <c r="BF178" s="49" t="s">
        <v>303</v>
      </c>
      <c r="BG178" s="48"/>
      <c r="BI178" s="48"/>
      <c r="BJ178" s="48" t="n">
        <v>46301</v>
      </c>
      <c r="BK178" s="49" t="s">
        <v>313</v>
      </c>
      <c r="BL178" s="49" t="s">
        <v>313</v>
      </c>
      <c r="BM178" s="49" t="s">
        <v>310</v>
      </c>
      <c r="BN178" s="48"/>
      <c r="BO178" s="48"/>
      <c r="BP178" s="48"/>
      <c r="BQ178" s="49" t="s">
        <v>641</v>
      </c>
      <c r="BR178" s="48" t="n">
        <v>46301</v>
      </c>
      <c r="BS178" s="49" t="s">
        <v>847</v>
      </c>
      <c r="BT178" s="49" t="s">
        <v>312</v>
      </c>
      <c r="BU178" s="49" t="s">
        <v>313</v>
      </c>
      <c r="BV178" s="49" t="s">
        <v>303</v>
      </c>
      <c r="BX178" s="0" t="n">
        <v>0</v>
      </c>
      <c r="CC178" s="49" t="s">
        <v>315</v>
      </c>
      <c r="CD178" s="49" t="s">
        <v>303</v>
      </c>
      <c r="CF178" s="49" t="s">
        <v>303</v>
      </c>
      <c r="CG178" s="49" t="s">
        <v>316</v>
      </c>
      <c r="CH178" s="49" t="s">
        <v>317</v>
      </c>
      <c r="CI178" s="49" t="s">
        <v>318</v>
      </c>
      <c r="CM178" s="49" t="s">
        <v>65</v>
      </c>
      <c r="CV178" s="49" t="s">
        <v>303</v>
      </c>
      <c r="DB178" s="49" t="s">
        <v>319</v>
      </c>
      <c r="DD178" s="48" t="n">
        <v>46279</v>
      </c>
      <c r="DF178" s="49" t="s">
        <v>310</v>
      </c>
      <c r="DG178" s="49" t="s">
        <v>320</v>
      </c>
      <c r="DH178" s="49" t="s">
        <v>64</v>
      </c>
      <c r="DI178" s="49" t="s">
        <v>298</v>
      </c>
      <c r="DJ178" s="49" t="s">
        <v>394</v>
      </c>
      <c r="DK178" s="49" t="s">
        <v>322</v>
      </c>
      <c r="DL178" s="49" t="s">
        <v>323</v>
      </c>
      <c r="DM178" s="49" t="s">
        <v>303</v>
      </c>
      <c r="DN178" s="49" t="s">
        <v>297</v>
      </c>
      <c r="DO178" s="48"/>
      <c r="DP178" s="49" t="s">
        <v>312</v>
      </c>
      <c r="DQ178" s="48"/>
      <c r="DR178" s="49" t="s">
        <v>312</v>
      </c>
      <c r="DS178" s="49" t="s">
        <v>303</v>
      </c>
      <c r="DT178" s="49" t="s">
        <v>303</v>
      </c>
      <c r="DW178" s="49" t="s">
        <v>303</v>
      </c>
      <c r="EA178" s="49" t="s">
        <v>324</v>
      </c>
      <c r="EB178" s="49" t="s">
        <v>303</v>
      </c>
      <c r="EF178" s="49" t="s">
        <v>820</v>
      </c>
      <c r="EH178" s="49" t="s">
        <v>310</v>
      </c>
      <c r="EJ178" s="49" t="s">
        <v>303</v>
      </c>
      <c r="EK178" s="49" t="s">
        <v>850</v>
      </c>
      <c r="EM178" s="49" t="s">
        <v>303</v>
      </c>
      <c r="EN178" s="49" t="s">
        <v>396</v>
      </c>
      <c r="EP178" s="49" t="s">
        <v>298</v>
      </c>
      <c r="EQ178" s="0" t="n">
        <v>1</v>
      </c>
      <c r="ER178" s="49" t="s">
        <v>328</v>
      </c>
      <c r="ES178" s="49" t="s">
        <v>329</v>
      </c>
      <c r="ET178" s="49" t="s">
        <v>310</v>
      </c>
      <c r="EU178" s="49" t="s">
        <v>310</v>
      </c>
      <c r="EV178" s="49" t="s">
        <v>310</v>
      </c>
      <c r="EX178" s="49" t="s">
        <v>303</v>
      </c>
      <c r="EY178" s="49" t="s">
        <v>303</v>
      </c>
      <c r="FC178" s="49" t="s">
        <v>330</v>
      </c>
      <c r="FD178" s="49" t="s">
        <v>310</v>
      </c>
      <c r="FE178" s="49" t="s">
        <v>310</v>
      </c>
      <c r="FF178" s="49" t="s">
        <v>64</v>
      </c>
      <c r="FG178" s="49" t="s">
        <v>397</v>
      </c>
      <c r="FH178" s="49" t="s">
        <v>310</v>
      </c>
      <c r="FI178" s="49" t="s">
        <v>332</v>
      </c>
      <c r="FJ178" s="49" t="s">
        <v>303</v>
      </c>
      <c r="FL178" s="49" t="s">
        <v>325</v>
      </c>
      <c r="FM178" s="49" t="s">
        <v>641</v>
      </c>
      <c r="FP178" s="49" t="s">
        <v>303</v>
      </c>
      <c r="FR178" s="49" t="s">
        <v>303</v>
      </c>
      <c r="FT178" s="49" t="s">
        <v>325</v>
      </c>
      <c r="FU178" s="49" t="s">
        <v>325</v>
      </c>
      <c r="FW178" s="49" t="s">
        <v>333</v>
      </c>
    </row>
    <row r="179" customFormat="false" ht="15" hidden="false" customHeight="false" outlineLevel="0" collapsed="false">
      <c r="A179" s="0" t="n">
        <v>100880100</v>
      </c>
      <c r="B179" s="0" t="s">
        <v>295</v>
      </c>
      <c r="C179" s="0" t="s">
        <v>64</v>
      </c>
      <c r="D179" s="0" t="s">
        <v>65</v>
      </c>
      <c r="E179" s="0" t="s">
        <v>297</v>
      </c>
      <c r="G179" s="0" t="n">
        <v>1</v>
      </c>
      <c r="H179" s="0" t="s">
        <v>298</v>
      </c>
      <c r="I179" s="48" t="n">
        <v>46296</v>
      </c>
      <c r="J179" s="0" t="n">
        <v>0</v>
      </c>
      <c r="K179" s="49" t="s">
        <v>641</v>
      </c>
      <c r="L179" s="49" t="s">
        <v>335</v>
      </c>
      <c r="M179" s="48"/>
      <c r="O179" s="49" t="s">
        <v>445</v>
      </c>
      <c r="P179" s="48"/>
      <c r="Q179" s="48" t="n">
        <v>46296</v>
      </c>
      <c r="R179" s="48" t="n">
        <v>46302</v>
      </c>
      <c r="T179" s="49" t="s">
        <v>302</v>
      </c>
      <c r="U179" s="49" t="s">
        <v>303</v>
      </c>
      <c r="Y179" s="49" t="s">
        <v>312</v>
      </c>
      <c r="AD179" s="49" t="s">
        <v>305</v>
      </c>
      <c r="AE179" s="48" t="n">
        <v>46279</v>
      </c>
      <c r="AF179" s="49" t="s">
        <v>306</v>
      </c>
      <c r="AG179" s="49" t="s">
        <v>307</v>
      </c>
      <c r="AK179" s="49" t="s">
        <v>303</v>
      </c>
      <c r="AL179" s="49" t="s">
        <v>297</v>
      </c>
      <c r="AO179" s="49" t="s">
        <v>303</v>
      </c>
      <c r="AP179" s="48"/>
      <c r="AR179" s="49" t="s">
        <v>303</v>
      </c>
      <c r="AS179" s="49" t="s">
        <v>306</v>
      </c>
      <c r="AT179" s="49" t="s">
        <v>851</v>
      </c>
      <c r="AV179" s="49" t="s">
        <v>309</v>
      </c>
      <c r="AW179" s="49" t="s">
        <v>310</v>
      </c>
      <c r="AX179" s="49" t="s">
        <v>311</v>
      </c>
      <c r="AY179" s="48"/>
      <c r="AZ179" s="48" t="n">
        <v>46294</v>
      </c>
      <c r="BC179" s="49" t="s">
        <v>303</v>
      </c>
      <c r="BD179" s="48"/>
      <c r="BE179" s="49" t="s">
        <v>312</v>
      </c>
      <c r="BF179" s="49" t="s">
        <v>303</v>
      </c>
      <c r="BG179" s="48"/>
      <c r="BI179" s="48"/>
      <c r="BJ179" s="48" t="n">
        <v>46301</v>
      </c>
      <c r="BK179" s="49" t="s">
        <v>313</v>
      </c>
      <c r="BL179" s="49" t="s">
        <v>313</v>
      </c>
      <c r="BM179" s="49" t="s">
        <v>310</v>
      </c>
      <c r="BN179" s="48"/>
      <c r="BO179" s="48"/>
      <c r="BP179" s="48"/>
      <c r="BQ179" s="49" t="s">
        <v>641</v>
      </c>
      <c r="BR179" s="48" t="n">
        <v>46301</v>
      </c>
      <c r="BS179" s="49" t="s">
        <v>847</v>
      </c>
      <c r="BT179" s="49" t="s">
        <v>312</v>
      </c>
      <c r="BU179" s="49" t="s">
        <v>313</v>
      </c>
      <c r="BV179" s="49" t="s">
        <v>303</v>
      </c>
      <c r="BX179" s="0" t="n">
        <v>0</v>
      </c>
      <c r="CC179" s="49" t="s">
        <v>315</v>
      </c>
      <c r="CD179" s="49" t="s">
        <v>303</v>
      </c>
      <c r="CF179" s="49" t="s">
        <v>303</v>
      </c>
      <c r="CG179" s="49" t="s">
        <v>316</v>
      </c>
      <c r="CH179" s="49" t="s">
        <v>317</v>
      </c>
      <c r="CI179" s="49" t="s">
        <v>318</v>
      </c>
      <c r="CM179" s="49" t="s">
        <v>65</v>
      </c>
      <c r="CV179" s="49" t="s">
        <v>303</v>
      </c>
      <c r="DB179" s="49" t="s">
        <v>319</v>
      </c>
      <c r="DD179" s="48" t="n">
        <v>46279</v>
      </c>
      <c r="DF179" s="49" t="s">
        <v>310</v>
      </c>
      <c r="DG179" s="49" t="s">
        <v>320</v>
      </c>
      <c r="DH179" s="49" t="s">
        <v>64</v>
      </c>
      <c r="DI179" s="49" t="s">
        <v>298</v>
      </c>
      <c r="DJ179" s="49" t="s">
        <v>394</v>
      </c>
      <c r="DK179" s="49" t="s">
        <v>322</v>
      </c>
      <c r="DL179" s="49" t="s">
        <v>323</v>
      </c>
      <c r="DM179" s="49" t="s">
        <v>303</v>
      </c>
      <c r="DN179" s="49" t="s">
        <v>297</v>
      </c>
      <c r="DO179" s="48"/>
      <c r="DP179" s="49" t="s">
        <v>312</v>
      </c>
      <c r="DQ179" s="48"/>
      <c r="DR179" s="49" t="s">
        <v>312</v>
      </c>
      <c r="DS179" s="49" t="s">
        <v>303</v>
      </c>
      <c r="DT179" s="49" t="s">
        <v>303</v>
      </c>
      <c r="DW179" s="49" t="s">
        <v>303</v>
      </c>
      <c r="EA179" s="49" t="s">
        <v>324</v>
      </c>
      <c r="EB179" s="49" t="s">
        <v>303</v>
      </c>
      <c r="EF179" s="49" t="s">
        <v>820</v>
      </c>
      <c r="EH179" s="49" t="s">
        <v>310</v>
      </c>
      <c r="EJ179" s="49" t="s">
        <v>303</v>
      </c>
      <c r="EK179" s="49" t="s">
        <v>852</v>
      </c>
      <c r="EM179" s="49" t="s">
        <v>303</v>
      </c>
      <c r="EN179" s="49" t="s">
        <v>396</v>
      </c>
      <c r="EP179" s="49" t="s">
        <v>298</v>
      </c>
      <c r="EQ179" s="0" t="n">
        <v>1</v>
      </c>
      <c r="ER179" s="49" t="s">
        <v>328</v>
      </c>
      <c r="ES179" s="49" t="s">
        <v>329</v>
      </c>
      <c r="ET179" s="49" t="s">
        <v>310</v>
      </c>
      <c r="EU179" s="49" t="s">
        <v>310</v>
      </c>
      <c r="EV179" s="49" t="s">
        <v>310</v>
      </c>
      <c r="EX179" s="49" t="s">
        <v>303</v>
      </c>
      <c r="EY179" s="49" t="s">
        <v>303</v>
      </c>
      <c r="FC179" s="49" t="s">
        <v>330</v>
      </c>
      <c r="FD179" s="49" t="s">
        <v>310</v>
      </c>
      <c r="FE179" s="49" t="s">
        <v>310</v>
      </c>
      <c r="FF179" s="49" t="s">
        <v>64</v>
      </c>
      <c r="FG179" s="49" t="s">
        <v>397</v>
      </c>
      <c r="FH179" s="49" t="s">
        <v>310</v>
      </c>
      <c r="FI179" s="49" t="s">
        <v>332</v>
      </c>
      <c r="FJ179" s="49" t="s">
        <v>303</v>
      </c>
      <c r="FL179" s="49" t="s">
        <v>325</v>
      </c>
      <c r="FM179" s="49" t="s">
        <v>641</v>
      </c>
      <c r="FP179" s="49" t="s">
        <v>303</v>
      </c>
      <c r="FR179" s="49" t="s">
        <v>303</v>
      </c>
      <c r="FT179" s="49" t="s">
        <v>325</v>
      </c>
      <c r="FU179" s="49" t="s">
        <v>325</v>
      </c>
      <c r="FW179" s="49" t="s">
        <v>333</v>
      </c>
    </row>
    <row r="180" customFormat="false" ht="15" hidden="false" customHeight="false" outlineLevel="0" collapsed="false">
      <c r="A180" s="0" t="n">
        <v>100880101</v>
      </c>
      <c r="B180" s="0" t="s">
        <v>295</v>
      </c>
      <c r="C180" s="0" t="s">
        <v>64</v>
      </c>
      <c r="D180" s="0" t="s">
        <v>65</v>
      </c>
      <c r="E180" s="0" t="s">
        <v>297</v>
      </c>
      <c r="G180" s="0" t="n">
        <v>1</v>
      </c>
      <c r="H180" s="0" t="s">
        <v>298</v>
      </c>
      <c r="I180" s="48" t="n">
        <v>46296</v>
      </c>
      <c r="J180" s="0" t="n">
        <v>0</v>
      </c>
      <c r="K180" s="49" t="s">
        <v>641</v>
      </c>
      <c r="L180" s="49" t="s">
        <v>335</v>
      </c>
      <c r="M180" s="48"/>
      <c r="O180" s="49" t="s">
        <v>445</v>
      </c>
      <c r="P180" s="48"/>
      <c r="Q180" s="48" t="n">
        <v>46296</v>
      </c>
      <c r="R180" s="48" t="n">
        <v>46302</v>
      </c>
      <c r="T180" s="49" t="s">
        <v>302</v>
      </c>
      <c r="U180" s="49" t="s">
        <v>303</v>
      </c>
      <c r="Y180" s="49" t="s">
        <v>312</v>
      </c>
      <c r="AD180" s="49" t="s">
        <v>305</v>
      </c>
      <c r="AE180" s="48" t="n">
        <v>46279</v>
      </c>
      <c r="AF180" s="49" t="s">
        <v>306</v>
      </c>
      <c r="AG180" s="49" t="s">
        <v>307</v>
      </c>
      <c r="AK180" s="49" t="s">
        <v>303</v>
      </c>
      <c r="AL180" s="49" t="s">
        <v>297</v>
      </c>
      <c r="AO180" s="49" t="s">
        <v>303</v>
      </c>
      <c r="AP180" s="48"/>
      <c r="AR180" s="49" t="s">
        <v>303</v>
      </c>
      <c r="AS180" s="49" t="s">
        <v>306</v>
      </c>
      <c r="AT180" s="49" t="s">
        <v>853</v>
      </c>
      <c r="AV180" s="49" t="s">
        <v>309</v>
      </c>
      <c r="AW180" s="49" t="s">
        <v>310</v>
      </c>
      <c r="AX180" s="49" t="s">
        <v>311</v>
      </c>
      <c r="AY180" s="48"/>
      <c r="AZ180" s="48" t="n">
        <v>46294</v>
      </c>
      <c r="BC180" s="49" t="s">
        <v>303</v>
      </c>
      <c r="BD180" s="48"/>
      <c r="BE180" s="49" t="s">
        <v>312</v>
      </c>
      <c r="BF180" s="49" t="s">
        <v>303</v>
      </c>
      <c r="BG180" s="48"/>
      <c r="BI180" s="48"/>
      <c r="BJ180" s="48" t="n">
        <v>46301</v>
      </c>
      <c r="BK180" s="49" t="s">
        <v>313</v>
      </c>
      <c r="BL180" s="49" t="s">
        <v>313</v>
      </c>
      <c r="BM180" s="49" t="s">
        <v>310</v>
      </c>
      <c r="BN180" s="48"/>
      <c r="BO180" s="48"/>
      <c r="BP180" s="48"/>
      <c r="BQ180" s="49" t="s">
        <v>641</v>
      </c>
      <c r="BR180" s="48" t="n">
        <v>46301</v>
      </c>
      <c r="BS180" s="49" t="s">
        <v>854</v>
      </c>
      <c r="BT180" s="49" t="s">
        <v>312</v>
      </c>
      <c r="BU180" s="49" t="s">
        <v>313</v>
      </c>
      <c r="BV180" s="49" t="s">
        <v>303</v>
      </c>
      <c r="BX180" s="0" t="n">
        <v>0</v>
      </c>
      <c r="CC180" s="49" t="s">
        <v>315</v>
      </c>
      <c r="CD180" s="49" t="s">
        <v>303</v>
      </c>
      <c r="CF180" s="49" t="s">
        <v>303</v>
      </c>
      <c r="CG180" s="49" t="s">
        <v>316</v>
      </c>
      <c r="CH180" s="49" t="s">
        <v>317</v>
      </c>
      <c r="CI180" s="49" t="s">
        <v>318</v>
      </c>
      <c r="CM180" s="49" t="s">
        <v>65</v>
      </c>
      <c r="CV180" s="49" t="s">
        <v>303</v>
      </c>
      <c r="DB180" s="49" t="s">
        <v>319</v>
      </c>
      <c r="DD180" s="48" t="n">
        <v>46279</v>
      </c>
      <c r="DF180" s="49" t="s">
        <v>310</v>
      </c>
      <c r="DG180" s="49" t="s">
        <v>320</v>
      </c>
      <c r="DH180" s="49" t="s">
        <v>64</v>
      </c>
      <c r="DI180" s="49" t="s">
        <v>298</v>
      </c>
      <c r="DJ180" s="49" t="s">
        <v>394</v>
      </c>
      <c r="DK180" s="49" t="s">
        <v>322</v>
      </c>
      <c r="DL180" s="49" t="s">
        <v>323</v>
      </c>
      <c r="DM180" s="49" t="s">
        <v>303</v>
      </c>
      <c r="DN180" s="49" t="s">
        <v>297</v>
      </c>
      <c r="DO180" s="48"/>
      <c r="DP180" s="49" t="s">
        <v>312</v>
      </c>
      <c r="DQ180" s="48"/>
      <c r="DR180" s="49" t="s">
        <v>312</v>
      </c>
      <c r="DS180" s="49" t="s">
        <v>303</v>
      </c>
      <c r="DT180" s="49" t="s">
        <v>303</v>
      </c>
      <c r="DW180" s="49" t="s">
        <v>303</v>
      </c>
      <c r="EA180" s="49" t="s">
        <v>324</v>
      </c>
      <c r="EB180" s="49" t="s">
        <v>303</v>
      </c>
      <c r="EF180" s="49" t="s">
        <v>820</v>
      </c>
      <c r="EH180" s="49" t="s">
        <v>310</v>
      </c>
      <c r="EJ180" s="49" t="s">
        <v>303</v>
      </c>
      <c r="EK180" s="49" t="s">
        <v>855</v>
      </c>
      <c r="EM180" s="49" t="s">
        <v>303</v>
      </c>
      <c r="EN180" s="49" t="s">
        <v>396</v>
      </c>
      <c r="EP180" s="49" t="s">
        <v>298</v>
      </c>
      <c r="EQ180" s="0" t="n">
        <v>1</v>
      </c>
      <c r="ER180" s="49" t="s">
        <v>328</v>
      </c>
      <c r="ES180" s="49" t="s">
        <v>329</v>
      </c>
      <c r="ET180" s="49" t="s">
        <v>310</v>
      </c>
      <c r="EU180" s="49" t="s">
        <v>310</v>
      </c>
      <c r="EV180" s="49" t="s">
        <v>310</v>
      </c>
      <c r="EX180" s="49" t="s">
        <v>303</v>
      </c>
      <c r="EY180" s="49" t="s">
        <v>303</v>
      </c>
      <c r="FC180" s="49" t="s">
        <v>330</v>
      </c>
      <c r="FD180" s="49" t="s">
        <v>310</v>
      </c>
      <c r="FE180" s="49" t="s">
        <v>310</v>
      </c>
      <c r="FF180" s="49" t="s">
        <v>64</v>
      </c>
      <c r="FG180" s="49" t="s">
        <v>397</v>
      </c>
      <c r="FH180" s="49" t="s">
        <v>310</v>
      </c>
      <c r="FI180" s="49" t="s">
        <v>332</v>
      </c>
      <c r="FJ180" s="49" t="s">
        <v>303</v>
      </c>
      <c r="FL180" s="49" t="s">
        <v>325</v>
      </c>
      <c r="FM180" s="49" t="s">
        <v>641</v>
      </c>
      <c r="FP180" s="49" t="s">
        <v>303</v>
      </c>
      <c r="FR180" s="49" t="s">
        <v>303</v>
      </c>
      <c r="FT180" s="49" t="s">
        <v>325</v>
      </c>
      <c r="FU180" s="49" t="s">
        <v>325</v>
      </c>
      <c r="FW180" s="49" t="s">
        <v>333</v>
      </c>
    </row>
    <row r="181" customFormat="false" ht="15" hidden="false" customHeight="false" outlineLevel="0" collapsed="false">
      <c r="A181" s="0" t="n">
        <v>100880102</v>
      </c>
      <c r="B181" s="0" t="s">
        <v>295</v>
      </c>
      <c r="C181" s="0" t="s">
        <v>64</v>
      </c>
      <c r="D181" s="0" t="s">
        <v>65</v>
      </c>
      <c r="E181" s="0" t="s">
        <v>297</v>
      </c>
      <c r="G181" s="0" t="n">
        <v>1</v>
      </c>
      <c r="H181" s="0" t="s">
        <v>298</v>
      </c>
      <c r="I181" s="48" t="n">
        <v>46296</v>
      </c>
      <c r="J181" s="0" t="n">
        <v>0</v>
      </c>
      <c r="K181" s="49" t="s">
        <v>641</v>
      </c>
      <c r="L181" s="49" t="s">
        <v>335</v>
      </c>
      <c r="M181" s="48"/>
      <c r="O181" s="49" t="s">
        <v>445</v>
      </c>
      <c r="P181" s="48"/>
      <c r="Q181" s="48" t="n">
        <v>46296</v>
      </c>
      <c r="R181" s="48" t="n">
        <v>46302</v>
      </c>
      <c r="T181" s="49" t="s">
        <v>302</v>
      </c>
      <c r="U181" s="49" t="s">
        <v>303</v>
      </c>
      <c r="Y181" s="49" t="s">
        <v>312</v>
      </c>
      <c r="AD181" s="49" t="s">
        <v>305</v>
      </c>
      <c r="AE181" s="48" t="n">
        <v>46279</v>
      </c>
      <c r="AF181" s="49" t="s">
        <v>306</v>
      </c>
      <c r="AG181" s="49" t="s">
        <v>307</v>
      </c>
      <c r="AK181" s="49" t="s">
        <v>303</v>
      </c>
      <c r="AL181" s="49" t="s">
        <v>297</v>
      </c>
      <c r="AO181" s="49" t="s">
        <v>303</v>
      </c>
      <c r="AP181" s="48"/>
      <c r="AR181" s="49" t="s">
        <v>303</v>
      </c>
      <c r="AS181" s="49" t="s">
        <v>306</v>
      </c>
      <c r="AT181" s="49" t="s">
        <v>856</v>
      </c>
      <c r="AV181" s="49" t="s">
        <v>309</v>
      </c>
      <c r="AW181" s="49" t="s">
        <v>310</v>
      </c>
      <c r="AX181" s="49" t="s">
        <v>311</v>
      </c>
      <c r="AY181" s="48"/>
      <c r="AZ181" s="48" t="n">
        <v>46294</v>
      </c>
      <c r="BC181" s="49" t="s">
        <v>303</v>
      </c>
      <c r="BD181" s="48"/>
      <c r="BE181" s="49" t="s">
        <v>312</v>
      </c>
      <c r="BF181" s="49" t="s">
        <v>303</v>
      </c>
      <c r="BG181" s="48"/>
      <c r="BI181" s="48"/>
      <c r="BJ181" s="48" t="n">
        <v>46301</v>
      </c>
      <c r="BK181" s="49" t="s">
        <v>313</v>
      </c>
      <c r="BL181" s="49" t="s">
        <v>313</v>
      </c>
      <c r="BM181" s="49" t="s">
        <v>310</v>
      </c>
      <c r="BN181" s="48"/>
      <c r="BO181" s="48"/>
      <c r="BP181" s="48"/>
      <c r="BQ181" s="49" t="s">
        <v>641</v>
      </c>
      <c r="BR181" s="48" t="n">
        <v>46301</v>
      </c>
      <c r="BS181" s="49" t="s">
        <v>854</v>
      </c>
      <c r="BT181" s="49" t="s">
        <v>312</v>
      </c>
      <c r="BU181" s="49" t="s">
        <v>313</v>
      </c>
      <c r="BV181" s="49" t="s">
        <v>303</v>
      </c>
      <c r="BX181" s="0" t="n">
        <v>0</v>
      </c>
      <c r="CC181" s="49" t="s">
        <v>315</v>
      </c>
      <c r="CD181" s="49" t="s">
        <v>303</v>
      </c>
      <c r="CF181" s="49" t="s">
        <v>303</v>
      </c>
      <c r="CG181" s="49" t="s">
        <v>316</v>
      </c>
      <c r="CH181" s="49" t="s">
        <v>317</v>
      </c>
      <c r="CI181" s="49" t="s">
        <v>318</v>
      </c>
      <c r="CM181" s="49" t="s">
        <v>65</v>
      </c>
      <c r="CV181" s="49" t="s">
        <v>303</v>
      </c>
      <c r="DB181" s="49" t="s">
        <v>319</v>
      </c>
      <c r="DD181" s="48" t="n">
        <v>46279</v>
      </c>
      <c r="DF181" s="49" t="s">
        <v>310</v>
      </c>
      <c r="DG181" s="49" t="s">
        <v>320</v>
      </c>
      <c r="DH181" s="49" t="s">
        <v>64</v>
      </c>
      <c r="DI181" s="49" t="s">
        <v>298</v>
      </c>
      <c r="DJ181" s="49" t="s">
        <v>394</v>
      </c>
      <c r="DK181" s="49" t="s">
        <v>322</v>
      </c>
      <c r="DL181" s="49" t="s">
        <v>323</v>
      </c>
      <c r="DM181" s="49" t="s">
        <v>303</v>
      </c>
      <c r="DN181" s="49" t="s">
        <v>297</v>
      </c>
      <c r="DO181" s="48"/>
      <c r="DP181" s="49" t="s">
        <v>312</v>
      </c>
      <c r="DQ181" s="48"/>
      <c r="DR181" s="49" t="s">
        <v>312</v>
      </c>
      <c r="DS181" s="49" t="s">
        <v>303</v>
      </c>
      <c r="DT181" s="49" t="s">
        <v>303</v>
      </c>
      <c r="DW181" s="49" t="s">
        <v>303</v>
      </c>
      <c r="EA181" s="49" t="s">
        <v>324</v>
      </c>
      <c r="EB181" s="49" t="s">
        <v>303</v>
      </c>
      <c r="EF181" s="49" t="s">
        <v>820</v>
      </c>
      <c r="EH181" s="49" t="s">
        <v>310</v>
      </c>
      <c r="EJ181" s="49" t="s">
        <v>303</v>
      </c>
      <c r="EK181" s="49" t="s">
        <v>857</v>
      </c>
      <c r="EM181" s="49" t="s">
        <v>303</v>
      </c>
      <c r="EN181" s="49" t="s">
        <v>396</v>
      </c>
      <c r="EP181" s="49" t="s">
        <v>298</v>
      </c>
      <c r="EQ181" s="0" t="n">
        <v>1</v>
      </c>
      <c r="ER181" s="49" t="s">
        <v>328</v>
      </c>
      <c r="ES181" s="49" t="s">
        <v>329</v>
      </c>
      <c r="ET181" s="49" t="s">
        <v>310</v>
      </c>
      <c r="EU181" s="49" t="s">
        <v>310</v>
      </c>
      <c r="EV181" s="49" t="s">
        <v>310</v>
      </c>
      <c r="EX181" s="49" t="s">
        <v>303</v>
      </c>
      <c r="EY181" s="49" t="s">
        <v>303</v>
      </c>
      <c r="FC181" s="49" t="s">
        <v>330</v>
      </c>
      <c r="FD181" s="49" t="s">
        <v>310</v>
      </c>
      <c r="FE181" s="49" t="s">
        <v>310</v>
      </c>
      <c r="FF181" s="49" t="s">
        <v>64</v>
      </c>
      <c r="FG181" s="49" t="s">
        <v>397</v>
      </c>
      <c r="FH181" s="49" t="s">
        <v>310</v>
      </c>
      <c r="FI181" s="49" t="s">
        <v>332</v>
      </c>
      <c r="FJ181" s="49" t="s">
        <v>303</v>
      </c>
      <c r="FL181" s="49" t="s">
        <v>325</v>
      </c>
      <c r="FM181" s="49" t="s">
        <v>641</v>
      </c>
      <c r="FP181" s="49" t="s">
        <v>303</v>
      </c>
      <c r="FR181" s="49" t="s">
        <v>303</v>
      </c>
      <c r="FT181" s="49" t="s">
        <v>325</v>
      </c>
      <c r="FU181" s="49" t="s">
        <v>325</v>
      </c>
      <c r="FW181" s="49" t="s">
        <v>333</v>
      </c>
    </row>
    <row r="182" customFormat="false" ht="15" hidden="false" customHeight="false" outlineLevel="0" collapsed="false">
      <c r="A182" s="0" t="n">
        <v>100880103</v>
      </c>
      <c r="B182" s="0" t="s">
        <v>295</v>
      </c>
      <c r="C182" s="0" t="s">
        <v>64</v>
      </c>
      <c r="D182" s="0" t="s">
        <v>65</v>
      </c>
      <c r="E182" s="0" t="s">
        <v>297</v>
      </c>
      <c r="G182" s="0" t="n">
        <v>1</v>
      </c>
      <c r="H182" s="0" t="s">
        <v>298</v>
      </c>
      <c r="I182" s="48" t="n">
        <v>46296</v>
      </c>
      <c r="J182" s="0" t="n">
        <v>0</v>
      </c>
      <c r="K182" s="49" t="s">
        <v>641</v>
      </c>
      <c r="L182" s="49" t="s">
        <v>335</v>
      </c>
      <c r="M182" s="48"/>
      <c r="O182" s="49" t="s">
        <v>445</v>
      </c>
      <c r="P182" s="48"/>
      <c r="Q182" s="48" t="n">
        <v>46296</v>
      </c>
      <c r="R182" s="48" t="n">
        <v>46302</v>
      </c>
      <c r="T182" s="49" t="s">
        <v>302</v>
      </c>
      <c r="U182" s="49" t="s">
        <v>303</v>
      </c>
      <c r="Y182" s="49" t="s">
        <v>312</v>
      </c>
      <c r="AD182" s="49" t="s">
        <v>305</v>
      </c>
      <c r="AE182" s="48" t="n">
        <v>46279</v>
      </c>
      <c r="AF182" s="49" t="s">
        <v>306</v>
      </c>
      <c r="AG182" s="49" t="s">
        <v>307</v>
      </c>
      <c r="AK182" s="49" t="s">
        <v>303</v>
      </c>
      <c r="AL182" s="49" t="s">
        <v>297</v>
      </c>
      <c r="AO182" s="49" t="s">
        <v>303</v>
      </c>
      <c r="AP182" s="48"/>
      <c r="AR182" s="49" t="s">
        <v>303</v>
      </c>
      <c r="AS182" s="49" t="s">
        <v>306</v>
      </c>
      <c r="AT182" s="49" t="s">
        <v>858</v>
      </c>
      <c r="AV182" s="49" t="s">
        <v>309</v>
      </c>
      <c r="AW182" s="49" t="s">
        <v>310</v>
      </c>
      <c r="AX182" s="49" t="s">
        <v>311</v>
      </c>
      <c r="AY182" s="48"/>
      <c r="AZ182" s="48" t="n">
        <v>46294</v>
      </c>
      <c r="BC182" s="49" t="s">
        <v>303</v>
      </c>
      <c r="BD182" s="48"/>
      <c r="BE182" s="49" t="s">
        <v>312</v>
      </c>
      <c r="BF182" s="49" t="s">
        <v>303</v>
      </c>
      <c r="BG182" s="48"/>
      <c r="BI182" s="48"/>
      <c r="BJ182" s="48" t="n">
        <v>46301</v>
      </c>
      <c r="BK182" s="49" t="s">
        <v>313</v>
      </c>
      <c r="BL182" s="49" t="s">
        <v>313</v>
      </c>
      <c r="BM182" s="49" t="s">
        <v>310</v>
      </c>
      <c r="BN182" s="48"/>
      <c r="BO182" s="48"/>
      <c r="BP182" s="48"/>
      <c r="BQ182" s="49" t="s">
        <v>641</v>
      </c>
      <c r="BR182" s="48" t="n">
        <v>46301</v>
      </c>
      <c r="BS182" s="49" t="s">
        <v>854</v>
      </c>
      <c r="BT182" s="49" t="s">
        <v>312</v>
      </c>
      <c r="BU182" s="49" t="s">
        <v>313</v>
      </c>
      <c r="BV182" s="49" t="s">
        <v>303</v>
      </c>
      <c r="BX182" s="0" t="n">
        <v>0</v>
      </c>
      <c r="CC182" s="49" t="s">
        <v>315</v>
      </c>
      <c r="CD182" s="49" t="s">
        <v>303</v>
      </c>
      <c r="CF182" s="49" t="s">
        <v>303</v>
      </c>
      <c r="CG182" s="49" t="s">
        <v>316</v>
      </c>
      <c r="CH182" s="49" t="s">
        <v>317</v>
      </c>
      <c r="CI182" s="49" t="s">
        <v>318</v>
      </c>
      <c r="CM182" s="49" t="s">
        <v>65</v>
      </c>
      <c r="CV182" s="49" t="s">
        <v>303</v>
      </c>
      <c r="DB182" s="49" t="s">
        <v>319</v>
      </c>
      <c r="DD182" s="48" t="n">
        <v>46279</v>
      </c>
      <c r="DF182" s="49" t="s">
        <v>310</v>
      </c>
      <c r="DG182" s="49" t="s">
        <v>320</v>
      </c>
      <c r="DH182" s="49" t="s">
        <v>64</v>
      </c>
      <c r="DI182" s="49" t="s">
        <v>298</v>
      </c>
      <c r="DJ182" s="49" t="s">
        <v>394</v>
      </c>
      <c r="DK182" s="49" t="s">
        <v>322</v>
      </c>
      <c r="DL182" s="49" t="s">
        <v>323</v>
      </c>
      <c r="DM182" s="49" t="s">
        <v>303</v>
      </c>
      <c r="DN182" s="49" t="s">
        <v>297</v>
      </c>
      <c r="DO182" s="48"/>
      <c r="DP182" s="49" t="s">
        <v>312</v>
      </c>
      <c r="DQ182" s="48"/>
      <c r="DR182" s="49" t="s">
        <v>312</v>
      </c>
      <c r="DS182" s="49" t="s">
        <v>303</v>
      </c>
      <c r="DT182" s="49" t="s">
        <v>303</v>
      </c>
      <c r="DW182" s="49" t="s">
        <v>303</v>
      </c>
      <c r="EA182" s="49" t="s">
        <v>324</v>
      </c>
      <c r="EB182" s="49" t="s">
        <v>303</v>
      </c>
      <c r="EF182" s="49" t="s">
        <v>820</v>
      </c>
      <c r="EH182" s="49" t="s">
        <v>310</v>
      </c>
      <c r="EJ182" s="49" t="s">
        <v>303</v>
      </c>
      <c r="EK182" s="49" t="s">
        <v>859</v>
      </c>
      <c r="EM182" s="49" t="s">
        <v>303</v>
      </c>
      <c r="EN182" s="49" t="s">
        <v>396</v>
      </c>
      <c r="EP182" s="49" t="s">
        <v>298</v>
      </c>
      <c r="EQ182" s="0" t="n">
        <v>1</v>
      </c>
      <c r="ER182" s="49" t="s">
        <v>328</v>
      </c>
      <c r="ES182" s="49" t="s">
        <v>329</v>
      </c>
      <c r="ET182" s="49" t="s">
        <v>310</v>
      </c>
      <c r="EU182" s="49" t="s">
        <v>310</v>
      </c>
      <c r="EV182" s="49" t="s">
        <v>310</v>
      </c>
      <c r="EX182" s="49" t="s">
        <v>303</v>
      </c>
      <c r="EY182" s="49" t="s">
        <v>303</v>
      </c>
      <c r="FC182" s="49" t="s">
        <v>330</v>
      </c>
      <c r="FD182" s="49" t="s">
        <v>310</v>
      </c>
      <c r="FE182" s="49" t="s">
        <v>310</v>
      </c>
      <c r="FF182" s="49" t="s">
        <v>64</v>
      </c>
      <c r="FG182" s="49" t="s">
        <v>397</v>
      </c>
      <c r="FH182" s="49" t="s">
        <v>310</v>
      </c>
      <c r="FI182" s="49" t="s">
        <v>332</v>
      </c>
      <c r="FJ182" s="49" t="s">
        <v>303</v>
      </c>
      <c r="FL182" s="49" t="s">
        <v>325</v>
      </c>
      <c r="FM182" s="49" t="s">
        <v>641</v>
      </c>
      <c r="FP182" s="49" t="s">
        <v>303</v>
      </c>
      <c r="FR182" s="49" t="s">
        <v>303</v>
      </c>
      <c r="FT182" s="49" t="s">
        <v>325</v>
      </c>
      <c r="FU182" s="49" t="s">
        <v>325</v>
      </c>
      <c r="FW182" s="49" t="s">
        <v>333</v>
      </c>
    </row>
    <row r="183" customFormat="false" ht="15" hidden="false" customHeight="false" outlineLevel="0" collapsed="false">
      <c r="A183" s="0" t="n">
        <v>100880104</v>
      </c>
      <c r="B183" s="0" t="s">
        <v>295</v>
      </c>
      <c r="C183" s="0" t="s">
        <v>64</v>
      </c>
      <c r="D183" s="0" t="s">
        <v>65</v>
      </c>
      <c r="E183" s="0" t="s">
        <v>297</v>
      </c>
      <c r="G183" s="0" t="n">
        <v>1</v>
      </c>
      <c r="H183" s="0" t="s">
        <v>298</v>
      </c>
      <c r="I183" s="48" t="n">
        <v>46296</v>
      </c>
      <c r="J183" s="0" t="n">
        <v>0</v>
      </c>
      <c r="K183" s="49" t="s">
        <v>641</v>
      </c>
      <c r="L183" s="49" t="s">
        <v>335</v>
      </c>
      <c r="M183" s="48"/>
      <c r="O183" s="49" t="s">
        <v>445</v>
      </c>
      <c r="P183" s="48"/>
      <c r="Q183" s="48" t="n">
        <v>46296</v>
      </c>
      <c r="R183" s="48" t="n">
        <v>46302</v>
      </c>
      <c r="T183" s="49" t="s">
        <v>302</v>
      </c>
      <c r="U183" s="49" t="s">
        <v>303</v>
      </c>
      <c r="Y183" s="49" t="s">
        <v>312</v>
      </c>
      <c r="AD183" s="49" t="s">
        <v>305</v>
      </c>
      <c r="AE183" s="48" t="n">
        <v>46279</v>
      </c>
      <c r="AF183" s="49" t="s">
        <v>306</v>
      </c>
      <c r="AG183" s="49" t="s">
        <v>307</v>
      </c>
      <c r="AK183" s="49" t="s">
        <v>303</v>
      </c>
      <c r="AL183" s="49" t="s">
        <v>297</v>
      </c>
      <c r="AO183" s="49" t="s">
        <v>303</v>
      </c>
      <c r="AP183" s="48"/>
      <c r="AR183" s="49" t="s">
        <v>303</v>
      </c>
      <c r="AS183" s="49" t="s">
        <v>306</v>
      </c>
      <c r="AT183" s="49" t="s">
        <v>860</v>
      </c>
      <c r="AV183" s="49" t="s">
        <v>309</v>
      </c>
      <c r="AW183" s="49" t="s">
        <v>310</v>
      </c>
      <c r="AX183" s="49" t="s">
        <v>311</v>
      </c>
      <c r="AY183" s="48"/>
      <c r="AZ183" s="48" t="n">
        <v>46294</v>
      </c>
      <c r="BC183" s="49" t="s">
        <v>303</v>
      </c>
      <c r="BD183" s="48"/>
      <c r="BE183" s="49" t="s">
        <v>312</v>
      </c>
      <c r="BF183" s="49" t="s">
        <v>303</v>
      </c>
      <c r="BG183" s="48"/>
      <c r="BI183" s="48"/>
      <c r="BJ183" s="48" t="n">
        <v>46301</v>
      </c>
      <c r="BK183" s="49" t="s">
        <v>313</v>
      </c>
      <c r="BL183" s="49" t="s">
        <v>313</v>
      </c>
      <c r="BM183" s="49" t="s">
        <v>310</v>
      </c>
      <c r="BN183" s="48"/>
      <c r="BO183" s="48"/>
      <c r="BP183" s="48"/>
      <c r="BQ183" s="49" t="s">
        <v>641</v>
      </c>
      <c r="BR183" s="48" t="n">
        <v>46301</v>
      </c>
      <c r="BS183" s="49" t="s">
        <v>861</v>
      </c>
      <c r="BT183" s="49" t="s">
        <v>312</v>
      </c>
      <c r="BU183" s="49" t="s">
        <v>313</v>
      </c>
      <c r="BV183" s="49" t="s">
        <v>303</v>
      </c>
      <c r="BX183" s="0" t="n">
        <v>0</v>
      </c>
      <c r="CC183" s="49" t="s">
        <v>315</v>
      </c>
      <c r="CD183" s="49" t="s">
        <v>303</v>
      </c>
      <c r="CF183" s="49" t="s">
        <v>303</v>
      </c>
      <c r="CG183" s="49" t="s">
        <v>316</v>
      </c>
      <c r="CH183" s="49" t="s">
        <v>317</v>
      </c>
      <c r="CI183" s="49" t="s">
        <v>318</v>
      </c>
      <c r="CM183" s="49" t="s">
        <v>65</v>
      </c>
      <c r="CV183" s="49" t="s">
        <v>303</v>
      </c>
      <c r="DB183" s="49" t="s">
        <v>319</v>
      </c>
      <c r="DD183" s="48" t="n">
        <v>46279</v>
      </c>
      <c r="DF183" s="49" t="s">
        <v>310</v>
      </c>
      <c r="DG183" s="49" t="s">
        <v>320</v>
      </c>
      <c r="DH183" s="49" t="s">
        <v>64</v>
      </c>
      <c r="DI183" s="49" t="s">
        <v>298</v>
      </c>
      <c r="DJ183" s="49" t="s">
        <v>394</v>
      </c>
      <c r="DK183" s="49" t="s">
        <v>322</v>
      </c>
      <c r="DL183" s="49" t="s">
        <v>323</v>
      </c>
      <c r="DM183" s="49" t="s">
        <v>303</v>
      </c>
      <c r="DN183" s="49" t="s">
        <v>297</v>
      </c>
      <c r="DO183" s="48"/>
      <c r="DP183" s="49" t="s">
        <v>312</v>
      </c>
      <c r="DQ183" s="48"/>
      <c r="DR183" s="49" t="s">
        <v>312</v>
      </c>
      <c r="DS183" s="49" t="s">
        <v>303</v>
      </c>
      <c r="DT183" s="49" t="s">
        <v>303</v>
      </c>
      <c r="DW183" s="49" t="s">
        <v>303</v>
      </c>
      <c r="EA183" s="49" t="s">
        <v>324</v>
      </c>
      <c r="EB183" s="49" t="s">
        <v>303</v>
      </c>
      <c r="EF183" s="49" t="s">
        <v>820</v>
      </c>
      <c r="EH183" s="49" t="s">
        <v>310</v>
      </c>
      <c r="EJ183" s="49" t="s">
        <v>303</v>
      </c>
      <c r="EK183" s="49" t="s">
        <v>862</v>
      </c>
      <c r="EM183" s="49" t="s">
        <v>303</v>
      </c>
      <c r="EN183" s="49" t="s">
        <v>396</v>
      </c>
      <c r="EP183" s="49" t="s">
        <v>298</v>
      </c>
      <c r="EQ183" s="0" t="n">
        <v>1</v>
      </c>
      <c r="ER183" s="49" t="s">
        <v>328</v>
      </c>
      <c r="ES183" s="49" t="s">
        <v>329</v>
      </c>
      <c r="ET183" s="49" t="s">
        <v>310</v>
      </c>
      <c r="EU183" s="49" t="s">
        <v>310</v>
      </c>
      <c r="EV183" s="49" t="s">
        <v>310</v>
      </c>
      <c r="EX183" s="49" t="s">
        <v>303</v>
      </c>
      <c r="EY183" s="49" t="s">
        <v>303</v>
      </c>
      <c r="FC183" s="49" t="s">
        <v>330</v>
      </c>
      <c r="FD183" s="49" t="s">
        <v>310</v>
      </c>
      <c r="FE183" s="49" t="s">
        <v>310</v>
      </c>
      <c r="FF183" s="49" t="s">
        <v>64</v>
      </c>
      <c r="FG183" s="49" t="s">
        <v>397</v>
      </c>
      <c r="FH183" s="49" t="s">
        <v>310</v>
      </c>
      <c r="FI183" s="49" t="s">
        <v>332</v>
      </c>
      <c r="FJ183" s="49" t="s">
        <v>303</v>
      </c>
      <c r="FL183" s="49" t="s">
        <v>325</v>
      </c>
      <c r="FM183" s="49" t="s">
        <v>641</v>
      </c>
      <c r="FP183" s="49" t="s">
        <v>303</v>
      </c>
      <c r="FR183" s="49" t="s">
        <v>303</v>
      </c>
      <c r="FT183" s="49" t="s">
        <v>325</v>
      </c>
      <c r="FU183" s="49" t="s">
        <v>325</v>
      </c>
      <c r="FW183" s="49" t="s">
        <v>333</v>
      </c>
    </row>
    <row r="184" customFormat="false" ht="15" hidden="false" customHeight="false" outlineLevel="0" collapsed="false">
      <c r="A184" s="0" t="n">
        <v>100880105</v>
      </c>
      <c r="B184" s="0" t="s">
        <v>295</v>
      </c>
      <c r="C184" s="0" t="s">
        <v>64</v>
      </c>
      <c r="D184" s="0" t="s">
        <v>65</v>
      </c>
      <c r="E184" s="0" t="s">
        <v>297</v>
      </c>
      <c r="G184" s="0" t="n">
        <v>1</v>
      </c>
      <c r="H184" s="0" t="s">
        <v>298</v>
      </c>
      <c r="I184" s="48" t="n">
        <v>46296</v>
      </c>
      <c r="J184" s="0" t="n">
        <v>0</v>
      </c>
      <c r="K184" s="49" t="s">
        <v>641</v>
      </c>
      <c r="L184" s="49" t="s">
        <v>335</v>
      </c>
      <c r="M184" s="48"/>
      <c r="O184" s="49" t="s">
        <v>445</v>
      </c>
      <c r="P184" s="48"/>
      <c r="Q184" s="48" t="n">
        <v>46296</v>
      </c>
      <c r="R184" s="48" t="n">
        <v>46302</v>
      </c>
      <c r="T184" s="49" t="s">
        <v>302</v>
      </c>
      <c r="U184" s="49" t="s">
        <v>303</v>
      </c>
      <c r="Y184" s="49" t="s">
        <v>312</v>
      </c>
      <c r="AD184" s="49" t="s">
        <v>305</v>
      </c>
      <c r="AE184" s="48" t="n">
        <v>46279</v>
      </c>
      <c r="AF184" s="49" t="s">
        <v>306</v>
      </c>
      <c r="AG184" s="49" t="s">
        <v>307</v>
      </c>
      <c r="AK184" s="49" t="s">
        <v>303</v>
      </c>
      <c r="AL184" s="49" t="s">
        <v>297</v>
      </c>
      <c r="AO184" s="49" t="s">
        <v>303</v>
      </c>
      <c r="AP184" s="48"/>
      <c r="AR184" s="49" t="s">
        <v>303</v>
      </c>
      <c r="AS184" s="49" t="s">
        <v>306</v>
      </c>
      <c r="AT184" s="49" t="s">
        <v>863</v>
      </c>
      <c r="AV184" s="49" t="s">
        <v>309</v>
      </c>
      <c r="AW184" s="49" t="s">
        <v>310</v>
      </c>
      <c r="AX184" s="49" t="s">
        <v>311</v>
      </c>
      <c r="AY184" s="48"/>
      <c r="AZ184" s="48" t="n">
        <v>46294</v>
      </c>
      <c r="BC184" s="49" t="s">
        <v>303</v>
      </c>
      <c r="BD184" s="48"/>
      <c r="BE184" s="49" t="s">
        <v>312</v>
      </c>
      <c r="BF184" s="49" t="s">
        <v>303</v>
      </c>
      <c r="BG184" s="48"/>
      <c r="BI184" s="48"/>
      <c r="BJ184" s="48" t="n">
        <v>46301</v>
      </c>
      <c r="BK184" s="49" t="s">
        <v>313</v>
      </c>
      <c r="BL184" s="49" t="s">
        <v>313</v>
      </c>
      <c r="BM184" s="49" t="s">
        <v>310</v>
      </c>
      <c r="BN184" s="48"/>
      <c r="BO184" s="48"/>
      <c r="BP184" s="48"/>
      <c r="BQ184" s="49" t="s">
        <v>641</v>
      </c>
      <c r="BR184" s="48" t="n">
        <v>46301</v>
      </c>
      <c r="BS184" s="49" t="s">
        <v>861</v>
      </c>
      <c r="BT184" s="49" t="s">
        <v>312</v>
      </c>
      <c r="BU184" s="49" t="s">
        <v>313</v>
      </c>
      <c r="BV184" s="49" t="s">
        <v>303</v>
      </c>
      <c r="BX184" s="0" t="n">
        <v>0</v>
      </c>
      <c r="CC184" s="49" t="s">
        <v>315</v>
      </c>
      <c r="CD184" s="49" t="s">
        <v>303</v>
      </c>
      <c r="CF184" s="49" t="s">
        <v>303</v>
      </c>
      <c r="CG184" s="49" t="s">
        <v>316</v>
      </c>
      <c r="CH184" s="49" t="s">
        <v>317</v>
      </c>
      <c r="CI184" s="49" t="s">
        <v>318</v>
      </c>
      <c r="CM184" s="49" t="s">
        <v>65</v>
      </c>
      <c r="CV184" s="49" t="s">
        <v>303</v>
      </c>
      <c r="DB184" s="49" t="s">
        <v>319</v>
      </c>
      <c r="DD184" s="48" t="n">
        <v>46279</v>
      </c>
      <c r="DF184" s="49" t="s">
        <v>310</v>
      </c>
      <c r="DG184" s="49" t="s">
        <v>320</v>
      </c>
      <c r="DH184" s="49" t="s">
        <v>64</v>
      </c>
      <c r="DI184" s="49" t="s">
        <v>298</v>
      </c>
      <c r="DJ184" s="49" t="s">
        <v>394</v>
      </c>
      <c r="DK184" s="49" t="s">
        <v>322</v>
      </c>
      <c r="DL184" s="49" t="s">
        <v>323</v>
      </c>
      <c r="DM184" s="49" t="s">
        <v>303</v>
      </c>
      <c r="DN184" s="49" t="s">
        <v>297</v>
      </c>
      <c r="DO184" s="48"/>
      <c r="DP184" s="49" t="s">
        <v>312</v>
      </c>
      <c r="DQ184" s="48"/>
      <c r="DR184" s="49" t="s">
        <v>312</v>
      </c>
      <c r="DS184" s="49" t="s">
        <v>303</v>
      </c>
      <c r="DT184" s="49" t="s">
        <v>303</v>
      </c>
      <c r="DW184" s="49" t="s">
        <v>303</v>
      </c>
      <c r="EA184" s="49" t="s">
        <v>324</v>
      </c>
      <c r="EB184" s="49" t="s">
        <v>303</v>
      </c>
      <c r="EF184" s="49" t="s">
        <v>820</v>
      </c>
      <c r="EH184" s="49" t="s">
        <v>310</v>
      </c>
      <c r="EJ184" s="49" t="s">
        <v>303</v>
      </c>
      <c r="EK184" s="49" t="s">
        <v>864</v>
      </c>
      <c r="EM184" s="49" t="s">
        <v>303</v>
      </c>
      <c r="EN184" s="49" t="s">
        <v>396</v>
      </c>
      <c r="EP184" s="49" t="s">
        <v>298</v>
      </c>
      <c r="EQ184" s="0" t="n">
        <v>1</v>
      </c>
      <c r="ER184" s="49" t="s">
        <v>328</v>
      </c>
      <c r="ES184" s="49" t="s">
        <v>329</v>
      </c>
      <c r="ET184" s="49" t="s">
        <v>310</v>
      </c>
      <c r="EU184" s="49" t="s">
        <v>310</v>
      </c>
      <c r="EV184" s="49" t="s">
        <v>310</v>
      </c>
      <c r="EX184" s="49" t="s">
        <v>303</v>
      </c>
      <c r="EY184" s="49" t="s">
        <v>303</v>
      </c>
      <c r="FC184" s="49" t="s">
        <v>330</v>
      </c>
      <c r="FD184" s="49" t="s">
        <v>310</v>
      </c>
      <c r="FE184" s="49" t="s">
        <v>310</v>
      </c>
      <c r="FF184" s="49" t="s">
        <v>64</v>
      </c>
      <c r="FG184" s="49" t="s">
        <v>397</v>
      </c>
      <c r="FH184" s="49" t="s">
        <v>310</v>
      </c>
      <c r="FI184" s="49" t="s">
        <v>332</v>
      </c>
      <c r="FJ184" s="49" t="s">
        <v>303</v>
      </c>
      <c r="FL184" s="49" t="s">
        <v>325</v>
      </c>
      <c r="FM184" s="49" t="s">
        <v>641</v>
      </c>
      <c r="FP184" s="49" t="s">
        <v>303</v>
      </c>
      <c r="FR184" s="49" t="s">
        <v>303</v>
      </c>
      <c r="FT184" s="49" t="s">
        <v>325</v>
      </c>
      <c r="FU184" s="49" t="s">
        <v>325</v>
      </c>
      <c r="FW184" s="49" t="s">
        <v>333</v>
      </c>
    </row>
    <row r="185" customFormat="false" ht="15" hidden="false" customHeight="false" outlineLevel="0" collapsed="false">
      <c r="A185" s="0" t="n">
        <v>100880106</v>
      </c>
      <c r="B185" s="0" t="s">
        <v>295</v>
      </c>
      <c r="C185" s="0" t="s">
        <v>64</v>
      </c>
      <c r="D185" s="0" t="s">
        <v>65</v>
      </c>
      <c r="E185" s="0" t="s">
        <v>297</v>
      </c>
      <c r="G185" s="0" t="n">
        <v>1</v>
      </c>
      <c r="H185" s="0" t="s">
        <v>298</v>
      </c>
      <c r="I185" s="48" t="n">
        <v>46296</v>
      </c>
      <c r="J185" s="0" t="n">
        <v>0</v>
      </c>
      <c r="K185" s="49" t="s">
        <v>641</v>
      </c>
      <c r="L185" s="49" t="s">
        <v>335</v>
      </c>
      <c r="M185" s="48"/>
      <c r="O185" s="49" t="s">
        <v>445</v>
      </c>
      <c r="P185" s="48"/>
      <c r="Q185" s="48" t="n">
        <v>46296</v>
      </c>
      <c r="R185" s="48" t="n">
        <v>46302</v>
      </c>
      <c r="T185" s="49" t="s">
        <v>302</v>
      </c>
      <c r="U185" s="49" t="s">
        <v>303</v>
      </c>
      <c r="Y185" s="49" t="s">
        <v>312</v>
      </c>
      <c r="AD185" s="49" t="s">
        <v>305</v>
      </c>
      <c r="AE185" s="48" t="n">
        <v>46279</v>
      </c>
      <c r="AF185" s="49" t="s">
        <v>306</v>
      </c>
      <c r="AG185" s="49" t="s">
        <v>307</v>
      </c>
      <c r="AK185" s="49" t="s">
        <v>303</v>
      </c>
      <c r="AL185" s="49" t="s">
        <v>297</v>
      </c>
      <c r="AO185" s="49" t="s">
        <v>303</v>
      </c>
      <c r="AP185" s="48"/>
      <c r="AR185" s="49" t="s">
        <v>303</v>
      </c>
      <c r="AS185" s="49" t="s">
        <v>306</v>
      </c>
      <c r="AT185" s="49" t="s">
        <v>865</v>
      </c>
      <c r="AV185" s="49" t="s">
        <v>309</v>
      </c>
      <c r="AW185" s="49" t="s">
        <v>310</v>
      </c>
      <c r="AX185" s="49" t="s">
        <v>311</v>
      </c>
      <c r="AY185" s="48"/>
      <c r="AZ185" s="48" t="n">
        <v>46294</v>
      </c>
      <c r="BC185" s="49" t="s">
        <v>303</v>
      </c>
      <c r="BD185" s="48"/>
      <c r="BE185" s="49" t="s">
        <v>312</v>
      </c>
      <c r="BF185" s="49" t="s">
        <v>303</v>
      </c>
      <c r="BG185" s="48"/>
      <c r="BI185" s="48"/>
      <c r="BJ185" s="48" t="n">
        <v>46301</v>
      </c>
      <c r="BK185" s="49" t="s">
        <v>313</v>
      </c>
      <c r="BL185" s="49" t="s">
        <v>313</v>
      </c>
      <c r="BM185" s="49" t="s">
        <v>310</v>
      </c>
      <c r="BN185" s="48"/>
      <c r="BO185" s="48"/>
      <c r="BP185" s="48"/>
      <c r="BQ185" s="49" t="s">
        <v>641</v>
      </c>
      <c r="BR185" s="48" t="n">
        <v>46301</v>
      </c>
      <c r="BS185" s="49" t="s">
        <v>861</v>
      </c>
      <c r="BT185" s="49" t="s">
        <v>312</v>
      </c>
      <c r="BU185" s="49" t="s">
        <v>313</v>
      </c>
      <c r="BV185" s="49" t="s">
        <v>303</v>
      </c>
      <c r="BX185" s="0" t="n">
        <v>0</v>
      </c>
      <c r="CC185" s="49" t="s">
        <v>315</v>
      </c>
      <c r="CD185" s="49" t="s">
        <v>303</v>
      </c>
      <c r="CF185" s="49" t="s">
        <v>303</v>
      </c>
      <c r="CG185" s="49" t="s">
        <v>316</v>
      </c>
      <c r="CH185" s="49" t="s">
        <v>317</v>
      </c>
      <c r="CI185" s="49" t="s">
        <v>318</v>
      </c>
      <c r="CM185" s="49" t="s">
        <v>65</v>
      </c>
      <c r="CV185" s="49" t="s">
        <v>303</v>
      </c>
      <c r="DB185" s="49" t="s">
        <v>319</v>
      </c>
      <c r="DD185" s="48" t="n">
        <v>46279</v>
      </c>
      <c r="DF185" s="49" t="s">
        <v>310</v>
      </c>
      <c r="DG185" s="49" t="s">
        <v>320</v>
      </c>
      <c r="DH185" s="49" t="s">
        <v>64</v>
      </c>
      <c r="DI185" s="49" t="s">
        <v>298</v>
      </c>
      <c r="DJ185" s="49" t="s">
        <v>394</v>
      </c>
      <c r="DK185" s="49" t="s">
        <v>322</v>
      </c>
      <c r="DL185" s="49" t="s">
        <v>323</v>
      </c>
      <c r="DM185" s="49" t="s">
        <v>303</v>
      </c>
      <c r="DN185" s="49" t="s">
        <v>297</v>
      </c>
      <c r="DO185" s="48"/>
      <c r="DP185" s="49" t="s">
        <v>312</v>
      </c>
      <c r="DQ185" s="48"/>
      <c r="DR185" s="49" t="s">
        <v>312</v>
      </c>
      <c r="DS185" s="49" t="s">
        <v>303</v>
      </c>
      <c r="DT185" s="49" t="s">
        <v>303</v>
      </c>
      <c r="DW185" s="49" t="s">
        <v>303</v>
      </c>
      <c r="EA185" s="49" t="s">
        <v>324</v>
      </c>
      <c r="EB185" s="49" t="s">
        <v>303</v>
      </c>
      <c r="EF185" s="49" t="s">
        <v>820</v>
      </c>
      <c r="EH185" s="49" t="s">
        <v>310</v>
      </c>
      <c r="EJ185" s="49" t="s">
        <v>303</v>
      </c>
      <c r="EK185" s="49" t="s">
        <v>866</v>
      </c>
      <c r="EM185" s="49" t="s">
        <v>303</v>
      </c>
      <c r="EN185" s="49" t="s">
        <v>396</v>
      </c>
      <c r="EP185" s="49" t="s">
        <v>298</v>
      </c>
      <c r="EQ185" s="0" t="n">
        <v>1</v>
      </c>
      <c r="ER185" s="49" t="s">
        <v>328</v>
      </c>
      <c r="ES185" s="49" t="s">
        <v>329</v>
      </c>
      <c r="ET185" s="49" t="s">
        <v>310</v>
      </c>
      <c r="EU185" s="49" t="s">
        <v>310</v>
      </c>
      <c r="EV185" s="49" t="s">
        <v>310</v>
      </c>
      <c r="EX185" s="49" t="s">
        <v>303</v>
      </c>
      <c r="EY185" s="49" t="s">
        <v>303</v>
      </c>
      <c r="FC185" s="49" t="s">
        <v>330</v>
      </c>
      <c r="FD185" s="49" t="s">
        <v>310</v>
      </c>
      <c r="FE185" s="49" t="s">
        <v>310</v>
      </c>
      <c r="FF185" s="49" t="s">
        <v>64</v>
      </c>
      <c r="FG185" s="49" t="s">
        <v>397</v>
      </c>
      <c r="FH185" s="49" t="s">
        <v>310</v>
      </c>
      <c r="FI185" s="49" t="s">
        <v>332</v>
      </c>
      <c r="FJ185" s="49" t="s">
        <v>303</v>
      </c>
      <c r="FL185" s="49" t="s">
        <v>325</v>
      </c>
      <c r="FM185" s="49" t="s">
        <v>641</v>
      </c>
      <c r="FP185" s="49" t="s">
        <v>303</v>
      </c>
      <c r="FR185" s="49" t="s">
        <v>303</v>
      </c>
      <c r="FT185" s="49" t="s">
        <v>325</v>
      </c>
      <c r="FU185" s="49" t="s">
        <v>325</v>
      </c>
      <c r="FW185" s="49" t="s">
        <v>333</v>
      </c>
    </row>
    <row r="186" customFormat="false" ht="15" hidden="false" customHeight="false" outlineLevel="0" collapsed="false">
      <c r="A186" s="0" t="n">
        <v>100880107</v>
      </c>
      <c r="B186" s="0" t="s">
        <v>295</v>
      </c>
      <c r="C186" s="0" t="s">
        <v>64</v>
      </c>
      <c r="D186" s="0" t="s">
        <v>65</v>
      </c>
      <c r="E186" s="0" t="s">
        <v>297</v>
      </c>
      <c r="G186" s="0" t="n">
        <v>1</v>
      </c>
      <c r="H186" s="0" t="s">
        <v>298</v>
      </c>
      <c r="I186" s="48" t="n">
        <v>46296</v>
      </c>
      <c r="J186" s="0" t="n">
        <v>0</v>
      </c>
      <c r="K186" s="49" t="s">
        <v>641</v>
      </c>
      <c r="L186" s="49" t="s">
        <v>335</v>
      </c>
      <c r="M186" s="48"/>
      <c r="O186" s="49" t="s">
        <v>445</v>
      </c>
      <c r="P186" s="48"/>
      <c r="Q186" s="48" t="n">
        <v>46296</v>
      </c>
      <c r="R186" s="48" t="n">
        <v>46302</v>
      </c>
      <c r="T186" s="49" t="s">
        <v>302</v>
      </c>
      <c r="U186" s="49" t="s">
        <v>303</v>
      </c>
      <c r="Y186" s="49" t="s">
        <v>312</v>
      </c>
      <c r="AD186" s="49" t="s">
        <v>305</v>
      </c>
      <c r="AE186" s="48" t="n">
        <v>46279</v>
      </c>
      <c r="AF186" s="49" t="s">
        <v>306</v>
      </c>
      <c r="AG186" s="49" t="s">
        <v>307</v>
      </c>
      <c r="AK186" s="49" t="s">
        <v>303</v>
      </c>
      <c r="AL186" s="49" t="s">
        <v>297</v>
      </c>
      <c r="AO186" s="49" t="s">
        <v>303</v>
      </c>
      <c r="AP186" s="48"/>
      <c r="AR186" s="49" t="s">
        <v>303</v>
      </c>
      <c r="AS186" s="49" t="s">
        <v>306</v>
      </c>
      <c r="AT186" s="49" t="s">
        <v>867</v>
      </c>
      <c r="AV186" s="49" t="s">
        <v>309</v>
      </c>
      <c r="AW186" s="49" t="s">
        <v>310</v>
      </c>
      <c r="AX186" s="49" t="s">
        <v>311</v>
      </c>
      <c r="AY186" s="48"/>
      <c r="AZ186" s="48" t="n">
        <v>46294</v>
      </c>
      <c r="BC186" s="49" t="s">
        <v>303</v>
      </c>
      <c r="BD186" s="48"/>
      <c r="BE186" s="49" t="s">
        <v>312</v>
      </c>
      <c r="BF186" s="49" t="s">
        <v>303</v>
      </c>
      <c r="BG186" s="48"/>
      <c r="BI186" s="48"/>
      <c r="BJ186" s="48" t="n">
        <v>46301</v>
      </c>
      <c r="BK186" s="49" t="s">
        <v>313</v>
      </c>
      <c r="BL186" s="49" t="s">
        <v>313</v>
      </c>
      <c r="BM186" s="49" t="s">
        <v>310</v>
      </c>
      <c r="BN186" s="48"/>
      <c r="BO186" s="48"/>
      <c r="BP186" s="48"/>
      <c r="BQ186" s="49" t="s">
        <v>641</v>
      </c>
      <c r="BR186" s="48" t="n">
        <v>46301</v>
      </c>
      <c r="BS186" s="49" t="s">
        <v>868</v>
      </c>
      <c r="BT186" s="49" t="s">
        <v>312</v>
      </c>
      <c r="BU186" s="49" t="s">
        <v>313</v>
      </c>
      <c r="BV186" s="49" t="s">
        <v>303</v>
      </c>
      <c r="BX186" s="0" t="n">
        <v>0</v>
      </c>
      <c r="CC186" s="49" t="s">
        <v>315</v>
      </c>
      <c r="CD186" s="49" t="s">
        <v>303</v>
      </c>
      <c r="CF186" s="49" t="s">
        <v>303</v>
      </c>
      <c r="CG186" s="49" t="s">
        <v>316</v>
      </c>
      <c r="CH186" s="49" t="s">
        <v>317</v>
      </c>
      <c r="CI186" s="49" t="s">
        <v>318</v>
      </c>
      <c r="CM186" s="49" t="s">
        <v>65</v>
      </c>
      <c r="CV186" s="49" t="s">
        <v>303</v>
      </c>
      <c r="DB186" s="49" t="s">
        <v>319</v>
      </c>
      <c r="DD186" s="48" t="n">
        <v>46279</v>
      </c>
      <c r="DF186" s="49" t="s">
        <v>310</v>
      </c>
      <c r="DG186" s="49" t="s">
        <v>320</v>
      </c>
      <c r="DH186" s="49" t="s">
        <v>64</v>
      </c>
      <c r="DI186" s="49" t="s">
        <v>298</v>
      </c>
      <c r="DJ186" s="49" t="s">
        <v>394</v>
      </c>
      <c r="DK186" s="49" t="s">
        <v>322</v>
      </c>
      <c r="DL186" s="49" t="s">
        <v>323</v>
      </c>
      <c r="DM186" s="49" t="s">
        <v>303</v>
      </c>
      <c r="DN186" s="49" t="s">
        <v>297</v>
      </c>
      <c r="DO186" s="48"/>
      <c r="DP186" s="49" t="s">
        <v>312</v>
      </c>
      <c r="DQ186" s="48"/>
      <c r="DR186" s="49" t="s">
        <v>312</v>
      </c>
      <c r="DS186" s="49" t="s">
        <v>303</v>
      </c>
      <c r="DT186" s="49" t="s">
        <v>303</v>
      </c>
      <c r="DW186" s="49" t="s">
        <v>303</v>
      </c>
      <c r="EA186" s="49" t="s">
        <v>324</v>
      </c>
      <c r="EB186" s="49" t="s">
        <v>303</v>
      </c>
      <c r="EF186" s="49" t="s">
        <v>820</v>
      </c>
      <c r="EH186" s="49" t="s">
        <v>310</v>
      </c>
      <c r="EJ186" s="49" t="s">
        <v>303</v>
      </c>
      <c r="EK186" s="49" t="s">
        <v>869</v>
      </c>
      <c r="EM186" s="49" t="s">
        <v>303</v>
      </c>
      <c r="EN186" s="49" t="s">
        <v>396</v>
      </c>
      <c r="EP186" s="49" t="s">
        <v>298</v>
      </c>
      <c r="EQ186" s="0" t="n">
        <v>1</v>
      </c>
      <c r="ER186" s="49" t="s">
        <v>328</v>
      </c>
      <c r="ES186" s="49" t="s">
        <v>329</v>
      </c>
      <c r="ET186" s="49" t="s">
        <v>310</v>
      </c>
      <c r="EU186" s="49" t="s">
        <v>310</v>
      </c>
      <c r="EV186" s="49" t="s">
        <v>310</v>
      </c>
      <c r="EX186" s="49" t="s">
        <v>303</v>
      </c>
      <c r="EY186" s="49" t="s">
        <v>303</v>
      </c>
      <c r="FC186" s="49" t="s">
        <v>330</v>
      </c>
      <c r="FD186" s="49" t="s">
        <v>310</v>
      </c>
      <c r="FE186" s="49" t="s">
        <v>310</v>
      </c>
      <c r="FF186" s="49" t="s">
        <v>64</v>
      </c>
      <c r="FG186" s="49" t="s">
        <v>397</v>
      </c>
      <c r="FH186" s="49" t="s">
        <v>310</v>
      </c>
      <c r="FI186" s="49" t="s">
        <v>332</v>
      </c>
      <c r="FJ186" s="49" t="s">
        <v>303</v>
      </c>
      <c r="FL186" s="49" t="s">
        <v>325</v>
      </c>
      <c r="FM186" s="49" t="s">
        <v>641</v>
      </c>
      <c r="FP186" s="49" t="s">
        <v>303</v>
      </c>
      <c r="FR186" s="49" t="s">
        <v>303</v>
      </c>
      <c r="FT186" s="49" t="s">
        <v>325</v>
      </c>
      <c r="FU186" s="49" t="s">
        <v>325</v>
      </c>
      <c r="FW186" s="49" t="s">
        <v>333</v>
      </c>
    </row>
    <row r="187" customFormat="false" ht="15" hidden="false" customHeight="false" outlineLevel="0" collapsed="false">
      <c r="A187" s="0" t="n">
        <v>100880108</v>
      </c>
      <c r="B187" s="0" t="s">
        <v>295</v>
      </c>
      <c r="C187" s="0" t="s">
        <v>64</v>
      </c>
      <c r="D187" s="0" t="s">
        <v>65</v>
      </c>
      <c r="E187" s="0" t="s">
        <v>297</v>
      </c>
      <c r="G187" s="0" t="n">
        <v>1</v>
      </c>
      <c r="H187" s="0" t="s">
        <v>298</v>
      </c>
      <c r="I187" s="48" t="n">
        <v>46296</v>
      </c>
      <c r="J187" s="0" t="n">
        <v>0</v>
      </c>
      <c r="K187" s="49" t="s">
        <v>641</v>
      </c>
      <c r="L187" s="49" t="s">
        <v>335</v>
      </c>
      <c r="M187" s="48"/>
      <c r="O187" s="49" t="s">
        <v>445</v>
      </c>
      <c r="P187" s="48"/>
      <c r="Q187" s="48" t="n">
        <v>46296</v>
      </c>
      <c r="R187" s="48" t="n">
        <v>46302</v>
      </c>
      <c r="T187" s="49" t="s">
        <v>302</v>
      </c>
      <c r="U187" s="49" t="s">
        <v>303</v>
      </c>
      <c r="Y187" s="49" t="s">
        <v>312</v>
      </c>
      <c r="AD187" s="49" t="s">
        <v>305</v>
      </c>
      <c r="AE187" s="48" t="n">
        <v>46279</v>
      </c>
      <c r="AF187" s="49" t="s">
        <v>306</v>
      </c>
      <c r="AG187" s="49" t="s">
        <v>307</v>
      </c>
      <c r="AK187" s="49" t="s">
        <v>303</v>
      </c>
      <c r="AL187" s="49" t="s">
        <v>297</v>
      </c>
      <c r="AO187" s="49" t="s">
        <v>303</v>
      </c>
      <c r="AP187" s="48"/>
      <c r="AR187" s="49" t="s">
        <v>303</v>
      </c>
      <c r="AS187" s="49" t="s">
        <v>306</v>
      </c>
      <c r="AT187" s="49" t="s">
        <v>870</v>
      </c>
      <c r="AV187" s="49" t="s">
        <v>309</v>
      </c>
      <c r="AW187" s="49" t="s">
        <v>310</v>
      </c>
      <c r="AX187" s="49" t="s">
        <v>311</v>
      </c>
      <c r="AY187" s="48"/>
      <c r="AZ187" s="48" t="n">
        <v>46294</v>
      </c>
      <c r="BC187" s="49" t="s">
        <v>303</v>
      </c>
      <c r="BD187" s="48"/>
      <c r="BE187" s="49" t="s">
        <v>312</v>
      </c>
      <c r="BF187" s="49" t="s">
        <v>303</v>
      </c>
      <c r="BG187" s="48"/>
      <c r="BI187" s="48"/>
      <c r="BJ187" s="48" t="n">
        <v>46301</v>
      </c>
      <c r="BK187" s="49" t="s">
        <v>313</v>
      </c>
      <c r="BL187" s="49" t="s">
        <v>313</v>
      </c>
      <c r="BM187" s="49" t="s">
        <v>310</v>
      </c>
      <c r="BN187" s="48"/>
      <c r="BO187" s="48"/>
      <c r="BP187" s="48"/>
      <c r="BQ187" s="49" t="s">
        <v>641</v>
      </c>
      <c r="BR187" s="48" t="n">
        <v>46301</v>
      </c>
      <c r="BS187" s="49" t="s">
        <v>868</v>
      </c>
      <c r="BT187" s="49" t="s">
        <v>312</v>
      </c>
      <c r="BU187" s="49" t="s">
        <v>313</v>
      </c>
      <c r="BV187" s="49" t="s">
        <v>303</v>
      </c>
      <c r="BX187" s="0" t="n">
        <v>0</v>
      </c>
      <c r="CC187" s="49" t="s">
        <v>315</v>
      </c>
      <c r="CD187" s="49" t="s">
        <v>303</v>
      </c>
      <c r="CF187" s="49" t="s">
        <v>303</v>
      </c>
      <c r="CG187" s="49" t="s">
        <v>316</v>
      </c>
      <c r="CH187" s="49" t="s">
        <v>317</v>
      </c>
      <c r="CI187" s="49" t="s">
        <v>318</v>
      </c>
      <c r="CM187" s="49" t="s">
        <v>65</v>
      </c>
      <c r="CV187" s="49" t="s">
        <v>303</v>
      </c>
      <c r="DB187" s="49" t="s">
        <v>319</v>
      </c>
      <c r="DD187" s="48" t="n">
        <v>46279</v>
      </c>
      <c r="DF187" s="49" t="s">
        <v>310</v>
      </c>
      <c r="DG187" s="49" t="s">
        <v>320</v>
      </c>
      <c r="DH187" s="49" t="s">
        <v>64</v>
      </c>
      <c r="DI187" s="49" t="s">
        <v>298</v>
      </c>
      <c r="DJ187" s="49" t="s">
        <v>394</v>
      </c>
      <c r="DK187" s="49" t="s">
        <v>322</v>
      </c>
      <c r="DL187" s="49" t="s">
        <v>323</v>
      </c>
      <c r="DM187" s="49" t="s">
        <v>303</v>
      </c>
      <c r="DN187" s="49" t="s">
        <v>297</v>
      </c>
      <c r="DO187" s="48"/>
      <c r="DP187" s="49" t="s">
        <v>312</v>
      </c>
      <c r="DQ187" s="48"/>
      <c r="DR187" s="49" t="s">
        <v>312</v>
      </c>
      <c r="DS187" s="49" t="s">
        <v>303</v>
      </c>
      <c r="DT187" s="49" t="s">
        <v>303</v>
      </c>
      <c r="DW187" s="49" t="s">
        <v>303</v>
      </c>
      <c r="EA187" s="49" t="s">
        <v>324</v>
      </c>
      <c r="EB187" s="49" t="s">
        <v>303</v>
      </c>
      <c r="EF187" s="49" t="s">
        <v>820</v>
      </c>
      <c r="EH187" s="49" t="s">
        <v>310</v>
      </c>
      <c r="EJ187" s="49" t="s">
        <v>303</v>
      </c>
      <c r="EK187" s="49" t="s">
        <v>871</v>
      </c>
      <c r="EM187" s="49" t="s">
        <v>303</v>
      </c>
      <c r="EN187" s="49" t="s">
        <v>396</v>
      </c>
      <c r="EP187" s="49" t="s">
        <v>298</v>
      </c>
      <c r="EQ187" s="0" t="n">
        <v>1</v>
      </c>
      <c r="ER187" s="49" t="s">
        <v>328</v>
      </c>
      <c r="ES187" s="49" t="s">
        <v>329</v>
      </c>
      <c r="ET187" s="49" t="s">
        <v>310</v>
      </c>
      <c r="EU187" s="49" t="s">
        <v>310</v>
      </c>
      <c r="EV187" s="49" t="s">
        <v>310</v>
      </c>
      <c r="EX187" s="49" t="s">
        <v>303</v>
      </c>
      <c r="EY187" s="49" t="s">
        <v>303</v>
      </c>
      <c r="FC187" s="49" t="s">
        <v>330</v>
      </c>
      <c r="FD187" s="49" t="s">
        <v>310</v>
      </c>
      <c r="FE187" s="49" t="s">
        <v>310</v>
      </c>
      <c r="FF187" s="49" t="s">
        <v>64</v>
      </c>
      <c r="FG187" s="49" t="s">
        <v>397</v>
      </c>
      <c r="FH187" s="49" t="s">
        <v>310</v>
      </c>
      <c r="FI187" s="49" t="s">
        <v>332</v>
      </c>
      <c r="FJ187" s="49" t="s">
        <v>303</v>
      </c>
      <c r="FL187" s="49" t="s">
        <v>325</v>
      </c>
      <c r="FM187" s="49" t="s">
        <v>641</v>
      </c>
      <c r="FP187" s="49" t="s">
        <v>303</v>
      </c>
      <c r="FR187" s="49" t="s">
        <v>303</v>
      </c>
      <c r="FT187" s="49" t="s">
        <v>325</v>
      </c>
      <c r="FU187" s="49" t="s">
        <v>325</v>
      </c>
      <c r="FW187" s="49" t="s">
        <v>333</v>
      </c>
    </row>
    <row r="188" customFormat="false" ht="15" hidden="false" customHeight="false" outlineLevel="0" collapsed="false">
      <c r="A188" s="0" t="n">
        <v>100880109</v>
      </c>
      <c r="B188" s="0" t="s">
        <v>295</v>
      </c>
      <c r="C188" s="0" t="s">
        <v>64</v>
      </c>
      <c r="D188" s="0" t="s">
        <v>65</v>
      </c>
      <c r="E188" s="0" t="s">
        <v>297</v>
      </c>
      <c r="G188" s="0" t="n">
        <v>1</v>
      </c>
      <c r="H188" s="0" t="s">
        <v>298</v>
      </c>
      <c r="I188" s="48" t="n">
        <v>46296</v>
      </c>
      <c r="J188" s="0" t="n">
        <v>0</v>
      </c>
      <c r="K188" s="49" t="s">
        <v>641</v>
      </c>
      <c r="L188" s="49" t="s">
        <v>335</v>
      </c>
      <c r="M188" s="48"/>
      <c r="O188" s="49" t="s">
        <v>445</v>
      </c>
      <c r="P188" s="48"/>
      <c r="Q188" s="48" t="n">
        <v>46296</v>
      </c>
      <c r="R188" s="48" t="n">
        <v>46302</v>
      </c>
      <c r="T188" s="49" t="s">
        <v>302</v>
      </c>
      <c r="U188" s="49" t="s">
        <v>303</v>
      </c>
      <c r="Y188" s="49" t="s">
        <v>312</v>
      </c>
      <c r="AD188" s="49" t="s">
        <v>305</v>
      </c>
      <c r="AE188" s="48" t="n">
        <v>46279</v>
      </c>
      <c r="AF188" s="49" t="s">
        <v>306</v>
      </c>
      <c r="AG188" s="49" t="s">
        <v>307</v>
      </c>
      <c r="AK188" s="49" t="s">
        <v>303</v>
      </c>
      <c r="AL188" s="49" t="s">
        <v>297</v>
      </c>
      <c r="AO188" s="49" t="s">
        <v>303</v>
      </c>
      <c r="AP188" s="48"/>
      <c r="AR188" s="49" t="s">
        <v>303</v>
      </c>
      <c r="AS188" s="49" t="s">
        <v>306</v>
      </c>
      <c r="AT188" s="49" t="s">
        <v>872</v>
      </c>
      <c r="AV188" s="49" t="s">
        <v>309</v>
      </c>
      <c r="AW188" s="49" t="s">
        <v>310</v>
      </c>
      <c r="AX188" s="49" t="s">
        <v>311</v>
      </c>
      <c r="AY188" s="48"/>
      <c r="AZ188" s="48" t="n">
        <v>46294</v>
      </c>
      <c r="BC188" s="49" t="s">
        <v>303</v>
      </c>
      <c r="BD188" s="48"/>
      <c r="BE188" s="49" t="s">
        <v>312</v>
      </c>
      <c r="BF188" s="49" t="s">
        <v>303</v>
      </c>
      <c r="BG188" s="48"/>
      <c r="BI188" s="48"/>
      <c r="BJ188" s="48" t="n">
        <v>46301</v>
      </c>
      <c r="BK188" s="49" t="s">
        <v>313</v>
      </c>
      <c r="BL188" s="49" t="s">
        <v>313</v>
      </c>
      <c r="BM188" s="49" t="s">
        <v>310</v>
      </c>
      <c r="BN188" s="48"/>
      <c r="BO188" s="48"/>
      <c r="BP188" s="48"/>
      <c r="BQ188" s="49" t="s">
        <v>641</v>
      </c>
      <c r="BR188" s="48" t="n">
        <v>46301</v>
      </c>
      <c r="BS188" s="49" t="s">
        <v>873</v>
      </c>
      <c r="BT188" s="49" t="s">
        <v>312</v>
      </c>
      <c r="BU188" s="49" t="s">
        <v>313</v>
      </c>
      <c r="BV188" s="49" t="s">
        <v>303</v>
      </c>
      <c r="BX188" s="0" t="n">
        <v>0</v>
      </c>
      <c r="CC188" s="49" t="s">
        <v>315</v>
      </c>
      <c r="CD188" s="49" t="s">
        <v>303</v>
      </c>
      <c r="CF188" s="49" t="s">
        <v>303</v>
      </c>
      <c r="CG188" s="49" t="s">
        <v>316</v>
      </c>
      <c r="CH188" s="49" t="s">
        <v>317</v>
      </c>
      <c r="CI188" s="49" t="s">
        <v>318</v>
      </c>
      <c r="CM188" s="49" t="s">
        <v>65</v>
      </c>
      <c r="CV188" s="49" t="s">
        <v>303</v>
      </c>
      <c r="DB188" s="49" t="s">
        <v>319</v>
      </c>
      <c r="DD188" s="48" t="n">
        <v>46279</v>
      </c>
      <c r="DF188" s="49" t="s">
        <v>310</v>
      </c>
      <c r="DG188" s="49" t="s">
        <v>320</v>
      </c>
      <c r="DH188" s="49" t="s">
        <v>64</v>
      </c>
      <c r="DI188" s="49" t="s">
        <v>298</v>
      </c>
      <c r="DJ188" s="49" t="s">
        <v>394</v>
      </c>
      <c r="DK188" s="49" t="s">
        <v>322</v>
      </c>
      <c r="DL188" s="49" t="s">
        <v>323</v>
      </c>
      <c r="DM188" s="49" t="s">
        <v>303</v>
      </c>
      <c r="DN188" s="49" t="s">
        <v>297</v>
      </c>
      <c r="DO188" s="48"/>
      <c r="DP188" s="49" t="s">
        <v>312</v>
      </c>
      <c r="DQ188" s="48"/>
      <c r="DR188" s="49" t="s">
        <v>312</v>
      </c>
      <c r="DS188" s="49" t="s">
        <v>303</v>
      </c>
      <c r="DT188" s="49" t="s">
        <v>303</v>
      </c>
      <c r="DW188" s="49" t="s">
        <v>303</v>
      </c>
      <c r="EA188" s="49" t="s">
        <v>324</v>
      </c>
      <c r="EB188" s="49" t="s">
        <v>303</v>
      </c>
      <c r="EF188" s="49" t="s">
        <v>820</v>
      </c>
      <c r="EH188" s="49" t="s">
        <v>310</v>
      </c>
      <c r="EJ188" s="49" t="s">
        <v>303</v>
      </c>
      <c r="EK188" s="49" t="s">
        <v>874</v>
      </c>
      <c r="EM188" s="49" t="s">
        <v>303</v>
      </c>
      <c r="EN188" s="49" t="s">
        <v>396</v>
      </c>
      <c r="EP188" s="49" t="s">
        <v>298</v>
      </c>
      <c r="EQ188" s="0" t="n">
        <v>1</v>
      </c>
      <c r="ER188" s="49" t="s">
        <v>328</v>
      </c>
      <c r="ES188" s="49" t="s">
        <v>329</v>
      </c>
      <c r="ET188" s="49" t="s">
        <v>310</v>
      </c>
      <c r="EU188" s="49" t="s">
        <v>310</v>
      </c>
      <c r="EV188" s="49" t="s">
        <v>310</v>
      </c>
      <c r="EX188" s="49" t="s">
        <v>303</v>
      </c>
      <c r="EY188" s="49" t="s">
        <v>303</v>
      </c>
      <c r="FC188" s="49" t="s">
        <v>330</v>
      </c>
      <c r="FD188" s="49" t="s">
        <v>310</v>
      </c>
      <c r="FE188" s="49" t="s">
        <v>310</v>
      </c>
      <c r="FF188" s="49" t="s">
        <v>64</v>
      </c>
      <c r="FG188" s="49" t="s">
        <v>397</v>
      </c>
      <c r="FH188" s="49" t="s">
        <v>310</v>
      </c>
      <c r="FI188" s="49" t="s">
        <v>332</v>
      </c>
      <c r="FJ188" s="49" t="s">
        <v>303</v>
      </c>
      <c r="FL188" s="49" t="s">
        <v>325</v>
      </c>
      <c r="FM188" s="49" t="s">
        <v>641</v>
      </c>
      <c r="FP188" s="49" t="s">
        <v>303</v>
      </c>
      <c r="FR188" s="49" t="s">
        <v>303</v>
      </c>
      <c r="FT188" s="49" t="s">
        <v>325</v>
      </c>
      <c r="FU188" s="49" t="s">
        <v>325</v>
      </c>
      <c r="FW188" s="49" t="s">
        <v>333</v>
      </c>
    </row>
    <row r="189" customFormat="false" ht="15" hidden="false" customHeight="false" outlineLevel="0" collapsed="false">
      <c r="A189" s="0" t="n">
        <v>100880110</v>
      </c>
      <c r="B189" s="0" t="s">
        <v>295</v>
      </c>
      <c r="C189" s="0" t="s">
        <v>66</v>
      </c>
      <c r="D189" s="0" t="s">
        <v>296</v>
      </c>
      <c r="E189" s="0" t="s">
        <v>297</v>
      </c>
      <c r="G189" s="0" t="n">
        <v>1</v>
      </c>
      <c r="H189" s="0" t="s">
        <v>298</v>
      </c>
      <c r="I189" s="48" t="n">
        <v>46296</v>
      </c>
      <c r="J189" s="0" t="n">
        <v>0</v>
      </c>
      <c r="K189" s="49" t="s">
        <v>641</v>
      </c>
      <c r="L189" s="49" t="s">
        <v>335</v>
      </c>
      <c r="M189" s="48" t="n">
        <v>46296</v>
      </c>
      <c r="N189" s="49" t="s">
        <v>335</v>
      </c>
      <c r="O189" s="49" t="s">
        <v>445</v>
      </c>
      <c r="P189" s="48"/>
      <c r="Q189" s="48" t="n">
        <v>46296</v>
      </c>
      <c r="R189" s="48" t="n">
        <v>46303</v>
      </c>
      <c r="T189" s="49" t="s">
        <v>302</v>
      </c>
      <c r="U189" s="49" t="s">
        <v>303</v>
      </c>
      <c r="Y189" s="49" t="s">
        <v>875</v>
      </c>
      <c r="AD189" s="49" t="s">
        <v>305</v>
      </c>
      <c r="AE189" s="48" t="n">
        <v>46282</v>
      </c>
      <c r="AF189" s="49" t="s">
        <v>306</v>
      </c>
      <c r="AG189" s="49" t="s">
        <v>307</v>
      </c>
      <c r="AK189" s="49" t="s">
        <v>303</v>
      </c>
      <c r="AL189" s="49" t="s">
        <v>297</v>
      </c>
      <c r="AO189" s="49" t="s">
        <v>303</v>
      </c>
      <c r="AP189" s="48"/>
      <c r="AR189" s="49" t="s">
        <v>303</v>
      </c>
      <c r="AS189" s="49" t="s">
        <v>306</v>
      </c>
      <c r="AT189" s="49" t="s">
        <v>876</v>
      </c>
      <c r="AV189" s="49" t="s">
        <v>309</v>
      </c>
      <c r="AW189" s="49" t="s">
        <v>310</v>
      </c>
      <c r="AX189" s="49" t="s">
        <v>311</v>
      </c>
      <c r="AY189" s="48"/>
      <c r="AZ189" s="48" t="n">
        <v>46294</v>
      </c>
      <c r="BC189" s="49" t="s">
        <v>303</v>
      </c>
      <c r="BD189" s="48"/>
      <c r="BE189" s="49" t="s">
        <v>312</v>
      </c>
      <c r="BF189" s="49" t="s">
        <v>303</v>
      </c>
      <c r="BG189" s="48"/>
      <c r="BI189" s="48"/>
      <c r="BJ189" s="48" t="n">
        <v>46301</v>
      </c>
      <c r="BK189" s="49" t="s">
        <v>312</v>
      </c>
      <c r="BL189" s="49" t="s">
        <v>313</v>
      </c>
      <c r="BM189" s="49" t="s">
        <v>310</v>
      </c>
      <c r="BN189" s="48"/>
      <c r="BO189" s="48"/>
      <c r="BP189" s="48"/>
      <c r="BQ189" s="49" t="s">
        <v>641</v>
      </c>
      <c r="BR189" s="48" t="n">
        <v>46301</v>
      </c>
      <c r="BS189" s="49" t="s">
        <v>877</v>
      </c>
      <c r="BT189" s="49" t="s">
        <v>312</v>
      </c>
      <c r="BU189" s="49" t="s">
        <v>313</v>
      </c>
      <c r="BV189" s="49" t="s">
        <v>303</v>
      </c>
      <c r="BX189" s="0" t="n">
        <v>0</v>
      </c>
      <c r="CC189" s="49" t="s">
        <v>315</v>
      </c>
      <c r="CD189" s="49" t="s">
        <v>303</v>
      </c>
      <c r="CF189" s="49" t="s">
        <v>303</v>
      </c>
      <c r="CG189" s="49" t="s">
        <v>316</v>
      </c>
      <c r="CH189" s="49" t="s">
        <v>317</v>
      </c>
      <c r="CI189" s="49" t="s">
        <v>318</v>
      </c>
      <c r="CM189" s="49" t="s">
        <v>296</v>
      </c>
      <c r="CV189" s="49" t="s">
        <v>303</v>
      </c>
      <c r="DB189" s="49" t="s">
        <v>319</v>
      </c>
      <c r="DD189" s="48" t="n">
        <v>46282</v>
      </c>
      <c r="DF189" s="49" t="s">
        <v>310</v>
      </c>
      <c r="DG189" s="49" t="s">
        <v>320</v>
      </c>
      <c r="DH189" s="49" t="s">
        <v>66</v>
      </c>
      <c r="DI189" s="49" t="s">
        <v>298</v>
      </c>
      <c r="DJ189" s="49" t="s">
        <v>321</v>
      </c>
      <c r="DK189" s="49" t="s">
        <v>322</v>
      </c>
      <c r="DL189" s="49" t="s">
        <v>323</v>
      </c>
      <c r="DM189" s="49" t="s">
        <v>303</v>
      </c>
      <c r="DN189" s="49" t="s">
        <v>297</v>
      </c>
      <c r="DO189" s="48"/>
      <c r="DP189" s="49" t="s">
        <v>313</v>
      </c>
      <c r="DQ189" s="48"/>
      <c r="DR189" s="49" t="s">
        <v>312</v>
      </c>
      <c r="DS189" s="49" t="s">
        <v>303</v>
      </c>
      <c r="DT189" s="49" t="s">
        <v>303</v>
      </c>
      <c r="DW189" s="49" t="s">
        <v>303</v>
      </c>
      <c r="EA189" s="49" t="s">
        <v>324</v>
      </c>
      <c r="EB189" s="49" t="s">
        <v>303</v>
      </c>
      <c r="EH189" s="49" t="s">
        <v>325</v>
      </c>
      <c r="EJ189" s="49" t="s">
        <v>303</v>
      </c>
      <c r="EK189" s="49" t="s">
        <v>878</v>
      </c>
      <c r="EM189" s="49" t="s">
        <v>303</v>
      </c>
      <c r="EN189" s="49" t="s">
        <v>327</v>
      </c>
      <c r="EP189" s="49" t="s">
        <v>298</v>
      </c>
      <c r="EQ189" s="0" t="n">
        <v>1</v>
      </c>
      <c r="ER189" s="49" t="s">
        <v>328</v>
      </c>
      <c r="ES189" s="49" t="s">
        <v>329</v>
      </c>
      <c r="ET189" s="49" t="s">
        <v>310</v>
      </c>
      <c r="EU189" s="49" t="s">
        <v>310</v>
      </c>
      <c r="EV189" s="49" t="s">
        <v>310</v>
      </c>
      <c r="EX189" s="49" t="s">
        <v>303</v>
      </c>
      <c r="EY189" s="49" t="s">
        <v>303</v>
      </c>
      <c r="FC189" s="49" t="s">
        <v>330</v>
      </c>
      <c r="FD189" s="49" t="s">
        <v>310</v>
      </c>
      <c r="FE189" s="49" t="s">
        <v>310</v>
      </c>
      <c r="FF189" s="49" t="s">
        <v>66</v>
      </c>
      <c r="FG189" s="49" t="s">
        <v>331</v>
      </c>
      <c r="FH189" s="49" t="s">
        <v>310</v>
      </c>
      <c r="FI189" s="49" t="s">
        <v>332</v>
      </c>
      <c r="FJ189" s="49" t="s">
        <v>303</v>
      </c>
      <c r="FL189" s="49" t="s">
        <v>325</v>
      </c>
      <c r="FM189" s="49" t="s">
        <v>641</v>
      </c>
      <c r="FP189" s="49" t="s">
        <v>303</v>
      </c>
      <c r="FR189" s="49" t="s">
        <v>303</v>
      </c>
      <c r="FT189" s="49" t="s">
        <v>325</v>
      </c>
      <c r="FU189" s="49" t="s">
        <v>325</v>
      </c>
      <c r="FW189" s="49" t="s">
        <v>333</v>
      </c>
    </row>
    <row r="190" customFormat="false" ht="15" hidden="false" customHeight="false" outlineLevel="0" collapsed="false">
      <c r="A190" s="0" t="n">
        <v>100880111</v>
      </c>
      <c r="B190" s="0" t="s">
        <v>295</v>
      </c>
      <c r="C190" s="0" t="s">
        <v>66</v>
      </c>
      <c r="D190" s="0" t="s">
        <v>296</v>
      </c>
      <c r="E190" s="0" t="s">
        <v>297</v>
      </c>
      <c r="G190" s="0" t="n">
        <v>1</v>
      </c>
      <c r="H190" s="0" t="s">
        <v>298</v>
      </c>
      <c r="I190" s="48" t="n">
        <v>46296</v>
      </c>
      <c r="J190" s="0" t="n">
        <v>0</v>
      </c>
      <c r="K190" s="49" t="s">
        <v>641</v>
      </c>
      <c r="L190" s="49" t="s">
        <v>335</v>
      </c>
      <c r="M190" s="48"/>
      <c r="O190" s="49" t="s">
        <v>445</v>
      </c>
      <c r="P190" s="48"/>
      <c r="Q190" s="48" t="n">
        <v>46296</v>
      </c>
      <c r="R190" s="48" t="n">
        <v>46302</v>
      </c>
      <c r="T190" s="49" t="s">
        <v>302</v>
      </c>
      <c r="U190" s="49" t="s">
        <v>303</v>
      </c>
      <c r="Y190" s="49" t="s">
        <v>312</v>
      </c>
      <c r="AD190" s="49" t="s">
        <v>305</v>
      </c>
      <c r="AE190" s="48" t="n">
        <v>46282</v>
      </c>
      <c r="AF190" s="49" t="s">
        <v>306</v>
      </c>
      <c r="AG190" s="49" t="s">
        <v>307</v>
      </c>
      <c r="AK190" s="49" t="s">
        <v>303</v>
      </c>
      <c r="AL190" s="49" t="s">
        <v>297</v>
      </c>
      <c r="AO190" s="49" t="s">
        <v>303</v>
      </c>
      <c r="AP190" s="48"/>
      <c r="AR190" s="49" t="s">
        <v>303</v>
      </c>
      <c r="AS190" s="49" t="s">
        <v>306</v>
      </c>
      <c r="AT190" s="49" t="s">
        <v>879</v>
      </c>
      <c r="AV190" s="49" t="s">
        <v>309</v>
      </c>
      <c r="AW190" s="49" t="s">
        <v>310</v>
      </c>
      <c r="AX190" s="49" t="s">
        <v>311</v>
      </c>
      <c r="AY190" s="48"/>
      <c r="AZ190" s="48" t="n">
        <v>46294</v>
      </c>
      <c r="BC190" s="49" t="s">
        <v>303</v>
      </c>
      <c r="BD190" s="48"/>
      <c r="BE190" s="49" t="s">
        <v>312</v>
      </c>
      <c r="BF190" s="49" t="s">
        <v>303</v>
      </c>
      <c r="BG190" s="48"/>
      <c r="BI190" s="48"/>
      <c r="BJ190" s="48" t="n">
        <v>46301</v>
      </c>
      <c r="BK190" s="49" t="s">
        <v>313</v>
      </c>
      <c r="BL190" s="49" t="s">
        <v>313</v>
      </c>
      <c r="BM190" s="49" t="s">
        <v>310</v>
      </c>
      <c r="BN190" s="48"/>
      <c r="BO190" s="48"/>
      <c r="BP190" s="48"/>
      <c r="BQ190" s="49" t="s">
        <v>641</v>
      </c>
      <c r="BR190" s="48" t="n">
        <v>46301</v>
      </c>
      <c r="BS190" s="49" t="s">
        <v>880</v>
      </c>
      <c r="BT190" s="49" t="s">
        <v>312</v>
      </c>
      <c r="BU190" s="49" t="s">
        <v>313</v>
      </c>
      <c r="BV190" s="49" t="s">
        <v>303</v>
      </c>
      <c r="BX190" s="0" t="n">
        <v>0</v>
      </c>
      <c r="CC190" s="49" t="s">
        <v>315</v>
      </c>
      <c r="CD190" s="49" t="s">
        <v>303</v>
      </c>
      <c r="CF190" s="49" t="s">
        <v>303</v>
      </c>
      <c r="CG190" s="49" t="s">
        <v>316</v>
      </c>
      <c r="CH190" s="49" t="s">
        <v>317</v>
      </c>
      <c r="CI190" s="49" t="s">
        <v>318</v>
      </c>
      <c r="CM190" s="49" t="s">
        <v>296</v>
      </c>
      <c r="CV190" s="49" t="s">
        <v>303</v>
      </c>
      <c r="DB190" s="49" t="s">
        <v>319</v>
      </c>
      <c r="DD190" s="48" t="n">
        <v>46282</v>
      </c>
      <c r="DF190" s="49" t="s">
        <v>310</v>
      </c>
      <c r="DG190" s="49" t="s">
        <v>320</v>
      </c>
      <c r="DH190" s="49" t="s">
        <v>66</v>
      </c>
      <c r="DI190" s="49" t="s">
        <v>298</v>
      </c>
      <c r="DJ190" s="49" t="s">
        <v>321</v>
      </c>
      <c r="DK190" s="49" t="s">
        <v>322</v>
      </c>
      <c r="DL190" s="49" t="s">
        <v>323</v>
      </c>
      <c r="DM190" s="49" t="s">
        <v>303</v>
      </c>
      <c r="DN190" s="49" t="s">
        <v>297</v>
      </c>
      <c r="DO190" s="48"/>
      <c r="DP190" s="49" t="s">
        <v>313</v>
      </c>
      <c r="DQ190" s="48"/>
      <c r="DR190" s="49" t="s">
        <v>312</v>
      </c>
      <c r="DS190" s="49" t="s">
        <v>303</v>
      </c>
      <c r="DT190" s="49" t="s">
        <v>303</v>
      </c>
      <c r="DW190" s="49" t="s">
        <v>303</v>
      </c>
      <c r="EA190" s="49" t="s">
        <v>324</v>
      </c>
      <c r="EB190" s="49" t="s">
        <v>303</v>
      </c>
      <c r="EF190" s="49" t="s">
        <v>881</v>
      </c>
      <c r="EH190" s="49" t="s">
        <v>325</v>
      </c>
      <c r="EJ190" s="49" t="s">
        <v>303</v>
      </c>
      <c r="EK190" s="49" t="s">
        <v>882</v>
      </c>
      <c r="EM190" s="49" t="s">
        <v>303</v>
      </c>
      <c r="EN190" s="49" t="s">
        <v>327</v>
      </c>
      <c r="EP190" s="49" t="s">
        <v>298</v>
      </c>
      <c r="EQ190" s="0" t="n">
        <v>1</v>
      </c>
      <c r="ER190" s="49" t="s">
        <v>328</v>
      </c>
      <c r="ES190" s="49" t="s">
        <v>329</v>
      </c>
      <c r="ET190" s="49" t="s">
        <v>310</v>
      </c>
      <c r="EU190" s="49" t="s">
        <v>310</v>
      </c>
      <c r="EV190" s="49" t="s">
        <v>310</v>
      </c>
      <c r="EX190" s="49" t="s">
        <v>303</v>
      </c>
      <c r="EY190" s="49" t="s">
        <v>303</v>
      </c>
      <c r="FC190" s="49" t="s">
        <v>330</v>
      </c>
      <c r="FD190" s="49" t="s">
        <v>310</v>
      </c>
      <c r="FE190" s="49" t="s">
        <v>310</v>
      </c>
      <c r="FF190" s="49" t="s">
        <v>66</v>
      </c>
      <c r="FG190" s="49" t="s">
        <v>331</v>
      </c>
      <c r="FH190" s="49" t="s">
        <v>310</v>
      </c>
      <c r="FI190" s="49" t="s">
        <v>332</v>
      </c>
      <c r="FJ190" s="49" t="s">
        <v>303</v>
      </c>
      <c r="FL190" s="49" t="s">
        <v>325</v>
      </c>
      <c r="FM190" s="49" t="s">
        <v>641</v>
      </c>
      <c r="FP190" s="49" t="s">
        <v>303</v>
      </c>
      <c r="FR190" s="49" t="s">
        <v>303</v>
      </c>
      <c r="FT190" s="49" t="s">
        <v>325</v>
      </c>
      <c r="FU190" s="49" t="s">
        <v>325</v>
      </c>
      <c r="FW190" s="49" t="s">
        <v>333</v>
      </c>
    </row>
    <row r="191" customFormat="false" ht="15" hidden="false" customHeight="false" outlineLevel="0" collapsed="false">
      <c r="A191" s="0" t="n">
        <v>100880112</v>
      </c>
      <c r="B191" s="0" t="s">
        <v>295</v>
      </c>
      <c r="C191" s="0" t="s">
        <v>66</v>
      </c>
      <c r="D191" s="0" t="s">
        <v>296</v>
      </c>
      <c r="E191" s="0" t="s">
        <v>297</v>
      </c>
      <c r="G191" s="0" t="n">
        <v>1</v>
      </c>
      <c r="H191" s="0" t="s">
        <v>298</v>
      </c>
      <c r="I191" s="48" t="n">
        <v>46296</v>
      </c>
      <c r="J191" s="0" t="n">
        <v>0</v>
      </c>
      <c r="K191" s="49" t="s">
        <v>641</v>
      </c>
      <c r="L191" s="49" t="s">
        <v>335</v>
      </c>
      <c r="M191" s="48"/>
      <c r="O191" s="49" t="s">
        <v>445</v>
      </c>
      <c r="P191" s="48"/>
      <c r="Q191" s="48" t="n">
        <v>46296</v>
      </c>
      <c r="R191" s="48" t="n">
        <v>46302</v>
      </c>
      <c r="T191" s="49" t="s">
        <v>302</v>
      </c>
      <c r="U191" s="49" t="s">
        <v>303</v>
      </c>
      <c r="Y191" s="49" t="s">
        <v>312</v>
      </c>
      <c r="AD191" s="49" t="s">
        <v>305</v>
      </c>
      <c r="AE191" s="48" t="n">
        <v>46282</v>
      </c>
      <c r="AF191" s="49" t="s">
        <v>306</v>
      </c>
      <c r="AG191" s="49" t="s">
        <v>307</v>
      </c>
      <c r="AK191" s="49" t="s">
        <v>303</v>
      </c>
      <c r="AL191" s="49" t="s">
        <v>297</v>
      </c>
      <c r="AO191" s="49" t="s">
        <v>303</v>
      </c>
      <c r="AP191" s="48"/>
      <c r="AR191" s="49" t="s">
        <v>303</v>
      </c>
      <c r="AS191" s="49" t="s">
        <v>306</v>
      </c>
      <c r="AT191" s="49" t="s">
        <v>883</v>
      </c>
      <c r="AV191" s="49" t="s">
        <v>309</v>
      </c>
      <c r="AW191" s="49" t="s">
        <v>310</v>
      </c>
      <c r="AX191" s="49" t="s">
        <v>311</v>
      </c>
      <c r="AY191" s="48"/>
      <c r="AZ191" s="48" t="n">
        <v>46294</v>
      </c>
      <c r="BC191" s="49" t="s">
        <v>303</v>
      </c>
      <c r="BD191" s="48"/>
      <c r="BE191" s="49" t="s">
        <v>312</v>
      </c>
      <c r="BF191" s="49" t="s">
        <v>303</v>
      </c>
      <c r="BG191" s="48"/>
      <c r="BI191" s="48"/>
      <c r="BJ191" s="48" t="n">
        <v>46301</v>
      </c>
      <c r="BK191" s="49" t="s">
        <v>313</v>
      </c>
      <c r="BL191" s="49" t="s">
        <v>313</v>
      </c>
      <c r="BM191" s="49" t="s">
        <v>310</v>
      </c>
      <c r="BN191" s="48"/>
      <c r="BO191" s="48"/>
      <c r="BP191" s="48"/>
      <c r="BQ191" s="49" t="s">
        <v>641</v>
      </c>
      <c r="BR191" s="48" t="n">
        <v>46301</v>
      </c>
      <c r="BS191" s="49" t="s">
        <v>880</v>
      </c>
      <c r="BT191" s="49" t="s">
        <v>312</v>
      </c>
      <c r="BU191" s="49" t="s">
        <v>313</v>
      </c>
      <c r="BV191" s="49" t="s">
        <v>303</v>
      </c>
      <c r="BX191" s="0" t="n">
        <v>0</v>
      </c>
      <c r="CC191" s="49" t="s">
        <v>315</v>
      </c>
      <c r="CD191" s="49" t="s">
        <v>303</v>
      </c>
      <c r="CF191" s="49" t="s">
        <v>303</v>
      </c>
      <c r="CG191" s="49" t="s">
        <v>316</v>
      </c>
      <c r="CH191" s="49" t="s">
        <v>317</v>
      </c>
      <c r="CI191" s="49" t="s">
        <v>318</v>
      </c>
      <c r="CM191" s="49" t="s">
        <v>296</v>
      </c>
      <c r="CV191" s="49" t="s">
        <v>303</v>
      </c>
      <c r="DB191" s="49" t="s">
        <v>319</v>
      </c>
      <c r="DD191" s="48" t="n">
        <v>46282</v>
      </c>
      <c r="DF191" s="49" t="s">
        <v>310</v>
      </c>
      <c r="DG191" s="49" t="s">
        <v>320</v>
      </c>
      <c r="DH191" s="49" t="s">
        <v>66</v>
      </c>
      <c r="DI191" s="49" t="s">
        <v>298</v>
      </c>
      <c r="DJ191" s="49" t="s">
        <v>321</v>
      </c>
      <c r="DK191" s="49" t="s">
        <v>322</v>
      </c>
      <c r="DL191" s="49" t="s">
        <v>323</v>
      </c>
      <c r="DM191" s="49" t="s">
        <v>303</v>
      </c>
      <c r="DN191" s="49" t="s">
        <v>297</v>
      </c>
      <c r="DO191" s="48"/>
      <c r="DP191" s="49" t="s">
        <v>313</v>
      </c>
      <c r="DQ191" s="48"/>
      <c r="DR191" s="49" t="s">
        <v>312</v>
      </c>
      <c r="DS191" s="49" t="s">
        <v>303</v>
      </c>
      <c r="DT191" s="49" t="s">
        <v>303</v>
      </c>
      <c r="DW191" s="49" t="s">
        <v>303</v>
      </c>
      <c r="EA191" s="49" t="s">
        <v>324</v>
      </c>
      <c r="EB191" s="49" t="s">
        <v>303</v>
      </c>
      <c r="EF191" s="49" t="s">
        <v>881</v>
      </c>
      <c r="EH191" s="49" t="s">
        <v>325</v>
      </c>
      <c r="EJ191" s="49" t="s">
        <v>303</v>
      </c>
      <c r="EK191" s="49" t="s">
        <v>884</v>
      </c>
      <c r="EM191" s="49" t="s">
        <v>303</v>
      </c>
      <c r="EN191" s="49" t="s">
        <v>327</v>
      </c>
      <c r="EP191" s="49" t="s">
        <v>298</v>
      </c>
      <c r="EQ191" s="0" t="n">
        <v>1</v>
      </c>
      <c r="ER191" s="49" t="s">
        <v>328</v>
      </c>
      <c r="ES191" s="49" t="s">
        <v>329</v>
      </c>
      <c r="ET191" s="49" t="s">
        <v>310</v>
      </c>
      <c r="EU191" s="49" t="s">
        <v>310</v>
      </c>
      <c r="EV191" s="49" t="s">
        <v>310</v>
      </c>
      <c r="EX191" s="49" t="s">
        <v>303</v>
      </c>
      <c r="EY191" s="49" t="s">
        <v>303</v>
      </c>
      <c r="FC191" s="49" t="s">
        <v>330</v>
      </c>
      <c r="FD191" s="49" t="s">
        <v>310</v>
      </c>
      <c r="FE191" s="49" t="s">
        <v>310</v>
      </c>
      <c r="FF191" s="49" t="s">
        <v>66</v>
      </c>
      <c r="FG191" s="49" t="s">
        <v>331</v>
      </c>
      <c r="FH191" s="49" t="s">
        <v>310</v>
      </c>
      <c r="FI191" s="49" t="s">
        <v>332</v>
      </c>
      <c r="FJ191" s="49" t="s">
        <v>303</v>
      </c>
      <c r="FL191" s="49" t="s">
        <v>325</v>
      </c>
      <c r="FM191" s="49" t="s">
        <v>641</v>
      </c>
      <c r="FP191" s="49" t="s">
        <v>303</v>
      </c>
      <c r="FR191" s="49" t="s">
        <v>303</v>
      </c>
      <c r="FT191" s="49" t="s">
        <v>325</v>
      </c>
      <c r="FU191" s="49" t="s">
        <v>325</v>
      </c>
      <c r="FW191" s="49" t="s">
        <v>333</v>
      </c>
    </row>
    <row r="192" customFormat="false" ht="15" hidden="false" customHeight="false" outlineLevel="0" collapsed="false">
      <c r="A192" s="0" t="n">
        <v>100880115</v>
      </c>
      <c r="B192" s="0" t="s">
        <v>295</v>
      </c>
      <c r="C192" s="0" t="s">
        <v>68</v>
      </c>
      <c r="D192" s="0" t="s">
        <v>456</v>
      </c>
      <c r="E192" s="0" t="s">
        <v>297</v>
      </c>
      <c r="G192" s="0" t="n">
        <v>1</v>
      </c>
      <c r="H192" s="0" t="s">
        <v>298</v>
      </c>
      <c r="I192" s="48" t="n">
        <v>46296</v>
      </c>
      <c r="J192" s="0" t="n">
        <v>0</v>
      </c>
      <c r="K192" s="49" t="s">
        <v>641</v>
      </c>
      <c r="L192" s="49" t="s">
        <v>335</v>
      </c>
      <c r="M192" s="48" t="n">
        <v>46296</v>
      </c>
      <c r="N192" s="49" t="s">
        <v>335</v>
      </c>
      <c r="O192" s="49" t="s">
        <v>445</v>
      </c>
      <c r="P192" s="48"/>
      <c r="Q192" s="48" t="n">
        <v>46296</v>
      </c>
      <c r="R192" s="48" t="n">
        <v>46303</v>
      </c>
      <c r="T192" s="49" t="s">
        <v>302</v>
      </c>
      <c r="U192" s="49" t="s">
        <v>303</v>
      </c>
      <c r="Y192" s="49" t="s">
        <v>885</v>
      </c>
      <c r="AD192" s="49" t="s">
        <v>305</v>
      </c>
      <c r="AE192" s="48" t="n">
        <v>46282</v>
      </c>
      <c r="AF192" s="49" t="s">
        <v>306</v>
      </c>
      <c r="AG192" s="49" t="s">
        <v>307</v>
      </c>
      <c r="AK192" s="49" t="s">
        <v>303</v>
      </c>
      <c r="AL192" s="49" t="s">
        <v>297</v>
      </c>
      <c r="AO192" s="49" t="s">
        <v>303</v>
      </c>
      <c r="AP192" s="48"/>
      <c r="AR192" s="49" t="s">
        <v>303</v>
      </c>
      <c r="AS192" s="49" t="s">
        <v>306</v>
      </c>
      <c r="AT192" s="49" t="s">
        <v>886</v>
      </c>
      <c r="AV192" s="49" t="s">
        <v>309</v>
      </c>
      <c r="AW192" s="49" t="s">
        <v>310</v>
      </c>
      <c r="AX192" s="49" t="s">
        <v>311</v>
      </c>
      <c r="AY192" s="48"/>
      <c r="AZ192" s="48" t="n">
        <v>46294</v>
      </c>
      <c r="BC192" s="49" t="s">
        <v>303</v>
      </c>
      <c r="BD192" s="48"/>
      <c r="BE192" s="49" t="s">
        <v>312</v>
      </c>
      <c r="BF192" s="49" t="s">
        <v>303</v>
      </c>
      <c r="BG192" s="48"/>
      <c r="BI192" s="48"/>
      <c r="BJ192" s="48" t="n">
        <v>46301</v>
      </c>
      <c r="BK192" s="49" t="s">
        <v>312</v>
      </c>
      <c r="BL192" s="49" t="s">
        <v>313</v>
      </c>
      <c r="BM192" s="49" t="s">
        <v>310</v>
      </c>
      <c r="BN192" s="48"/>
      <c r="BO192" s="48"/>
      <c r="BP192" s="48"/>
      <c r="BQ192" s="49" t="s">
        <v>641</v>
      </c>
      <c r="BR192" s="48" t="n">
        <v>46301</v>
      </c>
      <c r="BS192" s="49" t="s">
        <v>880</v>
      </c>
      <c r="BT192" s="49" t="s">
        <v>312</v>
      </c>
      <c r="BU192" s="49" t="s">
        <v>313</v>
      </c>
      <c r="BV192" s="49" t="s">
        <v>303</v>
      </c>
      <c r="BX192" s="0" t="n">
        <v>0</v>
      </c>
      <c r="CC192" s="49" t="s">
        <v>315</v>
      </c>
      <c r="CD192" s="49" t="s">
        <v>303</v>
      </c>
      <c r="CF192" s="49" t="s">
        <v>303</v>
      </c>
      <c r="CG192" s="49" t="s">
        <v>316</v>
      </c>
      <c r="CH192" s="49" t="s">
        <v>317</v>
      </c>
      <c r="CI192" s="49" t="s">
        <v>318</v>
      </c>
      <c r="CM192" s="49" t="s">
        <v>456</v>
      </c>
      <c r="CV192" s="49" t="s">
        <v>303</v>
      </c>
      <c r="DB192" s="49" t="s">
        <v>319</v>
      </c>
      <c r="DD192" s="48" t="n">
        <v>46282</v>
      </c>
      <c r="DF192" s="49" t="s">
        <v>310</v>
      </c>
      <c r="DG192" s="49" t="s">
        <v>320</v>
      </c>
      <c r="DH192" s="49" t="s">
        <v>68</v>
      </c>
      <c r="DI192" s="49" t="s">
        <v>298</v>
      </c>
      <c r="DJ192" s="49" t="s">
        <v>321</v>
      </c>
      <c r="DK192" s="49" t="s">
        <v>322</v>
      </c>
      <c r="DL192" s="49" t="s">
        <v>323</v>
      </c>
      <c r="DM192" s="49" t="s">
        <v>303</v>
      </c>
      <c r="DN192" s="49" t="s">
        <v>297</v>
      </c>
      <c r="DO192" s="48"/>
      <c r="DP192" s="49" t="s">
        <v>313</v>
      </c>
      <c r="DQ192" s="48"/>
      <c r="DR192" s="49" t="s">
        <v>312</v>
      </c>
      <c r="DS192" s="49" t="s">
        <v>303</v>
      </c>
      <c r="DT192" s="49" t="s">
        <v>303</v>
      </c>
      <c r="DW192" s="49" t="s">
        <v>303</v>
      </c>
      <c r="EA192" s="49" t="s">
        <v>324</v>
      </c>
      <c r="EB192" s="49" t="s">
        <v>303</v>
      </c>
      <c r="EH192" s="49" t="s">
        <v>325</v>
      </c>
      <c r="EJ192" s="49" t="s">
        <v>303</v>
      </c>
      <c r="EK192" s="49" t="s">
        <v>887</v>
      </c>
      <c r="EM192" s="49" t="s">
        <v>303</v>
      </c>
      <c r="EN192" s="49" t="s">
        <v>460</v>
      </c>
      <c r="EP192" s="49" t="s">
        <v>298</v>
      </c>
      <c r="EQ192" s="0" t="n">
        <v>1</v>
      </c>
      <c r="ER192" s="49" t="s">
        <v>328</v>
      </c>
      <c r="ES192" s="49" t="s">
        <v>329</v>
      </c>
      <c r="ET192" s="49" t="s">
        <v>310</v>
      </c>
      <c r="EU192" s="49" t="s">
        <v>310</v>
      </c>
      <c r="EV192" s="49" t="s">
        <v>310</v>
      </c>
      <c r="EX192" s="49" t="s">
        <v>303</v>
      </c>
      <c r="EY192" s="49" t="s">
        <v>303</v>
      </c>
      <c r="FC192" s="49" t="s">
        <v>330</v>
      </c>
      <c r="FD192" s="49" t="s">
        <v>310</v>
      </c>
      <c r="FE192" s="49" t="s">
        <v>310</v>
      </c>
      <c r="FF192" s="49" t="s">
        <v>68</v>
      </c>
      <c r="FG192" s="49" t="s">
        <v>461</v>
      </c>
      <c r="FH192" s="49" t="s">
        <v>310</v>
      </c>
      <c r="FI192" s="49" t="s">
        <v>332</v>
      </c>
      <c r="FJ192" s="49" t="s">
        <v>303</v>
      </c>
      <c r="FL192" s="49" t="s">
        <v>325</v>
      </c>
      <c r="FM192" s="49" t="s">
        <v>641</v>
      </c>
      <c r="FP192" s="49" t="s">
        <v>303</v>
      </c>
      <c r="FR192" s="49" t="s">
        <v>303</v>
      </c>
      <c r="FT192" s="49" t="s">
        <v>325</v>
      </c>
      <c r="FU192" s="49" t="s">
        <v>325</v>
      </c>
      <c r="FW192" s="49" t="s">
        <v>333</v>
      </c>
    </row>
    <row r="193" customFormat="false" ht="15" hidden="false" customHeight="false" outlineLevel="0" collapsed="false">
      <c r="A193" s="0" t="n">
        <v>100880116</v>
      </c>
      <c r="B193" s="0" t="s">
        <v>295</v>
      </c>
      <c r="C193" s="0" t="s">
        <v>68</v>
      </c>
      <c r="D193" s="0" t="s">
        <v>456</v>
      </c>
      <c r="E193" s="0" t="s">
        <v>297</v>
      </c>
      <c r="G193" s="0" t="n">
        <v>1</v>
      </c>
      <c r="H193" s="0" t="s">
        <v>298</v>
      </c>
      <c r="I193" s="48" t="n">
        <v>46296</v>
      </c>
      <c r="J193" s="0" t="n">
        <v>0</v>
      </c>
      <c r="K193" s="49" t="s">
        <v>641</v>
      </c>
      <c r="L193" s="49" t="s">
        <v>335</v>
      </c>
      <c r="M193" s="48"/>
      <c r="O193" s="49" t="s">
        <v>445</v>
      </c>
      <c r="P193" s="48"/>
      <c r="Q193" s="48" t="n">
        <v>46296</v>
      </c>
      <c r="R193" s="48" t="n">
        <v>46302</v>
      </c>
      <c r="T193" s="49" t="s">
        <v>302</v>
      </c>
      <c r="U193" s="49" t="s">
        <v>303</v>
      </c>
      <c r="Y193" s="49" t="s">
        <v>312</v>
      </c>
      <c r="AD193" s="49" t="s">
        <v>305</v>
      </c>
      <c r="AE193" s="48" t="n">
        <v>46282</v>
      </c>
      <c r="AF193" s="49" t="s">
        <v>306</v>
      </c>
      <c r="AG193" s="49" t="s">
        <v>307</v>
      </c>
      <c r="AK193" s="49" t="s">
        <v>303</v>
      </c>
      <c r="AL193" s="49" t="s">
        <v>297</v>
      </c>
      <c r="AO193" s="49" t="s">
        <v>303</v>
      </c>
      <c r="AP193" s="48"/>
      <c r="AR193" s="49" t="s">
        <v>303</v>
      </c>
      <c r="AS193" s="49" t="s">
        <v>306</v>
      </c>
      <c r="AT193" s="49" t="s">
        <v>888</v>
      </c>
      <c r="AV193" s="49" t="s">
        <v>309</v>
      </c>
      <c r="AW193" s="49" t="s">
        <v>310</v>
      </c>
      <c r="AX193" s="49" t="s">
        <v>311</v>
      </c>
      <c r="AY193" s="48"/>
      <c r="AZ193" s="48" t="n">
        <v>46294</v>
      </c>
      <c r="BC193" s="49" t="s">
        <v>303</v>
      </c>
      <c r="BD193" s="48"/>
      <c r="BE193" s="49" t="s">
        <v>312</v>
      </c>
      <c r="BF193" s="49" t="s">
        <v>303</v>
      </c>
      <c r="BG193" s="48"/>
      <c r="BI193" s="48"/>
      <c r="BJ193" s="48" t="n">
        <v>46301</v>
      </c>
      <c r="BK193" s="49" t="s">
        <v>313</v>
      </c>
      <c r="BL193" s="49" t="s">
        <v>313</v>
      </c>
      <c r="BM193" s="49" t="s">
        <v>310</v>
      </c>
      <c r="BN193" s="48"/>
      <c r="BO193" s="48"/>
      <c r="BP193" s="48"/>
      <c r="BQ193" s="49" t="s">
        <v>641</v>
      </c>
      <c r="BR193" s="48" t="n">
        <v>46301</v>
      </c>
      <c r="BS193" s="49" t="s">
        <v>889</v>
      </c>
      <c r="BT193" s="49" t="s">
        <v>312</v>
      </c>
      <c r="BU193" s="49" t="s">
        <v>313</v>
      </c>
      <c r="BV193" s="49" t="s">
        <v>303</v>
      </c>
      <c r="BX193" s="0" t="n">
        <v>0</v>
      </c>
      <c r="CC193" s="49" t="s">
        <v>315</v>
      </c>
      <c r="CD193" s="49" t="s">
        <v>303</v>
      </c>
      <c r="CF193" s="49" t="s">
        <v>303</v>
      </c>
      <c r="CG193" s="49" t="s">
        <v>316</v>
      </c>
      <c r="CH193" s="49" t="s">
        <v>317</v>
      </c>
      <c r="CI193" s="49" t="s">
        <v>318</v>
      </c>
      <c r="CM193" s="49" t="s">
        <v>456</v>
      </c>
      <c r="CV193" s="49" t="s">
        <v>303</v>
      </c>
      <c r="DB193" s="49" t="s">
        <v>319</v>
      </c>
      <c r="DD193" s="48" t="n">
        <v>46282</v>
      </c>
      <c r="DF193" s="49" t="s">
        <v>310</v>
      </c>
      <c r="DG193" s="49" t="s">
        <v>320</v>
      </c>
      <c r="DH193" s="49" t="s">
        <v>68</v>
      </c>
      <c r="DI193" s="49" t="s">
        <v>298</v>
      </c>
      <c r="DJ193" s="49" t="s">
        <v>321</v>
      </c>
      <c r="DK193" s="49" t="s">
        <v>322</v>
      </c>
      <c r="DL193" s="49" t="s">
        <v>323</v>
      </c>
      <c r="DM193" s="49" t="s">
        <v>303</v>
      </c>
      <c r="DN193" s="49" t="s">
        <v>297</v>
      </c>
      <c r="DO193" s="48"/>
      <c r="DP193" s="49" t="s">
        <v>313</v>
      </c>
      <c r="DQ193" s="48"/>
      <c r="DR193" s="49" t="s">
        <v>312</v>
      </c>
      <c r="DS193" s="49" t="s">
        <v>303</v>
      </c>
      <c r="DT193" s="49" t="s">
        <v>303</v>
      </c>
      <c r="DW193" s="49" t="s">
        <v>303</v>
      </c>
      <c r="EA193" s="49" t="s">
        <v>324</v>
      </c>
      <c r="EB193" s="49" t="s">
        <v>303</v>
      </c>
      <c r="EF193" s="49" t="s">
        <v>890</v>
      </c>
      <c r="EH193" s="49" t="s">
        <v>325</v>
      </c>
      <c r="EJ193" s="49" t="s">
        <v>303</v>
      </c>
      <c r="EK193" s="49" t="s">
        <v>891</v>
      </c>
      <c r="EM193" s="49" t="s">
        <v>303</v>
      </c>
      <c r="EN193" s="49" t="s">
        <v>460</v>
      </c>
      <c r="EP193" s="49" t="s">
        <v>298</v>
      </c>
      <c r="EQ193" s="0" t="n">
        <v>1</v>
      </c>
      <c r="ER193" s="49" t="s">
        <v>328</v>
      </c>
      <c r="ES193" s="49" t="s">
        <v>329</v>
      </c>
      <c r="ET193" s="49" t="s">
        <v>310</v>
      </c>
      <c r="EU193" s="49" t="s">
        <v>310</v>
      </c>
      <c r="EV193" s="49" t="s">
        <v>310</v>
      </c>
      <c r="EX193" s="49" t="s">
        <v>303</v>
      </c>
      <c r="EY193" s="49" t="s">
        <v>303</v>
      </c>
      <c r="FC193" s="49" t="s">
        <v>330</v>
      </c>
      <c r="FD193" s="49" t="s">
        <v>310</v>
      </c>
      <c r="FE193" s="49" t="s">
        <v>310</v>
      </c>
      <c r="FF193" s="49" t="s">
        <v>68</v>
      </c>
      <c r="FG193" s="49" t="s">
        <v>461</v>
      </c>
      <c r="FH193" s="49" t="s">
        <v>310</v>
      </c>
      <c r="FI193" s="49" t="s">
        <v>332</v>
      </c>
      <c r="FJ193" s="49" t="s">
        <v>303</v>
      </c>
      <c r="FL193" s="49" t="s">
        <v>325</v>
      </c>
      <c r="FM193" s="49" t="s">
        <v>641</v>
      </c>
      <c r="FP193" s="49" t="s">
        <v>303</v>
      </c>
      <c r="FR193" s="49" t="s">
        <v>303</v>
      </c>
      <c r="FT193" s="49" t="s">
        <v>325</v>
      </c>
      <c r="FU193" s="49" t="s">
        <v>325</v>
      </c>
      <c r="FW193" s="49" t="s">
        <v>333</v>
      </c>
    </row>
    <row r="194" customFormat="false" ht="15" hidden="false" customHeight="false" outlineLevel="0" collapsed="false">
      <c r="A194" s="0" t="n">
        <v>100880117</v>
      </c>
      <c r="B194" s="0" t="s">
        <v>295</v>
      </c>
      <c r="C194" s="0" t="s">
        <v>68</v>
      </c>
      <c r="D194" s="0" t="s">
        <v>456</v>
      </c>
      <c r="E194" s="0" t="s">
        <v>297</v>
      </c>
      <c r="G194" s="0" t="n">
        <v>1</v>
      </c>
      <c r="H194" s="0" t="s">
        <v>298</v>
      </c>
      <c r="I194" s="48" t="n">
        <v>46296</v>
      </c>
      <c r="J194" s="0" t="n">
        <v>0</v>
      </c>
      <c r="K194" s="49" t="s">
        <v>641</v>
      </c>
      <c r="L194" s="49" t="s">
        <v>335</v>
      </c>
      <c r="M194" s="48"/>
      <c r="O194" s="49" t="s">
        <v>445</v>
      </c>
      <c r="P194" s="48"/>
      <c r="Q194" s="48" t="n">
        <v>46296</v>
      </c>
      <c r="R194" s="48" t="n">
        <v>46302</v>
      </c>
      <c r="T194" s="49" t="s">
        <v>302</v>
      </c>
      <c r="U194" s="49" t="s">
        <v>303</v>
      </c>
      <c r="Y194" s="49" t="s">
        <v>312</v>
      </c>
      <c r="AD194" s="49" t="s">
        <v>305</v>
      </c>
      <c r="AE194" s="48" t="n">
        <v>46282</v>
      </c>
      <c r="AF194" s="49" t="s">
        <v>306</v>
      </c>
      <c r="AG194" s="49" t="s">
        <v>307</v>
      </c>
      <c r="AK194" s="49" t="s">
        <v>303</v>
      </c>
      <c r="AL194" s="49" t="s">
        <v>297</v>
      </c>
      <c r="AO194" s="49" t="s">
        <v>303</v>
      </c>
      <c r="AP194" s="48"/>
      <c r="AR194" s="49" t="s">
        <v>303</v>
      </c>
      <c r="AS194" s="49" t="s">
        <v>306</v>
      </c>
      <c r="AT194" s="49" t="s">
        <v>892</v>
      </c>
      <c r="AV194" s="49" t="s">
        <v>309</v>
      </c>
      <c r="AW194" s="49" t="s">
        <v>310</v>
      </c>
      <c r="AX194" s="49" t="s">
        <v>311</v>
      </c>
      <c r="AY194" s="48"/>
      <c r="AZ194" s="48" t="n">
        <v>46294</v>
      </c>
      <c r="BC194" s="49" t="s">
        <v>303</v>
      </c>
      <c r="BD194" s="48"/>
      <c r="BE194" s="49" t="s">
        <v>312</v>
      </c>
      <c r="BF194" s="49" t="s">
        <v>303</v>
      </c>
      <c r="BG194" s="48"/>
      <c r="BI194" s="48"/>
      <c r="BJ194" s="48" t="n">
        <v>46301</v>
      </c>
      <c r="BK194" s="49" t="s">
        <v>313</v>
      </c>
      <c r="BL194" s="49" t="s">
        <v>313</v>
      </c>
      <c r="BM194" s="49" t="s">
        <v>310</v>
      </c>
      <c r="BN194" s="48"/>
      <c r="BO194" s="48"/>
      <c r="BP194" s="48"/>
      <c r="BQ194" s="49" t="s">
        <v>641</v>
      </c>
      <c r="BR194" s="48" t="n">
        <v>46301</v>
      </c>
      <c r="BS194" s="49" t="s">
        <v>889</v>
      </c>
      <c r="BT194" s="49" t="s">
        <v>312</v>
      </c>
      <c r="BU194" s="49" t="s">
        <v>313</v>
      </c>
      <c r="BV194" s="49" t="s">
        <v>303</v>
      </c>
      <c r="BX194" s="0" t="n">
        <v>0</v>
      </c>
      <c r="CC194" s="49" t="s">
        <v>315</v>
      </c>
      <c r="CD194" s="49" t="s">
        <v>303</v>
      </c>
      <c r="CF194" s="49" t="s">
        <v>303</v>
      </c>
      <c r="CG194" s="49" t="s">
        <v>316</v>
      </c>
      <c r="CH194" s="49" t="s">
        <v>317</v>
      </c>
      <c r="CI194" s="49" t="s">
        <v>318</v>
      </c>
      <c r="CM194" s="49" t="s">
        <v>456</v>
      </c>
      <c r="CV194" s="49" t="s">
        <v>303</v>
      </c>
      <c r="DB194" s="49" t="s">
        <v>319</v>
      </c>
      <c r="DD194" s="48" t="n">
        <v>46282</v>
      </c>
      <c r="DF194" s="49" t="s">
        <v>310</v>
      </c>
      <c r="DG194" s="49" t="s">
        <v>320</v>
      </c>
      <c r="DH194" s="49" t="s">
        <v>68</v>
      </c>
      <c r="DI194" s="49" t="s">
        <v>298</v>
      </c>
      <c r="DJ194" s="49" t="s">
        <v>321</v>
      </c>
      <c r="DK194" s="49" t="s">
        <v>322</v>
      </c>
      <c r="DL194" s="49" t="s">
        <v>323</v>
      </c>
      <c r="DM194" s="49" t="s">
        <v>303</v>
      </c>
      <c r="DN194" s="49" t="s">
        <v>297</v>
      </c>
      <c r="DO194" s="48"/>
      <c r="DP194" s="49" t="s">
        <v>313</v>
      </c>
      <c r="DQ194" s="48"/>
      <c r="DR194" s="49" t="s">
        <v>312</v>
      </c>
      <c r="DS194" s="49" t="s">
        <v>303</v>
      </c>
      <c r="DT194" s="49" t="s">
        <v>303</v>
      </c>
      <c r="DW194" s="49" t="s">
        <v>303</v>
      </c>
      <c r="EA194" s="49" t="s">
        <v>324</v>
      </c>
      <c r="EB194" s="49" t="s">
        <v>303</v>
      </c>
      <c r="EF194" s="49" t="s">
        <v>890</v>
      </c>
      <c r="EH194" s="49" t="s">
        <v>325</v>
      </c>
      <c r="EJ194" s="49" t="s">
        <v>303</v>
      </c>
      <c r="EK194" s="49" t="s">
        <v>893</v>
      </c>
      <c r="EM194" s="49" t="s">
        <v>303</v>
      </c>
      <c r="EN194" s="49" t="s">
        <v>460</v>
      </c>
      <c r="EP194" s="49" t="s">
        <v>298</v>
      </c>
      <c r="EQ194" s="0" t="n">
        <v>1</v>
      </c>
      <c r="ER194" s="49" t="s">
        <v>328</v>
      </c>
      <c r="ES194" s="49" t="s">
        <v>329</v>
      </c>
      <c r="ET194" s="49" t="s">
        <v>310</v>
      </c>
      <c r="EU194" s="49" t="s">
        <v>310</v>
      </c>
      <c r="EV194" s="49" t="s">
        <v>310</v>
      </c>
      <c r="EX194" s="49" t="s">
        <v>303</v>
      </c>
      <c r="EY194" s="49" t="s">
        <v>303</v>
      </c>
      <c r="FC194" s="49" t="s">
        <v>330</v>
      </c>
      <c r="FD194" s="49" t="s">
        <v>310</v>
      </c>
      <c r="FE194" s="49" t="s">
        <v>310</v>
      </c>
      <c r="FF194" s="49" t="s">
        <v>68</v>
      </c>
      <c r="FG194" s="49" t="s">
        <v>461</v>
      </c>
      <c r="FH194" s="49" t="s">
        <v>310</v>
      </c>
      <c r="FI194" s="49" t="s">
        <v>332</v>
      </c>
      <c r="FJ194" s="49" t="s">
        <v>303</v>
      </c>
      <c r="FL194" s="49" t="s">
        <v>325</v>
      </c>
      <c r="FM194" s="49" t="s">
        <v>641</v>
      </c>
      <c r="FP194" s="49" t="s">
        <v>303</v>
      </c>
      <c r="FR194" s="49" t="s">
        <v>303</v>
      </c>
      <c r="FT194" s="49" t="s">
        <v>325</v>
      </c>
      <c r="FU194" s="49" t="s">
        <v>325</v>
      </c>
      <c r="FW194" s="49" t="s">
        <v>333</v>
      </c>
    </row>
    <row r="195" customFormat="false" ht="15" hidden="false" customHeight="false" outlineLevel="0" collapsed="false">
      <c r="A195" s="0" t="n">
        <v>100880122</v>
      </c>
      <c r="B195" s="0" t="s">
        <v>295</v>
      </c>
      <c r="C195" s="0" t="s">
        <v>70</v>
      </c>
      <c r="D195" s="0" t="s">
        <v>468</v>
      </c>
      <c r="E195" s="0" t="s">
        <v>297</v>
      </c>
      <c r="G195" s="0" t="n">
        <v>1</v>
      </c>
      <c r="H195" s="0" t="s">
        <v>298</v>
      </c>
      <c r="I195" s="48" t="n">
        <v>46296</v>
      </c>
      <c r="J195" s="0" t="n">
        <v>0</v>
      </c>
      <c r="K195" s="49" t="s">
        <v>641</v>
      </c>
      <c r="L195" s="49" t="s">
        <v>335</v>
      </c>
      <c r="M195" s="48" t="n">
        <v>46296</v>
      </c>
      <c r="N195" s="49" t="s">
        <v>335</v>
      </c>
      <c r="O195" s="49" t="s">
        <v>445</v>
      </c>
      <c r="P195" s="48"/>
      <c r="Q195" s="48" t="n">
        <v>46296</v>
      </c>
      <c r="R195" s="48" t="n">
        <v>46303</v>
      </c>
      <c r="T195" s="49" t="s">
        <v>302</v>
      </c>
      <c r="U195" s="49" t="s">
        <v>303</v>
      </c>
      <c r="Y195" s="49" t="s">
        <v>894</v>
      </c>
      <c r="AD195" s="49" t="s">
        <v>305</v>
      </c>
      <c r="AE195" s="48" t="n">
        <v>46282</v>
      </c>
      <c r="AF195" s="49" t="s">
        <v>306</v>
      </c>
      <c r="AG195" s="49" t="s">
        <v>307</v>
      </c>
      <c r="AK195" s="49" t="s">
        <v>303</v>
      </c>
      <c r="AL195" s="49" t="s">
        <v>297</v>
      </c>
      <c r="AO195" s="49" t="s">
        <v>303</v>
      </c>
      <c r="AP195" s="48"/>
      <c r="AR195" s="49" t="s">
        <v>303</v>
      </c>
      <c r="AS195" s="49" t="s">
        <v>306</v>
      </c>
      <c r="AT195" s="49" t="s">
        <v>895</v>
      </c>
      <c r="AV195" s="49" t="s">
        <v>309</v>
      </c>
      <c r="AW195" s="49" t="s">
        <v>310</v>
      </c>
      <c r="AX195" s="49" t="s">
        <v>311</v>
      </c>
      <c r="AY195" s="48"/>
      <c r="AZ195" s="48" t="n">
        <v>46294</v>
      </c>
      <c r="BC195" s="49" t="s">
        <v>303</v>
      </c>
      <c r="BD195" s="48"/>
      <c r="BE195" s="49" t="s">
        <v>312</v>
      </c>
      <c r="BF195" s="49" t="s">
        <v>303</v>
      </c>
      <c r="BG195" s="48"/>
      <c r="BI195" s="48"/>
      <c r="BJ195" s="48" t="n">
        <v>46301</v>
      </c>
      <c r="BK195" s="49" t="s">
        <v>312</v>
      </c>
      <c r="BL195" s="49" t="s">
        <v>313</v>
      </c>
      <c r="BM195" s="49" t="s">
        <v>310</v>
      </c>
      <c r="BN195" s="48"/>
      <c r="BO195" s="48"/>
      <c r="BP195" s="48"/>
      <c r="BQ195" s="49" t="s">
        <v>641</v>
      </c>
      <c r="BR195" s="48" t="n">
        <v>46301</v>
      </c>
      <c r="BS195" s="49" t="s">
        <v>896</v>
      </c>
      <c r="BT195" s="49" t="s">
        <v>312</v>
      </c>
      <c r="BU195" s="49" t="s">
        <v>313</v>
      </c>
      <c r="BV195" s="49" t="s">
        <v>303</v>
      </c>
      <c r="BX195" s="0" t="n">
        <v>0</v>
      </c>
      <c r="CC195" s="49" t="s">
        <v>315</v>
      </c>
      <c r="CD195" s="49" t="s">
        <v>303</v>
      </c>
      <c r="CF195" s="49" t="s">
        <v>303</v>
      </c>
      <c r="CG195" s="49" t="s">
        <v>316</v>
      </c>
      <c r="CH195" s="49" t="s">
        <v>317</v>
      </c>
      <c r="CI195" s="49" t="s">
        <v>318</v>
      </c>
      <c r="CM195" s="49" t="s">
        <v>468</v>
      </c>
      <c r="CV195" s="49" t="s">
        <v>303</v>
      </c>
      <c r="DB195" s="49" t="s">
        <v>319</v>
      </c>
      <c r="DD195" s="48" t="n">
        <v>46282</v>
      </c>
      <c r="DF195" s="49" t="s">
        <v>310</v>
      </c>
      <c r="DG195" s="49" t="s">
        <v>320</v>
      </c>
      <c r="DH195" s="49" t="s">
        <v>70</v>
      </c>
      <c r="DI195" s="49" t="s">
        <v>298</v>
      </c>
      <c r="DJ195" s="49" t="s">
        <v>321</v>
      </c>
      <c r="DK195" s="49" t="s">
        <v>322</v>
      </c>
      <c r="DL195" s="49" t="s">
        <v>323</v>
      </c>
      <c r="DM195" s="49" t="s">
        <v>303</v>
      </c>
      <c r="DN195" s="49" t="s">
        <v>297</v>
      </c>
      <c r="DO195" s="48"/>
      <c r="DP195" s="49" t="s">
        <v>313</v>
      </c>
      <c r="DQ195" s="48"/>
      <c r="DR195" s="49" t="s">
        <v>312</v>
      </c>
      <c r="DS195" s="49" t="s">
        <v>303</v>
      </c>
      <c r="DT195" s="49" t="s">
        <v>303</v>
      </c>
      <c r="DW195" s="49" t="s">
        <v>303</v>
      </c>
      <c r="EA195" s="49" t="s">
        <v>324</v>
      </c>
      <c r="EB195" s="49" t="s">
        <v>303</v>
      </c>
      <c r="EH195" s="49" t="s">
        <v>325</v>
      </c>
      <c r="EJ195" s="49" t="s">
        <v>303</v>
      </c>
      <c r="EK195" s="49" t="s">
        <v>897</v>
      </c>
      <c r="EM195" s="49" t="s">
        <v>303</v>
      </c>
      <c r="EN195" s="49" t="s">
        <v>472</v>
      </c>
      <c r="EP195" s="49" t="s">
        <v>298</v>
      </c>
      <c r="EQ195" s="0" t="n">
        <v>1</v>
      </c>
      <c r="ER195" s="49" t="s">
        <v>328</v>
      </c>
      <c r="ES195" s="49" t="s">
        <v>329</v>
      </c>
      <c r="ET195" s="49" t="s">
        <v>310</v>
      </c>
      <c r="EU195" s="49" t="s">
        <v>310</v>
      </c>
      <c r="EV195" s="49" t="s">
        <v>310</v>
      </c>
      <c r="EX195" s="49" t="s">
        <v>303</v>
      </c>
      <c r="EY195" s="49" t="s">
        <v>303</v>
      </c>
      <c r="FC195" s="49" t="s">
        <v>330</v>
      </c>
      <c r="FD195" s="49" t="s">
        <v>310</v>
      </c>
      <c r="FE195" s="49" t="s">
        <v>310</v>
      </c>
      <c r="FF195" s="49" t="s">
        <v>70</v>
      </c>
      <c r="FG195" s="49" t="s">
        <v>473</v>
      </c>
      <c r="FH195" s="49" t="s">
        <v>310</v>
      </c>
      <c r="FI195" s="49" t="s">
        <v>332</v>
      </c>
      <c r="FJ195" s="49" t="s">
        <v>303</v>
      </c>
      <c r="FL195" s="49" t="s">
        <v>325</v>
      </c>
      <c r="FM195" s="49" t="s">
        <v>641</v>
      </c>
      <c r="FP195" s="49" t="s">
        <v>303</v>
      </c>
      <c r="FR195" s="49" t="s">
        <v>303</v>
      </c>
      <c r="FT195" s="49" t="s">
        <v>325</v>
      </c>
      <c r="FU195" s="49" t="s">
        <v>325</v>
      </c>
      <c r="FW195" s="49" t="s">
        <v>333</v>
      </c>
    </row>
    <row r="196" customFormat="false" ht="15" hidden="false" customHeight="false" outlineLevel="0" collapsed="false">
      <c r="A196" s="0" t="n">
        <v>100880123</v>
      </c>
      <c r="B196" s="0" t="s">
        <v>295</v>
      </c>
      <c r="C196" s="0" t="s">
        <v>70</v>
      </c>
      <c r="D196" s="0" t="s">
        <v>468</v>
      </c>
      <c r="E196" s="0" t="s">
        <v>297</v>
      </c>
      <c r="G196" s="0" t="n">
        <v>1</v>
      </c>
      <c r="H196" s="0" t="s">
        <v>298</v>
      </c>
      <c r="I196" s="48" t="n">
        <v>46296</v>
      </c>
      <c r="J196" s="0" t="n">
        <v>0</v>
      </c>
      <c r="K196" s="49" t="s">
        <v>641</v>
      </c>
      <c r="L196" s="49" t="s">
        <v>335</v>
      </c>
      <c r="M196" s="48"/>
      <c r="O196" s="49" t="s">
        <v>445</v>
      </c>
      <c r="P196" s="48"/>
      <c r="Q196" s="48" t="n">
        <v>46296</v>
      </c>
      <c r="R196" s="48" t="n">
        <v>46302</v>
      </c>
      <c r="T196" s="49" t="s">
        <v>302</v>
      </c>
      <c r="U196" s="49" t="s">
        <v>303</v>
      </c>
      <c r="Y196" s="49" t="s">
        <v>312</v>
      </c>
      <c r="AD196" s="49" t="s">
        <v>305</v>
      </c>
      <c r="AE196" s="48" t="n">
        <v>46282</v>
      </c>
      <c r="AF196" s="49" t="s">
        <v>306</v>
      </c>
      <c r="AG196" s="49" t="s">
        <v>307</v>
      </c>
      <c r="AK196" s="49" t="s">
        <v>303</v>
      </c>
      <c r="AL196" s="49" t="s">
        <v>297</v>
      </c>
      <c r="AO196" s="49" t="s">
        <v>303</v>
      </c>
      <c r="AP196" s="48"/>
      <c r="AR196" s="49" t="s">
        <v>303</v>
      </c>
      <c r="AS196" s="49" t="s">
        <v>306</v>
      </c>
      <c r="AT196" s="49" t="s">
        <v>898</v>
      </c>
      <c r="AV196" s="49" t="s">
        <v>309</v>
      </c>
      <c r="AW196" s="49" t="s">
        <v>310</v>
      </c>
      <c r="AX196" s="49" t="s">
        <v>311</v>
      </c>
      <c r="AY196" s="48"/>
      <c r="AZ196" s="48" t="n">
        <v>46294</v>
      </c>
      <c r="BC196" s="49" t="s">
        <v>303</v>
      </c>
      <c r="BD196" s="48"/>
      <c r="BE196" s="49" t="s">
        <v>312</v>
      </c>
      <c r="BF196" s="49" t="s">
        <v>303</v>
      </c>
      <c r="BG196" s="48"/>
      <c r="BI196" s="48"/>
      <c r="BJ196" s="48" t="n">
        <v>46301</v>
      </c>
      <c r="BK196" s="49" t="s">
        <v>313</v>
      </c>
      <c r="BL196" s="49" t="s">
        <v>313</v>
      </c>
      <c r="BM196" s="49" t="s">
        <v>310</v>
      </c>
      <c r="BN196" s="48"/>
      <c r="BO196" s="48"/>
      <c r="BP196" s="48"/>
      <c r="BQ196" s="49" t="s">
        <v>641</v>
      </c>
      <c r="BR196" s="48" t="n">
        <v>46301</v>
      </c>
      <c r="BS196" s="49" t="s">
        <v>896</v>
      </c>
      <c r="BT196" s="49" t="s">
        <v>312</v>
      </c>
      <c r="BU196" s="49" t="s">
        <v>313</v>
      </c>
      <c r="BV196" s="49" t="s">
        <v>303</v>
      </c>
      <c r="BX196" s="0" t="n">
        <v>0</v>
      </c>
      <c r="CC196" s="49" t="s">
        <v>315</v>
      </c>
      <c r="CD196" s="49" t="s">
        <v>303</v>
      </c>
      <c r="CF196" s="49" t="s">
        <v>303</v>
      </c>
      <c r="CG196" s="49" t="s">
        <v>316</v>
      </c>
      <c r="CH196" s="49" t="s">
        <v>317</v>
      </c>
      <c r="CI196" s="49" t="s">
        <v>318</v>
      </c>
      <c r="CM196" s="49" t="s">
        <v>468</v>
      </c>
      <c r="CV196" s="49" t="s">
        <v>303</v>
      </c>
      <c r="DB196" s="49" t="s">
        <v>319</v>
      </c>
      <c r="DD196" s="48" t="n">
        <v>46282</v>
      </c>
      <c r="DF196" s="49" t="s">
        <v>310</v>
      </c>
      <c r="DG196" s="49" t="s">
        <v>320</v>
      </c>
      <c r="DH196" s="49" t="s">
        <v>70</v>
      </c>
      <c r="DI196" s="49" t="s">
        <v>298</v>
      </c>
      <c r="DJ196" s="49" t="s">
        <v>321</v>
      </c>
      <c r="DK196" s="49" t="s">
        <v>322</v>
      </c>
      <c r="DL196" s="49" t="s">
        <v>323</v>
      </c>
      <c r="DM196" s="49" t="s">
        <v>303</v>
      </c>
      <c r="DN196" s="49" t="s">
        <v>297</v>
      </c>
      <c r="DO196" s="48"/>
      <c r="DP196" s="49" t="s">
        <v>313</v>
      </c>
      <c r="DQ196" s="48"/>
      <c r="DR196" s="49" t="s">
        <v>312</v>
      </c>
      <c r="DS196" s="49" t="s">
        <v>303</v>
      </c>
      <c r="DT196" s="49" t="s">
        <v>303</v>
      </c>
      <c r="DW196" s="49" t="s">
        <v>303</v>
      </c>
      <c r="EA196" s="49" t="s">
        <v>324</v>
      </c>
      <c r="EB196" s="49" t="s">
        <v>303</v>
      </c>
      <c r="EF196" s="49" t="s">
        <v>899</v>
      </c>
      <c r="EH196" s="49" t="s">
        <v>325</v>
      </c>
      <c r="EJ196" s="49" t="s">
        <v>303</v>
      </c>
      <c r="EK196" s="49" t="s">
        <v>900</v>
      </c>
      <c r="EM196" s="49" t="s">
        <v>303</v>
      </c>
      <c r="EN196" s="49" t="s">
        <v>472</v>
      </c>
      <c r="EP196" s="49" t="s">
        <v>298</v>
      </c>
      <c r="EQ196" s="0" t="n">
        <v>1</v>
      </c>
      <c r="ER196" s="49" t="s">
        <v>328</v>
      </c>
      <c r="ES196" s="49" t="s">
        <v>329</v>
      </c>
      <c r="ET196" s="49" t="s">
        <v>310</v>
      </c>
      <c r="EU196" s="49" t="s">
        <v>310</v>
      </c>
      <c r="EV196" s="49" t="s">
        <v>310</v>
      </c>
      <c r="EX196" s="49" t="s">
        <v>303</v>
      </c>
      <c r="EY196" s="49" t="s">
        <v>303</v>
      </c>
      <c r="FC196" s="49" t="s">
        <v>330</v>
      </c>
      <c r="FD196" s="49" t="s">
        <v>310</v>
      </c>
      <c r="FE196" s="49" t="s">
        <v>310</v>
      </c>
      <c r="FF196" s="49" t="s">
        <v>70</v>
      </c>
      <c r="FG196" s="49" t="s">
        <v>473</v>
      </c>
      <c r="FH196" s="49" t="s">
        <v>310</v>
      </c>
      <c r="FI196" s="49" t="s">
        <v>332</v>
      </c>
      <c r="FJ196" s="49" t="s">
        <v>303</v>
      </c>
      <c r="FL196" s="49" t="s">
        <v>325</v>
      </c>
      <c r="FM196" s="49" t="s">
        <v>641</v>
      </c>
      <c r="FP196" s="49" t="s">
        <v>303</v>
      </c>
      <c r="FR196" s="49" t="s">
        <v>303</v>
      </c>
      <c r="FT196" s="49" t="s">
        <v>325</v>
      </c>
      <c r="FU196" s="49" t="s">
        <v>325</v>
      </c>
      <c r="FW196" s="49" t="s">
        <v>333</v>
      </c>
    </row>
    <row r="197" customFormat="false" ht="15" hidden="false" customHeight="false" outlineLevel="0" collapsed="false">
      <c r="A197" s="0" t="n">
        <v>100880124</v>
      </c>
      <c r="B197" s="0" t="s">
        <v>295</v>
      </c>
      <c r="C197" s="0" t="s">
        <v>70</v>
      </c>
      <c r="D197" s="0" t="s">
        <v>468</v>
      </c>
      <c r="E197" s="0" t="s">
        <v>297</v>
      </c>
      <c r="G197" s="0" t="n">
        <v>1</v>
      </c>
      <c r="H197" s="0" t="s">
        <v>298</v>
      </c>
      <c r="I197" s="48" t="n">
        <v>46296</v>
      </c>
      <c r="J197" s="0" t="n">
        <v>0</v>
      </c>
      <c r="K197" s="49" t="s">
        <v>641</v>
      </c>
      <c r="L197" s="49" t="s">
        <v>335</v>
      </c>
      <c r="M197" s="48"/>
      <c r="O197" s="49" t="s">
        <v>445</v>
      </c>
      <c r="P197" s="48"/>
      <c r="Q197" s="48" t="n">
        <v>46296</v>
      </c>
      <c r="R197" s="48" t="n">
        <v>46302</v>
      </c>
      <c r="T197" s="49" t="s">
        <v>302</v>
      </c>
      <c r="U197" s="49" t="s">
        <v>303</v>
      </c>
      <c r="Y197" s="49" t="s">
        <v>312</v>
      </c>
      <c r="AD197" s="49" t="s">
        <v>305</v>
      </c>
      <c r="AE197" s="48" t="n">
        <v>46282</v>
      </c>
      <c r="AF197" s="49" t="s">
        <v>306</v>
      </c>
      <c r="AG197" s="49" t="s">
        <v>307</v>
      </c>
      <c r="AK197" s="49" t="s">
        <v>303</v>
      </c>
      <c r="AL197" s="49" t="s">
        <v>297</v>
      </c>
      <c r="AO197" s="49" t="s">
        <v>303</v>
      </c>
      <c r="AP197" s="48"/>
      <c r="AR197" s="49" t="s">
        <v>303</v>
      </c>
      <c r="AS197" s="49" t="s">
        <v>306</v>
      </c>
      <c r="AT197" s="49" t="s">
        <v>901</v>
      </c>
      <c r="AV197" s="49" t="s">
        <v>309</v>
      </c>
      <c r="AW197" s="49" t="s">
        <v>310</v>
      </c>
      <c r="AX197" s="49" t="s">
        <v>311</v>
      </c>
      <c r="AY197" s="48"/>
      <c r="AZ197" s="48" t="n">
        <v>46294</v>
      </c>
      <c r="BC197" s="49" t="s">
        <v>303</v>
      </c>
      <c r="BD197" s="48"/>
      <c r="BE197" s="49" t="s">
        <v>312</v>
      </c>
      <c r="BF197" s="49" t="s">
        <v>303</v>
      </c>
      <c r="BG197" s="48"/>
      <c r="BI197" s="48"/>
      <c r="BJ197" s="48" t="n">
        <v>46301</v>
      </c>
      <c r="BK197" s="49" t="s">
        <v>313</v>
      </c>
      <c r="BL197" s="49" t="s">
        <v>313</v>
      </c>
      <c r="BM197" s="49" t="s">
        <v>310</v>
      </c>
      <c r="BN197" s="48"/>
      <c r="BO197" s="48"/>
      <c r="BP197" s="48"/>
      <c r="BQ197" s="49" t="s">
        <v>641</v>
      </c>
      <c r="BR197" s="48" t="n">
        <v>46301</v>
      </c>
      <c r="BS197" s="49" t="s">
        <v>896</v>
      </c>
      <c r="BT197" s="49" t="s">
        <v>312</v>
      </c>
      <c r="BU197" s="49" t="s">
        <v>313</v>
      </c>
      <c r="BV197" s="49" t="s">
        <v>303</v>
      </c>
      <c r="BX197" s="0" t="n">
        <v>0</v>
      </c>
      <c r="CC197" s="49" t="s">
        <v>315</v>
      </c>
      <c r="CD197" s="49" t="s">
        <v>303</v>
      </c>
      <c r="CF197" s="49" t="s">
        <v>303</v>
      </c>
      <c r="CG197" s="49" t="s">
        <v>316</v>
      </c>
      <c r="CH197" s="49" t="s">
        <v>317</v>
      </c>
      <c r="CI197" s="49" t="s">
        <v>318</v>
      </c>
      <c r="CM197" s="49" t="s">
        <v>468</v>
      </c>
      <c r="CV197" s="49" t="s">
        <v>303</v>
      </c>
      <c r="DB197" s="49" t="s">
        <v>319</v>
      </c>
      <c r="DD197" s="48" t="n">
        <v>46282</v>
      </c>
      <c r="DF197" s="49" t="s">
        <v>310</v>
      </c>
      <c r="DG197" s="49" t="s">
        <v>320</v>
      </c>
      <c r="DH197" s="49" t="s">
        <v>70</v>
      </c>
      <c r="DI197" s="49" t="s">
        <v>298</v>
      </c>
      <c r="DJ197" s="49" t="s">
        <v>321</v>
      </c>
      <c r="DK197" s="49" t="s">
        <v>322</v>
      </c>
      <c r="DL197" s="49" t="s">
        <v>323</v>
      </c>
      <c r="DM197" s="49" t="s">
        <v>303</v>
      </c>
      <c r="DN197" s="49" t="s">
        <v>297</v>
      </c>
      <c r="DO197" s="48"/>
      <c r="DP197" s="49" t="s">
        <v>313</v>
      </c>
      <c r="DQ197" s="48"/>
      <c r="DR197" s="49" t="s">
        <v>312</v>
      </c>
      <c r="DS197" s="49" t="s">
        <v>303</v>
      </c>
      <c r="DT197" s="49" t="s">
        <v>303</v>
      </c>
      <c r="DW197" s="49" t="s">
        <v>303</v>
      </c>
      <c r="EA197" s="49" t="s">
        <v>324</v>
      </c>
      <c r="EB197" s="49" t="s">
        <v>303</v>
      </c>
      <c r="EF197" s="49" t="s">
        <v>899</v>
      </c>
      <c r="EH197" s="49" t="s">
        <v>325</v>
      </c>
      <c r="EJ197" s="49" t="s">
        <v>303</v>
      </c>
      <c r="EK197" s="49" t="s">
        <v>902</v>
      </c>
      <c r="EM197" s="49" t="s">
        <v>303</v>
      </c>
      <c r="EN197" s="49" t="s">
        <v>472</v>
      </c>
      <c r="EP197" s="49" t="s">
        <v>298</v>
      </c>
      <c r="EQ197" s="0" t="n">
        <v>1</v>
      </c>
      <c r="ER197" s="49" t="s">
        <v>328</v>
      </c>
      <c r="ES197" s="49" t="s">
        <v>329</v>
      </c>
      <c r="ET197" s="49" t="s">
        <v>310</v>
      </c>
      <c r="EU197" s="49" t="s">
        <v>310</v>
      </c>
      <c r="EV197" s="49" t="s">
        <v>310</v>
      </c>
      <c r="EX197" s="49" t="s">
        <v>303</v>
      </c>
      <c r="EY197" s="49" t="s">
        <v>303</v>
      </c>
      <c r="FC197" s="49" t="s">
        <v>330</v>
      </c>
      <c r="FD197" s="49" t="s">
        <v>310</v>
      </c>
      <c r="FE197" s="49" t="s">
        <v>310</v>
      </c>
      <c r="FF197" s="49" t="s">
        <v>70</v>
      </c>
      <c r="FG197" s="49" t="s">
        <v>473</v>
      </c>
      <c r="FH197" s="49" t="s">
        <v>310</v>
      </c>
      <c r="FI197" s="49" t="s">
        <v>332</v>
      </c>
      <c r="FJ197" s="49" t="s">
        <v>303</v>
      </c>
      <c r="FL197" s="49" t="s">
        <v>325</v>
      </c>
      <c r="FM197" s="49" t="s">
        <v>641</v>
      </c>
      <c r="FP197" s="49" t="s">
        <v>303</v>
      </c>
      <c r="FR197" s="49" t="s">
        <v>303</v>
      </c>
      <c r="FT197" s="49" t="s">
        <v>325</v>
      </c>
      <c r="FU197" s="49" t="s">
        <v>325</v>
      </c>
      <c r="FW197" s="49" t="s">
        <v>333</v>
      </c>
    </row>
    <row r="198" customFormat="false" ht="15" hidden="false" customHeight="false" outlineLevel="0" collapsed="false">
      <c r="A198" s="0" t="n">
        <v>100880125</v>
      </c>
      <c r="B198" s="0" t="s">
        <v>295</v>
      </c>
      <c r="C198" s="0" t="s">
        <v>72</v>
      </c>
      <c r="D198" s="0" t="s">
        <v>480</v>
      </c>
      <c r="E198" s="0" t="s">
        <v>297</v>
      </c>
      <c r="G198" s="0" t="n">
        <v>1</v>
      </c>
      <c r="H198" s="0" t="s">
        <v>298</v>
      </c>
      <c r="I198" s="48" t="n">
        <v>46296</v>
      </c>
      <c r="J198" s="0" t="n">
        <v>0</v>
      </c>
      <c r="K198" s="49" t="s">
        <v>641</v>
      </c>
      <c r="L198" s="49" t="s">
        <v>335</v>
      </c>
      <c r="M198" s="48" t="n">
        <v>46296</v>
      </c>
      <c r="N198" s="49" t="s">
        <v>335</v>
      </c>
      <c r="O198" s="49" t="s">
        <v>445</v>
      </c>
      <c r="P198" s="48"/>
      <c r="Q198" s="48" t="n">
        <v>46296</v>
      </c>
      <c r="R198" s="48" t="n">
        <v>46303</v>
      </c>
      <c r="T198" s="49" t="s">
        <v>302</v>
      </c>
      <c r="U198" s="49" t="s">
        <v>303</v>
      </c>
      <c r="Y198" s="49" t="s">
        <v>903</v>
      </c>
      <c r="AD198" s="49" t="s">
        <v>305</v>
      </c>
      <c r="AE198" s="48" t="n">
        <v>46282</v>
      </c>
      <c r="AF198" s="49" t="s">
        <v>306</v>
      </c>
      <c r="AG198" s="49" t="s">
        <v>307</v>
      </c>
      <c r="AK198" s="49" t="s">
        <v>303</v>
      </c>
      <c r="AL198" s="49" t="s">
        <v>297</v>
      </c>
      <c r="AO198" s="49" t="s">
        <v>303</v>
      </c>
      <c r="AP198" s="48"/>
      <c r="AR198" s="49" t="s">
        <v>303</v>
      </c>
      <c r="AS198" s="49" t="s">
        <v>306</v>
      </c>
      <c r="AT198" s="49" t="s">
        <v>904</v>
      </c>
      <c r="AV198" s="49" t="s">
        <v>309</v>
      </c>
      <c r="AW198" s="49" t="s">
        <v>310</v>
      </c>
      <c r="AX198" s="49" t="s">
        <v>311</v>
      </c>
      <c r="AY198" s="48"/>
      <c r="AZ198" s="48" t="n">
        <v>46294</v>
      </c>
      <c r="BC198" s="49" t="s">
        <v>303</v>
      </c>
      <c r="BD198" s="48"/>
      <c r="BE198" s="49" t="s">
        <v>312</v>
      </c>
      <c r="BF198" s="49" t="s">
        <v>303</v>
      </c>
      <c r="BG198" s="48"/>
      <c r="BI198" s="48"/>
      <c r="BJ198" s="48" t="n">
        <v>46301</v>
      </c>
      <c r="BK198" s="49" t="s">
        <v>312</v>
      </c>
      <c r="BL198" s="49" t="s">
        <v>313</v>
      </c>
      <c r="BM198" s="49" t="s">
        <v>310</v>
      </c>
      <c r="BN198" s="48"/>
      <c r="BO198" s="48"/>
      <c r="BP198" s="48"/>
      <c r="BQ198" s="49" t="s">
        <v>641</v>
      </c>
      <c r="BR198" s="48" t="n">
        <v>46301</v>
      </c>
      <c r="BS198" s="49" t="s">
        <v>905</v>
      </c>
      <c r="BT198" s="49" t="s">
        <v>312</v>
      </c>
      <c r="BU198" s="49" t="s">
        <v>313</v>
      </c>
      <c r="BV198" s="49" t="s">
        <v>303</v>
      </c>
      <c r="BX198" s="0" t="n">
        <v>0</v>
      </c>
      <c r="CC198" s="49" t="s">
        <v>315</v>
      </c>
      <c r="CD198" s="49" t="s">
        <v>303</v>
      </c>
      <c r="CF198" s="49" t="s">
        <v>303</v>
      </c>
      <c r="CG198" s="49" t="s">
        <v>316</v>
      </c>
      <c r="CH198" s="49" t="s">
        <v>317</v>
      </c>
      <c r="CI198" s="49" t="s">
        <v>318</v>
      </c>
      <c r="CM198" s="49" t="s">
        <v>480</v>
      </c>
      <c r="CV198" s="49" t="s">
        <v>303</v>
      </c>
      <c r="DB198" s="49" t="s">
        <v>319</v>
      </c>
      <c r="DD198" s="48" t="n">
        <v>46282</v>
      </c>
      <c r="DF198" s="49" t="s">
        <v>310</v>
      </c>
      <c r="DG198" s="49" t="s">
        <v>320</v>
      </c>
      <c r="DH198" s="49" t="s">
        <v>72</v>
      </c>
      <c r="DI198" s="49" t="s">
        <v>298</v>
      </c>
      <c r="DJ198" s="49" t="s">
        <v>321</v>
      </c>
      <c r="DK198" s="49" t="s">
        <v>322</v>
      </c>
      <c r="DL198" s="49" t="s">
        <v>323</v>
      </c>
      <c r="DM198" s="49" t="s">
        <v>303</v>
      </c>
      <c r="DN198" s="49" t="s">
        <v>297</v>
      </c>
      <c r="DO198" s="48"/>
      <c r="DP198" s="49" t="s">
        <v>313</v>
      </c>
      <c r="DQ198" s="48"/>
      <c r="DR198" s="49" t="s">
        <v>312</v>
      </c>
      <c r="DS198" s="49" t="s">
        <v>303</v>
      </c>
      <c r="DT198" s="49" t="s">
        <v>303</v>
      </c>
      <c r="DW198" s="49" t="s">
        <v>303</v>
      </c>
      <c r="EA198" s="49" t="s">
        <v>324</v>
      </c>
      <c r="EB198" s="49" t="s">
        <v>303</v>
      </c>
      <c r="EH198" s="49" t="s">
        <v>325</v>
      </c>
      <c r="EJ198" s="49" t="s">
        <v>303</v>
      </c>
      <c r="EK198" s="49" t="s">
        <v>906</v>
      </c>
      <c r="EM198" s="49" t="s">
        <v>303</v>
      </c>
      <c r="EN198" s="49" t="s">
        <v>485</v>
      </c>
      <c r="EP198" s="49" t="s">
        <v>298</v>
      </c>
      <c r="EQ198" s="0" t="n">
        <v>1</v>
      </c>
      <c r="ER198" s="49" t="s">
        <v>328</v>
      </c>
      <c r="ES198" s="49" t="s">
        <v>329</v>
      </c>
      <c r="ET198" s="49" t="s">
        <v>310</v>
      </c>
      <c r="EU198" s="49" t="s">
        <v>310</v>
      </c>
      <c r="EV198" s="49" t="s">
        <v>310</v>
      </c>
      <c r="EX198" s="49" t="s">
        <v>303</v>
      </c>
      <c r="EY198" s="49" t="s">
        <v>303</v>
      </c>
      <c r="FC198" s="49" t="s">
        <v>330</v>
      </c>
      <c r="FD198" s="49" t="s">
        <v>310</v>
      </c>
      <c r="FE198" s="49" t="s">
        <v>310</v>
      </c>
      <c r="FF198" s="49" t="s">
        <v>72</v>
      </c>
      <c r="FG198" s="49" t="s">
        <v>486</v>
      </c>
      <c r="FH198" s="49" t="s">
        <v>310</v>
      </c>
      <c r="FI198" s="49" t="s">
        <v>332</v>
      </c>
      <c r="FJ198" s="49" t="s">
        <v>303</v>
      </c>
      <c r="FL198" s="49" t="s">
        <v>325</v>
      </c>
      <c r="FM198" s="49" t="s">
        <v>641</v>
      </c>
      <c r="FP198" s="49" t="s">
        <v>303</v>
      </c>
      <c r="FR198" s="49" t="s">
        <v>303</v>
      </c>
      <c r="FT198" s="49" t="s">
        <v>325</v>
      </c>
      <c r="FU198" s="49" t="s">
        <v>325</v>
      </c>
      <c r="FW198" s="49" t="s">
        <v>333</v>
      </c>
    </row>
    <row r="199" customFormat="false" ht="15" hidden="false" customHeight="false" outlineLevel="0" collapsed="false">
      <c r="A199" s="0" t="n">
        <v>100880126</v>
      </c>
      <c r="B199" s="0" t="s">
        <v>295</v>
      </c>
      <c r="C199" s="0" t="s">
        <v>72</v>
      </c>
      <c r="D199" s="0" t="s">
        <v>480</v>
      </c>
      <c r="E199" s="0" t="s">
        <v>297</v>
      </c>
      <c r="G199" s="0" t="n">
        <v>1</v>
      </c>
      <c r="H199" s="0" t="s">
        <v>298</v>
      </c>
      <c r="I199" s="48" t="n">
        <v>46296</v>
      </c>
      <c r="J199" s="0" t="n">
        <v>0</v>
      </c>
      <c r="K199" s="49" t="s">
        <v>641</v>
      </c>
      <c r="L199" s="49" t="s">
        <v>335</v>
      </c>
      <c r="M199" s="48"/>
      <c r="O199" s="49" t="s">
        <v>445</v>
      </c>
      <c r="P199" s="48"/>
      <c r="Q199" s="48" t="n">
        <v>46296</v>
      </c>
      <c r="R199" s="48" t="n">
        <v>46302</v>
      </c>
      <c r="T199" s="49" t="s">
        <v>302</v>
      </c>
      <c r="U199" s="49" t="s">
        <v>303</v>
      </c>
      <c r="Y199" s="49" t="s">
        <v>312</v>
      </c>
      <c r="AD199" s="49" t="s">
        <v>305</v>
      </c>
      <c r="AE199" s="48" t="n">
        <v>46282</v>
      </c>
      <c r="AF199" s="49" t="s">
        <v>306</v>
      </c>
      <c r="AG199" s="49" t="s">
        <v>307</v>
      </c>
      <c r="AK199" s="49" t="s">
        <v>303</v>
      </c>
      <c r="AL199" s="49" t="s">
        <v>297</v>
      </c>
      <c r="AO199" s="49" t="s">
        <v>303</v>
      </c>
      <c r="AP199" s="48"/>
      <c r="AR199" s="49" t="s">
        <v>303</v>
      </c>
      <c r="AS199" s="49" t="s">
        <v>306</v>
      </c>
      <c r="AT199" s="49" t="s">
        <v>907</v>
      </c>
      <c r="AV199" s="49" t="s">
        <v>309</v>
      </c>
      <c r="AW199" s="49" t="s">
        <v>310</v>
      </c>
      <c r="AX199" s="49" t="s">
        <v>311</v>
      </c>
      <c r="AY199" s="48"/>
      <c r="AZ199" s="48" t="n">
        <v>46294</v>
      </c>
      <c r="BC199" s="49" t="s">
        <v>303</v>
      </c>
      <c r="BD199" s="48"/>
      <c r="BE199" s="49" t="s">
        <v>312</v>
      </c>
      <c r="BF199" s="49" t="s">
        <v>303</v>
      </c>
      <c r="BG199" s="48"/>
      <c r="BI199" s="48"/>
      <c r="BJ199" s="48" t="n">
        <v>46301</v>
      </c>
      <c r="BK199" s="49" t="s">
        <v>313</v>
      </c>
      <c r="BL199" s="49" t="s">
        <v>313</v>
      </c>
      <c r="BM199" s="49" t="s">
        <v>310</v>
      </c>
      <c r="BN199" s="48"/>
      <c r="BO199" s="48"/>
      <c r="BP199" s="48"/>
      <c r="BQ199" s="49" t="s">
        <v>641</v>
      </c>
      <c r="BR199" s="48" t="n">
        <v>46301</v>
      </c>
      <c r="BS199" s="49" t="s">
        <v>905</v>
      </c>
      <c r="BT199" s="49" t="s">
        <v>312</v>
      </c>
      <c r="BU199" s="49" t="s">
        <v>313</v>
      </c>
      <c r="BV199" s="49" t="s">
        <v>303</v>
      </c>
      <c r="BX199" s="0" t="n">
        <v>0</v>
      </c>
      <c r="CC199" s="49" t="s">
        <v>315</v>
      </c>
      <c r="CD199" s="49" t="s">
        <v>303</v>
      </c>
      <c r="CF199" s="49" t="s">
        <v>303</v>
      </c>
      <c r="CG199" s="49" t="s">
        <v>316</v>
      </c>
      <c r="CH199" s="49" t="s">
        <v>317</v>
      </c>
      <c r="CI199" s="49" t="s">
        <v>318</v>
      </c>
      <c r="CM199" s="49" t="s">
        <v>480</v>
      </c>
      <c r="CV199" s="49" t="s">
        <v>303</v>
      </c>
      <c r="DB199" s="49" t="s">
        <v>319</v>
      </c>
      <c r="DD199" s="48" t="n">
        <v>46282</v>
      </c>
      <c r="DF199" s="49" t="s">
        <v>310</v>
      </c>
      <c r="DG199" s="49" t="s">
        <v>320</v>
      </c>
      <c r="DH199" s="49" t="s">
        <v>72</v>
      </c>
      <c r="DI199" s="49" t="s">
        <v>298</v>
      </c>
      <c r="DJ199" s="49" t="s">
        <v>321</v>
      </c>
      <c r="DK199" s="49" t="s">
        <v>322</v>
      </c>
      <c r="DL199" s="49" t="s">
        <v>323</v>
      </c>
      <c r="DM199" s="49" t="s">
        <v>303</v>
      </c>
      <c r="DN199" s="49" t="s">
        <v>297</v>
      </c>
      <c r="DO199" s="48"/>
      <c r="DP199" s="49" t="s">
        <v>313</v>
      </c>
      <c r="DQ199" s="48"/>
      <c r="DR199" s="49" t="s">
        <v>312</v>
      </c>
      <c r="DS199" s="49" t="s">
        <v>303</v>
      </c>
      <c r="DT199" s="49" t="s">
        <v>303</v>
      </c>
      <c r="DW199" s="49" t="s">
        <v>303</v>
      </c>
      <c r="EA199" s="49" t="s">
        <v>324</v>
      </c>
      <c r="EB199" s="49" t="s">
        <v>303</v>
      </c>
      <c r="EF199" s="49" t="s">
        <v>908</v>
      </c>
      <c r="EH199" s="49" t="s">
        <v>325</v>
      </c>
      <c r="EJ199" s="49" t="s">
        <v>303</v>
      </c>
      <c r="EK199" s="49" t="s">
        <v>909</v>
      </c>
      <c r="EM199" s="49" t="s">
        <v>303</v>
      </c>
      <c r="EN199" s="49" t="s">
        <v>485</v>
      </c>
      <c r="EP199" s="49" t="s">
        <v>298</v>
      </c>
      <c r="EQ199" s="0" t="n">
        <v>1</v>
      </c>
      <c r="ER199" s="49" t="s">
        <v>328</v>
      </c>
      <c r="ES199" s="49" t="s">
        <v>329</v>
      </c>
      <c r="ET199" s="49" t="s">
        <v>310</v>
      </c>
      <c r="EU199" s="49" t="s">
        <v>310</v>
      </c>
      <c r="EV199" s="49" t="s">
        <v>310</v>
      </c>
      <c r="EX199" s="49" t="s">
        <v>303</v>
      </c>
      <c r="EY199" s="49" t="s">
        <v>303</v>
      </c>
      <c r="FC199" s="49" t="s">
        <v>330</v>
      </c>
      <c r="FD199" s="49" t="s">
        <v>310</v>
      </c>
      <c r="FE199" s="49" t="s">
        <v>310</v>
      </c>
      <c r="FF199" s="49" t="s">
        <v>72</v>
      </c>
      <c r="FG199" s="49" t="s">
        <v>486</v>
      </c>
      <c r="FH199" s="49" t="s">
        <v>310</v>
      </c>
      <c r="FI199" s="49" t="s">
        <v>332</v>
      </c>
      <c r="FJ199" s="49" t="s">
        <v>303</v>
      </c>
      <c r="FL199" s="49" t="s">
        <v>325</v>
      </c>
      <c r="FM199" s="49" t="s">
        <v>641</v>
      </c>
      <c r="FP199" s="49" t="s">
        <v>303</v>
      </c>
      <c r="FR199" s="49" t="s">
        <v>303</v>
      </c>
      <c r="FT199" s="49" t="s">
        <v>325</v>
      </c>
      <c r="FU199" s="49" t="s">
        <v>325</v>
      </c>
      <c r="FW199" s="49" t="s">
        <v>333</v>
      </c>
    </row>
    <row r="200" customFormat="false" ht="15" hidden="false" customHeight="false" outlineLevel="0" collapsed="false">
      <c r="A200" s="0" t="n">
        <v>100880127</v>
      </c>
      <c r="B200" s="0" t="s">
        <v>295</v>
      </c>
      <c r="C200" s="0" t="s">
        <v>72</v>
      </c>
      <c r="D200" s="0" t="s">
        <v>480</v>
      </c>
      <c r="E200" s="0" t="s">
        <v>297</v>
      </c>
      <c r="G200" s="0" t="n">
        <v>1</v>
      </c>
      <c r="H200" s="0" t="s">
        <v>298</v>
      </c>
      <c r="I200" s="48" t="n">
        <v>46296</v>
      </c>
      <c r="J200" s="0" t="n">
        <v>0</v>
      </c>
      <c r="K200" s="49" t="s">
        <v>641</v>
      </c>
      <c r="L200" s="49" t="s">
        <v>335</v>
      </c>
      <c r="M200" s="48"/>
      <c r="O200" s="49" t="s">
        <v>445</v>
      </c>
      <c r="P200" s="48"/>
      <c r="Q200" s="48" t="n">
        <v>46296</v>
      </c>
      <c r="R200" s="48" t="n">
        <v>46302</v>
      </c>
      <c r="T200" s="49" t="s">
        <v>302</v>
      </c>
      <c r="U200" s="49" t="s">
        <v>303</v>
      </c>
      <c r="Y200" s="49" t="s">
        <v>312</v>
      </c>
      <c r="AD200" s="49" t="s">
        <v>305</v>
      </c>
      <c r="AE200" s="48" t="n">
        <v>46282</v>
      </c>
      <c r="AF200" s="49" t="s">
        <v>306</v>
      </c>
      <c r="AG200" s="49" t="s">
        <v>307</v>
      </c>
      <c r="AK200" s="49" t="s">
        <v>303</v>
      </c>
      <c r="AL200" s="49" t="s">
        <v>297</v>
      </c>
      <c r="AO200" s="49" t="s">
        <v>303</v>
      </c>
      <c r="AP200" s="48"/>
      <c r="AR200" s="49" t="s">
        <v>303</v>
      </c>
      <c r="AS200" s="49" t="s">
        <v>306</v>
      </c>
      <c r="AT200" s="49" t="s">
        <v>910</v>
      </c>
      <c r="AV200" s="49" t="s">
        <v>309</v>
      </c>
      <c r="AW200" s="49" t="s">
        <v>310</v>
      </c>
      <c r="AX200" s="49" t="s">
        <v>311</v>
      </c>
      <c r="AY200" s="48"/>
      <c r="AZ200" s="48" t="n">
        <v>46294</v>
      </c>
      <c r="BC200" s="49" t="s">
        <v>303</v>
      </c>
      <c r="BD200" s="48"/>
      <c r="BE200" s="49" t="s">
        <v>312</v>
      </c>
      <c r="BF200" s="49" t="s">
        <v>303</v>
      </c>
      <c r="BG200" s="48"/>
      <c r="BI200" s="48"/>
      <c r="BJ200" s="48" t="n">
        <v>46301</v>
      </c>
      <c r="BK200" s="49" t="s">
        <v>313</v>
      </c>
      <c r="BL200" s="49" t="s">
        <v>313</v>
      </c>
      <c r="BM200" s="49" t="s">
        <v>310</v>
      </c>
      <c r="BN200" s="48"/>
      <c r="BO200" s="48"/>
      <c r="BP200" s="48"/>
      <c r="BQ200" s="49" t="s">
        <v>641</v>
      </c>
      <c r="BR200" s="48" t="n">
        <v>46301</v>
      </c>
      <c r="BS200" s="49" t="s">
        <v>911</v>
      </c>
      <c r="BT200" s="49" t="s">
        <v>312</v>
      </c>
      <c r="BU200" s="49" t="s">
        <v>313</v>
      </c>
      <c r="BV200" s="49" t="s">
        <v>303</v>
      </c>
      <c r="BX200" s="0" t="n">
        <v>0</v>
      </c>
      <c r="CC200" s="49" t="s">
        <v>315</v>
      </c>
      <c r="CD200" s="49" t="s">
        <v>303</v>
      </c>
      <c r="CF200" s="49" t="s">
        <v>303</v>
      </c>
      <c r="CG200" s="49" t="s">
        <v>316</v>
      </c>
      <c r="CH200" s="49" t="s">
        <v>317</v>
      </c>
      <c r="CI200" s="49" t="s">
        <v>318</v>
      </c>
      <c r="CM200" s="49" t="s">
        <v>480</v>
      </c>
      <c r="CV200" s="49" t="s">
        <v>303</v>
      </c>
      <c r="DB200" s="49" t="s">
        <v>319</v>
      </c>
      <c r="DD200" s="48" t="n">
        <v>46282</v>
      </c>
      <c r="DF200" s="49" t="s">
        <v>310</v>
      </c>
      <c r="DG200" s="49" t="s">
        <v>320</v>
      </c>
      <c r="DH200" s="49" t="s">
        <v>72</v>
      </c>
      <c r="DI200" s="49" t="s">
        <v>298</v>
      </c>
      <c r="DJ200" s="49" t="s">
        <v>321</v>
      </c>
      <c r="DK200" s="49" t="s">
        <v>322</v>
      </c>
      <c r="DL200" s="49" t="s">
        <v>323</v>
      </c>
      <c r="DM200" s="49" t="s">
        <v>303</v>
      </c>
      <c r="DN200" s="49" t="s">
        <v>297</v>
      </c>
      <c r="DO200" s="48"/>
      <c r="DP200" s="49" t="s">
        <v>313</v>
      </c>
      <c r="DQ200" s="48"/>
      <c r="DR200" s="49" t="s">
        <v>312</v>
      </c>
      <c r="DS200" s="49" t="s">
        <v>303</v>
      </c>
      <c r="DT200" s="49" t="s">
        <v>303</v>
      </c>
      <c r="DW200" s="49" t="s">
        <v>303</v>
      </c>
      <c r="EA200" s="49" t="s">
        <v>324</v>
      </c>
      <c r="EB200" s="49" t="s">
        <v>303</v>
      </c>
      <c r="EF200" s="49" t="s">
        <v>908</v>
      </c>
      <c r="EH200" s="49" t="s">
        <v>325</v>
      </c>
      <c r="EJ200" s="49" t="s">
        <v>303</v>
      </c>
      <c r="EK200" s="49" t="s">
        <v>912</v>
      </c>
      <c r="EM200" s="49" t="s">
        <v>303</v>
      </c>
      <c r="EN200" s="49" t="s">
        <v>485</v>
      </c>
      <c r="EP200" s="49" t="s">
        <v>298</v>
      </c>
      <c r="EQ200" s="0" t="n">
        <v>1</v>
      </c>
      <c r="ER200" s="49" t="s">
        <v>328</v>
      </c>
      <c r="ES200" s="49" t="s">
        <v>329</v>
      </c>
      <c r="ET200" s="49" t="s">
        <v>310</v>
      </c>
      <c r="EU200" s="49" t="s">
        <v>310</v>
      </c>
      <c r="EV200" s="49" t="s">
        <v>310</v>
      </c>
      <c r="EX200" s="49" t="s">
        <v>303</v>
      </c>
      <c r="EY200" s="49" t="s">
        <v>303</v>
      </c>
      <c r="FC200" s="49" t="s">
        <v>330</v>
      </c>
      <c r="FD200" s="49" t="s">
        <v>310</v>
      </c>
      <c r="FE200" s="49" t="s">
        <v>310</v>
      </c>
      <c r="FF200" s="49" t="s">
        <v>72</v>
      </c>
      <c r="FG200" s="49" t="s">
        <v>486</v>
      </c>
      <c r="FH200" s="49" t="s">
        <v>310</v>
      </c>
      <c r="FI200" s="49" t="s">
        <v>332</v>
      </c>
      <c r="FJ200" s="49" t="s">
        <v>303</v>
      </c>
      <c r="FL200" s="49" t="s">
        <v>325</v>
      </c>
      <c r="FM200" s="49" t="s">
        <v>641</v>
      </c>
      <c r="FP200" s="49" t="s">
        <v>303</v>
      </c>
      <c r="FR200" s="49" t="s">
        <v>303</v>
      </c>
      <c r="FT200" s="49" t="s">
        <v>325</v>
      </c>
      <c r="FU200" s="49" t="s">
        <v>325</v>
      </c>
      <c r="FW200" s="49" t="s">
        <v>333</v>
      </c>
    </row>
    <row r="201" customFormat="false" ht="15" hidden="false" customHeight="false" outlineLevel="0" collapsed="false">
      <c r="A201" s="0" t="n">
        <v>100880128</v>
      </c>
      <c r="B201" s="0" t="s">
        <v>295</v>
      </c>
      <c r="C201" s="0" t="s">
        <v>75</v>
      </c>
      <c r="D201" s="0" t="s">
        <v>492</v>
      </c>
      <c r="E201" s="0" t="s">
        <v>297</v>
      </c>
      <c r="G201" s="0" t="n">
        <v>1</v>
      </c>
      <c r="H201" s="0" t="s">
        <v>298</v>
      </c>
      <c r="I201" s="48" t="n">
        <v>46296</v>
      </c>
      <c r="J201" s="0" t="n">
        <v>0</v>
      </c>
      <c r="K201" s="49" t="s">
        <v>641</v>
      </c>
      <c r="L201" s="49" t="s">
        <v>335</v>
      </c>
      <c r="M201" s="48" t="n">
        <v>46296</v>
      </c>
      <c r="N201" s="49" t="s">
        <v>335</v>
      </c>
      <c r="O201" s="49" t="s">
        <v>445</v>
      </c>
      <c r="P201" s="48"/>
      <c r="Q201" s="48" t="n">
        <v>46296</v>
      </c>
      <c r="R201" s="48" t="n">
        <v>46303</v>
      </c>
      <c r="T201" s="49" t="s">
        <v>302</v>
      </c>
      <c r="U201" s="49" t="s">
        <v>303</v>
      </c>
      <c r="Y201" s="49" t="s">
        <v>913</v>
      </c>
      <c r="AD201" s="49" t="s">
        <v>305</v>
      </c>
      <c r="AE201" s="48" t="n">
        <v>46268</v>
      </c>
      <c r="AF201" s="49" t="s">
        <v>306</v>
      </c>
      <c r="AG201" s="49" t="s">
        <v>307</v>
      </c>
      <c r="AK201" s="49" t="s">
        <v>303</v>
      </c>
      <c r="AL201" s="49" t="s">
        <v>297</v>
      </c>
      <c r="AO201" s="49" t="s">
        <v>303</v>
      </c>
      <c r="AP201" s="48"/>
      <c r="AR201" s="49" t="s">
        <v>303</v>
      </c>
      <c r="AS201" s="49" t="s">
        <v>306</v>
      </c>
      <c r="AT201" s="49" t="s">
        <v>914</v>
      </c>
      <c r="AV201" s="49" t="s">
        <v>309</v>
      </c>
      <c r="AW201" s="49" t="s">
        <v>310</v>
      </c>
      <c r="AX201" s="49" t="s">
        <v>311</v>
      </c>
      <c r="AY201" s="48"/>
      <c r="AZ201" s="48" t="n">
        <v>46294</v>
      </c>
      <c r="BC201" s="49" t="s">
        <v>303</v>
      </c>
      <c r="BD201" s="48"/>
      <c r="BE201" s="49" t="s">
        <v>312</v>
      </c>
      <c r="BF201" s="49" t="s">
        <v>303</v>
      </c>
      <c r="BG201" s="48"/>
      <c r="BI201" s="48"/>
      <c r="BJ201" s="48" t="n">
        <v>46301</v>
      </c>
      <c r="BK201" s="49" t="s">
        <v>312</v>
      </c>
      <c r="BL201" s="49" t="s">
        <v>313</v>
      </c>
      <c r="BM201" s="49" t="s">
        <v>310</v>
      </c>
      <c r="BN201" s="48"/>
      <c r="BO201" s="48"/>
      <c r="BP201" s="48"/>
      <c r="BQ201" s="49" t="s">
        <v>641</v>
      </c>
      <c r="BR201" s="48" t="n">
        <v>46301</v>
      </c>
      <c r="BS201" s="49" t="s">
        <v>873</v>
      </c>
      <c r="BT201" s="49" t="s">
        <v>312</v>
      </c>
      <c r="BU201" s="49" t="s">
        <v>313</v>
      </c>
      <c r="BV201" s="49" t="s">
        <v>303</v>
      </c>
      <c r="BX201" s="0" t="n">
        <v>0</v>
      </c>
      <c r="CC201" s="49" t="s">
        <v>315</v>
      </c>
      <c r="CD201" s="49" t="s">
        <v>303</v>
      </c>
      <c r="CF201" s="49" t="s">
        <v>303</v>
      </c>
      <c r="CG201" s="49" t="s">
        <v>316</v>
      </c>
      <c r="CH201" s="49" t="s">
        <v>317</v>
      </c>
      <c r="CI201" s="49" t="s">
        <v>318</v>
      </c>
      <c r="CM201" s="49" t="s">
        <v>492</v>
      </c>
      <c r="CV201" s="49" t="s">
        <v>303</v>
      </c>
      <c r="DB201" s="49" t="s">
        <v>319</v>
      </c>
      <c r="DD201" s="48" t="n">
        <v>46268</v>
      </c>
      <c r="DF201" s="49" t="s">
        <v>310</v>
      </c>
      <c r="DG201" s="49" t="s">
        <v>320</v>
      </c>
      <c r="DH201" s="49" t="s">
        <v>75</v>
      </c>
      <c r="DI201" s="49" t="s">
        <v>298</v>
      </c>
      <c r="DJ201" s="49" t="s">
        <v>495</v>
      </c>
      <c r="DK201" s="49" t="s">
        <v>322</v>
      </c>
      <c r="DL201" s="49" t="s">
        <v>323</v>
      </c>
      <c r="DM201" s="49" t="s">
        <v>303</v>
      </c>
      <c r="DN201" s="49" t="s">
        <v>297</v>
      </c>
      <c r="DO201" s="48"/>
      <c r="DP201" s="49" t="s">
        <v>312</v>
      </c>
      <c r="DQ201" s="48"/>
      <c r="DR201" s="49" t="s">
        <v>312</v>
      </c>
      <c r="DS201" s="49" t="s">
        <v>303</v>
      </c>
      <c r="DT201" s="49" t="s">
        <v>303</v>
      </c>
      <c r="DW201" s="49" t="s">
        <v>303</v>
      </c>
      <c r="EA201" s="49" t="s">
        <v>324</v>
      </c>
      <c r="EB201" s="49" t="s">
        <v>303</v>
      </c>
      <c r="EH201" s="49" t="s">
        <v>310</v>
      </c>
      <c r="EJ201" s="49" t="s">
        <v>303</v>
      </c>
      <c r="EK201" s="49" t="s">
        <v>915</v>
      </c>
      <c r="EM201" s="49" t="s">
        <v>303</v>
      </c>
      <c r="EN201" s="49" t="s">
        <v>497</v>
      </c>
      <c r="EP201" s="49" t="s">
        <v>298</v>
      </c>
      <c r="EQ201" s="0" t="n">
        <v>1</v>
      </c>
      <c r="ER201" s="49" t="s">
        <v>328</v>
      </c>
      <c r="ES201" s="49" t="s">
        <v>329</v>
      </c>
      <c r="ET201" s="49" t="s">
        <v>310</v>
      </c>
      <c r="EU201" s="49" t="s">
        <v>310</v>
      </c>
      <c r="EV201" s="49" t="s">
        <v>310</v>
      </c>
      <c r="EX201" s="49" t="s">
        <v>303</v>
      </c>
      <c r="EY201" s="49" t="s">
        <v>303</v>
      </c>
      <c r="FC201" s="49" t="s">
        <v>330</v>
      </c>
      <c r="FD201" s="49" t="s">
        <v>310</v>
      </c>
      <c r="FE201" s="49" t="s">
        <v>310</v>
      </c>
      <c r="FF201" s="49" t="s">
        <v>75</v>
      </c>
      <c r="FG201" s="49" t="s">
        <v>498</v>
      </c>
      <c r="FH201" s="49" t="s">
        <v>310</v>
      </c>
      <c r="FI201" s="49" t="s">
        <v>332</v>
      </c>
      <c r="FJ201" s="49" t="s">
        <v>303</v>
      </c>
      <c r="FL201" s="49" t="s">
        <v>325</v>
      </c>
      <c r="FM201" s="49" t="s">
        <v>641</v>
      </c>
      <c r="FP201" s="49" t="s">
        <v>303</v>
      </c>
      <c r="FR201" s="49" t="s">
        <v>303</v>
      </c>
      <c r="FT201" s="49" t="s">
        <v>325</v>
      </c>
      <c r="FU201" s="49" t="s">
        <v>325</v>
      </c>
      <c r="FW201" s="49" t="s">
        <v>333</v>
      </c>
      <c r="FX201" s="49" t="s">
        <v>499</v>
      </c>
    </row>
    <row r="202" customFormat="false" ht="15" hidden="false" customHeight="false" outlineLevel="0" collapsed="false">
      <c r="A202" s="0" t="n">
        <v>100880129</v>
      </c>
      <c r="B202" s="0" t="s">
        <v>295</v>
      </c>
      <c r="C202" s="0" t="s">
        <v>77</v>
      </c>
      <c r="D202" s="0" t="s">
        <v>500</v>
      </c>
      <c r="E202" s="0" t="s">
        <v>297</v>
      </c>
      <c r="G202" s="0" t="n">
        <v>1</v>
      </c>
      <c r="H202" s="0" t="s">
        <v>298</v>
      </c>
      <c r="I202" s="48" t="n">
        <v>46296</v>
      </c>
      <c r="J202" s="0" t="n">
        <v>0</v>
      </c>
      <c r="K202" s="49" t="s">
        <v>641</v>
      </c>
      <c r="L202" s="49" t="s">
        <v>335</v>
      </c>
      <c r="M202" s="48" t="n">
        <v>46296</v>
      </c>
      <c r="N202" s="49" t="s">
        <v>335</v>
      </c>
      <c r="O202" s="49" t="s">
        <v>445</v>
      </c>
      <c r="P202" s="48"/>
      <c r="Q202" s="48" t="n">
        <v>46296</v>
      </c>
      <c r="R202" s="48" t="n">
        <v>46303</v>
      </c>
      <c r="T202" s="49" t="s">
        <v>302</v>
      </c>
      <c r="U202" s="49" t="s">
        <v>303</v>
      </c>
      <c r="Y202" s="49" t="s">
        <v>916</v>
      </c>
      <c r="AD202" s="49" t="s">
        <v>305</v>
      </c>
      <c r="AE202" s="48" t="n">
        <v>46268</v>
      </c>
      <c r="AF202" s="49" t="s">
        <v>306</v>
      </c>
      <c r="AG202" s="49" t="s">
        <v>307</v>
      </c>
      <c r="AK202" s="49" t="s">
        <v>303</v>
      </c>
      <c r="AL202" s="49" t="s">
        <v>297</v>
      </c>
      <c r="AO202" s="49" t="s">
        <v>303</v>
      </c>
      <c r="AP202" s="48"/>
      <c r="AR202" s="49" t="s">
        <v>303</v>
      </c>
      <c r="AS202" s="49" t="s">
        <v>306</v>
      </c>
      <c r="AT202" s="49" t="s">
        <v>917</v>
      </c>
      <c r="AV202" s="49" t="s">
        <v>309</v>
      </c>
      <c r="AW202" s="49" t="s">
        <v>310</v>
      </c>
      <c r="AX202" s="49" t="s">
        <v>311</v>
      </c>
      <c r="AY202" s="48"/>
      <c r="AZ202" s="48" t="n">
        <v>46294</v>
      </c>
      <c r="BC202" s="49" t="s">
        <v>303</v>
      </c>
      <c r="BD202" s="48"/>
      <c r="BE202" s="49" t="s">
        <v>312</v>
      </c>
      <c r="BF202" s="49" t="s">
        <v>303</v>
      </c>
      <c r="BG202" s="48"/>
      <c r="BI202" s="48"/>
      <c r="BJ202" s="48" t="n">
        <v>46301</v>
      </c>
      <c r="BK202" s="49" t="s">
        <v>312</v>
      </c>
      <c r="BL202" s="49" t="s">
        <v>313</v>
      </c>
      <c r="BM202" s="49" t="s">
        <v>310</v>
      </c>
      <c r="BN202" s="48"/>
      <c r="BO202" s="48"/>
      <c r="BP202" s="48"/>
      <c r="BQ202" s="49" t="s">
        <v>641</v>
      </c>
      <c r="BR202" s="48" t="n">
        <v>46301</v>
      </c>
      <c r="BS202" s="49" t="s">
        <v>918</v>
      </c>
      <c r="BT202" s="49" t="s">
        <v>312</v>
      </c>
      <c r="BU202" s="49" t="s">
        <v>313</v>
      </c>
      <c r="BV202" s="49" t="s">
        <v>303</v>
      </c>
      <c r="BX202" s="0" t="n">
        <v>0</v>
      </c>
      <c r="CC202" s="49" t="s">
        <v>315</v>
      </c>
      <c r="CD202" s="49" t="s">
        <v>303</v>
      </c>
      <c r="CF202" s="49" t="s">
        <v>303</v>
      </c>
      <c r="CG202" s="49" t="s">
        <v>316</v>
      </c>
      <c r="CH202" s="49" t="s">
        <v>317</v>
      </c>
      <c r="CI202" s="49" t="s">
        <v>318</v>
      </c>
      <c r="CM202" s="49" t="s">
        <v>500</v>
      </c>
      <c r="CV202" s="49" t="s">
        <v>303</v>
      </c>
      <c r="DB202" s="49" t="s">
        <v>319</v>
      </c>
      <c r="DD202" s="48" t="n">
        <v>46268</v>
      </c>
      <c r="DF202" s="49" t="s">
        <v>310</v>
      </c>
      <c r="DG202" s="49" t="s">
        <v>320</v>
      </c>
      <c r="DH202" s="49" t="s">
        <v>77</v>
      </c>
      <c r="DI202" s="49" t="s">
        <v>298</v>
      </c>
      <c r="DJ202" s="49" t="s">
        <v>495</v>
      </c>
      <c r="DK202" s="49" t="s">
        <v>322</v>
      </c>
      <c r="DL202" s="49" t="s">
        <v>323</v>
      </c>
      <c r="DM202" s="49" t="s">
        <v>303</v>
      </c>
      <c r="DN202" s="49" t="s">
        <v>297</v>
      </c>
      <c r="DO202" s="48"/>
      <c r="DP202" s="49" t="s">
        <v>312</v>
      </c>
      <c r="DQ202" s="48"/>
      <c r="DR202" s="49" t="s">
        <v>312</v>
      </c>
      <c r="DS202" s="49" t="s">
        <v>303</v>
      </c>
      <c r="DT202" s="49" t="s">
        <v>303</v>
      </c>
      <c r="DW202" s="49" t="s">
        <v>303</v>
      </c>
      <c r="EA202" s="49" t="s">
        <v>324</v>
      </c>
      <c r="EB202" s="49" t="s">
        <v>303</v>
      </c>
      <c r="EH202" s="49" t="s">
        <v>310</v>
      </c>
      <c r="EJ202" s="49" t="s">
        <v>303</v>
      </c>
      <c r="EK202" s="49" t="s">
        <v>919</v>
      </c>
      <c r="EM202" s="49" t="s">
        <v>303</v>
      </c>
      <c r="EN202" s="49" t="s">
        <v>504</v>
      </c>
      <c r="EP202" s="49" t="s">
        <v>298</v>
      </c>
      <c r="EQ202" s="0" t="n">
        <v>1</v>
      </c>
      <c r="ER202" s="49" t="s">
        <v>328</v>
      </c>
      <c r="ES202" s="49" t="s">
        <v>329</v>
      </c>
      <c r="ET202" s="49" t="s">
        <v>310</v>
      </c>
      <c r="EU202" s="49" t="s">
        <v>310</v>
      </c>
      <c r="EV202" s="49" t="s">
        <v>310</v>
      </c>
      <c r="EX202" s="49" t="s">
        <v>303</v>
      </c>
      <c r="EY202" s="49" t="s">
        <v>303</v>
      </c>
      <c r="FC202" s="49" t="s">
        <v>330</v>
      </c>
      <c r="FD202" s="49" t="s">
        <v>310</v>
      </c>
      <c r="FE202" s="49" t="s">
        <v>310</v>
      </c>
      <c r="FF202" s="49" t="s">
        <v>77</v>
      </c>
      <c r="FG202" s="49" t="s">
        <v>505</v>
      </c>
      <c r="FH202" s="49" t="s">
        <v>310</v>
      </c>
      <c r="FI202" s="49" t="s">
        <v>332</v>
      </c>
      <c r="FJ202" s="49" t="s">
        <v>303</v>
      </c>
      <c r="FL202" s="49" t="s">
        <v>325</v>
      </c>
      <c r="FM202" s="49" t="s">
        <v>641</v>
      </c>
      <c r="FP202" s="49" t="s">
        <v>303</v>
      </c>
      <c r="FR202" s="49" t="s">
        <v>303</v>
      </c>
      <c r="FT202" s="49" t="s">
        <v>325</v>
      </c>
      <c r="FU202" s="49" t="s">
        <v>325</v>
      </c>
      <c r="FW202" s="49" t="s">
        <v>333</v>
      </c>
      <c r="FX202" s="49" t="s">
        <v>499</v>
      </c>
    </row>
    <row r="203" customFormat="false" ht="15" hidden="false" customHeight="false" outlineLevel="0" collapsed="false">
      <c r="A203" s="0" t="n">
        <v>100880130</v>
      </c>
      <c r="B203" s="0" t="s">
        <v>295</v>
      </c>
      <c r="C203" s="0" t="s">
        <v>79</v>
      </c>
      <c r="D203" s="0" t="s">
        <v>506</v>
      </c>
      <c r="E203" s="0" t="s">
        <v>297</v>
      </c>
      <c r="G203" s="0" t="n">
        <v>1</v>
      </c>
      <c r="H203" s="0" t="s">
        <v>298</v>
      </c>
      <c r="I203" s="48" t="n">
        <v>46296</v>
      </c>
      <c r="J203" s="0" t="n">
        <v>0</v>
      </c>
      <c r="K203" s="49" t="s">
        <v>641</v>
      </c>
      <c r="L203" s="49" t="s">
        <v>335</v>
      </c>
      <c r="M203" s="48" t="n">
        <v>46296</v>
      </c>
      <c r="N203" s="49" t="s">
        <v>335</v>
      </c>
      <c r="O203" s="49" t="s">
        <v>445</v>
      </c>
      <c r="P203" s="48"/>
      <c r="Q203" s="48" t="n">
        <v>46296</v>
      </c>
      <c r="R203" s="48" t="n">
        <v>46303</v>
      </c>
      <c r="T203" s="49" t="s">
        <v>302</v>
      </c>
      <c r="U203" s="49" t="s">
        <v>303</v>
      </c>
      <c r="Y203" s="49" t="s">
        <v>920</v>
      </c>
      <c r="AD203" s="49" t="s">
        <v>305</v>
      </c>
      <c r="AE203" s="48" t="n">
        <v>46268</v>
      </c>
      <c r="AF203" s="49" t="s">
        <v>306</v>
      </c>
      <c r="AG203" s="49" t="s">
        <v>307</v>
      </c>
      <c r="AK203" s="49" t="s">
        <v>303</v>
      </c>
      <c r="AL203" s="49" t="s">
        <v>297</v>
      </c>
      <c r="AO203" s="49" t="s">
        <v>303</v>
      </c>
      <c r="AP203" s="48"/>
      <c r="AR203" s="49" t="s">
        <v>303</v>
      </c>
      <c r="AS203" s="49" t="s">
        <v>306</v>
      </c>
      <c r="AT203" s="49" t="s">
        <v>921</v>
      </c>
      <c r="AV203" s="49" t="s">
        <v>309</v>
      </c>
      <c r="AW203" s="49" t="s">
        <v>310</v>
      </c>
      <c r="AX203" s="49" t="s">
        <v>311</v>
      </c>
      <c r="AY203" s="48"/>
      <c r="AZ203" s="48" t="n">
        <v>46294</v>
      </c>
      <c r="BC203" s="49" t="s">
        <v>303</v>
      </c>
      <c r="BD203" s="48"/>
      <c r="BE203" s="49" t="s">
        <v>312</v>
      </c>
      <c r="BF203" s="49" t="s">
        <v>303</v>
      </c>
      <c r="BG203" s="48"/>
      <c r="BI203" s="48"/>
      <c r="BJ203" s="48" t="n">
        <v>46301</v>
      </c>
      <c r="BK203" s="49" t="s">
        <v>312</v>
      </c>
      <c r="BL203" s="49" t="s">
        <v>313</v>
      </c>
      <c r="BM203" s="49" t="s">
        <v>310</v>
      </c>
      <c r="BN203" s="48"/>
      <c r="BO203" s="48"/>
      <c r="BP203" s="48"/>
      <c r="BQ203" s="49" t="s">
        <v>641</v>
      </c>
      <c r="BR203" s="48" t="n">
        <v>46301</v>
      </c>
      <c r="BS203" s="49" t="s">
        <v>918</v>
      </c>
      <c r="BT203" s="49" t="s">
        <v>312</v>
      </c>
      <c r="BU203" s="49" t="s">
        <v>313</v>
      </c>
      <c r="BV203" s="49" t="s">
        <v>303</v>
      </c>
      <c r="BX203" s="0" t="n">
        <v>0</v>
      </c>
      <c r="CC203" s="49" t="s">
        <v>315</v>
      </c>
      <c r="CD203" s="49" t="s">
        <v>303</v>
      </c>
      <c r="CF203" s="49" t="s">
        <v>303</v>
      </c>
      <c r="CG203" s="49" t="s">
        <v>316</v>
      </c>
      <c r="CH203" s="49" t="s">
        <v>317</v>
      </c>
      <c r="CI203" s="49" t="s">
        <v>318</v>
      </c>
      <c r="CM203" s="49" t="s">
        <v>506</v>
      </c>
      <c r="CV203" s="49" t="s">
        <v>303</v>
      </c>
      <c r="DB203" s="49" t="s">
        <v>319</v>
      </c>
      <c r="DD203" s="48" t="n">
        <v>46268</v>
      </c>
      <c r="DF203" s="49" t="s">
        <v>310</v>
      </c>
      <c r="DG203" s="49" t="s">
        <v>320</v>
      </c>
      <c r="DH203" s="49" t="s">
        <v>79</v>
      </c>
      <c r="DI203" s="49" t="s">
        <v>298</v>
      </c>
      <c r="DJ203" s="49" t="s">
        <v>495</v>
      </c>
      <c r="DK203" s="49" t="s">
        <v>322</v>
      </c>
      <c r="DL203" s="49" t="s">
        <v>323</v>
      </c>
      <c r="DM203" s="49" t="s">
        <v>303</v>
      </c>
      <c r="DN203" s="49" t="s">
        <v>297</v>
      </c>
      <c r="DO203" s="48"/>
      <c r="DP203" s="49" t="s">
        <v>312</v>
      </c>
      <c r="DQ203" s="48"/>
      <c r="DR203" s="49" t="s">
        <v>312</v>
      </c>
      <c r="DS203" s="49" t="s">
        <v>303</v>
      </c>
      <c r="DT203" s="49" t="s">
        <v>303</v>
      </c>
      <c r="DW203" s="49" t="s">
        <v>303</v>
      </c>
      <c r="EA203" s="49" t="s">
        <v>324</v>
      </c>
      <c r="EB203" s="49" t="s">
        <v>303</v>
      </c>
      <c r="EH203" s="49" t="s">
        <v>310</v>
      </c>
      <c r="EJ203" s="49" t="s">
        <v>303</v>
      </c>
      <c r="EK203" s="49" t="s">
        <v>922</v>
      </c>
      <c r="EM203" s="49" t="s">
        <v>303</v>
      </c>
      <c r="EN203" s="49" t="s">
        <v>510</v>
      </c>
      <c r="EP203" s="49" t="s">
        <v>298</v>
      </c>
      <c r="EQ203" s="0" t="n">
        <v>1</v>
      </c>
      <c r="ER203" s="49" t="s">
        <v>328</v>
      </c>
      <c r="ES203" s="49" t="s">
        <v>329</v>
      </c>
      <c r="ET203" s="49" t="s">
        <v>310</v>
      </c>
      <c r="EU203" s="49" t="s">
        <v>310</v>
      </c>
      <c r="EV203" s="49" t="s">
        <v>310</v>
      </c>
      <c r="EX203" s="49" t="s">
        <v>303</v>
      </c>
      <c r="EY203" s="49" t="s">
        <v>303</v>
      </c>
      <c r="FC203" s="49" t="s">
        <v>330</v>
      </c>
      <c r="FD203" s="49" t="s">
        <v>310</v>
      </c>
      <c r="FE203" s="49" t="s">
        <v>310</v>
      </c>
      <c r="FF203" s="49" t="s">
        <v>79</v>
      </c>
      <c r="FG203" s="49" t="s">
        <v>511</v>
      </c>
      <c r="FH203" s="49" t="s">
        <v>310</v>
      </c>
      <c r="FI203" s="49" t="s">
        <v>332</v>
      </c>
      <c r="FJ203" s="49" t="s">
        <v>303</v>
      </c>
      <c r="FL203" s="49" t="s">
        <v>325</v>
      </c>
      <c r="FM203" s="49" t="s">
        <v>641</v>
      </c>
      <c r="FP203" s="49" t="s">
        <v>303</v>
      </c>
      <c r="FR203" s="49" t="s">
        <v>303</v>
      </c>
      <c r="FT203" s="49" t="s">
        <v>325</v>
      </c>
      <c r="FU203" s="49" t="s">
        <v>325</v>
      </c>
      <c r="FW203" s="49" t="s">
        <v>333</v>
      </c>
      <c r="FX203" s="49" t="s">
        <v>499</v>
      </c>
    </row>
    <row r="204" customFormat="false" ht="15" hidden="false" customHeight="false" outlineLevel="0" collapsed="false">
      <c r="A204" s="0" t="n">
        <v>100879436</v>
      </c>
      <c r="B204" s="0" t="s">
        <v>295</v>
      </c>
      <c r="C204" s="0" t="s">
        <v>75</v>
      </c>
      <c r="D204" s="0" t="s">
        <v>492</v>
      </c>
      <c r="E204" s="0" t="s">
        <v>297</v>
      </c>
      <c r="G204" s="0" t="n">
        <v>1</v>
      </c>
      <c r="H204" s="0" t="s">
        <v>298</v>
      </c>
      <c r="I204" s="48" t="n">
        <v>46294</v>
      </c>
      <c r="J204" s="0" t="n">
        <v>0</v>
      </c>
      <c r="K204" s="49" t="s">
        <v>923</v>
      </c>
      <c r="L204" s="49" t="s">
        <v>335</v>
      </c>
      <c r="M204" s="48" t="n">
        <v>46294</v>
      </c>
      <c r="N204" s="49" t="s">
        <v>335</v>
      </c>
      <c r="O204" s="49" t="s">
        <v>445</v>
      </c>
      <c r="P204" s="48"/>
      <c r="Q204" s="48" t="n">
        <v>46294</v>
      </c>
      <c r="R204" s="48" t="n">
        <v>46301</v>
      </c>
      <c r="T204" s="49" t="s">
        <v>302</v>
      </c>
      <c r="U204" s="49" t="s">
        <v>303</v>
      </c>
      <c r="Y204" s="49" t="s">
        <v>924</v>
      </c>
      <c r="AD204" s="49" t="s">
        <v>305</v>
      </c>
      <c r="AE204" s="48" t="n">
        <v>46260</v>
      </c>
      <c r="AF204" s="49" t="s">
        <v>306</v>
      </c>
      <c r="AG204" s="49" t="s">
        <v>307</v>
      </c>
      <c r="AK204" s="49" t="s">
        <v>303</v>
      </c>
      <c r="AL204" s="49" t="s">
        <v>297</v>
      </c>
      <c r="AO204" s="49" t="s">
        <v>303</v>
      </c>
      <c r="AP204" s="48"/>
      <c r="AR204" s="49" t="s">
        <v>303</v>
      </c>
      <c r="AS204" s="49" t="s">
        <v>306</v>
      </c>
      <c r="AT204" s="49" t="s">
        <v>925</v>
      </c>
      <c r="AV204" s="49" t="s">
        <v>309</v>
      </c>
      <c r="AW204" s="49" t="s">
        <v>310</v>
      </c>
      <c r="AX204" s="49" t="s">
        <v>311</v>
      </c>
      <c r="AY204" s="48"/>
      <c r="AZ204" s="48" t="n">
        <v>46290</v>
      </c>
      <c r="BC204" s="49" t="s">
        <v>303</v>
      </c>
      <c r="BD204" s="48"/>
      <c r="BE204" s="49" t="s">
        <v>312</v>
      </c>
      <c r="BF204" s="49" t="s">
        <v>303</v>
      </c>
      <c r="BG204" s="48"/>
      <c r="BI204" s="48"/>
      <c r="BJ204" s="48" t="n">
        <v>46299</v>
      </c>
      <c r="BK204" s="49" t="s">
        <v>312</v>
      </c>
      <c r="BL204" s="49" t="s">
        <v>313</v>
      </c>
      <c r="BM204" s="49" t="s">
        <v>310</v>
      </c>
      <c r="BN204" s="48"/>
      <c r="BO204" s="48"/>
      <c r="BP204" s="48"/>
      <c r="BQ204" s="49" t="s">
        <v>641</v>
      </c>
      <c r="BR204" s="48" t="n">
        <v>46299</v>
      </c>
      <c r="BS204" s="49" t="s">
        <v>926</v>
      </c>
      <c r="BT204" s="49" t="s">
        <v>312</v>
      </c>
      <c r="BU204" s="49" t="s">
        <v>313</v>
      </c>
      <c r="BV204" s="49" t="s">
        <v>303</v>
      </c>
      <c r="BX204" s="0" t="n">
        <v>0</v>
      </c>
      <c r="CC204" s="49" t="s">
        <v>315</v>
      </c>
      <c r="CD204" s="49" t="s">
        <v>303</v>
      </c>
      <c r="CF204" s="49" t="s">
        <v>303</v>
      </c>
      <c r="CG204" s="49" t="s">
        <v>316</v>
      </c>
      <c r="CH204" s="49" t="s">
        <v>317</v>
      </c>
      <c r="CI204" s="49" t="s">
        <v>318</v>
      </c>
      <c r="CM204" s="49" t="s">
        <v>492</v>
      </c>
      <c r="CV204" s="49" t="s">
        <v>303</v>
      </c>
      <c r="DB204" s="49" t="s">
        <v>319</v>
      </c>
      <c r="DD204" s="48" t="n">
        <v>46260</v>
      </c>
      <c r="DF204" s="49" t="s">
        <v>310</v>
      </c>
      <c r="DG204" s="49" t="s">
        <v>320</v>
      </c>
      <c r="DH204" s="49" t="s">
        <v>75</v>
      </c>
      <c r="DI204" s="49" t="s">
        <v>298</v>
      </c>
      <c r="DJ204" s="49" t="s">
        <v>495</v>
      </c>
      <c r="DK204" s="49" t="s">
        <v>322</v>
      </c>
      <c r="DL204" s="49" t="s">
        <v>323</v>
      </c>
      <c r="DM204" s="49" t="s">
        <v>303</v>
      </c>
      <c r="DN204" s="49" t="s">
        <v>297</v>
      </c>
      <c r="DO204" s="48"/>
      <c r="DP204" s="49" t="s">
        <v>312</v>
      </c>
      <c r="DQ204" s="48"/>
      <c r="DR204" s="49" t="s">
        <v>312</v>
      </c>
      <c r="DS204" s="49" t="s">
        <v>303</v>
      </c>
      <c r="DT204" s="49" t="s">
        <v>303</v>
      </c>
      <c r="DW204" s="49" t="s">
        <v>303</v>
      </c>
      <c r="EA204" s="49" t="s">
        <v>324</v>
      </c>
      <c r="EB204" s="49" t="s">
        <v>303</v>
      </c>
      <c r="EH204" s="49" t="s">
        <v>310</v>
      </c>
      <c r="EJ204" s="49" t="s">
        <v>303</v>
      </c>
      <c r="EK204" s="49" t="s">
        <v>927</v>
      </c>
      <c r="EM204" s="49" t="s">
        <v>303</v>
      </c>
      <c r="EN204" s="49" t="s">
        <v>497</v>
      </c>
      <c r="EP204" s="49" t="s">
        <v>298</v>
      </c>
      <c r="EQ204" s="0" t="n">
        <v>1</v>
      </c>
      <c r="ER204" s="49" t="s">
        <v>328</v>
      </c>
      <c r="ES204" s="49" t="s">
        <v>329</v>
      </c>
      <c r="ET204" s="49" t="s">
        <v>310</v>
      </c>
      <c r="EU204" s="49" t="s">
        <v>310</v>
      </c>
      <c r="EV204" s="49" t="s">
        <v>310</v>
      </c>
      <c r="EX204" s="49" t="s">
        <v>303</v>
      </c>
      <c r="EY204" s="49" t="s">
        <v>303</v>
      </c>
      <c r="FC204" s="49" t="s">
        <v>330</v>
      </c>
      <c r="FD204" s="49" t="s">
        <v>310</v>
      </c>
      <c r="FE204" s="49" t="s">
        <v>310</v>
      </c>
      <c r="FF204" s="49" t="s">
        <v>75</v>
      </c>
      <c r="FG204" s="49" t="s">
        <v>498</v>
      </c>
      <c r="FH204" s="49" t="s">
        <v>310</v>
      </c>
      <c r="FI204" s="49" t="s">
        <v>332</v>
      </c>
      <c r="FJ204" s="49" t="s">
        <v>303</v>
      </c>
      <c r="FL204" s="49" t="s">
        <v>325</v>
      </c>
      <c r="FM204" s="49" t="s">
        <v>923</v>
      </c>
      <c r="FP204" s="49" t="s">
        <v>303</v>
      </c>
      <c r="FR204" s="49" t="s">
        <v>303</v>
      </c>
      <c r="FT204" s="49" t="s">
        <v>325</v>
      </c>
      <c r="FU204" s="49" t="s">
        <v>325</v>
      </c>
      <c r="FW204" s="49" t="s">
        <v>333</v>
      </c>
      <c r="FX204" s="49" t="s">
        <v>499</v>
      </c>
    </row>
    <row r="205" customFormat="false" ht="15" hidden="false" customHeight="false" outlineLevel="0" collapsed="false">
      <c r="A205" s="0" t="n">
        <v>100879437</v>
      </c>
      <c r="B205" s="0" t="s">
        <v>295</v>
      </c>
      <c r="C205" s="0" t="s">
        <v>77</v>
      </c>
      <c r="D205" s="0" t="s">
        <v>500</v>
      </c>
      <c r="E205" s="0" t="s">
        <v>297</v>
      </c>
      <c r="G205" s="0" t="n">
        <v>1</v>
      </c>
      <c r="H205" s="0" t="s">
        <v>298</v>
      </c>
      <c r="I205" s="48" t="n">
        <v>46294</v>
      </c>
      <c r="J205" s="0" t="n">
        <v>0</v>
      </c>
      <c r="K205" s="49" t="s">
        <v>923</v>
      </c>
      <c r="L205" s="49" t="s">
        <v>335</v>
      </c>
      <c r="M205" s="48" t="n">
        <v>46294</v>
      </c>
      <c r="N205" s="49" t="s">
        <v>335</v>
      </c>
      <c r="O205" s="49" t="s">
        <v>445</v>
      </c>
      <c r="P205" s="48"/>
      <c r="Q205" s="48" t="n">
        <v>46294</v>
      </c>
      <c r="R205" s="48" t="n">
        <v>46301</v>
      </c>
      <c r="T205" s="49" t="s">
        <v>302</v>
      </c>
      <c r="U205" s="49" t="s">
        <v>303</v>
      </c>
      <c r="Y205" s="49" t="s">
        <v>928</v>
      </c>
      <c r="AD205" s="49" t="s">
        <v>305</v>
      </c>
      <c r="AE205" s="48" t="n">
        <v>46260</v>
      </c>
      <c r="AF205" s="49" t="s">
        <v>306</v>
      </c>
      <c r="AG205" s="49" t="s">
        <v>307</v>
      </c>
      <c r="AK205" s="49" t="s">
        <v>303</v>
      </c>
      <c r="AL205" s="49" t="s">
        <v>297</v>
      </c>
      <c r="AO205" s="49" t="s">
        <v>303</v>
      </c>
      <c r="AP205" s="48"/>
      <c r="AR205" s="49" t="s">
        <v>303</v>
      </c>
      <c r="AS205" s="49" t="s">
        <v>306</v>
      </c>
      <c r="AT205" s="49" t="s">
        <v>929</v>
      </c>
      <c r="AV205" s="49" t="s">
        <v>309</v>
      </c>
      <c r="AW205" s="49" t="s">
        <v>310</v>
      </c>
      <c r="AX205" s="49" t="s">
        <v>311</v>
      </c>
      <c r="AY205" s="48"/>
      <c r="AZ205" s="48" t="n">
        <v>46290</v>
      </c>
      <c r="BC205" s="49" t="s">
        <v>303</v>
      </c>
      <c r="BD205" s="48"/>
      <c r="BE205" s="49" t="s">
        <v>312</v>
      </c>
      <c r="BF205" s="49" t="s">
        <v>303</v>
      </c>
      <c r="BG205" s="48"/>
      <c r="BI205" s="48"/>
      <c r="BJ205" s="48" t="n">
        <v>46299</v>
      </c>
      <c r="BK205" s="49" t="s">
        <v>312</v>
      </c>
      <c r="BL205" s="49" t="s">
        <v>313</v>
      </c>
      <c r="BM205" s="49" t="s">
        <v>310</v>
      </c>
      <c r="BN205" s="48"/>
      <c r="BO205" s="48"/>
      <c r="BP205" s="48"/>
      <c r="BQ205" s="49" t="s">
        <v>641</v>
      </c>
      <c r="BR205" s="48" t="n">
        <v>46299</v>
      </c>
      <c r="BS205" s="49" t="s">
        <v>930</v>
      </c>
      <c r="BT205" s="49" t="s">
        <v>312</v>
      </c>
      <c r="BU205" s="49" t="s">
        <v>313</v>
      </c>
      <c r="BV205" s="49" t="s">
        <v>303</v>
      </c>
      <c r="BX205" s="0" t="n">
        <v>0</v>
      </c>
      <c r="CC205" s="49" t="s">
        <v>315</v>
      </c>
      <c r="CD205" s="49" t="s">
        <v>303</v>
      </c>
      <c r="CF205" s="49" t="s">
        <v>303</v>
      </c>
      <c r="CG205" s="49" t="s">
        <v>316</v>
      </c>
      <c r="CH205" s="49" t="s">
        <v>317</v>
      </c>
      <c r="CI205" s="49" t="s">
        <v>318</v>
      </c>
      <c r="CM205" s="49" t="s">
        <v>500</v>
      </c>
      <c r="CV205" s="49" t="s">
        <v>303</v>
      </c>
      <c r="DB205" s="49" t="s">
        <v>319</v>
      </c>
      <c r="DD205" s="48" t="n">
        <v>46260</v>
      </c>
      <c r="DF205" s="49" t="s">
        <v>310</v>
      </c>
      <c r="DG205" s="49" t="s">
        <v>320</v>
      </c>
      <c r="DH205" s="49" t="s">
        <v>77</v>
      </c>
      <c r="DI205" s="49" t="s">
        <v>298</v>
      </c>
      <c r="DJ205" s="49" t="s">
        <v>495</v>
      </c>
      <c r="DK205" s="49" t="s">
        <v>322</v>
      </c>
      <c r="DL205" s="49" t="s">
        <v>323</v>
      </c>
      <c r="DM205" s="49" t="s">
        <v>303</v>
      </c>
      <c r="DN205" s="49" t="s">
        <v>297</v>
      </c>
      <c r="DO205" s="48"/>
      <c r="DP205" s="49" t="s">
        <v>312</v>
      </c>
      <c r="DQ205" s="48"/>
      <c r="DR205" s="49" t="s">
        <v>312</v>
      </c>
      <c r="DS205" s="49" t="s">
        <v>303</v>
      </c>
      <c r="DT205" s="49" t="s">
        <v>303</v>
      </c>
      <c r="DW205" s="49" t="s">
        <v>303</v>
      </c>
      <c r="EA205" s="49" t="s">
        <v>324</v>
      </c>
      <c r="EB205" s="49" t="s">
        <v>303</v>
      </c>
      <c r="EH205" s="49" t="s">
        <v>310</v>
      </c>
      <c r="EJ205" s="49" t="s">
        <v>303</v>
      </c>
      <c r="EK205" s="49" t="s">
        <v>931</v>
      </c>
      <c r="EM205" s="49" t="s">
        <v>303</v>
      </c>
      <c r="EN205" s="49" t="s">
        <v>504</v>
      </c>
      <c r="EP205" s="49" t="s">
        <v>298</v>
      </c>
      <c r="EQ205" s="0" t="n">
        <v>1</v>
      </c>
      <c r="ER205" s="49" t="s">
        <v>328</v>
      </c>
      <c r="ES205" s="49" t="s">
        <v>329</v>
      </c>
      <c r="ET205" s="49" t="s">
        <v>310</v>
      </c>
      <c r="EU205" s="49" t="s">
        <v>310</v>
      </c>
      <c r="EV205" s="49" t="s">
        <v>310</v>
      </c>
      <c r="EX205" s="49" t="s">
        <v>303</v>
      </c>
      <c r="EY205" s="49" t="s">
        <v>303</v>
      </c>
      <c r="FC205" s="49" t="s">
        <v>330</v>
      </c>
      <c r="FD205" s="49" t="s">
        <v>310</v>
      </c>
      <c r="FE205" s="49" t="s">
        <v>310</v>
      </c>
      <c r="FF205" s="49" t="s">
        <v>77</v>
      </c>
      <c r="FG205" s="49" t="s">
        <v>505</v>
      </c>
      <c r="FH205" s="49" t="s">
        <v>310</v>
      </c>
      <c r="FI205" s="49" t="s">
        <v>332</v>
      </c>
      <c r="FJ205" s="49" t="s">
        <v>303</v>
      </c>
      <c r="FL205" s="49" t="s">
        <v>325</v>
      </c>
      <c r="FM205" s="49" t="s">
        <v>923</v>
      </c>
      <c r="FP205" s="49" t="s">
        <v>303</v>
      </c>
      <c r="FR205" s="49" t="s">
        <v>303</v>
      </c>
      <c r="FT205" s="49" t="s">
        <v>325</v>
      </c>
      <c r="FU205" s="49" t="s">
        <v>325</v>
      </c>
      <c r="FW205" s="49" t="s">
        <v>333</v>
      </c>
      <c r="FX205" s="49" t="s">
        <v>499</v>
      </c>
    </row>
    <row r="206" customFormat="false" ht="15" hidden="false" customHeight="false" outlineLevel="0" collapsed="false">
      <c r="A206" s="0" t="n">
        <v>100879439</v>
      </c>
      <c r="B206" s="0" t="s">
        <v>295</v>
      </c>
      <c r="C206" s="0" t="s">
        <v>79</v>
      </c>
      <c r="D206" s="0" t="s">
        <v>506</v>
      </c>
      <c r="E206" s="0" t="s">
        <v>297</v>
      </c>
      <c r="G206" s="0" t="n">
        <v>1</v>
      </c>
      <c r="H206" s="0" t="s">
        <v>298</v>
      </c>
      <c r="I206" s="48" t="n">
        <v>46294</v>
      </c>
      <c r="J206" s="0" t="n">
        <v>0</v>
      </c>
      <c r="K206" s="49" t="s">
        <v>923</v>
      </c>
      <c r="L206" s="49" t="s">
        <v>335</v>
      </c>
      <c r="M206" s="48" t="n">
        <v>46294</v>
      </c>
      <c r="N206" s="49" t="s">
        <v>335</v>
      </c>
      <c r="O206" s="49" t="s">
        <v>445</v>
      </c>
      <c r="P206" s="48"/>
      <c r="Q206" s="48" t="n">
        <v>46294</v>
      </c>
      <c r="R206" s="48" t="n">
        <v>46301</v>
      </c>
      <c r="T206" s="49" t="s">
        <v>302</v>
      </c>
      <c r="U206" s="49" t="s">
        <v>303</v>
      </c>
      <c r="Y206" s="49" t="s">
        <v>932</v>
      </c>
      <c r="AD206" s="49" t="s">
        <v>305</v>
      </c>
      <c r="AE206" s="48" t="n">
        <v>46260</v>
      </c>
      <c r="AF206" s="49" t="s">
        <v>306</v>
      </c>
      <c r="AG206" s="49" t="s">
        <v>307</v>
      </c>
      <c r="AK206" s="49" t="s">
        <v>303</v>
      </c>
      <c r="AL206" s="49" t="s">
        <v>297</v>
      </c>
      <c r="AO206" s="49" t="s">
        <v>303</v>
      </c>
      <c r="AP206" s="48"/>
      <c r="AR206" s="49" t="s">
        <v>303</v>
      </c>
      <c r="AS206" s="49" t="s">
        <v>306</v>
      </c>
      <c r="AT206" s="49" t="s">
        <v>933</v>
      </c>
      <c r="AV206" s="49" t="s">
        <v>309</v>
      </c>
      <c r="AW206" s="49" t="s">
        <v>310</v>
      </c>
      <c r="AX206" s="49" t="s">
        <v>311</v>
      </c>
      <c r="AY206" s="48"/>
      <c r="AZ206" s="48" t="n">
        <v>46290</v>
      </c>
      <c r="BC206" s="49" t="s">
        <v>303</v>
      </c>
      <c r="BD206" s="48"/>
      <c r="BE206" s="49" t="s">
        <v>312</v>
      </c>
      <c r="BF206" s="49" t="s">
        <v>303</v>
      </c>
      <c r="BG206" s="48"/>
      <c r="BI206" s="48"/>
      <c r="BJ206" s="48" t="n">
        <v>46299</v>
      </c>
      <c r="BK206" s="49" t="s">
        <v>312</v>
      </c>
      <c r="BL206" s="49" t="s">
        <v>313</v>
      </c>
      <c r="BM206" s="49" t="s">
        <v>310</v>
      </c>
      <c r="BN206" s="48"/>
      <c r="BO206" s="48"/>
      <c r="BP206" s="48"/>
      <c r="BQ206" s="49" t="s">
        <v>641</v>
      </c>
      <c r="BR206" s="48" t="n">
        <v>46299</v>
      </c>
      <c r="BS206" s="49" t="s">
        <v>934</v>
      </c>
      <c r="BT206" s="49" t="s">
        <v>312</v>
      </c>
      <c r="BU206" s="49" t="s">
        <v>313</v>
      </c>
      <c r="BV206" s="49" t="s">
        <v>303</v>
      </c>
      <c r="BX206" s="0" t="n">
        <v>0</v>
      </c>
      <c r="CC206" s="49" t="s">
        <v>315</v>
      </c>
      <c r="CD206" s="49" t="s">
        <v>303</v>
      </c>
      <c r="CF206" s="49" t="s">
        <v>303</v>
      </c>
      <c r="CG206" s="49" t="s">
        <v>316</v>
      </c>
      <c r="CH206" s="49" t="s">
        <v>317</v>
      </c>
      <c r="CI206" s="49" t="s">
        <v>318</v>
      </c>
      <c r="CM206" s="49" t="s">
        <v>506</v>
      </c>
      <c r="CV206" s="49" t="s">
        <v>303</v>
      </c>
      <c r="DB206" s="49" t="s">
        <v>319</v>
      </c>
      <c r="DD206" s="48" t="n">
        <v>46260</v>
      </c>
      <c r="DF206" s="49" t="s">
        <v>310</v>
      </c>
      <c r="DG206" s="49" t="s">
        <v>320</v>
      </c>
      <c r="DH206" s="49" t="s">
        <v>79</v>
      </c>
      <c r="DI206" s="49" t="s">
        <v>298</v>
      </c>
      <c r="DJ206" s="49" t="s">
        <v>495</v>
      </c>
      <c r="DK206" s="49" t="s">
        <v>322</v>
      </c>
      <c r="DL206" s="49" t="s">
        <v>323</v>
      </c>
      <c r="DM206" s="49" t="s">
        <v>303</v>
      </c>
      <c r="DN206" s="49" t="s">
        <v>297</v>
      </c>
      <c r="DO206" s="48"/>
      <c r="DP206" s="49" t="s">
        <v>312</v>
      </c>
      <c r="DQ206" s="48"/>
      <c r="DR206" s="49" t="s">
        <v>312</v>
      </c>
      <c r="DS206" s="49" t="s">
        <v>303</v>
      </c>
      <c r="DT206" s="49" t="s">
        <v>303</v>
      </c>
      <c r="DW206" s="49" t="s">
        <v>303</v>
      </c>
      <c r="EA206" s="49" t="s">
        <v>324</v>
      </c>
      <c r="EB206" s="49" t="s">
        <v>303</v>
      </c>
      <c r="EH206" s="49" t="s">
        <v>310</v>
      </c>
      <c r="EJ206" s="49" t="s">
        <v>303</v>
      </c>
      <c r="EK206" s="49" t="s">
        <v>935</v>
      </c>
      <c r="EM206" s="49" t="s">
        <v>303</v>
      </c>
      <c r="EN206" s="49" t="s">
        <v>510</v>
      </c>
      <c r="EP206" s="49" t="s">
        <v>298</v>
      </c>
      <c r="EQ206" s="0" t="n">
        <v>1</v>
      </c>
      <c r="ER206" s="49" t="s">
        <v>328</v>
      </c>
      <c r="ES206" s="49" t="s">
        <v>329</v>
      </c>
      <c r="ET206" s="49" t="s">
        <v>310</v>
      </c>
      <c r="EU206" s="49" t="s">
        <v>310</v>
      </c>
      <c r="EV206" s="49" t="s">
        <v>310</v>
      </c>
      <c r="EX206" s="49" t="s">
        <v>303</v>
      </c>
      <c r="EY206" s="49" t="s">
        <v>303</v>
      </c>
      <c r="FC206" s="49" t="s">
        <v>330</v>
      </c>
      <c r="FD206" s="49" t="s">
        <v>310</v>
      </c>
      <c r="FE206" s="49" t="s">
        <v>310</v>
      </c>
      <c r="FF206" s="49" t="s">
        <v>79</v>
      </c>
      <c r="FG206" s="49" t="s">
        <v>511</v>
      </c>
      <c r="FH206" s="49" t="s">
        <v>310</v>
      </c>
      <c r="FI206" s="49" t="s">
        <v>332</v>
      </c>
      <c r="FJ206" s="49" t="s">
        <v>303</v>
      </c>
      <c r="FL206" s="49" t="s">
        <v>325</v>
      </c>
      <c r="FM206" s="49" t="s">
        <v>923</v>
      </c>
      <c r="FP206" s="49" t="s">
        <v>303</v>
      </c>
      <c r="FR206" s="49" t="s">
        <v>303</v>
      </c>
      <c r="FT206" s="49" t="s">
        <v>325</v>
      </c>
      <c r="FU206" s="49" t="s">
        <v>325</v>
      </c>
      <c r="FW206" s="49" t="s">
        <v>333</v>
      </c>
      <c r="FX206" s="49" t="s">
        <v>499</v>
      </c>
    </row>
    <row r="207" customFormat="false" ht="15" hidden="false" customHeight="false" outlineLevel="0" collapsed="false">
      <c r="A207" s="0" t="n">
        <v>100879332</v>
      </c>
      <c r="B207" s="0" t="s">
        <v>295</v>
      </c>
      <c r="C207" s="0" t="s">
        <v>66</v>
      </c>
      <c r="D207" s="0" t="s">
        <v>296</v>
      </c>
      <c r="E207" s="0" t="s">
        <v>297</v>
      </c>
      <c r="G207" s="0" t="n">
        <v>1</v>
      </c>
      <c r="H207" s="0" t="s">
        <v>298</v>
      </c>
      <c r="I207" s="48" t="n">
        <v>46293</v>
      </c>
      <c r="J207" s="0" t="n">
        <v>0</v>
      </c>
      <c r="K207" s="49" t="s">
        <v>936</v>
      </c>
      <c r="L207" s="49" t="s">
        <v>335</v>
      </c>
      <c r="M207" s="48" t="n">
        <v>46293</v>
      </c>
      <c r="N207" s="49" t="s">
        <v>335</v>
      </c>
      <c r="O207" s="49" t="s">
        <v>937</v>
      </c>
      <c r="P207" s="48"/>
      <c r="Q207" s="48" t="n">
        <v>46293</v>
      </c>
      <c r="R207" s="48" t="n">
        <v>46300</v>
      </c>
      <c r="T207" s="49" t="s">
        <v>302</v>
      </c>
      <c r="U207" s="49" t="s">
        <v>303</v>
      </c>
      <c r="Y207" s="49" t="s">
        <v>938</v>
      </c>
      <c r="AD207" s="49" t="s">
        <v>305</v>
      </c>
      <c r="AE207" s="48" t="n">
        <v>46268</v>
      </c>
      <c r="AF207" s="49" t="s">
        <v>306</v>
      </c>
      <c r="AG207" s="49" t="s">
        <v>307</v>
      </c>
      <c r="AK207" s="49" t="s">
        <v>303</v>
      </c>
      <c r="AL207" s="49" t="s">
        <v>297</v>
      </c>
      <c r="AO207" s="49" t="s">
        <v>303</v>
      </c>
      <c r="AP207" s="48"/>
      <c r="AR207" s="49" t="s">
        <v>303</v>
      </c>
      <c r="AS207" s="49" t="s">
        <v>306</v>
      </c>
      <c r="AT207" s="49" t="s">
        <v>939</v>
      </c>
      <c r="AV207" s="49" t="s">
        <v>309</v>
      </c>
      <c r="AW207" s="49" t="s">
        <v>310</v>
      </c>
      <c r="AX207" s="49" t="s">
        <v>311</v>
      </c>
      <c r="AY207" s="48"/>
      <c r="AZ207" s="48" t="n">
        <v>46289</v>
      </c>
      <c r="BC207" s="49" t="s">
        <v>303</v>
      </c>
      <c r="BD207" s="48"/>
      <c r="BE207" s="49" t="s">
        <v>312</v>
      </c>
      <c r="BF207" s="49" t="s">
        <v>303</v>
      </c>
      <c r="BG207" s="48"/>
      <c r="BI207" s="48"/>
      <c r="BJ207" s="48" t="n">
        <v>46296</v>
      </c>
      <c r="BK207" s="49" t="s">
        <v>312</v>
      </c>
      <c r="BL207" s="49" t="s">
        <v>313</v>
      </c>
      <c r="BM207" s="49" t="s">
        <v>310</v>
      </c>
      <c r="BN207" s="48"/>
      <c r="BO207" s="48"/>
      <c r="BP207" s="48"/>
      <c r="BQ207" s="49" t="s">
        <v>936</v>
      </c>
      <c r="BR207" s="48" t="n">
        <v>46296</v>
      </c>
      <c r="BS207" s="49" t="s">
        <v>940</v>
      </c>
      <c r="BT207" s="49" t="s">
        <v>312</v>
      </c>
      <c r="BU207" s="49" t="s">
        <v>313</v>
      </c>
      <c r="BV207" s="49" t="s">
        <v>303</v>
      </c>
      <c r="BX207" s="0" t="n">
        <v>0</v>
      </c>
      <c r="CC207" s="49" t="s">
        <v>315</v>
      </c>
      <c r="CD207" s="49" t="s">
        <v>303</v>
      </c>
      <c r="CF207" s="49" t="s">
        <v>303</v>
      </c>
      <c r="CG207" s="49" t="s">
        <v>316</v>
      </c>
      <c r="CH207" s="49" t="s">
        <v>317</v>
      </c>
      <c r="CI207" s="49" t="s">
        <v>318</v>
      </c>
      <c r="CM207" s="49" t="s">
        <v>296</v>
      </c>
      <c r="CV207" s="49" t="s">
        <v>303</v>
      </c>
      <c r="DB207" s="49" t="s">
        <v>319</v>
      </c>
      <c r="DD207" s="48" t="n">
        <v>46268</v>
      </c>
      <c r="DF207" s="49" t="s">
        <v>310</v>
      </c>
      <c r="DG207" s="49" t="s">
        <v>320</v>
      </c>
      <c r="DH207" s="49" t="s">
        <v>66</v>
      </c>
      <c r="DI207" s="49" t="s">
        <v>298</v>
      </c>
      <c r="DJ207" s="49" t="s">
        <v>321</v>
      </c>
      <c r="DK207" s="49" t="s">
        <v>322</v>
      </c>
      <c r="DL207" s="49" t="s">
        <v>323</v>
      </c>
      <c r="DM207" s="49" t="s">
        <v>303</v>
      </c>
      <c r="DN207" s="49" t="s">
        <v>297</v>
      </c>
      <c r="DO207" s="48"/>
      <c r="DP207" s="49" t="s">
        <v>313</v>
      </c>
      <c r="DQ207" s="48"/>
      <c r="DR207" s="49" t="s">
        <v>312</v>
      </c>
      <c r="DS207" s="49" t="s">
        <v>303</v>
      </c>
      <c r="DT207" s="49" t="s">
        <v>303</v>
      </c>
      <c r="DW207" s="49" t="s">
        <v>303</v>
      </c>
      <c r="EA207" s="49" t="s">
        <v>324</v>
      </c>
      <c r="EB207" s="49" t="s">
        <v>303</v>
      </c>
      <c r="EH207" s="49" t="s">
        <v>325</v>
      </c>
      <c r="EJ207" s="49" t="s">
        <v>303</v>
      </c>
      <c r="EK207" s="49" t="s">
        <v>941</v>
      </c>
      <c r="EM207" s="49" t="s">
        <v>303</v>
      </c>
      <c r="EN207" s="49" t="s">
        <v>327</v>
      </c>
      <c r="EP207" s="49" t="s">
        <v>298</v>
      </c>
      <c r="EQ207" s="0" t="n">
        <v>1</v>
      </c>
      <c r="ER207" s="49" t="s">
        <v>328</v>
      </c>
      <c r="ES207" s="49" t="s">
        <v>329</v>
      </c>
      <c r="ET207" s="49" t="s">
        <v>310</v>
      </c>
      <c r="EU207" s="49" t="s">
        <v>310</v>
      </c>
      <c r="EV207" s="49" t="s">
        <v>310</v>
      </c>
      <c r="EX207" s="49" t="s">
        <v>303</v>
      </c>
      <c r="EY207" s="49" t="s">
        <v>303</v>
      </c>
      <c r="FC207" s="49" t="s">
        <v>330</v>
      </c>
      <c r="FD207" s="49" t="s">
        <v>310</v>
      </c>
      <c r="FE207" s="49" t="s">
        <v>310</v>
      </c>
      <c r="FF207" s="49" t="s">
        <v>66</v>
      </c>
      <c r="FG207" s="49" t="s">
        <v>331</v>
      </c>
      <c r="FH207" s="49" t="s">
        <v>310</v>
      </c>
      <c r="FI207" s="49" t="s">
        <v>332</v>
      </c>
      <c r="FJ207" s="49" t="s">
        <v>303</v>
      </c>
      <c r="FL207" s="49" t="s">
        <v>325</v>
      </c>
      <c r="FM207" s="49" t="s">
        <v>936</v>
      </c>
      <c r="FP207" s="49" t="s">
        <v>303</v>
      </c>
      <c r="FR207" s="49" t="s">
        <v>303</v>
      </c>
      <c r="FT207" s="49" t="s">
        <v>325</v>
      </c>
      <c r="FU207" s="49" t="s">
        <v>325</v>
      </c>
      <c r="FW207" s="49" t="s">
        <v>333</v>
      </c>
    </row>
    <row r="208" customFormat="false" ht="15" hidden="false" customHeight="false" outlineLevel="0" collapsed="false">
      <c r="A208" s="0" t="n">
        <v>100879333</v>
      </c>
      <c r="B208" s="0" t="s">
        <v>295</v>
      </c>
      <c r="C208" s="0" t="s">
        <v>66</v>
      </c>
      <c r="D208" s="0" t="s">
        <v>296</v>
      </c>
      <c r="E208" s="0" t="s">
        <v>297</v>
      </c>
      <c r="G208" s="0" t="n">
        <v>1</v>
      </c>
      <c r="H208" s="0" t="s">
        <v>298</v>
      </c>
      <c r="I208" s="48" t="n">
        <v>46293</v>
      </c>
      <c r="J208" s="0" t="n">
        <v>0</v>
      </c>
      <c r="K208" s="49" t="s">
        <v>936</v>
      </c>
      <c r="L208" s="49" t="s">
        <v>335</v>
      </c>
      <c r="M208" s="48"/>
      <c r="O208" s="49" t="s">
        <v>937</v>
      </c>
      <c r="P208" s="48"/>
      <c r="Q208" s="48" t="n">
        <v>46293</v>
      </c>
      <c r="R208" s="48" t="n">
        <v>46299</v>
      </c>
      <c r="T208" s="49" t="s">
        <v>302</v>
      </c>
      <c r="U208" s="49" t="s">
        <v>303</v>
      </c>
      <c r="Y208" s="49" t="s">
        <v>312</v>
      </c>
      <c r="AD208" s="49" t="s">
        <v>305</v>
      </c>
      <c r="AE208" s="48" t="n">
        <v>46268</v>
      </c>
      <c r="AF208" s="49" t="s">
        <v>306</v>
      </c>
      <c r="AG208" s="49" t="s">
        <v>307</v>
      </c>
      <c r="AK208" s="49" t="s">
        <v>303</v>
      </c>
      <c r="AL208" s="49" t="s">
        <v>297</v>
      </c>
      <c r="AO208" s="49" t="s">
        <v>303</v>
      </c>
      <c r="AP208" s="48"/>
      <c r="AR208" s="49" t="s">
        <v>303</v>
      </c>
      <c r="AS208" s="49" t="s">
        <v>306</v>
      </c>
      <c r="AT208" s="49" t="s">
        <v>942</v>
      </c>
      <c r="AV208" s="49" t="s">
        <v>309</v>
      </c>
      <c r="AW208" s="49" t="s">
        <v>310</v>
      </c>
      <c r="AX208" s="49" t="s">
        <v>311</v>
      </c>
      <c r="AY208" s="48"/>
      <c r="AZ208" s="48" t="n">
        <v>46289</v>
      </c>
      <c r="BC208" s="49" t="s">
        <v>303</v>
      </c>
      <c r="BD208" s="48"/>
      <c r="BE208" s="49" t="s">
        <v>312</v>
      </c>
      <c r="BF208" s="49" t="s">
        <v>303</v>
      </c>
      <c r="BG208" s="48"/>
      <c r="BI208" s="48"/>
      <c r="BJ208" s="48" t="n">
        <v>46296</v>
      </c>
      <c r="BK208" s="49" t="s">
        <v>313</v>
      </c>
      <c r="BL208" s="49" t="s">
        <v>313</v>
      </c>
      <c r="BM208" s="49" t="s">
        <v>310</v>
      </c>
      <c r="BN208" s="48"/>
      <c r="BO208" s="48"/>
      <c r="BP208" s="48"/>
      <c r="BQ208" s="49" t="s">
        <v>936</v>
      </c>
      <c r="BR208" s="48" t="n">
        <v>46296</v>
      </c>
      <c r="BS208" s="49" t="s">
        <v>943</v>
      </c>
      <c r="BT208" s="49" t="s">
        <v>312</v>
      </c>
      <c r="BU208" s="49" t="s">
        <v>313</v>
      </c>
      <c r="BV208" s="49" t="s">
        <v>303</v>
      </c>
      <c r="BX208" s="0" t="n">
        <v>0</v>
      </c>
      <c r="CC208" s="49" t="s">
        <v>315</v>
      </c>
      <c r="CD208" s="49" t="s">
        <v>303</v>
      </c>
      <c r="CF208" s="49" t="s">
        <v>303</v>
      </c>
      <c r="CG208" s="49" t="s">
        <v>316</v>
      </c>
      <c r="CH208" s="49" t="s">
        <v>317</v>
      </c>
      <c r="CI208" s="49" t="s">
        <v>318</v>
      </c>
      <c r="CM208" s="49" t="s">
        <v>296</v>
      </c>
      <c r="CV208" s="49" t="s">
        <v>303</v>
      </c>
      <c r="DB208" s="49" t="s">
        <v>319</v>
      </c>
      <c r="DD208" s="48" t="n">
        <v>46268</v>
      </c>
      <c r="DF208" s="49" t="s">
        <v>310</v>
      </c>
      <c r="DG208" s="49" t="s">
        <v>320</v>
      </c>
      <c r="DH208" s="49" t="s">
        <v>66</v>
      </c>
      <c r="DI208" s="49" t="s">
        <v>298</v>
      </c>
      <c r="DJ208" s="49" t="s">
        <v>321</v>
      </c>
      <c r="DK208" s="49" t="s">
        <v>322</v>
      </c>
      <c r="DL208" s="49" t="s">
        <v>323</v>
      </c>
      <c r="DM208" s="49" t="s">
        <v>303</v>
      </c>
      <c r="DN208" s="49" t="s">
        <v>297</v>
      </c>
      <c r="DO208" s="48"/>
      <c r="DP208" s="49" t="s">
        <v>313</v>
      </c>
      <c r="DQ208" s="48"/>
      <c r="DR208" s="49" t="s">
        <v>312</v>
      </c>
      <c r="DS208" s="49" t="s">
        <v>303</v>
      </c>
      <c r="DT208" s="49" t="s">
        <v>303</v>
      </c>
      <c r="DW208" s="49" t="s">
        <v>303</v>
      </c>
      <c r="EA208" s="49" t="s">
        <v>324</v>
      </c>
      <c r="EB208" s="49" t="s">
        <v>303</v>
      </c>
      <c r="EF208" s="49" t="s">
        <v>944</v>
      </c>
      <c r="EH208" s="49" t="s">
        <v>325</v>
      </c>
      <c r="EJ208" s="49" t="s">
        <v>303</v>
      </c>
      <c r="EK208" s="49" t="s">
        <v>945</v>
      </c>
      <c r="EM208" s="49" t="s">
        <v>303</v>
      </c>
      <c r="EN208" s="49" t="s">
        <v>327</v>
      </c>
      <c r="EP208" s="49" t="s">
        <v>298</v>
      </c>
      <c r="EQ208" s="0" t="n">
        <v>1</v>
      </c>
      <c r="ER208" s="49" t="s">
        <v>328</v>
      </c>
      <c r="ES208" s="49" t="s">
        <v>329</v>
      </c>
      <c r="ET208" s="49" t="s">
        <v>310</v>
      </c>
      <c r="EU208" s="49" t="s">
        <v>310</v>
      </c>
      <c r="EV208" s="49" t="s">
        <v>310</v>
      </c>
      <c r="EX208" s="49" t="s">
        <v>303</v>
      </c>
      <c r="EY208" s="49" t="s">
        <v>303</v>
      </c>
      <c r="FC208" s="49" t="s">
        <v>330</v>
      </c>
      <c r="FD208" s="49" t="s">
        <v>310</v>
      </c>
      <c r="FE208" s="49" t="s">
        <v>310</v>
      </c>
      <c r="FF208" s="49" t="s">
        <v>66</v>
      </c>
      <c r="FG208" s="49" t="s">
        <v>331</v>
      </c>
      <c r="FH208" s="49" t="s">
        <v>310</v>
      </c>
      <c r="FI208" s="49" t="s">
        <v>332</v>
      </c>
      <c r="FJ208" s="49" t="s">
        <v>303</v>
      </c>
      <c r="FL208" s="49" t="s">
        <v>325</v>
      </c>
      <c r="FM208" s="49" t="s">
        <v>936</v>
      </c>
      <c r="FP208" s="49" t="s">
        <v>303</v>
      </c>
      <c r="FR208" s="49" t="s">
        <v>303</v>
      </c>
      <c r="FT208" s="49" t="s">
        <v>325</v>
      </c>
      <c r="FU208" s="49" t="s">
        <v>325</v>
      </c>
      <c r="FW208" s="49" t="s">
        <v>333</v>
      </c>
    </row>
    <row r="209" customFormat="false" ht="15" hidden="false" customHeight="false" outlineLevel="0" collapsed="false">
      <c r="A209" s="0" t="n">
        <v>100879334</v>
      </c>
      <c r="B209" s="0" t="s">
        <v>295</v>
      </c>
      <c r="C209" s="0" t="s">
        <v>66</v>
      </c>
      <c r="D209" s="0" t="s">
        <v>296</v>
      </c>
      <c r="E209" s="0" t="s">
        <v>297</v>
      </c>
      <c r="G209" s="0" t="n">
        <v>1</v>
      </c>
      <c r="H209" s="0" t="s">
        <v>298</v>
      </c>
      <c r="I209" s="48" t="n">
        <v>46293</v>
      </c>
      <c r="J209" s="0" t="n">
        <v>0</v>
      </c>
      <c r="K209" s="49" t="s">
        <v>936</v>
      </c>
      <c r="L209" s="49" t="s">
        <v>335</v>
      </c>
      <c r="M209" s="48"/>
      <c r="O209" s="49" t="s">
        <v>937</v>
      </c>
      <c r="P209" s="48"/>
      <c r="Q209" s="48" t="n">
        <v>46293</v>
      </c>
      <c r="R209" s="48" t="n">
        <v>46299</v>
      </c>
      <c r="T209" s="49" t="s">
        <v>302</v>
      </c>
      <c r="U209" s="49" t="s">
        <v>303</v>
      </c>
      <c r="Y209" s="49" t="s">
        <v>312</v>
      </c>
      <c r="AD209" s="49" t="s">
        <v>305</v>
      </c>
      <c r="AE209" s="48" t="n">
        <v>46268</v>
      </c>
      <c r="AF209" s="49" t="s">
        <v>306</v>
      </c>
      <c r="AG209" s="49" t="s">
        <v>307</v>
      </c>
      <c r="AK209" s="49" t="s">
        <v>303</v>
      </c>
      <c r="AL209" s="49" t="s">
        <v>297</v>
      </c>
      <c r="AO209" s="49" t="s">
        <v>303</v>
      </c>
      <c r="AP209" s="48"/>
      <c r="AR209" s="49" t="s">
        <v>303</v>
      </c>
      <c r="AS209" s="49" t="s">
        <v>306</v>
      </c>
      <c r="AT209" s="49" t="s">
        <v>946</v>
      </c>
      <c r="AV209" s="49" t="s">
        <v>309</v>
      </c>
      <c r="AW209" s="49" t="s">
        <v>310</v>
      </c>
      <c r="AX209" s="49" t="s">
        <v>311</v>
      </c>
      <c r="AY209" s="48"/>
      <c r="AZ209" s="48" t="n">
        <v>46289</v>
      </c>
      <c r="BC209" s="49" t="s">
        <v>303</v>
      </c>
      <c r="BD209" s="48"/>
      <c r="BE209" s="49" t="s">
        <v>312</v>
      </c>
      <c r="BF209" s="49" t="s">
        <v>303</v>
      </c>
      <c r="BG209" s="48"/>
      <c r="BI209" s="48"/>
      <c r="BJ209" s="48" t="n">
        <v>46296</v>
      </c>
      <c r="BK209" s="49" t="s">
        <v>313</v>
      </c>
      <c r="BL209" s="49" t="s">
        <v>313</v>
      </c>
      <c r="BM209" s="49" t="s">
        <v>310</v>
      </c>
      <c r="BN209" s="48"/>
      <c r="BO209" s="48"/>
      <c r="BP209" s="48"/>
      <c r="BQ209" s="49" t="s">
        <v>936</v>
      </c>
      <c r="BR209" s="48" t="n">
        <v>46296</v>
      </c>
      <c r="BS209" s="49" t="s">
        <v>943</v>
      </c>
      <c r="BT209" s="49" t="s">
        <v>312</v>
      </c>
      <c r="BU209" s="49" t="s">
        <v>313</v>
      </c>
      <c r="BV209" s="49" t="s">
        <v>303</v>
      </c>
      <c r="BX209" s="0" t="n">
        <v>0</v>
      </c>
      <c r="CC209" s="49" t="s">
        <v>315</v>
      </c>
      <c r="CD209" s="49" t="s">
        <v>303</v>
      </c>
      <c r="CF209" s="49" t="s">
        <v>303</v>
      </c>
      <c r="CG209" s="49" t="s">
        <v>316</v>
      </c>
      <c r="CH209" s="49" t="s">
        <v>317</v>
      </c>
      <c r="CI209" s="49" t="s">
        <v>318</v>
      </c>
      <c r="CM209" s="49" t="s">
        <v>296</v>
      </c>
      <c r="CV209" s="49" t="s">
        <v>303</v>
      </c>
      <c r="DB209" s="49" t="s">
        <v>319</v>
      </c>
      <c r="DD209" s="48" t="n">
        <v>46268</v>
      </c>
      <c r="DF209" s="49" t="s">
        <v>310</v>
      </c>
      <c r="DG209" s="49" t="s">
        <v>320</v>
      </c>
      <c r="DH209" s="49" t="s">
        <v>66</v>
      </c>
      <c r="DI209" s="49" t="s">
        <v>298</v>
      </c>
      <c r="DJ209" s="49" t="s">
        <v>321</v>
      </c>
      <c r="DK209" s="49" t="s">
        <v>322</v>
      </c>
      <c r="DL209" s="49" t="s">
        <v>323</v>
      </c>
      <c r="DM209" s="49" t="s">
        <v>303</v>
      </c>
      <c r="DN209" s="49" t="s">
        <v>297</v>
      </c>
      <c r="DO209" s="48"/>
      <c r="DP209" s="49" t="s">
        <v>313</v>
      </c>
      <c r="DQ209" s="48"/>
      <c r="DR209" s="49" t="s">
        <v>312</v>
      </c>
      <c r="DS209" s="49" t="s">
        <v>303</v>
      </c>
      <c r="DT209" s="49" t="s">
        <v>303</v>
      </c>
      <c r="DW209" s="49" t="s">
        <v>303</v>
      </c>
      <c r="EA209" s="49" t="s">
        <v>324</v>
      </c>
      <c r="EB209" s="49" t="s">
        <v>303</v>
      </c>
      <c r="EF209" s="49" t="s">
        <v>944</v>
      </c>
      <c r="EH209" s="49" t="s">
        <v>325</v>
      </c>
      <c r="EJ209" s="49" t="s">
        <v>303</v>
      </c>
      <c r="EK209" s="49" t="s">
        <v>947</v>
      </c>
      <c r="EM209" s="49" t="s">
        <v>303</v>
      </c>
      <c r="EN209" s="49" t="s">
        <v>327</v>
      </c>
      <c r="EP209" s="49" t="s">
        <v>298</v>
      </c>
      <c r="EQ209" s="0" t="n">
        <v>1</v>
      </c>
      <c r="ER209" s="49" t="s">
        <v>328</v>
      </c>
      <c r="ES209" s="49" t="s">
        <v>329</v>
      </c>
      <c r="ET209" s="49" t="s">
        <v>310</v>
      </c>
      <c r="EU209" s="49" t="s">
        <v>310</v>
      </c>
      <c r="EV209" s="49" t="s">
        <v>310</v>
      </c>
      <c r="EX209" s="49" t="s">
        <v>303</v>
      </c>
      <c r="EY209" s="49" t="s">
        <v>303</v>
      </c>
      <c r="FC209" s="49" t="s">
        <v>330</v>
      </c>
      <c r="FD209" s="49" t="s">
        <v>310</v>
      </c>
      <c r="FE209" s="49" t="s">
        <v>310</v>
      </c>
      <c r="FF209" s="49" t="s">
        <v>66</v>
      </c>
      <c r="FG209" s="49" t="s">
        <v>331</v>
      </c>
      <c r="FH209" s="49" t="s">
        <v>310</v>
      </c>
      <c r="FI209" s="49" t="s">
        <v>332</v>
      </c>
      <c r="FJ209" s="49" t="s">
        <v>303</v>
      </c>
      <c r="FL209" s="49" t="s">
        <v>325</v>
      </c>
      <c r="FM209" s="49" t="s">
        <v>936</v>
      </c>
      <c r="FP209" s="49" t="s">
        <v>303</v>
      </c>
      <c r="FR209" s="49" t="s">
        <v>303</v>
      </c>
      <c r="FT209" s="49" t="s">
        <v>325</v>
      </c>
      <c r="FU209" s="49" t="s">
        <v>325</v>
      </c>
      <c r="FW209" s="49" t="s">
        <v>333</v>
      </c>
    </row>
    <row r="210" customFormat="false" ht="15" hidden="false" customHeight="false" outlineLevel="0" collapsed="false">
      <c r="A210" s="0" t="n">
        <v>100879335</v>
      </c>
      <c r="B210" s="0" t="s">
        <v>295</v>
      </c>
      <c r="C210" s="0" t="s">
        <v>68</v>
      </c>
      <c r="D210" s="0" t="s">
        <v>456</v>
      </c>
      <c r="E210" s="0" t="s">
        <v>297</v>
      </c>
      <c r="G210" s="0" t="n">
        <v>1</v>
      </c>
      <c r="H210" s="0" t="s">
        <v>298</v>
      </c>
      <c r="I210" s="48" t="n">
        <v>46293</v>
      </c>
      <c r="J210" s="0" t="n">
        <v>0</v>
      </c>
      <c r="K210" s="49" t="s">
        <v>936</v>
      </c>
      <c r="L210" s="49" t="s">
        <v>335</v>
      </c>
      <c r="M210" s="48" t="n">
        <v>46293</v>
      </c>
      <c r="N210" s="49" t="s">
        <v>335</v>
      </c>
      <c r="O210" s="49" t="s">
        <v>937</v>
      </c>
      <c r="P210" s="48"/>
      <c r="Q210" s="48" t="n">
        <v>46293</v>
      </c>
      <c r="R210" s="48" t="n">
        <v>46300</v>
      </c>
      <c r="T210" s="49" t="s">
        <v>302</v>
      </c>
      <c r="U210" s="49" t="s">
        <v>303</v>
      </c>
      <c r="Y210" s="49" t="s">
        <v>948</v>
      </c>
      <c r="AD210" s="49" t="s">
        <v>305</v>
      </c>
      <c r="AE210" s="48" t="n">
        <v>46268</v>
      </c>
      <c r="AF210" s="49" t="s">
        <v>306</v>
      </c>
      <c r="AG210" s="49" t="s">
        <v>307</v>
      </c>
      <c r="AK210" s="49" t="s">
        <v>303</v>
      </c>
      <c r="AL210" s="49" t="s">
        <v>297</v>
      </c>
      <c r="AO210" s="49" t="s">
        <v>303</v>
      </c>
      <c r="AP210" s="48"/>
      <c r="AR210" s="49" t="s">
        <v>303</v>
      </c>
      <c r="AS210" s="49" t="s">
        <v>306</v>
      </c>
      <c r="AT210" s="49" t="s">
        <v>949</v>
      </c>
      <c r="AV210" s="49" t="s">
        <v>309</v>
      </c>
      <c r="AW210" s="49" t="s">
        <v>310</v>
      </c>
      <c r="AX210" s="49" t="s">
        <v>311</v>
      </c>
      <c r="AY210" s="48"/>
      <c r="AZ210" s="48" t="n">
        <v>46289</v>
      </c>
      <c r="BC210" s="49" t="s">
        <v>303</v>
      </c>
      <c r="BD210" s="48"/>
      <c r="BE210" s="49" t="s">
        <v>312</v>
      </c>
      <c r="BF210" s="49" t="s">
        <v>303</v>
      </c>
      <c r="BG210" s="48"/>
      <c r="BI210" s="48"/>
      <c r="BJ210" s="48" t="n">
        <v>46296</v>
      </c>
      <c r="BK210" s="49" t="s">
        <v>312</v>
      </c>
      <c r="BL210" s="49" t="s">
        <v>313</v>
      </c>
      <c r="BM210" s="49" t="s">
        <v>310</v>
      </c>
      <c r="BN210" s="48"/>
      <c r="BO210" s="48"/>
      <c r="BP210" s="48"/>
      <c r="BQ210" s="49" t="s">
        <v>936</v>
      </c>
      <c r="BR210" s="48" t="n">
        <v>46296</v>
      </c>
      <c r="BS210" s="49" t="s">
        <v>943</v>
      </c>
      <c r="BT210" s="49" t="s">
        <v>312</v>
      </c>
      <c r="BU210" s="49" t="s">
        <v>313</v>
      </c>
      <c r="BV210" s="49" t="s">
        <v>303</v>
      </c>
      <c r="BX210" s="0" t="n">
        <v>0</v>
      </c>
      <c r="CC210" s="49" t="s">
        <v>315</v>
      </c>
      <c r="CD210" s="49" t="s">
        <v>303</v>
      </c>
      <c r="CF210" s="49" t="s">
        <v>303</v>
      </c>
      <c r="CG210" s="49" t="s">
        <v>316</v>
      </c>
      <c r="CH210" s="49" t="s">
        <v>317</v>
      </c>
      <c r="CI210" s="49" t="s">
        <v>318</v>
      </c>
      <c r="CM210" s="49" t="s">
        <v>456</v>
      </c>
      <c r="CV210" s="49" t="s">
        <v>303</v>
      </c>
      <c r="DB210" s="49" t="s">
        <v>319</v>
      </c>
      <c r="DD210" s="48" t="n">
        <v>46268</v>
      </c>
      <c r="DF210" s="49" t="s">
        <v>310</v>
      </c>
      <c r="DG210" s="49" t="s">
        <v>320</v>
      </c>
      <c r="DH210" s="49" t="s">
        <v>68</v>
      </c>
      <c r="DI210" s="49" t="s">
        <v>298</v>
      </c>
      <c r="DJ210" s="49" t="s">
        <v>321</v>
      </c>
      <c r="DK210" s="49" t="s">
        <v>322</v>
      </c>
      <c r="DL210" s="49" t="s">
        <v>323</v>
      </c>
      <c r="DM210" s="49" t="s">
        <v>303</v>
      </c>
      <c r="DN210" s="49" t="s">
        <v>297</v>
      </c>
      <c r="DO210" s="48"/>
      <c r="DP210" s="49" t="s">
        <v>313</v>
      </c>
      <c r="DQ210" s="48"/>
      <c r="DR210" s="49" t="s">
        <v>312</v>
      </c>
      <c r="DS210" s="49" t="s">
        <v>303</v>
      </c>
      <c r="DT210" s="49" t="s">
        <v>303</v>
      </c>
      <c r="DW210" s="49" t="s">
        <v>303</v>
      </c>
      <c r="EA210" s="49" t="s">
        <v>324</v>
      </c>
      <c r="EB210" s="49" t="s">
        <v>303</v>
      </c>
      <c r="EH210" s="49" t="s">
        <v>325</v>
      </c>
      <c r="EJ210" s="49" t="s">
        <v>303</v>
      </c>
      <c r="EK210" s="49" t="s">
        <v>950</v>
      </c>
      <c r="EM210" s="49" t="s">
        <v>303</v>
      </c>
      <c r="EN210" s="49" t="s">
        <v>460</v>
      </c>
      <c r="EP210" s="49" t="s">
        <v>298</v>
      </c>
      <c r="EQ210" s="0" t="n">
        <v>1</v>
      </c>
      <c r="ER210" s="49" t="s">
        <v>328</v>
      </c>
      <c r="ES210" s="49" t="s">
        <v>329</v>
      </c>
      <c r="ET210" s="49" t="s">
        <v>310</v>
      </c>
      <c r="EU210" s="49" t="s">
        <v>310</v>
      </c>
      <c r="EV210" s="49" t="s">
        <v>310</v>
      </c>
      <c r="EX210" s="49" t="s">
        <v>303</v>
      </c>
      <c r="EY210" s="49" t="s">
        <v>303</v>
      </c>
      <c r="FC210" s="49" t="s">
        <v>330</v>
      </c>
      <c r="FD210" s="49" t="s">
        <v>310</v>
      </c>
      <c r="FE210" s="49" t="s">
        <v>310</v>
      </c>
      <c r="FF210" s="49" t="s">
        <v>68</v>
      </c>
      <c r="FG210" s="49" t="s">
        <v>461</v>
      </c>
      <c r="FH210" s="49" t="s">
        <v>310</v>
      </c>
      <c r="FI210" s="49" t="s">
        <v>332</v>
      </c>
      <c r="FJ210" s="49" t="s">
        <v>303</v>
      </c>
      <c r="FL210" s="49" t="s">
        <v>325</v>
      </c>
      <c r="FM210" s="49" t="s">
        <v>936</v>
      </c>
      <c r="FP210" s="49" t="s">
        <v>303</v>
      </c>
      <c r="FR210" s="49" t="s">
        <v>303</v>
      </c>
      <c r="FT210" s="49" t="s">
        <v>325</v>
      </c>
      <c r="FU210" s="49" t="s">
        <v>325</v>
      </c>
      <c r="FW210" s="49" t="s">
        <v>333</v>
      </c>
    </row>
    <row r="211" customFormat="false" ht="15" hidden="false" customHeight="false" outlineLevel="0" collapsed="false">
      <c r="A211" s="0" t="n">
        <v>100879336</v>
      </c>
      <c r="B211" s="0" t="s">
        <v>295</v>
      </c>
      <c r="C211" s="0" t="s">
        <v>68</v>
      </c>
      <c r="D211" s="0" t="s">
        <v>456</v>
      </c>
      <c r="E211" s="0" t="s">
        <v>297</v>
      </c>
      <c r="G211" s="0" t="n">
        <v>1</v>
      </c>
      <c r="H211" s="0" t="s">
        <v>298</v>
      </c>
      <c r="I211" s="48" t="n">
        <v>46293</v>
      </c>
      <c r="J211" s="0" t="n">
        <v>0</v>
      </c>
      <c r="K211" s="49" t="s">
        <v>936</v>
      </c>
      <c r="L211" s="49" t="s">
        <v>335</v>
      </c>
      <c r="M211" s="48"/>
      <c r="O211" s="49" t="s">
        <v>937</v>
      </c>
      <c r="P211" s="48"/>
      <c r="Q211" s="48" t="n">
        <v>46293</v>
      </c>
      <c r="R211" s="48" t="n">
        <v>46299</v>
      </c>
      <c r="T211" s="49" t="s">
        <v>302</v>
      </c>
      <c r="U211" s="49" t="s">
        <v>303</v>
      </c>
      <c r="Y211" s="49" t="s">
        <v>312</v>
      </c>
      <c r="AD211" s="49" t="s">
        <v>305</v>
      </c>
      <c r="AE211" s="48" t="n">
        <v>46268</v>
      </c>
      <c r="AF211" s="49" t="s">
        <v>306</v>
      </c>
      <c r="AG211" s="49" t="s">
        <v>307</v>
      </c>
      <c r="AK211" s="49" t="s">
        <v>303</v>
      </c>
      <c r="AL211" s="49" t="s">
        <v>297</v>
      </c>
      <c r="AO211" s="49" t="s">
        <v>303</v>
      </c>
      <c r="AP211" s="48"/>
      <c r="AR211" s="49" t="s">
        <v>303</v>
      </c>
      <c r="AS211" s="49" t="s">
        <v>306</v>
      </c>
      <c r="AT211" s="49" t="s">
        <v>951</v>
      </c>
      <c r="AV211" s="49" t="s">
        <v>309</v>
      </c>
      <c r="AW211" s="49" t="s">
        <v>310</v>
      </c>
      <c r="AX211" s="49" t="s">
        <v>311</v>
      </c>
      <c r="AY211" s="48"/>
      <c r="AZ211" s="48" t="n">
        <v>46289</v>
      </c>
      <c r="BC211" s="49" t="s">
        <v>303</v>
      </c>
      <c r="BD211" s="48"/>
      <c r="BE211" s="49" t="s">
        <v>312</v>
      </c>
      <c r="BF211" s="49" t="s">
        <v>303</v>
      </c>
      <c r="BG211" s="48"/>
      <c r="BI211" s="48"/>
      <c r="BJ211" s="48" t="n">
        <v>46296</v>
      </c>
      <c r="BK211" s="49" t="s">
        <v>313</v>
      </c>
      <c r="BL211" s="49" t="s">
        <v>313</v>
      </c>
      <c r="BM211" s="49" t="s">
        <v>310</v>
      </c>
      <c r="BN211" s="48"/>
      <c r="BO211" s="48"/>
      <c r="BP211" s="48"/>
      <c r="BQ211" s="49" t="s">
        <v>936</v>
      </c>
      <c r="BR211" s="48" t="n">
        <v>46296</v>
      </c>
      <c r="BS211" s="49" t="s">
        <v>952</v>
      </c>
      <c r="BT211" s="49" t="s">
        <v>312</v>
      </c>
      <c r="BU211" s="49" t="s">
        <v>313</v>
      </c>
      <c r="BV211" s="49" t="s">
        <v>303</v>
      </c>
      <c r="BX211" s="0" t="n">
        <v>0</v>
      </c>
      <c r="CC211" s="49" t="s">
        <v>315</v>
      </c>
      <c r="CD211" s="49" t="s">
        <v>303</v>
      </c>
      <c r="CF211" s="49" t="s">
        <v>303</v>
      </c>
      <c r="CG211" s="49" t="s">
        <v>316</v>
      </c>
      <c r="CH211" s="49" t="s">
        <v>317</v>
      </c>
      <c r="CI211" s="49" t="s">
        <v>318</v>
      </c>
      <c r="CM211" s="49" t="s">
        <v>456</v>
      </c>
      <c r="CV211" s="49" t="s">
        <v>303</v>
      </c>
      <c r="DB211" s="49" t="s">
        <v>319</v>
      </c>
      <c r="DD211" s="48" t="n">
        <v>46268</v>
      </c>
      <c r="DF211" s="49" t="s">
        <v>310</v>
      </c>
      <c r="DG211" s="49" t="s">
        <v>320</v>
      </c>
      <c r="DH211" s="49" t="s">
        <v>68</v>
      </c>
      <c r="DI211" s="49" t="s">
        <v>298</v>
      </c>
      <c r="DJ211" s="49" t="s">
        <v>321</v>
      </c>
      <c r="DK211" s="49" t="s">
        <v>322</v>
      </c>
      <c r="DL211" s="49" t="s">
        <v>323</v>
      </c>
      <c r="DM211" s="49" t="s">
        <v>303</v>
      </c>
      <c r="DN211" s="49" t="s">
        <v>297</v>
      </c>
      <c r="DO211" s="48"/>
      <c r="DP211" s="49" t="s">
        <v>313</v>
      </c>
      <c r="DQ211" s="48"/>
      <c r="DR211" s="49" t="s">
        <v>312</v>
      </c>
      <c r="DS211" s="49" t="s">
        <v>303</v>
      </c>
      <c r="DT211" s="49" t="s">
        <v>303</v>
      </c>
      <c r="DW211" s="49" t="s">
        <v>303</v>
      </c>
      <c r="EA211" s="49" t="s">
        <v>324</v>
      </c>
      <c r="EB211" s="49" t="s">
        <v>303</v>
      </c>
      <c r="EF211" s="49" t="s">
        <v>953</v>
      </c>
      <c r="EH211" s="49" t="s">
        <v>325</v>
      </c>
      <c r="EJ211" s="49" t="s">
        <v>303</v>
      </c>
      <c r="EK211" s="49" t="s">
        <v>954</v>
      </c>
      <c r="EM211" s="49" t="s">
        <v>303</v>
      </c>
      <c r="EN211" s="49" t="s">
        <v>460</v>
      </c>
      <c r="EP211" s="49" t="s">
        <v>298</v>
      </c>
      <c r="EQ211" s="0" t="n">
        <v>1</v>
      </c>
      <c r="ER211" s="49" t="s">
        <v>328</v>
      </c>
      <c r="ES211" s="49" t="s">
        <v>329</v>
      </c>
      <c r="ET211" s="49" t="s">
        <v>310</v>
      </c>
      <c r="EU211" s="49" t="s">
        <v>310</v>
      </c>
      <c r="EV211" s="49" t="s">
        <v>310</v>
      </c>
      <c r="EX211" s="49" t="s">
        <v>303</v>
      </c>
      <c r="EY211" s="49" t="s">
        <v>303</v>
      </c>
      <c r="FC211" s="49" t="s">
        <v>330</v>
      </c>
      <c r="FD211" s="49" t="s">
        <v>310</v>
      </c>
      <c r="FE211" s="49" t="s">
        <v>310</v>
      </c>
      <c r="FF211" s="49" t="s">
        <v>68</v>
      </c>
      <c r="FG211" s="49" t="s">
        <v>461</v>
      </c>
      <c r="FH211" s="49" t="s">
        <v>310</v>
      </c>
      <c r="FI211" s="49" t="s">
        <v>332</v>
      </c>
      <c r="FJ211" s="49" t="s">
        <v>303</v>
      </c>
      <c r="FL211" s="49" t="s">
        <v>325</v>
      </c>
      <c r="FM211" s="49" t="s">
        <v>936</v>
      </c>
      <c r="FP211" s="49" t="s">
        <v>303</v>
      </c>
      <c r="FR211" s="49" t="s">
        <v>303</v>
      </c>
      <c r="FT211" s="49" t="s">
        <v>325</v>
      </c>
      <c r="FU211" s="49" t="s">
        <v>325</v>
      </c>
      <c r="FW211" s="49" t="s">
        <v>333</v>
      </c>
    </row>
    <row r="212" customFormat="false" ht="15" hidden="false" customHeight="false" outlineLevel="0" collapsed="false">
      <c r="A212" s="0" t="n">
        <v>100879337</v>
      </c>
      <c r="B212" s="0" t="s">
        <v>295</v>
      </c>
      <c r="C212" s="0" t="s">
        <v>68</v>
      </c>
      <c r="D212" s="0" t="s">
        <v>456</v>
      </c>
      <c r="E212" s="0" t="s">
        <v>297</v>
      </c>
      <c r="G212" s="0" t="n">
        <v>1</v>
      </c>
      <c r="H212" s="0" t="s">
        <v>298</v>
      </c>
      <c r="I212" s="48" t="n">
        <v>46293</v>
      </c>
      <c r="J212" s="0" t="n">
        <v>0</v>
      </c>
      <c r="K212" s="49" t="s">
        <v>936</v>
      </c>
      <c r="L212" s="49" t="s">
        <v>335</v>
      </c>
      <c r="M212" s="48"/>
      <c r="O212" s="49" t="s">
        <v>937</v>
      </c>
      <c r="P212" s="48"/>
      <c r="Q212" s="48" t="n">
        <v>46293</v>
      </c>
      <c r="R212" s="48" t="n">
        <v>46299</v>
      </c>
      <c r="T212" s="49" t="s">
        <v>302</v>
      </c>
      <c r="U212" s="49" t="s">
        <v>303</v>
      </c>
      <c r="Y212" s="49" t="s">
        <v>312</v>
      </c>
      <c r="AD212" s="49" t="s">
        <v>305</v>
      </c>
      <c r="AE212" s="48" t="n">
        <v>46268</v>
      </c>
      <c r="AF212" s="49" t="s">
        <v>306</v>
      </c>
      <c r="AG212" s="49" t="s">
        <v>307</v>
      </c>
      <c r="AK212" s="49" t="s">
        <v>303</v>
      </c>
      <c r="AL212" s="49" t="s">
        <v>297</v>
      </c>
      <c r="AO212" s="49" t="s">
        <v>303</v>
      </c>
      <c r="AP212" s="48"/>
      <c r="AR212" s="49" t="s">
        <v>303</v>
      </c>
      <c r="AS212" s="49" t="s">
        <v>306</v>
      </c>
      <c r="AT212" s="49" t="s">
        <v>955</v>
      </c>
      <c r="AV212" s="49" t="s">
        <v>309</v>
      </c>
      <c r="AW212" s="49" t="s">
        <v>310</v>
      </c>
      <c r="AX212" s="49" t="s">
        <v>311</v>
      </c>
      <c r="AY212" s="48"/>
      <c r="AZ212" s="48" t="n">
        <v>46289</v>
      </c>
      <c r="BC212" s="49" t="s">
        <v>303</v>
      </c>
      <c r="BD212" s="48"/>
      <c r="BE212" s="49" t="s">
        <v>312</v>
      </c>
      <c r="BF212" s="49" t="s">
        <v>303</v>
      </c>
      <c r="BG212" s="48"/>
      <c r="BI212" s="48"/>
      <c r="BJ212" s="48" t="n">
        <v>46296</v>
      </c>
      <c r="BK212" s="49" t="s">
        <v>313</v>
      </c>
      <c r="BL212" s="49" t="s">
        <v>313</v>
      </c>
      <c r="BM212" s="49" t="s">
        <v>310</v>
      </c>
      <c r="BN212" s="48"/>
      <c r="BO212" s="48"/>
      <c r="BP212" s="48"/>
      <c r="BQ212" s="49" t="s">
        <v>936</v>
      </c>
      <c r="BR212" s="48" t="n">
        <v>46296</v>
      </c>
      <c r="BS212" s="49" t="s">
        <v>952</v>
      </c>
      <c r="BT212" s="49" t="s">
        <v>312</v>
      </c>
      <c r="BU212" s="49" t="s">
        <v>313</v>
      </c>
      <c r="BV212" s="49" t="s">
        <v>303</v>
      </c>
      <c r="BX212" s="0" t="n">
        <v>0</v>
      </c>
      <c r="CC212" s="49" t="s">
        <v>315</v>
      </c>
      <c r="CD212" s="49" t="s">
        <v>303</v>
      </c>
      <c r="CF212" s="49" t="s">
        <v>303</v>
      </c>
      <c r="CG212" s="49" t="s">
        <v>316</v>
      </c>
      <c r="CH212" s="49" t="s">
        <v>317</v>
      </c>
      <c r="CI212" s="49" t="s">
        <v>318</v>
      </c>
      <c r="CM212" s="49" t="s">
        <v>456</v>
      </c>
      <c r="CV212" s="49" t="s">
        <v>303</v>
      </c>
      <c r="DB212" s="49" t="s">
        <v>319</v>
      </c>
      <c r="DD212" s="48" t="n">
        <v>46268</v>
      </c>
      <c r="DF212" s="49" t="s">
        <v>310</v>
      </c>
      <c r="DG212" s="49" t="s">
        <v>320</v>
      </c>
      <c r="DH212" s="49" t="s">
        <v>68</v>
      </c>
      <c r="DI212" s="49" t="s">
        <v>298</v>
      </c>
      <c r="DJ212" s="49" t="s">
        <v>321</v>
      </c>
      <c r="DK212" s="49" t="s">
        <v>322</v>
      </c>
      <c r="DL212" s="49" t="s">
        <v>323</v>
      </c>
      <c r="DM212" s="49" t="s">
        <v>303</v>
      </c>
      <c r="DN212" s="49" t="s">
        <v>297</v>
      </c>
      <c r="DO212" s="48"/>
      <c r="DP212" s="49" t="s">
        <v>313</v>
      </c>
      <c r="DQ212" s="48"/>
      <c r="DR212" s="49" t="s">
        <v>312</v>
      </c>
      <c r="DS212" s="49" t="s">
        <v>303</v>
      </c>
      <c r="DT212" s="49" t="s">
        <v>303</v>
      </c>
      <c r="DW212" s="49" t="s">
        <v>303</v>
      </c>
      <c r="EA212" s="49" t="s">
        <v>324</v>
      </c>
      <c r="EB212" s="49" t="s">
        <v>303</v>
      </c>
      <c r="EF212" s="49" t="s">
        <v>953</v>
      </c>
      <c r="EH212" s="49" t="s">
        <v>325</v>
      </c>
      <c r="EJ212" s="49" t="s">
        <v>303</v>
      </c>
      <c r="EK212" s="49" t="s">
        <v>956</v>
      </c>
      <c r="EM212" s="49" t="s">
        <v>303</v>
      </c>
      <c r="EN212" s="49" t="s">
        <v>460</v>
      </c>
      <c r="EP212" s="49" t="s">
        <v>298</v>
      </c>
      <c r="EQ212" s="0" t="n">
        <v>1</v>
      </c>
      <c r="ER212" s="49" t="s">
        <v>328</v>
      </c>
      <c r="ES212" s="49" t="s">
        <v>329</v>
      </c>
      <c r="ET212" s="49" t="s">
        <v>310</v>
      </c>
      <c r="EU212" s="49" t="s">
        <v>310</v>
      </c>
      <c r="EV212" s="49" t="s">
        <v>310</v>
      </c>
      <c r="EX212" s="49" t="s">
        <v>303</v>
      </c>
      <c r="EY212" s="49" t="s">
        <v>303</v>
      </c>
      <c r="FC212" s="49" t="s">
        <v>330</v>
      </c>
      <c r="FD212" s="49" t="s">
        <v>310</v>
      </c>
      <c r="FE212" s="49" t="s">
        <v>310</v>
      </c>
      <c r="FF212" s="49" t="s">
        <v>68</v>
      </c>
      <c r="FG212" s="49" t="s">
        <v>461</v>
      </c>
      <c r="FH212" s="49" t="s">
        <v>310</v>
      </c>
      <c r="FI212" s="49" t="s">
        <v>332</v>
      </c>
      <c r="FJ212" s="49" t="s">
        <v>303</v>
      </c>
      <c r="FL212" s="49" t="s">
        <v>325</v>
      </c>
      <c r="FM212" s="49" t="s">
        <v>936</v>
      </c>
      <c r="FP212" s="49" t="s">
        <v>303</v>
      </c>
      <c r="FR212" s="49" t="s">
        <v>303</v>
      </c>
      <c r="FT212" s="49" t="s">
        <v>325</v>
      </c>
      <c r="FU212" s="49" t="s">
        <v>325</v>
      </c>
      <c r="FW212" s="49" t="s">
        <v>333</v>
      </c>
    </row>
    <row r="213" customFormat="false" ht="15" hidden="false" customHeight="false" outlineLevel="0" collapsed="false">
      <c r="A213" s="0" t="n">
        <v>100879338</v>
      </c>
      <c r="B213" s="0" t="s">
        <v>295</v>
      </c>
      <c r="C213" s="0" t="s">
        <v>70</v>
      </c>
      <c r="D213" s="0" t="s">
        <v>468</v>
      </c>
      <c r="E213" s="0" t="s">
        <v>297</v>
      </c>
      <c r="G213" s="0" t="n">
        <v>1</v>
      </c>
      <c r="H213" s="0" t="s">
        <v>298</v>
      </c>
      <c r="I213" s="48" t="n">
        <v>46293</v>
      </c>
      <c r="J213" s="0" t="n">
        <v>0</v>
      </c>
      <c r="K213" s="49" t="s">
        <v>936</v>
      </c>
      <c r="L213" s="49" t="s">
        <v>335</v>
      </c>
      <c r="M213" s="48" t="n">
        <v>46293</v>
      </c>
      <c r="N213" s="49" t="s">
        <v>335</v>
      </c>
      <c r="O213" s="49" t="s">
        <v>937</v>
      </c>
      <c r="P213" s="48"/>
      <c r="Q213" s="48" t="n">
        <v>46293</v>
      </c>
      <c r="R213" s="48" t="n">
        <v>46300</v>
      </c>
      <c r="T213" s="49" t="s">
        <v>302</v>
      </c>
      <c r="U213" s="49" t="s">
        <v>303</v>
      </c>
      <c r="Y213" s="49" t="s">
        <v>957</v>
      </c>
      <c r="AD213" s="49" t="s">
        <v>305</v>
      </c>
      <c r="AE213" s="48" t="n">
        <v>46268</v>
      </c>
      <c r="AF213" s="49" t="s">
        <v>306</v>
      </c>
      <c r="AG213" s="49" t="s">
        <v>307</v>
      </c>
      <c r="AK213" s="49" t="s">
        <v>303</v>
      </c>
      <c r="AL213" s="49" t="s">
        <v>297</v>
      </c>
      <c r="AO213" s="49" t="s">
        <v>303</v>
      </c>
      <c r="AP213" s="48"/>
      <c r="AR213" s="49" t="s">
        <v>303</v>
      </c>
      <c r="AS213" s="49" t="s">
        <v>306</v>
      </c>
      <c r="AT213" s="49" t="s">
        <v>958</v>
      </c>
      <c r="AV213" s="49" t="s">
        <v>309</v>
      </c>
      <c r="AW213" s="49" t="s">
        <v>310</v>
      </c>
      <c r="AX213" s="49" t="s">
        <v>311</v>
      </c>
      <c r="AY213" s="48"/>
      <c r="AZ213" s="48" t="n">
        <v>46289</v>
      </c>
      <c r="BC213" s="49" t="s">
        <v>303</v>
      </c>
      <c r="BD213" s="48"/>
      <c r="BE213" s="49" t="s">
        <v>312</v>
      </c>
      <c r="BF213" s="49" t="s">
        <v>303</v>
      </c>
      <c r="BG213" s="48"/>
      <c r="BI213" s="48"/>
      <c r="BJ213" s="48" t="n">
        <v>46296</v>
      </c>
      <c r="BK213" s="49" t="s">
        <v>312</v>
      </c>
      <c r="BL213" s="49" t="s">
        <v>313</v>
      </c>
      <c r="BM213" s="49" t="s">
        <v>310</v>
      </c>
      <c r="BN213" s="48"/>
      <c r="BO213" s="48"/>
      <c r="BP213" s="48"/>
      <c r="BQ213" s="49" t="s">
        <v>936</v>
      </c>
      <c r="BR213" s="48" t="n">
        <v>46296</v>
      </c>
      <c r="BS213" s="49" t="s">
        <v>959</v>
      </c>
      <c r="BT213" s="49" t="s">
        <v>312</v>
      </c>
      <c r="BU213" s="49" t="s">
        <v>313</v>
      </c>
      <c r="BV213" s="49" t="s">
        <v>303</v>
      </c>
      <c r="BX213" s="0" t="n">
        <v>0</v>
      </c>
      <c r="CC213" s="49" t="s">
        <v>315</v>
      </c>
      <c r="CD213" s="49" t="s">
        <v>303</v>
      </c>
      <c r="CF213" s="49" t="s">
        <v>303</v>
      </c>
      <c r="CG213" s="49" t="s">
        <v>316</v>
      </c>
      <c r="CH213" s="49" t="s">
        <v>317</v>
      </c>
      <c r="CI213" s="49" t="s">
        <v>318</v>
      </c>
      <c r="CM213" s="49" t="s">
        <v>468</v>
      </c>
      <c r="CV213" s="49" t="s">
        <v>303</v>
      </c>
      <c r="DB213" s="49" t="s">
        <v>319</v>
      </c>
      <c r="DD213" s="48" t="n">
        <v>46268</v>
      </c>
      <c r="DF213" s="49" t="s">
        <v>310</v>
      </c>
      <c r="DG213" s="49" t="s">
        <v>320</v>
      </c>
      <c r="DH213" s="49" t="s">
        <v>70</v>
      </c>
      <c r="DI213" s="49" t="s">
        <v>298</v>
      </c>
      <c r="DJ213" s="49" t="s">
        <v>321</v>
      </c>
      <c r="DK213" s="49" t="s">
        <v>322</v>
      </c>
      <c r="DL213" s="49" t="s">
        <v>323</v>
      </c>
      <c r="DM213" s="49" t="s">
        <v>303</v>
      </c>
      <c r="DN213" s="49" t="s">
        <v>297</v>
      </c>
      <c r="DO213" s="48"/>
      <c r="DP213" s="49" t="s">
        <v>313</v>
      </c>
      <c r="DQ213" s="48"/>
      <c r="DR213" s="49" t="s">
        <v>312</v>
      </c>
      <c r="DS213" s="49" t="s">
        <v>303</v>
      </c>
      <c r="DT213" s="49" t="s">
        <v>303</v>
      </c>
      <c r="DW213" s="49" t="s">
        <v>303</v>
      </c>
      <c r="EA213" s="49" t="s">
        <v>324</v>
      </c>
      <c r="EB213" s="49" t="s">
        <v>303</v>
      </c>
      <c r="EH213" s="49" t="s">
        <v>325</v>
      </c>
      <c r="EJ213" s="49" t="s">
        <v>303</v>
      </c>
      <c r="EK213" s="49" t="s">
        <v>960</v>
      </c>
      <c r="EM213" s="49" t="s">
        <v>303</v>
      </c>
      <c r="EN213" s="49" t="s">
        <v>472</v>
      </c>
      <c r="EP213" s="49" t="s">
        <v>298</v>
      </c>
      <c r="EQ213" s="0" t="n">
        <v>1</v>
      </c>
      <c r="ER213" s="49" t="s">
        <v>328</v>
      </c>
      <c r="ES213" s="49" t="s">
        <v>329</v>
      </c>
      <c r="ET213" s="49" t="s">
        <v>310</v>
      </c>
      <c r="EU213" s="49" t="s">
        <v>310</v>
      </c>
      <c r="EV213" s="49" t="s">
        <v>310</v>
      </c>
      <c r="EX213" s="49" t="s">
        <v>303</v>
      </c>
      <c r="EY213" s="49" t="s">
        <v>303</v>
      </c>
      <c r="FC213" s="49" t="s">
        <v>330</v>
      </c>
      <c r="FD213" s="49" t="s">
        <v>310</v>
      </c>
      <c r="FE213" s="49" t="s">
        <v>310</v>
      </c>
      <c r="FF213" s="49" t="s">
        <v>70</v>
      </c>
      <c r="FG213" s="49" t="s">
        <v>473</v>
      </c>
      <c r="FH213" s="49" t="s">
        <v>310</v>
      </c>
      <c r="FI213" s="49" t="s">
        <v>332</v>
      </c>
      <c r="FJ213" s="49" t="s">
        <v>303</v>
      </c>
      <c r="FL213" s="49" t="s">
        <v>325</v>
      </c>
      <c r="FM213" s="49" t="s">
        <v>936</v>
      </c>
      <c r="FP213" s="49" t="s">
        <v>303</v>
      </c>
      <c r="FR213" s="49" t="s">
        <v>303</v>
      </c>
      <c r="FT213" s="49" t="s">
        <v>325</v>
      </c>
      <c r="FU213" s="49" t="s">
        <v>325</v>
      </c>
      <c r="FW213" s="49" t="s">
        <v>333</v>
      </c>
    </row>
    <row r="214" customFormat="false" ht="15" hidden="false" customHeight="false" outlineLevel="0" collapsed="false">
      <c r="A214" s="0" t="n">
        <v>100879339</v>
      </c>
      <c r="B214" s="0" t="s">
        <v>295</v>
      </c>
      <c r="C214" s="0" t="s">
        <v>70</v>
      </c>
      <c r="D214" s="0" t="s">
        <v>468</v>
      </c>
      <c r="E214" s="0" t="s">
        <v>297</v>
      </c>
      <c r="G214" s="0" t="n">
        <v>1</v>
      </c>
      <c r="H214" s="0" t="s">
        <v>298</v>
      </c>
      <c r="I214" s="48" t="n">
        <v>46293</v>
      </c>
      <c r="J214" s="0" t="n">
        <v>0</v>
      </c>
      <c r="K214" s="49" t="s">
        <v>936</v>
      </c>
      <c r="L214" s="49" t="s">
        <v>335</v>
      </c>
      <c r="M214" s="48"/>
      <c r="O214" s="49" t="s">
        <v>937</v>
      </c>
      <c r="P214" s="48"/>
      <c r="Q214" s="48" t="n">
        <v>46293</v>
      </c>
      <c r="R214" s="48" t="n">
        <v>46299</v>
      </c>
      <c r="T214" s="49" t="s">
        <v>302</v>
      </c>
      <c r="U214" s="49" t="s">
        <v>303</v>
      </c>
      <c r="Y214" s="49" t="s">
        <v>312</v>
      </c>
      <c r="AD214" s="49" t="s">
        <v>305</v>
      </c>
      <c r="AE214" s="48" t="n">
        <v>46268</v>
      </c>
      <c r="AF214" s="49" t="s">
        <v>306</v>
      </c>
      <c r="AG214" s="49" t="s">
        <v>307</v>
      </c>
      <c r="AK214" s="49" t="s">
        <v>303</v>
      </c>
      <c r="AL214" s="49" t="s">
        <v>297</v>
      </c>
      <c r="AO214" s="49" t="s">
        <v>303</v>
      </c>
      <c r="AP214" s="48"/>
      <c r="AR214" s="49" t="s">
        <v>303</v>
      </c>
      <c r="AS214" s="49" t="s">
        <v>306</v>
      </c>
      <c r="AT214" s="49" t="s">
        <v>961</v>
      </c>
      <c r="AV214" s="49" t="s">
        <v>309</v>
      </c>
      <c r="AW214" s="49" t="s">
        <v>310</v>
      </c>
      <c r="AX214" s="49" t="s">
        <v>311</v>
      </c>
      <c r="AY214" s="48"/>
      <c r="AZ214" s="48" t="n">
        <v>46289</v>
      </c>
      <c r="BC214" s="49" t="s">
        <v>303</v>
      </c>
      <c r="BD214" s="48"/>
      <c r="BE214" s="49" t="s">
        <v>312</v>
      </c>
      <c r="BF214" s="49" t="s">
        <v>303</v>
      </c>
      <c r="BG214" s="48"/>
      <c r="BI214" s="48"/>
      <c r="BJ214" s="48" t="n">
        <v>46296</v>
      </c>
      <c r="BK214" s="49" t="s">
        <v>313</v>
      </c>
      <c r="BL214" s="49" t="s">
        <v>313</v>
      </c>
      <c r="BM214" s="49" t="s">
        <v>310</v>
      </c>
      <c r="BN214" s="48"/>
      <c r="BO214" s="48"/>
      <c r="BP214" s="48"/>
      <c r="BQ214" s="49" t="s">
        <v>936</v>
      </c>
      <c r="BR214" s="48" t="n">
        <v>46296</v>
      </c>
      <c r="BS214" s="49" t="s">
        <v>959</v>
      </c>
      <c r="BT214" s="49" t="s">
        <v>312</v>
      </c>
      <c r="BU214" s="49" t="s">
        <v>313</v>
      </c>
      <c r="BV214" s="49" t="s">
        <v>303</v>
      </c>
      <c r="BX214" s="0" t="n">
        <v>0</v>
      </c>
      <c r="CC214" s="49" t="s">
        <v>315</v>
      </c>
      <c r="CD214" s="49" t="s">
        <v>303</v>
      </c>
      <c r="CF214" s="49" t="s">
        <v>303</v>
      </c>
      <c r="CG214" s="49" t="s">
        <v>316</v>
      </c>
      <c r="CH214" s="49" t="s">
        <v>317</v>
      </c>
      <c r="CI214" s="49" t="s">
        <v>318</v>
      </c>
      <c r="CM214" s="49" t="s">
        <v>468</v>
      </c>
      <c r="CV214" s="49" t="s">
        <v>303</v>
      </c>
      <c r="DB214" s="49" t="s">
        <v>319</v>
      </c>
      <c r="DD214" s="48" t="n">
        <v>46268</v>
      </c>
      <c r="DF214" s="49" t="s">
        <v>310</v>
      </c>
      <c r="DG214" s="49" t="s">
        <v>320</v>
      </c>
      <c r="DH214" s="49" t="s">
        <v>70</v>
      </c>
      <c r="DI214" s="49" t="s">
        <v>298</v>
      </c>
      <c r="DJ214" s="49" t="s">
        <v>321</v>
      </c>
      <c r="DK214" s="49" t="s">
        <v>322</v>
      </c>
      <c r="DL214" s="49" t="s">
        <v>323</v>
      </c>
      <c r="DM214" s="49" t="s">
        <v>303</v>
      </c>
      <c r="DN214" s="49" t="s">
        <v>297</v>
      </c>
      <c r="DO214" s="48"/>
      <c r="DP214" s="49" t="s">
        <v>313</v>
      </c>
      <c r="DQ214" s="48"/>
      <c r="DR214" s="49" t="s">
        <v>312</v>
      </c>
      <c r="DS214" s="49" t="s">
        <v>303</v>
      </c>
      <c r="DT214" s="49" t="s">
        <v>303</v>
      </c>
      <c r="DW214" s="49" t="s">
        <v>303</v>
      </c>
      <c r="EA214" s="49" t="s">
        <v>324</v>
      </c>
      <c r="EB214" s="49" t="s">
        <v>303</v>
      </c>
      <c r="EF214" s="49" t="s">
        <v>962</v>
      </c>
      <c r="EH214" s="49" t="s">
        <v>325</v>
      </c>
      <c r="EJ214" s="49" t="s">
        <v>303</v>
      </c>
      <c r="EK214" s="49" t="s">
        <v>963</v>
      </c>
      <c r="EM214" s="49" t="s">
        <v>303</v>
      </c>
      <c r="EN214" s="49" t="s">
        <v>472</v>
      </c>
      <c r="EP214" s="49" t="s">
        <v>298</v>
      </c>
      <c r="EQ214" s="0" t="n">
        <v>1</v>
      </c>
      <c r="ER214" s="49" t="s">
        <v>328</v>
      </c>
      <c r="ES214" s="49" t="s">
        <v>329</v>
      </c>
      <c r="ET214" s="49" t="s">
        <v>310</v>
      </c>
      <c r="EU214" s="49" t="s">
        <v>310</v>
      </c>
      <c r="EV214" s="49" t="s">
        <v>310</v>
      </c>
      <c r="EX214" s="49" t="s">
        <v>303</v>
      </c>
      <c r="EY214" s="49" t="s">
        <v>303</v>
      </c>
      <c r="FC214" s="49" t="s">
        <v>330</v>
      </c>
      <c r="FD214" s="49" t="s">
        <v>310</v>
      </c>
      <c r="FE214" s="49" t="s">
        <v>310</v>
      </c>
      <c r="FF214" s="49" t="s">
        <v>70</v>
      </c>
      <c r="FG214" s="49" t="s">
        <v>473</v>
      </c>
      <c r="FH214" s="49" t="s">
        <v>310</v>
      </c>
      <c r="FI214" s="49" t="s">
        <v>332</v>
      </c>
      <c r="FJ214" s="49" t="s">
        <v>303</v>
      </c>
      <c r="FL214" s="49" t="s">
        <v>325</v>
      </c>
      <c r="FM214" s="49" t="s">
        <v>936</v>
      </c>
      <c r="FP214" s="49" t="s">
        <v>303</v>
      </c>
      <c r="FR214" s="49" t="s">
        <v>303</v>
      </c>
      <c r="FT214" s="49" t="s">
        <v>325</v>
      </c>
      <c r="FU214" s="49" t="s">
        <v>325</v>
      </c>
      <c r="FW214" s="49" t="s">
        <v>333</v>
      </c>
    </row>
    <row r="215" customFormat="false" ht="15" hidden="false" customHeight="false" outlineLevel="0" collapsed="false">
      <c r="A215" s="0" t="n">
        <v>100879340</v>
      </c>
      <c r="B215" s="0" t="s">
        <v>295</v>
      </c>
      <c r="C215" s="0" t="s">
        <v>70</v>
      </c>
      <c r="D215" s="0" t="s">
        <v>468</v>
      </c>
      <c r="E215" s="0" t="s">
        <v>297</v>
      </c>
      <c r="G215" s="0" t="n">
        <v>1</v>
      </c>
      <c r="H215" s="0" t="s">
        <v>298</v>
      </c>
      <c r="I215" s="48" t="n">
        <v>46293</v>
      </c>
      <c r="J215" s="0" t="n">
        <v>0</v>
      </c>
      <c r="K215" s="49" t="s">
        <v>936</v>
      </c>
      <c r="L215" s="49" t="s">
        <v>335</v>
      </c>
      <c r="M215" s="48"/>
      <c r="O215" s="49" t="s">
        <v>937</v>
      </c>
      <c r="P215" s="48"/>
      <c r="Q215" s="48" t="n">
        <v>46293</v>
      </c>
      <c r="R215" s="48" t="n">
        <v>46299</v>
      </c>
      <c r="T215" s="49" t="s">
        <v>302</v>
      </c>
      <c r="U215" s="49" t="s">
        <v>303</v>
      </c>
      <c r="Y215" s="49" t="s">
        <v>312</v>
      </c>
      <c r="AD215" s="49" t="s">
        <v>305</v>
      </c>
      <c r="AE215" s="48" t="n">
        <v>46268</v>
      </c>
      <c r="AF215" s="49" t="s">
        <v>306</v>
      </c>
      <c r="AG215" s="49" t="s">
        <v>307</v>
      </c>
      <c r="AK215" s="49" t="s">
        <v>303</v>
      </c>
      <c r="AL215" s="49" t="s">
        <v>297</v>
      </c>
      <c r="AO215" s="49" t="s">
        <v>303</v>
      </c>
      <c r="AP215" s="48"/>
      <c r="AR215" s="49" t="s">
        <v>303</v>
      </c>
      <c r="AS215" s="49" t="s">
        <v>306</v>
      </c>
      <c r="AT215" s="49" t="s">
        <v>964</v>
      </c>
      <c r="AV215" s="49" t="s">
        <v>309</v>
      </c>
      <c r="AW215" s="49" t="s">
        <v>310</v>
      </c>
      <c r="AX215" s="49" t="s">
        <v>311</v>
      </c>
      <c r="AY215" s="48"/>
      <c r="AZ215" s="48" t="n">
        <v>46289</v>
      </c>
      <c r="BC215" s="49" t="s">
        <v>303</v>
      </c>
      <c r="BD215" s="48"/>
      <c r="BE215" s="49" t="s">
        <v>312</v>
      </c>
      <c r="BF215" s="49" t="s">
        <v>303</v>
      </c>
      <c r="BG215" s="48"/>
      <c r="BI215" s="48"/>
      <c r="BJ215" s="48" t="n">
        <v>46296</v>
      </c>
      <c r="BK215" s="49" t="s">
        <v>313</v>
      </c>
      <c r="BL215" s="49" t="s">
        <v>313</v>
      </c>
      <c r="BM215" s="49" t="s">
        <v>310</v>
      </c>
      <c r="BN215" s="48"/>
      <c r="BO215" s="48"/>
      <c r="BP215" s="48"/>
      <c r="BQ215" s="49" t="s">
        <v>936</v>
      </c>
      <c r="BR215" s="48" t="n">
        <v>46296</v>
      </c>
      <c r="BS215" s="49" t="s">
        <v>959</v>
      </c>
      <c r="BT215" s="49" t="s">
        <v>312</v>
      </c>
      <c r="BU215" s="49" t="s">
        <v>313</v>
      </c>
      <c r="BV215" s="49" t="s">
        <v>303</v>
      </c>
      <c r="BX215" s="0" t="n">
        <v>0</v>
      </c>
      <c r="CC215" s="49" t="s">
        <v>315</v>
      </c>
      <c r="CD215" s="49" t="s">
        <v>303</v>
      </c>
      <c r="CF215" s="49" t="s">
        <v>303</v>
      </c>
      <c r="CG215" s="49" t="s">
        <v>316</v>
      </c>
      <c r="CH215" s="49" t="s">
        <v>317</v>
      </c>
      <c r="CI215" s="49" t="s">
        <v>318</v>
      </c>
      <c r="CM215" s="49" t="s">
        <v>468</v>
      </c>
      <c r="CV215" s="49" t="s">
        <v>303</v>
      </c>
      <c r="DB215" s="49" t="s">
        <v>319</v>
      </c>
      <c r="DD215" s="48" t="n">
        <v>46268</v>
      </c>
      <c r="DF215" s="49" t="s">
        <v>310</v>
      </c>
      <c r="DG215" s="49" t="s">
        <v>320</v>
      </c>
      <c r="DH215" s="49" t="s">
        <v>70</v>
      </c>
      <c r="DI215" s="49" t="s">
        <v>298</v>
      </c>
      <c r="DJ215" s="49" t="s">
        <v>321</v>
      </c>
      <c r="DK215" s="49" t="s">
        <v>322</v>
      </c>
      <c r="DL215" s="49" t="s">
        <v>323</v>
      </c>
      <c r="DM215" s="49" t="s">
        <v>303</v>
      </c>
      <c r="DN215" s="49" t="s">
        <v>297</v>
      </c>
      <c r="DO215" s="48"/>
      <c r="DP215" s="49" t="s">
        <v>313</v>
      </c>
      <c r="DQ215" s="48"/>
      <c r="DR215" s="49" t="s">
        <v>312</v>
      </c>
      <c r="DS215" s="49" t="s">
        <v>303</v>
      </c>
      <c r="DT215" s="49" t="s">
        <v>303</v>
      </c>
      <c r="DW215" s="49" t="s">
        <v>303</v>
      </c>
      <c r="EA215" s="49" t="s">
        <v>324</v>
      </c>
      <c r="EB215" s="49" t="s">
        <v>303</v>
      </c>
      <c r="EF215" s="49" t="s">
        <v>962</v>
      </c>
      <c r="EH215" s="49" t="s">
        <v>325</v>
      </c>
      <c r="EJ215" s="49" t="s">
        <v>303</v>
      </c>
      <c r="EK215" s="49" t="s">
        <v>965</v>
      </c>
      <c r="EM215" s="49" t="s">
        <v>303</v>
      </c>
      <c r="EN215" s="49" t="s">
        <v>472</v>
      </c>
      <c r="EP215" s="49" t="s">
        <v>298</v>
      </c>
      <c r="EQ215" s="0" t="n">
        <v>1</v>
      </c>
      <c r="ER215" s="49" t="s">
        <v>328</v>
      </c>
      <c r="ES215" s="49" t="s">
        <v>329</v>
      </c>
      <c r="ET215" s="49" t="s">
        <v>310</v>
      </c>
      <c r="EU215" s="49" t="s">
        <v>310</v>
      </c>
      <c r="EV215" s="49" t="s">
        <v>310</v>
      </c>
      <c r="EX215" s="49" t="s">
        <v>303</v>
      </c>
      <c r="EY215" s="49" t="s">
        <v>303</v>
      </c>
      <c r="FC215" s="49" t="s">
        <v>330</v>
      </c>
      <c r="FD215" s="49" t="s">
        <v>310</v>
      </c>
      <c r="FE215" s="49" t="s">
        <v>310</v>
      </c>
      <c r="FF215" s="49" t="s">
        <v>70</v>
      </c>
      <c r="FG215" s="49" t="s">
        <v>473</v>
      </c>
      <c r="FH215" s="49" t="s">
        <v>310</v>
      </c>
      <c r="FI215" s="49" t="s">
        <v>332</v>
      </c>
      <c r="FJ215" s="49" t="s">
        <v>303</v>
      </c>
      <c r="FL215" s="49" t="s">
        <v>325</v>
      </c>
      <c r="FM215" s="49" t="s">
        <v>936</v>
      </c>
      <c r="FP215" s="49" t="s">
        <v>303</v>
      </c>
      <c r="FR215" s="49" t="s">
        <v>303</v>
      </c>
      <c r="FT215" s="49" t="s">
        <v>325</v>
      </c>
      <c r="FU215" s="49" t="s">
        <v>325</v>
      </c>
      <c r="FW215" s="49" t="s">
        <v>333</v>
      </c>
    </row>
    <row r="216" customFormat="false" ht="15" hidden="false" customHeight="false" outlineLevel="0" collapsed="false">
      <c r="A216" s="0" t="n">
        <v>100879341</v>
      </c>
      <c r="B216" s="0" t="s">
        <v>295</v>
      </c>
      <c r="C216" s="0" t="s">
        <v>72</v>
      </c>
      <c r="D216" s="0" t="s">
        <v>480</v>
      </c>
      <c r="E216" s="0" t="s">
        <v>297</v>
      </c>
      <c r="G216" s="0" t="n">
        <v>1</v>
      </c>
      <c r="H216" s="0" t="s">
        <v>298</v>
      </c>
      <c r="I216" s="48" t="n">
        <v>46293</v>
      </c>
      <c r="J216" s="0" t="n">
        <v>0</v>
      </c>
      <c r="K216" s="49" t="s">
        <v>936</v>
      </c>
      <c r="L216" s="49" t="s">
        <v>335</v>
      </c>
      <c r="M216" s="48" t="n">
        <v>46293</v>
      </c>
      <c r="N216" s="49" t="s">
        <v>335</v>
      </c>
      <c r="O216" s="49" t="s">
        <v>937</v>
      </c>
      <c r="P216" s="48"/>
      <c r="Q216" s="48" t="n">
        <v>46293</v>
      </c>
      <c r="R216" s="48" t="n">
        <v>46300</v>
      </c>
      <c r="T216" s="49" t="s">
        <v>302</v>
      </c>
      <c r="U216" s="49" t="s">
        <v>303</v>
      </c>
      <c r="Y216" s="49" t="s">
        <v>966</v>
      </c>
      <c r="AD216" s="49" t="s">
        <v>305</v>
      </c>
      <c r="AE216" s="48" t="n">
        <v>46268</v>
      </c>
      <c r="AF216" s="49" t="s">
        <v>306</v>
      </c>
      <c r="AG216" s="49" t="s">
        <v>307</v>
      </c>
      <c r="AK216" s="49" t="s">
        <v>303</v>
      </c>
      <c r="AL216" s="49" t="s">
        <v>297</v>
      </c>
      <c r="AO216" s="49" t="s">
        <v>303</v>
      </c>
      <c r="AP216" s="48"/>
      <c r="AR216" s="49" t="s">
        <v>303</v>
      </c>
      <c r="AS216" s="49" t="s">
        <v>306</v>
      </c>
      <c r="AT216" s="49" t="s">
        <v>967</v>
      </c>
      <c r="AV216" s="49" t="s">
        <v>309</v>
      </c>
      <c r="AW216" s="49" t="s">
        <v>310</v>
      </c>
      <c r="AX216" s="49" t="s">
        <v>311</v>
      </c>
      <c r="AY216" s="48"/>
      <c r="AZ216" s="48" t="n">
        <v>46289</v>
      </c>
      <c r="BC216" s="49" t="s">
        <v>303</v>
      </c>
      <c r="BD216" s="48"/>
      <c r="BE216" s="49" t="s">
        <v>312</v>
      </c>
      <c r="BF216" s="49" t="s">
        <v>303</v>
      </c>
      <c r="BG216" s="48"/>
      <c r="BI216" s="48"/>
      <c r="BJ216" s="48" t="n">
        <v>46296</v>
      </c>
      <c r="BK216" s="49" t="s">
        <v>312</v>
      </c>
      <c r="BL216" s="49" t="s">
        <v>313</v>
      </c>
      <c r="BM216" s="49" t="s">
        <v>310</v>
      </c>
      <c r="BN216" s="48"/>
      <c r="BO216" s="48"/>
      <c r="BP216" s="48"/>
      <c r="BQ216" s="49" t="s">
        <v>936</v>
      </c>
      <c r="BR216" s="48" t="n">
        <v>46296</v>
      </c>
      <c r="BS216" s="49" t="s">
        <v>968</v>
      </c>
      <c r="BT216" s="49" t="s">
        <v>312</v>
      </c>
      <c r="BU216" s="49" t="s">
        <v>313</v>
      </c>
      <c r="BV216" s="49" t="s">
        <v>303</v>
      </c>
      <c r="BX216" s="0" t="n">
        <v>0</v>
      </c>
      <c r="CC216" s="49" t="s">
        <v>315</v>
      </c>
      <c r="CD216" s="49" t="s">
        <v>303</v>
      </c>
      <c r="CF216" s="49" t="s">
        <v>303</v>
      </c>
      <c r="CG216" s="49" t="s">
        <v>316</v>
      </c>
      <c r="CH216" s="49" t="s">
        <v>317</v>
      </c>
      <c r="CI216" s="49" t="s">
        <v>318</v>
      </c>
      <c r="CM216" s="49" t="s">
        <v>480</v>
      </c>
      <c r="CV216" s="49" t="s">
        <v>303</v>
      </c>
      <c r="DB216" s="49" t="s">
        <v>319</v>
      </c>
      <c r="DD216" s="48" t="n">
        <v>46268</v>
      </c>
      <c r="DF216" s="49" t="s">
        <v>310</v>
      </c>
      <c r="DG216" s="49" t="s">
        <v>320</v>
      </c>
      <c r="DH216" s="49" t="s">
        <v>72</v>
      </c>
      <c r="DI216" s="49" t="s">
        <v>298</v>
      </c>
      <c r="DJ216" s="49" t="s">
        <v>321</v>
      </c>
      <c r="DK216" s="49" t="s">
        <v>322</v>
      </c>
      <c r="DL216" s="49" t="s">
        <v>323</v>
      </c>
      <c r="DM216" s="49" t="s">
        <v>303</v>
      </c>
      <c r="DN216" s="49" t="s">
        <v>297</v>
      </c>
      <c r="DO216" s="48"/>
      <c r="DP216" s="49" t="s">
        <v>313</v>
      </c>
      <c r="DQ216" s="48"/>
      <c r="DR216" s="49" t="s">
        <v>312</v>
      </c>
      <c r="DS216" s="49" t="s">
        <v>303</v>
      </c>
      <c r="DT216" s="49" t="s">
        <v>303</v>
      </c>
      <c r="DW216" s="49" t="s">
        <v>303</v>
      </c>
      <c r="EA216" s="49" t="s">
        <v>324</v>
      </c>
      <c r="EB216" s="49" t="s">
        <v>303</v>
      </c>
      <c r="EH216" s="49" t="s">
        <v>325</v>
      </c>
      <c r="EJ216" s="49" t="s">
        <v>303</v>
      </c>
      <c r="EK216" s="49" t="s">
        <v>969</v>
      </c>
      <c r="EM216" s="49" t="s">
        <v>303</v>
      </c>
      <c r="EN216" s="49" t="s">
        <v>485</v>
      </c>
      <c r="EP216" s="49" t="s">
        <v>298</v>
      </c>
      <c r="EQ216" s="0" t="n">
        <v>1</v>
      </c>
      <c r="ER216" s="49" t="s">
        <v>328</v>
      </c>
      <c r="ES216" s="49" t="s">
        <v>329</v>
      </c>
      <c r="ET216" s="49" t="s">
        <v>310</v>
      </c>
      <c r="EU216" s="49" t="s">
        <v>310</v>
      </c>
      <c r="EV216" s="49" t="s">
        <v>310</v>
      </c>
      <c r="EX216" s="49" t="s">
        <v>303</v>
      </c>
      <c r="EY216" s="49" t="s">
        <v>303</v>
      </c>
      <c r="FC216" s="49" t="s">
        <v>330</v>
      </c>
      <c r="FD216" s="49" t="s">
        <v>310</v>
      </c>
      <c r="FE216" s="49" t="s">
        <v>310</v>
      </c>
      <c r="FF216" s="49" t="s">
        <v>72</v>
      </c>
      <c r="FG216" s="49" t="s">
        <v>486</v>
      </c>
      <c r="FH216" s="49" t="s">
        <v>310</v>
      </c>
      <c r="FI216" s="49" t="s">
        <v>332</v>
      </c>
      <c r="FJ216" s="49" t="s">
        <v>303</v>
      </c>
      <c r="FL216" s="49" t="s">
        <v>325</v>
      </c>
      <c r="FM216" s="49" t="s">
        <v>936</v>
      </c>
      <c r="FP216" s="49" t="s">
        <v>303</v>
      </c>
      <c r="FR216" s="49" t="s">
        <v>303</v>
      </c>
      <c r="FT216" s="49" t="s">
        <v>325</v>
      </c>
      <c r="FU216" s="49" t="s">
        <v>325</v>
      </c>
      <c r="FW216" s="49" t="s">
        <v>333</v>
      </c>
    </row>
    <row r="217" customFormat="false" ht="15" hidden="false" customHeight="false" outlineLevel="0" collapsed="false">
      <c r="A217" s="0" t="n">
        <v>100879342</v>
      </c>
      <c r="B217" s="0" t="s">
        <v>295</v>
      </c>
      <c r="C217" s="0" t="s">
        <v>72</v>
      </c>
      <c r="D217" s="0" t="s">
        <v>480</v>
      </c>
      <c r="E217" s="0" t="s">
        <v>297</v>
      </c>
      <c r="G217" s="0" t="n">
        <v>1</v>
      </c>
      <c r="H217" s="0" t="s">
        <v>298</v>
      </c>
      <c r="I217" s="48" t="n">
        <v>46293</v>
      </c>
      <c r="J217" s="0" t="n">
        <v>0</v>
      </c>
      <c r="K217" s="49" t="s">
        <v>936</v>
      </c>
      <c r="L217" s="49" t="s">
        <v>335</v>
      </c>
      <c r="M217" s="48"/>
      <c r="O217" s="49" t="s">
        <v>937</v>
      </c>
      <c r="P217" s="48"/>
      <c r="Q217" s="48" t="n">
        <v>46293</v>
      </c>
      <c r="R217" s="48" t="n">
        <v>46299</v>
      </c>
      <c r="T217" s="49" t="s">
        <v>302</v>
      </c>
      <c r="U217" s="49" t="s">
        <v>303</v>
      </c>
      <c r="Y217" s="49" t="s">
        <v>312</v>
      </c>
      <c r="AD217" s="49" t="s">
        <v>305</v>
      </c>
      <c r="AE217" s="48" t="n">
        <v>46268</v>
      </c>
      <c r="AF217" s="49" t="s">
        <v>306</v>
      </c>
      <c r="AG217" s="49" t="s">
        <v>307</v>
      </c>
      <c r="AK217" s="49" t="s">
        <v>303</v>
      </c>
      <c r="AL217" s="49" t="s">
        <v>297</v>
      </c>
      <c r="AO217" s="49" t="s">
        <v>303</v>
      </c>
      <c r="AP217" s="48"/>
      <c r="AR217" s="49" t="s">
        <v>303</v>
      </c>
      <c r="AS217" s="49" t="s">
        <v>306</v>
      </c>
      <c r="AT217" s="49" t="s">
        <v>970</v>
      </c>
      <c r="AV217" s="49" t="s">
        <v>309</v>
      </c>
      <c r="AW217" s="49" t="s">
        <v>310</v>
      </c>
      <c r="AX217" s="49" t="s">
        <v>311</v>
      </c>
      <c r="AY217" s="48"/>
      <c r="AZ217" s="48" t="n">
        <v>46289</v>
      </c>
      <c r="BC217" s="49" t="s">
        <v>303</v>
      </c>
      <c r="BD217" s="48"/>
      <c r="BE217" s="49" t="s">
        <v>312</v>
      </c>
      <c r="BF217" s="49" t="s">
        <v>303</v>
      </c>
      <c r="BG217" s="48"/>
      <c r="BI217" s="48"/>
      <c r="BJ217" s="48" t="n">
        <v>46296</v>
      </c>
      <c r="BK217" s="49" t="s">
        <v>313</v>
      </c>
      <c r="BL217" s="49" t="s">
        <v>313</v>
      </c>
      <c r="BM217" s="49" t="s">
        <v>310</v>
      </c>
      <c r="BN217" s="48"/>
      <c r="BO217" s="48"/>
      <c r="BP217" s="48"/>
      <c r="BQ217" s="49" t="s">
        <v>936</v>
      </c>
      <c r="BR217" s="48" t="n">
        <v>46296</v>
      </c>
      <c r="BS217" s="49" t="s">
        <v>968</v>
      </c>
      <c r="BT217" s="49" t="s">
        <v>312</v>
      </c>
      <c r="BU217" s="49" t="s">
        <v>313</v>
      </c>
      <c r="BV217" s="49" t="s">
        <v>303</v>
      </c>
      <c r="BX217" s="0" t="n">
        <v>0</v>
      </c>
      <c r="CC217" s="49" t="s">
        <v>315</v>
      </c>
      <c r="CD217" s="49" t="s">
        <v>303</v>
      </c>
      <c r="CF217" s="49" t="s">
        <v>303</v>
      </c>
      <c r="CG217" s="49" t="s">
        <v>316</v>
      </c>
      <c r="CH217" s="49" t="s">
        <v>317</v>
      </c>
      <c r="CI217" s="49" t="s">
        <v>318</v>
      </c>
      <c r="CM217" s="49" t="s">
        <v>480</v>
      </c>
      <c r="CV217" s="49" t="s">
        <v>303</v>
      </c>
      <c r="DB217" s="49" t="s">
        <v>319</v>
      </c>
      <c r="DD217" s="48" t="n">
        <v>46268</v>
      </c>
      <c r="DF217" s="49" t="s">
        <v>310</v>
      </c>
      <c r="DG217" s="49" t="s">
        <v>320</v>
      </c>
      <c r="DH217" s="49" t="s">
        <v>72</v>
      </c>
      <c r="DI217" s="49" t="s">
        <v>298</v>
      </c>
      <c r="DJ217" s="49" t="s">
        <v>321</v>
      </c>
      <c r="DK217" s="49" t="s">
        <v>322</v>
      </c>
      <c r="DL217" s="49" t="s">
        <v>323</v>
      </c>
      <c r="DM217" s="49" t="s">
        <v>303</v>
      </c>
      <c r="DN217" s="49" t="s">
        <v>297</v>
      </c>
      <c r="DO217" s="48"/>
      <c r="DP217" s="49" t="s">
        <v>313</v>
      </c>
      <c r="DQ217" s="48"/>
      <c r="DR217" s="49" t="s">
        <v>312</v>
      </c>
      <c r="DS217" s="49" t="s">
        <v>303</v>
      </c>
      <c r="DT217" s="49" t="s">
        <v>303</v>
      </c>
      <c r="DW217" s="49" t="s">
        <v>303</v>
      </c>
      <c r="EA217" s="49" t="s">
        <v>324</v>
      </c>
      <c r="EB217" s="49" t="s">
        <v>303</v>
      </c>
      <c r="EF217" s="49" t="s">
        <v>971</v>
      </c>
      <c r="EH217" s="49" t="s">
        <v>325</v>
      </c>
      <c r="EJ217" s="49" t="s">
        <v>303</v>
      </c>
      <c r="EK217" s="49" t="s">
        <v>972</v>
      </c>
      <c r="EM217" s="49" t="s">
        <v>303</v>
      </c>
      <c r="EN217" s="49" t="s">
        <v>485</v>
      </c>
      <c r="EP217" s="49" t="s">
        <v>298</v>
      </c>
      <c r="EQ217" s="0" t="n">
        <v>1</v>
      </c>
      <c r="ER217" s="49" t="s">
        <v>328</v>
      </c>
      <c r="ES217" s="49" t="s">
        <v>329</v>
      </c>
      <c r="ET217" s="49" t="s">
        <v>310</v>
      </c>
      <c r="EU217" s="49" t="s">
        <v>310</v>
      </c>
      <c r="EV217" s="49" t="s">
        <v>310</v>
      </c>
      <c r="EX217" s="49" t="s">
        <v>303</v>
      </c>
      <c r="EY217" s="49" t="s">
        <v>303</v>
      </c>
      <c r="FC217" s="49" t="s">
        <v>330</v>
      </c>
      <c r="FD217" s="49" t="s">
        <v>310</v>
      </c>
      <c r="FE217" s="49" t="s">
        <v>310</v>
      </c>
      <c r="FF217" s="49" t="s">
        <v>72</v>
      </c>
      <c r="FG217" s="49" t="s">
        <v>486</v>
      </c>
      <c r="FH217" s="49" t="s">
        <v>310</v>
      </c>
      <c r="FI217" s="49" t="s">
        <v>332</v>
      </c>
      <c r="FJ217" s="49" t="s">
        <v>303</v>
      </c>
      <c r="FL217" s="49" t="s">
        <v>325</v>
      </c>
      <c r="FM217" s="49" t="s">
        <v>936</v>
      </c>
      <c r="FP217" s="49" t="s">
        <v>303</v>
      </c>
      <c r="FR217" s="49" t="s">
        <v>303</v>
      </c>
      <c r="FT217" s="49" t="s">
        <v>325</v>
      </c>
      <c r="FU217" s="49" t="s">
        <v>325</v>
      </c>
      <c r="FW217" s="49" t="s">
        <v>333</v>
      </c>
    </row>
    <row r="218" customFormat="false" ht="15" hidden="false" customHeight="false" outlineLevel="0" collapsed="false">
      <c r="A218" s="0" t="n">
        <v>100879343</v>
      </c>
      <c r="B218" s="0" t="s">
        <v>295</v>
      </c>
      <c r="C218" s="0" t="s">
        <v>72</v>
      </c>
      <c r="D218" s="0" t="s">
        <v>480</v>
      </c>
      <c r="E218" s="0" t="s">
        <v>297</v>
      </c>
      <c r="G218" s="0" t="n">
        <v>1</v>
      </c>
      <c r="H218" s="0" t="s">
        <v>298</v>
      </c>
      <c r="I218" s="48" t="n">
        <v>46293</v>
      </c>
      <c r="J218" s="0" t="n">
        <v>0</v>
      </c>
      <c r="K218" s="49" t="s">
        <v>936</v>
      </c>
      <c r="L218" s="49" t="s">
        <v>335</v>
      </c>
      <c r="M218" s="48"/>
      <c r="O218" s="49" t="s">
        <v>937</v>
      </c>
      <c r="P218" s="48"/>
      <c r="Q218" s="48" t="n">
        <v>46293</v>
      </c>
      <c r="R218" s="48" t="n">
        <v>46299</v>
      </c>
      <c r="T218" s="49" t="s">
        <v>302</v>
      </c>
      <c r="U218" s="49" t="s">
        <v>303</v>
      </c>
      <c r="Y218" s="49" t="s">
        <v>312</v>
      </c>
      <c r="AD218" s="49" t="s">
        <v>305</v>
      </c>
      <c r="AE218" s="48" t="n">
        <v>46268</v>
      </c>
      <c r="AF218" s="49" t="s">
        <v>306</v>
      </c>
      <c r="AG218" s="49" t="s">
        <v>307</v>
      </c>
      <c r="AK218" s="49" t="s">
        <v>303</v>
      </c>
      <c r="AL218" s="49" t="s">
        <v>297</v>
      </c>
      <c r="AO218" s="49" t="s">
        <v>303</v>
      </c>
      <c r="AP218" s="48"/>
      <c r="AR218" s="49" t="s">
        <v>303</v>
      </c>
      <c r="AS218" s="49" t="s">
        <v>306</v>
      </c>
      <c r="AT218" s="49" t="s">
        <v>973</v>
      </c>
      <c r="AV218" s="49" t="s">
        <v>309</v>
      </c>
      <c r="AW218" s="49" t="s">
        <v>310</v>
      </c>
      <c r="AX218" s="49" t="s">
        <v>311</v>
      </c>
      <c r="AY218" s="48"/>
      <c r="AZ218" s="48" t="n">
        <v>46289</v>
      </c>
      <c r="BC218" s="49" t="s">
        <v>303</v>
      </c>
      <c r="BD218" s="48"/>
      <c r="BE218" s="49" t="s">
        <v>312</v>
      </c>
      <c r="BF218" s="49" t="s">
        <v>303</v>
      </c>
      <c r="BG218" s="48"/>
      <c r="BI218" s="48"/>
      <c r="BJ218" s="48" t="n">
        <v>46296</v>
      </c>
      <c r="BK218" s="49" t="s">
        <v>313</v>
      </c>
      <c r="BL218" s="49" t="s">
        <v>313</v>
      </c>
      <c r="BM218" s="49" t="s">
        <v>310</v>
      </c>
      <c r="BN218" s="48"/>
      <c r="BO218" s="48"/>
      <c r="BP218" s="48"/>
      <c r="BQ218" s="49" t="s">
        <v>936</v>
      </c>
      <c r="BR218" s="48" t="n">
        <v>46296</v>
      </c>
      <c r="BS218" s="49" t="s">
        <v>974</v>
      </c>
      <c r="BT218" s="49" t="s">
        <v>312</v>
      </c>
      <c r="BU218" s="49" t="s">
        <v>313</v>
      </c>
      <c r="BV218" s="49" t="s">
        <v>303</v>
      </c>
      <c r="BX218" s="0" t="n">
        <v>0</v>
      </c>
      <c r="CC218" s="49" t="s">
        <v>315</v>
      </c>
      <c r="CD218" s="49" t="s">
        <v>303</v>
      </c>
      <c r="CF218" s="49" t="s">
        <v>303</v>
      </c>
      <c r="CG218" s="49" t="s">
        <v>316</v>
      </c>
      <c r="CH218" s="49" t="s">
        <v>317</v>
      </c>
      <c r="CI218" s="49" t="s">
        <v>318</v>
      </c>
      <c r="CM218" s="49" t="s">
        <v>480</v>
      </c>
      <c r="CV218" s="49" t="s">
        <v>303</v>
      </c>
      <c r="DB218" s="49" t="s">
        <v>319</v>
      </c>
      <c r="DD218" s="48" t="n">
        <v>46268</v>
      </c>
      <c r="DF218" s="49" t="s">
        <v>310</v>
      </c>
      <c r="DG218" s="49" t="s">
        <v>320</v>
      </c>
      <c r="DH218" s="49" t="s">
        <v>72</v>
      </c>
      <c r="DI218" s="49" t="s">
        <v>298</v>
      </c>
      <c r="DJ218" s="49" t="s">
        <v>321</v>
      </c>
      <c r="DK218" s="49" t="s">
        <v>322</v>
      </c>
      <c r="DL218" s="49" t="s">
        <v>323</v>
      </c>
      <c r="DM218" s="49" t="s">
        <v>303</v>
      </c>
      <c r="DN218" s="49" t="s">
        <v>297</v>
      </c>
      <c r="DO218" s="48"/>
      <c r="DP218" s="49" t="s">
        <v>313</v>
      </c>
      <c r="DQ218" s="48"/>
      <c r="DR218" s="49" t="s">
        <v>312</v>
      </c>
      <c r="DS218" s="49" t="s">
        <v>303</v>
      </c>
      <c r="DT218" s="49" t="s">
        <v>303</v>
      </c>
      <c r="DW218" s="49" t="s">
        <v>303</v>
      </c>
      <c r="EA218" s="49" t="s">
        <v>324</v>
      </c>
      <c r="EB218" s="49" t="s">
        <v>303</v>
      </c>
      <c r="EF218" s="49" t="s">
        <v>971</v>
      </c>
      <c r="EH218" s="49" t="s">
        <v>325</v>
      </c>
      <c r="EJ218" s="49" t="s">
        <v>303</v>
      </c>
      <c r="EK218" s="49" t="s">
        <v>975</v>
      </c>
      <c r="EM218" s="49" t="s">
        <v>303</v>
      </c>
      <c r="EN218" s="49" t="s">
        <v>485</v>
      </c>
      <c r="EP218" s="49" t="s">
        <v>298</v>
      </c>
      <c r="EQ218" s="0" t="n">
        <v>1</v>
      </c>
      <c r="ER218" s="49" t="s">
        <v>328</v>
      </c>
      <c r="ES218" s="49" t="s">
        <v>329</v>
      </c>
      <c r="ET218" s="49" t="s">
        <v>310</v>
      </c>
      <c r="EU218" s="49" t="s">
        <v>310</v>
      </c>
      <c r="EV218" s="49" t="s">
        <v>310</v>
      </c>
      <c r="EX218" s="49" t="s">
        <v>303</v>
      </c>
      <c r="EY218" s="49" t="s">
        <v>303</v>
      </c>
      <c r="FC218" s="49" t="s">
        <v>330</v>
      </c>
      <c r="FD218" s="49" t="s">
        <v>310</v>
      </c>
      <c r="FE218" s="49" t="s">
        <v>310</v>
      </c>
      <c r="FF218" s="49" t="s">
        <v>72</v>
      </c>
      <c r="FG218" s="49" t="s">
        <v>486</v>
      </c>
      <c r="FH218" s="49" t="s">
        <v>310</v>
      </c>
      <c r="FI218" s="49" t="s">
        <v>332</v>
      </c>
      <c r="FJ218" s="49" t="s">
        <v>303</v>
      </c>
      <c r="FL218" s="49" t="s">
        <v>325</v>
      </c>
      <c r="FM218" s="49" t="s">
        <v>936</v>
      </c>
      <c r="FP218" s="49" t="s">
        <v>303</v>
      </c>
      <c r="FR218" s="49" t="s">
        <v>303</v>
      </c>
      <c r="FT218" s="49" t="s">
        <v>325</v>
      </c>
      <c r="FU218" s="49" t="s">
        <v>325</v>
      </c>
      <c r="FW218" s="49" t="s">
        <v>333</v>
      </c>
    </row>
    <row r="219" customFormat="false" ht="15" hidden="false" customHeight="false" outlineLevel="0" collapsed="false">
      <c r="A219" s="0" t="n">
        <v>100879409</v>
      </c>
      <c r="B219" s="0" t="s">
        <v>295</v>
      </c>
      <c r="C219" s="0" t="s">
        <v>64</v>
      </c>
      <c r="D219" s="0" t="s">
        <v>65</v>
      </c>
      <c r="E219" s="0" t="s">
        <v>297</v>
      </c>
      <c r="G219" s="0" t="n">
        <v>1</v>
      </c>
      <c r="H219" s="0" t="s">
        <v>298</v>
      </c>
      <c r="I219" s="48" t="n">
        <v>46293</v>
      </c>
      <c r="J219" s="0" t="n">
        <v>0</v>
      </c>
      <c r="K219" s="49" t="s">
        <v>936</v>
      </c>
      <c r="L219" s="49" t="s">
        <v>335</v>
      </c>
      <c r="M219" s="48" t="n">
        <v>46293</v>
      </c>
      <c r="N219" s="49" t="s">
        <v>335</v>
      </c>
      <c r="O219" s="49" t="s">
        <v>937</v>
      </c>
      <c r="P219" s="48"/>
      <c r="Q219" s="48" t="n">
        <v>46293</v>
      </c>
      <c r="R219" s="48" t="n">
        <v>46300</v>
      </c>
      <c r="T219" s="49" t="s">
        <v>302</v>
      </c>
      <c r="U219" s="49" t="s">
        <v>303</v>
      </c>
      <c r="Y219" s="49" t="s">
        <v>976</v>
      </c>
      <c r="AD219" s="49" t="s">
        <v>305</v>
      </c>
      <c r="AE219" s="48" t="n">
        <v>46267</v>
      </c>
      <c r="AF219" s="49" t="s">
        <v>306</v>
      </c>
      <c r="AG219" s="49" t="s">
        <v>307</v>
      </c>
      <c r="AK219" s="49" t="s">
        <v>303</v>
      </c>
      <c r="AL219" s="49" t="s">
        <v>297</v>
      </c>
      <c r="AO219" s="49" t="s">
        <v>303</v>
      </c>
      <c r="AP219" s="48"/>
      <c r="AR219" s="49" t="s">
        <v>303</v>
      </c>
      <c r="AS219" s="49" t="s">
        <v>306</v>
      </c>
      <c r="AT219" s="49" t="s">
        <v>977</v>
      </c>
      <c r="AV219" s="49" t="s">
        <v>309</v>
      </c>
      <c r="AW219" s="49" t="s">
        <v>310</v>
      </c>
      <c r="AX219" s="49" t="s">
        <v>311</v>
      </c>
      <c r="AY219" s="48"/>
      <c r="AZ219" s="48" t="n">
        <v>46289</v>
      </c>
      <c r="BC219" s="49" t="s">
        <v>303</v>
      </c>
      <c r="BD219" s="48"/>
      <c r="BE219" s="49" t="s">
        <v>312</v>
      </c>
      <c r="BF219" s="49" t="s">
        <v>303</v>
      </c>
      <c r="BG219" s="48"/>
      <c r="BI219" s="48"/>
      <c r="BJ219" s="48" t="n">
        <v>46296</v>
      </c>
      <c r="BK219" s="49" t="s">
        <v>312</v>
      </c>
      <c r="BL219" s="49" t="s">
        <v>313</v>
      </c>
      <c r="BM219" s="49" t="s">
        <v>310</v>
      </c>
      <c r="BN219" s="48"/>
      <c r="BO219" s="48"/>
      <c r="BP219" s="48"/>
      <c r="BQ219" s="49" t="s">
        <v>923</v>
      </c>
      <c r="BR219" s="48" t="n">
        <v>46296</v>
      </c>
      <c r="BS219" s="49" t="s">
        <v>978</v>
      </c>
      <c r="BT219" s="49" t="s">
        <v>312</v>
      </c>
      <c r="BU219" s="49" t="s">
        <v>313</v>
      </c>
      <c r="BV219" s="49" t="s">
        <v>303</v>
      </c>
      <c r="BX219" s="0" t="n">
        <v>0</v>
      </c>
      <c r="CC219" s="49" t="s">
        <v>315</v>
      </c>
      <c r="CD219" s="49" t="s">
        <v>303</v>
      </c>
      <c r="CF219" s="49" t="s">
        <v>303</v>
      </c>
      <c r="CG219" s="49" t="s">
        <v>316</v>
      </c>
      <c r="CH219" s="49" t="s">
        <v>317</v>
      </c>
      <c r="CI219" s="49" t="s">
        <v>318</v>
      </c>
      <c r="CM219" s="49" t="s">
        <v>65</v>
      </c>
      <c r="CV219" s="49" t="s">
        <v>303</v>
      </c>
      <c r="DB219" s="49" t="s">
        <v>319</v>
      </c>
      <c r="DD219" s="48" t="n">
        <v>46267</v>
      </c>
      <c r="DF219" s="49" t="s">
        <v>310</v>
      </c>
      <c r="DG219" s="49" t="s">
        <v>320</v>
      </c>
      <c r="DH219" s="49" t="s">
        <v>64</v>
      </c>
      <c r="DI219" s="49" t="s">
        <v>298</v>
      </c>
      <c r="DJ219" s="49" t="s">
        <v>394</v>
      </c>
      <c r="DK219" s="49" t="s">
        <v>322</v>
      </c>
      <c r="DL219" s="49" t="s">
        <v>323</v>
      </c>
      <c r="DM219" s="49" t="s">
        <v>303</v>
      </c>
      <c r="DN219" s="49" t="s">
        <v>297</v>
      </c>
      <c r="DO219" s="48"/>
      <c r="DP219" s="49" t="s">
        <v>312</v>
      </c>
      <c r="DQ219" s="48"/>
      <c r="DR219" s="49" t="s">
        <v>312</v>
      </c>
      <c r="DS219" s="49" t="s">
        <v>303</v>
      </c>
      <c r="DT219" s="49" t="s">
        <v>303</v>
      </c>
      <c r="DW219" s="49" t="s">
        <v>303</v>
      </c>
      <c r="EA219" s="49" t="s">
        <v>324</v>
      </c>
      <c r="EB219" s="49" t="s">
        <v>303</v>
      </c>
      <c r="EH219" s="49" t="s">
        <v>310</v>
      </c>
      <c r="EJ219" s="49" t="s">
        <v>303</v>
      </c>
      <c r="EK219" s="49" t="s">
        <v>979</v>
      </c>
      <c r="EM219" s="49" t="s">
        <v>303</v>
      </c>
      <c r="EN219" s="49" t="s">
        <v>396</v>
      </c>
      <c r="EP219" s="49" t="s">
        <v>298</v>
      </c>
      <c r="EQ219" s="0" t="n">
        <v>1</v>
      </c>
      <c r="ER219" s="49" t="s">
        <v>328</v>
      </c>
      <c r="ES219" s="49" t="s">
        <v>329</v>
      </c>
      <c r="ET219" s="49" t="s">
        <v>310</v>
      </c>
      <c r="EU219" s="49" t="s">
        <v>310</v>
      </c>
      <c r="EV219" s="49" t="s">
        <v>310</v>
      </c>
      <c r="EX219" s="49" t="s">
        <v>303</v>
      </c>
      <c r="EY219" s="49" t="s">
        <v>303</v>
      </c>
      <c r="FC219" s="49" t="s">
        <v>330</v>
      </c>
      <c r="FD219" s="49" t="s">
        <v>310</v>
      </c>
      <c r="FE219" s="49" t="s">
        <v>310</v>
      </c>
      <c r="FF219" s="49" t="s">
        <v>64</v>
      </c>
      <c r="FG219" s="49" t="s">
        <v>397</v>
      </c>
      <c r="FH219" s="49" t="s">
        <v>310</v>
      </c>
      <c r="FI219" s="49" t="s">
        <v>332</v>
      </c>
      <c r="FJ219" s="49" t="s">
        <v>303</v>
      </c>
      <c r="FL219" s="49" t="s">
        <v>325</v>
      </c>
      <c r="FM219" s="49" t="s">
        <v>936</v>
      </c>
      <c r="FP219" s="49" t="s">
        <v>303</v>
      </c>
      <c r="FR219" s="49" t="s">
        <v>303</v>
      </c>
      <c r="FT219" s="49" t="s">
        <v>325</v>
      </c>
      <c r="FU219" s="49" t="s">
        <v>325</v>
      </c>
      <c r="FW219" s="49" t="s">
        <v>333</v>
      </c>
    </row>
    <row r="220" customFormat="false" ht="15" hidden="false" customHeight="false" outlineLevel="0" collapsed="false">
      <c r="A220" s="0" t="n">
        <v>100879410</v>
      </c>
      <c r="B220" s="0" t="s">
        <v>295</v>
      </c>
      <c r="C220" s="0" t="s">
        <v>64</v>
      </c>
      <c r="D220" s="0" t="s">
        <v>65</v>
      </c>
      <c r="E220" s="0" t="s">
        <v>297</v>
      </c>
      <c r="G220" s="0" t="n">
        <v>1</v>
      </c>
      <c r="H220" s="0" t="s">
        <v>298</v>
      </c>
      <c r="I220" s="48" t="n">
        <v>46293</v>
      </c>
      <c r="J220" s="0" t="n">
        <v>0</v>
      </c>
      <c r="K220" s="49" t="s">
        <v>936</v>
      </c>
      <c r="L220" s="49" t="s">
        <v>335</v>
      </c>
      <c r="M220" s="48"/>
      <c r="O220" s="49" t="s">
        <v>937</v>
      </c>
      <c r="P220" s="48"/>
      <c r="Q220" s="48" t="n">
        <v>46293</v>
      </c>
      <c r="R220" s="48" t="n">
        <v>46299</v>
      </c>
      <c r="T220" s="49" t="s">
        <v>302</v>
      </c>
      <c r="U220" s="49" t="s">
        <v>303</v>
      </c>
      <c r="Y220" s="49" t="s">
        <v>312</v>
      </c>
      <c r="AD220" s="49" t="s">
        <v>305</v>
      </c>
      <c r="AE220" s="48" t="n">
        <v>46267</v>
      </c>
      <c r="AF220" s="49" t="s">
        <v>306</v>
      </c>
      <c r="AG220" s="49" t="s">
        <v>307</v>
      </c>
      <c r="AK220" s="49" t="s">
        <v>303</v>
      </c>
      <c r="AL220" s="49" t="s">
        <v>297</v>
      </c>
      <c r="AO220" s="49" t="s">
        <v>303</v>
      </c>
      <c r="AP220" s="48"/>
      <c r="AR220" s="49" t="s">
        <v>303</v>
      </c>
      <c r="AS220" s="49" t="s">
        <v>306</v>
      </c>
      <c r="AT220" s="49" t="s">
        <v>980</v>
      </c>
      <c r="AV220" s="49" t="s">
        <v>309</v>
      </c>
      <c r="AW220" s="49" t="s">
        <v>310</v>
      </c>
      <c r="AX220" s="49" t="s">
        <v>311</v>
      </c>
      <c r="AY220" s="48"/>
      <c r="AZ220" s="48" t="n">
        <v>46289</v>
      </c>
      <c r="BC220" s="49" t="s">
        <v>303</v>
      </c>
      <c r="BD220" s="48"/>
      <c r="BE220" s="49" t="s">
        <v>312</v>
      </c>
      <c r="BF220" s="49" t="s">
        <v>303</v>
      </c>
      <c r="BG220" s="48"/>
      <c r="BI220" s="48"/>
      <c r="BJ220" s="48" t="n">
        <v>46296</v>
      </c>
      <c r="BK220" s="49" t="s">
        <v>313</v>
      </c>
      <c r="BL220" s="49" t="s">
        <v>313</v>
      </c>
      <c r="BM220" s="49" t="s">
        <v>310</v>
      </c>
      <c r="BN220" s="48"/>
      <c r="BO220" s="48"/>
      <c r="BP220" s="48"/>
      <c r="BQ220" s="49" t="s">
        <v>923</v>
      </c>
      <c r="BR220" s="48" t="n">
        <v>46296</v>
      </c>
      <c r="BS220" s="49" t="s">
        <v>978</v>
      </c>
      <c r="BT220" s="49" t="s">
        <v>312</v>
      </c>
      <c r="BU220" s="49" t="s">
        <v>313</v>
      </c>
      <c r="BV220" s="49" t="s">
        <v>303</v>
      </c>
      <c r="BX220" s="0" t="n">
        <v>0</v>
      </c>
      <c r="CC220" s="49" t="s">
        <v>315</v>
      </c>
      <c r="CD220" s="49" t="s">
        <v>303</v>
      </c>
      <c r="CF220" s="49" t="s">
        <v>303</v>
      </c>
      <c r="CG220" s="49" t="s">
        <v>316</v>
      </c>
      <c r="CH220" s="49" t="s">
        <v>317</v>
      </c>
      <c r="CI220" s="49" t="s">
        <v>318</v>
      </c>
      <c r="CM220" s="49" t="s">
        <v>65</v>
      </c>
      <c r="CV220" s="49" t="s">
        <v>303</v>
      </c>
      <c r="DB220" s="49" t="s">
        <v>319</v>
      </c>
      <c r="DD220" s="48" t="n">
        <v>46267</v>
      </c>
      <c r="DF220" s="49" t="s">
        <v>310</v>
      </c>
      <c r="DG220" s="49" t="s">
        <v>320</v>
      </c>
      <c r="DH220" s="49" t="s">
        <v>64</v>
      </c>
      <c r="DI220" s="49" t="s">
        <v>298</v>
      </c>
      <c r="DJ220" s="49" t="s">
        <v>394</v>
      </c>
      <c r="DK220" s="49" t="s">
        <v>322</v>
      </c>
      <c r="DL220" s="49" t="s">
        <v>323</v>
      </c>
      <c r="DM220" s="49" t="s">
        <v>303</v>
      </c>
      <c r="DN220" s="49" t="s">
        <v>297</v>
      </c>
      <c r="DO220" s="48"/>
      <c r="DP220" s="49" t="s">
        <v>312</v>
      </c>
      <c r="DQ220" s="48"/>
      <c r="DR220" s="49" t="s">
        <v>312</v>
      </c>
      <c r="DS220" s="49" t="s">
        <v>303</v>
      </c>
      <c r="DT220" s="49" t="s">
        <v>303</v>
      </c>
      <c r="DW220" s="49" t="s">
        <v>303</v>
      </c>
      <c r="EA220" s="49" t="s">
        <v>324</v>
      </c>
      <c r="EB220" s="49" t="s">
        <v>303</v>
      </c>
      <c r="EF220" s="49" t="s">
        <v>981</v>
      </c>
      <c r="EH220" s="49" t="s">
        <v>310</v>
      </c>
      <c r="EJ220" s="49" t="s">
        <v>303</v>
      </c>
      <c r="EK220" s="49" t="s">
        <v>982</v>
      </c>
      <c r="EM220" s="49" t="s">
        <v>303</v>
      </c>
      <c r="EN220" s="49" t="s">
        <v>396</v>
      </c>
      <c r="EP220" s="49" t="s">
        <v>298</v>
      </c>
      <c r="EQ220" s="0" t="n">
        <v>1</v>
      </c>
      <c r="ER220" s="49" t="s">
        <v>328</v>
      </c>
      <c r="ES220" s="49" t="s">
        <v>329</v>
      </c>
      <c r="ET220" s="49" t="s">
        <v>310</v>
      </c>
      <c r="EU220" s="49" t="s">
        <v>310</v>
      </c>
      <c r="EV220" s="49" t="s">
        <v>310</v>
      </c>
      <c r="EX220" s="49" t="s">
        <v>303</v>
      </c>
      <c r="EY220" s="49" t="s">
        <v>303</v>
      </c>
      <c r="FC220" s="49" t="s">
        <v>330</v>
      </c>
      <c r="FD220" s="49" t="s">
        <v>310</v>
      </c>
      <c r="FE220" s="49" t="s">
        <v>310</v>
      </c>
      <c r="FF220" s="49" t="s">
        <v>64</v>
      </c>
      <c r="FG220" s="49" t="s">
        <v>397</v>
      </c>
      <c r="FH220" s="49" t="s">
        <v>310</v>
      </c>
      <c r="FI220" s="49" t="s">
        <v>332</v>
      </c>
      <c r="FJ220" s="49" t="s">
        <v>303</v>
      </c>
      <c r="FL220" s="49" t="s">
        <v>325</v>
      </c>
      <c r="FM220" s="49" t="s">
        <v>936</v>
      </c>
      <c r="FP220" s="49" t="s">
        <v>303</v>
      </c>
      <c r="FR220" s="49" t="s">
        <v>303</v>
      </c>
      <c r="FT220" s="49" t="s">
        <v>325</v>
      </c>
      <c r="FU220" s="49" t="s">
        <v>325</v>
      </c>
      <c r="FW220" s="49" t="s">
        <v>333</v>
      </c>
    </row>
    <row r="221" customFormat="false" ht="15" hidden="false" customHeight="false" outlineLevel="0" collapsed="false">
      <c r="A221" s="0" t="n">
        <v>100879411</v>
      </c>
      <c r="B221" s="0" t="s">
        <v>295</v>
      </c>
      <c r="C221" s="0" t="s">
        <v>64</v>
      </c>
      <c r="D221" s="0" t="s">
        <v>65</v>
      </c>
      <c r="E221" s="0" t="s">
        <v>297</v>
      </c>
      <c r="G221" s="0" t="n">
        <v>1</v>
      </c>
      <c r="H221" s="0" t="s">
        <v>298</v>
      </c>
      <c r="I221" s="48" t="n">
        <v>46293</v>
      </c>
      <c r="J221" s="0" t="n">
        <v>0</v>
      </c>
      <c r="K221" s="49" t="s">
        <v>936</v>
      </c>
      <c r="L221" s="49" t="s">
        <v>335</v>
      </c>
      <c r="M221" s="48"/>
      <c r="O221" s="49" t="s">
        <v>937</v>
      </c>
      <c r="P221" s="48"/>
      <c r="Q221" s="48" t="n">
        <v>46293</v>
      </c>
      <c r="R221" s="48" t="n">
        <v>46299</v>
      </c>
      <c r="T221" s="49" t="s">
        <v>302</v>
      </c>
      <c r="U221" s="49" t="s">
        <v>303</v>
      </c>
      <c r="Y221" s="49" t="s">
        <v>312</v>
      </c>
      <c r="AD221" s="49" t="s">
        <v>305</v>
      </c>
      <c r="AE221" s="48" t="n">
        <v>46267</v>
      </c>
      <c r="AF221" s="49" t="s">
        <v>306</v>
      </c>
      <c r="AG221" s="49" t="s">
        <v>307</v>
      </c>
      <c r="AK221" s="49" t="s">
        <v>303</v>
      </c>
      <c r="AL221" s="49" t="s">
        <v>297</v>
      </c>
      <c r="AO221" s="49" t="s">
        <v>303</v>
      </c>
      <c r="AP221" s="48"/>
      <c r="AR221" s="49" t="s">
        <v>303</v>
      </c>
      <c r="AS221" s="49" t="s">
        <v>306</v>
      </c>
      <c r="AT221" s="49" t="s">
        <v>983</v>
      </c>
      <c r="AV221" s="49" t="s">
        <v>309</v>
      </c>
      <c r="AW221" s="49" t="s">
        <v>310</v>
      </c>
      <c r="AX221" s="49" t="s">
        <v>311</v>
      </c>
      <c r="AY221" s="48"/>
      <c r="AZ221" s="48" t="n">
        <v>46289</v>
      </c>
      <c r="BC221" s="49" t="s">
        <v>303</v>
      </c>
      <c r="BD221" s="48"/>
      <c r="BE221" s="49" t="s">
        <v>312</v>
      </c>
      <c r="BF221" s="49" t="s">
        <v>303</v>
      </c>
      <c r="BG221" s="48"/>
      <c r="BI221" s="48"/>
      <c r="BJ221" s="48" t="n">
        <v>46296</v>
      </c>
      <c r="BK221" s="49" t="s">
        <v>313</v>
      </c>
      <c r="BL221" s="49" t="s">
        <v>313</v>
      </c>
      <c r="BM221" s="49" t="s">
        <v>310</v>
      </c>
      <c r="BN221" s="48"/>
      <c r="BO221" s="48"/>
      <c r="BP221" s="48"/>
      <c r="BQ221" s="49" t="s">
        <v>923</v>
      </c>
      <c r="BR221" s="48" t="n">
        <v>46296</v>
      </c>
      <c r="BS221" s="49" t="s">
        <v>978</v>
      </c>
      <c r="BT221" s="49" t="s">
        <v>312</v>
      </c>
      <c r="BU221" s="49" t="s">
        <v>313</v>
      </c>
      <c r="BV221" s="49" t="s">
        <v>303</v>
      </c>
      <c r="BX221" s="0" t="n">
        <v>0</v>
      </c>
      <c r="CC221" s="49" t="s">
        <v>315</v>
      </c>
      <c r="CD221" s="49" t="s">
        <v>303</v>
      </c>
      <c r="CF221" s="49" t="s">
        <v>303</v>
      </c>
      <c r="CG221" s="49" t="s">
        <v>316</v>
      </c>
      <c r="CH221" s="49" t="s">
        <v>317</v>
      </c>
      <c r="CI221" s="49" t="s">
        <v>318</v>
      </c>
      <c r="CM221" s="49" t="s">
        <v>65</v>
      </c>
      <c r="CV221" s="49" t="s">
        <v>303</v>
      </c>
      <c r="DB221" s="49" t="s">
        <v>319</v>
      </c>
      <c r="DD221" s="48" t="n">
        <v>46267</v>
      </c>
      <c r="DF221" s="49" t="s">
        <v>310</v>
      </c>
      <c r="DG221" s="49" t="s">
        <v>320</v>
      </c>
      <c r="DH221" s="49" t="s">
        <v>64</v>
      </c>
      <c r="DI221" s="49" t="s">
        <v>298</v>
      </c>
      <c r="DJ221" s="49" t="s">
        <v>394</v>
      </c>
      <c r="DK221" s="49" t="s">
        <v>322</v>
      </c>
      <c r="DL221" s="49" t="s">
        <v>323</v>
      </c>
      <c r="DM221" s="49" t="s">
        <v>303</v>
      </c>
      <c r="DN221" s="49" t="s">
        <v>297</v>
      </c>
      <c r="DO221" s="48"/>
      <c r="DP221" s="49" t="s">
        <v>312</v>
      </c>
      <c r="DQ221" s="48"/>
      <c r="DR221" s="49" t="s">
        <v>312</v>
      </c>
      <c r="DS221" s="49" t="s">
        <v>303</v>
      </c>
      <c r="DT221" s="49" t="s">
        <v>303</v>
      </c>
      <c r="DW221" s="49" t="s">
        <v>303</v>
      </c>
      <c r="EA221" s="49" t="s">
        <v>324</v>
      </c>
      <c r="EB221" s="49" t="s">
        <v>303</v>
      </c>
      <c r="EF221" s="49" t="s">
        <v>981</v>
      </c>
      <c r="EH221" s="49" t="s">
        <v>310</v>
      </c>
      <c r="EJ221" s="49" t="s">
        <v>303</v>
      </c>
      <c r="EK221" s="49" t="s">
        <v>984</v>
      </c>
      <c r="EM221" s="49" t="s">
        <v>303</v>
      </c>
      <c r="EN221" s="49" t="s">
        <v>396</v>
      </c>
      <c r="EP221" s="49" t="s">
        <v>298</v>
      </c>
      <c r="EQ221" s="0" t="n">
        <v>1</v>
      </c>
      <c r="ER221" s="49" t="s">
        <v>328</v>
      </c>
      <c r="ES221" s="49" t="s">
        <v>329</v>
      </c>
      <c r="ET221" s="49" t="s">
        <v>310</v>
      </c>
      <c r="EU221" s="49" t="s">
        <v>310</v>
      </c>
      <c r="EV221" s="49" t="s">
        <v>310</v>
      </c>
      <c r="EX221" s="49" t="s">
        <v>303</v>
      </c>
      <c r="EY221" s="49" t="s">
        <v>303</v>
      </c>
      <c r="FC221" s="49" t="s">
        <v>330</v>
      </c>
      <c r="FD221" s="49" t="s">
        <v>310</v>
      </c>
      <c r="FE221" s="49" t="s">
        <v>310</v>
      </c>
      <c r="FF221" s="49" t="s">
        <v>64</v>
      </c>
      <c r="FG221" s="49" t="s">
        <v>397</v>
      </c>
      <c r="FH221" s="49" t="s">
        <v>310</v>
      </c>
      <c r="FI221" s="49" t="s">
        <v>332</v>
      </c>
      <c r="FJ221" s="49" t="s">
        <v>303</v>
      </c>
      <c r="FL221" s="49" t="s">
        <v>325</v>
      </c>
      <c r="FM221" s="49" t="s">
        <v>936</v>
      </c>
      <c r="FP221" s="49" t="s">
        <v>303</v>
      </c>
      <c r="FR221" s="49" t="s">
        <v>303</v>
      </c>
      <c r="FT221" s="49" t="s">
        <v>325</v>
      </c>
      <c r="FU221" s="49" t="s">
        <v>325</v>
      </c>
      <c r="FW221" s="49" t="s">
        <v>333</v>
      </c>
    </row>
    <row r="222" customFormat="false" ht="15" hidden="false" customHeight="false" outlineLevel="0" collapsed="false">
      <c r="A222" s="0" t="n">
        <v>100879412</v>
      </c>
      <c r="B222" s="0" t="s">
        <v>295</v>
      </c>
      <c r="C222" s="0" t="s">
        <v>64</v>
      </c>
      <c r="D222" s="0" t="s">
        <v>65</v>
      </c>
      <c r="E222" s="0" t="s">
        <v>297</v>
      </c>
      <c r="G222" s="0" t="n">
        <v>1</v>
      </c>
      <c r="H222" s="0" t="s">
        <v>298</v>
      </c>
      <c r="I222" s="48" t="n">
        <v>46293</v>
      </c>
      <c r="J222" s="0" t="n">
        <v>0</v>
      </c>
      <c r="K222" s="49" t="s">
        <v>936</v>
      </c>
      <c r="L222" s="49" t="s">
        <v>335</v>
      </c>
      <c r="M222" s="48"/>
      <c r="O222" s="49" t="s">
        <v>937</v>
      </c>
      <c r="P222" s="48"/>
      <c r="Q222" s="48" t="n">
        <v>46293</v>
      </c>
      <c r="R222" s="48" t="n">
        <v>46299</v>
      </c>
      <c r="T222" s="49" t="s">
        <v>302</v>
      </c>
      <c r="U222" s="49" t="s">
        <v>303</v>
      </c>
      <c r="Y222" s="49" t="s">
        <v>312</v>
      </c>
      <c r="AD222" s="49" t="s">
        <v>305</v>
      </c>
      <c r="AE222" s="48" t="n">
        <v>46267</v>
      </c>
      <c r="AF222" s="49" t="s">
        <v>306</v>
      </c>
      <c r="AG222" s="49" t="s">
        <v>307</v>
      </c>
      <c r="AK222" s="49" t="s">
        <v>303</v>
      </c>
      <c r="AL222" s="49" t="s">
        <v>297</v>
      </c>
      <c r="AO222" s="49" t="s">
        <v>303</v>
      </c>
      <c r="AP222" s="48"/>
      <c r="AR222" s="49" t="s">
        <v>303</v>
      </c>
      <c r="AS222" s="49" t="s">
        <v>306</v>
      </c>
      <c r="AT222" s="49" t="s">
        <v>985</v>
      </c>
      <c r="AV222" s="49" t="s">
        <v>309</v>
      </c>
      <c r="AW222" s="49" t="s">
        <v>310</v>
      </c>
      <c r="AX222" s="49" t="s">
        <v>311</v>
      </c>
      <c r="AY222" s="48"/>
      <c r="AZ222" s="48" t="n">
        <v>46289</v>
      </c>
      <c r="BC222" s="49" t="s">
        <v>303</v>
      </c>
      <c r="BD222" s="48"/>
      <c r="BE222" s="49" t="s">
        <v>312</v>
      </c>
      <c r="BF222" s="49" t="s">
        <v>303</v>
      </c>
      <c r="BG222" s="48"/>
      <c r="BI222" s="48"/>
      <c r="BJ222" s="48" t="n">
        <v>46296</v>
      </c>
      <c r="BK222" s="49" t="s">
        <v>313</v>
      </c>
      <c r="BL222" s="49" t="s">
        <v>313</v>
      </c>
      <c r="BM222" s="49" t="s">
        <v>310</v>
      </c>
      <c r="BN222" s="48"/>
      <c r="BO222" s="48"/>
      <c r="BP222" s="48"/>
      <c r="BQ222" s="49" t="s">
        <v>923</v>
      </c>
      <c r="BR222" s="48" t="n">
        <v>46296</v>
      </c>
      <c r="BS222" s="49" t="s">
        <v>986</v>
      </c>
      <c r="BT222" s="49" t="s">
        <v>312</v>
      </c>
      <c r="BU222" s="49" t="s">
        <v>313</v>
      </c>
      <c r="BV222" s="49" t="s">
        <v>303</v>
      </c>
      <c r="BX222" s="0" t="n">
        <v>0</v>
      </c>
      <c r="CC222" s="49" t="s">
        <v>315</v>
      </c>
      <c r="CD222" s="49" t="s">
        <v>303</v>
      </c>
      <c r="CF222" s="49" t="s">
        <v>303</v>
      </c>
      <c r="CG222" s="49" t="s">
        <v>316</v>
      </c>
      <c r="CH222" s="49" t="s">
        <v>317</v>
      </c>
      <c r="CI222" s="49" t="s">
        <v>318</v>
      </c>
      <c r="CM222" s="49" t="s">
        <v>65</v>
      </c>
      <c r="CV222" s="49" t="s">
        <v>303</v>
      </c>
      <c r="DB222" s="49" t="s">
        <v>319</v>
      </c>
      <c r="DD222" s="48" t="n">
        <v>46267</v>
      </c>
      <c r="DF222" s="49" t="s">
        <v>310</v>
      </c>
      <c r="DG222" s="49" t="s">
        <v>320</v>
      </c>
      <c r="DH222" s="49" t="s">
        <v>64</v>
      </c>
      <c r="DI222" s="49" t="s">
        <v>298</v>
      </c>
      <c r="DJ222" s="49" t="s">
        <v>394</v>
      </c>
      <c r="DK222" s="49" t="s">
        <v>322</v>
      </c>
      <c r="DL222" s="49" t="s">
        <v>323</v>
      </c>
      <c r="DM222" s="49" t="s">
        <v>303</v>
      </c>
      <c r="DN222" s="49" t="s">
        <v>297</v>
      </c>
      <c r="DO222" s="48"/>
      <c r="DP222" s="49" t="s">
        <v>312</v>
      </c>
      <c r="DQ222" s="48"/>
      <c r="DR222" s="49" t="s">
        <v>312</v>
      </c>
      <c r="DS222" s="49" t="s">
        <v>303</v>
      </c>
      <c r="DT222" s="49" t="s">
        <v>303</v>
      </c>
      <c r="DW222" s="49" t="s">
        <v>303</v>
      </c>
      <c r="EA222" s="49" t="s">
        <v>324</v>
      </c>
      <c r="EB222" s="49" t="s">
        <v>303</v>
      </c>
      <c r="EF222" s="49" t="s">
        <v>981</v>
      </c>
      <c r="EH222" s="49" t="s">
        <v>310</v>
      </c>
      <c r="EJ222" s="49" t="s">
        <v>303</v>
      </c>
      <c r="EK222" s="49" t="s">
        <v>987</v>
      </c>
      <c r="EM222" s="49" t="s">
        <v>303</v>
      </c>
      <c r="EN222" s="49" t="s">
        <v>396</v>
      </c>
      <c r="EP222" s="49" t="s">
        <v>298</v>
      </c>
      <c r="EQ222" s="0" t="n">
        <v>1</v>
      </c>
      <c r="ER222" s="49" t="s">
        <v>328</v>
      </c>
      <c r="ES222" s="49" t="s">
        <v>329</v>
      </c>
      <c r="ET222" s="49" t="s">
        <v>310</v>
      </c>
      <c r="EU222" s="49" t="s">
        <v>310</v>
      </c>
      <c r="EV222" s="49" t="s">
        <v>310</v>
      </c>
      <c r="EX222" s="49" t="s">
        <v>303</v>
      </c>
      <c r="EY222" s="49" t="s">
        <v>303</v>
      </c>
      <c r="FC222" s="49" t="s">
        <v>330</v>
      </c>
      <c r="FD222" s="49" t="s">
        <v>310</v>
      </c>
      <c r="FE222" s="49" t="s">
        <v>310</v>
      </c>
      <c r="FF222" s="49" t="s">
        <v>64</v>
      </c>
      <c r="FG222" s="49" t="s">
        <v>397</v>
      </c>
      <c r="FH222" s="49" t="s">
        <v>310</v>
      </c>
      <c r="FI222" s="49" t="s">
        <v>332</v>
      </c>
      <c r="FJ222" s="49" t="s">
        <v>303</v>
      </c>
      <c r="FL222" s="49" t="s">
        <v>325</v>
      </c>
      <c r="FM222" s="49" t="s">
        <v>936</v>
      </c>
      <c r="FP222" s="49" t="s">
        <v>303</v>
      </c>
      <c r="FR222" s="49" t="s">
        <v>303</v>
      </c>
      <c r="FT222" s="49" t="s">
        <v>325</v>
      </c>
      <c r="FU222" s="49" t="s">
        <v>325</v>
      </c>
      <c r="FW222" s="49" t="s">
        <v>333</v>
      </c>
    </row>
    <row r="223" customFormat="false" ht="15" hidden="false" customHeight="false" outlineLevel="0" collapsed="false">
      <c r="A223" s="0" t="n">
        <v>100879413</v>
      </c>
      <c r="B223" s="0" t="s">
        <v>295</v>
      </c>
      <c r="C223" s="0" t="s">
        <v>64</v>
      </c>
      <c r="D223" s="0" t="s">
        <v>65</v>
      </c>
      <c r="E223" s="0" t="s">
        <v>297</v>
      </c>
      <c r="G223" s="0" t="n">
        <v>1</v>
      </c>
      <c r="H223" s="0" t="s">
        <v>298</v>
      </c>
      <c r="I223" s="48" t="n">
        <v>46293</v>
      </c>
      <c r="J223" s="0" t="n">
        <v>0</v>
      </c>
      <c r="K223" s="49" t="s">
        <v>936</v>
      </c>
      <c r="L223" s="49" t="s">
        <v>335</v>
      </c>
      <c r="M223" s="48"/>
      <c r="O223" s="49" t="s">
        <v>937</v>
      </c>
      <c r="P223" s="48"/>
      <c r="Q223" s="48" t="n">
        <v>46293</v>
      </c>
      <c r="R223" s="48" t="n">
        <v>46299</v>
      </c>
      <c r="T223" s="49" t="s">
        <v>302</v>
      </c>
      <c r="U223" s="49" t="s">
        <v>303</v>
      </c>
      <c r="Y223" s="49" t="s">
        <v>312</v>
      </c>
      <c r="AD223" s="49" t="s">
        <v>305</v>
      </c>
      <c r="AE223" s="48" t="n">
        <v>46267</v>
      </c>
      <c r="AF223" s="49" t="s">
        <v>306</v>
      </c>
      <c r="AG223" s="49" t="s">
        <v>307</v>
      </c>
      <c r="AK223" s="49" t="s">
        <v>303</v>
      </c>
      <c r="AL223" s="49" t="s">
        <v>297</v>
      </c>
      <c r="AO223" s="49" t="s">
        <v>303</v>
      </c>
      <c r="AP223" s="48"/>
      <c r="AR223" s="49" t="s">
        <v>303</v>
      </c>
      <c r="AS223" s="49" t="s">
        <v>306</v>
      </c>
      <c r="AT223" s="49" t="s">
        <v>988</v>
      </c>
      <c r="AV223" s="49" t="s">
        <v>309</v>
      </c>
      <c r="AW223" s="49" t="s">
        <v>310</v>
      </c>
      <c r="AX223" s="49" t="s">
        <v>311</v>
      </c>
      <c r="AY223" s="48"/>
      <c r="AZ223" s="48" t="n">
        <v>46289</v>
      </c>
      <c r="BC223" s="49" t="s">
        <v>303</v>
      </c>
      <c r="BD223" s="48"/>
      <c r="BE223" s="49" t="s">
        <v>312</v>
      </c>
      <c r="BF223" s="49" t="s">
        <v>303</v>
      </c>
      <c r="BG223" s="48"/>
      <c r="BI223" s="48"/>
      <c r="BJ223" s="48" t="n">
        <v>46296</v>
      </c>
      <c r="BK223" s="49" t="s">
        <v>313</v>
      </c>
      <c r="BL223" s="49" t="s">
        <v>313</v>
      </c>
      <c r="BM223" s="49" t="s">
        <v>310</v>
      </c>
      <c r="BN223" s="48"/>
      <c r="BO223" s="48"/>
      <c r="BP223" s="48"/>
      <c r="BQ223" s="49" t="s">
        <v>923</v>
      </c>
      <c r="BR223" s="48" t="n">
        <v>46296</v>
      </c>
      <c r="BS223" s="49" t="s">
        <v>986</v>
      </c>
      <c r="BT223" s="49" t="s">
        <v>312</v>
      </c>
      <c r="BU223" s="49" t="s">
        <v>313</v>
      </c>
      <c r="BV223" s="49" t="s">
        <v>303</v>
      </c>
      <c r="BX223" s="0" t="n">
        <v>0</v>
      </c>
      <c r="CC223" s="49" t="s">
        <v>315</v>
      </c>
      <c r="CD223" s="49" t="s">
        <v>303</v>
      </c>
      <c r="CF223" s="49" t="s">
        <v>303</v>
      </c>
      <c r="CG223" s="49" t="s">
        <v>316</v>
      </c>
      <c r="CH223" s="49" t="s">
        <v>317</v>
      </c>
      <c r="CI223" s="49" t="s">
        <v>318</v>
      </c>
      <c r="CM223" s="49" t="s">
        <v>65</v>
      </c>
      <c r="CV223" s="49" t="s">
        <v>303</v>
      </c>
      <c r="DB223" s="49" t="s">
        <v>319</v>
      </c>
      <c r="DD223" s="48" t="n">
        <v>46267</v>
      </c>
      <c r="DF223" s="49" t="s">
        <v>310</v>
      </c>
      <c r="DG223" s="49" t="s">
        <v>320</v>
      </c>
      <c r="DH223" s="49" t="s">
        <v>64</v>
      </c>
      <c r="DI223" s="49" t="s">
        <v>298</v>
      </c>
      <c r="DJ223" s="49" t="s">
        <v>394</v>
      </c>
      <c r="DK223" s="49" t="s">
        <v>322</v>
      </c>
      <c r="DL223" s="49" t="s">
        <v>323</v>
      </c>
      <c r="DM223" s="49" t="s">
        <v>303</v>
      </c>
      <c r="DN223" s="49" t="s">
        <v>297</v>
      </c>
      <c r="DO223" s="48"/>
      <c r="DP223" s="49" t="s">
        <v>312</v>
      </c>
      <c r="DQ223" s="48"/>
      <c r="DR223" s="49" t="s">
        <v>312</v>
      </c>
      <c r="DS223" s="49" t="s">
        <v>303</v>
      </c>
      <c r="DT223" s="49" t="s">
        <v>303</v>
      </c>
      <c r="DW223" s="49" t="s">
        <v>303</v>
      </c>
      <c r="EA223" s="49" t="s">
        <v>324</v>
      </c>
      <c r="EB223" s="49" t="s">
        <v>303</v>
      </c>
      <c r="EF223" s="49" t="s">
        <v>981</v>
      </c>
      <c r="EH223" s="49" t="s">
        <v>310</v>
      </c>
      <c r="EJ223" s="49" t="s">
        <v>303</v>
      </c>
      <c r="EK223" s="49" t="s">
        <v>989</v>
      </c>
      <c r="EM223" s="49" t="s">
        <v>303</v>
      </c>
      <c r="EN223" s="49" t="s">
        <v>396</v>
      </c>
      <c r="EP223" s="49" t="s">
        <v>298</v>
      </c>
      <c r="EQ223" s="0" t="n">
        <v>1</v>
      </c>
      <c r="ER223" s="49" t="s">
        <v>328</v>
      </c>
      <c r="ES223" s="49" t="s">
        <v>329</v>
      </c>
      <c r="ET223" s="49" t="s">
        <v>310</v>
      </c>
      <c r="EU223" s="49" t="s">
        <v>310</v>
      </c>
      <c r="EV223" s="49" t="s">
        <v>310</v>
      </c>
      <c r="EX223" s="49" t="s">
        <v>303</v>
      </c>
      <c r="EY223" s="49" t="s">
        <v>303</v>
      </c>
      <c r="FC223" s="49" t="s">
        <v>330</v>
      </c>
      <c r="FD223" s="49" t="s">
        <v>310</v>
      </c>
      <c r="FE223" s="49" t="s">
        <v>310</v>
      </c>
      <c r="FF223" s="49" t="s">
        <v>64</v>
      </c>
      <c r="FG223" s="49" t="s">
        <v>397</v>
      </c>
      <c r="FH223" s="49" t="s">
        <v>310</v>
      </c>
      <c r="FI223" s="49" t="s">
        <v>332</v>
      </c>
      <c r="FJ223" s="49" t="s">
        <v>303</v>
      </c>
      <c r="FL223" s="49" t="s">
        <v>325</v>
      </c>
      <c r="FM223" s="49" t="s">
        <v>936</v>
      </c>
      <c r="FP223" s="49" t="s">
        <v>303</v>
      </c>
      <c r="FR223" s="49" t="s">
        <v>303</v>
      </c>
      <c r="FT223" s="49" t="s">
        <v>325</v>
      </c>
      <c r="FU223" s="49" t="s">
        <v>325</v>
      </c>
      <c r="FW223" s="49" t="s">
        <v>333</v>
      </c>
    </row>
    <row r="224" customFormat="false" ht="15" hidden="false" customHeight="false" outlineLevel="0" collapsed="false">
      <c r="A224" s="0" t="n">
        <v>100879414</v>
      </c>
      <c r="B224" s="0" t="s">
        <v>295</v>
      </c>
      <c r="C224" s="0" t="s">
        <v>64</v>
      </c>
      <c r="D224" s="0" t="s">
        <v>65</v>
      </c>
      <c r="E224" s="0" t="s">
        <v>297</v>
      </c>
      <c r="G224" s="0" t="n">
        <v>1</v>
      </c>
      <c r="H224" s="0" t="s">
        <v>298</v>
      </c>
      <c r="I224" s="48" t="n">
        <v>46293</v>
      </c>
      <c r="J224" s="0" t="n">
        <v>0</v>
      </c>
      <c r="K224" s="49" t="s">
        <v>936</v>
      </c>
      <c r="L224" s="49" t="s">
        <v>335</v>
      </c>
      <c r="M224" s="48"/>
      <c r="O224" s="49" t="s">
        <v>937</v>
      </c>
      <c r="P224" s="48"/>
      <c r="Q224" s="48" t="n">
        <v>46293</v>
      </c>
      <c r="R224" s="48" t="n">
        <v>46299</v>
      </c>
      <c r="T224" s="49" t="s">
        <v>302</v>
      </c>
      <c r="U224" s="49" t="s">
        <v>303</v>
      </c>
      <c r="Y224" s="49" t="s">
        <v>312</v>
      </c>
      <c r="AD224" s="49" t="s">
        <v>305</v>
      </c>
      <c r="AE224" s="48" t="n">
        <v>46267</v>
      </c>
      <c r="AF224" s="49" t="s">
        <v>306</v>
      </c>
      <c r="AG224" s="49" t="s">
        <v>307</v>
      </c>
      <c r="AK224" s="49" t="s">
        <v>303</v>
      </c>
      <c r="AL224" s="49" t="s">
        <v>297</v>
      </c>
      <c r="AO224" s="49" t="s">
        <v>303</v>
      </c>
      <c r="AP224" s="48"/>
      <c r="AR224" s="49" t="s">
        <v>303</v>
      </c>
      <c r="AS224" s="49" t="s">
        <v>306</v>
      </c>
      <c r="AT224" s="49" t="s">
        <v>990</v>
      </c>
      <c r="AV224" s="49" t="s">
        <v>309</v>
      </c>
      <c r="AW224" s="49" t="s">
        <v>310</v>
      </c>
      <c r="AX224" s="49" t="s">
        <v>311</v>
      </c>
      <c r="AY224" s="48"/>
      <c r="AZ224" s="48" t="n">
        <v>46289</v>
      </c>
      <c r="BC224" s="49" t="s">
        <v>303</v>
      </c>
      <c r="BD224" s="48"/>
      <c r="BE224" s="49" t="s">
        <v>312</v>
      </c>
      <c r="BF224" s="49" t="s">
        <v>303</v>
      </c>
      <c r="BG224" s="48"/>
      <c r="BI224" s="48"/>
      <c r="BJ224" s="48" t="n">
        <v>46296</v>
      </c>
      <c r="BK224" s="49" t="s">
        <v>313</v>
      </c>
      <c r="BL224" s="49" t="s">
        <v>313</v>
      </c>
      <c r="BM224" s="49" t="s">
        <v>310</v>
      </c>
      <c r="BN224" s="48"/>
      <c r="BO224" s="48"/>
      <c r="BP224" s="48"/>
      <c r="BQ224" s="49" t="s">
        <v>923</v>
      </c>
      <c r="BR224" s="48" t="n">
        <v>46296</v>
      </c>
      <c r="BS224" s="49" t="s">
        <v>986</v>
      </c>
      <c r="BT224" s="49" t="s">
        <v>312</v>
      </c>
      <c r="BU224" s="49" t="s">
        <v>313</v>
      </c>
      <c r="BV224" s="49" t="s">
        <v>303</v>
      </c>
      <c r="BX224" s="0" t="n">
        <v>0</v>
      </c>
      <c r="CC224" s="49" t="s">
        <v>315</v>
      </c>
      <c r="CD224" s="49" t="s">
        <v>303</v>
      </c>
      <c r="CF224" s="49" t="s">
        <v>303</v>
      </c>
      <c r="CG224" s="49" t="s">
        <v>316</v>
      </c>
      <c r="CH224" s="49" t="s">
        <v>317</v>
      </c>
      <c r="CI224" s="49" t="s">
        <v>318</v>
      </c>
      <c r="CM224" s="49" t="s">
        <v>65</v>
      </c>
      <c r="CV224" s="49" t="s">
        <v>303</v>
      </c>
      <c r="DB224" s="49" t="s">
        <v>319</v>
      </c>
      <c r="DD224" s="48" t="n">
        <v>46267</v>
      </c>
      <c r="DF224" s="49" t="s">
        <v>310</v>
      </c>
      <c r="DG224" s="49" t="s">
        <v>320</v>
      </c>
      <c r="DH224" s="49" t="s">
        <v>64</v>
      </c>
      <c r="DI224" s="49" t="s">
        <v>298</v>
      </c>
      <c r="DJ224" s="49" t="s">
        <v>394</v>
      </c>
      <c r="DK224" s="49" t="s">
        <v>322</v>
      </c>
      <c r="DL224" s="49" t="s">
        <v>323</v>
      </c>
      <c r="DM224" s="49" t="s">
        <v>303</v>
      </c>
      <c r="DN224" s="49" t="s">
        <v>297</v>
      </c>
      <c r="DO224" s="48"/>
      <c r="DP224" s="49" t="s">
        <v>312</v>
      </c>
      <c r="DQ224" s="48"/>
      <c r="DR224" s="49" t="s">
        <v>312</v>
      </c>
      <c r="DS224" s="49" t="s">
        <v>303</v>
      </c>
      <c r="DT224" s="49" t="s">
        <v>303</v>
      </c>
      <c r="DW224" s="49" t="s">
        <v>303</v>
      </c>
      <c r="EA224" s="49" t="s">
        <v>324</v>
      </c>
      <c r="EB224" s="49" t="s">
        <v>303</v>
      </c>
      <c r="EF224" s="49" t="s">
        <v>981</v>
      </c>
      <c r="EH224" s="49" t="s">
        <v>310</v>
      </c>
      <c r="EJ224" s="49" t="s">
        <v>303</v>
      </c>
      <c r="EK224" s="49" t="s">
        <v>991</v>
      </c>
      <c r="EM224" s="49" t="s">
        <v>303</v>
      </c>
      <c r="EN224" s="49" t="s">
        <v>396</v>
      </c>
      <c r="EP224" s="49" t="s">
        <v>298</v>
      </c>
      <c r="EQ224" s="0" t="n">
        <v>1</v>
      </c>
      <c r="ER224" s="49" t="s">
        <v>328</v>
      </c>
      <c r="ES224" s="49" t="s">
        <v>329</v>
      </c>
      <c r="ET224" s="49" t="s">
        <v>310</v>
      </c>
      <c r="EU224" s="49" t="s">
        <v>310</v>
      </c>
      <c r="EV224" s="49" t="s">
        <v>310</v>
      </c>
      <c r="EX224" s="49" t="s">
        <v>303</v>
      </c>
      <c r="EY224" s="49" t="s">
        <v>303</v>
      </c>
      <c r="FC224" s="49" t="s">
        <v>330</v>
      </c>
      <c r="FD224" s="49" t="s">
        <v>310</v>
      </c>
      <c r="FE224" s="49" t="s">
        <v>310</v>
      </c>
      <c r="FF224" s="49" t="s">
        <v>64</v>
      </c>
      <c r="FG224" s="49" t="s">
        <v>397</v>
      </c>
      <c r="FH224" s="49" t="s">
        <v>310</v>
      </c>
      <c r="FI224" s="49" t="s">
        <v>332</v>
      </c>
      <c r="FJ224" s="49" t="s">
        <v>303</v>
      </c>
      <c r="FL224" s="49" t="s">
        <v>325</v>
      </c>
      <c r="FM224" s="49" t="s">
        <v>936</v>
      </c>
      <c r="FP224" s="49" t="s">
        <v>303</v>
      </c>
      <c r="FR224" s="49" t="s">
        <v>303</v>
      </c>
      <c r="FT224" s="49" t="s">
        <v>325</v>
      </c>
      <c r="FU224" s="49" t="s">
        <v>325</v>
      </c>
      <c r="FW224" s="49" t="s">
        <v>333</v>
      </c>
    </row>
    <row r="225" customFormat="false" ht="15" hidden="false" customHeight="false" outlineLevel="0" collapsed="false">
      <c r="A225" s="0" t="n">
        <v>100879415</v>
      </c>
      <c r="B225" s="0" t="s">
        <v>295</v>
      </c>
      <c r="C225" s="0" t="s">
        <v>64</v>
      </c>
      <c r="D225" s="0" t="s">
        <v>65</v>
      </c>
      <c r="E225" s="0" t="s">
        <v>297</v>
      </c>
      <c r="G225" s="0" t="n">
        <v>1</v>
      </c>
      <c r="H225" s="0" t="s">
        <v>298</v>
      </c>
      <c r="I225" s="48" t="n">
        <v>46293</v>
      </c>
      <c r="J225" s="0" t="n">
        <v>0</v>
      </c>
      <c r="K225" s="49" t="s">
        <v>936</v>
      </c>
      <c r="L225" s="49" t="s">
        <v>335</v>
      </c>
      <c r="M225" s="48"/>
      <c r="O225" s="49" t="s">
        <v>937</v>
      </c>
      <c r="P225" s="48"/>
      <c r="Q225" s="48" t="n">
        <v>46293</v>
      </c>
      <c r="R225" s="48" t="n">
        <v>46299</v>
      </c>
      <c r="T225" s="49" t="s">
        <v>302</v>
      </c>
      <c r="U225" s="49" t="s">
        <v>303</v>
      </c>
      <c r="Y225" s="49" t="s">
        <v>312</v>
      </c>
      <c r="AD225" s="49" t="s">
        <v>305</v>
      </c>
      <c r="AE225" s="48" t="n">
        <v>46267</v>
      </c>
      <c r="AF225" s="49" t="s">
        <v>306</v>
      </c>
      <c r="AG225" s="49" t="s">
        <v>307</v>
      </c>
      <c r="AK225" s="49" t="s">
        <v>303</v>
      </c>
      <c r="AL225" s="49" t="s">
        <v>297</v>
      </c>
      <c r="AO225" s="49" t="s">
        <v>303</v>
      </c>
      <c r="AP225" s="48"/>
      <c r="AR225" s="49" t="s">
        <v>303</v>
      </c>
      <c r="AS225" s="49" t="s">
        <v>306</v>
      </c>
      <c r="AT225" s="49" t="s">
        <v>992</v>
      </c>
      <c r="AV225" s="49" t="s">
        <v>309</v>
      </c>
      <c r="AW225" s="49" t="s">
        <v>310</v>
      </c>
      <c r="AX225" s="49" t="s">
        <v>311</v>
      </c>
      <c r="AY225" s="48"/>
      <c r="AZ225" s="48" t="n">
        <v>46289</v>
      </c>
      <c r="BC225" s="49" t="s">
        <v>303</v>
      </c>
      <c r="BD225" s="48"/>
      <c r="BE225" s="49" t="s">
        <v>312</v>
      </c>
      <c r="BF225" s="49" t="s">
        <v>303</v>
      </c>
      <c r="BG225" s="48"/>
      <c r="BI225" s="48"/>
      <c r="BJ225" s="48" t="n">
        <v>46296</v>
      </c>
      <c r="BK225" s="49" t="s">
        <v>313</v>
      </c>
      <c r="BL225" s="49" t="s">
        <v>313</v>
      </c>
      <c r="BM225" s="49" t="s">
        <v>310</v>
      </c>
      <c r="BN225" s="48"/>
      <c r="BO225" s="48"/>
      <c r="BP225" s="48"/>
      <c r="BQ225" s="49" t="s">
        <v>923</v>
      </c>
      <c r="BR225" s="48" t="n">
        <v>46296</v>
      </c>
      <c r="BS225" s="49" t="s">
        <v>993</v>
      </c>
      <c r="BT225" s="49" t="s">
        <v>312</v>
      </c>
      <c r="BU225" s="49" t="s">
        <v>313</v>
      </c>
      <c r="BV225" s="49" t="s">
        <v>303</v>
      </c>
      <c r="BX225" s="0" t="n">
        <v>0</v>
      </c>
      <c r="CC225" s="49" t="s">
        <v>315</v>
      </c>
      <c r="CD225" s="49" t="s">
        <v>303</v>
      </c>
      <c r="CF225" s="49" t="s">
        <v>303</v>
      </c>
      <c r="CG225" s="49" t="s">
        <v>316</v>
      </c>
      <c r="CH225" s="49" t="s">
        <v>317</v>
      </c>
      <c r="CI225" s="49" t="s">
        <v>318</v>
      </c>
      <c r="CM225" s="49" t="s">
        <v>65</v>
      </c>
      <c r="CV225" s="49" t="s">
        <v>303</v>
      </c>
      <c r="DB225" s="49" t="s">
        <v>319</v>
      </c>
      <c r="DD225" s="48" t="n">
        <v>46267</v>
      </c>
      <c r="DF225" s="49" t="s">
        <v>310</v>
      </c>
      <c r="DG225" s="49" t="s">
        <v>320</v>
      </c>
      <c r="DH225" s="49" t="s">
        <v>64</v>
      </c>
      <c r="DI225" s="49" t="s">
        <v>298</v>
      </c>
      <c r="DJ225" s="49" t="s">
        <v>394</v>
      </c>
      <c r="DK225" s="49" t="s">
        <v>322</v>
      </c>
      <c r="DL225" s="49" t="s">
        <v>323</v>
      </c>
      <c r="DM225" s="49" t="s">
        <v>303</v>
      </c>
      <c r="DN225" s="49" t="s">
        <v>297</v>
      </c>
      <c r="DO225" s="48"/>
      <c r="DP225" s="49" t="s">
        <v>312</v>
      </c>
      <c r="DQ225" s="48"/>
      <c r="DR225" s="49" t="s">
        <v>312</v>
      </c>
      <c r="DS225" s="49" t="s">
        <v>303</v>
      </c>
      <c r="DT225" s="49" t="s">
        <v>303</v>
      </c>
      <c r="DW225" s="49" t="s">
        <v>303</v>
      </c>
      <c r="EA225" s="49" t="s">
        <v>324</v>
      </c>
      <c r="EB225" s="49" t="s">
        <v>303</v>
      </c>
      <c r="EF225" s="49" t="s">
        <v>981</v>
      </c>
      <c r="EH225" s="49" t="s">
        <v>310</v>
      </c>
      <c r="EJ225" s="49" t="s">
        <v>303</v>
      </c>
      <c r="EK225" s="49" t="s">
        <v>994</v>
      </c>
      <c r="EM225" s="49" t="s">
        <v>303</v>
      </c>
      <c r="EN225" s="49" t="s">
        <v>396</v>
      </c>
      <c r="EP225" s="49" t="s">
        <v>298</v>
      </c>
      <c r="EQ225" s="0" t="n">
        <v>1</v>
      </c>
      <c r="ER225" s="49" t="s">
        <v>328</v>
      </c>
      <c r="ES225" s="49" t="s">
        <v>329</v>
      </c>
      <c r="ET225" s="49" t="s">
        <v>310</v>
      </c>
      <c r="EU225" s="49" t="s">
        <v>310</v>
      </c>
      <c r="EV225" s="49" t="s">
        <v>310</v>
      </c>
      <c r="EX225" s="49" t="s">
        <v>303</v>
      </c>
      <c r="EY225" s="49" t="s">
        <v>303</v>
      </c>
      <c r="FC225" s="49" t="s">
        <v>330</v>
      </c>
      <c r="FD225" s="49" t="s">
        <v>310</v>
      </c>
      <c r="FE225" s="49" t="s">
        <v>310</v>
      </c>
      <c r="FF225" s="49" t="s">
        <v>64</v>
      </c>
      <c r="FG225" s="49" t="s">
        <v>397</v>
      </c>
      <c r="FH225" s="49" t="s">
        <v>310</v>
      </c>
      <c r="FI225" s="49" t="s">
        <v>332</v>
      </c>
      <c r="FJ225" s="49" t="s">
        <v>303</v>
      </c>
      <c r="FL225" s="49" t="s">
        <v>325</v>
      </c>
      <c r="FM225" s="49" t="s">
        <v>936</v>
      </c>
      <c r="FP225" s="49" t="s">
        <v>303</v>
      </c>
      <c r="FR225" s="49" t="s">
        <v>303</v>
      </c>
      <c r="FT225" s="49" t="s">
        <v>325</v>
      </c>
      <c r="FU225" s="49" t="s">
        <v>325</v>
      </c>
      <c r="FW225" s="49" t="s">
        <v>333</v>
      </c>
    </row>
    <row r="226" customFormat="false" ht="15" hidden="false" customHeight="false" outlineLevel="0" collapsed="false">
      <c r="A226" s="0" t="n">
        <v>100879416</v>
      </c>
      <c r="B226" s="0" t="s">
        <v>295</v>
      </c>
      <c r="C226" s="0" t="s">
        <v>64</v>
      </c>
      <c r="D226" s="0" t="s">
        <v>65</v>
      </c>
      <c r="E226" s="0" t="s">
        <v>297</v>
      </c>
      <c r="G226" s="0" t="n">
        <v>1</v>
      </c>
      <c r="H226" s="0" t="s">
        <v>298</v>
      </c>
      <c r="I226" s="48" t="n">
        <v>46293</v>
      </c>
      <c r="J226" s="0" t="n">
        <v>0</v>
      </c>
      <c r="K226" s="49" t="s">
        <v>936</v>
      </c>
      <c r="L226" s="49" t="s">
        <v>335</v>
      </c>
      <c r="M226" s="48"/>
      <c r="O226" s="49" t="s">
        <v>937</v>
      </c>
      <c r="P226" s="48"/>
      <c r="Q226" s="48" t="n">
        <v>46293</v>
      </c>
      <c r="R226" s="48" t="n">
        <v>46299</v>
      </c>
      <c r="T226" s="49" t="s">
        <v>302</v>
      </c>
      <c r="U226" s="49" t="s">
        <v>303</v>
      </c>
      <c r="Y226" s="49" t="s">
        <v>312</v>
      </c>
      <c r="AD226" s="49" t="s">
        <v>305</v>
      </c>
      <c r="AE226" s="48" t="n">
        <v>46267</v>
      </c>
      <c r="AF226" s="49" t="s">
        <v>306</v>
      </c>
      <c r="AG226" s="49" t="s">
        <v>307</v>
      </c>
      <c r="AK226" s="49" t="s">
        <v>303</v>
      </c>
      <c r="AL226" s="49" t="s">
        <v>297</v>
      </c>
      <c r="AO226" s="49" t="s">
        <v>303</v>
      </c>
      <c r="AP226" s="48"/>
      <c r="AR226" s="49" t="s">
        <v>303</v>
      </c>
      <c r="AS226" s="49" t="s">
        <v>306</v>
      </c>
      <c r="AT226" s="49" t="s">
        <v>995</v>
      </c>
      <c r="AV226" s="49" t="s">
        <v>309</v>
      </c>
      <c r="AW226" s="49" t="s">
        <v>310</v>
      </c>
      <c r="AX226" s="49" t="s">
        <v>311</v>
      </c>
      <c r="AY226" s="48"/>
      <c r="AZ226" s="48" t="n">
        <v>46289</v>
      </c>
      <c r="BC226" s="49" t="s">
        <v>303</v>
      </c>
      <c r="BD226" s="48"/>
      <c r="BE226" s="49" t="s">
        <v>312</v>
      </c>
      <c r="BF226" s="49" t="s">
        <v>303</v>
      </c>
      <c r="BG226" s="48"/>
      <c r="BI226" s="48"/>
      <c r="BJ226" s="48" t="n">
        <v>46296</v>
      </c>
      <c r="BK226" s="49" t="s">
        <v>313</v>
      </c>
      <c r="BL226" s="49" t="s">
        <v>313</v>
      </c>
      <c r="BM226" s="49" t="s">
        <v>310</v>
      </c>
      <c r="BN226" s="48"/>
      <c r="BO226" s="48"/>
      <c r="BP226" s="48"/>
      <c r="BQ226" s="49" t="s">
        <v>923</v>
      </c>
      <c r="BR226" s="48" t="n">
        <v>46296</v>
      </c>
      <c r="BS226" s="49" t="s">
        <v>993</v>
      </c>
      <c r="BT226" s="49" t="s">
        <v>312</v>
      </c>
      <c r="BU226" s="49" t="s">
        <v>313</v>
      </c>
      <c r="BV226" s="49" t="s">
        <v>303</v>
      </c>
      <c r="BX226" s="0" t="n">
        <v>0</v>
      </c>
      <c r="CC226" s="49" t="s">
        <v>315</v>
      </c>
      <c r="CD226" s="49" t="s">
        <v>303</v>
      </c>
      <c r="CF226" s="49" t="s">
        <v>303</v>
      </c>
      <c r="CG226" s="49" t="s">
        <v>316</v>
      </c>
      <c r="CH226" s="49" t="s">
        <v>317</v>
      </c>
      <c r="CI226" s="49" t="s">
        <v>318</v>
      </c>
      <c r="CM226" s="49" t="s">
        <v>65</v>
      </c>
      <c r="CV226" s="49" t="s">
        <v>303</v>
      </c>
      <c r="DB226" s="49" t="s">
        <v>319</v>
      </c>
      <c r="DD226" s="48" t="n">
        <v>46267</v>
      </c>
      <c r="DF226" s="49" t="s">
        <v>310</v>
      </c>
      <c r="DG226" s="49" t="s">
        <v>320</v>
      </c>
      <c r="DH226" s="49" t="s">
        <v>64</v>
      </c>
      <c r="DI226" s="49" t="s">
        <v>298</v>
      </c>
      <c r="DJ226" s="49" t="s">
        <v>394</v>
      </c>
      <c r="DK226" s="49" t="s">
        <v>322</v>
      </c>
      <c r="DL226" s="49" t="s">
        <v>323</v>
      </c>
      <c r="DM226" s="49" t="s">
        <v>303</v>
      </c>
      <c r="DN226" s="49" t="s">
        <v>297</v>
      </c>
      <c r="DO226" s="48"/>
      <c r="DP226" s="49" t="s">
        <v>312</v>
      </c>
      <c r="DQ226" s="48"/>
      <c r="DR226" s="49" t="s">
        <v>312</v>
      </c>
      <c r="DS226" s="49" t="s">
        <v>303</v>
      </c>
      <c r="DT226" s="49" t="s">
        <v>303</v>
      </c>
      <c r="DW226" s="49" t="s">
        <v>303</v>
      </c>
      <c r="EA226" s="49" t="s">
        <v>324</v>
      </c>
      <c r="EB226" s="49" t="s">
        <v>303</v>
      </c>
      <c r="EF226" s="49" t="s">
        <v>981</v>
      </c>
      <c r="EH226" s="49" t="s">
        <v>310</v>
      </c>
      <c r="EJ226" s="49" t="s">
        <v>303</v>
      </c>
      <c r="EK226" s="49" t="s">
        <v>996</v>
      </c>
      <c r="EM226" s="49" t="s">
        <v>303</v>
      </c>
      <c r="EN226" s="49" t="s">
        <v>396</v>
      </c>
      <c r="EP226" s="49" t="s">
        <v>298</v>
      </c>
      <c r="EQ226" s="0" t="n">
        <v>1</v>
      </c>
      <c r="ER226" s="49" t="s">
        <v>328</v>
      </c>
      <c r="ES226" s="49" t="s">
        <v>329</v>
      </c>
      <c r="ET226" s="49" t="s">
        <v>310</v>
      </c>
      <c r="EU226" s="49" t="s">
        <v>310</v>
      </c>
      <c r="EV226" s="49" t="s">
        <v>310</v>
      </c>
      <c r="EX226" s="49" t="s">
        <v>303</v>
      </c>
      <c r="EY226" s="49" t="s">
        <v>303</v>
      </c>
      <c r="FC226" s="49" t="s">
        <v>330</v>
      </c>
      <c r="FD226" s="49" t="s">
        <v>310</v>
      </c>
      <c r="FE226" s="49" t="s">
        <v>310</v>
      </c>
      <c r="FF226" s="49" t="s">
        <v>64</v>
      </c>
      <c r="FG226" s="49" t="s">
        <v>397</v>
      </c>
      <c r="FH226" s="49" t="s">
        <v>310</v>
      </c>
      <c r="FI226" s="49" t="s">
        <v>332</v>
      </c>
      <c r="FJ226" s="49" t="s">
        <v>303</v>
      </c>
      <c r="FL226" s="49" t="s">
        <v>325</v>
      </c>
      <c r="FM226" s="49" t="s">
        <v>936</v>
      </c>
      <c r="FP226" s="49" t="s">
        <v>303</v>
      </c>
      <c r="FR226" s="49" t="s">
        <v>303</v>
      </c>
      <c r="FT226" s="49" t="s">
        <v>325</v>
      </c>
      <c r="FU226" s="49" t="s">
        <v>325</v>
      </c>
      <c r="FW226" s="49" t="s">
        <v>333</v>
      </c>
    </row>
    <row r="227" customFormat="false" ht="15" hidden="false" customHeight="false" outlineLevel="0" collapsed="false">
      <c r="A227" s="0" t="n">
        <v>100879417</v>
      </c>
      <c r="B227" s="0" t="s">
        <v>295</v>
      </c>
      <c r="C227" s="0" t="s">
        <v>64</v>
      </c>
      <c r="D227" s="0" t="s">
        <v>65</v>
      </c>
      <c r="E227" s="0" t="s">
        <v>297</v>
      </c>
      <c r="G227" s="0" t="n">
        <v>1</v>
      </c>
      <c r="H227" s="0" t="s">
        <v>298</v>
      </c>
      <c r="I227" s="48" t="n">
        <v>46293</v>
      </c>
      <c r="J227" s="0" t="n">
        <v>0</v>
      </c>
      <c r="K227" s="49" t="s">
        <v>936</v>
      </c>
      <c r="L227" s="49" t="s">
        <v>335</v>
      </c>
      <c r="M227" s="48"/>
      <c r="O227" s="49" t="s">
        <v>937</v>
      </c>
      <c r="P227" s="48"/>
      <c r="Q227" s="48" t="n">
        <v>46293</v>
      </c>
      <c r="R227" s="48" t="n">
        <v>46299</v>
      </c>
      <c r="T227" s="49" t="s">
        <v>302</v>
      </c>
      <c r="U227" s="49" t="s">
        <v>303</v>
      </c>
      <c r="Y227" s="49" t="s">
        <v>312</v>
      </c>
      <c r="AD227" s="49" t="s">
        <v>305</v>
      </c>
      <c r="AE227" s="48" t="n">
        <v>46267</v>
      </c>
      <c r="AF227" s="49" t="s">
        <v>306</v>
      </c>
      <c r="AG227" s="49" t="s">
        <v>307</v>
      </c>
      <c r="AK227" s="49" t="s">
        <v>303</v>
      </c>
      <c r="AL227" s="49" t="s">
        <v>297</v>
      </c>
      <c r="AO227" s="49" t="s">
        <v>303</v>
      </c>
      <c r="AP227" s="48"/>
      <c r="AR227" s="49" t="s">
        <v>303</v>
      </c>
      <c r="AS227" s="49" t="s">
        <v>306</v>
      </c>
      <c r="AT227" s="49" t="s">
        <v>997</v>
      </c>
      <c r="AV227" s="49" t="s">
        <v>309</v>
      </c>
      <c r="AW227" s="49" t="s">
        <v>310</v>
      </c>
      <c r="AX227" s="49" t="s">
        <v>311</v>
      </c>
      <c r="AY227" s="48"/>
      <c r="AZ227" s="48" t="n">
        <v>46289</v>
      </c>
      <c r="BC227" s="49" t="s">
        <v>303</v>
      </c>
      <c r="BD227" s="48"/>
      <c r="BE227" s="49" t="s">
        <v>312</v>
      </c>
      <c r="BF227" s="49" t="s">
        <v>303</v>
      </c>
      <c r="BG227" s="48"/>
      <c r="BI227" s="48"/>
      <c r="BJ227" s="48" t="n">
        <v>46296</v>
      </c>
      <c r="BK227" s="49" t="s">
        <v>313</v>
      </c>
      <c r="BL227" s="49" t="s">
        <v>313</v>
      </c>
      <c r="BM227" s="49" t="s">
        <v>310</v>
      </c>
      <c r="BN227" s="48"/>
      <c r="BO227" s="48"/>
      <c r="BP227" s="48"/>
      <c r="BQ227" s="49" t="s">
        <v>923</v>
      </c>
      <c r="BR227" s="48" t="n">
        <v>46296</v>
      </c>
      <c r="BS227" s="49" t="s">
        <v>993</v>
      </c>
      <c r="BT227" s="49" t="s">
        <v>312</v>
      </c>
      <c r="BU227" s="49" t="s">
        <v>313</v>
      </c>
      <c r="BV227" s="49" t="s">
        <v>303</v>
      </c>
      <c r="BX227" s="0" t="n">
        <v>0</v>
      </c>
      <c r="CC227" s="49" t="s">
        <v>315</v>
      </c>
      <c r="CD227" s="49" t="s">
        <v>303</v>
      </c>
      <c r="CF227" s="49" t="s">
        <v>303</v>
      </c>
      <c r="CG227" s="49" t="s">
        <v>316</v>
      </c>
      <c r="CH227" s="49" t="s">
        <v>317</v>
      </c>
      <c r="CI227" s="49" t="s">
        <v>318</v>
      </c>
      <c r="CM227" s="49" t="s">
        <v>65</v>
      </c>
      <c r="CV227" s="49" t="s">
        <v>303</v>
      </c>
      <c r="DB227" s="49" t="s">
        <v>319</v>
      </c>
      <c r="DD227" s="48" t="n">
        <v>46267</v>
      </c>
      <c r="DF227" s="49" t="s">
        <v>310</v>
      </c>
      <c r="DG227" s="49" t="s">
        <v>320</v>
      </c>
      <c r="DH227" s="49" t="s">
        <v>64</v>
      </c>
      <c r="DI227" s="49" t="s">
        <v>298</v>
      </c>
      <c r="DJ227" s="49" t="s">
        <v>394</v>
      </c>
      <c r="DK227" s="49" t="s">
        <v>322</v>
      </c>
      <c r="DL227" s="49" t="s">
        <v>323</v>
      </c>
      <c r="DM227" s="49" t="s">
        <v>303</v>
      </c>
      <c r="DN227" s="49" t="s">
        <v>297</v>
      </c>
      <c r="DO227" s="48"/>
      <c r="DP227" s="49" t="s">
        <v>312</v>
      </c>
      <c r="DQ227" s="48"/>
      <c r="DR227" s="49" t="s">
        <v>312</v>
      </c>
      <c r="DS227" s="49" t="s">
        <v>303</v>
      </c>
      <c r="DT227" s="49" t="s">
        <v>303</v>
      </c>
      <c r="DW227" s="49" t="s">
        <v>303</v>
      </c>
      <c r="EA227" s="49" t="s">
        <v>324</v>
      </c>
      <c r="EB227" s="49" t="s">
        <v>303</v>
      </c>
      <c r="EF227" s="49" t="s">
        <v>981</v>
      </c>
      <c r="EH227" s="49" t="s">
        <v>310</v>
      </c>
      <c r="EJ227" s="49" t="s">
        <v>303</v>
      </c>
      <c r="EK227" s="49" t="s">
        <v>998</v>
      </c>
      <c r="EM227" s="49" t="s">
        <v>303</v>
      </c>
      <c r="EN227" s="49" t="s">
        <v>396</v>
      </c>
      <c r="EP227" s="49" t="s">
        <v>298</v>
      </c>
      <c r="EQ227" s="0" t="n">
        <v>1</v>
      </c>
      <c r="ER227" s="49" t="s">
        <v>328</v>
      </c>
      <c r="ES227" s="49" t="s">
        <v>329</v>
      </c>
      <c r="ET227" s="49" t="s">
        <v>310</v>
      </c>
      <c r="EU227" s="49" t="s">
        <v>310</v>
      </c>
      <c r="EV227" s="49" t="s">
        <v>310</v>
      </c>
      <c r="EX227" s="49" t="s">
        <v>303</v>
      </c>
      <c r="EY227" s="49" t="s">
        <v>303</v>
      </c>
      <c r="FC227" s="49" t="s">
        <v>330</v>
      </c>
      <c r="FD227" s="49" t="s">
        <v>310</v>
      </c>
      <c r="FE227" s="49" t="s">
        <v>310</v>
      </c>
      <c r="FF227" s="49" t="s">
        <v>64</v>
      </c>
      <c r="FG227" s="49" t="s">
        <v>397</v>
      </c>
      <c r="FH227" s="49" t="s">
        <v>310</v>
      </c>
      <c r="FI227" s="49" t="s">
        <v>332</v>
      </c>
      <c r="FJ227" s="49" t="s">
        <v>303</v>
      </c>
      <c r="FL227" s="49" t="s">
        <v>325</v>
      </c>
      <c r="FM227" s="49" t="s">
        <v>936</v>
      </c>
      <c r="FP227" s="49" t="s">
        <v>303</v>
      </c>
      <c r="FR227" s="49" t="s">
        <v>303</v>
      </c>
      <c r="FT227" s="49" t="s">
        <v>325</v>
      </c>
      <c r="FU227" s="49" t="s">
        <v>325</v>
      </c>
      <c r="FW227" s="49" t="s">
        <v>333</v>
      </c>
    </row>
    <row r="228" customFormat="false" ht="15" hidden="false" customHeight="false" outlineLevel="0" collapsed="false">
      <c r="A228" s="0" t="n">
        <v>100879418</v>
      </c>
      <c r="B228" s="0" t="s">
        <v>295</v>
      </c>
      <c r="C228" s="0" t="s">
        <v>64</v>
      </c>
      <c r="D228" s="0" t="s">
        <v>65</v>
      </c>
      <c r="E228" s="0" t="s">
        <v>297</v>
      </c>
      <c r="G228" s="0" t="n">
        <v>1</v>
      </c>
      <c r="H228" s="0" t="s">
        <v>298</v>
      </c>
      <c r="I228" s="48" t="n">
        <v>46293</v>
      </c>
      <c r="J228" s="0" t="n">
        <v>0</v>
      </c>
      <c r="K228" s="49" t="s">
        <v>936</v>
      </c>
      <c r="L228" s="49" t="s">
        <v>335</v>
      </c>
      <c r="M228" s="48"/>
      <c r="O228" s="49" t="s">
        <v>937</v>
      </c>
      <c r="P228" s="48"/>
      <c r="Q228" s="48" t="n">
        <v>46293</v>
      </c>
      <c r="R228" s="48" t="n">
        <v>46299</v>
      </c>
      <c r="T228" s="49" t="s">
        <v>302</v>
      </c>
      <c r="U228" s="49" t="s">
        <v>303</v>
      </c>
      <c r="Y228" s="49" t="s">
        <v>312</v>
      </c>
      <c r="AD228" s="49" t="s">
        <v>305</v>
      </c>
      <c r="AE228" s="48" t="n">
        <v>46267</v>
      </c>
      <c r="AF228" s="49" t="s">
        <v>306</v>
      </c>
      <c r="AG228" s="49" t="s">
        <v>307</v>
      </c>
      <c r="AK228" s="49" t="s">
        <v>303</v>
      </c>
      <c r="AL228" s="49" t="s">
        <v>297</v>
      </c>
      <c r="AO228" s="49" t="s">
        <v>303</v>
      </c>
      <c r="AP228" s="48"/>
      <c r="AR228" s="49" t="s">
        <v>303</v>
      </c>
      <c r="AS228" s="49" t="s">
        <v>306</v>
      </c>
      <c r="AT228" s="49" t="s">
        <v>999</v>
      </c>
      <c r="AV228" s="49" t="s">
        <v>309</v>
      </c>
      <c r="AW228" s="49" t="s">
        <v>310</v>
      </c>
      <c r="AX228" s="49" t="s">
        <v>311</v>
      </c>
      <c r="AY228" s="48"/>
      <c r="AZ228" s="48" t="n">
        <v>46289</v>
      </c>
      <c r="BC228" s="49" t="s">
        <v>303</v>
      </c>
      <c r="BD228" s="48"/>
      <c r="BE228" s="49" t="s">
        <v>312</v>
      </c>
      <c r="BF228" s="49" t="s">
        <v>303</v>
      </c>
      <c r="BG228" s="48"/>
      <c r="BI228" s="48"/>
      <c r="BJ228" s="48" t="n">
        <v>46296</v>
      </c>
      <c r="BK228" s="49" t="s">
        <v>313</v>
      </c>
      <c r="BL228" s="49" t="s">
        <v>313</v>
      </c>
      <c r="BM228" s="49" t="s">
        <v>310</v>
      </c>
      <c r="BN228" s="48"/>
      <c r="BO228" s="48"/>
      <c r="BP228" s="48"/>
      <c r="BQ228" s="49" t="s">
        <v>923</v>
      </c>
      <c r="BR228" s="48" t="n">
        <v>46296</v>
      </c>
      <c r="BS228" s="49" t="s">
        <v>993</v>
      </c>
      <c r="BT228" s="49" t="s">
        <v>312</v>
      </c>
      <c r="BU228" s="49" t="s">
        <v>313</v>
      </c>
      <c r="BV228" s="49" t="s">
        <v>303</v>
      </c>
      <c r="BX228" s="0" t="n">
        <v>0</v>
      </c>
      <c r="CC228" s="49" t="s">
        <v>315</v>
      </c>
      <c r="CD228" s="49" t="s">
        <v>303</v>
      </c>
      <c r="CF228" s="49" t="s">
        <v>303</v>
      </c>
      <c r="CG228" s="49" t="s">
        <v>316</v>
      </c>
      <c r="CH228" s="49" t="s">
        <v>317</v>
      </c>
      <c r="CI228" s="49" t="s">
        <v>318</v>
      </c>
      <c r="CM228" s="49" t="s">
        <v>65</v>
      </c>
      <c r="CV228" s="49" t="s">
        <v>303</v>
      </c>
      <c r="DB228" s="49" t="s">
        <v>319</v>
      </c>
      <c r="DD228" s="48" t="n">
        <v>46267</v>
      </c>
      <c r="DF228" s="49" t="s">
        <v>310</v>
      </c>
      <c r="DG228" s="49" t="s">
        <v>320</v>
      </c>
      <c r="DH228" s="49" t="s">
        <v>64</v>
      </c>
      <c r="DI228" s="49" t="s">
        <v>298</v>
      </c>
      <c r="DJ228" s="49" t="s">
        <v>394</v>
      </c>
      <c r="DK228" s="49" t="s">
        <v>322</v>
      </c>
      <c r="DL228" s="49" t="s">
        <v>323</v>
      </c>
      <c r="DM228" s="49" t="s">
        <v>303</v>
      </c>
      <c r="DN228" s="49" t="s">
        <v>297</v>
      </c>
      <c r="DO228" s="48"/>
      <c r="DP228" s="49" t="s">
        <v>312</v>
      </c>
      <c r="DQ228" s="48"/>
      <c r="DR228" s="49" t="s">
        <v>312</v>
      </c>
      <c r="DS228" s="49" t="s">
        <v>303</v>
      </c>
      <c r="DT228" s="49" t="s">
        <v>303</v>
      </c>
      <c r="DW228" s="49" t="s">
        <v>303</v>
      </c>
      <c r="EA228" s="49" t="s">
        <v>324</v>
      </c>
      <c r="EB228" s="49" t="s">
        <v>303</v>
      </c>
      <c r="EF228" s="49" t="s">
        <v>981</v>
      </c>
      <c r="EH228" s="49" t="s">
        <v>310</v>
      </c>
      <c r="EJ228" s="49" t="s">
        <v>303</v>
      </c>
      <c r="EK228" s="49" t="s">
        <v>1000</v>
      </c>
      <c r="EM228" s="49" t="s">
        <v>303</v>
      </c>
      <c r="EN228" s="49" t="s">
        <v>396</v>
      </c>
      <c r="EP228" s="49" t="s">
        <v>298</v>
      </c>
      <c r="EQ228" s="0" t="n">
        <v>1</v>
      </c>
      <c r="ER228" s="49" t="s">
        <v>328</v>
      </c>
      <c r="ES228" s="49" t="s">
        <v>329</v>
      </c>
      <c r="ET228" s="49" t="s">
        <v>310</v>
      </c>
      <c r="EU228" s="49" t="s">
        <v>310</v>
      </c>
      <c r="EV228" s="49" t="s">
        <v>310</v>
      </c>
      <c r="EX228" s="49" t="s">
        <v>303</v>
      </c>
      <c r="EY228" s="49" t="s">
        <v>303</v>
      </c>
      <c r="FC228" s="49" t="s">
        <v>330</v>
      </c>
      <c r="FD228" s="49" t="s">
        <v>310</v>
      </c>
      <c r="FE228" s="49" t="s">
        <v>310</v>
      </c>
      <c r="FF228" s="49" t="s">
        <v>64</v>
      </c>
      <c r="FG228" s="49" t="s">
        <v>397</v>
      </c>
      <c r="FH228" s="49" t="s">
        <v>310</v>
      </c>
      <c r="FI228" s="49" t="s">
        <v>332</v>
      </c>
      <c r="FJ228" s="49" t="s">
        <v>303</v>
      </c>
      <c r="FL228" s="49" t="s">
        <v>325</v>
      </c>
      <c r="FM228" s="49" t="s">
        <v>936</v>
      </c>
      <c r="FP228" s="49" t="s">
        <v>303</v>
      </c>
      <c r="FR228" s="49" t="s">
        <v>303</v>
      </c>
      <c r="FT228" s="49" t="s">
        <v>325</v>
      </c>
      <c r="FU228" s="49" t="s">
        <v>325</v>
      </c>
      <c r="FW228" s="49" t="s">
        <v>333</v>
      </c>
    </row>
    <row r="229" customFormat="false" ht="15" hidden="false" customHeight="false" outlineLevel="0" collapsed="false">
      <c r="A229" s="0" t="n">
        <v>100879419</v>
      </c>
      <c r="B229" s="0" t="s">
        <v>295</v>
      </c>
      <c r="C229" s="0" t="s">
        <v>64</v>
      </c>
      <c r="D229" s="0" t="s">
        <v>65</v>
      </c>
      <c r="E229" s="0" t="s">
        <v>297</v>
      </c>
      <c r="G229" s="0" t="n">
        <v>1</v>
      </c>
      <c r="H229" s="0" t="s">
        <v>298</v>
      </c>
      <c r="I229" s="48" t="n">
        <v>46293</v>
      </c>
      <c r="J229" s="0" t="n">
        <v>0</v>
      </c>
      <c r="K229" s="49" t="s">
        <v>936</v>
      </c>
      <c r="L229" s="49" t="s">
        <v>335</v>
      </c>
      <c r="M229" s="48"/>
      <c r="O229" s="49" t="s">
        <v>937</v>
      </c>
      <c r="P229" s="48"/>
      <c r="Q229" s="48" t="n">
        <v>46293</v>
      </c>
      <c r="R229" s="48" t="n">
        <v>46299</v>
      </c>
      <c r="T229" s="49" t="s">
        <v>302</v>
      </c>
      <c r="U229" s="49" t="s">
        <v>303</v>
      </c>
      <c r="Y229" s="49" t="s">
        <v>312</v>
      </c>
      <c r="AD229" s="49" t="s">
        <v>305</v>
      </c>
      <c r="AE229" s="48" t="n">
        <v>46267</v>
      </c>
      <c r="AF229" s="49" t="s">
        <v>306</v>
      </c>
      <c r="AG229" s="49" t="s">
        <v>307</v>
      </c>
      <c r="AK229" s="49" t="s">
        <v>303</v>
      </c>
      <c r="AL229" s="49" t="s">
        <v>297</v>
      </c>
      <c r="AO229" s="49" t="s">
        <v>303</v>
      </c>
      <c r="AP229" s="48"/>
      <c r="AR229" s="49" t="s">
        <v>303</v>
      </c>
      <c r="AS229" s="49" t="s">
        <v>306</v>
      </c>
      <c r="AT229" s="49" t="s">
        <v>1001</v>
      </c>
      <c r="AV229" s="49" t="s">
        <v>309</v>
      </c>
      <c r="AW229" s="49" t="s">
        <v>310</v>
      </c>
      <c r="AX229" s="49" t="s">
        <v>311</v>
      </c>
      <c r="AY229" s="48"/>
      <c r="AZ229" s="48" t="n">
        <v>46289</v>
      </c>
      <c r="BC229" s="49" t="s">
        <v>303</v>
      </c>
      <c r="BD229" s="48"/>
      <c r="BE229" s="49" t="s">
        <v>312</v>
      </c>
      <c r="BF229" s="49" t="s">
        <v>303</v>
      </c>
      <c r="BG229" s="48"/>
      <c r="BI229" s="48"/>
      <c r="BJ229" s="48" t="n">
        <v>46296</v>
      </c>
      <c r="BK229" s="49" t="s">
        <v>313</v>
      </c>
      <c r="BL229" s="49" t="s">
        <v>313</v>
      </c>
      <c r="BM229" s="49" t="s">
        <v>310</v>
      </c>
      <c r="BN229" s="48"/>
      <c r="BO229" s="48"/>
      <c r="BP229" s="48"/>
      <c r="BQ229" s="49" t="s">
        <v>923</v>
      </c>
      <c r="BR229" s="48" t="n">
        <v>46296</v>
      </c>
      <c r="BS229" s="49" t="s">
        <v>1002</v>
      </c>
      <c r="BT229" s="49" t="s">
        <v>312</v>
      </c>
      <c r="BU229" s="49" t="s">
        <v>313</v>
      </c>
      <c r="BV229" s="49" t="s">
        <v>303</v>
      </c>
      <c r="BX229" s="0" t="n">
        <v>0</v>
      </c>
      <c r="CC229" s="49" t="s">
        <v>315</v>
      </c>
      <c r="CD229" s="49" t="s">
        <v>303</v>
      </c>
      <c r="CF229" s="49" t="s">
        <v>303</v>
      </c>
      <c r="CG229" s="49" t="s">
        <v>316</v>
      </c>
      <c r="CH229" s="49" t="s">
        <v>317</v>
      </c>
      <c r="CI229" s="49" t="s">
        <v>318</v>
      </c>
      <c r="CM229" s="49" t="s">
        <v>65</v>
      </c>
      <c r="CV229" s="49" t="s">
        <v>303</v>
      </c>
      <c r="DB229" s="49" t="s">
        <v>319</v>
      </c>
      <c r="DD229" s="48" t="n">
        <v>46267</v>
      </c>
      <c r="DF229" s="49" t="s">
        <v>310</v>
      </c>
      <c r="DG229" s="49" t="s">
        <v>320</v>
      </c>
      <c r="DH229" s="49" t="s">
        <v>64</v>
      </c>
      <c r="DI229" s="49" t="s">
        <v>298</v>
      </c>
      <c r="DJ229" s="49" t="s">
        <v>394</v>
      </c>
      <c r="DK229" s="49" t="s">
        <v>322</v>
      </c>
      <c r="DL229" s="49" t="s">
        <v>323</v>
      </c>
      <c r="DM229" s="49" t="s">
        <v>303</v>
      </c>
      <c r="DN229" s="49" t="s">
        <v>297</v>
      </c>
      <c r="DO229" s="48"/>
      <c r="DP229" s="49" t="s">
        <v>312</v>
      </c>
      <c r="DQ229" s="48"/>
      <c r="DR229" s="49" t="s">
        <v>312</v>
      </c>
      <c r="DS229" s="49" t="s">
        <v>303</v>
      </c>
      <c r="DT229" s="49" t="s">
        <v>303</v>
      </c>
      <c r="DW229" s="49" t="s">
        <v>303</v>
      </c>
      <c r="EA229" s="49" t="s">
        <v>324</v>
      </c>
      <c r="EB229" s="49" t="s">
        <v>303</v>
      </c>
      <c r="EF229" s="49" t="s">
        <v>981</v>
      </c>
      <c r="EH229" s="49" t="s">
        <v>310</v>
      </c>
      <c r="EJ229" s="49" t="s">
        <v>303</v>
      </c>
      <c r="EK229" s="49" t="s">
        <v>1003</v>
      </c>
      <c r="EM229" s="49" t="s">
        <v>303</v>
      </c>
      <c r="EN229" s="49" t="s">
        <v>396</v>
      </c>
      <c r="EP229" s="49" t="s">
        <v>298</v>
      </c>
      <c r="EQ229" s="0" t="n">
        <v>1</v>
      </c>
      <c r="ER229" s="49" t="s">
        <v>328</v>
      </c>
      <c r="ES229" s="49" t="s">
        <v>329</v>
      </c>
      <c r="ET229" s="49" t="s">
        <v>310</v>
      </c>
      <c r="EU229" s="49" t="s">
        <v>310</v>
      </c>
      <c r="EV229" s="49" t="s">
        <v>310</v>
      </c>
      <c r="EX229" s="49" t="s">
        <v>303</v>
      </c>
      <c r="EY229" s="49" t="s">
        <v>303</v>
      </c>
      <c r="FC229" s="49" t="s">
        <v>330</v>
      </c>
      <c r="FD229" s="49" t="s">
        <v>310</v>
      </c>
      <c r="FE229" s="49" t="s">
        <v>310</v>
      </c>
      <c r="FF229" s="49" t="s">
        <v>64</v>
      </c>
      <c r="FG229" s="49" t="s">
        <v>397</v>
      </c>
      <c r="FH229" s="49" t="s">
        <v>310</v>
      </c>
      <c r="FI229" s="49" t="s">
        <v>332</v>
      </c>
      <c r="FJ229" s="49" t="s">
        <v>303</v>
      </c>
      <c r="FL229" s="49" t="s">
        <v>325</v>
      </c>
      <c r="FM229" s="49" t="s">
        <v>936</v>
      </c>
      <c r="FP229" s="49" t="s">
        <v>303</v>
      </c>
      <c r="FR229" s="49" t="s">
        <v>303</v>
      </c>
      <c r="FT229" s="49" t="s">
        <v>325</v>
      </c>
      <c r="FU229" s="49" t="s">
        <v>325</v>
      </c>
      <c r="FW229" s="49" t="s">
        <v>333</v>
      </c>
    </row>
    <row r="230" customFormat="false" ht="15" hidden="false" customHeight="false" outlineLevel="0" collapsed="false">
      <c r="A230" s="0" t="n">
        <v>100879420</v>
      </c>
      <c r="B230" s="0" t="s">
        <v>295</v>
      </c>
      <c r="C230" s="0" t="s">
        <v>64</v>
      </c>
      <c r="D230" s="0" t="s">
        <v>65</v>
      </c>
      <c r="E230" s="0" t="s">
        <v>297</v>
      </c>
      <c r="G230" s="0" t="n">
        <v>1</v>
      </c>
      <c r="H230" s="0" t="s">
        <v>298</v>
      </c>
      <c r="I230" s="48" t="n">
        <v>46293</v>
      </c>
      <c r="J230" s="0" t="n">
        <v>0</v>
      </c>
      <c r="K230" s="49" t="s">
        <v>936</v>
      </c>
      <c r="L230" s="49" t="s">
        <v>335</v>
      </c>
      <c r="M230" s="48"/>
      <c r="O230" s="49" t="s">
        <v>937</v>
      </c>
      <c r="P230" s="48"/>
      <c r="Q230" s="48" t="n">
        <v>46293</v>
      </c>
      <c r="R230" s="48" t="n">
        <v>46299</v>
      </c>
      <c r="T230" s="49" t="s">
        <v>302</v>
      </c>
      <c r="U230" s="49" t="s">
        <v>303</v>
      </c>
      <c r="Y230" s="49" t="s">
        <v>312</v>
      </c>
      <c r="AD230" s="49" t="s">
        <v>305</v>
      </c>
      <c r="AE230" s="48" t="n">
        <v>46267</v>
      </c>
      <c r="AF230" s="49" t="s">
        <v>306</v>
      </c>
      <c r="AG230" s="49" t="s">
        <v>307</v>
      </c>
      <c r="AK230" s="49" t="s">
        <v>303</v>
      </c>
      <c r="AL230" s="49" t="s">
        <v>297</v>
      </c>
      <c r="AO230" s="49" t="s">
        <v>303</v>
      </c>
      <c r="AP230" s="48"/>
      <c r="AR230" s="49" t="s">
        <v>303</v>
      </c>
      <c r="AS230" s="49" t="s">
        <v>306</v>
      </c>
      <c r="AT230" s="49" t="s">
        <v>1004</v>
      </c>
      <c r="AV230" s="49" t="s">
        <v>309</v>
      </c>
      <c r="AW230" s="49" t="s">
        <v>310</v>
      </c>
      <c r="AX230" s="49" t="s">
        <v>311</v>
      </c>
      <c r="AY230" s="48"/>
      <c r="AZ230" s="48" t="n">
        <v>46289</v>
      </c>
      <c r="BC230" s="49" t="s">
        <v>303</v>
      </c>
      <c r="BD230" s="48"/>
      <c r="BE230" s="49" t="s">
        <v>312</v>
      </c>
      <c r="BF230" s="49" t="s">
        <v>303</v>
      </c>
      <c r="BG230" s="48"/>
      <c r="BI230" s="48"/>
      <c r="BJ230" s="48" t="n">
        <v>46296</v>
      </c>
      <c r="BK230" s="49" t="s">
        <v>313</v>
      </c>
      <c r="BL230" s="49" t="s">
        <v>313</v>
      </c>
      <c r="BM230" s="49" t="s">
        <v>310</v>
      </c>
      <c r="BN230" s="48"/>
      <c r="BO230" s="48"/>
      <c r="BP230" s="48"/>
      <c r="BQ230" s="49" t="s">
        <v>923</v>
      </c>
      <c r="BR230" s="48" t="n">
        <v>46296</v>
      </c>
      <c r="BS230" s="49" t="s">
        <v>1002</v>
      </c>
      <c r="BT230" s="49" t="s">
        <v>312</v>
      </c>
      <c r="BU230" s="49" t="s">
        <v>313</v>
      </c>
      <c r="BV230" s="49" t="s">
        <v>303</v>
      </c>
      <c r="BX230" s="0" t="n">
        <v>0</v>
      </c>
      <c r="CC230" s="49" t="s">
        <v>315</v>
      </c>
      <c r="CD230" s="49" t="s">
        <v>303</v>
      </c>
      <c r="CF230" s="49" t="s">
        <v>303</v>
      </c>
      <c r="CG230" s="49" t="s">
        <v>316</v>
      </c>
      <c r="CH230" s="49" t="s">
        <v>317</v>
      </c>
      <c r="CI230" s="49" t="s">
        <v>318</v>
      </c>
      <c r="CM230" s="49" t="s">
        <v>65</v>
      </c>
      <c r="CV230" s="49" t="s">
        <v>303</v>
      </c>
      <c r="DB230" s="49" t="s">
        <v>319</v>
      </c>
      <c r="DD230" s="48" t="n">
        <v>46267</v>
      </c>
      <c r="DF230" s="49" t="s">
        <v>310</v>
      </c>
      <c r="DG230" s="49" t="s">
        <v>320</v>
      </c>
      <c r="DH230" s="49" t="s">
        <v>64</v>
      </c>
      <c r="DI230" s="49" t="s">
        <v>298</v>
      </c>
      <c r="DJ230" s="49" t="s">
        <v>394</v>
      </c>
      <c r="DK230" s="49" t="s">
        <v>322</v>
      </c>
      <c r="DL230" s="49" t="s">
        <v>323</v>
      </c>
      <c r="DM230" s="49" t="s">
        <v>303</v>
      </c>
      <c r="DN230" s="49" t="s">
        <v>297</v>
      </c>
      <c r="DO230" s="48"/>
      <c r="DP230" s="49" t="s">
        <v>312</v>
      </c>
      <c r="DQ230" s="48"/>
      <c r="DR230" s="49" t="s">
        <v>312</v>
      </c>
      <c r="DS230" s="49" t="s">
        <v>303</v>
      </c>
      <c r="DT230" s="49" t="s">
        <v>303</v>
      </c>
      <c r="DW230" s="49" t="s">
        <v>303</v>
      </c>
      <c r="EA230" s="49" t="s">
        <v>324</v>
      </c>
      <c r="EB230" s="49" t="s">
        <v>303</v>
      </c>
      <c r="EF230" s="49" t="s">
        <v>981</v>
      </c>
      <c r="EH230" s="49" t="s">
        <v>310</v>
      </c>
      <c r="EJ230" s="49" t="s">
        <v>303</v>
      </c>
      <c r="EK230" s="49" t="s">
        <v>1005</v>
      </c>
      <c r="EM230" s="49" t="s">
        <v>303</v>
      </c>
      <c r="EN230" s="49" t="s">
        <v>396</v>
      </c>
      <c r="EP230" s="49" t="s">
        <v>298</v>
      </c>
      <c r="EQ230" s="0" t="n">
        <v>1</v>
      </c>
      <c r="ER230" s="49" t="s">
        <v>328</v>
      </c>
      <c r="ES230" s="49" t="s">
        <v>329</v>
      </c>
      <c r="ET230" s="49" t="s">
        <v>310</v>
      </c>
      <c r="EU230" s="49" t="s">
        <v>310</v>
      </c>
      <c r="EV230" s="49" t="s">
        <v>310</v>
      </c>
      <c r="EX230" s="49" t="s">
        <v>303</v>
      </c>
      <c r="EY230" s="49" t="s">
        <v>303</v>
      </c>
      <c r="FC230" s="49" t="s">
        <v>330</v>
      </c>
      <c r="FD230" s="49" t="s">
        <v>310</v>
      </c>
      <c r="FE230" s="49" t="s">
        <v>310</v>
      </c>
      <c r="FF230" s="49" t="s">
        <v>64</v>
      </c>
      <c r="FG230" s="49" t="s">
        <v>397</v>
      </c>
      <c r="FH230" s="49" t="s">
        <v>310</v>
      </c>
      <c r="FI230" s="49" t="s">
        <v>332</v>
      </c>
      <c r="FJ230" s="49" t="s">
        <v>303</v>
      </c>
      <c r="FL230" s="49" t="s">
        <v>325</v>
      </c>
      <c r="FM230" s="49" t="s">
        <v>936</v>
      </c>
      <c r="FP230" s="49" t="s">
        <v>303</v>
      </c>
      <c r="FR230" s="49" t="s">
        <v>303</v>
      </c>
      <c r="FT230" s="49" t="s">
        <v>325</v>
      </c>
      <c r="FU230" s="49" t="s">
        <v>325</v>
      </c>
      <c r="FW230" s="49" t="s">
        <v>333</v>
      </c>
    </row>
    <row r="231" customFormat="false" ht="15" hidden="false" customHeight="false" outlineLevel="0" collapsed="false">
      <c r="A231" s="0" t="n">
        <v>100879421</v>
      </c>
      <c r="B231" s="0" t="s">
        <v>295</v>
      </c>
      <c r="C231" s="0" t="s">
        <v>64</v>
      </c>
      <c r="D231" s="0" t="s">
        <v>65</v>
      </c>
      <c r="E231" s="0" t="s">
        <v>297</v>
      </c>
      <c r="G231" s="0" t="n">
        <v>1</v>
      </c>
      <c r="H231" s="0" t="s">
        <v>298</v>
      </c>
      <c r="I231" s="48" t="n">
        <v>46293</v>
      </c>
      <c r="J231" s="0" t="n">
        <v>0</v>
      </c>
      <c r="K231" s="49" t="s">
        <v>936</v>
      </c>
      <c r="L231" s="49" t="s">
        <v>335</v>
      </c>
      <c r="M231" s="48"/>
      <c r="O231" s="49" t="s">
        <v>937</v>
      </c>
      <c r="P231" s="48"/>
      <c r="Q231" s="48" t="n">
        <v>46293</v>
      </c>
      <c r="R231" s="48" t="n">
        <v>46299</v>
      </c>
      <c r="T231" s="49" t="s">
        <v>302</v>
      </c>
      <c r="U231" s="49" t="s">
        <v>303</v>
      </c>
      <c r="Y231" s="49" t="s">
        <v>312</v>
      </c>
      <c r="AD231" s="49" t="s">
        <v>305</v>
      </c>
      <c r="AE231" s="48" t="n">
        <v>46267</v>
      </c>
      <c r="AF231" s="49" t="s">
        <v>306</v>
      </c>
      <c r="AG231" s="49" t="s">
        <v>307</v>
      </c>
      <c r="AK231" s="49" t="s">
        <v>303</v>
      </c>
      <c r="AL231" s="49" t="s">
        <v>297</v>
      </c>
      <c r="AO231" s="49" t="s">
        <v>303</v>
      </c>
      <c r="AP231" s="48"/>
      <c r="AR231" s="49" t="s">
        <v>303</v>
      </c>
      <c r="AS231" s="49" t="s">
        <v>306</v>
      </c>
      <c r="AT231" s="49" t="s">
        <v>1006</v>
      </c>
      <c r="AV231" s="49" t="s">
        <v>309</v>
      </c>
      <c r="AW231" s="49" t="s">
        <v>310</v>
      </c>
      <c r="AX231" s="49" t="s">
        <v>311</v>
      </c>
      <c r="AY231" s="48"/>
      <c r="AZ231" s="48" t="n">
        <v>46289</v>
      </c>
      <c r="BC231" s="49" t="s">
        <v>303</v>
      </c>
      <c r="BD231" s="48"/>
      <c r="BE231" s="49" t="s">
        <v>312</v>
      </c>
      <c r="BF231" s="49" t="s">
        <v>303</v>
      </c>
      <c r="BG231" s="48"/>
      <c r="BI231" s="48"/>
      <c r="BJ231" s="48" t="n">
        <v>46296</v>
      </c>
      <c r="BK231" s="49" t="s">
        <v>313</v>
      </c>
      <c r="BL231" s="49" t="s">
        <v>313</v>
      </c>
      <c r="BM231" s="49" t="s">
        <v>310</v>
      </c>
      <c r="BN231" s="48"/>
      <c r="BO231" s="48"/>
      <c r="BP231" s="48"/>
      <c r="BQ231" s="49" t="s">
        <v>923</v>
      </c>
      <c r="BR231" s="48" t="n">
        <v>46296</v>
      </c>
      <c r="BS231" s="49" t="s">
        <v>1002</v>
      </c>
      <c r="BT231" s="49" t="s">
        <v>312</v>
      </c>
      <c r="BU231" s="49" t="s">
        <v>313</v>
      </c>
      <c r="BV231" s="49" t="s">
        <v>303</v>
      </c>
      <c r="BX231" s="0" t="n">
        <v>0</v>
      </c>
      <c r="CC231" s="49" t="s">
        <v>315</v>
      </c>
      <c r="CD231" s="49" t="s">
        <v>303</v>
      </c>
      <c r="CF231" s="49" t="s">
        <v>303</v>
      </c>
      <c r="CG231" s="49" t="s">
        <v>316</v>
      </c>
      <c r="CH231" s="49" t="s">
        <v>317</v>
      </c>
      <c r="CI231" s="49" t="s">
        <v>318</v>
      </c>
      <c r="CM231" s="49" t="s">
        <v>65</v>
      </c>
      <c r="CV231" s="49" t="s">
        <v>303</v>
      </c>
      <c r="DB231" s="49" t="s">
        <v>319</v>
      </c>
      <c r="DD231" s="48" t="n">
        <v>46267</v>
      </c>
      <c r="DF231" s="49" t="s">
        <v>310</v>
      </c>
      <c r="DG231" s="49" t="s">
        <v>320</v>
      </c>
      <c r="DH231" s="49" t="s">
        <v>64</v>
      </c>
      <c r="DI231" s="49" t="s">
        <v>298</v>
      </c>
      <c r="DJ231" s="49" t="s">
        <v>394</v>
      </c>
      <c r="DK231" s="49" t="s">
        <v>322</v>
      </c>
      <c r="DL231" s="49" t="s">
        <v>323</v>
      </c>
      <c r="DM231" s="49" t="s">
        <v>303</v>
      </c>
      <c r="DN231" s="49" t="s">
        <v>297</v>
      </c>
      <c r="DO231" s="48"/>
      <c r="DP231" s="49" t="s">
        <v>312</v>
      </c>
      <c r="DQ231" s="48"/>
      <c r="DR231" s="49" t="s">
        <v>312</v>
      </c>
      <c r="DS231" s="49" t="s">
        <v>303</v>
      </c>
      <c r="DT231" s="49" t="s">
        <v>303</v>
      </c>
      <c r="DW231" s="49" t="s">
        <v>303</v>
      </c>
      <c r="EA231" s="49" t="s">
        <v>324</v>
      </c>
      <c r="EB231" s="49" t="s">
        <v>303</v>
      </c>
      <c r="EF231" s="49" t="s">
        <v>981</v>
      </c>
      <c r="EH231" s="49" t="s">
        <v>310</v>
      </c>
      <c r="EJ231" s="49" t="s">
        <v>303</v>
      </c>
      <c r="EK231" s="49" t="s">
        <v>1007</v>
      </c>
      <c r="EM231" s="49" t="s">
        <v>303</v>
      </c>
      <c r="EN231" s="49" t="s">
        <v>396</v>
      </c>
      <c r="EP231" s="49" t="s">
        <v>298</v>
      </c>
      <c r="EQ231" s="0" t="n">
        <v>1</v>
      </c>
      <c r="ER231" s="49" t="s">
        <v>328</v>
      </c>
      <c r="ES231" s="49" t="s">
        <v>329</v>
      </c>
      <c r="ET231" s="49" t="s">
        <v>310</v>
      </c>
      <c r="EU231" s="49" t="s">
        <v>310</v>
      </c>
      <c r="EV231" s="49" t="s">
        <v>310</v>
      </c>
      <c r="EX231" s="49" t="s">
        <v>303</v>
      </c>
      <c r="EY231" s="49" t="s">
        <v>303</v>
      </c>
      <c r="FC231" s="49" t="s">
        <v>330</v>
      </c>
      <c r="FD231" s="49" t="s">
        <v>310</v>
      </c>
      <c r="FE231" s="49" t="s">
        <v>310</v>
      </c>
      <c r="FF231" s="49" t="s">
        <v>64</v>
      </c>
      <c r="FG231" s="49" t="s">
        <v>397</v>
      </c>
      <c r="FH231" s="49" t="s">
        <v>310</v>
      </c>
      <c r="FI231" s="49" t="s">
        <v>332</v>
      </c>
      <c r="FJ231" s="49" t="s">
        <v>303</v>
      </c>
      <c r="FL231" s="49" t="s">
        <v>325</v>
      </c>
      <c r="FM231" s="49" t="s">
        <v>936</v>
      </c>
      <c r="FP231" s="49" t="s">
        <v>303</v>
      </c>
      <c r="FR231" s="49" t="s">
        <v>303</v>
      </c>
      <c r="FT231" s="49" t="s">
        <v>325</v>
      </c>
      <c r="FU231" s="49" t="s">
        <v>325</v>
      </c>
      <c r="FW231" s="49" t="s">
        <v>333</v>
      </c>
    </row>
    <row r="232" customFormat="false" ht="15" hidden="false" customHeight="false" outlineLevel="0" collapsed="false">
      <c r="A232" s="0" t="n">
        <v>100879422</v>
      </c>
      <c r="B232" s="0" t="s">
        <v>295</v>
      </c>
      <c r="C232" s="0" t="s">
        <v>64</v>
      </c>
      <c r="D232" s="0" t="s">
        <v>65</v>
      </c>
      <c r="E232" s="0" t="s">
        <v>297</v>
      </c>
      <c r="G232" s="0" t="n">
        <v>1</v>
      </c>
      <c r="H232" s="0" t="s">
        <v>298</v>
      </c>
      <c r="I232" s="48" t="n">
        <v>46293</v>
      </c>
      <c r="J232" s="0" t="n">
        <v>0</v>
      </c>
      <c r="K232" s="49" t="s">
        <v>936</v>
      </c>
      <c r="L232" s="49" t="s">
        <v>335</v>
      </c>
      <c r="M232" s="48"/>
      <c r="O232" s="49" t="s">
        <v>937</v>
      </c>
      <c r="P232" s="48"/>
      <c r="Q232" s="48" t="n">
        <v>46293</v>
      </c>
      <c r="R232" s="48" t="n">
        <v>46299</v>
      </c>
      <c r="T232" s="49" t="s">
        <v>302</v>
      </c>
      <c r="U232" s="49" t="s">
        <v>303</v>
      </c>
      <c r="Y232" s="49" t="s">
        <v>312</v>
      </c>
      <c r="AD232" s="49" t="s">
        <v>305</v>
      </c>
      <c r="AE232" s="48" t="n">
        <v>46267</v>
      </c>
      <c r="AF232" s="49" t="s">
        <v>306</v>
      </c>
      <c r="AG232" s="49" t="s">
        <v>307</v>
      </c>
      <c r="AK232" s="49" t="s">
        <v>303</v>
      </c>
      <c r="AL232" s="49" t="s">
        <v>297</v>
      </c>
      <c r="AO232" s="49" t="s">
        <v>303</v>
      </c>
      <c r="AP232" s="48"/>
      <c r="AR232" s="49" t="s">
        <v>303</v>
      </c>
      <c r="AS232" s="49" t="s">
        <v>306</v>
      </c>
      <c r="AT232" s="49" t="s">
        <v>1008</v>
      </c>
      <c r="AV232" s="49" t="s">
        <v>309</v>
      </c>
      <c r="AW232" s="49" t="s">
        <v>310</v>
      </c>
      <c r="AX232" s="49" t="s">
        <v>311</v>
      </c>
      <c r="AY232" s="48"/>
      <c r="AZ232" s="48" t="n">
        <v>46289</v>
      </c>
      <c r="BC232" s="49" t="s">
        <v>303</v>
      </c>
      <c r="BD232" s="48"/>
      <c r="BE232" s="49" t="s">
        <v>312</v>
      </c>
      <c r="BF232" s="49" t="s">
        <v>303</v>
      </c>
      <c r="BG232" s="48"/>
      <c r="BI232" s="48"/>
      <c r="BJ232" s="48" t="n">
        <v>46296</v>
      </c>
      <c r="BK232" s="49" t="s">
        <v>313</v>
      </c>
      <c r="BL232" s="49" t="s">
        <v>313</v>
      </c>
      <c r="BM232" s="49" t="s">
        <v>310</v>
      </c>
      <c r="BN232" s="48"/>
      <c r="BO232" s="48"/>
      <c r="BP232" s="48"/>
      <c r="BQ232" s="49" t="s">
        <v>923</v>
      </c>
      <c r="BR232" s="48" t="n">
        <v>46296</v>
      </c>
      <c r="BS232" s="49" t="s">
        <v>1009</v>
      </c>
      <c r="BT232" s="49" t="s">
        <v>312</v>
      </c>
      <c r="BU232" s="49" t="s">
        <v>313</v>
      </c>
      <c r="BV232" s="49" t="s">
        <v>303</v>
      </c>
      <c r="BX232" s="0" t="n">
        <v>0</v>
      </c>
      <c r="CC232" s="49" t="s">
        <v>315</v>
      </c>
      <c r="CD232" s="49" t="s">
        <v>303</v>
      </c>
      <c r="CF232" s="49" t="s">
        <v>303</v>
      </c>
      <c r="CG232" s="49" t="s">
        <v>316</v>
      </c>
      <c r="CH232" s="49" t="s">
        <v>317</v>
      </c>
      <c r="CI232" s="49" t="s">
        <v>318</v>
      </c>
      <c r="CM232" s="49" t="s">
        <v>65</v>
      </c>
      <c r="CV232" s="49" t="s">
        <v>303</v>
      </c>
      <c r="DB232" s="49" t="s">
        <v>319</v>
      </c>
      <c r="DD232" s="48" t="n">
        <v>46267</v>
      </c>
      <c r="DF232" s="49" t="s">
        <v>310</v>
      </c>
      <c r="DG232" s="49" t="s">
        <v>320</v>
      </c>
      <c r="DH232" s="49" t="s">
        <v>64</v>
      </c>
      <c r="DI232" s="49" t="s">
        <v>298</v>
      </c>
      <c r="DJ232" s="49" t="s">
        <v>394</v>
      </c>
      <c r="DK232" s="49" t="s">
        <v>322</v>
      </c>
      <c r="DL232" s="49" t="s">
        <v>323</v>
      </c>
      <c r="DM232" s="49" t="s">
        <v>303</v>
      </c>
      <c r="DN232" s="49" t="s">
        <v>297</v>
      </c>
      <c r="DO232" s="48"/>
      <c r="DP232" s="49" t="s">
        <v>312</v>
      </c>
      <c r="DQ232" s="48"/>
      <c r="DR232" s="49" t="s">
        <v>312</v>
      </c>
      <c r="DS232" s="49" t="s">
        <v>303</v>
      </c>
      <c r="DT232" s="49" t="s">
        <v>303</v>
      </c>
      <c r="DW232" s="49" t="s">
        <v>303</v>
      </c>
      <c r="EA232" s="49" t="s">
        <v>324</v>
      </c>
      <c r="EB232" s="49" t="s">
        <v>303</v>
      </c>
      <c r="EF232" s="49" t="s">
        <v>981</v>
      </c>
      <c r="EH232" s="49" t="s">
        <v>310</v>
      </c>
      <c r="EJ232" s="49" t="s">
        <v>303</v>
      </c>
      <c r="EK232" s="49" t="s">
        <v>1010</v>
      </c>
      <c r="EM232" s="49" t="s">
        <v>303</v>
      </c>
      <c r="EN232" s="49" t="s">
        <v>396</v>
      </c>
      <c r="EP232" s="49" t="s">
        <v>298</v>
      </c>
      <c r="EQ232" s="0" t="n">
        <v>1</v>
      </c>
      <c r="ER232" s="49" t="s">
        <v>328</v>
      </c>
      <c r="ES232" s="49" t="s">
        <v>329</v>
      </c>
      <c r="ET232" s="49" t="s">
        <v>310</v>
      </c>
      <c r="EU232" s="49" t="s">
        <v>310</v>
      </c>
      <c r="EV232" s="49" t="s">
        <v>310</v>
      </c>
      <c r="EX232" s="49" t="s">
        <v>303</v>
      </c>
      <c r="EY232" s="49" t="s">
        <v>303</v>
      </c>
      <c r="FC232" s="49" t="s">
        <v>330</v>
      </c>
      <c r="FD232" s="49" t="s">
        <v>310</v>
      </c>
      <c r="FE232" s="49" t="s">
        <v>310</v>
      </c>
      <c r="FF232" s="49" t="s">
        <v>64</v>
      </c>
      <c r="FG232" s="49" t="s">
        <v>397</v>
      </c>
      <c r="FH232" s="49" t="s">
        <v>310</v>
      </c>
      <c r="FI232" s="49" t="s">
        <v>332</v>
      </c>
      <c r="FJ232" s="49" t="s">
        <v>303</v>
      </c>
      <c r="FL232" s="49" t="s">
        <v>325</v>
      </c>
      <c r="FM232" s="49" t="s">
        <v>936</v>
      </c>
      <c r="FP232" s="49" t="s">
        <v>303</v>
      </c>
      <c r="FR232" s="49" t="s">
        <v>303</v>
      </c>
      <c r="FT232" s="49" t="s">
        <v>325</v>
      </c>
      <c r="FU232" s="49" t="s">
        <v>325</v>
      </c>
      <c r="FW232" s="49" t="s">
        <v>333</v>
      </c>
    </row>
    <row r="233" customFormat="false" ht="15" hidden="false" customHeight="false" outlineLevel="0" collapsed="false">
      <c r="A233" s="0" t="n">
        <v>100879423</v>
      </c>
      <c r="B233" s="0" t="s">
        <v>295</v>
      </c>
      <c r="C233" s="0" t="s">
        <v>64</v>
      </c>
      <c r="D233" s="0" t="s">
        <v>65</v>
      </c>
      <c r="E233" s="0" t="s">
        <v>297</v>
      </c>
      <c r="G233" s="0" t="n">
        <v>1</v>
      </c>
      <c r="H233" s="0" t="s">
        <v>298</v>
      </c>
      <c r="I233" s="48" t="n">
        <v>46293</v>
      </c>
      <c r="J233" s="0" t="n">
        <v>0</v>
      </c>
      <c r="K233" s="49" t="s">
        <v>936</v>
      </c>
      <c r="L233" s="49" t="s">
        <v>335</v>
      </c>
      <c r="M233" s="48"/>
      <c r="O233" s="49" t="s">
        <v>937</v>
      </c>
      <c r="P233" s="48"/>
      <c r="Q233" s="48" t="n">
        <v>46293</v>
      </c>
      <c r="R233" s="48" t="n">
        <v>46299</v>
      </c>
      <c r="T233" s="49" t="s">
        <v>302</v>
      </c>
      <c r="U233" s="49" t="s">
        <v>303</v>
      </c>
      <c r="Y233" s="49" t="s">
        <v>312</v>
      </c>
      <c r="AD233" s="49" t="s">
        <v>305</v>
      </c>
      <c r="AE233" s="48" t="n">
        <v>46267</v>
      </c>
      <c r="AF233" s="49" t="s">
        <v>306</v>
      </c>
      <c r="AG233" s="49" t="s">
        <v>307</v>
      </c>
      <c r="AK233" s="49" t="s">
        <v>303</v>
      </c>
      <c r="AL233" s="49" t="s">
        <v>297</v>
      </c>
      <c r="AO233" s="49" t="s">
        <v>303</v>
      </c>
      <c r="AP233" s="48"/>
      <c r="AR233" s="49" t="s">
        <v>303</v>
      </c>
      <c r="AS233" s="49" t="s">
        <v>306</v>
      </c>
      <c r="AT233" s="49" t="s">
        <v>1011</v>
      </c>
      <c r="AV233" s="49" t="s">
        <v>309</v>
      </c>
      <c r="AW233" s="49" t="s">
        <v>310</v>
      </c>
      <c r="AX233" s="49" t="s">
        <v>311</v>
      </c>
      <c r="AY233" s="48"/>
      <c r="AZ233" s="48" t="n">
        <v>46289</v>
      </c>
      <c r="BC233" s="49" t="s">
        <v>303</v>
      </c>
      <c r="BD233" s="48"/>
      <c r="BE233" s="49" t="s">
        <v>312</v>
      </c>
      <c r="BF233" s="49" t="s">
        <v>303</v>
      </c>
      <c r="BG233" s="48"/>
      <c r="BI233" s="48"/>
      <c r="BJ233" s="48" t="n">
        <v>46296</v>
      </c>
      <c r="BK233" s="49" t="s">
        <v>313</v>
      </c>
      <c r="BL233" s="49" t="s">
        <v>313</v>
      </c>
      <c r="BM233" s="49" t="s">
        <v>310</v>
      </c>
      <c r="BN233" s="48"/>
      <c r="BO233" s="48"/>
      <c r="BP233" s="48"/>
      <c r="BQ233" s="49" t="s">
        <v>923</v>
      </c>
      <c r="BR233" s="48" t="n">
        <v>46296</v>
      </c>
      <c r="BS233" s="49" t="s">
        <v>1009</v>
      </c>
      <c r="BT233" s="49" t="s">
        <v>312</v>
      </c>
      <c r="BU233" s="49" t="s">
        <v>313</v>
      </c>
      <c r="BV233" s="49" t="s">
        <v>303</v>
      </c>
      <c r="BX233" s="0" t="n">
        <v>0</v>
      </c>
      <c r="CC233" s="49" t="s">
        <v>315</v>
      </c>
      <c r="CD233" s="49" t="s">
        <v>303</v>
      </c>
      <c r="CF233" s="49" t="s">
        <v>303</v>
      </c>
      <c r="CG233" s="49" t="s">
        <v>316</v>
      </c>
      <c r="CH233" s="49" t="s">
        <v>317</v>
      </c>
      <c r="CI233" s="49" t="s">
        <v>318</v>
      </c>
      <c r="CM233" s="49" t="s">
        <v>65</v>
      </c>
      <c r="CV233" s="49" t="s">
        <v>303</v>
      </c>
      <c r="DB233" s="49" t="s">
        <v>319</v>
      </c>
      <c r="DD233" s="48" t="n">
        <v>46267</v>
      </c>
      <c r="DF233" s="49" t="s">
        <v>310</v>
      </c>
      <c r="DG233" s="49" t="s">
        <v>320</v>
      </c>
      <c r="DH233" s="49" t="s">
        <v>64</v>
      </c>
      <c r="DI233" s="49" t="s">
        <v>298</v>
      </c>
      <c r="DJ233" s="49" t="s">
        <v>394</v>
      </c>
      <c r="DK233" s="49" t="s">
        <v>322</v>
      </c>
      <c r="DL233" s="49" t="s">
        <v>323</v>
      </c>
      <c r="DM233" s="49" t="s">
        <v>303</v>
      </c>
      <c r="DN233" s="49" t="s">
        <v>297</v>
      </c>
      <c r="DO233" s="48"/>
      <c r="DP233" s="49" t="s">
        <v>312</v>
      </c>
      <c r="DQ233" s="48"/>
      <c r="DR233" s="49" t="s">
        <v>312</v>
      </c>
      <c r="DS233" s="49" t="s">
        <v>303</v>
      </c>
      <c r="DT233" s="49" t="s">
        <v>303</v>
      </c>
      <c r="DW233" s="49" t="s">
        <v>303</v>
      </c>
      <c r="EA233" s="49" t="s">
        <v>324</v>
      </c>
      <c r="EB233" s="49" t="s">
        <v>303</v>
      </c>
      <c r="EF233" s="49" t="s">
        <v>981</v>
      </c>
      <c r="EH233" s="49" t="s">
        <v>310</v>
      </c>
      <c r="EJ233" s="49" t="s">
        <v>303</v>
      </c>
      <c r="EK233" s="49" t="s">
        <v>1012</v>
      </c>
      <c r="EM233" s="49" t="s">
        <v>303</v>
      </c>
      <c r="EN233" s="49" t="s">
        <v>396</v>
      </c>
      <c r="EP233" s="49" t="s">
        <v>298</v>
      </c>
      <c r="EQ233" s="0" t="n">
        <v>1</v>
      </c>
      <c r="ER233" s="49" t="s">
        <v>328</v>
      </c>
      <c r="ES233" s="49" t="s">
        <v>329</v>
      </c>
      <c r="ET233" s="49" t="s">
        <v>310</v>
      </c>
      <c r="EU233" s="49" t="s">
        <v>310</v>
      </c>
      <c r="EV233" s="49" t="s">
        <v>310</v>
      </c>
      <c r="EX233" s="49" t="s">
        <v>303</v>
      </c>
      <c r="EY233" s="49" t="s">
        <v>303</v>
      </c>
      <c r="FC233" s="49" t="s">
        <v>330</v>
      </c>
      <c r="FD233" s="49" t="s">
        <v>310</v>
      </c>
      <c r="FE233" s="49" t="s">
        <v>310</v>
      </c>
      <c r="FF233" s="49" t="s">
        <v>64</v>
      </c>
      <c r="FG233" s="49" t="s">
        <v>397</v>
      </c>
      <c r="FH233" s="49" t="s">
        <v>310</v>
      </c>
      <c r="FI233" s="49" t="s">
        <v>332</v>
      </c>
      <c r="FJ233" s="49" t="s">
        <v>303</v>
      </c>
      <c r="FL233" s="49" t="s">
        <v>325</v>
      </c>
      <c r="FM233" s="49" t="s">
        <v>936</v>
      </c>
      <c r="FP233" s="49" t="s">
        <v>303</v>
      </c>
      <c r="FR233" s="49" t="s">
        <v>303</v>
      </c>
      <c r="FT233" s="49" t="s">
        <v>325</v>
      </c>
      <c r="FU233" s="49" t="s">
        <v>325</v>
      </c>
      <c r="FW233" s="49" t="s">
        <v>333</v>
      </c>
    </row>
    <row r="234" customFormat="false" ht="15" hidden="false" customHeight="false" outlineLevel="0" collapsed="false">
      <c r="A234" s="0" t="n">
        <v>100879424</v>
      </c>
      <c r="B234" s="0" t="s">
        <v>295</v>
      </c>
      <c r="C234" s="0" t="s">
        <v>64</v>
      </c>
      <c r="D234" s="0" t="s">
        <v>65</v>
      </c>
      <c r="E234" s="0" t="s">
        <v>297</v>
      </c>
      <c r="G234" s="0" t="n">
        <v>1</v>
      </c>
      <c r="H234" s="0" t="s">
        <v>298</v>
      </c>
      <c r="I234" s="48" t="n">
        <v>46293</v>
      </c>
      <c r="J234" s="0" t="n">
        <v>0</v>
      </c>
      <c r="K234" s="49" t="s">
        <v>936</v>
      </c>
      <c r="L234" s="49" t="s">
        <v>335</v>
      </c>
      <c r="M234" s="48"/>
      <c r="O234" s="49" t="s">
        <v>937</v>
      </c>
      <c r="P234" s="48"/>
      <c r="Q234" s="48" t="n">
        <v>46293</v>
      </c>
      <c r="R234" s="48" t="n">
        <v>46299</v>
      </c>
      <c r="T234" s="49" t="s">
        <v>302</v>
      </c>
      <c r="U234" s="49" t="s">
        <v>303</v>
      </c>
      <c r="Y234" s="49" t="s">
        <v>312</v>
      </c>
      <c r="AD234" s="49" t="s">
        <v>305</v>
      </c>
      <c r="AE234" s="48" t="n">
        <v>46267</v>
      </c>
      <c r="AF234" s="49" t="s">
        <v>306</v>
      </c>
      <c r="AG234" s="49" t="s">
        <v>307</v>
      </c>
      <c r="AK234" s="49" t="s">
        <v>303</v>
      </c>
      <c r="AL234" s="49" t="s">
        <v>297</v>
      </c>
      <c r="AO234" s="49" t="s">
        <v>303</v>
      </c>
      <c r="AP234" s="48"/>
      <c r="AR234" s="49" t="s">
        <v>303</v>
      </c>
      <c r="AS234" s="49" t="s">
        <v>306</v>
      </c>
      <c r="AT234" s="49" t="s">
        <v>1013</v>
      </c>
      <c r="AV234" s="49" t="s">
        <v>309</v>
      </c>
      <c r="AW234" s="49" t="s">
        <v>310</v>
      </c>
      <c r="AX234" s="49" t="s">
        <v>311</v>
      </c>
      <c r="AY234" s="48"/>
      <c r="AZ234" s="48" t="n">
        <v>46289</v>
      </c>
      <c r="BC234" s="49" t="s">
        <v>303</v>
      </c>
      <c r="BD234" s="48"/>
      <c r="BE234" s="49" t="s">
        <v>312</v>
      </c>
      <c r="BF234" s="49" t="s">
        <v>303</v>
      </c>
      <c r="BG234" s="48"/>
      <c r="BI234" s="48"/>
      <c r="BJ234" s="48" t="n">
        <v>46296</v>
      </c>
      <c r="BK234" s="49" t="s">
        <v>313</v>
      </c>
      <c r="BL234" s="49" t="s">
        <v>313</v>
      </c>
      <c r="BM234" s="49" t="s">
        <v>310</v>
      </c>
      <c r="BN234" s="48"/>
      <c r="BO234" s="48"/>
      <c r="BP234" s="48"/>
      <c r="BQ234" s="49" t="s">
        <v>923</v>
      </c>
      <c r="BR234" s="48" t="n">
        <v>46296</v>
      </c>
      <c r="BS234" s="49" t="s">
        <v>1009</v>
      </c>
      <c r="BT234" s="49" t="s">
        <v>312</v>
      </c>
      <c r="BU234" s="49" t="s">
        <v>313</v>
      </c>
      <c r="BV234" s="49" t="s">
        <v>303</v>
      </c>
      <c r="BX234" s="0" t="n">
        <v>0</v>
      </c>
      <c r="CC234" s="49" t="s">
        <v>315</v>
      </c>
      <c r="CD234" s="49" t="s">
        <v>303</v>
      </c>
      <c r="CF234" s="49" t="s">
        <v>303</v>
      </c>
      <c r="CG234" s="49" t="s">
        <v>316</v>
      </c>
      <c r="CH234" s="49" t="s">
        <v>317</v>
      </c>
      <c r="CI234" s="49" t="s">
        <v>318</v>
      </c>
      <c r="CM234" s="49" t="s">
        <v>65</v>
      </c>
      <c r="CV234" s="49" t="s">
        <v>303</v>
      </c>
      <c r="DB234" s="49" t="s">
        <v>319</v>
      </c>
      <c r="DD234" s="48" t="n">
        <v>46267</v>
      </c>
      <c r="DF234" s="49" t="s">
        <v>310</v>
      </c>
      <c r="DG234" s="49" t="s">
        <v>320</v>
      </c>
      <c r="DH234" s="49" t="s">
        <v>64</v>
      </c>
      <c r="DI234" s="49" t="s">
        <v>298</v>
      </c>
      <c r="DJ234" s="49" t="s">
        <v>394</v>
      </c>
      <c r="DK234" s="49" t="s">
        <v>322</v>
      </c>
      <c r="DL234" s="49" t="s">
        <v>323</v>
      </c>
      <c r="DM234" s="49" t="s">
        <v>303</v>
      </c>
      <c r="DN234" s="49" t="s">
        <v>297</v>
      </c>
      <c r="DO234" s="48"/>
      <c r="DP234" s="49" t="s">
        <v>312</v>
      </c>
      <c r="DQ234" s="48"/>
      <c r="DR234" s="49" t="s">
        <v>312</v>
      </c>
      <c r="DS234" s="49" t="s">
        <v>303</v>
      </c>
      <c r="DT234" s="49" t="s">
        <v>303</v>
      </c>
      <c r="DW234" s="49" t="s">
        <v>303</v>
      </c>
      <c r="EA234" s="49" t="s">
        <v>324</v>
      </c>
      <c r="EB234" s="49" t="s">
        <v>303</v>
      </c>
      <c r="EF234" s="49" t="s">
        <v>981</v>
      </c>
      <c r="EH234" s="49" t="s">
        <v>310</v>
      </c>
      <c r="EJ234" s="49" t="s">
        <v>303</v>
      </c>
      <c r="EK234" s="49" t="s">
        <v>1014</v>
      </c>
      <c r="EM234" s="49" t="s">
        <v>303</v>
      </c>
      <c r="EN234" s="49" t="s">
        <v>396</v>
      </c>
      <c r="EP234" s="49" t="s">
        <v>298</v>
      </c>
      <c r="EQ234" s="0" t="n">
        <v>1</v>
      </c>
      <c r="ER234" s="49" t="s">
        <v>328</v>
      </c>
      <c r="ES234" s="49" t="s">
        <v>329</v>
      </c>
      <c r="ET234" s="49" t="s">
        <v>310</v>
      </c>
      <c r="EU234" s="49" t="s">
        <v>310</v>
      </c>
      <c r="EV234" s="49" t="s">
        <v>310</v>
      </c>
      <c r="EX234" s="49" t="s">
        <v>303</v>
      </c>
      <c r="EY234" s="49" t="s">
        <v>303</v>
      </c>
      <c r="FC234" s="49" t="s">
        <v>330</v>
      </c>
      <c r="FD234" s="49" t="s">
        <v>310</v>
      </c>
      <c r="FE234" s="49" t="s">
        <v>310</v>
      </c>
      <c r="FF234" s="49" t="s">
        <v>64</v>
      </c>
      <c r="FG234" s="49" t="s">
        <v>397</v>
      </c>
      <c r="FH234" s="49" t="s">
        <v>310</v>
      </c>
      <c r="FI234" s="49" t="s">
        <v>332</v>
      </c>
      <c r="FJ234" s="49" t="s">
        <v>303</v>
      </c>
      <c r="FL234" s="49" t="s">
        <v>325</v>
      </c>
      <c r="FM234" s="49" t="s">
        <v>936</v>
      </c>
      <c r="FP234" s="49" t="s">
        <v>303</v>
      </c>
      <c r="FR234" s="49" t="s">
        <v>303</v>
      </c>
      <c r="FT234" s="49" t="s">
        <v>325</v>
      </c>
      <c r="FU234" s="49" t="s">
        <v>325</v>
      </c>
      <c r="FW234" s="49" t="s">
        <v>333</v>
      </c>
    </row>
    <row r="235" customFormat="false" ht="15" hidden="false" customHeight="false" outlineLevel="0" collapsed="false">
      <c r="A235" s="0" t="n">
        <v>100879425</v>
      </c>
      <c r="B235" s="0" t="s">
        <v>295</v>
      </c>
      <c r="C235" s="0" t="s">
        <v>64</v>
      </c>
      <c r="D235" s="0" t="s">
        <v>65</v>
      </c>
      <c r="E235" s="0" t="s">
        <v>297</v>
      </c>
      <c r="G235" s="0" t="n">
        <v>1</v>
      </c>
      <c r="H235" s="0" t="s">
        <v>298</v>
      </c>
      <c r="I235" s="48" t="n">
        <v>46293</v>
      </c>
      <c r="J235" s="0" t="n">
        <v>0</v>
      </c>
      <c r="K235" s="49" t="s">
        <v>936</v>
      </c>
      <c r="L235" s="49" t="s">
        <v>335</v>
      </c>
      <c r="M235" s="48"/>
      <c r="O235" s="49" t="s">
        <v>937</v>
      </c>
      <c r="P235" s="48"/>
      <c r="Q235" s="48" t="n">
        <v>46293</v>
      </c>
      <c r="R235" s="48" t="n">
        <v>46299</v>
      </c>
      <c r="T235" s="49" t="s">
        <v>302</v>
      </c>
      <c r="U235" s="49" t="s">
        <v>303</v>
      </c>
      <c r="Y235" s="49" t="s">
        <v>312</v>
      </c>
      <c r="AD235" s="49" t="s">
        <v>305</v>
      </c>
      <c r="AE235" s="48" t="n">
        <v>46267</v>
      </c>
      <c r="AF235" s="49" t="s">
        <v>306</v>
      </c>
      <c r="AG235" s="49" t="s">
        <v>307</v>
      </c>
      <c r="AK235" s="49" t="s">
        <v>303</v>
      </c>
      <c r="AL235" s="49" t="s">
        <v>297</v>
      </c>
      <c r="AO235" s="49" t="s">
        <v>303</v>
      </c>
      <c r="AP235" s="48"/>
      <c r="AR235" s="49" t="s">
        <v>303</v>
      </c>
      <c r="AS235" s="49" t="s">
        <v>306</v>
      </c>
      <c r="AT235" s="49" t="s">
        <v>1015</v>
      </c>
      <c r="AV235" s="49" t="s">
        <v>309</v>
      </c>
      <c r="AW235" s="49" t="s">
        <v>310</v>
      </c>
      <c r="AX235" s="49" t="s">
        <v>311</v>
      </c>
      <c r="AY235" s="48"/>
      <c r="AZ235" s="48" t="n">
        <v>46289</v>
      </c>
      <c r="BC235" s="49" t="s">
        <v>303</v>
      </c>
      <c r="BD235" s="48"/>
      <c r="BE235" s="49" t="s">
        <v>312</v>
      </c>
      <c r="BF235" s="49" t="s">
        <v>303</v>
      </c>
      <c r="BG235" s="48"/>
      <c r="BI235" s="48"/>
      <c r="BJ235" s="48" t="n">
        <v>46296</v>
      </c>
      <c r="BK235" s="49" t="s">
        <v>313</v>
      </c>
      <c r="BL235" s="49" t="s">
        <v>313</v>
      </c>
      <c r="BM235" s="49" t="s">
        <v>310</v>
      </c>
      <c r="BN235" s="48"/>
      <c r="BO235" s="48"/>
      <c r="BP235" s="48"/>
      <c r="BQ235" s="49" t="s">
        <v>923</v>
      </c>
      <c r="BR235" s="48" t="n">
        <v>46296</v>
      </c>
      <c r="BS235" s="49" t="s">
        <v>1016</v>
      </c>
      <c r="BT235" s="49" t="s">
        <v>312</v>
      </c>
      <c r="BU235" s="49" t="s">
        <v>313</v>
      </c>
      <c r="BV235" s="49" t="s">
        <v>303</v>
      </c>
      <c r="BX235" s="0" t="n">
        <v>0</v>
      </c>
      <c r="CC235" s="49" t="s">
        <v>315</v>
      </c>
      <c r="CD235" s="49" t="s">
        <v>303</v>
      </c>
      <c r="CF235" s="49" t="s">
        <v>303</v>
      </c>
      <c r="CG235" s="49" t="s">
        <v>316</v>
      </c>
      <c r="CH235" s="49" t="s">
        <v>317</v>
      </c>
      <c r="CI235" s="49" t="s">
        <v>318</v>
      </c>
      <c r="CM235" s="49" t="s">
        <v>65</v>
      </c>
      <c r="CV235" s="49" t="s">
        <v>303</v>
      </c>
      <c r="DB235" s="49" t="s">
        <v>319</v>
      </c>
      <c r="DD235" s="48" t="n">
        <v>46267</v>
      </c>
      <c r="DF235" s="49" t="s">
        <v>310</v>
      </c>
      <c r="DG235" s="49" t="s">
        <v>320</v>
      </c>
      <c r="DH235" s="49" t="s">
        <v>64</v>
      </c>
      <c r="DI235" s="49" t="s">
        <v>298</v>
      </c>
      <c r="DJ235" s="49" t="s">
        <v>394</v>
      </c>
      <c r="DK235" s="49" t="s">
        <v>322</v>
      </c>
      <c r="DL235" s="49" t="s">
        <v>323</v>
      </c>
      <c r="DM235" s="49" t="s">
        <v>303</v>
      </c>
      <c r="DN235" s="49" t="s">
        <v>297</v>
      </c>
      <c r="DO235" s="48"/>
      <c r="DP235" s="49" t="s">
        <v>312</v>
      </c>
      <c r="DQ235" s="48"/>
      <c r="DR235" s="49" t="s">
        <v>312</v>
      </c>
      <c r="DS235" s="49" t="s">
        <v>303</v>
      </c>
      <c r="DT235" s="49" t="s">
        <v>303</v>
      </c>
      <c r="DW235" s="49" t="s">
        <v>303</v>
      </c>
      <c r="EA235" s="49" t="s">
        <v>324</v>
      </c>
      <c r="EB235" s="49" t="s">
        <v>303</v>
      </c>
      <c r="EF235" s="49" t="s">
        <v>981</v>
      </c>
      <c r="EH235" s="49" t="s">
        <v>310</v>
      </c>
      <c r="EJ235" s="49" t="s">
        <v>303</v>
      </c>
      <c r="EK235" s="49" t="s">
        <v>1017</v>
      </c>
      <c r="EM235" s="49" t="s">
        <v>303</v>
      </c>
      <c r="EN235" s="49" t="s">
        <v>396</v>
      </c>
      <c r="EP235" s="49" t="s">
        <v>298</v>
      </c>
      <c r="EQ235" s="0" t="n">
        <v>1</v>
      </c>
      <c r="ER235" s="49" t="s">
        <v>328</v>
      </c>
      <c r="ES235" s="49" t="s">
        <v>329</v>
      </c>
      <c r="ET235" s="49" t="s">
        <v>310</v>
      </c>
      <c r="EU235" s="49" t="s">
        <v>310</v>
      </c>
      <c r="EV235" s="49" t="s">
        <v>310</v>
      </c>
      <c r="EX235" s="49" t="s">
        <v>303</v>
      </c>
      <c r="EY235" s="49" t="s">
        <v>303</v>
      </c>
      <c r="FC235" s="49" t="s">
        <v>330</v>
      </c>
      <c r="FD235" s="49" t="s">
        <v>310</v>
      </c>
      <c r="FE235" s="49" t="s">
        <v>310</v>
      </c>
      <c r="FF235" s="49" t="s">
        <v>64</v>
      </c>
      <c r="FG235" s="49" t="s">
        <v>397</v>
      </c>
      <c r="FH235" s="49" t="s">
        <v>310</v>
      </c>
      <c r="FI235" s="49" t="s">
        <v>332</v>
      </c>
      <c r="FJ235" s="49" t="s">
        <v>303</v>
      </c>
      <c r="FL235" s="49" t="s">
        <v>325</v>
      </c>
      <c r="FM235" s="49" t="s">
        <v>936</v>
      </c>
      <c r="FP235" s="49" t="s">
        <v>303</v>
      </c>
      <c r="FR235" s="49" t="s">
        <v>303</v>
      </c>
      <c r="FT235" s="49" t="s">
        <v>325</v>
      </c>
      <c r="FU235" s="49" t="s">
        <v>325</v>
      </c>
      <c r="FW235" s="49" t="s">
        <v>333</v>
      </c>
    </row>
    <row r="236" customFormat="false" ht="15" hidden="false" customHeight="false" outlineLevel="0" collapsed="false">
      <c r="A236" s="0" t="n">
        <v>100879426</v>
      </c>
      <c r="B236" s="0" t="s">
        <v>295</v>
      </c>
      <c r="C236" s="0" t="s">
        <v>64</v>
      </c>
      <c r="D236" s="0" t="s">
        <v>65</v>
      </c>
      <c r="E236" s="0" t="s">
        <v>297</v>
      </c>
      <c r="G236" s="0" t="n">
        <v>1</v>
      </c>
      <c r="H236" s="0" t="s">
        <v>298</v>
      </c>
      <c r="I236" s="48" t="n">
        <v>46293</v>
      </c>
      <c r="J236" s="0" t="n">
        <v>0</v>
      </c>
      <c r="K236" s="49" t="s">
        <v>936</v>
      </c>
      <c r="L236" s="49" t="s">
        <v>335</v>
      </c>
      <c r="M236" s="48"/>
      <c r="O236" s="49" t="s">
        <v>937</v>
      </c>
      <c r="P236" s="48"/>
      <c r="Q236" s="48" t="n">
        <v>46293</v>
      </c>
      <c r="R236" s="48" t="n">
        <v>46299</v>
      </c>
      <c r="T236" s="49" t="s">
        <v>302</v>
      </c>
      <c r="U236" s="49" t="s">
        <v>303</v>
      </c>
      <c r="Y236" s="49" t="s">
        <v>312</v>
      </c>
      <c r="AD236" s="49" t="s">
        <v>305</v>
      </c>
      <c r="AE236" s="48" t="n">
        <v>46267</v>
      </c>
      <c r="AF236" s="49" t="s">
        <v>306</v>
      </c>
      <c r="AG236" s="49" t="s">
        <v>307</v>
      </c>
      <c r="AK236" s="49" t="s">
        <v>303</v>
      </c>
      <c r="AL236" s="49" t="s">
        <v>297</v>
      </c>
      <c r="AO236" s="49" t="s">
        <v>303</v>
      </c>
      <c r="AP236" s="48"/>
      <c r="AR236" s="49" t="s">
        <v>303</v>
      </c>
      <c r="AS236" s="49" t="s">
        <v>306</v>
      </c>
      <c r="AT236" s="49" t="s">
        <v>1018</v>
      </c>
      <c r="AV236" s="49" t="s">
        <v>309</v>
      </c>
      <c r="AW236" s="49" t="s">
        <v>310</v>
      </c>
      <c r="AX236" s="49" t="s">
        <v>311</v>
      </c>
      <c r="AY236" s="48"/>
      <c r="AZ236" s="48" t="n">
        <v>46289</v>
      </c>
      <c r="BC236" s="49" t="s">
        <v>303</v>
      </c>
      <c r="BD236" s="48"/>
      <c r="BE236" s="49" t="s">
        <v>312</v>
      </c>
      <c r="BF236" s="49" t="s">
        <v>303</v>
      </c>
      <c r="BG236" s="48"/>
      <c r="BI236" s="48"/>
      <c r="BJ236" s="48" t="n">
        <v>46296</v>
      </c>
      <c r="BK236" s="49" t="s">
        <v>313</v>
      </c>
      <c r="BL236" s="49" t="s">
        <v>313</v>
      </c>
      <c r="BM236" s="49" t="s">
        <v>310</v>
      </c>
      <c r="BN236" s="48"/>
      <c r="BO236" s="48"/>
      <c r="BP236" s="48"/>
      <c r="BQ236" s="49" t="s">
        <v>923</v>
      </c>
      <c r="BR236" s="48" t="n">
        <v>46296</v>
      </c>
      <c r="BS236" s="49" t="s">
        <v>1016</v>
      </c>
      <c r="BT236" s="49" t="s">
        <v>312</v>
      </c>
      <c r="BU236" s="49" t="s">
        <v>313</v>
      </c>
      <c r="BV236" s="49" t="s">
        <v>303</v>
      </c>
      <c r="BX236" s="0" t="n">
        <v>0</v>
      </c>
      <c r="CC236" s="49" t="s">
        <v>315</v>
      </c>
      <c r="CD236" s="49" t="s">
        <v>303</v>
      </c>
      <c r="CF236" s="49" t="s">
        <v>303</v>
      </c>
      <c r="CG236" s="49" t="s">
        <v>316</v>
      </c>
      <c r="CH236" s="49" t="s">
        <v>317</v>
      </c>
      <c r="CI236" s="49" t="s">
        <v>318</v>
      </c>
      <c r="CM236" s="49" t="s">
        <v>65</v>
      </c>
      <c r="CV236" s="49" t="s">
        <v>303</v>
      </c>
      <c r="DB236" s="49" t="s">
        <v>319</v>
      </c>
      <c r="DD236" s="48" t="n">
        <v>46267</v>
      </c>
      <c r="DF236" s="49" t="s">
        <v>310</v>
      </c>
      <c r="DG236" s="49" t="s">
        <v>320</v>
      </c>
      <c r="DH236" s="49" t="s">
        <v>64</v>
      </c>
      <c r="DI236" s="49" t="s">
        <v>298</v>
      </c>
      <c r="DJ236" s="49" t="s">
        <v>394</v>
      </c>
      <c r="DK236" s="49" t="s">
        <v>322</v>
      </c>
      <c r="DL236" s="49" t="s">
        <v>323</v>
      </c>
      <c r="DM236" s="49" t="s">
        <v>303</v>
      </c>
      <c r="DN236" s="49" t="s">
        <v>297</v>
      </c>
      <c r="DO236" s="48"/>
      <c r="DP236" s="49" t="s">
        <v>312</v>
      </c>
      <c r="DQ236" s="48"/>
      <c r="DR236" s="49" t="s">
        <v>312</v>
      </c>
      <c r="DS236" s="49" t="s">
        <v>303</v>
      </c>
      <c r="DT236" s="49" t="s">
        <v>303</v>
      </c>
      <c r="DW236" s="49" t="s">
        <v>303</v>
      </c>
      <c r="EA236" s="49" t="s">
        <v>324</v>
      </c>
      <c r="EB236" s="49" t="s">
        <v>303</v>
      </c>
      <c r="EF236" s="49" t="s">
        <v>981</v>
      </c>
      <c r="EH236" s="49" t="s">
        <v>310</v>
      </c>
      <c r="EJ236" s="49" t="s">
        <v>303</v>
      </c>
      <c r="EK236" s="49" t="s">
        <v>1019</v>
      </c>
      <c r="EM236" s="49" t="s">
        <v>303</v>
      </c>
      <c r="EN236" s="49" t="s">
        <v>396</v>
      </c>
      <c r="EP236" s="49" t="s">
        <v>298</v>
      </c>
      <c r="EQ236" s="0" t="n">
        <v>1</v>
      </c>
      <c r="ER236" s="49" t="s">
        <v>328</v>
      </c>
      <c r="ES236" s="49" t="s">
        <v>329</v>
      </c>
      <c r="ET236" s="49" t="s">
        <v>310</v>
      </c>
      <c r="EU236" s="49" t="s">
        <v>310</v>
      </c>
      <c r="EV236" s="49" t="s">
        <v>310</v>
      </c>
      <c r="EX236" s="49" t="s">
        <v>303</v>
      </c>
      <c r="EY236" s="49" t="s">
        <v>303</v>
      </c>
      <c r="FC236" s="49" t="s">
        <v>330</v>
      </c>
      <c r="FD236" s="49" t="s">
        <v>310</v>
      </c>
      <c r="FE236" s="49" t="s">
        <v>310</v>
      </c>
      <c r="FF236" s="49" t="s">
        <v>64</v>
      </c>
      <c r="FG236" s="49" t="s">
        <v>397</v>
      </c>
      <c r="FH236" s="49" t="s">
        <v>310</v>
      </c>
      <c r="FI236" s="49" t="s">
        <v>332</v>
      </c>
      <c r="FJ236" s="49" t="s">
        <v>303</v>
      </c>
      <c r="FL236" s="49" t="s">
        <v>325</v>
      </c>
      <c r="FM236" s="49" t="s">
        <v>936</v>
      </c>
      <c r="FP236" s="49" t="s">
        <v>303</v>
      </c>
      <c r="FR236" s="49" t="s">
        <v>303</v>
      </c>
      <c r="FT236" s="49" t="s">
        <v>325</v>
      </c>
      <c r="FU236" s="49" t="s">
        <v>325</v>
      </c>
      <c r="FW236" s="49" t="s">
        <v>333</v>
      </c>
    </row>
    <row r="237" customFormat="false" ht="15" hidden="false" customHeight="false" outlineLevel="0" collapsed="false">
      <c r="A237" s="0" t="n">
        <v>100879427</v>
      </c>
      <c r="B237" s="0" t="s">
        <v>295</v>
      </c>
      <c r="C237" s="0" t="s">
        <v>64</v>
      </c>
      <c r="D237" s="0" t="s">
        <v>65</v>
      </c>
      <c r="E237" s="0" t="s">
        <v>297</v>
      </c>
      <c r="G237" s="0" t="n">
        <v>1</v>
      </c>
      <c r="H237" s="0" t="s">
        <v>298</v>
      </c>
      <c r="I237" s="48" t="n">
        <v>46293</v>
      </c>
      <c r="J237" s="0" t="n">
        <v>0</v>
      </c>
      <c r="K237" s="49" t="s">
        <v>936</v>
      </c>
      <c r="L237" s="49" t="s">
        <v>335</v>
      </c>
      <c r="M237" s="48"/>
      <c r="O237" s="49" t="s">
        <v>937</v>
      </c>
      <c r="P237" s="48"/>
      <c r="Q237" s="48" t="n">
        <v>46293</v>
      </c>
      <c r="R237" s="48" t="n">
        <v>46299</v>
      </c>
      <c r="T237" s="49" t="s">
        <v>302</v>
      </c>
      <c r="U237" s="49" t="s">
        <v>303</v>
      </c>
      <c r="Y237" s="49" t="s">
        <v>312</v>
      </c>
      <c r="AD237" s="49" t="s">
        <v>305</v>
      </c>
      <c r="AE237" s="48" t="n">
        <v>46267</v>
      </c>
      <c r="AF237" s="49" t="s">
        <v>306</v>
      </c>
      <c r="AG237" s="49" t="s">
        <v>307</v>
      </c>
      <c r="AK237" s="49" t="s">
        <v>303</v>
      </c>
      <c r="AL237" s="49" t="s">
        <v>297</v>
      </c>
      <c r="AO237" s="49" t="s">
        <v>303</v>
      </c>
      <c r="AP237" s="48"/>
      <c r="AR237" s="49" t="s">
        <v>303</v>
      </c>
      <c r="AS237" s="49" t="s">
        <v>306</v>
      </c>
      <c r="AT237" s="49" t="s">
        <v>1020</v>
      </c>
      <c r="AV237" s="49" t="s">
        <v>309</v>
      </c>
      <c r="AW237" s="49" t="s">
        <v>310</v>
      </c>
      <c r="AX237" s="49" t="s">
        <v>311</v>
      </c>
      <c r="AY237" s="48"/>
      <c r="AZ237" s="48" t="n">
        <v>46289</v>
      </c>
      <c r="BC237" s="49" t="s">
        <v>303</v>
      </c>
      <c r="BD237" s="48"/>
      <c r="BE237" s="49" t="s">
        <v>312</v>
      </c>
      <c r="BF237" s="49" t="s">
        <v>303</v>
      </c>
      <c r="BG237" s="48"/>
      <c r="BI237" s="48"/>
      <c r="BJ237" s="48" t="n">
        <v>46296</v>
      </c>
      <c r="BK237" s="49" t="s">
        <v>313</v>
      </c>
      <c r="BL237" s="49" t="s">
        <v>313</v>
      </c>
      <c r="BM237" s="49" t="s">
        <v>310</v>
      </c>
      <c r="BN237" s="48"/>
      <c r="BO237" s="48"/>
      <c r="BP237" s="48"/>
      <c r="BQ237" s="49" t="s">
        <v>923</v>
      </c>
      <c r="BR237" s="48" t="n">
        <v>46296</v>
      </c>
      <c r="BS237" s="49" t="s">
        <v>1016</v>
      </c>
      <c r="BT237" s="49" t="s">
        <v>312</v>
      </c>
      <c r="BU237" s="49" t="s">
        <v>313</v>
      </c>
      <c r="BV237" s="49" t="s">
        <v>303</v>
      </c>
      <c r="BX237" s="0" t="n">
        <v>0</v>
      </c>
      <c r="CC237" s="49" t="s">
        <v>315</v>
      </c>
      <c r="CD237" s="49" t="s">
        <v>303</v>
      </c>
      <c r="CF237" s="49" t="s">
        <v>303</v>
      </c>
      <c r="CG237" s="49" t="s">
        <v>316</v>
      </c>
      <c r="CH237" s="49" t="s">
        <v>317</v>
      </c>
      <c r="CI237" s="49" t="s">
        <v>318</v>
      </c>
      <c r="CM237" s="49" t="s">
        <v>65</v>
      </c>
      <c r="CV237" s="49" t="s">
        <v>303</v>
      </c>
      <c r="DB237" s="49" t="s">
        <v>319</v>
      </c>
      <c r="DD237" s="48" t="n">
        <v>46267</v>
      </c>
      <c r="DF237" s="49" t="s">
        <v>310</v>
      </c>
      <c r="DG237" s="49" t="s">
        <v>320</v>
      </c>
      <c r="DH237" s="49" t="s">
        <v>64</v>
      </c>
      <c r="DI237" s="49" t="s">
        <v>298</v>
      </c>
      <c r="DJ237" s="49" t="s">
        <v>394</v>
      </c>
      <c r="DK237" s="49" t="s">
        <v>322</v>
      </c>
      <c r="DL237" s="49" t="s">
        <v>323</v>
      </c>
      <c r="DM237" s="49" t="s">
        <v>303</v>
      </c>
      <c r="DN237" s="49" t="s">
        <v>297</v>
      </c>
      <c r="DO237" s="48"/>
      <c r="DP237" s="49" t="s">
        <v>312</v>
      </c>
      <c r="DQ237" s="48"/>
      <c r="DR237" s="49" t="s">
        <v>312</v>
      </c>
      <c r="DS237" s="49" t="s">
        <v>303</v>
      </c>
      <c r="DT237" s="49" t="s">
        <v>303</v>
      </c>
      <c r="DW237" s="49" t="s">
        <v>303</v>
      </c>
      <c r="EA237" s="49" t="s">
        <v>324</v>
      </c>
      <c r="EB237" s="49" t="s">
        <v>303</v>
      </c>
      <c r="EF237" s="49" t="s">
        <v>981</v>
      </c>
      <c r="EH237" s="49" t="s">
        <v>310</v>
      </c>
      <c r="EJ237" s="49" t="s">
        <v>303</v>
      </c>
      <c r="EK237" s="49" t="s">
        <v>1021</v>
      </c>
      <c r="EM237" s="49" t="s">
        <v>303</v>
      </c>
      <c r="EN237" s="49" t="s">
        <v>396</v>
      </c>
      <c r="EP237" s="49" t="s">
        <v>298</v>
      </c>
      <c r="EQ237" s="0" t="n">
        <v>1</v>
      </c>
      <c r="ER237" s="49" t="s">
        <v>328</v>
      </c>
      <c r="ES237" s="49" t="s">
        <v>329</v>
      </c>
      <c r="ET237" s="49" t="s">
        <v>310</v>
      </c>
      <c r="EU237" s="49" t="s">
        <v>310</v>
      </c>
      <c r="EV237" s="49" t="s">
        <v>310</v>
      </c>
      <c r="EX237" s="49" t="s">
        <v>303</v>
      </c>
      <c r="EY237" s="49" t="s">
        <v>303</v>
      </c>
      <c r="FC237" s="49" t="s">
        <v>330</v>
      </c>
      <c r="FD237" s="49" t="s">
        <v>310</v>
      </c>
      <c r="FE237" s="49" t="s">
        <v>310</v>
      </c>
      <c r="FF237" s="49" t="s">
        <v>64</v>
      </c>
      <c r="FG237" s="49" t="s">
        <v>397</v>
      </c>
      <c r="FH237" s="49" t="s">
        <v>310</v>
      </c>
      <c r="FI237" s="49" t="s">
        <v>332</v>
      </c>
      <c r="FJ237" s="49" t="s">
        <v>303</v>
      </c>
      <c r="FL237" s="49" t="s">
        <v>325</v>
      </c>
      <c r="FM237" s="49" t="s">
        <v>936</v>
      </c>
      <c r="FP237" s="49" t="s">
        <v>303</v>
      </c>
      <c r="FR237" s="49" t="s">
        <v>303</v>
      </c>
      <c r="FT237" s="49" t="s">
        <v>325</v>
      </c>
      <c r="FU237" s="49" t="s">
        <v>325</v>
      </c>
      <c r="FW237" s="49" t="s">
        <v>333</v>
      </c>
    </row>
    <row r="238" customFormat="false" ht="15" hidden="false" customHeight="false" outlineLevel="0" collapsed="false">
      <c r="A238" s="0" t="n">
        <v>100879428</v>
      </c>
      <c r="B238" s="0" t="s">
        <v>295</v>
      </c>
      <c r="C238" s="0" t="s">
        <v>64</v>
      </c>
      <c r="D238" s="0" t="s">
        <v>65</v>
      </c>
      <c r="E238" s="0" t="s">
        <v>297</v>
      </c>
      <c r="G238" s="0" t="n">
        <v>1</v>
      </c>
      <c r="H238" s="0" t="s">
        <v>298</v>
      </c>
      <c r="I238" s="48" t="n">
        <v>46293</v>
      </c>
      <c r="J238" s="0" t="n">
        <v>0</v>
      </c>
      <c r="K238" s="49" t="s">
        <v>936</v>
      </c>
      <c r="L238" s="49" t="s">
        <v>335</v>
      </c>
      <c r="M238" s="48"/>
      <c r="O238" s="49" t="s">
        <v>937</v>
      </c>
      <c r="P238" s="48"/>
      <c r="Q238" s="48" t="n">
        <v>46293</v>
      </c>
      <c r="R238" s="48" t="n">
        <v>46299</v>
      </c>
      <c r="T238" s="49" t="s">
        <v>302</v>
      </c>
      <c r="U238" s="49" t="s">
        <v>303</v>
      </c>
      <c r="Y238" s="49" t="s">
        <v>312</v>
      </c>
      <c r="AD238" s="49" t="s">
        <v>305</v>
      </c>
      <c r="AE238" s="48" t="n">
        <v>46267</v>
      </c>
      <c r="AF238" s="49" t="s">
        <v>306</v>
      </c>
      <c r="AG238" s="49" t="s">
        <v>307</v>
      </c>
      <c r="AK238" s="49" t="s">
        <v>303</v>
      </c>
      <c r="AL238" s="49" t="s">
        <v>297</v>
      </c>
      <c r="AO238" s="49" t="s">
        <v>303</v>
      </c>
      <c r="AP238" s="48"/>
      <c r="AR238" s="49" t="s">
        <v>303</v>
      </c>
      <c r="AS238" s="49" t="s">
        <v>306</v>
      </c>
      <c r="AT238" s="49" t="s">
        <v>1022</v>
      </c>
      <c r="AV238" s="49" t="s">
        <v>309</v>
      </c>
      <c r="AW238" s="49" t="s">
        <v>310</v>
      </c>
      <c r="AX238" s="49" t="s">
        <v>311</v>
      </c>
      <c r="AY238" s="48"/>
      <c r="AZ238" s="48" t="n">
        <v>46289</v>
      </c>
      <c r="BC238" s="49" t="s">
        <v>303</v>
      </c>
      <c r="BD238" s="48"/>
      <c r="BE238" s="49" t="s">
        <v>312</v>
      </c>
      <c r="BF238" s="49" t="s">
        <v>303</v>
      </c>
      <c r="BG238" s="48"/>
      <c r="BI238" s="48"/>
      <c r="BJ238" s="48" t="n">
        <v>46296</v>
      </c>
      <c r="BK238" s="49" t="s">
        <v>313</v>
      </c>
      <c r="BL238" s="49" t="s">
        <v>313</v>
      </c>
      <c r="BM238" s="49" t="s">
        <v>310</v>
      </c>
      <c r="BN238" s="48"/>
      <c r="BO238" s="48"/>
      <c r="BP238" s="48"/>
      <c r="BQ238" s="49" t="s">
        <v>923</v>
      </c>
      <c r="BR238" s="48" t="n">
        <v>46296</v>
      </c>
      <c r="BS238" s="49" t="s">
        <v>1016</v>
      </c>
      <c r="BT238" s="49" t="s">
        <v>312</v>
      </c>
      <c r="BU238" s="49" t="s">
        <v>313</v>
      </c>
      <c r="BV238" s="49" t="s">
        <v>303</v>
      </c>
      <c r="BX238" s="0" t="n">
        <v>0</v>
      </c>
      <c r="CC238" s="49" t="s">
        <v>315</v>
      </c>
      <c r="CD238" s="49" t="s">
        <v>303</v>
      </c>
      <c r="CF238" s="49" t="s">
        <v>303</v>
      </c>
      <c r="CG238" s="49" t="s">
        <v>316</v>
      </c>
      <c r="CH238" s="49" t="s">
        <v>317</v>
      </c>
      <c r="CI238" s="49" t="s">
        <v>318</v>
      </c>
      <c r="CM238" s="49" t="s">
        <v>65</v>
      </c>
      <c r="CV238" s="49" t="s">
        <v>303</v>
      </c>
      <c r="DB238" s="49" t="s">
        <v>319</v>
      </c>
      <c r="DD238" s="48" t="n">
        <v>46267</v>
      </c>
      <c r="DF238" s="49" t="s">
        <v>310</v>
      </c>
      <c r="DG238" s="49" t="s">
        <v>320</v>
      </c>
      <c r="DH238" s="49" t="s">
        <v>64</v>
      </c>
      <c r="DI238" s="49" t="s">
        <v>298</v>
      </c>
      <c r="DJ238" s="49" t="s">
        <v>394</v>
      </c>
      <c r="DK238" s="49" t="s">
        <v>322</v>
      </c>
      <c r="DL238" s="49" t="s">
        <v>323</v>
      </c>
      <c r="DM238" s="49" t="s">
        <v>303</v>
      </c>
      <c r="DN238" s="49" t="s">
        <v>297</v>
      </c>
      <c r="DO238" s="48"/>
      <c r="DP238" s="49" t="s">
        <v>312</v>
      </c>
      <c r="DQ238" s="48"/>
      <c r="DR238" s="49" t="s">
        <v>312</v>
      </c>
      <c r="DS238" s="49" t="s">
        <v>303</v>
      </c>
      <c r="DT238" s="49" t="s">
        <v>303</v>
      </c>
      <c r="DW238" s="49" t="s">
        <v>303</v>
      </c>
      <c r="EA238" s="49" t="s">
        <v>324</v>
      </c>
      <c r="EB238" s="49" t="s">
        <v>303</v>
      </c>
      <c r="EF238" s="49" t="s">
        <v>981</v>
      </c>
      <c r="EH238" s="49" t="s">
        <v>310</v>
      </c>
      <c r="EJ238" s="49" t="s">
        <v>303</v>
      </c>
      <c r="EK238" s="49" t="s">
        <v>1023</v>
      </c>
      <c r="EM238" s="49" t="s">
        <v>303</v>
      </c>
      <c r="EN238" s="49" t="s">
        <v>396</v>
      </c>
      <c r="EP238" s="49" t="s">
        <v>298</v>
      </c>
      <c r="EQ238" s="0" t="n">
        <v>1</v>
      </c>
      <c r="ER238" s="49" t="s">
        <v>328</v>
      </c>
      <c r="ES238" s="49" t="s">
        <v>329</v>
      </c>
      <c r="ET238" s="49" t="s">
        <v>310</v>
      </c>
      <c r="EU238" s="49" t="s">
        <v>310</v>
      </c>
      <c r="EV238" s="49" t="s">
        <v>310</v>
      </c>
      <c r="EX238" s="49" t="s">
        <v>303</v>
      </c>
      <c r="EY238" s="49" t="s">
        <v>303</v>
      </c>
      <c r="FC238" s="49" t="s">
        <v>330</v>
      </c>
      <c r="FD238" s="49" t="s">
        <v>310</v>
      </c>
      <c r="FE238" s="49" t="s">
        <v>310</v>
      </c>
      <c r="FF238" s="49" t="s">
        <v>64</v>
      </c>
      <c r="FG238" s="49" t="s">
        <v>397</v>
      </c>
      <c r="FH238" s="49" t="s">
        <v>310</v>
      </c>
      <c r="FI238" s="49" t="s">
        <v>332</v>
      </c>
      <c r="FJ238" s="49" t="s">
        <v>303</v>
      </c>
      <c r="FL238" s="49" t="s">
        <v>325</v>
      </c>
      <c r="FM238" s="49" t="s">
        <v>936</v>
      </c>
      <c r="FP238" s="49" t="s">
        <v>303</v>
      </c>
      <c r="FR238" s="49" t="s">
        <v>303</v>
      </c>
      <c r="FT238" s="49" t="s">
        <v>325</v>
      </c>
      <c r="FU238" s="49" t="s">
        <v>325</v>
      </c>
      <c r="FW238" s="49" t="s">
        <v>333</v>
      </c>
    </row>
    <row r="239" customFormat="false" ht="15" hidden="false" customHeight="false" outlineLevel="0" collapsed="false">
      <c r="A239" s="0" t="n">
        <v>100879429</v>
      </c>
      <c r="B239" s="0" t="s">
        <v>295</v>
      </c>
      <c r="C239" s="0" t="s">
        <v>64</v>
      </c>
      <c r="D239" s="0" t="s">
        <v>65</v>
      </c>
      <c r="E239" s="0" t="s">
        <v>297</v>
      </c>
      <c r="G239" s="0" t="n">
        <v>1</v>
      </c>
      <c r="H239" s="0" t="s">
        <v>298</v>
      </c>
      <c r="I239" s="48" t="n">
        <v>46293</v>
      </c>
      <c r="J239" s="0" t="n">
        <v>0</v>
      </c>
      <c r="K239" s="49" t="s">
        <v>936</v>
      </c>
      <c r="L239" s="49" t="s">
        <v>335</v>
      </c>
      <c r="M239" s="48"/>
      <c r="O239" s="49" t="s">
        <v>937</v>
      </c>
      <c r="P239" s="48"/>
      <c r="Q239" s="48" t="n">
        <v>46293</v>
      </c>
      <c r="R239" s="48" t="n">
        <v>46299</v>
      </c>
      <c r="T239" s="49" t="s">
        <v>302</v>
      </c>
      <c r="U239" s="49" t="s">
        <v>303</v>
      </c>
      <c r="Y239" s="49" t="s">
        <v>312</v>
      </c>
      <c r="AD239" s="49" t="s">
        <v>305</v>
      </c>
      <c r="AE239" s="48" t="n">
        <v>46267</v>
      </c>
      <c r="AF239" s="49" t="s">
        <v>306</v>
      </c>
      <c r="AG239" s="49" t="s">
        <v>307</v>
      </c>
      <c r="AK239" s="49" t="s">
        <v>303</v>
      </c>
      <c r="AL239" s="49" t="s">
        <v>297</v>
      </c>
      <c r="AO239" s="49" t="s">
        <v>303</v>
      </c>
      <c r="AP239" s="48"/>
      <c r="AR239" s="49" t="s">
        <v>303</v>
      </c>
      <c r="AS239" s="49" t="s">
        <v>306</v>
      </c>
      <c r="AT239" s="49" t="s">
        <v>1024</v>
      </c>
      <c r="AV239" s="49" t="s">
        <v>309</v>
      </c>
      <c r="AW239" s="49" t="s">
        <v>310</v>
      </c>
      <c r="AX239" s="49" t="s">
        <v>311</v>
      </c>
      <c r="AY239" s="48"/>
      <c r="AZ239" s="48" t="n">
        <v>46289</v>
      </c>
      <c r="BC239" s="49" t="s">
        <v>303</v>
      </c>
      <c r="BD239" s="48"/>
      <c r="BE239" s="49" t="s">
        <v>312</v>
      </c>
      <c r="BF239" s="49" t="s">
        <v>303</v>
      </c>
      <c r="BG239" s="48"/>
      <c r="BI239" s="48"/>
      <c r="BJ239" s="48" t="n">
        <v>46296</v>
      </c>
      <c r="BK239" s="49" t="s">
        <v>313</v>
      </c>
      <c r="BL239" s="49" t="s">
        <v>313</v>
      </c>
      <c r="BM239" s="49" t="s">
        <v>310</v>
      </c>
      <c r="BN239" s="48"/>
      <c r="BO239" s="48"/>
      <c r="BP239" s="48"/>
      <c r="BQ239" s="49" t="s">
        <v>923</v>
      </c>
      <c r="BR239" s="48" t="n">
        <v>46296</v>
      </c>
      <c r="BS239" s="49" t="s">
        <v>1025</v>
      </c>
      <c r="BT239" s="49" t="s">
        <v>312</v>
      </c>
      <c r="BU239" s="49" t="s">
        <v>313</v>
      </c>
      <c r="BV239" s="49" t="s">
        <v>303</v>
      </c>
      <c r="BX239" s="0" t="n">
        <v>0</v>
      </c>
      <c r="CC239" s="49" t="s">
        <v>315</v>
      </c>
      <c r="CD239" s="49" t="s">
        <v>303</v>
      </c>
      <c r="CF239" s="49" t="s">
        <v>303</v>
      </c>
      <c r="CG239" s="49" t="s">
        <v>316</v>
      </c>
      <c r="CH239" s="49" t="s">
        <v>317</v>
      </c>
      <c r="CI239" s="49" t="s">
        <v>318</v>
      </c>
      <c r="CM239" s="49" t="s">
        <v>65</v>
      </c>
      <c r="CV239" s="49" t="s">
        <v>303</v>
      </c>
      <c r="DB239" s="49" t="s">
        <v>319</v>
      </c>
      <c r="DD239" s="48" t="n">
        <v>46267</v>
      </c>
      <c r="DF239" s="49" t="s">
        <v>310</v>
      </c>
      <c r="DG239" s="49" t="s">
        <v>320</v>
      </c>
      <c r="DH239" s="49" t="s">
        <v>64</v>
      </c>
      <c r="DI239" s="49" t="s">
        <v>298</v>
      </c>
      <c r="DJ239" s="49" t="s">
        <v>394</v>
      </c>
      <c r="DK239" s="49" t="s">
        <v>322</v>
      </c>
      <c r="DL239" s="49" t="s">
        <v>323</v>
      </c>
      <c r="DM239" s="49" t="s">
        <v>303</v>
      </c>
      <c r="DN239" s="49" t="s">
        <v>297</v>
      </c>
      <c r="DO239" s="48"/>
      <c r="DP239" s="49" t="s">
        <v>312</v>
      </c>
      <c r="DQ239" s="48"/>
      <c r="DR239" s="49" t="s">
        <v>312</v>
      </c>
      <c r="DS239" s="49" t="s">
        <v>303</v>
      </c>
      <c r="DT239" s="49" t="s">
        <v>303</v>
      </c>
      <c r="DW239" s="49" t="s">
        <v>303</v>
      </c>
      <c r="EA239" s="49" t="s">
        <v>324</v>
      </c>
      <c r="EB239" s="49" t="s">
        <v>303</v>
      </c>
      <c r="EF239" s="49" t="s">
        <v>981</v>
      </c>
      <c r="EH239" s="49" t="s">
        <v>310</v>
      </c>
      <c r="EJ239" s="49" t="s">
        <v>303</v>
      </c>
      <c r="EK239" s="49" t="s">
        <v>1026</v>
      </c>
      <c r="EM239" s="49" t="s">
        <v>303</v>
      </c>
      <c r="EN239" s="49" t="s">
        <v>396</v>
      </c>
      <c r="EP239" s="49" t="s">
        <v>298</v>
      </c>
      <c r="EQ239" s="0" t="n">
        <v>1</v>
      </c>
      <c r="ER239" s="49" t="s">
        <v>328</v>
      </c>
      <c r="ES239" s="49" t="s">
        <v>329</v>
      </c>
      <c r="ET239" s="49" t="s">
        <v>310</v>
      </c>
      <c r="EU239" s="49" t="s">
        <v>310</v>
      </c>
      <c r="EV239" s="49" t="s">
        <v>310</v>
      </c>
      <c r="EX239" s="49" t="s">
        <v>303</v>
      </c>
      <c r="EY239" s="49" t="s">
        <v>303</v>
      </c>
      <c r="FC239" s="49" t="s">
        <v>330</v>
      </c>
      <c r="FD239" s="49" t="s">
        <v>310</v>
      </c>
      <c r="FE239" s="49" t="s">
        <v>310</v>
      </c>
      <c r="FF239" s="49" t="s">
        <v>64</v>
      </c>
      <c r="FG239" s="49" t="s">
        <v>397</v>
      </c>
      <c r="FH239" s="49" t="s">
        <v>310</v>
      </c>
      <c r="FI239" s="49" t="s">
        <v>332</v>
      </c>
      <c r="FJ239" s="49" t="s">
        <v>303</v>
      </c>
      <c r="FL239" s="49" t="s">
        <v>325</v>
      </c>
      <c r="FM239" s="49" t="s">
        <v>936</v>
      </c>
      <c r="FP239" s="49" t="s">
        <v>303</v>
      </c>
      <c r="FR239" s="49" t="s">
        <v>303</v>
      </c>
      <c r="FT239" s="49" t="s">
        <v>325</v>
      </c>
      <c r="FU239" s="49" t="s">
        <v>325</v>
      </c>
      <c r="FW239" s="49" t="s">
        <v>333</v>
      </c>
    </row>
    <row r="240" customFormat="false" ht="15" hidden="false" customHeight="false" outlineLevel="0" collapsed="false">
      <c r="A240" s="0" t="n">
        <v>100879430</v>
      </c>
      <c r="B240" s="0" t="s">
        <v>295</v>
      </c>
      <c r="C240" s="0" t="s">
        <v>64</v>
      </c>
      <c r="D240" s="0" t="s">
        <v>65</v>
      </c>
      <c r="E240" s="0" t="s">
        <v>297</v>
      </c>
      <c r="G240" s="0" t="n">
        <v>1</v>
      </c>
      <c r="H240" s="0" t="s">
        <v>298</v>
      </c>
      <c r="I240" s="48" t="n">
        <v>46293</v>
      </c>
      <c r="J240" s="0" t="n">
        <v>0</v>
      </c>
      <c r="K240" s="49" t="s">
        <v>936</v>
      </c>
      <c r="L240" s="49" t="s">
        <v>335</v>
      </c>
      <c r="M240" s="48"/>
      <c r="O240" s="49" t="s">
        <v>937</v>
      </c>
      <c r="P240" s="48"/>
      <c r="Q240" s="48" t="n">
        <v>46293</v>
      </c>
      <c r="R240" s="48" t="n">
        <v>46299</v>
      </c>
      <c r="T240" s="49" t="s">
        <v>302</v>
      </c>
      <c r="U240" s="49" t="s">
        <v>303</v>
      </c>
      <c r="Y240" s="49" t="s">
        <v>312</v>
      </c>
      <c r="AD240" s="49" t="s">
        <v>305</v>
      </c>
      <c r="AE240" s="48" t="n">
        <v>46267</v>
      </c>
      <c r="AF240" s="49" t="s">
        <v>306</v>
      </c>
      <c r="AG240" s="49" t="s">
        <v>307</v>
      </c>
      <c r="AK240" s="49" t="s">
        <v>303</v>
      </c>
      <c r="AL240" s="49" t="s">
        <v>297</v>
      </c>
      <c r="AO240" s="49" t="s">
        <v>303</v>
      </c>
      <c r="AP240" s="48"/>
      <c r="AR240" s="49" t="s">
        <v>303</v>
      </c>
      <c r="AS240" s="49" t="s">
        <v>306</v>
      </c>
      <c r="AT240" s="49" t="s">
        <v>1027</v>
      </c>
      <c r="AV240" s="49" t="s">
        <v>309</v>
      </c>
      <c r="AW240" s="49" t="s">
        <v>310</v>
      </c>
      <c r="AX240" s="49" t="s">
        <v>311</v>
      </c>
      <c r="AY240" s="48"/>
      <c r="AZ240" s="48" t="n">
        <v>46289</v>
      </c>
      <c r="BC240" s="49" t="s">
        <v>303</v>
      </c>
      <c r="BD240" s="48"/>
      <c r="BE240" s="49" t="s">
        <v>312</v>
      </c>
      <c r="BF240" s="49" t="s">
        <v>303</v>
      </c>
      <c r="BG240" s="48"/>
      <c r="BI240" s="48"/>
      <c r="BJ240" s="48" t="n">
        <v>46296</v>
      </c>
      <c r="BK240" s="49" t="s">
        <v>313</v>
      </c>
      <c r="BL240" s="49" t="s">
        <v>313</v>
      </c>
      <c r="BM240" s="49" t="s">
        <v>310</v>
      </c>
      <c r="BN240" s="48"/>
      <c r="BO240" s="48"/>
      <c r="BP240" s="48"/>
      <c r="BQ240" s="49" t="s">
        <v>923</v>
      </c>
      <c r="BR240" s="48" t="n">
        <v>46296</v>
      </c>
      <c r="BS240" s="49" t="s">
        <v>1025</v>
      </c>
      <c r="BT240" s="49" t="s">
        <v>312</v>
      </c>
      <c r="BU240" s="49" t="s">
        <v>313</v>
      </c>
      <c r="BV240" s="49" t="s">
        <v>303</v>
      </c>
      <c r="BX240" s="0" t="n">
        <v>0</v>
      </c>
      <c r="CC240" s="49" t="s">
        <v>315</v>
      </c>
      <c r="CD240" s="49" t="s">
        <v>303</v>
      </c>
      <c r="CF240" s="49" t="s">
        <v>303</v>
      </c>
      <c r="CG240" s="49" t="s">
        <v>316</v>
      </c>
      <c r="CH240" s="49" t="s">
        <v>317</v>
      </c>
      <c r="CI240" s="49" t="s">
        <v>318</v>
      </c>
      <c r="CM240" s="49" t="s">
        <v>65</v>
      </c>
      <c r="CV240" s="49" t="s">
        <v>303</v>
      </c>
      <c r="DB240" s="49" t="s">
        <v>319</v>
      </c>
      <c r="DD240" s="48" t="n">
        <v>46267</v>
      </c>
      <c r="DF240" s="49" t="s">
        <v>310</v>
      </c>
      <c r="DG240" s="49" t="s">
        <v>320</v>
      </c>
      <c r="DH240" s="49" t="s">
        <v>64</v>
      </c>
      <c r="DI240" s="49" t="s">
        <v>298</v>
      </c>
      <c r="DJ240" s="49" t="s">
        <v>394</v>
      </c>
      <c r="DK240" s="49" t="s">
        <v>322</v>
      </c>
      <c r="DL240" s="49" t="s">
        <v>323</v>
      </c>
      <c r="DM240" s="49" t="s">
        <v>303</v>
      </c>
      <c r="DN240" s="49" t="s">
        <v>297</v>
      </c>
      <c r="DO240" s="48"/>
      <c r="DP240" s="49" t="s">
        <v>312</v>
      </c>
      <c r="DQ240" s="48"/>
      <c r="DR240" s="49" t="s">
        <v>312</v>
      </c>
      <c r="DS240" s="49" t="s">
        <v>303</v>
      </c>
      <c r="DT240" s="49" t="s">
        <v>303</v>
      </c>
      <c r="DW240" s="49" t="s">
        <v>303</v>
      </c>
      <c r="EA240" s="49" t="s">
        <v>324</v>
      </c>
      <c r="EB240" s="49" t="s">
        <v>303</v>
      </c>
      <c r="EF240" s="49" t="s">
        <v>981</v>
      </c>
      <c r="EH240" s="49" t="s">
        <v>310</v>
      </c>
      <c r="EJ240" s="49" t="s">
        <v>303</v>
      </c>
      <c r="EK240" s="49" t="s">
        <v>1028</v>
      </c>
      <c r="EM240" s="49" t="s">
        <v>303</v>
      </c>
      <c r="EN240" s="49" t="s">
        <v>396</v>
      </c>
      <c r="EP240" s="49" t="s">
        <v>298</v>
      </c>
      <c r="EQ240" s="0" t="n">
        <v>1</v>
      </c>
      <c r="ER240" s="49" t="s">
        <v>328</v>
      </c>
      <c r="ES240" s="49" t="s">
        <v>329</v>
      </c>
      <c r="ET240" s="49" t="s">
        <v>310</v>
      </c>
      <c r="EU240" s="49" t="s">
        <v>310</v>
      </c>
      <c r="EV240" s="49" t="s">
        <v>310</v>
      </c>
      <c r="EX240" s="49" t="s">
        <v>303</v>
      </c>
      <c r="EY240" s="49" t="s">
        <v>303</v>
      </c>
      <c r="FC240" s="49" t="s">
        <v>330</v>
      </c>
      <c r="FD240" s="49" t="s">
        <v>310</v>
      </c>
      <c r="FE240" s="49" t="s">
        <v>310</v>
      </c>
      <c r="FF240" s="49" t="s">
        <v>64</v>
      </c>
      <c r="FG240" s="49" t="s">
        <v>397</v>
      </c>
      <c r="FH240" s="49" t="s">
        <v>310</v>
      </c>
      <c r="FI240" s="49" t="s">
        <v>332</v>
      </c>
      <c r="FJ240" s="49" t="s">
        <v>303</v>
      </c>
      <c r="FL240" s="49" t="s">
        <v>325</v>
      </c>
      <c r="FM240" s="49" t="s">
        <v>936</v>
      </c>
      <c r="FP240" s="49" t="s">
        <v>303</v>
      </c>
      <c r="FR240" s="49" t="s">
        <v>303</v>
      </c>
      <c r="FT240" s="49" t="s">
        <v>325</v>
      </c>
      <c r="FU240" s="49" t="s">
        <v>325</v>
      </c>
      <c r="FW240" s="49" t="s">
        <v>333</v>
      </c>
    </row>
    <row r="241" customFormat="false" ht="15" hidden="false" customHeight="false" outlineLevel="0" collapsed="false">
      <c r="A241" s="0" t="n">
        <v>100879431</v>
      </c>
      <c r="B241" s="0" t="s">
        <v>295</v>
      </c>
      <c r="C241" s="0" t="s">
        <v>64</v>
      </c>
      <c r="D241" s="0" t="s">
        <v>65</v>
      </c>
      <c r="E241" s="0" t="s">
        <v>297</v>
      </c>
      <c r="G241" s="0" t="n">
        <v>1</v>
      </c>
      <c r="H241" s="0" t="s">
        <v>298</v>
      </c>
      <c r="I241" s="48" t="n">
        <v>46293</v>
      </c>
      <c r="J241" s="0" t="n">
        <v>0</v>
      </c>
      <c r="K241" s="49" t="s">
        <v>936</v>
      </c>
      <c r="L241" s="49" t="s">
        <v>335</v>
      </c>
      <c r="M241" s="48"/>
      <c r="O241" s="49" t="s">
        <v>937</v>
      </c>
      <c r="P241" s="48"/>
      <c r="Q241" s="48" t="n">
        <v>46293</v>
      </c>
      <c r="R241" s="48" t="n">
        <v>46299</v>
      </c>
      <c r="T241" s="49" t="s">
        <v>302</v>
      </c>
      <c r="U241" s="49" t="s">
        <v>303</v>
      </c>
      <c r="Y241" s="49" t="s">
        <v>312</v>
      </c>
      <c r="AD241" s="49" t="s">
        <v>305</v>
      </c>
      <c r="AE241" s="48" t="n">
        <v>46267</v>
      </c>
      <c r="AF241" s="49" t="s">
        <v>306</v>
      </c>
      <c r="AG241" s="49" t="s">
        <v>307</v>
      </c>
      <c r="AK241" s="49" t="s">
        <v>303</v>
      </c>
      <c r="AL241" s="49" t="s">
        <v>297</v>
      </c>
      <c r="AO241" s="49" t="s">
        <v>303</v>
      </c>
      <c r="AP241" s="48"/>
      <c r="AR241" s="49" t="s">
        <v>303</v>
      </c>
      <c r="AS241" s="49" t="s">
        <v>306</v>
      </c>
      <c r="AT241" s="49" t="s">
        <v>1029</v>
      </c>
      <c r="AV241" s="49" t="s">
        <v>309</v>
      </c>
      <c r="AW241" s="49" t="s">
        <v>310</v>
      </c>
      <c r="AX241" s="49" t="s">
        <v>311</v>
      </c>
      <c r="AY241" s="48"/>
      <c r="AZ241" s="48" t="n">
        <v>46289</v>
      </c>
      <c r="BC241" s="49" t="s">
        <v>303</v>
      </c>
      <c r="BD241" s="48"/>
      <c r="BE241" s="49" t="s">
        <v>312</v>
      </c>
      <c r="BF241" s="49" t="s">
        <v>303</v>
      </c>
      <c r="BG241" s="48"/>
      <c r="BI241" s="48"/>
      <c r="BJ241" s="48" t="n">
        <v>46296</v>
      </c>
      <c r="BK241" s="49" t="s">
        <v>313</v>
      </c>
      <c r="BL241" s="49" t="s">
        <v>313</v>
      </c>
      <c r="BM241" s="49" t="s">
        <v>310</v>
      </c>
      <c r="BN241" s="48"/>
      <c r="BO241" s="48"/>
      <c r="BP241" s="48"/>
      <c r="BQ241" s="49" t="s">
        <v>923</v>
      </c>
      <c r="BR241" s="48" t="n">
        <v>46296</v>
      </c>
      <c r="BS241" s="49" t="s">
        <v>1025</v>
      </c>
      <c r="BT241" s="49" t="s">
        <v>312</v>
      </c>
      <c r="BU241" s="49" t="s">
        <v>313</v>
      </c>
      <c r="BV241" s="49" t="s">
        <v>303</v>
      </c>
      <c r="BX241" s="0" t="n">
        <v>0</v>
      </c>
      <c r="CC241" s="49" t="s">
        <v>315</v>
      </c>
      <c r="CD241" s="49" t="s">
        <v>303</v>
      </c>
      <c r="CF241" s="49" t="s">
        <v>303</v>
      </c>
      <c r="CG241" s="49" t="s">
        <v>316</v>
      </c>
      <c r="CH241" s="49" t="s">
        <v>317</v>
      </c>
      <c r="CI241" s="49" t="s">
        <v>318</v>
      </c>
      <c r="CM241" s="49" t="s">
        <v>65</v>
      </c>
      <c r="CV241" s="49" t="s">
        <v>303</v>
      </c>
      <c r="DB241" s="49" t="s">
        <v>319</v>
      </c>
      <c r="DD241" s="48" t="n">
        <v>46267</v>
      </c>
      <c r="DF241" s="49" t="s">
        <v>310</v>
      </c>
      <c r="DG241" s="49" t="s">
        <v>320</v>
      </c>
      <c r="DH241" s="49" t="s">
        <v>64</v>
      </c>
      <c r="DI241" s="49" t="s">
        <v>298</v>
      </c>
      <c r="DJ241" s="49" t="s">
        <v>394</v>
      </c>
      <c r="DK241" s="49" t="s">
        <v>322</v>
      </c>
      <c r="DL241" s="49" t="s">
        <v>323</v>
      </c>
      <c r="DM241" s="49" t="s">
        <v>303</v>
      </c>
      <c r="DN241" s="49" t="s">
        <v>297</v>
      </c>
      <c r="DO241" s="48"/>
      <c r="DP241" s="49" t="s">
        <v>312</v>
      </c>
      <c r="DQ241" s="48"/>
      <c r="DR241" s="49" t="s">
        <v>312</v>
      </c>
      <c r="DS241" s="49" t="s">
        <v>303</v>
      </c>
      <c r="DT241" s="49" t="s">
        <v>303</v>
      </c>
      <c r="DW241" s="49" t="s">
        <v>303</v>
      </c>
      <c r="EA241" s="49" t="s">
        <v>324</v>
      </c>
      <c r="EB241" s="49" t="s">
        <v>303</v>
      </c>
      <c r="EF241" s="49" t="s">
        <v>981</v>
      </c>
      <c r="EH241" s="49" t="s">
        <v>310</v>
      </c>
      <c r="EJ241" s="49" t="s">
        <v>303</v>
      </c>
      <c r="EK241" s="49" t="s">
        <v>1030</v>
      </c>
      <c r="EM241" s="49" t="s">
        <v>303</v>
      </c>
      <c r="EN241" s="49" t="s">
        <v>396</v>
      </c>
      <c r="EP241" s="49" t="s">
        <v>298</v>
      </c>
      <c r="EQ241" s="0" t="n">
        <v>1</v>
      </c>
      <c r="ER241" s="49" t="s">
        <v>328</v>
      </c>
      <c r="ES241" s="49" t="s">
        <v>329</v>
      </c>
      <c r="ET241" s="49" t="s">
        <v>310</v>
      </c>
      <c r="EU241" s="49" t="s">
        <v>310</v>
      </c>
      <c r="EV241" s="49" t="s">
        <v>310</v>
      </c>
      <c r="EX241" s="49" t="s">
        <v>303</v>
      </c>
      <c r="EY241" s="49" t="s">
        <v>303</v>
      </c>
      <c r="FC241" s="49" t="s">
        <v>330</v>
      </c>
      <c r="FD241" s="49" t="s">
        <v>310</v>
      </c>
      <c r="FE241" s="49" t="s">
        <v>310</v>
      </c>
      <c r="FF241" s="49" t="s">
        <v>64</v>
      </c>
      <c r="FG241" s="49" t="s">
        <v>397</v>
      </c>
      <c r="FH241" s="49" t="s">
        <v>310</v>
      </c>
      <c r="FI241" s="49" t="s">
        <v>332</v>
      </c>
      <c r="FJ241" s="49" t="s">
        <v>303</v>
      </c>
      <c r="FL241" s="49" t="s">
        <v>325</v>
      </c>
      <c r="FM241" s="49" t="s">
        <v>936</v>
      </c>
      <c r="FP241" s="49" t="s">
        <v>303</v>
      </c>
      <c r="FR241" s="49" t="s">
        <v>303</v>
      </c>
      <c r="FT241" s="49" t="s">
        <v>325</v>
      </c>
      <c r="FU241" s="49" t="s">
        <v>325</v>
      </c>
      <c r="FW241" s="49" t="s">
        <v>333</v>
      </c>
    </row>
    <row r="242" customFormat="false" ht="15" hidden="false" customHeight="false" outlineLevel="0" collapsed="false">
      <c r="A242" s="0" t="n">
        <v>100879432</v>
      </c>
      <c r="B242" s="0" t="s">
        <v>295</v>
      </c>
      <c r="C242" s="0" t="s">
        <v>64</v>
      </c>
      <c r="D242" s="0" t="s">
        <v>65</v>
      </c>
      <c r="E242" s="0" t="s">
        <v>297</v>
      </c>
      <c r="G242" s="0" t="n">
        <v>1</v>
      </c>
      <c r="H242" s="0" t="s">
        <v>298</v>
      </c>
      <c r="I242" s="48" t="n">
        <v>46293</v>
      </c>
      <c r="J242" s="0" t="n">
        <v>0</v>
      </c>
      <c r="K242" s="49" t="s">
        <v>936</v>
      </c>
      <c r="L242" s="49" t="s">
        <v>335</v>
      </c>
      <c r="M242" s="48"/>
      <c r="O242" s="49" t="s">
        <v>937</v>
      </c>
      <c r="P242" s="48"/>
      <c r="Q242" s="48" t="n">
        <v>46293</v>
      </c>
      <c r="R242" s="48" t="n">
        <v>46299</v>
      </c>
      <c r="T242" s="49" t="s">
        <v>302</v>
      </c>
      <c r="U242" s="49" t="s">
        <v>303</v>
      </c>
      <c r="Y242" s="49" t="s">
        <v>312</v>
      </c>
      <c r="AD242" s="49" t="s">
        <v>305</v>
      </c>
      <c r="AE242" s="48" t="n">
        <v>46267</v>
      </c>
      <c r="AF242" s="49" t="s">
        <v>306</v>
      </c>
      <c r="AG242" s="49" t="s">
        <v>307</v>
      </c>
      <c r="AK242" s="49" t="s">
        <v>303</v>
      </c>
      <c r="AL242" s="49" t="s">
        <v>297</v>
      </c>
      <c r="AO242" s="49" t="s">
        <v>303</v>
      </c>
      <c r="AP242" s="48"/>
      <c r="AR242" s="49" t="s">
        <v>303</v>
      </c>
      <c r="AS242" s="49" t="s">
        <v>306</v>
      </c>
      <c r="AT242" s="49" t="s">
        <v>1031</v>
      </c>
      <c r="AV242" s="49" t="s">
        <v>309</v>
      </c>
      <c r="AW242" s="49" t="s">
        <v>310</v>
      </c>
      <c r="AX242" s="49" t="s">
        <v>311</v>
      </c>
      <c r="AY242" s="48"/>
      <c r="AZ242" s="48" t="n">
        <v>46289</v>
      </c>
      <c r="BC242" s="49" t="s">
        <v>303</v>
      </c>
      <c r="BD242" s="48"/>
      <c r="BE242" s="49" t="s">
        <v>312</v>
      </c>
      <c r="BF242" s="49" t="s">
        <v>303</v>
      </c>
      <c r="BG242" s="48"/>
      <c r="BI242" s="48"/>
      <c r="BJ242" s="48" t="n">
        <v>46296</v>
      </c>
      <c r="BK242" s="49" t="s">
        <v>313</v>
      </c>
      <c r="BL242" s="49" t="s">
        <v>313</v>
      </c>
      <c r="BM242" s="49" t="s">
        <v>310</v>
      </c>
      <c r="BN242" s="48"/>
      <c r="BO242" s="48"/>
      <c r="BP242" s="48"/>
      <c r="BQ242" s="49" t="s">
        <v>923</v>
      </c>
      <c r="BR242" s="48" t="n">
        <v>46296</v>
      </c>
      <c r="BS242" s="49" t="s">
        <v>1032</v>
      </c>
      <c r="BT242" s="49" t="s">
        <v>312</v>
      </c>
      <c r="BU242" s="49" t="s">
        <v>313</v>
      </c>
      <c r="BV242" s="49" t="s">
        <v>303</v>
      </c>
      <c r="BX242" s="0" t="n">
        <v>0</v>
      </c>
      <c r="CC242" s="49" t="s">
        <v>315</v>
      </c>
      <c r="CD242" s="49" t="s">
        <v>303</v>
      </c>
      <c r="CF242" s="49" t="s">
        <v>303</v>
      </c>
      <c r="CG242" s="49" t="s">
        <v>316</v>
      </c>
      <c r="CH242" s="49" t="s">
        <v>317</v>
      </c>
      <c r="CI242" s="49" t="s">
        <v>318</v>
      </c>
      <c r="CM242" s="49" t="s">
        <v>65</v>
      </c>
      <c r="CV242" s="49" t="s">
        <v>303</v>
      </c>
      <c r="DB242" s="49" t="s">
        <v>319</v>
      </c>
      <c r="DD242" s="48" t="n">
        <v>46267</v>
      </c>
      <c r="DF242" s="49" t="s">
        <v>310</v>
      </c>
      <c r="DG242" s="49" t="s">
        <v>320</v>
      </c>
      <c r="DH242" s="49" t="s">
        <v>64</v>
      </c>
      <c r="DI242" s="49" t="s">
        <v>298</v>
      </c>
      <c r="DJ242" s="49" t="s">
        <v>394</v>
      </c>
      <c r="DK242" s="49" t="s">
        <v>322</v>
      </c>
      <c r="DL242" s="49" t="s">
        <v>323</v>
      </c>
      <c r="DM242" s="49" t="s">
        <v>303</v>
      </c>
      <c r="DN242" s="49" t="s">
        <v>297</v>
      </c>
      <c r="DO242" s="48"/>
      <c r="DP242" s="49" t="s">
        <v>312</v>
      </c>
      <c r="DQ242" s="48"/>
      <c r="DR242" s="49" t="s">
        <v>312</v>
      </c>
      <c r="DS242" s="49" t="s">
        <v>303</v>
      </c>
      <c r="DT242" s="49" t="s">
        <v>303</v>
      </c>
      <c r="DW242" s="49" t="s">
        <v>303</v>
      </c>
      <c r="EA242" s="49" t="s">
        <v>324</v>
      </c>
      <c r="EB242" s="49" t="s">
        <v>303</v>
      </c>
      <c r="EF242" s="49" t="s">
        <v>981</v>
      </c>
      <c r="EH242" s="49" t="s">
        <v>310</v>
      </c>
      <c r="EJ242" s="49" t="s">
        <v>303</v>
      </c>
      <c r="EK242" s="49" t="s">
        <v>1033</v>
      </c>
      <c r="EM242" s="49" t="s">
        <v>303</v>
      </c>
      <c r="EN242" s="49" t="s">
        <v>396</v>
      </c>
      <c r="EP242" s="49" t="s">
        <v>298</v>
      </c>
      <c r="EQ242" s="0" t="n">
        <v>1</v>
      </c>
      <c r="ER242" s="49" t="s">
        <v>328</v>
      </c>
      <c r="ES242" s="49" t="s">
        <v>329</v>
      </c>
      <c r="ET242" s="49" t="s">
        <v>310</v>
      </c>
      <c r="EU242" s="49" t="s">
        <v>310</v>
      </c>
      <c r="EV242" s="49" t="s">
        <v>310</v>
      </c>
      <c r="EX242" s="49" t="s">
        <v>303</v>
      </c>
      <c r="EY242" s="49" t="s">
        <v>303</v>
      </c>
      <c r="FC242" s="49" t="s">
        <v>330</v>
      </c>
      <c r="FD242" s="49" t="s">
        <v>310</v>
      </c>
      <c r="FE242" s="49" t="s">
        <v>310</v>
      </c>
      <c r="FF242" s="49" t="s">
        <v>64</v>
      </c>
      <c r="FG242" s="49" t="s">
        <v>397</v>
      </c>
      <c r="FH242" s="49" t="s">
        <v>310</v>
      </c>
      <c r="FI242" s="49" t="s">
        <v>332</v>
      </c>
      <c r="FJ242" s="49" t="s">
        <v>303</v>
      </c>
      <c r="FL242" s="49" t="s">
        <v>325</v>
      </c>
      <c r="FM242" s="49" t="s">
        <v>936</v>
      </c>
      <c r="FP242" s="49" t="s">
        <v>303</v>
      </c>
      <c r="FR242" s="49" t="s">
        <v>303</v>
      </c>
      <c r="FT242" s="49" t="s">
        <v>325</v>
      </c>
      <c r="FU242" s="49" t="s">
        <v>325</v>
      </c>
      <c r="FW242" s="49" t="s">
        <v>333</v>
      </c>
    </row>
    <row r="243" customFormat="false" ht="15" hidden="false" customHeight="false" outlineLevel="0" collapsed="false">
      <c r="A243" s="0" t="n">
        <v>100878900</v>
      </c>
      <c r="B243" s="0" t="s">
        <v>295</v>
      </c>
      <c r="C243" s="0" t="s">
        <v>56</v>
      </c>
      <c r="D243" s="0" t="s">
        <v>57</v>
      </c>
      <c r="E243" s="0" t="s">
        <v>297</v>
      </c>
      <c r="G243" s="0" t="n">
        <v>1</v>
      </c>
      <c r="H243" s="0" t="s">
        <v>298</v>
      </c>
      <c r="I243" s="48" t="n">
        <v>46287</v>
      </c>
      <c r="J243" s="0" t="n">
        <v>0</v>
      </c>
      <c r="K243" s="49" t="s">
        <v>1034</v>
      </c>
      <c r="L243" s="49" t="s">
        <v>1035</v>
      </c>
      <c r="M243" s="48" t="n">
        <v>46287</v>
      </c>
      <c r="N243" s="49" t="s">
        <v>1035</v>
      </c>
      <c r="O243" s="49" t="s">
        <v>336</v>
      </c>
      <c r="P243" s="48"/>
      <c r="Q243" s="48" t="n">
        <v>46287</v>
      </c>
      <c r="R243" s="48" t="n">
        <v>46294</v>
      </c>
      <c r="T243" s="49" t="s">
        <v>302</v>
      </c>
      <c r="U243" s="49" t="s">
        <v>303</v>
      </c>
      <c r="Y243" s="49" t="s">
        <v>1036</v>
      </c>
      <c r="AD243" s="49" t="s">
        <v>305</v>
      </c>
      <c r="AE243" s="48" t="n">
        <v>46260</v>
      </c>
      <c r="AF243" s="49" t="s">
        <v>306</v>
      </c>
      <c r="AG243" s="49" t="s">
        <v>307</v>
      </c>
      <c r="AK243" s="49" t="s">
        <v>303</v>
      </c>
      <c r="AL243" s="49" t="s">
        <v>297</v>
      </c>
      <c r="AO243" s="49" t="s">
        <v>303</v>
      </c>
      <c r="AP243" s="48"/>
      <c r="AR243" s="49" t="s">
        <v>303</v>
      </c>
      <c r="AS243" s="49" t="s">
        <v>306</v>
      </c>
      <c r="AT243" s="49" t="s">
        <v>1037</v>
      </c>
      <c r="AV243" s="49" t="s">
        <v>309</v>
      </c>
      <c r="AW243" s="49" t="s">
        <v>310</v>
      </c>
      <c r="AX243" s="49" t="s">
        <v>311</v>
      </c>
      <c r="AY243" s="48"/>
      <c r="AZ243" s="48" t="n">
        <v>46279</v>
      </c>
      <c r="BC243" s="49" t="s">
        <v>303</v>
      </c>
      <c r="BD243" s="48"/>
      <c r="BE243" s="49" t="s">
        <v>312</v>
      </c>
      <c r="BF243" s="49" t="s">
        <v>303</v>
      </c>
      <c r="BG243" s="48"/>
      <c r="BI243" s="48"/>
      <c r="BJ243" s="48" t="n">
        <v>46292</v>
      </c>
      <c r="BK243" s="49" t="s">
        <v>312</v>
      </c>
      <c r="BL243" s="49" t="s">
        <v>313</v>
      </c>
      <c r="BM243" s="49" t="s">
        <v>310</v>
      </c>
      <c r="BN243" s="48"/>
      <c r="BO243" s="48"/>
      <c r="BP243" s="48"/>
      <c r="BR243" s="48" t="n">
        <v>46286</v>
      </c>
      <c r="BS243" s="49" t="s">
        <v>312</v>
      </c>
      <c r="BT243" s="49" t="s">
        <v>312</v>
      </c>
      <c r="BU243" s="49" t="s">
        <v>312</v>
      </c>
      <c r="BV243" s="49" t="s">
        <v>303</v>
      </c>
      <c r="BX243" s="0" t="n">
        <v>0</v>
      </c>
      <c r="CC243" s="49" t="s">
        <v>315</v>
      </c>
      <c r="CD243" s="49" t="s">
        <v>303</v>
      </c>
      <c r="CF243" s="49" t="s">
        <v>303</v>
      </c>
      <c r="CG243" s="49" t="s">
        <v>316</v>
      </c>
      <c r="CH243" s="49" t="s">
        <v>317</v>
      </c>
      <c r="CI243" s="49" t="s">
        <v>318</v>
      </c>
      <c r="CM243" s="49" t="s">
        <v>57</v>
      </c>
      <c r="CV243" s="49" t="s">
        <v>303</v>
      </c>
      <c r="DB243" s="49" t="s">
        <v>319</v>
      </c>
      <c r="DD243" s="48" t="n">
        <v>46260</v>
      </c>
      <c r="DF243" s="49" t="s">
        <v>310</v>
      </c>
      <c r="DG243" s="49" t="s">
        <v>320</v>
      </c>
      <c r="DH243" s="49" t="s">
        <v>56</v>
      </c>
      <c r="DI243" s="49" t="s">
        <v>298</v>
      </c>
      <c r="DJ243" s="49" t="s">
        <v>367</v>
      </c>
      <c r="DK243" s="49" t="s">
        <v>322</v>
      </c>
      <c r="DL243" s="49" t="s">
        <v>323</v>
      </c>
      <c r="DM243" s="49" t="s">
        <v>303</v>
      </c>
      <c r="DN243" s="49" t="s">
        <v>297</v>
      </c>
      <c r="DO243" s="48"/>
      <c r="DP243" s="49" t="s">
        <v>312</v>
      </c>
      <c r="DQ243" s="48"/>
      <c r="DR243" s="49" t="s">
        <v>312</v>
      </c>
      <c r="DS243" s="49" t="s">
        <v>303</v>
      </c>
      <c r="DT243" s="49" t="s">
        <v>303</v>
      </c>
      <c r="DW243" s="49" t="s">
        <v>303</v>
      </c>
      <c r="EA243" s="49" t="s">
        <v>324</v>
      </c>
      <c r="EB243" s="49" t="s">
        <v>303</v>
      </c>
      <c r="EH243" s="49" t="s">
        <v>310</v>
      </c>
      <c r="EJ243" s="49" t="s">
        <v>303</v>
      </c>
      <c r="EK243" s="49" t="s">
        <v>1038</v>
      </c>
      <c r="EM243" s="49" t="s">
        <v>303</v>
      </c>
      <c r="EN243" s="49" t="s">
        <v>369</v>
      </c>
      <c r="EP243" s="49" t="s">
        <v>298</v>
      </c>
      <c r="EQ243" s="0" t="n">
        <v>1</v>
      </c>
      <c r="ER243" s="49" t="s">
        <v>328</v>
      </c>
      <c r="ES243" s="49" t="s">
        <v>342</v>
      </c>
      <c r="ET243" s="49" t="s">
        <v>310</v>
      </c>
      <c r="EU243" s="49" t="s">
        <v>310</v>
      </c>
      <c r="EV243" s="49" t="s">
        <v>310</v>
      </c>
      <c r="EX243" s="49" t="s">
        <v>303</v>
      </c>
      <c r="EY243" s="49" t="s">
        <v>303</v>
      </c>
      <c r="FC243" s="49" t="s">
        <v>330</v>
      </c>
      <c r="FD243" s="49" t="s">
        <v>310</v>
      </c>
      <c r="FE243" s="49" t="s">
        <v>310</v>
      </c>
      <c r="FF243" s="49" t="s">
        <v>56</v>
      </c>
      <c r="FG243" s="49" t="s">
        <v>370</v>
      </c>
      <c r="FH243" s="49" t="s">
        <v>310</v>
      </c>
      <c r="FI243" s="49" t="s">
        <v>332</v>
      </c>
      <c r="FJ243" s="49" t="s">
        <v>303</v>
      </c>
      <c r="FL243" s="49" t="s">
        <v>325</v>
      </c>
      <c r="FM243" s="49" t="s">
        <v>1034</v>
      </c>
      <c r="FP243" s="49" t="s">
        <v>303</v>
      </c>
      <c r="FR243" s="49" t="s">
        <v>303</v>
      </c>
      <c r="FT243" s="49" t="s">
        <v>325</v>
      </c>
      <c r="FU243" s="49" t="s">
        <v>325</v>
      </c>
      <c r="FW243" s="49" t="s">
        <v>333</v>
      </c>
    </row>
    <row r="244" customFormat="false" ht="15" hidden="false" customHeight="false" outlineLevel="0" collapsed="false">
      <c r="A244" s="0" t="n">
        <v>100878901</v>
      </c>
      <c r="B244" s="0" t="s">
        <v>295</v>
      </c>
      <c r="C244" s="0" t="s">
        <v>58</v>
      </c>
      <c r="D244" s="0" t="s">
        <v>59</v>
      </c>
      <c r="E244" s="0" t="s">
        <v>297</v>
      </c>
      <c r="G244" s="0" t="n">
        <v>1</v>
      </c>
      <c r="H244" s="0" t="s">
        <v>298</v>
      </c>
      <c r="I244" s="48" t="n">
        <v>46287</v>
      </c>
      <c r="J244" s="0" t="n">
        <v>0</v>
      </c>
      <c r="K244" s="49" t="s">
        <v>1034</v>
      </c>
      <c r="L244" s="49" t="s">
        <v>1035</v>
      </c>
      <c r="M244" s="48" t="n">
        <v>46287</v>
      </c>
      <c r="N244" s="49" t="s">
        <v>1035</v>
      </c>
      <c r="O244" s="49" t="s">
        <v>336</v>
      </c>
      <c r="P244" s="48"/>
      <c r="Q244" s="48" t="n">
        <v>46287</v>
      </c>
      <c r="R244" s="48" t="n">
        <v>46294</v>
      </c>
      <c r="T244" s="49" t="s">
        <v>302</v>
      </c>
      <c r="U244" s="49" t="s">
        <v>303</v>
      </c>
      <c r="Y244" s="49" t="s">
        <v>1039</v>
      </c>
      <c r="AD244" s="49" t="s">
        <v>305</v>
      </c>
      <c r="AE244" s="48" t="n">
        <v>46260</v>
      </c>
      <c r="AF244" s="49" t="s">
        <v>306</v>
      </c>
      <c r="AG244" s="49" t="s">
        <v>307</v>
      </c>
      <c r="AK244" s="49" t="s">
        <v>303</v>
      </c>
      <c r="AL244" s="49" t="s">
        <v>297</v>
      </c>
      <c r="AO244" s="49" t="s">
        <v>303</v>
      </c>
      <c r="AP244" s="48"/>
      <c r="AR244" s="49" t="s">
        <v>303</v>
      </c>
      <c r="AS244" s="49" t="s">
        <v>306</v>
      </c>
      <c r="AT244" s="49" t="s">
        <v>1040</v>
      </c>
      <c r="AV244" s="49" t="s">
        <v>309</v>
      </c>
      <c r="AW244" s="49" t="s">
        <v>310</v>
      </c>
      <c r="AX244" s="49" t="s">
        <v>311</v>
      </c>
      <c r="AY244" s="48"/>
      <c r="AZ244" s="48" t="n">
        <v>46279</v>
      </c>
      <c r="BC244" s="49" t="s">
        <v>303</v>
      </c>
      <c r="BD244" s="48"/>
      <c r="BE244" s="49" t="s">
        <v>312</v>
      </c>
      <c r="BF244" s="49" t="s">
        <v>303</v>
      </c>
      <c r="BG244" s="48"/>
      <c r="BI244" s="48"/>
      <c r="BJ244" s="48" t="n">
        <v>46292</v>
      </c>
      <c r="BK244" s="49" t="s">
        <v>312</v>
      </c>
      <c r="BL244" s="49" t="s">
        <v>313</v>
      </c>
      <c r="BM244" s="49" t="s">
        <v>310</v>
      </c>
      <c r="BN244" s="48"/>
      <c r="BO244" s="48"/>
      <c r="BP244" s="48"/>
      <c r="BR244" s="48" t="n">
        <v>46286</v>
      </c>
      <c r="BS244" s="49" t="s">
        <v>312</v>
      </c>
      <c r="BT244" s="49" t="s">
        <v>312</v>
      </c>
      <c r="BU244" s="49" t="s">
        <v>312</v>
      </c>
      <c r="BV244" s="49" t="s">
        <v>303</v>
      </c>
      <c r="BX244" s="0" t="n">
        <v>0</v>
      </c>
      <c r="CC244" s="49" t="s">
        <v>315</v>
      </c>
      <c r="CD244" s="49" t="s">
        <v>303</v>
      </c>
      <c r="CF244" s="49" t="s">
        <v>303</v>
      </c>
      <c r="CG244" s="49" t="s">
        <v>316</v>
      </c>
      <c r="CH244" s="49" t="s">
        <v>317</v>
      </c>
      <c r="CI244" s="49" t="s">
        <v>318</v>
      </c>
      <c r="CM244" s="49" t="s">
        <v>59</v>
      </c>
      <c r="CV244" s="49" t="s">
        <v>303</v>
      </c>
      <c r="DB244" s="49" t="s">
        <v>319</v>
      </c>
      <c r="DD244" s="48" t="n">
        <v>46260</v>
      </c>
      <c r="DF244" s="49" t="s">
        <v>310</v>
      </c>
      <c r="DG244" s="49" t="s">
        <v>320</v>
      </c>
      <c r="DH244" s="49" t="s">
        <v>58</v>
      </c>
      <c r="DI244" s="49" t="s">
        <v>298</v>
      </c>
      <c r="DJ244" s="49" t="s">
        <v>367</v>
      </c>
      <c r="DK244" s="49" t="s">
        <v>322</v>
      </c>
      <c r="DL244" s="49" t="s">
        <v>323</v>
      </c>
      <c r="DM244" s="49" t="s">
        <v>303</v>
      </c>
      <c r="DN244" s="49" t="s">
        <v>297</v>
      </c>
      <c r="DO244" s="48"/>
      <c r="DP244" s="49" t="s">
        <v>312</v>
      </c>
      <c r="DQ244" s="48"/>
      <c r="DR244" s="49" t="s">
        <v>312</v>
      </c>
      <c r="DS244" s="49" t="s">
        <v>303</v>
      </c>
      <c r="DT244" s="49" t="s">
        <v>303</v>
      </c>
      <c r="DW244" s="49" t="s">
        <v>303</v>
      </c>
      <c r="EA244" s="49" t="s">
        <v>324</v>
      </c>
      <c r="EB244" s="49" t="s">
        <v>303</v>
      </c>
      <c r="EH244" s="49" t="s">
        <v>310</v>
      </c>
      <c r="EJ244" s="49" t="s">
        <v>303</v>
      </c>
      <c r="EK244" s="49" t="s">
        <v>1041</v>
      </c>
      <c r="EM244" s="49" t="s">
        <v>303</v>
      </c>
      <c r="EN244" s="49" t="s">
        <v>374</v>
      </c>
      <c r="EP244" s="49" t="s">
        <v>298</v>
      </c>
      <c r="EQ244" s="0" t="n">
        <v>1</v>
      </c>
      <c r="ER244" s="49" t="s">
        <v>328</v>
      </c>
      <c r="ES244" s="49" t="s">
        <v>342</v>
      </c>
      <c r="ET244" s="49" t="s">
        <v>310</v>
      </c>
      <c r="EU244" s="49" t="s">
        <v>310</v>
      </c>
      <c r="EV244" s="49" t="s">
        <v>310</v>
      </c>
      <c r="EX244" s="49" t="s">
        <v>303</v>
      </c>
      <c r="EY244" s="49" t="s">
        <v>303</v>
      </c>
      <c r="FC244" s="49" t="s">
        <v>330</v>
      </c>
      <c r="FD244" s="49" t="s">
        <v>310</v>
      </c>
      <c r="FE244" s="49" t="s">
        <v>310</v>
      </c>
      <c r="FF244" s="49" t="s">
        <v>58</v>
      </c>
      <c r="FG244" s="49" t="s">
        <v>375</v>
      </c>
      <c r="FH244" s="49" t="s">
        <v>310</v>
      </c>
      <c r="FI244" s="49" t="s">
        <v>332</v>
      </c>
      <c r="FJ244" s="49" t="s">
        <v>303</v>
      </c>
      <c r="FL244" s="49" t="s">
        <v>325</v>
      </c>
      <c r="FM244" s="49" t="s">
        <v>1034</v>
      </c>
      <c r="FP244" s="49" t="s">
        <v>303</v>
      </c>
      <c r="FR244" s="49" t="s">
        <v>303</v>
      </c>
      <c r="FT244" s="49" t="s">
        <v>325</v>
      </c>
      <c r="FU244" s="49" t="s">
        <v>325</v>
      </c>
      <c r="FW244" s="49" t="s">
        <v>333</v>
      </c>
    </row>
    <row r="245" customFormat="false" ht="15" hidden="false" customHeight="false" outlineLevel="0" collapsed="false">
      <c r="A245" s="0" t="n">
        <v>100878902</v>
      </c>
      <c r="B245" s="0" t="s">
        <v>295</v>
      </c>
      <c r="C245" s="0" t="s">
        <v>58</v>
      </c>
      <c r="D245" s="0" t="s">
        <v>59</v>
      </c>
      <c r="E245" s="0" t="s">
        <v>297</v>
      </c>
      <c r="G245" s="0" t="n">
        <v>1</v>
      </c>
      <c r="H245" s="0" t="s">
        <v>298</v>
      </c>
      <c r="I245" s="48" t="n">
        <v>46287</v>
      </c>
      <c r="J245" s="0" t="n">
        <v>0</v>
      </c>
      <c r="K245" s="49" t="s">
        <v>1034</v>
      </c>
      <c r="L245" s="49" t="s">
        <v>1035</v>
      </c>
      <c r="M245" s="48"/>
      <c r="O245" s="49" t="s">
        <v>336</v>
      </c>
      <c r="P245" s="48"/>
      <c r="Q245" s="48" t="n">
        <v>46287</v>
      </c>
      <c r="R245" s="48" t="n">
        <v>46293</v>
      </c>
      <c r="T245" s="49" t="s">
        <v>302</v>
      </c>
      <c r="U245" s="49" t="s">
        <v>303</v>
      </c>
      <c r="Y245" s="49" t="s">
        <v>312</v>
      </c>
      <c r="AD245" s="49" t="s">
        <v>305</v>
      </c>
      <c r="AE245" s="48" t="n">
        <v>46260</v>
      </c>
      <c r="AF245" s="49" t="s">
        <v>306</v>
      </c>
      <c r="AG245" s="49" t="s">
        <v>307</v>
      </c>
      <c r="AK245" s="49" t="s">
        <v>303</v>
      </c>
      <c r="AL245" s="49" t="s">
        <v>297</v>
      </c>
      <c r="AO245" s="49" t="s">
        <v>303</v>
      </c>
      <c r="AP245" s="48"/>
      <c r="AR245" s="49" t="s">
        <v>303</v>
      </c>
      <c r="AS245" s="49" t="s">
        <v>306</v>
      </c>
      <c r="AT245" s="49" t="s">
        <v>1042</v>
      </c>
      <c r="AV245" s="49" t="s">
        <v>309</v>
      </c>
      <c r="AW245" s="49" t="s">
        <v>310</v>
      </c>
      <c r="AX245" s="49" t="s">
        <v>311</v>
      </c>
      <c r="AY245" s="48"/>
      <c r="AZ245" s="48" t="n">
        <v>46279</v>
      </c>
      <c r="BC245" s="49" t="s">
        <v>303</v>
      </c>
      <c r="BD245" s="48"/>
      <c r="BE245" s="49" t="s">
        <v>312</v>
      </c>
      <c r="BF245" s="49" t="s">
        <v>303</v>
      </c>
      <c r="BG245" s="48"/>
      <c r="BI245" s="48"/>
      <c r="BJ245" s="48" t="n">
        <v>46292</v>
      </c>
      <c r="BK245" s="49" t="s">
        <v>313</v>
      </c>
      <c r="BL245" s="49" t="s">
        <v>313</v>
      </c>
      <c r="BM245" s="49" t="s">
        <v>310</v>
      </c>
      <c r="BN245" s="48"/>
      <c r="BO245" s="48"/>
      <c r="BP245" s="48"/>
      <c r="BR245" s="48" t="n">
        <v>46286</v>
      </c>
      <c r="BS245" s="49" t="s">
        <v>312</v>
      </c>
      <c r="BT245" s="49" t="s">
        <v>312</v>
      </c>
      <c r="BU245" s="49" t="s">
        <v>312</v>
      </c>
      <c r="BV245" s="49" t="s">
        <v>303</v>
      </c>
      <c r="BX245" s="0" t="n">
        <v>0</v>
      </c>
      <c r="CC245" s="49" t="s">
        <v>315</v>
      </c>
      <c r="CD245" s="49" t="s">
        <v>303</v>
      </c>
      <c r="CF245" s="49" t="s">
        <v>303</v>
      </c>
      <c r="CG245" s="49" t="s">
        <v>316</v>
      </c>
      <c r="CH245" s="49" t="s">
        <v>317</v>
      </c>
      <c r="CI245" s="49" t="s">
        <v>318</v>
      </c>
      <c r="CM245" s="49" t="s">
        <v>59</v>
      </c>
      <c r="CV245" s="49" t="s">
        <v>303</v>
      </c>
      <c r="DB245" s="49" t="s">
        <v>319</v>
      </c>
      <c r="DD245" s="48" t="n">
        <v>46260</v>
      </c>
      <c r="DF245" s="49" t="s">
        <v>310</v>
      </c>
      <c r="DG245" s="49" t="s">
        <v>320</v>
      </c>
      <c r="DH245" s="49" t="s">
        <v>58</v>
      </c>
      <c r="DI245" s="49" t="s">
        <v>298</v>
      </c>
      <c r="DJ245" s="49" t="s">
        <v>367</v>
      </c>
      <c r="DK245" s="49" t="s">
        <v>322</v>
      </c>
      <c r="DL245" s="49" t="s">
        <v>323</v>
      </c>
      <c r="DM245" s="49" t="s">
        <v>303</v>
      </c>
      <c r="DN245" s="49" t="s">
        <v>297</v>
      </c>
      <c r="DO245" s="48"/>
      <c r="DP245" s="49" t="s">
        <v>312</v>
      </c>
      <c r="DQ245" s="48"/>
      <c r="DR245" s="49" t="s">
        <v>312</v>
      </c>
      <c r="DS245" s="49" t="s">
        <v>303</v>
      </c>
      <c r="DT245" s="49" t="s">
        <v>303</v>
      </c>
      <c r="DW245" s="49" t="s">
        <v>303</v>
      </c>
      <c r="EA245" s="49" t="s">
        <v>324</v>
      </c>
      <c r="EB245" s="49" t="s">
        <v>303</v>
      </c>
      <c r="EF245" s="49" t="s">
        <v>1043</v>
      </c>
      <c r="EH245" s="49" t="s">
        <v>310</v>
      </c>
      <c r="EJ245" s="49" t="s">
        <v>303</v>
      </c>
      <c r="EK245" s="49" t="s">
        <v>1044</v>
      </c>
      <c r="EM245" s="49" t="s">
        <v>303</v>
      </c>
      <c r="EN245" s="49" t="s">
        <v>374</v>
      </c>
      <c r="EP245" s="49" t="s">
        <v>298</v>
      </c>
      <c r="EQ245" s="0" t="n">
        <v>1</v>
      </c>
      <c r="ER245" s="49" t="s">
        <v>328</v>
      </c>
      <c r="ES245" s="49" t="s">
        <v>342</v>
      </c>
      <c r="ET245" s="49" t="s">
        <v>310</v>
      </c>
      <c r="EU245" s="49" t="s">
        <v>310</v>
      </c>
      <c r="EV245" s="49" t="s">
        <v>310</v>
      </c>
      <c r="EX245" s="49" t="s">
        <v>303</v>
      </c>
      <c r="EY245" s="49" t="s">
        <v>303</v>
      </c>
      <c r="FC245" s="49" t="s">
        <v>330</v>
      </c>
      <c r="FD245" s="49" t="s">
        <v>310</v>
      </c>
      <c r="FE245" s="49" t="s">
        <v>310</v>
      </c>
      <c r="FF245" s="49" t="s">
        <v>58</v>
      </c>
      <c r="FG245" s="49" t="s">
        <v>375</v>
      </c>
      <c r="FH245" s="49" t="s">
        <v>310</v>
      </c>
      <c r="FI245" s="49" t="s">
        <v>332</v>
      </c>
      <c r="FJ245" s="49" t="s">
        <v>303</v>
      </c>
      <c r="FL245" s="49" t="s">
        <v>325</v>
      </c>
      <c r="FM245" s="49" t="s">
        <v>1034</v>
      </c>
      <c r="FP245" s="49" t="s">
        <v>303</v>
      </c>
      <c r="FR245" s="49" t="s">
        <v>303</v>
      </c>
      <c r="FT245" s="49" t="s">
        <v>325</v>
      </c>
      <c r="FU245" s="49" t="s">
        <v>325</v>
      </c>
      <c r="FW245" s="49" t="s">
        <v>333</v>
      </c>
    </row>
    <row r="246" customFormat="false" ht="15" hidden="false" customHeight="false" outlineLevel="0" collapsed="false">
      <c r="A246" s="0" t="n">
        <v>100878919</v>
      </c>
      <c r="B246" s="0" t="s">
        <v>295</v>
      </c>
      <c r="C246" s="0" t="s">
        <v>61</v>
      </c>
      <c r="D246" s="0" t="s">
        <v>62</v>
      </c>
      <c r="E246" s="0" t="s">
        <v>297</v>
      </c>
      <c r="G246" s="0" t="n">
        <v>1</v>
      </c>
      <c r="H246" s="0" t="s">
        <v>298</v>
      </c>
      <c r="I246" s="48" t="n">
        <v>46287</v>
      </c>
      <c r="J246" s="0" t="n">
        <v>1</v>
      </c>
      <c r="K246" s="49" t="s">
        <v>1034</v>
      </c>
      <c r="L246" s="49" t="s">
        <v>1035</v>
      </c>
      <c r="M246" s="48" t="n">
        <v>46287</v>
      </c>
      <c r="N246" s="49" t="s">
        <v>1035</v>
      </c>
      <c r="O246" s="49" t="s">
        <v>1045</v>
      </c>
      <c r="P246" s="48"/>
      <c r="Q246" s="48" t="n">
        <v>46287</v>
      </c>
      <c r="R246" s="48" t="n">
        <v>46294</v>
      </c>
      <c r="T246" s="49" t="s">
        <v>302</v>
      </c>
      <c r="U246" s="49" t="s">
        <v>303</v>
      </c>
      <c r="Y246" s="49" t="s">
        <v>1046</v>
      </c>
      <c r="AD246" s="49" t="s">
        <v>305</v>
      </c>
      <c r="AE246" s="48" t="n">
        <v>46260</v>
      </c>
      <c r="AF246" s="49" t="s">
        <v>306</v>
      </c>
      <c r="AG246" s="49" t="s">
        <v>307</v>
      </c>
      <c r="AK246" s="49" t="s">
        <v>1047</v>
      </c>
      <c r="AL246" s="49" t="s">
        <v>297</v>
      </c>
      <c r="AO246" s="49" t="s">
        <v>303</v>
      </c>
      <c r="AP246" s="48"/>
      <c r="AR246" s="49" t="s">
        <v>303</v>
      </c>
      <c r="AS246" s="49" t="s">
        <v>306</v>
      </c>
      <c r="AT246" s="49" t="s">
        <v>1048</v>
      </c>
      <c r="AV246" s="49" t="s">
        <v>309</v>
      </c>
      <c r="AW246" s="49" t="s">
        <v>310</v>
      </c>
      <c r="AX246" s="49" t="s">
        <v>311</v>
      </c>
      <c r="AY246" s="48"/>
      <c r="AZ246" s="48" t="n">
        <v>46283</v>
      </c>
      <c r="BC246" s="49" t="s">
        <v>303</v>
      </c>
      <c r="BD246" s="48" t="n">
        <v>46294</v>
      </c>
      <c r="BE246" s="49" t="s">
        <v>1049</v>
      </c>
      <c r="BF246" s="49" t="s">
        <v>303</v>
      </c>
      <c r="BG246" s="48"/>
      <c r="BI246" s="48" t="n">
        <v>46294</v>
      </c>
      <c r="BJ246" s="48" t="n">
        <v>46292</v>
      </c>
      <c r="BK246" s="49" t="s">
        <v>312</v>
      </c>
      <c r="BL246" s="49" t="s">
        <v>313</v>
      </c>
      <c r="BM246" s="49" t="s">
        <v>310</v>
      </c>
      <c r="BN246" s="48"/>
      <c r="BO246" s="48"/>
      <c r="BP246" s="48"/>
      <c r="BQ246" s="49" t="s">
        <v>936</v>
      </c>
      <c r="BR246" s="48" t="n">
        <v>46292</v>
      </c>
      <c r="BS246" s="49" t="s">
        <v>1050</v>
      </c>
      <c r="BT246" s="49" t="s">
        <v>312</v>
      </c>
      <c r="BU246" s="49" t="s">
        <v>313</v>
      </c>
      <c r="BV246" s="49" t="s">
        <v>303</v>
      </c>
      <c r="BX246" s="0" t="n">
        <v>1</v>
      </c>
      <c r="CC246" s="49" t="s">
        <v>315</v>
      </c>
      <c r="CD246" s="49" t="s">
        <v>303</v>
      </c>
      <c r="CF246" s="49" t="s">
        <v>303</v>
      </c>
      <c r="CG246" s="49" t="s">
        <v>316</v>
      </c>
      <c r="CH246" s="49" t="s">
        <v>317</v>
      </c>
      <c r="CI246" s="49" t="s">
        <v>318</v>
      </c>
      <c r="CM246" s="49" t="s">
        <v>62</v>
      </c>
      <c r="CV246" s="49" t="s">
        <v>303</v>
      </c>
      <c r="DB246" s="49" t="s">
        <v>319</v>
      </c>
      <c r="DD246" s="48" t="n">
        <v>46260</v>
      </c>
      <c r="DF246" s="49" t="s">
        <v>310</v>
      </c>
      <c r="DG246" s="49" t="s">
        <v>320</v>
      </c>
      <c r="DH246" s="49" t="s">
        <v>61</v>
      </c>
      <c r="DI246" s="49" t="s">
        <v>298</v>
      </c>
      <c r="DJ246" s="49" t="s">
        <v>381</v>
      </c>
      <c r="DK246" s="49" t="s">
        <v>322</v>
      </c>
      <c r="DL246" s="49" t="s">
        <v>323</v>
      </c>
      <c r="DM246" s="49" t="s">
        <v>303</v>
      </c>
      <c r="DN246" s="49" t="s">
        <v>297</v>
      </c>
      <c r="DO246" s="48"/>
      <c r="DP246" s="49" t="s">
        <v>312</v>
      </c>
      <c r="DQ246" s="48"/>
      <c r="DR246" s="49" t="s">
        <v>312</v>
      </c>
      <c r="DS246" s="49" t="s">
        <v>303</v>
      </c>
      <c r="DT246" s="49" t="s">
        <v>303</v>
      </c>
      <c r="DW246" s="49" t="s">
        <v>303</v>
      </c>
      <c r="EA246" s="49" t="s">
        <v>324</v>
      </c>
      <c r="EB246" s="49" t="s">
        <v>303</v>
      </c>
      <c r="EH246" s="49" t="s">
        <v>310</v>
      </c>
      <c r="EJ246" s="49" t="s">
        <v>303</v>
      </c>
      <c r="EK246" s="49" t="s">
        <v>1051</v>
      </c>
      <c r="EM246" s="49" t="s">
        <v>303</v>
      </c>
      <c r="EN246" s="49" t="s">
        <v>383</v>
      </c>
      <c r="EP246" s="49" t="s">
        <v>298</v>
      </c>
      <c r="EQ246" s="0" t="n">
        <v>1</v>
      </c>
      <c r="ER246" s="49" t="s">
        <v>328</v>
      </c>
      <c r="ES246" s="49" t="s">
        <v>384</v>
      </c>
      <c r="ET246" s="49" t="s">
        <v>310</v>
      </c>
      <c r="EU246" s="49" t="s">
        <v>310</v>
      </c>
      <c r="EV246" s="49" t="s">
        <v>310</v>
      </c>
      <c r="EX246" s="49" t="s">
        <v>303</v>
      </c>
      <c r="EY246" s="49" t="s">
        <v>303</v>
      </c>
      <c r="FC246" s="49" t="s">
        <v>330</v>
      </c>
      <c r="FD246" s="49" t="s">
        <v>310</v>
      </c>
      <c r="FE246" s="49" t="s">
        <v>310</v>
      </c>
      <c r="FF246" s="49" t="s">
        <v>61</v>
      </c>
      <c r="FG246" s="49" t="s">
        <v>385</v>
      </c>
      <c r="FH246" s="49" t="s">
        <v>310</v>
      </c>
      <c r="FI246" s="49" t="s">
        <v>332</v>
      </c>
      <c r="FJ246" s="49" t="s">
        <v>303</v>
      </c>
      <c r="FL246" s="49" t="s">
        <v>325</v>
      </c>
      <c r="FM246" s="49" t="s">
        <v>1034</v>
      </c>
      <c r="FP246" s="49" t="s">
        <v>303</v>
      </c>
      <c r="FR246" s="49" t="s">
        <v>303</v>
      </c>
      <c r="FT246" s="49" t="s">
        <v>325</v>
      </c>
      <c r="FU246" s="49" t="s">
        <v>325</v>
      </c>
      <c r="FW246" s="49" t="s">
        <v>333</v>
      </c>
    </row>
    <row r="247" customFormat="false" ht="15" hidden="false" customHeight="false" outlineLevel="0" collapsed="false">
      <c r="A247" s="0" t="n">
        <v>100878920</v>
      </c>
      <c r="B247" s="0" t="s">
        <v>295</v>
      </c>
      <c r="C247" s="0" t="s">
        <v>61</v>
      </c>
      <c r="D247" s="0" t="s">
        <v>62</v>
      </c>
      <c r="E247" s="0" t="s">
        <v>297</v>
      </c>
      <c r="G247" s="0" t="n">
        <v>1</v>
      </c>
      <c r="H247" s="0" t="s">
        <v>298</v>
      </c>
      <c r="I247" s="48" t="n">
        <v>46287</v>
      </c>
      <c r="J247" s="0" t="n">
        <v>1</v>
      </c>
      <c r="K247" s="49" t="s">
        <v>1034</v>
      </c>
      <c r="L247" s="49" t="s">
        <v>1035</v>
      </c>
      <c r="M247" s="48"/>
      <c r="O247" s="49" t="s">
        <v>1052</v>
      </c>
      <c r="P247" s="48"/>
      <c r="Q247" s="48" t="n">
        <v>46287</v>
      </c>
      <c r="R247" s="48" t="n">
        <v>46293</v>
      </c>
      <c r="T247" s="49" t="s">
        <v>302</v>
      </c>
      <c r="U247" s="49" t="s">
        <v>303</v>
      </c>
      <c r="Y247" s="49" t="s">
        <v>312</v>
      </c>
      <c r="AD247" s="49" t="s">
        <v>305</v>
      </c>
      <c r="AE247" s="48" t="n">
        <v>46260</v>
      </c>
      <c r="AF247" s="49" t="s">
        <v>306</v>
      </c>
      <c r="AG247" s="49" t="s">
        <v>307</v>
      </c>
      <c r="AK247" s="49" t="s">
        <v>1047</v>
      </c>
      <c r="AL247" s="49" t="s">
        <v>297</v>
      </c>
      <c r="AO247" s="49" t="s">
        <v>303</v>
      </c>
      <c r="AP247" s="48"/>
      <c r="AR247" s="49" t="s">
        <v>303</v>
      </c>
      <c r="AS247" s="49" t="s">
        <v>306</v>
      </c>
      <c r="AT247" s="49" t="s">
        <v>1053</v>
      </c>
      <c r="AV247" s="49" t="s">
        <v>309</v>
      </c>
      <c r="AW247" s="49" t="s">
        <v>310</v>
      </c>
      <c r="AX247" s="49" t="s">
        <v>311</v>
      </c>
      <c r="AY247" s="48"/>
      <c r="AZ247" s="48" t="n">
        <v>46283</v>
      </c>
      <c r="BC247" s="49" t="s">
        <v>303</v>
      </c>
      <c r="BD247" s="48" t="n">
        <v>46296</v>
      </c>
      <c r="BE247" s="49" t="s">
        <v>1054</v>
      </c>
      <c r="BF247" s="49" t="s">
        <v>303</v>
      </c>
      <c r="BG247" s="48"/>
      <c r="BI247" s="48" t="n">
        <v>46296</v>
      </c>
      <c r="BJ247" s="48" t="n">
        <v>46292</v>
      </c>
      <c r="BK247" s="49" t="s">
        <v>313</v>
      </c>
      <c r="BL247" s="49" t="s">
        <v>313</v>
      </c>
      <c r="BM247" s="49" t="s">
        <v>310</v>
      </c>
      <c r="BN247" s="48"/>
      <c r="BO247" s="48"/>
      <c r="BP247" s="48"/>
      <c r="BQ247" s="49" t="s">
        <v>1055</v>
      </c>
      <c r="BR247" s="48" t="n">
        <v>46292</v>
      </c>
      <c r="BS247" s="49" t="s">
        <v>1056</v>
      </c>
      <c r="BT247" s="49" t="s">
        <v>312</v>
      </c>
      <c r="BU247" s="49" t="s">
        <v>313</v>
      </c>
      <c r="BV247" s="49" t="s">
        <v>303</v>
      </c>
      <c r="BX247" s="0" t="n">
        <v>1</v>
      </c>
      <c r="CC247" s="49" t="s">
        <v>315</v>
      </c>
      <c r="CD247" s="49" t="s">
        <v>303</v>
      </c>
      <c r="CF247" s="49" t="s">
        <v>303</v>
      </c>
      <c r="CG247" s="49" t="s">
        <v>316</v>
      </c>
      <c r="CH247" s="49" t="s">
        <v>317</v>
      </c>
      <c r="CI247" s="49" t="s">
        <v>318</v>
      </c>
      <c r="CM247" s="49" t="s">
        <v>62</v>
      </c>
      <c r="CV247" s="49" t="s">
        <v>303</v>
      </c>
      <c r="DB247" s="49" t="s">
        <v>319</v>
      </c>
      <c r="DD247" s="48" t="n">
        <v>46260</v>
      </c>
      <c r="DF247" s="49" t="s">
        <v>310</v>
      </c>
      <c r="DG247" s="49" t="s">
        <v>320</v>
      </c>
      <c r="DH247" s="49" t="s">
        <v>61</v>
      </c>
      <c r="DI247" s="49" t="s">
        <v>298</v>
      </c>
      <c r="DJ247" s="49" t="s">
        <v>381</v>
      </c>
      <c r="DK247" s="49" t="s">
        <v>322</v>
      </c>
      <c r="DL247" s="49" t="s">
        <v>323</v>
      </c>
      <c r="DM247" s="49" t="s">
        <v>303</v>
      </c>
      <c r="DN247" s="49" t="s">
        <v>297</v>
      </c>
      <c r="DO247" s="48"/>
      <c r="DP247" s="49" t="s">
        <v>312</v>
      </c>
      <c r="DQ247" s="48"/>
      <c r="DR247" s="49" t="s">
        <v>312</v>
      </c>
      <c r="DS247" s="49" t="s">
        <v>303</v>
      </c>
      <c r="DT247" s="49" t="s">
        <v>303</v>
      </c>
      <c r="DW247" s="49" t="s">
        <v>303</v>
      </c>
      <c r="EA247" s="49" t="s">
        <v>324</v>
      </c>
      <c r="EB247" s="49" t="s">
        <v>303</v>
      </c>
      <c r="EF247" s="49" t="s">
        <v>1057</v>
      </c>
      <c r="EH247" s="49" t="s">
        <v>310</v>
      </c>
      <c r="EJ247" s="49" t="s">
        <v>303</v>
      </c>
      <c r="EK247" s="49" t="s">
        <v>1058</v>
      </c>
      <c r="EM247" s="49" t="s">
        <v>303</v>
      </c>
      <c r="EN247" s="49" t="s">
        <v>383</v>
      </c>
      <c r="EP247" s="49" t="s">
        <v>298</v>
      </c>
      <c r="EQ247" s="0" t="n">
        <v>1</v>
      </c>
      <c r="ER247" s="49" t="s">
        <v>328</v>
      </c>
      <c r="ES247" s="49" t="s">
        <v>384</v>
      </c>
      <c r="ET247" s="49" t="s">
        <v>310</v>
      </c>
      <c r="EU247" s="49" t="s">
        <v>310</v>
      </c>
      <c r="EV247" s="49" t="s">
        <v>310</v>
      </c>
      <c r="EX247" s="49" t="s">
        <v>303</v>
      </c>
      <c r="EY247" s="49" t="s">
        <v>303</v>
      </c>
      <c r="FC247" s="49" t="s">
        <v>330</v>
      </c>
      <c r="FD247" s="49" t="s">
        <v>310</v>
      </c>
      <c r="FE247" s="49" t="s">
        <v>310</v>
      </c>
      <c r="FF247" s="49" t="s">
        <v>61</v>
      </c>
      <c r="FG247" s="49" t="s">
        <v>385</v>
      </c>
      <c r="FH247" s="49" t="s">
        <v>310</v>
      </c>
      <c r="FI247" s="49" t="s">
        <v>332</v>
      </c>
      <c r="FJ247" s="49" t="s">
        <v>303</v>
      </c>
      <c r="FL247" s="49" t="s">
        <v>325</v>
      </c>
      <c r="FM247" s="49" t="s">
        <v>1034</v>
      </c>
      <c r="FP247" s="49" t="s">
        <v>303</v>
      </c>
      <c r="FR247" s="49" t="s">
        <v>303</v>
      </c>
      <c r="FT247" s="49" t="s">
        <v>325</v>
      </c>
      <c r="FU247" s="49" t="s">
        <v>325</v>
      </c>
      <c r="FW247" s="49" t="s">
        <v>333</v>
      </c>
    </row>
    <row r="248" customFormat="false" ht="15" hidden="false" customHeight="false" outlineLevel="0" collapsed="false">
      <c r="A248" s="0" t="n">
        <v>100878921</v>
      </c>
      <c r="B248" s="0" t="s">
        <v>295</v>
      </c>
      <c r="C248" s="0" t="s">
        <v>61</v>
      </c>
      <c r="D248" s="0" t="s">
        <v>62</v>
      </c>
      <c r="E248" s="0" t="s">
        <v>297</v>
      </c>
      <c r="G248" s="0" t="n">
        <v>1</v>
      </c>
      <c r="H248" s="0" t="s">
        <v>298</v>
      </c>
      <c r="I248" s="48" t="n">
        <v>46287</v>
      </c>
      <c r="J248" s="0" t="n">
        <v>1</v>
      </c>
      <c r="K248" s="49" t="s">
        <v>1034</v>
      </c>
      <c r="L248" s="49" t="s">
        <v>1035</v>
      </c>
      <c r="M248" s="48"/>
      <c r="O248" s="49" t="s">
        <v>1045</v>
      </c>
      <c r="P248" s="48"/>
      <c r="Q248" s="48" t="n">
        <v>46287</v>
      </c>
      <c r="R248" s="48" t="n">
        <v>46293</v>
      </c>
      <c r="T248" s="49" t="s">
        <v>302</v>
      </c>
      <c r="U248" s="49" t="s">
        <v>303</v>
      </c>
      <c r="Y248" s="49" t="s">
        <v>312</v>
      </c>
      <c r="AD248" s="49" t="s">
        <v>305</v>
      </c>
      <c r="AE248" s="48" t="n">
        <v>46260</v>
      </c>
      <c r="AF248" s="49" t="s">
        <v>306</v>
      </c>
      <c r="AG248" s="49" t="s">
        <v>307</v>
      </c>
      <c r="AK248" s="49" t="s">
        <v>1047</v>
      </c>
      <c r="AL248" s="49" t="s">
        <v>297</v>
      </c>
      <c r="AO248" s="49" t="s">
        <v>303</v>
      </c>
      <c r="AP248" s="48"/>
      <c r="AR248" s="49" t="s">
        <v>303</v>
      </c>
      <c r="AS248" s="49" t="s">
        <v>306</v>
      </c>
      <c r="AT248" s="49" t="s">
        <v>1059</v>
      </c>
      <c r="AV248" s="49" t="s">
        <v>309</v>
      </c>
      <c r="AW248" s="49" t="s">
        <v>310</v>
      </c>
      <c r="AX248" s="49" t="s">
        <v>311</v>
      </c>
      <c r="AY248" s="48"/>
      <c r="AZ248" s="48" t="n">
        <v>46283</v>
      </c>
      <c r="BC248" s="49" t="s">
        <v>303</v>
      </c>
      <c r="BD248" s="48" t="n">
        <v>46295</v>
      </c>
      <c r="BE248" s="49" t="s">
        <v>1060</v>
      </c>
      <c r="BF248" s="49" t="s">
        <v>303</v>
      </c>
      <c r="BG248" s="48"/>
      <c r="BI248" s="48" t="n">
        <v>46295</v>
      </c>
      <c r="BJ248" s="48" t="n">
        <v>46292</v>
      </c>
      <c r="BK248" s="49" t="s">
        <v>313</v>
      </c>
      <c r="BL248" s="49" t="s">
        <v>313</v>
      </c>
      <c r="BM248" s="49" t="s">
        <v>310</v>
      </c>
      <c r="BN248" s="48"/>
      <c r="BO248" s="48"/>
      <c r="BP248" s="48"/>
      <c r="BQ248" s="49" t="s">
        <v>923</v>
      </c>
      <c r="BR248" s="48" t="n">
        <v>46292</v>
      </c>
      <c r="BS248" s="49" t="s">
        <v>1061</v>
      </c>
      <c r="BT248" s="49" t="s">
        <v>312</v>
      </c>
      <c r="BU248" s="49" t="s">
        <v>313</v>
      </c>
      <c r="BV248" s="49" t="s">
        <v>303</v>
      </c>
      <c r="BX248" s="0" t="n">
        <v>1</v>
      </c>
      <c r="CC248" s="49" t="s">
        <v>315</v>
      </c>
      <c r="CD248" s="49" t="s">
        <v>303</v>
      </c>
      <c r="CF248" s="49" t="s">
        <v>303</v>
      </c>
      <c r="CG248" s="49" t="s">
        <v>316</v>
      </c>
      <c r="CH248" s="49" t="s">
        <v>317</v>
      </c>
      <c r="CI248" s="49" t="s">
        <v>318</v>
      </c>
      <c r="CM248" s="49" t="s">
        <v>62</v>
      </c>
      <c r="CV248" s="49" t="s">
        <v>303</v>
      </c>
      <c r="DB248" s="49" t="s">
        <v>319</v>
      </c>
      <c r="DD248" s="48" t="n">
        <v>46260</v>
      </c>
      <c r="DF248" s="49" t="s">
        <v>310</v>
      </c>
      <c r="DG248" s="49" t="s">
        <v>320</v>
      </c>
      <c r="DH248" s="49" t="s">
        <v>61</v>
      </c>
      <c r="DI248" s="49" t="s">
        <v>298</v>
      </c>
      <c r="DJ248" s="49" t="s">
        <v>381</v>
      </c>
      <c r="DK248" s="49" t="s">
        <v>322</v>
      </c>
      <c r="DL248" s="49" t="s">
        <v>323</v>
      </c>
      <c r="DM248" s="49" t="s">
        <v>303</v>
      </c>
      <c r="DN248" s="49" t="s">
        <v>297</v>
      </c>
      <c r="DO248" s="48"/>
      <c r="DP248" s="49" t="s">
        <v>312</v>
      </c>
      <c r="DQ248" s="48"/>
      <c r="DR248" s="49" t="s">
        <v>312</v>
      </c>
      <c r="DS248" s="49" t="s">
        <v>303</v>
      </c>
      <c r="DT248" s="49" t="s">
        <v>303</v>
      </c>
      <c r="DW248" s="49" t="s">
        <v>303</v>
      </c>
      <c r="EA248" s="49" t="s">
        <v>324</v>
      </c>
      <c r="EB248" s="49" t="s">
        <v>303</v>
      </c>
      <c r="EF248" s="49" t="s">
        <v>1057</v>
      </c>
      <c r="EH248" s="49" t="s">
        <v>310</v>
      </c>
      <c r="EJ248" s="49" t="s">
        <v>303</v>
      </c>
      <c r="EK248" s="49" t="s">
        <v>1062</v>
      </c>
      <c r="EM248" s="49" t="s">
        <v>303</v>
      </c>
      <c r="EN248" s="49" t="s">
        <v>383</v>
      </c>
      <c r="EP248" s="49" t="s">
        <v>298</v>
      </c>
      <c r="EQ248" s="0" t="n">
        <v>1</v>
      </c>
      <c r="ER248" s="49" t="s">
        <v>328</v>
      </c>
      <c r="ES248" s="49" t="s">
        <v>384</v>
      </c>
      <c r="ET248" s="49" t="s">
        <v>310</v>
      </c>
      <c r="EU248" s="49" t="s">
        <v>310</v>
      </c>
      <c r="EV248" s="49" t="s">
        <v>310</v>
      </c>
      <c r="EX248" s="49" t="s">
        <v>303</v>
      </c>
      <c r="EY248" s="49" t="s">
        <v>303</v>
      </c>
      <c r="FC248" s="49" t="s">
        <v>330</v>
      </c>
      <c r="FD248" s="49" t="s">
        <v>310</v>
      </c>
      <c r="FE248" s="49" t="s">
        <v>310</v>
      </c>
      <c r="FF248" s="49" t="s">
        <v>61</v>
      </c>
      <c r="FG248" s="49" t="s">
        <v>385</v>
      </c>
      <c r="FH248" s="49" t="s">
        <v>310</v>
      </c>
      <c r="FI248" s="49" t="s">
        <v>332</v>
      </c>
      <c r="FJ248" s="49" t="s">
        <v>303</v>
      </c>
      <c r="FL248" s="49" t="s">
        <v>325</v>
      </c>
      <c r="FM248" s="49" t="s">
        <v>1034</v>
      </c>
      <c r="FP248" s="49" t="s">
        <v>303</v>
      </c>
      <c r="FR248" s="49" t="s">
        <v>303</v>
      </c>
      <c r="FT248" s="49" t="s">
        <v>325</v>
      </c>
      <c r="FU248" s="49" t="s">
        <v>325</v>
      </c>
      <c r="FW248" s="49" t="s">
        <v>333</v>
      </c>
    </row>
    <row r="249" customFormat="false" ht="15" hidden="false" customHeight="false" outlineLevel="0" collapsed="false">
      <c r="A249" s="0" t="n">
        <v>100878376</v>
      </c>
      <c r="B249" s="0" t="s">
        <v>295</v>
      </c>
      <c r="C249" s="0" t="s">
        <v>48</v>
      </c>
      <c r="D249" s="0" t="s">
        <v>49</v>
      </c>
      <c r="E249" s="0" t="s">
        <v>297</v>
      </c>
      <c r="G249" s="0" t="n">
        <v>1</v>
      </c>
      <c r="H249" s="0" t="s">
        <v>298</v>
      </c>
      <c r="I249" s="48" t="n">
        <v>46286</v>
      </c>
      <c r="J249" s="0" t="n">
        <v>0</v>
      </c>
      <c r="K249" s="49" t="s">
        <v>1063</v>
      </c>
      <c r="L249" s="49" t="s">
        <v>335</v>
      </c>
      <c r="M249" s="48" t="n">
        <v>46296</v>
      </c>
      <c r="N249" s="49" t="s">
        <v>1064</v>
      </c>
      <c r="O249" s="49" t="s">
        <v>1065</v>
      </c>
      <c r="P249" s="48"/>
      <c r="Q249" s="48" t="n">
        <v>46286</v>
      </c>
      <c r="R249" s="48" t="n">
        <v>46293</v>
      </c>
      <c r="T249" s="49" t="s">
        <v>302</v>
      </c>
      <c r="U249" s="49" t="s">
        <v>303</v>
      </c>
      <c r="Y249" s="49" t="s">
        <v>1066</v>
      </c>
      <c r="AD249" s="49" t="s">
        <v>305</v>
      </c>
      <c r="AE249" s="48" t="n">
        <v>46260</v>
      </c>
      <c r="AF249" s="49" t="s">
        <v>306</v>
      </c>
      <c r="AG249" s="49" t="s">
        <v>307</v>
      </c>
      <c r="AK249" s="49" t="s">
        <v>303</v>
      </c>
      <c r="AL249" s="49" t="s">
        <v>297</v>
      </c>
      <c r="AO249" s="49" t="s">
        <v>303</v>
      </c>
      <c r="AP249" s="48"/>
      <c r="AR249" s="49" t="s">
        <v>303</v>
      </c>
      <c r="AS249" s="49" t="s">
        <v>306</v>
      </c>
      <c r="AT249" s="49" t="s">
        <v>1067</v>
      </c>
      <c r="AV249" s="49" t="s">
        <v>309</v>
      </c>
      <c r="AW249" s="49" t="s">
        <v>310</v>
      </c>
      <c r="AX249" s="49" t="s">
        <v>311</v>
      </c>
      <c r="AY249" s="48"/>
      <c r="AZ249" s="48" t="n">
        <v>46276</v>
      </c>
      <c r="BC249" s="49" t="s">
        <v>303</v>
      </c>
      <c r="BD249" s="48"/>
      <c r="BE249" s="49" t="s">
        <v>312</v>
      </c>
      <c r="BF249" s="49" t="s">
        <v>303</v>
      </c>
      <c r="BG249" s="48"/>
      <c r="BI249" s="48"/>
      <c r="BJ249" s="48" t="n">
        <v>46289</v>
      </c>
      <c r="BK249" s="49" t="s">
        <v>312</v>
      </c>
      <c r="BL249" s="49" t="s">
        <v>313</v>
      </c>
      <c r="BM249" s="49" t="s">
        <v>310</v>
      </c>
      <c r="BN249" s="48"/>
      <c r="BO249" s="48"/>
      <c r="BP249" s="48"/>
      <c r="BQ249" s="49" t="s">
        <v>1063</v>
      </c>
      <c r="BR249" s="48" t="n">
        <v>46283</v>
      </c>
      <c r="BS249" s="49" t="s">
        <v>1068</v>
      </c>
      <c r="BT249" s="49" t="s">
        <v>312</v>
      </c>
      <c r="BU249" s="49" t="s">
        <v>312</v>
      </c>
      <c r="BV249" s="49" t="s">
        <v>303</v>
      </c>
      <c r="BX249" s="0" t="n">
        <v>0</v>
      </c>
      <c r="CC249" s="49" t="s">
        <v>315</v>
      </c>
      <c r="CD249" s="49" t="s">
        <v>303</v>
      </c>
      <c r="CF249" s="49" t="s">
        <v>303</v>
      </c>
      <c r="CG249" s="49" t="s">
        <v>316</v>
      </c>
      <c r="CH249" s="49" t="s">
        <v>317</v>
      </c>
      <c r="CI249" s="49" t="s">
        <v>318</v>
      </c>
      <c r="CM249" s="49" t="s">
        <v>49</v>
      </c>
      <c r="CV249" s="49" t="s">
        <v>303</v>
      </c>
      <c r="DB249" s="49" t="s">
        <v>319</v>
      </c>
      <c r="DD249" s="48" t="n">
        <v>46260</v>
      </c>
      <c r="DF249" s="49" t="s">
        <v>310</v>
      </c>
      <c r="DG249" s="49" t="s">
        <v>320</v>
      </c>
      <c r="DH249" s="49" t="s">
        <v>48</v>
      </c>
      <c r="DI249" s="49" t="s">
        <v>298</v>
      </c>
      <c r="DJ249" s="49" t="s">
        <v>339</v>
      </c>
      <c r="DK249" s="49" t="s">
        <v>322</v>
      </c>
      <c r="DL249" s="49" t="s">
        <v>323</v>
      </c>
      <c r="DM249" s="49" t="s">
        <v>303</v>
      </c>
      <c r="DN249" s="49" t="s">
        <v>297</v>
      </c>
      <c r="DO249" s="48"/>
      <c r="DP249" s="49" t="s">
        <v>312</v>
      </c>
      <c r="DQ249" s="48"/>
      <c r="DR249" s="49" t="s">
        <v>312</v>
      </c>
      <c r="DS249" s="49" t="s">
        <v>303</v>
      </c>
      <c r="DT249" s="49" t="s">
        <v>303</v>
      </c>
      <c r="DW249" s="49" t="s">
        <v>303</v>
      </c>
      <c r="EA249" s="49" t="s">
        <v>324</v>
      </c>
      <c r="EB249" s="49" t="s">
        <v>303</v>
      </c>
      <c r="EH249" s="49" t="s">
        <v>310</v>
      </c>
      <c r="EJ249" s="49" t="s">
        <v>303</v>
      </c>
      <c r="EK249" s="49" t="s">
        <v>1069</v>
      </c>
      <c r="EM249" s="49" t="s">
        <v>303</v>
      </c>
      <c r="EN249" s="49" t="s">
        <v>341</v>
      </c>
      <c r="EP249" s="49" t="s">
        <v>298</v>
      </c>
      <c r="EQ249" s="0" t="n">
        <v>1</v>
      </c>
      <c r="ER249" s="49" t="s">
        <v>328</v>
      </c>
      <c r="ES249" s="49" t="s">
        <v>342</v>
      </c>
      <c r="ET249" s="49" t="s">
        <v>310</v>
      </c>
      <c r="EU249" s="49" t="s">
        <v>310</v>
      </c>
      <c r="EV249" s="49" t="s">
        <v>310</v>
      </c>
      <c r="EX249" s="49" t="s">
        <v>303</v>
      </c>
      <c r="EY249" s="49" t="s">
        <v>303</v>
      </c>
      <c r="FC249" s="49" t="s">
        <v>330</v>
      </c>
      <c r="FD249" s="49" t="s">
        <v>310</v>
      </c>
      <c r="FE249" s="49" t="s">
        <v>310</v>
      </c>
      <c r="FF249" s="49" t="s">
        <v>48</v>
      </c>
      <c r="FG249" s="49" t="s">
        <v>343</v>
      </c>
      <c r="FH249" s="49" t="s">
        <v>310</v>
      </c>
      <c r="FI249" s="49" t="s">
        <v>332</v>
      </c>
      <c r="FJ249" s="49" t="s">
        <v>303</v>
      </c>
      <c r="FL249" s="49" t="s">
        <v>325</v>
      </c>
      <c r="FM249" s="49" t="s">
        <v>1063</v>
      </c>
      <c r="FP249" s="49" t="s">
        <v>303</v>
      </c>
      <c r="FR249" s="49" t="s">
        <v>303</v>
      </c>
      <c r="FT249" s="49" t="s">
        <v>325</v>
      </c>
      <c r="FU249" s="49" t="s">
        <v>325</v>
      </c>
      <c r="FW249" s="49" t="s">
        <v>333</v>
      </c>
    </row>
    <row r="250" customFormat="false" ht="15" hidden="false" customHeight="false" outlineLevel="0" collapsed="false">
      <c r="A250" s="0" t="n">
        <v>100878377</v>
      </c>
      <c r="B250" s="0" t="s">
        <v>295</v>
      </c>
      <c r="C250" s="0" t="s">
        <v>50</v>
      </c>
      <c r="D250" s="0" t="s">
        <v>51</v>
      </c>
      <c r="E250" s="0" t="s">
        <v>297</v>
      </c>
      <c r="G250" s="0" t="n">
        <v>1</v>
      </c>
      <c r="H250" s="0" t="s">
        <v>298</v>
      </c>
      <c r="I250" s="48" t="n">
        <v>46286</v>
      </c>
      <c r="J250" s="0" t="n">
        <v>1</v>
      </c>
      <c r="K250" s="49" t="s">
        <v>1063</v>
      </c>
      <c r="L250" s="49" t="s">
        <v>335</v>
      </c>
      <c r="M250" s="48" t="n">
        <v>46290</v>
      </c>
      <c r="N250" s="49" t="s">
        <v>1070</v>
      </c>
      <c r="O250" s="49" t="s">
        <v>1071</v>
      </c>
      <c r="P250" s="48"/>
      <c r="Q250" s="48" t="n">
        <v>46286</v>
      </c>
      <c r="R250" s="48" t="n">
        <v>46293</v>
      </c>
      <c r="T250" s="49" t="s">
        <v>302</v>
      </c>
      <c r="U250" s="49" t="s">
        <v>303</v>
      </c>
      <c r="Y250" s="49" t="s">
        <v>1072</v>
      </c>
      <c r="AD250" s="49" t="s">
        <v>305</v>
      </c>
      <c r="AE250" s="48" t="n">
        <v>46260</v>
      </c>
      <c r="AF250" s="49" t="s">
        <v>306</v>
      </c>
      <c r="AG250" s="49" t="s">
        <v>307</v>
      </c>
      <c r="AK250" s="49" t="s">
        <v>1047</v>
      </c>
      <c r="AL250" s="49" t="s">
        <v>297</v>
      </c>
      <c r="AO250" s="49" t="s">
        <v>303</v>
      </c>
      <c r="AP250" s="48"/>
      <c r="AR250" s="49" t="s">
        <v>303</v>
      </c>
      <c r="AS250" s="49" t="s">
        <v>306</v>
      </c>
      <c r="AT250" s="49" t="s">
        <v>1073</v>
      </c>
      <c r="AV250" s="49" t="s">
        <v>309</v>
      </c>
      <c r="AW250" s="49" t="s">
        <v>310</v>
      </c>
      <c r="AX250" s="49" t="s">
        <v>311</v>
      </c>
      <c r="AY250" s="48"/>
      <c r="AZ250" s="48" t="n">
        <v>46276</v>
      </c>
      <c r="BC250" s="49" t="s">
        <v>303</v>
      </c>
      <c r="BD250" s="48" t="n">
        <v>46290</v>
      </c>
      <c r="BE250" s="49" t="s">
        <v>1074</v>
      </c>
      <c r="BF250" s="49" t="s">
        <v>303</v>
      </c>
      <c r="BG250" s="48"/>
      <c r="BI250" s="48" t="n">
        <v>46290</v>
      </c>
      <c r="BJ250" s="48" t="n">
        <v>46289</v>
      </c>
      <c r="BK250" s="49" t="s">
        <v>312</v>
      </c>
      <c r="BL250" s="49" t="s">
        <v>313</v>
      </c>
      <c r="BM250" s="49" t="s">
        <v>310</v>
      </c>
      <c r="BN250" s="48"/>
      <c r="BO250" s="48"/>
      <c r="BP250" s="48"/>
      <c r="BQ250" s="49" t="s">
        <v>1063</v>
      </c>
      <c r="BR250" s="48" t="n">
        <v>46283</v>
      </c>
      <c r="BS250" s="49" t="s">
        <v>1075</v>
      </c>
      <c r="BT250" s="49" t="s">
        <v>312</v>
      </c>
      <c r="BU250" s="49" t="s">
        <v>312</v>
      </c>
      <c r="BV250" s="49" t="s">
        <v>303</v>
      </c>
      <c r="BX250" s="0" t="n">
        <v>1</v>
      </c>
      <c r="CC250" s="49" t="s">
        <v>315</v>
      </c>
      <c r="CD250" s="49" t="s">
        <v>303</v>
      </c>
      <c r="CF250" s="49" t="s">
        <v>303</v>
      </c>
      <c r="CG250" s="49" t="s">
        <v>316</v>
      </c>
      <c r="CH250" s="49" t="s">
        <v>317</v>
      </c>
      <c r="CI250" s="49" t="s">
        <v>318</v>
      </c>
      <c r="CM250" s="49" t="s">
        <v>51</v>
      </c>
      <c r="CV250" s="49" t="s">
        <v>303</v>
      </c>
      <c r="DB250" s="49" t="s">
        <v>319</v>
      </c>
      <c r="DD250" s="48" t="n">
        <v>46260</v>
      </c>
      <c r="DF250" s="49" t="s">
        <v>310</v>
      </c>
      <c r="DG250" s="49" t="s">
        <v>320</v>
      </c>
      <c r="DH250" s="49" t="s">
        <v>50</v>
      </c>
      <c r="DI250" s="49" t="s">
        <v>298</v>
      </c>
      <c r="DJ250" s="49" t="s">
        <v>346</v>
      </c>
      <c r="DK250" s="49" t="s">
        <v>322</v>
      </c>
      <c r="DL250" s="49" t="s">
        <v>323</v>
      </c>
      <c r="DM250" s="49" t="s">
        <v>303</v>
      </c>
      <c r="DN250" s="49" t="s">
        <v>297</v>
      </c>
      <c r="DO250" s="48"/>
      <c r="DP250" s="49" t="s">
        <v>312</v>
      </c>
      <c r="DQ250" s="48"/>
      <c r="DR250" s="49" t="s">
        <v>312</v>
      </c>
      <c r="DS250" s="49" t="s">
        <v>303</v>
      </c>
      <c r="DT250" s="49" t="s">
        <v>303</v>
      </c>
      <c r="DW250" s="49" t="s">
        <v>303</v>
      </c>
      <c r="EA250" s="49" t="s">
        <v>324</v>
      </c>
      <c r="EB250" s="49" t="s">
        <v>303</v>
      </c>
      <c r="EH250" s="49" t="s">
        <v>310</v>
      </c>
      <c r="EJ250" s="49" t="s">
        <v>303</v>
      </c>
      <c r="EK250" s="49" t="s">
        <v>1076</v>
      </c>
      <c r="EM250" s="49" t="s">
        <v>303</v>
      </c>
      <c r="EN250" s="49" t="s">
        <v>348</v>
      </c>
      <c r="EP250" s="49" t="s">
        <v>298</v>
      </c>
      <c r="EQ250" s="0" t="n">
        <v>1</v>
      </c>
      <c r="ER250" s="49" t="s">
        <v>328</v>
      </c>
      <c r="ES250" s="49" t="s">
        <v>342</v>
      </c>
      <c r="ET250" s="49" t="s">
        <v>310</v>
      </c>
      <c r="EU250" s="49" t="s">
        <v>310</v>
      </c>
      <c r="EV250" s="49" t="s">
        <v>310</v>
      </c>
      <c r="EX250" s="49" t="s">
        <v>303</v>
      </c>
      <c r="EY250" s="49" t="s">
        <v>303</v>
      </c>
      <c r="FC250" s="49" t="s">
        <v>330</v>
      </c>
      <c r="FD250" s="49" t="s">
        <v>310</v>
      </c>
      <c r="FE250" s="49" t="s">
        <v>310</v>
      </c>
      <c r="FF250" s="49" t="s">
        <v>50</v>
      </c>
      <c r="FG250" s="49" t="s">
        <v>349</v>
      </c>
      <c r="FH250" s="49" t="s">
        <v>310</v>
      </c>
      <c r="FI250" s="49" t="s">
        <v>332</v>
      </c>
      <c r="FJ250" s="49" t="s">
        <v>303</v>
      </c>
      <c r="FL250" s="49" t="s">
        <v>325</v>
      </c>
      <c r="FM250" s="49" t="s">
        <v>1063</v>
      </c>
      <c r="FP250" s="49" t="s">
        <v>303</v>
      </c>
      <c r="FR250" s="49" t="s">
        <v>303</v>
      </c>
      <c r="FT250" s="49" t="s">
        <v>325</v>
      </c>
      <c r="FU250" s="49" t="s">
        <v>325</v>
      </c>
      <c r="FW250" s="49" t="s">
        <v>333</v>
      </c>
    </row>
    <row r="251" customFormat="false" ht="15" hidden="false" customHeight="false" outlineLevel="0" collapsed="false">
      <c r="A251" s="0" t="n">
        <v>100878378</v>
      </c>
      <c r="B251" s="0" t="s">
        <v>295</v>
      </c>
      <c r="C251" s="0" t="s">
        <v>50</v>
      </c>
      <c r="D251" s="0" t="s">
        <v>51</v>
      </c>
      <c r="E251" s="0" t="s">
        <v>297</v>
      </c>
      <c r="G251" s="0" t="n">
        <v>1</v>
      </c>
      <c r="H251" s="0" t="s">
        <v>298</v>
      </c>
      <c r="I251" s="48" t="n">
        <v>46286</v>
      </c>
      <c r="J251" s="0" t="n">
        <v>0</v>
      </c>
      <c r="K251" s="49" t="s">
        <v>1063</v>
      </c>
      <c r="L251" s="49" t="s">
        <v>335</v>
      </c>
      <c r="M251" s="48" t="n">
        <v>46291</v>
      </c>
      <c r="N251" s="49" t="s">
        <v>1064</v>
      </c>
      <c r="O251" s="49" t="s">
        <v>1065</v>
      </c>
      <c r="P251" s="48"/>
      <c r="Q251" s="48" t="n">
        <v>46286</v>
      </c>
      <c r="R251" s="48" t="n">
        <v>46292</v>
      </c>
      <c r="T251" s="49" t="s">
        <v>302</v>
      </c>
      <c r="U251" s="49" t="s">
        <v>303</v>
      </c>
      <c r="Y251" s="49" t="s">
        <v>1077</v>
      </c>
      <c r="AD251" s="49" t="s">
        <v>305</v>
      </c>
      <c r="AE251" s="48" t="n">
        <v>46260</v>
      </c>
      <c r="AF251" s="49" t="s">
        <v>306</v>
      </c>
      <c r="AG251" s="49" t="s">
        <v>307</v>
      </c>
      <c r="AK251" s="49" t="s">
        <v>303</v>
      </c>
      <c r="AL251" s="49" t="s">
        <v>297</v>
      </c>
      <c r="AO251" s="49" t="s">
        <v>303</v>
      </c>
      <c r="AP251" s="48"/>
      <c r="AR251" s="49" t="s">
        <v>303</v>
      </c>
      <c r="AS251" s="49" t="s">
        <v>306</v>
      </c>
      <c r="AT251" s="49" t="s">
        <v>1078</v>
      </c>
      <c r="AV251" s="49" t="s">
        <v>309</v>
      </c>
      <c r="AW251" s="49" t="s">
        <v>310</v>
      </c>
      <c r="AX251" s="49" t="s">
        <v>311</v>
      </c>
      <c r="AY251" s="48"/>
      <c r="AZ251" s="48" t="n">
        <v>46276</v>
      </c>
      <c r="BC251" s="49" t="s">
        <v>303</v>
      </c>
      <c r="BD251" s="48"/>
      <c r="BE251" s="49" t="s">
        <v>312</v>
      </c>
      <c r="BF251" s="49" t="s">
        <v>303</v>
      </c>
      <c r="BG251" s="48"/>
      <c r="BI251" s="48"/>
      <c r="BJ251" s="48" t="n">
        <v>46289</v>
      </c>
      <c r="BK251" s="49" t="s">
        <v>313</v>
      </c>
      <c r="BL251" s="49" t="s">
        <v>313</v>
      </c>
      <c r="BM251" s="49" t="s">
        <v>310</v>
      </c>
      <c r="BN251" s="48"/>
      <c r="BO251" s="48"/>
      <c r="BP251" s="48"/>
      <c r="BQ251" s="49" t="s">
        <v>1063</v>
      </c>
      <c r="BR251" s="48" t="n">
        <v>46283</v>
      </c>
      <c r="BS251" s="49" t="s">
        <v>1079</v>
      </c>
      <c r="BT251" s="49" t="s">
        <v>312</v>
      </c>
      <c r="BU251" s="49" t="s">
        <v>312</v>
      </c>
      <c r="BV251" s="49" t="s">
        <v>303</v>
      </c>
      <c r="BX251" s="0" t="n">
        <v>0</v>
      </c>
      <c r="CC251" s="49" t="s">
        <v>315</v>
      </c>
      <c r="CD251" s="49" t="s">
        <v>303</v>
      </c>
      <c r="CF251" s="49" t="s">
        <v>303</v>
      </c>
      <c r="CG251" s="49" t="s">
        <v>316</v>
      </c>
      <c r="CH251" s="49" t="s">
        <v>317</v>
      </c>
      <c r="CI251" s="49" t="s">
        <v>318</v>
      </c>
      <c r="CM251" s="49" t="s">
        <v>51</v>
      </c>
      <c r="CV251" s="49" t="s">
        <v>303</v>
      </c>
      <c r="DB251" s="49" t="s">
        <v>319</v>
      </c>
      <c r="DD251" s="48" t="n">
        <v>46260</v>
      </c>
      <c r="DF251" s="49" t="s">
        <v>310</v>
      </c>
      <c r="DG251" s="49" t="s">
        <v>320</v>
      </c>
      <c r="DH251" s="49" t="s">
        <v>50</v>
      </c>
      <c r="DI251" s="49" t="s">
        <v>298</v>
      </c>
      <c r="DJ251" s="49" t="s">
        <v>346</v>
      </c>
      <c r="DK251" s="49" t="s">
        <v>322</v>
      </c>
      <c r="DL251" s="49" t="s">
        <v>323</v>
      </c>
      <c r="DM251" s="49" t="s">
        <v>303</v>
      </c>
      <c r="DN251" s="49" t="s">
        <v>297</v>
      </c>
      <c r="DO251" s="48"/>
      <c r="DP251" s="49" t="s">
        <v>312</v>
      </c>
      <c r="DQ251" s="48"/>
      <c r="DR251" s="49" t="s">
        <v>312</v>
      </c>
      <c r="DS251" s="49" t="s">
        <v>303</v>
      </c>
      <c r="DT251" s="49" t="s">
        <v>303</v>
      </c>
      <c r="DW251" s="49" t="s">
        <v>303</v>
      </c>
      <c r="EA251" s="49" t="s">
        <v>324</v>
      </c>
      <c r="EB251" s="49" t="s">
        <v>303</v>
      </c>
      <c r="EF251" s="49" t="s">
        <v>1080</v>
      </c>
      <c r="EH251" s="49" t="s">
        <v>310</v>
      </c>
      <c r="EJ251" s="49" t="s">
        <v>303</v>
      </c>
      <c r="EK251" s="49" t="s">
        <v>1081</v>
      </c>
      <c r="EM251" s="49" t="s">
        <v>303</v>
      </c>
      <c r="EN251" s="49" t="s">
        <v>348</v>
      </c>
      <c r="EP251" s="49" t="s">
        <v>298</v>
      </c>
      <c r="EQ251" s="0" t="n">
        <v>1</v>
      </c>
      <c r="ER251" s="49" t="s">
        <v>328</v>
      </c>
      <c r="ES251" s="49" t="s">
        <v>342</v>
      </c>
      <c r="ET251" s="49" t="s">
        <v>310</v>
      </c>
      <c r="EU251" s="49" t="s">
        <v>310</v>
      </c>
      <c r="EV251" s="49" t="s">
        <v>310</v>
      </c>
      <c r="EX251" s="49" t="s">
        <v>303</v>
      </c>
      <c r="EY251" s="49" t="s">
        <v>303</v>
      </c>
      <c r="FC251" s="49" t="s">
        <v>330</v>
      </c>
      <c r="FD251" s="49" t="s">
        <v>310</v>
      </c>
      <c r="FE251" s="49" t="s">
        <v>310</v>
      </c>
      <c r="FF251" s="49" t="s">
        <v>50</v>
      </c>
      <c r="FG251" s="49" t="s">
        <v>349</v>
      </c>
      <c r="FH251" s="49" t="s">
        <v>310</v>
      </c>
      <c r="FI251" s="49" t="s">
        <v>332</v>
      </c>
      <c r="FJ251" s="49" t="s">
        <v>303</v>
      </c>
      <c r="FL251" s="49" t="s">
        <v>325</v>
      </c>
      <c r="FM251" s="49" t="s">
        <v>1063</v>
      </c>
      <c r="FP251" s="49" t="s">
        <v>303</v>
      </c>
      <c r="FR251" s="49" t="s">
        <v>303</v>
      </c>
      <c r="FT251" s="49" t="s">
        <v>325</v>
      </c>
      <c r="FU251" s="49" t="s">
        <v>325</v>
      </c>
      <c r="FW251" s="49" t="s">
        <v>333</v>
      </c>
    </row>
    <row r="252" customFormat="false" ht="15" hidden="false" customHeight="false" outlineLevel="0" collapsed="false">
      <c r="A252" s="0" t="n">
        <v>100877972</v>
      </c>
      <c r="B252" s="0" t="s">
        <v>295</v>
      </c>
      <c r="C252" s="0" t="s">
        <v>66</v>
      </c>
      <c r="D252" s="0" t="s">
        <v>296</v>
      </c>
      <c r="E252" s="0" t="s">
        <v>297</v>
      </c>
      <c r="G252" s="0" t="n">
        <v>1</v>
      </c>
      <c r="H252" s="0" t="s">
        <v>298</v>
      </c>
      <c r="I252" s="48" t="n">
        <v>46281</v>
      </c>
      <c r="J252" s="0" t="n">
        <v>0</v>
      </c>
      <c r="K252" s="49" t="s">
        <v>1082</v>
      </c>
      <c r="L252" s="49" t="s">
        <v>335</v>
      </c>
      <c r="M252" s="48" t="n">
        <v>46281</v>
      </c>
      <c r="N252" s="49" t="s">
        <v>335</v>
      </c>
      <c r="O252" s="49" t="s">
        <v>1083</v>
      </c>
      <c r="P252" s="48"/>
      <c r="Q252" s="48" t="n">
        <v>46281</v>
      </c>
      <c r="R252" s="48" t="n">
        <v>46288</v>
      </c>
      <c r="T252" s="49" t="s">
        <v>302</v>
      </c>
      <c r="U252" s="49" t="s">
        <v>303</v>
      </c>
      <c r="Y252" s="49" t="s">
        <v>1084</v>
      </c>
      <c r="AD252" s="49" t="s">
        <v>305</v>
      </c>
      <c r="AE252" s="48" t="n">
        <v>46253</v>
      </c>
      <c r="AF252" s="49" t="s">
        <v>306</v>
      </c>
      <c r="AG252" s="49" t="s">
        <v>307</v>
      </c>
      <c r="AK252" s="49" t="s">
        <v>303</v>
      </c>
      <c r="AL252" s="49" t="s">
        <v>297</v>
      </c>
      <c r="AO252" s="49" t="s">
        <v>303</v>
      </c>
      <c r="AP252" s="48"/>
      <c r="AR252" s="49" t="s">
        <v>303</v>
      </c>
      <c r="AS252" s="49" t="s">
        <v>306</v>
      </c>
      <c r="AT252" s="49" t="s">
        <v>1085</v>
      </c>
      <c r="AV252" s="49" t="s">
        <v>309</v>
      </c>
      <c r="AW252" s="49" t="s">
        <v>310</v>
      </c>
      <c r="AX252" s="49" t="s">
        <v>311</v>
      </c>
      <c r="AY252" s="48"/>
      <c r="AZ252" s="48" t="n">
        <v>46279</v>
      </c>
      <c r="BC252" s="49" t="s">
        <v>303</v>
      </c>
      <c r="BD252" s="48"/>
      <c r="BE252" s="49" t="s">
        <v>312</v>
      </c>
      <c r="BF252" s="49" t="s">
        <v>303</v>
      </c>
      <c r="BG252" s="48"/>
      <c r="BI252" s="48"/>
      <c r="BJ252" s="48" t="n">
        <v>46286</v>
      </c>
      <c r="BK252" s="49" t="s">
        <v>312</v>
      </c>
      <c r="BL252" s="49" t="s">
        <v>313</v>
      </c>
      <c r="BM252" s="49" t="s">
        <v>310</v>
      </c>
      <c r="BN252" s="48"/>
      <c r="BO252" s="48"/>
      <c r="BP252" s="48"/>
      <c r="BQ252" s="49" t="s">
        <v>1082</v>
      </c>
      <c r="BR252" s="48" t="n">
        <v>46286</v>
      </c>
      <c r="BS252" s="49" t="s">
        <v>1086</v>
      </c>
      <c r="BT252" s="49" t="s">
        <v>312</v>
      </c>
      <c r="BU252" s="49" t="s">
        <v>313</v>
      </c>
      <c r="BV252" s="49" t="s">
        <v>303</v>
      </c>
      <c r="BX252" s="0" t="n">
        <v>0</v>
      </c>
      <c r="CC252" s="49" t="s">
        <v>315</v>
      </c>
      <c r="CD252" s="49" t="s">
        <v>303</v>
      </c>
      <c r="CF252" s="49" t="s">
        <v>303</v>
      </c>
      <c r="CG252" s="49" t="s">
        <v>316</v>
      </c>
      <c r="CH252" s="49" t="s">
        <v>317</v>
      </c>
      <c r="CI252" s="49" t="s">
        <v>318</v>
      </c>
      <c r="CM252" s="49" t="s">
        <v>296</v>
      </c>
      <c r="CV252" s="49" t="s">
        <v>303</v>
      </c>
      <c r="DB252" s="49" t="s">
        <v>319</v>
      </c>
      <c r="DD252" s="48" t="n">
        <v>46253</v>
      </c>
      <c r="DF252" s="49" t="s">
        <v>310</v>
      </c>
      <c r="DG252" s="49" t="s">
        <v>320</v>
      </c>
      <c r="DH252" s="49" t="s">
        <v>66</v>
      </c>
      <c r="DI252" s="49" t="s">
        <v>298</v>
      </c>
      <c r="DJ252" s="49" t="s">
        <v>321</v>
      </c>
      <c r="DK252" s="49" t="s">
        <v>322</v>
      </c>
      <c r="DL252" s="49" t="s">
        <v>323</v>
      </c>
      <c r="DM252" s="49" t="s">
        <v>303</v>
      </c>
      <c r="DN252" s="49" t="s">
        <v>297</v>
      </c>
      <c r="DO252" s="48"/>
      <c r="DP252" s="49" t="s">
        <v>312</v>
      </c>
      <c r="DQ252" s="48"/>
      <c r="DR252" s="49" t="s">
        <v>312</v>
      </c>
      <c r="DS252" s="49" t="s">
        <v>303</v>
      </c>
      <c r="DT252" s="49" t="s">
        <v>303</v>
      </c>
      <c r="DW252" s="49" t="s">
        <v>303</v>
      </c>
      <c r="EA252" s="49" t="s">
        <v>324</v>
      </c>
      <c r="EB252" s="49" t="s">
        <v>303</v>
      </c>
      <c r="EH252" s="49" t="s">
        <v>325</v>
      </c>
      <c r="EJ252" s="49" t="s">
        <v>303</v>
      </c>
      <c r="EK252" s="49" t="s">
        <v>1087</v>
      </c>
      <c r="EM252" s="49" t="s">
        <v>303</v>
      </c>
      <c r="EN252" s="49" t="s">
        <v>327</v>
      </c>
      <c r="EP252" s="49" t="s">
        <v>298</v>
      </c>
      <c r="EQ252" s="0" t="n">
        <v>1</v>
      </c>
      <c r="ER252" s="49" t="s">
        <v>328</v>
      </c>
      <c r="ES252" s="49" t="s">
        <v>329</v>
      </c>
      <c r="ET252" s="49" t="s">
        <v>310</v>
      </c>
      <c r="EU252" s="49" t="s">
        <v>310</v>
      </c>
      <c r="EV252" s="49" t="s">
        <v>310</v>
      </c>
      <c r="EX252" s="49" t="s">
        <v>303</v>
      </c>
      <c r="EY252" s="49" t="s">
        <v>303</v>
      </c>
      <c r="FC252" s="49" t="s">
        <v>330</v>
      </c>
      <c r="FD252" s="49" t="s">
        <v>310</v>
      </c>
      <c r="FE252" s="49" t="s">
        <v>310</v>
      </c>
      <c r="FF252" s="49" t="s">
        <v>66</v>
      </c>
      <c r="FG252" s="49" t="s">
        <v>331</v>
      </c>
      <c r="FH252" s="49" t="s">
        <v>310</v>
      </c>
      <c r="FI252" s="49" t="s">
        <v>332</v>
      </c>
      <c r="FJ252" s="49" t="s">
        <v>303</v>
      </c>
      <c r="FL252" s="49" t="s">
        <v>325</v>
      </c>
      <c r="FM252" s="49" t="s">
        <v>1082</v>
      </c>
      <c r="FP252" s="49" t="s">
        <v>303</v>
      </c>
      <c r="FR252" s="49" t="s">
        <v>303</v>
      </c>
      <c r="FT252" s="49" t="s">
        <v>325</v>
      </c>
      <c r="FU252" s="49" t="s">
        <v>325</v>
      </c>
      <c r="FW252" s="49" t="s">
        <v>333</v>
      </c>
    </row>
    <row r="253" customFormat="false" ht="15" hidden="false" customHeight="false" outlineLevel="0" collapsed="false">
      <c r="A253" s="0" t="n">
        <v>100877973</v>
      </c>
      <c r="B253" s="0" t="s">
        <v>295</v>
      </c>
      <c r="C253" s="0" t="s">
        <v>66</v>
      </c>
      <c r="D253" s="0" t="s">
        <v>296</v>
      </c>
      <c r="E253" s="0" t="s">
        <v>297</v>
      </c>
      <c r="G253" s="0" t="n">
        <v>1</v>
      </c>
      <c r="H253" s="0" t="s">
        <v>298</v>
      </c>
      <c r="I253" s="48" t="n">
        <v>46281</v>
      </c>
      <c r="J253" s="0" t="n">
        <v>1</v>
      </c>
      <c r="K253" s="49" t="s">
        <v>1082</v>
      </c>
      <c r="L253" s="49" t="s">
        <v>335</v>
      </c>
      <c r="M253" s="48"/>
      <c r="O253" s="49" t="s">
        <v>1052</v>
      </c>
      <c r="P253" s="48"/>
      <c r="Q253" s="48" t="n">
        <v>46281</v>
      </c>
      <c r="R253" s="48" t="n">
        <v>46287</v>
      </c>
      <c r="T253" s="49" t="s">
        <v>302</v>
      </c>
      <c r="U253" s="49" t="s">
        <v>303</v>
      </c>
      <c r="Y253" s="49" t="s">
        <v>312</v>
      </c>
      <c r="AD253" s="49" t="s">
        <v>305</v>
      </c>
      <c r="AE253" s="48" t="n">
        <v>46253</v>
      </c>
      <c r="AF253" s="49" t="s">
        <v>306</v>
      </c>
      <c r="AG253" s="49" t="s">
        <v>307</v>
      </c>
      <c r="AK253" s="49" t="s">
        <v>1047</v>
      </c>
      <c r="AL253" s="49" t="s">
        <v>297</v>
      </c>
      <c r="AO253" s="49" t="s">
        <v>303</v>
      </c>
      <c r="AP253" s="48"/>
      <c r="AR253" s="49" t="s">
        <v>303</v>
      </c>
      <c r="AS253" s="49" t="s">
        <v>306</v>
      </c>
      <c r="AT253" s="49" t="s">
        <v>1088</v>
      </c>
      <c r="AV253" s="49" t="s">
        <v>309</v>
      </c>
      <c r="AW253" s="49" t="s">
        <v>310</v>
      </c>
      <c r="AX253" s="49" t="s">
        <v>311</v>
      </c>
      <c r="AY253" s="48"/>
      <c r="AZ253" s="48" t="n">
        <v>46279</v>
      </c>
      <c r="BC253" s="49" t="s">
        <v>303</v>
      </c>
      <c r="BD253" s="48" t="n">
        <v>46298</v>
      </c>
      <c r="BE253" s="49" t="s">
        <v>1089</v>
      </c>
      <c r="BF253" s="49" t="s">
        <v>303</v>
      </c>
      <c r="BG253" s="48"/>
      <c r="BI253" s="48" t="n">
        <v>46298</v>
      </c>
      <c r="BJ253" s="48" t="n">
        <v>46286</v>
      </c>
      <c r="BK253" s="49" t="s">
        <v>313</v>
      </c>
      <c r="BL253" s="49" t="s">
        <v>313</v>
      </c>
      <c r="BM253" s="49" t="s">
        <v>310</v>
      </c>
      <c r="BN253" s="48"/>
      <c r="BO253" s="48"/>
      <c r="BP253" s="48"/>
      <c r="BQ253" s="49" t="s">
        <v>1082</v>
      </c>
      <c r="BR253" s="48" t="n">
        <v>46286</v>
      </c>
      <c r="BS253" s="49" t="s">
        <v>1090</v>
      </c>
      <c r="BT253" s="49" t="s">
        <v>312</v>
      </c>
      <c r="BU253" s="49" t="s">
        <v>313</v>
      </c>
      <c r="BV253" s="49" t="s">
        <v>303</v>
      </c>
      <c r="BX253" s="0" t="n">
        <v>1</v>
      </c>
      <c r="CC253" s="49" t="s">
        <v>315</v>
      </c>
      <c r="CD253" s="49" t="s">
        <v>303</v>
      </c>
      <c r="CF253" s="49" t="s">
        <v>303</v>
      </c>
      <c r="CG253" s="49" t="s">
        <v>316</v>
      </c>
      <c r="CH253" s="49" t="s">
        <v>317</v>
      </c>
      <c r="CI253" s="49" t="s">
        <v>318</v>
      </c>
      <c r="CM253" s="49" t="s">
        <v>296</v>
      </c>
      <c r="CV253" s="49" t="s">
        <v>303</v>
      </c>
      <c r="DB253" s="49" t="s">
        <v>319</v>
      </c>
      <c r="DD253" s="48" t="n">
        <v>46253</v>
      </c>
      <c r="DF253" s="49" t="s">
        <v>310</v>
      </c>
      <c r="DG253" s="49" t="s">
        <v>320</v>
      </c>
      <c r="DH253" s="49" t="s">
        <v>66</v>
      </c>
      <c r="DI253" s="49" t="s">
        <v>298</v>
      </c>
      <c r="DJ253" s="49" t="s">
        <v>321</v>
      </c>
      <c r="DK253" s="49" t="s">
        <v>322</v>
      </c>
      <c r="DL253" s="49" t="s">
        <v>323</v>
      </c>
      <c r="DM253" s="49" t="s">
        <v>303</v>
      </c>
      <c r="DN253" s="49" t="s">
        <v>297</v>
      </c>
      <c r="DO253" s="48"/>
      <c r="DP253" s="49" t="s">
        <v>312</v>
      </c>
      <c r="DQ253" s="48"/>
      <c r="DR253" s="49" t="s">
        <v>312</v>
      </c>
      <c r="DS253" s="49" t="s">
        <v>303</v>
      </c>
      <c r="DT253" s="49" t="s">
        <v>303</v>
      </c>
      <c r="DW253" s="49" t="s">
        <v>303</v>
      </c>
      <c r="EA253" s="49" t="s">
        <v>324</v>
      </c>
      <c r="EB253" s="49" t="s">
        <v>303</v>
      </c>
      <c r="EF253" s="49" t="s">
        <v>1091</v>
      </c>
      <c r="EH253" s="49" t="s">
        <v>325</v>
      </c>
      <c r="EJ253" s="49" t="s">
        <v>303</v>
      </c>
      <c r="EK253" s="49" t="s">
        <v>1092</v>
      </c>
      <c r="EM253" s="49" t="s">
        <v>303</v>
      </c>
      <c r="EN253" s="49" t="s">
        <v>327</v>
      </c>
      <c r="EP253" s="49" t="s">
        <v>298</v>
      </c>
      <c r="EQ253" s="0" t="n">
        <v>1</v>
      </c>
      <c r="ER253" s="49" t="s">
        <v>328</v>
      </c>
      <c r="ES253" s="49" t="s">
        <v>329</v>
      </c>
      <c r="ET253" s="49" t="s">
        <v>310</v>
      </c>
      <c r="EU253" s="49" t="s">
        <v>310</v>
      </c>
      <c r="EV253" s="49" t="s">
        <v>310</v>
      </c>
      <c r="EX253" s="49" t="s">
        <v>303</v>
      </c>
      <c r="EY253" s="49" t="s">
        <v>303</v>
      </c>
      <c r="FC253" s="49" t="s">
        <v>330</v>
      </c>
      <c r="FD253" s="49" t="s">
        <v>310</v>
      </c>
      <c r="FE253" s="49" t="s">
        <v>310</v>
      </c>
      <c r="FF253" s="49" t="s">
        <v>66</v>
      </c>
      <c r="FG253" s="49" t="s">
        <v>331</v>
      </c>
      <c r="FH253" s="49" t="s">
        <v>310</v>
      </c>
      <c r="FI253" s="49" t="s">
        <v>332</v>
      </c>
      <c r="FJ253" s="49" t="s">
        <v>303</v>
      </c>
      <c r="FL253" s="49" t="s">
        <v>325</v>
      </c>
      <c r="FM253" s="49" t="s">
        <v>1082</v>
      </c>
      <c r="FP253" s="49" t="s">
        <v>303</v>
      </c>
      <c r="FR253" s="49" t="s">
        <v>303</v>
      </c>
      <c r="FT253" s="49" t="s">
        <v>325</v>
      </c>
      <c r="FU253" s="49" t="s">
        <v>325</v>
      </c>
      <c r="FW253" s="49" t="s">
        <v>333</v>
      </c>
    </row>
    <row r="254" customFormat="false" ht="15" hidden="false" customHeight="false" outlineLevel="0" collapsed="false">
      <c r="A254" s="0" t="n">
        <v>100877974</v>
      </c>
      <c r="B254" s="0" t="s">
        <v>295</v>
      </c>
      <c r="C254" s="0" t="s">
        <v>66</v>
      </c>
      <c r="D254" s="0" t="s">
        <v>296</v>
      </c>
      <c r="E254" s="0" t="s">
        <v>297</v>
      </c>
      <c r="G254" s="0" t="n">
        <v>1</v>
      </c>
      <c r="H254" s="0" t="s">
        <v>298</v>
      </c>
      <c r="I254" s="48" t="n">
        <v>46281</v>
      </c>
      <c r="J254" s="0" t="n">
        <v>1</v>
      </c>
      <c r="K254" s="49" t="s">
        <v>1082</v>
      </c>
      <c r="L254" s="49" t="s">
        <v>335</v>
      </c>
      <c r="M254" s="48"/>
      <c r="O254" s="49" t="s">
        <v>1052</v>
      </c>
      <c r="P254" s="48"/>
      <c r="Q254" s="48" t="n">
        <v>46281</v>
      </c>
      <c r="R254" s="48" t="n">
        <v>46287</v>
      </c>
      <c r="T254" s="49" t="s">
        <v>302</v>
      </c>
      <c r="U254" s="49" t="s">
        <v>303</v>
      </c>
      <c r="Y254" s="49" t="s">
        <v>312</v>
      </c>
      <c r="AD254" s="49" t="s">
        <v>305</v>
      </c>
      <c r="AE254" s="48" t="n">
        <v>46253</v>
      </c>
      <c r="AF254" s="49" t="s">
        <v>306</v>
      </c>
      <c r="AG254" s="49" t="s">
        <v>307</v>
      </c>
      <c r="AK254" s="49" t="s">
        <v>1047</v>
      </c>
      <c r="AL254" s="49" t="s">
        <v>297</v>
      </c>
      <c r="AO254" s="49" t="s">
        <v>303</v>
      </c>
      <c r="AP254" s="48"/>
      <c r="AR254" s="49" t="s">
        <v>303</v>
      </c>
      <c r="AS254" s="49" t="s">
        <v>306</v>
      </c>
      <c r="AT254" s="49" t="s">
        <v>1093</v>
      </c>
      <c r="AV254" s="49" t="s">
        <v>309</v>
      </c>
      <c r="AW254" s="49" t="s">
        <v>310</v>
      </c>
      <c r="AX254" s="49" t="s">
        <v>311</v>
      </c>
      <c r="AY254" s="48"/>
      <c r="AZ254" s="48" t="n">
        <v>46279</v>
      </c>
      <c r="BC254" s="49" t="s">
        <v>303</v>
      </c>
      <c r="BD254" s="48" t="n">
        <v>46297</v>
      </c>
      <c r="BE254" s="49" t="s">
        <v>1094</v>
      </c>
      <c r="BF254" s="49" t="s">
        <v>303</v>
      </c>
      <c r="BG254" s="48"/>
      <c r="BI254" s="48" t="n">
        <v>46297</v>
      </c>
      <c r="BJ254" s="48" t="n">
        <v>46286</v>
      </c>
      <c r="BK254" s="49" t="s">
        <v>313</v>
      </c>
      <c r="BL254" s="49" t="s">
        <v>313</v>
      </c>
      <c r="BM254" s="49" t="s">
        <v>310</v>
      </c>
      <c r="BN254" s="48"/>
      <c r="BO254" s="48"/>
      <c r="BP254" s="48"/>
      <c r="BQ254" s="49" t="s">
        <v>1082</v>
      </c>
      <c r="BR254" s="48" t="n">
        <v>46286</v>
      </c>
      <c r="BS254" s="49" t="s">
        <v>1090</v>
      </c>
      <c r="BT254" s="49" t="s">
        <v>312</v>
      </c>
      <c r="BU254" s="49" t="s">
        <v>313</v>
      </c>
      <c r="BV254" s="49" t="s">
        <v>303</v>
      </c>
      <c r="BX254" s="0" t="n">
        <v>1</v>
      </c>
      <c r="CC254" s="49" t="s">
        <v>315</v>
      </c>
      <c r="CD254" s="49" t="s">
        <v>303</v>
      </c>
      <c r="CF254" s="49" t="s">
        <v>303</v>
      </c>
      <c r="CG254" s="49" t="s">
        <v>316</v>
      </c>
      <c r="CH254" s="49" t="s">
        <v>317</v>
      </c>
      <c r="CI254" s="49" t="s">
        <v>318</v>
      </c>
      <c r="CM254" s="49" t="s">
        <v>296</v>
      </c>
      <c r="CV254" s="49" t="s">
        <v>303</v>
      </c>
      <c r="DB254" s="49" t="s">
        <v>319</v>
      </c>
      <c r="DD254" s="48" t="n">
        <v>46253</v>
      </c>
      <c r="DF254" s="49" t="s">
        <v>310</v>
      </c>
      <c r="DG254" s="49" t="s">
        <v>320</v>
      </c>
      <c r="DH254" s="49" t="s">
        <v>66</v>
      </c>
      <c r="DI254" s="49" t="s">
        <v>298</v>
      </c>
      <c r="DJ254" s="49" t="s">
        <v>321</v>
      </c>
      <c r="DK254" s="49" t="s">
        <v>322</v>
      </c>
      <c r="DL254" s="49" t="s">
        <v>323</v>
      </c>
      <c r="DM254" s="49" t="s">
        <v>303</v>
      </c>
      <c r="DN254" s="49" t="s">
        <v>297</v>
      </c>
      <c r="DO254" s="48"/>
      <c r="DP254" s="49" t="s">
        <v>312</v>
      </c>
      <c r="DQ254" s="48"/>
      <c r="DR254" s="49" t="s">
        <v>312</v>
      </c>
      <c r="DS254" s="49" t="s">
        <v>303</v>
      </c>
      <c r="DT254" s="49" t="s">
        <v>303</v>
      </c>
      <c r="DW254" s="49" t="s">
        <v>303</v>
      </c>
      <c r="EA254" s="49" t="s">
        <v>324</v>
      </c>
      <c r="EB254" s="49" t="s">
        <v>303</v>
      </c>
      <c r="EF254" s="49" t="s">
        <v>1091</v>
      </c>
      <c r="EH254" s="49" t="s">
        <v>325</v>
      </c>
      <c r="EJ254" s="49" t="s">
        <v>303</v>
      </c>
      <c r="EK254" s="49" t="s">
        <v>1095</v>
      </c>
      <c r="EM254" s="49" t="s">
        <v>303</v>
      </c>
      <c r="EN254" s="49" t="s">
        <v>327</v>
      </c>
      <c r="EP254" s="49" t="s">
        <v>298</v>
      </c>
      <c r="EQ254" s="0" t="n">
        <v>1</v>
      </c>
      <c r="ER254" s="49" t="s">
        <v>328</v>
      </c>
      <c r="ES254" s="49" t="s">
        <v>329</v>
      </c>
      <c r="ET254" s="49" t="s">
        <v>310</v>
      </c>
      <c r="EU254" s="49" t="s">
        <v>310</v>
      </c>
      <c r="EV254" s="49" t="s">
        <v>310</v>
      </c>
      <c r="EX254" s="49" t="s">
        <v>303</v>
      </c>
      <c r="EY254" s="49" t="s">
        <v>303</v>
      </c>
      <c r="FC254" s="49" t="s">
        <v>330</v>
      </c>
      <c r="FD254" s="49" t="s">
        <v>310</v>
      </c>
      <c r="FE254" s="49" t="s">
        <v>310</v>
      </c>
      <c r="FF254" s="49" t="s">
        <v>66</v>
      </c>
      <c r="FG254" s="49" t="s">
        <v>331</v>
      </c>
      <c r="FH254" s="49" t="s">
        <v>310</v>
      </c>
      <c r="FI254" s="49" t="s">
        <v>332</v>
      </c>
      <c r="FJ254" s="49" t="s">
        <v>303</v>
      </c>
      <c r="FL254" s="49" t="s">
        <v>325</v>
      </c>
      <c r="FM254" s="49" t="s">
        <v>1082</v>
      </c>
      <c r="FP254" s="49" t="s">
        <v>303</v>
      </c>
      <c r="FR254" s="49" t="s">
        <v>303</v>
      </c>
      <c r="FT254" s="49" t="s">
        <v>325</v>
      </c>
      <c r="FU254" s="49" t="s">
        <v>325</v>
      </c>
      <c r="FW254" s="49" t="s">
        <v>333</v>
      </c>
    </row>
    <row r="255" customFormat="false" ht="15" hidden="false" customHeight="false" outlineLevel="0" collapsed="false">
      <c r="A255" s="0" t="n">
        <v>100877976</v>
      </c>
      <c r="B255" s="0" t="s">
        <v>295</v>
      </c>
      <c r="C255" s="0" t="s">
        <v>68</v>
      </c>
      <c r="D255" s="0" t="s">
        <v>456</v>
      </c>
      <c r="E255" s="0" t="s">
        <v>297</v>
      </c>
      <c r="G255" s="0" t="n">
        <v>1</v>
      </c>
      <c r="H255" s="0" t="s">
        <v>298</v>
      </c>
      <c r="I255" s="48" t="n">
        <v>46281</v>
      </c>
      <c r="J255" s="0" t="n">
        <v>0</v>
      </c>
      <c r="K255" s="49" t="s">
        <v>1082</v>
      </c>
      <c r="L255" s="49" t="s">
        <v>335</v>
      </c>
      <c r="M255" s="48" t="n">
        <v>46281</v>
      </c>
      <c r="N255" s="49" t="s">
        <v>335</v>
      </c>
      <c r="O255" s="49" t="s">
        <v>1083</v>
      </c>
      <c r="P255" s="48"/>
      <c r="Q255" s="48" t="n">
        <v>46281</v>
      </c>
      <c r="R255" s="48" t="n">
        <v>46288</v>
      </c>
      <c r="T255" s="49" t="s">
        <v>302</v>
      </c>
      <c r="U255" s="49" t="s">
        <v>303</v>
      </c>
      <c r="Y255" s="49" t="s">
        <v>1096</v>
      </c>
      <c r="AD255" s="49" t="s">
        <v>305</v>
      </c>
      <c r="AE255" s="48" t="n">
        <v>46253</v>
      </c>
      <c r="AF255" s="49" t="s">
        <v>306</v>
      </c>
      <c r="AG255" s="49" t="s">
        <v>307</v>
      </c>
      <c r="AK255" s="49" t="s">
        <v>303</v>
      </c>
      <c r="AL255" s="49" t="s">
        <v>297</v>
      </c>
      <c r="AO255" s="49" t="s">
        <v>303</v>
      </c>
      <c r="AP255" s="48"/>
      <c r="AR255" s="49" t="s">
        <v>303</v>
      </c>
      <c r="AS255" s="49" t="s">
        <v>306</v>
      </c>
      <c r="AT255" s="49" t="s">
        <v>1097</v>
      </c>
      <c r="AV255" s="49" t="s">
        <v>309</v>
      </c>
      <c r="AW255" s="49" t="s">
        <v>310</v>
      </c>
      <c r="AX255" s="49" t="s">
        <v>311</v>
      </c>
      <c r="AY255" s="48"/>
      <c r="AZ255" s="48" t="n">
        <v>46279</v>
      </c>
      <c r="BC255" s="49" t="s">
        <v>303</v>
      </c>
      <c r="BD255" s="48"/>
      <c r="BE255" s="49" t="s">
        <v>312</v>
      </c>
      <c r="BF255" s="49" t="s">
        <v>303</v>
      </c>
      <c r="BG255" s="48"/>
      <c r="BI255" s="48"/>
      <c r="BJ255" s="48" t="n">
        <v>46286</v>
      </c>
      <c r="BK255" s="49" t="s">
        <v>312</v>
      </c>
      <c r="BL255" s="49" t="s">
        <v>313</v>
      </c>
      <c r="BM255" s="49" t="s">
        <v>310</v>
      </c>
      <c r="BN255" s="48"/>
      <c r="BO255" s="48"/>
      <c r="BP255" s="48"/>
      <c r="BQ255" s="49" t="s">
        <v>1082</v>
      </c>
      <c r="BR255" s="48" t="n">
        <v>46286</v>
      </c>
      <c r="BS255" s="49" t="s">
        <v>1098</v>
      </c>
      <c r="BT255" s="49" t="s">
        <v>312</v>
      </c>
      <c r="BU255" s="49" t="s">
        <v>313</v>
      </c>
      <c r="BV255" s="49" t="s">
        <v>303</v>
      </c>
      <c r="BX255" s="0" t="n">
        <v>0</v>
      </c>
      <c r="CC255" s="49" t="s">
        <v>315</v>
      </c>
      <c r="CD255" s="49" t="s">
        <v>303</v>
      </c>
      <c r="CF255" s="49" t="s">
        <v>303</v>
      </c>
      <c r="CG255" s="49" t="s">
        <v>316</v>
      </c>
      <c r="CH255" s="49" t="s">
        <v>317</v>
      </c>
      <c r="CI255" s="49" t="s">
        <v>318</v>
      </c>
      <c r="CM255" s="49" t="s">
        <v>456</v>
      </c>
      <c r="CV255" s="49" t="s">
        <v>303</v>
      </c>
      <c r="DB255" s="49" t="s">
        <v>319</v>
      </c>
      <c r="DD255" s="48" t="n">
        <v>46253</v>
      </c>
      <c r="DF255" s="49" t="s">
        <v>310</v>
      </c>
      <c r="DG255" s="49" t="s">
        <v>320</v>
      </c>
      <c r="DH255" s="49" t="s">
        <v>68</v>
      </c>
      <c r="DI255" s="49" t="s">
        <v>298</v>
      </c>
      <c r="DJ255" s="49" t="s">
        <v>321</v>
      </c>
      <c r="DK255" s="49" t="s">
        <v>322</v>
      </c>
      <c r="DL255" s="49" t="s">
        <v>323</v>
      </c>
      <c r="DM255" s="49" t="s">
        <v>303</v>
      </c>
      <c r="DN255" s="49" t="s">
        <v>297</v>
      </c>
      <c r="DO255" s="48"/>
      <c r="DP255" s="49" t="s">
        <v>312</v>
      </c>
      <c r="DQ255" s="48"/>
      <c r="DR255" s="49" t="s">
        <v>312</v>
      </c>
      <c r="DS255" s="49" t="s">
        <v>303</v>
      </c>
      <c r="DT255" s="49" t="s">
        <v>303</v>
      </c>
      <c r="DW255" s="49" t="s">
        <v>303</v>
      </c>
      <c r="EA255" s="49" t="s">
        <v>324</v>
      </c>
      <c r="EB255" s="49" t="s">
        <v>303</v>
      </c>
      <c r="EH255" s="49" t="s">
        <v>325</v>
      </c>
      <c r="EJ255" s="49" t="s">
        <v>303</v>
      </c>
      <c r="EK255" s="49" t="s">
        <v>1099</v>
      </c>
      <c r="EM255" s="49" t="s">
        <v>303</v>
      </c>
      <c r="EN255" s="49" t="s">
        <v>460</v>
      </c>
      <c r="EP255" s="49" t="s">
        <v>298</v>
      </c>
      <c r="EQ255" s="0" t="n">
        <v>1</v>
      </c>
      <c r="ER255" s="49" t="s">
        <v>328</v>
      </c>
      <c r="ES255" s="49" t="s">
        <v>329</v>
      </c>
      <c r="ET255" s="49" t="s">
        <v>310</v>
      </c>
      <c r="EU255" s="49" t="s">
        <v>310</v>
      </c>
      <c r="EV255" s="49" t="s">
        <v>310</v>
      </c>
      <c r="EX255" s="49" t="s">
        <v>303</v>
      </c>
      <c r="EY255" s="49" t="s">
        <v>303</v>
      </c>
      <c r="FC255" s="49" t="s">
        <v>330</v>
      </c>
      <c r="FD255" s="49" t="s">
        <v>310</v>
      </c>
      <c r="FE255" s="49" t="s">
        <v>310</v>
      </c>
      <c r="FF255" s="49" t="s">
        <v>68</v>
      </c>
      <c r="FG255" s="49" t="s">
        <v>461</v>
      </c>
      <c r="FH255" s="49" t="s">
        <v>310</v>
      </c>
      <c r="FI255" s="49" t="s">
        <v>332</v>
      </c>
      <c r="FJ255" s="49" t="s">
        <v>303</v>
      </c>
      <c r="FL255" s="49" t="s">
        <v>325</v>
      </c>
      <c r="FM255" s="49" t="s">
        <v>1082</v>
      </c>
      <c r="FP255" s="49" t="s">
        <v>303</v>
      </c>
      <c r="FR255" s="49" t="s">
        <v>303</v>
      </c>
      <c r="FT255" s="49" t="s">
        <v>325</v>
      </c>
      <c r="FU255" s="49" t="s">
        <v>325</v>
      </c>
      <c r="FW255" s="49" t="s">
        <v>333</v>
      </c>
    </row>
    <row r="256" customFormat="false" ht="15" hidden="false" customHeight="false" outlineLevel="0" collapsed="false">
      <c r="A256" s="0" t="n">
        <v>100877977</v>
      </c>
      <c r="B256" s="0" t="s">
        <v>295</v>
      </c>
      <c r="C256" s="0" t="s">
        <v>68</v>
      </c>
      <c r="D256" s="0" t="s">
        <v>456</v>
      </c>
      <c r="E256" s="0" t="s">
        <v>297</v>
      </c>
      <c r="G256" s="0" t="n">
        <v>1</v>
      </c>
      <c r="H256" s="0" t="s">
        <v>298</v>
      </c>
      <c r="I256" s="48" t="n">
        <v>46281</v>
      </c>
      <c r="J256" s="0" t="n">
        <v>0</v>
      </c>
      <c r="K256" s="49" t="s">
        <v>1082</v>
      </c>
      <c r="L256" s="49" t="s">
        <v>335</v>
      </c>
      <c r="M256" s="48"/>
      <c r="O256" s="49" t="s">
        <v>1083</v>
      </c>
      <c r="P256" s="48"/>
      <c r="Q256" s="48" t="n">
        <v>46281</v>
      </c>
      <c r="R256" s="48" t="n">
        <v>46287</v>
      </c>
      <c r="T256" s="49" t="s">
        <v>302</v>
      </c>
      <c r="U256" s="49" t="s">
        <v>303</v>
      </c>
      <c r="Y256" s="49" t="s">
        <v>312</v>
      </c>
      <c r="AD256" s="49" t="s">
        <v>305</v>
      </c>
      <c r="AE256" s="48" t="n">
        <v>46253</v>
      </c>
      <c r="AF256" s="49" t="s">
        <v>306</v>
      </c>
      <c r="AG256" s="49" t="s">
        <v>307</v>
      </c>
      <c r="AK256" s="49" t="s">
        <v>303</v>
      </c>
      <c r="AL256" s="49" t="s">
        <v>297</v>
      </c>
      <c r="AO256" s="49" t="s">
        <v>303</v>
      </c>
      <c r="AP256" s="48"/>
      <c r="AR256" s="49" t="s">
        <v>303</v>
      </c>
      <c r="AS256" s="49" t="s">
        <v>306</v>
      </c>
      <c r="AT256" s="49" t="s">
        <v>1100</v>
      </c>
      <c r="AV256" s="49" t="s">
        <v>309</v>
      </c>
      <c r="AW256" s="49" t="s">
        <v>310</v>
      </c>
      <c r="AX256" s="49" t="s">
        <v>311</v>
      </c>
      <c r="AY256" s="48"/>
      <c r="AZ256" s="48" t="n">
        <v>46279</v>
      </c>
      <c r="BC256" s="49" t="s">
        <v>303</v>
      </c>
      <c r="BD256" s="48"/>
      <c r="BE256" s="49" t="s">
        <v>312</v>
      </c>
      <c r="BF256" s="49" t="s">
        <v>303</v>
      </c>
      <c r="BG256" s="48"/>
      <c r="BI256" s="48"/>
      <c r="BJ256" s="48" t="n">
        <v>46286</v>
      </c>
      <c r="BK256" s="49" t="s">
        <v>313</v>
      </c>
      <c r="BL256" s="49" t="s">
        <v>313</v>
      </c>
      <c r="BM256" s="49" t="s">
        <v>310</v>
      </c>
      <c r="BN256" s="48"/>
      <c r="BO256" s="48"/>
      <c r="BP256" s="48"/>
      <c r="BQ256" s="49" t="s">
        <v>1082</v>
      </c>
      <c r="BR256" s="48" t="n">
        <v>46286</v>
      </c>
      <c r="BS256" s="49" t="s">
        <v>1098</v>
      </c>
      <c r="BT256" s="49" t="s">
        <v>312</v>
      </c>
      <c r="BU256" s="49" t="s">
        <v>313</v>
      </c>
      <c r="BV256" s="49" t="s">
        <v>303</v>
      </c>
      <c r="BX256" s="0" t="n">
        <v>0</v>
      </c>
      <c r="CC256" s="49" t="s">
        <v>315</v>
      </c>
      <c r="CD256" s="49" t="s">
        <v>303</v>
      </c>
      <c r="CF256" s="49" t="s">
        <v>303</v>
      </c>
      <c r="CG256" s="49" t="s">
        <v>316</v>
      </c>
      <c r="CH256" s="49" t="s">
        <v>317</v>
      </c>
      <c r="CI256" s="49" t="s">
        <v>318</v>
      </c>
      <c r="CM256" s="49" t="s">
        <v>456</v>
      </c>
      <c r="CV256" s="49" t="s">
        <v>303</v>
      </c>
      <c r="DB256" s="49" t="s">
        <v>319</v>
      </c>
      <c r="DD256" s="48" t="n">
        <v>46253</v>
      </c>
      <c r="DF256" s="49" t="s">
        <v>310</v>
      </c>
      <c r="DG256" s="49" t="s">
        <v>320</v>
      </c>
      <c r="DH256" s="49" t="s">
        <v>68</v>
      </c>
      <c r="DI256" s="49" t="s">
        <v>298</v>
      </c>
      <c r="DJ256" s="49" t="s">
        <v>321</v>
      </c>
      <c r="DK256" s="49" t="s">
        <v>322</v>
      </c>
      <c r="DL256" s="49" t="s">
        <v>323</v>
      </c>
      <c r="DM256" s="49" t="s">
        <v>303</v>
      </c>
      <c r="DN256" s="49" t="s">
        <v>297</v>
      </c>
      <c r="DO256" s="48"/>
      <c r="DP256" s="49" t="s">
        <v>312</v>
      </c>
      <c r="DQ256" s="48"/>
      <c r="DR256" s="49" t="s">
        <v>312</v>
      </c>
      <c r="DS256" s="49" t="s">
        <v>303</v>
      </c>
      <c r="DT256" s="49" t="s">
        <v>303</v>
      </c>
      <c r="DW256" s="49" t="s">
        <v>303</v>
      </c>
      <c r="EA256" s="49" t="s">
        <v>324</v>
      </c>
      <c r="EB256" s="49" t="s">
        <v>303</v>
      </c>
      <c r="EF256" s="49" t="s">
        <v>1101</v>
      </c>
      <c r="EH256" s="49" t="s">
        <v>325</v>
      </c>
      <c r="EJ256" s="49" t="s">
        <v>303</v>
      </c>
      <c r="EK256" s="49" t="s">
        <v>1102</v>
      </c>
      <c r="EM256" s="49" t="s">
        <v>303</v>
      </c>
      <c r="EN256" s="49" t="s">
        <v>460</v>
      </c>
      <c r="EP256" s="49" t="s">
        <v>298</v>
      </c>
      <c r="EQ256" s="0" t="n">
        <v>1</v>
      </c>
      <c r="ER256" s="49" t="s">
        <v>328</v>
      </c>
      <c r="ES256" s="49" t="s">
        <v>329</v>
      </c>
      <c r="ET256" s="49" t="s">
        <v>310</v>
      </c>
      <c r="EU256" s="49" t="s">
        <v>310</v>
      </c>
      <c r="EV256" s="49" t="s">
        <v>310</v>
      </c>
      <c r="EX256" s="49" t="s">
        <v>303</v>
      </c>
      <c r="EY256" s="49" t="s">
        <v>303</v>
      </c>
      <c r="FC256" s="49" t="s">
        <v>330</v>
      </c>
      <c r="FD256" s="49" t="s">
        <v>310</v>
      </c>
      <c r="FE256" s="49" t="s">
        <v>310</v>
      </c>
      <c r="FF256" s="49" t="s">
        <v>68</v>
      </c>
      <c r="FG256" s="49" t="s">
        <v>461</v>
      </c>
      <c r="FH256" s="49" t="s">
        <v>310</v>
      </c>
      <c r="FI256" s="49" t="s">
        <v>332</v>
      </c>
      <c r="FJ256" s="49" t="s">
        <v>303</v>
      </c>
      <c r="FL256" s="49" t="s">
        <v>325</v>
      </c>
      <c r="FM256" s="49" t="s">
        <v>1082</v>
      </c>
      <c r="FP256" s="49" t="s">
        <v>303</v>
      </c>
      <c r="FR256" s="49" t="s">
        <v>303</v>
      </c>
      <c r="FT256" s="49" t="s">
        <v>325</v>
      </c>
      <c r="FU256" s="49" t="s">
        <v>325</v>
      </c>
      <c r="FW256" s="49" t="s">
        <v>333</v>
      </c>
    </row>
    <row r="257" customFormat="false" ht="15" hidden="false" customHeight="false" outlineLevel="0" collapsed="false">
      <c r="A257" s="0" t="n">
        <v>100877978</v>
      </c>
      <c r="B257" s="0" t="s">
        <v>295</v>
      </c>
      <c r="C257" s="0" t="s">
        <v>68</v>
      </c>
      <c r="D257" s="0" t="s">
        <v>456</v>
      </c>
      <c r="E257" s="0" t="s">
        <v>297</v>
      </c>
      <c r="G257" s="0" t="n">
        <v>1</v>
      </c>
      <c r="H257" s="0" t="s">
        <v>298</v>
      </c>
      <c r="I257" s="48" t="n">
        <v>46281</v>
      </c>
      <c r="J257" s="0" t="n">
        <v>0</v>
      </c>
      <c r="K257" s="49" t="s">
        <v>1082</v>
      </c>
      <c r="L257" s="49" t="s">
        <v>335</v>
      </c>
      <c r="M257" s="48"/>
      <c r="O257" s="49" t="s">
        <v>1083</v>
      </c>
      <c r="P257" s="48"/>
      <c r="Q257" s="48" t="n">
        <v>46281</v>
      </c>
      <c r="R257" s="48" t="n">
        <v>46287</v>
      </c>
      <c r="T257" s="49" t="s">
        <v>302</v>
      </c>
      <c r="U257" s="49" t="s">
        <v>303</v>
      </c>
      <c r="Y257" s="49" t="s">
        <v>312</v>
      </c>
      <c r="AD257" s="49" t="s">
        <v>305</v>
      </c>
      <c r="AE257" s="48" t="n">
        <v>46253</v>
      </c>
      <c r="AF257" s="49" t="s">
        <v>306</v>
      </c>
      <c r="AG257" s="49" t="s">
        <v>307</v>
      </c>
      <c r="AK257" s="49" t="s">
        <v>303</v>
      </c>
      <c r="AL257" s="49" t="s">
        <v>297</v>
      </c>
      <c r="AO257" s="49" t="s">
        <v>303</v>
      </c>
      <c r="AP257" s="48"/>
      <c r="AR257" s="49" t="s">
        <v>303</v>
      </c>
      <c r="AS257" s="49" t="s">
        <v>306</v>
      </c>
      <c r="AT257" s="49" t="s">
        <v>1103</v>
      </c>
      <c r="AV257" s="49" t="s">
        <v>309</v>
      </c>
      <c r="AW257" s="49" t="s">
        <v>310</v>
      </c>
      <c r="AX257" s="49" t="s">
        <v>311</v>
      </c>
      <c r="AY257" s="48"/>
      <c r="AZ257" s="48" t="n">
        <v>46279</v>
      </c>
      <c r="BC257" s="49" t="s">
        <v>303</v>
      </c>
      <c r="BD257" s="48"/>
      <c r="BE257" s="49" t="s">
        <v>312</v>
      </c>
      <c r="BF257" s="49" t="s">
        <v>303</v>
      </c>
      <c r="BG257" s="48"/>
      <c r="BI257" s="48"/>
      <c r="BJ257" s="48" t="n">
        <v>46286</v>
      </c>
      <c r="BK257" s="49" t="s">
        <v>313</v>
      </c>
      <c r="BL257" s="49" t="s">
        <v>313</v>
      </c>
      <c r="BM257" s="49" t="s">
        <v>310</v>
      </c>
      <c r="BN257" s="48"/>
      <c r="BO257" s="48"/>
      <c r="BP257" s="48"/>
      <c r="BQ257" s="49" t="s">
        <v>1082</v>
      </c>
      <c r="BR257" s="48" t="n">
        <v>46286</v>
      </c>
      <c r="BS257" s="49" t="s">
        <v>1098</v>
      </c>
      <c r="BT257" s="49" t="s">
        <v>312</v>
      </c>
      <c r="BU257" s="49" t="s">
        <v>313</v>
      </c>
      <c r="BV257" s="49" t="s">
        <v>303</v>
      </c>
      <c r="BX257" s="0" t="n">
        <v>0</v>
      </c>
      <c r="CC257" s="49" t="s">
        <v>315</v>
      </c>
      <c r="CD257" s="49" t="s">
        <v>303</v>
      </c>
      <c r="CF257" s="49" t="s">
        <v>303</v>
      </c>
      <c r="CG257" s="49" t="s">
        <v>316</v>
      </c>
      <c r="CH257" s="49" t="s">
        <v>317</v>
      </c>
      <c r="CI257" s="49" t="s">
        <v>318</v>
      </c>
      <c r="CM257" s="49" t="s">
        <v>456</v>
      </c>
      <c r="CV257" s="49" t="s">
        <v>303</v>
      </c>
      <c r="DB257" s="49" t="s">
        <v>319</v>
      </c>
      <c r="DD257" s="48" t="n">
        <v>46253</v>
      </c>
      <c r="DF257" s="49" t="s">
        <v>310</v>
      </c>
      <c r="DG257" s="49" t="s">
        <v>320</v>
      </c>
      <c r="DH257" s="49" t="s">
        <v>68</v>
      </c>
      <c r="DI257" s="49" t="s">
        <v>298</v>
      </c>
      <c r="DJ257" s="49" t="s">
        <v>321</v>
      </c>
      <c r="DK257" s="49" t="s">
        <v>322</v>
      </c>
      <c r="DL257" s="49" t="s">
        <v>323</v>
      </c>
      <c r="DM257" s="49" t="s">
        <v>303</v>
      </c>
      <c r="DN257" s="49" t="s">
        <v>297</v>
      </c>
      <c r="DO257" s="48"/>
      <c r="DP257" s="49" t="s">
        <v>312</v>
      </c>
      <c r="DQ257" s="48"/>
      <c r="DR257" s="49" t="s">
        <v>312</v>
      </c>
      <c r="DS257" s="49" t="s">
        <v>303</v>
      </c>
      <c r="DT257" s="49" t="s">
        <v>303</v>
      </c>
      <c r="DW257" s="49" t="s">
        <v>303</v>
      </c>
      <c r="EA257" s="49" t="s">
        <v>324</v>
      </c>
      <c r="EB257" s="49" t="s">
        <v>303</v>
      </c>
      <c r="EF257" s="49" t="s">
        <v>1101</v>
      </c>
      <c r="EH257" s="49" t="s">
        <v>325</v>
      </c>
      <c r="EJ257" s="49" t="s">
        <v>303</v>
      </c>
      <c r="EK257" s="49" t="s">
        <v>1104</v>
      </c>
      <c r="EM257" s="49" t="s">
        <v>303</v>
      </c>
      <c r="EN257" s="49" t="s">
        <v>460</v>
      </c>
      <c r="EP257" s="49" t="s">
        <v>298</v>
      </c>
      <c r="EQ257" s="0" t="n">
        <v>1</v>
      </c>
      <c r="ER257" s="49" t="s">
        <v>328</v>
      </c>
      <c r="ES257" s="49" t="s">
        <v>329</v>
      </c>
      <c r="ET257" s="49" t="s">
        <v>310</v>
      </c>
      <c r="EU257" s="49" t="s">
        <v>310</v>
      </c>
      <c r="EV257" s="49" t="s">
        <v>310</v>
      </c>
      <c r="EX257" s="49" t="s">
        <v>303</v>
      </c>
      <c r="EY257" s="49" t="s">
        <v>303</v>
      </c>
      <c r="FC257" s="49" t="s">
        <v>330</v>
      </c>
      <c r="FD257" s="49" t="s">
        <v>310</v>
      </c>
      <c r="FE257" s="49" t="s">
        <v>310</v>
      </c>
      <c r="FF257" s="49" t="s">
        <v>68</v>
      </c>
      <c r="FG257" s="49" t="s">
        <v>461</v>
      </c>
      <c r="FH257" s="49" t="s">
        <v>310</v>
      </c>
      <c r="FI257" s="49" t="s">
        <v>332</v>
      </c>
      <c r="FJ257" s="49" t="s">
        <v>303</v>
      </c>
      <c r="FL257" s="49" t="s">
        <v>325</v>
      </c>
      <c r="FM257" s="49" t="s">
        <v>1082</v>
      </c>
      <c r="FP257" s="49" t="s">
        <v>303</v>
      </c>
      <c r="FR257" s="49" t="s">
        <v>303</v>
      </c>
      <c r="FT257" s="49" t="s">
        <v>325</v>
      </c>
      <c r="FU257" s="49" t="s">
        <v>325</v>
      </c>
      <c r="FW257" s="49" t="s">
        <v>333</v>
      </c>
    </row>
    <row r="258" customFormat="false" ht="15" hidden="false" customHeight="false" outlineLevel="0" collapsed="false">
      <c r="A258" s="0" t="n">
        <v>100877979</v>
      </c>
      <c r="B258" s="0" t="s">
        <v>295</v>
      </c>
      <c r="C258" s="0" t="s">
        <v>70</v>
      </c>
      <c r="D258" s="0" t="s">
        <v>468</v>
      </c>
      <c r="E258" s="0" t="s">
        <v>297</v>
      </c>
      <c r="G258" s="0" t="n">
        <v>1</v>
      </c>
      <c r="H258" s="0" t="s">
        <v>298</v>
      </c>
      <c r="I258" s="48" t="n">
        <v>46281</v>
      </c>
      <c r="J258" s="0" t="n">
        <v>0</v>
      </c>
      <c r="K258" s="49" t="s">
        <v>1082</v>
      </c>
      <c r="L258" s="49" t="s">
        <v>335</v>
      </c>
      <c r="M258" s="48" t="n">
        <v>46281</v>
      </c>
      <c r="N258" s="49" t="s">
        <v>335</v>
      </c>
      <c r="O258" s="49" t="s">
        <v>1083</v>
      </c>
      <c r="P258" s="48"/>
      <c r="Q258" s="48" t="n">
        <v>46281</v>
      </c>
      <c r="R258" s="48" t="n">
        <v>46288</v>
      </c>
      <c r="T258" s="49" t="s">
        <v>302</v>
      </c>
      <c r="U258" s="49" t="s">
        <v>303</v>
      </c>
      <c r="Y258" s="49" t="s">
        <v>1105</v>
      </c>
      <c r="AD258" s="49" t="s">
        <v>305</v>
      </c>
      <c r="AE258" s="48" t="n">
        <v>46260</v>
      </c>
      <c r="AF258" s="49" t="s">
        <v>306</v>
      </c>
      <c r="AG258" s="49" t="s">
        <v>307</v>
      </c>
      <c r="AK258" s="49" t="s">
        <v>303</v>
      </c>
      <c r="AL258" s="49" t="s">
        <v>297</v>
      </c>
      <c r="AO258" s="49" t="s">
        <v>303</v>
      </c>
      <c r="AP258" s="48"/>
      <c r="AR258" s="49" t="s">
        <v>303</v>
      </c>
      <c r="AS258" s="49" t="s">
        <v>306</v>
      </c>
      <c r="AT258" s="49" t="s">
        <v>1106</v>
      </c>
      <c r="AV258" s="49" t="s">
        <v>309</v>
      </c>
      <c r="AW258" s="49" t="s">
        <v>310</v>
      </c>
      <c r="AX258" s="49" t="s">
        <v>311</v>
      </c>
      <c r="AY258" s="48"/>
      <c r="AZ258" s="48" t="n">
        <v>46279</v>
      </c>
      <c r="BC258" s="49" t="s">
        <v>303</v>
      </c>
      <c r="BD258" s="48"/>
      <c r="BE258" s="49" t="s">
        <v>312</v>
      </c>
      <c r="BF258" s="49" t="s">
        <v>303</v>
      </c>
      <c r="BG258" s="48"/>
      <c r="BI258" s="48"/>
      <c r="BJ258" s="48" t="n">
        <v>46286</v>
      </c>
      <c r="BK258" s="49" t="s">
        <v>312</v>
      </c>
      <c r="BL258" s="49" t="s">
        <v>313</v>
      </c>
      <c r="BM258" s="49" t="s">
        <v>310</v>
      </c>
      <c r="BN258" s="48"/>
      <c r="BO258" s="48"/>
      <c r="BP258" s="48"/>
      <c r="BQ258" s="49" t="s">
        <v>1082</v>
      </c>
      <c r="BR258" s="48" t="n">
        <v>46286</v>
      </c>
      <c r="BS258" s="49" t="s">
        <v>1107</v>
      </c>
      <c r="BT258" s="49" t="s">
        <v>312</v>
      </c>
      <c r="BU258" s="49" t="s">
        <v>313</v>
      </c>
      <c r="BV258" s="49" t="s">
        <v>303</v>
      </c>
      <c r="BX258" s="0" t="n">
        <v>0</v>
      </c>
      <c r="CC258" s="49" t="s">
        <v>315</v>
      </c>
      <c r="CD258" s="49" t="s">
        <v>303</v>
      </c>
      <c r="CF258" s="49" t="s">
        <v>303</v>
      </c>
      <c r="CG258" s="49" t="s">
        <v>316</v>
      </c>
      <c r="CH258" s="49" t="s">
        <v>317</v>
      </c>
      <c r="CI258" s="49" t="s">
        <v>318</v>
      </c>
      <c r="CM258" s="49" t="s">
        <v>468</v>
      </c>
      <c r="CV258" s="49" t="s">
        <v>303</v>
      </c>
      <c r="DB258" s="49" t="s">
        <v>319</v>
      </c>
      <c r="DD258" s="48" t="n">
        <v>46260</v>
      </c>
      <c r="DF258" s="49" t="s">
        <v>310</v>
      </c>
      <c r="DG258" s="49" t="s">
        <v>320</v>
      </c>
      <c r="DH258" s="49" t="s">
        <v>70</v>
      </c>
      <c r="DI258" s="49" t="s">
        <v>298</v>
      </c>
      <c r="DJ258" s="49" t="s">
        <v>321</v>
      </c>
      <c r="DK258" s="49" t="s">
        <v>322</v>
      </c>
      <c r="DL258" s="49" t="s">
        <v>323</v>
      </c>
      <c r="DM258" s="49" t="s">
        <v>303</v>
      </c>
      <c r="DN258" s="49" t="s">
        <v>297</v>
      </c>
      <c r="DO258" s="48"/>
      <c r="DP258" s="49" t="s">
        <v>312</v>
      </c>
      <c r="DQ258" s="48"/>
      <c r="DR258" s="49" t="s">
        <v>312</v>
      </c>
      <c r="DS258" s="49" t="s">
        <v>303</v>
      </c>
      <c r="DT258" s="49" t="s">
        <v>303</v>
      </c>
      <c r="DW258" s="49" t="s">
        <v>303</v>
      </c>
      <c r="EA258" s="49" t="s">
        <v>324</v>
      </c>
      <c r="EB258" s="49" t="s">
        <v>303</v>
      </c>
      <c r="EH258" s="49" t="s">
        <v>325</v>
      </c>
      <c r="EJ258" s="49" t="s">
        <v>303</v>
      </c>
      <c r="EK258" s="49" t="s">
        <v>1108</v>
      </c>
      <c r="EM258" s="49" t="s">
        <v>303</v>
      </c>
      <c r="EN258" s="49" t="s">
        <v>472</v>
      </c>
      <c r="EP258" s="49" t="s">
        <v>298</v>
      </c>
      <c r="EQ258" s="0" t="n">
        <v>1</v>
      </c>
      <c r="ER258" s="49" t="s">
        <v>328</v>
      </c>
      <c r="ES258" s="49" t="s">
        <v>329</v>
      </c>
      <c r="ET258" s="49" t="s">
        <v>310</v>
      </c>
      <c r="EU258" s="49" t="s">
        <v>310</v>
      </c>
      <c r="EV258" s="49" t="s">
        <v>310</v>
      </c>
      <c r="EX258" s="49" t="s">
        <v>303</v>
      </c>
      <c r="EY258" s="49" t="s">
        <v>303</v>
      </c>
      <c r="FC258" s="49" t="s">
        <v>330</v>
      </c>
      <c r="FD258" s="49" t="s">
        <v>310</v>
      </c>
      <c r="FE258" s="49" t="s">
        <v>310</v>
      </c>
      <c r="FF258" s="49" t="s">
        <v>70</v>
      </c>
      <c r="FG258" s="49" t="s">
        <v>473</v>
      </c>
      <c r="FH258" s="49" t="s">
        <v>310</v>
      </c>
      <c r="FI258" s="49" t="s">
        <v>332</v>
      </c>
      <c r="FJ258" s="49" t="s">
        <v>303</v>
      </c>
      <c r="FL258" s="49" t="s">
        <v>325</v>
      </c>
      <c r="FM258" s="49" t="s">
        <v>1082</v>
      </c>
      <c r="FP258" s="49" t="s">
        <v>303</v>
      </c>
      <c r="FR258" s="49" t="s">
        <v>303</v>
      </c>
      <c r="FT258" s="49" t="s">
        <v>325</v>
      </c>
      <c r="FU258" s="49" t="s">
        <v>325</v>
      </c>
      <c r="FW258" s="49" t="s">
        <v>333</v>
      </c>
    </row>
    <row r="259" customFormat="false" ht="15" hidden="false" customHeight="false" outlineLevel="0" collapsed="false">
      <c r="A259" s="0" t="n">
        <v>100877980</v>
      </c>
      <c r="B259" s="0" t="s">
        <v>295</v>
      </c>
      <c r="C259" s="0" t="s">
        <v>70</v>
      </c>
      <c r="D259" s="0" t="s">
        <v>468</v>
      </c>
      <c r="E259" s="0" t="s">
        <v>297</v>
      </c>
      <c r="G259" s="0" t="n">
        <v>1</v>
      </c>
      <c r="H259" s="0" t="s">
        <v>298</v>
      </c>
      <c r="I259" s="48" t="n">
        <v>46281</v>
      </c>
      <c r="J259" s="0" t="n">
        <v>0</v>
      </c>
      <c r="K259" s="49" t="s">
        <v>1082</v>
      </c>
      <c r="L259" s="49" t="s">
        <v>335</v>
      </c>
      <c r="M259" s="48"/>
      <c r="O259" s="49" t="s">
        <v>1083</v>
      </c>
      <c r="P259" s="48"/>
      <c r="Q259" s="48" t="n">
        <v>46281</v>
      </c>
      <c r="R259" s="48" t="n">
        <v>46287</v>
      </c>
      <c r="T259" s="49" t="s">
        <v>302</v>
      </c>
      <c r="U259" s="49" t="s">
        <v>303</v>
      </c>
      <c r="Y259" s="49" t="s">
        <v>312</v>
      </c>
      <c r="AD259" s="49" t="s">
        <v>305</v>
      </c>
      <c r="AE259" s="48" t="n">
        <v>46260</v>
      </c>
      <c r="AF259" s="49" t="s">
        <v>306</v>
      </c>
      <c r="AG259" s="49" t="s">
        <v>307</v>
      </c>
      <c r="AK259" s="49" t="s">
        <v>303</v>
      </c>
      <c r="AL259" s="49" t="s">
        <v>297</v>
      </c>
      <c r="AO259" s="49" t="s">
        <v>303</v>
      </c>
      <c r="AP259" s="48"/>
      <c r="AR259" s="49" t="s">
        <v>303</v>
      </c>
      <c r="AS259" s="49" t="s">
        <v>306</v>
      </c>
      <c r="AT259" s="49" t="s">
        <v>1109</v>
      </c>
      <c r="AV259" s="49" t="s">
        <v>309</v>
      </c>
      <c r="AW259" s="49" t="s">
        <v>310</v>
      </c>
      <c r="AX259" s="49" t="s">
        <v>311</v>
      </c>
      <c r="AY259" s="48"/>
      <c r="AZ259" s="48" t="n">
        <v>46279</v>
      </c>
      <c r="BC259" s="49" t="s">
        <v>303</v>
      </c>
      <c r="BD259" s="48"/>
      <c r="BE259" s="49" t="s">
        <v>312</v>
      </c>
      <c r="BF259" s="49" t="s">
        <v>303</v>
      </c>
      <c r="BG259" s="48"/>
      <c r="BI259" s="48"/>
      <c r="BJ259" s="48" t="n">
        <v>46286</v>
      </c>
      <c r="BK259" s="49" t="s">
        <v>313</v>
      </c>
      <c r="BL259" s="49" t="s">
        <v>313</v>
      </c>
      <c r="BM259" s="49" t="s">
        <v>310</v>
      </c>
      <c r="BN259" s="48"/>
      <c r="BO259" s="48"/>
      <c r="BP259" s="48"/>
      <c r="BQ259" s="49" t="s">
        <v>1082</v>
      </c>
      <c r="BR259" s="48" t="n">
        <v>46286</v>
      </c>
      <c r="BS259" s="49" t="s">
        <v>1107</v>
      </c>
      <c r="BT259" s="49" t="s">
        <v>312</v>
      </c>
      <c r="BU259" s="49" t="s">
        <v>313</v>
      </c>
      <c r="BV259" s="49" t="s">
        <v>303</v>
      </c>
      <c r="BX259" s="0" t="n">
        <v>0</v>
      </c>
      <c r="CC259" s="49" t="s">
        <v>315</v>
      </c>
      <c r="CD259" s="49" t="s">
        <v>303</v>
      </c>
      <c r="CF259" s="49" t="s">
        <v>303</v>
      </c>
      <c r="CG259" s="49" t="s">
        <v>316</v>
      </c>
      <c r="CH259" s="49" t="s">
        <v>317</v>
      </c>
      <c r="CI259" s="49" t="s">
        <v>318</v>
      </c>
      <c r="CM259" s="49" t="s">
        <v>468</v>
      </c>
      <c r="CV259" s="49" t="s">
        <v>303</v>
      </c>
      <c r="DB259" s="49" t="s">
        <v>319</v>
      </c>
      <c r="DD259" s="48" t="n">
        <v>46260</v>
      </c>
      <c r="DF259" s="49" t="s">
        <v>310</v>
      </c>
      <c r="DG259" s="49" t="s">
        <v>320</v>
      </c>
      <c r="DH259" s="49" t="s">
        <v>70</v>
      </c>
      <c r="DI259" s="49" t="s">
        <v>298</v>
      </c>
      <c r="DJ259" s="49" t="s">
        <v>321</v>
      </c>
      <c r="DK259" s="49" t="s">
        <v>322</v>
      </c>
      <c r="DL259" s="49" t="s">
        <v>323</v>
      </c>
      <c r="DM259" s="49" t="s">
        <v>303</v>
      </c>
      <c r="DN259" s="49" t="s">
        <v>297</v>
      </c>
      <c r="DO259" s="48"/>
      <c r="DP259" s="49" t="s">
        <v>312</v>
      </c>
      <c r="DQ259" s="48"/>
      <c r="DR259" s="49" t="s">
        <v>312</v>
      </c>
      <c r="DS259" s="49" t="s">
        <v>303</v>
      </c>
      <c r="DT259" s="49" t="s">
        <v>303</v>
      </c>
      <c r="DW259" s="49" t="s">
        <v>303</v>
      </c>
      <c r="EA259" s="49" t="s">
        <v>324</v>
      </c>
      <c r="EB259" s="49" t="s">
        <v>303</v>
      </c>
      <c r="EF259" s="49" t="s">
        <v>1110</v>
      </c>
      <c r="EH259" s="49" t="s">
        <v>325</v>
      </c>
      <c r="EJ259" s="49" t="s">
        <v>303</v>
      </c>
      <c r="EK259" s="49" t="s">
        <v>1111</v>
      </c>
      <c r="EM259" s="49" t="s">
        <v>303</v>
      </c>
      <c r="EN259" s="49" t="s">
        <v>472</v>
      </c>
      <c r="EP259" s="49" t="s">
        <v>298</v>
      </c>
      <c r="EQ259" s="0" t="n">
        <v>1</v>
      </c>
      <c r="ER259" s="49" t="s">
        <v>328</v>
      </c>
      <c r="ES259" s="49" t="s">
        <v>329</v>
      </c>
      <c r="ET259" s="49" t="s">
        <v>310</v>
      </c>
      <c r="EU259" s="49" t="s">
        <v>310</v>
      </c>
      <c r="EV259" s="49" t="s">
        <v>310</v>
      </c>
      <c r="EX259" s="49" t="s">
        <v>303</v>
      </c>
      <c r="EY259" s="49" t="s">
        <v>303</v>
      </c>
      <c r="FC259" s="49" t="s">
        <v>330</v>
      </c>
      <c r="FD259" s="49" t="s">
        <v>310</v>
      </c>
      <c r="FE259" s="49" t="s">
        <v>310</v>
      </c>
      <c r="FF259" s="49" t="s">
        <v>70</v>
      </c>
      <c r="FG259" s="49" t="s">
        <v>473</v>
      </c>
      <c r="FH259" s="49" t="s">
        <v>310</v>
      </c>
      <c r="FI259" s="49" t="s">
        <v>332</v>
      </c>
      <c r="FJ259" s="49" t="s">
        <v>303</v>
      </c>
      <c r="FL259" s="49" t="s">
        <v>325</v>
      </c>
      <c r="FM259" s="49" t="s">
        <v>1082</v>
      </c>
      <c r="FP259" s="49" t="s">
        <v>303</v>
      </c>
      <c r="FR259" s="49" t="s">
        <v>303</v>
      </c>
      <c r="FT259" s="49" t="s">
        <v>325</v>
      </c>
      <c r="FU259" s="49" t="s">
        <v>325</v>
      </c>
      <c r="FW259" s="49" t="s">
        <v>333</v>
      </c>
    </row>
    <row r="260" customFormat="false" ht="15" hidden="false" customHeight="false" outlineLevel="0" collapsed="false">
      <c r="A260" s="0" t="n">
        <v>100877981</v>
      </c>
      <c r="B260" s="0" t="s">
        <v>295</v>
      </c>
      <c r="C260" s="0" t="s">
        <v>70</v>
      </c>
      <c r="D260" s="0" t="s">
        <v>468</v>
      </c>
      <c r="E260" s="0" t="s">
        <v>297</v>
      </c>
      <c r="G260" s="0" t="n">
        <v>1</v>
      </c>
      <c r="H260" s="0" t="s">
        <v>298</v>
      </c>
      <c r="I260" s="48" t="n">
        <v>46281</v>
      </c>
      <c r="J260" s="0" t="n">
        <v>0</v>
      </c>
      <c r="K260" s="49" t="s">
        <v>1082</v>
      </c>
      <c r="L260" s="49" t="s">
        <v>335</v>
      </c>
      <c r="M260" s="48"/>
      <c r="O260" s="49" t="s">
        <v>1083</v>
      </c>
      <c r="P260" s="48"/>
      <c r="Q260" s="48" t="n">
        <v>46281</v>
      </c>
      <c r="R260" s="48" t="n">
        <v>46287</v>
      </c>
      <c r="T260" s="49" t="s">
        <v>302</v>
      </c>
      <c r="U260" s="49" t="s">
        <v>303</v>
      </c>
      <c r="Y260" s="49" t="s">
        <v>312</v>
      </c>
      <c r="AD260" s="49" t="s">
        <v>305</v>
      </c>
      <c r="AE260" s="48" t="n">
        <v>46260</v>
      </c>
      <c r="AF260" s="49" t="s">
        <v>306</v>
      </c>
      <c r="AG260" s="49" t="s">
        <v>307</v>
      </c>
      <c r="AK260" s="49" t="s">
        <v>303</v>
      </c>
      <c r="AL260" s="49" t="s">
        <v>297</v>
      </c>
      <c r="AO260" s="49" t="s">
        <v>303</v>
      </c>
      <c r="AP260" s="48"/>
      <c r="AR260" s="49" t="s">
        <v>303</v>
      </c>
      <c r="AS260" s="49" t="s">
        <v>306</v>
      </c>
      <c r="AT260" s="49" t="s">
        <v>1112</v>
      </c>
      <c r="AV260" s="49" t="s">
        <v>309</v>
      </c>
      <c r="AW260" s="49" t="s">
        <v>310</v>
      </c>
      <c r="AX260" s="49" t="s">
        <v>311</v>
      </c>
      <c r="AY260" s="48"/>
      <c r="AZ260" s="48" t="n">
        <v>46279</v>
      </c>
      <c r="BC260" s="49" t="s">
        <v>303</v>
      </c>
      <c r="BD260" s="48"/>
      <c r="BE260" s="49" t="s">
        <v>312</v>
      </c>
      <c r="BF260" s="49" t="s">
        <v>303</v>
      </c>
      <c r="BG260" s="48"/>
      <c r="BI260" s="48"/>
      <c r="BJ260" s="48" t="n">
        <v>46286</v>
      </c>
      <c r="BK260" s="49" t="s">
        <v>313</v>
      </c>
      <c r="BL260" s="49" t="s">
        <v>313</v>
      </c>
      <c r="BM260" s="49" t="s">
        <v>310</v>
      </c>
      <c r="BN260" s="48"/>
      <c r="BO260" s="48"/>
      <c r="BP260" s="48"/>
      <c r="BQ260" s="49" t="s">
        <v>1082</v>
      </c>
      <c r="BR260" s="48" t="n">
        <v>46286</v>
      </c>
      <c r="BS260" s="49" t="s">
        <v>1113</v>
      </c>
      <c r="BT260" s="49" t="s">
        <v>312</v>
      </c>
      <c r="BU260" s="49" t="s">
        <v>313</v>
      </c>
      <c r="BV260" s="49" t="s">
        <v>303</v>
      </c>
      <c r="BX260" s="0" t="n">
        <v>0</v>
      </c>
      <c r="CC260" s="49" t="s">
        <v>315</v>
      </c>
      <c r="CD260" s="49" t="s">
        <v>303</v>
      </c>
      <c r="CF260" s="49" t="s">
        <v>303</v>
      </c>
      <c r="CG260" s="49" t="s">
        <v>316</v>
      </c>
      <c r="CH260" s="49" t="s">
        <v>317</v>
      </c>
      <c r="CI260" s="49" t="s">
        <v>318</v>
      </c>
      <c r="CM260" s="49" t="s">
        <v>468</v>
      </c>
      <c r="CV260" s="49" t="s">
        <v>303</v>
      </c>
      <c r="DB260" s="49" t="s">
        <v>319</v>
      </c>
      <c r="DD260" s="48" t="n">
        <v>46260</v>
      </c>
      <c r="DF260" s="49" t="s">
        <v>310</v>
      </c>
      <c r="DG260" s="49" t="s">
        <v>320</v>
      </c>
      <c r="DH260" s="49" t="s">
        <v>70</v>
      </c>
      <c r="DI260" s="49" t="s">
        <v>298</v>
      </c>
      <c r="DJ260" s="49" t="s">
        <v>321</v>
      </c>
      <c r="DK260" s="49" t="s">
        <v>322</v>
      </c>
      <c r="DL260" s="49" t="s">
        <v>323</v>
      </c>
      <c r="DM260" s="49" t="s">
        <v>303</v>
      </c>
      <c r="DN260" s="49" t="s">
        <v>297</v>
      </c>
      <c r="DO260" s="48"/>
      <c r="DP260" s="49" t="s">
        <v>312</v>
      </c>
      <c r="DQ260" s="48"/>
      <c r="DR260" s="49" t="s">
        <v>312</v>
      </c>
      <c r="DS260" s="49" t="s">
        <v>303</v>
      </c>
      <c r="DT260" s="49" t="s">
        <v>303</v>
      </c>
      <c r="DW260" s="49" t="s">
        <v>303</v>
      </c>
      <c r="EA260" s="49" t="s">
        <v>324</v>
      </c>
      <c r="EB260" s="49" t="s">
        <v>303</v>
      </c>
      <c r="EF260" s="49" t="s">
        <v>1110</v>
      </c>
      <c r="EH260" s="49" t="s">
        <v>325</v>
      </c>
      <c r="EJ260" s="49" t="s">
        <v>303</v>
      </c>
      <c r="EK260" s="49" t="s">
        <v>1114</v>
      </c>
      <c r="EM260" s="49" t="s">
        <v>303</v>
      </c>
      <c r="EN260" s="49" t="s">
        <v>472</v>
      </c>
      <c r="EP260" s="49" t="s">
        <v>298</v>
      </c>
      <c r="EQ260" s="0" t="n">
        <v>1</v>
      </c>
      <c r="ER260" s="49" t="s">
        <v>328</v>
      </c>
      <c r="ES260" s="49" t="s">
        <v>329</v>
      </c>
      <c r="ET260" s="49" t="s">
        <v>310</v>
      </c>
      <c r="EU260" s="49" t="s">
        <v>310</v>
      </c>
      <c r="EV260" s="49" t="s">
        <v>310</v>
      </c>
      <c r="EX260" s="49" t="s">
        <v>303</v>
      </c>
      <c r="EY260" s="49" t="s">
        <v>303</v>
      </c>
      <c r="FC260" s="49" t="s">
        <v>330</v>
      </c>
      <c r="FD260" s="49" t="s">
        <v>310</v>
      </c>
      <c r="FE260" s="49" t="s">
        <v>310</v>
      </c>
      <c r="FF260" s="49" t="s">
        <v>70</v>
      </c>
      <c r="FG260" s="49" t="s">
        <v>473</v>
      </c>
      <c r="FH260" s="49" t="s">
        <v>310</v>
      </c>
      <c r="FI260" s="49" t="s">
        <v>332</v>
      </c>
      <c r="FJ260" s="49" t="s">
        <v>303</v>
      </c>
      <c r="FL260" s="49" t="s">
        <v>325</v>
      </c>
      <c r="FM260" s="49" t="s">
        <v>1082</v>
      </c>
      <c r="FP260" s="49" t="s">
        <v>303</v>
      </c>
      <c r="FR260" s="49" t="s">
        <v>303</v>
      </c>
      <c r="FT260" s="49" t="s">
        <v>325</v>
      </c>
      <c r="FU260" s="49" t="s">
        <v>325</v>
      </c>
      <c r="FW260" s="49" t="s">
        <v>333</v>
      </c>
    </row>
    <row r="261" customFormat="false" ht="15" hidden="false" customHeight="false" outlineLevel="0" collapsed="false">
      <c r="A261" s="0" t="n">
        <v>100877983</v>
      </c>
      <c r="B261" s="0" t="s">
        <v>295</v>
      </c>
      <c r="C261" s="0" t="s">
        <v>72</v>
      </c>
      <c r="D261" s="0" t="s">
        <v>480</v>
      </c>
      <c r="E261" s="0" t="s">
        <v>297</v>
      </c>
      <c r="G261" s="0" t="n">
        <v>1</v>
      </c>
      <c r="H261" s="0" t="s">
        <v>298</v>
      </c>
      <c r="I261" s="48" t="n">
        <v>46281</v>
      </c>
      <c r="J261" s="0" t="n">
        <v>0</v>
      </c>
      <c r="K261" s="49" t="s">
        <v>1082</v>
      </c>
      <c r="L261" s="49" t="s">
        <v>335</v>
      </c>
      <c r="M261" s="48" t="n">
        <v>46281</v>
      </c>
      <c r="N261" s="49" t="s">
        <v>335</v>
      </c>
      <c r="O261" s="49" t="s">
        <v>1083</v>
      </c>
      <c r="P261" s="48"/>
      <c r="Q261" s="48" t="n">
        <v>46281</v>
      </c>
      <c r="R261" s="48" t="n">
        <v>46288</v>
      </c>
      <c r="T261" s="49" t="s">
        <v>302</v>
      </c>
      <c r="U261" s="49" t="s">
        <v>303</v>
      </c>
      <c r="Y261" s="49" t="s">
        <v>1115</v>
      </c>
      <c r="AD261" s="49" t="s">
        <v>305</v>
      </c>
      <c r="AE261" s="48" t="n">
        <v>46253</v>
      </c>
      <c r="AF261" s="49" t="s">
        <v>306</v>
      </c>
      <c r="AG261" s="49" t="s">
        <v>307</v>
      </c>
      <c r="AK261" s="49" t="s">
        <v>303</v>
      </c>
      <c r="AL261" s="49" t="s">
        <v>297</v>
      </c>
      <c r="AO261" s="49" t="s">
        <v>303</v>
      </c>
      <c r="AP261" s="48"/>
      <c r="AR261" s="49" t="s">
        <v>303</v>
      </c>
      <c r="AS261" s="49" t="s">
        <v>306</v>
      </c>
      <c r="AT261" s="49" t="s">
        <v>1116</v>
      </c>
      <c r="AV261" s="49" t="s">
        <v>309</v>
      </c>
      <c r="AW261" s="49" t="s">
        <v>310</v>
      </c>
      <c r="AX261" s="49" t="s">
        <v>311</v>
      </c>
      <c r="AY261" s="48"/>
      <c r="AZ261" s="48" t="n">
        <v>46279</v>
      </c>
      <c r="BC261" s="49" t="s">
        <v>303</v>
      </c>
      <c r="BD261" s="48"/>
      <c r="BE261" s="49" t="s">
        <v>312</v>
      </c>
      <c r="BF261" s="49" t="s">
        <v>303</v>
      </c>
      <c r="BG261" s="48"/>
      <c r="BI261" s="48"/>
      <c r="BJ261" s="48" t="n">
        <v>46286</v>
      </c>
      <c r="BK261" s="49" t="s">
        <v>312</v>
      </c>
      <c r="BL261" s="49" t="s">
        <v>313</v>
      </c>
      <c r="BM261" s="49" t="s">
        <v>310</v>
      </c>
      <c r="BN261" s="48"/>
      <c r="BO261" s="48"/>
      <c r="BP261" s="48"/>
      <c r="BQ261" s="49" t="s">
        <v>1082</v>
      </c>
      <c r="BR261" s="48" t="n">
        <v>46286</v>
      </c>
      <c r="BS261" s="49" t="s">
        <v>1113</v>
      </c>
      <c r="BT261" s="49" t="s">
        <v>312</v>
      </c>
      <c r="BU261" s="49" t="s">
        <v>313</v>
      </c>
      <c r="BV261" s="49" t="s">
        <v>303</v>
      </c>
      <c r="BX261" s="0" t="n">
        <v>0</v>
      </c>
      <c r="CC261" s="49" t="s">
        <v>315</v>
      </c>
      <c r="CD261" s="49" t="s">
        <v>303</v>
      </c>
      <c r="CF261" s="49" t="s">
        <v>303</v>
      </c>
      <c r="CG261" s="49" t="s">
        <v>316</v>
      </c>
      <c r="CH261" s="49" t="s">
        <v>317</v>
      </c>
      <c r="CI261" s="49" t="s">
        <v>318</v>
      </c>
      <c r="CM261" s="49" t="s">
        <v>480</v>
      </c>
      <c r="CV261" s="49" t="s">
        <v>303</v>
      </c>
      <c r="DB261" s="49" t="s">
        <v>319</v>
      </c>
      <c r="DD261" s="48" t="n">
        <v>46253</v>
      </c>
      <c r="DF261" s="49" t="s">
        <v>310</v>
      </c>
      <c r="DG261" s="49" t="s">
        <v>320</v>
      </c>
      <c r="DH261" s="49" t="s">
        <v>72</v>
      </c>
      <c r="DI261" s="49" t="s">
        <v>298</v>
      </c>
      <c r="DJ261" s="49" t="s">
        <v>321</v>
      </c>
      <c r="DK261" s="49" t="s">
        <v>322</v>
      </c>
      <c r="DL261" s="49" t="s">
        <v>323</v>
      </c>
      <c r="DM261" s="49" t="s">
        <v>303</v>
      </c>
      <c r="DN261" s="49" t="s">
        <v>297</v>
      </c>
      <c r="DO261" s="48"/>
      <c r="DP261" s="49" t="s">
        <v>312</v>
      </c>
      <c r="DQ261" s="48"/>
      <c r="DR261" s="49" t="s">
        <v>312</v>
      </c>
      <c r="DS261" s="49" t="s">
        <v>303</v>
      </c>
      <c r="DT261" s="49" t="s">
        <v>303</v>
      </c>
      <c r="DW261" s="49" t="s">
        <v>303</v>
      </c>
      <c r="EA261" s="49" t="s">
        <v>324</v>
      </c>
      <c r="EB261" s="49" t="s">
        <v>303</v>
      </c>
      <c r="EH261" s="49" t="s">
        <v>325</v>
      </c>
      <c r="EJ261" s="49" t="s">
        <v>303</v>
      </c>
      <c r="EK261" s="49" t="s">
        <v>1117</v>
      </c>
      <c r="EM261" s="49" t="s">
        <v>303</v>
      </c>
      <c r="EN261" s="49" t="s">
        <v>485</v>
      </c>
      <c r="EP261" s="49" t="s">
        <v>298</v>
      </c>
      <c r="EQ261" s="0" t="n">
        <v>1</v>
      </c>
      <c r="ER261" s="49" t="s">
        <v>328</v>
      </c>
      <c r="ES261" s="49" t="s">
        <v>329</v>
      </c>
      <c r="ET261" s="49" t="s">
        <v>310</v>
      </c>
      <c r="EU261" s="49" t="s">
        <v>310</v>
      </c>
      <c r="EV261" s="49" t="s">
        <v>310</v>
      </c>
      <c r="EX261" s="49" t="s">
        <v>303</v>
      </c>
      <c r="EY261" s="49" t="s">
        <v>303</v>
      </c>
      <c r="FC261" s="49" t="s">
        <v>330</v>
      </c>
      <c r="FD261" s="49" t="s">
        <v>310</v>
      </c>
      <c r="FE261" s="49" t="s">
        <v>310</v>
      </c>
      <c r="FF261" s="49" t="s">
        <v>72</v>
      </c>
      <c r="FG261" s="49" t="s">
        <v>486</v>
      </c>
      <c r="FH261" s="49" t="s">
        <v>310</v>
      </c>
      <c r="FI261" s="49" t="s">
        <v>332</v>
      </c>
      <c r="FJ261" s="49" t="s">
        <v>303</v>
      </c>
      <c r="FL261" s="49" t="s">
        <v>325</v>
      </c>
      <c r="FM261" s="49" t="s">
        <v>1082</v>
      </c>
      <c r="FP261" s="49" t="s">
        <v>303</v>
      </c>
      <c r="FR261" s="49" t="s">
        <v>303</v>
      </c>
      <c r="FT261" s="49" t="s">
        <v>325</v>
      </c>
      <c r="FU261" s="49" t="s">
        <v>325</v>
      </c>
      <c r="FW261" s="49" t="s">
        <v>333</v>
      </c>
    </row>
    <row r="262" customFormat="false" ht="15" hidden="false" customHeight="false" outlineLevel="0" collapsed="false">
      <c r="A262" s="0" t="n">
        <v>100877984</v>
      </c>
      <c r="B262" s="0" t="s">
        <v>295</v>
      </c>
      <c r="C262" s="0" t="s">
        <v>72</v>
      </c>
      <c r="D262" s="0" t="s">
        <v>480</v>
      </c>
      <c r="E262" s="0" t="s">
        <v>297</v>
      </c>
      <c r="G262" s="0" t="n">
        <v>1</v>
      </c>
      <c r="H262" s="0" t="s">
        <v>298</v>
      </c>
      <c r="I262" s="48" t="n">
        <v>46281</v>
      </c>
      <c r="J262" s="0" t="n">
        <v>0</v>
      </c>
      <c r="K262" s="49" t="s">
        <v>1082</v>
      </c>
      <c r="L262" s="49" t="s">
        <v>335</v>
      </c>
      <c r="M262" s="48"/>
      <c r="O262" s="49" t="s">
        <v>1083</v>
      </c>
      <c r="P262" s="48"/>
      <c r="Q262" s="48" t="n">
        <v>46281</v>
      </c>
      <c r="R262" s="48" t="n">
        <v>46287</v>
      </c>
      <c r="T262" s="49" t="s">
        <v>302</v>
      </c>
      <c r="U262" s="49" t="s">
        <v>303</v>
      </c>
      <c r="Y262" s="49" t="s">
        <v>312</v>
      </c>
      <c r="AD262" s="49" t="s">
        <v>305</v>
      </c>
      <c r="AE262" s="48" t="n">
        <v>46253</v>
      </c>
      <c r="AF262" s="49" t="s">
        <v>306</v>
      </c>
      <c r="AG262" s="49" t="s">
        <v>307</v>
      </c>
      <c r="AK262" s="49" t="s">
        <v>303</v>
      </c>
      <c r="AL262" s="49" t="s">
        <v>297</v>
      </c>
      <c r="AO262" s="49" t="s">
        <v>303</v>
      </c>
      <c r="AP262" s="48"/>
      <c r="AR262" s="49" t="s">
        <v>303</v>
      </c>
      <c r="AS262" s="49" t="s">
        <v>306</v>
      </c>
      <c r="AT262" s="49" t="s">
        <v>1118</v>
      </c>
      <c r="AV262" s="49" t="s">
        <v>309</v>
      </c>
      <c r="AW262" s="49" t="s">
        <v>310</v>
      </c>
      <c r="AX262" s="49" t="s">
        <v>311</v>
      </c>
      <c r="AY262" s="48"/>
      <c r="AZ262" s="48" t="n">
        <v>46279</v>
      </c>
      <c r="BC262" s="49" t="s">
        <v>303</v>
      </c>
      <c r="BD262" s="48"/>
      <c r="BE262" s="49" t="s">
        <v>312</v>
      </c>
      <c r="BF262" s="49" t="s">
        <v>303</v>
      </c>
      <c r="BG262" s="48"/>
      <c r="BI262" s="48"/>
      <c r="BJ262" s="48" t="n">
        <v>46286</v>
      </c>
      <c r="BK262" s="49" t="s">
        <v>313</v>
      </c>
      <c r="BL262" s="49" t="s">
        <v>313</v>
      </c>
      <c r="BM262" s="49" t="s">
        <v>310</v>
      </c>
      <c r="BN262" s="48"/>
      <c r="BO262" s="48"/>
      <c r="BP262" s="48"/>
      <c r="BQ262" s="49" t="s">
        <v>1082</v>
      </c>
      <c r="BR262" s="48" t="n">
        <v>46286</v>
      </c>
      <c r="BS262" s="49" t="s">
        <v>1113</v>
      </c>
      <c r="BT262" s="49" t="s">
        <v>312</v>
      </c>
      <c r="BU262" s="49" t="s">
        <v>313</v>
      </c>
      <c r="BV262" s="49" t="s">
        <v>303</v>
      </c>
      <c r="BX262" s="0" t="n">
        <v>0</v>
      </c>
      <c r="CC262" s="49" t="s">
        <v>315</v>
      </c>
      <c r="CD262" s="49" t="s">
        <v>303</v>
      </c>
      <c r="CF262" s="49" t="s">
        <v>303</v>
      </c>
      <c r="CG262" s="49" t="s">
        <v>316</v>
      </c>
      <c r="CH262" s="49" t="s">
        <v>317</v>
      </c>
      <c r="CI262" s="49" t="s">
        <v>318</v>
      </c>
      <c r="CM262" s="49" t="s">
        <v>480</v>
      </c>
      <c r="CV262" s="49" t="s">
        <v>303</v>
      </c>
      <c r="DB262" s="49" t="s">
        <v>319</v>
      </c>
      <c r="DD262" s="48" t="n">
        <v>46253</v>
      </c>
      <c r="DF262" s="49" t="s">
        <v>310</v>
      </c>
      <c r="DG262" s="49" t="s">
        <v>320</v>
      </c>
      <c r="DH262" s="49" t="s">
        <v>72</v>
      </c>
      <c r="DI262" s="49" t="s">
        <v>298</v>
      </c>
      <c r="DJ262" s="49" t="s">
        <v>321</v>
      </c>
      <c r="DK262" s="49" t="s">
        <v>322</v>
      </c>
      <c r="DL262" s="49" t="s">
        <v>323</v>
      </c>
      <c r="DM262" s="49" t="s">
        <v>303</v>
      </c>
      <c r="DN262" s="49" t="s">
        <v>297</v>
      </c>
      <c r="DO262" s="48"/>
      <c r="DP262" s="49" t="s">
        <v>312</v>
      </c>
      <c r="DQ262" s="48"/>
      <c r="DR262" s="49" t="s">
        <v>312</v>
      </c>
      <c r="DS262" s="49" t="s">
        <v>303</v>
      </c>
      <c r="DT262" s="49" t="s">
        <v>303</v>
      </c>
      <c r="DW262" s="49" t="s">
        <v>303</v>
      </c>
      <c r="EA262" s="49" t="s">
        <v>324</v>
      </c>
      <c r="EB262" s="49" t="s">
        <v>303</v>
      </c>
      <c r="EF262" s="49" t="s">
        <v>1119</v>
      </c>
      <c r="EH262" s="49" t="s">
        <v>325</v>
      </c>
      <c r="EJ262" s="49" t="s">
        <v>303</v>
      </c>
      <c r="EK262" s="49" t="s">
        <v>1120</v>
      </c>
      <c r="EM262" s="49" t="s">
        <v>303</v>
      </c>
      <c r="EN262" s="49" t="s">
        <v>485</v>
      </c>
      <c r="EP262" s="49" t="s">
        <v>298</v>
      </c>
      <c r="EQ262" s="0" t="n">
        <v>1</v>
      </c>
      <c r="ER262" s="49" t="s">
        <v>328</v>
      </c>
      <c r="ES262" s="49" t="s">
        <v>329</v>
      </c>
      <c r="ET262" s="49" t="s">
        <v>310</v>
      </c>
      <c r="EU262" s="49" t="s">
        <v>310</v>
      </c>
      <c r="EV262" s="49" t="s">
        <v>310</v>
      </c>
      <c r="EX262" s="49" t="s">
        <v>303</v>
      </c>
      <c r="EY262" s="49" t="s">
        <v>303</v>
      </c>
      <c r="FC262" s="49" t="s">
        <v>330</v>
      </c>
      <c r="FD262" s="49" t="s">
        <v>310</v>
      </c>
      <c r="FE262" s="49" t="s">
        <v>310</v>
      </c>
      <c r="FF262" s="49" t="s">
        <v>72</v>
      </c>
      <c r="FG262" s="49" t="s">
        <v>486</v>
      </c>
      <c r="FH262" s="49" t="s">
        <v>310</v>
      </c>
      <c r="FI262" s="49" t="s">
        <v>332</v>
      </c>
      <c r="FJ262" s="49" t="s">
        <v>303</v>
      </c>
      <c r="FL262" s="49" t="s">
        <v>325</v>
      </c>
      <c r="FM262" s="49" t="s">
        <v>1082</v>
      </c>
      <c r="FP262" s="49" t="s">
        <v>303</v>
      </c>
      <c r="FR262" s="49" t="s">
        <v>303</v>
      </c>
      <c r="FT262" s="49" t="s">
        <v>325</v>
      </c>
      <c r="FU262" s="49" t="s">
        <v>325</v>
      </c>
      <c r="FW262" s="49" t="s">
        <v>333</v>
      </c>
    </row>
    <row r="263" customFormat="false" ht="15" hidden="false" customHeight="false" outlineLevel="0" collapsed="false">
      <c r="A263" s="0" t="n">
        <v>100877985</v>
      </c>
      <c r="B263" s="0" t="s">
        <v>295</v>
      </c>
      <c r="C263" s="0" t="s">
        <v>72</v>
      </c>
      <c r="D263" s="0" t="s">
        <v>480</v>
      </c>
      <c r="E263" s="0" t="s">
        <v>297</v>
      </c>
      <c r="G263" s="0" t="n">
        <v>1</v>
      </c>
      <c r="H263" s="0" t="s">
        <v>298</v>
      </c>
      <c r="I263" s="48" t="n">
        <v>46281</v>
      </c>
      <c r="J263" s="0" t="n">
        <v>0</v>
      </c>
      <c r="K263" s="49" t="s">
        <v>1082</v>
      </c>
      <c r="L263" s="49" t="s">
        <v>335</v>
      </c>
      <c r="M263" s="48"/>
      <c r="O263" s="49" t="s">
        <v>1083</v>
      </c>
      <c r="P263" s="48"/>
      <c r="Q263" s="48" t="n">
        <v>46281</v>
      </c>
      <c r="R263" s="48" t="n">
        <v>46287</v>
      </c>
      <c r="T263" s="49" t="s">
        <v>302</v>
      </c>
      <c r="U263" s="49" t="s">
        <v>303</v>
      </c>
      <c r="Y263" s="49" t="s">
        <v>312</v>
      </c>
      <c r="AD263" s="49" t="s">
        <v>305</v>
      </c>
      <c r="AE263" s="48" t="n">
        <v>46253</v>
      </c>
      <c r="AF263" s="49" t="s">
        <v>306</v>
      </c>
      <c r="AG263" s="49" t="s">
        <v>307</v>
      </c>
      <c r="AK263" s="49" t="s">
        <v>303</v>
      </c>
      <c r="AL263" s="49" t="s">
        <v>297</v>
      </c>
      <c r="AO263" s="49" t="s">
        <v>303</v>
      </c>
      <c r="AP263" s="48"/>
      <c r="AR263" s="49" t="s">
        <v>303</v>
      </c>
      <c r="AS263" s="49" t="s">
        <v>306</v>
      </c>
      <c r="AT263" s="49" t="s">
        <v>1121</v>
      </c>
      <c r="AV263" s="49" t="s">
        <v>309</v>
      </c>
      <c r="AW263" s="49" t="s">
        <v>310</v>
      </c>
      <c r="AX263" s="49" t="s">
        <v>311</v>
      </c>
      <c r="AY263" s="48"/>
      <c r="AZ263" s="48" t="n">
        <v>46279</v>
      </c>
      <c r="BC263" s="49" t="s">
        <v>303</v>
      </c>
      <c r="BD263" s="48"/>
      <c r="BE263" s="49" t="s">
        <v>312</v>
      </c>
      <c r="BF263" s="49" t="s">
        <v>303</v>
      </c>
      <c r="BG263" s="48"/>
      <c r="BI263" s="48"/>
      <c r="BJ263" s="48" t="n">
        <v>46286</v>
      </c>
      <c r="BK263" s="49" t="s">
        <v>313</v>
      </c>
      <c r="BL263" s="49" t="s">
        <v>313</v>
      </c>
      <c r="BM263" s="49" t="s">
        <v>310</v>
      </c>
      <c r="BN263" s="48"/>
      <c r="BO263" s="48"/>
      <c r="BP263" s="48"/>
      <c r="BQ263" s="49" t="s">
        <v>1082</v>
      </c>
      <c r="BR263" s="48" t="n">
        <v>46286</v>
      </c>
      <c r="BS263" s="49" t="s">
        <v>1122</v>
      </c>
      <c r="BT263" s="49" t="s">
        <v>312</v>
      </c>
      <c r="BU263" s="49" t="s">
        <v>313</v>
      </c>
      <c r="BV263" s="49" t="s">
        <v>303</v>
      </c>
      <c r="BX263" s="0" t="n">
        <v>0</v>
      </c>
      <c r="CC263" s="49" t="s">
        <v>315</v>
      </c>
      <c r="CD263" s="49" t="s">
        <v>303</v>
      </c>
      <c r="CF263" s="49" t="s">
        <v>303</v>
      </c>
      <c r="CG263" s="49" t="s">
        <v>316</v>
      </c>
      <c r="CH263" s="49" t="s">
        <v>317</v>
      </c>
      <c r="CI263" s="49" t="s">
        <v>318</v>
      </c>
      <c r="CM263" s="49" t="s">
        <v>480</v>
      </c>
      <c r="CV263" s="49" t="s">
        <v>303</v>
      </c>
      <c r="DB263" s="49" t="s">
        <v>319</v>
      </c>
      <c r="DD263" s="48" t="n">
        <v>46253</v>
      </c>
      <c r="DF263" s="49" t="s">
        <v>310</v>
      </c>
      <c r="DG263" s="49" t="s">
        <v>320</v>
      </c>
      <c r="DH263" s="49" t="s">
        <v>72</v>
      </c>
      <c r="DI263" s="49" t="s">
        <v>298</v>
      </c>
      <c r="DJ263" s="49" t="s">
        <v>321</v>
      </c>
      <c r="DK263" s="49" t="s">
        <v>322</v>
      </c>
      <c r="DL263" s="49" t="s">
        <v>323</v>
      </c>
      <c r="DM263" s="49" t="s">
        <v>303</v>
      </c>
      <c r="DN263" s="49" t="s">
        <v>297</v>
      </c>
      <c r="DO263" s="48"/>
      <c r="DP263" s="49" t="s">
        <v>312</v>
      </c>
      <c r="DQ263" s="48"/>
      <c r="DR263" s="49" t="s">
        <v>312</v>
      </c>
      <c r="DS263" s="49" t="s">
        <v>303</v>
      </c>
      <c r="DT263" s="49" t="s">
        <v>303</v>
      </c>
      <c r="DW263" s="49" t="s">
        <v>303</v>
      </c>
      <c r="EA263" s="49" t="s">
        <v>324</v>
      </c>
      <c r="EB263" s="49" t="s">
        <v>303</v>
      </c>
      <c r="EF263" s="49" t="s">
        <v>1119</v>
      </c>
      <c r="EH263" s="49" t="s">
        <v>325</v>
      </c>
      <c r="EJ263" s="49" t="s">
        <v>303</v>
      </c>
      <c r="EK263" s="49" t="s">
        <v>1123</v>
      </c>
      <c r="EM263" s="49" t="s">
        <v>303</v>
      </c>
      <c r="EN263" s="49" t="s">
        <v>485</v>
      </c>
      <c r="EP263" s="49" t="s">
        <v>298</v>
      </c>
      <c r="EQ263" s="0" t="n">
        <v>1</v>
      </c>
      <c r="ER263" s="49" t="s">
        <v>328</v>
      </c>
      <c r="ES263" s="49" t="s">
        <v>329</v>
      </c>
      <c r="ET263" s="49" t="s">
        <v>310</v>
      </c>
      <c r="EU263" s="49" t="s">
        <v>310</v>
      </c>
      <c r="EV263" s="49" t="s">
        <v>310</v>
      </c>
      <c r="EX263" s="49" t="s">
        <v>303</v>
      </c>
      <c r="EY263" s="49" t="s">
        <v>303</v>
      </c>
      <c r="FC263" s="49" t="s">
        <v>330</v>
      </c>
      <c r="FD263" s="49" t="s">
        <v>310</v>
      </c>
      <c r="FE263" s="49" t="s">
        <v>310</v>
      </c>
      <c r="FF263" s="49" t="s">
        <v>72</v>
      </c>
      <c r="FG263" s="49" t="s">
        <v>486</v>
      </c>
      <c r="FH263" s="49" t="s">
        <v>310</v>
      </c>
      <c r="FI263" s="49" t="s">
        <v>332</v>
      </c>
      <c r="FJ263" s="49" t="s">
        <v>303</v>
      </c>
      <c r="FL263" s="49" t="s">
        <v>325</v>
      </c>
      <c r="FM263" s="49" t="s">
        <v>1082</v>
      </c>
      <c r="FP263" s="49" t="s">
        <v>303</v>
      </c>
      <c r="FR263" s="49" t="s">
        <v>303</v>
      </c>
      <c r="FT263" s="49" t="s">
        <v>325</v>
      </c>
      <c r="FU263" s="49" t="s">
        <v>325</v>
      </c>
      <c r="FW263" s="49" t="s">
        <v>333</v>
      </c>
    </row>
    <row r="264" customFormat="false" ht="15" hidden="false" customHeight="false" outlineLevel="0" collapsed="false">
      <c r="A264" s="0" t="n">
        <v>100878045</v>
      </c>
      <c r="B264" s="0" t="s">
        <v>295</v>
      </c>
      <c r="C264" s="0" t="s">
        <v>75</v>
      </c>
      <c r="D264" s="0" t="s">
        <v>492</v>
      </c>
      <c r="E264" s="0" t="s">
        <v>297</v>
      </c>
      <c r="G264" s="0" t="n">
        <v>1</v>
      </c>
      <c r="H264" s="0" t="s">
        <v>298</v>
      </c>
      <c r="I264" s="48" t="n">
        <v>46281</v>
      </c>
      <c r="J264" s="0" t="n">
        <v>0</v>
      </c>
      <c r="K264" s="49" t="s">
        <v>1082</v>
      </c>
      <c r="L264" s="49" t="s">
        <v>335</v>
      </c>
      <c r="M264" s="48" t="n">
        <v>46281</v>
      </c>
      <c r="N264" s="49" t="s">
        <v>335</v>
      </c>
      <c r="O264" s="49" t="s">
        <v>1083</v>
      </c>
      <c r="P264" s="48"/>
      <c r="Q264" s="48" t="n">
        <v>46281</v>
      </c>
      <c r="R264" s="48" t="n">
        <v>46295</v>
      </c>
      <c r="T264" s="49" t="s">
        <v>302</v>
      </c>
      <c r="U264" s="49" t="s">
        <v>303</v>
      </c>
      <c r="Y264" s="49" t="s">
        <v>1124</v>
      </c>
      <c r="AD264" s="49" t="s">
        <v>305</v>
      </c>
      <c r="AE264" s="48" t="n">
        <v>46260</v>
      </c>
      <c r="AF264" s="49" t="s">
        <v>306</v>
      </c>
      <c r="AG264" s="49" t="s">
        <v>307</v>
      </c>
      <c r="AK264" s="49" t="s">
        <v>303</v>
      </c>
      <c r="AL264" s="49" t="s">
        <v>297</v>
      </c>
      <c r="AO264" s="49" t="s">
        <v>303</v>
      </c>
      <c r="AP264" s="48"/>
      <c r="AR264" s="49" t="s">
        <v>303</v>
      </c>
      <c r="AS264" s="49" t="s">
        <v>306</v>
      </c>
      <c r="AT264" s="49" t="s">
        <v>1125</v>
      </c>
      <c r="AV264" s="49" t="s">
        <v>309</v>
      </c>
      <c r="AW264" s="49" t="s">
        <v>310</v>
      </c>
      <c r="AX264" s="49" t="s">
        <v>311</v>
      </c>
      <c r="AY264" s="48"/>
      <c r="AZ264" s="48" t="n">
        <v>46286</v>
      </c>
      <c r="BC264" s="49" t="s">
        <v>303</v>
      </c>
      <c r="BD264" s="48"/>
      <c r="BE264" s="49" t="s">
        <v>312</v>
      </c>
      <c r="BF264" s="49" t="s">
        <v>303</v>
      </c>
      <c r="BG264" s="48"/>
      <c r="BI264" s="48"/>
      <c r="BJ264" s="48" t="n">
        <v>46293</v>
      </c>
      <c r="BK264" s="49" t="s">
        <v>312</v>
      </c>
      <c r="BL264" s="49" t="s">
        <v>313</v>
      </c>
      <c r="BM264" s="49" t="s">
        <v>310</v>
      </c>
      <c r="BN264" s="48"/>
      <c r="BO264" s="48"/>
      <c r="BP264" s="48"/>
      <c r="BQ264" s="49" t="s">
        <v>1082</v>
      </c>
      <c r="BR264" s="48" t="n">
        <v>46293</v>
      </c>
      <c r="BS264" s="49" t="s">
        <v>1126</v>
      </c>
      <c r="BT264" s="49" t="s">
        <v>312</v>
      </c>
      <c r="BU264" s="49" t="s">
        <v>313</v>
      </c>
      <c r="BV264" s="49" t="s">
        <v>303</v>
      </c>
      <c r="BX264" s="0" t="n">
        <v>0</v>
      </c>
      <c r="CC264" s="49" t="s">
        <v>315</v>
      </c>
      <c r="CD264" s="49" t="s">
        <v>303</v>
      </c>
      <c r="CF264" s="49" t="s">
        <v>303</v>
      </c>
      <c r="CG264" s="49" t="s">
        <v>316</v>
      </c>
      <c r="CH264" s="49" t="s">
        <v>317</v>
      </c>
      <c r="CI264" s="49" t="s">
        <v>318</v>
      </c>
      <c r="CM264" s="49" t="s">
        <v>492</v>
      </c>
      <c r="CV264" s="49" t="s">
        <v>303</v>
      </c>
      <c r="DB264" s="49" t="s">
        <v>319</v>
      </c>
      <c r="DD264" s="48" t="n">
        <v>46260</v>
      </c>
      <c r="DF264" s="49" t="s">
        <v>310</v>
      </c>
      <c r="DG264" s="49" t="s">
        <v>320</v>
      </c>
      <c r="DH264" s="49" t="s">
        <v>75</v>
      </c>
      <c r="DI264" s="49" t="s">
        <v>298</v>
      </c>
      <c r="DJ264" s="49" t="s">
        <v>495</v>
      </c>
      <c r="DK264" s="49" t="s">
        <v>322</v>
      </c>
      <c r="DL264" s="49" t="s">
        <v>323</v>
      </c>
      <c r="DM264" s="49" t="s">
        <v>303</v>
      </c>
      <c r="DN264" s="49" t="s">
        <v>297</v>
      </c>
      <c r="DO264" s="48"/>
      <c r="DP264" s="49" t="s">
        <v>312</v>
      </c>
      <c r="DQ264" s="48"/>
      <c r="DR264" s="49" t="s">
        <v>312</v>
      </c>
      <c r="DS264" s="49" t="s">
        <v>303</v>
      </c>
      <c r="DT264" s="49" t="s">
        <v>303</v>
      </c>
      <c r="DW264" s="49" t="s">
        <v>303</v>
      </c>
      <c r="EA264" s="49" t="s">
        <v>324</v>
      </c>
      <c r="EB264" s="49" t="s">
        <v>303</v>
      </c>
      <c r="EH264" s="49" t="s">
        <v>310</v>
      </c>
      <c r="EJ264" s="49" t="s">
        <v>303</v>
      </c>
      <c r="EK264" s="49" t="s">
        <v>1127</v>
      </c>
      <c r="EM264" s="49" t="s">
        <v>303</v>
      </c>
      <c r="EN264" s="49" t="s">
        <v>497</v>
      </c>
      <c r="EP264" s="49" t="s">
        <v>298</v>
      </c>
      <c r="EQ264" s="0" t="n">
        <v>1</v>
      </c>
      <c r="ER264" s="49" t="s">
        <v>328</v>
      </c>
      <c r="ES264" s="49" t="s">
        <v>329</v>
      </c>
      <c r="ET264" s="49" t="s">
        <v>310</v>
      </c>
      <c r="EU264" s="49" t="s">
        <v>310</v>
      </c>
      <c r="EV264" s="49" t="s">
        <v>310</v>
      </c>
      <c r="EX264" s="49" t="s">
        <v>303</v>
      </c>
      <c r="EY264" s="49" t="s">
        <v>303</v>
      </c>
      <c r="FC264" s="49" t="s">
        <v>330</v>
      </c>
      <c r="FD264" s="49" t="s">
        <v>310</v>
      </c>
      <c r="FE264" s="49" t="s">
        <v>310</v>
      </c>
      <c r="FF264" s="49" t="s">
        <v>75</v>
      </c>
      <c r="FG264" s="49" t="s">
        <v>498</v>
      </c>
      <c r="FH264" s="49" t="s">
        <v>310</v>
      </c>
      <c r="FI264" s="49" t="s">
        <v>332</v>
      </c>
      <c r="FJ264" s="49" t="s">
        <v>303</v>
      </c>
      <c r="FL264" s="49" t="s">
        <v>325</v>
      </c>
      <c r="FM264" s="49" t="s">
        <v>1082</v>
      </c>
      <c r="FP264" s="49" t="s">
        <v>303</v>
      </c>
      <c r="FR264" s="49" t="s">
        <v>303</v>
      </c>
      <c r="FT264" s="49" t="s">
        <v>325</v>
      </c>
      <c r="FU264" s="49" t="s">
        <v>325</v>
      </c>
      <c r="FW264" s="49" t="s">
        <v>333</v>
      </c>
      <c r="FX264" s="49" t="s">
        <v>499</v>
      </c>
    </row>
    <row r="265" customFormat="false" ht="15" hidden="false" customHeight="false" outlineLevel="0" collapsed="false">
      <c r="A265" s="0" t="n">
        <v>100878046</v>
      </c>
      <c r="B265" s="0" t="s">
        <v>295</v>
      </c>
      <c r="C265" s="0" t="s">
        <v>77</v>
      </c>
      <c r="D265" s="0" t="s">
        <v>500</v>
      </c>
      <c r="E265" s="0" t="s">
        <v>297</v>
      </c>
      <c r="G265" s="0" t="n">
        <v>1</v>
      </c>
      <c r="H265" s="0" t="s">
        <v>298</v>
      </c>
      <c r="I265" s="48" t="n">
        <v>46281</v>
      </c>
      <c r="J265" s="0" t="n">
        <v>0</v>
      </c>
      <c r="K265" s="49" t="s">
        <v>1082</v>
      </c>
      <c r="L265" s="49" t="s">
        <v>335</v>
      </c>
      <c r="M265" s="48" t="n">
        <v>46281</v>
      </c>
      <c r="N265" s="49" t="s">
        <v>335</v>
      </c>
      <c r="O265" s="49" t="s">
        <v>1083</v>
      </c>
      <c r="P265" s="48"/>
      <c r="Q265" s="48" t="n">
        <v>46281</v>
      </c>
      <c r="R265" s="48" t="n">
        <v>46295</v>
      </c>
      <c r="T265" s="49" t="s">
        <v>302</v>
      </c>
      <c r="U265" s="49" t="s">
        <v>303</v>
      </c>
      <c r="Y265" s="49" t="s">
        <v>1128</v>
      </c>
      <c r="AD265" s="49" t="s">
        <v>305</v>
      </c>
      <c r="AE265" s="48" t="n">
        <v>46260</v>
      </c>
      <c r="AF265" s="49" t="s">
        <v>306</v>
      </c>
      <c r="AG265" s="49" t="s">
        <v>307</v>
      </c>
      <c r="AK265" s="49" t="s">
        <v>303</v>
      </c>
      <c r="AL265" s="49" t="s">
        <v>297</v>
      </c>
      <c r="AO265" s="49" t="s">
        <v>303</v>
      </c>
      <c r="AP265" s="48"/>
      <c r="AR265" s="49" t="s">
        <v>303</v>
      </c>
      <c r="AS265" s="49" t="s">
        <v>306</v>
      </c>
      <c r="AT265" s="49" t="s">
        <v>1129</v>
      </c>
      <c r="AV265" s="49" t="s">
        <v>309</v>
      </c>
      <c r="AW265" s="49" t="s">
        <v>310</v>
      </c>
      <c r="AX265" s="49" t="s">
        <v>311</v>
      </c>
      <c r="AY265" s="48"/>
      <c r="AZ265" s="48" t="n">
        <v>46286</v>
      </c>
      <c r="BC265" s="49" t="s">
        <v>303</v>
      </c>
      <c r="BD265" s="48"/>
      <c r="BE265" s="49" t="s">
        <v>312</v>
      </c>
      <c r="BF265" s="49" t="s">
        <v>303</v>
      </c>
      <c r="BG265" s="48"/>
      <c r="BI265" s="48"/>
      <c r="BJ265" s="48" t="n">
        <v>46293</v>
      </c>
      <c r="BK265" s="49" t="s">
        <v>312</v>
      </c>
      <c r="BL265" s="49" t="s">
        <v>313</v>
      </c>
      <c r="BM265" s="49" t="s">
        <v>310</v>
      </c>
      <c r="BN265" s="48"/>
      <c r="BO265" s="48"/>
      <c r="BP265" s="48"/>
      <c r="BQ265" s="49" t="s">
        <v>1082</v>
      </c>
      <c r="BR265" s="48" t="n">
        <v>46293</v>
      </c>
      <c r="BS265" s="49" t="s">
        <v>1126</v>
      </c>
      <c r="BT265" s="49" t="s">
        <v>312</v>
      </c>
      <c r="BU265" s="49" t="s">
        <v>313</v>
      </c>
      <c r="BV265" s="49" t="s">
        <v>303</v>
      </c>
      <c r="BX265" s="0" t="n">
        <v>0</v>
      </c>
      <c r="CC265" s="49" t="s">
        <v>315</v>
      </c>
      <c r="CD265" s="49" t="s">
        <v>303</v>
      </c>
      <c r="CF265" s="49" t="s">
        <v>303</v>
      </c>
      <c r="CG265" s="49" t="s">
        <v>316</v>
      </c>
      <c r="CH265" s="49" t="s">
        <v>317</v>
      </c>
      <c r="CI265" s="49" t="s">
        <v>318</v>
      </c>
      <c r="CM265" s="49" t="s">
        <v>500</v>
      </c>
      <c r="CV265" s="49" t="s">
        <v>303</v>
      </c>
      <c r="DB265" s="49" t="s">
        <v>319</v>
      </c>
      <c r="DD265" s="48" t="n">
        <v>46260</v>
      </c>
      <c r="DF265" s="49" t="s">
        <v>310</v>
      </c>
      <c r="DG265" s="49" t="s">
        <v>320</v>
      </c>
      <c r="DH265" s="49" t="s">
        <v>77</v>
      </c>
      <c r="DI265" s="49" t="s">
        <v>298</v>
      </c>
      <c r="DJ265" s="49" t="s">
        <v>495</v>
      </c>
      <c r="DK265" s="49" t="s">
        <v>322</v>
      </c>
      <c r="DL265" s="49" t="s">
        <v>323</v>
      </c>
      <c r="DM265" s="49" t="s">
        <v>303</v>
      </c>
      <c r="DN265" s="49" t="s">
        <v>297</v>
      </c>
      <c r="DO265" s="48"/>
      <c r="DP265" s="49" t="s">
        <v>312</v>
      </c>
      <c r="DQ265" s="48"/>
      <c r="DR265" s="49" t="s">
        <v>312</v>
      </c>
      <c r="DS265" s="49" t="s">
        <v>303</v>
      </c>
      <c r="DT265" s="49" t="s">
        <v>303</v>
      </c>
      <c r="DW265" s="49" t="s">
        <v>303</v>
      </c>
      <c r="EA265" s="49" t="s">
        <v>324</v>
      </c>
      <c r="EB265" s="49" t="s">
        <v>303</v>
      </c>
      <c r="EH265" s="49" t="s">
        <v>310</v>
      </c>
      <c r="EJ265" s="49" t="s">
        <v>303</v>
      </c>
      <c r="EK265" s="49" t="s">
        <v>1130</v>
      </c>
      <c r="EM265" s="49" t="s">
        <v>303</v>
      </c>
      <c r="EN265" s="49" t="s">
        <v>504</v>
      </c>
      <c r="EP265" s="49" t="s">
        <v>298</v>
      </c>
      <c r="EQ265" s="0" t="n">
        <v>1</v>
      </c>
      <c r="ER265" s="49" t="s">
        <v>328</v>
      </c>
      <c r="ES265" s="49" t="s">
        <v>329</v>
      </c>
      <c r="ET265" s="49" t="s">
        <v>310</v>
      </c>
      <c r="EU265" s="49" t="s">
        <v>310</v>
      </c>
      <c r="EV265" s="49" t="s">
        <v>310</v>
      </c>
      <c r="EX265" s="49" t="s">
        <v>303</v>
      </c>
      <c r="EY265" s="49" t="s">
        <v>303</v>
      </c>
      <c r="FC265" s="49" t="s">
        <v>330</v>
      </c>
      <c r="FD265" s="49" t="s">
        <v>310</v>
      </c>
      <c r="FE265" s="49" t="s">
        <v>310</v>
      </c>
      <c r="FF265" s="49" t="s">
        <v>77</v>
      </c>
      <c r="FG265" s="49" t="s">
        <v>505</v>
      </c>
      <c r="FH265" s="49" t="s">
        <v>310</v>
      </c>
      <c r="FI265" s="49" t="s">
        <v>332</v>
      </c>
      <c r="FJ265" s="49" t="s">
        <v>303</v>
      </c>
      <c r="FL265" s="49" t="s">
        <v>325</v>
      </c>
      <c r="FM265" s="49" t="s">
        <v>1082</v>
      </c>
      <c r="FP265" s="49" t="s">
        <v>303</v>
      </c>
      <c r="FR265" s="49" t="s">
        <v>303</v>
      </c>
      <c r="FT265" s="49" t="s">
        <v>325</v>
      </c>
      <c r="FU265" s="49" t="s">
        <v>325</v>
      </c>
      <c r="FW265" s="49" t="s">
        <v>333</v>
      </c>
      <c r="FX265" s="49" t="s">
        <v>499</v>
      </c>
    </row>
    <row r="266" customFormat="false" ht="15" hidden="false" customHeight="false" outlineLevel="0" collapsed="false">
      <c r="A266" s="0" t="n">
        <v>100878047</v>
      </c>
      <c r="B266" s="0" t="s">
        <v>295</v>
      </c>
      <c r="C266" s="0" t="s">
        <v>79</v>
      </c>
      <c r="D266" s="0" t="s">
        <v>506</v>
      </c>
      <c r="E266" s="0" t="s">
        <v>297</v>
      </c>
      <c r="G266" s="0" t="n">
        <v>1</v>
      </c>
      <c r="H266" s="0" t="s">
        <v>298</v>
      </c>
      <c r="I266" s="48" t="n">
        <v>46281</v>
      </c>
      <c r="J266" s="0" t="n">
        <v>0</v>
      </c>
      <c r="K266" s="49" t="s">
        <v>1082</v>
      </c>
      <c r="L266" s="49" t="s">
        <v>335</v>
      </c>
      <c r="M266" s="48" t="n">
        <v>46281</v>
      </c>
      <c r="N266" s="49" t="s">
        <v>335</v>
      </c>
      <c r="O266" s="49" t="s">
        <v>937</v>
      </c>
      <c r="P266" s="48"/>
      <c r="Q266" s="48" t="n">
        <v>46281</v>
      </c>
      <c r="R266" s="48" t="n">
        <v>46295</v>
      </c>
      <c r="T266" s="49" t="s">
        <v>302</v>
      </c>
      <c r="U266" s="49" t="s">
        <v>303</v>
      </c>
      <c r="Y266" s="49" t="s">
        <v>1131</v>
      </c>
      <c r="AD266" s="49" t="s">
        <v>305</v>
      </c>
      <c r="AE266" s="48" t="n">
        <v>46260</v>
      </c>
      <c r="AF266" s="49" t="s">
        <v>306</v>
      </c>
      <c r="AG266" s="49" t="s">
        <v>307</v>
      </c>
      <c r="AK266" s="49" t="s">
        <v>303</v>
      </c>
      <c r="AL266" s="49" t="s">
        <v>297</v>
      </c>
      <c r="AO266" s="49" t="s">
        <v>303</v>
      </c>
      <c r="AP266" s="48"/>
      <c r="AR266" s="49" t="s">
        <v>303</v>
      </c>
      <c r="AS266" s="49" t="s">
        <v>306</v>
      </c>
      <c r="AT266" s="49" t="s">
        <v>1132</v>
      </c>
      <c r="AV266" s="49" t="s">
        <v>309</v>
      </c>
      <c r="AW266" s="49" t="s">
        <v>310</v>
      </c>
      <c r="AX266" s="49" t="s">
        <v>311</v>
      </c>
      <c r="AY266" s="48"/>
      <c r="AZ266" s="48" t="n">
        <v>46286</v>
      </c>
      <c r="BC266" s="49" t="s">
        <v>303</v>
      </c>
      <c r="BD266" s="48"/>
      <c r="BE266" s="49" t="s">
        <v>312</v>
      </c>
      <c r="BF266" s="49" t="s">
        <v>303</v>
      </c>
      <c r="BG266" s="48"/>
      <c r="BI266" s="48"/>
      <c r="BJ266" s="48" t="n">
        <v>46293</v>
      </c>
      <c r="BK266" s="49" t="s">
        <v>312</v>
      </c>
      <c r="BL266" s="49" t="s">
        <v>313</v>
      </c>
      <c r="BM266" s="49" t="s">
        <v>310</v>
      </c>
      <c r="BN266" s="48"/>
      <c r="BO266" s="48"/>
      <c r="BP266" s="48"/>
      <c r="BQ266" s="49" t="s">
        <v>1082</v>
      </c>
      <c r="BR266" s="48" t="n">
        <v>46293</v>
      </c>
      <c r="BS266" s="49" t="s">
        <v>1133</v>
      </c>
      <c r="BT266" s="49" t="s">
        <v>312</v>
      </c>
      <c r="BU266" s="49" t="s">
        <v>313</v>
      </c>
      <c r="BV266" s="49" t="s">
        <v>303</v>
      </c>
      <c r="BX266" s="0" t="n">
        <v>0</v>
      </c>
      <c r="CC266" s="49" t="s">
        <v>315</v>
      </c>
      <c r="CD266" s="49" t="s">
        <v>303</v>
      </c>
      <c r="CF266" s="49" t="s">
        <v>303</v>
      </c>
      <c r="CG266" s="49" t="s">
        <v>316</v>
      </c>
      <c r="CH266" s="49" t="s">
        <v>317</v>
      </c>
      <c r="CI266" s="49" t="s">
        <v>318</v>
      </c>
      <c r="CM266" s="49" t="s">
        <v>506</v>
      </c>
      <c r="CV266" s="49" t="s">
        <v>303</v>
      </c>
      <c r="DB266" s="49" t="s">
        <v>319</v>
      </c>
      <c r="DD266" s="48" t="n">
        <v>46260</v>
      </c>
      <c r="DF266" s="49" t="s">
        <v>310</v>
      </c>
      <c r="DG266" s="49" t="s">
        <v>320</v>
      </c>
      <c r="DH266" s="49" t="s">
        <v>79</v>
      </c>
      <c r="DI266" s="49" t="s">
        <v>298</v>
      </c>
      <c r="DJ266" s="49" t="s">
        <v>495</v>
      </c>
      <c r="DK266" s="49" t="s">
        <v>322</v>
      </c>
      <c r="DL266" s="49" t="s">
        <v>323</v>
      </c>
      <c r="DM266" s="49" t="s">
        <v>303</v>
      </c>
      <c r="DN266" s="49" t="s">
        <v>297</v>
      </c>
      <c r="DO266" s="48"/>
      <c r="DP266" s="49" t="s">
        <v>312</v>
      </c>
      <c r="DQ266" s="48"/>
      <c r="DR266" s="49" t="s">
        <v>312</v>
      </c>
      <c r="DS266" s="49" t="s">
        <v>303</v>
      </c>
      <c r="DT266" s="49" t="s">
        <v>303</v>
      </c>
      <c r="DW266" s="49" t="s">
        <v>303</v>
      </c>
      <c r="EA266" s="49" t="s">
        <v>324</v>
      </c>
      <c r="EB266" s="49" t="s">
        <v>303</v>
      </c>
      <c r="EH266" s="49" t="s">
        <v>310</v>
      </c>
      <c r="EJ266" s="49" t="s">
        <v>303</v>
      </c>
      <c r="EK266" s="49" t="s">
        <v>1134</v>
      </c>
      <c r="EM266" s="49" t="s">
        <v>303</v>
      </c>
      <c r="EN266" s="49" t="s">
        <v>510</v>
      </c>
      <c r="EP266" s="49" t="s">
        <v>298</v>
      </c>
      <c r="EQ266" s="0" t="n">
        <v>1</v>
      </c>
      <c r="ER266" s="49" t="s">
        <v>328</v>
      </c>
      <c r="ES266" s="49" t="s">
        <v>329</v>
      </c>
      <c r="ET266" s="49" t="s">
        <v>310</v>
      </c>
      <c r="EU266" s="49" t="s">
        <v>310</v>
      </c>
      <c r="EV266" s="49" t="s">
        <v>310</v>
      </c>
      <c r="EX266" s="49" t="s">
        <v>303</v>
      </c>
      <c r="EY266" s="49" t="s">
        <v>303</v>
      </c>
      <c r="FC266" s="49" t="s">
        <v>330</v>
      </c>
      <c r="FD266" s="49" t="s">
        <v>310</v>
      </c>
      <c r="FE266" s="49" t="s">
        <v>310</v>
      </c>
      <c r="FF266" s="49" t="s">
        <v>79</v>
      </c>
      <c r="FG266" s="49" t="s">
        <v>511</v>
      </c>
      <c r="FH266" s="49" t="s">
        <v>310</v>
      </c>
      <c r="FI266" s="49" t="s">
        <v>332</v>
      </c>
      <c r="FJ266" s="49" t="s">
        <v>303</v>
      </c>
      <c r="FL266" s="49" t="s">
        <v>325</v>
      </c>
      <c r="FM266" s="49" t="s">
        <v>1082</v>
      </c>
      <c r="FP266" s="49" t="s">
        <v>303</v>
      </c>
      <c r="FR266" s="49" t="s">
        <v>303</v>
      </c>
      <c r="FT266" s="49" t="s">
        <v>325</v>
      </c>
      <c r="FU266" s="49" t="s">
        <v>325</v>
      </c>
      <c r="FW266" s="49" t="s">
        <v>333</v>
      </c>
      <c r="FX266" s="49" t="s">
        <v>499</v>
      </c>
    </row>
    <row r="267" customFormat="false" ht="15" hidden="false" customHeight="false" outlineLevel="0" collapsed="false">
      <c r="A267" s="0" t="n">
        <v>100877350</v>
      </c>
      <c r="B267" s="0" t="s">
        <v>295</v>
      </c>
      <c r="C267" s="0" t="s">
        <v>56</v>
      </c>
      <c r="D267" s="0" t="s">
        <v>57</v>
      </c>
      <c r="E267" s="0" t="s">
        <v>297</v>
      </c>
      <c r="G267" s="0" t="n">
        <v>1</v>
      </c>
      <c r="H267" s="0" t="s">
        <v>298</v>
      </c>
      <c r="I267" s="48" t="n">
        <v>46278</v>
      </c>
      <c r="J267" s="0" t="n">
        <v>0</v>
      </c>
      <c r="K267" s="49" t="s">
        <v>1135</v>
      </c>
      <c r="L267" s="49" t="s">
        <v>1035</v>
      </c>
      <c r="M267" s="48" t="n">
        <v>46278</v>
      </c>
      <c r="N267" s="49" t="s">
        <v>1035</v>
      </c>
      <c r="O267" s="49" t="s">
        <v>1083</v>
      </c>
      <c r="P267" s="48"/>
      <c r="Q267" s="48" t="n">
        <v>46278</v>
      </c>
      <c r="R267" s="48" t="n">
        <v>46285</v>
      </c>
      <c r="T267" s="49" t="s">
        <v>302</v>
      </c>
      <c r="U267" s="49" t="s">
        <v>303</v>
      </c>
      <c r="Y267" s="49" t="s">
        <v>761</v>
      </c>
      <c r="AD267" s="49" t="s">
        <v>305</v>
      </c>
      <c r="AE267" s="48" t="n">
        <v>46253</v>
      </c>
      <c r="AF267" s="49" t="s">
        <v>306</v>
      </c>
      <c r="AG267" s="49" t="s">
        <v>307</v>
      </c>
      <c r="AK267" s="49" t="s">
        <v>303</v>
      </c>
      <c r="AL267" s="49" t="s">
        <v>297</v>
      </c>
      <c r="AO267" s="49" t="s">
        <v>303</v>
      </c>
      <c r="AP267" s="48"/>
      <c r="AR267" s="49" t="s">
        <v>303</v>
      </c>
      <c r="AS267" s="49" t="s">
        <v>306</v>
      </c>
      <c r="AT267" s="49" t="s">
        <v>762</v>
      </c>
      <c r="AV267" s="49" t="s">
        <v>309</v>
      </c>
      <c r="AW267" s="49" t="s">
        <v>310</v>
      </c>
      <c r="AX267" s="49" t="s">
        <v>311</v>
      </c>
      <c r="AY267" s="48"/>
      <c r="AZ267" s="48" t="n">
        <v>46269</v>
      </c>
      <c r="BC267" s="49" t="s">
        <v>303</v>
      </c>
      <c r="BD267" s="48"/>
      <c r="BE267" s="49" t="s">
        <v>312</v>
      </c>
      <c r="BF267" s="49" t="s">
        <v>303</v>
      </c>
      <c r="BG267" s="48"/>
      <c r="BI267" s="48"/>
      <c r="BJ267" s="48" t="n">
        <v>46282</v>
      </c>
      <c r="BK267" s="49" t="s">
        <v>312</v>
      </c>
      <c r="BL267" s="49" t="s">
        <v>313</v>
      </c>
      <c r="BM267" s="49" t="s">
        <v>310</v>
      </c>
      <c r="BN267" s="48"/>
      <c r="BO267" s="48"/>
      <c r="BP267" s="48"/>
      <c r="BQ267" s="49" t="s">
        <v>1136</v>
      </c>
      <c r="BR267" s="48" t="n">
        <v>46276</v>
      </c>
      <c r="BS267" s="49" t="s">
        <v>1137</v>
      </c>
      <c r="BT267" s="49" t="s">
        <v>312</v>
      </c>
      <c r="BU267" s="49" t="s">
        <v>312</v>
      </c>
      <c r="BV267" s="49" t="s">
        <v>303</v>
      </c>
      <c r="BX267" s="0" t="n">
        <v>0</v>
      </c>
      <c r="CC267" s="49" t="s">
        <v>315</v>
      </c>
      <c r="CD267" s="49" t="s">
        <v>303</v>
      </c>
      <c r="CF267" s="49" t="s">
        <v>303</v>
      </c>
      <c r="CG267" s="49" t="s">
        <v>316</v>
      </c>
      <c r="CH267" s="49" t="s">
        <v>317</v>
      </c>
      <c r="CI267" s="49" t="s">
        <v>318</v>
      </c>
      <c r="CM267" s="49" t="s">
        <v>57</v>
      </c>
      <c r="CV267" s="49" t="s">
        <v>303</v>
      </c>
      <c r="DB267" s="49" t="s">
        <v>319</v>
      </c>
      <c r="DD267" s="48" t="n">
        <v>46253</v>
      </c>
      <c r="DF267" s="49" t="s">
        <v>310</v>
      </c>
      <c r="DG267" s="49" t="s">
        <v>320</v>
      </c>
      <c r="DH267" s="49" t="s">
        <v>56</v>
      </c>
      <c r="DI267" s="49" t="s">
        <v>298</v>
      </c>
      <c r="DJ267" s="49" t="s">
        <v>367</v>
      </c>
      <c r="DK267" s="49" t="s">
        <v>322</v>
      </c>
      <c r="DL267" s="49" t="s">
        <v>323</v>
      </c>
      <c r="DM267" s="49" t="s">
        <v>303</v>
      </c>
      <c r="DN267" s="49" t="s">
        <v>297</v>
      </c>
      <c r="DO267" s="48"/>
      <c r="DP267" s="49" t="s">
        <v>312</v>
      </c>
      <c r="DQ267" s="48"/>
      <c r="DR267" s="49" t="s">
        <v>312</v>
      </c>
      <c r="DS267" s="49" t="s">
        <v>303</v>
      </c>
      <c r="DT267" s="49" t="s">
        <v>303</v>
      </c>
      <c r="DW267" s="49" t="s">
        <v>303</v>
      </c>
      <c r="EA267" s="49" t="s">
        <v>324</v>
      </c>
      <c r="EB267" s="49" t="s">
        <v>303</v>
      </c>
      <c r="EH267" s="49" t="s">
        <v>310</v>
      </c>
      <c r="EJ267" s="49" t="s">
        <v>303</v>
      </c>
      <c r="EK267" s="49" t="s">
        <v>1138</v>
      </c>
      <c r="EM267" s="49" t="s">
        <v>303</v>
      </c>
      <c r="EN267" s="49" t="s">
        <v>369</v>
      </c>
      <c r="EP267" s="49" t="s">
        <v>298</v>
      </c>
      <c r="EQ267" s="0" t="n">
        <v>1</v>
      </c>
      <c r="ER267" s="49" t="s">
        <v>328</v>
      </c>
      <c r="ES267" s="49" t="s">
        <v>342</v>
      </c>
      <c r="ET267" s="49" t="s">
        <v>310</v>
      </c>
      <c r="EU267" s="49" t="s">
        <v>310</v>
      </c>
      <c r="EV267" s="49" t="s">
        <v>310</v>
      </c>
      <c r="EX267" s="49" t="s">
        <v>303</v>
      </c>
      <c r="EY267" s="49" t="s">
        <v>303</v>
      </c>
      <c r="FC267" s="49" t="s">
        <v>330</v>
      </c>
      <c r="FD267" s="49" t="s">
        <v>310</v>
      </c>
      <c r="FE267" s="49" t="s">
        <v>310</v>
      </c>
      <c r="FF267" s="49" t="s">
        <v>56</v>
      </c>
      <c r="FG267" s="49" t="s">
        <v>370</v>
      </c>
      <c r="FH267" s="49" t="s">
        <v>310</v>
      </c>
      <c r="FI267" s="49" t="s">
        <v>332</v>
      </c>
      <c r="FJ267" s="49" t="s">
        <v>303</v>
      </c>
      <c r="FL267" s="49" t="s">
        <v>325</v>
      </c>
      <c r="FM267" s="49" t="s">
        <v>1135</v>
      </c>
      <c r="FP267" s="49" t="s">
        <v>303</v>
      </c>
      <c r="FR267" s="49" t="s">
        <v>303</v>
      </c>
      <c r="FT267" s="49" t="s">
        <v>325</v>
      </c>
      <c r="FU267" s="49" t="s">
        <v>325</v>
      </c>
      <c r="FW267" s="49" t="s">
        <v>333</v>
      </c>
    </row>
    <row r="268" customFormat="false" ht="15" hidden="false" customHeight="false" outlineLevel="0" collapsed="false">
      <c r="A268" s="0" t="n">
        <v>100877351</v>
      </c>
      <c r="B268" s="0" t="s">
        <v>295</v>
      </c>
      <c r="C268" s="0" t="s">
        <v>58</v>
      </c>
      <c r="D268" s="0" t="s">
        <v>59</v>
      </c>
      <c r="E268" s="0" t="s">
        <v>297</v>
      </c>
      <c r="G268" s="0" t="n">
        <v>1</v>
      </c>
      <c r="H268" s="0" t="s">
        <v>298</v>
      </c>
      <c r="I268" s="48" t="n">
        <v>46278</v>
      </c>
      <c r="J268" s="0" t="n">
        <v>0</v>
      </c>
      <c r="K268" s="49" t="s">
        <v>1135</v>
      </c>
      <c r="L268" s="49" t="s">
        <v>1035</v>
      </c>
      <c r="M268" s="48" t="n">
        <v>46278</v>
      </c>
      <c r="N268" s="49" t="s">
        <v>1035</v>
      </c>
      <c r="O268" s="49" t="s">
        <v>1083</v>
      </c>
      <c r="P268" s="48"/>
      <c r="Q268" s="48" t="n">
        <v>46278</v>
      </c>
      <c r="R268" s="48" t="n">
        <v>46285</v>
      </c>
      <c r="T268" s="49" t="s">
        <v>302</v>
      </c>
      <c r="U268" s="49" t="s">
        <v>303</v>
      </c>
      <c r="Y268" s="49" t="s">
        <v>1139</v>
      </c>
      <c r="AD268" s="49" t="s">
        <v>305</v>
      </c>
      <c r="AE268" s="48" t="n">
        <v>46253</v>
      </c>
      <c r="AF268" s="49" t="s">
        <v>306</v>
      </c>
      <c r="AG268" s="49" t="s">
        <v>307</v>
      </c>
      <c r="AK268" s="49" t="s">
        <v>303</v>
      </c>
      <c r="AL268" s="49" t="s">
        <v>297</v>
      </c>
      <c r="AO268" s="49" t="s">
        <v>303</v>
      </c>
      <c r="AP268" s="48"/>
      <c r="AR268" s="49" t="s">
        <v>303</v>
      </c>
      <c r="AS268" s="49" t="s">
        <v>306</v>
      </c>
      <c r="AT268" s="49" t="s">
        <v>1140</v>
      </c>
      <c r="AV268" s="49" t="s">
        <v>309</v>
      </c>
      <c r="AW268" s="49" t="s">
        <v>310</v>
      </c>
      <c r="AX268" s="49" t="s">
        <v>311</v>
      </c>
      <c r="AY268" s="48"/>
      <c r="AZ268" s="48" t="n">
        <v>46269</v>
      </c>
      <c r="BC268" s="49" t="s">
        <v>303</v>
      </c>
      <c r="BD268" s="48"/>
      <c r="BE268" s="49" t="s">
        <v>312</v>
      </c>
      <c r="BF268" s="49" t="s">
        <v>303</v>
      </c>
      <c r="BG268" s="48"/>
      <c r="BI268" s="48"/>
      <c r="BJ268" s="48" t="n">
        <v>46282</v>
      </c>
      <c r="BK268" s="49" t="s">
        <v>312</v>
      </c>
      <c r="BL268" s="49" t="s">
        <v>313</v>
      </c>
      <c r="BM268" s="49" t="s">
        <v>310</v>
      </c>
      <c r="BN268" s="48"/>
      <c r="BO268" s="48"/>
      <c r="BP268" s="48"/>
      <c r="BQ268" s="49" t="s">
        <v>1141</v>
      </c>
      <c r="BR268" s="48" t="n">
        <v>46276</v>
      </c>
      <c r="BS268" s="49" t="s">
        <v>1142</v>
      </c>
      <c r="BT268" s="49" t="s">
        <v>312</v>
      </c>
      <c r="BU268" s="49" t="s">
        <v>312</v>
      </c>
      <c r="BV268" s="49" t="s">
        <v>303</v>
      </c>
      <c r="BX268" s="0" t="n">
        <v>0</v>
      </c>
      <c r="CC268" s="49" t="s">
        <v>315</v>
      </c>
      <c r="CD268" s="49" t="s">
        <v>303</v>
      </c>
      <c r="CF268" s="49" t="s">
        <v>303</v>
      </c>
      <c r="CG268" s="49" t="s">
        <v>316</v>
      </c>
      <c r="CH268" s="49" t="s">
        <v>317</v>
      </c>
      <c r="CI268" s="49" t="s">
        <v>318</v>
      </c>
      <c r="CM268" s="49" t="s">
        <v>59</v>
      </c>
      <c r="CV268" s="49" t="s">
        <v>303</v>
      </c>
      <c r="DB268" s="49" t="s">
        <v>319</v>
      </c>
      <c r="DD268" s="48" t="n">
        <v>46253</v>
      </c>
      <c r="DF268" s="49" t="s">
        <v>310</v>
      </c>
      <c r="DG268" s="49" t="s">
        <v>320</v>
      </c>
      <c r="DH268" s="49" t="s">
        <v>58</v>
      </c>
      <c r="DI268" s="49" t="s">
        <v>298</v>
      </c>
      <c r="DJ268" s="49" t="s">
        <v>367</v>
      </c>
      <c r="DK268" s="49" t="s">
        <v>322</v>
      </c>
      <c r="DL268" s="49" t="s">
        <v>323</v>
      </c>
      <c r="DM268" s="49" t="s">
        <v>303</v>
      </c>
      <c r="DN268" s="49" t="s">
        <v>297</v>
      </c>
      <c r="DO268" s="48"/>
      <c r="DP268" s="49" t="s">
        <v>312</v>
      </c>
      <c r="DQ268" s="48"/>
      <c r="DR268" s="49" t="s">
        <v>312</v>
      </c>
      <c r="DS268" s="49" t="s">
        <v>303</v>
      </c>
      <c r="DT268" s="49" t="s">
        <v>303</v>
      </c>
      <c r="DW268" s="49" t="s">
        <v>303</v>
      </c>
      <c r="EA268" s="49" t="s">
        <v>324</v>
      </c>
      <c r="EB268" s="49" t="s">
        <v>303</v>
      </c>
      <c r="EH268" s="49" t="s">
        <v>310</v>
      </c>
      <c r="EJ268" s="49" t="s">
        <v>303</v>
      </c>
      <c r="EK268" s="49" t="s">
        <v>1143</v>
      </c>
      <c r="EM268" s="49" t="s">
        <v>303</v>
      </c>
      <c r="EN268" s="49" t="s">
        <v>374</v>
      </c>
      <c r="EP268" s="49" t="s">
        <v>298</v>
      </c>
      <c r="EQ268" s="0" t="n">
        <v>1</v>
      </c>
      <c r="ER268" s="49" t="s">
        <v>328</v>
      </c>
      <c r="ES268" s="49" t="s">
        <v>342</v>
      </c>
      <c r="ET268" s="49" t="s">
        <v>310</v>
      </c>
      <c r="EU268" s="49" t="s">
        <v>310</v>
      </c>
      <c r="EV268" s="49" t="s">
        <v>310</v>
      </c>
      <c r="EX268" s="49" t="s">
        <v>303</v>
      </c>
      <c r="EY268" s="49" t="s">
        <v>303</v>
      </c>
      <c r="FC268" s="49" t="s">
        <v>330</v>
      </c>
      <c r="FD268" s="49" t="s">
        <v>310</v>
      </c>
      <c r="FE268" s="49" t="s">
        <v>310</v>
      </c>
      <c r="FF268" s="49" t="s">
        <v>58</v>
      </c>
      <c r="FG268" s="49" t="s">
        <v>375</v>
      </c>
      <c r="FH268" s="49" t="s">
        <v>310</v>
      </c>
      <c r="FI268" s="49" t="s">
        <v>332</v>
      </c>
      <c r="FJ268" s="49" t="s">
        <v>303</v>
      </c>
      <c r="FL268" s="49" t="s">
        <v>325</v>
      </c>
      <c r="FM268" s="49" t="s">
        <v>1135</v>
      </c>
      <c r="FP268" s="49" t="s">
        <v>303</v>
      </c>
      <c r="FR268" s="49" t="s">
        <v>303</v>
      </c>
      <c r="FT268" s="49" t="s">
        <v>325</v>
      </c>
      <c r="FU268" s="49" t="s">
        <v>325</v>
      </c>
      <c r="FW268" s="49" t="s">
        <v>333</v>
      </c>
    </row>
    <row r="269" customFormat="false" ht="15" hidden="false" customHeight="false" outlineLevel="0" collapsed="false">
      <c r="A269" s="0" t="n">
        <v>100877352</v>
      </c>
      <c r="B269" s="0" t="s">
        <v>295</v>
      </c>
      <c r="C269" s="0" t="s">
        <v>58</v>
      </c>
      <c r="D269" s="0" t="s">
        <v>59</v>
      </c>
      <c r="E269" s="0" t="s">
        <v>297</v>
      </c>
      <c r="G269" s="0" t="n">
        <v>1</v>
      </c>
      <c r="H269" s="0" t="s">
        <v>298</v>
      </c>
      <c r="I269" s="48" t="n">
        <v>46278</v>
      </c>
      <c r="J269" s="0" t="n">
        <v>1</v>
      </c>
      <c r="K269" s="49" t="s">
        <v>1135</v>
      </c>
      <c r="L269" s="49" t="s">
        <v>1035</v>
      </c>
      <c r="M269" s="48"/>
      <c r="O269" s="49" t="s">
        <v>1045</v>
      </c>
      <c r="P269" s="48"/>
      <c r="Q269" s="48" t="n">
        <v>46278</v>
      </c>
      <c r="R269" s="48" t="n">
        <v>46284</v>
      </c>
      <c r="T269" s="49" t="s">
        <v>302</v>
      </c>
      <c r="U269" s="49" t="s">
        <v>303</v>
      </c>
      <c r="Y269" s="49" t="s">
        <v>312</v>
      </c>
      <c r="AD269" s="49" t="s">
        <v>305</v>
      </c>
      <c r="AE269" s="48" t="n">
        <v>46253</v>
      </c>
      <c r="AF269" s="49" t="s">
        <v>306</v>
      </c>
      <c r="AG269" s="49" t="s">
        <v>307</v>
      </c>
      <c r="AK269" s="49" t="s">
        <v>1047</v>
      </c>
      <c r="AL269" s="49" t="s">
        <v>297</v>
      </c>
      <c r="AO269" s="49" t="s">
        <v>303</v>
      </c>
      <c r="AP269" s="48"/>
      <c r="AR269" s="49" t="s">
        <v>303</v>
      </c>
      <c r="AS269" s="49" t="s">
        <v>306</v>
      </c>
      <c r="AT269" s="49" t="s">
        <v>1144</v>
      </c>
      <c r="AV269" s="49" t="s">
        <v>309</v>
      </c>
      <c r="AW269" s="49" t="s">
        <v>310</v>
      </c>
      <c r="AX269" s="49" t="s">
        <v>311</v>
      </c>
      <c r="AY269" s="48"/>
      <c r="AZ269" s="48" t="n">
        <v>46269</v>
      </c>
      <c r="BC269" s="49" t="s">
        <v>303</v>
      </c>
      <c r="BD269" s="48" t="n">
        <v>46291</v>
      </c>
      <c r="BE269" s="49" t="s">
        <v>1145</v>
      </c>
      <c r="BF269" s="49" t="s">
        <v>303</v>
      </c>
      <c r="BG269" s="48"/>
      <c r="BI269" s="48" t="n">
        <v>46291</v>
      </c>
      <c r="BJ269" s="48" t="n">
        <v>46282</v>
      </c>
      <c r="BK269" s="49" t="s">
        <v>313</v>
      </c>
      <c r="BL269" s="49" t="s">
        <v>313</v>
      </c>
      <c r="BM269" s="49" t="s">
        <v>310</v>
      </c>
      <c r="BN269" s="48"/>
      <c r="BO269" s="48"/>
      <c r="BP269" s="48"/>
      <c r="BQ269" s="49" t="s">
        <v>1063</v>
      </c>
      <c r="BR269" s="48" t="n">
        <v>46276</v>
      </c>
      <c r="BS269" s="49" t="s">
        <v>1146</v>
      </c>
      <c r="BT269" s="49" t="s">
        <v>312</v>
      </c>
      <c r="BU269" s="49" t="s">
        <v>312</v>
      </c>
      <c r="BV269" s="49" t="s">
        <v>303</v>
      </c>
      <c r="BX269" s="0" t="n">
        <v>1</v>
      </c>
      <c r="CC269" s="49" t="s">
        <v>315</v>
      </c>
      <c r="CD269" s="49" t="s">
        <v>303</v>
      </c>
      <c r="CF269" s="49" t="s">
        <v>303</v>
      </c>
      <c r="CG269" s="49" t="s">
        <v>316</v>
      </c>
      <c r="CH269" s="49" t="s">
        <v>317</v>
      </c>
      <c r="CI269" s="49" t="s">
        <v>318</v>
      </c>
      <c r="CM269" s="49" t="s">
        <v>59</v>
      </c>
      <c r="CV269" s="49" t="s">
        <v>303</v>
      </c>
      <c r="DB269" s="49" t="s">
        <v>319</v>
      </c>
      <c r="DD269" s="48" t="n">
        <v>46253</v>
      </c>
      <c r="DF269" s="49" t="s">
        <v>310</v>
      </c>
      <c r="DG269" s="49" t="s">
        <v>320</v>
      </c>
      <c r="DH269" s="49" t="s">
        <v>58</v>
      </c>
      <c r="DI269" s="49" t="s">
        <v>298</v>
      </c>
      <c r="DJ269" s="49" t="s">
        <v>367</v>
      </c>
      <c r="DK269" s="49" t="s">
        <v>322</v>
      </c>
      <c r="DL269" s="49" t="s">
        <v>323</v>
      </c>
      <c r="DM269" s="49" t="s">
        <v>303</v>
      </c>
      <c r="DN269" s="49" t="s">
        <v>297</v>
      </c>
      <c r="DO269" s="48"/>
      <c r="DP269" s="49" t="s">
        <v>312</v>
      </c>
      <c r="DQ269" s="48"/>
      <c r="DR269" s="49" t="s">
        <v>312</v>
      </c>
      <c r="DS269" s="49" t="s">
        <v>303</v>
      </c>
      <c r="DT269" s="49" t="s">
        <v>303</v>
      </c>
      <c r="DW269" s="49" t="s">
        <v>303</v>
      </c>
      <c r="EA269" s="49" t="s">
        <v>324</v>
      </c>
      <c r="EB269" s="49" t="s">
        <v>303</v>
      </c>
      <c r="EF269" s="49" t="s">
        <v>1147</v>
      </c>
      <c r="EH269" s="49" t="s">
        <v>310</v>
      </c>
      <c r="EJ269" s="49" t="s">
        <v>303</v>
      </c>
      <c r="EK269" s="49" t="s">
        <v>1148</v>
      </c>
      <c r="EM269" s="49" t="s">
        <v>303</v>
      </c>
      <c r="EN269" s="49" t="s">
        <v>374</v>
      </c>
      <c r="EP269" s="49" t="s">
        <v>298</v>
      </c>
      <c r="EQ269" s="0" t="n">
        <v>1</v>
      </c>
      <c r="ER269" s="49" t="s">
        <v>328</v>
      </c>
      <c r="ES269" s="49" t="s">
        <v>342</v>
      </c>
      <c r="ET269" s="49" t="s">
        <v>310</v>
      </c>
      <c r="EU269" s="49" t="s">
        <v>310</v>
      </c>
      <c r="EV269" s="49" t="s">
        <v>310</v>
      </c>
      <c r="EX269" s="49" t="s">
        <v>303</v>
      </c>
      <c r="EY269" s="49" t="s">
        <v>303</v>
      </c>
      <c r="FC269" s="49" t="s">
        <v>330</v>
      </c>
      <c r="FD269" s="49" t="s">
        <v>310</v>
      </c>
      <c r="FE269" s="49" t="s">
        <v>310</v>
      </c>
      <c r="FF269" s="49" t="s">
        <v>58</v>
      </c>
      <c r="FG269" s="49" t="s">
        <v>375</v>
      </c>
      <c r="FH269" s="49" t="s">
        <v>310</v>
      </c>
      <c r="FI269" s="49" t="s">
        <v>332</v>
      </c>
      <c r="FJ269" s="49" t="s">
        <v>303</v>
      </c>
      <c r="FL269" s="49" t="s">
        <v>325</v>
      </c>
      <c r="FM269" s="49" t="s">
        <v>1135</v>
      </c>
      <c r="FP269" s="49" t="s">
        <v>303</v>
      </c>
      <c r="FR269" s="49" t="s">
        <v>303</v>
      </c>
      <c r="FT269" s="49" t="s">
        <v>325</v>
      </c>
      <c r="FU269" s="49" t="s">
        <v>325</v>
      </c>
      <c r="FW269" s="49" t="s">
        <v>333</v>
      </c>
    </row>
    <row r="270" customFormat="false" ht="15" hidden="false" customHeight="false" outlineLevel="0" collapsed="false">
      <c r="A270" s="0" t="n">
        <v>100877353</v>
      </c>
      <c r="B270" s="0" t="s">
        <v>295</v>
      </c>
      <c r="C270" s="0" t="s">
        <v>64</v>
      </c>
      <c r="D270" s="0" t="s">
        <v>65</v>
      </c>
      <c r="E270" s="0" t="s">
        <v>297</v>
      </c>
      <c r="G270" s="0" t="n">
        <v>1</v>
      </c>
      <c r="H270" s="0" t="s">
        <v>298</v>
      </c>
      <c r="I270" s="48" t="n">
        <v>46278</v>
      </c>
      <c r="J270" s="0" t="n">
        <v>1</v>
      </c>
      <c r="K270" s="49" t="s">
        <v>1135</v>
      </c>
      <c r="L270" s="49" t="s">
        <v>1035</v>
      </c>
      <c r="M270" s="48" t="n">
        <v>46282</v>
      </c>
      <c r="N270" s="49" t="s">
        <v>1149</v>
      </c>
      <c r="O270" s="49" t="s">
        <v>1045</v>
      </c>
      <c r="P270" s="48"/>
      <c r="Q270" s="48" t="n">
        <v>46278</v>
      </c>
      <c r="R270" s="48" t="n">
        <v>46285</v>
      </c>
      <c r="T270" s="49" t="s">
        <v>302</v>
      </c>
      <c r="U270" s="49" t="s">
        <v>303</v>
      </c>
      <c r="Y270" s="49" t="s">
        <v>1150</v>
      </c>
      <c r="AD270" s="49" t="s">
        <v>305</v>
      </c>
      <c r="AE270" s="48" t="n">
        <v>46253</v>
      </c>
      <c r="AF270" s="49" t="s">
        <v>306</v>
      </c>
      <c r="AG270" s="49" t="s">
        <v>307</v>
      </c>
      <c r="AK270" s="49" t="s">
        <v>1047</v>
      </c>
      <c r="AL270" s="49" t="s">
        <v>297</v>
      </c>
      <c r="AO270" s="49" t="s">
        <v>303</v>
      </c>
      <c r="AP270" s="48"/>
      <c r="AR270" s="49" t="s">
        <v>303</v>
      </c>
      <c r="AS270" s="49" t="s">
        <v>306</v>
      </c>
      <c r="AT270" s="49" t="s">
        <v>1151</v>
      </c>
      <c r="AV270" s="49" t="s">
        <v>309</v>
      </c>
      <c r="AW270" s="49" t="s">
        <v>310</v>
      </c>
      <c r="AX270" s="49" t="s">
        <v>311</v>
      </c>
      <c r="AY270" s="48"/>
      <c r="AZ270" s="48" t="n">
        <v>46275</v>
      </c>
      <c r="BC270" s="49" t="s">
        <v>303</v>
      </c>
      <c r="BD270" s="48" t="n">
        <v>46283</v>
      </c>
      <c r="BE270" s="49" t="s">
        <v>1152</v>
      </c>
      <c r="BF270" s="49" t="s">
        <v>303</v>
      </c>
      <c r="BG270" s="48"/>
      <c r="BI270" s="48" t="n">
        <v>46283</v>
      </c>
      <c r="BJ270" s="48" t="n">
        <v>46282</v>
      </c>
      <c r="BK270" s="49" t="s">
        <v>312</v>
      </c>
      <c r="BL270" s="49" t="s">
        <v>313</v>
      </c>
      <c r="BM270" s="49" t="s">
        <v>310</v>
      </c>
      <c r="BN270" s="48"/>
      <c r="BO270" s="48"/>
      <c r="BP270" s="48"/>
      <c r="BQ270" s="49" t="s">
        <v>1153</v>
      </c>
      <c r="BR270" s="48" t="n">
        <v>46282</v>
      </c>
      <c r="BS270" s="49" t="s">
        <v>1154</v>
      </c>
      <c r="BT270" s="49" t="s">
        <v>312</v>
      </c>
      <c r="BU270" s="49" t="s">
        <v>313</v>
      </c>
      <c r="BV270" s="49" t="s">
        <v>303</v>
      </c>
      <c r="BX270" s="0" t="n">
        <v>1</v>
      </c>
      <c r="CC270" s="49" t="s">
        <v>315</v>
      </c>
      <c r="CD270" s="49" t="s">
        <v>303</v>
      </c>
      <c r="CF270" s="49" t="s">
        <v>303</v>
      </c>
      <c r="CG270" s="49" t="s">
        <v>316</v>
      </c>
      <c r="CH270" s="49" t="s">
        <v>317</v>
      </c>
      <c r="CI270" s="49" t="s">
        <v>318</v>
      </c>
      <c r="CM270" s="49" t="s">
        <v>65</v>
      </c>
      <c r="CV270" s="49" t="s">
        <v>303</v>
      </c>
      <c r="DB270" s="49" t="s">
        <v>319</v>
      </c>
      <c r="DD270" s="48" t="n">
        <v>46253</v>
      </c>
      <c r="DF270" s="49" t="s">
        <v>310</v>
      </c>
      <c r="DG270" s="49" t="s">
        <v>320</v>
      </c>
      <c r="DH270" s="49" t="s">
        <v>64</v>
      </c>
      <c r="DI270" s="49" t="s">
        <v>298</v>
      </c>
      <c r="DJ270" s="49" t="s">
        <v>394</v>
      </c>
      <c r="DK270" s="49" t="s">
        <v>322</v>
      </c>
      <c r="DL270" s="49" t="s">
        <v>323</v>
      </c>
      <c r="DM270" s="49" t="s">
        <v>303</v>
      </c>
      <c r="DN270" s="49" t="s">
        <v>297</v>
      </c>
      <c r="DO270" s="48"/>
      <c r="DP270" s="49" t="s">
        <v>312</v>
      </c>
      <c r="DQ270" s="48"/>
      <c r="DR270" s="49" t="s">
        <v>312</v>
      </c>
      <c r="DS270" s="49" t="s">
        <v>303</v>
      </c>
      <c r="DT270" s="49" t="s">
        <v>303</v>
      </c>
      <c r="DW270" s="49" t="s">
        <v>303</v>
      </c>
      <c r="EA270" s="49" t="s">
        <v>324</v>
      </c>
      <c r="EB270" s="49" t="s">
        <v>303</v>
      </c>
      <c r="EH270" s="49" t="s">
        <v>310</v>
      </c>
      <c r="EJ270" s="49" t="s">
        <v>303</v>
      </c>
      <c r="EK270" s="49" t="s">
        <v>1155</v>
      </c>
      <c r="EM270" s="49" t="s">
        <v>303</v>
      </c>
      <c r="EN270" s="49" t="s">
        <v>396</v>
      </c>
      <c r="EP270" s="49" t="s">
        <v>298</v>
      </c>
      <c r="EQ270" s="0" t="n">
        <v>1</v>
      </c>
      <c r="ER270" s="49" t="s">
        <v>328</v>
      </c>
      <c r="ES270" s="49" t="s">
        <v>329</v>
      </c>
      <c r="ET270" s="49" t="s">
        <v>310</v>
      </c>
      <c r="EU270" s="49" t="s">
        <v>310</v>
      </c>
      <c r="EV270" s="49" t="s">
        <v>310</v>
      </c>
      <c r="EX270" s="49" t="s">
        <v>303</v>
      </c>
      <c r="EY270" s="49" t="s">
        <v>303</v>
      </c>
      <c r="FC270" s="49" t="s">
        <v>330</v>
      </c>
      <c r="FD270" s="49" t="s">
        <v>310</v>
      </c>
      <c r="FE270" s="49" t="s">
        <v>310</v>
      </c>
      <c r="FF270" s="49" t="s">
        <v>64</v>
      </c>
      <c r="FG270" s="49" t="s">
        <v>397</v>
      </c>
      <c r="FH270" s="49" t="s">
        <v>310</v>
      </c>
      <c r="FI270" s="49" t="s">
        <v>332</v>
      </c>
      <c r="FJ270" s="49" t="s">
        <v>303</v>
      </c>
      <c r="FL270" s="49" t="s">
        <v>325</v>
      </c>
      <c r="FM270" s="49" t="s">
        <v>1135</v>
      </c>
      <c r="FP270" s="49" t="s">
        <v>303</v>
      </c>
      <c r="FR270" s="49" t="s">
        <v>303</v>
      </c>
      <c r="FT270" s="49" t="s">
        <v>325</v>
      </c>
      <c r="FU270" s="49" t="s">
        <v>325</v>
      </c>
      <c r="FW270" s="49" t="s">
        <v>333</v>
      </c>
    </row>
    <row r="271" customFormat="false" ht="15" hidden="false" customHeight="false" outlineLevel="0" collapsed="false">
      <c r="A271" s="0" t="n">
        <v>100877354</v>
      </c>
      <c r="B271" s="0" t="s">
        <v>295</v>
      </c>
      <c r="C271" s="0" t="s">
        <v>64</v>
      </c>
      <c r="D271" s="0" t="s">
        <v>65</v>
      </c>
      <c r="E271" s="0" t="s">
        <v>297</v>
      </c>
      <c r="G271" s="0" t="n">
        <v>1</v>
      </c>
      <c r="H271" s="0" t="s">
        <v>298</v>
      </c>
      <c r="I271" s="48" t="n">
        <v>46278</v>
      </c>
      <c r="J271" s="0" t="n">
        <v>1</v>
      </c>
      <c r="K271" s="49" t="s">
        <v>1135</v>
      </c>
      <c r="L271" s="49" t="s">
        <v>1035</v>
      </c>
      <c r="M271" s="48" t="n">
        <v>46282</v>
      </c>
      <c r="N271" s="49" t="s">
        <v>1149</v>
      </c>
      <c r="O271" s="49" t="s">
        <v>1045</v>
      </c>
      <c r="P271" s="48"/>
      <c r="Q271" s="48" t="n">
        <v>46278</v>
      </c>
      <c r="R271" s="48" t="n">
        <v>46284</v>
      </c>
      <c r="T271" s="49" t="s">
        <v>302</v>
      </c>
      <c r="U271" s="49" t="s">
        <v>303</v>
      </c>
      <c r="Y271" s="49" t="s">
        <v>1156</v>
      </c>
      <c r="AD271" s="49" t="s">
        <v>305</v>
      </c>
      <c r="AE271" s="48" t="n">
        <v>46253</v>
      </c>
      <c r="AF271" s="49" t="s">
        <v>306</v>
      </c>
      <c r="AG271" s="49" t="s">
        <v>307</v>
      </c>
      <c r="AK271" s="49" t="s">
        <v>1047</v>
      </c>
      <c r="AL271" s="49" t="s">
        <v>297</v>
      </c>
      <c r="AO271" s="49" t="s">
        <v>303</v>
      </c>
      <c r="AP271" s="48"/>
      <c r="AR271" s="49" t="s">
        <v>303</v>
      </c>
      <c r="AS271" s="49" t="s">
        <v>306</v>
      </c>
      <c r="AT271" s="49" t="s">
        <v>1157</v>
      </c>
      <c r="AV271" s="49" t="s">
        <v>309</v>
      </c>
      <c r="AW271" s="49" t="s">
        <v>310</v>
      </c>
      <c r="AX271" s="49" t="s">
        <v>311</v>
      </c>
      <c r="AY271" s="48"/>
      <c r="AZ271" s="48" t="n">
        <v>46275</v>
      </c>
      <c r="BC271" s="49" t="s">
        <v>303</v>
      </c>
      <c r="BD271" s="48" t="n">
        <v>46283</v>
      </c>
      <c r="BE271" s="49" t="s">
        <v>1158</v>
      </c>
      <c r="BF271" s="49" t="s">
        <v>303</v>
      </c>
      <c r="BG271" s="48"/>
      <c r="BI271" s="48" t="n">
        <v>46283</v>
      </c>
      <c r="BJ271" s="48" t="n">
        <v>46282</v>
      </c>
      <c r="BK271" s="49" t="s">
        <v>313</v>
      </c>
      <c r="BL271" s="49" t="s">
        <v>313</v>
      </c>
      <c r="BM271" s="49" t="s">
        <v>310</v>
      </c>
      <c r="BN271" s="48"/>
      <c r="BO271" s="48"/>
      <c r="BP271" s="48"/>
      <c r="BQ271" s="49" t="s">
        <v>1153</v>
      </c>
      <c r="BR271" s="48" t="n">
        <v>46282</v>
      </c>
      <c r="BS271" s="49" t="s">
        <v>1159</v>
      </c>
      <c r="BT271" s="49" t="s">
        <v>312</v>
      </c>
      <c r="BU271" s="49" t="s">
        <v>313</v>
      </c>
      <c r="BV271" s="49" t="s">
        <v>303</v>
      </c>
      <c r="BX271" s="0" t="n">
        <v>1</v>
      </c>
      <c r="CC271" s="49" t="s">
        <v>315</v>
      </c>
      <c r="CD271" s="49" t="s">
        <v>303</v>
      </c>
      <c r="CF271" s="49" t="s">
        <v>303</v>
      </c>
      <c r="CG271" s="49" t="s">
        <v>316</v>
      </c>
      <c r="CH271" s="49" t="s">
        <v>317</v>
      </c>
      <c r="CI271" s="49" t="s">
        <v>318</v>
      </c>
      <c r="CM271" s="49" t="s">
        <v>65</v>
      </c>
      <c r="CV271" s="49" t="s">
        <v>303</v>
      </c>
      <c r="DB271" s="49" t="s">
        <v>319</v>
      </c>
      <c r="DD271" s="48" t="n">
        <v>46253</v>
      </c>
      <c r="DF271" s="49" t="s">
        <v>310</v>
      </c>
      <c r="DG271" s="49" t="s">
        <v>320</v>
      </c>
      <c r="DH271" s="49" t="s">
        <v>64</v>
      </c>
      <c r="DI271" s="49" t="s">
        <v>298</v>
      </c>
      <c r="DJ271" s="49" t="s">
        <v>394</v>
      </c>
      <c r="DK271" s="49" t="s">
        <v>322</v>
      </c>
      <c r="DL271" s="49" t="s">
        <v>323</v>
      </c>
      <c r="DM271" s="49" t="s">
        <v>303</v>
      </c>
      <c r="DN271" s="49" t="s">
        <v>297</v>
      </c>
      <c r="DO271" s="48"/>
      <c r="DP271" s="49" t="s">
        <v>312</v>
      </c>
      <c r="DQ271" s="48"/>
      <c r="DR271" s="49" t="s">
        <v>312</v>
      </c>
      <c r="DS271" s="49" t="s">
        <v>303</v>
      </c>
      <c r="DT271" s="49" t="s">
        <v>303</v>
      </c>
      <c r="DW271" s="49" t="s">
        <v>303</v>
      </c>
      <c r="EA271" s="49" t="s">
        <v>324</v>
      </c>
      <c r="EB271" s="49" t="s">
        <v>303</v>
      </c>
      <c r="EF271" s="49" t="s">
        <v>1160</v>
      </c>
      <c r="EH271" s="49" t="s">
        <v>310</v>
      </c>
      <c r="EJ271" s="49" t="s">
        <v>303</v>
      </c>
      <c r="EK271" s="49" t="s">
        <v>1161</v>
      </c>
      <c r="EM271" s="49" t="s">
        <v>303</v>
      </c>
      <c r="EN271" s="49" t="s">
        <v>396</v>
      </c>
      <c r="EP271" s="49" t="s">
        <v>298</v>
      </c>
      <c r="EQ271" s="0" t="n">
        <v>1</v>
      </c>
      <c r="ER271" s="49" t="s">
        <v>328</v>
      </c>
      <c r="ES271" s="49" t="s">
        <v>329</v>
      </c>
      <c r="ET271" s="49" t="s">
        <v>310</v>
      </c>
      <c r="EU271" s="49" t="s">
        <v>310</v>
      </c>
      <c r="EV271" s="49" t="s">
        <v>310</v>
      </c>
      <c r="EX271" s="49" t="s">
        <v>303</v>
      </c>
      <c r="EY271" s="49" t="s">
        <v>303</v>
      </c>
      <c r="FC271" s="49" t="s">
        <v>330</v>
      </c>
      <c r="FD271" s="49" t="s">
        <v>310</v>
      </c>
      <c r="FE271" s="49" t="s">
        <v>310</v>
      </c>
      <c r="FF271" s="49" t="s">
        <v>64</v>
      </c>
      <c r="FG271" s="49" t="s">
        <v>397</v>
      </c>
      <c r="FH271" s="49" t="s">
        <v>310</v>
      </c>
      <c r="FI271" s="49" t="s">
        <v>332</v>
      </c>
      <c r="FJ271" s="49" t="s">
        <v>303</v>
      </c>
      <c r="FL271" s="49" t="s">
        <v>325</v>
      </c>
      <c r="FM271" s="49" t="s">
        <v>1135</v>
      </c>
      <c r="FP271" s="49" t="s">
        <v>303</v>
      </c>
      <c r="FR271" s="49" t="s">
        <v>303</v>
      </c>
      <c r="FT271" s="49" t="s">
        <v>325</v>
      </c>
      <c r="FU271" s="49" t="s">
        <v>325</v>
      </c>
      <c r="FW271" s="49" t="s">
        <v>333</v>
      </c>
    </row>
    <row r="272" customFormat="false" ht="15" hidden="false" customHeight="false" outlineLevel="0" collapsed="false">
      <c r="A272" s="0" t="n">
        <v>100877355</v>
      </c>
      <c r="B272" s="0" t="s">
        <v>295</v>
      </c>
      <c r="C272" s="0" t="s">
        <v>64</v>
      </c>
      <c r="D272" s="0" t="s">
        <v>65</v>
      </c>
      <c r="E272" s="0" t="s">
        <v>297</v>
      </c>
      <c r="G272" s="0" t="n">
        <v>1</v>
      </c>
      <c r="H272" s="0" t="s">
        <v>298</v>
      </c>
      <c r="I272" s="48" t="n">
        <v>46278</v>
      </c>
      <c r="J272" s="0" t="n">
        <v>1</v>
      </c>
      <c r="K272" s="49" t="s">
        <v>1135</v>
      </c>
      <c r="L272" s="49" t="s">
        <v>1035</v>
      </c>
      <c r="M272" s="48" t="n">
        <v>46282</v>
      </c>
      <c r="N272" s="49" t="s">
        <v>1149</v>
      </c>
      <c r="O272" s="49" t="s">
        <v>1045</v>
      </c>
      <c r="P272" s="48"/>
      <c r="Q272" s="48" t="n">
        <v>46278</v>
      </c>
      <c r="R272" s="48" t="n">
        <v>46284</v>
      </c>
      <c r="T272" s="49" t="s">
        <v>302</v>
      </c>
      <c r="U272" s="49" t="s">
        <v>303</v>
      </c>
      <c r="Y272" s="49" t="s">
        <v>1162</v>
      </c>
      <c r="AD272" s="49" t="s">
        <v>305</v>
      </c>
      <c r="AE272" s="48" t="n">
        <v>46253</v>
      </c>
      <c r="AF272" s="49" t="s">
        <v>306</v>
      </c>
      <c r="AG272" s="49" t="s">
        <v>307</v>
      </c>
      <c r="AK272" s="49" t="s">
        <v>1047</v>
      </c>
      <c r="AL272" s="49" t="s">
        <v>297</v>
      </c>
      <c r="AO272" s="49" t="s">
        <v>303</v>
      </c>
      <c r="AP272" s="48"/>
      <c r="AR272" s="49" t="s">
        <v>303</v>
      </c>
      <c r="AS272" s="49" t="s">
        <v>306</v>
      </c>
      <c r="AT272" s="49" t="s">
        <v>1163</v>
      </c>
      <c r="AV272" s="49" t="s">
        <v>309</v>
      </c>
      <c r="AW272" s="49" t="s">
        <v>310</v>
      </c>
      <c r="AX272" s="49" t="s">
        <v>311</v>
      </c>
      <c r="AY272" s="48"/>
      <c r="AZ272" s="48" t="n">
        <v>46275</v>
      </c>
      <c r="BC272" s="49" t="s">
        <v>303</v>
      </c>
      <c r="BD272" s="48" t="n">
        <v>46283</v>
      </c>
      <c r="BE272" s="49" t="s">
        <v>1164</v>
      </c>
      <c r="BF272" s="49" t="s">
        <v>303</v>
      </c>
      <c r="BG272" s="48"/>
      <c r="BI272" s="48" t="n">
        <v>46283</v>
      </c>
      <c r="BJ272" s="48" t="n">
        <v>46282</v>
      </c>
      <c r="BK272" s="49" t="s">
        <v>313</v>
      </c>
      <c r="BL272" s="49" t="s">
        <v>313</v>
      </c>
      <c r="BM272" s="49" t="s">
        <v>310</v>
      </c>
      <c r="BN272" s="48"/>
      <c r="BO272" s="48"/>
      <c r="BP272" s="48"/>
      <c r="BQ272" s="49" t="s">
        <v>1153</v>
      </c>
      <c r="BR272" s="48" t="n">
        <v>46282</v>
      </c>
      <c r="BS272" s="49" t="s">
        <v>1165</v>
      </c>
      <c r="BT272" s="49" t="s">
        <v>312</v>
      </c>
      <c r="BU272" s="49" t="s">
        <v>313</v>
      </c>
      <c r="BV272" s="49" t="s">
        <v>303</v>
      </c>
      <c r="BX272" s="0" t="n">
        <v>1</v>
      </c>
      <c r="CC272" s="49" t="s">
        <v>315</v>
      </c>
      <c r="CD272" s="49" t="s">
        <v>303</v>
      </c>
      <c r="CF272" s="49" t="s">
        <v>303</v>
      </c>
      <c r="CG272" s="49" t="s">
        <v>316</v>
      </c>
      <c r="CH272" s="49" t="s">
        <v>317</v>
      </c>
      <c r="CI272" s="49" t="s">
        <v>318</v>
      </c>
      <c r="CM272" s="49" t="s">
        <v>65</v>
      </c>
      <c r="CV272" s="49" t="s">
        <v>303</v>
      </c>
      <c r="DB272" s="49" t="s">
        <v>319</v>
      </c>
      <c r="DD272" s="48" t="n">
        <v>46253</v>
      </c>
      <c r="DF272" s="49" t="s">
        <v>310</v>
      </c>
      <c r="DG272" s="49" t="s">
        <v>320</v>
      </c>
      <c r="DH272" s="49" t="s">
        <v>64</v>
      </c>
      <c r="DI272" s="49" t="s">
        <v>298</v>
      </c>
      <c r="DJ272" s="49" t="s">
        <v>394</v>
      </c>
      <c r="DK272" s="49" t="s">
        <v>322</v>
      </c>
      <c r="DL272" s="49" t="s">
        <v>323</v>
      </c>
      <c r="DM272" s="49" t="s">
        <v>303</v>
      </c>
      <c r="DN272" s="49" t="s">
        <v>297</v>
      </c>
      <c r="DO272" s="48"/>
      <c r="DP272" s="49" t="s">
        <v>312</v>
      </c>
      <c r="DQ272" s="48"/>
      <c r="DR272" s="49" t="s">
        <v>312</v>
      </c>
      <c r="DS272" s="49" t="s">
        <v>303</v>
      </c>
      <c r="DT272" s="49" t="s">
        <v>303</v>
      </c>
      <c r="DW272" s="49" t="s">
        <v>303</v>
      </c>
      <c r="EA272" s="49" t="s">
        <v>324</v>
      </c>
      <c r="EB272" s="49" t="s">
        <v>303</v>
      </c>
      <c r="EF272" s="49" t="s">
        <v>1160</v>
      </c>
      <c r="EH272" s="49" t="s">
        <v>310</v>
      </c>
      <c r="EJ272" s="49" t="s">
        <v>303</v>
      </c>
      <c r="EK272" s="49" t="s">
        <v>1166</v>
      </c>
      <c r="EM272" s="49" t="s">
        <v>303</v>
      </c>
      <c r="EN272" s="49" t="s">
        <v>396</v>
      </c>
      <c r="EP272" s="49" t="s">
        <v>298</v>
      </c>
      <c r="EQ272" s="0" t="n">
        <v>1</v>
      </c>
      <c r="ER272" s="49" t="s">
        <v>328</v>
      </c>
      <c r="ES272" s="49" t="s">
        <v>329</v>
      </c>
      <c r="ET272" s="49" t="s">
        <v>310</v>
      </c>
      <c r="EU272" s="49" t="s">
        <v>310</v>
      </c>
      <c r="EV272" s="49" t="s">
        <v>310</v>
      </c>
      <c r="EX272" s="49" t="s">
        <v>303</v>
      </c>
      <c r="EY272" s="49" t="s">
        <v>303</v>
      </c>
      <c r="FC272" s="49" t="s">
        <v>330</v>
      </c>
      <c r="FD272" s="49" t="s">
        <v>310</v>
      </c>
      <c r="FE272" s="49" t="s">
        <v>310</v>
      </c>
      <c r="FF272" s="49" t="s">
        <v>64</v>
      </c>
      <c r="FG272" s="49" t="s">
        <v>397</v>
      </c>
      <c r="FH272" s="49" t="s">
        <v>310</v>
      </c>
      <c r="FI272" s="49" t="s">
        <v>332</v>
      </c>
      <c r="FJ272" s="49" t="s">
        <v>303</v>
      </c>
      <c r="FL272" s="49" t="s">
        <v>325</v>
      </c>
      <c r="FM272" s="49" t="s">
        <v>1135</v>
      </c>
      <c r="FP272" s="49" t="s">
        <v>303</v>
      </c>
      <c r="FR272" s="49" t="s">
        <v>303</v>
      </c>
      <c r="FT272" s="49" t="s">
        <v>325</v>
      </c>
      <c r="FU272" s="49" t="s">
        <v>325</v>
      </c>
      <c r="FW272" s="49" t="s">
        <v>333</v>
      </c>
    </row>
    <row r="273" customFormat="false" ht="15" hidden="false" customHeight="false" outlineLevel="0" collapsed="false">
      <c r="A273" s="0" t="n">
        <v>100877356</v>
      </c>
      <c r="B273" s="0" t="s">
        <v>295</v>
      </c>
      <c r="C273" s="0" t="s">
        <v>64</v>
      </c>
      <c r="D273" s="0" t="s">
        <v>65</v>
      </c>
      <c r="E273" s="0" t="s">
        <v>297</v>
      </c>
      <c r="G273" s="0" t="n">
        <v>1</v>
      </c>
      <c r="H273" s="0" t="s">
        <v>298</v>
      </c>
      <c r="I273" s="48" t="n">
        <v>46278</v>
      </c>
      <c r="J273" s="0" t="n">
        <v>1</v>
      </c>
      <c r="K273" s="49" t="s">
        <v>1135</v>
      </c>
      <c r="L273" s="49" t="s">
        <v>1035</v>
      </c>
      <c r="M273" s="48" t="n">
        <v>46286</v>
      </c>
      <c r="N273" s="49" t="s">
        <v>1149</v>
      </c>
      <c r="O273" s="49" t="s">
        <v>1045</v>
      </c>
      <c r="P273" s="48"/>
      <c r="Q273" s="48" t="n">
        <v>46278</v>
      </c>
      <c r="R273" s="48" t="n">
        <v>46284</v>
      </c>
      <c r="T273" s="49" t="s">
        <v>302</v>
      </c>
      <c r="U273" s="49" t="s">
        <v>303</v>
      </c>
      <c r="Y273" s="49" t="s">
        <v>1167</v>
      </c>
      <c r="AD273" s="49" t="s">
        <v>305</v>
      </c>
      <c r="AE273" s="48" t="n">
        <v>46253</v>
      </c>
      <c r="AF273" s="49" t="s">
        <v>306</v>
      </c>
      <c r="AG273" s="49" t="s">
        <v>307</v>
      </c>
      <c r="AK273" s="49" t="s">
        <v>1047</v>
      </c>
      <c r="AL273" s="49" t="s">
        <v>297</v>
      </c>
      <c r="AO273" s="49" t="s">
        <v>303</v>
      </c>
      <c r="AP273" s="48"/>
      <c r="AR273" s="49" t="s">
        <v>303</v>
      </c>
      <c r="AS273" s="49" t="s">
        <v>306</v>
      </c>
      <c r="AT273" s="49" t="s">
        <v>1168</v>
      </c>
      <c r="AV273" s="49" t="s">
        <v>309</v>
      </c>
      <c r="AW273" s="49" t="s">
        <v>310</v>
      </c>
      <c r="AX273" s="49" t="s">
        <v>311</v>
      </c>
      <c r="AY273" s="48"/>
      <c r="AZ273" s="48" t="n">
        <v>46275</v>
      </c>
      <c r="BC273" s="49" t="s">
        <v>303</v>
      </c>
      <c r="BD273" s="48" t="n">
        <v>46289</v>
      </c>
      <c r="BE273" s="49" t="s">
        <v>1169</v>
      </c>
      <c r="BF273" s="49" t="s">
        <v>303</v>
      </c>
      <c r="BG273" s="48"/>
      <c r="BI273" s="48" t="n">
        <v>46289</v>
      </c>
      <c r="BJ273" s="48" t="n">
        <v>46282</v>
      </c>
      <c r="BK273" s="49" t="s">
        <v>313</v>
      </c>
      <c r="BL273" s="49" t="s">
        <v>313</v>
      </c>
      <c r="BM273" s="49" t="s">
        <v>310</v>
      </c>
      <c r="BN273" s="48"/>
      <c r="BO273" s="48"/>
      <c r="BP273" s="48"/>
      <c r="BQ273" s="49" t="s">
        <v>1063</v>
      </c>
      <c r="BR273" s="48" t="n">
        <v>46282</v>
      </c>
      <c r="BS273" s="49" t="s">
        <v>1170</v>
      </c>
      <c r="BT273" s="49" t="s">
        <v>312</v>
      </c>
      <c r="BU273" s="49" t="s">
        <v>313</v>
      </c>
      <c r="BV273" s="49" t="s">
        <v>303</v>
      </c>
      <c r="BX273" s="0" t="n">
        <v>1</v>
      </c>
      <c r="CC273" s="49" t="s">
        <v>315</v>
      </c>
      <c r="CD273" s="49" t="s">
        <v>303</v>
      </c>
      <c r="CF273" s="49" t="s">
        <v>303</v>
      </c>
      <c r="CG273" s="49" t="s">
        <v>316</v>
      </c>
      <c r="CH273" s="49" t="s">
        <v>317</v>
      </c>
      <c r="CI273" s="49" t="s">
        <v>318</v>
      </c>
      <c r="CM273" s="49" t="s">
        <v>65</v>
      </c>
      <c r="CV273" s="49" t="s">
        <v>303</v>
      </c>
      <c r="DB273" s="49" t="s">
        <v>319</v>
      </c>
      <c r="DD273" s="48" t="n">
        <v>46253</v>
      </c>
      <c r="DF273" s="49" t="s">
        <v>310</v>
      </c>
      <c r="DG273" s="49" t="s">
        <v>320</v>
      </c>
      <c r="DH273" s="49" t="s">
        <v>64</v>
      </c>
      <c r="DI273" s="49" t="s">
        <v>298</v>
      </c>
      <c r="DJ273" s="49" t="s">
        <v>394</v>
      </c>
      <c r="DK273" s="49" t="s">
        <v>322</v>
      </c>
      <c r="DL273" s="49" t="s">
        <v>323</v>
      </c>
      <c r="DM273" s="49" t="s">
        <v>303</v>
      </c>
      <c r="DN273" s="49" t="s">
        <v>297</v>
      </c>
      <c r="DO273" s="48"/>
      <c r="DP273" s="49" t="s">
        <v>312</v>
      </c>
      <c r="DQ273" s="48"/>
      <c r="DR273" s="49" t="s">
        <v>312</v>
      </c>
      <c r="DS273" s="49" t="s">
        <v>303</v>
      </c>
      <c r="DT273" s="49" t="s">
        <v>303</v>
      </c>
      <c r="DW273" s="49" t="s">
        <v>303</v>
      </c>
      <c r="EA273" s="49" t="s">
        <v>324</v>
      </c>
      <c r="EB273" s="49" t="s">
        <v>303</v>
      </c>
      <c r="EF273" s="49" t="s">
        <v>1160</v>
      </c>
      <c r="EH273" s="49" t="s">
        <v>310</v>
      </c>
      <c r="EJ273" s="49" t="s">
        <v>303</v>
      </c>
      <c r="EK273" s="49" t="s">
        <v>1171</v>
      </c>
      <c r="EM273" s="49" t="s">
        <v>303</v>
      </c>
      <c r="EN273" s="49" t="s">
        <v>396</v>
      </c>
      <c r="EP273" s="49" t="s">
        <v>298</v>
      </c>
      <c r="EQ273" s="0" t="n">
        <v>1</v>
      </c>
      <c r="ER273" s="49" t="s">
        <v>328</v>
      </c>
      <c r="ES273" s="49" t="s">
        <v>329</v>
      </c>
      <c r="ET273" s="49" t="s">
        <v>310</v>
      </c>
      <c r="EU273" s="49" t="s">
        <v>310</v>
      </c>
      <c r="EV273" s="49" t="s">
        <v>310</v>
      </c>
      <c r="EX273" s="49" t="s">
        <v>303</v>
      </c>
      <c r="EY273" s="49" t="s">
        <v>303</v>
      </c>
      <c r="FC273" s="49" t="s">
        <v>330</v>
      </c>
      <c r="FD273" s="49" t="s">
        <v>310</v>
      </c>
      <c r="FE273" s="49" t="s">
        <v>310</v>
      </c>
      <c r="FF273" s="49" t="s">
        <v>64</v>
      </c>
      <c r="FG273" s="49" t="s">
        <v>397</v>
      </c>
      <c r="FH273" s="49" t="s">
        <v>310</v>
      </c>
      <c r="FI273" s="49" t="s">
        <v>332</v>
      </c>
      <c r="FJ273" s="49" t="s">
        <v>303</v>
      </c>
      <c r="FL273" s="49" t="s">
        <v>325</v>
      </c>
      <c r="FM273" s="49" t="s">
        <v>1135</v>
      </c>
      <c r="FP273" s="49" t="s">
        <v>303</v>
      </c>
      <c r="FR273" s="49" t="s">
        <v>303</v>
      </c>
      <c r="FT273" s="49" t="s">
        <v>325</v>
      </c>
      <c r="FU273" s="49" t="s">
        <v>325</v>
      </c>
      <c r="FW273" s="49" t="s">
        <v>333</v>
      </c>
    </row>
    <row r="274" customFormat="false" ht="15" hidden="false" customHeight="false" outlineLevel="0" collapsed="false">
      <c r="A274" s="0" t="n">
        <v>100877357</v>
      </c>
      <c r="B274" s="0" t="s">
        <v>295</v>
      </c>
      <c r="C274" s="0" t="s">
        <v>64</v>
      </c>
      <c r="D274" s="0" t="s">
        <v>65</v>
      </c>
      <c r="E274" s="0" t="s">
        <v>297</v>
      </c>
      <c r="G274" s="0" t="n">
        <v>1</v>
      </c>
      <c r="H274" s="0" t="s">
        <v>298</v>
      </c>
      <c r="I274" s="48" t="n">
        <v>46278</v>
      </c>
      <c r="J274" s="0" t="n">
        <v>1</v>
      </c>
      <c r="K274" s="49" t="s">
        <v>1135</v>
      </c>
      <c r="L274" s="49" t="s">
        <v>1035</v>
      </c>
      <c r="M274" s="48" t="n">
        <v>46286</v>
      </c>
      <c r="N274" s="49" t="s">
        <v>1149</v>
      </c>
      <c r="O274" s="49" t="s">
        <v>1045</v>
      </c>
      <c r="P274" s="48"/>
      <c r="Q274" s="48" t="n">
        <v>46278</v>
      </c>
      <c r="R274" s="48" t="n">
        <v>46284</v>
      </c>
      <c r="T274" s="49" t="s">
        <v>302</v>
      </c>
      <c r="U274" s="49" t="s">
        <v>303</v>
      </c>
      <c r="Y274" s="49" t="s">
        <v>1172</v>
      </c>
      <c r="AD274" s="49" t="s">
        <v>305</v>
      </c>
      <c r="AE274" s="48" t="n">
        <v>46253</v>
      </c>
      <c r="AF274" s="49" t="s">
        <v>306</v>
      </c>
      <c r="AG274" s="49" t="s">
        <v>307</v>
      </c>
      <c r="AK274" s="49" t="s">
        <v>1047</v>
      </c>
      <c r="AL274" s="49" t="s">
        <v>297</v>
      </c>
      <c r="AO274" s="49" t="s">
        <v>303</v>
      </c>
      <c r="AP274" s="48"/>
      <c r="AR274" s="49" t="s">
        <v>303</v>
      </c>
      <c r="AS274" s="49" t="s">
        <v>306</v>
      </c>
      <c r="AT274" s="49" t="s">
        <v>1173</v>
      </c>
      <c r="AV274" s="49" t="s">
        <v>309</v>
      </c>
      <c r="AW274" s="49" t="s">
        <v>310</v>
      </c>
      <c r="AX274" s="49" t="s">
        <v>311</v>
      </c>
      <c r="AY274" s="48"/>
      <c r="AZ274" s="48" t="n">
        <v>46275</v>
      </c>
      <c r="BC274" s="49" t="s">
        <v>303</v>
      </c>
      <c r="BD274" s="48" t="n">
        <v>46289</v>
      </c>
      <c r="BE274" s="49" t="s">
        <v>1169</v>
      </c>
      <c r="BF274" s="49" t="s">
        <v>303</v>
      </c>
      <c r="BG274" s="48"/>
      <c r="BI274" s="48" t="n">
        <v>46289</v>
      </c>
      <c r="BJ274" s="48" t="n">
        <v>46282</v>
      </c>
      <c r="BK274" s="49" t="s">
        <v>313</v>
      </c>
      <c r="BL274" s="49" t="s">
        <v>313</v>
      </c>
      <c r="BM274" s="49" t="s">
        <v>310</v>
      </c>
      <c r="BN274" s="48"/>
      <c r="BO274" s="48"/>
      <c r="BP274" s="48"/>
      <c r="BQ274" s="49" t="s">
        <v>1063</v>
      </c>
      <c r="BR274" s="48" t="n">
        <v>46282</v>
      </c>
      <c r="BS274" s="49" t="s">
        <v>1174</v>
      </c>
      <c r="BT274" s="49" t="s">
        <v>312</v>
      </c>
      <c r="BU274" s="49" t="s">
        <v>313</v>
      </c>
      <c r="BV274" s="49" t="s">
        <v>303</v>
      </c>
      <c r="BX274" s="0" t="n">
        <v>1</v>
      </c>
      <c r="CC274" s="49" t="s">
        <v>315</v>
      </c>
      <c r="CD274" s="49" t="s">
        <v>303</v>
      </c>
      <c r="CF274" s="49" t="s">
        <v>303</v>
      </c>
      <c r="CG274" s="49" t="s">
        <v>316</v>
      </c>
      <c r="CH274" s="49" t="s">
        <v>317</v>
      </c>
      <c r="CI274" s="49" t="s">
        <v>318</v>
      </c>
      <c r="CM274" s="49" t="s">
        <v>65</v>
      </c>
      <c r="CV274" s="49" t="s">
        <v>303</v>
      </c>
      <c r="DB274" s="49" t="s">
        <v>319</v>
      </c>
      <c r="DD274" s="48" t="n">
        <v>46253</v>
      </c>
      <c r="DF274" s="49" t="s">
        <v>310</v>
      </c>
      <c r="DG274" s="49" t="s">
        <v>320</v>
      </c>
      <c r="DH274" s="49" t="s">
        <v>64</v>
      </c>
      <c r="DI274" s="49" t="s">
        <v>298</v>
      </c>
      <c r="DJ274" s="49" t="s">
        <v>394</v>
      </c>
      <c r="DK274" s="49" t="s">
        <v>322</v>
      </c>
      <c r="DL274" s="49" t="s">
        <v>323</v>
      </c>
      <c r="DM274" s="49" t="s">
        <v>303</v>
      </c>
      <c r="DN274" s="49" t="s">
        <v>297</v>
      </c>
      <c r="DO274" s="48"/>
      <c r="DP274" s="49" t="s">
        <v>312</v>
      </c>
      <c r="DQ274" s="48"/>
      <c r="DR274" s="49" t="s">
        <v>312</v>
      </c>
      <c r="DS274" s="49" t="s">
        <v>303</v>
      </c>
      <c r="DT274" s="49" t="s">
        <v>303</v>
      </c>
      <c r="DW274" s="49" t="s">
        <v>303</v>
      </c>
      <c r="EA274" s="49" t="s">
        <v>324</v>
      </c>
      <c r="EB274" s="49" t="s">
        <v>303</v>
      </c>
      <c r="EF274" s="49" t="s">
        <v>1160</v>
      </c>
      <c r="EH274" s="49" t="s">
        <v>310</v>
      </c>
      <c r="EJ274" s="49" t="s">
        <v>303</v>
      </c>
      <c r="EK274" s="49" t="s">
        <v>1175</v>
      </c>
      <c r="EM274" s="49" t="s">
        <v>303</v>
      </c>
      <c r="EN274" s="49" t="s">
        <v>396</v>
      </c>
      <c r="EP274" s="49" t="s">
        <v>298</v>
      </c>
      <c r="EQ274" s="0" t="n">
        <v>1</v>
      </c>
      <c r="ER274" s="49" t="s">
        <v>328</v>
      </c>
      <c r="ES274" s="49" t="s">
        <v>329</v>
      </c>
      <c r="ET274" s="49" t="s">
        <v>310</v>
      </c>
      <c r="EU274" s="49" t="s">
        <v>310</v>
      </c>
      <c r="EV274" s="49" t="s">
        <v>310</v>
      </c>
      <c r="EX274" s="49" t="s">
        <v>303</v>
      </c>
      <c r="EY274" s="49" t="s">
        <v>303</v>
      </c>
      <c r="FC274" s="49" t="s">
        <v>330</v>
      </c>
      <c r="FD274" s="49" t="s">
        <v>310</v>
      </c>
      <c r="FE274" s="49" t="s">
        <v>310</v>
      </c>
      <c r="FF274" s="49" t="s">
        <v>64</v>
      </c>
      <c r="FG274" s="49" t="s">
        <v>397</v>
      </c>
      <c r="FH274" s="49" t="s">
        <v>310</v>
      </c>
      <c r="FI274" s="49" t="s">
        <v>332</v>
      </c>
      <c r="FJ274" s="49" t="s">
        <v>303</v>
      </c>
      <c r="FL274" s="49" t="s">
        <v>325</v>
      </c>
      <c r="FM274" s="49" t="s">
        <v>1135</v>
      </c>
      <c r="FP274" s="49" t="s">
        <v>303</v>
      </c>
      <c r="FR274" s="49" t="s">
        <v>303</v>
      </c>
      <c r="FT274" s="49" t="s">
        <v>325</v>
      </c>
      <c r="FU274" s="49" t="s">
        <v>325</v>
      </c>
      <c r="FW274" s="49" t="s">
        <v>333</v>
      </c>
    </row>
    <row r="275" customFormat="false" ht="15" hidden="false" customHeight="false" outlineLevel="0" collapsed="false">
      <c r="A275" s="0" t="n">
        <v>100877358</v>
      </c>
      <c r="B275" s="0" t="s">
        <v>295</v>
      </c>
      <c r="C275" s="0" t="s">
        <v>64</v>
      </c>
      <c r="D275" s="0" t="s">
        <v>65</v>
      </c>
      <c r="E275" s="0" t="s">
        <v>297</v>
      </c>
      <c r="G275" s="0" t="n">
        <v>1</v>
      </c>
      <c r="H275" s="0" t="s">
        <v>298</v>
      </c>
      <c r="I275" s="48" t="n">
        <v>46278</v>
      </c>
      <c r="J275" s="0" t="n">
        <v>1</v>
      </c>
      <c r="K275" s="49" t="s">
        <v>1135</v>
      </c>
      <c r="L275" s="49" t="s">
        <v>1035</v>
      </c>
      <c r="M275" s="48" t="n">
        <v>46286</v>
      </c>
      <c r="N275" s="49" t="s">
        <v>1149</v>
      </c>
      <c r="O275" s="49" t="s">
        <v>1045</v>
      </c>
      <c r="P275" s="48"/>
      <c r="Q275" s="48" t="n">
        <v>46278</v>
      </c>
      <c r="R275" s="48" t="n">
        <v>46284</v>
      </c>
      <c r="T275" s="49" t="s">
        <v>302</v>
      </c>
      <c r="U275" s="49" t="s">
        <v>303</v>
      </c>
      <c r="Y275" s="49" t="s">
        <v>1176</v>
      </c>
      <c r="AD275" s="49" t="s">
        <v>305</v>
      </c>
      <c r="AE275" s="48" t="n">
        <v>46253</v>
      </c>
      <c r="AF275" s="49" t="s">
        <v>306</v>
      </c>
      <c r="AG275" s="49" t="s">
        <v>307</v>
      </c>
      <c r="AK275" s="49" t="s">
        <v>1047</v>
      </c>
      <c r="AL275" s="49" t="s">
        <v>297</v>
      </c>
      <c r="AO275" s="49" t="s">
        <v>303</v>
      </c>
      <c r="AP275" s="48"/>
      <c r="AR275" s="49" t="s">
        <v>303</v>
      </c>
      <c r="AS275" s="49" t="s">
        <v>306</v>
      </c>
      <c r="AT275" s="49" t="s">
        <v>1177</v>
      </c>
      <c r="AV275" s="49" t="s">
        <v>309</v>
      </c>
      <c r="AW275" s="49" t="s">
        <v>310</v>
      </c>
      <c r="AX275" s="49" t="s">
        <v>311</v>
      </c>
      <c r="AY275" s="48"/>
      <c r="AZ275" s="48" t="n">
        <v>46275</v>
      </c>
      <c r="BC275" s="49" t="s">
        <v>303</v>
      </c>
      <c r="BD275" s="48" t="n">
        <v>46286</v>
      </c>
      <c r="BE275" s="49" t="s">
        <v>1178</v>
      </c>
      <c r="BF275" s="49" t="s">
        <v>303</v>
      </c>
      <c r="BG275" s="48"/>
      <c r="BI275" s="48" t="n">
        <v>46286</v>
      </c>
      <c r="BJ275" s="48" t="n">
        <v>46282</v>
      </c>
      <c r="BK275" s="49" t="s">
        <v>313</v>
      </c>
      <c r="BL275" s="49" t="s">
        <v>313</v>
      </c>
      <c r="BM275" s="49" t="s">
        <v>310</v>
      </c>
      <c r="BN275" s="48"/>
      <c r="BO275" s="48"/>
      <c r="BP275" s="48"/>
      <c r="BQ275" s="49" t="s">
        <v>1063</v>
      </c>
      <c r="BR275" s="48" t="n">
        <v>46282</v>
      </c>
      <c r="BS275" s="49" t="s">
        <v>1179</v>
      </c>
      <c r="BT275" s="49" t="s">
        <v>312</v>
      </c>
      <c r="BU275" s="49" t="s">
        <v>313</v>
      </c>
      <c r="BV275" s="49" t="s">
        <v>303</v>
      </c>
      <c r="BX275" s="0" t="n">
        <v>1</v>
      </c>
      <c r="CC275" s="49" t="s">
        <v>315</v>
      </c>
      <c r="CD275" s="49" t="s">
        <v>303</v>
      </c>
      <c r="CF275" s="49" t="s">
        <v>303</v>
      </c>
      <c r="CG275" s="49" t="s">
        <v>316</v>
      </c>
      <c r="CH275" s="49" t="s">
        <v>317</v>
      </c>
      <c r="CI275" s="49" t="s">
        <v>318</v>
      </c>
      <c r="CM275" s="49" t="s">
        <v>65</v>
      </c>
      <c r="CV275" s="49" t="s">
        <v>303</v>
      </c>
      <c r="DB275" s="49" t="s">
        <v>319</v>
      </c>
      <c r="DD275" s="48" t="n">
        <v>46253</v>
      </c>
      <c r="DF275" s="49" t="s">
        <v>310</v>
      </c>
      <c r="DG275" s="49" t="s">
        <v>320</v>
      </c>
      <c r="DH275" s="49" t="s">
        <v>64</v>
      </c>
      <c r="DI275" s="49" t="s">
        <v>298</v>
      </c>
      <c r="DJ275" s="49" t="s">
        <v>394</v>
      </c>
      <c r="DK275" s="49" t="s">
        <v>322</v>
      </c>
      <c r="DL275" s="49" t="s">
        <v>323</v>
      </c>
      <c r="DM275" s="49" t="s">
        <v>303</v>
      </c>
      <c r="DN275" s="49" t="s">
        <v>297</v>
      </c>
      <c r="DO275" s="48"/>
      <c r="DP275" s="49" t="s">
        <v>312</v>
      </c>
      <c r="DQ275" s="48"/>
      <c r="DR275" s="49" t="s">
        <v>312</v>
      </c>
      <c r="DS275" s="49" t="s">
        <v>303</v>
      </c>
      <c r="DT275" s="49" t="s">
        <v>303</v>
      </c>
      <c r="DW275" s="49" t="s">
        <v>303</v>
      </c>
      <c r="EA275" s="49" t="s">
        <v>324</v>
      </c>
      <c r="EB275" s="49" t="s">
        <v>303</v>
      </c>
      <c r="EF275" s="49" t="s">
        <v>1160</v>
      </c>
      <c r="EH275" s="49" t="s">
        <v>310</v>
      </c>
      <c r="EJ275" s="49" t="s">
        <v>303</v>
      </c>
      <c r="EK275" s="49" t="s">
        <v>1180</v>
      </c>
      <c r="EM275" s="49" t="s">
        <v>303</v>
      </c>
      <c r="EN275" s="49" t="s">
        <v>396</v>
      </c>
      <c r="EP275" s="49" t="s">
        <v>298</v>
      </c>
      <c r="EQ275" s="0" t="n">
        <v>1</v>
      </c>
      <c r="ER275" s="49" t="s">
        <v>328</v>
      </c>
      <c r="ES275" s="49" t="s">
        <v>329</v>
      </c>
      <c r="ET275" s="49" t="s">
        <v>310</v>
      </c>
      <c r="EU275" s="49" t="s">
        <v>310</v>
      </c>
      <c r="EV275" s="49" t="s">
        <v>310</v>
      </c>
      <c r="EX275" s="49" t="s">
        <v>303</v>
      </c>
      <c r="EY275" s="49" t="s">
        <v>303</v>
      </c>
      <c r="FC275" s="49" t="s">
        <v>330</v>
      </c>
      <c r="FD275" s="49" t="s">
        <v>310</v>
      </c>
      <c r="FE275" s="49" t="s">
        <v>310</v>
      </c>
      <c r="FF275" s="49" t="s">
        <v>64</v>
      </c>
      <c r="FG275" s="49" t="s">
        <v>397</v>
      </c>
      <c r="FH275" s="49" t="s">
        <v>310</v>
      </c>
      <c r="FI275" s="49" t="s">
        <v>332</v>
      </c>
      <c r="FJ275" s="49" t="s">
        <v>303</v>
      </c>
      <c r="FL275" s="49" t="s">
        <v>325</v>
      </c>
      <c r="FM275" s="49" t="s">
        <v>1135</v>
      </c>
      <c r="FP275" s="49" t="s">
        <v>303</v>
      </c>
      <c r="FR275" s="49" t="s">
        <v>303</v>
      </c>
      <c r="FT275" s="49" t="s">
        <v>325</v>
      </c>
      <c r="FU275" s="49" t="s">
        <v>325</v>
      </c>
      <c r="FW275" s="49" t="s">
        <v>333</v>
      </c>
    </row>
    <row r="276" customFormat="false" ht="15" hidden="false" customHeight="false" outlineLevel="0" collapsed="false">
      <c r="A276" s="0" t="n">
        <v>100877359</v>
      </c>
      <c r="B276" s="0" t="s">
        <v>295</v>
      </c>
      <c r="C276" s="0" t="s">
        <v>64</v>
      </c>
      <c r="D276" s="0" t="s">
        <v>65</v>
      </c>
      <c r="E276" s="0" t="s">
        <v>297</v>
      </c>
      <c r="G276" s="0" t="n">
        <v>1</v>
      </c>
      <c r="H276" s="0" t="s">
        <v>298</v>
      </c>
      <c r="I276" s="48" t="n">
        <v>46278</v>
      </c>
      <c r="J276" s="0" t="n">
        <v>1</v>
      </c>
      <c r="K276" s="49" t="s">
        <v>1135</v>
      </c>
      <c r="L276" s="49" t="s">
        <v>1035</v>
      </c>
      <c r="M276" s="48" t="n">
        <v>46286</v>
      </c>
      <c r="N276" s="49" t="s">
        <v>1149</v>
      </c>
      <c r="O276" s="49" t="s">
        <v>1045</v>
      </c>
      <c r="P276" s="48"/>
      <c r="Q276" s="48" t="n">
        <v>46278</v>
      </c>
      <c r="R276" s="48" t="n">
        <v>46284</v>
      </c>
      <c r="T276" s="49" t="s">
        <v>302</v>
      </c>
      <c r="U276" s="49" t="s">
        <v>303</v>
      </c>
      <c r="Y276" s="49" t="s">
        <v>1181</v>
      </c>
      <c r="AD276" s="49" t="s">
        <v>305</v>
      </c>
      <c r="AE276" s="48" t="n">
        <v>46253</v>
      </c>
      <c r="AF276" s="49" t="s">
        <v>306</v>
      </c>
      <c r="AG276" s="49" t="s">
        <v>307</v>
      </c>
      <c r="AK276" s="49" t="s">
        <v>1047</v>
      </c>
      <c r="AL276" s="49" t="s">
        <v>297</v>
      </c>
      <c r="AO276" s="49" t="s">
        <v>303</v>
      </c>
      <c r="AP276" s="48"/>
      <c r="AR276" s="49" t="s">
        <v>303</v>
      </c>
      <c r="AS276" s="49" t="s">
        <v>306</v>
      </c>
      <c r="AT276" s="49" t="s">
        <v>1182</v>
      </c>
      <c r="AV276" s="49" t="s">
        <v>309</v>
      </c>
      <c r="AW276" s="49" t="s">
        <v>310</v>
      </c>
      <c r="AX276" s="49" t="s">
        <v>311</v>
      </c>
      <c r="AY276" s="48"/>
      <c r="AZ276" s="48" t="n">
        <v>46275</v>
      </c>
      <c r="BC276" s="49" t="s">
        <v>303</v>
      </c>
      <c r="BD276" s="48" t="n">
        <v>46286</v>
      </c>
      <c r="BE276" s="49" t="s">
        <v>1183</v>
      </c>
      <c r="BF276" s="49" t="s">
        <v>303</v>
      </c>
      <c r="BG276" s="48"/>
      <c r="BI276" s="48" t="n">
        <v>46286</v>
      </c>
      <c r="BJ276" s="48" t="n">
        <v>46282</v>
      </c>
      <c r="BK276" s="49" t="s">
        <v>313</v>
      </c>
      <c r="BL276" s="49" t="s">
        <v>313</v>
      </c>
      <c r="BM276" s="49" t="s">
        <v>310</v>
      </c>
      <c r="BN276" s="48"/>
      <c r="BO276" s="48"/>
      <c r="BP276" s="48"/>
      <c r="BQ276" s="49" t="s">
        <v>1063</v>
      </c>
      <c r="BR276" s="48" t="n">
        <v>46282</v>
      </c>
      <c r="BS276" s="49" t="s">
        <v>1184</v>
      </c>
      <c r="BT276" s="49" t="s">
        <v>312</v>
      </c>
      <c r="BU276" s="49" t="s">
        <v>313</v>
      </c>
      <c r="BV276" s="49" t="s">
        <v>303</v>
      </c>
      <c r="BX276" s="0" t="n">
        <v>1</v>
      </c>
      <c r="CC276" s="49" t="s">
        <v>315</v>
      </c>
      <c r="CD276" s="49" t="s">
        <v>303</v>
      </c>
      <c r="CF276" s="49" t="s">
        <v>303</v>
      </c>
      <c r="CG276" s="49" t="s">
        <v>316</v>
      </c>
      <c r="CH276" s="49" t="s">
        <v>317</v>
      </c>
      <c r="CI276" s="49" t="s">
        <v>318</v>
      </c>
      <c r="CM276" s="49" t="s">
        <v>65</v>
      </c>
      <c r="CV276" s="49" t="s">
        <v>303</v>
      </c>
      <c r="DB276" s="49" t="s">
        <v>319</v>
      </c>
      <c r="DD276" s="48" t="n">
        <v>46253</v>
      </c>
      <c r="DF276" s="49" t="s">
        <v>310</v>
      </c>
      <c r="DG276" s="49" t="s">
        <v>320</v>
      </c>
      <c r="DH276" s="49" t="s">
        <v>64</v>
      </c>
      <c r="DI276" s="49" t="s">
        <v>298</v>
      </c>
      <c r="DJ276" s="49" t="s">
        <v>394</v>
      </c>
      <c r="DK276" s="49" t="s">
        <v>322</v>
      </c>
      <c r="DL276" s="49" t="s">
        <v>323</v>
      </c>
      <c r="DM276" s="49" t="s">
        <v>303</v>
      </c>
      <c r="DN276" s="49" t="s">
        <v>297</v>
      </c>
      <c r="DO276" s="48"/>
      <c r="DP276" s="49" t="s">
        <v>312</v>
      </c>
      <c r="DQ276" s="48"/>
      <c r="DR276" s="49" t="s">
        <v>312</v>
      </c>
      <c r="DS276" s="49" t="s">
        <v>303</v>
      </c>
      <c r="DT276" s="49" t="s">
        <v>303</v>
      </c>
      <c r="DW276" s="49" t="s">
        <v>303</v>
      </c>
      <c r="EA276" s="49" t="s">
        <v>324</v>
      </c>
      <c r="EB276" s="49" t="s">
        <v>303</v>
      </c>
      <c r="EF276" s="49" t="s">
        <v>1160</v>
      </c>
      <c r="EH276" s="49" t="s">
        <v>310</v>
      </c>
      <c r="EJ276" s="49" t="s">
        <v>303</v>
      </c>
      <c r="EK276" s="49" t="s">
        <v>1185</v>
      </c>
      <c r="EM276" s="49" t="s">
        <v>303</v>
      </c>
      <c r="EN276" s="49" t="s">
        <v>396</v>
      </c>
      <c r="EP276" s="49" t="s">
        <v>298</v>
      </c>
      <c r="EQ276" s="0" t="n">
        <v>1</v>
      </c>
      <c r="ER276" s="49" t="s">
        <v>328</v>
      </c>
      <c r="ES276" s="49" t="s">
        <v>329</v>
      </c>
      <c r="ET276" s="49" t="s">
        <v>310</v>
      </c>
      <c r="EU276" s="49" t="s">
        <v>310</v>
      </c>
      <c r="EV276" s="49" t="s">
        <v>310</v>
      </c>
      <c r="EX276" s="49" t="s">
        <v>303</v>
      </c>
      <c r="EY276" s="49" t="s">
        <v>303</v>
      </c>
      <c r="FC276" s="49" t="s">
        <v>330</v>
      </c>
      <c r="FD276" s="49" t="s">
        <v>310</v>
      </c>
      <c r="FE276" s="49" t="s">
        <v>310</v>
      </c>
      <c r="FF276" s="49" t="s">
        <v>64</v>
      </c>
      <c r="FG276" s="49" t="s">
        <v>397</v>
      </c>
      <c r="FH276" s="49" t="s">
        <v>310</v>
      </c>
      <c r="FI276" s="49" t="s">
        <v>332</v>
      </c>
      <c r="FJ276" s="49" t="s">
        <v>303</v>
      </c>
      <c r="FL276" s="49" t="s">
        <v>325</v>
      </c>
      <c r="FM276" s="49" t="s">
        <v>1135</v>
      </c>
      <c r="FP276" s="49" t="s">
        <v>303</v>
      </c>
      <c r="FR276" s="49" t="s">
        <v>303</v>
      </c>
      <c r="FT276" s="49" t="s">
        <v>325</v>
      </c>
      <c r="FU276" s="49" t="s">
        <v>325</v>
      </c>
      <c r="FW276" s="49" t="s">
        <v>333</v>
      </c>
    </row>
    <row r="277" customFormat="false" ht="15" hidden="false" customHeight="false" outlineLevel="0" collapsed="false">
      <c r="A277" s="0" t="n">
        <v>100877360</v>
      </c>
      <c r="B277" s="0" t="s">
        <v>295</v>
      </c>
      <c r="C277" s="0" t="s">
        <v>64</v>
      </c>
      <c r="D277" s="0" t="s">
        <v>65</v>
      </c>
      <c r="E277" s="0" t="s">
        <v>297</v>
      </c>
      <c r="G277" s="0" t="n">
        <v>1</v>
      </c>
      <c r="H277" s="0" t="s">
        <v>298</v>
      </c>
      <c r="I277" s="48" t="n">
        <v>46278</v>
      </c>
      <c r="J277" s="0" t="n">
        <v>1</v>
      </c>
      <c r="K277" s="49" t="s">
        <v>1135</v>
      </c>
      <c r="L277" s="49" t="s">
        <v>1035</v>
      </c>
      <c r="M277" s="48" t="n">
        <v>46286</v>
      </c>
      <c r="N277" s="49" t="s">
        <v>1149</v>
      </c>
      <c r="O277" s="49" t="s">
        <v>1045</v>
      </c>
      <c r="P277" s="48"/>
      <c r="Q277" s="48" t="n">
        <v>46278</v>
      </c>
      <c r="R277" s="48" t="n">
        <v>46284</v>
      </c>
      <c r="T277" s="49" t="s">
        <v>302</v>
      </c>
      <c r="U277" s="49" t="s">
        <v>303</v>
      </c>
      <c r="Y277" s="49" t="s">
        <v>1186</v>
      </c>
      <c r="AD277" s="49" t="s">
        <v>305</v>
      </c>
      <c r="AE277" s="48" t="n">
        <v>46253</v>
      </c>
      <c r="AF277" s="49" t="s">
        <v>306</v>
      </c>
      <c r="AG277" s="49" t="s">
        <v>307</v>
      </c>
      <c r="AK277" s="49" t="s">
        <v>1047</v>
      </c>
      <c r="AL277" s="49" t="s">
        <v>297</v>
      </c>
      <c r="AO277" s="49" t="s">
        <v>303</v>
      </c>
      <c r="AP277" s="48"/>
      <c r="AR277" s="49" t="s">
        <v>303</v>
      </c>
      <c r="AS277" s="49" t="s">
        <v>306</v>
      </c>
      <c r="AT277" s="49" t="s">
        <v>1187</v>
      </c>
      <c r="AV277" s="49" t="s">
        <v>309</v>
      </c>
      <c r="AW277" s="49" t="s">
        <v>310</v>
      </c>
      <c r="AX277" s="49" t="s">
        <v>311</v>
      </c>
      <c r="AY277" s="48"/>
      <c r="AZ277" s="48" t="n">
        <v>46275</v>
      </c>
      <c r="BC277" s="49" t="s">
        <v>303</v>
      </c>
      <c r="BD277" s="48" t="n">
        <v>46289</v>
      </c>
      <c r="BE277" s="49" t="s">
        <v>1188</v>
      </c>
      <c r="BF277" s="49" t="s">
        <v>303</v>
      </c>
      <c r="BG277" s="48"/>
      <c r="BI277" s="48" t="n">
        <v>46289</v>
      </c>
      <c r="BJ277" s="48" t="n">
        <v>46282</v>
      </c>
      <c r="BK277" s="49" t="s">
        <v>313</v>
      </c>
      <c r="BL277" s="49" t="s">
        <v>313</v>
      </c>
      <c r="BM277" s="49" t="s">
        <v>310</v>
      </c>
      <c r="BN277" s="48"/>
      <c r="BO277" s="48"/>
      <c r="BP277" s="48"/>
      <c r="BQ277" s="49" t="s">
        <v>1063</v>
      </c>
      <c r="BR277" s="48" t="n">
        <v>46282</v>
      </c>
      <c r="BS277" s="49" t="s">
        <v>1189</v>
      </c>
      <c r="BT277" s="49" t="s">
        <v>312</v>
      </c>
      <c r="BU277" s="49" t="s">
        <v>313</v>
      </c>
      <c r="BV277" s="49" t="s">
        <v>303</v>
      </c>
      <c r="BX277" s="0" t="n">
        <v>1</v>
      </c>
      <c r="CC277" s="49" t="s">
        <v>315</v>
      </c>
      <c r="CD277" s="49" t="s">
        <v>303</v>
      </c>
      <c r="CF277" s="49" t="s">
        <v>303</v>
      </c>
      <c r="CG277" s="49" t="s">
        <v>316</v>
      </c>
      <c r="CH277" s="49" t="s">
        <v>317</v>
      </c>
      <c r="CI277" s="49" t="s">
        <v>318</v>
      </c>
      <c r="CM277" s="49" t="s">
        <v>65</v>
      </c>
      <c r="CV277" s="49" t="s">
        <v>303</v>
      </c>
      <c r="DB277" s="49" t="s">
        <v>319</v>
      </c>
      <c r="DD277" s="48" t="n">
        <v>46253</v>
      </c>
      <c r="DF277" s="49" t="s">
        <v>310</v>
      </c>
      <c r="DG277" s="49" t="s">
        <v>320</v>
      </c>
      <c r="DH277" s="49" t="s">
        <v>64</v>
      </c>
      <c r="DI277" s="49" t="s">
        <v>298</v>
      </c>
      <c r="DJ277" s="49" t="s">
        <v>394</v>
      </c>
      <c r="DK277" s="49" t="s">
        <v>322</v>
      </c>
      <c r="DL277" s="49" t="s">
        <v>323</v>
      </c>
      <c r="DM277" s="49" t="s">
        <v>303</v>
      </c>
      <c r="DN277" s="49" t="s">
        <v>297</v>
      </c>
      <c r="DO277" s="48"/>
      <c r="DP277" s="49" t="s">
        <v>312</v>
      </c>
      <c r="DQ277" s="48"/>
      <c r="DR277" s="49" t="s">
        <v>312</v>
      </c>
      <c r="DS277" s="49" t="s">
        <v>303</v>
      </c>
      <c r="DT277" s="49" t="s">
        <v>303</v>
      </c>
      <c r="DW277" s="49" t="s">
        <v>303</v>
      </c>
      <c r="EA277" s="49" t="s">
        <v>324</v>
      </c>
      <c r="EB277" s="49" t="s">
        <v>303</v>
      </c>
      <c r="EF277" s="49" t="s">
        <v>1160</v>
      </c>
      <c r="EH277" s="49" t="s">
        <v>310</v>
      </c>
      <c r="EJ277" s="49" t="s">
        <v>303</v>
      </c>
      <c r="EK277" s="49" t="s">
        <v>1190</v>
      </c>
      <c r="EM277" s="49" t="s">
        <v>303</v>
      </c>
      <c r="EN277" s="49" t="s">
        <v>396</v>
      </c>
      <c r="EP277" s="49" t="s">
        <v>298</v>
      </c>
      <c r="EQ277" s="0" t="n">
        <v>1</v>
      </c>
      <c r="ER277" s="49" t="s">
        <v>328</v>
      </c>
      <c r="ES277" s="49" t="s">
        <v>329</v>
      </c>
      <c r="ET277" s="49" t="s">
        <v>310</v>
      </c>
      <c r="EU277" s="49" t="s">
        <v>310</v>
      </c>
      <c r="EV277" s="49" t="s">
        <v>310</v>
      </c>
      <c r="EX277" s="49" t="s">
        <v>303</v>
      </c>
      <c r="EY277" s="49" t="s">
        <v>303</v>
      </c>
      <c r="FC277" s="49" t="s">
        <v>330</v>
      </c>
      <c r="FD277" s="49" t="s">
        <v>310</v>
      </c>
      <c r="FE277" s="49" t="s">
        <v>310</v>
      </c>
      <c r="FF277" s="49" t="s">
        <v>64</v>
      </c>
      <c r="FG277" s="49" t="s">
        <v>397</v>
      </c>
      <c r="FH277" s="49" t="s">
        <v>310</v>
      </c>
      <c r="FI277" s="49" t="s">
        <v>332</v>
      </c>
      <c r="FJ277" s="49" t="s">
        <v>303</v>
      </c>
      <c r="FL277" s="49" t="s">
        <v>325</v>
      </c>
      <c r="FM277" s="49" t="s">
        <v>1135</v>
      </c>
      <c r="FP277" s="49" t="s">
        <v>303</v>
      </c>
      <c r="FR277" s="49" t="s">
        <v>303</v>
      </c>
      <c r="FT277" s="49" t="s">
        <v>325</v>
      </c>
      <c r="FU277" s="49" t="s">
        <v>325</v>
      </c>
      <c r="FW277" s="49" t="s">
        <v>333</v>
      </c>
    </row>
    <row r="278" customFormat="false" ht="15" hidden="false" customHeight="false" outlineLevel="0" collapsed="false">
      <c r="A278" s="0" t="n">
        <v>100877361</v>
      </c>
      <c r="B278" s="0" t="s">
        <v>295</v>
      </c>
      <c r="C278" s="0" t="s">
        <v>64</v>
      </c>
      <c r="D278" s="0" t="s">
        <v>65</v>
      </c>
      <c r="E278" s="0" t="s">
        <v>297</v>
      </c>
      <c r="G278" s="0" t="n">
        <v>1</v>
      </c>
      <c r="H278" s="0" t="s">
        <v>298</v>
      </c>
      <c r="I278" s="48" t="n">
        <v>46278</v>
      </c>
      <c r="J278" s="0" t="n">
        <v>1</v>
      </c>
      <c r="K278" s="49" t="s">
        <v>1135</v>
      </c>
      <c r="L278" s="49" t="s">
        <v>1035</v>
      </c>
      <c r="M278" s="48" t="n">
        <v>46286</v>
      </c>
      <c r="N278" s="49" t="s">
        <v>1149</v>
      </c>
      <c r="O278" s="49" t="s">
        <v>1045</v>
      </c>
      <c r="P278" s="48"/>
      <c r="Q278" s="48" t="n">
        <v>46278</v>
      </c>
      <c r="R278" s="48" t="n">
        <v>46284</v>
      </c>
      <c r="T278" s="49" t="s">
        <v>302</v>
      </c>
      <c r="U278" s="49" t="s">
        <v>303</v>
      </c>
      <c r="Y278" s="49" t="s">
        <v>1191</v>
      </c>
      <c r="AD278" s="49" t="s">
        <v>305</v>
      </c>
      <c r="AE278" s="48" t="n">
        <v>46253</v>
      </c>
      <c r="AF278" s="49" t="s">
        <v>306</v>
      </c>
      <c r="AG278" s="49" t="s">
        <v>307</v>
      </c>
      <c r="AK278" s="49" t="s">
        <v>1047</v>
      </c>
      <c r="AL278" s="49" t="s">
        <v>297</v>
      </c>
      <c r="AO278" s="49" t="s">
        <v>303</v>
      </c>
      <c r="AP278" s="48"/>
      <c r="AR278" s="49" t="s">
        <v>303</v>
      </c>
      <c r="AS278" s="49" t="s">
        <v>306</v>
      </c>
      <c r="AT278" s="49" t="s">
        <v>1192</v>
      </c>
      <c r="AV278" s="49" t="s">
        <v>309</v>
      </c>
      <c r="AW278" s="49" t="s">
        <v>310</v>
      </c>
      <c r="AX278" s="49" t="s">
        <v>311</v>
      </c>
      <c r="AY278" s="48"/>
      <c r="AZ278" s="48" t="n">
        <v>46275</v>
      </c>
      <c r="BC278" s="49" t="s">
        <v>303</v>
      </c>
      <c r="BD278" s="48" t="n">
        <v>46289</v>
      </c>
      <c r="BE278" s="49" t="s">
        <v>1188</v>
      </c>
      <c r="BF278" s="49" t="s">
        <v>303</v>
      </c>
      <c r="BG278" s="48"/>
      <c r="BI278" s="48" t="n">
        <v>46289</v>
      </c>
      <c r="BJ278" s="48" t="n">
        <v>46282</v>
      </c>
      <c r="BK278" s="49" t="s">
        <v>313</v>
      </c>
      <c r="BL278" s="49" t="s">
        <v>313</v>
      </c>
      <c r="BM278" s="49" t="s">
        <v>310</v>
      </c>
      <c r="BN278" s="48"/>
      <c r="BO278" s="48"/>
      <c r="BP278" s="48"/>
      <c r="BQ278" s="49" t="s">
        <v>1063</v>
      </c>
      <c r="BR278" s="48" t="n">
        <v>46282</v>
      </c>
      <c r="BS278" s="49" t="s">
        <v>1193</v>
      </c>
      <c r="BT278" s="49" t="s">
        <v>312</v>
      </c>
      <c r="BU278" s="49" t="s">
        <v>313</v>
      </c>
      <c r="BV278" s="49" t="s">
        <v>303</v>
      </c>
      <c r="BX278" s="0" t="n">
        <v>1</v>
      </c>
      <c r="CC278" s="49" t="s">
        <v>315</v>
      </c>
      <c r="CD278" s="49" t="s">
        <v>303</v>
      </c>
      <c r="CF278" s="49" t="s">
        <v>303</v>
      </c>
      <c r="CG278" s="49" t="s">
        <v>316</v>
      </c>
      <c r="CH278" s="49" t="s">
        <v>317</v>
      </c>
      <c r="CI278" s="49" t="s">
        <v>318</v>
      </c>
      <c r="CM278" s="49" t="s">
        <v>65</v>
      </c>
      <c r="CV278" s="49" t="s">
        <v>303</v>
      </c>
      <c r="DB278" s="49" t="s">
        <v>319</v>
      </c>
      <c r="DD278" s="48" t="n">
        <v>46253</v>
      </c>
      <c r="DF278" s="49" t="s">
        <v>310</v>
      </c>
      <c r="DG278" s="49" t="s">
        <v>320</v>
      </c>
      <c r="DH278" s="49" t="s">
        <v>64</v>
      </c>
      <c r="DI278" s="49" t="s">
        <v>298</v>
      </c>
      <c r="DJ278" s="49" t="s">
        <v>394</v>
      </c>
      <c r="DK278" s="49" t="s">
        <v>322</v>
      </c>
      <c r="DL278" s="49" t="s">
        <v>323</v>
      </c>
      <c r="DM278" s="49" t="s">
        <v>303</v>
      </c>
      <c r="DN278" s="49" t="s">
        <v>297</v>
      </c>
      <c r="DO278" s="48"/>
      <c r="DP278" s="49" t="s">
        <v>312</v>
      </c>
      <c r="DQ278" s="48"/>
      <c r="DR278" s="49" t="s">
        <v>312</v>
      </c>
      <c r="DS278" s="49" t="s">
        <v>303</v>
      </c>
      <c r="DT278" s="49" t="s">
        <v>303</v>
      </c>
      <c r="DW278" s="49" t="s">
        <v>303</v>
      </c>
      <c r="EA278" s="49" t="s">
        <v>324</v>
      </c>
      <c r="EB278" s="49" t="s">
        <v>303</v>
      </c>
      <c r="EF278" s="49" t="s">
        <v>1160</v>
      </c>
      <c r="EH278" s="49" t="s">
        <v>310</v>
      </c>
      <c r="EJ278" s="49" t="s">
        <v>303</v>
      </c>
      <c r="EK278" s="49" t="s">
        <v>1194</v>
      </c>
      <c r="EM278" s="49" t="s">
        <v>303</v>
      </c>
      <c r="EN278" s="49" t="s">
        <v>396</v>
      </c>
      <c r="EP278" s="49" t="s">
        <v>298</v>
      </c>
      <c r="EQ278" s="0" t="n">
        <v>1</v>
      </c>
      <c r="ER278" s="49" t="s">
        <v>328</v>
      </c>
      <c r="ES278" s="49" t="s">
        <v>329</v>
      </c>
      <c r="ET278" s="49" t="s">
        <v>310</v>
      </c>
      <c r="EU278" s="49" t="s">
        <v>310</v>
      </c>
      <c r="EV278" s="49" t="s">
        <v>310</v>
      </c>
      <c r="EX278" s="49" t="s">
        <v>303</v>
      </c>
      <c r="EY278" s="49" t="s">
        <v>303</v>
      </c>
      <c r="FC278" s="49" t="s">
        <v>330</v>
      </c>
      <c r="FD278" s="49" t="s">
        <v>310</v>
      </c>
      <c r="FE278" s="49" t="s">
        <v>310</v>
      </c>
      <c r="FF278" s="49" t="s">
        <v>64</v>
      </c>
      <c r="FG278" s="49" t="s">
        <v>397</v>
      </c>
      <c r="FH278" s="49" t="s">
        <v>310</v>
      </c>
      <c r="FI278" s="49" t="s">
        <v>332</v>
      </c>
      <c r="FJ278" s="49" t="s">
        <v>303</v>
      </c>
      <c r="FL278" s="49" t="s">
        <v>325</v>
      </c>
      <c r="FM278" s="49" t="s">
        <v>1135</v>
      </c>
      <c r="FP278" s="49" t="s">
        <v>303</v>
      </c>
      <c r="FR278" s="49" t="s">
        <v>303</v>
      </c>
      <c r="FT278" s="49" t="s">
        <v>325</v>
      </c>
      <c r="FU278" s="49" t="s">
        <v>325</v>
      </c>
      <c r="FW278" s="49" t="s">
        <v>333</v>
      </c>
    </row>
    <row r="279" customFormat="false" ht="15" hidden="false" customHeight="false" outlineLevel="0" collapsed="false">
      <c r="A279" s="0" t="n">
        <v>100877362</v>
      </c>
      <c r="B279" s="0" t="s">
        <v>295</v>
      </c>
      <c r="C279" s="0" t="s">
        <v>64</v>
      </c>
      <c r="D279" s="0" t="s">
        <v>65</v>
      </c>
      <c r="E279" s="0" t="s">
        <v>297</v>
      </c>
      <c r="G279" s="0" t="n">
        <v>1</v>
      </c>
      <c r="H279" s="0" t="s">
        <v>298</v>
      </c>
      <c r="I279" s="48" t="n">
        <v>46278</v>
      </c>
      <c r="J279" s="0" t="n">
        <v>1</v>
      </c>
      <c r="K279" s="49" t="s">
        <v>1135</v>
      </c>
      <c r="L279" s="49" t="s">
        <v>1035</v>
      </c>
      <c r="M279" s="48" t="n">
        <v>46286</v>
      </c>
      <c r="N279" s="49" t="s">
        <v>1149</v>
      </c>
      <c r="O279" s="49" t="s">
        <v>1045</v>
      </c>
      <c r="P279" s="48"/>
      <c r="Q279" s="48" t="n">
        <v>46278</v>
      </c>
      <c r="R279" s="48" t="n">
        <v>46284</v>
      </c>
      <c r="T279" s="49" t="s">
        <v>302</v>
      </c>
      <c r="U279" s="49" t="s">
        <v>303</v>
      </c>
      <c r="Y279" s="49" t="s">
        <v>1195</v>
      </c>
      <c r="AD279" s="49" t="s">
        <v>305</v>
      </c>
      <c r="AE279" s="48" t="n">
        <v>46253</v>
      </c>
      <c r="AF279" s="49" t="s">
        <v>306</v>
      </c>
      <c r="AG279" s="49" t="s">
        <v>307</v>
      </c>
      <c r="AK279" s="49" t="s">
        <v>1047</v>
      </c>
      <c r="AL279" s="49" t="s">
        <v>297</v>
      </c>
      <c r="AO279" s="49" t="s">
        <v>303</v>
      </c>
      <c r="AP279" s="48"/>
      <c r="AR279" s="49" t="s">
        <v>303</v>
      </c>
      <c r="AS279" s="49" t="s">
        <v>306</v>
      </c>
      <c r="AT279" s="49" t="s">
        <v>1196</v>
      </c>
      <c r="AV279" s="49" t="s">
        <v>309</v>
      </c>
      <c r="AW279" s="49" t="s">
        <v>310</v>
      </c>
      <c r="AX279" s="49" t="s">
        <v>311</v>
      </c>
      <c r="AY279" s="48"/>
      <c r="AZ279" s="48" t="n">
        <v>46275</v>
      </c>
      <c r="BC279" s="49" t="s">
        <v>303</v>
      </c>
      <c r="BD279" s="48" t="n">
        <v>46289</v>
      </c>
      <c r="BE279" s="49" t="s">
        <v>1197</v>
      </c>
      <c r="BF279" s="49" t="s">
        <v>303</v>
      </c>
      <c r="BG279" s="48"/>
      <c r="BI279" s="48" t="n">
        <v>46289</v>
      </c>
      <c r="BJ279" s="48" t="n">
        <v>46282</v>
      </c>
      <c r="BK279" s="49" t="s">
        <v>313</v>
      </c>
      <c r="BL279" s="49" t="s">
        <v>313</v>
      </c>
      <c r="BM279" s="49" t="s">
        <v>310</v>
      </c>
      <c r="BN279" s="48"/>
      <c r="BO279" s="48"/>
      <c r="BP279" s="48"/>
      <c r="BQ279" s="49" t="s">
        <v>1063</v>
      </c>
      <c r="BR279" s="48" t="n">
        <v>46282</v>
      </c>
      <c r="BS279" s="49" t="s">
        <v>1198</v>
      </c>
      <c r="BT279" s="49" t="s">
        <v>312</v>
      </c>
      <c r="BU279" s="49" t="s">
        <v>313</v>
      </c>
      <c r="BV279" s="49" t="s">
        <v>303</v>
      </c>
      <c r="BX279" s="0" t="n">
        <v>1</v>
      </c>
      <c r="CC279" s="49" t="s">
        <v>315</v>
      </c>
      <c r="CD279" s="49" t="s">
        <v>303</v>
      </c>
      <c r="CF279" s="49" t="s">
        <v>303</v>
      </c>
      <c r="CG279" s="49" t="s">
        <v>316</v>
      </c>
      <c r="CH279" s="49" t="s">
        <v>317</v>
      </c>
      <c r="CI279" s="49" t="s">
        <v>318</v>
      </c>
      <c r="CM279" s="49" t="s">
        <v>65</v>
      </c>
      <c r="CV279" s="49" t="s">
        <v>303</v>
      </c>
      <c r="DB279" s="49" t="s">
        <v>319</v>
      </c>
      <c r="DD279" s="48" t="n">
        <v>46253</v>
      </c>
      <c r="DF279" s="49" t="s">
        <v>310</v>
      </c>
      <c r="DG279" s="49" t="s">
        <v>320</v>
      </c>
      <c r="DH279" s="49" t="s">
        <v>64</v>
      </c>
      <c r="DI279" s="49" t="s">
        <v>298</v>
      </c>
      <c r="DJ279" s="49" t="s">
        <v>394</v>
      </c>
      <c r="DK279" s="49" t="s">
        <v>322</v>
      </c>
      <c r="DL279" s="49" t="s">
        <v>323</v>
      </c>
      <c r="DM279" s="49" t="s">
        <v>303</v>
      </c>
      <c r="DN279" s="49" t="s">
        <v>297</v>
      </c>
      <c r="DO279" s="48"/>
      <c r="DP279" s="49" t="s">
        <v>312</v>
      </c>
      <c r="DQ279" s="48"/>
      <c r="DR279" s="49" t="s">
        <v>312</v>
      </c>
      <c r="DS279" s="49" t="s">
        <v>303</v>
      </c>
      <c r="DT279" s="49" t="s">
        <v>303</v>
      </c>
      <c r="DW279" s="49" t="s">
        <v>303</v>
      </c>
      <c r="EA279" s="49" t="s">
        <v>324</v>
      </c>
      <c r="EB279" s="49" t="s">
        <v>303</v>
      </c>
      <c r="EF279" s="49" t="s">
        <v>1160</v>
      </c>
      <c r="EH279" s="49" t="s">
        <v>310</v>
      </c>
      <c r="EJ279" s="49" t="s">
        <v>303</v>
      </c>
      <c r="EK279" s="49" t="s">
        <v>1199</v>
      </c>
      <c r="EM279" s="49" t="s">
        <v>303</v>
      </c>
      <c r="EN279" s="49" t="s">
        <v>396</v>
      </c>
      <c r="EP279" s="49" t="s">
        <v>298</v>
      </c>
      <c r="EQ279" s="0" t="n">
        <v>1</v>
      </c>
      <c r="ER279" s="49" t="s">
        <v>328</v>
      </c>
      <c r="ES279" s="49" t="s">
        <v>329</v>
      </c>
      <c r="ET279" s="49" t="s">
        <v>310</v>
      </c>
      <c r="EU279" s="49" t="s">
        <v>310</v>
      </c>
      <c r="EV279" s="49" t="s">
        <v>310</v>
      </c>
      <c r="EX279" s="49" t="s">
        <v>303</v>
      </c>
      <c r="EY279" s="49" t="s">
        <v>303</v>
      </c>
      <c r="FC279" s="49" t="s">
        <v>330</v>
      </c>
      <c r="FD279" s="49" t="s">
        <v>310</v>
      </c>
      <c r="FE279" s="49" t="s">
        <v>310</v>
      </c>
      <c r="FF279" s="49" t="s">
        <v>64</v>
      </c>
      <c r="FG279" s="49" t="s">
        <v>397</v>
      </c>
      <c r="FH279" s="49" t="s">
        <v>310</v>
      </c>
      <c r="FI279" s="49" t="s">
        <v>332</v>
      </c>
      <c r="FJ279" s="49" t="s">
        <v>303</v>
      </c>
      <c r="FL279" s="49" t="s">
        <v>325</v>
      </c>
      <c r="FM279" s="49" t="s">
        <v>1135</v>
      </c>
      <c r="FP279" s="49" t="s">
        <v>303</v>
      </c>
      <c r="FR279" s="49" t="s">
        <v>303</v>
      </c>
      <c r="FT279" s="49" t="s">
        <v>325</v>
      </c>
      <c r="FU279" s="49" t="s">
        <v>325</v>
      </c>
      <c r="FW279" s="49" t="s">
        <v>333</v>
      </c>
    </row>
    <row r="280" customFormat="false" ht="15" hidden="false" customHeight="false" outlineLevel="0" collapsed="false">
      <c r="A280" s="0" t="n">
        <v>100877363</v>
      </c>
      <c r="B280" s="0" t="s">
        <v>295</v>
      </c>
      <c r="C280" s="0" t="s">
        <v>64</v>
      </c>
      <c r="D280" s="0" t="s">
        <v>65</v>
      </c>
      <c r="E280" s="0" t="s">
        <v>297</v>
      </c>
      <c r="G280" s="0" t="n">
        <v>1</v>
      </c>
      <c r="H280" s="0" t="s">
        <v>298</v>
      </c>
      <c r="I280" s="48" t="n">
        <v>46278</v>
      </c>
      <c r="J280" s="0" t="n">
        <v>1</v>
      </c>
      <c r="K280" s="49" t="s">
        <v>1135</v>
      </c>
      <c r="L280" s="49" t="s">
        <v>1035</v>
      </c>
      <c r="M280" s="48" t="n">
        <v>46286</v>
      </c>
      <c r="N280" s="49" t="s">
        <v>1149</v>
      </c>
      <c r="O280" s="49" t="s">
        <v>1045</v>
      </c>
      <c r="P280" s="48"/>
      <c r="Q280" s="48" t="n">
        <v>46278</v>
      </c>
      <c r="R280" s="48" t="n">
        <v>46284</v>
      </c>
      <c r="T280" s="49" t="s">
        <v>302</v>
      </c>
      <c r="U280" s="49" t="s">
        <v>303</v>
      </c>
      <c r="Y280" s="49" t="s">
        <v>1200</v>
      </c>
      <c r="AD280" s="49" t="s">
        <v>305</v>
      </c>
      <c r="AE280" s="48" t="n">
        <v>46253</v>
      </c>
      <c r="AF280" s="49" t="s">
        <v>306</v>
      </c>
      <c r="AG280" s="49" t="s">
        <v>307</v>
      </c>
      <c r="AK280" s="49" t="s">
        <v>1047</v>
      </c>
      <c r="AL280" s="49" t="s">
        <v>297</v>
      </c>
      <c r="AO280" s="49" t="s">
        <v>303</v>
      </c>
      <c r="AP280" s="48"/>
      <c r="AR280" s="49" t="s">
        <v>303</v>
      </c>
      <c r="AS280" s="49" t="s">
        <v>306</v>
      </c>
      <c r="AT280" s="49" t="s">
        <v>1201</v>
      </c>
      <c r="AV280" s="49" t="s">
        <v>309</v>
      </c>
      <c r="AW280" s="49" t="s">
        <v>310</v>
      </c>
      <c r="AX280" s="49" t="s">
        <v>311</v>
      </c>
      <c r="AY280" s="48"/>
      <c r="AZ280" s="48" t="n">
        <v>46275</v>
      </c>
      <c r="BC280" s="49" t="s">
        <v>303</v>
      </c>
      <c r="BD280" s="48" t="n">
        <v>46289</v>
      </c>
      <c r="BE280" s="49" t="s">
        <v>1197</v>
      </c>
      <c r="BF280" s="49" t="s">
        <v>303</v>
      </c>
      <c r="BG280" s="48"/>
      <c r="BI280" s="48" t="n">
        <v>46289</v>
      </c>
      <c r="BJ280" s="48" t="n">
        <v>46282</v>
      </c>
      <c r="BK280" s="49" t="s">
        <v>313</v>
      </c>
      <c r="BL280" s="49" t="s">
        <v>313</v>
      </c>
      <c r="BM280" s="49" t="s">
        <v>310</v>
      </c>
      <c r="BN280" s="48"/>
      <c r="BO280" s="48"/>
      <c r="BP280" s="48"/>
      <c r="BQ280" s="49" t="s">
        <v>1063</v>
      </c>
      <c r="BR280" s="48" t="n">
        <v>46282</v>
      </c>
      <c r="BS280" s="49" t="s">
        <v>1202</v>
      </c>
      <c r="BT280" s="49" t="s">
        <v>312</v>
      </c>
      <c r="BU280" s="49" t="s">
        <v>313</v>
      </c>
      <c r="BV280" s="49" t="s">
        <v>303</v>
      </c>
      <c r="BX280" s="0" t="n">
        <v>1</v>
      </c>
      <c r="CC280" s="49" t="s">
        <v>315</v>
      </c>
      <c r="CD280" s="49" t="s">
        <v>303</v>
      </c>
      <c r="CF280" s="49" t="s">
        <v>303</v>
      </c>
      <c r="CG280" s="49" t="s">
        <v>316</v>
      </c>
      <c r="CH280" s="49" t="s">
        <v>317</v>
      </c>
      <c r="CI280" s="49" t="s">
        <v>318</v>
      </c>
      <c r="CM280" s="49" t="s">
        <v>65</v>
      </c>
      <c r="CV280" s="49" t="s">
        <v>303</v>
      </c>
      <c r="DB280" s="49" t="s">
        <v>319</v>
      </c>
      <c r="DD280" s="48" t="n">
        <v>46253</v>
      </c>
      <c r="DF280" s="49" t="s">
        <v>310</v>
      </c>
      <c r="DG280" s="49" t="s">
        <v>320</v>
      </c>
      <c r="DH280" s="49" t="s">
        <v>64</v>
      </c>
      <c r="DI280" s="49" t="s">
        <v>298</v>
      </c>
      <c r="DJ280" s="49" t="s">
        <v>394</v>
      </c>
      <c r="DK280" s="49" t="s">
        <v>322</v>
      </c>
      <c r="DL280" s="49" t="s">
        <v>323</v>
      </c>
      <c r="DM280" s="49" t="s">
        <v>303</v>
      </c>
      <c r="DN280" s="49" t="s">
        <v>297</v>
      </c>
      <c r="DO280" s="48"/>
      <c r="DP280" s="49" t="s">
        <v>312</v>
      </c>
      <c r="DQ280" s="48"/>
      <c r="DR280" s="49" t="s">
        <v>312</v>
      </c>
      <c r="DS280" s="49" t="s">
        <v>303</v>
      </c>
      <c r="DT280" s="49" t="s">
        <v>303</v>
      </c>
      <c r="DW280" s="49" t="s">
        <v>303</v>
      </c>
      <c r="EA280" s="49" t="s">
        <v>324</v>
      </c>
      <c r="EB280" s="49" t="s">
        <v>303</v>
      </c>
      <c r="EF280" s="49" t="s">
        <v>1160</v>
      </c>
      <c r="EH280" s="49" t="s">
        <v>310</v>
      </c>
      <c r="EJ280" s="49" t="s">
        <v>303</v>
      </c>
      <c r="EK280" s="49" t="s">
        <v>1203</v>
      </c>
      <c r="EM280" s="49" t="s">
        <v>303</v>
      </c>
      <c r="EN280" s="49" t="s">
        <v>396</v>
      </c>
      <c r="EP280" s="49" t="s">
        <v>298</v>
      </c>
      <c r="EQ280" s="0" t="n">
        <v>1</v>
      </c>
      <c r="ER280" s="49" t="s">
        <v>328</v>
      </c>
      <c r="ES280" s="49" t="s">
        <v>329</v>
      </c>
      <c r="ET280" s="49" t="s">
        <v>310</v>
      </c>
      <c r="EU280" s="49" t="s">
        <v>310</v>
      </c>
      <c r="EV280" s="49" t="s">
        <v>310</v>
      </c>
      <c r="EX280" s="49" t="s">
        <v>303</v>
      </c>
      <c r="EY280" s="49" t="s">
        <v>303</v>
      </c>
      <c r="FC280" s="49" t="s">
        <v>330</v>
      </c>
      <c r="FD280" s="49" t="s">
        <v>310</v>
      </c>
      <c r="FE280" s="49" t="s">
        <v>310</v>
      </c>
      <c r="FF280" s="49" t="s">
        <v>64</v>
      </c>
      <c r="FG280" s="49" t="s">
        <v>397</v>
      </c>
      <c r="FH280" s="49" t="s">
        <v>310</v>
      </c>
      <c r="FI280" s="49" t="s">
        <v>332</v>
      </c>
      <c r="FJ280" s="49" t="s">
        <v>303</v>
      </c>
      <c r="FL280" s="49" t="s">
        <v>325</v>
      </c>
      <c r="FM280" s="49" t="s">
        <v>1135</v>
      </c>
      <c r="FP280" s="49" t="s">
        <v>303</v>
      </c>
      <c r="FR280" s="49" t="s">
        <v>303</v>
      </c>
      <c r="FT280" s="49" t="s">
        <v>325</v>
      </c>
      <c r="FU280" s="49" t="s">
        <v>325</v>
      </c>
      <c r="FW280" s="49" t="s">
        <v>333</v>
      </c>
    </row>
    <row r="281" customFormat="false" ht="15" hidden="false" customHeight="false" outlineLevel="0" collapsed="false">
      <c r="A281" s="0" t="n">
        <v>100877364</v>
      </c>
      <c r="B281" s="0" t="s">
        <v>295</v>
      </c>
      <c r="C281" s="0" t="s">
        <v>64</v>
      </c>
      <c r="D281" s="0" t="s">
        <v>65</v>
      </c>
      <c r="E281" s="0" t="s">
        <v>297</v>
      </c>
      <c r="G281" s="0" t="n">
        <v>1</v>
      </c>
      <c r="H281" s="0" t="s">
        <v>298</v>
      </c>
      <c r="I281" s="48" t="n">
        <v>46278</v>
      </c>
      <c r="J281" s="0" t="n">
        <v>1</v>
      </c>
      <c r="K281" s="49" t="s">
        <v>1135</v>
      </c>
      <c r="L281" s="49" t="s">
        <v>1035</v>
      </c>
      <c r="M281" s="48" t="n">
        <v>46287</v>
      </c>
      <c r="N281" s="49" t="s">
        <v>1204</v>
      </c>
      <c r="O281" s="49" t="s">
        <v>1045</v>
      </c>
      <c r="P281" s="48"/>
      <c r="Q281" s="48" t="n">
        <v>46278</v>
      </c>
      <c r="R281" s="48" t="n">
        <v>46284</v>
      </c>
      <c r="T281" s="49" t="s">
        <v>302</v>
      </c>
      <c r="U281" s="49" t="s">
        <v>303</v>
      </c>
      <c r="Y281" s="49" t="s">
        <v>1205</v>
      </c>
      <c r="AD281" s="49" t="s">
        <v>305</v>
      </c>
      <c r="AE281" s="48" t="n">
        <v>46253</v>
      </c>
      <c r="AF281" s="49" t="s">
        <v>306</v>
      </c>
      <c r="AG281" s="49" t="s">
        <v>307</v>
      </c>
      <c r="AK281" s="49" t="s">
        <v>1047</v>
      </c>
      <c r="AL281" s="49" t="s">
        <v>297</v>
      </c>
      <c r="AO281" s="49" t="s">
        <v>303</v>
      </c>
      <c r="AP281" s="48"/>
      <c r="AR281" s="49" t="s">
        <v>303</v>
      </c>
      <c r="AS281" s="49" t="s">
        <v>306</v>
      </c>
      <c r="AT281" s="49" t="s">
        <v>1206</v>
      </c>
      <c r="AV281" s="49" t="s">
        <v>309</v>
      </c>
      <c r="AW281" s="49" t="s">
        <v>310</v>
      </c>
      <c r="AX281" s="49" t="s">
        <v>311</v>
      </c>
      <c r="AY281" s="48"/>
      <c r="AZ281" s="48" t="n">
        <v>46275</v>
      </c>
      <c r="BC281" s="49" t="s">
        <v>303</v>
      </c>
      <c r="BD281" s="48" t="n">
        <v>46288</v>
      </c>
      <c r="BE281" s="49" t="s">
        <v>1207</v>
      </c>
      <c r="BF281" s="49" t="s">
        <v>303</v>
      </c>
      <c r="BG281" s="48"/>
      <c r="BI281" s="48" t="n">
        <v>46288</v>
      </c>
      <c r="BJ281" s="48" t="n">
        <v>46282</v>
      </c>
      <c r="BK281" s="49" t="s">
        <v>313</v>
      </c>
      <c r="BL281" s="49" t="s">
        <v>313</v>
      </c>
      <c r="BM281" s="49" t="s">
        <v>310</v>
      </c>
      <c r="BN281" s="48"/>
      <c r="BO281" s="48"/>
      <c r="BP281" s="48"/>
      <c r="BQ281" s="49" t="s">
        <v>1034</v>
      </c>
      <c r="BR281" s="48" t="n">
        <v>46282</v>
      </c>
      <c r="BS281" s="49" t="s">
        <v>1208</v>
      </c>
      <c r="BT281" s="49" t="s">
        <v>312</v>
      </c>
      <c r="BU281" s="49" t="s">
        <v>313</v>
      </c>
      <c r="BV281" s="49" t="s">
        <v>303</v>
      </c>
      <c r="BX281" s="0" t="n">
        <v>1</v>
      </c>
      <c r="CC281" s="49" t="s">
        <v>315</v>
      </c>
      <c r="CD281" s="49" t="s">
        <v>303</v>
      </c>
      <c r="CF281" s="49" t="s">
        <v>303</v>
      </c>
      <c r="CG281" s="49" t="s">
        <v>316</v>
      </c>
      <c r="CH281" s="49" t="s">
        <v>317</v>
      </c>
      <c r="CI281" s="49" t="s">
        <v>318</v>
      </c>
      <c r="CM281" s="49" t="s">
        <v>65</v>
      </c>
      <c r="CV281" s="49" t="s">
        <v>303</v>
      </c>
      <c r="DB281" s="49" t="s">
        <v>319</v>
      </c>
      <c r="DD281" s="48" t="n">
        <v>46253</v>
      </c>
      <c r="DF281" s="49" t="s">
        <v>310</v>
      </c>
      <c r="DG281" s="49" t="s">
        <v>320</v>
      </c>
      <c r="DH281" s="49" t="s">
        <v>64</v>
      </c>
      <c r="DI281" s="49" t="s">
        <v>298</v>
      </c>
      <c r="DJ281" s="49" t="s">
        <v>394</v>
      </c>
      <c r="DK281" s="49" t="s">
        <v>322</v>
      </c>
      <c r="DL281" s="49" t="s">
        <v>323</v>
      </c>
      <c r="DM281" s="49" t="s">
        <v>303</v>
      </c>
      <c r="DN281" s="49" t="s">
        <v>297</v>
      </c>
      <c r="DO281" s="48"/>
      <c r="DP281" s="49" t="s">
        <v>312</v>
      </c>
      <c r="DQ281" s="48"/>
      <c r="DR281" s="49" t="s">
        <v>312</v>
      </c>
      <c r="DS281" s="49" t="s">
        <v>303</v>
      </c>
      <c r="DT281" s="49" t="s">
        <v>303</v>
      </c>
      <c r="DW281" s="49" t="s">
        <v>303</v>
      </c>
      <c r="EA281" s="49" t="s">
        <v>324</v>
      </c>
      <c r="EB281" s="49" t="s">
        <v>303</v>
      </c>
      <c r="EF281" s="49" t="s">
        <v>1160</v>
      </c>
      <c r="EH281" s="49" t="s">
        <v>310</v>
      </c>
      <c r="EJ281" s="49" t="s">
        <v>303</v>
      </c>
      <c r="EK281" s="49" t="s">
        <v>1209</v>
      </c>
      <c r="EM281" s="49" t="s">
        <v>303</v>
      </c>
      <c r="EN281" s="49" t="s">
        <v>396</v>
      </c>
      <c r="EP281" s="49" t="s">
        <v>298</v>
      </c>
      <c r="EQ281" s="0" t="n">
        <v>1</v>
      </c>
      <c r="ER281" s="49" t="s">
        <v>328</v>
      </c>
      <c r="ES281" s="49" t="s">
        <v>329</v>
      </c>
      <c r="ET281" s="49" t="s">
        <v>310</v>
      </c>
      <c r="EU281" s="49" t="s">
        <v>310</v>
      </c>
      <c r="EV281" s="49" t="s">
        <v>310</v>
      </c>
      <c r="EX281" s="49" t="s">
        <v>303</v>
      </c>
      <c r="EY281" s="49" t="s">
        <v>303</v>
      </c>
      <c r="FC281" s="49" t="s">
        <v>330</v>
      </c>
      <c r="FD281" s="49" t="s">
        <v>310</v>
      </c>
      <c r="FE281" s="49" t="s">
        <v>310</v>
      </c>
      <c r="FF281" s="49" t="s">
        <v>64</v>
      </c>
      <c r="FG281" s="49" t="s">
        <v>397</v>
      </c>
      <c r="FH281" s="49" t="s">
        <v>310</v>
      </c>
      <c r="FI281" s="49" t="s">
        <v>332</v>
      </c>
      <c r="FJ281" s="49" t="s">
        <v>303</v>
      </c>
      <c r="FL281" s="49" t="s">
        <v>325</v>
      </c>
      <c r="FM281" s="49" t="s">
        <v>1135</v>
      </c>
      <c r="FP281" s="49" t="s">
        <v>303</v>
      </c>
      <c r="FR281" s="49" t="s">
        <v>303</v>
      </c>
      <c r="FT281" s="49" t="s">
        <v>325</v>
      </c>
      <c r="FU281" s="49" t="s">
        <v>325</v>
      </c>
      <c r="FW281" s="49" t="s">
        <v>333</v>
      </c>
    </row>
    <row r="282" customFormat="false" ht="15" hidden="false" customHeight="false" outlineLevel="0" collapsed="false">
      <c r="A282" s="0" t="n">
        <v>100877365</v>
      </c>
      <c r="B282" s="0" t="s">
        <v>295</v>
      </c>
      <c r="C282" s="0" t="s">
        <v>64</v>
      </c>
      <c r="D282" s="0" t="s">
        <v>65</v>
      </c>
      <c r="E282" s="0" t="s">
        <v>297</v>
      </c>
      <c r="G282" s="0" t="n">
        <v>1</v>
      </c>
      <c r="H282" s="0" t="s">
        <v>298</v>
      </c>
      <c r="I282" s="48" t="n">
        <v>46278</v>
      </c>
      <c r="J282" s="0" t="n">
        <v>1</v>
      </c>
      <c r="K282" s="49" t="s">
        <v>1135</v>
      </c>
      <c r="L282" s="49" t="s">
        <v>1035</v>
      </c>
      <c r="M282" s="48" t="n">
        <v>46288</v>
      </c>
      <c r="N282" s="49" t="s">
        <v>1149</v>
      </c>
      <c r="O282" s="49" t="s">
        <v>1045</v>
      </c>
      <c r="P282" s="48"/>
      <c r="Q282" s="48" t="n">
        <v>46278</v>
      </c>
      <c r="R282" s="48" t="n">
        <v>46284</v>
      </c>
      <c r="T282" s="49" t="s">
        <v>302</v>
      </c>
      <c r="U282" s="49" t="s">
        <v>303</v>
      </c>
      <c r="Y282" s="49" t="s">
        <v>1210</v>
      </c>
      <c r="AD282" s="49" t="s">
        <v>305</v>
      </c>
      <c r="AE282" s="48" t="n">
        <v>46253</v>
      </c>
      <c r="AF282" s="49" t="s">
        <v>306</v>
      </c>
      <c r="AG282" s="49" t="s">
        <v>307</v>
      </c>
      <c r="AK282" s="49" t="s">
        <v>1047</v>
      </c>
      <c r="AL282" s="49" t="s">
        <v>297</v>
      </c>
      <c r="AO282" s="49" t="s">
        <v>303</v>
      </c>
      <c r="AP282" s="48"/>
      <c r="AR282" s="49" t="s">
        <v>303</v>
      </c>
      <c r="AS282" s="49" t="s">
        <v>306</v>
      </c>
      <c r="AT282" s="49" t="s">
        <v>1211</v>
      </c>
      <c r="AV282" s="49" t="s">
        <v>309</v>
      </c>
      <c r="AW282" s="49" t="s">
        <v>310</v>
      </c>
      <c r="AX282" s="49" t="s">
        <v>311</v>
      </c>
      <c r="AY282" s="48"/>
      <c r="AZ282" s="48" t="n">
        <v>46275</v>
      </c>
      <c r="BC282" s="49" t="s">
        <v>303</v>
      </c>
      <c r="BD282" s="48" t="n">
        <v>46290</v>
      </c>
      <c r="BE282" s="49" t="s">
        <v>1212</v>
      </c>
      <c r="BF282" s="49" t="s">
        <v>303</v>
      </c>
      <c r="BG282" s="48"/>
      <c r="BI282" s="48" t="n">
        <v>46290</v>
      </c>
      <c r="BJ282" s="48" t="n">
        <v>46282</v>
      </c>
      <c r="BK282" s="49" t="s">
        <v>313</v>
      </c>
      <c r="BL282" s="49" t="s">
        <v>313</v>
      </c>
      <c r="BM282" s="49" t="s">
        <v>310</v>
      </c>
      <c r="BN282" s="48"/>
      <c r="BO282" s="48"/>
      <c r="BP282" s="48"/>
      <c r="BQ282" s="49" t="s">
        <v>1136</v>
      </c>
      <c r="BR282" s="48" t="n">
        <v>46282</v>
      </c>
      <c r="BS282" s="49" t="s">
        <v>1213</v>
      </c>
      <c r="BT282" s="49" t="s">
        <v>312</v>
      </c>
      <c r="BU282" s="49" t="s">
        <v>313</v>
      </c>
      <c r="BV282" s="49" t="s">
        <v>303</v>
      </c>
      <c r="BX282" s="0" t="n">
        <v>1</v>
      </c>
      <c r="CC282" s="49" t="s">
        <v>315</v>
      </c>
      <c r="CD282" s="49" t="s">
        <v>303</v>
      </c>
      <c r="CF282" s="49" t="s">
        <v>303</v>
      </c>
      <c r="CG282" s="49" t="s">
        <v>316</v>
      </c>
      <c r="CH282" s="49" t="s">
        <v>317</v>
      </c>
      <c r="CI282" s="49" t="s">
        <v>318</v>
      </c>
      <c r="CM282" s="49" t="s">
        <v>65</v>
      </c>
      <c r="CV282" s="49" t="s">
        <v>303</v>
      </c>
      <c r="DB282" s="49" t="s">
        <v>319</v>
      </c>
      <c r="DD282" s="48" t="n">
        <v>46253</v>
      </c>
      <c r="DF282" s="49" t="s">
        <v>310</v>
      </c>
      <c r="DG282" s="49" t="s">
        <v>320</v>
      </c>
      <c r="DH282" s="49" t="s">
        <v>64</v>
      </c>
      <c r="DI282" s="49" t="s">
        <v>298</v>
      </c>
      <c r="DJ282" s="49" t="s">
        <v>394</v>
      </c>
      <c r="DK282" s="49" t="s">
        <v>322</v>
      </c>
      <c r="DL282" s="49" t="s">
        <v>323</v>
      </c>
      <c r="DM282" s="49" t="s">
        <v>303</v>
      </c>
      <c r="DN282" s="49" t="s">
        <v>297</v>
      </c>
      <c r="DO282" s="48"/>
      <c r="DP282" s="49" t="s">
        <v>312</v>
      </c>
      <c r="DQ282" s="48"/>
      <c r="DR282" s="49" t="s">
        <v>312</v>
      </c>
      <c r="DS282" s="49" t="s">
        <v>303</v>
      </c>
      <c r="DT282" s="49" t="s">
        <v>303</v>
      </c>
      <c r="DW282" s="49" t="s">
        <v>303</v>
      </c>
      <c r="EA282" s="49" t="s">
        <v>324</v>
      </c>
      <c r="EB282" s="49" t="s">
        <v>303</v>
      </c>
      <c r="EF282" s="49" t="s">
        <v>1160</v>
      </c>
      <c r="EH282" s="49" t="s">
        <v>310</v>
      </c>
      <c r="EJ282" s="49" t="s">
        <v>303</v>
      </c>
      <c r="EK282" s="49" t="s">
        <v>1214</v>
      </c>
      <c r="EM282" s="49" t="s">
        <v>303</v>
      </c>
      <c r="EN282" s="49" t="s">
        <v>396</v>
      </c>
      <c r="EP282" s="49" t="s">
        <v>298</v>
      </c>
      <c r="EQ282" s="0" t="n">
        <v>1</v>
      </c>
      <c r="ER282" s="49" t="s">
        <v>328</v>
      </c>
      <c r="ES282" s="49" t="s">
        <v>329</v>
      </c>
      <c r="ET282" s="49" t="s">
        <v>310</v>
      </c>
      <c r="EU282" s="49" t="s">
        <v>310</v>
      </c>
      <c r="EV282" s="49" t="s">
        <v>310</v>
      </c>
      <c r="EX282" s="49" t="s">
        <v>303</v>
      </c>
      <c r="EY282" s="49" t="s">
        <v>303</v>
      </c>
      <c r="FC282" s="49" t="s">
        <v>330</v>
      </c>
      <c r="FD282" s="49" t="s">
        <v>310</v>
      </c>
      <c r="FE282" s="49" t="s">
        <v>310</v>
      </c>
      <c r="FF282" s="49" t="s">
        <v>64</v>
      </c>
      <c r="FG282" s="49" t="s">
        <v>397</v>
      </c>
      <c r="FH282" s="49" t="s">
        <v>310</v>
      </c>
      <c r="FI282" s="49" t="s">
        <v>332</v>
      </c>
      <c r="FJ282" s="49" t="s">
        <v>303</v>
      </c>
      <c r="FL282" s="49" t="s">
        <v>325</v>
      </c>
      <c r="FM282" s="49" t="s">
        <v>1135</v>
      </c>
      <c r="FP282" s="49" t="s">
        <v>303</v>
      </c>
      <c r="FR282" s="49" t="s">
        <v>303</v>
      </c>
      <c r="FT282" s="49" t="s">
        <v>325</v>
      </c>
      <c r="FU282" s="49" t="s">
        <v>325</v>
      </c>
      <c r="FW282" s="49" t="s">
        <v>333</v>
      </c>
    </row>
    <row r="283" customFormat="false" ht="15" hidden="false" customHeight="false" outlineLevel="0" collapsed="false">
      <c r="A283" s="0" t="n">
        <v>100877366</v>
      </c>
      <c r="B283" s="0" t="s">
        <v>295</v>
      </c>
      <c r="C283" s="0" t="s">
        <v>64</v>
      </c>
      <c r="D283" s="0" t="s">
        <v>65</v>
      </c>
      <c r="E283" s="0" t="s">
        <v>297</v>
      </c>
      <c r="G283" s="0" t="n">
        <v>1</v>
      </c>
      <c r="H283" s="0" t="s">
        <v>298</v>
      </c>
      <c r="I283" s="48" t="n">
        <v>46278</v>
      </c>
      <c r="J283" s="0" t="n">
        <v>1</v>
      </c>
      <c r="K283" s="49" t="s">
        <v>1135</v>
      </c>
      <c r="L283" s="49" t="s">
        <v>1035</v>
      </c>
      <c r="M283" s="48" t="n">
        <v>46288</v>
      </c>
      <c r="N283" s="49" t="s">
        <v>1149</v>
      </c>
      <c r="O283" s="49" t="s">
        <v>1045</v>
      </c>
      <c r="P283" s="48"/>
      <c r="Q283" s="48" t="n">
        <v>46278</v>
      </c>
      <c r="R283" s="48" t="n">
        <v>46284</v>
      </c>
      <c r="T283" s="49" t="s">
        <v>302</v>
      </c>
      <c r="U283" s="49" t="s">
        <v>303</v>
      </c>
      <c r="Y283" s="49" t="s">
        <v>1215</v>
      </c>
      <c r="AD283" s="49" t="s">
        <v>305</v>
      </c>
      <c r="AE283" s="48" t="n">
        <v>46253</v>
      </c>
      <c r="AF283" s="49" t="s">
        <v>306</v>
      </c>
      <c r="AG283" s="49" t="s">
        <v>307</v>
      </c>
      <c r="AK283" s="49" t="s">
        <v>1047</v>
      </c>
      <c r="AL283" s="49" t="s">
        <v>297</v>
      </c>
      <c r="AO283" s="49" t="s">
        <v>303</v>
      </c>
      <c r="AP283" s="48"/>
      <c r="AR283" s="49" t="s">
        <v>303</v>
      </c>
      <c r="AS283" s="49" t="s">
        <v>306</v>
      </c>
      <c r="AT283" s="49" t="s">
        <v>1216</v>
      </c>
      <c r="AV283" s="49" t="s">
        <v>309</v>
      </c>
      <c r="AW283" s="49" t="s">
        <v>310</v>
      </c>
      <c r="AX283" s="49" t="s">
        <v>311</v>
      </c>
      <c r="AY283" s="48"/>
      <c r="AZ283" s="48" t="n">
        <v>46275</v>
      </c>
      <c r="BC283" s="49" t="s">
        <v>303</v>
      </c>
      <c r="BD283" s="48" t="n">
        <v>46290</v>
      </c>
      <c r="BE283" s="49" t="s">
        <v>1217</v>
      </c>
      <c r="BF283" s="49" t="s">
        <v>303</v>
      </c>
      <c r="BG283" s="48"/>
      <c r="BI283" s="48" t="n">
        <v>46290</v>
      </c>
      <c r="BJ283" s="48" t="n">
        <v>46282</v>
      </c>
      <c r="BK283" s="49" t="s">
        <v>313</v>
      </c>
      <c r="BL283" s="49" t="s">
        <v>313</v>
      </c>
      <c r="BM283" s="49" t="s">
        <v>310</v>
      </c>
      <c r="BN283" s="48"/>
      <c r="BO283" s="48"/>
      <c r="BP283" s="48"/>
      <c r="BQ283" s="49" t="s">
        <v>1136</v>
      </c>
      <c r="BR283" s="48" t="n">
        <v>46282</v>
      </c>
      <c r="BS283" s="49" t="s">
        <v>1218</v>
      </c>
      <c r="BT283" s="49" t="s">
        <v>312</v>
      </c>
      <c r="BU283" s="49" t="s">
        <v>313</v>
      </c>
      <c r="BV283" s="49" t="s">
        <v>303</v>
      </c>
      <c r="BX283" s="0" t="n">
        <v>1</v>
      </c>
      <c r="CC283" s="49" t="s">
        <v>315</v>
      </c>
      <c r="CD283" s="49" t="s">
        <v>303</v>
      </c>
      <c r="CF283" s="49" t="s">
        <v>303</v>
      </c>
      <c r="CG283" s="49" t="s">
        <v>316</v>
      </c>
      <c r="CH283" s="49" t="s">
        <v>317</v>
      </c>
      <c r="CI283" s="49" t="s">
        <v>318</v>
      </c>
      <c r="CM283" s="49" t="s">
        <v>65</v>
      </c>
      <c r="CV283" s="49" t="s">
        <v>303</v>
      </c>
      <c r="DB283" s="49" t="s">
        <v>319</v>
      </c>
      <c r="DD283" s="48" t="n">
        <v>46253</v>
      </c>
      <c r="DF283" s="49" t="s">
        <v>310</v>
      </c>
      <c r="DG283" s="49" t="s">
        <v>320</v>
      </c>
      <c r="DH283" s="49" t="s">
        <v>64</v>
      </c>
      <c r="DI283" s="49" t="s">
        <v>298</v>
      </c>
      <c r="DJ283" s="49" t="s">
        <v>394</v>
      </c>
      <c r="DK283" s="49" t="s">
        <v>322</v>
      </c>
      <c r="DL283" s="49" t="s">
        <v>323</v>
      </c>
      <c r="DM283" s="49" t="s">
        <v>303</v>
      </c>
      <c r="DN283" s="49" t="s">
        <v>297</v>
      </c>
      <c r="DO283" s="48"/>
      <c r="DP283" s="49" t="s">
        <v>312</v>
      </c>
      <c r="DQ283" s="48"/>
      <c r="DR283" s="49" t="s">
        <v>312</v>
      </c>
      <c r="DS283" s="49" t="s">
        <v>303</v>
      </c>
      <c r="DT283" s="49" t="s">
        <v>303</v>
      </c>
      <c r="DW283" s="49" t="s">
        <v>303</v>
      </c>
      <c r="EA283" s="49" t="s">
        <v>324</v>
      </c>
      <c r="EB283" s="49" t="s">
        <v>303</v>
      </c>
      <c r="EF283" s="49" t="s">
        <v>1160</v>
      </c>
      <c r="EH283" s="49" t="s">
        <v>310</v>
      </c>
      <c r="EJ283" s="49" t="s">
        <v>303</v>
      </c>
      <c r="EK283" s="49" t="s">
        <v>1219</v>
      </c>
      <c r="EM283" s="49" t="s">
        <v>303</v>
      </c>
      <c r="EN283" s="49" t="s">
        <v>396</v>
      </c>
      <c r="EP283" s="49" t="s">
        <v>298</v>
      </c>
      <c r="EQ283" s="0" t="n">
        <v>1</v>
      </c>
      <c r="ER283" s="49" t="s">
        <v>328</v>
      </c>
      <c r="ES283" s="49" t="s">
        <v>329</v>
      </c>
      <c r="ET283" s="49" t="s">
        <v>310</v>
      </c>
      <c r="EU283" s="49" t="s">
        <v>310</v>
      </c>
      <c r="EV283" s="49" t="s">
        <v>310</v>
      </c>
      <c r="EX283" s="49" t="s">
        <v>303</v>
      </c>
      <c r="EY283" s="49" t="s">
        <v>303</v>
      </c>
      <c r="FC283" s="49" t="s">
        <v>330</v>
      </c>
      <c r="FD283" s="49" t="s">
        <v>310</v>
      </c>
      <c r="FE283" s="49" t="s">
        <v>310</v>
      </c>
      <c r="FF283" s="49" t="s">
        <v>64</v>
      </c>
      <c r="FG283" s="49" t="s">
        <v>397</v>
      </c>
      <c r="FH283" s="49" t="s">
        <v>310</v>
      </c>
      <c r="FI283" s="49" t="s">
        <v>332</v>
      </c>
      <c r="FJ283" s="49" t="s">
        <v>303</v>
      </c>
      <c r="FL283" s="49" t="s">
        <v>325</v>
      </c>
      <c r="FM283" s="49" t="s">
        <v>1135</v>
      </c>
      <c r="FP283" s="49" t="s">
        <v>303</v>
      </c>
      <c r="FR283" s="49" t="s">
        <v>303</v>
      </c>
      <c r="FT283" s="49" t="s">
        <v>325</v>
      </c>
      <c r="FU283" s="49" t="s">
        <v>325</v>
      </c>
      <c r="FW283" s="49" t="s">
        <v>333</v>
      </c>
    </row>
    <row r="284" customFormat="false" ht="15" hidden="false" customHeight="false" outlineLevel="0" collapsed="false">
      <c r="A284" s="0" t="n">
        <v>100877367</v>
      </c>
      <c r="B284" s="0" t="s">
        <v>295</v>
      </c>
      <c r="C284" s="0" t="s">
        <v>64</v>
      </c>
      <c r="D284" s="0" t="s">
        <v>65</v>
      </c>
      <c r="E284" s="0" t="s">
        <v>297</v>
      </c>
      <c r="G284" s="0" t="n">
        <v>1</v>
      </c>
      <c r="H284" s="0" t="s">
        <v>298</v>
      </c>
      <c r="I284" s="48" t="n">
        <v>46278</v>
      </c>
      <c r="J284" s="0" t="n">
        <v>1</v>
      </c>
      <c r="K284" s="49" t="s">
        <v>1135</v>
      </c>
      <c r="L284" s="49" t="s">
        <v>1035</v>
      </c>
      <c r="M284" s="48" t="n">
        <v>46288</v>
      </c>
      <c r="N284" s="49" t="s">
        <v>1149</v>
      </c>
      <c r="O284" s="49" t="s">
        <v>1045</v>
      </c>
      <c r="P284" s="48"/>
      <c r="Q284" s="48" t="n">
        <v>46278</v>
      </c>
      <c r="R284" s="48" t="n">
        <v>46284</v>
      </c>
      <c r="T284" s="49" t="s">
        <v>302</v>
      </c>
      <c r="U284" s="49" t="s">
        <v>303</v>
      </c>
      <c r="Y284" s="49" t="s">
        <v>1220</v>
      </c>
      <c r="AD284" s="49" t="s">
        <v>305</v>
      </c>
      <c r="AE284" s="48" t="n">
        <v>46253</v>
      </c>
      <c r="AF284" s="49" t="s">
        <v>306</v>
      </c>
      <c r="AG284" s="49" t="s">
        <v>307</v>
      </c>
      <c r="AK284" s="49" t="s">
        <v>1047</v>
      </c>
      <c r="AL284" s="49" t="s">
        <v>297</v>
      </c>
      <c r="AO284" s="49" t="s">
        <v>303</v>
      </c>
      <c r="AP284" s="48"/>
      <c r="AR284" s="49" t="s">
        <v>303</v>
      </c>
      <c r="AS284" s="49" t="s">
        <v>306</v>
      </c>
      <c r="AT284" s="49" t="s">
        <v>1221</v>
      </c>
      <c r="AV284" s="49" t="s">
        <v>309</v>
      </c>
      <c r="AW284" s="49" t="s">
        <v>310</v>
      </c>
      <c r="AX284" s="49" t="s">
        <v>311</v>
      </c>
      <c r="AY284" s="48"/>
      <c r="AZ284" s="48" t="n">
        <v>46275</v>
      </c>
      <c r="BC284" s="49" t="s">
        <v>303</v>
      </c>
      <c r="BD284" s="48" t="n">
        <v>46290</v>
      </c>
      <c r="BE284" s="49" t="s">
        <v>1222</v>
      </c>
      <c r="BF284" s="49" t="s">
        <v>303</v>
      </c>
      <c r="BG284" s="48"/>
      <c r="BI284" s="48" t="n">
        <v>46290</v>
      </c>
      <c r="BJ284" s="48" t="n">
        <v>46282</v>
      </c>
      <c r="BK284" s="49" t="s">
        <v>313</v>
      </c>
      <c r="BL284" s="49" t="s">
        <v>313</v>
      </c>
      <c r="BM284" s="49" t="s">
        <v>310</v>
      </c>
      <c r="BN284" s="48"/>
      <c r="BO284" s="48"/>
      <c r="BP284" s="48"/>
      <c r="BQ284" s="49" t="s">
        <v>1136</v>
      </c>
      <c r="BR284" s="48" t="n">
        <v>46282</v>
      </c>
      <c r="BS284" s="49" t="s">
        <v>1223</v>
      </c>
      <c r="BT284" s="49" t="s">
        <v>312</v>
      </c>
      <c r="BU284" s="49" t="s">
        <v>313</v>
      </c>
      <c r="BV284" s="49" t="s">
        <v>303</v>
      </c>
      <c r="BX284" s="0" t="n">
        <v>1</v>
      </c>
      <c r="CC284" s="49" t="s">
        <v>315</v>
      </c>
      <c r="CD284" s="49" t="s">
        <v>303</v>
      </c>
      <c r="CF284" s="49" t="s">
        <v>303</v>
      </c>
      <c r="CG284" s="49" t="s">
        <v>316</v>
      </c>
      <c r="CH284" s="49" t="s">
        <v>317</v>
      </c>
      <c r="CI284" s="49" t="s">
        <v>318</v>
      </c>
      <c r="CM284" s="49" t="s">
        <v>65</v>
      </c>
      <c r="CV284" s="49" t="s">
        <v>303</v>
      </c>
      <c r="DB284" s="49" t="s">
        <v>319</v>
      </c>
      <c r="DD284" s="48" t="n">
        <v>46253</v>
      </c>
      <c r="DF284" s="49" t="s">
        <v>310</v>
      </c>
      <c r="DG284" s="49" t="s">
        <v>320</v>
      </c>
      <c r="DH284" s="49" t="s">
        <v>64</v>
      </c>
      <c r="DI284" s="49" t="s">
        <v>298</v>
      </c>
      <c r="DJ284" s="49" t="s">
        <v>394</v>
      </c>
      <c r="DK284" s="49" t="s">
        <v>322</v>
      </c>
      <c r="DL284" s="49" t="s">
        <v>323</v>
      </c>
      <c r="DM284" s="49" t="s">
        <v>303</v>
      </c>
      <c r="DN284" s="49" t="s">
        <v>297</v>
      </c>
      <c r="DO284" s="48"/>
      <c r="DP284" s="49" t="s">
        <v>312</v>
      </c>
      <c r="DQ284" s="48"/>
      <c r="DR284" s="49" t="s">
        <v>312</v>
      </c>
      <c r="DS284" s="49" t="s">
        <v>303</v>
      </c>
      <c r="DT284" s="49" t="s">
        <v>303</v>
      </c>
      <c r="DW284" s="49" t="s">
        <v>303</v>
      </c>
      <c r="EA284" s="49" t="s">
        <v>324</v>
      </c>
      <c r="EB284" s="49" t="s">
        <v>303</v>
      </c>
      <c r="EF284" s="49" t="s">
        <v>1160</v>
      </c>
      <c r="EH284" s="49" t="s">
        <v>310</v>
      </c>
      <c r="EJ284" s="49" t="s">
        <v>303</v>
      </c>
      <c r="EK284" s="49" t="s">
        <v>1224</v>
      </c>
      <c r="EM284" s="49" t="s">
        <v>303</v>
      </c>
      <c r="EN284" s="49" t="s">
        <v>396</v>
      </c>
      <c r="EP284" s="49" t="s">
        <v>298</v>
      </c>
      <c r="EQ284" s="0" t="n">
        <v>1</v>
      </c>
      <c r="ER284" s="49" t="s">
        <v>328</v>
      </c>
      <c r="ES284" s="49" t="s">
        <v>329</v>
      </c>
      <c r="ET284" s="49" t="s">
        <v>310</v>
      </c>
      <c r="EU284" s="49" t="s">
        <v>310</v>
      </c>
      <c r="EV284" s="49" t="s">
        <v>310</v>
      </c>
      <c r="EX284" s="49" t="s">
        <v>303</v>
      </c>
      <c r="EY284" s="49" t="s">
        <v>303</v>
      </c>
      <c r="FC284" s="49" t="s">
        <v>330</v>
      </c>
      <c r="FD284" s="49" t="s">
        <v>310</v>
      </c>
      <c r="FE284" s="49" t="s">
        <v>310</v>
      </c>
      <c r="FF284" s="49" t="s">
        <v>64</v>
      </c>
      <c r="FG284" s="49" t="s">
        <v>397</v>
      </c>
      <c r="FH284" s="49" t="s">
        <v>310</v>
      </c>
      <c r="FI284" s="49" t="s">
        <v>332</v>
      </c>
      <c r="FJ284" s="49" t="s">
        <v>303</v>
      </c>
      <c r="FL284" s="49" t="s">
        <v>325</v>
      </c>
      <c r="FM284" s="49" t="s">
        <v>1135</v>
      </c>
      <c r="FP284" s="49" t="s">
        <v>303</v>
      </c>
      <c r="FR284" s="49" t="s">
        <v>303</v>
      </c>
      <c r="FT284" s="49" t="s">
        <v>325</v>
      </c>
      <c r="FU284" s="49" t="s">
        <v>325</v>
      </c>
      <c r="FW284" s="49" t="s">
        <v>333</v>
      </c>
    </row>
    <row r="285" customFormat="false" ht="15" hidden="false" customHeight="false" outlineLevel="0" collapsed="false">
      <c r="A285" s="0" t="n">
        <v>100877368</v>
      </c>
      <c r="B285" s="0" t="s">
        <v>295</v>
      </c>
      <c r="C285" s="0" t="s">
        <v>64</v>
      </c>
      <c r="D285" s="0" t="s">
        <v>65</v>
      </c>
      <c r="E285" s="0" t="s">
        <v>297</v>
      </c>
      <c r="G285" s="0" t="n">
        <v>1</v>
      </c>
      <c r="H285" s="0" t="s">
        <v>298</v>
      </c>
      <c r="I285" s="48" t="n">
        <v>46278</v>
      </c>
      <c r="J285" s="0" t="n">
        <v>1</v>
      </c>
      <c r="K285" s="49" t="s">
        <v>1135</v>
      </c>
      <c r="L285" s="49" t="s">
        <v>1035</v>
      </c>
      <c r="M285" s="48" t="n">
        <v>46288</v>
      </c>
      <c r="N285" s="49" t="s">
        <v>1149</v>
      </c>
      <c r="O285" s="49" t="s">
        <v>1045</v>
      </c>
      <c r="P285" s="48"/>
      <c r="Q285" s="48" t="n">
        <v>46278</v>
      </c>
      <c r="R285" s="48" t="n">
        <v>46284</v>
      </c>
      <c r="T285" s="49" t="s">
        <v>302</v>
      </c>
      <c r="U285" s="49" t="s">
        <v>303</v>
      </c>
      <c r="Y285" s="49" t="s">
        <v>1225</v>
      </c>
      <c r="AD285" s="49" t="s">
        <v>305</v>
      </c>
      <c r="AE285" s="48" t="n">
        <v>46253</v>
      </c>
      <c r="AF285" s="49" t="s">
        <v>306</v>
      </c>
      <c r="AG285" s="49" t="s">
        <v>307</v>
      </c>
      <c r="AK285" s="49" t="s">
        <v>1047</v>
      </c>
      <c r="AL285" s="49" t="s">
        <v>297</v>
      </c>
      <c r="AO285" s="49" t="s">
        <v>303</v>
      </c>
      <c r="AP285" s="48"/>
      <c r="AR285" s="49" t="s">
        <v>303</v>
      </c>
      <c r="AS285" s="49" t="s">
        <v>306</v>
      </c>
      <c r="AT285" s="49" t="s">
        <v>1226</v>
      </c>
      <c r="AV285" s="49" t="s">
        <v>309</v>
      </c>
      <c r="AW285" s="49" t="s">
        <v>310</v>
      </c>
      <c r="AX285" s="49" t="s">
        <v>311</v>
      </c>
      <c r="AY285" s="48"/>
      <c r="AZ285" s="48" t="n">
        <v>46275</v>
      </c>
      <c r="BC285" s="49" t="s">
        <v>303</v>
      </c>
      <c r="BD285" s="48" t="n">
        <v>46290</v>
      </c>
      <c r="BE285" s="49" t="s">
        <v>1227</v>
      </c>
      <c r="BF285" s="49" t="s">
        <v>303</v>
      </c>
      <c r="BG285" s="48"/>
      <c r="BI285" s="48" t="n">
        <v>46290</v>
      </c>
      <c r="BJ285" s="48" t="n">
        <v>46282</v>
      </c>
      <c r="BK285" s="49" t="s">
        <v>313</v>
      </c>
      <c r="BL285" s="49" t="s">
        <v>313</v>
      </c>
      <c r="BM285" s="49" t="s">
        <v>310</v>
      </c>
      <c r="BN285" s="48"/>
      <c r="BO285" s="48"/>
      <c r="BP285" s="48"/>
      <c r="BQ285" s="49" t="s">
        <v>1136</v>
      </c>
      <c r="BR285" s="48" t="n">
        <v>46282</v>
      </c>
      <c r="BS285" s="49" t="s">
        <v>1228</v>
      </c>
      <c r="BT285" s="49" t="s">
        <v>312</v>
      </c>
      <c r="BU285" s="49" t="s">
        <v>313</v>
      </c>
      <c r="BV285" s="49" t="s">
        <v>303</v>
      </c>
      <c r="BX285" s="0" t="n">
        <v>1</v>
      </c>
      <c r="CC285" s="49" t="s">
        <v>315</v>
      </c>
      <c r="CD285" s="49" t="s">
        <v>303</v>
      </c>
      <c r="CF285" s="49" t="s">
        <v>303</v>
      </c>
      <c r="CG285" s="49" t="s">
        <v>316</v>
      </c>
      <c r="CH285" s="49" t="s">
        <v>317</v>
      </c>
      <c r="CI285" s="49" t="s">
        <v>318</v>
      </c>
      <c r="CM285" s="49" t="s">
        <v>65</v>
      </c>
      <c r="CV285" s="49" t="s">
        <v>303</v>
      </c>
      <c r="DB285" s="49" t="s">
        <v>319</v>
      </c>
      <c r="DD285" s="48" t="n">
        <v>46253</v>
      </c>
      <c r="DF285" s="49" t="s">
        <v>310</v>
      </c>
      <c r="DG285" s="49" t="s">
        <v>320</v>
      </c>
      <c r="DH285" s="49" t="s">
        <v>64</v>
      </c>
      <c r="DI285" s="49" t="s">
        <v>298</v>
      </c>
      <c r="DJ285" s="49" t="s">
        <v>394</v>
      </c>
      <c r="DK285" s="49" t="s">
        <v>322</v>
      </c>
      <c r="DL285" s="49" t="s">
        <v>323</v>
      </c>
      <c r="DM285" s="49" t="s">
        <v>303</v>
      </c>
      <c r="DN285" s="49" t="s">
        <v>297</v>
      </c>
      <c r="DO285" s="48"/>
      <c r="DP285" s="49" t="s">
        <v>312</v>
      </c>
      <c r="DQ285" s="48"/>
      <c r="DR285" s="49" t="s">
        <v>312</v>
      </c>
      <c r="DS285" s="49" t="s">
        <v>303</v>
      </c>
      <c r="DT285" s="49" t="s">
        <v>303</v>
      </c>
      <c r="DW285" s="49" t="s">
        <v>303</v>
      </c>
      <c r="EA285" s="49" t="s">
        <v>324</v>
      </c>
      <c r="EB285" s="49" t="s">
        <v>303</v>
      </c>
      <c r="EF285" s="49" t="s">
        <v>1160</v>
      </c>
      <c r="EH285" s="49" t="s">
        <v>310</v>
      </c>
      <c r="EJ285" s="49" t="s">
        <v>303</v>
      </c>
      <c r="EK285" s="49" t="s">
        <v>1229</v>
      </c>
      <c r="EM285" s="49" t="s">
        <v>303</v>
      </c>
      <c r="EN285" s="49" t="s">
        <v>396</v>
      </c>
      <c r="EP285" s="49" t="s">
        <v>298</v>
      </c>
      <c r="EQ285" s="0" t="n">
        <v>1</v>
      </c>
      <c r="ER285" s="49" t="s">
        <v>328</v>
      </c>
      <c r="ES285" s="49" t="s">
        <v>329</v>
      </c>
      <c r="ET285" s="49" t="s">
        <v>310</v>
      </c>
      <c r="EU285" s="49" t="s">
        <v>310</v>
      </c>
      <c r="EV285" s="49" t="s">
        <v>310</v>
      </c>
      <c r="EX285" s="49" t="s">
        <v>303</v>
      </c>
      <c r="EY285" s="49" t="s">
        <v>303</v>
      </c>
      <c r="FC285" s="49" t="s">
        <v>330</v>
      </c>
      <c r="FD285" s="49" t="s">
        <v>310</v>
      </c>
      <c r="FE285" s="49" t="s">
        <v>310</v>
      </c>
      <c r="FF285" s="49" t="s">
        <v>64</v>
      </c>
      <c r="FG285" s="49" t="s">
        <v>397</v>
      </c>
      <c r="FH285" s="49" t="s">
        <v>310</v>
      </c>
      <c r="FI285" s="49" t="s">
        <v>332</v>
      </c>
      <c r="FJ285" s="49" t="s">
        <v>303</v>
      </c>
      <c r="FL285" s="49" t="s">
        <v>325</v>
      </c>
      <c r="FM285" s="49" t="s">
        <v>1135</v>
      </c>
      <c r="FP285" s="49" t="s">
        <v>303</v>
      </c>
      <c r="FR285" s="49" t="s">
        <v>303</v>
      </c>
      <c r="FT285" s="49" t="s">
        <v>325</v>
      </c>
      <c r="FU285" s="49" t="s">
        <v>325</v>
      </c>
      <c r="FW285" s="49" t="s">
        <v>333</v>
      </c>
    </row>
    <row r="286" customFormat="false" ht="15" hidden="false" customHeight="false" outlineLevel="0" collapsed="false">
      <c r="A286" s="0" t="n">
        <v>100877369</v>
      </c>
      <c r="B286" s="0" t="s">
        <v>295</v>
      </c>
      <c r="C286" s="0" t="s">
        <v>64</v>
      </c>
      <c r="D286" s="0" t="s">
        <v>65</v>
      </c>
      <c r="E286" s="0" t="s">
        <v>297</v>
      </c>
      <c r="G286" s="0" t="n">
        <v>1</v>
      </c>
      <c r="H286" s="0" t="s">
        <v>298</v>
      </c>
      <c r="I286" s="48" t="n">
        <v>46278</v>
      </c>
      <c r="J286" s="0" t="n">
        <v>1</v>
      </c>
      <c r="K286" s="49" t="s">
        <v>1135</v>
      </c>
      <c r="L286" s="49" t="s">
        <v>1035</v>
      </c>
      <c r="M286" s="48" t="n">
        <v>46288</v>
      </c>
      <c r="N286" s="49" t="s">
        <v>1149</v>
      </c>
      <c r="O286" s="49" t="s">
        <v>1045</v>
      </c>
      <c r="P286" s="48"/>
      <c r="Q286" s="48" t="n">
        <v>46278</v>
      </c>
      <c r="R286" s="48" t="n">
        <v>46284</v>
      </c>
      <c r="T286" s="49" t="s">
        <v>302</v>
      </c>
      <c r="U286" s="49" t="s">
        <v>303</v>
      </c>
      <c r="Y286" s="49" t="s">
        <v>1230</v>
      </c>
      <c r="AD286" s="49" t="s">
        <v>305</v>
      </c>
      <c r="AE286" s="48" t="n">
        <v>46253</v>
      </c>
      <c r="AF286" s="49" t="s">
        <v>306</v>
      </c>
      <c r="AG286" s="49" t="s">
        <v>307</v>
      </c>
      <c r="AK286" s="49" t="s">
        <v>1047</v>
      </c>
      <c r="AL286" s="49" t="s">
        <v>297</v>
      </c>
      <c r="AO286" s="49" t="s">
        <v>303</v>
      </c>
      <c r="AP286" s="48"/>
      <c r="AR286" s="49" t="s">
        <v>303</v>
      </c>
      <c r="AS286" s="49" t="s">
        <v>306</v>
      </c>
      <c r="AT286" s="49" t="s">
        <v>1231</v>
      </c>
      <c r="AV286" s="49" t="s">
        <v>309</v>
      </c>
      <c r="AW286" s="49" t="s">
        <v>310</v>
      </c>
      <c r="AX286" s="49" t="s">
        <v>311</v>
      </c>
      <c r="AY286" s="48"/>
      <c r="AZ286" s="48" t="n">
        <v>46275</v>
      </c>
      <c r="BC286" s="49" t="s">
        <v>303</v>
      </c>
      <c r="BD286" s="48" t="n">
        <v>46290</v>
      </c>
      <c r="BE286" s="49" t="s">
        <v>1232</v>
      </c>
      <c r="BF286" s="49" t="s">
        <v>303</v>
      </c>
      <c r="BG286" s="48"/>
      <c r="BI286" s="48" t="n">
        <v>46290</v>
      </c>
      <c r="BJ286" s="48" t="n">
        <v>46282</v>
      </c>
      <c r="BK286" s="49" t="s">
        <v>313</v>
      </c>
      <c r="BL286" s="49" t="s">
        <v>313</v>
      </c>
      <c r="BM286" s="49" t="s">
        <v>310</v>
      </c>
      <c r="BN286" s="48"/>
      <c r="BO286" s="48"/>
      <c r="BP286" s="48"/>
      <c r="BQ286" s="49" t="s">
        <v>1136</v>
      </c>
      <c r="BR286" s="48" t="n">
        <v>46282</v>
      </c>
      <c r="BS286" s="49" t="s">
        <v>1233</v>
      </c>
      <c r="BT286" s="49" t="s">
        <v>312</v>
      </c>
      <c r="BU286" s="49" t="s">
        <v>313</v>
      </c>
      <c r="BV286" s="49" t="s">
        <v>303</v>
      </c>
      <c r="BX286" s="0" t="n">
        <v>1</v>
      </c>
      <c r="CC286" s="49" t="s">
        <v>315</v>
      </c>
      <c r="CD286" s="49" t="s">
        <v>303</v>
      </c>
      <c r="CF286" s="49" t="s">
        <v>303</v>
      </c>
      <c r="CG286" s="49" t="s">
        <v>316</v>
      </c>
      <c r="CH286" s="49" t="s">
        <v>317</v>
      </c>
      <c r="CI286" s="49" t="s">
        <v>318</v>
      </c>
      <c r="CM286" s="49" t="s">
        <v>65</v>
      </c>
      <c r="CV286" s="49" t="s">
        <v>303</v>
      </c>
      <c r="DB286" s="49" t="s">
        <v>319</v>
      </c>
      <c r="DD286" s="48" t="n">
        <v>46253</v>
      </c>
      <c r="DF286" s="49" t="s">
        <v>310</v>
      </c>
      <c r="DG286" s="49" t="s">
        <v>320</v>
      </c>
      <c r="DH286" s="49" t="s">
        <v>64</v>
      </c>
      <c r="DI286" s="49" t="s">
        <v>298</v>
      </c>
      <c r="DJ286" s="49" t="s">
        <v>394</v>
      </c>
      <c r="DK286" s="49" t="s">
        <v>322</v>
      </c>
      <c r="DL286" s="49" t="s">
        <v>323</v>
      </c>
      <c r="DM286" s="49" t="s">
        <v>303</v>
      </c>
      <c r="DN286" s="49" t="s">
        <v>297</v>
      </c>
      <c r="DO286" s="48"/>
      <c r="DP286" s="49" t="s">
        <v>312</v>
      </c>
      <c r="DQ286" s="48"/>
      <c r="DR286" s="49" t="s">
        <v>312</v>
      </c>
      <c r="DS286" s="49" t="s">
        <v>303</v>
      </c>
      <c r="DT286" s="49" t="s">
        <v>303</v>
      </c>
      <c r="DW286" s="49" t="s">
        <v>303</v>
      </c>
      <c r="EA286" s="49" t="s">
        <v>324</v>
      </c>
      <c r="EB286" s="49" t="s">
        <v>303</v>
      </c>
      <c r="EF286" s="49" t="s">
        <v>1160</v>
      </c>
      <c r="EH286" s="49" t="s">
        <v>310</v>
      </c>
      <c r="EJ286" s="49" t="s">
        <v>303</v>
      </c>
      <c r="EK286" s="49" t="s">
        <v>1234</v>
      </c>
      <c r="EM286" s="49" t="s">
        <v>303</v>
      </c>
      <c r="EN286" s="49" t="s">
        <v>396</v>
      </c>
      <c r="EP286" s="49" t="s">
        <v>298</v>
      </c>
      <c r="EQ286" s="0" t="n">
        <v>1</v>
      </c>
      <c r="ER286" s="49" t="s">
        <v>328</v>
      </c>
      <c r="ES286" s="49" t="s">
        <v>329</v>
      </c>
      <c r="ET286" s="49" t="s">
        <v>310</v>
      </c>
      <c r="EU286" s="49" t="s">
        <v>310</v>
      </c>
      <c r="EV286" s="49" t="s">
        <v>310</v>
      </c>
      <c r="EX286" s="49" t="s">
        <v>303</v>
      </c>
      <c r="EY286" s="49" t="s">
        <v>303</v>
      </c>
      <c r="FC286" s="49" t="s">
        <v>330</v>
      </c>
      <c r="FD286" s="49" t="s">
        <v>310</v>
      </c>
      <c r="FE286" s="49" t="s">
        <v>310</v>
      </c>
      <c r="FF286" s="49" t="s">
        <v>64</v>
      </c>
      <c r="FG286" s="49" t="s">
        <v>397</v>
      </c>
      <c r="FH286" s="49" t="s">
        <v>310</v>
      </c>
      <c r="FI286" s="49" t="s">
        <v>332</v>
      </c>
      <c r="FJ286" s="49" t="s">
        <v>303</v>
      </c>
      <c r="FL286" s="49" t="s">
        <v>325</v>
      </c>
      <c r="FM286" s="49" t="s">
        <v>1135</v>
      </c>
      <c r="FP286" s="49" t="s">
        <v>303</v>
      </c>
      <c r="FR286" s="49" t="s">
        <v>303</v>
      </c>
      <c r="FT286" s="49" t="s">
        <v>325</v>
      </c>
      <c r="FU286" s="49" t="s">
        <v>325</v>
      </c>
      <c r="FW286" s="49" t="s">
        <v>333</v>
      </c>
    </row>
    <row r="287" customFormat="false" ht="15" hidden="false" customHeight="false" outlineLevel="0" collapsed="false">
      <c r="A287" s="0" t="n">
        <v>100877370</v>
      </c>
      <c r="B287" s="0" t="s">
        <v>295</v>
      </c>
      <c r="C287" s="0" t="s">
        <v>64</v>
      </c>
      <c r="D287" s="0" t="s">
        <v>65</v>
      </c>
      <c r="E287" s="0" t="s">
        <v>297</v>
      </c>
      <c r="G287" s="0" t="n">
        <v>1</v>
      </c>
      <c r="H287" s="0" t="s">
        <v>298</v>
      </c>
      <c r="I287" s="48" t="n">
        <v>46278</v>
      </c>
      <c r="J287" s="0" t="n">
        <v>1</v>
      </c>
      <c r="K287" s="49" t="s">
        <v>1135</v>
      </c>
      <c r="L287" s="49" t="s">
        <v>1035</v>
      </c>
      <c r="M287" s="48" t="n">
        <v>46288</v>
      </c>
      <c r="N287" s="49" t="s">
        <v>1149</v>
      </c>
      <c r="O287" s="49" t="s">
        <v>1045</v>
      </c>
      <c r="P287" s="48"/>
      <c r="Q287" s="48" t="n">
        <v>46278</v>
      </c>
      <c r="R287" s="48" t="n">
        <v>46284</v>
      </c>
      <c r="T287" s="49" t="s">
        <v>302</v>
      </c>
      <c r="U287" s="49" t="s">
        <v>303</v>
      </c>
      <c r="Y287" s="49" t="s">
        <v>1235</v>
      </c>
      <c r="AD287" s="49" t="s">
        <v>305</v>
      </c>
      <c r="AE287" s="48" t="n">
        <v>46253</v>
      </c>
      <c r="AF287" s="49" t="s">
        <v>306</v>
      </c>
      <c r="AG287" s="49" t="s">
        <v>307</v>
      </c>
      <c r="AK287" s="49" t="s">
        <v>1047</v>
      </c>
      <c r="AL287" s="49" t="s">
        <v>297</v>
      </c>
      <c r="AO287" s="49" t="s">
        <v>303</v>
      </c>
      <c r="AP287" s="48"/>
      <c r="AR287" s="49" t="s">
        <v>303</v>
      </c>
      <c r="AS287" s="49" t="s">
        <v>306</v>
      </c>
      <c r="AT287" s="49" t="s">
        <v>1236</v>
      </c>
      <c r="AV287" s="49" t="s">
        <v>309</v>
      </c>
      <c r="AW287" s="49" t="s">
        <v>310</v>
      </c>
      <c r="AX287" s="49" t="s">
        <v>311</v>
      </c>
      <c r="AY287" s="48"/>
      <c r="AZ287" s="48" t="n">
        <v>46275</v>
      </c>
      <c r="BC287" s="49" t="s">
        <v>303</v>
      </c>
      <c r="BD287" s="48" t="n">
        <v>46290</v>
      </c>
      <c r="BE287" s="49" t="s">
        <v>1237</v>
      </c>
      <c r="BF287" s="49" t="s">
        <v>303</v>
      </c>
      <c r="BG287" s="48"/>
      <c r="BI287" s="48" t="n">
        <v>46290</v>
      </c>
      <c r="BJ287" s="48" t="n">
        <v>46282</v>
      </c>
      <c r="BK287" s="49" t="s">
        <v>313</v>
      </c>
      <c r="BL287" s="49" t="s">
        <v>313</v>
      </c>
      <c r="BM287" s="49" t="s">
        <v>310</v>
      </c>
      <c r="BN287" s="48"/>
      <c r="BO287" s="48"/>
      <c r="BP287" s="48"/>
      <c r="BQ287" s="49" t="s">
        <v>1136</v>
      </c>
      <c r="BR287" s="48" t="n">
        <v>46282</v>
      </c>
      <c r="BS287" s="49" t="s">
        <v>1238</v>
      </c>
      <c r="BT287" s="49" t="s">
        <v>312</v>
      </c>
      <c r="BU287" s="49" t="s">
        <v>313</v>
      </c>
      <c r="BV287" s="49" t="s">
        <v>303</v>
      </c>
      <c r="BX287" s="0" t="n">
        <v>1</v>
      </c>
      <c r="CC287" s="49" t="s">
        <v>315</v>
      </c>
      <c r="CD287" s="49" t="s">
        <v>303</v>
      </c>
      <c r="CF287" s="49" t="s">
        <v>303</v>
      </c>
      <c r="CG287" s="49" t="s">
        <v>316</v>
      </c>
      <c r="CH287" s="49" t="s">
        <v>317</v>
      </c>
      <c r="CI287" s="49" t="s">
        <v>318</v>
      </c>
      <c r="CM287" s="49" t="s">
        <v>65</v>
      </c>
      <c r="CV287" s="49" t="s">
        <v>303</v>
      </c>
      <c r="DB287" s="49" t="s">
        <v>319</v>
      </c>
      <c r="DD287" s="48" t="n">
        <v>46253</v>
      </c>
      <c r="DF287" s="49" t="s">
        <v>310</v>
      </c>
      <c r="DG287" s="49" t="s">
        <v>320</v>
      </c>
      <c r="DH287" s="49" t="s">
        <v>64</v>
      </c>
      <c r="DI287" s="49" t="s">
        <v>298</v>
      </c>
      <c r="DJ287" s="49" t="s">
        <v>394</v>
      </c>
      <c r="DK287" s="49" t="s">
        <v>322</v>
      </c>
      <c r="DL287" s="49" t="s">
        <v>323</v>
      </c>
      <c r="DM287" s="49" t="s">
        <v>303</v>
      </c>
      <c r="DN287" s="49" t="s">
        <v>297</v>
      </c>
      <c r="DO287" s="48"/>
      <c r="DP287" s="49" t="s">
        <v>312</v>
      </c>
      <c r="DQ287" s="48"/>
      <c r="DR287" s="49" t="s">
        <v>312</v>
      </c>
      <c r="DS287" s="49" t="s">
        <v>303</v>
      </c>
      <c r="DT287" s="49" t="s">
        <v>303</v>
      </c>
      <c r="DW287" s="49" t="s">
        <v>303</v>
      </c>
      <c r="EA287" s="49" t="s">
        <v>324</v>
      </c>
      <c r="EB287" s="49" t="s">
        <v>303</v>
      </c>
      <c r="EF287" s="49" t="s">
        <v>1160</v>
      </c>
      <c r="EH287" s="49" t="s">
        <v>310</v>
      </c>
      <c r="EJ287" s="49" t="s">
        <v>303</v>
      </c>
      <c r="EK287" s="49" t="s">
        <v>1239</v>
      </c>
      <c r="EM287" s="49" t="s">
        <v>303</v>
      </c>
      <c r="EN287" s="49" t="s">
        <v>396</v>
      </c>
      <c r="EP287" s="49" t="s">
        <v>298</v>
      </c>
      <c r="EQ287" s="0" t="n">
        <v>1</v>
      </c>
      <c r="ER287" s="49" t="s">
        <v>328</v>
      </c>
      <c r="ES287" s="49" t="s">
        <v>329</v>
      </c>
      <c r="ET287" s="49" t="s">
        <v>310</v>
      </c>
      <c r="EU287" s="49" t="s">
        <v>310</v>
      </c>
      <c r="EV287" s="49" t="s">
        <v>310</v>
      </c>
      <c r="EX287" s="49" t="s">
        <v>303</v>
      </c>
      <c r="EY287" s="49" t="s">
        <v>303</v>
      </c>
      <c r="FC287" s="49" t="s">
        <v>330</v>
      </c>
      <c r="FD287" s="49" t="s">
        <v>310</v>
      </c>
      <c r="FE287" s="49" t="s">
        <v>310</v>
      </c>
      <c r="FF287" s="49" t="s">
        <v>64</v>
      </c>
      <c r="FG287" s="49" t="s">
        <v>397</v>
      </c>
      <c r="FH287" s="49" t="s">
        <v>310</v>
      </c>
      <c r="FI287" s="49" t="s">
        <v>332</v>
      </c>
      <c r="FJ287" s="49" t="s">
        <v>303</v>
      </c>
      <c r="FL287" s="49" t="s">
        <v>325</v>
      </c>
      <c r="FM287" s="49" t="s">
        <v>1135</v>
      </c>
      <c r="FP287" s="49" t="s">
        <v>303</v>
      </c>
      <c r="FR287" s="49" t="s">
        <v>303</v>
      </c>
      <c r="FT287" s="49" t="s">
        <v>325</v>
      </c>
      <c r="FU287" s="49" t="s">
        <v>325</v>
      </c>
      <c r="FW287" s="49" t="s">
        <v>333</v>
      </c>
    </row>
    <row r="288" customFormat="false" ht="15" hidden="false" customHeight="false" outlineLevel="0" collapsed="false">
      <c r="A288" s="0" t="n">
        <v>100877371</v>
      </c>
      <c r="B288" s="0" t="s">
        <v>295</v>
      </c>
      <c r="C288" s="0" t="s">
        <v>64</v>
      </c>
      <c r="D288" s="0" t="s">
        <v>65</v>
      </c>
      <c r="E288" s="0" t="s">
        <v>297</v>
      </c>
      <c r="G288" s="0" t="n">
        <v>1</v>
      </c>
      <c r="H288" s="0" t="s">
        <v>298</v>
      </c>
      <c r="I288" s="48" t="n">
        <v>46278</v>
      </c>
      <c r="J288" s="0" t="n">
        <v>1</v>
      </c>
      <c r="K288" s="49" t="s">
        <v>1135</v>
      </c>
      <c r="L288" s="49" t="s">
        <v>1035</v>
      </c>
      <c r="M288" s="48" t="n">
        <v>46288</v>
      </c>
      <c r="N288" s="49" t="s">
        <v>1149</v>
      </c>
      <c r="O288" s="49" t="s">
        <v>1045</v>
      </c>
      <c r="P288" s="48"/>
      <c r="Q288" s="48" t="n">
        <v>46278</v>
      </c>
      <c r="R288" s="48" t="n">
        <v>46284</v>
      </c>
      <c r="T288" s="49" t="s">
        <v>302</v>
      </c>
      <c r="U288" s="49" t="s">
        <v>303</v>
      </c>
      <c r="Y288" s="49" t="s">
        <v>1240</v>
      </c>
      <c r="AD288" s="49" t="s">
        <v>305</v>
      </c>
      <c r="AE288" s="48" t="n">
        <v>46253</v>
      </c>
      <c r="AF288" s="49" t="s">
        <v>306</v>
      </c>
      <c r="AG288" s="49" t="s">
        <v>307</v>
      </c>
      <c r="AK288" s="49" t="s">
        <v>1047</v>
      </c>
      <c r="AL288" s="49" t="s">
        <v>297</v>
      </c>
      <c r="AO288" s="49" t="s">
        <v>303</v>
      </c>
      <c r="AP288" s="48"/>
      <c r="AR288" s="49" t="s">
        <v>303</v>
      </c>
      <c r="AS288" s="49" t="s">
        <v>306</v>
      </c>
      <c r="AT288" s="49" t="s">
        <v>1241</v>
      </c>
      <c r="AV288" s="49" t="s">
        <v>309</v>
      </c>
      <c r="AW288" s="49" t="s">
        <v>310</v>
      </c>
      <c r="AX288" s="49" t="s">
        <v>311</v>
      </c>
      <c r="AY288" s="48"/>
      <c r="AZ288" s="48" t="n">
        <v>46275</v>
      </c>
      <c r="BC288" s="49" t="s">
        <v>303</v>
      </c>
      <c r="BD288" s="48" t="n">
        <v>46290</v>
      </c>
      <c r="BE288" s="49" t="s">
        <v>1242</v>
      </c>
      <c r="BF288" s="49" t="s">
        <v>303</v>
      </c>
      <c r="BG288" s="48"/>
      <c r="BI288" s="48" t="n">
        <v>46290</v>
      </c>
      <c r="BJ288" s="48" t="n">
        <v>46282</v>
      </c>
      <c r="BK288" s="49" t="s">
        <v>313</v>
      </c>
      <c r="BL288" s="49" t="s">
        <v>313</v>
      </c>
      <c r="BM288" s="49" t="s">
        <v>310</v>
      </c>
      <c r="BN288" s="48"/>
      <c r="BO288" s="48"/>
      <c r="BP288" s="48"/>
      <c r="BQ288" s="49" t="s">
        <v>1136</v>
      </c>
      <c r="BR288" s="48" t="n">
        <v>46282</v>
      </c>
      <c r="BS288" s="49" t="s">
        <v>1243</v>
      </c>
      <c r="BT288" s="49" t="s">
        <v>312</v>
      </c>
      <c r="BU288" s="49" t="s">
        <v>313</v>
      </c>
      <c r="BV288" s="49" t="s">
        <v>303</v>
      </c>
      <c r="BX288" s="0" t="n">
        <v>1</v>
      </c>
      <c r="CC288" s="49" t="s">
        <v>315</v>
      </c>
      <c r="CD288" s="49" t="s">
        <v>303</v>
      </c>
      <c r="CF288" s="49" t="s">
        <v>303</v>
      </c>
      <c r="CG288" s="49" t="s">
        <v>316</v>
      </c>
      <c r="CH288" s="49" t="s">
        <v>317</v>
      </c>
      <c r="CI288" s="49" t="s">
        <v>318</v>
      </c>
      <c r="CM288" s="49" t="s">
        <v>65</v>
      </c>
      <c r="CV288" s="49" t="s">
        <v>303</v>
      </c>
      <c r="DB288" s="49" t="s">
        <v>319</v>
      </c>
      <c r="DD288" s="48" t="n">
        <v>46253</v>
      </c>
      <c r="DF288" s="49" t="s">
        <v>310</v>
      </c>
      <c r="DG288" s="49" t="s">
        <v>320</v>
      </c>
      <c r="DH288" s="49" t="s">
        <v>64</v>
      </c>
      <c r="DI288" s="49" t="s">
        <v>298</v>
      </c>
      <c r="DJ288" s="49" t="s">
        <v>394</v>
      </c>
      <c r="DK288" s="49" t="s">
        <v>322</v>
      </c>
      <c r="DL288" s="49" t="s">
        <v>323</v>
      </c>
      <c r="DM288" s="49" t="s">
        <v>303</v>
      </c>
      <c r="DN288" s="49" t="s">
        <v>297</v>
      </c>
      <c r="DO288" s="48"/>
      <c r="DP288" s="49" t="s">
        <v>312</v>
      </c>
      <c r="DQ288" s="48"/>
      <c r="DR288" s="49" t="s">
        <v>312</v>
      </c>
      <c r="DS288" s="49" t="s">
        <v>303</v>
      </c>
      <c r="DT288" s="49" t="s">
        <v>303</v>
      </c>
      <c r="DW288" s="49" t="s">
        <v>303</v>
      </c>
      <c r="EA288" s="49" t="s">
        <v>324</v>
      </c>
      <c r="EB288" s="49" t="s">
        <v>303</v>
      </c>
      <c r="EF288" s="49" t="s">
        <v>1160</v>
      </c>
      <c r="EH288" s="49" t="s">
        <v>310</v>
      </c>
      <c r="EJ288" s="49" t="s">
        <v>303</v>
      </c>
      <c r="EK288" s="49" t="s">
        <v>1244</v>
      </c>
      <c r="EM288" s="49" t="s">
        <v>303</v>
      </c>
      <c r="EN288" s="49" t="s">
        <v>396</v>
      </c>
      <c r="EP288" s="49" t="s">
        <v>298</v>
      </c>
      <c r="EQ288" s="0" t="n">
        <v>1</v>
      </c>
      <c r="ER288" s="49" t="s">
        <v>328</v>
      </c>
      <c r="ES288" s="49" t="s">
        <v>329</v>
      </c>
      <c r="ET288" s="49" t="s">
        <v>310</v>
      </c>
      <c r="EU288" s="49" t="s">
        <v>310</v>
      </c>
      <c r="EV288" s="49" t="s">
        <v>310</v>
      </c>
      <c r="EX288" s="49" t="s">
        <v>303</v>
      </c>
      <c r="EY288" s="49" t="s">
        <v>303</v>
      </c>
      <c r="FC288" s="49" t="s">
        <v>330</v>
      </c>
      <c r="FD288" s="49" t="s">
        <v>310</v>
      </c>
      <c r="FE288" s="49" t="s">
        <v>310</v>
      </c>
      <c r="FF288" s="49" t="s">
        <v>64</v>
      </c>
      <c r="FG288" s="49" t="s">
        <v>397</v>
      </c>
      <c r="FH288" s="49" t="s">
        <v>310</v>
      </c>
      <c r="FI288" s="49" t="s">
        <v>332</v>
      </c>
      <c r="FJ288" s="49" t="s">
        <v>303</v>
      </c>
      <c r="FL288" s="49" t="s">
        <v>325</v>
      </c>
      <c r="FM288" s="49" t="s">
        <v>1135</v>
      </c>
      <c r="FP288" s="49" t="s">
        <v>303</v>
      </c>
      <c r="FR288" s="49" t="s">
        <v>303</v>
      </c>
      <c r="FT288" s="49" t="s">
        <v>325</v>
      </c>
      <c r="FU288" s="49" t="s">
        <v>325</v>
      </c>
      <c r="FW288" s="49" t="s">
        <v>333</v>
      </c>
    </row>
    <row r="289" customFormat="false" ht="15" hidden="false" customHeight="false" outlineLevel="0" collapsed="false">
      <c r="A289" s="0" t="n">
        <v>100877372</v>
      </c>
      <c r="B289" s="0" t="s">
        <v>295</v>
      </c>
      <c r="C289" s="0" t="s">
        <v>64</v>
      </c>
      <c r="D289" s="0" t="s">
        <v>65</v>
      </c>
      <c r="E289" s="0" t="s">
        <v>297</v>
      </c>
      <c r="G289" s="0" t="n">
        <v>1</v>
      </c>
      <c r="H289" s="0" t="s">
        <v>298</v>
      </c>
      <c r="I289" s="48" t="n">
        <v>46278</v>
      </c>
      <c r="J289" s="0" t="n">
        <v>1</v>
      </c>
      <c r="K289" s="49" t="s">
        <v>1135</v>
      </c>
      <c r="L289" s="49" t="s">
        <v>1035</v>
      </c>
      <c r="M289" s="48" t="n">
        <v>46288</v>
      </c>
      <c r="N289" s="49" t="s">
        <v>1149</v>
      </c>
      <c r="O289" s="49" t="s">
        <v>1045</v>
      </c>
      <c r="P289" s="48"/>
      <c r="Q289" s="48" t="n">
        <v>46278</v>
      </c>
      <c r="R289" s="48" t="n">
        <v>46284</v>
      </c>
      <c r="T289" s="49" t="s">
        <v>302</v>
      </c>
      <c r="U289" s="49" t="s">
        <v>303</v>
      </c>
      <c r="Y289" s="49" t="s">
        <v>1245</v>
      </c>
      <c r="AD289" s="49" t="s">
        <v>305</v>
      </c>
      <c r="AE289" s="48" t="n">
        <v>46253</v>
      </c>
      <c r="AF289" s="49" t="s">
        <v>306</v>
      </c>
      <c r="AG289" s="49" t="s">
        <v>307</v>
      </c>
      <c r="AK289" s="49" t="s">
        <v>1047</v>
      </c>
      <c r="AL289" s="49" t="s">
        <v>297</v>
      </c>
      <c r="AO289" s="49" t="s">
        <v>303</v>
      </c>
      <c r="AP289" s="48"/>
      <c r="AR289" s="49" t="s">
        <v>303</v>
      </c>
      <c r="AS289" s="49" t="s">
        <v>306</v>
      </c>
      <c r="AT289" s="49" t="s">
        <v>1246</v>
      </c>
      <c r="AV289" s="49" t="s">
        <v>309</v>
      </c>
      <c r="AW289" s="49" t="s">
        <v>310</v>
      </c>
      <c r="AX289" s="49" t="s">
        <v>311</v>
      </c>
      <c r="AY289" s="48"/>
      <c r="AZ289" s="48" t="n">
        <v>46275</v>
      </c>
      <c r="BC289" s="49" t="s">
        <v>303</v>
      </c>
      <c r="BD289" s="48" t="n">
        <v>46290</v>
      </c>
      <c r="BE289" s="49" t="s">
        <v>1247</v>
      </c>
      <c r="BF289" s="49" t="s">
        <v>303</v>
      </c>
      <c r="BG289" s="48"/>
      <c r="BI289" s="48" t="n">
        <v>46290</v>
      </c>
      <c r="BJ289" s="48" t="n">
        <v>46282</v>
      </c>
      <c r="BK289" s="49" t="s">
        <v>313</v>
      </c>
      <c r="BL289" s="49" t="s">
        <v>313</v>
      </c>
      <c r="BM289" s="49" t="s">
        <v>310</v>
      </c>
      <c r="BN289" s="48"/>
      <c r="BO289" s="48"/>
      <c r="BP289" s="48"/>
      <c r="BQ289" s="49" t="s">
        <v>1136</v>
      </c>
      <c r="BR289" s="48" t="n">
        <v>46282</v>
      </c>
      <c r="BS289" s="49" t="s">
        <v>1248</v>
      </c>
      <c r="BT289" s="49" t="s">
        <v>312</v>
      </c>
      <c r="BU289" s="49" t="s">
        <v>313</v>
      </c>
      <c r="BV289" s="49" t="s">
        <v>303</v>
      </c>
      <c r="BX289" s="0" t="n">
        <v>1</v>
      </c>
      <c r="CC289" s="49" t="s">
        <v>315</v>
      </c>
      <c r="CD289" s="49" t="s">
        <v>303</v>
      </c>
      <c r="CF289" s="49" t="s">
        <v>303</v>
      </c>
      <c r="CG289" s="49" t="s">
        <v>316</v>
      </c>
      <c r="CH289" s="49" t="s">
        <v>317</v>
      </c>
      <c r="CI289" s="49" t="s">
        <v>318</v>
      </c>
      <c r="CM289" s="49" t="s">
        <v>65</v>
      </c>
      <c r="CV289" s="49" t="s">
        <v>303</v>
      </c>
      <c r="DB289" s="49" t="s">
        <v>319</v>
      </c>
      <c r="DD289" s="48" t="n">
        <v>46253</v>
      </c>
      <c r="DF289" s="49" t="s">
        <v>310</v>
      </c>
      <c r="DG289" s="49" t="s">
        <v>320</v>
      </c>
      <c r="DH289" s="49" t="s">
        <v>64</v>
      </c>
      <c r="DI289" s="49" t="s">
        <v>298</v>
      </c>
      <c r="DJ289" s="49" t="s">
        <v>394</v>
      </c>
      <c r="DK289" s="49" t="s">
        <v>322</v>
      </c>
      <c r="DL289" s="49" t="s">
        <v>323</v>
      </c>
      <c r="DM289" s="49" t="s">
        <v>303</v>
      </c>
      <c r="DN289" s="49" t="s">
        <v>297</v>
      </c>
      <c r="DO289" s="48"/>
      <c r="DP289" s="49" t="s">
        <v>312</v>
      </c>
      <c r="DQ289" s="48"/>
      <c r="DR289" s="49" t="s">
        <v>312</v>
      </c>
      <c r="DS289" s="49" t="s">
        <v>303</v>
      </c>
      <c r="DT289" s="49" t="s">
        <v>303</v>
      </c>
      <c r="DW289" s="49" t="s">
        <v>303</v>
      </c>
      <c r="EA289" s="49" t="s">
        <v>324</v>
      </c>
      <c r="EB289" s="49" t="s">
        <v>303</v>
      </c>
      <c r="EF289" s="49" t="s">
        <v>1160</v>
      </c>
      <c r="EH289" s="49" t="s">
        <v>310</v>
      </c>
      <c r="EJ289" s="49" t="s">
        <v>303</v>
      </c>
      <c r="EK289" s="49" t="s">
        <v>1249</v>
      </c>
      <c r="EM289" s="49" t="s">
        <v>303</v>
      </c>
      <c r="EN289" s="49" t="s">
        <v>396</v>
      </c>
      <c r="EP289" s="49" t="s">
        <v>298</v>
      </c>
      <c r="EQ289" s="0" t="n">
        <v>1</v>
      </c>
      <c r="ER289" s="49" t="s">
        <v>328</v>
      </c>
      <c r="ES289" s="49" t="s">
        <v>329</v>
      </c>
      <c r="ET289" s="49" t="s">
        <v>310</v>
      </c>
      <c r="EU289" s="49" t="s">
        <v>310</v>
      </c>
      <c r="EV289" s="49" t="s">
        <v>310</v>
      </c>
      <c r="EX289" s="49" t="s">
        <v>303</v>
      </c>
      <c r="EY289" s="49" t="s">
        <v>303</v>
      </c>
      <c r="FC289" s="49" t="s">
        <v>330</v>
      </c>
      <c r="FD289" s="49" t="s">
        <v>310</v>
      </c>
      <c r="FE289" s="49" t="s">
        <v>310</v>
      </c>
      <c r="FF289" s="49" t="s">
        <v>64</v>
      </c>
      <c r="FG289" s="49" t="s">
        <v>397</v>
      </c>
      <c r="FH289" s="49" t="s">
        <v>310</v>
      </c>
      <c r="FI289" s="49" t="s">
        <v>332</v>
      </c>
      <c r="FJ289" s="49" t="s">
        <v>303</v>
      </c>
      <c r="FL289" s="49" t="s">
        <v>325</v>
      </c>
      <c r="FM289" s="49" t="s">
        <v>1135</v>
      </c>
      <c r="FP289" s="49" t="s">
        <v>303</v>
      </c>
      <c r="FR289" s="49" t="s">
        <v>303</v>
      </c>
      <c r="FT289" s="49" t="s">
        <v>325</v>
      </c>
      <c r="FU289" s="49" t="s">
        <v>325</v>
      </c>
      <c r="FW289" s="49" t="s">
        <v>333</v>
      </c>
    </row>
    <row r="290" customFormat="false" ht="15" hidden="false" customHeight="false" outlineLevel="0" collapsed="false">
      <c r="A290" s="0" t="n">
        <v>100877373</v>
      </c>
      <c r="B290" s="0" t="s">
        <v>295</v>
      </c>
      <c r="C290" s="0" t="s">
        <v>64</v>
      </c>
      <c r="D290" s="0" t="s">
        <v>65</v>
      </c>
      <c r="E290" s="0" t="s">
        <v>297</v>
      </c>
      <c r="G290" s="0" t="n">
        <v>1</v>
      </c>
      <c r="H290" s="0" t="s">
        <v>298</v>
      </c>
      <c r="I290" s="48" t="n">
        <v>46278</v>
      </c>
      <c r="J290" s="0" t="n">
        <v>1</v>
      </c>
      <c r="K290" s="49" t="s">
        <v>1135</v>
      </c>
      <c r="L290" s="49" t="s">
        <v>1035</v>
      </c>
      <c r="M290" s="48" t="n">
        <v>46288</v>
      </c>
      <c r="N290" s="49" t="s">
        <v>1149</v>
      </c>
      <c r="O290" s="49" t="s">
        <v>1045</v>
      </c>
      <c r="P290" s="48"/>
      <c r="Q290" s="48" t="n">
        <v>46278</v>
      </c>
      <c r="R290" s="48" t="n">
        <v>46284</v>
      </c>
      <c r="T290" s="49" t="s">
        <v>302</v>
      </c>
      <c r="U290" s="49" t="s">
        <v>303</v>
      </c>
      <c r="Y290" s="49" t="s">
        <v>1250</v>
      </c>
      <c r="AD290" s="49" t="s">
        <v>305</v>
      </c>
      <c r="AE290" s="48" t="n">
        <v>46253</v>
      </c>
      <c r="AF290" s="49" t="s">
        <v>306</v>
      </c>
      <c r="AG290" s="49" t="s">
        <v>307</v>
      </c>
      <c r="AK290" s="49" t="s">
        <v>1047</v>
      </c>
      <c r="AL290" s="49" t="s">
        <v>297</v>
      </c>
      <c r="AO290" s="49" t="s">
        <v>303</v>
      </c>
      <c r="AP290" s="48"/>
      <c r="AR290" s="49" t="s">
        <v>303</v>
      </c>
      <c r="AS290" s="49" t="s">
        <v>306</v>
      </c>
      <c r="AT290" s="49" t="s">
        <v>1251</v>
      </c>
      <c r="AV290" s="49" t="s">
        <v>309</v>
      </c>
      <c r="AW290" s="49" t="s">
        <v>310</v>
      </c>
      <c r="AX290" s="49" t="s">
        <v>311</v>
      </c>
      <c r="AY290" s="48"/>
      <c r="AZ290" s="48" t="n">
        <v>46275</v>
      </c>
      <c r="BC290" s="49" t="s">
        <v>303</v>
      </c>
      <c r="BD290" s="48" t="n">
        <v>46290</v>
      </c>
      <c r="BE290" s="49" t="s">
        <v>1252</v>
      </c>
      <c r="BF290" s="49" t="s">
        <v>303</v>
      </c>
      <c r="BG290" s="48"/>
      <c r="BI290" s="48" t="n">
        <v>46290</v>
      </c>
      <c r="BJ290" s="48" t="n">
        <v>46282</v>
      </c>
      <c r="BK290" s="49" t="s">
        <v>313</v>
      </c>
      <c r="BL290" s="49" t="s">
        <v>313</v>
      </c>
      <c r="BM290" s="49" t="s">
        <v>310</v>
      </c>
      <c r="BN290" s="48"/>
      <c r="BO290" s="48"/>
      <c r="BP290" s="48"/>
      <c r="BQ290" s="49" t="s">
        <v>1136</v>
      </c>
      <c r="BR290" s="48" t="n">
        <v>46282</v>
      </c>
      <c r="BS290" s="49" t="s">
        <v>1253</v>
      </c>
      <c r="BT290" s="49" t="s">
        <v>312</v>
      </c>
      <c r="BU290" s="49" t="s">
        <v>313</v>
      </c>
      <c r="BV290" s="49" t="s">
        <v>303</v>
      </c>
      <c r="BX290" s="0" t="n">
        <v>1</v>
      </c>
      <c r="CC290" s="49" t="s">
        <v>315</v>
      </c>
      <c r="CD290" s="49" t="s">
        <v>303</v>
      </c>
      <c r="CF290" s="49" t="s">
        <v>303</v>
      </c>
      <c r="CG290" s="49" t="s">
        <v>316</v>
      </c>
      <c r="CH290" s="49" t="s">
        <v>317</v>
      </c>
      <c r="CI290" s="49" t="s">
        <v>318</v>
      </c>
      <c r="CM290" s="49" t="s">
        <v>65</v>
      </c>
      <c r="CV290" s="49" t="s">
        <v>303</v>
      </c>
      <c r="DB290" s="49" t="s">
        <v>319</v>
      </c>
      <c r="DD290" s="48" t="n">
        <v>46253</v>
      </c>
      <c r="DF290" s="49" t="s">
        <v>310</v>
      </c>
      <c r="DG290" s="49" t="s">
        <v>320</v>
      </c>
      <c r="DH290" s="49" t="s">
        <v>64</v>
      </c>
      <c r="DI290" s="49" t="s">
        <v>298</v>
      </c>
      <c r="DJ290" s="49" t="s">
        <v>394</v>
      </c>
      <c r="DK290" s="49" t="s">
        <v>322</v>
      </c>
      <c r="DL290" s="49" t="s">
        <v>323</v>
      </c>
      <c r="DM290" s="49" t="s">
        <v>303</v>
      </c>
      <c r="DN290" s="49" t="s">
        <v>297</v>
      </c>
      <c r="DO290" s="48"/>
      <c r="DP290" s="49" t="s">
        <v>312</v>
      </c>
      <c r="DQ290" s="48"/>
      <c r="DR290" s="49" t="s">
        <v>312</v>
      </c>
      <c r="DS290" s="49" t="s">
        <v>303</v>
      </c>
      <c r="DT290" s="49" t="s">
        <v>303</v>
      </c>
      <c r="DW290" s="49" t="s">
        <v>303</v>
      </c>
      <c r="EA290" s="49" t="s">
        <v>324</v>
      </c>
      <c r="EB290" s="49" t="s">
        <v>303</v>
      </c>
      <c r="EF290" s="49" t="s">
        <v>1160</v>
      </c>
      <c r="EH290" s="49" t="s">
        <v>310</v>
      </c>
      <c r="EJ290" s="49" t="s">
        <v>303</v>
      </c>
      <c r="EK290" s="49" t="s">
        <v>1254</v>
      </c>
      <c r="EM290" s="49" t="s">
        <v>303</v>
      </c>
      <c r="EN290" s="49" t="s">
        <v>396</v>
      </c>
      <c r="EP290" s="49" t="s">
        <v>298</v>
      </c>
      <c r="EQ290" s="0" t="n">
        <v>1</v>
      </c>
      <c r="ER290" s="49" t="s">
        <v>328</v>
      </c>
      <c r="ES290" s="49" t="s">
        <v>329</v>
      </c>
      <c r="ET290" s="49" t="s">
        <v>310</v>
      </c>
      <c r="EU290" s="49" t="s">
        <v>310</v>
      </c>
      <c r="EV290" s="49" t="s">
        <v>310</v>
      </c>
      <c r="EX290" s="49" t="s">
        <v>303</v>
      </c>
      <c r="EY290" s="49" t="s">
        <v>303</v>
      </c>
      <c r="FC290" s="49" t="s">
        <v>330</v>
      </c>
      <c r="FD290" s="49" t="s">
        <v>310</v>
      </c>
      <c r="FE290" s="49" t="s">
        <v>310</v>
      </c>
      <c r="FF290" s="49" t="s">
        <v>64</v>
      </c>
      <c r="FG290" s="49" t="s">
        <v>397</v>
      </c>
      <c r="FH290" s="49" t="s">
        <v>310</v>
      </c>
      <c r="FI290" s="49" t="s">
        <v>332</v>
      </c>
      <c r="FJ290" s="49" t="s">
        <v>303</v>
      </c>
      <c r="FL290" s="49" t="s">
        <v>325</v>
      </c>
      <c r="FM290" s="49" t="s">
        <v>1135</v>
      </c>
      <c r="FP290" s="49" t="s">
        <v>303</v>
      </c>
      <c r="FR290" s="49" t="s">
        <v>303</v>
      </c>
      <c r="FT290" s="49" t="s">
        <v>325</v>
      </c>
      <c r="FU290" s="49" t="s">
        <v>325</v>
      </c>
      <c r="FW290" s="49" t="s">
        <v>333</v>
      </c>
    </row>
    <row r="291" customFormat="false" ht="15" hidden="false" customHeight="false" outlineLevel="0" collapsed="false">
      <c r="A291" s="0" t="n">
        <v>100877374</v>
      </c>
      <c r="B291" s="0" t="s">
        <v>295</v>
      </c>
      <c r="C291" s="0" t="s">
        <v>64</v>
      </c>
      <c r="D291" s="0" t="s">
        <v>65</v>
      </c>
      <c r="E291" s="0" t="s">
        <v>297</v>
      </c>
      <c r="G291" s="0" t="n">
        <v>1</v>
      </c>
      <c r="H291" s="0" t="s">
        <v>298</v>
      </c>
      <c r="I291" s="48" t="n">
        <v>46278</v>
      </c>
      <c r="J291" s="0" t="n">
        <v>1</v>
      </c>
      <c r="K291" s="49" t="s">
        <v>1135</v>
      </c>
      <c r="L291" s="49" t="s">
        <v>1035</v>
      </c>
      <c r="M291" s="48"/>
      <c r="O291" s="49" t="s">
        <v>1045</v>
      </c>
      <c r="P291" s="48"/>
      <c r="Q291" s="48" t="n">
        <v>46278</v>
      </c>
      <c r="R291" s="48" t="n">
        <v>46284</v>
      </c>
      <c r="T291" s="49" t="s">
        <v>302</v>
      </c>
      <c r="U291" s="49" t="s">
        <v>303</v>
      </c>
      <c r="Y291" s="49" t="s">
        <v>312</v>
      </c>
      <c r="AD291" s="49" t="s">
        <v>305</v>
      </c>
      <c r="AE291" s="48" t="n">
        <v>46253</v>
      </c>
      <c r="AF291" s="49" t="s">
        <v>306</v>
      </c>
      <c r="AG291" s="49" t="s">
        <v>307</v>
      </c>
      <c r="AK291" s="49" t="s">
        <v>1047</v>
      </c>
      <c r="AL291" s="49" t="s">
        <v>297</v>
      </c>
      <c r="AO291" s="49" t="s">
        <v>303</v>
      </c>
      <c r="AP291" s="48"/>
      <c r="AR291" s="49" t="s">
        <v>303</v>
      </c>
      <c r="AS291" s="49" t="s">
        <v>306</v>
      </c>
      <c r="AT291" s="49" t="s">
        <v>1255</v>
      </c>
      <c r="AV291" s="49" t="s">
        <v>309</v>
      </c>
      <c r="AW291" s="49" t="s">
        <v>310</v>
      </c>
      <c r="AX291" s="49" t="s">
        <v>311</v>
      </c>
      <c r="AY291" s="48"/>
      <c r="AZ291" s="48" t="n">
        <v>46275</v>
      </c>
      <c r="BC291" s="49" t="s">
        <v>303</v>
      </c>
      <c r="BD291" s="48" t="n">
        <v>46290</v>
      </c>
      <c r="BE291" s="49" t="s">
        <v>1256</v>
      </c>
      <c r="BF291" s="49" t="s">
        <v>303</v>
      </c>
      <c r="BG291" s="48"/>
      <c r="BI291" s="48" t="n">
        <v>46290</v>
      </c>
      <c r="BJ291" s="48" t="n">
        <v>46282</v>
      </c>
      <c r="BK291" s="49" t="s">
        <v>313</v>
      </c>
      <c r="BL291" s="49" t="s">
        <v>313</v>
      </c>
      <c r="BM291" s="49" t="s">
        <v>310</v>
      </c>
      <c r="BN291" s="48"/>
      <c r="BO291" s="48"/>
      <c r="BP291" s="48"/>
      <c r="BQ291" s="49" t="s">
        <v>1136</v>
      </c>
      <c r="BR291" s="48" t="n">
        <v>46282</v>
      </c>
      <c r="BS291" s="49" t="s">
        <v>1257</v>
      </c>
      <c r="BT291" s="49" t="s">
        <v>312</v>
      </c>
      <c r="BU291" s="49" t="s">
        <v>313</v>
      </c>
      <c r="BV291" s="49" t="s">
        <v>303</v>
      </c>
      <c r="BX291" s="0" t="n">
        <v>1</v>
      </c>
      <c r="CC291" s="49" t="s">
        <v>315</v>
      </c>
      <c r="CD291" s="49" t="s">
        <v>303</v>
      </c>
      <c r="CF291" s="49" t="s">
        <v>303</v>
      </c>
      <c r="CG291" s="49" t="s">
        <v>316</v>
      </c>
      <c r="CH291" s="49" t="s">
        <v>317</v>
      </c>
      <c r="CI291" s="49" t="s">
        <v>318</v>
      </c>
      <c r="CM291" s="49" t="s">
        <v>65</v>
      </c>
      <c r="CV291" s="49" t="s">
        <v>303</v>
      </c>
      <c r="DB291" s="49" t="s">
        <v>319</v>
      </c>
      <c r="DD291" s="48" t="n">
        <v>46253</v>
      </c>
      <c r="DF291" s="49" t="s">
        <v>310</v>
      </c>
      <c r="DG291" s="49" t="s">
        <v>320</v>
      </c>
      <c r="DH291" s="49" t="s">
        <v>64</v>
      </c>
      <c r="DI291" s="49" t="s">
        <v>298</v>
      </c>
      <c r="DJ291" s="49" t="s">
        <v>394</v>
      </c>
      <c r="DK291" s="49" t="s">
        <v>322</v>
      </c>
      <c r="DL291" s="49" t="s">
        <v>323</v>
      </c>
      <c r="DM291" s="49" t="s">
        <v>303</v>
      </c>
      <c r="DN291" s="49" t="s">
        <v>297</v>
      </c>
      <c r="DO291" s="48"/>
      <c r="DP291" s="49" t="s">
        <v>312</v>
      </c>
      <c r="DQ291" s="48"/>
      <c r="DR291" s="49" t="s">
        <v>312</v>
      </c>
      <c r="DS291" s="49" t="s">
        <v>303</v>
      </c>
      <c r="DT291" s="49" t="s">
        <v>303</v>
      </c>
      <c r="DW291" s="49" t="s">
        <v>303</v>
      </c>
      <c r="EA291" s="49" t="s">
        <v>324</v>
      </c>
      <c r="EB291" s="49" t="s">
        <v>303</v>
      </c>
      <c r="EF291" s="49" t="s">
        <v>1160</v>
      </c>
      <c r="EH291" s="49" t="s">
        <v>310</v>
      </c>
      <c r="EJ291" s="49" t="s">
        <v>303</v>
      </c>
      <c r="EK291" s="49" t="s">
        <v>1258</v>
      </c>
      <c r="EM291" s="49" t="s">
        <v>303</v>
      </c>
      <c r="EN291" s="49" t="s">
        <v>396</v>
      </c>
      <c r="EP291" s="49" t="s">
        <v>298</v>
      </c>
      <c r="EQ291" s="0" t="n">
        <v>1</v>
      </c>
      <c r="ER291" s="49" t="s">
        <v>328</v>
      </c>
      <c r="ES291" s="49" t="s">
        <v>329</v>
      </c>
      <c r="ET291" s="49" t="s">
        <v>310</v>
      </c>
      <c r="EU291" s="49" t="s">
        <v>310</v>
      </c>
      <c r="EV291" s="49" t="s">
        <v>310</v>
      </c>
      <c r="EX291" s="49" t="s">
        <v>303</v>
      </c>
      <c r="EY291" s="49" t="s">
        <v>303</v>
      </c>
      <c r="FC291" s="49" t="s">
        <v>330</v>
      </c>
      <c r="FD291" s="49" t="s">
        <v>310</v>
      </c>
      <c r="FE291" s="49" t="s">
        <v>310</v>
      </c>
      <c r="FF291" s="49" t="s">
        <v>64</v>
      </c>
      <c r="FG291" s="49" t="s">
        <v>397</v>
      </c>
      <c r="FH291" s="49" t="s">
        <v>310</v>
      </c>
      <c r="FI291" s="49" t="s">
        <v>332</v>
      </c>
      <c r="FJ291" s="49" t="s">
        <v>303</v>
      </c>
      <c r="FL291" s="49" t="s">
        <v>325</v>
      </c>
      <c r="FM291" s="49" t="s">
        <v>1135</v>
      </c>
      <c r="FP291" s="49" t="s">
        <v>303</v>
      </c>
      <c r="FR291" s="49" t="s">
        <v>303</v>
      </c>
      <c r="FT291" s="49" t="s">
        <v>325</v>
      </c>
      <c r="FU291" s="49" t="s">
        <v>325</v>
      </c>
      <c r="FW291" s="49" t="s">
        <v>333</v>
      </c>
    </row>
    <row r="292" customFormat="false" ht="15" hidden="false" customHeight="false" outlineLevel="0" collapsed="false">
      <c r="A292" s="0" t="n">
        <v>100877375</v>
      </c>
      <c r="B292" s="0" t="s">
        <v>295</v>
      </c>
      <c r="C292" s="0" t="s">
        <v>64</v>
      </c>
      <c r="D292" s="0" t="s">
        <v>65</v>
      </c>
      <c r="E292" s="0" t="s">
        <v>297</v>
      </c>
      <c r="G292" s="0" t="n">
        <v>1</v>
      </c>
      <c r="H292" s="0" t="s">
        <v>298</v>
      </c>
      <c r="I292" s="48" t="n">
        <v>46278</v>
      </c>
      <c r="J292" s="0" t="n">
        <v>1</v>
      </c>
      <c r="K292" s="49" t="s">
        <v>1135</v>
      </c>
      <c r="L292" s="49" t="s">
        <v>1035</v>
      </c>
      <c r="M292" s="48" t="n">
        <v>46288</v>
      </c>
      <c r="N292" s="49" t="s">
        <v>1149</v>
      </c>
      <c r="O292" s="49" t="s">
        <v>1045</v>
      </c>
      <c r="P292" s="48"/>
      <c r="Q292" s="48" t="n">
        <v>46278</v>
      </c>
      <c r="R292" s="48" t="n">
        <v>46284</v>
      </c>
      <c r="T292" s="49" t="s">
        <v>302</v>
      </c>
      <c r="U292" s="49" t="s">
        <v>303</v>
      </c>
      <c r="Y292" s="49" t="s">
        <v>1259</v>
      </c>
      <c r="AD292" s="49" t="s">
        <v>305</v>
      </c>
      <c r="AE292" s="48" t="n">
        <v>46253</v>
      </c>
      <c r="AF292" s="49" t="s">
        <v>306</v>
      </c>
      <c r="AG292" s="49" t="s">
        <v>307</v>
      </c>
      <c r="AK292" s="49" t="s">
        <v>1047</v>
      </c>
      <c r="AL292" s="49" t="s">
        <v>297</v>
      </c>
      <c r="AO292" s="49" t="s">
        <v>303</v>
      </c>
      <c r="AP292" s="48"/>
      <c r="AR292" s="49" t="s">
        <v>303</v>
      </c>
      <c r="AS292" s="49" t="s">
        <v>306</v>
      </c>
      <c r="AT292" s="49" t="s">
        <v>1260</v>
      </c>
      <c r="AV292" s="49" t="s">
        <v>309</v>
      </c>
      <c r="AW292" s="49" t="s">
        <v>310</v>
      </c>
      <c r="AX292" s="49" t="s">
        <v>311</v>
      </c>
      <c r="AY292" s="48"/>
      <c r="AZ292" s="48" t="n">
        <v>46275</v>
      </c>
      <c r="BC292" s="49" t="s">
        <v>303</v>
      </c>
      <c r="BD292" s="48" t="n">
        <v>46290</v>
      </c>
      <c r="BE292" s="49" t="s">
        <v>1261</v>
      </c>
      <c r="BF292" s="49" t="s">
        <v>303</v>
      </c>
      <c r="BG292" s="48"/>
      <c r="BI292" s="48" t="n">
        <v>46290</v>
      </c>
      <c r="BJ292" s="48" t="n">
        <v>46282</v>
      </c>
      <c r="BK292" s="49" t="s">
        <v>313</v>
      </c>
      <c r="BL292" s="49" t="s">
        <v>313</v>
      </c>
      <c r="BM292" s="49" t="s">
        <v>310</v>
      </c>
      <c r="BN292" s="48"/>
      <c r="BO292" s="48"/>
      <c r="BP292" s="48"/>
      <c r="BQ292" s="49" t="s">
        <v>1136</v>
      </c>
      <c r="BR292" s="48" t="n">
        <v>46282</v>
      </c>
      <c r="BS292" s="49" t="s">
        <v>1262</v>
      </c>
      <c r="BT292" s="49" t="s">
        <v>312</v>
      </c>
      <c r="BU292" s="49" t="s">
        <v>313</v>
      </c>
      <c r="BV292" s="49" t="s">
        <v>303</v>
      </c>
      <c r="BX292" s="0" t="n">
        <v>1</v>
      </c>
      <c r="CC292" s="49" t="s">
        <v>315</v>
      </c>
      <c r="CD292" s="49" t="s">
        <v>303</v>
      </c>
      <c r="CF292" s="49" t="s">
        <v>303</v>
      </c>
      <c r="CG292" s="49" t="s">
        <v>316</v>
      </c>
      <c r="CH292" s="49" t="s">
        <v>317</v>
      </c>
      <c r="CI292" s="49" t="s">
        <v>318</v>
      </c>
      <c r="CM292" s="49" t="s">
        <v>65</v>
      </c>
      <c r="CV292" s="49" t="s">
        <v>303</v>
      </c>
      <c r="DB292" s="49" t="s">
        <v>319</v>
      </c>
      <c r="DD292" s="48" t="n">
        <v>46253</v>
      </c>
      <c r="DF292" s="49" t="s">
        <v>310</v>
      </c>
      <c r="DG292" s="49" t="s">
        <v>320</v>
      </c>
      <c r="DH292" s="49" t="s">
        <v>64</v>
      </c>
      <c r="DI292" s="49" t="s">
        <v>298</v>
      </c>
      <c r="DJ292" s="49" t="s">
        <v>394</v>
      </c>
      <c r="DK292" s="49" t="s">
        <v>322</v>
      </c>
      <c r="DL292" s="49" t="s">
        <v>323</v>
      </c>
      <c r="DM292" s="49" t="s">
        <v>303</v>
      </c>
      <c r="DN292" s="49" t="s">
        <v>297</v>
      </c>
      <c r="DO292" s="48"/>
      <c r="DP292" s="49" t="s">
        <v>312</v>
      </c>
      <c r="DQ292" s="48"/>
      <c r="DR292" s="49" t="s">
        <v>312</v>
      </c>
      <c r="DS292" s="49" t="s">
        <v>303</v>
      </c>
      <c r="DT292" s="49" t="s">
        <v>303</v>
      </c>
      <c r="DW292" s="49" t="s">
        <v>303</v>
      </c>
      <c r="EA292" s="49" t="s">
        <v>324</v>
      </c>
      <c r="EB292" s="49" t="s">
        <v>303</v>
      </c>
      <c r="EF292" s="49" t="s">
        <v>1160</v>
      </c>
      <c r="EH292" s="49" t="s">
        <v>310</v>
      </c>
      <c r="EJ292" s="49" t="s">
        <v>303</v>
      </c>
      <c r="EK292" s="49" t="s">
        <v>1263</v>
      </c>
      <c r="EM292" s="49" t="s">
        <v>303</v>
      </c>
      <c r="EN292" s="49" t="s">
        <v>396</v>
      </c>
      <c r="EP292" s="49" t="s">
        <v>298</v>
      </c>
      <c r="EQ292" s="0" t="n">
        <v>1</v>
      </c>
      <c r="ER292" s="49" t="s">
        <v>328</v>
      </c>
      <c r="ES292" s="49" t="s">
        <v>329</v>
      </c>
      <c r="ET292" s="49" t="s">
        <v>310</v>
      </c>
      <c r="EU292" s="49" t="s">
        <v>310</v>
      </c>
      <c r="EV292" s="49" t="s">
        <v>310</v>
      </c>
      <c r="EX292" s="49" t="s">
        <v>303</v>
      </c>
      <c r="EY292" s="49" t="s">
        <v>303</v>
      </c>
      <c r="FC292" s="49" t="s">
        <v>330</v>
      </c>
      <c r="FD292" s="49" t="s">
        <v>310</v>
      </c>
      <c r="FE292" s="49" t="s">
        <v>310</v>
      </c>
      <c r="FF292" s="49" t="s">
        <v>64</v>
      </c>
      <c r="FG292" s="49" t="s">
        <v>397</v>
      </c>
      <c r="FH292" s="49" t="s">
        <v>310</v>
      </c>
      <c r="FI292" s="49" t="s">
        <v>332</v>
      </c>
      <c r="FJ292" s="49" t="s">
        <v>303</v>
      </c>
      <c r="FL292" s="49" t="s">
        <v>325</v>
      </c>
      <c r="FM292" s="49" t="s">
        <v>1135</v>
      </c>
      <c r="FP292" s="49" t="s">
        <v>303</v>
      </c>
      <c r="FR292" s="49" t="s">
        <v>303</v>
      </c>
      <c r="FT292" s="49" t="s">
        <v>325</v>
      </c>
      <c r="FU292" s="49" t="s">
        <v>325</v>
      </c>
      <c r="FW292" s="49" t="s">
        <v>333</v>
      </c>
    </row>
    <row r="293" customFormat="false" ht="15" hidden="false" customHeight="false" outlineLevel="0" collapsed="false">
      <c r="A293" s="0" t="n">
        <v>100877376</v>
      </c>
      <c r="B293" s="0" t="s">
        <v>295</v>
      </c>
      <c r="C293" s="0" t="s">
        <v>64</v>
      </c>
      <c r="D293" s="0" t="s">
        <v>65</v>
      </c>
      <c r="E293" s="0" t="s">
        <v>297</v>
      </c>
      <c r="G293" s="0" t="n">
        <v>1</v>
      </c>
      <c r="H293" s="0" t="s">
        <v>298</v>
      </c>
      <c r="I293" s="48" t="n">
        <v>46278</v>
      </c>
      <c r="J293" s="0" t="n">
        <v>1</v>
      </c>
      <c r="K293" s="49" t="s">
        <v>1135</v>
      </c>
      <c r="L293" s="49" t="s">
        <v>1035</v>
      </c>
      <c r="M293" s="48" t="n">
        <v>46288</v>
      </c>
      <c r="N293" s="49" t="s">
        <v>1149</v>
      </c>
      <c r="O293" s="49" t="s">
        <v>1045</v>
      </c>
      <c r="P293" s="48"/>
      <c r="Q293" s="48" t="n">
        <v>46278</v>
      </c>
      <c r="R293" s="48" t="n">
        <v>46284</v>
      </c>
      <c r="T293" s="49" t="s">
        <v>302</v>
      </c>
      <c r="U293" s="49" t="s">
        <v>303</v>
      </c>
      <c r="Y293" s="49" t="s">
        <v>1264</v>
      </c>
      <c r="AD293" s="49" t="s">
        <v>305</v>
      </c>
      <c r="AE293" s="48" t="n">
        <v>46253</v>
      </c>
      <c r="AF293" s="49" t="s">
        <v>306</v>
      </c>
      <c r="AG293" s="49" t="s">
        <v>307</v>
      </c>
      <c r="AK293" s="49" t="s">
        <v>1047</v>
      </c>
      <c r="AL293" s="49" t="s">
        <v>297</v>
      </c>
      <c r="AO293" s="49" t="s">
        <v>303</v>
      </c>
      <c r="AP293" s="48"/>
      <c r="AR293" s="49" t="s">
        <v>303</v>
      </c>
      <c r="AS293" s="49" t="s">
        <v>306</v>
      </c>
      <c r="AT293" s="49" t="s">
        <v>1265</v>
      </c>
      <c r="AV293" s="49" t="s">
        <v>309</v>
      </c>
      <c r="AW293" s="49" t="s">
        <v>310</v>
      </c>
      <c r="AX293" s="49" t="s">
        <v>311</v>
      </c>
      <c r="AY293" s="48"/>
      <c r="AZ293" s="48" t="n">
        <v>46275</v>
      </c>
      <c r="BC293" s="49" t="s">
        <v>303</v>
      </c>
      <c r="BD293" s="48" t="n">
        <v>46290</v>
      </c>
      <c r="BE293" s="49" t="s">
        <v>1266</v>
      </c>
      <c r="BF293" s="49" t="s">
        <v>303</v>
      </c>
      <c r="BG293" s="48"/>
      <c r="BI293" s="48" t="n">
        <v>46290</v>
      </c>
      <c r="BJ293" s="48" t="n">
        <v>46282</v>
      </c>
      <c r="BK293" s="49" t="s">
        <v>313</v>
      </c>
      <c r="BL293" s="49" t="s">
        <v>313</v>
      </c>
      <c r="BM293" s="49" t="s">
        <v>310</v>
      </c>
      <c r="BN293" s="48"/>
      <c r="BO293" s="48"/>
      <c r="BP293" s="48"/>
      <c r="BQ293" s="49" t="s">
        <v>1136</v>
      </c>
      <c r="BR293" s="48" t="n">
        <v>46282</v>
      </c>
      <c r="BS293" s="49" t="s">
        <v>1267</v>
      </c>
      <c r="BT293" s="49" t="s">
        <v>312</v>
      </c>
      <c r="BU293" s="49" t="s">
        <v>313</v>
      </c>
      <c r="BV293" s="49" t="s">
        <v>303</v>
      </c>
      <c r="BX293" s="0" t="n">
        <v>1</v>
      </c>
      <c r="CC293" s="49" t="s">
        <v>315</v>
      </c>
      <c r="CD293" s="49" t="s">
        <v>303</v>
      </c>
      <c r="CF293" s="49" t="s">
        <v>303</v>
      </c>
      <c r="CG293" s="49" t="s">
        <v>316</v>
      </c>
      <c r="CH293" s="49" t="s">
        <v>317</v>
      </c>
      <c r="CI293" s="49" t="s">
        <v>318</v>
      </c>
      <c r="CM293" s="49" t="s">
        <v>65</v>
      </c>
      <c r="CV293" s="49" t="s">
        <v>303</v>
      </c>
      <c r="DB293" s="49" t="s">
        <v>319</v>
      </c>
      <c r="DD293" s="48" t="n">
        <v>46253</v>
      </c>
      <c r="DF293" s="49" t="s">
        <v>310</v>
      </c>
      <c r="DG293" s="49" t="s">
        <v>320</v>
      </c>
      <c r="DH293" s="49" t="s">
        <v>64</v>
      </c>
      <c r="DI293" s="49" t="s">
        <v>298</v>
      </c>
      <c r="DJ293" s="49" t="s">
        <v>394</v>
      </c>
      <c r="DK293" s="49" t="s">
        <v>322</v>
      </c>
      <c r="DL293" s="49" t="s">
        <v>323</v>
      </c>
      <c r="DM293" s="49" t="s">
        <v>303</v>
      </c>
      <c r="DN293" s="49" t="s">
        <v>297</v>
      </c>
      <c r="DO293" s="48"/>
      <c r="DP293" s="49" t="s">
        <v>312</v>
      </c>
      <c r="DQ293" s="48"/>
      <c r="DR293" s="49" t="s">
        <v>312</v>
      </c>
      <c r="DS293" s="49" t="s">
        <v>303</v>
      </c>
      <c r="DT293" s="49" t="s">
        <v>303</v>
      </c>
      <c r="DW293" s="49" t="s">
        <v>303</v>
      </c>
      <c r="EA293" s="49" t="s">
        <v>324</v>
      </c>
      <c r="EB293" s="49" t="s">
        <v>303</v>
      </c>
      <c r="EF293" s="49" t="s">
        <v>1160</v>
      </c>
      <c r="EH293" s="49" t="s">
        <v>310</v>
      </c>
      <c r="EJ293" s="49" t="s">
        <v>303</v>
      </c>
      <c r="EK293" s="49" t="s">
        <v>1268</v>
      </c>
      <c r="EM293" s="49" t="s">
        <v>303</v>
      </c>
      <c r="EN293" s="49" t="s">
        <v>396</v>
      </c>
      <c r="EP293" s="49" t="s">
        <v>298</v>
      </c>
      <c r="EQ293" s="0" t="n">
        <v>1</v>
      </c>
      <c r="ER293" s="49" t="s">
        <v>328</v>
      </c>
      <c r="ES293" s="49" t="s">
        <v>329</v>
      </c>
      <c r="ET293" s="49" t="s">
        <v>310</v>
      </c>
      <c r="EU293" s="49" t="s">
        <v>310</v>
      </c>
      <c r="EV293" s="49" t="s">
        <v>310</v>
      </c>
      <c r="EX293" s="49" t="s">
        <v>303</v>
      </c>
      <c r="EY293" s="49" t="s">
        <v>303</v>
      </c>
      <c r="FC293" s="49" t="s">
        <v>330</v>
      </c>
      <c r="FD293" s="49" t="s">
        <v>310</v>
      </c>
      <c r="FE293" s="49" t="s">
        <v>310</v>
      </c>
      <c r="FF293" s="49" t="s">
        <v>64</v>
      </c>
      <c r="FG293" s="49" t="s">
        <v>397</v>
      </c>
      <c r="FH293" s="49" t="s">
        <v>310</v>
      </c>
      <c r="FI293" s="49" t="s">
        <v>332</v>
      </c>
      <c r="FJ293" s="49" t="s">
        <v>303</v>
      </c>
      <c r="FL293" s="49" t="s">
        <v>325</v>
      </c>
      <c r="FM293" s="49" t="s">
        <v>1135</v>
      </c>
      <c r="FP293" s="49" t="s">
        <v>303</v>
      </c>
      <c r="FR293" s="49" t="s">
        <v>303</v>
      </c>
      <c r="FT293" s="49" t="s">
        <v>325</v>
      </c>
      <c r="FU293" s="49" t="s">
        <v>325</v>
      </c>
      <c r="FW293" s="49" t="s">
        <v>333</v>
      </c>
    </row>
    <row r="294" customFormat="false" ht="15" hidden="false" customHeight="false" outlineLevel="0" collapsed="false">
      <c r="A294" s="0" t="n">
        <v>100877377</v>
      </c>
      <c r="B294" s="0" t="s">
        <v>295</v>
      </c>
      <c r="C294" s="0" t="s">
        <v>53</v>
      </c>
      <c r="D294" s="0" t="s">
        <v>54</v>
      </c>
      <c r="E294" s="0" t="s">
        <v>297</v>
      </c>
      <c r="G294" s="0" t="n">
        <v>1</v>
      </c>
      <c r="H294" s="0" t="s">
        <v>298</v>
      </c>
      <c r="I294" s="48" t="n">
        <v>46278</v>
      </c>
      <c r="J294" s="0" t="n">
        <v>1</v>
      </c>
      <c r="K294" s="49" t="s">
        <v>1135</v>
      </c>
      <c r="L294" s="49" t="s">
        <v>1035</v>
      </c>
      <c r="M294" s="48" t="n">
        <v>46278</v>
      </c>
      <c r="N294" s="49" t="s">
        <v>1035</v>
      </c>
      <c r="O294" s="49" t="s">
        <v>1045</v>
      </c>
      <c r="P294" s="48"/>
      <c r="Q294" s="48" t="n">
        <v>46278</v>
      </c>
      <c r="R294" s="48" t="n">
        <v>46285</v>
      </c>
      <c r="T294" s="49" t="s">
        <v>302</v>
      </c>
      <c r="U294" s="49" t="s">
        <v>303</v>
      </c>
      <c r="Y294" s="49" t="s">
        <v>1269</v>
      </c>
      <c r="AD294" s="49" t="s">
        <v>305</v>
      </c>
      <c r="AE294" s="48" t="n">
        <v>46253</v>
      </c>
      <c r="AF294" s="49" t="s">
        <v>306</v>
      </c>
      <c r="AG294" s="49" t="s">
        <v>307</v>
      </c>
      <c r="AK294" s="49" t="s">
        <v>1047</v>
      </c>
      <c r="AL294" s="49" t="s">
        <v>297</v>
      </c>
      <c r="AO294" s="49" t="s">
        <v>303</v>
      </c>
      <c r="AP294" s="48"/>
      <c r="AR294" s="49" t="s">
        <v>303</v>
      </c>
      <c r="AS294" s="49" t="s">
        <v>306</v>
      </c>
      <c r="AT294" s="49" t="s">
        <v>1270</v>
      </c>
      <c r="AV294" s="49" t="s">
        <v>309</v>
      </c>
      <c r="AW294" s="49" t="s">
        <v>310</v>
      </c>
      <c r="AX294" s="49" t="s">
        <v>311</v>
      </c>
      <c r="AY294" s="48"/>
      <c r="AZ294" s="48" t="n">
        <v>46269</v>
      </c>
      <c r="BC294" s="49" t="s">
        <v>303</v>
      </c>
      <c r="BD294" s="48" t="n">
        <v>46279</v>
      </c>
      <c r="BE294" s="49" t="s">
        <v>1271</v>
      </c>
      <c r="BF294" s="49" t="s">
        <v>303</v>
      </c>
      <c r="BG294" s="48"/>
      <c r="BI294" s="48" t="n">
        <v>46279</v>
      </c>
      <c r="BJ294" s="48" t="n">
        <v>46282</v>
      </c>
      <c r="BK294" s="49" t="s">
        <v>312</v>
      </c>
      <c r="BL294" s="49" t="s">
        <v>313</v>
      </c>
      <c r="BM294" s="49" t="s">
        <v>310</v>
      </c>
      <c r="BN294" s="48"/>
      <c r="BO294" s="48"/>
      <c r="BP294" s="48"/>
      <c r="BQ294" s="49" t="s">
        <v>1272</v>
      </c>
      <c r="BR294" s="48" t="n">
        <v>46276</v>
      </c>
      <c r="BS294" s="49" t="s">
        <v>1273</v>
      </c>
      <c r="BT294" s="49" t="s">
        <v>312</v>
      </c>
      <c r="BU294" s="49" t="s">
        <v>312</v>
      </c>
      <c r="BV294" s="49" t="s">
        <v>303</v>
      </c>
      <c r="BX294" s="0" t="n">
        <v>1</v>
      </c>
      <c r="CC294" s="49" t="s">
        <v>315</v>
      </c>
      <c r="CD294" s="49" t="s">
        <v>303</v>
      </c>
      <c r="CF294" s="49" t="s">
        <v>303</v>
      </c>
      <c r="CG294" s="49" t="s">
        <v>316</v>
      </c>
      <c r="CH294" s="49" t="s">
        <v>317</v>
      </c>
      <c r="CI294" s="49" t="s">
        <v>318</v>
      </c>
      <c r="CM294" s="49" t="s">
        <v>54</v>
      </c>
      <c r="CV294" s="49" t="s">
        <v>303</v>
      </c>
      <c r="DB294" s="49" t="s">
        <v>319</v>
      </c>
      <c r="DD294" s="48" t="n">
        <v>46253</v>
      </c>
      <c r="DF294" s="49" t="s">
        <v>310</v>
      </c>
      <c r="DG294" s="49" t="s">
        <v>320</v>
      </c>
      <c r="DH294" s="49" t="s">
        <v>53</v>
      </c>
      <c r="DI294" s="49" t="s">
        <v>298</v>
      </c>
      <c r="DJ294" s="49" t="s">
        <v>355</v>
      </c>
      <c r="DK294" s="49" t="s">
        <v>322</v>
      </c>
      <c r="DL294" s="49" t="s">
        <v>323</v>
      </c>
      <c r="DM294" s="49" t="s">
        <v>303</v>
      </c>
      <c r="DN294" s="49" t="s">
        <v>297</v>
      </c>
      <c r="DO294" s="48"/>
      <c r="DP294" s="49" t="s">
        <v>312</v>
      </c>
      <c r="DQ294" s="48"/>
      <c r="DR294" s="49" t="s">
        <v>312</v>
      </c>
      <c r="DS294" s="49" t="s">
        <v>303</v>
      </c>
      <c r="DT294" s="49" t="s">
        <v>303</v>
      </c>
      <c r="DW294" s="49" t="s">
        <v>303</v>
      </c>
      <c r="EA294" s="49" t="s">
        <v>324</v>
      </c>
      <c r="EB294" s="49" t="s">
        <v>303</v>
      </c>
      <c r="EH294" s="49" t="s">
        <v>310</v>
      </c>
      <c r="EJ294" s="49" t="s">
        <v>303</v>
      </c>
      <c r="EK294" s="49" t="s">
        <v>1274</v>
      </c>
      <c r="EM294" s="49" t="s">
        <v>303</v>
      </c>
      <c r="EN294" s="49" t="s">
        <v>357</v>
      </c>
      <c r="EP294" s="49" t="s">
        <v>298</v>
      </c>
      <c r="EQ294" s="0" t="n">
        <v>1</v>
      </c>
      <c r="ER294" s="49" t="s">
        <v>328</v>
      </c>
      <c r="ES294" s="49" t="s">
        <v>358</v>
      </c>
      <c r="ET294" s="49" t="s">
        <v>310</v>
      </c>
      <c r="EU294" s="49" t="s">
        <v>310</v>
      </c>
      <c r="EV294" s="49" t="s">
        <v>310</v>
      </c>
      <c r="EX294" s="49" t="s">
        <v>303</v>
      </c>
      <c r="EY294" s="49" t="s">
        <v>303</v>
      </c>
      <c r="FC294" s="49" t="s">
        <v>330</v>
      </c>
      <c r="FD294" s="49" t="s">
        <v>310</v>
      </c>
      <c r="FE294" s="49" t="s">
        <v>310</v>
      </c>
      <c r="FF294" s="49" t="s">
        <v>53</v>
      </c>
      <c r="FG294" s="49" t="s">
        <v>359</v>
      </c>
      <c r="FH294" s="49" t="s">
        <v>310</v>
      </c>
      <c r="FI294" s="49" t="s">
        <v>332</v>
      </c>
      <c r="FJ294" s="49" t="s">
        <v>303</v>
      </c>
      <c r="FL294" s="49" t="s">
        <v>325</v>
      </c>
      <c r="FM294" s="49" t="s">
        <v>1135</v>
      </c>
      <c r="FP294" s="49" t="s">
        <v>303</v>
      </c>
      <c r="FR294" s="49" t="s">
        <v>303</v>
      </c>
      <c r="FT294" s="49" t="s">
        <v>325</v>
      </c>
      <c r="FU294" s="49" t="s">
        <v>325</v>
      </c>
      <c r="FW294" s="49" t="s">
        <v>333</v>
      </c>
    </row>
    <row r="295" customFormat="false" ht="15" hidden="false" customHeight="false" outlineLevel="0" collapsed="false">
      <c r="A295" s="0" t="n">
        <v>100877047</v>
      </c>
      <c r="B295" s="0" t="s">
        <v>295</v>
      </c>
      <c r="C295" s="0" t="s">
        <v>48</v>
      </c>
      <c r="D295" s="0" t="s">
        <v>49</v>
      </c>
      <c r="E295" s="0" t="s">
        <v>297</v>
      </c>
      <c r="G295" s="0" t="n">
        <v>1</v>
      </c>
      <c r="H295" s="0" t="s">
        <v>298</v>
      </c>
      <c r="I295" s="48" t="n">
        <v>46276</v>
      </c>
      <c r="J295" s="0" t="n">
        <v>1</v>
      </c>
      <c r="K295" s="49" t="s">
        <v>1275</v>
      </c>
      <c r="L295" s="49" t="s">
        <v>335</v>
      </c>
      <c r="M295" s="48" t="n">
        <v>46283</v>
      </c>
      <c r="N295" s="49" t="s">
        <v>1070</v>
      </c>
      <c r="O295" s="49" t="s">
        <v>1071</v>
      </c>
      <c r="P295" s="48"/>
      <c r="Q295" s="48" t="n">
        <v>46276</v>
      </c>
      <c r="R295" s="48" t="n">
        <v>46283</v>
      </c>
      <c r="T295" s="49" t="s">
        <v>302</v>
      </c>
      <c r="U295" s="49" t="s">
        <v>303</v>
      </c>
      <c r="Y295" s="49" t="s">
        <v>1276</v>
      </c>
      <c r="AD295" s="49" t="s">
        <v>305</v>
      </c>
      <c r="AE295" s="48" t="n">
        <v>46253</v>
      </c>
      <c r="AF295" s="49" t="s">
        <v>306</v>
      </c>
      <c r="AG295" s="49" t="s">
        <v>307</v>
      </c>
      <c r="AK295" s="49" t="s">
        <v>1047</v>
      </c>
      <c r="AL295" s="49" t="s">
        <v>297</v>
      </c>
      <c r="AO295" s="49" t="s">
        <v>303</v>
      </c>
      <c r="AP295" s="48"/>
      <c r="AR295" s="49" t="s">
        <v>303</v>
      </c>
      <c r="AS295" s="49" t="s">
        <v>306</v>
      </c>
      <c r="AT295" s="49" t="s">
        <v>1277</v>
      </c>
      <c r="AV295" s="49" t="s">
        <v>309</v>
      </c>
      <c r="AW295" s="49" t="s">
        <v>310</v>
      </c>
      <c r="AX295" s="49" t="s">
        <v>311</v>
      </c>
      <c r="AY295" s="48"/>
      <c r="AZ295" s="48" t="n">
        <v>46268</v>
      </c>
      <c r="BC295" s="49" t="s">
        <v>303</v>
      </c>
      <c r="BD295" s="48" t="n">
        <v>46286</v>
      </c>
      <c r="BE295" s="49" t="s">
        <v>1278</v>
      </c>
      <c r="BF295" s="49" t="s">
        <v>303</v>
      </c>
      <c r="BG295" s="48"/>
      <c r="BI295" s="48" t="n">
        <v>46286</v>
      </c>
      <c r="BJ295" s="48" t="n">
        <v>46281</v>
      </c>
      <c r="BK295" s="49" t="s">
        <v>312</v>
      </c>
      <c r="BL295" s="49" t="s">
        <v>313</v>
      </c>
      <c r="BM295" s="49" t="s">
        <v>310</v>
      </c>
      <c r="BN295" s="48"/>
      <c r="BO295" s="48"/>
      <c r="BP295" s="48"/>
      <c r="BQ295" s="49" t="s">
        <v>1275</v>
      </c>
      <c r="BR295" s="48" t="n">
        <v>46275</v>
      </c>
      <c r="BS295" s="49" t="s">
        <v>1279</v>
      </c>
      <c r="BT295" s="49" t="s">
        <v>312</v>
      </c>
      <c r="BU295" s="49" t="s">
        <v>312</v>
      </c>
      <c r="BV295" s="49" t="s">
        <v>303</v>
      </c>
      <c r="BX295" s="0" t="n">
        <v>1</v>
      </c>
      <c r="CC295" s="49" t="s">
        <v>315</v>
      </c>
      <c r="CD295" s="49" t="s">
        <v>303</v>
      </c>
      <c r="CF295" s="49" t="s">
        <v>303</v>
      </c>
      <c r="CG295" s="49" t="s">
        <v>316</v>
      </c>
      <c r="CH295" s="49" t="s">
        <v>317</v>
      </c>
      <c r="CI295" s="49" t="s">
        <v>318</v>
      </c>
      <c r="CM295" s="49" t="s">
        <v>49</v>
      </c>
      <c r="CV295" s="49" t="s">
        <v>303</v>
      </c>
      <c r="DB295" s="49" t="s">
        <v>319</v>
      </c>
      <c r="DD295" s="48" t="n">
        <v>46253</v>
      </c>
      <c r="DF295" s="49" t="s">
        <v>310</v>
      </c>
      <c r="DG295" s="49" t="s">
        <v>320</v>
      </c>
      <c r="DH295" s="49" t="s">
        <v>48</v>
      </c>
      <c r="DI295" s="49" t="s">
        <v>298</v>
      </c>
      <c r="DJ295" s="49" t="s">
        <v>339</v>
      </c>
      <c r="DK295" s="49" t="s">
        <v>322</v>
      </c>
      <c r="DL295" s="49" t="s">
        <v>323</v>
      </c>
      <c r="DM295" s="49" t="s">
        <v>303</v>
      </c>
      <c r="DN295" s="49" t="s">
        <v>297</v>
      </c>
      <c r="DO295" s="48"/>
      <c r="DP295" s="49" t="s">
        <v>312</v>
      </c>
      <c r="DQ295" s="48"/>
      <c r="DR295" s="49" t="s">
        <v>312</v>
      </c>
      <c r="DS295" s="49" t="s">
        <v>303</v>
      </c>
      <c r="DT295" s="49" t="s">
        <v>303</v>
      </c>
      <c r="DW295" s="49" t="s">
        <v>303</v>
      </c>
      <c r="EA295" s="49" t="s">
        <v>324</v>
      </c>
      <c r="EB295" s="49" t="s">
        <v>303</v>
      </c>
      <c r="EH295" s="49" t="s">
        <v>310</v>
      </c>
      <c r="EJ295" s="49" t="s">
        <v>303</v>
      </c>
      <c r="EK295" s="49" t="s">
        <v>1280</v>
      </c>
      <c r="EM295" s="49" t="s">
        <v>303</v>
      </c>
      <c r="EN295" s="49" t="s">
        <v>341</v>
      </c>
      <c r="EP295" s="49" t="s">
        <v>298</v>
      </c>
      <c r="EQ295" s="0" t="n">
        <v>1</v>
      </c>
      <c r="ER295" s="49" t="s">
        <v>328</v>
      </c>
      <c r="ES295" s="49" t="s">
        <v>342</v>
      </c>
      <c r="ET295" s="49" t="s">
        <v>310</v>
      </c>
      <c r="EU295" s="49" t="s">
        <v>310</v>
      </c>
      <c r="EV295" s="49" t="s">
        <v>310</v>
      </c>
      <c r="EX295" s="49" t="s">
        <v>303</v>
      </c>
      <c r="EY295" s="49" t="s">
        <v>303</v>
      </c>
      <c r="FC295" s="49" t="s">
        <v>330</v>
      </c>
      <c r="FD295" s="49" t="s">
        <v>310</v>
      </c>
      <c r="FE295" s="49" t="s">
        <v>310</v>
      </c>
      <c r="FF295" s="49" t="s">
        <v>48</v>
      </c>
      <c r="FG295" s="49" t="s">
        <v>343</v>
      </c>
      <c r="FH295" s="49" t="s">
        <v>310</v>
      </c>
      <c r="FI295" s="49" t="s">
        <v>332</v>
      </c>
      <c r="FJ295" s="49" t="s">
        <v>303</v>
      </c>
      <c r="FL295" s="49" t="s">
        <v>325</v>
      </c>
      <c r="FM295" s="49" t="s">
        <v>1275</v>
      </c>
      <c r="FP295" s="49" t="s">
        <v>303</v>
      </c>
      <c r="FR295" s="49" t="s">
        <v>303</v>
      </c>
      <c r="FT295" s="49" t="s">
        <v>325</v>
      </c>
      <c r="FU295" s="49" t="s">
        <v>325</v>
      </c>
      <c r="FW295" s="49" t="s">
        <v>333</v>
      </c>
    </row>
    <row r="296" customFormat="false" ht="15" hidden="false" customHeight="false" outlineLevel="0" collapsed="false">
      <c r="A296" s="0" t="n">
        <v>100877048</v>
      </c>
      <c r="B296" s="0" t="s">
        <v>295</v>
      </c>
      <c r="C296" s="0" t="s">
        <v>50</v>
      </c>
      <c r="D296" s="0" t="s">
        <v>51</v>
      </c>
      <c r="E296" s="0" t="s">
        <v>297</v>
      </c>
      <c r="G296" s="0" t="n">
        <v>1</v>
      </c>
      <c r="H296" s="0" t="s">
        <v>298</v>
      </c>
      <c r="I296" s="48" t="n">
        <v>46276</v>
      </c>
      <c r="J296" s="0" t="n">
        <v>1</v>
      </c>
      <c r="K296" s="49" t="s">
        <v>1275</v>
      </c>
      <c r="L296" s="49" t="s">
        <v>335</v>
      </c>
      <c r="M296" s="48" t="n">
        <v>46281</v>
      </c>
      <c r="N296" s="49" t="s">
        <v>1070</v>
      </c>
      <c r="O296" s="49" t="s">
        <v>1071</v>
      </c>
      <c r="P296" s="48"/>
      <c r="Q296" s="48" t="n">
        <v>46276</v>
      </c>
      <c r="R296" s="48" t="n">
        <v>46283</v>
      </c>
      <c r="T296" s="49" t="s">
        <v>302</v>
      </c>
      <c r="U296" s="49" t="s">
        <v>303</v>
      </c>
      <c r="Y296" s="49" t="s">
        <v>1208</v>
      </c>
      <c r="AD296" s="49" t="s">
        <v>305</v>
      </c>
      <c r="AE296" s="48" t="n">
        <v>46253</v>
      </c>
      <c r="AF296" s="49" t="s">
        <v>306</v>
      </c>
      <c r="AG296" s="49" t="s">
        <v>307</v>
      </c>
      <c r="AK296" s="49" t="s">
        <v>1047</v>
      </c>
      <c r="AL296" s="49" t="s">
        <v>297</v>
      </c>
      <c r="AO296" s="49" t="s">
        <v>303</v>
      </c>
      <c r="AP296" s="48"/>
      <c r="AR296" s="49" t="s">
        <v>303</v>
      </c>
      <c r="AS296" s="49" t="s">
        <v>306</v>
      </c>
      <c r="AT296" s="49" t="s">
        <v>1281</v>
      </c>
      <c r="AV296" s="49" t="s">
        <v>309</v>
      </c>
      <c r="AW296" s="49" t="s">
        <v>310</v>
      </c>
      <c r="AX296" s="49" t="s">
        <v>311</v>
      </c>
      <c r="AY296" s="48"/>
      <c r="AZ296" s="48" t="n">
        <v>46268</v>
      </c>
      <c r="BC296" s="49" t="s">
        <v>303</v>
      </c>
      <c r="BD296" s="48" t="n">
        <v>46281</v>
      </c>
      <c r="BE296" s="49" t="s">
        <v>1282</v>
      </c>
      <c r="BF296" s="49" t="s">
        <v>303</v>
      </c>
      <c r="BG296" s="48"/>
      <c r="BI296" s="48" t="n">
        <v>46281</v>
      </c>
      <c r="BJ296" s="48" t="n">
        <v>46281</v>
      </c>
      <c r="BK296" s="49" t="s">
        <v>312</v>
      </c>
      <c r="BL296" s="49" t="s">
        <v>313</v>
      </c>
      <c r="BM296" s="49" t="s">
        <v>310</v>
      </c>
      <c r="BN296" s="48"/>
      <c r="BO296" s="48"/>
      <c r="BP296" s="48"/>
      <c r="BQ296" s="49" t="s">
        <v>1275</v>
      </c>
      <c r="BR296" s="48" t="n">
        <v>46275</v>
      </c>
      <c r="BS296" s="49" t="s">
        <v>1283</v>
      </c>
      <c r="BT296" s="49" t="s">
        <v>312</v>
      </c>
      <c r="BU296" s="49" t="s">
        <v>312</v>
      </c>
      <c r="BV296" s="49" t="s">
        <v>303</v>
      </c>
      <c r="BX296" s="0" t="n">
        <v>1</v>
      </c>
      <c r="CC296" s="49" t="s">
        <v>315</v>
      </c>
      <c r="CD296" s="49" t="s">
        <v>303</v>
      </c>
      <c r="CF296" s="49" t="s">
        <v>303</v>
      </c>
      <c r="CG296" s="49" t="s">
        <v>316</v>
      </c>
      <c r="CH296" s="49" t="s">
        <v>317</v>
      </c>
      <c r="CI296" s="49" t="s">
        <v>318</v>
      </c>
      <c r="CM296" s="49" t="s">
        <v>51</v>
      </c>
      <c r="CV296" s="49" t="s">
        <v>303</v>
      </c>
      <c r="DB296" s="49" t="s">
        <v>319</v>
      </c>
      <c r="DD296" s="48" t="n">
        <v>46253</v>
      </c>
      <c r="DF296" s="49" t="s">
        <v>310</v>
      </c>
      <c r="DG296" s="49" t="s">
        <v>320</v>
      </c>
      <c r="DH296" s="49" t="s">
        <v>50</v>
      </c>
      <c r="DI296" s="49" t="s">
        <v>298</v>
      </c>
      <c r="DJ296" s="49" t="s">
        <v>346</v>
      </c>
      <c r="DK296" s="49" t="s">
        <v>322</v>
      </c>
      <c r="DL296" s="49" t="s">
        <v>323</v>
      </c>
      <c r="DM296" s="49" t="s">
        <v>303</v>
      </c>
      <c r="DN296" s="49" t="s">
        <v>297</v>
      </c>
      <c r="DO296" s="48"/>
      <c r="DP296" s="49" t="s">
        <v>312</v>
      </c>
      <c r="DQ296" s="48"/>
      <c r="DR296" s="49" t="s">
        <v>312</v>
      </c>
      <c r="DS296" s="49" t="s">
        <v>303</v>
      </c>
      <c r="DT296" s="49" t="s">
        <v>303</v>
      </c>
      <c r="DW296" s="49" t="s">
        <v>303</v>
      </c>
      <c r="EA296" s="49" t="s">
        <v>324</v>
      </c>
      <c r="EB296" s="49" t="s">
        <v>303</v>
      </c>
      <c r="EH296" s="49" t="s">
        <v>310</v>
      </c>
      <c r="EJ296" s="49" t="s">
        <v>303</v>
      </c>
      <c r="EK296" s="49" t="s">
        <v>1284</v>
      </c>
      <c r="EM296" s="49" t="s">
        <v>303</v>
      </c>
      <c r="EN296" s="49" t="s">
        <v>348</v>
      </c>
      <c r="EP296" s="49" t="s">
        <v>298</v>
      </c>
      <c r="EQ296" s="0" t="n">
        <v>1</v>
      </c>
      <c r="ER296" s="49" t="s">
        <v>328</v>
      </c>
      <c r="ES296" s="49" t="s">
        <v>342</v>
      </c>
      <c r="ET296" s="49" t="s">
        <v>310</v>
      </c>
      <c r="EU296" s="49" t="s">
        <v>310</v>
      </c>
      <c r="EV296" s="49" t="s">
        <v>310</v>
      </c>
      <c r="EX296" s="49" t="s">
        <v>303</v>
      </c>
      <c r="EY296" s="49" t="s">
        <v>303</v>
      </c>
      <c r="FC296" s="49" t="s">
        <v>330</v>
      </c>
      <c r="FD296" s="49" t="s">
        <v>310</v>
      </c>
      <c r="FE296" s="49" t="s">
        <v>310</v>
      </c>
      <c r="FF296" s="49" t="s">
        <v>50</v>
      </c>
      <c r="FG296" s="49" t="s">
        <v>349</v>
      </c>
      <c r="FH296" s="49" t="s">
        <v>310</v>
      </c>
      <c r="FI296" s="49" t="s">
        <v>332</v>
      </c>
      <c r="FJ296" s="49" t="s">
        <v>303</v>
      </c>
      <c r="FL296" s="49" t="s">
        <v>325</v>
      </c>
      <c r="FM296" s="49" t="s">
        <v>1275</v>
      </c>
      <c r="FP296" s="49" t="s">
        <v>303</v>
      </c>
      <c r="FR296" s="49" t="s">
        <v>303</v>
      </c>
      <c r="FT296" s="49" t="s">
        <v>325</v>
      </c>
      <c r="FU296" s="49" t="s">
        <v>325</v>
      </c>
      <c r="FW296" s="49" t="s">
        <v>333</v>
      </c>
    </row>
    <row r="297" customFormat="false" ht="15" hidden="false" customHeight="false" outlineLevel="0" collapsed="false">
      <c r="A297" s="0" t="n">
        <v>100877049</v>
      </c>
      <c r="B297" s="0" t="s">
        <v>295</v>
      </c>
      <c r="C297" s="0" t="s">
        <v>50</v>
      </c>
      <c r="D297" s="0" t="s">
        <v>51</v>
      </c>
      <c r="E297" s="0" t="s">
        <v>297</v>
      </c>
      <c r="G297" s="0" t="n">
        <v>1</v>
      </c>
      <c r="H297" s="0" t="s">
        <v>298</v>
      </c>
      <c r="I297" s="48" t="n">
        <v>46276</v>
      </c>
      <c r="J297" s="0" t="n">
        <v>1</v>
      </c>
      <c r="K297" s="49" t="s">
        <v>1275</v>
      </c>
      <c r="L297" s="49" t="s">
        <v>335</v>
      </c>
      <c r="M297" s="48" t="n">
        <v>46284</v>
      </c>
      <c r="N297" s="49" t="s">
        <v>1070</v>
      </c>
      <c r="O297" s="49" t="s">
        <v>1071</v>
      </c>
      <c r="P297" s="48"/>
      <c r="Q297" s="48" t="n">
        <v>46276</v>
      </c>
      <c r="R297" s="48" t="n">
        <v>46282</v>
      </c>
      <c r="T297" s="49" t="s">
        <v>302</v>
      </c>
      <c r="U297" s="49" t="s">
        <v>303</v>
      </c>
      <c r="Y297" s="49" t="s">
        <v>1285</v>
      </c>
      <c r="AD297" s="49" t="s">
        <v>305</v>
      </c>
      <c r="AE297" s="48" t="n">
        <v>46253</v>
      </c>
      <c r="AF297" s="49" t="s">
        <v>306</v>
      </c>
      <c r="AG297" s="49" t="s">
        <v>307</v>
      </c>
      <c r="AK297" s="49" t="s">
        <v>1047</v>
      </c>
      <c r="AL297" s="49" t="s">
        <v>297</v>
      </c>
      <c r="AO297" s="49" t="s">
        <v>303</v>
      </c>
      <c r="AP297" s="48"/>
      <c r="AR297" s="49" t="s">
        <v>303</v>
      </c>
      <c r="AS297" s="49" t="s">
        <v>306</v>
      </c>
      <c r="AT297" s="49" t="s">
        <v>1286</v>
      </c>
      <c r="AV297" s="49" t="s">
        <v>309</v>
      </c>
      <c r="AW297" s="49" t="s">
        <v>310</v>
      </c>
      <c r="AX297" s="49" t="s">
        <v>311</v>
      </c>
      <c r="AY297" s="48"/>
      <c r="AZ297" s="48" t="n">
        <v>46268</v>
      </c>
      <c r="BC297" s="49" t="s">
        <v>303</v>
      </c>
      <c r="BD297" s="48" t="n">
        <v>46284</v>
      </c>
      <c r="BE297" s="49" t="s">
        <v>1287</v>
      </c>
      <c r="BF297" s="49" t="s">
        <v>303</v>
      </c>
      <c r="BG297" s="48"/>
      <c r="BI297" s="48" t="n">
        <v>46284</v>
      </c>
      <c r="BJ297" s="48" t="n">
        <v>46281</v>
      </c>
      <c r="BK297" s="49" t="s">
        <v>313</v>
      </c>
      <c r="BL297" s="49" t="s">
        <v>313</v>
      </c>
      <c r="BM297" s="49" t="s">
        <v>310</v>
      </c>
      <c r="BN297" s="48"/>
      <c r="BO297" s="48"/>
      <c r="BP297" s="48"/>
      <c r="BQ297" s="49" t="s">
        <v>1275</v>
      </c>
      <c r="BR297" s="48" t="n">
        <v>46275</v>
      </c>
      <c r="BS297" s="49" t="s">
        <v>1279</v>
      </c>
      <c r="BT297" s="49" t="s">
        <v>312</v>
      </c>
      <c r="BU297" s="49" t="s">
        <v>312</v>
      </c>
      <c r="BV297" s="49" t="s">
        <v>303</v>
      </c>
      <c r="BX297" s="0" t="n">
        <v>1</v>
      </c>
      <c r="CC297" s="49" t="s">
        <v>315</v>
      </c>
      <c r="CD297" s="49" t="s">
        <v>303</v>
      </c>
      <c r="CF297" s="49" t="s">
        <v>303</v>
      </c>
      <c r="CG297" s="49" t="s">
        <v>316</v>
      </c>
      <c r="CH297" s="49" t="s">
        <v>317</v>
      </c>
      <c r="CI297" s="49" t="s">
        <v>318</v>
      </c>
      <c r="CM297" s="49" t="s">
        <v>51</v>
      </c>
      <c r="CV297" s="49" t="s">
        <v>303</v>
      </c>
      <c r="DB297" s="49" t="s">
        <v>319</v>
      </c>
      <c r="DD297" s="48" t="n">
        <v>46253</v>
      </c>
      <c r="DF297" s="49" t="s">
        <v>310</v>
      </c>
      <c r="DG297" s="49" t="s">
        <v>320</v>
      </c>
      <c r="DH297" s="49" t="s">
        <v>50</v>
      </c>
      <c r="DI297" s="49" t="s">
        <v>298</v>
      </c>
      <c r="DJ297" s="49" t="s">
        <v>346</v>
      </c>
      <c r="DK297" s="49" t="s">
        <v>322</v>
      </c>
      <c r="DL297" s="49" t="s">
        <v>323</v>
      </c>
      <c r="DM297" s="49" t="s">
        <v>303</v>
      </c>
      <c r="DN297" s="49" t="s">
        <v>297</v>
      </c>
      <c r="DO297" s="48"/>
      <c r="DP297" s="49" t="s">
        <v>312</v>
      </c>
      <c r="DQ297" s="48"/>
      <c r="DR297" s="49" t="s">
        <v>312</v>
      </c>
      <c r="DS297" s="49" t="s">
        <v>303</v>
      </c>
      <c r="DT297" s="49" t="s">
        <v>303</v>
      </c>
      <c r="DW297" s="49" t="s">
        <v>303</v>
      </c>
      <c r="EA297" s="49" t="s">
        <v>324</v>
      </c>
      <c r="EB297" s="49" t="s">
        <v>303</v>
      </c>
      <c r="EF297" s="49" t="s">
        <v>1288</v>
      </c>
      <c r="EH297" s="49" t="s">
        <v>310</v>
      </c>
      <c r="EJ297" s="49" t="s">
        <v>303</v>
      </c>
      <c r="EK297" s="49" t="s">
        <v>1289</v>
      </c>
      <c r="EM297" s="49" t="s">
        <v>303</v>
      </c>
      <c r="EN297" s="49" t="s">
        <v>348</v>
      </c>
      <c r="EP297" s="49" t="s">
        <v>298</v>
      </c>
      <c r="EQ297" s="0" t="n">
        <v>1</v>
      </c>
      <c r="ER297" s="49" t="s">
        <v>328</v>
      </c>
      <c r="ES297" s="49" t="s">
        <v>342</v>
      </c>
      <c r="ET297" s="49" t="s">
        <v>310</v>
      </c>
      <c r="EU297" s="49" t="s">
        <v>310</v>
      </c>
      <c r="EV297" s="49" t="s">
        <v>310</v>
      </c>
      <c r="EX297" s="49" t="s">
        <v>303</v>
      </c>
      <c r="EY297" s="49" t="s">
        <v>303</v>
      </c>
      <c r="FC297" s="49" t="s">
        <v>330</v>
      </c>
      <c r="FD297" s="49" t="s">
        <v>310</v>
      </c>
      <c r="FE297" s="49" t="s">
        <v>310</v>
      </c>
      <c r="FF297" s="49" t="s">
        <v>50</v>
      </c>
      <c r="FG297" s="49" t="s">
        <v>349</v>
      </c>
      <c r="FH297" s="49" t="s">
        <v>310</v>
      </c>
      <c r="FI297" s="49" t="s">
        <v>332</v>
      </c>
      <c r="FJ297" s="49" t="s">
        <v>303</v>
      </c>
      <c r="FL297" s="49" t="s">
        <v>325</v>
      </c>
      <c r="FM297" s="49" t="s">
        <v>1275</v>
      </c>
      <c r="FP297" s="49" t="s">
        <v>303</v>
      </c>
      <c r="FR297" s="49" t="s">
        <v>303</v>
      </c>
      <c r="FT297" s="49" t="s">
        <v>325</v>
      </c>
      <c r="FU297" s="49" t="s">
        <v>325</v>
      </c>
      <c r="FW297" s="49" t="s">
        <v>333</v>
      </c>
    </row>
    <row r="298" customFormat="false" ht="15" hidden="false" customHeight="false" outlineLevel="0" collapsed="false">
      <c r="A298" s="0" t="n">
        <v>100877052</v>
      </c>
      <c r="B298" s="0" t="s">
        <v>295</v>
      </c>
      <c r="C298" s="0" t="s">
        <v>53</v>
      </c>
      <c r="D298" s="0" t="s">
        <v>54</v>
      </c>
      <c r="E298" s="0" t="s">
        <v>297</v>
      </c>
      <c r="G298" s="0" t="n">
        <v>1</v>
      </c>
      <c r="H298" s="0" t="s">
        <v>298</v>
      </c>
      <c r="I298" s="48" t="n">
        <v>46276</v>
      </c>
      <c r="J298" s="0" t="n">
        <v>1</v>
      </c>
      <c r="K298" s="49" t="s">
        <v>1275</v>
      </c>
      <c r="L298" s="49" t="s">
        <v>1035</v>
      </c>
      <c r="M298" s="48" t="n">
        <v>46276</v>
      </c>
      <c r="N298" s="49" t="s">
        <v>1035</v>
      </c>
      <c r="O298" s="49" t="s">
        <v>1045</v>
      </c>
      <c r="P298" s="48"/>
      <c r="Q298" s="48" t="n">
        <v>46276</v>
      </c>
      <c r="R298" s="48" t="n">
        <v>46283</v>
      </c>
      <c r="T298" s="49" t="s">
        <v>302</v>
      </c>
      <c r="U298" s="49" t="s">
        <v>303</v>
      </c>
      <c r="Y298" s="49" t="s">
        <v>1290</v>
      </c>
      <c r="AD298" s="49" t="s">
        <v>305</v>
      </c>
      <c r="AE298" s="48" t="n">
        <v>46246</v>
      </c>
      <c r="AF298" s="49" t="s">
        <v>306</v>
      </c>
      <c r="AG298" s="49" t="s">
        <v>307</v>
      </c>
      <c r="AK298" s="49" t="s">
        <v>1047</v>
      </c>
      <c r="AL298" s="49" t="s">
        <v>297</v>
      </c>
      <c r="AO298" s="49" t="s">
        <v>303</v>
      </c>
      <c r="AP298" s="48"/>
      <c r="AR298" s="49" t="s">
        <v>303</v>
      </c>
      <c r="AS298" s="49" t="s">
        <v>306</v>
      </c>
      <c r="AT298" s="49" t="s">
        <v>1291</v>
      </c>
      <c r="AV298" s="49" t="s">
        <v>309</v>
      </c>
      <c r="AW298" s="49" t="s">
        <v>310</v>
      </c>
      <c r="AX298" s="49" t="s">
        <v>311</v>
      </c>
      <c r="AY298" s="48"/>
      <c r="AZ298" s="48" t="n">
        <v>46268</v>
      </c>
      <c r="BC298" s="49" t="s">
        <v>303</v>
      </c>
      <c r="BD298" s="48" t="n">
        <v>46284</v>
      </c>
      <c r="BE298" s="49" t="s">
        <v>1292</v>
      </c>
      <c r="BF298" s="49" t="s">
        <v>303</v>
      </c>
      <c r="BG298" s="48"/>
      <c r="BI298" s="48" t="n">
        <v>46284</v>
      </c>
      <c r="BJ298" s="48" t="n">
        <v>46281</v>
      </c>
      <c r="BK298" s="49" t="s">
        <v>312</v>
      </c>
      <c r="BL298" s="49" t="s">
        <v>313</v>
      </c>
      <c r="BM298" s="49" t="s">
        <v>310</v>
      </c>
      <c r="BN298" s="48"/>
      <c r="BO298" s="48"/>
      <c r="BP298" s="48"/>
      <c r="BQ298" s="49" t="s">
        <v>1275</v>
      </c>
      <c r="BR298" s="48" t="n">
        <v>46275</v>
      </c>
      <c r="BS298" s="49" t="s">
        <v>1293</v>
      </c>
      <c r="BT298" s="49" t="s">
        <v>312</v>
      </c>
      <c r="BU298" s="49" t="s">
        <v>312</v>
      </c>
      <c r="BV298" s="49" t="s">
        <v>303</v>
      </c>
      <c r="BX298" s="0" t="n">
        <v>1</v>
      </c>
      <c r="CC298" s="49" t="s">
        <v>315</v>
      </c>
      <c r="CD298" s="49" t="s">
        <v>303</v>
      </c>
      <c r="CF298" s="49" t="s">
        <v>303</v>
      </c>
      <c r="CG298" s="49" t="s">
        <v>316</v>
      </c>
      <c r="CH298" s="49" t="s">
        <v>317</v>
      </c>
      <c r="CI298" s="49" t="s">
        <v>318</v>
      </c>
      <c r="CM298" s="49" t="s">
        <v>54</v>
      </c>
      <c r="CV298" s="49" t="s">
        <v>303</v>
      </c>
      <c r="DB298" s="49" t="s">
        <v>319</v>
      </c>
      <c r="DD298" s="48" t="n">
        <v>46246</v>
      </c>
      <c r="DF298" s="49" t="s">
        <v>310</v>
      </c>
      <c r="DG298" s="49" t="s">
        <v>320</v>
      </c>
      <c r="DH298" s="49" t="s">
        <v>53</v>
      </c>
      <c r="DI298" s="49" t="s">
        <v>298</v>
      </c>
      <c r="DJ298" s="49" t="s">
        <v>355</v>
      </c>
      <c r="DK298" s="49" t="s">
        <v>322</v>
      </c>
      <c r="DL298" s="49" t="s">
        <v>323</v>
      </c>
      <c r="DM298" s="49" t="s">
        <v>303</v>
      </c>
      <c r="DN298" s="49" t="s">
        <v>297</v>
      </c>
      <c r="DO298" s="48"/>
      <c r="DP298" s="49" t="s">
        <v>312</v>
      </c>
      <c r="DQ298" s="48"/>
      <c r="DR298" s="49" t="s">
        <v>312</v>
      </c>
      <c r="DS298" s="49" t="s">
        <v>303</v>
      </c>
      <c r="DT298" s="49" t="s">
        <v>303</v>
      </c>
      <c r="DW298" s="49" t="s">
        <v>303</v>
      </c>
      <c r="EA298" s="49" t="s">
        <v>324</v>
      </c>
      <c r="EB298" s="49" t="s">
        <v>303</v>
      </c>
      <c r="EH298" s="49" t="s">
        <v>310</v>
      </c>
      <c r="EJ298" s="49" t="s">
        <v>303</v>
      </c>
      <c r="EK298" s="49" t="s">
        <v>1294</v>
      </c>
      <c r="EM298" s="49" t="s">
        <v>303</v>
      </c>
      <c r="EN298" s="49" t="s">
        <v>357</v>
      </c>
      <c r="EP298" s="49" t="s">
        <v>298</v>
      </c>
      <c r="EQ298" s="0" t="n">
        <v>1</v>
      </c>
      <c r="ER298" s="49" t="s">
        <v>328</v>
      </c>
      <c r="ES298" s="49" t="s">
        <v>358</v>
      </c>
      <c r="ET298" s="49" t="s">
        <v>310</v>
      </c>
      <c r="EU298" s="49" t="s">
        <v>310</v>
      </c>
      <c r="EV298" s="49" t="s">
        <v>310</v>
      </c>
      <c r="EX298" s="49" t="s">
        <v>303</v>
      </c>
      <c r="EY298" s="49" t="s">
        <v>303</v>
      </c>
      <c r="FC298" s="49" t="s">
        <v>330</v>
      </c>
      <c r="FD298" s="49" t="s">
        <v>310</v>
      </c>
      <c r="FE298" s="49" t="s">
        <v>310</v>
      </c>
      <c r="FF298" s="49" t="s">
        <v>53</v>
      </c>
      <c r="FG298" s="49" t="s">
        <v>359</v>
      </c>
      <c r="FH298" s="49" t="s">
        <v>310</v>
      </c>
      <c r="FI298" s="49" t="s">
        <v>332</v>
      </c>
      <c r="FJ298" s="49" t="s">
        <v>303</v>
      </c>
      <c r="FL298" s="49" t="s">
        <v>325</v>
      </c>
      <c r="FM298" s="49" t="s">
        <v>1275</v>
      </c>
      <c r="FP298" s="49" t="s">
        <v>303</v>
      </c>
      <c r="FR298" s="49" t="s">
        <v>303</v>
      </c>
      <c r="FT298" s="49" t="s">
        <v>325</v>
      </c>
      <c r="FU298" s="49" t="s">
        <v>325</v>
      </c>
      <c r="FW298" s="49" t="s">
        <v>333</v>
      </c>
    </row>
    <row r="299" customFormat="false" ht="15" hidden="false" customHeight="false" outlineLevel="0" collapsed="false">
      <c r="A299" s="0" t="n">
        <v>100877053</v>
      </c>
      <c r="B299" s="0" t="s">
        <v>295</v>
      </c>
      <c r="C299" s="0" t="s">
        <v>53</v>
      </c>
      <c r="D299" s="0" t="s">
        <v>54</v>
      </c>
      <c r="E299" s="0" t="s">
        <v>297</v>
      </c>
      <c r="G299" s="0" t="n">
        <v>1</v>
      </c>
      <c r="H299" s="0" t="s">
        <v>298</v>
      </c>
      <c r="I299" s="48" t="n">
        <v>46276</v>
      </c>
      <c r="J299" s="0" t="n">
        <v>1</v>
      </c>
      <c r="K299" s="49" t="s">
        <v>1275</v>
      </c>
      <c r="L299" s="49" t="s">
        <v>1035</v>
      </c>
      <c r="M299" s="48" t="n">
        <v>46276</v>
      </c>
      <c r="N299" s="49" t="s">
        <v>1035</v>
      </c>
      <c r="O299" s="49" t="s">
        <v>1052</v>
      </c>
      <c r="P299" s="48"/>
      <c r="Q299" s="48" t="n">
        <v>46276</v>
      </c>
      <c r="R299" s="48" t="n">
        <v>46283</v>
      </c>
      <c r="T299" s="49" t="s">
        <v>302</v>
      </c>
      <c r="U299" s="49" t="s">
        <v>303</v>
      </c>
      <c r="Y299" s="49" t="s">
        <v>1295</v>
      </c>
      <c r="AD299" s="49" t="s">
        <v>305</v>
      </c>
      <c r="AE299" s="48" t="n">
        <v>46253</v>
      </c>
      <c r="AF299" s="49" t="s">
        <v>306</v>
      </c>
      <c r="AG299" s="49" t="s">
        <v>307</v>
      </c>
      <c r="AK299" s="49" t="s">
        <v>1047</v>
      </c>
      <c r="AL299" s="49" t="s">
        <v>297</v>
      </c>
      <c r="AO299" s="49" t="s">
        <v>303</v>
      </c>
      <c r="AP299" s="48"/>
      <c r="AR299" s="49" t="s">
        <v>303</v>
      </c>
      <c r="AS299" s="49" t="s">
        <v>306</v>
      </c>
      <c r="AT299" s="49" t="s">
        <v>1296</v>
      </c>
      <c r="AV299" s="49" t="s">
        <v>309</v>
      </c>
      <c r="AW299" s="49" t="s">
        <v>310</v>
      </c>
      <c r="AX299" s="49" t="s">
        <v>311</v>
      </c>
      <c r="AY299" s="48"/>
      <c r="AZ299" s="48" t="n">
        <v>46268</v>
      </c>
      <c r="BC299" s="49" t="s">
        <v>303</v>
      </c>
      <c r="BD299" s="48" t="n">
        <v>46295</v>
      </c>
      <c r="BE299" s="49" t="s">
        <v>1297</v>
      </c>
      <c r="BF299" s="49" t="s">
        <v>303</v>
      </c>
      <c r="BG299" s="48"/>
      <c r="BI299" s="48" t="n">
        <v>46298</v>
      </c>
      <c r="BJ299" s="48" t="n">
        <v>46281</v>
      </c>
      <c r="BK299" s="49" t="s">
        <v>312</v>
      </c>
      <c r="BL299" s="49" t="s">
        <v>313</v>
      </c>
      <c r="BM299" s="49" t="s">
        <v>310</v>
      </c>
      <c r="BN299" s="48"/>
      <c r="BO299" s="48"/>
      <c r="BP299" s="48"/>
      <c r="BQ299" s="49" t="s">
        <v>1275</v>
      </c>
      <c r="BR299" s="48" t="n">
        <v>46275</v>
      </c>
      <c r="BS299" s="49" t="s">
        <v>1293</v>
      </c>
      <c r="BT299" s="49" t="s">
        <v>312</v>
      </c>
      <c r="BU299" s="49" t="s">
        <v>312</v>
      </c>
      <c r="BV299" s="49" t="s">
        <v>303</v>
      </c>
      <c r="BX299" s="0" t="n">
        <v>1</v>
      </c>
      <c r="CC299" s="49" t="s">
        <v>315</v>
      </c>
      <c r="CD299" s="49" t="s">
        <v>303</v>
      </c>
      <c r="CF299" s="49" t="s">
        <v>303</v>
      </c>
      <c r="CG299" s="49" t="s">
        <v>316</v>
      </c>
      <c r="CH299" s="49" t="s">
        <v>317</v>
      </c>
      <c r="CI299" s="49" t="s">
        <v>318</v>
      </c>
      <c r="CM299" s="49" t="s">
        <v>54</v>
      </c>
      <c r="CV299" s="49" t="s">
        <v>303</v>
      </c>
      <c r="DB299" s="49" t="s">
        <v>319</v>
      </c>
      <c r="DD299" s="48" t="n">
        <v>46253</v>
      </c>
      <c r="DF299" s="49" t="s">
        <v>310</v>
      </c>
      <c r="DG299" s="49" t="s">
        <v>320</v>
      </c>
      <c r="DH299" s="49" t="s">
        <v>53</v>
      </c>
      <c r="DI299" s="49" t="s">
        <v>298</v>
      </c>
      <c r="DJ299" s="49" t="s">
        <v>355</v>
      </c>
      <c r="DK299" s="49" t="s">
        <v>322</v>
      </c>
      <c r="DL299" s="49" t="s">
        <v>323</v>
      </c>
      <c r="DM299" s="49" t="s">
        <v>303</v>
      </c>
      <c r="DN299" s="49" t="s">
        <v>297</v>
      </c>
      <c r="DO299" s="48"/>
      <c r="DP299" s="49" t="s">
        <v>312</v>
      </c>
      <c r="DQ299" s="48"/>
      <c r="DR299" s="49" t="s">
        <v>312</v>
      </c>
      <c r="DS299" s="49" t="s">
        <v>303</v>
      </c>
      <c r="DT299" s="49" t="s">
        <v>303</v>
      </c>
      <c r="DW299" s="49" t="s">
        <v>303</v>
      </c>
      <c r="EA299" s="49" t="s">
        <v>324</v>
      </c>
      <c r="EB299" s="49" t="s">
        <v>303</v>
      </c>
      <c r="EH299" s="49" t="s">
        <v>310</v>
      </c>
      <c r="EJ299" s="49" t="s">
        <v>303</v>
      </c>
      <c r="EK299" s="49" t="s">
        <v>1298</v>
      </c>
      <c r="EM299" s="49" t="s">
        <v>303</v>
      </c>
      <c r="EN299" s="49" t="s">
        <v>357</v>
      </c>
      <c r="EP299" s="49" t="s">
        <v>298</v>
      </c>
      <c r="EQ299" s="0" t="n">
        <v>1</v>
      </c>
      <c r="ER299" s="49" t="s">
        <v>328</v>
      </c>
      <c r="ES299" s="49" t="s">
        <v>358</v>
      </c>
      <c r="ET299" s="49" t="s">
        <v>310</v>
      </c>
      <c r="EU299" s="49" t="s">
        <v>310</v>
      </c>
      <c r="EV299" s="49" t="s">
        <v>310</v>
      </c>
      <c r="EX299" s="49" t="s">
        <v>303</v>
      </c>
      <c r="EY299" s="49" t="s">
        <v>303</v>
      </c>
      <c r="FC299" s="49" t="s">
        <v>330</v>
      </c>
      <c r="FD299" s="49" t="s">
        <v>310</v>
      </c>
      <c r="FE299" s="49" t="s">
        <v>310</v>
      </c>
      <c r="FF299" s="49" t="s">
        <v>53</v>
      </c>
      <c r="FG299" s="49" t="s">
        <v>359</v>
      </c>
      <c r="FH299" s="49" t="s">
        <v>310</v>
      </c>
      <c r="FI299" s="49" t="s">
        <v>332</v>
      </c>
      <c r="FJ299" s="49" t="s">
        <v>303</v>
      </c>
      <c r="FL299" s="49" t="s">
        <v>325</v>
      </c>
      <c r="FM299" s="49" t="s">
        <v>1275</v>
      </c>
      <c r="FP299" s="49" t="s">
        <v>303</v>
      </c>
      <c r="FR299" s="49" t="s">
        <v>303</v>
      </c>
      <c r="FT299" s="49" t="s">
        <v>325</v>
      </c>
      <c r="FU299" s="49" t="s">
        <v>325</v>
      </c>
      <c r="FW299" s="49" t="s">
        <v>333</v>
      </c>
    </row>
    <row r="300" customFormat="false" ht="15" hidden="false" customHeight="false" outlineLevel="0" collapsed="false">
      <c r="A300" s="0" t="n">
        <v>100877054</v>
      </c>
      <c r="B300" s="0" t="s">
        <v>295</v>
      </c>
      <c r="C300" s="0" t="s">
        <v>53</v>
      </c>
      <c r="D300" s="0" t="s">
        <v>54</v>
      </c>
      <c r="E300" s="0" t="s">
        <v>297</v>
      </c>
      <c r="G300" s="0" t="n">
        <v>1</v>
      </c>
      <c r="H300" s="0" t="s">
        <v>298</v>
      </c>
      <c r="I300" s="48" t="n">
        <v>46276</v>
      </c>
      <c r="J300" s="0" t="n">
        <v>1</v>
      </c>
      <c r="K300" s="49" t="s">
        <v>1275</v>
      </c>
      <c r="L300" s="49" t="s">
        <v>1035</v>
      </c>
      <c r="M300" s="48"/>
      <c r="O300" s="49" t="s">
        <v>1045</v>
      </c>
      <c r="P300" s="48"/>
      <c r="Q300" s="48" t="n">
        <v>46276</v>
      </c>
      <c r="R300" s="48" t="n">
        <v>46282</v>
      </c>
      <c r="T300" s="49" t="s">
        <v>302</v>
      </c>
      <c r="U300" s="49" t="s">
        <v>303</v>
      </c>
      <c r="Y300" s="49" t="s">
        <v>312</v>
      </c>
      <c r="AD300" s="49" t="s">
        <v>305</v>
      </c>
      <c r="AE300" s="48" t="n">
        <v>46253</v>
      </c>
      <c r="AF300" s="49" t="s">
        <v>306</v>
      </c>
      <c r="AG300" s="49" t="s">
        <v>307</v>
      </c>
      <c r="AK300" s="49" t="s">
        <v>1047</v>
      </c>
      <c r="AL300" s="49" t="s">
        <v>297</v>
      </c>
      <c r="AO300" s="49" t="s">
        <v>303</v>
      </c>
      <c r="AP300" s="48"/>
      <c r="AR300" s="49" t="s">
        <v>303</v>
      </c>
      <c r="AS300" s="49" t="s">
        <v>306</v>
      </c>
      <c r="AT300" s="49" t="s">
        <v>1299</v>
      </c>
      <c r="AV300" s="49" t="s">
        <v>309</v>
      </c>
      <c r="AW300" s="49" t="s">
        <v>310</v>
      </c>
      <c r="AX300" s="49" t="s">
        <v>311</v>
      </c>
      <c r="AY300" s="48"/>
      <c r="AZ300" s="48" t="n">
        <v>46268</v>
      </c>
      <c r="BC300" s="49" t="s">
        <v>303</v>
      </c>
      <c r="BD300" s="48" t="n">
        <v>46284</v>
      </c>
      <c r="BE300" s="49" t="s">
        <v>1300</v>
      </c>
      <c r="BF300" s="49" t="s">
        <v>303</v>
      </c>
      <c r="BG300" s="48"/>
      <c r="BI300" s="48" t="n">
        <v>46284</v>
      </c>
      <c r="BJ300" s="48" t="n">
        <v>46281</v>
      </c>
      <c r="BK300" s="49" t="s">
        <v>313</v>
      </c>
      <c r="BL300" s="49" t="s">
        <v>313</v>
      </c>
      <c r="BM300" s="49" t="s">
        <v>310</v>
      </c>
      <c r="BN300" s="48"/>
      <c r="BO300" s="48"/>
      <c r="BP300" s="48"/>
      <c r="BQ300" s="49" t="s">
        <v>1275</v>
      </c>
      <c r="BR300" s="48" t="n">
        <v>46275</v>
      </c>
      <c r="BS300" s="49" t="s">
        <v>1293</v>
      </c>
      <c r="BT300" s="49" t="s">
        <v>312</v>
      </c>
      <c r="BU300" s="49" t="s">
        <v>312</v>
      </c>
      <c r="BV300" s="49" t="s">
        <v>303</v>
      </c>
      <c r="BX300" s="0" t="n">
        <v>1</v>
      </c>
      <c r="CC300" s="49" t="s">
        <v>315</v>
      </c>
      <c r="CD300" s="49" t="s">
        <v>303</v>
      </c>
      <c r="CF300" s="49" t="s">
        <v>303</v>
      </c>
      <c r="CG300" s="49" t="s">
        <v>316</v>
      </c>
      <c r="CH300" s="49" t="s">
        <v>317</v>
      </c>
      <c r="CI300" s="49" t="s">
        <v>318</v>
      </c>
      <c r="CM300" s="49" t="s">
        <v>54</v>
      </c>
      <c r="CV300" s="49" t="s">
        <v>303</v>
      </c>
      <c r="DB300" s="49" t="s">
        <v>319</v>
      </c>
      <c r="DD300" s="48" t="n">
        <v>46253</v>
      </c>
      <c r="DF300" s="49" t="s">
        <v>310</v>
      </c>
      <c r="DG300" s="49" t="s">
        <v>320</v>
      </c>
      <c r="DH300" s="49" t="s">
        <v>53</v>
      </c>
      <c r="DI300" s="49" t="s">
        <v>298</v>
      </c>
      <c r="DJ300" s="49" t="s">
        <v>355</v>
      </c>
      <c r="DK300" s="49" t="s">
        <v>322</v>
      </c>
      <c r="DL300" s="49" t="s">
        <v>323</v>
      </c>
      <c r="DM300" s="49" t="s">
        <v>303</v>
      </c>
      <c r="DN300" s="49" t="s">
        <v>297</v>
      </c>
      <c r="DO300" s="48"/>
      <c r="DP300" s="49" t="s">
        <v>312</v>
      </c>
      <c r="DQ300" s="48"/>
      <c r="DR300" s="49" t="s">
        <v>312</v>
      </c>
      <c r="DS300" s="49" t="s">
        <v>303</v>
      </c>
      <c r="DT300" s="49" t="s">
        <v>303</v>
      </c>
      <c r="DW300" s="49" t="s">
        <v>303</v>
      </c>
      <c r="EA300" s="49" t="s">
        <v>324</v>
      </c>
      <c r="EB300" s="49" t="s">
        <v>303</v>
      </c>
      <c r="EF300" s="49" t="s">
        <v>1301</v>
      </c>
      <c r="EH300" s="49" t="s">
        <v>310</v>
      </c>
      <c r="EJ300" s="49" t="s">
        <v>303</v>
      </c>
      <c r="EK300" s="49" t="s">
        <v>1302</v>
      </c>
      <c r="EM300" s="49" t="s">
        <v>303</v>
      </c>
      <c r="EN300" s="49" t="s">
        <v>357</v>
      </c>
      <c r="EP300" s="49" t="s">
        <v>298</v>
      </c>
      <c r="EQ300" s="0" t="n">
        <v>1</v>
      </c>
      <c r="ER300" s="49" t="s">
        <v>328</v>
      </c>
      <c r="ES300" s="49" t="s">
        <v>358</v>
      </c>
      <c r="ET300" s="49" t="s">
        <v>310</v>
      </c>
      <c r="EU300" s="49" t="s">
        <v>310</v>
      </c>
      <c r="EV300" s="49" t="s">
        <v>310</v>
      </c>
      <c r="EX300" s="49" t="s">
        <v>303</v>
      </c>
      <c r="EY300" s="49" t="s">
        <v>303</v>
      </c>
      <c r="FC300" s="49" t="s">
        <v>330</v>
      </c>
      <c r="FD300" s="49" t="s">
        <v>310</v>
      </c>
      <c r="FE300" s="49" t="s">
        <v>310</v>
      </c>
      <c r="FF300" s="49" t="s">
        <v>53</v>
      </c>
      <c r="FG300" s="49" t="s">
        <v>359</v>
      </c>
      <c r="FH300" s="49" t="s">
        <v>310</v>
      </c>
      <c r="FI300" s="49" t="s">
        <v>332</v>
      </c>
      <c r="FJ300" s="49" t="s">
        <v>303</v>
      </c>
      <c r="FL300" s="49" t="s">
        <v>325</v>
      </c>
      <c r="FM300" s="49" t="s">
        <v>1275</v>
      </c>
      <c r="FP300" s="49" t="s">
        <v>303</v>
      </c>
      <c r="FR300" s="49" t="s">
        <v>303</v>
      </c>
      <c r="FT300" s="49" t="s">
        <v>325</v>
      </c>
      <c r="FU300" s="49" t="s">
        <v>325</v>
      </c>
      <c r="FW300" s="49" t="s">
        <v>333</v>
      </c>
    </row>
    <row r="301" customFormat="false" ht="15" hidden="false" customHeight="false" outlineLevel="0" collapsed="false">
      <c r="A301" s="0" t="n">
        <v>100877055</v>
      </c>
      <c r="B301" s="0" t="s">
        <v>295</v>
      </c>
      <c r="C301" s="0" t="s">
        <v>53</v>
      </c>
      <c r="D301" s="0" t="s">
        <v>54</v>
      </c>
      <c r="E301" s="0" t="s">
        <v>297</v>
      </c>
      <c r="G301" s="0" t="n">
        <v>1</v>
      </c>
      <c r="H301" s="0" t="s">
        <v>298</v>
      </c>
      <c r="I301" s="48" t="n">
        <v>46276</v>
      </c>
      <c r="J301" s="0" t="n">
        <v>1</v>
      </c>
      <c r="K301" s="49" t="s">
        <v>1275</v>
      </c>
      <c r="L301" s="49" t="s">
        <v>1035</v>
      </c>
      <c r="M301" s="48"/>
      <c r="O301" s="49" t="s">
        <v>1045</v>
      </c>
      <c r="P301" s="48"/>
      <c r="Q301" s="48" t="n">
        <v>46276</v>
      </c>
      <c r="R301" s="48" t="n">
        <v>46282</v>
      </c>
      <c r="T301" s="49" t="s">
        <v>302</v>
      </c>
      <c r="U301" s="49" t="s">
        <v>303</v>
      </c>
      <c r="Y301" s="49" t="s">
        <v>312</v>
      </c>
      <c r="AD301" s="49" t="s">
        <v>305</v>
      </c>
      <c r="AE301" s="48" t="n">
        <v>46253</v>
      </c>
      <c r="AF301" s="49" t="s">
        <v>306</v>
      </c>
      <c r="AG301" s="49" t="s">
        <v>307</v>
      </c>
      <c r="AK301" s="49" t="s">
        <v>1047</v>
      </c>
      <c r="AL301" s="49" t="s">
        <v>297</v>
      </c>
      <c r="AO301" s="49" t="s">
        <v>303</v>
      </c>
      <c r="AP301" s="48"/>
      <c r="AR301" s="49" t="s">
        <v>303</v>
      </c>
      <c r="AS301" s="49" t="s">
        <v>306</v>
      </c>
      <c r="AT301" s="49" t="s">
        <v>1303</v>
      </c>
      <c r="AV301" s="49" t="s">
        <v>309</v>
      </c>
      <c r="AW301" s="49" t="s">
        <v>310</v>
      </c>
      <c r="AX301" s="49" t="s">
        <v>311</v>
      </c>
      <c r="AY301" s="48"/>
      <c r="AZ301" s="48" t="n">
        <v>46268</v>
      </c>
      <c r="BC301" s="49" t="s">
        <v>303</v>
      </c>
      <c r="BD301" s="48" t="n">
        <v>46284</v>
      </c>
      <c r="BE301" s="49" t="s">
        <v>1304</v>
      </c>
      <c r="BF301" s="49" t="s">
        <v>303</v>
      </c>
      <c r="BG301" s="48"/>
      <c r="BI301" s="48" t="n">
        <v>46284</v>
      </c>
      <c r="BJ301" s="48" t="n">
        <v>46281</v>
      </c>
      <c r="BK301" s="49" t="s">
        <v>313</v>
      </c>
      <c r="BL301" s="49" t="s">
        <v>313</v>
      </c>
      <c r="BM301" s="49" t="s">
        <v>310</v>
      </c>
      <c r="BN301" s="48"/>
      <c r="BO301" s="48"/>
      <c r="BP301" s="48"/>
      <c r="BQ301" s="49" t="s">
        <v>1275</v>
      </c>
      <c r="BR301" s="48" t="n">
        <v>46275</v>
      </c>
      <c r="BS301" s="49" t="s">
        <v>1305</v>
      </c>
      <c r="BT301" s="49" t="s">
        <v>312</v>
      </c>
      <c r="BU301" s="49" t="s">
        <v>312</v>
      </c>
      <c r="BV301" s="49" t="s">
        <v>303</v>
      </c>
      <c r="BX301" s="0" t="n">
        <v>1</v>
      </c>
      <c r="CC301" s="49" t="s">
        <v>315</v>
      </c>
      <c r="CD301" s="49" t="s">
        <v>303</v>
      </c>
      <c r="CF301" s="49" t="s">
        <v>303</v>
      </c>
      <c r="CG301" s="49" t="s">
        <v>316</v>
      </c>
      <c r="CH301" s="49" t="s">
        <v>317</v>
      </c>
      <c r="CI301" s="49" t="s">
        <v>318</v>
      </c>
      <c r="CM301" s="49" t="s">
        <v>54</v>
      </c>
      <c r="CV301" s="49" t="s">
        <v>303</v>
      </c>
      <c r="DB301" s="49" t="s">
        <v>319</v>
      </c>
      <c r="DD301" s="48" t="n">
        <v>46253</v>
      </c>
      <c r="DF301" s="49" t="s">
        <v>310</v>
      </c>
      <c r="DG301" s="49" t="s">
        <v>320</v>
      </c>
      <c r="DH301" s="49" t="s">
        <v>53</v>
      </c>
      <c r="DI301" s="49" t="s">
        <v>298</v>
      </c>
      <c r="DJ301" s="49" t="s">
        <v>355</v>
      </c>
      <c r="DK301" s="49" t="s">
        <v>322</v>
      </c>
      <c r="DL301" s="49" t="s">
        <v>323</v>
      </c>
      <c r="DM301" s="49" t="s">
        <v>303</v>
      </c>
      <c r="DN301" s="49" t="s">
        <v>297</v>
      </c>
      <c r="DO301" s="48"/>
      <c r="DP301" s="49" t="s">
        <v>312</v>
      </c>
      <c r="DQ301" s="48"/>
      <c r="DR301" s="49" t="s">
        <v>312</v>
      </c>
      <c r="DS301" s="49" t="s">
        <v>303</v>
      </c>
      <c r="DT301" s="49" t="s">
        <v>303</v>
      </c>
      <c r="DW301" s="49" t="s">
        <v>303</v>
      </c>
      <c r="EA301" s="49" t="s">
        <v>324</v>
      </c>
      <c r="EB301" s="49" t="s">
        <v>303</v>
      </c>
      <c r="EF301" s="49" t="s">
        <v>1301</v>
      </c>
      <c r="EH301" s="49" t="s">
        <v>310</v>
      </c>
      <c r="EJ301" s="49" t="s">
        <v>303</v>
      </c>
      <c r="EK301" s="49" t="s">
        <v>1306</v>
      </c>
      <c r="EM301" s="49" t="s">
        <v>303</v>
      </c>
      <c r="EN301" s="49" t="s">
        <v>357</v>
      </c>
      <c r="EP301" s="49" t="s">
        <v>298</v>
      </c>
      <c r="EQ301" s="0" t="n">
        <v>1</v>
      </c>
      <c r="ER301" s="49" t="s">
        <v>328</v>
      </c>
      <c r="ES301" s="49" t="s">
        <v>358</v>
      </c>
      <c r="ET301" s="49" t="s">
        <v>310</v>
      </c>
      <c r="EU301" s="49" t="s">
        <v>310</v>
      </c>
      <c r="EV301" s="49" t="s">
        <v>310</v>
      </c>
      <c r="EX301" s="49" t="s">
        <v>303</v>
      </c>
      <c r="EY301" s="49" t="s">
        <v>303</v>
      </c>
      <c r="FC301" s="49" t="s">
        <v>330</v>
      </c>
      <c r="FD301" s="49" t="s">
        <v>310</v>
      </c>
      <c r="FE301" s="49" t="s">
        <v>310</v>
      </c>
      <c r="FF301" s="49" t="s">
        <v>53</v>
      </c>
      <c r="FG301" s="49" t="s">
        <v>359</v>
      </c>
      <c r="FH301" s="49" t="s">
        <v>310</v>
      </c>
      <c r="FI301" s="49" t="s">
        <v>332</v>
      </c>
      <c r="FJ301" s="49" t="s">
        <v>303</v>
      </c>
      <c r="FL301" s="49" t="s">
        <v>325</v>
      </c>
      <c r="FM301" s="49" t="s">
        <v>1275</v>
      </c>
      <c r="FP301" s="49" t="s">
        <v>303</v>
      </c>
      <c r="FR301" s="49" t="s">
        <v>303</v>
      </c>
      <c r="FT301" s="49" t="s">
        <v>325</v>
      </c>
      <c r="FU301" s="49" t="s">
        <v>325</v>
      </c>
      <c r="FW301" s="49" t="s">
        <v>333</v>
      </c>
    </row>
    <row r="302" customFormat="false" ht="15" hidden="false" customHeight="false" outlineLevel="0" collapsed="false">
      <c r="A302" s="0" t="n">
        <v>100877056</v>
      </c>
      <c r="B302" s="0" t="s">
        <v>295</v>
      </c>
      <c r="C302" s="0" t="s">
        <v>53</v>
      </c>
      <c r="D302" s="0" t="s">
        <v>54</v>
      </c>
      <c r="E302" s="0" t="s">
        <v>297</v>
      </c>
      <c r="G302" s="0" t="n">
        <v>1</v>
      </c>
      <c r="H302" s="0" t="s">
        <v>298</v>
      </c>
      <c r="I302" s="48" t="n">
        <v>46276</v>
      </c>
      <c r="J302" s="0" t="n">
        <v>1</v>
      </c>
      <c r="K302" s="49" t="s">
        <v>1275</v>
      </c>
      <c r="L302" s="49" t="s">
        <v>1035</v>
      </c>
      <c r="M302" s="48"/>
      <c r="O302" s="49" t="s">
        <v>1045</v>
      </c>
      <c r="P302" s="48"/>
      <c r="Q302" s="48" t="n">
        <v>46276</v>
      </c>
      <c r="R302" s="48" t="n">
        <v>46282</v>
      </c>
      <c r="T302" s="49" t="s">
        <v>302</v>
      </c>
      <c r="U302" s="49" t="s">
        <v>303</v>
      </c>
      <c r="Y302" s="49" t="s">
        <v>312</v>
      </c>
      <c r="AD302" s="49" t="s">
        <v>305</v>
      </c>
      <c r="AE302" s="48" t="n">
        <v>46253</v>
      </c>
      <c r="AF302" s="49" t="s">
        <v>306</v>
      </c>
      <c r="AG302" s="49" t="s">
        <v>307</v>
      </c>
      <c r="AK302" s="49" t="s">
        <v>1047</v>
      </c>
      <c r="AL302" s="49" t="s">
        <v>297</v>
      </c>
      <c r="AO302" s="49" t="s">
        <v>303</v>
      </c>
      <c r="AP302" s="48"/>
      <c r="AR302" s="49" t="s">
        <v>303</v>
      </c>
      <c r="AS302" s="49" t="s">
        <v>306</v>
      </c>
      <c r="AT302" s="49" t="s">
        <v>1307</v>
      </c>
      <c r="AV302" s="49" t="s">
        <v>309</v>
      </c>
      <c r="AW302" s="49" t="s">
        <v>310</v>
      </c>
      <c r="AX302" s="49" t="s">
        <v>311</v>
      </c>
      <c r="AY302" s="48"/>
      <c r="AZ302" s="48" t="n">
        <v>46268</v>
      </c>
      <c r="BC302" s="49" t="s">
        <v>303</v>
      </c>
      <c r="BD302" s="48" t="n">
        <v>46295</v>
      </c>
      <c r="BE302" s="49" t="s">
        <v>1308</v>
      </c>
      <c r="BF302" s="49" t="s">
        <v>303</v>
      </c>
      <c r="BG302" s="48"/>
      <c r="BI302" s="48" t="n">
        <v>46295</v>
      </c>
      <c r="BJ302" s="48" t="n">
        <v>46281</v>
      </c>
      <c r="BK302" s="49" t="s">
        <v>313</v>
      </c>
      <c r="BL302" s="49" t="s">
        <v>313</v>
      </c>
      <c r="BM302" s="49" t="s">
        <v>310</v>
      </c>
      <c r="BN302" s="48"/>
      <c r="BO302" s="48"/>
      <c r="BP302" s="48"/>
      <c r="BQ302" s="49" t="s">
        <v>1275</v>
      </c>
      <c r="BR302" s="48" t="n">
        <v>46275</v>
      </c>
      <c r="BS302" s="49" t="s">
        <v>1305</v>
      </c>
      <c r="BT302" s="49" t="s">
        <v>312</v>
      </c>
      <c r="BU302" s="49" t="s">
        <v>312</v>
      </c>
      <c r="BV302" s="49" t="s">
        <v>303</v>
      </c>
      <c r="BX302" s="0" t="n">
        <v>1</v>
      </c>
      <c r="CC302" s="49" t="s">
        <v>315</v>
      </c>
      <c r="CD302" s="49" t="s">
        <v>303</v>
      </c>
      <c r="CF302" s="49" t="s">
        <v>303</v>
      </c>
      <c r="CG302" s="49" t="s">
        <v>316</v>
      </c>
      <c r="CH302" s="49" t="s">
        <v>317</v>
      </c>
      <c r="CI302" s="49" t="s">
        <v>318</v>
      </c>
      <c r="CM302" s="49" t="s">
        <v>54</v>
      </c>
      <c r="CV302" s="49" t="s">
        <v>303</v>
      </c>
      <c r="DB302" s="49" t="s">
        <v>319</v>
      </c>
      <c r="DD302" s="48" t="n">
        <v>46253</v>
      </c>
      <c r="DF302" s="49" t="s">
        <v>310</v>
      </c>
      <c r="DG302" s="49" t="s">
        <v>320</v>
      </c>
      <c r="DH302" s="49" t="s">
        <v>53</v>
      </c>
      <c r="DI302" s="49" t="s">
        <v>298</v>
      </c>
      <c r="DJ302" s="49" t="s">
        <v>355</v>
      </c>
      <c r="DK302" s="49" t="s">
        <v>322</v>
      </c>
      <c r="DL302" s="49" t="s">
        <v>323</v>
      </c>
      <c r="DM302" s="49" t="s">
        <v>303</v>
      </c>
      <c r="DN302" s="49" t="s">
        <v>297</v>
      </c>
      <c r="DO302" s="48"/>
      <c r="DP302" s="49" t="s">
        <v>312</v>
      </c>
      <c r="DQ302" s="48"/>
      <c r="DR302" s="49" t="s">
        <v>312</v>
      </c>
      <c r="DS302" s="49" t="s">
        <v>303</v>
      </c>
      <c r="DT302" s="49" t="s">
        <v>303</v>
      </c>
      <c r="DW302" s="49" t="s">
        <v>303</v>
      </c>
      <c r="EA302" s="49" t="s">
        <v>324</v>
      </c>
      <c r="EB302" s="49" t="s">
        <v>303</v>
      </c>
      <c r="EF302" s="49" t="s">
        <v>1301</v>
      </c>
      <c r="EH302" s="49" t="s">
        <v>310</v>
      </c>
      <c r="EJ302" s="49" t="s">
        <v>303</v>
      </c>
      <c r="EK302" s="49" t="s">
        <v>1309</v>
      </c>
      <c r="EM302" s="49" t="s">
        <v>303</v>
      </c>
      <c r="EN302" s="49" t="s">
        <v>357</v>
      </c>
      <c r="EP302" s="49" t="s">
        <v>298</v>
      </c>
      <c r="EQ302" s="0" t="n">
        <v>1</v>
      </c>
      <c r="ER302" s="49" t="s">
        <v>328</v>
      </c>
      <c r="ES302" s="49" t="s">
        <v>358</v>
      </c>
      <c r="ET302" s="49" t="s">
        <v>310</v>
      </c>
      <c r="EU302" s="49" t="s">
        <v>310</v>
      </c>
      <c r="EV302" s="49" t="s">
        <v>310</v>
      </c>
      <c r="EX302" s="49" t="s">
        <v>303</v>
      </c>
      <c r="EY302" s="49" t="s">
        <v>303</v>
      </c>
      <c r="FC302" s="49" t="s">
        <v>330</v>
      </c>
      <c r="FD302" s="49" t="s">
        <v>310</v>
      </c>
      <c r="FE302" s="49" t="s">
        <v>310</v>
      </c>
      <c r="FF302" s="49" t="s">
        <v>53</v>
      </c>
      <c r="FG302" s="49" t="s">
        <v>359</v>
      </c>
      <c r="FH302" s="49" t="s">
        <v>310</v>
      </c>
      <c r="FI302" s="49" t="s">
        <v>332</v>
      </c>
      <c r="FJ302" s="49" t="s">
        <v>303</v>
      </c>
      <c r="FL302" s="49" t="s">
        <v>325</v>
      </c>
      <c r="FM302" s="49" t="s">
        <v>1275</v>
      </c>
      <c r="FP302" s="49" t="s">
        <v>303</v>
      </c>
      <c r="FR302" s="49" t="s">
        <v>303</v>
      </c>
      <c r="FT302" s="49" t="s">
        <v>325</v>
      </c>
      <c r="FU302" s="49" t="s">
        <v>325</v>
      </c>
      <c r="FW302" s="49" t="s">
        <v>333</v>
      </c>
    </row>
    <row r="303" customFormat="false" ht="15" hidden="false" customHeight="false" outlineLevel="0" collapsed="false">
      <c r="A303" s="0" t="n">
        <v>100877057</v>
      </c>
      <c r="B303" s="0" t="s">
        <v>295</v>
      </c>
      <c r="C303" s="0" t="s">
        <v>53</v>
      </c>
      <c r="D303" s="0" t="s">
        <v>54</v>
      </c>
      <c r="E303" s="0" t="s">
        <v>297</v>
      </c>
      <c r="G303" s="0" t="n">
        <v>1</v>
      </c>
      <c r="H303" s="0" t="s">
        <v>298</v>
      </c>
      <c r="I303" s="48" t="n">
        <v>46276</v>
      </c>
      <c r="J303" s="0" t="n">
        <v>1</v>
      </c>
      <c r="K303" s="49" t="s">
        <v>1275</v>
      </c>
      <c r="L303" s="49" t="s">
        <v>1035</v>
      </c>
      <c r="M303" s="48"/>
      <c r="O303" s="49" t="s">
        <v>1045</v>
      </c>
      <c r="P303" s="48"/>
      <c r="Q303" s="48" t="n">
        <v>46276</v>
      </c>
      <c r="R303" s="48" t="n">
        <v>46282</v>
      </c>
      <c r="T303" s="49" t="s">
        <v>302</v>
      </c>
      <c r="U303" s="49" t="s">
        <v>303</v>
      </c>
      <c r="Y303" s="49" t="s">
        <v>312</v>
      </c>
      <c r="AD303" s="49" t="s">
        <v>305</v>
      </c>
      <c r="AE303" s="48" t="n">
        <v>46253</v>
      </c>
      <c r="AF303" s="49" t="s">
        <v>306</v>
      </c>
      <c r="AG303" s="49" t="s">
        <v>307</v>
      </c>
      <c r="AK303" s="49" t="s">
        <v>1047</v>
      </c>
      <c r="AL303" s="49" t="s">
        <v>297</v>
      </c>
      <c r="AO303" s="49" t="s">
        <v>303</v>
      </c>
      <c r="AP303" s="48"/>
      <c r="AR303" s="49" t="s">
        <v>303</v>
      </c>
      <c r="AS303" s="49" t="s">
        <v>306</v>
      </c>
      <c r="AT303" s="49" t="s">
        <v>1310</v>
      </c>
      <c r="AV303" s="49" t="s">
        <v>309</v>
      </c>
      <c r="AW303" s="49" t="s">
        <v>310</v>
      </c>
      <c r="AX303" s="49" t="s">
        <v>311</v>
      </c>
      <c r="AY303" s="48"/>
      <c r="AZ303" s="48" t="n">
        <v>46268</v>
      </c>
      <c r="BC303" s="49" t="s">
        <v>303</v>
      </c>
      <c r="BD303" s="48" t="n">
        <v>46295</v>
      </c>
      <c r="BE303" s="49" t="s">
        <v>1311</v>
      </c>
      <c r="BF303" s="49" t="s">
        <v>303</v>
      </c>
      <c r="BG303" s="48"/>
      <c r="BI303" s="48" t="n">
        <v>46295</v>
      </c>
      <c r="BJ303" s="48" t="n">
        <v>46281</v>
      </c>
      <c r="BK303" s="49" t="s">
        <v>313</v>
      </c>
      <c r="BL303" s="49" t="s">
        <v>313</v>
      </c>
      <c r="BM303" s="49" t="s">
        <v>310</v>
      </c>
      <c r="BN303" s="48"/>
      <c r="BO303" s="48"/>
      <c r="BP303" s="48"/>
      <c r="BQ303" s="49" t="s">
        <v>1275</v>
      </c>
      <c r="BR303" s="48" t="n">
        <v>46275</v>
      </c>
      <c r="BS303" s="49" t="s">
        <v>1305</v>
      </c>
      <c r="BT303" s="49" t="s">
        <v>312</v>
      </c>
      <c r="BU303" s="49" t="s">
        <v>312</v>
      </c>
      <c r="BV303" s="49" t="s">
        <v>303</v>
      </c>
      <c r="BX303" s="0" t="n">
        <v>1</v>
      </c>
      <c r="CC303" s="49" t="s">
        <v>315</v>
      </c>
      <c r="CD303" s="49" t="s">
        <v>303</v>
      </c>
      <c r="CF303" s="49" t="s">
        <v>303</v>
      </c>
      <c r="CG303" s="49" t="s">
        <v>316</v>
      </c>
      <c r="CH303" s="49" t="s">
        <v>317</v>
      </c>
      <c r="CI303" s="49" t="s">
        <v>318</v>
      </c>
      <c r="CM303" s="49" t="s">
        <v>54</v>
      </c>
      <c r="CV303" s="49" t="s">
        <v>303</v>
      </c>
      <c r="DB303" s="49" t="s">
        <v>319</v>
      </c>
      <c r="DD303" s="48" t="n">
        <v>46253</v>
      </c>
      <c r="DF303" s="49" t="s">
        <v>310</v>
      </c>
      <c r="DG303" s="49" t="s">
        <v>320</v>
      </c>
      <c r="DH303" s="49" t="s">
        <v>53</v>
      </c>
      <c r="DI303" s="49" t="s">
        <v>298</v>
      </c>
      <c r="DJ303" s="49" t="s">
        <v>355</v>
      </c>
      <c r="DK303" s="49" t="s">
        <v>322</v>
      </c>
      <c r="DL303" s="49" t="s">
        <v>323</v>
      </c>
      <c r="DM303" s="49" t="s">
        <v>303</v>
      </c>
      <c r="DN303" s="49" t="s">
        <v>297</v>
      </c>
      <c r="DO303" s="48"/>
      <c r="DP303" s="49" t="s">
        <v>312</v>
      </c>
      <c r="DQ303" s="48"/>
      <c r="DR303" s="49" t="s">
        <v>312</v>
      </c>
      <c r="DS303" s="49" t="s">
        <v>303</v>
      </c>
      <c r="DT303" s="49" t="s">
        <v>303</v>
      </c>
      <c r="DW303" s="49" t="s">
        <v>303</v>
      </c>
      <c r="EA303" s="49" t="s">
        <v>324</v>
      </c>
      <c r="EB303" s="49" t="s">
        <v>303</v>
      </c>
      <c r="EF303" s="49" t="s">
        <v>1301</v>
      </c>
      <c r="EH303" s="49" t="s">
        <v>310</v>
      </c>
      <c r="EJ303" s="49" t="s">
        <v>303</v>
      </c>
      <c r="EK303" s="49" t="s">
        <v>1312</v>
      </c>
      <c r="EM303" s="49" t="s">
        <v>303</v>
      </c>
      <c r="EN303" s="49" t="s">
        <v>357</v>
      </c>
      <c r="EP303" s="49" t="s">
        <v>298</v>
      </c>
      <c r="EQ303" s="0" t="n">
        <v>1</v>
      </c>
      <c r="ER303" s="49" t="s">
        <v>328</v>
      </c>
      <c r="ES303" s="49" t="s">
        <v>358</v>
      </c>
      <c r="ET303" s="49" t="s">
        <v>310</v>
      </c>
      <c r="EU303" s="49" t="s">
        <v>310</v>
      </c>
      <c r="EV303" s="49" t="s">
        <v>310</v>
      </c>
      <c r="EX303" s="49" t="s">
        <v>303</v>
      </c>
      <c r="EY303" s="49" t="s">
        <v>303</v>
      </c>
      <c r="FC303" s="49" t="s">
        <v>330</v>
      </c>
      <c r="FD303" s="49" t="s">
        <v>310</v>
      </c>
      <c r="FE303" s="49" t="s">
        <v>310</v>
      </c>
      <c r="FF303" s="49" t="s">
        <v>53</v>
      </c>
      <c r="FG303" s="49" t="s">
        <v>359</v>
      </c>
      <c r="FH303" s="49" t="s">
        <v>310</v>
      </c>
      <c r="FI303" s="49" t="s">
        <v>332</v>
      </c>
      <c r="FJ303" s="49" t="s">
        <v>303</v>
      </c>
      <c r="FL303" s="49" t="s">
        <v>325</v>
      </c>
      <c r="FM303" s="49" t="s">
        <v>1275</v>
      </c>
      <c r="FP303" s="49" t="s">
        <v>303</v>
      </c>
      <c r="FR303" s="49" t="s">
        <v>303</v>
      </c>
      <c r="FT303" s="49" t="s">
        <v>325</v>
      </c>
      <c r="FU303" s="49" t="s">
        <v>325</v>
      </c>
      <c r="FW303" s="49" t="s">
        <v>333</v>
      </c>
    </row>
    <row r="304" customFormat="false" ht="15" hidden="false" customHeight="false" outlineLevel="0" collapsed="false">
      <c r="A304" s="0" t="n">
        <v>100877011</v>
      </c>
      <c r="B304" s="0" t="s">
        <v>295</v>
      </c>
      <c r="C304" s="0" t="s">
        <v>61</v>
      </c>
      <c r="D304" s="0" t="s">
        <v>62</v>
      </c>
      <c r="E304" s="0" t="s">
        <v>297</v>
      </c>
      <c r="G304" s="0" t="n">
        <v>1</v>
      </c>
      <c r="H304" s="0" t="s">
        <v>298</v>
      </c>
      <c r="I304" s="48" t="n">
        <v>46275</v>
      </c>
      <c r="J304" s="0" t="n">
        <v>1</v>
      </c>
      <c r="K304" s="49" t="s">
        <v>1313</v>
      </c>
      <c r="L304" s="49" t="s">
        <v>335</v>
      </c>
      <c r="M304" s="48" t="n">
        <v>46275</v>
      </c>
      <c r="N304" s="49" t="s">
        <v>335</v>
      </c>
      <c r="O304" s="49" t="s">
        <v>1045</v>
      </c>
      <c r="P304" s="48"/>
      <c r="Q304" s="48" t="n">
        <v>46275</v>
      </c>
      <c r="R304" s="48" t="n">
        <v>46282</v>
      </c>
      <c r="T304" s="49" t="s">
        <v>302</v>
      </c>
      <c r="U304" s="49" t="s">
        <v>303</v>
      </c>
      <c r="Y304" s="49" t="s">
        <v>1314</v>
      </c>
      <c r="AD304" s="49" t="s">
        <v>305</v>
      </c>
      <c r="AE304" s="48" t="n">
        <v>46254</v>
      </c>
      <c r="AF304" s="49" t="s">
        <v>306</v>
      </c>
      <c r="AG304" s="49" t="s">
        <v>307</v>
      </c>
      <c r="AK304" s="49" t="s">
        <v>1047</v>
      </c>
      <c r="AL304" s="49" t="s">
        <v>297</v>
      </c>
      <c r="AO304" s="49" t="s">
        <v>303</v>
      </c>
      <c r="AP304" s="48"/>
      <c r="AR304" s="49" t="s">
        <v>303</v>
      </c>
      <c r="AS304" s="49" t="s">
        <v>306</v>
      </c>
      <c r="AT304" s="49" t="s">
        <v>1315</v>
      </c>
      <c r="AV304" s="49" t="s">
        <v>309</v>
      </c>
      <c r="AW304" s="49" t="s">
        <v>310</v>
      </c>
      <c r="AX304" s="49" t="s">
        <v>311</v>
      </c>
      <c r="AY304" s="48"/>
      <c r="AZ304" s="48" t="n">
        <v>46273</v>
      </c>
      <c r="BC304" s="49" t="s">
        <v>303</v>
      </c>
      <c r="BD304" s="48" t="n">
        <v>46293</v>
      </c>
      <c r="BE304" s="49" t="s">
        <v>1316</v>
      </c>
      <c r="BF304" s="49" t="s">
        <v>303</v>
      </c>
      <c r="BG304" s="48"/>
      <c r="BI304" s="48" t="n">
        <v>46293</v>
      </c>
      <c r="BJ304" s="48" t="n">
        <v>46280</v>
      </c>
      <c r="BK304" s="49" t="s">
        <v>312</v>
      </c>
      <c r="BL304" s="49" t="s">
        <v>313</v>
      </c>
      <c r="BM304" s="49" t="s">
        <v>310</v>
      </c>
      <c r="BN304" s="48"/>
      <c r="BO304" s="48"/>
      <c r="BP304" s="48"/>
      <c r="BQ304" s="49" t="s">
        <v>1275</v>
      </c>
      <c r="BR304" s="48" t="n">
        <v>46280</v>
      </c>
      <c r="BS304" s="49" t="s">
        <v>1317</v>
      </c>
      <c r="BT304" s="49" t="s">
        <v>312</v>
      </c>
      <c r="BU304" s="49" t="s">
        <v>313</v>
      </c>
      <c r="BV304" s="49" t="s">
        <v>303</v>
      </c>
      <c r="BX304" s="0" t="n">
        <v>1</v>
      </c>
      <c r="CC304" s="49" t="s">
        <v>315</v>
      </c>
      <c r="CD304" s="49" t="s">
        <v>303</v>
      </c>
      <c r="CF304" s="49" t="s">
        <v>303</v>
      </c>
      <c r="CG304" s="49" t="s">
        <v>316</v>
      </c>
      <c r="CH304" s="49" t="s">
        <v>317</v>
      </c>
      <c r="CI304" s="49" t="s">
        <v>318</v>
      </c>
      <c r="CM304" s="49" t="s">
        <v>62</v>
      </c>
      <c r="CV304" s="49" t="s">
        <v>303</v>
      </c>
      <c r="DB304" s="49" t="s">
        <v>319</v>
      </c>
      <c r="DD304" s="48" t="n">
        <v>46254</v>
      </c>
      <c r="DF304" s="49" t="s">
        <v>310</v>
      </c>
      <c r="DG304" s="49" t="s">
        <v>320</v>
      </c>
      <c r="DH304" s="49" t="s">
        <v>61</v>
      </c>
      <c r="DI304" s="49" t="s">
        <v>298</v>
      </c>
      <c r="DJ304" s="49" t="s">
        <v>381</v>
      </c>
      <c r="DK304" s="49" t="s">
        <v>322</v>
      </c>
      <c r="DL304" s="49" t="s">
        <v>323</v>
      </c>
      <c r="DM304" s="49" t="s">
        <v>303</v>
      </c>
      <c r="DN304" s="49" t="s">
        <v>297</v>
      </c>
      <c r="DO304" s="48"/>
      <c r="DP304" s="49" t="s">
        <v>312</v>
      </c>
      <c r="DQ304" s="48"/>
      <c r="DR304" s="49" t="s">
        <v>312</v>
      </c>
      <c r="DS304" s="49" t="s">
        <v>303</v>
      </c>
      <c r="DT304" s="49" t="s">
        <v>303</v>
      </c>
      <c r="DW304" s="49" t="s">
        <v>303</v>
      </c>
      <c r="EA304" s="49" t="s">
        <v>324</v>
      </c>
      <c r="EB304" s="49" t="s">
        <v>303</v>
      </c>
      <c r="EH304" s="49" t="s">
        <v>310</v>
      </c>
      <c r="EJ304" s="49" t="s">
        <v>303</v>
      </c>
      <c r="EK304" s="49" t="s">
        <v>1318</v>
      </c>
      <c r="EM304" s="49" t="s">
        <v>303</v>
      </c>
      <c r="EN304" s="49" t="s">
        <v>383</v>
      </c>
      <c r="EP304" s="49" t="s">
        <v>298</v>
      </c>
      <c r="EQ304" s="0" t="n">
        <v>1</v>
      </c>
      <c r="ER304" s="49" t="s">
        <v>328</v>
      </c>
      <c r="ES304" s="49" t="s">
        <v>384</v>
      </c>
      <c r="ET304" s="49" t="s">
        <v>310</v>
      </c>
      <c r="EU304" s="49" t="s">
        <v>310</v>
      </c>
      <c r="EV304" s="49" t="s">
        <v>310</v>
      </c>
      <c r="EX304" s="49" t="s">
        <v>303</v>
      </c>
      <c r="EY304" s="49" t="s">
        <v>303</v>
      </c>
      <c r="FC304" s="49" t="s">
        <v>330</v>
      </c>
      <c r="FD304" s="49" t="s">
        <v>310</v>
      </c>
      <c r="FE304" s="49" t="s">
        <v>310</v>
      </c>
      <c r="FF304" s="49" t="s">
        <v>61</v>
      </c>
      <c r="FG304" s="49" t="s">
        <v>385</v>
      </c>
      <c r="FH304" s="49" t="s">
        <v>310</v>
      </c>
      <c r="FI304" s="49" t="s">
        <v>332</v>
      </c>
      <c r="FJ304" s="49" t="s">
        <v>303</v>
      </c>
      <c r="FL304" s="49" t="s">
        <v>325</v>
      </c>
      <c r="FM304" s="49" t="s">
        <v>1313</v>
      </c>
      <c r="FP304" s="49" t="s">
        <v>303</v>
      </c>
      <c r="FR304" s="49" t="s">
        <v>303</v>
      </c>
      <c r="FT304" s="49" t="s">
        <v>325</v>
      </c>
      <c r="FU304" s="49" t="s">
        <v>325</v>
      </c>
      <c r="FW304" s="49" t="s">
        <v>333</v>
      </c>
    </row>
    <row r="305" customFormat="false" ht="15" hidden="false" customHeight="false" outlineLevel="0" collapsed="false">
      <c r="A305" s="0" t="n">
        <v>100877012</v>
      </c>
      <c r="B305" s="0" t="s">
        <v>295</v>
      </c>
      <c r="C305" s="0" t="s">
        <v>61</v>
      </c>
      <c r="D305" s="0" t="s">
        <v>62</v>
      </c>
      <c r="E305" s="0" t="s">
        <v>297</v>
      </c>
      <c r="G305" s="0" t="n">
        <v>1</v>
      </c>
      <c r="H305" s="0" t="s">
        <v>298</v>
      </c>
      <c r="I305" s="48" t="n">
        <v>46275</v>
      </c>
      <c r="J305" s="0" t="n">
        <v>1</v>
      </c>
      <c r="K305" s="49" t="s">
        <v>1313</v>
      </c>
      <c r="L305" s="49" t="s">
        <v>335</v>
      </c>
      <c r="M305" s="48"/>
      <c r="O305" s="49" t="s">
        <v>1045</v>
      </c>
      <c r="P305" s="48"/>
      <c r="Q305" s="48" t="n">
        <v>46275</v>
      </c>
      <c r="R305" s="48" t="n">
        <v>46281</v>
      </c>
      <c r="T305" s="49" t="s">
        <v>302</v>
      </c>
      <c r="U305" s="49" t="s">
        <v>303</v>
      </c>
      <c r="Y305" s="49" t="s">
        <v>312</v>
      </c>
      <c r="AD305" s="49" t="s">
        <v>305</v>
      </c>
      <c r="AE305" s="48" t="n">
        <v>46254</v>
      </c>
      <c r="AF305" s="49" t="s">
        <v>306</v>
      </c>
      <c r="AG305" s="49" t="s">
        <v>307</v>
      </c>
      <c r="AK305" s="49" t="s">
        <v>1047</v>
      </c>
      <c r="AL305" s="49" t="s">
        <v>297</v>
      </c>
      <c r="AO305" s="49" t="s">
        <v>303</v>
      </c>
      <c r="AP305" s="48"/>
      <c r="AR305" s="49" t="s">
        <v>303</v>
      </c>
      <c r="AS305" s="49" t="s">
        <v>306</v>
      </c>
      <c r="AT305" s="49" t="s">
        <v>1319</v>
      </c>
      <c r="AV305" s="49" t="s">
        <v>309</v>
      </c>
      <c r="AW305" s="49" t="s">
        <v>310</v>
      </c>
      <c r="AX305" s="49" t="s">
        <v>311</v>
      </c>
      <c r="AY305" s="48"/>
      <c r="AZ305" s="48" t="n">
        <v>46273</v>
      </c>
      <c r="BC305" s="49" t="s">
        <v>303</v>
      </c>
      <c r="BD305" s="48" t="n">
        <v>46278</v>
      </c>
      <c r="BE305" s="49" t="s">
        <v>1320</v>
      </c>
      <c r="BF305" s="49" t="s">
        <v>303</v>
      </c>
      <c r="BG305" s="48"/>
      <c r="BI305" s="48" t="n">
        <v>46278</v>
      </c>
      <c r="BJ305" s="48" t="n">
        <v>46280</v>
      </c>
      <c r="BK305" s="49" t="s">
        <v>313</v>
      </c>
      <c r="BL305" s="49" t="s">
        <v>313</v>
      </c>
      <c r="BM305" s="49" t="s">
        <v>310</v>
      </c>
      <c r="BN305" s="48"/>
      <c r="BO305" s="48"/>
      <c r="BP305" s="48"/>
      <c r="BQ305" s="49" t="s">
        <v>1275</v>
      </c>
      <c r="BR305" s="48" t="n">
        <v>46280</v>
      </c>
      <c r="BS305" s="49" t="s">
        <v>1321</v>
      </c>
      <c r="BT305" s="49" t="s">
        <v>312</v>
      </c>
      <c r="BU305" s="49" t="s">
        <v>313</v>
      </c>
      <c r="BV305" s="49" t="s">
        <v>303</v>
      </c>
      <c r="BX305" s="0" t="n">
        <v>1</v>
      </c>
      <c r="CC305" s="49" t="s">
        <v>315</v>
      </c>
      <c r="CD305" s="49" t="s">
        <v>303</v>
      </c>
      <c r="CF305" s="49" t="s">
        <v>303</v>
      </c>
      <c r="CG305" s="49" t="s">
        <v>316</v>
      </c>
      <c r="CH305" s="49" t="s">
        <v>317</v>
      </c>
      <c r="CI305" s="49" t="s">
        <v>318</v>
      </c>
      <c r="CM305" s="49" t="s">
        <v>62</v>
      </c>
      <c r="CV305" s="49" t="s">
        <v>303</v>
      </c>
      <c r="DB305" s="49" t="s">
        <v>319</v>
      </c>
      <c r="DD305" s="48" t="n">
        <v>46254</v>
      </c>
      <c r="DF305" s="49" t="s">
        <v>310</v>
      </c>
      <c r="DG305" s="49" t="s">
        <v>320</v>
      </c>
      <c r="DH305" s="49" t="s">
        <v>61</v>
      </c>
      <c r="DI305" s="49" t="s">
        <v>298</v>
      </c>
      <c r="DJ305" s="49" t="s">
        <v>381</v>
      </c>
      <c r="DK305" s="49" t="s">
        <v>322</v>
      </c>
      <c r="DL305" s="49" t="s">
        <v>323</v>
      </c>
      <c r="DM305" s="49" t="s">
        <v>303</v>
      </c>
      <c r="DN305" s="49" t="s">
        <v>297</v>
      </c>
      <c r="DO305" s="48"/>
      <c r="DP305" s="49" t="s">
        <v>312</v>
      </c>
      <c r="DQ305" s="48"/>
      <c r="DR305" s="49" t="s">
        <v>312</v>
      </c>
      <c r="DS305" s="49" t="s">
        <v>303</v>
      </c>
      <c r="DT305" s="49" t="s">
        <v>303</v>
      </c>
      <c r="DW305" s="49" t="s">
        <v>303</v>
      </c>
      <c r="EA305" s="49" t="s">
        <v>324</v>
      </c>
      <c r="EB305" s="49" t="s">
        <v>303</v>
      </c>
      <c r="EF305" s="49" t="s">
        <v>1322</v>
      </c>
      <c r="EH305" s="49" t="s">
        <v>310</v>
      </c>
      <c r="EJ305" s="49" t="s">
        <v>303</v>
      </c>
      <c r="EK305" s="49" t="s">
        <v>1323</v>
      </c>
      <c r="EM305" s="49" t="s">
        <v>303</v>
      </c>
      <c r="EN305" s="49" t="s">
        <v>383</v>
      </c>
      <c r="EP305" s="49" t="s">
        <v>298</v>
      </c>
      <c r="EQ305" s="0" t="n">
        <v>1</v>
      </c>
      <c r="ER305" s="49" t="s">
        <v>328</v>
      </c>
      <c r="ES305" s="49" t="s">
        <v>384</v>
      </c>
      <c r="ET305" s="49" t="s">
        <v>310</v>
      </c>
      <c r="EU305" s="49" t="s">
        <v>310</v>
      </c>
      <c r="EV305" s="49" t="s">
        <v>310</v>
      </c>
      <c r="EX305" s="49" t="s">
        <v>303</v>
      </c>
      <c r="EY305" s="49" t="s">
        <v>303</v>
      </c>
      <c r="FC305" s="49" t="s">
        <v>330</v>
      </c>
      <c r="FD305" s="49" t="s">
        <v>310</v>
      </c>
      <c r="FE305" s="49" t="s">
        <v>310</v>
      </c>
      <c r="FF305" s="49" t="s">
        <v>61</v>
      </c>
      <c r="FG305" s="49" t="s">
        <v>385</v>
      </c>
      <c r="FH305" s="49" t="s">
        <v>310</v>
      </c>
      <c r="FI305" s="49" t="s">
        <v>332</v>
      </c>
      <c r="FJ305" s="49" t="s">
        <v>303</v>
      </c>
      <c r="FL305" s="49" t="s">
        <v>325</v>
      </c>
      <c r="FM305" s="49" t="s">
        <v>1313</v>
      </c>
      <c r="FP305" s="49" t="s">
        <v>303</v>
      </c>
      <c r="FR305" s="49" t="s">
        <v>303</v>
      </c>
      <c r="FT305" s="49" t="s">
        <v>325</v>
      </c>
      <c r="FU305" s="49" t="s">
        <v>325</v>
      </c>
      <c r="FW305" s="49" t="s">
        <v>333</v>
      </c>
    </row>
    <row r="306" customFormat="false" ht="15" hidden="false" customHeight="false" outlineLevel="0" collapsed="false">
      <c r="A306" s="0" t="n">
        <v>100877013</v>
      </c>
      <c r="B306" s="0" t="s">
        <v>295</v>
      </c>
      <c r="C306" s="0" t="s">
        <v>61</v>
      </c>
      <c r="D306" s="0" t="s">
        <v>62</v>
      </c>
      <c r="E306" s="0" t="s">
        <v>297</v>
      </c>
      <c r="G306" s="0" t="n">
        <v>1</v>
      </c>
      <c r="H306" s="0" t="s">
        <v>298</v>
      </c>
      <c r="I306" s="48" t="n">
        <v>46275</v>
      </c>
      <c r="J306" s="0" t="n">
        <v>1</v>
      </c>
      <c r="K306" s="49" t="s">
        <v>1313</v>
      </c>
      <c r="L306" s="49" t="s">
        <v>335</v>
      </c>
      <c r="M306" s="48"/>
      <c r="O306" s="49" t="s">
        <v>1045</v>
      </c>
      <c r="P306" s="48"/>
      <c r="Q306" s="48" t="n">
        <v>46275</v>
      </c>
      <c r="R306" s="48" t="n">
        <v>46281</v>
      </c>
      <c r="T306" s="49" t="s">
        <v>302</v>
      </c>
      <c r="U306" s="49" t="s">
        <v>303</v>
      </c>
      <c r="Y306" s="49" t="s">
        <v>312</v>
      </c>
      <c r="AD306" s="49" t="s">
        <v>305</v>
      </c>
      <c r="AE306" s="48" t="n">
        <v>46254</v>
      </c>
      <c r="AF306" s="49" t="s">
        <v>306</v>
      </c>
      <c r="AG306" s="49" t="s">
        <v>307</v>
      </c>
      <c r="AK306" s="49" t="s">
        <v>1047</v>
      </c>
      <c r="AL306" s="49" t="s">
        <v>297</v>
      </c>
      <c r="AO306" s="49" t="s">
        <v>303</v>
      </c>
      <c r="AP306" s="48"/>
      <c r="AR306" s="49" t="s">
        <v>303</v>
      </c>
      <c r="AS306" s="49" t="s">
        <v>306</v>
      </c>
      <c r="AT306" s="49" t="s">
        <v>1324</v>
      </c>
      <c r="AV306" s="49" t="s">
        <v>309</v>
      </c>
      <c r="AW306" s="49" t="s">
        <v>310</v>
      </c>
      <c r="AX306" s="49" t="s">
        <v>311</v>
      </c>
      <c r="AY306" s="48"/>
      <c r="AZ306" s="48" t="n">
        <v>46273</v>
      </c>
      <c r="BC306" s="49" t="s">
        <v>303</v>
      </c>
      <c r="BD306" s="48" t="n">
        <v>46282</v>
      </c>
      <c r="BE306" s="49" t="s">
        <v>1325</v>
      </c>
      <c r="BF306" s="49" t="s">
        <v>303</v>
      </c>
      <c r="BG306" s="48"/>
      <c r="BI306" s="48" t="n">
        <v>46282</v>
      </c>
      <c r="BJ306" s="48" t="n">
        <v>46280</v>
      </c>
      <c r="BK306" s="49" t="s">
        <v>313</v>
      </c>
      <c r="BL306" s="49" t="s">
        <v>313</v>
      </c>
      <c r="BM306" s="49" t="s">
        <v>310</v>
      </c>
      <c r="BN306" s="48"/>
      <c r="BO306" s="48"/>
      <c r="BP306" s="48"/>
      <c r="BQ306" s="49" t="s">
        <v>1275</v>
      </c>
      <c r="BR306" s="48" t="n">
        <v>46280</v>
      </c>
      <c r="BS306" s="49" t="s">
        <v>1321</v>
      </c>
      <c r="BT306" s="49" t="s">
        <v>312</v>
      </c>
      <c r="BU306" s="49" t="s">
        <v>313</v>
      </c>
      <c r="BV306" s="49" t="s">
        <v>303</v>
      </c>
      <c r="BX306" s="0" t="n">
        <v>1</v>
      </c>
      <c r="CC306" s="49" t="s">
        <v>315</v>
      </c>
      <c r="CD306" s="49" t="s">
        <v>303</v>
      </c>
      <c r="CF306" s="49" t="s">
        <v>303</v>
      </c>
      <c r="CG306" s="49" t="s">
        <v>316</v>
      </c>
      <c r="CH306" s="49" t="s">
        <v>317</v>
      </c>
      <c r="CI306" s="49" t="s">
        <v>318</v>
      </c>
      <c r="CM306" s="49" t="s">
        <v>62</v>
      </c>
      <c r="CV306" s="49" t="s">
        <v>303</v>
      </c>
      <c r="DB306" s="49" t="s">
        <v>319</v>
      </c>
      <c r="DD306" s="48" t="n">
        <v>46254</v>
      </c>
      <c r="DF306" s="49" t="s">
        <v>310</v>
      </c>
      <c r="DG306" s="49" t="s">
        <v>320</v>
      </c>
      <c r="DH306" s="49" t="s">
        <v>61</v>
      </c>
      <c r="DI306" s="49" t="s">
        <v>298</v>
      </c>
      <c r="DJ306" s="49" t="s">
        <v>381</v>
      </c>
      <c r="DK306" s="49" t="s">
        <v>322</v>
      </c>
      <c r="DL306" s="49" t="s">
        <v>323</v>
      </c>
      <c r="DM306" s="49" t="s">
        <v>303</v>
      </c>
      <c r="DN306" s="49" t="s">
        <v>297</v>
      </c>
      <c r="DO306" s="48"/>
      <c r="DP306" s="49" t="s">
        <v>312</v>
      </c>
      <c r="DQ306" s="48"/>
      <c r="DR306" s="49" t="s">
        <v>312</v>
      </c>
      <c r="DS306" s="49" t="s">
        <v>303</v>
      </c>
      <c r="DT306" s="49" t="s">
        <v>303</v>
      </c>
      <c r="DW306" s="49" t="s">
        <v>303</v>
      </c>
      <c r="EA306" s="49" t="s">
        <v>324</v>
      </c>
      <c r="EB306" s="49" t="s">
        <v>303</v>
      </c>
      <c r="EF306" s="49" t="s">
        <v>1322</v>
      </c>
      <c r="EH306" s="49" t="s">
        <v>310</v>
      </c>
      <c r="EJ306" s="49" t="s">
        <v>303</v>
      </c>
      <c r="EK306" s="49" t="s">
        <v>1326</v>
      </c>
      <c r="EM306" s="49" t="s">
        <v>303</v>
      </c>
      <c r="EN306" s="49" t="s">
        <v>383</v>
      </c>
      <c r="EP306" s="49" t="s">
        <v>298</v>
      </c>
      <c r="EQ306" s="0" t="n">
        <v>1</v>
      </c>
      <c r="ER306" s="49" t="s">
        <v>328</v>
      </c>
      <c r="ES306" s="49" t="s">
        <v>384</v>
      </c>
      <c r="ET306" s="49" t="s">
        <v>310</v>
      </c>
      <c r="EU306" s="49" t="s">
        <v>310</v>
      </c>
      <c r="EV306" s="49" t="s">
        <v>310</v>
      </c>
      <c r="EX306" s="49" t="s">
        <v>303</v>
      </c>
      <c r="EY306" s="49" t="s">
        <v>303</v>
      </c>
      <c r="FC306" s="49" t="s">
        <v>330</v>
      </c>
      <c r="FD306" s="49" t="s">
        <v>310</v>
      </c>
      <c r="FE306" s="49" t="s">
        <v>310</v>
      </c>
      <c r="FF306" s="49" t="s">
        <v>61</v>
      </c>
      <c r="FG306" s="49" t="s">
        <v>385</v>
      </c>
      <c r="FH306" s="49" t="s">
        <v>310</v>
      </c>
      <c r="FI306" s="49" t="s">
        <v>332</v>
      </c>
      <c r="FJ306" s="49" t="s">
        <v>303</v>
      </c>
      <c r="FL306" s="49" t="s">
        <v>325</v>
      </c>
      <c r="FM306" s="49" t="s">
        <v>1313</v>
      </c>
      <c r="FP306" s="49" t="s">
        <v>303</v>
      </c>
      <c r="FR306" s="49" t="s">
        <v>303</v>
      </c>
      <c r="FT306" s="49" t="s">
        <v>325</v>
      </c>
      <c r="FU306" s="49" t="s">
        <v>325</v>
      </c>
      <c r="FW306" s="49" t="s">
        <v>333</v>
      </c>
    </row>
    <row r="307" customFormat="false" ht="15" hidden="false" customHeight="false" outlineLevel="0" collapsed="false">
      <c r="A307" s="0" t="n">
        <v>100876891</v>
      </c>
      <c r="B307" s="0" t="s">
        <v>295</v>
      </c>
      <c r="C307" s="0" t="s">
        <v>70</v>
      </c>
      <c r="D307" s="0" t="s">
        <v>468</v>
      </c>
      <c r="E307" s="0" t="s">
        <v>297</v>
      </c>
      <c r="G307" s="0" t="n">
        <v>1</v>
      </c>
      <c r="H307" s="0" t="s">
        <v>298</v>
      </c>
      <c r="I307" s="48" t="n">
        <v>46274</v>
      </c>
      <c r="J307" s="0" t="n">
        <v>1</v>
      </c>
      <c r="K307" s="49" t="s">
        <v>1327</v>
      </c>
      <c r="L307" s="49" t="s">
        <v>335</v>
      </c>
      <c r="M307" s="48" t="n">
        <v>46274</v>
      </c>
      <c r="N307" s="49" t="s">
        <v>335</v>
      </c>
      <c r="O307" s="49" t="s">
        <v>1045</v>
      </c>
      <c r="P307" s="48"/>
      <c r="Q307" s="48" t="n">
        <v>46274</v>
      </c>
      <c r="R307" s="48" t="n">
        <v>46281</v>
      </c>
      <c r="T307" s="49" t="s">
        <v>302</v>
      </c>
      <c r="U307" s="49" t="s">
        <v>303</v>
      </c>
      <c r="Y307" s="49" t="s">
        <v>1328</v>
      </c>
      <c r="AD307" s="49" t="s">
        <v>305</v>
      </c>
      <c r="AE307" s="48" t="n">
        <v>46254</v>
      </c>
      <c r="AF307" s="49" t="s">
        <v>306</v>
      </c>
      <c r="AG307" s="49" t="s">
        <v>307</v>
      </c>
      <c r="AK307" s="49" t="s">
        <v>1047</v>
      </c>
      <c r="AL307" s="49" t="s">
        <v>297</v>
      </c>
      <c r="AO307" s="49" t="s">
        <v>303</v>
      </c>
      <c r="AP307" s="48"/>
      <c r="AR307" s="49" t="s">
        <v>303</v>
      </c>
      <c r="AS307" s="49" t="s">
        <v>306</v>
      </c>
      <c r="AT307" s="49" t="s">
        <v>1329</v>
      </c>
      <c r="AV307" s="49" t="s">
        <v>309</v>
      </c>
      <c r="AW307" s="49" t="s">
        <v>310</v>
      </c>
      <c r="AX307" s="49" t="s">
        <v>311</v>
      </c>
      <c r="AY307" s="48"/>
      <c r="AZ307" s="48" t="n">
        <v>46272</v>
      </c>
      <c r="BC307" s="49" t="s">
        <v>303</v>
      </c>
      <c r="BD307" s="48" t="n">
        <v>46275</v>
      </c>
      <c r="BE307" s="49" t="s">
        <v>1330</v>
      </c>
      <c r="BF307" s="49" t="s">
        <v>303</v>
      </c>
      <c r="BG307" s="48"/>
      <c r="BI307" s="48" t="n">
        <v>46275</v>
      </c>
      <c r="BJ307" s="48" t="n">
        <v>46279</v>
      </c>
      <c r="BK307" s="49" t="s">
        <v>312</v>
      </c>
      <c r="BL307" s="49" t="s">
        <v>313</v>
      </c>
      <c r="BM307" s="49" t="s">
        <v>310</v>
      </c>
      <c r="BN307" s="48"/>
      <c r="BO307" s="48"/>
      <c r="BP307" s="48"/>
      <c r="BQ307" s="49" t="s">
        <v>1327</v>
      </c>
      <c r="BR307" s="48" t="n">
        <v>46279</v>
      </c>
      <c r="BS307" s="49" t="s">
        <v>1331</v>
      </c>
      <c r="BT307" s="49" t="s">
        <v>312</v>
      </c>
      <c r="BU307" s="49" t="s">
        <v>313</v>
      </c>
      <c r="BV307" s="49" t="s">
        <v>303</v>
      </c>
      <c r="BX307" s="0" t="n">
        <v>1</v>
      </c>
      <c r="CC307" s="49" t="s">
        <v>315</v>
      </c>
      <c r="CD307" s="49" t="s">
        <v>303</v>
      </c>
      <c r="CF307" s="49" t="s">
        <v>303</v>
      </c>
      <c r="CG307" s="49" t="s">
        <v>316</v>
      </c>
      <c r="CH307" s="49" t="s">
        <v>317</v>
      </c>
      <c r="CI307" s="49" t="s">
        <v>318</v>
      </c>
      <c r="CM307" s="49" t="s">
        <v>468</v>
      </c>
      <c r="CV307" s="49" t="s">
        <v>303</v>
      </c>
      <c r="DB307" s="49" t="s">
        <v>319</v>
      </c>
      <c r="DD307" s="48" t="n">
        <v>46254</v>
      </c>
      <c r="DF307" s="49" t="s">
        <v>310</v>
      </c>
      <c r="DG307" s="49" t="s">
        <v>320</v>
      </c>
      <c r="DH307" s="49" t="s">
        <v>70</v>
      </c>
      <c r="DI307" s="49" t="s">
        <v>298</v>
      </c>
      <c r="DJ307" s="49" t="s">
        <v>321</v>
      </c>
      <c r="DK307" s="49" t="s">
        <v>322</v>
      </c>
      <c r="DL307" s="49" t="s">
        <v>323</v>
      </c>
      <c r="DM307" s="49" t="s">
        <v>303</v>
      </c>
      <c r="DN307" s="49" t="s">
        <v>297</v>
      </c>
      <c r="DO307" s="48"/>
      <c r="DP307" s="49" t="s">
        <v>312</v>
      </c>
      <c r="DQ307" s="48"/>
      <c r="DR307" s="49" t="s">
        <v>312</v>
      </c>
      <c r="DS307" s="49" t="s">
        <v>303</v>
      </c>
      <c r="DT307" s="49" t="s">
        <v>303</v>
      </c>
      <c r="DW307" s="49" t="s">
        <v>303</v>
      </c>
      <c r="EA307" s="49" t="s">
        <v>324</v>
      </c>
      <c r="EB307" s="49" t="s">
        <v>303</v>
      </c>
      <c r="EH307" s="49" t="s">
        <v>325</v>
      </c>
      <c r="EJ307" s="49" t="s">
        <v>303</v>
      </c>
      <c r="EK307" s="49" t="s">
        <v>1332</v>
      </c>
      <c r="EM307" s="49" t="s">
        <v>303</v>
      </c>
      <c r="EN307" s="49" t="s">
        <v>472</v>
      </c>
      <c r="EP307" s="49" t="s">
        <v>298</v>
      </c>
      <c r="EQ307" s="0" t="n">
        <v>1</v>
      </c>
      <c r="ER307" s="49" t="s">
        <v>328</v>
      </c>
      <c r="ES307" s="49" t="s">
        <v>329</v>
      </c>
      <c r="ET307" s="49" t="s">
        <v>310</v>
      </c>
      <c r="EU307" s="49" t="s">
        <v>310</v>
      </c>
      <c r="EV307" s="49" t="s">
        <v>310</v>
      </c>
      <c r="EX307" s="49" t="s">
        <v>303</v>
      </c>
      <c r="EY307" s="49" t="s">
        <v>303</v>
      </c>
      <c r="FC307" s="49" t="s">
        <v>330</v>
      </c>
      <c r="FD307" s="49" t="s">
        <v>310</v>
      </c>
      <c r="FE307" s="49" t="s">
        <v>310</v>
      </c>
      <c r="FF307" s="49" t="s">
        <v>70</v>
      </c>
      <c r="FG307" s="49" t="s">
        <v>473</v>
      </c>
      <c r="FH307" s="49" t="s">
        <v>310</v>
      </c>
      <c r="FI307" s="49" t="s">
        <v>332</v>
      </c>
      <c r="FJ307" s="49" t="s">
        <v>303</v>
      </c>
      <c r="FL307" s="49" t="s">
        <v>325</v>
      </c>
      <c r="FM307" s="49" t="s">
        <v>1327</v>
      </c>
      <c r="FP307" s="49" t="s">
        <v>303</v>
      </c>
      <c r="FR307" s="49" t="s">
        <v>303</v>
      </c>
      <c r="FT307" s="49" t="s">
        <v>325</v>
      </c>
      <c r="FU307" s="49" t="s">
        <v>325</v>
      </c>
      <c r="FW307" s="49" t="s">
        <v>333</v>
      </c>
    </row>
    <row r="308" customFormat="false" ht="15" hidden="false" customHeight="false" outlineLevel="0" collapsed="false">
      <c r="A308" s="0" t="n">
        <v>100876940</v>
      </c>
      <c r="B308" s="0" t="s">
        <v>295</v>
      </c>
      <c r="C308" s="0" t="s">
        <v>64</v>
      </c>
      <c r="D308" s="0" t="s">
        <v>65</v>
      </c>
      <c r="E308" s="0" t="s">
        <v>297</v>
      </c>
      <c r="G308" s="0" t="n">
        <v>1</v>
      </c>
      <c r="H308" s="0" t="s">
        <v>298</v>
      </c>
      <c r="I308" s="48" t="n">
        <v>46274</v>
      </c>
      <c r="J308" s="0" t="n">
        <v>1</v>
      </c>
      <c r="K308" s="49" t="s">
        <v>1327</v>
      </c>
      <c r="L308" s="49" t="s">
        <v>335</v>
      </c>
      <c r="M308" s="48" t="n">
        <v>46275</v>
      </c>
      <c r="N308" s="49" t="s">
        <v>1204</v>
      </c>
      <c r="O308" s="49" t="s">
        <v>1045</v>
      </c>
      <c r="P308" s="48"/>
      <c r="Q308" s="48" t="n">
        <v>46274</v>
      </c>
      <c r="R308" s="48" t="n">
        <v>46281</v>
      </c>
      <c r="T308" s="49" t="s">
        <v>302</v>
      </c>
      <c r="U308" s="49" t="s">
        <v>303</v>
      </c>
      <c r="Y308" s="49" t="s">
        <v>1333</v>
      </c>
      <c r="AD308" s="49" t="s">
        <v>305</v>
      </c>
      <c r="AE308" s="48" t="n">
        <v>46253</v>
      </c>
      <c r="AF308" s="49" t="s">
        <v>306</v>
      </c>
      <c r="AG308" s="49" t="s">
        <v>307</v>
      </c>
      <c r="AK308" s="49" t="s">
        <v>1047</v>
      </c>
      <c r="AL308" s="49" t="s">
        <v>297</v>
      </c>
      <c r="AO308" s="49" t="s">
        <v>303</v>
      </c>
      <c r="AP308" s="48"/>
      <c r="AR308" s="49" t="s">
        <v>303</v>
      </c>
      <c r="AS308" s="49" t="s">
        <v>306</v>
      </c>
      <c r="AT308" s="49" t="s">
        <v>1334</v>
      </c>
      <c r="AV308" s="49" t="s">
        <v>309</v>
      </c>
      <c r="AW308" s="49" t="s">
        <v>310</v>
      </c>
      <c r="AX308" s="49" t="s">
        <v>311</v>
      </c>
      <c r="AY308" s="48"/>
      <c r="AZ308" s="48" t="n">
        <v>46272</v>
      </c>
      <c r="BC308" s="49" t="s">
        <v>303</v>
      </c>
      <c r="BD308" s="48" t="n">
        <v>46275</v>
      </c>
      <c r="BE308" s="49" t="s">
        <v>1335</v>
      </c>
      <c r="BF308" s="49" t="s">
        <v>303</v>
      </c>
      <c r="BG308" s="48"/>
      <c r="BI308" s="48" t="n">
        <v>46275</v>
      </c>
      <c r="BJ308" s="48" t="n">
        <v>46279</v>
      </c>
      <c r="BK308" s="49" t="s">
        <v>312</v>
      </c>
      <c r="BL308" s="49" t="s">
        <v>313</v>
      </c>
      <c r="BM308" s="49" t="s">
        <v>310</v>
      </c>
      <c r="BN308" s="48"/>
      <c r="BO308" s="48"/>
      <c r="BP308" s="48"/>
      <c r="BQ308" s="49" t="s">
        <v>1313</v>
      </c>
      <c r="BR308" s="48" t="n">
        <v>46279</v>
      </c>
      <c r="BS308" s="49" t="s">
        <v>1336</v>
      </c>
      <c r="BT308" s="49" t="s">
        <v>312</v>
      </c>
      <c r="BU308" s="49" t="s">
        <v>313</v>
      </c>
      <c r="BV308" s="49" t="s">
        <v>303</v>
      </c>
      <c r="BX308" s="0" t="n">
        <v>1</v>
      </c>
      <c r="CC308" s="49" t="s">
        <v>315</v>
      </c>
      <c r="CD308" s="49" t="s">
        <v>303</v>
      </c>
      <c r="CF308" s="49" t="s">
        <v>303</v>
      </c>
      <c r="CG308" s="49" t="s">
        <v>316</v>
      </c>
      <c r="CH308" s="49" t="s">
        <v>317</v>
      </c>
      <c r="CI308" s="49" t="s">
        <v>318</v>
      </c>
      <c r="CM308" s="49" t="s">
        <v>65</v>
      </c>
      <c r="CV308" s="49" t="s">
        <v>303</v>
      </c>
      <c r="DB308" s="49" t="s">
        <v>319</v>
      </c>
      <c r="DD308" s="48" t="n">
        <v>46253</v>
      </c>
      <c r="DF308" s="49" t="s">
        <v>310</v>
      </c>
      <c r="DG308" s="49" t="s">
        <v>320</v>
      </c>
      <c r="DH308" s="49" t="s">
        <v>64</v>
      </c>
      <c r="DI308" s="49" t="s">
        <v>298</v>
      </c>
      <c r="DJ308" s="49" t="s">
        <v>394</v>
      </c>
      <c r="DK308" s="49" t="s">
        <v>322</v>
      </c>
      <c r="DL308" s="49" t="s">
        <v>323</v>
      </c>
      <c r="DM308" s="49" t="s">
        <v>303</v>
      </c>
      <c r="DN308" s="49" t="s">
        <v>297</v>
      </c>
      <c r="DO308" s="48"/>
      <c r="DP308" s="49" t="s">
        <v>312</v>
      </c>
      <c r="DQ308" s="48"/>
      <c r="DR308" s="49" t="s">
        <v>312</v>
      </c>
      <c r="DS308" s="49" t="s">
        <v>303</v>
      </c>
      <c r="DT308" s="49" t="s">
        <v>303</v>
      </c>
      <c r="DW308" s="49" t="s">
        <v>303</v>
      </c>
      <c r="EA308" s="49" t="s">
        <v>324</v>
      </c>
      <c r="EB308" s="49" t="s">
        <v>303</v>
      </c>
      <c r="EH308" s="49" t="s">
        <v>310</v>
      </c>
      <c r="EJ308" s="49" t="s">
        <v>303</v>
      </c>
      <c r="EK308" s="49" t="s">
        <v>1337</v>
      </c>
      <c r="EM308" s="49" t="s">
        <v>303</v>
      </c>
      <c r="EN308" s="49" t="s">
        <v>396</v>
      </c>
      <c r="EP308" s="49" t="s">
        <v>298</v>
      </c>
      <c r="EQ308" s="0" t="n">
        <v>1</v>
      </c>
      <c r="ER308" s="49" t="s">
        <v>328</v>
      </c>
      <c r="ES308" s="49" t="s">
        <v>329</v>
      </c>
      <c r="ET308" s="49" t="s">
        <v>310</v>
      </c>
      <c r="EU308" s="49" t="s">
        <v>310</v>
      </c>
      <c r="EV308" s="49" t="s">
        <v>310</v>
      </c>
      <c r="EX308" s="49" t="s">
        <v>303</v>
      </c>
      <c r="EY308" s="49" t="s">
        <v>303</v>
      </c>
      <c r="FC308" s="49" t="s">
        <v>330</v>
      </c>
      <c r="FD308" s="49" t="s">
        <v>310</v>
      </c>
      <c r="FE308" s="49" t="s">
        <v>310</v>
      </c>
      <c r="FF308" s="49" t="s">
        <v>64</v>
      </c>
      <c r="FG308" s="49" t="s">
        <v>397</v>
      </c>
      <c r="FH308" s="49" t="s">
        <v>310</v>
      </c>
      <c r="FI308" s="49" t="s">
        <v>332</v>
      </c>
      <c r="FJ308" s="49" t="s">
        <v>303</v>
      </c>
      <c r="FL308" s="49" t="s">
        <v>325</v>
      </c>
      <c r="FM308" s="49" t="s">
        <v>1327</v>
      </c>
      <c r="FP308" s="49" t="s">
        <v>303</v>
      </c>
      <c r="FR308" s="49" t="s">
        <v>303</v>
      </c>
      <c r="FT308" s="49" t="s">
        <v>325</v>
      </c>
      <c r="FU308" s="49" t="s">
        <v>325</v>
      </c>
      <c r="FW308" s="49" t="s">
        <v>333</v>
      </c>
    </row>
    <row r="309" customFormat="false" ht="15" hidden="false" customHeight="false" outlineLevel="0" collapsed="false">
      <c r="A309" s="0" t="n">
        <v>100876941</v>
      </c>
      <c r="B309" s="0" t="s">
        <v>295</v>
      </c>
      <c r="C309" s="0" t="s">
        <v>64</v>
      </c>
      <c r="D309" s="0" t="s">
        <v>65</v>
      </c>
      <c r="E309" s="0" t="s">
        <v>297</v>
      </c>
      <c r="G309" s="0" t="n">
        <v>1</v>
      </c>
      <c r="H309" s="0" t="s">
        <v>298</v>
      </c>
      <c r="I309" s="48" t="n">
        <v>46274</v>
      </c>
      <c r="J309" s="0" t="n">
        <v>1</v>
      </c>
      <c r="K309" s="49" t="s">
        <v>1327</v>
      </c>
      <c r="L309" s="49" t="s">
        <v>335</v>
      </c>
      <c r="M309" s="48" t="n">
        <v>46275</v>
      </c>
      <c r="N309" s="49" t="s">
        <v>1204</v>
      </c>
      <c r="O309" s="49" t="s">
        <v>1045</v>
      </c>
      <c r="P309" s="48"/>
      <c r="Q309" s="48" t="n">
        <v>46274</v>
      </c>
      <c r="R309" s="48" t="n">
        <v>46280</v>
      </c>
      <c r="T309" s="49" t="s">
        <v>302</v>
      </c>
      <c r="U309" s="49" t="s">
        <v>303</v>
      </c>
      <c r="Y309" s="49" t="s">
        <v>1338</v>
      </c>
      <c r="AD309" s="49" t="s">
        <v>305</v>
      </c>
      <c r="AE309" s="48" t="n">
        <v>46253</v>
      </c>
      <c r="AF309" s="49" t="s">
        <v>306</v>
      </c>
      <c r="AG309" s="49" t="s">
        <v>307</v>
      </c>
      <c r="AK309" s="49" t="s">
        <v>1047</v>
      </c>
      <c r="AL309" s="49" t="s">
        <v>297</v>
      </c>
      <c r="AO309" s="49" t="s">
        <v>303</v>
      </c>
      <c r="AP309" s="48"/>
      <c r="AR309" s="49" t="s">
        <v>303</v>
      </c>
      <c r="AS309" s="49" t="s">
        <v>306</v>
      </c>
      <c r="AT309" s="49" t="s">
        <v>1339</v>
      </c>
      <c r="AV309" s="49" t="s">
        <v>309</v>
      </c>
      <c r="AW309" s="49" t="s">
        <v>310</v>
      </c>
      <c r="AX309" s="49" t="s">
        <v>311</v>
      </c>
      <c r="AY309" s="48"/>
      <c r="AZ309" s="48" t="n">
        <v>46272</v>
      </c>
      <c r="BC309" s="49" t="s">
        <v>303</v>
      </c>
      <c r="BD309" s="48" t="n">
        <v>46275</v>
      </c>
      <c r="BE309" s="49" t="s">
        <v>1340</v>
      </c>
      <c r="BF309" s="49" t="s">
        <v>303</v>
      </c>
      <c r="BG309" s="48"/>
      <c r="BI309" s="48" t="n">
        <v>46275</v>
      </c>
      <c r="BJ309" s="48" t="n">
        <v>46279</v>
      </c>
      <c r="BK309" s="49" t="s">
        <v>313</v>
      </c>
      <c r="BL309" s="49" t="s">
        <v>313</v>
      </c>
      <c r="BM309" s="49" t="s">
        <v>310</v>
      </c>
      <c r="BN309" s="48"/>
      <c r="BO309" s="48"/>
      <c r="BP309" s="48"/>
      <c r="BQ309" s="49" t="s">
        <v>1313</v>
      </c>
      <c r="BR309" s="48" t="n">
        <v>46279</v>
      </c>
      <c r="BS309" s="49" t="s">
        <v>1341</v>
      </c>
      <c r="BT309" s="49" t="s">
        <v>312</v>
      </c>
      <c r="BU309" s="49" t="s">
        <v>313</v>
      </c>
      <c r="BV309" s="49" t="s">
        <v>303</v>
      </c>
      <c r="BX309" s="0" t="n">
        <v>1</v>
      </c>
      <c r="CC309" s="49" t="s">
        <v>315</v>
      </c>
      <c r="CD309" s="49" t="s">
        <v>303</v>
      </c>
      <c r="CF309" s="49" t="s">
        <v>303</v>
      </c>
      <c r="CG309" s="49" t="s">
        <v>316</v>
      </c>
      <c r="CH309" s="49" t="s">
        <v>317</v>
      </c>
      <c r="CI309" s="49" t="s">
        <v>318</v>
      </c>
      <c r="CM309" s="49" t="s">
        <v>65</v>
      </c>
      <c r="CV309" s="49" t="s">
        <v>303</v>
      </c>
      <c r="DB309" s="49" t="s">
        <v>319</v>
      </c>
      <c r="DD309" s="48" t="n">
        <v>46253</v>
      </c>
      <c r="DF309" s="49" t="s">
        <v>310</v>
      </c>
      <c r="DG309" s="49" t="s">
        <v>320</v>
      </c>
      <c r="DH309" s="49" t="s">
        <v>64</v>
      </c>
      <c r="DI309" s="49" t="s">
        <v>298</v>
      </c>
      <c r="DJ309" s="49" t="s">
        <v>394</v>
      </c>
      <c r="DK309" s="49" t="s">
        <v>322</v>
      </c>
      <c r="DL309" s="49" t="s">
        <v>323</v>
      </c>
      <c r="DM309" s="49" t="s">
        <v>303</v>
      </c>
      <c r="DN309" s="49" t="s">
        <v>297</v>
      </c>
      <c r="DO309" s="48"/>
      <c r="DP309" s="49" t="s">
        <v>312</v>
      </c>
      <c r="DQ309" s="48"/>
      <c r="DR309" s="49" t="s">
        <v>312</v>
      </c>
      <c r="DS309" s="49" t="s">
        <v>303</v>
      </c>
      <c r="DT309" s="49" t="s">
        <v>303</v>
      </c>
      <c r="DW309" s="49" t="s">
        <v>303</v>
      </c>
      <c r="EA309" s="49" t="s">
        <v>324</v>
      </c>
      <c r="EB309" s="49" t="s">
        <v>303</v>
      </c>
      <c r="EF309" s="49" t="s">
        <v>1342</v>
      </c>
      <c r="EH309" s="49" t="s">
        <v>310</v>
      </c>
      <c r="EJ309" s="49" t="s">
        <v>303</v>
      </c>
      <c r="EK309" s="49" t="s">
        <v>1343</v>
      </c>
      <c r="EM309" s="49" t="s">
        <v>303</v>
      </c>
      <c r="EN309" s="49" t="s">
        <v>396</v>
      </c>
      <c r="EP309" s="49" t="s">
        <v>298</v>
      </c>
      <c r="EQ309" s="0" t="n">
        <v>1</v>
      </c>
      <c r="ER309" s="49" t="s">
        <v>328</v>
      </c>
      <c r="ES309" s="49" t="s">
        <v>329</v>
      </c>
      <c r="ET309" s="49" t="s">
        <v>310</v>
      </c>
      <c r="EU309" s="49" t="s">
        <v>310</v>
      </c>
      <c r="EV309" s="49" t="s">
        <v>310</v>
      </c>
      <c r="EX309" s="49" t="s">
        <v>303</v>
      </c>
      <c r="EY309" s="49" t="s">
        <v>303</v>
      </c>
      <c r="FC309" s="49" t="s">
        <v>330</v>
      </c>
      <c r="FD309" s="49" t="s">
        <v>310</v>
      </c>
      <c r="FE309" s="49" t="s">
        <v>310</v>
      </c>
      <c r="FF309" s="49" t="s">
        <v>64</v>
      </c>
      <c r="FG309" s="49" t="s">
        <v>397</v>
      </c>
      <c r="FH309" s="49" t="s">
        <v>310</v>
      </c>
      <c r="FI309" s="49" t="s">
        <v>332</v>
      </c>
      <c r="FJ309" s="49" t="s">
        <v>303</v>
      </c>
      <c r="FL309" s="49" t="s">
        <v>325</v>
      </c>
      <c r="FM309" s="49" t="s">
        <v>1327</v>
      </c>
      <c r="FP309" s="49" t="s">
        <v>303</v>
      </c>
      <c r="FR309" s="49" t="s">
        <v>303</v>
      </c>
      <c r="FT309" s="49" t="s">
        <v>325</v>
      </c>
      <c r="FU309" s="49" t="s">
        <v>325</v>
      </c>
      <c r="FW309" s="49" t="s">
        <v>333</v>
      </c>
    </row>
    <row r="310" customFormat="false" ht="15" hidden="false" customHeight="false" outlineLevel="0" collapsed="false">
      <c r="A310" s="0" t="n">
        <v>100876655</v>
      </c>
      <c r="B310" s="0" t="s">
        <v>295</v>
      </c>
      <c r="C310" s="0" t="s">
        <v>53</v>
      </c>
      <c r="D310" s="0" t="s">
        <v>54</v>
      </c>
      <c r="E310" s="0" t="s">
        <v>297</v>
      </c>
      <c r="G310" s="0" t="n">
        <v>1</v>
      </c>
      <c r="H310" s="0" t="s">
        <v>298</v>
      </c>
      <c r="I310" s="48" t="n">
        <v>46273</v>
      </c>
      <c r="J310" s="0" t="n">
        <v>1</v>
      </c>
      <c r="K310" s="49" t="s">
        <v>1344</v>
      </c>
      <c r="L310" s="49" t="s">
        <v>335</v>
      </c>
      <c r="M310" s="48" t="n">
        <v>46273</v>
      </c>
      <c r="N310" s="49" t="s">
        <v>335</v>
      </c>
      <c r="O310" s="49" t="s">
        <v>1045</v>
      </c>
      <c r="P310" s="48"/>
      <c r="Q310" s="48" t="n">
        <v>46273</v>
      </c>
      <c r="R310" s="48" t="n">
        <v>46280</v>
      </c>
      <c r="T310" s="49" t="s">
        <v>302</v>
      </c>
      <c r="U310" s="49" t="s">
        <v>303</v>
      </c>
      <c r="Y310" s="49" t="s">
        <v>1345</v>
      </c>
      <c r="AD310" s="49" t="s">
        <v>305</v>
      </c>
      <c r="AE310" s="48" t="n">
        <v>46246</v>
      </c>
      <c r="AF310" s="49" t="s">
        <v>306</v>
      </c>
      <c r="AG310" s="49" t="s">
        <v>307</v>
      </c>
      <c r="AK310" s="49" t="s">
        <v>1047</v>
      </c>
      <c r="AL310" s="49" t="s">
        <v>297</v>
      </c>
      <c r="AO310" s="49" t="s">
        <v>303</v>
      </c>
      <c r="AP310" s="48"/>
      <c r="AR310" s="49" t="s">
        <v>303</v>
      </c>
      <c r="AS310" s="49" t="s">
        <v>306</v>
      </c>
      <c r="AT310" s="49" t="s">
        <v>1346</v>
      </c>
      <c r="AV310" s="49" t="s">
        <v>309</v>
      </c>
      <c r="AW310" s="49" t="s">
        <v>310</v>
      </c>
      <c r="AX310" s="49" t="s">
        <v>311</v>
      </c>
      <c r="AY310" s="48"/>
      <c r="AZ310" s="48" t="n">
        <v>46262</v>
      </c>
      <c r="BC310" s="49" t="s">
        <v>303</v>
      </c>
      <c r="BD310" s="48" t="n">
        <v>46278</v>
      </c>
      <c r="BE310" s="49" t="s">
        <v>1347</v>
      </c>
      <c r="BF310" s="49" t="s">
        <v>303</v>
      </c>
      <c r="BG310" s="48"/>
      <c r="BI310" s="48" t="n">
        <v>46278</v>
      </c>
      <c r="BJ310" s="48" t="n">
        <v>46278</v>
      </c>
      <c r="BK310" s="49" t="s">
        <v>312</v>
      </c>
      <c r="BL310" s="49" t="s">
        <v>313</v>
      </c>
      <c r="BM310" s="49" t="s">
        <v>310</v>
      </c>
      <c r="BN310" s="48"/>
      <c r="BO310" s="48"/>
      <c r="BP310" s="48"/>
      <c r="BQ310" s="49" t="s">
        <v>1344</v>
      </c>
      <c r="BR310" s="48" t="n">
        <v>46272</v>
      </c>
      <c r="BS310" s="49" t="s">
        <v>1348</v>
      </c>
      <c r="BT310" s="49" t="s">
        <v>312</v>
      </c>
      <c r="BU310" s="49" t="s">
        <v>312</v>
      </c>
      <c r="BV310" s="49" t="s">
        <v>303</v>
      </c>
      <c r="BX310" s="0" t="n">
        <v>1</v>
      </c>
      <c r="CC310" s="49" t="s">
        <v>315</v>
      </c>
      <c r="CD310" s="49" t="s">
        <v>303</v>
      </c>
      <c r="CF310" s="49" t="s">
        <v>303</v>
      </c>
      <c r="CG310" s="49" t="s">
        <v>316</v>
      </c>
      <c r="CH310" s="49" t="s">
        <v>317</v>
      </c>
      <c r="CI310" s="49" t="s">
        <v>318</v>
      </c>
      <c r="CM310" s="49" t="s">
        <v>54</v>
      </c>
      <c r="CV310" s="49" t="s">
        <v>303</v>
      </c>
      <c r="DB310" s="49" t="s">
        <v>319</v>
      </c>
      <c r="DD310" s="48" t="n">
        <v>46246</v>
      </c>
      <c r="DF310" s="49" t="s">
        <v>310</v>
      </c>
      <c r="DG310" s="49" t="s">
        <v>320</v>
      </c>
      <c r="DH310" s="49" t="s">
        <v>53</v>
      </c>
      <c r="DI310" s="49" t="s">
        <v>298</v>
      </c>
      <c r="DJ310" s="49" t="s">
        <v>355</v>
      </c>
      <c r="DK310" s="49" t="s">
        <v>322</v>
      </c>
      <c r="DL310" s="49" t="s">
        <v>323</v>
      </c>
      <c r="DM310" s="49" t="s">
        <v>303</v>
      </c>
      <c r="DN310" s="49" t="s">
        <v>297</v>
      </c>
      <c r="DO310" s="48"/>
      <c r="DP310" s="49" t="s">
        <v>312</v>
      </c>
      <c r="DQ310" s="48"/>
      <c r="DR310" s="49" t="s">
        <v>312</v>
      </c>
      <c r="DS310" s="49" t="s">
        <v>303</v>
      </c>
      <c r="DT310" s="49" t="s">
        <v>303</v>
      </c>
      <c r="DW310" s="49" t="s">
        <v>303</v>
      </c>
      <c r="EA310" s="49" t="s">
        <v>324</v>
      </c>
      <c r="EB310" s="49" t="s">
        <v>303</v>
      </c>
      <c r="EH310" s="49" t="s">
        <v>310</v>
      </c>
      <c r="EJ310" s="49" t="s">
        <v>303</v>
      </c>
      <c r="EK310" s="49" t="s">
        <v>1349</v>
      </c>
      <c r="EM310" s="49" t="s">
        <v>303</v>
      </c>
      <c r="EN310" s="49" t="s">
        <v>357</v>
      </c>
      <c r="EP310" s="49" t="s">
        <v>298</v>
      </c>
      <c r="EQ310" s="0" t="n">
        <v>1</v>
      </c>
      <c r="ER310" s="49" t="s">
        <v>328</v>
      </c>
      <c r="ES310" s="49" t="s">
        <v>358</v>
      </c>
      <c r="ET310" s="49" t="s">
        <v>310</v>
      </c>
      <c r="EU310" s="49" t="s">
        <v>310</v>
      </c>
      <c r="EV310" s="49" t="s">
        <v>310</v>
      </c>
      <c r="EX310" s="49" t="s">
        <v>303</v>
      </c>
      <c r="EY310" s="49" t="s">
        <v>303</v>
      </c>
      <c r="FC310" s="49" t="s">
        <v>330</v>
      </c>
      <c r="FD310" s="49" t="s">
        <v>310</v>
      </c>
      <c r="FE310" s="49" t="s">
        <v>310</v>
      </c>
      <c r="FF310" s="49" t="s">
        <v>53</v>
      </c>
      <c r="FG310" s="49" t="s">
        <v>359</v>
      </c>
      <c r="FH310" s="49" t="s">
        <v>310</v>
      </c>
      <c r="FI310" s="49" t="s">
        <v>332</v>
      </c>
      <c r="FJ310" s="49" t="s">
        <v>303</v>
      </c>
      <c r="FL310" s="49" t="s">
        <v>325</v>
      </c>
      <c r="FM310" s="49" t="s">
        <v>1344</v>
      </c>
      <c r="FP310" s="49" t="s">
        <v>303</v>
      </c>
      <c r="FR310" s="49" t="s">
        <v>303</v>
      </c>
      <c r="FT310" s="49" t="s">
        <v>325</v>
      </c>
      <c r="FU310" s="49" t="s">
        <v>325</v>
      </c>
      <c r="FW310" s="49" t="s">
        <v>333</v>
      </c>
    </row>
    <row r="311" customFormat="false" ht="15" hidden="false" customHeight="false" outlineLevel="0" collapsed="false">
      <c r="A311" s="0" t="n">
        <v>100876656</v>
      </c>
      <c r="B311" s="0" t="s">
        <v>295</v>
      </c>
      <c r="C311" s="0" t="s">
        <v>53</v>
      </c>
      <c r="D311" s="0" t="s">
        <v>54</v>
      </c>
      <c r="E311" s="0" t="s">
        <v>297</v>
      </c>
      <c r="G311" s="0" t="n">
        <v>1</v>
      </c>
      <c r="H311" s="0" t="s">
        <v>298</v>
      </c>
      <c r="I311" s="48" t="n">
        <v>46273</v>
      </c>
      <c r="J311" s="0" t="n">
        <v>1</v>
      </c>
      <c r="K311" s="49" t="s">
        <v>1344</v>
      </c>
      <c r="L311" s="49" t="s">
        <v>335</v>
      </c>
      <c r="M311" s="48"/>
      <c r="O311" s="49" t="s">
        <v>1045</v>
      </c>
      <c r="P311" s="48"/>
      <c r="Q311" s="48" t="n">
        <v>46273</v>
      </c>
      <c r="R311" s="48" t="n">
        <v>46279</v>
      </c>
      <c r="T311" s="49" t="s">
        <v>302</v>
      </c>
      <c r="U311" s="49" t="s">
        <v>303</v>
      </c>
      <c r="Y311" s="49" t="s">
        <v>312</v>
      </c>
      <c r="AD311" s="49" t="s">
        <v>305</v>
      </c>
      <c r="AE311" s="48" t="n">
        <v>46246</v>
      </c>
      <c r="AF311" s="49" t="s">
        <v>306</v>
      </c>
      <c r="AG311" s="49" t="s">
        <v>307</v>
      </c>
      <c r="AK311" s="49" t="s">
        <v>1047</v>
      </c>
      <c r="AL311" s="49" t="s">
        <v>297</v>
      </c>
      <c r="AO311" s="49" t="s">
        <v>303</v>
      </c>
      <c r="AP311" s="48"/>
      <c r="AR311" s="49" t="s">
        <v>303</v>
      </c>
      <c r="AS311" s="49" t="s">
        <v>306</v>
      </c>
      <c r="AT311" s="49" t="s">
        <v>1350</v>
      </c>
      <c r="AV311" s="49" t="s">
        <v>309</v>
      </c>
      <c r="AW311" s="49" t="s">
        <v>310</v>
      </c>
      <c r="AX311" s="49" t="s">
        <v>311</v>
      </c>
      <c r="AY311" s="48"/>
      <c r="AZ311" s="48" t="n">
        <v>46262</v>
      </c>
      <c r="BC311" s="49" t="s">
        <v>303</v>
      </c>
      <c r="BD311" s="48" t="n">
        <v>46278</v>
      </c>
      <c r="BE311" s="49" t="s">
        <v>1351</v>
      </c>
      <c r="BF311" s="49" t="s">
        <v>303</v>
      </c>
      <c r="BG311" s="48"/>
      <c r="BI311" s="48" t="n">
        <v>46278</v>
      </c>
      <c r="BJ311" s="48" t="n">
        <v>46278</v>
      </c>
      <c r="BK311" s="49" t="s">
        <v>313</v>
      </c>
      <c r="BL311" s="49" t="s">
        <v>313</v>
      </c>
      <c r="BM311" s="49" t="s">
        <v>310</v>
      </c>
      <c r="BN311" s="48"/>
      <c r="BO311" s="48"/>
      <c r="BP311" s="48"/>
      <c r="BQ311" s="49" t="s">
        <v>1344</v>
      </c>
      <c r="BR311" s="48" t="n">
        <v>46272</v>
      </c>
      <c r="BS311" s="49" t="s">
        <v>1348</v>
      </c>
      <c r="BT311" s="49" t="s">
        <v>312</v>
      </c>
      <c r="BU311" s="49" t="s">
        <v>312</v>
      </c>
      <c r="BV311" s="49" t="s">
        <v>303</v>
      </c>
      <c r="BX311" s="0" t="n">
        <v>1</v>
      </c>
      <c r="CC311" s="49" t="s">
        <v>315</v>
      </c>
      <c r="CD311" s="49" t="s">
        <v>303</v>
      </c>
      <c r="CF311" s="49" t="s">
        <v>303</v>
      </c>
      <c r="CG311" s="49" t="s">
        <v>316</v>
      </c>
      <c r="CH311" s="49" t="s">
        <v>317</v>
      </c>
      <c r="CI311" s="49" t="s">
        <v>318</v>
      </c>
      <c r="CM311" s="49" t="s">
        <v>54</v>
      </c>
      <c r="CV311" s="49" t="s">
        <v>303</v>
      </c>
      <c r="DB311" s="49" t="s">
        <v>319</v>
      </c>
      <c r="DD311" s="48" t="n">
        <v>46246</v>
      </c>
      <c r="DF311" s="49" t="s">
        <v>310</v>
      </c>
      <c r="DG311" s="49" t="s">
        <v>320</v>
      </c>
      <c r="DH311" s="49" t="s">
        <v>53</v>
      </c>
      <c r="DI311" s="49" t="s">
        <v>298</v>
      </c>
      <c r="DJ311" s="49" t="s">
        <v>355</v>
      </c>
      <c r="DK311" s="49" t="s">
        <v>322</v>
      </c>
      <c r="DL311" s="49" t="s">
        <v>323</v>
      </c>
      <c r="DM311" s="49" t="s">
        <v>303</v>
      </c>
      <c r="DN311" s="49" t="s">
        <v>297</v>
      </c>
      <c r="DO311" s="48"/>
      <c r="DP311" s="49" t="s">
        <v>312</v>
      </c>
      <c r="DQ311" s="48"/>
      <c r="DR311" s="49" t="s">
        <v>312</v>
      </c>
      <c r="DS311" s="49" t="s">
        <v>303</v>
      </c>
      <c r="DT311" s="49" t="s">
        <v>303</v>
      </c>
      <c r="DW311" s="49" t="s">
        <v>303</v>
      </c>
      <c r="EA311" s="49" t="s">
        <v>324</v>
      </c>
      <c r="EB311" s="49" t="s">
        <v>303</v>
      </c>
      <c r="EF311" s="49" t="s">
        <v>1352</v>
      </c>
      <c r="EH311" s="49" t="s">
        <v>310</v>
      </c>
      <c r="EJ311" s="49" t="s">
        <v>303</v>
      </c>
      <c r="EK311" s="49" t="s">
        <v>1353</v>
      </c>
      <c r="EM311" s="49" t="s">
        <v>303</v>
      </c>
      <c r="EN311" s="49" t="s">
        <v>357</v>
      </c>
      <c r="EP311" s="49" t="s">
        <v>298</v>
      </c>
      <c r="EQ311" s="0" t="n">
        <v>1</v>
      </c>
      <c r="ER311" s="49" t="s">
        <v>328</v>
      </c>
      <c r="ES311" s="49" t="s">
        <v>358</v>
      </c>
      <c r="ET311" s="49" t="s">
        <v>310</v>
      </c>
      <c r="EU311" s="49" t="s">
        <v>310</v>
      </c>
      <c r="EV311" s="49" t="s">
        <v>310</v>
      </c>
      <c r="EX311" s="49" t="s">
        <v>303</v>
      </c>
      <c r="EY311" s="49" t="s">
        <v>303</v>
      </c>
      <c r="FC311" s="49" t="s">
        <v>330</v>
      </c>
      <c r="FD311" s="49" t="s">
        <v>310</v>
      </c>
      <c r="FE311" s="49" t="s">
        <v>310</v>
      </c>
      <c r="FF311" s="49" t="s">
        <v>53</v>
      </c>
      <c r="FG311" s="49" t="s">
        <v>359</v>
      </c>
      <c r="FH311" s="49" t="s">
        <v>310</v>
      </c>
      <c r="FI311" s="49" t="s">
        <v>332</v>
      </c>
      <c r="FJ311" s="49" t="s">
        <v>303</v>
      </c>
      <c r="FL311" s="49" t="s">
        <v>325</v>
      </c>
      <c r="FM311" s="49" t="s">
        <v>1344</v>
      </c>
      <c r="FP311" s="49" t="s">
        <v>303</v>
      </c>
      <c r="FR311" s="49" t="s">
        <v>303</v>
      </c>
      <c r="FT311" s="49" t="s">
        <v>325</v>
      </c>
      <c r="FU311" s="49" t="s">
        <v>325</v>
      </c>
      <c r="FW311" s="49" t="s">
        <v>333</v>
      </c>
    </row>
    <row r="312" customFormat="false" ht="15" hidden="false" customHeight="false" outlineLevel="0" collapsed="false">
      <c r="A312" s="0" t="n">
        <v>100876657</v>
      </c>
      <c r="B312" s="0" t="s">
        <v>295</v>
      </c>
      <c r="C312" s="0" t="s">
        <v>53</v>
      </c>
      <c r="D312" s="0" t="s">
        <v>54</v>
      </c>
      <c r="E312" s="0" t="s">
        <v>297</v>
      </c>
      <c r="G312" s="0" t="n">
        <v>1</v>
      </c>
      <c r="H312" s="0" t="s">
        <v>298</v>
      </c>
      <c r="I312" s="48" t="n">
        <v>46273</v>
      </c>
      <c r="J312" s="0" t="n">
        <v>1</v>
      </c>
      <c r="K312" s="49" t="s">
        <v>1344</v>
      </c>
      <c r="L312" s="49" t="s">
        <v>335</v>
      </c>
      <c r="M312" s="48"/>
      <c r="O312" s="49" t="s">
        <v>1045</v>
      </c>
      <c r="P312" s="48"/>
      <c r="Q312" s="48" t="n">
        <v>46273</v>
      </c>
      <c r="R312" s="48" t="n">
        <v>46279</v>
      </c>
      <c r="T312" s="49" t="s">
        <v>302</v>
      </c>
      <c r="U312" s="49" t="s">
        <v>303</v>
      </c>
      <c r="Y312" s="49" t="s">
        <v>312</v>
      </c>
      <c r="AD312" s="49" t="s">
        <v>305</v>
      </c>
      <c r="AE312" s="48" t="n">
        <v>46246</v>
      </c>
      <c r="AF312" s="49" t="s">
        <v>306</v>
      </c>
      <c r="AG312" s="49" t="s">
        <v>307</v>
      </c>
      <c r="AK312" s="49" t="s">
        <v>1047</v>
      </c>
      <c r="AL312" s="49" t="s">
        <v>297</v>
      </c>
      <c r="AO312" s="49" t="s">
        <v>303</v>
      </c>
      <c r="AP312" s="48"/>
      <c r="AR312" s="49" t="s">
        <v>303</v>
      </c>
      <c r="AS312" s="49" t="s">
        <v>306</v>
      </c>
      <c r="AT312" s="49" t="s">
        <v>1354</v>
      </c>
      <c r="AV312" s="49" t="s">
        <v>309</v>
      </c>
      <c r="AW312" s="49" t="s">
        <v>310</v>
      </c>
      <c r="AX312" s="49" t="s">
        <v>311</v>
      </c>
      <c r="AY312" s="48"/>
      <c r="AZ312" s="48" t="n">
        <v>46262</v>
      </c>
      <c r="BC312" s="49" t="s">
        <v>303</v>
      </c>
      <c r="BD312" s="48" t="n">
        <v>46278</v>
      </c>
      <c r="BE312" s="49" t="s">
        <v>1355</v>
      </c>
      <c r="BF312" s="49" t="s">
        <v>303</v>
      </c>
      <c r="BG312" s="48"/>
      <c r="BI312" s="48" t="n">
        <v>46278</v>
      </c>
      <c r="BJ312" s="48" t="n">
        <v>46278</v>
      </c>
      <c r="BK312" s="49" t="s">
        <v>313</v>
      </c>
      <c r="BL312" s="49" t="s">
        <v>313</v>
      </c>
      <c r="BM312" s="49" t="s">
        <v>310</v>
      </c>
      <c r="BN312" s="48"/>
      <c r="BO312" s="48"/>
      <c r="BP312" s="48"/>
      <c r="BQ312" s="49" t="s">
        <v>1344</v>
      </c>
      <c r="BR312" s="48" t="n">
        <v>46272</v>
      </c>
      <c r="BS312" s="49" t="s">
        <v>1356</v>
      </c>
      <c r="BT312" s="49" t="s">
        <v>312</v>
      </c>
      <c r="BU312" s="49" t="s">
        <v>312</v>
      </c>
      <c r="BV312" s="49" t="s">
        <v>303</v>
      </c>
      <c r="BX312" s="0" t="n">
        <v>1</v>
      </c>
      <c r="CC312" s="49" t="s">
        <v>315</v>
      </c>
      <c r="CD312" s="49" t="s">
        <v>303</v>
      </c>
      <c r="CF312" s="49" t="s">
        <v>303</v>
      </c>
      <c r="CG312" s="49" t="s">
        <v>316</v>
      </c>
      <c r="CH312" s="49" t="s">
        <v>317</v>
      </c>
      <c r="CI312" s="49" t="s">
        <v>318</v>
      </c>
      <c r="CM312" s="49" t="s">
        <v>54</v>
      </c>
      <c r="CV312" s="49" t="s">
        <v>303</v>
      </c>
      <c r="DB312" s="49" t="s">
        <v>319</v>
      </c>
      <c r="DD312" s="48" t="n">
        <v>46246</v>
      </c>
      <c r="DF312" s="49" t="s">
        <v>310</v>
      </c>
      <c r="DG312" s="49" t="s">
        <v>320</v>
      </c>
      <c r="DH312" s="49" t="s">
        <v>53</v>
      </c>
      <c r="DI312" s="49" t="s">
        <v>298</v>
      </c>
      <c r="DJ312" s="49" t="s">
        <v>355</v>
      </c>
      <c r="DK312" s="49" t="s">
        <v>322</v>
      </c>
      <c r="DL312" s="49" t="s">
        <v>323</v>
      </c>
      <c r="DM312" s="49" t="s">
        <v>303</v>
      </c>
      <c r="DN312" s="49" t="s">
        <v>297</v>
      </c>
      <c r="DO312" s="48"/>
      <c r="DP312" s="49" t="s">
        <v>312</v>
      </c>
      <c r="DQ312" s="48"/>
      <c r="DR312" s="49" t="s">
        <v>312</v>
      </c>
      <c r="DS312" s="49" t="s">
        <v>303</v>
      </c>
      <c r="DT312" s="49" t="s">
        <v>303</v>
      </c>
      <c r="DW312" s="49" t="s">
        <v>303</v>
      </c>
      <c r="EA312" s="49" t="s">
        <v>324</v>
      </c>
      <c r="EB312" s="49" t="s">
        <v>303</v>
      </c>
      <c r="EF312" s="49" t="s">
        <v>1352</v>
      </c>
      <c r="EH312" s="49" t="s">
        <v>310</v>
      </c>
      <c r="EJ312" s="49" t="s">
        <v>303</v>
      </c>
      <c r="EK312" s="49" t="s">
        <v>1357</v>
      </c>
      <c r="EM312" s="49" t="s">
        <v>303</v>
      </c>
      <c r="EN312" s="49" t="s">
        <v>357</v>
      </c>
      <c r="EP312" s="49" t="s">
        <v>298</v>
      </c>
      <c r="EQ312" s="0" t="n">
        <v>1</v>
      </c>
      <c r="ER312" s="49" t="s">
        <v>328</v>
      </c>
      <c r="ES312" s="49" t="s">
        <v>358</v>
      </c>
      <c r="ET312" s="49" t="s">
        <v>310</v>
      </c>
      <c r="EU312" s="49" t="s">
        <v>310</v>
      </c>
      <c r="EV312" s="49" t="s">
        <v>310</v>
      </c>
      <c r="EX312" s="49" t="s">
        <v>303</v>
      </c>
      <c r="EY312" s="49" t="s">
        <v>303</v>
      </c>
      <c r="FC312" s="49" t="s">
        <v>330</v>
      </c>
      <c r="FD312" s="49" t="s">
        <v>310</v>
      </c>
      <c r="FE312" s="49" t="s">
        <v>310</v>
      </c>
      <c r="FF312" s="49" t="s">
        <v>53</v>
      </c>
      <c r="FG312" s="49" t="s">
        <v>359</v>
      </c>
      <c r="FH312" s="49" t="s">
        <v>310</v>
      </c>
      <c r="FI312" s="49" t="s">
        <v>332</v>
      </c>
      <c r="FJ312" s="49" t="s">
        <v>303</v>
      </c>
      <c r="FL312" s="49" t="s">
        <v>325</v>
      </c>
      <c r="FM312" s="49" t="s">
        <v>1344</v>
      </c>
      <c r="FP312" s="49" t="s">
        <v>303</v>
      </c>
      <c r="FR312" s="49" t="s">
        <v>303</v>
      </c>
      <c r="FT312" s="49" t="s">
        <v>325</v>
      </c>
      <c r="FU312" s="49" t="s">
        <v>325</v>
      </c>
      <c r="FW312" s="49" t="s">
        <v>333</v>
      </c>
    </row>
    <row r="313" customFormat="false" ht="15" hidden="false" customHeight="false" outlineLevel="0" collapsed="false">
      <c r="A313" s="0" t="n">
        <v>100876671</v>
      </c>
      <c r="B313" s="0" t="s">
        <v>295</v>
      </c>
      <c r="C313" s="0" t="s">
        <v>53</v>
      </c>
      <c r="D313" s="0" t="s">
        <v>54</v>
      </c>
      <c r="E313" s="0" t="s">
        <v>297</v>
      </c>
      <c r="G313" s="0" t="n">
        <v>1</v>
      </c>
      <c r="H313" s="0" t="s">
        <v>298</v>
      </c>
      <c r="I313" s="48" t="n">
        <v>46273</v>
      </c>
      <c r="J313" s="0" t="n">
        <v>1</v>
      </c>
      <c r="K313" s="49" t="s">
        <v>1344</v>
      </c>
      <c r="L313" s="49" t="s">
        <v>335</v>
      </c>
      <c r="M313" s="48" t="n">
        <v>46273</v>
      </c>
      <c r="N313" s="49" t="s">
        <v>335</v>
      </c>
      <c r="O313" s="49" t="s">
        <v>1045</v>
      </c>
      <c r="P313" s="48"/>
      <c r="Q313" s="48" t="n">
        <v>46273</v>
      </c>
      <c r="R313" s="48" t="n">
        <v>46280</v>
      </c>
      <c r="T313" s="49" t="s">
        <v>302</v>
      </c>
      <c r="U313" s="49" t="s">
        <v>303</v>
      </c>
      <c r="Y313" s="49" t="s">
        <v>1358</v>
      </c>
      <c r="AD313" s="49" t="s">
        <v>305</v>
      </c>
      <c r="AE313" s="48" t="n">
        <v>46253</v>
      </c>
      <c r="AF313" s="49" t="s">
        <v>306</v>
      </c>
      <c r="AG313" s="49" t="s">
        <v>307</v>
      </c>
      <c r="AK313" s="49" t="s">
        <v>1047</v>
      </c>
      <c r="AL313" s="49" t="s">
        <v>297</v>
      </c>
      <c r="AO313" s="49" t="s">
        <v>303</v>
      </c>
      <c r="AP313" s="48"/>
      <c r="AR313" s="49" t="s">
        <v>303</v>
      </c>
      <c r="AS313" s="49" t="s">
        <v>306</v>
      </c>
      <c r="AT313" s="49" t="s">
        <v>1359</v>
      </c>
      <c r="AV313" s="49" t="s">
        <v>309</v>
      </c>
      <c r="AW313" s="49" t="s">
        <v>310</v>
      </c>
      <c r="AX313" s="49" t="s">
        <v>311</v>
      </c>
      <c r="AY313" s="48"/>
      <c r="AZ313" s="48" t="n">
        <v>46262</v>
      </c>
      <c r="BC313" s="49" t="s">
        <v>303</v>
      </c>
      <c r="BD313" s="48" t="n">
        <v>46288</v>
      </c>
      <c r="BE313" s="49" t="s">
        <v>1360</v>
      </c>
      <c r="BF313" s="49" t="s">
        <v>303</v>
      </c>
      <c r="BG313" s="48"/>
      <c r="BI313" s="48" t="n">
        <v>46288</v>
      </c>
      <c r="BJ313" s="48" t="n">
        <v>46278</v>
      </c>
      <c r="BK313" s="49" t="s">
        <v>312</v>
      </c>
      <c r="BL313" s="49" t="s">
        <v>313</v>
      </c>
      <c r="BM313" s="49" t="s">
        <v>310</v>
      </c>
      <c r="BN313" s="48"/>
      <c r="BO313" s="48"/>
      <c r="BP313" s="48"/>
      <c r="BQ313" s="49" t="s">
        <v>1344</v>
      </c>
      <c r="BR313" s="48" t="n">
        <v>46272</v>
      </c>
      <c r="BS313" s="49" t="s">
        <v>1356</v>
      </c>
      <c r="BT313" s="49" t="s">
        <v>312</v>
      </c>
      <c r="BU313" s="49" t="s">
        <v>312</v>
      </c>
      <c r="BV313" s="49" t="s">
        <v>303</v>
      </c>
      <c r="BX313" s="0" t="n">
        <v>1</v>
      </c>
      <c r="CC313" s="49" t="s">
        <v>315</v>
      </c>
      <c r="CD313" s="49" t="s">
        <v>303</v>
      </c>
      <c r="CF313" s="49" t="s">
        <v>303</v>
      </c>
      <c r="CG313" s="49" t="s">
        <v>316</v>
      </c>
      <c r="CH313" s="49" t="s">
        <v>317</v>
      </c>
      <c r="CI313" s="49" t="s">
        <v>318</v>
      </c>
      <c r="CM313" s="49" t="s">
        <v>54</v>
      </c>
      <c r="CV313" s="49" t="s">
        <v>303</v>
      </c>
      <c r="DB313" s="49" t="s">
        <v>319</v>
      </c>
      <c r="DD313" s="48" t="n">
        <v>46253</v>
      </c>
      <c r="DF313" s="49" t="s">
        <v>310</v>
      </c>
      <c r="DG313" s="49" t="s">
        <v>320</v>
      </c>
      <c r="DH313" s="49" t="s">
        <v>53</v>
      </c>
      <c r="DI313" s="49" t="s">
        <v>298</v>
      </c>
      <c r="DJ313" s="49" t="s">
        <v>355</v>
      </c>
      <c r="DK313" s="49" t="s">
        <v>322</v>
      </c>
      <c r="DL313" s="49" t="s">
        <v>323</v>
      </c>
      <c r="DM313" s="49" t="s">
        <v>303</v>
      </c>
      <c r="DN313" s="49" t="s">
        <v>297</v>
      </c>
      <c r="DO313" s="48"/>
      <c r="DP313" s="49" t="s">
        <v>312</v>
      </c>
      <c r="DQ313" s="48"/>
      <c r="DR313" s="49" t="s">
        <v>312</v>
      </c>
      <c r="DS313" s="49" t="s">
        <v>303</v>
      </c>
      <c r="DT313" s="49" t="s">
        <v>303</v>
      </c>
      <c r="DW313" s="49" t="s">
        <v>303</v>
      </c>
      <c r="EA313" s="49" t="s">
        <v>324</v>
      </c>
      <c r="EB313" s="49" t="s">
        <v>303</v>
      </c>
      <c r="EH313" s="49" t="s">
        <v>310</v>
      </c>
      <c r="EJ313" s="49" t="s">
        <v>303</v>
      </c>
      <c r="EK313" s="49" t="s">
        <v>1361</v>
      </c>
      <c r="EM313" s="49" t="s">
        <v>303</v>
      </c>
      <c r="EN313" s="49" t="s">
        <v>357</v>
      </c>
      <c r="EP313" s="49" t="s">
        <v>298</v>
      </c>
      <c r="EQ313" s="0" t="n">
        <v>1</v>
      </c>
      <c r="ER313" s="49" t="s">
        <v>328</v>
      </c>
      <c r="ES313" s="49" t="s">
        <v>358</v>
      </c>
      <c r="ET313" s="49" t="s">
        <v>310</v>
      </c>
      <c r="EU313" s="49" t="s">
        <v>310</v>
      </c>
      <c r="EV313" s="49" t="s">
        <v>310</v>
      </c>
      <c r="EX313" s="49" t="s">
        <v>303</v>
      </c>
      <c r="EY313" s="49" t="s">
        <v>303</v>
      </c>
      <c r="FC313" s="49" t="s">
        <v>330</v>
      </c>
      <c r="FD313" s="49" t="s">
        <v>310</v>
      </c>
      <c r="FE313" s="49" t="s">
        <v>310</v>
      </c>
      <c r="FF313" s="49" t="s">
        <v>53</v>
      </c>
      <c r="FG313" s="49" t="s">
        <v>359</v>
      </c>
      <c r="FH313" s="49" t="s">
        <v>310</v>
      </c>
      <c r="FI313" s="49" t="s">
        <v>332</v>
      </c>
      <c r="FJ313" s="49" t="s">
        <v>303</v>
      </c>
      <c r="FL313" s="49" t="s">
        <v>325</v>
      </c>
      <c r="FM313" s="49" t="s">
        <v>1344</v>
      </c>
      <c r="FP313" s="49" t="s">
        <v>303</v>
      </c>
      <c r="FR313" s="49" t="s">
        <v>303</v>
      </c>
      <c r="FT313" s="49" t="s">
        <v>325</v>
      </c>
      <c r="FU313" s="49" t="s">
        <v>325</v>
      </c>
      <c r="FW313" s="49" t="s">
        <v>333</v>
      </c>
    </row>
    <row r="314" customFormat="false" ht="15" hidden="false" customHeight="false" outlineLevel="0" collapsed="false">
      <c r="A314" s="0" t="n">
        <v>100876672</v>
      </c>
      <c r="B314" s="0" t="s">
        <v>295</v>
      </c>
      <c r="C314" s="0" t="s">
        <v>53</v>
      </c>
      <c r="D314" s="0" t="s">
        <v>54</v>
      </c>
      <c r="E314" s="0" t="s">
        <v>297</v>
      </c>
      <c r="G314" s="0" t="n">
        <v>1</v>
      </c>
      <c r="H314" s="0" t="s">
        <v>298</v>
      </c>
      <c r="I314" s="48" t="n">
        <v>46273</v>
      </c>
      <c r="J314" s="0" t="n">
        <v>0</v>
      </c>
      <c r="K314" s="49" t="s">
        <v>1344</v>
      </c>
      <c r="L314" s="49" t="s">
        <v>335</v>
      </c>
      <c r="M314" s="48"/>
      <c r="O314" s="49" t="s">
        <v>937</v>
      </c>
      <c r="P314" s="48"/>
      <c r="Q314" s="48" t="n">
        <v>46273</v>
      </c>
      <c r="R314" s="48" t="n">
        <v>46279</v>
      </c>
      <c r="T314" s="49" t="s">
        <v>302</v>
      </c>
      <c r="U314" s="49" t="s">
        <v>303</v>
      </c>
      <c r="Y314" s="49" t="s">
        <v>312</v>
      </c>
      <c r="AD314" s="49" t="s">
        <v>305</v>
      </c>
      <c r="AE314" s="48" t="n">
        <v>46253</v>
      </c>
      <c r="AF314" s="49" t="s">
        <v>306</v>
      </c>
      <c r="AG314" s="49" t="s">
        <v>307</v>
      </c>
      <c r="AK314" s="49" t="s">
        <v>303</v>
      </c>
      <c r="AL314" s="49" t="s">
        <v>297</v>
      </c>
      <c r="AO314" s="49" t="s">
        <v>303</v>
      </c>
      <c r="AP314" s="48"/>
      <c r="AR314" s="49" t="s">
        <v>303</v>
      </c>
      <c r="AS314" s="49" t="s">
        <v>306</v>
      </c>
      <c r="AT314" s="49" t="s">
        <v>1362</v>
      </c>
      <c r="AV314" s="49" t="s">
        <v>309</v>
      </c>
      <c r="AW314" s="49" t="s">
        <v>310</v>
      </c>
      <c r="AX314" s="49" t="s">
        <v>311</v>
      </c>
      <c r="AY314" s="48"/>
      <c r="AZ314" s="48" t="n">
        <v>46262</v>
      </c>
      <c r="BC314" s="49" t="s">
        <v>303</v>
      </c>
      <c r="BD314" s="48"/>
      <c r="BE314" s="49" t="s">
        <v>312</v>
      </c>
      <c r="BF314" s="49" t="s">
        <v>303</v>
      </c>
      <c r="BG314" s="48"/>
      <c r="BI314" s="48"/>
      <c r="BJ314" s="48" t="n">
        <v>46278</v>
      </c>
      <c r="BK314" s="49" t="s">
        <v>313</v>
      </c>
      <c r="BL314" s="49" t="s">
        <v>313</v>
      </c>
      <c r="BM314" s="49" t="s">
        <v>310</v>
      </c>
      <c r="BN314" s="48"/>
      <c r="BO314" s="48"/>
      <c r="BP314" s="48"/>
      <c r="BQ314" s="49" t="s">
        <v>1344</v>
      </c>
      <c r="BR314" s="48" t="n">
        <v>46272</v>
      </c>
      <c r="BS314" s="49" t="s">
        <v>1356</v>
      </c>
      <c r="BT314" s="49" t="s">
        <v>312</v>
      </c>
      <c r="BU314" s="49" t="s">
        <v>312</v>
      </c>
      <c r="BV314" s="49" t="s">
        <v>303</v>
      </c>
      <c r="BX314" s="0" t="n">
        <v>0</v>
      </c>
      <c r="CC314" s="49" t="s">
        <v>315</v>
      </c>
      <c r="CD314" s="49" t="s">
        <v>303</v>
      </c>
      <c r="CF314" s="49" t="s">
        <v>303</v>
      </c>
      <c r="CG314" s="49" t="s">
        <v>316</v>
      </c>
      <c r="CH314" s="49" t="s">
        <v>317</v>
      </c>
      <c r="CI314" s="49" t="s">
        <v>318</v>
      </c>
      <c r="CM314" s="49" t="s">
        <v>54</v>
      </c>
      <c r="CV314" s="49" t="s">
        <v>303</v>
      </c>
      <c r="DB314" s="49" t="s">
        <v>319</v>
      </c>
      <c r="DD314" s="48" t="n">
        <v>46253</v>
      </c>
      <c r="DF314" s="49" t="s">
        <v>310</v>
      </c>
      <c r="DG314" s="49" t="s">
        <v>320</v>
      </c>
      <c r="DH314" s="49" t="s">
        <v>53</v>
      </c>
      <c r="DI314" s="49" t="s">
        <v>298</v>
      </c>
      <c r="DJ314" s="49" t="s">
        <v>355</v>
      </c>
      <c r="DK314" s="49" t="s">
        <v>322</v>
      </c>
      <c r="DL314" s="49" t="s">
        <v>323</v>
      </c>
      <c r="DM314" s="49" t="s">
        <v>303</v>
      </c>
      <c r="DN314" s="49" t="s">
        <v>297</v>
      </c>
      <c r="DO314" s="48"/>
      <c r="DP314" s="49" t="s">
        <v>312</v>
      </c>
      <c r="DQ314" s="48"/>
      <c r="DR314" s="49" t="s">
        <v>312</v>
      </c>
      <c r="DS314" s="49" t="s">
        <v>303</v>
      </c>
      <c r="DT314" s="49" t="s">
        <v>303</v>
      </c>
      <c r="DW314" s="49" t="s">
        <v>303</v>
      </c>
      <c r="EA314" s="49" t="s">
        <v>324</v>
      </c>
      <c r="EB314" s="49" t="s">
        <v>303</v>
      </c>
      <c r="EF314" s="49" t="s">
        <v>1363</v>
      </c>
      <c r="EH314" s="49" t="s">
        <v>310</v>
      </c>
      <c r="EJ314" s="49" t="s">
        <v>303</v>
      </c>
      <c r="EK314" s="49" t="s">
        <v>1364</v>
      </c>
      <c r="EM314" s="49" t="s">
        <v>303</v>
      </c>
      <c r="EN314" s="49" t="s">
        <v>357</v>
      </c>
      <c r="EP314" s="49" t="s">
        <v>298</v>
      </c>
      <c r="EQ314" s="0" t="n">
        <v>1</v>
      </c>
      <c r="ER314" s="49" t="s">
        <v>328</v>
      </c>
      <c r="ES314" s="49" t="s">
        <v>358</v>
      </c>
      <c r="ET314" s="49" t="s">
        <v>310</v>
      </c>
      <c r="EU314" s="49" t="s">
        <v>310</v>
      </c>
      <c r="EV314" s="49" t="s">
        <v>310</v>
      </c>
      <c r="EX314" s="49" t="s">
        <v>303</v>
      </c>
      <c r="EY314" s="49" t="s">
        <v>303</v>
      </c>
      <c r="FC314" s="49" t="s">
        <v>330</v>
      </c>
      <c r="FD314" s="49" t="s">
        <v>310</v>
      </c>
      <c r="FE314" s="49" t="s">
        <v>310</v>
      </c>
      <c r="FF314" s="49" t="s">
        <v>53</v>
      </c>
      <c r="FG314" s="49" t="s">
        <v>359</v>
      </c>
      <c r="FH314" s="49" t="s">
        <v>310</v>
      </c>
      <c r="FI314" s="49" t="s">
        <v>332</v>
      </c>
      <c r="FJ314" s="49" t="s">
        <v>303</v>
      </c>
      <c r="FL314" s="49" t="s">
        <v>325</v>
      </c>
      <c r="FM314" s="49" t="s">
        <v>1344</v>
      </c>
      <c r="FP314" s="49" t="s">
        <v>303</v>
      </c>
      <c r="FR314" s="49" t="s">
        <v>303</v>
      </c>
      <c r="FT314" s="49" t="s">
        <v>325</v>
      </c>
      <c r="FU314" s="49" t="s">
        <v>325</v>
      </c>
      <c r="FW314" s="49" t="s">
        <v>333</v>
      </c>
    </row>
    <row r="315" customFormat="false" ht="15" hidden="false" customHeight="false" outlineLevel="0" collapsed="false">
      <c r="A315" s="0" t="n">
        <v>100876673</v>
      </c>
      <c r="B315" s="0" t="s">
        <v>295</v>
      </c>
      <c r="C315" s="0" t="s">
        <v>53</v>
      </c>
      <c r="D315" s="0" t="s">
        <v>54</v>
      </c>
      <c r="E315" s="0" t="s">
        <v>297</v>
      </c>
      <c r="G315" s="0" t="n">
        <v>1</v>
      </c>
      <c r="H315" s="0" t="s">
        <v>298</v>
      </c>
      <c r="I315" s="48" t="n">
        <v>46273</v>
      </c>
      <c r="J315" s="0" t="n">
        <v>1</v>
      </c>
      <c r="K315" s="49" t="s">
        <v>1344</v>
      </c>
      <c r="L315" s="49" t="s">
        <v>335</v>
      </c>
      <c r="M315" s="48"/>
      <c r="O315" s="49" t="s">
        <v>1045</v>
      </c>
      <c r="P315" s="48"/>
      <c r="Q315" s="48" t="n">
        <v>46273</v>
      </c>
      <c r="R315" s="48" t="n">
        <v>46279</v>
      </c>
      <c r="T315" s="49" t="s">
        <v>302</v>
      </c>
      <c r="U315" s="49" t="s">
        <v>303</v>
      </c>
      <c r="Y315" s="49" t="s">
        <v>312</v>
      </c>
      <c r="AD315" s="49" t="s">
        <v>305</v>
      </c>
      <c r="AE315" s="48" t="n">
        <v>46253</v>
      </c>
      <c r="AF315" s="49" t="s">
        <v>306</v>
      </c>
      <c r="AG315" s="49" t="s">
        <v>307</v>
      </c>
      <c r="AK315" s="49" t="s">
        <v>1047</v>
      </c>
      <c r="AL315" s="49" t="s">
        <v>297</v>
      </c>
      <c r="AO315" s="49" t="s">
        <v>303</v>
      </c>
      <c r="AP315" s="48"/>
      <c r="AR315" s="49" t="s">
        <v>303</v>
      </c>
      <c r="AS315" s="49" t="s">
        <v>306</v>
      </c>
      <c r="AT315" s="49" t="s">
        <v>1365</v>
      </c>
      <c r="AV315" s="49" t="s">
        <v>309</v>
      </c>
      <c r="AW315" s="49" t="s">
        <v>310</v>
      </c>
      <c r="AX315" s="49" t="s">
        <v>311</v>
      </c>
      <c r="AY315" s="48"/>
      <c r="AZ315" s="48" t="n">
        <v>46262</v>
      </c>
      <c r="BC315" s="49" t="s">
        <v>303</v>
      </c>
      <c r="BD315" s="48" t="n">
        <v>46288</v>
      </c>
      <c r="BE315" s="49" t="s">
        <v>1366</v>
      </c>
      <c r="BF315" s="49" t="s">
        <v>303</v>
      </c>
      <c r="BG315" s="48"/>
      <c r="BI315" s="48" t="n">
        <v>46288</v>
      </c>
      <c r="BJ315" s="48" t="n">
        <v>46278</v>
      </c>
      <c r="BK315" s="49" t="s">
        <v>313</v>
      </c>
      <c r="BL315" s="49" t="s">
        <v>313</v>
      </c>
      <c r="BM315" s="49" t="s">
        <v>310</v>
      </c>
      <c r="BN315" s="48"/>
      <c r="BO315" s="48"/>
      <c r="BP315" s="48"/>
      <c r="BQ315" s="49" t="s">
        <v>1344</v>
      </c>
      <c r="BR315" s="48" t="n">
        <v>46272</v>
      </c>
      <c r="BS315" s="49" t="s">
        <v>1367</v>
      </c>
      <c r="BT315" s="49" t="s">
        <v>312</v>
      </c>
      <c r="BU315" s="49" t="s">
        <v>312</v>
      </c>
      <c r="BV315" s="49" t="s">
        <v>303</v>
      </c>
      <c r="BX315" s="0" t="n">
        <v>1</v>
      </c>
      <c r="CC315" s="49" t="s">
        <v>315</v>
      </c>
      <c r="CD315" s="49" t="s">
        <v>303</v>
      </c>
      <c r="CF315" s="49" t="s">
        <v>303</v>
      </c>
      <c r="CG315" s="49" t="s">
        <v>316</v>
      </c>
      <c r="CH315" s="49" t="s">
        <v>317</v>
      </c>
      <c r="CI315" s="49" t="s">
        <v>318</v>
      </c>
      <c r="CM315" s="49" t="s">
        <v>54</v>
      </c>
      <c r="CV315" s="49" t="s">
        <v>303</v>
      </c>
      <c r="DB315" s="49" t="s">
        <v>319</v>
      </c>
      <c r="DD315" s="48" t="n">
        <v>46253</v>
      </c>
      <c r="DF315" s="49" t="s">
        <v>310</v>
      </c>
      <c r="DG315" s="49" t="s">
        <v>320</v>
      </c>
      <c r="DH315" s="49" t="s">
        <v>53</v>
      </c>
      <c r="DI315" s="49" t="s">
        <v>298</v>
      </c>
      <c r="DJ315" s="49" t="s">
        <v>355</v>
      </c>
      <c r="DK315" s="49" t="s">
        <v>322</v>
      </c>
      <c r="DL315" s="49" t="s">
        <v>323</v>
      </c>
      <c r="DM315" s="49" t="s">
        <v>303</v>
      </c>
      <c r="DN315" s="49" t="s">
        <v>297</v>
      </c>
      <c r="DO315" s="48"/>
      <c r="DP315" s="49" t="s">
        <v>312</v>
      </c>
      <c r="DQ315" s="48"/>
      <c r="DR315" s="49" t="s">
        <v>312</v>
      </c>
      <c r="DS315" s="49" t="s">
        <v>303</v>
      </c>
      <c r="DT315" s="49" t="s">
        <v>303</v>
      </c>
      <c r="DW315" s="49" t="s">
        <v>303</v>
      </c>
      <c r="EA315" s="49" t="s">
        <v>324</v>
      </c>
      <c r="EB315" s="49" t="s">
        <v>303</v>
      </c>
      <c r="EF315" s="49" t="s">
        <v>1363</v>
      </c>
      <c r="EH315" s="49" t="s">
        <v>310</v>
      </c>
      <c r="EJ315" s="49" t="s">
        <v>303</v>
      </c>
      <c r="EK315" s="49" t="s">
        <v>1368</v>
      </c>
      <c r="EM315" s="49" t="s">
        <v>303</v>
      </c>
      <c r="EN315" s="49" t="s">
        <v>357</v>
      </c>
      <c r="EP315" s="49" t="s">
        <v>298</v>
      </c>
      <c r="EQ315" s="0" t="n">
        <v>1</v>
      </c>
      <c r="ER315" s="49" t="s">
        <v>328</v>
      </c>
      <c r="ES315" s="49" t="s">
        <v>358</v>
      </c>
      <c r="ET315" s="49" t="s">
        <v>310</v>
      </c>
      <c r="EU315" s="49" t="s">
        <v>310</v>
      </c>
      <c r="EV315" s="49" t="s">
        <v>310</v>
      </c>
      <c r="EX315" s="49" t="s">
        <v>303</v>
      </c>
      <c r="EY315" s="49" t="s">
        <v>303</v>
      </c>
      <c r="FC315" s="49" t="s">
        <v>330</v>
      </c>
      <c r="FD315" s="49" t="s">
        <v>310</v>
      </c>
      <c r="FE315" s="49" t="s">
        <v>310</v>
      </c>
      <c r="FF315" s="49" t="s">
        <v>53</v>
      </c>
      <c r="FG315" s="49" t="s">
        <v>359</v>
      </c>
      <c r="FH315" s="49" t="s">
        <v>310</v>
      </c>
      <c r="FI315" s="49" t="s">
        <v>332</v>
      </c>
      <c r="FJ315" s="49" t="s">
        <v>303</v>
      </c>
      <c r="FL315" s="49" t="s">
        <v>325</v>
      </c>
      <c r="FM315" s="49" t="s">
        <v>1344</v>
      </c>
      <c r="FP315" s="49" t="s">
        <v>303</v>
      </c>
      <c r="FR315" s="49" t="s">
        <v>303</v>
      </c>
      <c r="FT315" s="49" t="s">
        <v>325</v>
      </c>
      <c r="FU315" s="49" t="s">
        <v>325</v>
      </c>
      <c r="FW315" s="49" t="s">
        <v>333</v>
      </c>
    </row>
    <row r="316" customFormat="false" ht="15" hidden="false" customHeight="false" outlineLevel="0" collapsed="false">
      <c r="A316" s="0" t="n">
        <v>100876674</v>
      </c>
      <c r="B316" s="0" t="s">
        <v>295</v>
      </c>
      <c r="C316" s="0" t="s">
        <v>53</v>
      </c>
      <c r="D316" s="0" t="s">
        <v>54</v>
      </c>
      <c r="E316" s="0" t="s">
        <v>297</v>
      </c>
      <c r="G316" s="0" t="n">
        <v>1</v>
      </c>
      <c r="H316" s="0" t="s">
        <v>298</v>
      </c>
      <c r="I316" s="48" t="n">
        <v>46273</v>
      </c>
      <c r="J316" s="0" t="n">
        <v>0</v>
      </c>
      <c r="K316" s="49" t="s">
        <v>1344</v>
      </c>
      <c r="L316" s="49" t="s">
        <v>335</v>
      </c>
      <c r="M316" s="48"/>
      <c r="O316" s="49" t="s">
        <v>937</v>
      </c>
      <c r="P316" s="48"/>
      <c r="Q316" s="48" t="n">
        <v>46273</v>
      </c>
      <c r="R316" s="48" t="n">
        <v>46279</v>
      </c>
      <c r="T316" s="49" t="s">
        <v>302</v>
      </c>
      <c r="U316" s="49" t="s">
        <v>303</v>
      </c>
      <c r="Y316" s="49" t="s">
        <v>312</v>
      </c>
      <c r="AD316" s="49" t="s">
        <v>305</v>
      </c>
      <c r="AE316" s="48" t="n">
        <v>46253</v>
      </c>
      <c r="AF316" s="49" t="s">
        <v>306</v>
      </c>
      <c r="AG316" s="49" t="s">
        <v>307</v>
      </c>
      <c r="AK316" s="49" t="s">
        <v>303</v>
      </c>
      <c r="AL316" s="49" t="s">
        <v>297</v>
      </c>
      <c r="AO316" s="49" t="s">
        <v>303</v>
      </c>
      <c r="AP316" s="48"/>
      <c r="AR316" s="49" t="s">
        <v>303</v>
      </c>
      <c r="AS316" s="49" t="s">
        <v>306</v>
      </c>
      <c r="AT316" s="49" t="s">
        <v>1369</v>
      </c>
      <c r="AV316" s="49" t="s">
        <v>309</v>
      </c>
      <c r="AW316" s="49" t="s">
        <v>310</v>
      </c>
      <c r="AX316" s="49" t="s">
        <v>311</v>
      </c>
      <c r="AY316" s="48"/>
      <c r="AZ316" s="48" t="n">
        <v>46262</v>
      </c>
      <c r="BC316" s="49" t="s">
        <v>303</v>
      </c>
      <c r="BD316" s="48"/>
      <c r="BE316" s="49" t="s">
        <v>312</v>
      </c>
      <c r="BF316" s="49" t="s">
        <v>303</v>
      </c>
      <c r="BG316" s="48"/>
      <c r="BI316" s="48"/>
      <c r="BJ316" s="48" t="n">
        <v>46278</v>
      </c>
      <c r="BK316" s="49" t="s">
        <v>313</v>
      </c>
      <c r="BL316" s="49" t="s">
        <v>313</v>
      </c>
      <c r="BM316" s="49" t="s">
        <v>310</v>
      </c>
      <c r="BN316" s="48"/>
      <c r="BO316" s="48"/>
      <c r="BP316" s="48"/>
      <c r="BQ316" s="49" t="s">
        <v>1344</v>
      </c>
      <c r="BR316" s="48" t="n">
        <v>46272</v>
      </c>
      <c r="BS316" s="49" t="s">
        <v>1367</v>
      </c>
      <c r="BT316" s="49" t="s">
        <v>312</v>
      </c>
      <c r="BU316" s="49" t="s">
        <v>312</v>
      </c>
      <c r="BV316" s="49" t="s">
        <v>303</v>
      </c>
      <c r="BX316" s="0" t="n">
        <v>0</v>
      </c>
      <c r="CC316" s="49" t="s">
        <v>315</v>
      </c>
      <c r="CD316" s="49" t="s">
        <v>303</v>
      </c>
      <c r="CF316" s="49" t="s">
        <v>303</v>
      </c>
      <c r="CG316" s="49" t="s">
        <v>316</v>
      </c>
      <c r="CH316" s="49" t="s">
        <v>317</v>
      </c>
      <c r="CI316" s="49" t="s">
        <v>318</v>
      </c>
      <c r="CM316" s="49" t="s">
        <v>54</v>
      </c>
      <c r="CV316" s="49" t="s">
        <v>303</v>
      </c>
      <c r="DB316" s="49" t="s">
        <v>319</v>
      </c>
      <c r="DD316" s="48" t="n">
        <v>46253</v>
      </c>
      <c r="DF316" s="49" t="s">
        <v>310</v>
      </c>
      <c r="DG316" s="49" t="s">
        <v>320</v>
      </c>
      <c r="DH316" s="49" t="s">
        <v>53</v>
      </c>
      <c r="DI316" s="49" t="s">
        <v>298</v>
      </c>
      <c r="DJ316" s="49" t="s">
        <v>355</v>
      </c>
      <c r="DK316" s="49" t="s">
        <v>322</v>
      </c>
      <c r="DL316" s="49" t="s">
        <v>323</v>
      </c>
      <c r="DM316" s="49" t="s">
        <v>303</v>
      </c>
      <c r="DN316" s="49" t="s">
        <v>297</v>
      </c>
      <c r="DO316" s="48"/>
      <c r="DP316" s="49" t="s">
        <v>312</v>
      </c>
      <c r="DQ316" s="48"/>
      <c r="DR316" s="49" t="s">
        <v>312</v>
      </c>
      <c r="DS316" s="49" t="s">
        <v>303</v>
      </c>
      <c r="DT316" s="49" t="s">
        <v>303</v>
      </c>
      <c r="DW316" s="49" t="s">
        <v>303</v>
      </c>
      <c r="EA316" s="49" t="s">
        <v>324</v>
      </c>
      <c r="EB316" s="49" t="s">
        <v>303</v>
      </c>
      <c r="EF316" s="49" t="s">
        <v>1363</v>
      </c>
      <c r="EH316" s="49" t="s">
        <v>310</v>
      </c>
      <c r="EJ316" s="49" t="s">
        <v>303</v>
      </c>
      <c r="EK316" s="49" t="s">
        <v>1370</v>
      </c>
      <c r="EM316" s="49" t="s">
        <v>303</v>
      </c>
      <c r="EN316" s="49" t="s">
        <v>357</v>
      </c>
      <c r="EP316" s="49" t="s">
        <v>298</v>
      </c>
      <c r="EQ316" s="0" t="n">
        <v>1</v>
      </c>
      <c r="ER316" s="49" t="s">
        <v>328</v>
      </c>
      <c r="ES316" s="49" t="s">
        <v>358</v>
      </c>
      <c r="ET316" s="49" t="s">
        <v>310</v>
      </c>
      <c r="EU316" s="49" t="s">
        <v>310</v>
      </c>
      <c r="EV316" s="49" t="s">
        <v>310</v>
      </c>
      <c r="EX316" s="49" t="s">
        <v>303</v>
      </c>
      <c r="EY316" s="49" t="s">
        <v>303</v>
      </c>
      <c r="FC316" s="49" t="s">
        <v>330</v>
      </c>
      <c r="FD316" s="49" t="s">
        <v>310</v>
      </c>
      <c r="FE316" s="49" t="s">
        <v>310</v>
      </c>
      <c r="FF316" s="49" t="s">
        <v>53</v>
      </c>
      <c r="FG316" s="49" t="s">
        <v>359</v>
      </c>
      <c r="FH316" s="49" t="s">
        <v>310</v>
      </c>
      <c r="FI316" s="49" t="s">
        <v>332</v>
      </c>
      <c r="FJ316" s="49" t="s">
        <v>303</v>
      </c>
      <c r="FL316" s="49" t="s">
        <v>325</v>
      </c>
      <c r="FM316" s="49" t="s">
        <v>1344</v>
      </c>
      <c r="FP316" s="49" t="s">
        <v>303</v>
      </c>
      <c r="FR316" s="49" t="s">
        <v>303</v>
      </c>
      <c r="FT316" s="49" t="s">
        <v>325</v>
      </c>
      <c r="FU316" s="49" t="s">
        <v>325</v>
      </c>
      <c r="FW316" s="49" t="s">
        <v>333</v>
      </c>
    </row>
    <row r="317" customFormat="false" ht="15" hidden="false" customHeight="false" outlineLevel="0" collapsed="false">
      <c r="A317" s="0" t="n">
        <v>100876675</v>
      </c>
      <c r="B317" s="0" t="s">
        <v>295</v>
      </c>
      <c r="C317" s="0" t="s">
        <v>53</v>
      </c>
      <c r="D317" s="0" t="s">
        <v>54</v>
      </c>
      <c r="E317" s="0" t="s">
        <v>297</v>
      </c>
      <c r="G317" s="0" t="n">
        <v>1</v>
      </c>
      <c r="H317" s="0" t="s">
        <v>298</v>
      </c>
      <c r="I317" s="48" t="n">
        <v>46273</v>
      </c>
      <c r="J317" s="0" t="n">
        <v>0</v>
      </c>
      <c r="K317" s="49" t="s">
        <v>1344</v>
      </c>
      <c r="L317" s="49" t="s">
        <v>335</v>
      </c>
      <c r="M317" s="48"/>
      <c r="O317" s="49" t="s">
        <v>937</v>
      </c>
      <c r="P317" s="48"/>
      <c r="Q317" s="48" t="n">
        <v>46273</v>
      </c>
      <c r="R317" s="48" t="n">
        <v>46279</v>
      </c>
      <c r="T317" s="49" t="s">
        <v>302</v>
      </c>
      <c r="U317" s="49" t="s">
        <v>303</v>
      </c>
      <c r="Y317" s="49" t="s">
        <v>312</v>
      </c>
      <c r="AD317" s="49" t="s">
        <v>305</v>
      </c>
      <c r="AE317" s="48" t="n">
        <v>46253</v>
      </c>
      <c r="AF317" s="49" t="s">
        <v>306</v>
      </c>
      <c r="AG317" s="49" t="s">
        <v>307</v>
      </c>
      <c r="AK317" s="49" t="s">
        <v>303</v>
      </c>
      <c r="AL317" s="49" t="s">
        <v>297</v>
      </c>
      <c r="AO317" s="49" t="s">
        <v>303</v>
      </c>
      <c r="AP317" s="48"/>
      <c r="AR317" s="49" t="s">
        <v>303</v>
      </c>
      <c r="AS317" s="49" t="s">
        <v>306</v>
      </c>
      <c r="AT317" s="49" t="s">
        <v>1371</v>
      </c>
      <c r="AV317" s="49" t="s">
        <v>309</v>
      </c>
      <c r="AW317" s="49" t="s">
        <v>310</v>
      </c>
      <c r="AX317" s="49" t="s">
        <v>311</v>
      </c>
      <c r="AY317" s="48"/>
      <c r="AZ317" s="48" t="n">
        <v>46262</v>
      </c>
      <c r="BC317" s="49" t="s">
        <v>303</v>
      </c>
      <c r="BD317" s="48"/>
      <c r="BE317" s="49" t="s">
        <v>312</v>
      </c>
      <c r="BF317" s="49" t="s">
        <v>303</v>
      </c>
      <c r="BG317" s="48"/>
      <c r="BI317" s="48"/>
      <c r="BJ317" s="48" t="n">
        <v>46278</v>
      </c>
      <c r="BK317" s="49" t="s">
        <v>313</v>
      </c>
      <c r="BL317" s="49" t="s">
        <v>313</v>
      </c>
      <c r="BM317" s="49" t="s">
        <v>310</v>
      </c>
      <c r="BN317" s="48"/>
      <c r="BO317" s="48"/>
      <c r="BP317" s="48"/>
      <c r="BQ317" s="49" t="s">
        <v>1344</v>
      </c>
      <c r="BR317" s="48" t="n">
        <v>46272</v>
      </c>
      <c r="BS317" s="49" t="s">
        <v>1372</v>
      </c>
      <c r="BT317" s="49" t="s">
        <v>312</v>
      </c>
      <c r="BU317" s="49" t="s">
        <v>312</v>
      </c>
      <c r="BV317" s="49" t="s">
        <v>303</v>
      </c>
      <c r="BX317" s="0" t="n">
        <v>0</v>
      </c>
      <c r="CC317" s="49" t="s">
        <v>315</v>
      </c>
      <c r="CD317" s="49" t="s">
        <v>303</v>
      </c>
      <c r="CF317" s="49" t="s">
        <v>303</v>
      </c>
      <c r="CG317" s="49" t="s">
        <v>316</v>
      </c>
      <c r="CH317" s="49" t="s">
        <v>317</v>
      </c>
      <c r="CI317" s="49" t="s">
        <v>318</v>
      </c>
      <c r="CM317" s="49" t="s">
        <v>54</v>
      </c>
      <c r="CV317" s="49" t="s">
        <v>303</v>
      </c>
      <c r="DB317" s="49" t="s">
        <v>319</v>
      </c>
      <c r="DD317" s="48" t="n">
        <v>46253</v>
      </c>
      <c r="DF317" s="49" t="s">
        <v>310</v>
      </c>
      <c r="DG317" s="49" t="s">
        <v>320</v>
      </c>
      <c r="DH317" s="49" t="s">
        <v>53</v>
      </c>
      <c r="DI317" s="49" t="s">
        <v>298</v>
      </c>
      <c r="DJ317" s="49" t="s">
        <v>355</v>
      </c>
      <c r="DK317" s="49" t="s">
        <v>322</v>
      </c>
      <c r="DL317" s="49" t="s">
        <v>323</v>
      </c>
      <c r="DM317" s="49" t="s">
        <v>303</v>
      </c>
      <c r="DN317" s="49" t="s">
        <v>297</v>
      </c>
      <c r="DO317" s="48"/>
      <c r="DP317" s="49" t="s">
        <v>312</v>
      </c>
      <c r="DQ317" s="48"/>
      <c r="DR317" s="49" t="s">
        <v>312</v>
      </c>
      <c r="DS317" s="49" t="s">
        <v>303</v>
      </c>
      <c r="DT317" s="49" t="s">
        <v>303</v>
      </c>
      <c r="DW317" s="49" t="s">
        <v>303</v>
      </c>
      <c r="EA317" s="49" t="s">
        <v>324</v>
      </c>
      <c r="EB317" s="49" t="s">
        <v>303</v>
      </c>
      <c r="EF317" s="49" t="s">
        <v>1363</v>
      </c>
      <c r="EH317" s="49" t="s">
        <v>310</v>
      </c>
      <c r="EJ317" s="49" t="s">
        <v>303</v>
      </c>
      <c r="EK317" s="49" t="s">
        <v>1373</v>
      </c>
      <c r="EM317" s="49" t="s">
        <v>303</v>
      </c>
      <c r="EN317" s="49" t="s">
        <v>357</v>
      </c>
      <c r="EP317" s="49" t="s">
        <v>298</v>
      </c>
      <c r="EQ317" s="0" t="n">
        <v>1</v>
      </c>
      <c r="ER317" s="49" t="s">
        <v>328</v>
      </c>
      <c r="ES317" s="49" t="s">
        <v>358</v>
      </c>
      <c r="ET317" s="49" t="s">
        <v>310</v>
      </c>
      <c r="EU317" s="49" t="s">
        <v>310</v>
      </c>
      <c r="EV317" s="49" t="s">
        <v>310</v>
      </c>
      <c r="EX317" s="49" t="s">
        <v>303</v>
      </c>
      <c r="EY317" s="49" t="s">
        <v>303</v>
      </c>
      <c r="FC317" s="49" t="s">
        <v>330</v>
      </c>
      <c r="FD317" s="49" t="s">
        <v>310</v>
      </c>
      <c r="FE317" s="49" t="s">
        <v>310</v>
      </c>
      <c r="FF317" s="49" t="s">
        <v>53</v>
      </c>
      <c r="FG317" s="49" t="s">
        <v>359</v>
      </c>
      <c r="FH317" s="49" t="s">
        <v>310</v>
      </c>
      <c r="FI317" s="49" t="s">
        <v>332</v>
      </c>
      <c r="FJ317" s="49" t="s">
        <v>303</v>
      </c>
      <c r="FL317" s="49" t="s">
        <v>325</v>
      </c>
      <c r="FM317" s="49" t="s">
        <v>1344</v>
      </c>
      <c r="FP317" s="49" t="s">
        <v>303</v>
      </c>
      <c r="FR317" s="49" t="s">
        <v>303</v>
      </c>
      <c r="FT317" s="49" t="s">
        <v>325</v>
      </c>
      <c r="FU317" s="49" t="s">
        <v>325</v>
      </c>
      <c r="FW317" s="49" t="s">
        <v>333</v>
      </c>
    </row>
    <row r="318" customFormat="false" ht="15" hidden="false" customHeight="false" outlineLevel="0" collapsed="false">
      <c r="A318" s="0" t="n">
        <v>100876677</v>
      </c>
      <c r="B318" s="0" t="s">
        <v>295</v>
      </c>
      <c r="C318" s="0" t="s">
        <v>53</v>
      </c>
      <c r="D318" s="0" t="s">
        <v>54</v>
      </c>
      <c r="E318" s="0" t="s">
        <v>297</v>
      </c>
      <c r="G318" s="0" t="n">
        <v>1</v>
      </c>
      <c r="H318" s="0" t="s">
        <v>298</v>
      </c>
      <c r="I318" s="48" t="n">
        <v>46273</v>
      </c>
      <c r="J318" s="0" t="n">
        <v>0</v>
      </c>
      <c r="K318" s="49" t="s">
        <v>1344</v>
      </c>
      <c r="L318" s="49" t="s">
        <v>335</v>
      </c>
      <c r="M318" s="48"/>
      <c r="O318" s="49" t="s">
        <v>937</v>
      </c>
      <c r="P318" s="48"/>
      <c r="Q318" s="48" t="n">
        <v>46273</v>
      </c>
      <c r="R318" s="48" t="n">
        <v>46279</v>
      </c>
      <c r="T318" s="49" t="s">
        <v>302</v>
      </c>
      <c r="U318" s="49" t="s">
        <v>303</v>
      </c>
      <c r="Y318" s="49" t="s">
        <v>312</v>
      </c>
      <c r="AD318" s="49" t="s">
        <v>305</v>
      </c>
      <c r="AE318" s="48" t="n">
        <v>46253</v>
      </c>
      <c r="AF318" s="49" t="s">
        <v>306</v>
      </c>
      <c r="AG318" s="49" t="s">
        <v>307</v>
      </c>
      <c r="AK318" s="49" t="s">
        <v>303</v>
      </c>
      <c r="AL318" s="49" t="s">
        <v>297</v>
      </c>
      <c r="AO318" s="49" t="s">
        <v>303</v>
      </c>
      <c r="AP318" s="48"/>
      <c r="AR318" s="49" t="s">
        <v>303</v>
      </c>
      <c r="AS318" s="49" t="s">
        <v>306</v>
      </c>
      <c r="AT318" s="49" t="s">
        <v>1374</v>
      </c>
      <c r="AV318" s="49" t="s">
        <v>309</v>
      </c>
      <c r="AW318" s="49" t="s">
        <v>310</v>
      </c>
      <c r="AX318" s="49" t="s">
        <v>311</v>
      </c>
      <c r="AY318" s="48"/>
      <c r="AZ318" s="48" t="n">
        <v>46262</v>
      </c>
      <c r="BC318" s="49" t="s">
        <v>303</v>
      </c>
      <c r="BD318" s="48"/>
      <c r="BE318" s="49" t="s">
        <v>312</v>
      </c>
      <c r="BF318" s="49" t="s">
        <v>303</v>
      </c>
      <c r="BG318" s="48"/>
      <c r="BI318" s="48"/>
      <c r="BJ318" s="48" t="n">
        <v>46278</v>
      </c>
      <c r="BK318" s="49" t="s">
        <v>313</v>
      </c>
      <c r="BL318" s="49" t="s">
        <v>313</v>
      </c>
      <c r="BM318" s="49" t="s">
        <v>310</v>
      </c>
      <c r="BN318" s="48"/>
      <c r="BO318" s="48"/>
      <c r="BP318" s="48"/>
      <c r="BQ318" s="49" t="s">
        <v>1344</v>
      </c>
      <c r="BR318" s="48" t="n">
        <v>46272</v>
      </c>
      <c r="BS318" s="49" t="s">
        <v>1372</v>
      </c>
      <c r="BT318" s="49" t="s">
        <v>312</v>
      </c>
      <c r="BU318" s="49" t="s">
        <v>312</v>
      </c>
      <c r="BV318" s="49" t="s">
        <v>303</v>
      </c>
      <c r="BX318" s="0" t="n">
        <v>0</v>
      </c>
      <c r="CC318" s="49" t="s">
        <v>315</v>
      </c>
      <c r="CD318" s="49" t="s">
        <v>303</v>
      </c>
      <c r="CF318" s="49" t="s">
        <v>303</v>
      </c>
      <c r="CG318" s="49" t="s">
        <v>316</v>
      </c>
      <c r="CH318" s="49" t="s">
        <v>317</v>
      </c>
      <c r="CI318" s="49" t="s">
        <v>318</v>
      </c>
      <c r="CM318" s="49" t="s">
        <v>54</v>
      </c>
      <c r="CV318" s="49" t="s">
        <v>303</v>
      </c>
      <c r="DB318" s="49" t="s">
        <v>319</v>
      </c>
      <c r="DD318" s="48" t="n">
        <v>46253</v>
      </c>
      <c r="DF318" s="49" t="s">
        <v>310</v>
      </c>
      <c r="DG318" s="49" t="s">
        <v>320</v>
      </c>
      <c r="DH318" s="49" t="s">
        <v>53</v>
      </c>
      <c r="DI318" s="49" t="s">
        <v>298</v>
      </c>
      <c r="DJ318" s="49" t="s">
        <v>355</v>
      </c>
      <c r="DK318" s="49" t="s">
        <v>322</v>
      </c>
      <c r="DL318" s="49" t="s">
        <v>323</v>
      </c>
      <c r="DM318" s="49" t="s">
        <v>303</v>
      </c>
      <c r="DN318" s="49" t="s">
        <v>297</v>
      </c>
      <c r="DO318" s="48"/>
      <c r="DP318" s="49" t="s">
        <v>312</v>
      </c>
      <c r="DQ318" s="48"/>
      <c r="DR318" s="49" t="s">
        <v>312</v>
      </c>
      <c r="DS318" s="49" t="s">
        <v>303</v>
      </c>
      <c r="DT318" s="49" t="s">
        <v>303</v>
      </c>
      <c r="DW318" s="49" t="s">
        <v>303</v>
      </c>
      <c r="EA318" s="49" t="s">
        <v>324</v>
      </c>
      <c r="EB318" s="49" t="s">
        <v>303</v>
      </c>
      <c r="EF318" s="49" t="s">
        <v>1363</v>
      </c>
      <c r="EH318" s="49" t="s">
        <v>310</v>
      </c>
      <c r="EJ318" s="49" t="s">
        <v>303</v>
      </c>
      <c r="EK318" s="49" t="s">
        <v>1375</v>
      </c>
      <c r="EM318" s="49" t="s">
        <v>303</v>
      </c>
      <c r="EN318" s="49" t="s">
        <v>357</v>
      </c>
      <c r="EP318" s="49" t="s">
        <v>298</v>
      </c>
      <c r="EQ318" s="0" t="n">
        <v>1</v>
      </c>
      <c r="ER318" s="49" t="s">
        <v>328</v>
      </c>
      <c r="ES318" s="49" t="s">
        <v>358</v>
      </c>
      <c r="ET318" s="49" t="s">
        <v>310</v>
      </c>
      <c r="EU318" s="49" t="s">
        <v>310</v>
      </c>
      <c r="EV318" s="49" t="s">
        <v>310</v>
      </c>
      <c r="EX318" s="49" t="s">
        <v>303</v>
      </c>
      <c r="EY318" s="49" t="s">
        <v>303</v>
      </c>
      <c r="FC318" s="49" t="s">
        <v>330</v>
      </c>
      <c r="FD318" s="49" t="s">
        <v>310</v>
      </c>
      <c r="FE318" s="49" t="s">
        <v>310</v>
      </c>
      <c r="FF318" s="49" t="s">
        <v>53</v>
      </c>
      <c r="FG318" s="49" t="s">
        <v>359</v>
      </c>
      <c r="FH318" s="49" t="s">
        <v>310</v>
      </c>
      <c r="FI318" s="49" t="s">
        <v>332</v>
      </c>
      <c r="FJ318" s="49" t="s">
        <v>303</v>
      </c>
      <c r="FL318" s="49" t="s">
        <v>325</v>
      </c>
      <c r="FM318" s="49" t="s">
        <v>1344</v>
      </c>
      <c r="FP318" s="49" t="s">
        <v>303</v>
      </c>
      <c r="FR318" s="49" t="s">
        <v>303</v>
      </c>
      <c r="FT318" s="49" t="s">
        <v>325</v>
      </c>
      <c r="FU318" s="49" t="s">
        <v>325</v>
      </c>
      <c r="FW318" s="49" t="s">
        <v>333</v>
      </c>
    </row>
    <row r="319" customFormat="false" ht="15" hidden="false" customHeight="false" outlineLevel="0" collapsed="false">
      <c r="A319" s="0" t="n">
        <v>100876443</v>
      </c>
      <c r="B319" s="0" t="s">
        <v>295</v>
      </c>
      <c r="C319" s="0" t="s">
        <v>64</v>
      </c>
      <c r="D319" s="0" t="s">
        <v>65</v>
      </c>
      <c r="E319" s="0" t="s">
        <v>297</v>
      </c>
      <c r="G319" s="0" t="n">
        <v>1</v>
      </c>
      <c r="H319" s="0" t="s">
        <v>298</v>
      </c>
      <c r="I319" s="48" t="n">
        <v>46272</v>
      </c>
      <c r="J319" s="0" t="n">
        <v>1</v>
      </c>
      <c r="K319" s="49" t="s">
        <v>1376</v>
      </c>
      <c r="L319" s="49" t="s">
        <v>1035</v>
      </c>
      <c r="M319" s="48" t="n">
        <v>46274</v>
      </c>
      <c r="N319" s="49" t="s">
        <v>1204</v>
      </c>
      <c r="O319" s="49" t="s">
        <v>1045</v>
      </c>
      <c r="P319" s="48"/>
      <c r="Q319" s="48" t="n">
        <v>46272</v>
      </c>
      <c r="R319" s="48" t="n">
        <v>46279</v>
      </c>
      <c r="T319" s="49" t="s">
        <v>302</v>
      </c>
      <c r="U319" s="49" t="s">
        <v>303</v>
      </c>
      <c r="Y319" s="49" t="s">
        <v>1377</v>
      </c>
      <c r="AD319" s="49" t="s">
        <v>305</v>
      </c>
      <c r="AE319" s="48" t="n">
        <v>46233</v>
      </c>
      <c r="AF319" s="49" t="s">
        <v>306</v>
      </c>
      <c r="AG319" s="49" t="s">
        <v>307</v>
      </c>
      <c r="AK319" s="49" t="s">
        <v>1047</v>
      </c>
      <c r="AL319" s="49" t="s">
        <v>297</v>
      </c>
      <c r="AO319" s="49" t="s">
        <v>303</v>
      </c>
      <c r="AP319" s="48"/>
      <c r="AR319" s="49" t="s">
        <v>303</v>
      </c>
      <c r="AS319" s="49" t="s">
        <v>306</v>
      </c>
      <c r="AT319" s="49" t="s">
        <v>1378</v>
      </c>
      <c r="AV319" s="49" t="s">
        <v>309</v>
      </c>
      <c r="AW319" s="49" t="s">
        <v>310</v>
      </c>
      <c r="AX319" s="49" t="s">
        <v>311</v>
      </c>
      <c r="AY319" s="48"/>
      <c r="AZ319" s="48" t="n">
        <v>46268</v>
      </c>
      <c r="BC319" s="49" t="s">
        <v>303</v>
      </c>
      <c r="BD319" s="48" t="n">
        <v>46274</v>
      </c>
      <c r="BE319" s="49" t="s">
        <v>1379</v>
      </c>
      <c r="BF319" s="49" t="s">
        <v>303</v>
      </c>
      <c r="BG319" s="48"/>
      <c r="BI319" s="48" t="n">
        <v>46274</v>
      </c>
      <c r="BJ319" s="48" t="n">
        <v>46275</v>
      </c>
      <c r="BK319" s="49" t="s">
        <v>312</v>
      </c>
      <c r="BL319" s="49" t="s">
        <v>313</v>
      </c>
      <c r="BM319" s="49" t="s">
        <v>310</v>
      </c>
      <c r="BN319" s="48"/>
      <c r="BO319" s="48"/>
      <c r="BP319" s="48"/>
      <c r="BQ319" s="49" t="s">
        <v>1344</v>
      </c>
      <c r="BR319" s="48" t="n">
        <v>46275</v>
      </c>
      <c r="BS319" s="49" t="s">
        <v>1380</v>
      </c>
      <c r="BT319" s="49" t="s">
        <v>312</v>
      </c>
      <c r="BU319" s="49" t="s">
        <v>313</v>
      </c>
      <c r="BV319" s="49" t="s">
        <v>303</v>
      </c>
      <c r="BX319" s="0" t="n">
        <v>1</v>
      </c>
      <c r="CC319" s="49" t="s">
        <v>315</v>
      </c>
      <c r="CD319" s="49" t="s">
        <v>303</v>
      </c>
      <c r="CF319" s="49" t="s">
        <v>303</v>
      </c>
      <c r="CG319" s="49" t="s">
        <v>316</v>
      </c>
      <c r="CH319" s="49" t="s">
        <v>317</v>
      </c>
      <c r="CI319" s="49" t="s">
        <v>318</v>
      </c>
      <c r="CM319" s="49" t="s">
        <v>65</v>
      </c>
      <c r="CV319" s="49" t="s">
        <v>303</v>
      </c>
      <c r="DB319" s="49" t="s">
        <v>319</v>
      </c>
      <c r="DD319" s="48" t="n">
        <v>46233</v>
      </c>
      <c r="DF319" s="49" t="s">
        <v>310</v>
      </c>
      <c r="DG319" s="49" t="s">
        <v>320</v>
      </c>
      <c r="DH319" s="49" t="s">
        <v>64</v>
      </c>
      <c r="DI319" s="49" t="s">
        <v>298</v>
      </c>
      <c r="DJ319" s="49" t="s">
        <v>394</v>
      </c>
      <c r="DK319" s="49" t="s">
        <v>322</v>
      </c>
      <c r="DL319" s="49" t="s">
        <v>323</v>
      </c>
      <c r="DM319" s="49" t="s">
        <v>303</v>
      </c>
      <c r="DN319" s="49" t="s">
        <v>297</v>
      </c>
      <c r="DO319" s="48"/>
      <c r="DP319" s="49" t="s">
        <v>312</v>
      </c>
      <c r="DQ319" s="48"/>
      <c r="DR319" s="49" t="s">
        <v>312</v>
      </c>
      <c r="DS319" s="49" t="s">
        <v>303</v>
      </c>
      <c r="DT319" s="49" t="s">
        <v>303</v>
      </c>
      <c r="DW319" s="49" t="s">
        <v>303</v>
      </c>
      <c r="EA319" s="49" t="s">
        <v>324</v>
      </c>
      <c r="EB319" s="49" t="s">
        <v>303</v>
      </c>
      <c r="EH319" s="49" t="s">
        <v>310</v>
      </c>
      <c r="EJ319" s="49" t="s">
        <v>303</v>
      </c>
      <c r="EK319" s="49" t="s">
        <v>1381</v>
      </c>
      <c r="EM319" s="49" t="s">
        <v>303</v>
      </c>
      <c r="EN319" s="49" t="s">
        <v>396</v>
      </c>
      <c r="EP319" s="49" t="s">
        <v>298</v>
      </c>
      <c r="EQ319" s="0" t="n">
        <v>1</v>
      </c>
      <c r="ER319" s="49" t="s">
        <v>328</v>
      </c>
      <c r="ES319" s="49" t="s">
        <v>329</v>
      </c>
      <c r="ET319" s="49" t="s">
        <v>310</v>
      </c>
      <c r="EU319" s="49" t="s">
        <v>310</v>
      </c>
      <c r="EV319" s="49" t="s">
        <v>310</v>
      </c>
      <c r="EX319" s="49" t="s">
        <v>303</v>
      </c>
      <c r="EY319" s="49" t="s">
        <v>303</v>
      </c>
      <c r="FC319" s="49" t="s">
        <v>330</v>
      </c>
      <c r="FD319" s="49" t="s">
        <v>310</v>
      </c>
      <c r="FE319" s="49" t="s">
        <v>310</v>
      </c>
      <c r="FF319" s="49" t="s">
        <v>64</v>
      </c>
      <c r="FG319" s="49" t="s">
        <v>397</v>
      </c>
      <c r="FH319" s="49" t="s">
        <v>310</v>
      </c>
      <c r="FI319" s="49" t="s">
        <v>332</v>
      </c>
      <c r="FJ319" s="49" t="s">
        <v>303</v>
      </c>
      <c r="FL319" s="49" t="s">
        <v>325</v>
      </c>
      <c r="FM319" s="49" t="s">
        <v>1376</v>
      </c>
      <c r="FP319" s="49" t="s">
        <v>303</v>
      </c>
      <c r="FR319" s="49" t="s">
        <v>303</v>
      </c>
      <c r="FT319" s="49" t="s">
        <v>325</v>
      </c>
      <c r="FU319" s="49" t="s">
        <v>325</v>
      </c>
      <c r="FW319" s="49" t="s">
        <v>333</v>
      </c>
    </row>
    <row r="320" customFormat="false" ht="15" hidden="false" customHeight="false" outlineLevel="0" collapsed="false">
      <c r="A320" s="0" t="n">
        <v>100876444</v>
      </c>
      <c r="B320" s="0" t="s">
        <v>295</v>
      </c>
      <c r="C320" s="0" t="s">
        <v>64</v>
      </c>
      <c r="D320" s="0" t="s">
        <v>65</v>
      </c>
      <c r="E320" s="0" t="s">
        <v>297</v>
      </c>
      <c r="G320" s="0" t="n">
        <v>1</v>
      </c>
      <c r="H320" s="0" t="s">
        <v>298</v>
      </c>
      <c r="I320" s="48" t="n">
        <v>46272</v>
      </c>
      <c r="J320" s="0" t="n">
        <v>1</v>
      </c>
      <c r="K320" s="49" t="s">
        <v>1376</v>
      </c>
      <c r="L320" s="49" t="s">
        <v>1035</v>
      </c>
      <c r="M320" s="48" t="n">
        <v>46274</v>
      </c>
      <c r="N320" s="49" t="s">
        <v>1204</v>
      </c>
      <c r="O320" s="49" t="s">
        <v>1045</v>
      </c>
      <c r="P320" s="48"/>
      <c r="Q320" s="48" t="n">
        <v>46272</v>
      </c>
      <c r="R320" s="48" t="n">
        <v>46279</v>
      </c>
      <c r="T320" s="49" t="s">
        <v>302</v>
      </c>
      <c r="U320" s="49" t="s">
        <v>303</v>
      </c>
      <c r="Y320" s="49" t="s">
        <v>1382</v>
      </c>
      <c r="AD320" s="49" t="s">
        <v>305</v>
      </c>
      <c r="AE320" s="48" t="n">
        <v>46233</v>
      </c>
      <c r="AF320" s="49" t="s">
        <v>306</v>
      </c>
      <c r="AG320" s="49" t="s">
        <v>307</v>
      </c>
      <c r="AK320" s="49" t="s">
        <v>1047</v>
      </c>
      <c r="AL320" s="49" t="s">
        <v>297</v>
      </c>
      <c r="AO320" s="49" t="s">
        <v>303</v>
      </c>
      <c r="AP320" s="48"/>
      <c r="AR320" s="49" t="s">
        <v>303</v>
      </c>
      <c r="AS320" s="49" t="s">
        <v>306</v>
      </c>
      <c r="AT320" s="49" t="s">
        <v>1383</v>
      </c>
      <c r="AV320" s="49" t="s">
        <v>309</v>
      </c>
      <c r="AW320" s="49" t="s">
        <v>310</v>
      </c>
      <c r="AX320" s="49" t="s">
        <v>311</v>
      </c>
      <c r="AY320" s="48"/>
      <c r="AZ320" s="48" t="n">
        <v>46268</v>
      </c>
      <c r="BC320" s="49" t="s">
        <v>303</v>
      </c>
      <c r="BD320" s="48" t="n">
        <v>46274</v>
      </c>
      <c r="BE320" s="49" t="s">
        <v>1384</v>
      </c>
      <c r="BF320" s="49" t="s">
        <v>303</v>
      </c>
      <c r="BG320" s="48"/>
      <c r="BI320" s="48" t="n">
        <v>46274</v>
      </c>
      <c r="BJ320" s="48" t="n">
        <v>46275</v>
      </c>
      <c r="BK320" s="49" t="s">
        <v>312</v>
      </c>
      <c r="BL320" s="49" t="s">
        <v>313</v>
      </c>
      <c r="BM320" s="49" t="s">
        <v>310</v>
      </c>
      <c r="BN320" s="48"/>
      <c r="BO320" s="48"/>
      <c r="BP320" s="48"/>
      <c r="BQ320" s="49" t="s">
        <v>1344</v>
      </c>
      <c r="BR320" s="48" t="n">
        <v>46275</v>
      </c>
      <c r="BS320" s="49" t="s">
        <v>1380</v>
      </c>
      <c r="BT320" s="49" t="s">
        <v>312</v>
      </c>
      <c r="BU320" s="49" t="s">
        <v>313</v>
      </c>
      <c r="BV320" s="49" t="s">
        <v>303</v>
      </c>
      <c r="BX320" s="0" t="n">
        <v>1</v>
      </c>
      <c r="CC320" s="49" t="s">
        <v>315</v>
      </c>
      <c r="CD320" s="49" t="s">
        <v>303</v>
      </c>
      <c r="CF320" s="49" t="s">
        <v>303</v>
      </c>
      <c r="CG320" s="49" t="s">
        <v>316</v>
      </c>
      <c r="CH320" s="49" t="s">
        <v>317</v>
      </c>
      <c r="CI320" s="49" t="s">
        <v>318</v>
      </c>
      <c r="CM320" s="49" t="s">
        <v>65</v>
      </c>
      <c r="CV320" s="49" t="s">
        <v>303</v>
      </c>
      <c r="DB320" s="49" t="s">
        <v>319</v>
      </c>
      <c r="DD320" s="48" t="n">
        <v>46233</v>
      </c>
      <c r="DF320" s="49" t="s">
        <v>310</v>
      </c>
      <c r="DG320" s="49" t="s">
        <v>320</v>
      </c>
      <c r="DH320" s="49" t="s">
        <v>64</v>
      </c>
      <c r="DI320" s="49" t="s">
        <v>298</v>
      </c>
      <c r="DJ320" s="49" t="s">
        <v>394</v>
      </c>
      <c r="DK320" s="49" t="s">
        <v>322</v>
      </c>
      <c r="DL320" s="49" t="s">
        <v>323</v>
      </c>
      <c r="DM320" s="49" t="s">
        <v>303</v>
      </c>
      <c r="DN320" s="49" t="s">
        <v>297</v>
      </c>
      <c r="DO320" s="48"/>
      <c r="DP320" s="49" t="s">
        <v>312</v>
      </c>
      <c r="DQ320" s="48"/>
      <c r="DR320" s="49" t="s">
        <v>312</v>
      </c>
      <c r="DS320" s="49" t="s">
        <v>303</v>
      </c>
      <c r="DT320" s="49" t="s">
        <v>303</v>
      </c>
      <c r="DW320" s="49" t="s">
        <v>303</v>
      </c>
      <c r="EA320" s="49" t="s">
        <v>324</v>
      </c>
      <c r="EB320" s="49" t="s">
        <v>303</v>
      </c>
      <c r="EH320" s="49" t="s">
        <v>310</v>
      </c>
      <c r="EJ320" s="49" t="s">
        <v>303</v>
      </c>
      <c r="EK320" s="49" t="s">
        <v>1385</v>
      </c>
      <c r="EM320" s="49" t="s">
        <v>303</v>
      </c>
      <c r="EN320" s="49" t="s">
        <v>396</v>
      </c>
      <c r="EP320" s="49" t="s">
        <v>298</v>
      </c>
      <c r="EQ320" s="0" t="n">
        <v>1</v>
      </c>
      <c r="ER320" s="49" t="s">
        <v>328</v>
      </c>
      <c r="ES320" s="49" t="s">
        <v>329</v>
      </c>
      <c r="ET320" s="49" t="s">
        <v>310</v>
      </c>
      <c r="EU320" s="49" t="s">
        <v>310</v>
      </c>
      <c r="EV320" s="49" t="s">
        <v>310</v>
      </c>
      <c r="EX320" s="49" t="s">
        <v>303</v>
      </c>
      <c r="EY320" s="49" t="s">
        <v>303</v>
      </c>
      <c r="FC320" s="49" t="s">
        <v>330</v>
      </c>
      <c r="FD320" s="49" t="s">
        <v>310</v>
      </c>
      <c r="FE320" s="49" t="s">
        <v>310</v>
      </c>
      <c r="FF320" s="49" t="s">
        <v>64</v>
      </c>
      <c r="FG320" s="49" t="s">
        <v>397</v>
      </c>
      <c r="FH320" s="49" t="s">
        <v>310</v>
      </c>
      <c r="FI320" s="49" t="s">
        <v>332</v>
      </c>
      <c r="FJ320" s="49" t="s">
        <v>303</v>
      </c>
      <c r="FL320" s="49" t="s">
        <v>325</v>
      </c>
      <c r="FM320" s="49" t="s">
        <v>1376</v>
      </c>
      <c r="FP320" s="49" t="s">
        <v>303</v>
      </c>
      <c r="FR320" s="49" t="s">
        <v>303</v>
      </c>
      <c r="FT320" s="49" t="s">
        <v>325</v>
      </c>
      <c r="FU320" s="49" t="s">
        <v>325</v>
      </c>
      <c r="FW320" s="49" t="s">
        <v>333</v>
      </c>
    </row>
    <row r="321" customFormat="false" ht="15" hidden="false" customHeight="false" outlineLevel="0" collapsed="false">
      <c r="A321" s="0" t="n">
        <v>100876479</v>
      </c>
      <c r="B321" s="0" t="s">
        <v>295</v>
      </c>
      <c r="C321" s="0" t="s">
        <v>64</v>
      </c>
      <c r="D321" s="0" t="s">
        <v>65</v>
      </c>
      <c r="E321" s="0" t="s">
        <v>297</v>
      </c>
      <c r="G321" s="0" t="n">
        <v>1</v>
      </c>
      <c r="H321" s="0" t="s">
        <v>298</v>
      </c>
      <c r="I321" s="48" t="n">
        <v>46272</v>
      </c>
      <c r="J321" s="0" t="n">
        <v>1</v>
      </c>
      <c r="K321" s="49" t="s">
        <v>1376</v>
      </c>
      <c r="L321" s="49" t="s">
        <v>1035</v>
      </c>
      <c r="M321" s="48" t="n">
        <v>46277</v>
      </c>
      <c r="N321" s="49" t="s">
        <v>1204</v>
      </c>
      <c r="O321" s="49" t="s">
        <v>1045</v>
      </c>
      <c r="P321" s="48"/>
      <c r="Q321" s="48" t="n">
        <v>46272</v>
      </c>
      <c r="R321" s="48" t="n">
        <v>46279</v>
      </c>
      <c r="T321" s="49" t="s">
        <v>302</v>
      </c>
      <c r="U321" s="49" t="s">
        <v>303</v>
      </c>
      <c r="Y321" s="49" t="s">
        <v>1386</v>
      </c>
      <c r="AD321" s="49" t="s">
        <v>305</v>
      </c>
      <c r="AE321" s="48" t="n">
        <v>46233</v>
      </c>
      <c r="AF321" s="49" t="s">
        <v>306</v>
      </c>
      <c r="AG321" s="49" t="s">
        <v>307</v>
      </c>
      <c r="AK321" s="49" t="s">
        <v>1047</v>
      </c>
      <c r="AL321" s="49" t="s">
        <v>297</v>
      </c>
      <c r="AO321" s="49" t="s">
        <v>303</v>
      </c>
      <c r="AP321" s="48"/>
      <c r="AR321" s="49" t="s">
        <v>303</v>
      </c>
      <c r="AS321" s="49" t="s">
        <v>306</v>
      </c>
      <c r="AT321" s="49" t="s">
        <v>1387</v>
      </c>
      <c r="AV321" s="49" t="s">
        <v>309</v>
      </c>
      <c r="AW321" s="49" t="s">
        <v>310</v>
      </c>
      <c r="AX321" s="49" t="s">
        <v>311</v>
      </c>
      <c r="AY321" s="48"/>
      <c r="AZ321" s="48" t="n">
        <v>46268</v>
      </c>
      <c r="BC321" s="49" t="s">
        <v>303</v>
      </c>
      <c r="BD321" s="48" t="n">
        <v>46277</v>
      </c>
      <c r="BE321" s="49" t="s">
        <v>1388</v>
      </c>
      <c r="BF321" s="49" t="s">
        <v>303</v>
      </c>
      <c r="BG321" s="48"/>
      <c r="BI321" s="48" t="n">
        <v>46277</v>
      </c>
      <c r="BJ321" s="48" t="n">
        <v>46275</v>
      </c>
      <c r="BK321" s="49" t="s">
        <v>312</v>
      </c>
      <c r="BL321" s="49" t="s">
        <v>313</v>
      </c>
      <c r="BM321" s="49" t="s">
        <v>310</v>
      </c>
      <c r="BN321" s="48"/>
      <c r="BO321" s="48"/>
      <c r="BP321" s="48"/>
      <c r="BQ321" s="49" t="s">
        <v>1344</v>
      </c>
      <c r="BR321" s="48" t="n">
        <v>46275</v>
      </c>
      <c r="BS321" s="49" t="s">
        <v>1380</v>
      </c>
      <c r="BT321" s="49" t="s">
        <v>312</v>
      </c>
      <c r="BU321" s="49" t="s">
        <v>313</v>
      </c>
      <c r="BV321" s="49" t="s">
        <v>303</v>
      </c>
      <c r="BX321" s="0" t="n">
        <v>1</v>
      </c>
      <c r="CC321" s="49" t="s">
        <v>315</v>
      </c>
      <c r="CD321" s="49" t="s">
        <v>303</v>
      </c>
      <c r="CF321" s="49" t="s">
        <v>303</v>
      </c>
      <c r="CG321" s="49" t="s">
        <v>316</v>
      </c>
      <c r="CH321" s="49" t="s">
        <v>317</v>
      </c>
      <c r="CI321" s="49" t="s">
        <v>318</v>
      </c>
      <c r="CM321" s="49" t="s">
        <v>65</v>
      </c>
      <c r="CV321" s="49" t="s">
        <v>303</v>
      </c>
      <c r="DB321" s="49" t="s">
        <v>319</v>
      </c>
      <c r="DD321" s="48" t="n">
        <v>46233</v>
      </c>
      <c r="DF321" s="49" t="s">
        <v>310</v>
      </c>
      <c r="DG321" s="49" t="s">
        <v>320</v>
      </c>
      <c r="DH321" s="49" t="s">
        <v>64</v>
      </c>
      <c r="DI321" s="49" t="s">
        <v>298</v>
      </c>
      <c r="DJ321" s="49" t="s">
        <v>394</v>
      </c>
      <c r="DK321" s="49" t="s">
        <v>322</v>
      </c>
      <c r="DL321" s="49" t="s">
        <v>323</v>
      </c>
      <c r="DM321" s="49" t="s">
        <v>303</v>
      </c>
      <c r="DN321" s="49" t="s">
        <v>297</v>
      </c>
      <c r="DO321" s="48"/>
      <c r="DP321" s="49" t="s">
        <v>312</v>
      </c>
      <c r="DQ321" s="48"/>
      <c r="DR321" s="49" t="s">
        <v>312</v>
      </c>
      <c r="DS321" s="49" t="s">
        <v>303</v>
      </c>
      <c r="DT321" s="49" t="s">
        <v>303</v>
      </c>
      <c r="DW321" s="49" t="s">
        <v>303</v>
      </c>
      <c r="EA321" s="49" t="s">
        <v>324</v>
      </c>
      <c r="EB321" s="49" t="s">
        <v>303</v>
      </c>
      <c r="EH321" s="49" t="s">
        <v>310</v>
      </c>
      <c r="EJ321" s="49" t="s">
        <v>303</v>
      </c>
      <c r="EK321" s="49" t="s">
        <v>1389</v>
      </c>
      <c r="EM321" s="49" t="s">
        <v>303</v>
      </c>
      <c r="EN321" s="49" t="s">
        <v>396</v>
      </c>
      <c r="EP321" s="49" t="s">
        <v>298</v>
      </c>
      <c r="EQ321" s="0" t="n">
        <v>1</v>
      </c>
      <c r="ER321" s="49" t="s">
        <v>328</v>
      </c>
      <c r="ES321" s="49" t="s">
        <v>329</v>
      </c>
      <c r="ET321" s="49" t="s">
        <v>310</v>
      </c>
      <c r="EU321" s="49" t="s">
        <v>310</v>
      </c>
      <c r="EV321" s="49" t="s">
        <v>310</v>
      </c>
      <c r="EX321" s="49" t="s">
        <v>303</v>
      </c>
      <c r="EY321" s="49" t="s">
        <v>303</v>
      </c>
      <c r="FC321" s="49" t="s">
        <v>330</v>
      </c>
      <c r="FD321" s="49" t="s">
        <v>310</v>
      </c>
      <c r="FE321" s="49" t="s">
        <v>310</v>
      </c>
      <c r="FF321" s="49" t="s">
        <v>64</v>
      </c>
      <c r="FG321" s="49" t="s">
        <v>397</v>
      </c>
      <c r="FH321" s="49" t="s">
        <v>310</v>
      </c>
      <c r="FI321" s="49" t="s">
        <v>332</v>
      </c>
      <c r="FJ321" s="49" t="s">
        <v>303</v>
      </c>
      <c r="FL321" s="49" t="s">
        <v>325</v>
      </c>
      <c r="FM321" s="49" t="s">
        <v>1376</v>
      </c>
      <c r="FP321" s="49" t="s">
        <v>303</v>
      </c>
      <c r="FR321" s="49" t="s">
        <v>303</v>
      </c>
      <c r="FT321" s="49" t="s">
        <v>325</v>
      </c>
      <c r="FU321" s="49" t="s">
        <v>325</v>
      </c>
      <c r="FW321" s="49" t="s">
        <v>333</v>
      </c>
    </row>
    <row r="322" customFormat="false" ht="15" hidden="false" customHeight="false" outlineLevel="0" collapsed="false">
      <c r="A322" s="0" t="n">
        <v>100876480</v>
      </c>
      <c r="B322" s="0" t="s">
        <v>295</v>
      </c>
      <c r="C322" s="0" t="s">
        <v>64</v>
      </c>
      <c r="D322" s="0" t="s">
        <v>65</v>
      </c>
      <c r="E322" s="0" t="s">
        <v>297</v>
      </c>
      <c r="G322" s="0" t="n">
        <v>1</v>
      </c>
      <c r="H322" s="0" t="s">
        <v>298</v>
      </c>
      <c r="I322" s="48" t="n">
        <v>46272</v>
      </c>
      <c r="J322" s="0" t="n">
        <v>1</v>
      </c>
      <c r="K322" s="49" t="s">
        <v>1376</v>
      </c>
      <c r="L322" s="49" t="s">
        <v>1035</v>
      </c>
      <c r="M322" s="48" t="n">
        <v>46277</v>
      </c>
      <c r="N322" s="49" t="s">
        <v>1204</v>
      </c>
      <c r="O322" s="49" t="s">
        <v>1045</v>
      </c>
      <c r="P322" s="48"/>
      <c r="Q322" s="48" t="n">
        <v>46272</v>
      </c>
      <c r="R322" s="48" t="n">
        <v>46278</v>
      </c>
      <c r="T322" s="49" t="s">
        <v>302</v>
      </c>
      <c r="U322" s="49" t="s">
        <v>303</v>
      </c>
      <c r="Y322" s="49" t="s">
        <v>466</v>
      </c>
      <c r="AD322" s="49" t="s">
        <v>305</v>
      </c>
      <c r="AE322" s="48" t="n">
        <v>46233</v>
      </c>
      <c r="AF322" s="49" t="s">
        <v>306</v>
      </c>
      <c r="AG322" s="49" t="s">
        <v>307</v>
      </c>
      <c r="AK322" s="49" t="s">
        <v>1047</v>
      </c>
      <c r="AL322" s="49" t="s">
        <v>297</v>
      </c>
      <c r="AO322" s="49" t="s">
        <v>303</v>
      </c>
      <c r="AP322" s="48"/>
      <c r="AR322" s="49" t="s">
        <v>303</v>
      </c>
      <c r="AS322" s="49" t="s">
        <v>306</v>
      </c>
      <c r="AT322" s="49" t="s">
        <v>1390</v>
      </c>
      <c r="AV322" s="49" t="s">
        <v>309</v>
      </c>
      <c r="AW322" s="49" t="s">
        <v>310</v>
      </c>
      <c r="AX322" s="49" t="s">
        <v>311</v>
      </c>
      <c r="AY322" s="48"/>
      <c r="AZ322" s="48" t="n">
        <v>46268</v>
      </c>
      <c r="BC322" s="49" t="s">
        <v>303</v>
      </c>
      <c r="BD322" s="48" t="n">
        <v>46277</v>
      </c>
      <c r="BE322" s="49" t="s">
        <v>1391</v>
      </c>
      <c r="BF322" s="49" t="s">
        <v>303</v>
      </c>
      <c r="BG322" s="48"/>
      <c r="BI322" s="48" t="n">
        <v>46277</v>
      </c>
      <c r="BJ322" s="48" t="n">
        <v>46275</v>
      </c>
      <c r="BK322" s="49" t="s">
        <v>313</v>
      </c>
      <c r="BL322" s="49" t="s">
        <v>313</v>
      </c>
      <c r="BM322" s="49" t="s">
        <v>310</v>
      </c>
      <c r="BN322" s="48"/>
      <c r="BO322" s="48"/>
      <c r="BP322" s="48"/>
      <c r="BQ322" s="49" t="s">
        <v>1344</v>
      </c>
      <c r="BR322" s="48" t="n">
        <v>46275</v>
      </c>
      <c r="BS322" s="49" t="s">
        <v>1392</v>
      </c>
      <c r="BT322" s="49" t="s">
        <v>312</v>
      </c>
      <c r="BU322" s="49" t="s">
        <v>313</v>
      </c>
      <c r="BV322" s="49" t="s">
        <v>303</v>
      </c>
      <c r="BX322" s="0" t="n">
        <v>1</v>
      </c>
      <c r="CC322" s="49" t="s">
        <v>315</v>
      </c>
      <c r="CD322" s="49" t="s">
        <v>303</v>
      </c>
      <c r="CF322" s="49" t="s">
        <v>303</v>
      </c>
      <c r="CG322" s="49" t="s">
        <v>316</v>
      </c>
      <c r="CH322" s="49" t="s">
        <v>317</v>
      </c>
      <c r="CI322" s="49" t="s">
        <v>318</v>
      </c>
      <c r="CM322" s="49" t="s">
        <v>65</v>
      </c>
      <c r="CV322" s="49" t="s">
        <v>303</v>
      </c>
      <c r="DB322" s="49" t="s">
        <v>319</v>
      </c>
      <c r="DD322" s="48" t="n">
        <v>46233</v>
      </c>
      <c r="DF322" s="49" t="s">
        <v>310</v>
      </c>
      <c r="DG322" s="49" t="s">
        <v>320</v>
      </c>
      <c r="DH322" s="49" t="s">
        <v>64</v>
      </c>
      <c r="DI322" s="49" t="s">
        <v>298</v>
      </c>
      <c r="DJ322" s="49" t="s">
        <v>394</v>
      </c>
      <c r="DK322" s="49" t="s">
        <v>322</v>
      </c>
      <c r="DL322" s="49" t="s">
        <v>323</v>
      </c>
      <c r="DM322" s="49" t="s">
        <v>303</v>
      </c>
      <c r="DN322" s="49" t="s">
        <v>297</v>
      </c>
      <c r="DO322" s="48"/>
      <c r="DP322" s="49" t="s">
        <v>312</v>
      </c>
      <c r="DQ322" s="48"/>
      <c r="DR322" s="49" t="s">
        <v>312</v>
      </c>
      <c r="DS322" s="49" t="s">
        <v>303</v>
      </c>
      <c r="DT322" s="49" t="s">
        <v>303</v>
      </c>
      <c r="DW322" s="49" t="s">
        <v>303</v>
      </c>
      <c r="EA322" s="49" t="s">
        <v>324</v>
      </c>
      <c r="EB322" s="49" t="s">
        <v>303</v>
      </c>
      <c r="EF322" s="49" t="s">
        <v>1393</v>
      </c>
      <c r="EH322" s="49" t="s">
        <v>310</v>
      </c>
      <c r="EJ322" s="49" t="s">
        <v>303</v>
      </c>
      <c r="EK322" s="49" t="s">
        <v>1394</v>
      </c>
      <c r="EM322" s="49" t="s">
        <v>303</v>
      </c>
      <c r="EN322" s="49" t="s">
        <v>396</v>
      </c>
      <c r="EP322" s="49" t="s">
        <v>298</v>
      </c>
      <c r="EQ322" s="0" t="n">
        <v>1</v>
      </c>
      <c r="ER322" s="49" t="s">
        <v>328</v>
      </c>
      <c r="ES322" s="49" t="s">
        <v>329</v>
      </c>
      <c r="ET322" s="49" t="s">
        <v>310</v>
      </c>
      <c r="EU322" s="49" t="s">
        <v>310</v>
      </c>
      <c r="EV322" s="49" t="s">
        <v>310</v>
      </c>
      <c r="EX322" s="49" t="s">
        <v>303</v>
      </c>
      <c r="EY322" s="49" t="s">
        <v>303</v>
      </c>
      <c r="FC322" s="49" t="s">
        <v>330</v>
      </c>
      <c r="FD322" s="49" t="s">
        <v>310</v>
      </c>
      <c r="FE322" s="49" t="s">
        <v>310</v>
      </c>
      <c r="FF322" s="49" t="s">
        <v>64</v>
      </c>
      <c r="FG322" s="49" t="s">
        <v>397</v>
      </c>
      <c r="FH322" s="49" t="s">
        <v>310</v>
      </c>
      <c r="FI322" s="49" t="s">
        <v>332</v>
      </c>
      <c r="FJ322" s="49" t="s">
        <v>303</v>
      </c>
      <c r="FL322" s="49" t="s">
        <v>325</v>
      </c>
      <c r="FM322" s="49" t="s">
        <v>1376</v>
      </c>
      <c r="FP322" s="49" t="s">
        <v>303</v>
      </c>
      <c r="FR322" s="49" t="s">
        <v>303</v>
      </c>
      <c r="FT322" s="49" t="s">
        <v>325</v>
      </c>
      <c r="FU322" s="49" t="s">
        <v>325</v>
      </c>
      <c r="FW322" s="49" t="s">
        <v>333</v>
      </c>
    </row>
    <row r="323" customFormat="false" ht="15" hidden="false" customHeight="false" outlineLevel="0" collapsed="false">
      <c r="A323" s="0" t="n">
        <v>100876481</v>
      </c>
      <c r="B323" s="0" t="s">
        <v>295</v>
      </c>
      <c r="C323" s="0" t="s">
        <v>64</v>
      </c>
      <c r="D323" s="0" t="s">
        <v>65</v>
      </c>
      <c r="E323" s="0" t="s">
        <v>297</v>
      </c>
      <c r="G323" s="0" t="n">
        <v>1</v>
      </c>
      <c r="H323" s="0" t="s">
        <v>298</v>
      </c>
      <c r="I323" s="48" t="n">
        <v>46272</v>
      </c>
      <c r="J323" s="0" t="n">
        <v>1</v>
      </c>
      <c r="K323" s="49" t="s">
        <v>1376</v>
      </c>
      <c r="L323" s="49" t="s">
        <v>1035</v>
      </c>
      <c r="M323" s="48" t="n">
        <v>46277</v>
      </c>
      <c r="N323" s="49" t="s">
        <v>1204</v>
      </c>
      <c r="O323" s="49" t="s">
        <v>1045</v>
      </c>
      <c r="P323" s="48"/>
      <c r="Q323" s="48" t="n">
        <v>46272</v>
      </c>
      <c r="R323" s="48" t="n">
        <v>46278</v>
      </c>
      <c r="T323" s="49" t="s">
        <v>302</v>
      </c>
      <c r="U323" s="49" t="s">
        <v>303</v>
      </c>
      <c r="Y323" s="49" t="s">
        <v>1395</v>
      </c>
      <c r="AD323" s="49" t="s">
        <v>305</v>
      </c>
      <c r="AE323" s="48" t="n">
        <v>46233</v>
      </c>
      <c r="AF323" s="49" t="s">
        <v>306</v>
      </c>
      <c r="AG323" s="49" t="s">
        <v>307</v>
      </c>
      <c r="AK323" s="49" t="s">
        <v>1047</v>
      </c>
      <c r="AL323" s="49" t="s">
        <v>297</v>
      </c>
      <c r="AO323" s="49" t="s">
        <v>303</v>
      </c>
      <c r="AP323" s="48"/>
      <c r="AR323" s="49" t="s">
        <v>303</v>
      </c>
      <c r="AS323" s="49" t="s">
        <v>306</v>
      </c>
      <c r="AT323" s="49" t="s">
        <v>1396</v>
      </c>
      <c r="AV323" s="49" t="s">
        <v>309</v>
      </c>
      <c r="AW323" s="49" t="s">
        <v>310</v>
      </c>
      <c r="AX323" s="49" t="s">
        <v>311</v>
      </c>
      <c r="AY323" s="48"/>
      <c r="AZ323" s="48" t="n">
        <v>46268</v>
      </c>
      <c r="BC323" s="49" t="s">
        <v>303</v>
      </c>
      <c r="BD323" s="48" t="n">
        <v>46277</v>
      </c>
      <c r="BE323" s="49" t="s">
        <v>1397</v>
      </c>
      <c r="BF323" s="49" t="s">
        <v>303</v>
      </c>
      <c r="BG323" s="48"/>
      <c r="BI323" s="48" t="n">
        <v>46277</v>
      </c>
      <c r="BJ323" s="48" t="n">
        <v>46275</v>
      </c>
      <c r="BK323" s="49" t="s">
        <v>313</v>
      </c>
      <c r="BL323" s="49" t="s">
        <v>313</v>
      </c>
      <c r="BM323" s="49" t="s">
        <v>310</v>
      </c>
      <c r="BN323" s="48"/>
      <c r="BO323" s="48"/>
      <c r="BP323" s="48"/>
      <c r="BQ323" s="49" t="s">
        <v>1344</v>
      </c>
      <c r="BR323" s="48" t="n">
        <v>46275</v>
      </c>
      <c r="BS323" s="49" t="s">
        <v>1392</v>
      </c>
      <c r="BT323" s="49" t="s">
        <v>312</v>
      </c>
      <c r="BU323" s="49" t="s">
        <v>313</v>
      </c>
      <c r="BV323" s="49" t="s">
        <v>303</v>
      </c>
      <c r="BX323" s="0" t="n">
        <v>1</v>
      </c>
      <c r="CC323" s="49" t="s">
        <v>315</v>
      </c>
      <c r="CD323" s="49" t="s">
        <v>303</v>
      </c>
      <c r="CF323" s="49" t="s">
        <v>303</v>
      </c>
      <c r="CG323" s="49" t="s">
        <v>316</v>
      </c>
      <c r="CH323" s="49" t="s">
        <v>317</v>
      </c>
      <c r="CI323" s="49" t="s">
        <v>318</v>
      </c>
      <c r="CM323" s="49" t="s">
        <v>65</v>
      </c>
      <c r="CV323" s="49" t="s">
        <v>303</v>
      </c>
      <c r="DB323" s="49" t="s">
        <v>319</v>
      </c>
      <c r="DD323" s="48" t="n">
        <v>46233</v>
      </c>
      <c r="DF323" s="49" t="s">
        <v>310</v>
      </c>
      <c r="DG323" s="49" t="s">
        <v>320</v>
      </c>
      <c r="DH323" s="49" t="s">
        <v>64</v>
      </c>
      <c r="DI323" s="49" t="s">
        <v>298</v>
      </c>
      <c r="DJ323" s="49" t="s">
        <v>394</v>
      </c>
      <c r="DK323" s="49" t="s">
        <v>322</v>
      </c>
      <c r="DL323" s="49" t="s">
        <v>323</v>
      </c>
      <c r="DM323" s="49" t="s">
        <v>303</v>
      </c>
      <c r="DN323" s="49" t="s">
        <v>297</v>
      </c>
      <c r="DO323" s="48"/>
      <c r="DP323" s="49" t="s">
        <v>312</v>
      </c>
      <c r="DQ323" s="48"/>
      <c r="DR323" s="49" t="s">
        <v>312</v>
      </c>
      <c r="DS323" s="49" t="s">
        <v>303</v>
      </c>
      <c r="DT323" s="49" t="s">
        <v>303</v>
      </c>
      <c r="DW323" s="49" t="s">
        <v>303</v>
      </c>
      <c r="EA323" s="49" t="s">
        <v>324</v>
      </c>
      <c r="EB323" s="49" t="s">
        <v>303</v>
      </c>
      <c r="EF323" s="49" t="s">
        <v>1393</v>
      </c>
      <c r="EH323" s="49" t="s">
        <v>310</v>
      </c>
      <c r="EJ323" s="49" t="s">
        <v>303</v>
      </c>
      <c r="EK323" s="49" t="s">
        <v>1398</v>
      </c>
      <c r="EM323" s="49" t="s">
        <v>303</v>
      </c>
      <c r="EN323" s="49" t="s">
        <v>396</v>
      </c>
      <c r="EP323" s="49" t="s">
        <v>298</v>
      </c>
      <c r="EQ323" s="0" t="n">
        <v>1</v>
      </c>
      <c r="ER323" s="49" t="s">
        <v>328</v>
      </c>
      <c r="ES323" s="49" t="s">
        <v>329</v>
      </c>
      <c r="ET323" s="49" t="s">
        <v>310</v>
      </c>
      <c r="EU323" s="49" t="s">
        <v>310</v>
      </c>
      <c r="EV323" s="49" t="s">
        <v>310</v>
      </c>
      <c r="EX323" s="49" t="s">
        <v>303</v>
      </c>
      <c r="EY323" s="49" t="s">
        <v>303</v>
      </c>
      <c r="FC323" s="49" t="s">
        <v>330</v>
      </c>
      <c r="FD323" s="49" t="s">
        <v>310</v>
      </c>
      <c r="FE323" s="49" t="s">
        <v>310</v>
      </c>
      <c r="FF323" s="49" t="s">
        <v>64</v>
      </c>
      <c r="FG323" s="49" t="s">
        <v>397</v>
      </c>
      <c r="FH323" s="49" t="s">
        <v>310</v>
      </c>
      <c r="FI323" s="49" t="s">
        <v>332</v>
      </c>
      <c r="FJ323" s="49" t="s">
        <v>303</v>
      </c>
      <c r="FL323" s="49" t="s">
        <v>325</v>
      </c>
      <c r="FM323" s="49" t="s">
        <v>1376</v>
      </c>
      <c r="FP323" s="49" t="s">
        <v>303</v>
      </c>
      <c r="FR323" s="49" t="s">
        <v>303</v>
      </c>
      <c r="FT323" s="49" t="s">
        <v>325</v>
      </c>
      <c r="FU323" s="49" t="s">
        <v>325</v>
      </c>
      <c r="FW323" s="49" t="s">
        <v>333</v>
      </c>
    </row>
    <row r="324" customFormat="false" ht="15" hidden="false" customHeight="false" outlineLevel="0" collapsed="false">
      <c r="A324" s="0" t="n">
        <v>100876482</v>
      </c>
      <c r="B324" s="0" t="s">
        <v>295</v>
      </c>
      <c r="C324" s="0" t="s">
        <v>64</v>
      </c>
      <c r="D324" s="0" t="s">
        <v>65</v>
      </c>
      <c r="E324" s="0" t="s">
        <v>297</v>
      </c>
      <c r="G324" s="0" t="n">
        <v>1</v>
      </c>
      <c r="H324" s="0" t="s">
        <v>298</v>
      </c>
      <c r="I324" s="48" t="n">
        <v>46272</v>
      </c>
      <c r="J324" s="0" t="n">
        <v>1</v>
      </c>
      <c r="K324" s="49" t="s">
        <v>1376</v>
      </c>
      <c r="L324" s="49" t="s">
        <v>1035</v>
      </c>
      <c r="M324" s="48" t="n">
        <v>46278</v>
      </c>
      <c r="N324" s="49" t="s">
        <v>1204</v>
      </c>
      <c r="O324" s="49" t="s">
        <v>1045</v>
      </c>
      <c r="P324" s="48"/>
      <c r="Q324" s="48" t="n">
        <v>46272</v>
      </c>
      <c r="R324" s="48" t="n">
        <v>46278</v>
      </c>
      <c r="T324" s="49" t="s">
        <v>302</v>
      </c>
      <c r="U324" s="49" t="s">
        <v>303</v>
      </c>
      <c r="Y324" s="49" t="s">
        <v>1399</v>
      </c>
      <c r="AD324" s="49" t="s">
        <v>305</v>
      </c>
      <c r="AE324" s="48" t="n">
        <v>46233</v>
      </c>
      <c r="AF324" s="49" t="s">
        <v>306</v>
      </c>
      <c r="AG324" s="49" t="s">
        <v>307</v>
      </c>
      <c r="AK324" s="49" t="s">
        <v>1047</v>
      </c>
      <c r="AL324" s="49" t="s">
        <v>297</v>
      </c>
      <c r="AO324" s="49" t="s">
        <v>303</v>
      </c>
      <c r="AP324" s="48"/>
      <c r="AR324" s="49" t="s">
        <v>303</v>
      </c>
      <c r="AS324" s="49" t="s">
        <v>306</v>
      </c>
      <c r="AT324" s="49" t="s">
        <v>1400</v>
      </c>
      <c r="AV324" s="49" t="s">
        <v>309</v>
      </c>
      <c r="AW324" s="49" t="s">
        <v>310</v>
      </c>
      <c r="AX324" s="49" t="s">
        <v>311</v>
      </c>
      <c r="AY324" s="48"/>
      <c r="AZ324" s="48" t="n">
        <v>46268</v>
      </c>
      <c r="BC324" s="49" t="s">
        <v>303</v>
      </c>
      <c r="BD324" s="48" t="n">
        <v>46278</v>
      </c>
      <c r="BE324" s="49" t="s">
        <v>1401</v>
      </c>
      <c r="BF324" s="49" t="s">
        <v>303</v>
      </c>
      <c r="BG324" s="48"/>
      <c r="BI324" s="48" t="n">
        <v>46278</v>
      </c>
      <c r="BJ324" s="48" t="n">
        <v>46275</v>
      </c>
      <c r="BK324" s="49" t="s">
        <v>313</v>
      </c>
      <c r="BL324" s="49" t="s">
        <v>313</v>
      </c>
      <c r="BM324" s="49" t="s">
        <v>310</v>
      </c>
      <c r="BN324" s="48"/>
      <c r="BO324" s="48"/>
      <c r="BP324" s="48"/>
      <c r="BQ324" s="49" t="s">
        <v>1344</v>
      </c>
      <c r="BR324" s="48" t="n">
        <v>46275</v>
      </c>
      <c r="BS324" s="49" t="s">
        <v>1392</v>
      </c>
      <c r="BT324" s="49" t="s">
        <v>312</v>
      </c>
      <c r="BU324" s="49" t="s">
        <v>313</v>
      </c>
      <c r="BV324" s="49" t="s">
        <v>303</v>
      </c>
      <c r="BX324" s="0" t="n">
        <v>1</v>
      </c>
      <c r="CC324" s="49" t="s">
        <v>315</v>
      </c>
      <c r="CD324" s="49" t="s">
        <v>303</v>
      </c>
      <c r="CF324" s="49" t="s">
        <v>303</v>
      </c>
      <c r="CG324" s="49" t="s">
        <v>316</v>
      </c>
      <c r="CH324" s="49" t="s">
        <v>317</v>
      </c>
      <c r="CI324" s="49" t="s">
        <v>318</v>
      </c>
      <c r="CM324" s="49" t="s">
        <v>65</v>
      </c>
      <c r="CV324" s="49" t="s">
        <v>303</v>
      </c>
      <c r="DB324" s="49" t="s">
        <v>319</v>
      </c>
      <c r="DD324" s="48" t="n">
        <v>46233</v>
      </c>
      <c r="DF324" s="49" t="s">
        <v>310</v>
      </c>
      <c r="DG324" s="49" t="s">
        <v>320</v>
      </c>
      <c r="DH324" s="49" t="s">
        <v>64</v>
      </c>
      <c r="DI324" s="49" t="s">
        <v>298</v>
      </c>
      <c r="DJ324" s="49" t="s">
        <v>394</v>
      </c>
      <c r="DK324" s="49" t="s">
        <v>322</v>
      </c>
      <c r="DL324" s="49" t="s">
        <v>323</v>
      </c>
      <c r="DM324" s="49" t="s">
        <v>303</v>
      </c>
      <c r="DN324" s="49" t="s">
        <v>297</v>
      </c>
      <c r="DO324" s="48"/>
      <c r="DP324" s="49" t="s">
        <v>312</v>
      </c>
      <c r="DQ324" s="48"/>
      <c r="DR324" s="49" t="s">
        <v>312</v>
      </c>
      <c r="DS324" s="49" t="s">
        <v>303</v>
      </c>
      <c r="DT324" s="49" t="s">
        <v>303</v>
      </c>
      <c r="DW324" s="49" t="s">
        <v>303</v>
      </c>
      <c r="EA324" s="49" t="s">
        <v>324</v>
      </c>
      <c r="EB324" s="49" t="s">
        <v>303</v>
      </c>
      <c r="EF324" s="49" t="s">
        <v>1393</v>
      </c>
      <c r="EH324" s="49" t="s">
        <v>310</v>
      </c>
      <c r="EJ324" s="49" t="s">
        <v>303</v>
      </c>
      <c r="EK324" s="49" t="s">
        <v>1402</v>
      </c>
      <c r="EM324" s="49" t="s">
        <v>303</v>
      </c>
      <c r="EN324" s="49" t="s">
        <v>396</v>
      </c>
      <c r="EP324" s="49" t="s">
        <v>298</v>
      </c>
      <c r="EQ324" s="0" t="n">
        <v>1</v>
      </c>
      <c r="ER324" s="49" t="s">
        <v>328</v>
      </c>
      <c r="ES324" s="49" t="s">
        <v>329</v>
      </c>
      <c r="ET324" s="49" t="s">
        <v>310</v>
      </c>
      <c r="EU324" s="49" t="s">
        <v>310</v>
      </c>
      <c r="EV324" s="49" t="s">
        <v>310</v>
      </c>
      <c r="EX324" s="49" t="s">
        <v>303</v>
      </c>
      <c r="EY324" s="49" t="s">
        <v>303</v>
      </c>
      <c r="FC324" s="49" t="s">
        <v>330</v>
      </c>
      <c r="FD324" s="49" t="s">
        <v>310</v>
      </c>
      <c r="FE324" s="49" t="s">
        <v>310</v>
      </c>
      <c r="FF324" s="49" t="s">
        <v>64</v>
      </c>
      <c r="FG324" s="49" t="s">
        <v>397</v>
      </c>
      <c r="FH324" s="49" t="s">
        <v>310</v>
      </c>
      <c r="FI324" s="49" t="s">
        <v>332</v>
      </c>
      <c r="FJ324" s="49" t="s">
        <v>303</v>
      </c>
      <c r="FL324" s="49" t="s">
        <v>325</v>
      </c>
      <c r="FM324" s="49" t="s">
        <v>1376</v>
      </c>
      <c r="FP324" s="49" t="s">
        <v>303</v>
      </c>
      <c r="FR324" s="49" t="s">
        <v>303</v>
      </c>
      <c r="FT324" s="49" t="s">
        <v>325</v>
      </c>
      <c r="FU324" s="49" t="s">
        <v>325</v>
      </c>
      <c r="FW324" s="49" t="s">
        <v>333</v>
      </c>
    </row>
    <row r="325" customFormat="false" ht="15" hidden="false" customHeight="false" outlineLevel="0" collapsed="false">
      <c r="A325" s="0" t="n">
        <v>100876483</v>
      </c>
      <c r="B325" s="0" t="s">
        <v>295</v>
      </c>
      <c r="C325" s="0" t="s">
        <v>64</v>
      </c>
      <c r="D325" s="0" t="s">
        <v>65</v>
      </c>
      <c r="E325" s="0" t="s">
        <v>297</v>
      </c>
      <c r="G325" s="0" t="n">
        <v>1</v>
      </c>
      <c r="H325" s="0" t="s">
        <v>298</v>
      </c>
      <c r="I325" s="48" t="n">
        <v>46272</v>
      </c>
      <c r="J325" s="0" t="n">
        <v>1</v>
      </c>
      <c r="K325" s="49" t="s">
        <v>1376</v>
      </c>
      <c r="L325" s="49" t="s">
        <v>1035</v>
      </c>
      <c r="M325" s="48" t="n">
        <v>46278</v>
      </c>
      <c r="N325" s="49" t="s">
        <v>1204</v>
      </c>
      <c r="O325" s="49" t="s">
        <v>1045</v>
      </c>
      <c r="P325" s="48"/>
      <c r="Q325" s="48" t="n">
        <v>46272</v>
      </c>
      <c r="R325" s="48" t="n">
        <v>46278</v>
      </c>
      <c r="T325" s="49" t="s">
        <v>302</v>
      </c>
      <c r="U325" s="49" t="s">
        <v>303</v>
      </c>
      <c r="Y325" s="49" t="s">
        <v>1403</v>
      </c>
      <c r="AD325" s="49" t="s">
        <v>305</v>
      </c>
      <c r="AE325" s="48" t="n">
        <v>46233</v>
      </c>
      <c r="AF325" s="49" t="s">
        <v>306</v>
      </c>
      <c r="AG325" s="49" t="s">
        <v>307</v>
      </c>
      <c r="AK325" s="49" t="s">
        <v>1047</v>
      </c>
      <c r="AL325" s="49" t="s">
        <v>297</v>
      </c>
      <c r="AO325" s="49" t="s">
        <v>303</v>
      </c>
      <c r="AP325" s="48"/>
      <c r="AR325" s="49" t="s">
        <v>303</v>
      </c>
      <c r="AS325" s="49" t="s">
        <v>306</v>
      </c>
      <c r="AT325" s="49" t="s">
        <v>1404</v>
      </c>
      <c r="AV325" s="49" t="s">
        <v>309</v>
      </c>
      <c r="AW325" s="49" t="s">
        <v>310</v>
      </c>
      <c r="AX325" s="49" t="s">
        <v>311</v>
      </c>
      <c r="AY325" s="48"/>
      <c r="AZ325" s="48" t="n">
        <v>46268</v>
      </c>
      <c r="BC325" s="49" t="s">
        <v>303</v>
      </c>
      <c r="BD325" s="48" t="n">
        <v>46278</v>
      </c>
      <c r="BE325" s="49" t="s">
        <v>1405</v>
      </c>
      <c r="BF325" s="49" t="s">
        <v>303</v>
      </c>
      <c r="BG325" s="48"/>
      <c r="BI325" s="48" t="n">
        <v>46278</v>
      </c>
      <c r="BJ325" s="48" t="n">
        <v>46275</v>
      </c>
      <c r="BK325" s="49" t="s">
        <v>313</v>
      </c>
      <c r="BL325" s="49" t="s">
        <v>313</v>
      </c>
      <c r="BM325" s="49" t="s">
        <v>310</v>
      </c>
      <c r="BN325" s="48"/>
      <c r="BO325" s="48"/>
      <c r="BP325" s="48"/>
      <c r="BQ325" s="49" t="s">
        <v>1344</v>
      </c>
      <c r="BR325" s="48" t="n">
        <v>46275</v>
      </c>
      <c r="BS325" s="49" t="s">
        <v>1406</v>
      </c>
      <c r="BT325" s="49" t="s">
        <v>312</v>
      </c>
      <c r="BU325" s="49" t="s">
        <v>313</v>
      </c>
      <c r="BV325" s="49" t="s">
        <v>303</v>
      </c>
      <c r="BX325" s="0" t="n">
        <v>1</v>
      </c>
      <c r="CC325" s="49" t="s">
        <v>315</v>
      </c>
      <c r="CD325" s="49" t="s">
        <v>303</v>
      </c>
      <c r="CF325" s="49" t="s">
        <v>303</v>
      </c>
      <c r="CG325" s="49" t="s">
        <v>316</v>
      </c>
      <c r="CH325" s="49" t="s">
        <v>317</v>
      </c>
      <c r="CI325" s="49" t="s">
        <v>318</v>
      </c>
      <c r="CM325" s="49" t="s">
        <v>65</v>
      </c>
      <c r="CV325" s="49" t="s">
        <v>303</v>
      </c>
      <c r="DB325" s="49" t="s">
        <v>319</v>
      </c>
      <c r="DD325" s="48" t="n">
        <v>46233</v>
      </c>
      <c r="DF325" s="49" t="s">
        <v>310</v>
      </c>
      <c r="DG325" s="49" t="s">
        <v>320</v>
      </c>
      <c r="DH325" s="49" t="s">
        <v>64</v>
      </c>
      <c r="DI325" s="49" t="s">
        <v>298</v>
      </c>
      <c r="DJ325" s="49" t="s">
        <v>394</v>
      </c>
      <c r="DK325" s="49" t="s">
        <v>322</v>
      </c>
      <c r="DL325" s="49" t="s">
        <v>323</v>
      </c>
      <c r="DM325" s="49" t="s">
        <v>303</v>
      </c>
      <c r="DN325" s="49" t="s">
        <v>297</v>
      </c>
      <c r="DO325" s="48"/>
      <c r="DP325" s="49" t="s">
        <v>312</v>
      </c>
      <c r="DQ325" s="48"/>
      <c r="DR325" s="49" t="s">
        <v>312</v>
      </c>
      <c r="DS325" s="49" t="s">
        <v>303</v>
      </c>
      <c r="DT325" s="49" t="s">
        <v>303</v>
      </c>
      <c r="DW325" s="49" t="s">
        <v>303</v>
      </c>
      <c r="EA325" s="49" t="s">
        <v>324</v>
      </c>
      <c r="EB325" s="49" t="s">
        <v>303</v>
      </c>
      <c r="EF325" s="49" t="s">
        <v>1393</v>
      </c>
      <c r="EH325" s="49" t="s">
        <v>310</v>
      </c>
      <c r="EJ325" s="49" t="s">
        <v>303</v>
      </c>
      <c r="EK325" s="49" t="s">
        <v>1407</v>
      </c>
      <c r="EM325" s="49" t="s">
        <v>303</v>
      </c>
      <c r="EN325" s="49" t="s">
        <v>396</v>
      </c>
      <c r="EP325" s="49" t="s">
        <v>298</v>
      </c>
      <c r="EQ325" s="0" t="n">
        <v>1</v>
      </c>
      <c r="ER325" s="49" t="s">
        <v>328</v>
      </c>
      <c r="ES325" s="49" t="s">
        <v>329</v>
      </c>
      <c r="ET325" s="49" t="s">
        <v>310</v>
      </c>
      <c r="EU325" s="49" t="s">
        <v>310</v>
      </c>
      <c r="EV325" s="49" t="s">
        <v>310</v>
      </c>
      <c r="EX325" s="49" t="s">
        <v>303</v>
      </c>
      <c r="EY325" s="49" t="s">
        <v>303</v>
      </c>
      <c r="FC325" s="49" t="s">
        <v>330</v>
      </c>
      <c r="FD325" s="49" t="s">
        <v>310</v>
      </c>
      <c r="FE325" s="49" t="s">
        <v>310</v>
      </c>
      <c r="FF325" s="49" t="s">
        <v>64</v>
      </c>
      <c r="FG325" s="49" t="s">
        <v>397</v>
      </c>
      <c r="FH325" s="49" t="s">
        <v>310</v>
      </c>
      <c r="FI325" s="49" t="s">
        <v>332</v>
      </c>
      <c r="FJ325" s="49" t="s">
        <v>303</v>
      </c>
      <c r="FL325" s="49" t="s">
        <v>325</v>
      </c>
      <c r="FM325" s="49" t="s">
        <v>1376</v>
      </c>
      <c r="FP325" s="49" t="s">
        <v>303</v>
      </c>
      <c r="FR325" s="49" t="s">
        <v>303</v>
      </c>
      <c r="FT325" s="49" t="s">
        <v>325</v>
      </c>
      <c r="FU325" s="49" t="s">
        <v>325</v>
      </c>
      <c r="FW325" s="49" t="s">
        <v>333</v>
      </c>
    </row>
    <row r="326" customFormat="false" ht="15" hidden="false" customHeight="false" outlineLevel="0" collapsed="false">
      <c r="A326" s="0" t="n">
        <v>100876484</v>
      </c>
      <c r="B326" s="0" t="s">
        <v>295</v>
      </c>
      <c r="C326" s="0" t="s">
        <v>64</v>
      </c>
      <c r="D326" s="0" t="s">
        <v>65</v>
      </c>
      <c r="E326" s="0" t="s">
        <v>297</v>
      </c>
      <c r="G326" s="0" t="n">
        <v>1</v>
      </c>
      <c r="H326" s="0" t="s">
        <v>298</v>
      </c>
      <c r="I326" s="48" t="n">
        <v>46272</v>
      </c>
      <c r="J326" s="0" t="n">
        <v>1</v>
      </c>
      <c r="K326" s="49" t="s">
        <v>1376</v>
      </c>
      <c r="L326" s="49" t="s">
        <v>1035</v>
      </c>
      <c r="M326" s="48" t="n">
        <v>46278</v>
      </c>
      <c r="N326" s="49" t="s">
        <v>1204</v>
      </c>
      <c r="O326" s="49" t="s">
        <v>1045</v>
      </c>
      <c r="P326" s="48"/>
      <c r="Q326" s="48" t="n">
        <v>46272</v>
      </c>
      <c r="R326" s="48" t="n">
        <v>46278</v>
      </c>
      <c r="T326" s="49" t="s">
        <v>302</v>
      </c>
      <c r="U326" s="49" t="s">
        <v>303</v>
      </c>
      <c r="Y326" s="49" t="s">
        <v>1408</v>
      </c>
      <c r="AD326" s="49" t="s">
        <v>305</v>
      </c>
      <c r="AE326" s="48" t="n">
        <v>46233</v>
      </c>
      <c r="AF326" s="49" t="s">
        <v>306</v>
      </c>
      <c r="AG326" s="49" t="s">
        <v>307</v>
      </c>
      <c r="AK326" s="49" t="s">
        <v>1047</v>
      </c>
      <c r="AL326" s="49" t="s">
        <v>297</v>
      </c>
      <c r="AO326" s="49" t="s">
        <v>303</v>
      </c>
      <c r="AP326" s="48"/>
      <c r="AR326" s="49" t="s">
        <v>303</v>
      </c>
      <c r="AS326" s="49" t="s">
        <v>306</v>
      </c>
      <c r="AT326" s="49" t="s">
        <v>1409</v>
      </c>
      <c r="AV326" s="49" t="s">
        <v>309</v>
      </c>
      <c r="AW326" s="49" t="s">
        <v>310</v>
      </c>
      <c r="AX326" s="49" t="s">
        <v>311</v>
      </c>
      <c r="AY326" s="48"/>
      <c r="AZ326" s="48" t="n">
        <v>46268</v>
      </c>
      <c r="BC326" s="49" t="s">
        <v>303</v>
      </c>
      <c r="BD326" s="48" t="n">
        <v>46278</v>
      </c>
      <c r="BE326" s="49" t="s">
        <v>1410</v>
      </c>
      <c r="BF326" s="49" t="s">
        <v>303</v>
      </c>
      <c r="BG326" s="48"/>
      <c r="BI326" s="48" t="n">
        <v>46278</v>
      </c>
      <c r="BJ326" s="48" t="n">
        <v>46275</v>
      </c>
      <c r="BK326" s="49" t="s">
        <v>313</v>
      </c>
      <c r="BL326" s="49" t="s">
        <v>313</v>
      </c>
      <c r="BM326" s="49" t="s">
        <v>310</v>
      </c>
      <c r="BN326" s="48"/>
      <c r="BO326" s="48"/>
      <c r="BP326" s="48"/>
      <c r="BQ326" s="49" t="s">
        <v>1344</v>
      </c>
      <c r="BR326" s="48" t="n">
        <v>46275</v>
      </c>
      <c r="BS326" s="49" t="s">
        <v>1406</v>
      </c>
      <c r="BT326" s="49" t="s">
        <v>312</v>
      </c>
      <c r="BU326" s="49" t="s">
        <v>313</v>
      </c>
      <c r="BV326" s="49" t="s">
        <v>303</v>
      </c>
      <c r="BX326" s="0" t="n">
        <v>1</v>
      </c>
      <c r="CC326" s="49" t="s">
        <v>315</v>
      </c>
      <c r="CD326" s="49" t="s">
        <v>303</v>
      </c>
      <c r="CF326" s="49" t="s">
        <v>303</v>
      </c>
      <c r="CG326" s="49" t="s">
        <v>316</v>
      </c>
      <c r="CH326" s="49" t="s">
        <v>317</v>
      </c>
      <c r="CI326" s="49" t="s">
        <v>318</v>
      </c>
      <c r="CM326" s="49" t="s">
        <v>65</v>
      </c>
      <c r="CV326" s="49" t="s">
        <v>303</v>
      </c>
      <c r="DB326" s="49" t="s">
        <v>319</v>
      </c>
      <c r="DD326" s="48" t="n">
        <v>46233</v>
      </c>
      <c r="DF326" s="49" t="s">
        <v>310</v>
      </c>
      <c r="DG326" s="49" t="s">
        <v>320</v>
      </c>
      <c r="DH326" s="49" t="s">
        <v>64</v>
      </c>
      <c r="DI326" s="49" t="s">
        <v>298</v>
      </c>
      <c r="DJ326" s="49" t="s">
        <v>394</v>
      </c>
      <c r="DK326" s="49" t="s">
        <v>322</v>
      </c>
      <c r="DL326" s="49" t="s">
        <v>323</v>
      </c>
      <c r="DM326" s="49" t="s">
        <v>303</v>
      </c>
      <c r="DN326" s="49" t="s">
        <v>297</v>
      </c>
      <c r="DO326" s="48"/>
      <c r="DP326" s="49" t="s">
        <v>312</v>
      </c>
      <c r="DQ326" s="48"/>
      <c r="DR326" s="49" t="s">
        <v>312</v>
      </c>
      <c r="DS326" s="49" t="s">
        <v>303</v>
      </c>
      <c r="DT326" s="49" t="s">
        <v>303</v>
      </c>
      <c r="DW326" s="49" t="s">
        <v>303</v>
      </c>
      <c r="EA326" s="49" t="s">
        <v>324</v>
      </c>
      <c r="EB326" s="49" t="s">
        <v>303</v>
      </c>
      <c r="EF326" s="49" t="s">
        <v>1393</v>
      </c>
      <c r="EH326" s="49" t="s">
        <v>310</v>
      </c>
      <c r="EJ326" s="49" t="s">
        <v>303</v>
      </c>
      <c r="EK326" s="49" t="s">
        <v>1411</v>
      </c>
      <c r="EM326" s="49" t="s">
        <v>303</v>
      </c>
      <c r="EN326" s="49" t="s">
        <v>396</v>
      </c>
      <c r="EP326" s="49" t="s">
        <v>298</v>
      </c>
      <c r="EQ326" s="0" t="n">
        <v>1</v>
      </c>
      <c r="ER326" s="49" t="s">
        <v>328</v>
      </c>
      <c r="ES326" s="49" t="s">
        <v>329</v>
      </c>
      <c r="ET326" s="49" t="s">
        <v>310</v>
      </c>
      <c r="EU326" s="49" t="s">
        <v>310</v>
      </c>
      <c r="EV326" s="49" t="s">
        <v>310</v>
      </c>
      <c r="EX326" s="49" t="s">
        <v>303</v>
      </c>
      <c r="EY326" s="49" t="s">
        <v>303</v>
      </c>
      <c r="FC326" s="49" t="s">
        <v>330</v>
      </c>
      <c r="FD326" s="49" t="s">
        <v>310</v>
      </c>
      <c r="FE326" s="49" t="s">
        <v>310</v>
      </c>
      <c r="FF326" s="49" t="s">
        <v>64</v>
      </c>
      <c r="FG326" s="49" t="s">
        <v>397</v>
      </c>
      <c r="FH326" s="49" t="s">
        <v>310</v>
      </c>
      <c r="FI326" s="49" t="s">
        <v>332</v>
      </c>
      <c r="FJ326" s="49" t="s">
        <v>303</v>
      </c>
      <c r="FL326" s="49" t="s">
        <v>325</v>
      </c>
      <c r="FM326" s="49" t="s">
        <v>1376</v>
      </c>
      <c r="FP326" s="49" t="s">
        <v>303</v>
      </c>
      <c r="FR326" s="49" t="s">
        <v>303</v>
      </c>
      <c r="FT326" s="49" t="s">
        <v>325</v>
      </c>
      <c r="FU326" s="49" t="s">
        <v>325</v>
      </c>
      <c r="FW326" s="49" t="s">
        <v>333</v>
      </c>
    </row>
    <row r="327" customFormat="false" ht="15" hidden="false" customHeight="false" outlineLevel="0" collapsed="false">
      <c r="A327" s="0" t="n">
        <v>100876485</v>
      </c>
      <c r="B327" s="0" t="s">
        <v>295</v>
      </c>
      <c r="C327" s="0" t="s">
        <v>64</v>
      </c>
      <c r="D327" s="0" t="s">
        <v>65</v>
      </c>
      <c r="E327" s="0" t="s">
        <v>297</v>
      </c>
      <c r="G327" s="0" t="n">
        <v>1</v>
      </c>
      <c r="H327" s="0" t="s">
        <v>298</v>
      </c>
      <c r="I327" s="48" t="n">
        <v>46272</v>
      </c>
      <c r="J327" s="0" t="n">
        <v>1</v>
      </c>
      <c r="K327" s="49" t="s">
        <v>1376</v>
      </c>
      <c r="L327" s="49" t="s">
        <v>1035</v>
      </c>
      <c r="M327" s="48" t="n">
        <v>46278</v>
      </c>
      <c r="N327" s="49" t="s">
        <v>1204</v>
      </c>
      <c r="O327" s="49" t="s">
        <v>1045</v>
      </c>
      <c r="P327" s="48"/>
      <c r="Q327" s="48" t="n">
        <v>46272</v>
      </c>
      <c r="R327" s="48" t="n">
        <v>46278</v>
      </c>
      <c r="T327" s="49" t="s">
        <v>302</v>
      </c>
      <c r="U327" s="49" t="s">
        <v>303</v>
      </c>
      <c r="Y327" s="49" t="s">
        <v>1412</v>
      </c>
      <c r="AD327" s="49" t="s">
        <v>305</v>
      </c>
      <c r="AE327" s="48" t="n">
        <v>46233</v>
      </c>
      <c r="AF327" s="49" t="s">
        <v>306</v>
      </c>
      <c r="AG327" s="49" t="s">
        <v>307</v>
      </c>
      <c r="AK327" s="49" t="s">
        <v>1047</v>
      </c>
      <c r="AL327" s="49" t="s">
        <v>297</v>
      </c>
      <c r="AO327" s="49" t="s">
        <v>303</v>
      </c>
      <c r="AP327" s="48"/>
      <c r="AR327" s="49" t="s">
        <v>303</v>
      </c>
      <c r="AS327" s="49" t="s">
        <v>306</v>
      </c>
      <c r="AT327" s="49" t="s">
        <v>1413</v>
      </c>
      <c r="AV327" s="49" t="s">
        <v>309</v>
      </c>
      <c r="AW327" s="49" t="s">
        <v>310</v>
      </c>
      <c r="AX327" s="49" t="s">
        <v>311</v>
      </c>
      <c r="AY327" s="48"/>
      <c r="AZ327" s="48" t="n">
        <v>46268</v>
      </c>
      <c r="BC327" s="49" t="s">
        <v>303</v>
      </c>
      <c r="BD327" s="48" t="n">
        <v>46278</v>
      </c>
      <c r="BE327" s="49" t="s">
        <v>1414</v>
      </c>
      <c r="BF327" s="49" t="s">
        <v>303</v>
      </c>
      <c r="BG327" s="48"/>
      <c r="BI327" s="48" t="n">
        <v>46278</v>
      </c>
      <c r="BJ327" s="48" t="n">
        <v>46275</v>
      </c>
      <c r="BK327" s="49" t="s">
        <v>313</v>
      </c>
      <c r="BL327" s="49" t="s">
        <v>313</v>
      </c>
      <c r="BM327" s="49" t="s">
        <v>310</v>
      </c>
      <c r="BN327" s="48"/>
      <c r="BO327" s="48"/>
      <c r="BP327" s="48"/>
      <c r="BQ327" s="49" t="s">
        <v>1344</v>
      </c>
      <c r="BR327" s="48" t="n">
        <v>46275</v>
      </c>
      <c r="BS327" s="49" t="s">
        <v>1406</v>
      </c>
      <c r="BT327" s="49" t="s">
        <v>312</v>
      </c>
      <c r="BU327" s="49" t="s">
        <v>313</v>
      </c>
      <c r="BV327" s="49" t="s">
        <v>303</v>
      </c>
      <c r="BX327" s="0" t="n">
        <v>1</v>
      </c>
      <c r="CC327" s="49" t="s">
        <v>315</v>
      </c>
      <c r="CD327" s="49" t="s">
        <v>303</v>
      </c>
      <c r="CF327" s="49" t="s">
        <v>303</v>
      </c>
      <c r="CG327" s="49" t="s">
        <v>316</v>
      </c>
      <c r="CH327" s="49" t="s">
        <v>317</v>
      </c>
      <c r="CI327" s="49" t="s">
        <v>318</v>
      </c>
      <c r="CM327" s="49" t="s">
        <v>65</v>
      </c>
      <c r="CV327" s="49" t="s">
        <v>303</v>
      </c>
      <c r="DB327" s="49" t="s">
        <v>319</v>
      </c>
      <c r="DD327" s="48" t="n">
        <v>46233</v>
      </c>
      <c r="DF327" s="49" t="s">
        <v>310</v>
      </c>
      <c r="DG327" s="49" t="s">
        <v>320</v>
      </c>
      <c r="DH327" s="49" t="s">
        <v>64</v>
      </c>
      <c r="DI327" s="49" t="s">
        <v>298</v>
      </c>
      <c r="DJ327" s="49" t="s">
        <v>394</v>
      </c>
      <c r="DK327" s="49" t="s">
        <v>322</v>
      </c>
      <c r="DL327" s="49" t="s">
        <v>323</v>
      </c>
      <c r="DM327" s="49" t="s">
        <v>303</v>
      </c>
      <c r="DN327" s="49" t="s">
        <v>297</v>
      </c>
      <c r="DO327" s="48"/>
      <c r="DP327" s="49" t="s">
        <v>312</v>
      </c>
      <c r="DQ327" s="48"/>
      <c r="DR327" s="49" t="s">
        <v>312</v>
      </c>
      <c r="DS327" s="49" t="s">
        <v>303</v>
      </c>
      <c r="DT327" s="49" t="s">
        <v>303</v>
      </c>
      <c r="DW327" s="49" t="s">
        <v>303</v>
      </c>
      <c r="EA327" s="49" t="s">
        <v>324</v>
      </c>
      <c r="EB327" s="49" t="s">
        <v>303</v>
      </c>
      <c r="EF327" s="49" t="s">
        <v>1393</v>
      </c>
      <c r="EH327" s="49" t="s">
        <v>310</v>
      </c>
      <c r="EJ327" s="49" t="s">
        <v>303</v>
      </c>
      <c r="EK327" s="49" t="s">
        <v>1415</v>
      </c>
      <c r="EM327" s="49" t="s">
        <v>303</v>
      </c>
      <c r="EN327" s="49" t="s">
        <v>396</v>
      </c>
      <c r="EP327" s="49" t="s">
        <v>298</v>
      </c>
      <c r="EQ327" s="0" t="n">
        <v>1</v>
      </c>
      <c r="ER327" s="49" t="s">
        <v>328</v>
      </c>
      <c r="ES327" s="49" t="s">
        <v>329</v>
      </c>
      <c r="ET327" s="49" t="s">
        <v>310</v>
      </c>
      <c r="EU327" s="49" t="s">
        <v>310</v>
      </c>
      <c r="EV327" s="49" t="s">
        <v>310</v>
      </c>
      <c r="EX327" s="49" t="s">
        <v>303</v>
      </c>
      <c r="EY327" s="49" t="s">
        <v>303</v>
      </c>
      <c r="FC327" s="49" t="s">
        <v>330</v>
      </c>
      <c r="FD327" s="49" t="s">
        <v>310</v>
      </c>
      <c r="FE327" s="49" t="s">
        <v>310</v>
      </c>
      <c r="FF327" s="49" t="s">
        <v>64</v>
      </c>
      <c r="FG327" s="49" t="s">
        <v>397</v>
      </c>
      <c r="FH327" s="49" t="s">
        <v>310</v>
      </c>
      <c r="FI327" s="49" t="s">
        <v>332</v>
      </c>
      <c r="FJ327" s="49" t="s">
        <v>303</v>
      </c>
      <c r="FL327" s="49" t="s">
        <v>325</v>
      </c>
      <c r="FM327" s="49" t="s">
        <v>1376</v>
      </c>
      <c r="FP327" s="49" t="s">
        <v>303</v>
      </c>
      <c r="FR327" s="49" t="s">
        <v>303</v>
      </c>
      <c r="FT327" s="49" t="s">
        <v>325</v>
      </c>
      <c r="FU327" s="49" t="s">
        <v>325</v>
      </c>
      <c r="FW327" s="49" t="s">
        <v>333</v>
      </c>
    </row>
    <row r="328" customFormat="false" ht="15" hidden="false" customHeight="false" outlineLevel="0" collapsed="false">
      <c r="A328" s="0" t="n">
        <v>100876486</v>
      </c>
      <c r="B328" s="0" t="s">
        <v>295</v>
      </c>
      <c r="C328" s="0" t="s">
        <v>64</v>
      </c>
      <c r="D328" s="0" t="s">
        <v>65</v>
      </c>
      <c r="E328" s="0" t="s">
        <v>297</v>
      </c>
      <c r="G328" s="0" t="n">
        <v>1</v>
      </c>
      <c r="H328" s="0" t="s">
        <v>298</v>
      </c>
      <c r="I328" s="48" t="n">
        <v>46272</v>
      </c>
      <c r="J328" s="0" t="n">
        <v>1</v>
      </c>
      <c r="K328" s="49" t="s">
        <v>1376</v>
      </c>
      <c r="L328" s="49" t="s">
        <v>1035</v>
      </c>
      <c r="M328" s="48" t="n">
        <v>46278</v>
      </c>
      <c r="N328" s="49" t="s">
        <v>1204</v>
      </c>
      <c r="O328" s="49" t="s">
        <v>1045</v>
      </c>
      <c r="P328" s="48"/>
      <c r="Q328" s="48" t="n">
        <v>46272</v>
      </c>
      <c r="R328" s="48" t="n">
        <v>46278</v>
      </c>
      <c r="T328" s="49" t="s">
        <v>302</v>
      </c>
      <c r="U328" s="49" t="s">
        <v>303</v>
      </c>
      <c r="Y328" s="49" t="s">
        <v>1416</v>
      </c>
      <c r="AD328" s="49" t="s">
        <v>305</v>
      </c>
      <c r="AE328" s="48" t="n">
        <v>46233</v>
      </c>
      <c r="AF328" s="49" t="s">
        <v>306</v>
      </c>
      <c r="AG328" s="49" t="s">
        <v>307</v>
      </c>
      <c r="AK328" s="49" t="s">
        <v>1047</v>
      </c>
      <c r="AL328" s="49" t="s">
        <v>297</v>
      </c>
      <c r="AO328" s="49" t="s">
        <v>303</v>
      </c>
      <c r="AP328" s="48"/>
      <c r="AR328" s="49" t="s">
        <v>303</v>
      </c>
      <c r="AS328" s="49" t="s">
        <v>306</v>
      </c>
      <c r="AT328" s="49" t="s">
        <v>1417</v>
      </c>
      <c r="AV328" s="49" t="s">
        <v>309</v>
      </c>
      <c r="AW328" s="49" t="s">
        <v>310</v>
      </c>
      <c r="AX328" s="49" t="s">
        <v>311</v>
      </c>
      <c r="AY328" s="48"/>
      <c r="AZ328" s="48" t="n">
        <v>46268</v>
      </c>
      <c r="BC328" s="49" t="s">
        <v>303</v>
      </c>
      <c r="BD328" s="48" t="n">
        <v>46278</v>
      </c>
      <c r="BE328" s="49" t="s">
        <v>1418</v>
      </c>
      <c r="BF328" s="49" t="s">
        <v>303</v>
      </c>
      <c r="BG328" s="48"/>
      <c r="BI328" s="48" t="n">
        <v>46278</v>
      </c>
      <c r="BJ328" s="48" t="n">
        <v>46275</v>
      </c>
      <c r="BK328" s="49" t="s">
        <v>313</v>
      </c>
      <c r="BL328" s="49" t="s">
        <v>313</v>
      </c>
      <c r="BM328" s="49" t="s">
        <v>310</v>
      </c>
      <c r="BN328" s="48"/>
      <c r="BO328" s="48"/>
      <c r="BP328" s="48"/>
      <c r="BQ328" s="49" t="s">
        <v>1344</v>
      </c>
      <c r="BR328" s="48" t="n">
        <v>46275</v>
      </c>
      <c r="BS328" s="49" t="s">
        <v>1419</v>
      </c>
      <c r="BT328" s="49" t="s">
        <v>312</v>
      </c>
      <c r="BU328" s="49" t="s">
        <v>313</v>
      </c>
      <c r="BV328" s="49" t="s">
        <v>303</v>
      </c>
      <c r="BX328" s="0" t="n">
        <v>1</v>
      </c>
      <c r="CC328" s="49" t="s">
        <v>315</v>
      </c>
      <c r="CD328" s="49" t="s">
        <v>303</v>
      </c>
      <c r="CF328" s="49" t="s">
        <v>303</v>
      </c>
      <c r="CG328" s="49" t="s">
        <v>316</v>
      </c>
      <c r="CH328" s="49" t="s">
        <v>317</v>
      </c>
      <c r="CI328" s="49" t="s">
        <v>318</v>
      </c>
      <c r="CM328" s="49" t="s">
        <v>65</v>
      </c>
      <c r="CV328" s="49" t="s">
        <v>303</v>
      </c>
      <c r="DB328" s="49" t="s">
        <v>319</v>
      </c>
      <c r="DD328" s="48" t="n">
        <v>46233</v>
      </c>
      <c r="DF328" s="49" t="s">
        <v>310</v>
      </c>
      <c r="DG328" s="49" t="s">
        <v>320</v>
      </c>
      <c r="DH328" s="49" t="s">
        <v>64</v>
      </c>
      <c r="DI328" s="49" t="s">
        <v>298</v>
      </c>
      <c r="DJ328" s="49" t="s">
        <v>394</v>
      </c>
      <c r="DK328" s="49" t="s">
        <v>322</v>
      </c>
      <c r="DL328" s="49" t="s">
        <v>323</v>
      </c>
      <c r="DM328" s="49" t="s">
        <v>303</v>
      </c>
      <c r="DN328" s="49" t="s">
        <v>297</v>
      </c>
      <c r="DO328" s="48"/>
      <c r="DP328" s="49" t="s">
        <v>312</v>
      </c>
      <c r="DQ328" s="48"/>
      <c r="DR328" s="49" t="s">
        <v>312</v>
      </c>
      <c r="DS328" s="49" t="s">
        <v>303</v>
      </c>
      <c r="DT328" s="49" t="s">
        <v>303</v>
      </c>
      <c r="DW328" s="49" t="s">
        <v>303</v>
      </c>
      <c r="EA328" s="49" t="s">
        <v>324</v>
      </c>
      <c r="EB328" s="49" t="s">
        <v>303</v>
      </c>
      <c r="EF328" s="49" t="s">
        <v>1393</v>
      </c>
      <c r="EH328" s="49" t="s">
        <v>310</v>
      </c>
      <c r="EJ328" s="49" t="s">
        <v>303</v>
      </c>
      <c r="EK328" s="49" t="s">
        <v>1420</v>
      </c>
      <c r="EM328" s="49" t="s">
        <v>303</v>
      </c>
      <c r="EN328" s="49" t="s">
        <v>396</v>
      </c>
      <c r="EP328" s="49" t="s">
        <v>298</v>
      </c>
      <c r="EQ328" s="0" t="n">
        <v>1</v>
      </c>
      <c r="ER328" s="49" t="s">
        <v>328</v>
      </c>
      <c r="ES328" s="49" t="s">
        <v>329</v>
      </c>
      <c r="ET328" s="49" t="s">
        <v>310</v>
      </c>
      <c r="EU328" s="49" t="s">
        <v>310</v>
      </c>
      <c r="EV328" s="49" t="s">
        <v>310</v>
      </c>
      <c r="EX328" s="49" t="s">
        <v>303</v>
      </c>
      <c r="EY328" s="49" t="s">
        <v>303</v>
      </c>
      <c r="FC328" s="49" t="s">
        <v>330</v>
      </c>
      <c r="FD328" s="49" t="s">
        <v>310</v>
      </c>
      <c r="FE328" s="49" t="s">
        <v>310</v>
      </c>
      <c r="FF328" s="49" t="s">
        <v>64</v>
      </c>
      <c r="FG328" s="49" t="s">
        <v>397</v>
      </c>
      <c r="FH328" s="49" t="s">
        <v>310</v>
      </c>
      <c r="FI328" s="49" t="s">
        <v>332</v>
      </c>
      <c r="FJ328" s="49" t="s">
        <v>303</v>
      </c>
      <c r="FL328" s="49" t="s">
        <v>325</v>
      </c>
      <c r="FM328" s="49" t="s">
        <v>1376</v>
      </c>
      <c r="FP328" s="49" t="s">
        <v>303</v>
      </c>
      <c r="FR328" s="49" t="s">
        <v>303</v>
      </c>
      <c r="FT328" s="49" t="s">
        <v>325</v>
      </c>
      <c r="FU328" s="49" t="s">
        <v>325</v>
      </c>
      <c r="FW328" s="49" t="s">
        <v>333</v>
      </c>
    </row>
    <row r="329" customFormat="false" ht="15" hidden="false" customHeight="false" outlineLevel="0" collapsed="false">
      <c r="A329" s="0" t="n">
        <v>100876487</v>
      </c>
      <c r="B329" s="0" t="s">
        <v>295</v>
      </c>
      <c r="C329" s="0" t="s">
        <v>64</v>
      </c>
      <c r="D329" s="0" t="s">
        <v>65</v>
      </c>
      <c r="E329" s="0" t="s">
        <v>297</v>
      </c>
      <c r="G329" s="0" t="n">
        <v>1</v>
      </c>
      <c r="H329" s="0" t="s">
        <v>298</v>
      </c>
      <c r="I329" s="48" t="n">
        <v>46272</v>
      </c>
      <c r="J329" s="0" t="n">
        <v>1</v>
      </c>
      <c r="K329" s="49" t="s">
        <v>1376</v>
      </c>
      <c r="L329" s="49" t="s">
        <v>1035</v>
      </c>
      <c r="M329" s="48" t="n">
        <v>46278</v>
      </c>
      <c r="N329" s="49" t="s">
        <v>1204</v>
      </c>
      <c r="O329" s="49" t="s">
        <v>1045</v>
      </c>
      <c r="P329" s="48"/>
      <c r="Q329" s="48" t="n">
        <v>46272</v>
      </c>
      <c r="R329" s="48" t="n">
        <v>46278</v>
      </c>
      <c r="T329" s="49" t="s">
        <v>302</v>
      </c>
      <c r="U329" s="49" t="s">
        <v>303</v>
      </c>
      <c r="Y329" s="49" t="s">
        <v>1421</v>
      </c>
      <c r="AD329" s="49" t="s">
        <v>305</v>
      </c>
      <c r="AE329" s="48" t="n">
        <v>46233</v>
      </c>
      <c r="AF329" s="49" t="s">
        <v>306</v>
      </c>
      <c r="AG329" s="49" t="s">
        <v>307</v>
      </c>
      <c r="AK329" s="49" t="s">
        <v>1047</v>
      </c>
      <c r="AL329" s="49" t="s">
        <v>297</v>
      </c>
      <c r="AO329" s="49" t="s">
        <v>303</v>
      </c>
      <c r="AP329" s="48"/>
      <c r="AR329" s="49" t="s">
        <v>303</v>
      </c>
      <c r="AS329" s="49" t="s">
        <v>306</v>
      </c>
      <c r="AT329" s="49" t="s">
        <v>1422</v>
      </c>
      <c r="AV329" s="49" t="s">
        <v>309</v>
      </c>
      <c r="AW329" s="49" t="s">
        <v>310</v>
      </c>
      <c r="AX329" s="49" t="s">
        <v>311</v>
      </c>
      <c r="AY329" s="48"/>
      <c r="AZ329" s="48" t="n">
        <v>46268</v>
      </c>
      <c r="BC329" s="49" t="s">
        <v>303</v>
      </c>
      <c r="BD329" s="48" t="n">
        <v>46278</v>
      </c>
      <c r="BE329" s="49" t="s">
        <v>1423</v>
      </c>
      <c r="BF329" s="49" t="s">
        <v>303</v>
      </c>
      <c r="BG329" s="48"/>
      <c r="BI329" s="48" t="n">
        <v>46278</v>
      </c>
      <c r="BJ329" s="48" t="n">
        <v>46275</v>
      </c>
      <c r="BK329" s="49" t="s">
        <v>313</v>
      </c>
      <c r="BL329" s="49" t="s">
        <v>313</v>
      </c>
      <c r="BM329" s="49" t="s">
        <v>310</v>
      </c>
      <c r="BN329" s="48"/>
      <c r="BO329" s="48"/>
      <c r="BP329" s="48"/>
      <c r="BQ329" s="49" t="s">
        <v>1344</v>
      </c>
      <c r="BR329" s="48" t="n">
        <v>46275</v>
      </c>
      <c r="BS329" s="49" t="s">
        <v>1419</v>
      </c>
      <c r="BT329" s="49" t="s">
        <v>312</v>
      </c>
      <c r="BU329" s="49" t="s">
        <v>313</v>
      </c>
      <c r="BV329" s="49" t="s">
        <v>303</v>
      </c>
      <c r="BX329" s="0" t="n">
        <v>1</v>
      </c>
      <c r="CC329" s="49" t="s">
        <v>315</v>
      </c>
      <c r="CD329" s="49" t="s">
        <v>303</v>
      </c>
      <c r="CF329" s="49" t="s">
        <v>303</v>
      </c>
      <c r="CG329" s="49" t="s">
        <v>316</v>
      </c>
      <c r="CH329" s="49" t="s">
        <v>317</v>
      </c>
      <c r="CI329" s="49" t="s">
        <v>318</v>
      </c>
      <c r="CM329" s="49" t="s">
        <v>65</v>
      </c>
      <c r="CV329" s="49" t="s">
        <v>303</v>
      </c>
      <c r="DB329" s="49" t="s">
        <v>319</v>
      </c>
      <c r="DD329" s="48" t="n">
        <v>46233</v>
      </c>
      <c r="DF329" s="49" t="s">
        <v>310</v>
      </c>
      <c r="DG329" s="49" t="s">
        <v>320</v>
      </c>
      <c r="DH329" s="49" t="s">
        <v>64</v>
      </c>
      <c r="DI329" s="49" t="s">
        <v>298</v>
      </c>
      <c r="DJ329" s="49" t="s">
        <v>394</v>
      </c>
      <c r="DK329" s="49" t="s">
        <v>322</v>
      </c>
      <c r="DL329" s="49" t="s">
        <v>323</v>
      </c>
      <c r="DM329" s="49" t="s">
        <v>303</v>
      </c>
      <c r="DN329" s="49" t="s">
        <v>297</v>
      </c>
      <c r="DO329" s="48"/>
      <c r="DP329" s="49" t="s">
        <v>312</v>
      </c>
      <c r="DQ329" s="48"/>
      <c r="DR329" s="49" t="s">
        <v>312</v>
      </c>
      <c r="DS329" s="49" t="s">
        <v>303</v>
      </c>
      <c r="DT329" s="49" t="s">
        <v>303</v>
      </c>
      <c r="DW329" s="49" t="s">
        <v>303</v>
      </c>
      <c r="EA329" s="49" t="s">
        <v>324</v>
      </c>
      <c r="EB329" s="49" t="s">
        <v>303</v>
      </c>
      <c r="EF329" s="49" t="s">
        <v>1393</v>
      </c>
      <c r="EH329" s="49" t="s">
        <v>310</v>
      </c>
      <c r="EJ329" s="49" t="s">
        <v>303</v>
      </c>
      <c r="EK329" s="49" t="s">
        <v>1424</v>
      </c>
      <c r="EM329" s="49" t="s">
        <v>303</v>
      </c>
      <c r="EN329" s="49" t="s">
        <v>396</v>
      </c>
      <c r="EP329" s="49" t="s">
        <v>298</v>
      </c>
      <c r="EQ329" s="0" t="n">
        <v>1</v>
      </c>
      <c r="ER329" s="49" t="s">
        <v>328</v>
      </c>
      <c r="ES329" s="49" t="s">
        <v>329</v>
      </c>
      <c r="ET329" s="49" t="s">
        <v>310</v>
      </c>
      <c r="EU329" s="49" t="s">
        <v>310</v>
      </c>
      <c r="EV329" s="49" t="s">
        <v>310</v>
      </c>
      <c r="EX329" s="49" t="s">
        <v>303</v>
      </c>
      <c r="EY329" s="49" t="s">
        <v>303</v>
      </c>
      <c r="FC329" s="49" t="s">
        <v>330</v>
      </c>
      <c r="FD329" s="49" t="s">
        <v>310</v>
      </c>
      <c r="FE329" s="49" t="s">
        <v>310</v>
      </c>
      <c r="FF329" s="49" t="s">
        <v>64</v>
      </c>
      <c r="FG329" s="49" t="s">
        <v>397</v>
      </c>
      <c r="FH329" s="49" t="s">
        <v>310</v>
      </c>
      <c r="FI329" s="49" t="s">
        <v>332</v>
      </c>
      <c r="FJ329" s="49" t="s">
        <v>303</v>
      </c>
      <c r="FL329" s="49" t="s">
        <v>325</v>
      </c>
      <c r="FM329" s="49" t="s">
        <v>1376</v>
      </c>
      <c r="FP329" s="49" t="s">
        <v>303</v>
      </c>
      <c r="FR329" s="49" t="s">
        <v>303</v>
      </c>
      <c r="FT329" s="49" t="s">
        <v>325</v>
      </c>
      <c r="FU329" s="49" t="s">
        <v>325</v>
      </c>
      <c r="FW329" s="49" t="s">
        <v>333</v>
      </c>
    </row>
    <row r="330" customFormat="false" ht="15" hidden="false" customHeight="false" outlineLevel="0" collapsed="false">
      <c r="A330" s="0" t="n">
        <v>100876488</v>
      </c>
      <c r="B330" s="0" t="s">
        <v>295</v>
      </c>
      <c r="C330" s="0" t="s">
        <v>64</v>
      </c>
      <c r="D330" s="0" t="s">
        <v>65</v>
      </c>
      <c r="E330" s="0" t="s">
        <v>297</v>
      </c>
      <c r="G330" s="0" t="n">
        <v>1</v>
      </c>
      <c r="H330" s="0" t="s">
        <v>298</v>
      </c>
      <c r="I330" s="48" t="n">
        <v>46272</v>
      </c>
      <c r="J330" s="0" t="n">
        <v>1</v>
      </c>
      <c r="K330" s="49" t="s">
        <v>1376</v>
      </c>
      <c r="L330" s="49" t="s">
        <v>1035</v>
      </c>
      <c r="M330" s="48" t="n">
        <v>46278</v>
      </c>
      <c r="N330" s="49" t="s">
        <v>1204</v>
      </c>
      <c r="O330" s="49" t="s">
        <v>1045</v>
      </c>
      <c r="P330" s="48"/>
      <c r="Q330" s="48" t="n">
        <v>46272</v>
      </c>
      <c r="R330" s="48" t="n">
        <v>46278</v>
      </c>
      <c r="T330" s="49" t="s">
        <v>302</v>
      </c>
      <c r="U330" s="49" t="s">
        <v>303</v>
      </c>
      <c r="Y330" s="49" t="s">
        <v>1425</v>
      </c>
      <c r="AD330" s="49" t="s">
        <v>305</v>
      </c>
      <c r="AE330" s="48" t="n">
        <v>46233</v>
      </c>
      <c r="AF330" s="49" t="s">
        <v>306</v>
      </c>
      <c r="AG330" s="49" t="s">
        <v>307</v>
      </c>
      <c r="AK330" s="49" t="s">
        <v>1047</v>
      </c>
      <c r="AL330" s="49" t="s">
        <v>297</v>
      </c>
      <c r="AO330" s="49" t="s">
        <v>303</v>
      </c>
      <c r="AP330" s="48"/>
      <c r="AR330" s="49" t="s">
        <v>303</v>
      </c>
      <c r="AS330" s="49" t="s">
        <v>306</v>
      </c>
      <c r="AT330" s="49" t="s">
        <v>1426</v>
      </c>
      <c r="AV330" s="49" t="s">
        <v>309</v>
      </c>
      <c r="AW330" s="49" t="s">
        <v>310</v>
      </c>
      <c r="AX330" s="49" t="s">
        <v>311</v>
      </c>
      <c r="AY330" s="48"/>
      <c r="AZ330" s="48" t="n">
        <v>46268</v>
      </c>
      <c r="BC330" s="49" t="s">
        <v>303</v>
      </c>
      <c r="BD330" s="48" t="n">
        <v>46278</v>
      </c>
      <c r="BE330" s="49" t="s">
        <v>1427</v>
      </c>
      <c r="BF330" s="49" t="s">
        <v>303</v>
      </c>
      <c r="BG330" s="48"/>
      <c r="BI330" s="48" t="n">
        <v>46278</v>
      </c>
      <c r="BJ330" s="48" t="n">
        <v>46275</v>
      </c>
      <c r="BK330" s="49" t="s">
        <v>313</v>
      </c>
      <c r="BL330" s="49" t="s">
        <v>313</v>
      </c>
      <c r="BM330" s="49" t="s">
        <v>310</v>
      </c>
      <c r="BN330" s="48"/>
      <c r="BO330" s="48"/>
      <c r="BP330" s="48"/>
      <c r="BQ330" s="49" t="s">
        <v>1344</v>
      </c>
      <c r="BR330" s="48" t="n">
        <v>46275</v>
      </c>
      <c r="BS330" s="49" t="s">
        <v>1419</v>
      </c>
      <c r="BT330" s="49" t="s">
        <v>312</v>
      </c>
      <c r="BU330" s="49" t="s">
        <v>313</v>
      </c>
      <c r="BV330" s="49" t="s">
        <v>303</v>
      </c>
      <c r="BX330" s="0" t="n">
        <v>1</v>
      </c>
      <c r="CC330" s="49" t="s">
        <v>315</v>
      </c>
      <c r="CD330" s="49" t="s">
        <v>303</v>
      </c>
      <c r="CF330" s="49" t="s">
        <v>303</v>
      </c>
      <c r="CG330" s="49" t="s">
        <v>316</v>
      </c>
      <c r="CH330" s="49" t="s">
        <v>317</v>
      </c>
      <c r="CI330" s="49" t="s">
        <v>318</v>
      </c>
      <c r="CM330" s="49" t="s">
        <v>65</v>
      </c>
      <c r="CV330" s="49" t="s">
        <v>303</v>
      </c>
      <c r="DB330" s="49" t="s">
        <v>319</v>
      </c>
      <c r="DD330" s="48" t="n">
        <v>46233</v>
      </c>
      <c r="DF330" s="49" t="s">
        <v>310</v>
      </c>
      <c r="DG330" s="49" t="s">
        <v>320</v>
      </c>
      <c r="DH330" s="49" t="s">
        <v>64</v>
      </c>
      <c r="DI330" s="49" t="s">
        <v>298</v>
      </c>
      <c r="DJ330" s="49" t="s">
        <v>394</v>
      </c>
      <c r="DK330" s="49" t="s">
        <v>322</v>
      </c>
      <c r="DL330" s="49" t="s">
        <v>323</v>
      </c>
      <c r="DM330" s="49" t="s">
        <v>303</v>
      </c>
      <c r="DN330" s="49" t="s">
        <v>297</v>
      </c>
      <c r="DO330" s="48"/>
      <c r="DP330" s="49" t="s">
        <v>312</v>
      </c>
      <c r="DQ330" s="48"/>
      <c r="DR330" s="49" t="s">
        <v>312</v>
      </c>
      <c r="DS330" s="49" t="s">
        <v>303</v>
      </c>
      <c r="DT330" s="49" t="s">
        <v>303</v>
      </c>
      <c r="DW330" s="49" t="s">
        <v>303</v>
      </c>
      <c r="EA330" s="49" t="s">
        <v>324</v>
      </c>
      <c r="EB330" s="49" t="s">
        <v>303</v>
      </c>
      <c r="EF330" s="49" t="s">
        <v>1393</v>
      </c>
      <c r="EH330" s="49" t="s">
        <v>310</v>
      </c>
      <c r="EJ330" s="49" t="s">
        <v>303</v>
      </c>
      <c r="EK330" s="49" t="s">
        <v>1428</v>
      </c>
      <c r="EM330" s="49" t="s">
        <v>303</v>
      </c>
      <c r="EN330" s="49" t="s">
        <v>396</v>
      </c>
      <c r="EP330" s="49" t="s">
        <v>298</v>
      </c>
      <c r="EQ330" s="0" t="n">
        <v>1</v>
      </c>
      <c r="ER330" s="49" t="s">
        <v>328</v>
      </c>
      <c r="ES330" s="49" t="s">
        <v>329</v>
      </c>
      <c r="ET330" s="49" t="s">
        <v>310</v>
      </c>
      <c r="EU330" s="49" t="s">
        <v>310</v>
      </c>
      <c r="EV330" s="49" t="s">
        <v>310</v>
      </c>
      <c r="EX330" s="49" t="s">
        <v>303</v>
      </c>
      <c r="EY330" s="49" t="s">
        <v>303</v>
      </c>
      <c r="FC330" s="49" t="s">
        <v>330</v>
      </c>
      <c r="FD330" s="49" t="s">
        <v>310</v>
      </c>
      <c r="FE330" s="49" t="s">
        <v>310</v>
      </c>
      <c r="FF330" s="49" t="s">
        <v>64</v>
      </c>
      <c r="FG330" s="49" t="s">
        <v>397</v>
      </c>
      <c r="FH330" s="49" t="s">
        <v>310</v>
      </c>
      <c r="FI330" s="49" t="s">
        <v>332</v>
      </c>
      <c r="FJ330" s="49" t="s">
        <v>303</v>
      </c>
      <c r="FL330" s="49" t="s">
        <v>325</v>
      </c>
      <c r="FM330" s="49" t="s">
        <v>1376</v>
      </c>
      <c r="FP330" s="49" t="s">
        <v>303</v>
      </c>
      <c r="FR330" s="49" t="s">
        <v>303</v>
      </c>
      <c r="FT330" s="49" t="s">
        <v>325</v>
      </c>
      <c r="FU330" s="49" t="s">
        <v>325</v>
      </c>
      <c r="FW330" s="49" t="s">
        <v>333</v>
      </c>
    </row>
    <row r="331" customFormat="false" ht="15" hidden="false" customHeight="false" outlineLevel="0" collapsed="false">
      <c r="A331" s="0" t="n">
        <v>100876489</v>
      </c>
      <c r="B331" s="0" t="s">
        <v>295</v>
      </c>
      <c r="C331" s="0" t="s">
        <v>64</v>
      </c>
      <c r="D331" s="0" t="s">
        <v>65</v>
      </c>
      <c r="E331" s="0" t="s">
        <v>297</v>
      </c>
      <c r="G331" s="0" t="n">
        <v>1</v>
      </c>
      <c r="H331" s="0" t="s">
        <v>298</v>
      </c>
      <c r="I331" s="48" t="n">
        <v>46272</v>
      </c>
      <c r="J331" s="0" t="n">
        <v>1</v>
      </c>
      <c r="K331" s="49" t="s">
        <v>1376</v>
      </c>
      <c r="L331" s="49" t="s">
        <v>1035</v>
      </c>
      <c r="M331" s="48" t="n">
        <v>46278</v>
      </c>
      <c r="N331" s="49" t="s">
        <v>1204</v>
      </c>
      <c r="O331" s="49" t="s">
        <v>1045</v>
      </c>
      <c r="P331" s="48"/>
      <c r="Q331" s="48" t="n">
        <v>46272</v>
      </c>
      <c r="R331" s="48" t="n">
        <v>46278</v>
      </c>
      <c r="T331" s="49" t="s">
        <v>302</v>
      </c>
      <c r="U331" s="49" t="s">
        <v>303</v>
      </c>
      <c r="Y331" s="49" t="s">
        <v>1429</v>
      </c>
      <c r="AD331" s="49" t="s">
        <v>305</v>
      </c>
      <c r="AE331" s="48" t="n">
        <v>46233</v>
      </c>
      <c r="AF331" s="49" t="s">
        <v>306</v>
      </c>
      <c r="AG331" s="49" t="s">
        <v>307</v>
      </c>
      <c r="AK331" s="49" t="s">
        <v>1047</v>
      </c>
      <c r="AL331" s="49" t="s">
        <v>297</v>
      </c>
      <c r="AO331" s="49" t="s">
        <v>303</v>
      </c>
      <c r="AP331" s="48"/>
      <c r="AR331" s="49" t="s">
        <v>303</v>
      </c>
      <c r="AS331" s="49" t="s">
        <v>306</v>
      </c>
      <c r="AT331" s="49" t="s">
        <v>1430</v>
      </c>
      <c r="AV331" s="49" t="s">
        <v>309</v>
      </c>
      <c r="AW331" s="49" t="s">
        <v>310</v>
      </c>
      <c r="AX331" s="49" t="s">
        <v>311</v>
      </c>
      <c r="AY331" s="48"/>
      <c r="AZ331" s="48" t="n">
        <v>46268</v>
      </c>
      <c r="BC331" s="49" t="s">
        <v>303</v>
      </c>
      <c r="BD331" s="48" t="n">
        <v>46278</v>
      </c>
      <c r="BE331" s="49" t="s">
        <v>1431</v>
      </c>
      <c r="BF331" s="49" t="s">
        <v>303</v>
      </c>
      <c r="BG331" s="48"/>
      <c r="BI331" s="48" t="n">
        <v>46278</v>
      </c>
      <c r="BJ331" s="48" t="n">
        <v>46275</v>
      </c>
      <c r="BK331" s="49" t="s">
        <v>313</v>
      </c>
      <c r="BL331" s="49" t="s">
        <v>313</v>
      </c>
      <c r="BM331" s="49" t="s">
        <v>310</v>
      </c>
      <c r="BN331" s="48"/>
      <c r="BO331" s="48"/>
      <c r="BP331" s="48"/>
      <c r="BQ331" s="49" t="s">
        <v>1344</v>
      </c>
      <c r="BR331" s="48" t="n">
        <v>46275</v>
      </c>
      <c r="BS331" s="49" t="s">
        <v>1432</v>
      </c>
      <c r="BT331" s="49" t="s">
        <v>312</v>
      </c>
      <c r="BU331" s="49" t="s">
        <v>313</v>
      </c>
      <c r="BV331" s="49" t="s">
        <v>303</v>
      </c>
      <c r="BX331" s="0" t="n">
        <v>1</v>
      </c>
      <c r="CC331" s="49" t="s">
        <v>315</v>
      </c>
      <c r="CD331" s="49" t="s">
        <v>303</v>
      </c>
      <c r="CF331" s="49" t="s">
        <v>303</v>
      </c>
      <c r="CG331" s="49" t="s">
        <v>316</v>
      </c>
      <c r="CH331" s="49" t="s">
        <v>317</v>
      </c>
      <c r="CI331" s="49" t="s">
        <v>318</v>
      </c>
      <c r="CM331" s="49" t="s">
        <v>65</v>
      </c>
      <c r="CV331" s="49" t="s">
        <v>303</v>
      </c>
      <c r="DB331" s="49" t="s">
        <v>319</v>
      </c>
      <c r="DD331" s="48" t="n">
        <v>46233</v>
      </c>
      <c r="DF331" s="49" t="s">
        <v>310</v>
      </c>
      <c r="DG331" s="49" t="s">
        <v>320</v>
      </c>
      <c r="DH331" s="49" t="s">
        <v>64</v>
      </c>
      <c r="DI331" s="49" t="s">
        <v>298</v>
      </c>
      <c r="DJ331" s="49" t="s">
        <v>394</v>
      </c>
      <c r="DK331" s="49" t="s">
        <v>322</v>
      </c>
      <c r="DL331" s="49" t="s">
        <v>323</v>
      </c>
      <c r="DM331" s="49" t="s">
        <v>303</v>
      </c>
      <c r="DN331" s="49" t="s">
        <v>297</v>
      </c>
      <c r="DO331" s="48"/>
      <c r="DP331" s="49" t="s">
        <v>312</v>
      </c>
      <c r="DQ331" s="48"/>
      <c r="DR331" s="49" t="s">
        <v>312</v>
      </c>
      <c r="DS331" s="49" t="s">
        <v>303</v>
      </c>
      <c r="DT331" s="49" t="s">
        <v>303</v>
      </c>
      <c r="DW331" s="49" t="s">
        <v>303</v>
      </c>
      <c r="EA331" s="49" t="s">
        <v>324</v>
      </c>
      <c r="EB331" s="49" t="s">
        <v>303</v>
      </c>
      <c r="EF331" s="49" t="s">
        <v>1393</v>
      </c>
      <c r="EH331" s="49" t="s">
        <v>310</v>
      </c>
      <c r="EJ331" s="49" t="s">
        <v>303</v>
      </c>
      <c r="EK331" s="49" t="s">
        <v>1433</v>
      </c>
      <c r="EM331" s="49" t="s">
        <v>303</v>
      </c>
      <c r="EN331" s="49" t="s">
        <v>396</v>
      </c>
      <c r="EP331" s="49" t="s">
        <v>298</v>
      </c>
      <c r="EQ331" s="0" t="n">
        <v>1</v>
      </c>
      <c r="ER331" s="49" t="s">
        <v>328</v>
      </c>
      <c r="ES331" s="49" t="s">
        <v>329</v>
      </c>
      <c r="ET331" s="49" t="s">
        <v>310</v>
      </c>
      <c r="EU331" s="49" t="s">
        <v>310</v>
      </c>
      <c r="EV331" s="49" t="s">
        <v>310</v>
      </c>
      <c r="EX331" s="49" t="s">
        <v>303</v>
      </c>
      <c r="EY331" s="49" t="s">
        <v>303</v>
      </c>
      <c r="FC331" s="49" t="s">
        <v>330</v>
      </c>
      <c r="FD331" s="49" t="s">
        <v>310</v>
      </c>
      <c r="FE331" s="49" t="s">
        <v>310</v>
      </c>
      <c r="FF331" s="49" t="s">
        <v>64</v>
      </c>
      <c r="FG331" s="49" t="s">
        <v>397</v>
      </c>
      <c r="FH331" s="49" t="s">
        <v>310</v>
      </c>
      <c r="FI331" s="49" t="s">
        <v>332</v>
      </c>
      <c r="FJ331" s="49" t="s">
        <v>303</v>
      </c>
      <c r="FL331" s="49" t="s">
        <v>325</v>
      </c>
      <c r="FM331" s="49" t="s">
        <v>1376</v>
      </c>
      <c r="FP331" s="49" t="s">
        <v>303</v>
      </c>
      <c r="FR331" s="49" t="s">
        <v>303</v>
      </c>
      <c r="FT331" s="49" t="s">
        <v>325</v>
      </c>
      <c r="FU331" s="49" t="s">
        <v>325</v>
      </c>
      <c r="FW331" s="49" t="s">
        <v>333</v>
      </c>
    </row>
    <row r="332" customFormat="false" ht="15" hidden="false" customHeight="false" outlineLevel="0" collapsed="false">
      <c r="A332" s="0" t="n">
        <v>100876490</v>
      </c>
      <c r="B332" s="0" t="s">
        <v>295</v>
      </c>
      <c r="C332" s="0" t="s">
        <v>64</v>
      </c>
      <c r="D332" s="0" t="s">
        <v>65</v>
      </c>
      <c r="E332" s="0" t="s">
        <v>297</v>
      </c>
      <c r="G332" s="0" t="n">
        <v>1</v>
      </c>
      <c r="H332" s="0" t="s">
        <v>298</v>
      </c>
      <c r="I332" s="48" t="n">
        <v>46272</v>
      </c>
      <c r="J332" s="0" t="n">
        <v>1</v>
      </c>
      <c r="K332" s="49" t="s">
        <v>1376</v>
      </c>
      <c r="L332" s="49" t="s">
        <v>1035</v>
      </c>
      <c r="M332" s="48" t="n">
        <v>46278</v>
      </c>
      <c r="N332" s="49" t="s">
        <v>1204</v>
      </c>
      <c r="O332" s="49" t="s">
        <v>1045</v>
      </c>
      <c r="P332" s="48"/>
      <c r="Q332" s="48" t="n">
        <v>46272</v>
      </c>
      <c r="R332" s="48" t="n">
        <v>46278</v>
      </c>
      <c r="T332" s="49" t="s">
        <v>302</v>
      </c>
      <c r="U332" s="49" t="s">
        <v>303</v>
      </c>
      <c r="Y332" s="49" t="s">
        <v>1434</v>
      </c>
      <c r="AD332" s="49" t="s">
        <v>305</v>
      </c>
      <c r="AE332" s="48" t="n">
        <v>46233</v>
      </c>
      <c r="AF332" s="49" t="s">
        <v>306</v>
      </c>
      <c r="AG332" s="49" t="s">
        <v>307</v>
      </c>
      <c r="AK332" s="49" t="s">
        <v>1047</v>
      </c>
      <c r="AL332" s="49" t="s">
        <v>297</v>
      </c>
      <c r="AO332" s="49" t="s">
        <v>303</v>
      </c>
      <c r="AP332" s="48"/>
      <c r="AR332" s="49" t="s">
        <v>303</v>
      </c>
      <c r="AS332" s="49" t="s">
        <v>306</v>
      </c>
      <c r="AT332" s="49" t="s">
        <v>1435</v>
      </c>
      <c r="AV332" s="49" t="s">
        <v>309</v>
      </c>
      <c r="AW332" s="49" t="s">
        <v>310</v>
      </c>
      <c r="AX332" s="49" t="s">
        <v>311</v>
      </c>
      <c r="AY332" s="48"/>
      <c r="AZ332" s="48" t="n">
        <v>46268</v>
      </c>
      <c r="BC332" s="49" t="s">
        <v>303</v>
      </c>
      <c r="BD332" s="48" t="n">
        <v>46278</v>
      </c>
      <c r="BE332" s="49" t="s">
        <v>1436</v>
      </c>
      <c r="BF332" s="49" t="s">
        <v>303</v>
      </c>
      <c r="BG332" s="48"/>
      <c r="BI332" s="48" t="n">
        <v>46278</v>
      </c>
      <c r="BJ332" s="48" t="n">
        <v>46275</v>
      </c>
      <c r="BK332" s="49" t="s">
        <v>313</v>
      </c>
      <c r="BL332" s="49" t="s">
        <v>313</v>
      </c>
      <c r="BM332" s="49" t="s">
        <v>310</v>
      </c>
      <c r="BN332" s="48"/>
      <c r="BO332" s="48"/>
      <c r="BP332" s="48"/>
      <c r="BQ332" s="49" t="s">
        <v>1344</v>
      </c>
      <c r="BR332" s="48" t="n">
        <v>46275</v>
      </c>
      <c r="BS332" s="49" t="s">
        <v>1432</v>
      </c>
      <c r="BT332" s="49" t="s">
        <v>312</v>
      </c>
      <c r="BU332" s="49" t="s">
        <v>313</v>
      </c>
      <c r="BV332" s="49" t="s">
        <v>303</v>
      </c>
      <c r="BX332" s="0" t="n">
        <v>1</v>
      </c>
      <c r="CC332" s="49" t="s">
        <v>315</v>
      </c>
      <c r="CD332" s="49" t="s">
        <v>303</v>
      </c>
      <c r="CF332" s="49" t="s">
        <v>303</v>
      </c>
      <c r="CG332" s="49" t="s">
        <v>316</v>
      </c>
      <c r="CH332" s="49" t="s">
        <v>317</v>
      </c>
      <c r="CI332" s="49" t="s">
        <v>318</v>
      </c>
      <c r="CM332" s="49" t="s">
        <v>65</v>
      </c>
      <c r="CV332" s="49" t="s">
        <v>303</v>
      </c>
      <c r="DB332" s="49" t="s">
        <v>319</v>
      </c>
      <c r="DD332" s="48" t="n">
        <v>46233</v>
      </c>
      <c r="DF332" s="49" t="s">
        <v>310</v>
      </c>
      <c r="DG332" s="49" t="s">
        <v>320</v>
      </c>
      <c r="DH332" s="49" t="s">
        <v>64</v>
      </c>
      <c r="DI332" s="49" t="s">
        <v>298</v>
      </c>
      <c r="DJ332" s="49" t="s">
        <v>394</v>
      </c>
      <c r="DK332" s="49" t="s">
        <v>322</v>
      </c>
      <c r="DL332" s="49" t="s">
        <v>323</v>
      </c>
      <c r="DM332" s="49" t="s">
        <v>303</v>
      </c>
      <c r="DN332" s="49" t="s">
        <v>297</v>
      </c>
      <c r="DO332" s="48"/>
      <c r="DP332" s="49" t="s">
        <v>312</v>
      </c>
      <c r="DQ332" s="48"/>
      <c r="DR332" s="49" t="s">
        <v>312</v>
      </c>
      <c r="DS332" s="49" t="s">
        <v>303</v>
      </c>
      <c r="DT332" s="49" t="s">
        <v>303</v>
      </c>
      <c r="DW332" s="49" t="s">
        <v>303</v>
      </c>
      <c r="EA332" s="49" t="s">
        <v>324</v>
      </c>
      <c r="EB332" s="49" t="s">
        <v>303</v>
      </c>
      <c r="EF332" s="49" t="s">
        <v>1393</v>
      </c>
      <c r="EH332" s="49" t="s">
        <v>310</v>
      </c>
      <c r="EJ332" s="49" t="s">
        <v>303</v>
      </c>
      <c r="EK332" s="49" t="s">
        <v>1437</v>
      </c>
      <c r="EM332" s="49" t="s">
        <v>303</v>
      </c>
      <c r="EN332" s="49" t="s">
        <v>396</v>
      </c>
      <c r="EP332" s="49" t="s">
        <v>298</v>
      </c>
      <c r="EQ332" s="0" t="n">
        <v>1</v>
      </c>
      <c r="ER332" s="49" t="s">
        <v>328</v>
      </c>
      <c r="ES332" s="49" t="s">
        <v>329</v>
      </c>
      <c r="ET332" s="49" t="s">
        <v>310</v>
      </c>
      <c r="EU332" s="49" t="s">
        <v>310</v>
      </c>
      <c r="EV332" s="49" t="s">
        <v>310</v>
      </c>
      <c r="EX332" s="49" t="s">
        <v>303</v>
      </c>
      <c r="EY332" s="49" t="s">
        <v>303</v>
      </c>
      <c r="FC332" s="49" t="s">
        <v>330</v>
      </c>
      <c r="FD332" s="49" t="s">
        <v>310</v>
      </c>
      <c r="FE332" s="49" t="s">
        <v>310</v>
      </c>
      <c r="FF332" s="49" t="s">
        <v>64</v>
      </c>
      <c r="FG332" s="49" t="s">
        <v>397</v>
      </c>
      <c r="FH332" s="49" t="s">
        <v>310</v>
      </c>
      <c r="FI332" s="49" t="s">
        <v>332</v>
      </c>
      <c r="FJ332" s="49" t="s">
        <v>303</v>
      </c>
      <c r="FL332" s="49" t="s">
        <v>325</v>
      </c>
      <c r="FM332" s="49" t="s">
        <v>1376</v>
      </c>
      <c r="FP332" s="49" t="s">
        <v>303</v>
      </c>
      <c r="FR332" s="49" t="s">
        <v>303</v>
      </c>
      <c r="FT332" s="49" t="s">
        <v>325</v>
      </c>
      <c r="FU332" s="49" t="s">
        <v>325</v>
      </c>
      <c r="FW332" s="49" t="s">
        <v>333</v>
      </c>
    </row>
    <row r="333" customFormat="false" ht="15" hidden="false" customHeight="false" outlineLevel="0" collapsed="false">
      <c r="A333" s="0" t="n">
        <v>100876491</v>
      </c>
      <c r="B333" s="0" t="s">
        <v>295</v>
      </c>
      <c r="C333" s="0" t="s">
        <v>64</v>
      </c>
      <c r="D333" s="0" t="s">
        <v>65</v>
      </c>
      <c r="E333" s="0" t="s">
        <v>297</v>
      </c>
      <c r="G333" s="0" t="n">
        <v>1</v>
      </c>
      <c r="H333" s="0" t="s">
        <v>298</v>
      </c>
      <c r="I333" s="48" t="n">
        <v>46272</v>
      </c>
      <c r="J333" s="0" t="n">
        <v>1</v>
      </c>
      <c r="K333" s="49" t="s">
        <v>1376</v>
      </c>
      <c r="L333" s="49" t="s">
        <v>1035</v>
      </c>
      <c r="M333" s="48" t="n">
        <v>46278</v>
      </c>
      <c r="N333" s="49" t="s">
        <v>1204</v>
      </c>
      <c r="O333" s="49" t="s">
        <v>1045</v>
      </c>
      <c r="P333" s="48"/>
      <c r="Q333" s="48" t="n">
        <v>46272</v>
      </c>
      <c r="R333" s="48" t="n">
        <v>46278</v>
      </c>
      <c r="T333" s="49" t="s">
        <v>302</v>
      </c>
      <c r="U333" s="49" t="s">
        <v>303</v>
      </c>
      <c r="Y333" s="49" t="s">
        <v>1438</v>
      </c>
      <c r="AD333" s="49" t="s">
        <v>305</v>
      </c>
      <c r="AE333" s="48" t="n">
        <v>46233</v>
      </c>
      <c r="AF333" s="49" t="s">
        <v>306</v>
      </c>
      <c r="AG333" s="49" t="s">
        <v>307</v>
      </c>
      <c r="AK333" s="49" t="s">
        <v>1047</v>
      </c>
      <c r="AL333" s="49" t="s">
        <v>297</v>
      </c>
      <c r="AO333" s="49" t="s">
        <v>303</v>
      </c>
      <c r="AP333" s="48"/>
      <c r="AR333" s="49" t="s">
        <v>303</v>
      </c>
      <c r="AS333" s="49" t="s">
        <v>306</v>
      </c>
      <c r="AT333" s="49" t="s">
        <v>1439</v>
      </c>
      <c r="AV333" s="49" t="s">
        <v>309</v>
      </c>
      <c r="AW333" s="49" t="s">
        <v>310</v>
      </c>
      <c r="AX333" s="49" t="s">
        <v>311</v>
      </c>
      <c r="AY333" s="48"/>
      <c r="AZ333" s="48" t="n">
        <v>46268</v>
      </c>
      <c r="BC333" s="49" t="s">
        <v>303</v>
      </c>
      <c r="BD333" s="48" t="n">
        <v>46278</v>
      </c>
      <c r="BE333" s="49" t="s">
        <v>1440</v>
      </c>
      <c r="BF333" s="49" t="s">
        <v>303</v>
      </c>
      <c r="BG333" s="48"/>
      <c r="BI333" s="48" t="n">
        <v>46278</v>
      </c>
      <c r="BJ333" s="48" t="n">
        <v>46275</v>
      </c>
      <c r="BK333" s="49" t="s">
        <v>313</v>
      </c>
      <c r="BL333" s="49" t="s">
        <v>313</v>
      </c>
      <c r="BM333" s="49" t="s">
        <v>310</v>
      </c>
      <c r="BN333" s="48"/>
      <c r="BO333" s="48"/>
      <c r="BP333" s="48"/>
      <c r="BQ333" s="49" t="s">
        <v>1344</v>
      </c>
      <c r="BR333" s="48" t="n">
        <v>46275</v>
      </c>
      <c r="BS333" s="49" t="s">
        <v>1432</v>
      </c>
      <c r="BT333" s="49" t="s">
        <v>312</v>
      </c>
      <c r="BU333" s="49" t="s">
        <v>313</v>
      </c>
      <c r="BV333" s="49" t="s">
        <v>303</v>
      </c>
      <c r="BX333" s="0" t="n">
        <v>1</v>
      </c>
      <c r="CC333" s="49" t="s">
        <v>315</v>
      </c>
      <c r="CD333" s="49" t="s">
        <v>303</v>
      </c>
      <c r="CF333" s="49" t="s">
        <v>303</v>
      </c>
      <c r="CG333" s="49" t="s">
        <v>316</v>
      </c>
      <c r="CH333" s="49" t="s">
        <v>317</v>
      </c>
      <c r="CI333" s="49" t="s">
        <v>318</v>
      </c>
      <c r="CM333" s="49" t="s">
        <v>65</v>
      </c>
      <c r="CV333" s="49" t="s">
        <v>303</v>
      </c>
      <c r="DB333" s="49" t="s">
        <v>319</v>
      </c>
      <c r="DD333" s="48" t="n">
        <v>46233</v>
      </c>
      <c r="DF333" s="49" t="s">
        <v>310</v>
      </c>
      <c r="DG333" s="49" t="s">
        <v>320</v>
      </c>
      <c r="DH333" s="49" t="s">
        <v>64</v>
      </c>
      <c r="DI333" s="49" t="s">
        <v>298</v>
      </c>
      <c r="DJ333" s="49" t="s">
        <v>394</v>
      </c>
      <c r="DK333" s="49" t="s">
        <v>322</v>
      </c>
      <c r="DL333" s="49" t="s">
        <v>323</v>
      </c>
      <c r="DM333" s="49" t="s">
        <v>303</v>
      </c>
      <c r="DN333" s="49" t="s">
        <v>297</v>
      </c>
      <c r="DO333" s="48"/>
      <c r="DP333" s="49" t="s">
        <v>312</v>
      </c>
      <c r="DQ333" s="48"/>
      <c r="DR333" s="49" t="s">
        <v>312</v>
      </c>
      <c r="DS333" s="49" t="s">
        <v>303</v>
      </c>
      <c r="DT333" s="49" t="s">
        <v>303</v>
      </c>
      <c r="DW333" s="49" t="s">
        <v>303</v>
      </c>
      <c r="EA333" s="49" t="s">
        <v>324</v>
      </c>
      <c r="EB333" s="49" t="s">
        <v>303</v>
      </c>
      <c r="EF333" s="49" t="s">
        <v>1393</v>
      </c>
      <c r="EH333" s="49" t="s">
        <v>310</v>
      </c>
      <c r="EJ333" s="49" t="s">
        <v>303</v>
      </c>
      <c r="EK333" s="49" t="s">
        <v>1441</v>
      </c>
      <c r="EM333" s="49" t="s">
        <v>303</v>
      </c>
      <c r="EN333" s="49" t="s">
        <v>396</v>
      </c>
      <c r="EP333" s="49" t="s">
        <v>298</v>
      </c>
      <c r="EQ333" s="0" t="n">
        <v>1</v>
      </c>
      <c r="ER333" s="49" t="s">
        <v>328</v>
      </c>
      <c r="ES333" s="49" t="s">
        <v>329</v>
      </c>
      <c r="ET333" s="49" t="s">
        <v>310</v>
      </c>
      <c r="EU333" s="49" t="s">
        <v>310</v>
      </c>
      <c r="EV333" s="49" t="s">
        <v>310</v>
      </c>
      <c r="EX333" s="49" t="s">
        <v>303</v>
      </c>
      <c r="EY333" s="49" t="s">
        <v>303</v>
      </c>
      <c r="FC333" s="49" t="s">
        <v>330</v>
      </c>
      <c r="FD333" s="49" t="s">
        <v>310</v>
      </c>
      <c r="FE333" s="49" t="s">
        <v>310</v>
      </c>
      <c r="FF333" s="49" t="s">
        <v>64</v>
      </c>
      <c r="FG333" s="49" t="s">
        <v>397</v>
      </c>
      <c r="FH333" s="49" t="s">
        <v>310</v>
      </c>
      <c r="FI333" s="49" t="s">
        <v>332</v>
      </c>
      <c r="FJ333" s="49" t="s">
        <v>303</v>
      </c>
      <c r="FL333" s="49" t="s">
        <v>325</v>
      </c>
      <c r="FM333" s="49" t="s">
        <v>1376</v>
      </c>
      <c r="FP333" s="49" t="s">
        <v>303</v>
      </c>
      <c r="FR333" s="49" t="s">
        <v>303</v>
      </c>
      <c r="FT333" s="49" t="s">
        <v>325</v>
      </c>
      <c r="FU333" s="49" t="s">
        <v>325</v>
      </c>
      <c r="FW333" s="49" t="s">
        <v>333</v>
      </c>
    </row>
    <row r="334" customFormat="false" ht="15" hidden="false" customHeight="false" outlineLevel="0" collapsed="false">
      <c r="A334" s="0" t="n">
        <v>100876492</v>
      </c>
      <c r="B334" s="0" t="s">
        <v>295</v>
      </c>
      <c r="C334" s="0" t="s">
        <v>64</v>
      </c>
      <c r="D334" s="0" t="s">
        <v>65</v>
      </c>
      <c r="E334" s="0" t="s">
        <v>297</v>
      </c>
      <c r="G334" s="0" t="n">
        <v>1</v>
      </c>
      <c r="H334" s="0" t="s">
        <v>298</v>
      </c>
      <c r="I334" s="48" t="n">
        <v>46272</v>
      </c>
      <c r="J334" s="0" t="n">
        <v>1</v>
      </c>
      <c r="K334" s="49" t="s">
        <v>1376</v>
      </c>
      <c r="L334" s="49" t="s">
        <v>1035</v>
      </c>
      <c r="M334" s="48" t="n">
        <v>46281</v>
      </c>
      <c r="N334" s="49" t="s">
        <v>1442</v>
      </c>
      <c r="O334" s="49" t="s">
        <v>1045</v>
      </c>
      <c r="P334" s="48"/>
      <c r="Q334" s="48" t="n">
        <v>46272</v>
      </c>
      <c r="R334" s="48" t="n">
        <v>46278</v>
      </c>
      <c r="T334" s="49" t="s">
        <v>302</v>
      </c>
      <c r="U334" s="49" t="s">
        <v>303</v>
      </c>
      <c r="Y334" s="49" t="s">
        <v>1443</v>
      </c>
      <c r="AD334" s="49" t="s">
        <v>305</v>
      </c>
      <c r="AE334" s="48" t="n">
        <v>46233</v>
      </c>
      <c r="AF334" s="49" t="s">
        <v>306</v>
      </c>
      <c r="AG334" s="49" t="s">
        <v>307</v>
      </c>
      <c r="AK334" s="49" t="s">
        <v>1047</v>
      </c>
      <c r="AL334" s="49" t="s">
        <v>297</v>
      </c>
      <c r="AO334" s="49" t="s">
        <v>303</v>
      </c>
      <c r="AP334" s="48"/>
      <c r="AR334" s="49" t="s">
        <v>303</v>
      </c>
      <c r="AS334" s="49" t="s">
        <v>306</v>
      </c>
      <c r="AT334" s="49" t="s">
        <v>1444</v>
      </c>
      <c r="AV334" s="49" t="s">
        <v>309</v>
      </c>
      <c r="AW334" s="49" t="s">
        <v>310</v>
      </c>
      <c r="AX334" s="49" t="s">
        <v>311</v>
      </c>
      <c r="AY334" s="48"/>
      <c r="AZ334" s="48" t="n">
        <v>46268</v>
      </c>
      <c r="BC334" s="49" t="s">
        <v>303</v>
      </c>
      <c r="BD334" s="48" t="n">
        <v>46282</v>
      </c>
      <c r="BE334" s="49" t="s">
        <v>1445</v>
      </c>
      <c r="BF334" s="49" t="s">
        <v>303</v>
      </c>
      <c r="BG334" s="48"/>
      <c r="BI334" s="48" t="n">
        <v>46282</v>
      </c>
      <c r="BJ334" s="48" t="n">
        <v>46275</v>
      </c>
      <c r="BK334" s="49" t="s">
        <v>313</v>
      </c>
      <c r="BL334" s="49" t="s">
        <v>313</v>
      </c>
      <c r="BM334" s="49" t="s">
        <v>310</v>
      </c>
      <c r="BN334" s="48"/>
      <c r="BO334" s="48"/>
      <c r="BP334" s="48"/>
      <c r="BQ334" s="49" t="s">
        <v>1344</v>
      </c>
      <c r="BR334" s="48" t="n">
        <v>46275</v>
      </c>
      <c r="BS334" s="49" t="s">
        <v>1432</v>
      </c>
      <c r="BT334" s="49" t="s">
        <v>312</v>
      </c>
      <c r="BU334" s="49" t="s">
        <v>313</v>
      </c>
      <c r="BV334" s="49" t="s">
        <v>303</v>
      </c>
      <c r="BX334" s="0" t="n">
        <v>1</v>
      </c>
      <c r="CC334" s="49" t="s">
        <v>315</v>
      </c>
      <c r="CD334" s="49" t="s">
        <v>303</v>
      </c>
      <c r="CF334" s="49" t="s">
        <v>303</v>
      </c>
      <c r="CG334" s="49" t="s">
        <v>316</v>
      </c>
      <c r="CH334" s="49" t="s">
        <v>317</v>
      </c>
      <c r="CI334" s="49" t="s">
        <v>318</v>
      </c>
      <c r="CM334" s="49" t="s">
        <v>65</v>
      </c>
      <c r="CV334" s="49" t="s">
        <v>303</v>
      </c>
      <c r="DB334" s="49" t="s">
        <v>319</v>
      </c>
      <c r="DD334" s="48" t="n">
        <v>46233</v>
      </c>
      <c r="DF334" s="49" t="s">
        <v>310</v>
      </c>
      <c r="DG334" s="49" t="s">
        <v>320</v>
      </c>
      <c r="DH334" s="49" t="s">
        <v>64</v>
      </c>
      <c r="DI334" s="49" t="s">
        <v>298</v>
      </c>
      <c r="DJ334" s="49" t="s">
        <v>394</v>
      </c>
      <c r="DK334" s="49" t="s">
        <v>322</v>
      </c>
      <c r="DL334" s="49" t="s">
        <v>323</v>
      </c>
      <c r="DM334" s="49" t="s">
        <v>303</v>
      </c>
      <c r="DN334" s="49" t="s">
        <v>297</v>
      </c>
      <c r="DO334" s="48"/>
      <c r="DP334" s="49" t="s">
        <v>312</v>
      </c>
      <c r="DQ334" s="48"/>
      <c r="DR334" s="49" t="s">
        <v>312</v>
      </c>
      <c r="DS334" s="49" t="s">
        <v>303</v>
      </c>
      <c r="DT334" s="49" t="s">
        <v>303</v>
      </c>
      <c r="DW334" s="49" t="s">
        <v>303</v>
      </c>
      <c r="EA334" s="49" t="s">
        <v>324</v>
      </c>
      <c r="EB334" s="49" t="s">
        <v>303</v>
      </c>
      <c r="EF334" s="49" t="s">
        <v>1393</v>
      </c>
      <c r="EH334" s="49" t="s">
        <v>310</v>
      </c>
      <c r="EJ334" s="49" t="s">
        <v>303</v>
      </c>
      <c r="EK334" s="49" t="s">
        <v>1446</v>
      </c>
      <c r="EM334" s="49" t="s">
        <v>303</v>
      </c>
      <c r="EN334" s="49" t="s">
        <v>396</v>
      </c>
      <c r="EP334" s="49" t="s">
        <v>298</v>
      </c>
      <c r="EQ334" s="0" t="n">
        <v>1</v>
      </c>
      <c r="ER334" s="49" t="s">
        <v>328</v>
      </c>
      <c r="ES334" s="49" t="s">
        <v>329</v>
      </c>
      <c r="ET334" s="49" t="s">
        <v>310</v>
      </c>
      <c r="EU334" s="49" t="s">
        <v>310</v>
      </c>
      <c r="EV334" s="49" t="s">
        <v>310</v>
      </c>
      <c r="EX334" s="49" t="s">
        <v>303</v>
      </c>
      <c r="EY334" s="49" t="s">
        <v>303</v>
      </c>
      <c r="FC334" s="49" t="s">
        <v>330</v>
      </c>
      <c r="FD334" s="49" t="s">
        <v>310</v>
      </c>
      <c r="FE334" s="49" t="s">
        <v>310</v>
      </c>
      <c r="FF334" s="49" t="s">
        <v>64</v>
      </c>
      <c r="FG334" s="49" t="s">
        <v>397</v>
      </c>
      <c r="FH334" s="49" t="s">
        <v>310</v>
      </c>
      <c r="FI334" s="49" t="s">
        <v>332</v>
      </c>
      <c r="FJ334" s="49" t="s">
        <v>303</v>
      </c>
      <c r="FL334" s="49" t="s">
        <v>325</v>
      </c>
      <c r="FM334" s="49" t="s">
        <v>1376</v>
      </c>
      <c r="FP334" s="49" t="s">
        <v>303</v>
      </c>
      <c r="FR334" s="49" t="s">
        <v>303</v>
      </c>
      <c r="FT334" s="49" t="s">
        <v>325</v>
      </c>
      <c r="FU334" s="49" t="s">
        <v>325</v>
      </c>
      <c r="FW334" s="49" t="s">
        <v>333</v>
      </c>
    </row>
    <row r="335" customFormat="false" ht="15" hidden="false" customHeight="false" outlineLevel="0" collapsed="false">
      <c r="A335" s="0" t="n">
        <v>100876493</v>
      </c>
      <c r="B335" s="0" t="s">
        <v>295</v>
      </c>
      <c r="C335" s="0" t="s">
        <v>64</v>
      </c>
      <c r="D335" s="0" t="s">
        <v>65</v>
      </c>
      <c r="E335" s="0" t="s">
        <v>297</v>
      </c>
      <c r="G335" s="0" t="n">
        <v>1</v>
      </c>
      <c r="H335" s="0" t="s">
        <v>298</v>
      </c>
      <c r="I335" s="48" t="n">
        <v>46272</v>
      </c>
      <c r="J335" s="0" t="n">
        <v>1</v>
      </c>
      <c r="K335" s="49" t="s">
        <v>1376</v>
      </c>
      <c r="L335" s="49" t="s">
        <v>1035</v>
      </c>
      <c r="M335" s="48" t="n">
        <v>46281</v>
      </c>
      <c r="N335" s="49" t="s">
        <v>1149</v>
      </c>
      <c r="O335" s="49" t="s">
        <v>1045</v>
      </c>
      <c r="P335" s="48"/>
      <c r="Q335" s="48" t="n">
        <v>46272</v>
      </c>
      <c r="R335" s="48" t="n">
        <v>46279</v>
      </c>
      <c r="T335" s="49" t="s">
        <v>302</v>
      </c>
      <c r="U335" s="49" t="s">
        <v>303</v>
      </c>
      <c r="Y335" s="49" t="s">
        <v>1447</v>
      </c>
      <c r="AD335" s="49" t="s">
        <v>305</v>
      </c>
      <c r="AE335" s="48" t="n">
        <v>46239</v>
      </c>
      <c r="AF335" s="49" t="s">
        <v>306</v>
      </c>
      <c r="AG335" s="49" t="s">
        <v>307</v>
      </c>
      <c r="AK335" s="49" t="s">
        <v>1047</v>
      </c>
      <c r="AL335" s="49" t="s">
        <v>297</v>
      </c>
      <c r="AO335" s="49" t="s">
        <v>303</v>
      </c>
      <c r="AP335" s="48"/>
      <c r="AR335" s="49" t="s">
        <v>303</v>
      </c>
      <c r="AS335" s="49" t="s">
        <v>306</v>
      </c>
      <c r="AT335" s="49" t="s">
        <v>1448</v>
      </c>
      <c r="AV335" s="49" t="s">
        <v>309</v>
      </c>
      <c r="AW335" s="49" t="s">
        <v>310</v>
      </c>
      <c r="AX335" s="49" t="s">
        <v>311</v>
      </c>
      <c r="AY335" s="48"/>
      <c r="AZ335" s="48" t="n">
        <v>46268</v>
      </c>
      <c r="BC335" s="49" t="s">
        <v>303</v>
      </c>
      <c r="BD335" s="48" t="n">
        <v>46282</v>
      </c>
      <c r="BE335" s="49" t="s">
        <v>1449</v>
      </c>
      <c r="BF335" s="49" t="s">
        <v>303</v>
      </c>
      <c r="BG335" s="48"/>
      <c r="BI335" s="48" t="n">
        <v>46282</v>
      </c>
      <c r="BJ335" s="48" t="n">
        <v>46275</v>
      </c>
      <c r="BK335" s="49" t="s">
        <v>312</v>
      </c>
      <c r="BL335" s="49" t="s">
        <v>313</v>
      </c>
      <c r="BM335" s="49" t="s">
        <v>310</v>
      </c>
      <c r="BN335" s="48"/>
      <c r="BO335" s="48"/>
      <c r="BP335" s="48"/>
      <c r="BQ335" s="49" t="s">
        <v>1344</v>
      </c>
      <c r="BR335" s="48" t="n">
        <v>46275</v>
      </c>
      <c r="BS335" s="49" t="s">
        <v>1450</v>
      </c>
      <c r="BT335" s="49" t="s">
        <v>312</v>
      </c>
      <c r="BU335" s="49" t="s">
        <v>313</v>
      </c>
      <c r="BV335" s="49" t="s">
        <v>303</v>
      </c>
      <c r="BX335" s="0" t="n">
        <v>1</v>
      </c>
      <c r="CC335" s="49" t="s">
        <v>315</v>
      </c>
      <c r="CD335" s="49" t="s">
        <v>303</v>
      </c>
      <c r="CF335" s="49" t="s">
        <v>303</v>
      </c>
      <c r="CG335" s="49" t="s">
        <v>316</v>
      </c>
      <c r="CH335" s="49" t="s">
        <v>317</v>
      </c>
      <c r="CI335" s="49" t="s">
        <v>318</v>
      </c>
      <c r="CM335" s="49" t="s">
        <v>65</v>
      </c>
      <c r="CV335" s="49" t="s">
        <v>303</v>
      </c>
      <c r="DB335" s="49" t="s">
        <v>319</v>
      </c>
      <c r="DD335" s="48" t="n">
        <v>46239</v>
      </c>
      <c r="DF335" s="49" t="s">
        <v>310</v>
      </c>
      <c r="DG335" s="49" t="s">
        <v>320</v>
      </c>
      <c r="DH335" s="49" t="s">
        <v>64</v>
      </c>
      <c r="DI335" s="49" t="s">
        <v>298</v>
      </c>
      <c r="DJ335" s="49" t="s">
        <v>394</v>
      </c>
      <c r="DK335" s="49" t="s">
        <v>322</v>
      </c>
      <c r="DL335" s="49" t="s">
        <v>323</v>
      </c>
      <c r="DM335" s="49" t="s">
        <v>303</v>
      </c>
      <c r="DN335" s="49" t="s">
        <v>297</v>
      </c>
      <c r="DO335" s="48"/>
      <c r="DP335" s="49" t="s">
        <v>312</v>
      </c>
      <c r="DQ335" s="48"/>
      <c r="DR335" s="49" t="s">
        <v>312</v>
      </c>
      <c r="DS335" s="49" t="s">
        <v>303</v>
      </c>
      <c r="DT335" s="49" t="s">
        <v>303</v>
      </c>
      <c r="DW335" s="49" t="s">
        <v>303</v>
      </c>
      <c r="EA335" s="49" t="s">
        <v>324</v>
      </c>
      <c r="EB335" s="49" t="s">
        <v>303</v>
      </c>
      <c r="EH335" s="49" t="s">
        <v>310</v>
      </c>
      <c r="EJ335" s="49" t="s">
        <v>303</v>
      </c>
      <c r="EK335" s="49" t="s">
        <v>1451</v>
      </c>
      <c r="EM335" s="49" t="s">
        <v>303</v>
      </c>
      <c r="EN335" s="49" t="s">
        <v>396</v>
      </c>
      <c r="EP335" s="49" t="s">
        <v>298</v>
      </c>
      <c r="EQ335" s="0" t="n">
        <v>1</v>
      </c>
      <c r="ER335" s="49" t="s">
        <v>328</v>
      </c>
      <c r="ES335" s="49" t="s">
        <v>329</v>
      </c>
      <c r="ET335" s="49" t="s">
        <v>310</v>
      </c>
      <c r="EU335" s="49" t="s">
        <v>310</v>
      </c>
      <c r="EV335" s="49" t="s">
        <v>310</v>
      </c>
      <c r="EX335" s="49" t="s">
        <v>303</v>
      </c>
      <c r="EY335" s="49" t="s">
        <v>303</v>
      </c>
      <c r="FC335" s="49" t="s">
        <v>330</v>
      </c>
      <c r="FD335" s="49" t="s">
        <v>310</v>
      </c>
      <c r="FE335" s="49" t="s">
        <v>310</v>
      </c>
      <c r="FF335" s="49" t="s">
        <v>64</v>
      </c>
      <c r="FG335" s="49" t="s">
        <v>397</v>
      </c>
      <c r="FH335" s="49" t="s">
        <v>310</v>
      </c>
      <c r="FI335" s="49" t="s">
        <v>332</v>
      </c>
      <c r="FJ335" s="49" t="s">
        <v>303</v>
      </c>
      <c r="FL335" s="49" t="s">
        <v>325</v>
      </c>
      <c r="FM335" s="49" t="s">
        <v>1376</v>
      </c>
      <c r="FP335" s="49" t="s">
        <v>303</v>
      </c>
      <c r="FR335" s="49" t="s">
        <v>303</v>
      </c>
      <c r="FT335" s="49" t="s">
        <v>325</v>
      </c>
      <c r="FU335" s="49" t="s">
        <v>325</v>
      </c>
      <c r="FW335" s="49" t="s">
        <v>333</v>
      </c>
    </row>
    <row r="336" customFormat="false" ht="15" hidden="false" customHeight="false" outlineLevel="0" collapsed="false">
      <c r="A336" s="0" t="n">
        <v>100876494</v>
      </c>
      <c r="B336" s="0" t="s">
        <v>295</v>
      </c>
      <c r="C336" s="0" t="s">
        <v>64</v>
      </c>
      <c r="D336" s="0" t="s">
        <v>65</v>
      </c>
      <c r="E336" s="0" t="s">
        <v>297</v>
      </c>
      <c r="G336" s="0" t="n">
        <v>1</v>
      </c>
      <c r="H336" s="0" t="s">
        <v>298</v>
      </c>
      <c r="I336" s="48" t="n">
        <v>46272</v>
      </c>
      <c r="J336" s="0" t="n">
        <v>1</v>
      </c>
      <c r="K336" s="49" t="s">
        <v>1376</v>
      </c>
      <c r="L336" s="49" t="s">
        <v>1035</v>
      </c>
      <c r="M336" s="48" t="n">
        <v>46281</v>
      </c>
      <c r="N336" s="49" t="s">
        <v>1149</v>
      </c>
      <c r="O336" s="49" t="s">
        <v>1045</v>
      </c>
      <c r="P336" s="48"/>
      <c r="Q336" s="48" t="n">
        <v>46272</v>
      </c>
      <c r="R336" s="48" t="n">
        <v>46278</v>
      </c>
      <c r="T336" s="49" t="s">
        <v>302</v>
      </c>
      <c r="U336" s="49" t="s">
        <v>303</v>
      </c>
      <c r="Y336" s="49" t="s">
        <v>1452</v>
      </c>
      <c r="AD336" s="49" t="s">
        <v>305</v>
      </c>
      <c r="AE336" s="48" t="n">
        <v>46239</v>
      </c>
      <c r="AF336" s="49" t="s">
        <v>306</v>
      </c>
      <c r="AG336" s="49" t="s">
        <v>307</v>
      </c>
      <c r="AK336" s="49" t="s">
        <v>1047</v>
      </c>
      <c r="AL336" s="49" t="s">
        <v>297</v>
      </c>
      <c r="AO336" s="49" t="s">
        <v>303</v>
      </c>
      <c r="AP336" s="48"/>
      <c r="AR336" s="49" t="s">
        <v>303</v>
      </c>
      <c r="AS336" s="49" t="s">
        <v>306</v>
      </c>
      <c r="AT336" s="49" t="s">
        <v>1453</v>
      </c>
      <c r="AV336" s="49" t="s">
        <v>309</v>
      </c>
      <c r="AW336" s="49" t="s">
        <v>310</v>
      </c>
      <c r="AX336" s="49" t="s">
        <v>311</v>
      </c>
      <c r="AY336" s="48"/>
      <c r="AZ336" s="48" t="n">
        <v>46268</v>
      </c>
      <c r="BC336" s="49" t="s">
        <v>303</v>
      </c>
      <c r="BD336" s="48" t="n">
        <v>46282</v>
      </c>
      <c r="BE336" s="49" t="s">
        <v>1454</v>
      </c>
      <c r="BF336" s="49" t="s">
        <v>303</v>
      </c>
      <c r="BG336" s="48"/>
      <c r="BI336" s="48" t="n">
        <v>46282</v>
      </c>
      <c r="BJ336" s="48" t="n">
        <v>46275</v>
      </c>
      <c r="BK336" s="49" t="s">
        <v>313</v>
      </c>
      <c r="BL336" s="49" t="s">
        <v>313</v>
      </c>
      <c r="BM336" s="49" t="s">
        <v>310</v>
      </c>
      <c r="BN336" s="48"/>
      <c r="BO336" s="48"/>
      <c r="BP336" s="48"/>
      <c r="BQ336" s="49" t="s">
        <v>1344</v>
      </c>
      <c r="BR336" s="48" t="n">
        <v>46275</v>
      </c>
      <c r="BS336" s="49" t="s">
        <v>1450</v>
      </c>
      <c r="BT336" s="49" t="s">
        <v>312</v>
      </c>
      <c r="BU336" s="49" t="s">
        <v>313</v>
      </c>
      <c r="BV336" s="49" t="s">
        <v>303</v>
      </c>
      <c r="BX336" s="0" t="n">
        <v>1</v>
      </c>
      <c r="CC336" s="49" t="s">
        <v>315</v>
      </c>
      <c r="CD336" s="49" t="s">
        <v>303</v>
      </c>
      <c r="CF336" s="49" t="s">
        <v>303</v>
      </c>
      <c r="CG336" s="49" t="s">
        <v>316</v>
      </c>
      <c r="CH336" s="49" t="s">
        <v>317</v>
      </c>
      <c r="CI336" s="49" t="s">
        <v>318</v>
      </c>
      <c r="CM336" s="49" t="s">
        <v>65</v>
      </c>
      <c r="CV336" s="49" t="s">
        <v>303</v>
      </c>
      <c r="DB336" s="49" t="s">
        <v>319</v>
      </c>
      <c r="DD336" s="48" t="n">
        <v>46239</v>
      </c>
      <c r="DF336" s="49" t="s">
        <v>310</v>
      </c>
      <c r="DG336" s="49" t="s">
        <v>320</v>
      </c>
      <c r="DH336" s="49" t="s">
        <v>64</v>
      </c>
      <c r="DI336" s="49" t="s">
        <v>298</v>
      </c>
      <c r="DJ336" s="49" t="s">
        <v>394</v>
      </c>
      <c r="DK336" s="49" t="s">
        <v>322</v>
      </c>
      <c r="DL336" s="49" t="s">
        <v>323</v>
      </c>
      <c r="DM336" s="49" t="s">
        <v>303</v>
      </c>
      <c r="DN336" s="49" t="s">
        <v>297</v>
      </c>
      <c r="DO336" s="48"/>
      <c r="DP336" s="49" t="s">
        <v>312</v>
      </c>
      <c r="DQ336" s="48"/>
      <c r="DR336" s="49" t="s">
        <v>312</v>
      </c>
      <c r="DS336" s="49" t="s">
        <v>303</v>
      </c>
      <c r="DT336" s="49" t="s">
        <v>303</v>
      </c>
      <c r="DW336" s="49" t="s">
        <v>303</v>
      </c>
      <c r="EA336" s="49" t="s">
        <v>324</v>
      </c>
      <c r="EB336" s="49" t="s">
        <v>303</v>
      </c>
      <c r="EF336" s="49" t="s">
        <v>1455</v>
      </c>
      <c r="EH336" s="49" t="s">
        <v>310</v>
      </c>
      <c r="EJ336" s="49" t="s">
        <v>303</v>
      </c>
      <c r="EK336" s="49" t="s">
        <v>1456</v>
      </c>
      <c r="EM336" s="49" t="s">
        <v>303</v>
      </c>
      <c r="EN336" s="49" t="s">
        <v>396</v>
      </c>
      <c r="EP336" s="49" t="s">
        <v>298</v>
      </c>
      <c r="EQ336" s="0" t="n">
        <v>1</v>
      </c>
      <c r="ER336" s="49" t="s">
        <v>328</v>
      </c>
      <c r="ES336" s="49" t="s">
        <v>329</v>
      </c>
      <c r="ET336" s="49" t="s">
        <v>310</v>
      </c>
      <c r="EU336" s="49" t="s">
        <v>310</v>
      </c>
      <c r="EV336" s="49" t="s">
        <v>310</v>
      </c>
      <c r="EX336" s="49" t="s">
        <v>303</v>
      </c>
      <c r="EY336" s="49" t="s">
        <v>303</v>
      </c>
      <c r="FC336" s="49" t="s">
        <v>330</v>
      </c>
      <c r="FD336" s="49" t="s">
        <v>310</v>
      </c>
      <c r="FE336" s="49" t="s">
        <v>310</v>
      </c>
      <c r="FF336" s="49" t="s">
        <v>64</v>
      </c>
      <c r="FG336" s="49" t="s">
        <v>397</v>
      </c>
      <c r="FH336" s="49" t="s">
        <v>310</v>
      </c>
      <c r="FI336" s="49" t="s">
        <v>332</v>
      </c>
      <c r="FJ336" s="49" t="s">
        <v>303</v>
      </c>
      <c r="FL336" s="49" t="s">
        <v>325</v>
      </c>
      <c r="FM336" s="49" t="s">
        <v>1376</v>
      </c>
      <c r="FP336" s="49" t="s">
        <v>303</v>
      </c>
      <c r="FR336" s="49" t="s">
        <v>303</v>
      </c>
      <c r="FT336" s="49" t="s">
        <v>325</v>
      </c>
      <c r="FU336" s="49" t="s">
        <v>325</v>
      </c>
      <c r="FW336" s="49" t="s">
        <v>333</v>
      </c>
    </row>
    <row r="337" customFormat="false" ht="15" hidden="false" customHeight="false" outlineLevel="0" collapsed="false">
      <c r="A337" s="0" t="n">
        <v>100876495</v>
      </c>
      <c r="B337" s="0" t="s">
        <v>295</v>
      </c>
      <c r="C337" s="0" t="s">
        <v>64</v>
      </c>
      <c r="D337" s="0" t="s">
        <v>65</v>
      </c>
      <c r="E337" s="0" t="s">
        <v>297</v>
      </c>
      <c r="G337" s="0" t="n">
        <v>1</v>
      </c>
      <c r="H337" s="0" t="s">
        <v>298</v>
      </c>
      <c r="I337" s="48" t="n">
        <v>46272</v>
      </c>
      <c r="J337" s="0" t="n">
        <v>1</v>
      </c>
      <c r="K337" s="49" t="s">
        <v>1376</v>
      </c>
      <c r="L337" s="49" t="s">
        <v>1035</v>
      </c>
      <c r="M337" s="48" t="n">
        <v>46281</v>
      </c>
      <c r="N337" s="49" t="s">
        <v>1149</v>
      </c>
      <c r="O337" s="49" t="s">
        <v>1045</v>
      </c>
      <c r="P337" s="48"/>
      <c r="Q337" s="48" t="n">
        <v>46272</v>
      </c>
      <c r="R337" s="48" t="n">
        <v>46278</v>
      </c>
      <c r="T337" s="49" t="s">
        <v>302</v>
      </c>
      <c r="U337" s="49" t="s">
        <v>303</v>
      </c>
      <c r="Y337" s="49" t="s">
        <v>1457</v>
      </c>
      <c r="AD337" s="49" t="s">
        <v>305</v>
      </c>
      <c r="AE337" s="48" t="n">
        <v>46239</v>
      </c>
      <c r="AF337" s="49" t="s">
        <v>306</v>
      </c>
      <c r="AG337" s="49" t="s">
        <v>307</v>
      </c>
      <c r="AK337" s="49" t="s">
        <v>1047</v>
      </c>
      <c r="AL337" s="49" t="s">
        <v>297</v>
      </c>
      <c r="AO337" s="49" t="s">
        <v>303</v>
      </c>
      <c r="AP337" s="48"/>
      <c r="AR337" s="49" t="s">
        <v>303</v>
      </c>
      <c r="AS337" s="49" t="s">
        <v>306</v>
      </c>
      <c r="AT337" s="49" t="s">
        <v>1458</v>
      </c>
      <c r="AV337" s="49" t="s">
        <v>309</v>
      </c>
      <c r="AW337" s="49" t="s">
        <v>310</v>
      </c>
      <c r="AX337" s="49" t="s">
        <v>311</v>
      </c>
      <c r="AY337" s="48"/>
      <c r="AZ337" s="48" t="n">
        <v>46268</v>
      </c>
      <c r="BC337" s="49" t="s">
        <v>303</v>
      </c>
      <c r="BD337" s="48" t="n">
        <v>46282</v>
      </c>
      <c r="BE337" s="49" t="s">
        <v>1459</v>
      </c>
      <c r="BF337" s="49" t="s">
        <v>303</v>
      </c>
      <c r="BG337" s="48"/>
      <c r="BI337" s="48" t="n">
        <v>46282</v>
      </c>
      <c r="BJ337" s="48" t="n">
        <v>46275</v>
      </c>
      <c r="BK337" s="49" t="s">
        <v>313</v>
      </c>
      <c r="BL337" s="49" t="s">
        <v>313</v>
      </c>
      <c r="BM337" s="49" t="s">
        <v>310</v>
      </c>
      <c r="BN337" s="48"/>
      <c r="BO337" s="48"/>
      <c r="BP337" s="48"/>
      <c r="BQ337" s="49" t="s">
        <v>1344</v>
      </c>
      <c r="BR337" s="48" t="n">
        <v>46275</v>
      </c>
      <c r="BS337" s="49" t="s">
        <v>1450</v>
      </c>
      <c r="BT337" s="49" t="s">
        <v>312</v>
      </c>
      <c r="BU337" s="49" t="s">
        <v>313</v>
      </c>
      <c r="BV337" s="49" t="s">
        <v>303</v>
      </c>
      <c r="BX337" s="0" t="n">
        <v>1</v>
      </c>
      <c r="CC337" s="49" t="s">
        <v>315</v>
      </c>
      <c r="CD337" s="49" t="s">
        <v>303</v>
      </c>
      <c r="CF337" s="49" t="s">
        <v>303</v>
      </c>
      <c r="CG337" s="49" t="s">
        <v>316</v>
      </c>
      <c r="CH337" s="49" t="s">
        <v>317</v>
      </c>
      <c r="CI337" s="49" t="s">
        <v>318</v>
      </c>
      <c r="CM337" s="49" t="s">
        <v>65</v>
      </c>
      <c r="CV337" s="49" t="s">
        <v>303</v>
      </c>
      <c r="DB337" s="49" t="s">
        <v>319</v>
      </c>
      <c r="DD337" s="48" t="n">
        <v>46239</v>
      </c>
      <c r="DF337" s="49" t="s">
        <v>310</v>
      </c>
      <c r="DG337" s="49" t="s">
        <v>320</v>
      </c>
      <c r="DH337" s="49" t="s">
        <v>64</v>
      </c>
      <c r="DI337" s="49" t="s">
        <v>298</v>
      </c>
      <c r="DJ337" s="49" t="s">
        <v>394</v>
      </c>
      <c r="DK337" s="49" t="s">
        <v>322</v>
      </c>
      <c r="DL337" s="49" t="s">
        <v>323</v>
      </c>
      <c r="DM337" s="49" t="s">
        <v>303</v>
      </c>
      <c r="DN337" s="49" t="s">
        <v>297</v>
      </c>
      <c r="DO337" s="48"/>
      <c r="DP337" s="49" t="s">
        <v>312</v>
      </c>
      <c r="DQ337" s="48"/>
      <c r="DR337" s="49" t="s">
        <v>312</v>
      </c>
      <c r="DS337" s="49" t="s">
        <v>303</v>
      </c>
      <c r="DT337" s="49" t="s">
        <v>303</v>
      </c>
      <c r="DW337" s="49" t="s">
        <v>303</v>
      </c>
      <c r="EA337" s="49" t="s">
        <v>324</v>
      </c>
      <c r="EB337" s="49" t="s">
        <v>303</v>
      </c>
      <c r="EF337" s="49" t="s">
        <v>1455</v>
      </c>
      <c r="EH337" s="49" t="s">
        <v>310</v>
      </c>
      <c r="EJ337" s="49" t="s">
        <v>303</v>
      </c>
      <c r="EK337" s="49" t="s">
        <v>1460</v>
      </c>
      <c r="EM337" s="49" t="s">
        <v>303</v>
      </c>
      <c r="EN337" s="49" t="s">
        <v>396</v>
      </c>
      <c r="EP337" s="49" t="s">
        <v>298</v>
      </c>
      <c r="EQ337" s="0" t="n">
        <v>1</v>
      </c>
      <c r="ER337" s="49" t="s">
        <v>328</v>
      </c>
      <c r="ES337" s="49" t="s">
        <v>329</v>
      </c>
      <c r="ET337" s="49" t="s">
        <v>310</v>
      </c>
      <c r="EU337" s="49" t="s">
        <v>310</v>
      </c>
      <c r="EV337" s="49" t="s">
        <v>310</v>
      </c>
      <c r="EX337" s="49" t="s">
        <v>303</v>
      </c>
      <c r="EY337" s="49" t="s">
        <v>303</v>
      </c>
      <c r="FC337" s="49" t="s">
        <v>330</v>
      </c>
      <c r="FD337" s="49" t="s">
        <v>310</v>
      </c>
      <c r="FE337" s="49" t="s">
        <v>310</v>
      </c>
      <c r="FF337" s="49" t="s">
        <v>64</v>
      </c>
      <c r="FG337" s="49" t="s">
        <v>397</v>
      </c>
      <c r="FH337" s="49" t="s">
        <v>310</v>
      </c>
      <c r="FI337" s="49" t="s">
        <v>332</v>
      </c>
      <c r="FJ337" s="49" t="s">
        <v>303</v>
      </c>
      <c r="FL337" s="49" t="s">
        <v>325</v>
      </c>
      <c r="FM337" s="49" t="s">
        <v>1376</v>
      </c>
      <c r="FP337" s="49" t="s">
        <v>303</v>
      </c>
      <c r="FR337" s="49" t="s">
        <v>303</v>
      </c>
      <c r="FT337" s="49" t="s">
        <v>325</v>
      </c>
      <c r="FU337" s="49" t="s">
        <v>325</v>
      </c>
      <c r="FW337" s="49" t="s">
        <v>333</v>
      </c>
    </row>
    <row r="338" customFormat="false" ht="15" hidden="false" customHeight="false" outlineLevel="0" collapsed="false">
      <c r="A338" s="0" t="n">
        <v>100876496</v>
      </c>
      <c r="B338" s="0" t="s">
        <v>295</v>
      </c>
      <c r="C338" s="0" t="s">
        <v>64</v>
      </c>
      <c r="D338" s="0" t="s">
        <v>65</v>
      </c>
      <c r="E338" s="0" t="s">
        <v>297</v>
      </c>
      <c r="G338" s="0" t="n">
        <v>1</v>
      </c>
      <c r="H338" s="0" t="s">
        <v>298</v>
      </c>
      <c r="I338" s="48" t="n">
        <v>46272</v>
      </c>
      <c r="J338" s="0" t="n">
        <v>1</v>
      </c>
      <c r="K338" s="49" t="s">
        <v>1376</v>
      </c>
      <c r="L338" s="49" t="s">
        <v>1035</v>
      </c>
      <c r="M338" s="48" t="n">
        <v>46281</v>
      </c>
      <c r="N338" s="49" t="s">
        <v>1149</v>
      </c>
      <c r="O338" s="49" t="s">
        <v>1045</v>
      </c>
      <c r="P338" s="48"/>
      <c r="Q338" s="48" t="n">
        <v>46272</v>
      </c>
      <c r="R338" s="48" t="n">
        <v>46278</v>
      </c>
      <c r="T338" s="49" t="s">
        <v>302</v>
      </c>
      <c r="U338" s="49" t="s">
        <v>303</v>
      </c>
      <c r="Y338" s="49" t="s">
        <v>1461</v>
      </c>
      <c r="AD338" s="49" t="s">
        <v>305</v>
      </c>
      <c r="AE338" s="48" t="n">
        <v>46239</v>
      </c>
      <c r="AF338" s="49" t="s">
        <v>306</v>
      </c>
      <c r="AG338" s="49" t="s">
        <v>307</v>
      </c>
      <c r="AK338" s="49" t="s">
        <v>1047</v>
      </c>
      <c r="AL338" s="49" t="s">
        <v>297</v>
      </c>
      <c r="AO338" s="49" t="s">
        <v>303</v>
      </c>
      <c r="AP338" s="48"/>
      <c r="AR338" s="49" t="s">
        <v>303</v>
      </c>
      <c r="AS338" s="49" t="s">
        <v>306</v>
      </c>
      <c r="AT338" s="49" t="s">
        <v>1462</v>
      </c>
      <c r="AV338" s="49" t="s">
        <v>309</v>
      </c>
      <c r="AW338" s="49" t="s">
        <v>310</v>
      </c>
      <c r="AX338" s="49" t="s">
        <v>311</v>
      </c>
      <c r="AY338" s="48"/>
      <c r="AZ338" s="48" t="n">
        <v>46268</v>
      </c>
      <c r="BC338" s="49" t="s">
        <v>303</v>
      </c>
      <c r="BD338" s="48" t="n">
        <v>46282</v>
      </c>
      <c r="BE338" s="49" t="s">
        <v>1463</v>
      </c>
      <c r="BF338" s="49" t="s">
        <v>303</v>
      </c>
      <c r="BG338" s="48"/>
      <c r="BI338" s="48" t="n">
        <v>46282</v>
      </c>
      <c r="BJ338" s="48" t="n">
        <v>46275</v>
      </c>
      <c r="BK338" s="49" t="s">
        <v>313</v>
      </c>
      <c r="BL338" s="49" t="s">
        <v>313</v>
      </c>
      <c r="BM338" s="49" t="s">
        <v>310</v>
      </c>
      <c r="BN338" s="48"/>
      <c r="BO338" s="48"/>
      <c r="BP338" s="48"/>
      <c r="BQ338" s="49" t="s">
        <v>1344</v>
      </c>
      <c r="BR338" s="48" t="n">
        <v>46275</v>
      </c>
      <c r="BS338" s="49" t="s">
        <v>1450</v>
      </c>
      <c r="BT338" s="49" t="s">
        <v>312</v>
      </c>
      <c r="BU338" s="49" t="s">
        <v>313</v>
      </c>
      <c r="BV338" s="49" t="s">
        <v>303</v>
      </c>
      <c r="BX338" s="0" t="n">
        <v>1</v>
      </c>
      <c r="CC338" s="49" t="s">
        <v>315</v>
      </c>
      <c r="CD338" s="49" t="s">
        <v>303</v>
      </c>
      <c r="CF338" s="49" t="s">
        <v>303</v>
      </c>
      <c r="CG338" s="49" t="s">
        <v>316</v>
      </c>
      <c r="CH338" s="49" t="s">
        <v>317</v>
      </c>
      <c r="CI338" s="49" t="s">
        <v>318</v>
      </c>
      <c r="CM338" s="49" t="s">
        <v>65</v>
      </c>
      <c r="CV338" s="49" t="s">
        <v>303</v>
      </c>
      <c r="DB338" s="49" t="s">
        <v>319</v>
      </c>
      <c r="DD338" s="48" t="n">
        <v>46239</v>
      </c>
      <c r="DF338" s="49" t="s">
        <v>310</v>
      </c>
      <c r="DG338" s="49" t="s">
        <v>320</v>
      </c>
      <c r="DH338" s="49" t="s">
        <v>64</v>
      </c>
      <c r="DI338" s="49" t="s">
        <v>298</v>
      </c>
      <c r="DJ338" s="49" t="s">
        <v>394</v>
      </c>
      <c r="DK338" s="49" t="s">
        <v>322</v>
      </c>
      <c r="DL338" s="49" t="s">
        <v>323</v>
      </c>
      <c r="DM338" s="49" t="s">
        <v>303</v>
      </c>
      <c r="DN338" s="49" t="s">
        <v>297</v>
      </c>
      <c r="DO338" s="48"/>
      <c r="DP338" s="49" t="s">
        <v>312</v>
      </c>
      <c r="DQ338" s="48"/>
      <c r="DR338" s="49" t="s">
        <v>312</v>
      </c>
      <c r="DS338" s="49" t="s">
        <v>303</v>
      </c>
      <c r="DT338" s="49" t="s">
        <v>303</v>
      </c>
      <c r="DW338" s="49" t="s">
        <v>303</v>
      </c>
      <c r="EA338" s="49" t="s">
        <v>324</v>
      </c>
      <c r="EB338" s="49" t="s">
        <v>303</v>
      </c>
      <c r="EF338" s="49" t="s">
        <v>1455</v>
      </c>
      <c r="EH338" s="49" t="s">
        <v>310</v>
      </c>
      <c r="EJ338" s="49" t="s">
        <v>303</v>
      </c>
      <c r="EK338" s="49" t="s">
        <v>1464</v>
      </c>
      <c r="EM338" s="49" t="s">
        <v>303</v>
      </c>
      <c r="EN338" s="49" t="s">
        <v>396</v>
      </c>
      <c r="EP338" s="49" t="s">
        <v>298</v>
      </c>
      <c r="EQ338" s="0" t="n">
        <v>1</v>
      </c>
      <c r="ER338" s="49" t="s">
        <v>328</v>
      </c>
      <c r="ES338" s="49" t="s">
        <v>329</v>
      </c>
      <c r="ET338" s="49" t="s">
        <v>310</v>
      </c>
      <c r="EU338" s="49" t="s">
        <v>310</v>
      </c>
      <c r="EV338" s="49" t="s">
        <v>310</v>
      </c>
      <c r="EX338" s="49" t="s">
        <v>303</v>
      </c>
      <c r="EY338" s="49" t="s">
        <v>303</v>
      </c>
      <c r="FC338" s="49" t="s">
        <v>330</v>
      </c>
      <c r="FD338" s="49" t="s">
        <v>310</v>
      </c>
      <c r="FE338" s="49" t="s">
        <v>310</v>
      </c>
      <c r="FF338" s="49" t="s">
        <v>64</v>
      </c>
      <c r="FG338" s="49" t="s">
        <v>397</v>
      </c>
      <c r="FH338" s="49" t="s">
        <v>310</v>
      </c>
      <c r="FI338" s="49" t="s">
        <v>332</v>
      </c>
      <c r="FJ338" s="49" t="s">
        <v>303</v>
      </c>
      <c r="FL338" s="49" t="s">
        <v>325</v>
      </c>
      <c r="FM338" s="49" t="s">
        <v>1376</v>
      </c>
      <c r="FP338" s="49" t="s">
        <v>303</v>
      </c>
      <c r="FR338" s="49" t="s">
        <v>303</v>
      </c>
      <c r="FT338" s="49" t="s">
        <v>325</v>
      </c>
      <c r="FU338" s="49" t="s">
        <v>325</v>
      </c>
      <c r="FW338" s="49" t="s">
        <v>333</v>
      </c>
    </row>
    <row r="339" customFormat="false" ht="15" hidden="false" customHeight="false" outlineLevel="0" collapsed="false">
      <c r="A339" s="0" t="n">
        <v>100876497</v>
      </c>
      <c r="B339" s="0" t="s">
        <v>295</v>
      </c>
      <c r="C339" s="0" t="s">
        <v>64</v>
      </c>
      <c r="D339" s="0" t="s">
        <v>65</v>
      </c>
      <c r="E339" s="0" t="s">
        <v>297</v>
      </c>
      <c r="G339" s="0" t="n">
        <v>1</v>
      </c>
      <c r="H339" s="0" t="s">
        <v>298</v>
      </c>
      <c r="I339" s="48" t="n">
        <v>46272</v>
      </c>
      <c r="J339" s="0" t="n">
        <v>1</v>
      </c>
      <c r="K339" s="49" t="s">
        <v>1376</v>
      </c>
      <c r="L339" s="49" t="s">
        <v>1035</v>
      </c>
      <c r="M339" s="48" t="n">
        <v>46281</v>
      </c>
      <c r="N339" s="49" t="s">
        <v>1149</v>
      </c>
      <c r="O339" s="49" t="s">
        <v>1045</v>
      </c>
      <c r="P339" s="48"/>
      <c r="Q339" s="48" t="n">
        <v>46272</v>
      </c>
      <c r="R339" s="48" t="n">
        <v>46278</v>
      </c>
      <c r="T339" s="49" t="s">
        <v>302</v>
      </c>
      <c r="U339" s="49" t="s">
        <v>303</v>
      </c>
      <c r="Y339" s="49" t="s">
        <v>1465</v>
      </c>
      <c r="AD339" s="49" t="s">
        <v>305</v>
      </c>
      <c r="AE339" s="48" t="n">
        <v>46239</v>
      </c>
      <c r="AF339" s="49" t="s">
        <v>306</v>
      </c>
      <c r="AG339" s="49" t="s">
        <v>307</v>
      </c>
      <c r="AK339" s="49" t="s">
        <v>1047</v>
      </c>
      <c r="AL339" s="49" t="s">
        <v>297</v>
      </c>
      <c r="AO339" s="49" t="s">
        <v>303</v>
      </c>
      <c r="AP339" s="48"/>
      <c r="AR339" s="49" t="s">
        <v>303</v>
      </c>
      <c r="AS339" s="49" t="s">
        <v>306</v>
      </c>
      <c r="AT339" s="49" t="s">
        <v>1466</v>
      </c>
      <c r="AV339" s="49" t="s">
        <v>309</v>
      </c>
      <c r="AW339" s="49" t="s">
        <v>310</v>
      </c>
      <c r="AX339" s="49" t="s">
        <v>311</v>
      </c>
      <c r="AY339" s="48"/>
      <c r="AZ339" s="48" t="n">
        <v>46268</v>
      </c>
      <c r="BC339" s="49" t="s">
        <v>303</v>
      </c>
      <c r="BD339" s="48" t="n">
        <v>46282</v>
      </c>
      <c r="BE339" s="49" t="s">
        <v>1467</v>
      </c>
      <c r="BF339" s="49" t="s">
        <v>303</v>
      </c>
      <c r="BG339" s="48"/>
      <c r="BI339" s="48" t="n">
        <v>46282</v>
      </c>
      <c r="BJ339" s="48" t="n">
        <v>46275</v>
      </c>
      <c r="BK339" s="49" t="s">
        <v>313</v>
      </c>
      <c r="BL339" s="49" t="s">
        <v>313</v>
      </c>
      <c r="BM339" s="49" t="s">
        <v>310</v>
      </c>
      <c r="BN339" s="48"/>
      <c r="BO339" s="48"/>
      <c r="BP339" s="48"/>
      <c r="BQ339" s="49" t="s">
        <v>1344</v>
      </c>
      <c r="BR339" s="48" t="n">
        <v>46275</v>
      </c>
      <c r="BS339" s="49" t="s">
        <v>1468</v>
      </c>
      <c r="BT339" s="49" t="s">
        <v>312</v>
      </c>
      <c r="BU339" s="49" t="s">
        <v>313</v>
      </c>
      <c r="BV339" s="49" t="s">
        <v>303</v>
      </c>
      <c r="BX339" s="0" t="n">
        <v>1</v>
      </c>
      <c r="CC339" s="49" t="s">
        <v>315</v>
      </c>
      <c r="CD339" s="49" t="s">
        <v>303</v>
      </c>
      <c r="CF339" s="49" t="s">
        <v>303</v>
      </c>
      <c r="CG339" s="49" t="s">
        <v>316</v>
      </c>
      <c r="CH339" s="49" t="s">
        <v>317</v>
      </c>
      <c r="CI339" s="49" t="s">
        <v>318</v>
      </c>
      <c r="CM339" s="49" t="s">
        <v>65</v>
      </c>
      <c r="CV339" s="49" t="s">
        <v>303</v>
      </c>
      <c r="DB339" s="49" t="s">
        <v>319</v>
      </c>
      <c r="DD339" s="48" t="n">
        <v>46239</v>
      </c>
      <c r="DF339" s="49" t="s">
        <v>310</v>
      </c>
      <c r="DG339" s="49" t="s">
        <v>320</v>
      </c>
      <c r="DH339" s="49" t="s">
        <v>64</v>
      </c>
      <c r="DI339" s="49" t="s">
        <v>298</v>
      </c>
      <c r="DJ339" s="49" t="s">
        <v>394</v>
      </c>
      <c r="DK339" s="49" t="s">
        <v>322</v>
      </c>
      <c r="DL339" s="49" t="s">
        <v>323</v>
      </c>
      <c r="DM339" s="49" t="s">
        <v>303</v>
      </c>
      <c r="DN339" s="49" t="s">
        <v>297</v>
      </c>
      <c r="DO339" s="48"/>
      <c r="DP339" s="49" t="s">
        <v>312</v>
      </c>
      <c r="DQ339" s="48"/>
      <c r="DR339" s="49" t="s">
        <v>312</v>
      </c>
      <c r="DS339" s="49" t="s">
        <v>303</v>
      </c>
      <c r="DT339" s="49" t="s">
        <v>303</v>
      </c>
      <c r="DW339" s="49" t="s">
        <v>303</v>
      </c>
      <c r="EA339" s="49" t="s">
        <v>324</v>
      </c>
      <c r="EB339" s="49" t="s">
        <v>303</v>
      </c>
      <c r="EF339" s="49" t="s">
        <v>1455</v>
      </c>
      <c r="EH339" s="49" t="s">
        <v>310</v>
      </c>
      <c r="EJ339" s="49" t="s">
        <v>303</v>
      </c>
      <c r="EK339" s="49" t="s">
        <v>1469</v>
      </c>
      <c r="EM339" s="49" t="s">
        <v>303</v>
      </c>
      <c r="EN339" s="49" t="s">
        <v>396</v>
      </c>
      <c r="EP339" s="49" t="s">
        <v>298</v>
      </c>
      <c r="EQ339" s="0" t="n">
        <v>1</v>
      </c>
      <c r="ER339" s="49" t="s">
        <v>328</v>
      </c>
      <c r="ES339" s="49" t="s">
        <v>329</v>
      </c>
      <c r="ET339" s="49" t="s">
        <v>310</v>
      </c>
      <c r="EU339" s="49" t="s">
        <v>310</v>
      </c>
      <c r="EV339" s="49" t="s">
        <v>310</v>
      </c>
      <c r="EX339" s="49" t="s">
        <v>303</v>
      </c>
      <c r="EY339" s="49" t="s">
        <v>303</v>
      </c>
      <c r="FC339" s="49" t="s">
        <v>330</v>
      </c>
      <c r="FD339" s="49" t="s">
        <v>310</v>
      </c>
      <c r="FE339" s="49" t="s">
        <v>310</v>
      </c>
      <c r="FF339" s="49" t="s">
        <v>64</v>
      </c>
      <c r="FG339" s="49" t="s">
        <v>397</v>
      </c>
      <c r="FH339" s="49" t="s">
        <v>310</v>
      </c>
      <c r="FI339" s="49" t="s">
        <v>332</v>
      </c>
      <c r="FJ339" s="49" t="s">
        <v>303</v>
      </c>
      <c r="FL339" s="49" t="s">
        <v>325</v>
      </c>
      <c r="FM339" s="49" t="s">
        <v>1376</v>
      </c>
      <c r="FP339" s="49" t="s">
        <v>303</v>
      </c>
      <c r="FR339" s="49" t="s">
        <v>303</v>
      </c>
      <c r="FT339" s="49" t="s">
        <v>325</v>
      </c>
      <c r="FU339" s="49" t="s">
        <v>325</v>
      </c>
      <c r="FW339" s="49" t="s">
        <v>333</v>
      </c>
    </row>
    <row r="340" customFormat="false" ht="15" hidden="false" customHeight="false" outlineLevel="0" collapsed="false">
      <c r="A340" s="0" t="n">
        <v>100876498</v>
      </c>
      <c r="B340" s="0" t="s">
        <v>295</v>
      </c>
      <c r="C340" s="0" t="s">
        <v>64</v>
      </c>
      <c r="D340" s="0" t="s">
        <v>65</v>
      </c>
      <c r="E340" s="0" t="s">
        <v>297</v>
      </c>
      <c r="G340" s="0" t="n">
        <v>1</v>
      </c>
      <c r="H340" s="0" t="s">
        <v>298</v>
      </c>
      <c r="I340" s="48" t="n">
        <v>46272</v>
      </c>
      <c r="J340" s="0" t="n">
        <v>1</v>
      </c>
      <c r="K340" s="49" t="s">
        <v>1376</v>
      </c>
      <c r="L340" s="49" t="s">
        <v>1035</v>
      </c>
      <c r="M340" s="48" t="n">
        <v>46282</v>
      </c>
      <c r="N340" s="49" t="s">
        <v>1149</v>
      </c>
      <c r="O340" s="49" t="s">
        <v>1045</v>
      </c>
      <c r="P340" s="48"/>
      <c r="Q340" s="48" t="n">
        <v>46272</v>
      </c>
      <c r="R340" s="48" t="n">
        <v>46278</v>
      </c>
      <c r="T340" s="49" t="s">
        <v>302</v>
      </c>
      <c r="U340" s="49" t="s">
        <v>303</v>
      </c>
      <c r="Y340" s="49" t="s">
        <v>1470</v>
      </c>
      <c r="AD340" s="49" t="s">
        <v>305</v>
      </c>
      <c r="AE340" s="48" t="n">
        <v>46239</v>
      </c>
      <c r="AF340" s="49" t="s">
        <v>306</v>
      </c>
      <c r="AG340" s="49" t="s">
        <v>307</v>
      </c>
      <c r="AK340" s="49" t="s">
        <v>1047</v>
      </c>
      <c r="AL340" s="49" t="s">
        <v>297</v>
      </c>
      <c r="AO340" s="49" t="s">
        <v>303</v>
      </c>
      <c r="AP340" s="48"/>
      <c r="AR340" s="49" t="s">
        <v>303</v>
      </c>
      <c r="AS340" s="49" t="s">
        <v>306</v>
      </c>
      <c r="AT340" s="49" t="s">
        <v>1471</v>
      </c>
      <c r="AV340" s="49" t="s">
        <v>309</v>
      </c>
      <c r="AW340" s="49" t="s">
        <v>310</v>
      </c>
      <c r="AX340" s="49" t="s">
        <v>311</v>
      </c>
      <c r="AY340" s="48"/>
      <c r="AZ340" s="48" t="n">
        <v>46268</v>
      </c>
      <c r="BC340" s="49" t="s">
        <v>303</v>
      </c>
      <c r="BD340" s="48" t="n">
        <v>46283</v>
      </c>
      <c r="BE340" s="49" t="s">
        <v>1472</v>
      </c>
      <c r="BF340" s="49" t="s">
        <v>303</v>
      </c>
      <c r="BG340" s="48"/>
      <c r="BI340" s="48" t="n">
        <v>46283</v>
      </c>
      <c r="BJ340" s="48" t="n">
        <v>46275</v>
      </c>
      <c r="BK340" s="49" t="s">
        <v>313</v>
      </c>
      <c r="BL340" s="49" t="s">
        <v>313</v>
      </c>
      <c r="BM340" s="49" t="s">
        <v>310</v>
      </c>
      <c r="BN340" s="48"/>
      <c r="BO340" s="48"/>
      <c r="BP340" s="48"/>
      <c r="BQ340" s="49" t="s">
        <v>1344</v>
      </c>
      <c r="BR340" s="48" t="n">
        <v>46275</v>
      </c>
      <c r="BS340" s="49" t="s">
        <v>1468</v>
      </c>
      <c r="BT340" s="49" t="s">
        <v>312</v>
      </c>
      <c r="BU340" s="49" t="s">
        <v>313</v>
      </c>
      <c r="BV340" s="49" t="s">
        <v>303</v>
      </c>
      <c r="BX340" s="0" t="n">
        <v>1</v>
      </c>
      <c r="CC340" s="49" t="s">
        <v>315</v>
      </c>
      <c r="CD340" s="49" t="s">
        <v>303</v>
      </c>
      <c r="CF340" s="49" t="s">
        <v>303</v>
      </c>
      <c r="CG340" s="49" t="s">
        <v>316</v>
      </c>
      <c r="CH340" s="49" t="s">
        <v>317</v>
      </c>
      <c r="CI340" s="49" t="s">
        <v>318</v>
      </c>
      <c r="CM340" s="49" t="s">
        <v>65</v>
      </c>
      <c r="CV340" s="49" t="s">
        <v>303</v>
      </c>
      <c r="DB340" s="49" t="s">
        <v>319</v>
      </c>
      <c r="DD340" s="48" t="n">
        <v>46239</v>
      </c>
      <c r="DF340" s="49" t="s">
        <v>310</v>
      </c>
      <c r="DG340" s="49" t="s">
        <v>320</v>
      </c>
      <c r="DH340" s="49" t="s">
        <v>64</v>
      </c>
      <c r="DI340" s="49" t="s">
        <v>298</v>
      </c>
      <c r="DJ340" s="49" t="s">
        <v>394</v>
      </c>
      <c r="DK340" s="49" t="s">
        <v>322</v>
      </c>
      <c r="DL340" s="49" t="s">
        <v>323</v>
      </c>
      <c r="DM340" s="49" t="s">
        <v>303</v>
      </c>
      <c r="DN340" s="49" t="s">
        <v>297</v>
      </c>
      <c r="DO340" s="48"/>
      <c r="DP340" s="49" t="s">
        <v>312</v>
      </c>
      <c r="DQ340" s="48"/>
      <c r="DR340" s="49" t="s">
        <v>312</v>
      </c>
      <c r="DS340" s="49" t="s">
        <v>303</v>
      </c>
      <c r="DT340" s="49" t="s">
        <v>303</v>
      </c>
      <c r="DW340" s="49" t="s">
        <v>303</v>
      </c>
      <c r="EA340" s="49" t="s">
        <v>324</v>
      </c>
      <c r="EB340" s="49" t="s">
        <v>303</v>
      </c>
      <c r="EF340" s="49" t="s">
        <v>1455</v>
      </c>
      <c r="EH340" s="49" t="s">
        <v>310</v>
      </c>
      <c r="EJ340" s="49" t="s">
        <v>303</v>
      </c>
      <c r="EK340" s="49" t="s">
        <v>1473</v>
      </c>
      <c r="EM340" s="49" t="s">
        <v>303</v>
      </c>
      <c r="EN340" s="49" t="s">
        <v>396</v>
      </c>
      <c r="EP340" s="49" t="s">
        <v>298</v>
      </c>
      <c r="EQ340" s="0" t="n">
        <v>1</v>
      </c>
      <c r="ER340" s="49" t="s">
        <v>328</v>
      </c>
      <c r="ES340" s="49" t="s">
        <v>329</v>
      </c>
      <c r="ET340" s="49" t="s">
        <v>310</v>
      </c>
      <c r="EU340" s="49" t="s">
        <v>310</v>
      </c>
      <c r="EV340" s="49" t="s">
        <v>310</v>
      </c>
      <c r="EX340" s="49" t="s">
        <v>303</v>
      </c>
      <c r="EY340" s="49" t="s">
        <v>303</v>
      </c>
      <c r="FC340" s="49" t="s">
        <v>330</v>
      </c>
      <c r="FD340" s="49" t="s">
        <v>310</v>
      </c>
      <c r="FE340" s="49" t="s">
        <v>310</v>
      </c>
      <c r="FF340" s="49" t="s">
        <v>64</v>
      </c>
      <c r="FG340" s="49" t="s">
        <v>397</v>
      </c>
      <c r="FH340" s="49" t="s">
        <v>310</v>
      </c>
      <c r="FI340" s="49" t="s">
        <v>332</v>
      </c>
      <c r="FJ340" s="49" t="s">
        <v>303</v>
      </c>
      <c r="FL340" s="49" t="s">
        <v>325</v>
      </c>
      <c r="FM340" s="49" t="s">
        <v>1376</v>
      </c>
      <c r="FP340" s="49" t="s">
        <v>303</v>
      </c>
      <c r="FR340" s="49" t="s">
        <v>303</v>
      </c>
      <c r="FT340" s="49" t="s">
        <v>325</v>
      </c>
      <c r="FU340" s="49" t="s">
        <v>325</v>
      </c>
      <c r="FW340" s="49" t="s">
        <v>333</v>
      </c>
    </row>
    <row r="341" customFormat="false" ht="15" hidden="false" customHeight="false" outlineLevel="0" collapsed="false">
      <c r="A341" s="0" t="n">
        <v>100876499</v>
      </c>
      <c r="B341" s="0" t="s">
        <v>295</v>
      </c>
      <c r="C341" s="0" t="s">
        <v>64</v>
      </c>
      <c r="D341" s="0" t="s">
        <v>65</v>
      </c>
      <c r="E341" s="0" t="s">
        <v>297</v>
      </c>
      <c r="G341" s="0" t="n">
        <v>1</v>
      </c>
      <c r="H341" s="0" t="s">
        <v>298</v>
      </c>
      <c r="I341" s="48" t="n">
        <v>46272</v>
      </c>
      <c r="J341" s="0" t="n">
        <v>1</v>
      </c>
      <c r="K341" s="49" t="s">
        <v>1376</v>
      </c>
      <c r="L341" s="49" t="s">
        <v>1035</v>
      </c>
      <c r="M341" s="48" t="n">
        <v>46282</v>
      </c>
      <c r="N341" s="49" t="s">
        <v>1149</v>
      </c>
      <c r="O341" s="49" t="s">
        <v>1045</v>
      </c>
      <c r="P341" s="48"/>
      <c r="Q341" s="48" t="n">
        <v>46272</v>
      </c>
      <c r="R341" s="48" t="n">
        <v>46278</v>
      </c>
      <c r="T341" s="49" t="s">
        <v>302</v>
      </c>
      <c r="U341" s="49" t="s">
        <v>303</v>
      </c>
      <c r="Y341" s="49" t="s">
        <v>1474</v>
      </c>
      <c r="AD341" s="49" t="s">
        <v>305</v>
      </c>
      <c r="AE341" s="48" t="n">
        <v>46239</v>
      </c>
      <c r="AF341" s="49" t="s">
        <v>306</v>
      </c>
      <c r="AG341" s="49" t="s">
        <v>307</v>
      </c>
      <c r="AK341" s="49" t="s">
        <v>1047</v>
      </c>
      <c r="AL341" s="49" t="s">
        <v>297</v>
      </c>
      <c r="AO341" s="49" t="s">
        <v>303</v>
      </c>
      <c r="AP341" s="48"/>
      <c r="AR341" s="49" t="s">
        <v>303</v>
      </c>
      <c r="AS341" s="49" t="s">
        <v>306</v>
      </c>
      <c r="AT341" s="49" t="s">
        <v>1475</v>
      </c>
      <c r="AV341" s="49" t="s">
        <v>309</v>
      </c>
      <c r="AW341" s="49" t="s">
        <v>310</v>
      </c>
      <c r="AX341" s="49" t="s">
        <v>311</v>
      </c>
      <c r="AY341" s="48"/>
      <c r="AZ341" s="48" t="n">
        <v>46268</v>
      </c>
      <c r="BC341" s="49" t="s">
        <v>303</v>
      </c>
      <c r="BD341" s="48" t="n">
        <v>46283</v>
      </c>
      <c r="BE341" s="49" t="s">
        <v>1476</v>
      </c>
      <c r="BF341" s="49" t="s">
        <v>303</v>
      </c>
      <c r="BG341" s="48"/>
      <c r="BI341" s="48" t="n">
        <v>46283</v>
      </c>
      <c r="BJ341" s="48" t="n">
        <v>46275</v>
      </c>
      <c r="BK341" s="49" t="s">
        <v>313</v>
      </c>
      <c r="BL341" s="49" t="s">
        <v>313</v>
      </c>
      <c r="BM341" s="49" t="s">
        <v>310</v>
      </c>
      <c r="BN341" s="48"/>
      <c r="BO341" s="48"/>
      <c r="BP341" s="48"/>
      <c r="BQ341" s="49" t="s">
        <v>1344</v>
      </c>
      <c r="BR341" s="48" t="n">
        <v>46275</v>
      </c>
      <c r="BS341" s="49" t="s">
        <v>1468</v>
      </c>
      <c r="BT341" s="49" t="s">
        <v>312</v>
      </c>
      <c r="BU341" s="49" t="s">
        <v>313</v>
      </c>
      <c r="BV341" s="49" t="s">
        <v>303</v>
      </c>
      <c r="BX341" s="0" t="n">
        <v>1</v>
      </c>
      <c r="CC341" s="49" t="s">
        <v>315</v>
      </c>
      <c r="CD341" s="49" t="s">
        <v>303</v>
      </c>
      <c r="CF341" s="49" t="s">
        <v>303</v>
      </c>
      <c r="CG341" s="49" t="s">
        <v>316</v>
      </c>
      <c r="CH341" s="49" t="s">
        <v>317</v>
      </c>
      <c r="CI341" s="49" t="s">
        <v>318</v>
      </c>
      <c r="CM341" s="49" t="s">
        <v>65</v>
      </c>
      <c r="CV341" s="49" t="s">
        <v>303</v>
      </c>
      <c r="DB341" s="49" t="s">
        <v>319</v>
      </c>
      <c r="DD341" s="48" t="n">
        <v>46239</v>
      </c>
      <c r="DF341" s="49" t="s">
        <v>310</v>
      </c>
      <c r="DG341" s="49" t="s">
        <v>320</v>
      </c>
      <c r="DH341" s="49" t="s">
        <v>64</v>
      </c>
      <c r="DI341" s="49" t="s">
        <v>298</v>
      </c>
      <c r="DJ341" s="49" t="s">
        <v>394</v>
      </c>
      <c r="DK341" s="49" t="s">
        <v>322</v>
      </c>
      <c r="DL341" s="49" t="s">
        <v>323</v>
      </c>
      <c r="DM341" s="49" t="s">
        <v>303</v>
      </c>
      <c r="DN341" s="49" t="s">
        <v>297</v>
      </c>
      <c r="DO341" s="48"/>
      <c r="DP341" s="49" t="s">
        <v>312</v>
      </c>
      <c r="DQ341" s="48"/>
      <c r="DR341" s="49" t="s">
        <v>312</v>
      </c>
      <c r="DS341" s="49" t="s">
        <v>303</v>
      </c>
      <c r="DT341" s="49" t="s">
        <v>303</v>
      </c>
      <c r="DW341" s="49" t="s">
        <v>303</v>
      </c>
      <c r="EA341" s="49" t="s">
        <v>324</v>
      </c>
      <c r="EB341" s="49" t="s">
        <v>303</v>
      </c>
      <c r="EF341" s="49" t="s">
        <v>1455</v>
      </c>
      <c r="EH341" s="49" t="s">
        <v>310</v>
      </c>
      <c r="EJ341" s="49" t="s">
        <v>303</v>
      </c>
      <c r="EK341" s="49" t="s">
        <v>1477</v>
      </c>
      <c r="EM341" s="49" t="s">
        <v>303</v>
      </c>
      <c r="EN341" s="49" t="s">
        <v>396</v>
      </c>
      <c r="EP341" s="49" t="s">
        <v>298</v>
      </c>
      <c r="EQ341" s="0" t="n">
        <v>1</v>
      </c>
      <c r="ER341" s="49" t="s">
        <v>328</v>
      </c>
      <c r="ES341" s="49" t="s">
        <v>329</v>
      </c>
      <c r="ET341" s="49" t="s">
        <v>310</v>
      </c>
      <c r="EU341" s="49" t="s">
        <v>310</v>
      </c>
      <c r="EV341" s="49" t="s">
        <v>310</v>
      </c>
      <c r="EX341" s="49" t="s">
        <v>303</v>
      </c>
      <c r="EY341" s="49" t="s">
        <v>303</v>
      </c>
      <c r="FC341" s="49" t="s">
        <v>330</v>
      </c>
      <c r="FD341" s="49" t="s">
        <v>310</v>
      </c>
      <c r="FE341" s="49" t="s">
        <v>310</v>
      </c>
      <c r="FF341" s="49" t="s">
        <v>64</v>
      </c>
      <c r="FG341" s="49" t="s">
        <v>397</v>
      </c>
      <c r="FH341" s="49" t="s">
        <v>310</v>
      </c>
      <c r="FI341" s="49" t="s">
        <v>332</v>
      </c>
      <c r="FJ341" s="49" t="s">
        <v>303</v>
      </c>
      <c r="FL341" s="49" t="s">
        <v>325</v>
      </c>
      <c r="FM341" s="49" t="s">
        <v>1376</v>
      </c>
      <c r="FP341" s="49" t="s">
        <v>303</v>
      </c>
      <c r="FR341" s="49" t="s">
        <v>303</v>
      </c>
      <c r="FT341" s="49" t="s">
        <v>325</v>
      </c>
      <c r="FU341" s="49" t="s">
        <v>325</v>
      </c>
      <c r="FW341" s="49" t="s">
        <v>333</v>
      </c>
    </row>
    <row r="342" customFormat="false" ht="15" hidden="false" customHeight="false" outlineLevel="0" collapsed="false">
      <c r="A342" s="0" t="n">
        <v>100876500</v>
      </c>
      <c r="B342" s="0" t="s">
        <v>295</v>
      </c>
      <c r="C342" s="0" t="s">
        <v>64</v>
      </c>
      <c r="D342" s="0" t="s">
        <v>65</v>
      </c>
      <c r="E342" s="0" t="s">
        <v>297</v>
      </c>
      <c r="G342" s="0" t="n">
        <v>1</v>
      </c>
      <c r="H342" s="0" t="s">
        <v>298</v>
      </c>
      <c r="I342" s="48" t="n">
        <v>46272</v>
      </c>
      <c r="J342" s="0" t="n">
        <v>1</v>
      </c>
      <c r="K342" s="49" t="s">
        <v>1376</v>
      </c>
      <c r="L342" s="49" t="s">
        <v>1035</v>
      </c>
      <c r="M342" s="48" t="n">
        <v>46282</v>
      </c>
      <c r="N342" s="49" t="s">
        <v>1149</v>
      </c>
      <c r="O342" s="49" t="s">
        <v>1045</v>
      </c>
      <c r="P342" s="48"/>
      <c r="Q342" s="48" t="n">
        <v>46272</v>
      </c>
      <c r="R342" s="48" t="n">
        <v>46278</v>
      </c>
      <c r="T342" s="49" t="s">
        <v>302</v>
      </c>
      <c r="U342" s="49" t="s">
        <v>303</v>
      </c>
      <c r="Y342" s="49" t="s">
        <v>1478</v>
      </c>
      <c r="AD342" s="49" t="s">
        <v>305</v>
      </c>
      <c r="AE342" s="48" t="n">
        <v>46239</v>
      </c>
      <c r="AF342" s="49" t="s">
        <v>306</v>
      </c>
      <c r="AG342" s="49" t="s">
        <v>307</v>
      </c>
      <c r="AK342" s="49" t="s">
        <v>1047</v>
      </c>
      <c r="AL342" s="49" t="s">
        <v>297</v>
      </c>
      <c r="AO342" s="49" t="s">
        <v>303</v>
      </c>
      <c r="AP342" s="48"/>
      <c r="AR342" s="49" t="s">
        <v>303</v>
      </c>
      <c r="AS342" s="49" t="s">
        <v>306</v>
      </c>
      <c r="AT342" s="49" t="s">
        <v>1479</v>
      </c>
      <c r="AV342" s="49" t="s">
        <v>309</v>
      </c>
      <c r="AW342" s="49" t="s">
        <v>310</v>
      </c>
      <c r="AX342" s="49" t="s">
        <v>311</v>
      </c>
      <c r="AY342" s="48"/>
      <c r="AZ342" s="48" t="n">
        <v>46268</v>
      </c>
      <c r="BC342" s="49" t="s">
        <v>303</v>
      </c>
      <c r="BD342" s="48" t="n">
        <v>46283</v>
      </c>
      <c r="BE342" s="49" t="s">
        <v>1480</v>
      </c>
      <c r="BF342" s="49" t="s">
        <v>303</v>
      </c>
      <c r="BG342" s="48"/>
      <c r="BI342" s="48" t="n">
        <v>46283</v>
      </c>
      <c r="BJ342" s="48" t="n">
        <v>46275</v>
      </c>
      <c r="BK342" s="49" t="s">
        <v>313</v>
      </c>
      <c r="BL342" s="49" t="s">
        <v>313</v>
      </c>
      <c r="BM342" s="49" t="s">
        <v>310</v>
      </c>
      <c r="BN342" s="48"/>
      <c r="BO342" s="48"/>
      <c r="BP342" s="48"/>
      <c r="BQ342" s="49" t="s">
        <v>1344</v>
      </c>
      <c r="BR342" s="48" t="n">
        <v>46275</v>
      </c>
      <c r="BS342" s="49" t="s">
        <v>1481</v>
      </c>
      <c r="BT342" s="49" t="s">
        <v>312</v>
      </c>
      <c r="BU342" s="49" t="s">
        <v>313</v>
      </c>
      <c r="BV342" s="49" t="s">
        <v>303</v>
      </c>
      <c r="BX342" s="0" t="n">
        <v>1</v>
      </c>
      <c r="CC342" s="49" t="s">
        <v>315</v>
      </c>
      <c r="CD342" s="49" t="s">
        <v>303</v>
      </c>
      <c r="CF342" s="49" t="s">
        <v>303</v>
      </c>
      <c r="CG342" s="49" t="s">
        <v>316</v>
      </c>
      <c r="CH342" s="49" t="s">
        <v>317</v>
      </c>
      <c r="CI342" s="49" t="s">
        <v>318</v>
      </c>
      <c r="CM342" s="49" t="s">
        <v>65</v>
      </c>
      <c r="CV342" s="49" t="s">
        <v>303</v>
      </c>
      <c r="DB342" s="49" t="s">
        <v>319</v>
      </c>
      <c r="DD342" s="48" t="n">
        <v>46239</v>
      </c>
      <c r="DF342" s="49" t="s">
        <v>310</v>
      </c>
      <c r="DG342" s="49" t="s">
        <v>320</v>
      </c>
      <c r="DH342" s="49" t="s">
        <v>64</v>
      </c>
      <c r="DI342" s="49" t="s">
        <v>298</v>
      </c>
      <c r="DJ342" s="49" t="s">
        <v>394</v>
      </c>
      <c r="DK342" s="49" t="s">
        <v>322</v>
      </c>
      <c r="DL342" s="49" t="s">
        <v>323</v>
      </c>
      <c r="DM342" s="49" t="s">
        <v>303</v>
      </c>
      <c r="DN342" s="49" t="s">
        <v>297</v>
      </c>
      <c r="DO342" s="48"/>
      <c r="DP342" s="49" t="s">
        <v>312</v>
      </c>
      <c r="DQ342" s="48"/>
      <c r="DR342" s="49" t="s">
        <v>312</v>
      </c>
      <c r="DS342" s="49" t="s">
        <v>303</v>
      </c>
      <c r="DT342" s="49" t="s">
        <v>303</v>
      </c>
      <c r="DW342" s="49" t="s">
        <v>303</v>
      </c>
      <c r="EA342" s="49" t="s">
        <v>324</v>
      </c>
      <c r="EB342" s="49" t="s">
        <v>303</v>
      </c>
      <c r="EF342" s="49" t="s">
        <v>1455</v>
      </c>
      <c r="EH342" s="49" t="s">
        <v>310</v>
      </c>
      <c r="EJ342" s="49" t="s">
        <v>303</v>
      </c>
      <c r="EK342" s="49" t="s">
        <v>1482</v>
      </c>
      <c r="EM342" s="49" t="s">
        <v>303</v>
      </c>
      <c r="EN342" s="49" t="s">
        <v>396</v>
      </c>
      <c r="EP342" s="49" t="s">
        <v>298</v>
      </c>
      <c r="EQ342" s="0" t="n">
        <v>1</v>
      </c>
      <c r="ER342" s="49" t="s">
        <v>328</v>
      </c>
      <c r="ES342" s="49" t="s">
        <v>329</v>
      </c>
      <c r="ET342" s="49" t="s">
        <v>310</v>
      </c>
      <c r="EU342" s="49" t="s">
        <v>310</v>
      </c>
      <c r="EV342" s="49" t="s">
        <v>310</v>
      </c>
      <c r="EX342" s="49" t="s">
        <v>303</v>
      </c>
      <c r="EY342" s="49" t="s">
        <v>303</v>
      </c>
      <c r="FC342" s="49" t="s">
        <v>330</v>
      </c>
      <c r="FD342" s="49" t="s">
        <v>310</v>
      </c>
      <c r="FE342" s="49" t="s">
        <v>310</v>
      </c>
      <c r="FF342" s="49" t="s">
        <v>64</v>
      </c>
      <c r="FG342" s="49" t="s">
        <v>397</v>
      </c>
      <c r="FH342" s="49" t="s">
        <v>310</v>
      </c>
      <c r="FI342" s="49" t="s">
        <v>332</v>
      </c>
      <c r="FJ342" s="49" t="s">
        <v>303</v>
      </c>
      <c r="FL342" s="49" t="s">
        <v>325</v>
      </c>
      <c r="FM342" s="49" t="s">
        <v>1376</v>
      </c>
      <c r="FP342" s="49" t="s">
        <v>303</v>
      </c>
      <c r="FR342" s="49" t="s">
        <v>303</v>
      </c>
      <c r="FT342" s="49" t="s">
        <v>325</v>
      </c>
      <c r="FU342" s="49" t="s">
        <v>325</v>
      </c>
      <c r="FW342" s="49" t="s">
        <v>333</v>
      </c>
    </row>
    <row r="343" customFormat="false" ht="15" hidden="false" customHeight="false" outlineLevel="0" collapsed="false">
      <c r="A343" s="0" t="n">
        <v>100876501</v>
      </c>
      <c r="B343" s="0" t="s">
        <v>295</v>
      </c>
      <c r="C343" s="0" t="s">
        <v>64</v>
      </c>
      <c r="D343" s="0" t="s">
        <v>65</v>
      </c>
      <c r="E343" s="0" t="s">
        <v>297</v>
      </c>
      <c r="G343" s="0" t="n">
        <v>1</v>
      </c>
      <c r="H343" s="0" t="s">
        <v>298</v>
      </c>
      <c r="I343" s="48" t="n">
        <v>46272</v>
      </c>
      <c r="J343" s="0" t="n">
        <v>1</v>
      </c>
      <c r="K343" s="49" t="s">
        <v>1376</v>
      </c>
      <c r="L343" s="49" t="s">
        <v>1035</v>
      </c>
      <c r="M343" s="48" t="n">
        <v>46282</v>
      </c>
      <c r="N343" s="49" t="s">
        <v>1149</v>
      </c>
      <c r="O343" s="49" t="s">
        <v>1045</v>
      </c>
      <c r="P343" s="48"/>
      <c r="Q343" s="48" t="n">
        <v>46272</v>
      </c>
      <c r="R343" s="48" t="n">
        <v>46278</v>
      </c>
      <c r="T343" s="49" t="s">
        <v>302</v>
      </c>
      <c r="U343" s="49" t="s">
        <v>303</v>
      </c>
      <c r="Y343" s="49" t="s">
        <v>1483</v>
      </c>
      <c r="AD343" s="49" t="s">
        <v>305</v>
      </c>
      <c r="AE343" s="48" t="n">
        <v>46239</v>
      </c>
      <c r="AF343" s="49" t="s">
        <v>306</v>
      </c>
      <c r="AG343" s="49" t="s">
        <v>307</v>
      </c>
      <c r="AK343" s="49" t="s">
        <v>1047</v>
      </c>
      <c r="AL343" s="49" t="s">
        <v>297</v>
      </c>
      <c r="AO343" s="49" t="s">
        <v>303</v>
      </c>
      <c r="AP343" s="48"/>
      <c r="AR343" s="49" t="s">
        <v>303</v>
      </c>
      <c r="AS343" s="49" t="s">
        <v>306</v>
      </c>
      <c r="AT343" s="49" t="s">
        <v>1484</v>
      </c>
      <c r="AV343" s="49" t="s">
        <v>309</v>
      </c>
      <c r="AW343" s="49" t="s">
        <v>310</v>
      </c>
      <c r="AX343" s="49" t="s">
        <v>311</v>
      </c>
      <c r="AY343" s="48"/>
      <c r="AZ343" s="48" t="n">
        <v>46268</v>
      </c>
      <c r="BC343" s="49" t="s">
        <v>303</v>
      </c>
      <c r="BD343" s="48" t="n">
        <v>46283</v>
      </c>
      <c r="BE343" s="49" t="s">
        <v>1485</v>
      </c>
      <c r="BF343" s="49" t="s">
        <v>303</v>
      </c>
      <c r="BG343" s="48"/>
      <c r="BI343" s="48" t="n">
        <v>46283</v>
      </c>
      <c r="BJ343" s="48" t="n">
        <v>46275</v>
      </c>
      <c r="BK343" s="49" t="s">
        <v>313</v>
      </c>
      <c r="BL343" s="49" t="s">
        <v>313</v>
      </c>
      <c r="BM343" s="49" t="s">
        <v>310</v>
      </c>
      <c r="BN343" s="48"/>
      <c r="BO343" s="48"/>
      <c r="BP343" s="48"/>
      <c r="BQ343" s="49" t="s">
        <v>1344</v>
      </c>
      <c r="BR343" s="48" t="n">
        <v>46275</v>
      </c>
      <c r="BS343" s="49" t="s">
        <v>1481</v>
      </c>
      <c r="BT343" s="49" t="s">
        <v>312</v>
      </c>
      <c r="BU343" s="49" t="s">
        <v>313</v>
      </c>
      <c r="BV343" s="49" t="s">
        <v>303</v>
      </c>
      <c r="BX343" s="0" t="n">
        <v>1</v>
      </c>
      <c r="CC343" s="49" t="s">
        <v>315</v>
      </c>
      <c r="CD343" s="49" t="s">
        <v>303</v>
      </c>
      <c r="CF343" s="49" t="s">
        <v>303</v>
      </c>
      <c r="CG343" s="49" t="s">
        <v>316</v>
      </c>
      <c r="CH343" s="49" t="s">
        <v>317</v>
      </c>
      <c r="CI343" s="49" t="s">
        <v>318</v>
      </c>
      <c r="CM343" s="49" t="s">
        <v>65</v>
      </c>
      <c r="CV343" s="49" t="s">
        <v>303</v>
      </c>
      <c r="DB343" s="49" t="s">
        <v>319</v>
      </c>
      <c r="DD343" s="48" t="n">
        <v>46239</v>
      </c>
      <c r="DF343" s="49" t="s">
        <v>310</v>
      </c>
      <c r="DG343" s="49" t="s">
        <v>320</v>
      </c>
      <c r="DH343" s="49" t="s">
        <v>64</v>
      </c>
      <c r="DI343" s="49" t="s">
        <v>298</v>
      </c>
      <c r="DJ343" s="49" t="s">
        <v>394</v>
      </c>
      <c r="DK343" s="49" t="s">
        <v>322</v>
      </c>
      <c r="DL343" s="49" t="s">
        <v>323</v>
      </c>
      <c r="DM343" s="49" t="s">
        <v>303</v>
      </c>
      <c r="DN343" s="49" t="s">
        <v>297</v>
      </c>
      <c r="DO343" s="48"/>
      <c r="DP343" s="49" t="s">
        <v>312</v>
      </c>
      <c r="DQ343" s="48"/>
      <c r="DR343" s="49" t="s">
        <v>312</v>
      </c>
      <c r="DS343" s="49" t="s">
        <v>303</v>
      </c>
      <c r="DT343" s="49" t="s">
        <v>303</v>
      </c>
      <c r="DW343" s="49" t="s">
        <v>303</v>
      </c>
      <c r="EA343" s="49" t="s">
        <v>324</v>
      </c>
      <c r="EB343" s="49" t="s">
        <v>303</v>
      </c>
      <c r="EF343" s="49" t="s">
        <v>1455</v>
      </c>
      <c r="EH343" s="49" t="s">
        <v>310</v>
      </c>
      <c r="EJ343" s="49" t="s">
        <v>303</v>
      </c>
      <c r="EK343" s="49" t="s">
        <v>1486</v>
      </c>
      <c r="EM343" s="49" t="s">
        <v>303</v>
      </c>
      <c r="EN343" s="49" t="s">
        <v>396</v>
      </c>
      <c r="EP343" s="49" t="s">
        <v>298</v>
      </c>
      <c r="EQ343" s="0" t="n">
        <v>1</v>
      </c>
      <c r="ER343" s="49" t="s">
        <v>328</v>
      </c>
      <c r="ES343" s="49" t="s">
        <v>329</v>
      </c>
      <c r="ET343" s="49" t="s">
        <v>310</v>
      </c>
      <c r="EU343" s="49" t="s">
        <v>310</v>
      </c>
      <c r="EV343" s="49" t="s">
        <v>310</v>
      </c>
      <c r="EX343" s="49" t="s">
        <v>303</v>
      </c>
      <c r="EY343" s="49" t="s">
        <v>303</v>
      </c>
      <c r="FC343" s="49" t="s">
        <v>330</v>
      </c>
      <c r="FD343" s="49" t="s">
        <v>310</v>
      </c>
      <c r="FE343" s="49" t="s">
        <v>310</v>
      </c>
      <c r="FF343" s="49" t="s">
        <v>64</v>
      </c>
      <c r="FG343" s="49" t="s">
        <v>397</v>
      </c>
      <c r="FH343" s="49" t="s">
        <v>310</v>
      </c>
      <c r="FI343" s="49" t="s">
        <v>332</v>
      </c>
      <c r="FJ343" s="49" t="s">
        <v>303</v>
      </c>
      <c r="FL343" s="49" t="s">
        <v>325</v>
      </c>
      <c r="FM343" s="49" t="s">
        <v>1376</v>
      </c>
      <c r="FP343" s="49" t="s">
        <v>303</v>
      </c>
      <c r="FR343" s="49" t="s">
        <v>303</v>
      </c>
      <c r="FT343" s="49" t="s">
        <v>325</v>
      </c>
      <c r="FU343" s="49" t="s">
        <v>325</v>
      </c>
      <c r="FW343" s="49" t="s">
        <v>333</v>
      </c>
    </row>
    <row r="344" customFormat="false" ht="15" hidden="false" customHeight="false" outlineLevel="0" collapsed="false">
      <c r="A344" s="0" t="n">
        <v>100876502</v>
      </c>
      <c r="B344" s="0" t="s">
        <v>295</v>
      </c>
      <c r="C344" s="0" t="s">
        <v>64</v>
      </c>
      <c r="D344" s="0" t="s">
        <v>65</v>
      </c>
      <c r="E344" s="0" t="s">
        <v>297</v>
      </c>
      <c r="G344" s="0" t="n">
        <v>1</v>
      </c>
      <c r="H344" s="0" t="s">
        <v>298</v>
      </c>
      <c r="I344" s="48" t="n">
        <v>46272</v>
      </c>
      <c r="J344" s="0" t="n">
        <v>1</v>
      </c>
      <c r="K344" s="49" t="s">
        <v>1376</v>
      </c>
      <c r="L344" s="49" t="s">
        <v>1035</v>
      </c>
      <c r="M344" s="48" t="n">
        <v>46282</v>
      </c>
      <c r="N344" s="49" t="s">
        <v>1149</v>
      </c>
      <c r="O344" s="49" t="s">
        <v>1045</v>
      </c>
      <c r="P344" s="48"/>
      <c r="Q344" s="48" t="n">
        <v>46272</v>
      </c>
      <c r="R344" s="48" t="n">
        <v>46278</v>
      </c>
      <c r="T344" s="49" t="s">
        <v>302</v>
      </c>
      <c r="U344" s="49" t="s">
        <v>303</v>
      </c>
      <c r="Y344" s="49" t="s">
        <v>1487</v>
      </c>
      <c r="AD344" s="49" t="s">
        <v>305</v>
      </c>
      <c r="AE344" s="48" t="n">
        <v>46239</v>
      </c>
      <c r="AF344" s="49" t="s">
        <v>306</v>
      </c>
      <c r="AG344" s="49" t="s">
        <v>307</v>
      </c>
      <c r="AK344" s="49" t="s">
        <v>1047</v>
      </c>
      <c r="AL344" s="49" t="s">
        <v>297</v>
      </c>
      <c r="AO344" s="49" t="s">
        <v>303</v>
      </c>
      <c r="AP344" s="48"/>
      <c r="AR344" s="49" t="s">
        <v>303</v>
      </c>
      <c r="AS344" s="49" t="s">
        <v>306</v>
      </c>
      <c r="AT344" s="49" t="s">
        <v>1488</v>
      </c>
      <c r="AV344" s="49" t="s">
        <v>309</v>
      </c>
      <c r="AW344" s="49" t="s">
        <v>310</v>
      </c>
      <c r="AX344" s="49" t="s">
        <v>311</v>
      </c>
      <c r="AY344" s="48"/>
      <c r="AZ344" s="48" t="n">
        <v>46268</v>
      </c>
      <c r="BC344" s="49" t="s">
        <v>303</v>
      </c>
      <c r="BD344" s="48" t="n">
        <v>46283</v>
      </c>
      <c r="BE344" s="49" t="s">
        <v>1489</v>
      </c>
      <c r="BF344" s="49" t="s">
        <v>303</v>
      </c>
      <c r="BG344" s="48"/>
      <c r="BI344" s="48" t="n">
        <v>46283</v>
      </c>
      <c r="BJ344" s="48" t="n">
        <v>46275</v>
      </c>
      <c r="BK344" s="49" t="s">
        <v>313</v>
      </c>
      <c r="BL344" s="49" t="s">
        <v>313</v>
      </c>
      <c r="BM344" s="49" t="s">
        <v>310</v>
      </c>
      <c r="BN344" s="48"/>
      <c r="BO344" s="48"/>
      <c r="BP344" s="48"/>
      <c r="BQ344" s="49" t="s">
        <v>1344</v>
      </c>
      <c r="BR344" s="48" t="n">
        <v>46275</v>
      </c>
      <c r="BS344" s="49" t="s">
        <v>1481</v>
      </c>
      <c r="BT344" s="49" t="s">
        <v>312</v>
      </c>
      <c r="BU344" s="49" t="s">
        <v>313</v>
      </c>
      <c r="BV344" s="49" t="s">
        <v>303</v>
      </c>
      <c r="BX344" s="0" t="n">
        <v>1</v>
      </c>
      <c r="CC344" s="49" t="s">
        <v>315</v>
      </c>
      <c r="CD344" s="49" t="s">
        <v>303</v>
      </c>
      <c r="CF344" s="49" t="s">
        <v>303</v>
      </c>
      <c r="CG344" s="49" t="s">
        <v>316</v>
      </c>
      <c r="CH344" s="49" t="s">
        <v>317</v>
      </c>
      <c r="CI344" s="49" t="s">
        <v>318</v>
      </c>
      <c r="CM344" s="49" t="s">
        <v>65</v>
      </c>
      <c r="CV344" s="49" t="s">
        <v>303</v>
      </c>
      <c r="DB344" s="49" t="s">
        <v>319</v>
      </c>
      <c r="DD344" s="48" t="n">
        <v>46239</v>
      </c>
      <c r="DF344" s="49" t="s">
        <v>310</v>
      </c>
      <c r="DG344" s="49" t="s">
        <v>320</v>
      </c>
      <c r="DH344" s="49" t="s">
        <v>64</v>
      </c>
      <c r="DI344" s="49" t="s">
        <v>298</v>
      </c>
      <c r="DJ344" s="49" t="s">
        <v>394</v>
      </c>
      <c r="DK344" s="49" t="s">
        <v>322</v>
      </c>
      <c r="DL344" s="49" t="s">
        <v>323</v>
      </c>
      <c r="DM344" s="49" t="s">
        <v>303</v>
      </c>
      <c r="DN344" s="49" t="s">
        <v>297</v>
      </c>
      <c r="DO344" s="48"/>
      <c r="DP344" s="49" t="s">
        <v>312</v>
      </c>
      <c r="DQ344" s="48"/>
      <c r="DR344" s="49" t="s">
        <v>312</v>
      </c>
      <c r="DS344" s="49" t="s">
        <v>303</v>
      </c>
      <c r="DT344" s="49" t="s">
        <v>303</v>
      </c>
      <c r="DW344" s="49" t="s">
        <v>303</v>
      </c>
      <c r="EA344" s="49" t="s">
        <v>324</v>
      </c>
      <c r="EB344" s="49" t="s">
        <v>303</v>
      </c>
      <c r="EF344" s="49" t="s">
        <v>1455</v>
      </c>
      <c r="EH344" s="49" t="s">
        <v>310</v>
      </c>
      <c r="EJ344" s="49" t="s">
        <v>303</v>
      </c>
      <c r="EK344" s="49" t="s">
        <v>1490</v>
      </c>
      <c r="EM344" s="49" t="s">
        <v>303</v>
      </c>
      <c r="EN344" s="49" t="s">
        <v>396</v>
      </c>
      <c r="EP344" s="49" t="s">
        <v>298</v>
      </c>
      <c r="EQ344" s="0" t="n">
        <v>1</v>
      </c>
      <c r="ER344" s="49" t="s">
        <v>328</v>
      </c>
      <c r="ES344" s="49" t="s">
        <v>329</v>
      </c>
      <c r="ET344" s="49" t="s">
        <v>310</v>
      </c>
      <c r="EU344" s="49" t="s">
        <v>310</v>
      </c>
      <c r="EV344" s="49" t="s">
        <v>310</v>
      </c>
      <c r="EX344" s="49" t="s">
        <v>303</v>
      </c>
      <c r="EY344" s="49" t="s">
        <v>303</v>
      </c>
      <c r="FC344" s="49" t="s">
        <v>330</v>
      </c>
      <c r="FD344" s="49" t="s">
        <v>310</v>
      </c>
      <c r="FE344" s="49" t="s">
        <v>310</v>
      </c>
      <c r="FF344" s="49" t="s">
        <v>64</v>
      </c>
      <c r="FG344" s="49" t="s">
        <v>397</v>
      </c>
      <c r="FH344" s="49" t="s">
        <v>310</v>
      </c>
      <c r="FI344" s="49" t="s">
        <v>332</v>
      </c>
      <c r="FJ344" s="49" t="s">
        <v>303</v>
      </c>
      <c r="FL344" s="49" t="s">
        <v>325</v>
      </c>
      <c r="FM344" s="49" t="s">
        <v>1376</v>
      </c>
      <c r="FP344" s="49" t="s">
        <v>303</v>
      </c>
      <c r="FR344" s="49" t="s">
        <v>303</v>
      </c>
      <c r="FT344" s="49" t="s">
        <v>325</v>
      </c>
      <c r="FU344" s="49" t="s">
        <v>325</v>
      </c>
      <c r="FW344" s="49" t="s">
        <v>333</v>
      </c>
    </row>
    <row r="345" customFormat="false" ht="15" hidden="false" customHeight="false" outlineLevel="0" collapsed="false">
      <c r="A345" s="0" t="n">
        <v>100876359</v>
      </c>
      <c r="B345" s="0" t="s">
        <v>295</v>
      </c>
      <c r="C345" s="0" t="s">
        <v>75</v>
      </c>
      <c r="D345" s="0" t="s">
        <v>492</v>
      </c>
      <c r="E345" s="0" t="s">
        <v>297</v>
      </c>
      <c r="G345" s="0" t="n">
        <v>1</v>
      </c>
      <c r="H345" s="0" t="s">
        <v>298</v>
      </c>
      <c r="I345" s="48" t="n">
        <v>46270</v>
      </c>
      <c r="J345" s="0" t="n">
        <v>0</v>
      </c>
      <c r="K345" s="49" t="s">
        <v>1491</v>
      </c>
      <c r="L345" s="49" t="s">
        <v>1035</v>
      </c>
      <c r="M345" s="48" t="n">
        <v>46270</v>
      </c>
      <c r="N345" s="49" t="s">
        <v>1035</v>
      </c>
      <c r="O345" s="49" t="s">
        <v>1083</v>
      </c>
      <c r="P345" s="48"/>
      <c r="Q345" s="48" t="n">
        <v>46270</v>
      </c>
      <c r="R345" s="48" t="n">
        <v>46277</v>
      </c>
      <c r="T345" s="49" t="s">
        <v>302</v>
      </c>
      <c r="U345" s="49" t="s">
        <v>303</v>
      </c>
      <c r="Y345" s="49" t="s">
        <v>1492</v>
      </c>
      <c r="AD345" s="49" t="s">
        <v>305</v>
      </c>
      <c r="AE345" s="48" t="n">
        <v>46233</v>
      </c>
      <c r="AF345" s="49" t="s">
        <v>306</v>
      </c>
      <c r="AG345" s="49" t="s">
        <v>307</v>
      </c>
      <c r="AK345" s="49" t="s">
        <v>303</v>
      </c>
      <c r="AL345" s="49" t="s">
        <v>297</v>
      </c>
      <c r="AO345" s="49" t="s">
        <v>303</v>
      </c>
      <c r="AP345" s="48"/>
      <c r="AR345" s="49" t="s">
        <v>303</v>
      </c>
      <c r="AS345" s="49" t="s">
        <v>306</v>
      </c>
      <c r="AT345" s="49" t="s">
        <v>1493</v>
      </c>
      <c r="AV345" s="49" t="s">
        <v>309</v>
      </c>
      <c r="AW345" s="49" t="s">
        <v>310</v>
      </c>
      <c r="AX345" s="49" t="s">
        <v>311</v>
      </c>
      <c r="AY345" s="48"/>
      <c r="AZ345" s="48" t="n">
        <v>46268</v>
      </c>
      <c r="BC345" s="49" t="s">
        <v>303</v>
      </c>
      <c r="BD345" s="48"/>
      <c r="BE345" s="49" t="s">
        <v>312</v>
      </c>
      <c r="BF345" s="49" t="s">
        <v>303</v>
      </c>
      <c r="BG345" s="48"/>
      <c r="BI345" s="48"/>
      <c r="BJ345" s="48" t="n">
        <v>46275</v>
      </c>
      <c r="BK345" s="49" t="s">
        <v>312</v>
      </c>
      <c r="BL345" s="49" t="s">
        <v>313</v>
      </c>
      <c r="BM345" s="49" t="s">
        <v>310</v>
      </c>
      <c r="BN345" s="48"/>
      <c r="BO345" s="48"/>
      <c r="BP345" s="48"/>
      <c r="BQ345" s="49" t="s">
        <v>1136</v>
      </c>
      <c r="BR345" s="48" t="n">
        <v>46275</v>
      </c>
      <c r="BS345" s="49" t="s">
        <v>1494</v>
      </c>
      <c r="BT345" s="49" t="s">
        <v>312</v>
      </c>
      <c r="BU345" s="49" t="s">
        <v>313</v>
      </c>
      <c r="BV345" s="49" t="s">
        <v>303</v>
      </c>
      <c r="BX345" s="0" t="n">
        <v>0</v>
      </c>
      <c r="CC345" s="49" t="s">
        <v>315</v>
      </c>
      <c r="CD345" s="49" t="s">
        <v>303</v>
      </c>
      <c r="CF345" s="49" t="s">
        <v>303</v>
      </c>
      <c r="CG345" s="49" t="s">
        <v>316</v>
      </c>
      <c r="CH345" s="49" t="s">
        <v>317</v>
      </c>
      <c r="CI345" s="49" t="s">
        <v>318</v>
      </c>
      <c r="CM345" s="49" t="s">
        <v>492</v>
      </c>
      <c r="CV345" s="49" t="s">
        <v>303</v>
      </c>
      <c r="DB345" s="49" t="s">
        <v>319</v>
      </c>
      <c r="DD345" s="48" t="n">
        <v>46233</v>
      </c>
      <c r="DF345" s="49" t="s">
        <v>310</v>
      </c>
      <c r="DG345" s="49" t="s">
        <v>320</v>
      </c>
      <c r="DH345" s="49" t="s">
        <v>75</v>
      </c>
      <c r="DI345" s="49" t="s">
        <v>298</v>
      </c>
      <c r="DJ345" s="49" t="s">
        <v>495</v>
      </c>
      <c r="DK345" s="49" t="s">
        <v>322</v>
      </c>
      <c r="DL345" s="49" t="s">
        <v>323</v>
      </c>
      <c r="DM345" s="49" t="s">
        <v>303</v>
      </c>
      <c r="DN345" s="49" t="s">
        <v>297</v>
      </c>
      <c r="DO345" s="48"/>
      <c r="DP345" s="49" t="s">
        <v>312</v>
      </c>
      <c r="DQ345" s="48"/>
      <c r="DR345" s="49" t="s">
        <v>312</v>
      </c>
      <c r="DS345" s="49" t="s">
        <v>303</v>
      </c>
      <c r="DT345" s="49" t="s">
        <v>303</v>
      </c>
      <c r="DW345" s="49" t="s">
        <v>303</v>
      </c>
      <c r="EA345" s="49" t="s">
        <v>324</v>
      </c>
      <c r="EB345" s="49" t="s">
        <v>303</v>
      </c>
      <c r="EH345" s="49" t="s">
        <v>310</v>
      </c>
      <c r="EJ345" s="49" t="s">
        <v>303</v>
      </c>
      <c r="EK345" s="49" t="s">
        <v>1495</v>
      </c>
      <c r="EM345" s="49" t="s">
        <v>303</v>
      </c>
      <c r="EN345" s="49" t="s">
        <v>497</v>
      </c>
      <c r="EP345" s="49" t="s">
        <v>298</v>
      </c>
      <c r="EQ345" s="0" t="n">
        <v>1</v>
      </c>
      <c r="ER345" s="49" t="s">
        <v>328</v>
      </c>
      <c r="ES345" s="49" t="s">
        <v>329</v>
      </c>
      <c r="ET345" s="49" t="s">
        <v>310</v>
      </c>
      <c r="EU345" s="49" t="s">
        <v>310</v>
      </c>
      <c r="EV345" s="49" t="s">
        <v>310</v>
      </c>
      <c r="EX345" s="49" t="s">
        <v>303</v>
      </c>
      <c r="EY345" s="49" t="s">
        <v>303</v>
      </c>
      <c r="FC345" s="49" t="s">
        <v>330</v>
      </c>
      <c r="FD345" s="49" t="s">
        <v>310</v>
      </c>
      <c r="FE345" s="49" t="s">
        <v>310</v>
      </c>
      <c r="FF345" s="49" t="s">
        <v>75</v>
      </c>
      <c r="FG345" s="49" t="s">
        <v>498</v>
      </c>
      <c r="FH345" s="49" t="s">
        <v>310</v>
      </c>
      <c r="FI345" s="49" t="s">
        <v>332</v>
      </c>
      <c r="FJ345" s="49" t="s">
        <v>303</v>
      </c>
      <c r="FL345" s="49" t="s">
        <v>325</v>
      </c>
      <c r="FM345" s="49" t="s">
        <v>1491</v>
      </c>
      <c r="FP345" s="49" t="s">
        <v>303</v>
      </c>
      <c r="FR345" s="49" t="s">
        <v>303</v>
      </c>
      <c r="FT345" s="49" t="s">
        <v>325</v>
      </c>
      <c r="FU345" s="49" t="s">
        <v>325</v>
      </c>
      <c r="FW345" s="49" t="s">
        <v>333</v>
      </c>
      <c r="FX345" s="49" t="s">
        <v>499</v>
      </c>
    </row>
    <row r="346" customFormat="false" ht="15" hidden="false" customHeight="false" outlineLevel="0" collapsed="false">
      <c r="A346" s="0" t="n">
        <v>100876360</v>
      </c>
      <c r="B346" s="0" t="s">
        <v>295</v>
      </c>
      <c r="C346" s="0" t="s">
        <v>77</v>
      </c>
      <c r="D346" s="0" t="s">
        <v>500</v>
      </c>
      <c r="E346" s="0" t="s">
        <v>297</v>
      </c>
      <c r="G346" s="0" t="n">
        <v>1</v>
      </c>
      <c r="H346" s="0" t="s">
        <v>298</v>
      </c>
      <c r="I346" s="48" t="n">
        <v>46270</v>
      </c>
      <c r="J346" s="0" t="n">
        <v>0</v>
      </c>
      <c r="K346" s="49" t="s">
        <v>1491</v>
      </c>
      <c r="L346" s="49" t="s">
        <v>1035</v>
      </c>
      <c r="M346" s="48" t="n">
        <v>46270</v>
      </c>
      <c r="N346" s="49" t="s">
        <v>1035</v>
      </c>
      <c r="O346" s="49" t="s">
        <v>301</v>
      </c>
      <c r="P346" s="48"/>
      <c r="Q346" s="48" t="n">
        <v>46270</v>
      </c>
      <c r="R346" s="48" t="n">
        <v>46277</v>
      </c>
      <c r="T346" s="49" t="s">
        <v>302</v>
      </c>
      <c r="U346" s="49" t="s">
        <v>303</v>
      </c>
      <c r="Y346" s="49" t="s">
        <v>1496</v>
      </c>
      <c r="AD346" s="49" t="s">
        <v>305</v>
      </c>
      <c r="AE346" s="48" t="n">
        <v>46233</v>
      </c>
      <c r="AF346" s="49" t="s">
        <v>306</v>
      </c>
      <c r="AG346" s="49" t="s">
        <v>307</v>
      </c>
      <c r="AK346" s="49" t="s">
        <v>303</v>
      </c>
      <c r="AL346" s="49" t="s">
        <v>297</v>
      </c>
      <c r="AO346" s="49" t="s">
        <v>303</v>
      </c>
      <c r="AP346" s="48"/>
      <c r="AR346" s="49" t="s">
        <v>303</v>
      </c>
      <c r="AS346" s="49" t="s">
        <v>306</v>
      </c>
      <c r="AT346" s="49" t="s">
        <v>1497</v>
      </c>
      <c r="AV346" s="49" t="s">
        <v>309</v>
      </c>
      <c r="AW346" s="49" t="s">
        <v>310</v>
      </c>
      <c r="AX346" s="49" t="s">
        <v>311</v>
      </c>
      <c r="AY346" s="48"/>
      <c r="AZ346" s="48" t="n">
        <v>46268</v>
      </c>
      <c r="BC346" s="49" t="s">
        <v>303</v>
      </c>
      <c r="BD346" s="48"/>
      <c r="BE346" s="49" t="s">
        <v>312</v>
      </c>
      <c r="BF346" s="49" t="s">
        <v>303</v>
      </c>
      <c r="BG346" s="48"/>
      <c r="BI346" s="48"/>
      <c r="BJ346" s="48" t="n">
        <v>46275</v>
      </c>
      <c r="BK346" s="49" t="s">
        <v>312</v>
      </c>
      <c r="BL346" s="49" t="s">
        <v>313</v>
      </c>
      <c r="BM346" s="49" t="s">
        <v>310</v>
      </c>
      <c r="BN346" s="48"/>
      <c r="BO346" s="48"/>
      <c r="BP346" s="48"/>
      <c r="BQ346" s="49" t="s">
        <v>299</v>
      </c>
      <c r="BR346" s="48" t="n">
        <v>46275</v>
      </c>
      <c r="BS346" s="49" t="s">
        <v>1498</v>
      </c>
      <c r="BT346" s="49" t="s">
        <v>312</v>
      </c>
      <c r="BU346" s="49" t="s">
        <v>313</v>
      </c>
      <c r="BV346" s="49" t="s">
        <v>303</v>
      </c>
      <c r="BX346" s="0" t="n">
        <v>0</v>
      </c>
      <c r="CC346" s="49" t="s">
        <v>315</v>
      </c>
      <c r="CD346" s="49" t="s">
        <v>303</v>
      </c>
      <c r="CF346" s="49" t="s">
        <v>303</v>
      </c>
      <c r="CG346" s="49" t="s">
        <v>316</v>
      </c>
      <c r="CH346" s="49" t="s">
        <v>317</v>
      </c>
      <c r="CI346" s="49" t="s">
        <v>318</v>
      </c>
      <c r="CM346" s="49" t="s">
        <v>500</v>
      </c>
      <c r="CV346" s="49" t="s">
        <v>303</v>
      </c>
      <c r="DB346" s="49" t="s">
        <v>319</v>
      </c>
      <c r="DD346" s="48" t="n">
        <v>46233</v>
      </c>
      <c r="DF346" s="49" t="s">
        <v>310</v>
      </c>
      <c r="DG346" s="49" t="s">
        <v>320</v>
      </c>
      <c r="DH346" s="49" t="s">
        <v>77</v>
      </c>
      <c r="DI346" s="49" t="s">
        <v>298</v>
      </c>
      <c r="DJ346" s="49" t="s">
        <v>495</v>
      </c>
      <c r="DK346" s="49" t="s">
        <v>322</v>
      </c>
      <c r="DL346" s="49" t="s">
        <v>323</v>
      </c>
      <c r="DM346" s="49" t="s">
        <v>303</v>
      </c>
      <c r="DN346" s="49" t="s">
        <v>297</v>
      </c>
      <c r="DO346" s="48"/>
      <c r="DP346" s="49" t="s">
        <v>312</v>
      </c>
      <c r="DQ346" s="48"/>
      <c r="DR346" s="49" t="s">
        <v>312</v>
      </c>
      <c r="DS346" s="49" t="s">
        <v>303</v>
      </c>
      <c r="DT346" s="49" t="s">
        <v>303</v>
      </c>
      <c r="DW346" s="49" t="s">
        <v>303</v>
      </c>
      <c r="EA346" s="49" t="s">
        <v>324</v>
      </c>
      <c r="EB346" s="49" t="s">
        <v>303</v>
      </c>
      <c r="EH346" s="49" t="s">
        <v>310</v>
      </c>
      <c r="EJ346" s="49" t="s">
        <v>303</v>
      </c>
      <c r="EK346" s="49" t="s">
        <v>1499</v>
      </c>
      <c r="EM346" s="49" t="s">
        <v>303</v>
      </c>
      <c r="EN346" s="49" t="s">
        <v>504</v>
      </c>
      <c r="EP346" s="49" t="s">
        <v>298</v>
      </c>
      <c r="EQ346" s="0" t="n">
        <v>1</v>
      </c>
      <c r="ER346" s="49" t="s">
        <v>328</v>
      </c>
      <c r="ES346" s="49" t="s">
        <v>329</v>
      </c>
      <c r="ET346" s="49" t="s">
        <v>310</v>
      </c>
      <c r="EU346" s="49" t="s">
        <v>310</v>
      </c>
      <c r="EV346" s="49" t="s">
        <v>310</v>
      </c>
      <c r="EX346" s="49" t="s">
        <v>303</v>
      </c>
      <c r="EY346" s="49" t="s">
        <v>303</v>
      </c>
      <c r="FC346" s="49" t="s">
        <v>330</v>
      </c>
      <c r="FD346" s="49" t="s">
        <v>310</v>
      </c>
      <c r="FE346" s="49" t="s">
        <v>310</v>
      </c>
      <c r="FF346" s="49" t="s">
        <v>77</v>
      </c>
      <c r="FG346" s="49" t="s">
        <v>505</v>
      </c>
      <c r="FH346" s="49" t="s">
        <v>310</v>
      </c>
      <c r="FI346" s="49" t="s">
        <v>332</v>
      </c>
      <c r="FJ346" s="49" t="s">
        <v>303</v>
      </c>
      <c r="FL346" s="49" t="s">
        <v>325</v>
      </c>
      <c r="FM346" s="49" t="s">
        <v>1491</v>
      </c>
      <c r="FP346" s="49" t="s">
        <v>303</v>
      </c>
      <c r="FR346" s="49" t="s">
        <v>303</v>
      </c>
      <c r="FT346" s="49" t="s">
        <v>325</v>
      </c>
      <c r="FU346" s="49" t="s">
        <v>325</v>
      </c>
      <c r="FW346" s="49" t="s">
        <v>333</v>
      </c>
      <c r="FX346" s="49" t="s">
        <v>499</v>
      </c>
    </row>
    <row r="347" customFormat="false" ht="15" hidden="false" customHeight="false" outlineLevel="0" collapsed="false">
      <c r="A347" s="0" t="n">
        <v>100876361</v>
      </c>
      <c r="B347" s="0" t="s">
        <v>295</v>
      </c>
      <c r="C347" s="0" t="s">
        <v>79</v>
      </c>
      <c r="D347" s="0" t="s">
        <v>506</v>
      </c>
      <c r="E347" s="0" t="s">
        <v>297</v>
      </c>
      <c r="G347" s="0" t="n">
        <v>1</v>
      </c>
      <c r="H347" s="0" t="s">
        <v>298</v>
      </c>
      <c r="I347" s="48" t="n">
        <v>46270</v>
      </c>
      <c r="J347" s="0" t="n">
        <v>0</v>
      </c>
      <c r="K347" s="49" t="s">
        <v>1491</v>
      </c>
      <c r="L347" s="49" t="s">
        <v>1035</v>
      </c>
      <c r="M347" s="48" t="n">
        <v>46270</v>
      </c>
      <c r="N347" s="49" t="s">
        <v>1035</v>
      </c>
      <c r="O347" s="49" t="s">
        <v>1083</v>
      </c>
      <c r="P347" s="48"/>
      <c r="Q347" s="48" t="n">
        <v>46270</v>
      </c>
      <c r="R347" s="48" t="n">
        <v>46277</v>
      </c>
      <c r="T347" s="49" t="s">
        <v>302</v>
      </c>
      <c r="U347" s="49" t="s">
        <v>303</v>
      </c>
      <c r="Y347" s="49" t="s">
        <v>1500</v>
      </c>
      <c r="AD347" s="49" t="s">
        <v>305</v>
      </c>
      <c r="AE347" s="48" t="n">
        <v>46233</v>
      </c>
      <c r="AF347" s="49" t="s">
        <v>306</v>
      </c>
      <c r="AG347" s="49" t="s">
        <v>307</v>
      </c>
      <c r="AK347" s="49" t="s">
        <v>303</v>
      </c>
      <c r="AL347" s="49" t="s">
        <v>297</v>
      </c>
      <c r="AO347" s="49" t="s">
        <v>303</v>
      </c>
      <c r="AP347" s="48"/>
      <c r="AR347" s="49" t="s">
        <v>303</v>
      </c>
      <c r="AS347" s="49" t="s">
        <v>306</v>
      </c>
      <c r="AT347" s="49" t="s">
        <v>1501</v>
      </c>
      <c r="AV347" s="49" t="s">
        <v>309</v>
      </c>
      <c r="AW347" s="49" t="s">
        <v>310</v>
      </c>
      <c r="AX347" s="49" t="s">
        <v>311</v>
      </c>
      <c r="AY347" s="48"/>
      <c r="AZ347" s="48" t="n">
        <v>46268</v>
      </c>
      <c r="BC347" s="49" t="s">
        <v>303</v>
      </c>
      <c r="BD347" s="48"/>
      <c r="BE347" s="49" t="s">
        <v>312</v>
      </c>
      <c r="BF347" s="49" t="s">
        <v>303</v>
      </c>
      <c r="BG347" s="48"/>
      <c r="BI347" s="48"/>
      <c r="BJ347" s="48" t="n">
        <v>46275</v>
      </c>
      <c r="BK347" s="49" t="s">
        <v>312</v>
      </c>
      <c r="BL347" s="49" t="s">
        <v>313</v>
      </c>
      <c r="BM347" s="49" t="s">
        <v>310</v>
      </c>
      <c r="BN347" s="48"/>
      <c r="BO347" s="48"/>
      <c r="BP347" s="48"/>
      <c r="BQ347" s="49" t="s">
        <v>1034</v>
      </c>
      <c r="BR347" s="48" t="n">
        <v>46275</v>
      </c>
      <c r="BS347" s="49" t="s">
        <v>1502</v>
      </c>
      <c r="BT347" s="49" t="s">
        <v>312</v>
      </c>
      <c r="BU347" s="49" t="s">
        <v>313</v>
      </c>
      <c r="BV347" s="49" t="s">
        <v>303</v>
      </c>
      <c r="BX347" s="0" t="n">
        <v>0</v>
      </c>
      <c r="CC347" s="49" t="s">
        <v>315</v>
      </c>
      <c r="CD347" s="49" t="s">
        <v>303</v>
      </c>
      <c r="CF347" s="49" t="s">
        <v>303</v>
      </c>
      <c r="CG347" s="49" t="s">
        <v>316</v>
      </c>
      <c r="CH347" s="49" t="s">
        <v>317</v>
      </c>
      <c r="CI347" s="49" t="s">
        <v>318</v>
      </c>
      <c r="CM347" s="49" t="s">
        <v>506</v>
      </c>
      <c r="CV347" s="49" t="s">
        <v>303</v>
      </c>
      <c r="DB347" s="49" t="s">
        <v>319</v>
      </c>
      <c r="DD347" s="48" t="n">
        <v>46233</v>
      </c>
      <c r="DF347" s="49" t="s">
        <v>310</v>
      </c>
      <c r="DG347" s="49" t="s">
        <v>320</v>
      </c>
      <c r="DH347" s="49" t="s">
        <v>79</v>
      </c>
      <c r="DI347" s="49" t="s">
        <v>298</v>
      </c>
      <c r="DJ347" s="49" t="s">
        <v>495</v>
      </c>
      <c r="DK347" s="49" t="s">
        <v>322</v>
      </c>
      <c r="DL347" s="49" t="s">
        <v>323</v>
      </c>
      <c r="DM347" s="49" t="s">
        <v>303</v>
      </c>
      <c r="DN347" s="49" t="s">
        <v>297</v>
      </c>
      <c r="DO347" s="48"/>
      <c r="DP347" s="49" t="s">
        <v>312</v>
      </c>
      <c r="DQ347" s="48"/>
      <c r="DR347" s="49" t="s">
        <v>312</v>
      </c>
      <c r="DS347" s="49" t="s">
        <v>303</v>
      </c>
      <c r="DT347" s="49" t="s">
        <v>303</v>
      </c>
      <c r="DW347" s="49" t="s">
        <v>303</v>
      </c>
      <c r="EA347" s="49" t="s">
        <v>324</v>
      </c>
      <c r="EB347" s="49" t="s">
        <v>303</v>
      </c>
      <c r="EH347" s="49" t="s">
        <v>310</v>
      </c>
      <c r="EJ347" s="49" t="s">
        <v>303</v>
      </c>
      <c r="EK347" s="49" t="s">
        <v>1503</v>
      </c>
      <c r="EM347" s="49" t="s">
        <v>303</v>
      </c>
      <c r="EN347" s="49" t="s">
        <v>510</v>
      </c>
      <c r="EP347" s="49" t="s">
        <v>298</v>
      </c>
      <c r="EQ347" s="0" t="n">
        <v>1</v>
      </c>
      <c r="ER347" s="49" t="s">
        <v>328</v>
      </c>
      <c r="ES347" s="49" t="s">
        <v>329</v>
      </c>
      <c r="ET347" s="49" t="s">
        <v>310</v>
      </c>
      <c r="EU347" s="49" t="s">
        <v>310</v>
      </c>
      <c r="EV347" s="49" t="s">
        <v>310</v>
      </c>
      <c r="EX347" s="49" t="s">
        <v>303</v>
      </c>
      <c r="EY347" s="49" t="s">
        <v>303</v>
      </c>
      <c r="FC347" s="49" t="s">
        <v>330</v>
      </c>
      <c r="FD347" s="49" t="s">
        <v>310</v>
      </c>
      <c r="FE347" s="49" t="s">
        <v>310</v>
      </c>
      <c r="FF347" s="49" t="s">
        <v>79</v>
      </c>
      <c r="FG347" s="49" t="s">
        <v>511</v>
      </c>
      <c r="FH347" s="49" t="s">
        <v>310</v>
      </c>
      <c r="FI347" s="49" t="s">
        <v>332</v>
      </c>
      <c r="FJ347" s="49" t="s">
        <v>303</v>
      </c>
      <c r="FL347" s="49" t="s">
        <v>325</v>
      </c>
      <c r="FM347" s="49" t="s">
        <v>1491</v>
      </c>
      <c r="FP347" s="49" t="s">
        <v>303</v>
      </c>
      <c r="FR347" s="49" t="s">
        <v>303</v>
      </c>
      <c r="FT347" s="49" t="s">
        <v>325</v>
      </c>
      <c r="FU347" s="49" t="s">
        <v>325</v>
      </c>
      <c r="FW347" s="49" t="s">
        <v>333</v>
      </c>
      <c r="FX347" s="49" t="s">
        <v>499</v>
      </c>
    </row>
    <row r="348" customFormat="false" ht="15" hidden="false" customHeight="false" outlineLevel="0" collapsed="false">
      <c r="A348" s="0" t="n">
        <v>100876289</v>
      </c>
      <c r="B348" s="0" t="s">
        <v>295</v>
      </c>
      <c r="C348" s="0" t="s">
        <v>61</v>
      </c>
      <c r="D348" s="0" t="s">
        <v>62</v>
      </c>
      <c r="E348" s="0" t="s">
        <v>297</v>
      </c>
      <c r="G348" s="0" t="n">
        <v>1</v>
      </c>
      <c r="H348" s="0" t="s">
        <v>298</v>
      </c>
      <c r="I348" s="48" t="n">
        <v>46269</v>
      </c>
      <c r="J348" s="0" t="n">
        <v>1</v>
      </c>
      <c r="K348" s="49" t="s">
        <v>1504</v>
      </c>
      <c r="L348" s="49" t="s">
        <v>335</v>
      </c>
      <c r="M348" s="48" t="n">
        <v>46269</v>
      </c>
      <c r="N348" s="49" t="s">
        <v>335</v>
      </c>
      <c r="O348" s="49" t="s">
        <v>1045</v>
      </c>
      <c r="P348" s="48"/>
      <c r="Q348" s="48" t="n">
        <v>46269</v>
      </c>
      <c r="R348" s="48" t="n">
        <v>46276</v>
      </c>
      <c r="T348" s="49" t="s">
        <v>302</v>
      </c>
      <c r="U348" s="49" t="s">
        <v>303</v>
      </c>
      <c r="Y348" s="49" t="s">
        <v>1505</v>
      </c>
      <c r="AD348" s="49" t="s">
        <v>305</v>
      </c>
      <c r="AE348" s="48" t="n">
        <v>46226</v>
      </c>
      <c r="AF348" s="49" t="s">
        <v>306</v>
      </c>
      <c r="AG348" s="49" t="s">
        <v>307</v>
      </c>
      <c r="AK348" s="49" t="s">
        <v>1047</v>
      </c>
      <c r="AL348" s="49" t="s">
        <v>297</v>
      </c>
      <c r="AO348" s="49" t="s">
        <v>303</v>
      </c>
      <c r="AP348" s="48"/>
      <c r="AR348" s="49" t="s">
        <v>303</v>
      </c>
      <c r="AS348" s="49" t="s">
        <v>306</v>
      </c>
      <c r="AT348" s="49" t="s">
        <v>1506</v>
      </c>
      <c r="AV348" s="49" t="s">
        <v>309</v>
      </c>
      <c r="AW348" s="49" t="s">
        <v>310</v>
      </c>
      <c r="AX348" s="49" t="s">
        <v>311</v>
      </c>
      <c r="AY348" s="48"/>
      <c r="AZ348" s="48" t="n">
        <v>46267</v>
      </c>
      <c r="BC348" s="49" t="s">
        <v>303</v>
      </c>
      <c r="BD348" s="48" t="n">
        <v>46274</v>
      </c>
      <c r="BE348" s="49" t="s">
        <v>1507</v>
      </c>
      <c r="BF348" s="49" t="s">
        <v>303</v>
      </c>
      <c r="BG348" s="48"/>
      <c r="BI348" s="48" t="n">
        <v>46274</v>
      </c>
      <c r="BJ348" s="48" t="n">
        <v>46274</v>
      </c>
      <c r="BK348" s="49" t="s">
        <v>312</v>
      </c>
      <c r="BL348" s="49" t="s">
        <v>313</v>
      </c>
      <c r="BM348" s="49" t="s">
        <v>310</v>
      </c>
      <c r="BN348" s="48"/>
      <c r="BO348" s="48"/>
      <c r="BP348" s="48"/>
      <c r="BQ348" s="49" t="s">
        <v>1504</v>
      </c>
      <c r="BR348" s="48" t="n">
        <v>46274</v>
      </c>
      <c r="BS348" s="49" t="s">
        <v>1508</v>
      </c>
      <c r="BT348" s="49" t="s">
        <v>312</v>
      </c>
      <c r="BU348" s="49" t="s">
        <v>313</v>
      </c>
      <c r="BV348" s="49" t="s">
        <v>303</v>
      </c>
      <c r="BX348" s="0" t="n">
        <v>1</v>
      </c>
      <c r="CC348" s="49" t="s">
        <v>315</v>
      </c>
      <c r="CD348" s="49" t="s">
        <v>303</v>
      </c>
      <c r="CF348" s="49" t="s">
        <v>303</v>
      </c>
      <c r="CG348" s="49" t="s">
        <v>316</v>
      </c>
      <c r="CH348" s="49" t="s">
        <v>317</v>
      </c>
      <c r="CI348" s="49" t="s">
        <v>318</v>
      </c>
      <c r="CM348" s="49" t="s">
        <v>62</v>
      </c>
      <c r="CV348" s="49" t="s">
        <v>303</v>
      </c>
      <c r="DB348" s="49" t="s">
        <v>319</v>
      </c>
      <c r="DD348" s="48" t="n">
        <v>46226</v>
      </c>
      <c r="DF348" s="49" t="s">
        <v>310</v>
      </c>
      <c r="DG348" s="49" t="s">
        <v>320</v>
      </c>
      <c r="DH348" s="49" t="s">
        <v>61</v>
      </c>
      <c r="DI348" s="49" t="s">
        <v>298</v>
      </c>
      <c r="DJ348" s="49" t="s">
        <v>381</v>
      </c>
      <c r="DK348" s="49" t="s">
        <v>322</v>
      </c>
      <c r="DL348" s="49" t="s">
        <v>323</v>
      </c>
      <c r="DM348" s="49" t="s">
        <v>303</v>
      </c>
      <c r="DN348" s="49" t="s">
        <v>297</v>
      </c>
      <c r="DO348" s="48"/>
      <c r="DP348" s="49" t="s">
        <v>312</v>
      </c>
      <c r="DQ348" s="48"/>
      <c r="DR348" s="49" t="s">
        <v>312</v>
      </c>
      <c r="DS348" s="49" t="s">
        <v>303</v>
      </c>
      <c r="DT348" s="49" t="s">
        <v>303</v>
      </c>
      <c r="DW348" s="49" t="s">
        <v>303</v>
      </c>
      <c r="EA348" s="49" t="s">
        <v>324</v>
      </c>
      <c r="EB348" s="49" t="s">
        <v>303</v>
      </c>
      <c r="EH348" s="49" t="s">
        <v>310</v>
      </c>
      <c r="EJ348" s="49" t="s">
        <v>303</v>
      </c>
      <c r="EK348" s="49" t="s">
        <v>1509</v>
      </c>
      <c r="EM348" s="49" t="s">
        <v>303</v>
      </c>
      <c r="EN348" s="49" t="s">
        <v>383</v>
      </c>
      <c r="EP348" s="49" t="s">
        <v>298</v>
      </c>
      <c r="EQ348" s="0" t="n">
        <v>1</v>
      </c>
      <c r="ER348" s="49" t="s">
        <v>328</v>
      </c>
      <c r="ES348" s="49" t="s">
        <v>384</v>
      </c>
      <c r="ET348" s="49" t="s">
        <v>310</v>
      </c>
      <c r="EU348" s="49" t="s">
        <v>310</v>
      </c>
      <c r="EV348" s="49" t="s">
        <v>310</v>
      </c>
      <c r="EX348" s="49" t="s">
        <v>303</v>
      </c>
      <c r="EY348" s="49" t="s">
        <v>303</v>
      </c>
      <c r="FC348" s="49" t="s">
        <v>330</v>
      </c>
      <c r="FD348" s="49" t="s">
        <v>310</v>
      </c>
      <c r="FE348" s="49" t="s">
        <v>310</v>
      </c>
      <c r="FF348" s="49" t="s">
        <v>61</v>
      </c>
      <c r="FG348" s="49" t="s">
        <v>385</v>
      </c>
      <c r="FH348" s="49" t="s">
        <v>310</v>
      </c>
      <c r="FI348" s="49" t="s">
        <v>332</v>
      </c>
      <c r="FJ348" s="49" t="s">
        <v>303</v>
      </c>
      <c r="FL348" s="49" t="s">
        <v>325</v>
      </c>
      <c r="FM348" s="49" t="s">
        <v>1504</v>
      </c>
      <c r="FP348" s="49" t="s">
        <v>303</v>
      </c>
      <c r="FR348" s="49" t="s">
        <v>303</v>
      </c>
      <c r="FT348" s="49" t="s">
        <v>325</v>
      </c>
      <c r="FU348" s="49" t="s">
        <v>325</v>
      </c>
      <c r="FW348" s="49" t="s">
        <v>333</v>
      </c>
    </row>
    <row r="349" customFormat="false" ht="15" hidden="false" customHeight="false" outlineLevel="0" collapsed="false">
      <c r="A349" s="0" t="n">
        <v>100876290</v>
      </c>
      <c r="B349" s="0" t="s">
        <v>295</v>
      </c>
      <c r="C349" s="0" t="s">
        <v>61</v>
      </c>
      <c r="D349" s="0" t="s">
        <v>62</v>
      </c>
      <c r="E349" s="0" t="s">
        <v>297</v>
      </c>
      <c r="G349" s="0" t="n">
        <v>1</v>
      </c>
      <c r="H349" s="0" t="s">
        <v>298</v>
      </c>
      <c r="I349" s="48" t="n">
        <v>46269</v>
      </c>
      <c r="J349" s="0" t="n">
        <v>1</v>
      </c>
      <c r="K349" s="49" t="s">
        <v>1504</v>
      </c>
      <c r="L349" s="49" t="s">
        <v>335</v>
      </c>
      <c r="M349" s="48" t="n">
        <v>46269</v>
      </c>
      <c r="N349" s="49" t="s">
        <v>335</v>
      </c>
      <c r="O349" s="49" t="s">
        <v>1045</v>
      </c>
      <c r="P349" s="48"/>
      <c r="Q349" s="48" t="n">
        <v>46269</v>
      </c>
      <c r="R349" s="48" t="n">
        <v>46276</v>
      </c>
      <c r="T349" s="49" t="s">
        <v>302</v>
      </c>
      <c r="U349" s="49" t="s">
        <v>303</v>
      </c>
      <c r="Y349" s="49" t="s">
        <v>1510</v>
      </c>
      <c r="AD349" s="49" t="s">
        <v>305</v>
      </c>
      <c r="AE349" s="48" t="n">
        <v>46233</v>
      </c>
      <c r="AF349" s="49" t="s">
        <v>306</v>
      </c>
      <c r="AG349" s="49" t="s">
        <v>307</v>
      </c>
      <c r="AK349" s="49" t="s">
        <v>1047</v>
      </c>
      <c r="AL349" s="49" t="s">
        <v>297</v>
      </c>
      <c r="AO349" s="49" t="s">
        <v>303</v>
      </c>
      <c r="AP349" s="48"/>
      <c r="AR349" s="49" t="s">
        <v>303</v>
      </c>
      <c r="AS349" s="49" t="s">
        <v>306</v>
      </c>
      <c r="AT349" s="49" t="s">
        <v>1511</v>
      </c>
      <c r="AV349" s="49" t="s">
        <v>309</v>
      </c>
      <c r="AW349" s="49" t="s">
        <v>310</v>
      </c>
      <c r="AX349" s="49" t="s">
        <v>311</v>
      </c>
      <c r="AY349" s="48"/>
      <c r="AZ349" s="48" t="n">
        <v>46267</v>
      </c>
      <c r="BC349" s="49" t="s">
        <v>303</v>
      </c>
      <c r="BD349" s="48" t="n">
        <v>46277</v>
      </c>
      <c r="BE349" s="49" t="s">
        <v>1512</v>
      </c>
      <c r="BF349" s="49" t="s">
        <v>303</v>
      </c>
      <c r="BG349" s="48"/>
      <c r="BI349" s="48" t="n">
        <v>46277</v>
      </c>
      <c r="BJ349" s="48" t="n">
        <v>46274</v>
      </c>
      <c r="BK349" s="49" t="s">
        <v>312</v>
      </c>
      <c r="BL349" s="49" t="s">
        <v>313</v>
      </c>
      <c r="BM349" s="49" t="s">
        <v>310</v>
      </c>
      <c r="BN349" s="48"/>
      <c r="BO349" s="48"/>
      <c r="BP349" s="48"/>
      <c r="BQ349" s="49" t="s">
        <v>1504</v>
      </c>
      <c r="BR349" s="48" t="n">
        <v>46274</v>
      </c>
      <c r="BS349" s="49" t="s">
        <v>1508</v>
      </c>
      <c r="BT349" s="49" t="s">
        <v>312</v>
      </c>
      <c r="BU349" s="49" t="s">
        <v>313</v>
      </c>
      <c r="BV349" s="49" t="s">
        <v>303</v>
      </c>
      <c r="BX349" s="0" t="n">
        <v>1</v>
      </c>
      <c r="CC349" s="49" t="s">
        <v>315</v>
      </c>
      <c r="CD349" s="49" t="s">
        <v>303</v>
      </c>
      <c r="CF349" s="49" t="s">
        <v>303</v>
      </c>
      <c r="CG349" s="49" t="s">
        <v>316</v>
      </c>
      <c r="CH349" s="49" t="s">
        <v>317</v>
      </c>
      <c r="CI349" s="49" t="s">
        <v>318</v>
      </c>
      <c r="CM349" s="49" t="s">
        <v>62</v>
      </c>
      <c r="CV349" s="49" t="s">
        <v>303</v>
      </c>
      <c r="DB349" s="49" t="s">
        <v>319</v>
      </c>
      <c r="DD349" s="48" t="n">
        <v>46233</v>
      </c>
      <c r="DF349" s="49" t="s">
        <v>310</v>
      </c>
      <c r="DG349" s="49" t="s">
        <v>320</v>
      </c>
      <c r="DH349" s="49" t="s">
        <v>61</v>
      </c>
      <c r="DI349" s="49" t="s">
        <v>298</v>
      </c>
      <c r="DJ349" s="49" t="s">
        <v>381</v>
      </c>
      <c r="DK349" s="49" t="s">
        <v>322</v>
      </c>
      <c r="DL349" s="49" t="s">
        <v>323</v>
      </c>
      <c r="DM349" s="49" t="s">
        <v>303</v>
      </c>
      <c r="DN349" s="49" t="s">
        <v>297</v>
      </c>
      <c r="DO349" s="48"/>
      <c r="DP349" s="49" t="s">
        <v>312</v>
      </c>
      <c r="DQ349" s="48"/>
      <c r="DR349" s="49" t="s">
        <v>312</v>
      </c>
      <c r="DS349" s="49" t="s">
        <v>303</v>
      </c>
      <c r="DT349" s="49" t="s">
        <v>303</v>
      </c>
      <c r="DW349" s="49" t="s">
        <v>303</v>
      </c>
      <c r="EA349" s="49" t="s">
        <v>324</v>
      </c>
      <c r="EB349" s="49" t="s">
        <v>303</v>
      </c>
      <c r="EH349" s="49" t="s">
        <v>310</v>
      </c>
      <c r="EJ349" s="49" t="s">
        <v>303</v>
      </c>
      <c r="EK349" s="49" t="s">
        <v>1513</v>
      </c>
      <c r="EM349" s="49" t="s">
        <v>303</v>
      </c>
      <c r="EN349" s="49" t="s">
        <v>383</v>
      </c>
      <c r="EP349" s="49" t="s">
        <v>298</v>
      </c>
      <c r="EQ349" s="0" t="n">
        <v>1</v>
      </c>
      <c r="ER349" s="49" t="s">
        <v>328</v>
      </c>
      <c r="ES349" s="49" t="s">
        <v>384</v>
      </c>
      <c r="ET349" s="49" t="s">
        <v>310</v>
      </c>
      <c r="EU349" s="49" t="s">
        <v>310</v>
      </c>
      <c r="EV349" s="49" t="s">
        <v>310</v>
      </c>
      <c r="EX349" s="49" t="s">
        <v>303</v>
      </c>
      <c r="EY349" s="49" t="s">
        <v>303</v>
      </c>
      <c r="FC349" s="49" t="s">
        <v>330</v>
      </c>
      <c r="FD349" s="49" t="s">
        <v>310</v>
      </c>
      <c r="FE349" s="49" t="s">
        <v>310</v>
      </c>
      <c r="FF349" s="49" t="s">
        <v>61</v>
      </c>
      <c r="FG349" s="49" t="s">
        <v>385</v>
      </c>
      <c r="FH349" s="49" t="s">
        <v>310</v>
      </c>
      <c r="FI349" s="49" t="s">
        <v>332</v>
      </c>
      <c r="FJ349" s="49" t="s">
        <v>303</v>
      </c>
      <c r="FL349" s="49" t="s">
        <v>325</v>
      </c>
      <c r="FM349" s="49" t="s">
        <v>1504</v>
      </c>
      <c r="FP349" s="49" t="s">
        <v>303</v>
      </c>
      <c r="FR349" s="49" t="s">
        <v>303</v>
      </c>
      <c r="FT349" s="49" t="s">
        <v>325</v>
      </c>
      <c r="FU349" s="49" t="s">
        <v>325</v>
      </c>
      <c r="FW349" s="49" t="s">
        <v>333</v>
      </c>
    </row>
    <row r="350" customFormat="false" ht="15" hidden="false" customHeight="false" outlineLevel="0" collapsed="false">
      <c r="A350" s="0" t="n">
        <v>100876291</v>
      </c>
      <c r="B350" s="0" t="s">
        <v>295</v>
      </c>
      <c r="C350" s="0" t="s">
        <v>61</v>
      </c>
      <c r="D350" s="0" t="s">
        <v>62</v>
      </c>
      <c r="E350" s="0" t="s">
        <v>297</v>
      </c>
      <c r="G350" s="0" t="n">
        <v>1</v>
      </c>
      <c r="H350" s="0" t="s">
        <v>298</v>
      </c>
      <c r="I350" s="48" t="n">
        <v>46269</v>
      </c>
      <c r="J350" s="0" t="n">
        <v>1</v>
      </c>
      <c r="K350" s="49" t="s">
        <v>1504</v>
      </c>
      <c r="L350" s="49" t="s">
        <v>335</v>
      </c>
      <c r="M350" s="48"/>
      <c r="O350" s="49" t="s">
        <v>1045</v>
      </c>
      <c r="P350" s="48"/>
      <c r="Q350" s="48" t="n">
        <v>46269</v>
      </c>
      <c r="R350" s="48" t="n">
        <v>46275</v>
      </c>
      <c r="T350" s="49" t="s">
        <v>302</v>
      </c>
      <c r="U350" s="49" t="s">
        <v>303</v>
      </c>
      <c r="Y350" s="49" t="s">
        <v>312</v>
      </c>
      <c r="AD350" s="49" t="s">
        <v>305</v>
      </c>
      <c r="AE350" s="48" t="n">
        <v>46233</v>
      </c>
      <c r="AF350" s="49" t="s">
        <v>306</v>
      </c>
      <c r="AG350" s="49" t="s">
        <v>307</v>
      </c>
      <c r="AK350" s="49" t="s">
        <v>1047</v>
      </c>
      <c r="AL350" s="49" t="s">
        <v>297</v>
      </c>
      <c r="AO350" s="49" t="s">
        <v>303</v>
      </c>
      <c r="AP350" s="48"/>
      <c r="AR350" s="49" t="s">
        <v>303</v>
      </c>
      <c r="AS350" s="49" t="s">
        <v>306</v>
      </c>
      <c r="AT350" s="49" t="s">
        <v>1514</v>
      </c>
      <c r="AV350" s="49" t="s">
        <v>309</v>
      </c>
      <c r="AW350" s="49" t="s">
        <v>310</v>
      </c>
      <c r="AX350" s="49" t="s">
        <v>311</v>
      </c>
      <c r="AY350" s="48"/>
      <c r="AZ350" s="48" t="n">
        <v>46267</v>
      </c>
      <c r="BC350" s="49" t="s">
        <v>303</v>
      </c>
      <c r="BD350" s="48" t="n">
        <v>46275</v>
      </c>
      <c r="BE350" s="49" t="s">
        <v>1515</v>
      </c>
      <c r="BF350" s="49" t="s">
        <v>303</v>
      </c>
      <c r="BG350" s="48"/>
      <c r="BI350" s="48" t="n">
        <v>46275</v>
      </c>
      <c r="BJ350" s="48" t="n">
        <v>46274</v>
      </c>
      <c r="BK350" s="49" t="s">
        <v>313</v>
      </c>
      <c r="BL350" s="49" t="s">
        <v>313</v>
      </c>
      <c r="BM350" s="49" t="s">
        <v>310</v>
      </c>
      <c r="BN350" s="48"/>
      <c r="BO350" s="48"/>
      <c r="BP350" s="48"/>
      <c r="BQ350" s="49" t="s">
        <v>1504</v>
      </c>
      <c r="BR350" s="48" t="n">
        <v>46274</v>
      </c>
      <c r="BS350" s="49" t="s">
        <v>1516</v>
      </c>
      <c r="BT350" s="49" t="s">
        <v>312</v>
      </c>
      <c r="BU350" s="49" t="s">
        <v>313</v>
      </c>
      <c r="BV350" s="49" t="s">
        <v>303</v>
      </c>
      <c r="BX350" s="0" t="n">
        <v>1</v>
      </c>
      <c r="CC350" s="49" t="s">
        <v>315</v>
      </c>
      <c r="CD350" s="49" t="s">
        <v>303</v>
      </c>
      <c r="CF350" s="49" t="s">
        <v>303</v>
      </c>
      <c r="CG350" s="49" t="s">
        <v>316</v>
      </c>
      <c r="CH350" s="49" t="s">
        <v>317</v>
      </c>
      <c r="CI350" s="49" t="s">
        <v>318</v>
      </c>
      <c r="CM350" s="49" t="s">
        <v>62</v>
      </c>
      <c r="CV350" s="49" t="s">
        <v>303</v>
      </c>
      <c r="DB350" s="49" t="s">
        <v>319</v>
      </c>
      <c r="DD350" s="48" t="n">
        <v>46233</v>
      </c>
      <c r="DF350" s="49" t="s">
        <v>310</v>
      </c>
      <c r="DG350" s="49" t="s">
        <v>320</v>
      </c>
      <c r="DH350" s="49" t="s">
        <v>61</v>
      </c>
      <c r="DI350" s="49" t="s">
        <v>298</v>
      </c>
      <c r="DJ350" s="49" t="s">
        <v>381</v>
      </c>
      <c r="DK350" s="49" t="s">
        <v>322</v>
      </c>
      <c r="DL350" s="49" t="s">
        <v>323</v>
      </c>
      <c r="DM350" s="49" t="s">
        <v>303</v>
      </c>
      <c r="DN350" s="49" t="s">
        <v>297</v>
      </c>
      <c r="DO350" s="48"/>
      <c r="DP350" s="49" t="s">
        <v>312</v>
      </c>
      <c r="DQ350" s="48"/>
      <c r="DR350" s="49" t="s">
        <v>312</v>
      </c>
      <c r="DS350" s="49" t="s">
        <v>303</v>
      </c>
      <c r="DT350" s="49" t="s">
        <v>303</v>
      </c>
      <c r="DW350" s="49" t="s">
        <v>303</v>
      </c>
      <c r="EA350" s="49" t="s">
        <v>324</v>
      </c>
      <c r="EB350" s="49" t="s">
        <v>303</v>
      </c>
      <c r="EF350" s="49" t="s">
        <v>1517</v>
      </c>
      <c r="EH350" s="49" t="s">
        <v>310</v>
      </c>
      <c r="EJ350" s="49" t="s">
        <v>303</v>
      </c>
      <c r="EK350" s="49" t="s">
        <v>1518</v>
      </c>
      <c r="EM350" s="49" t="s">
        <v>303</v>
      </c>
      <c r="EN350" s="49" t="s">
        <v>383</v>
      </c>
      <c r="EP350" s="49" t="s">
        <v>298</v>
      </c>
      <c r="EQ350" s="0" t="n">
        <v>1</v>
      </c>
      <c r="ER350" s="49" t="s">
        <v>328</v>
      </c>
      <c r="ES350" s="49" t="s">
        <v>384</v>
      </c>
      <c r="ET350" s="49" t="s">
        <v>310</v>
      </c>
      <c r="EU350" s="49" t="s">
        <v>310</v>
      </c>
      <c r="EV350" s="49" t="s">
        <v>310</v>
      </c>
      <c r="EX350" s="49" t="s">
        <v>303</v>
      </c>
      <c r="EY350" s="49" t="s">
        <v>303</v>
      </c>
      <c r="FC350" s="49" t="s">
        <v>330</v>
      </c>
      <c r="FD350" s="49" t="s">
        <v>310</v>
      </c>
      <c r="FE350" s="49" t="s">
        <v>310</v>
      </c>
      <c r="FF350" s="49" t="s">
        <v>61</v>
      </c>
      <c r="FG350" s="49" t="s">
        <v>385</v>
      </c>
      <c r="FH350" s="49" t="s">
        <v>310</v>
      </c>
      <c r="FI350" s="49" t="s">
        <v>332</v>
      </c>
      <c r="FJ350" s="49" t="s">
        <v>303</v>
      </c>
      <c r="FL350" s="49" t="s">
        <v>325</v>
      </c>
      <c r="FM350" s="49" t="s">
        <v>1504</v>
      </c>
      <c r="FP350" s="49" t="s">
        <v>303</v>
      </c>
      <c r="FR350" s="49" t="s">
        <v>303</v>
      </c>
      <c r="FT350" s="49" t="s">
        <v>325</v>
      </c>
      <c r="FU350" s="49" t="s">
        <v>325</v>
      </c>
      <c r="FW350" s="49" t="s">
        <v>333</v>
      </c>
    </row>
    <row r="351" customFormat="false" ht="15" hidden="false" customHeight="false" outlineLevel="0" collapsed="false">
      <c r="A351" s="0" t="n">
        <v>100876294</v>
      </c>
      <c r="B351" s="0" t="s">
        <v>295</v>
      </c>
      <c r="C351" s="0" t="s">
        <v>66</v>
      </c>
      <c r="D351" s="0" t="s">
        <v>296</v>
      </c>
      <c r="E351" s="0" t="s">
        <v>297</v>
      </c>
      <c r="G351" s="0" t="n">
        <v>1</v>
      </c>
      <c r="H351" s="0" t="s">
        <v>298</v>
      </c>
      <c r="I351" s="48" t="n">
        <v>46269</v>
      </c>
      <c r="J351" s="0" t="n">
        <v>0</v>
      </c>
      <c r="K351" s="49" t="s">
        <v>1504</v>
      </c>
      <c r="L351" s="49" t="s">
        <v>1035</v>
      </c>
      <c r="M351" s="48" t="n">
        <v>46269</v>
      </c>
      <c r="N351" s="49" t="s">
        <v>1035</v>
      </c>
      <c r="O351" s="49" t="s">
        <v>1083</v>
      </c>
      <c r="P351" s="48"/>
      <c r="Q351" s="48" t="n">
        <v>46269</v>
      </c>
      <c r="R351" s="48" t="n">
        <v>46276</v>
      </c>
      <c r="T351" s="49" t="s">
        <v>302</v>
      </c>
      <c r="U351" s="49" t="s">
        <v>303</v>
      </c>
      <c r="Y351" s="49" t="s">
        <v>1519</v>
      </c>
      <c r="AD351" s="49" t="s">
        <v>305</v>
      </c>
      <c r="AE351" s="48" t="n">
        <v>46233</v>
      </c>
      <c r="AF351" s="49" t="s">
        <v>306</v>
      </c>
      <c r="AG351" s="49" t="s">
        <v>307</v>
      </c>
      <c r="AK351" s="49" t="s">
        <v>303</v>
      </c>
      <c r="AL351" s="49" t="s">
        <v>297</v>
      </c>
      <c r="AO351" s="49" t="s">
        <v>303</v>
      </c>
      <c r="AP351" s="48"/>
      <c r="AR351" s="49" t="s">
        <v>303</v>
      </c>
      <c r="AS351" s="49" t="s">
        <v>306</v>
      </c>
      <c r="AT351" s="49" t="s">
        <v>1520</v>
      </c>
      <c r="AV351" s="49" t="s">
        <v>309</v>
      </c>
      <c r="AW351" s="49" t="s">
        <v>310</v>
      </c>
      <c r="AX351" s="49" t="s">
        <v>311</v>
      </c>
      <c r="AY351" s="48"/>
      <c r="AZ351" s="48" t="n">
        <v>46267</v>
      </c>
      <c r="BC351" s="49" t="s">
        <v>303</v>
      </c>
      <c r="BD351" s="48"/>
      <c r="BE351" s="49" t="s">
        <v>312</v>
      </c>
      <c r="BF351" s="49" t="s">
        <v>303</v>
      </c>
      <c r="BG351" s="48"/>
      <c r="BI351" s="48"/>
      <c r="BJ351" s="48" t="n">
        <v>46274</v>
      </c>
      <c r="BK351" s="49" t="s">
        <v>312</v>
      </c>
      <c r="BL351" s="49" t="s">
        <v>313</v>
      </c>
      <c r="BM351" s="49" t="s">
        <v>310</v>
      </c>
      <c r="BN351" s="48"/>
      <c r="BO351" s="48"/>
      <c r="BP351" s="48"/>
      <c r="BQ351" s="49" t="s">
        <v>1504</v>
      </c>
      <c r="BR351" s="48" t="n">
        <v>46274</v>
      </c>
      <c r="BS351" s="49" t="s">
        <v>1521</v>
      </c>
      <c r="BT351" s="49" t="s">
        <v>312</v>
      </c>
      <c r="BU351" s="49" t="s">
        <v>313</v>
      </c>
      <c r="BV351" s="49" t="s">
        <v>303</v>
      </c>
      <c r="BX351" s="0" t="n">
        <v>0</v>
      </c>
      <c r="CC351" s="49" t="s">
        <v>315</v>
      </c>
      <c r="CD351" s="49" t="s">
        <v>303</v>
      </c>
      <c r="CF351" s="49" t="s">
        <v>303</v>
      </c>
      <c r="CG351" s="49" t="s">
        <v>316</v>
      </c>
      <c r="CH351" s="49" t="s">
        <v>317</v>
      </c>
      <c r="CI351" s="49" t="s">
        <v>318</v>
      </c>
      <c r="CM351" s="49" t="s">
        <v>296</v>
      </c>
      <c r="CV351" s="49" t="s">
        <v>303</v>
      </c>
      <c r="DB351" s="49" t="s">
        <v>319</v>
      </c>
      <c r="DD351" s="48" t="n">
        <v>46233</v>
      </c>
      <c r="DF351" s="49" t="s">
        <v>310</v>
      </c>
      <c r="DG351" s="49" t="s">
        <v>320</v>
      </c>
      <c r="DH351" s="49" t="s">
        <v>66</v>
      </c>
      <c r="DI351" s="49" t="s">
        <v>298</v>
      </c>
      <c r="DJ351" s="49" t="s">
        <v>321</v>
      </c>
      <c r="DK351" s="49" t="s">
        <v>322</v>
      </c>
      <c r="DL351" s="49" t="s">
        <v>323</v>
      </c>
      <c r="DM351" s="49" t="s">
        <v>303</v>
      </c>
      <c r="DN351" s="49" t="s">
        <v>297</v>
      </c>
      <c r="DO351" s="48"/>
      <c r="DP351" s="49" t="s">
        <v>312</v>
      </c>
      <c r="DQ351" s="48"/>
      <c r="DR351" s="49" t="s">
        <v>312</v>
      </c>
      <c r="DS351" s="49" t="s">
        <v>303</v>
      </c>
      <c r="DT351" s="49" t="s">
        <v>303</v>
      </c>
      <c r="DW351" s="49" t="s">
        <v>303</v>
      </c>
      <c r="EA351" s="49" t="s">
        <v>324</v>
      </c>
      <c r="EB351" s="49" t="s">
        <v>303</v>
      </c>
      <c r="EH351" s="49" t="s">
        <v>325</v>
      </c>
      <c r="EJ351" s="49" t="s">
        <v>303</v>
      </c>
      <c r="EK351" s="49" t="s">
        <v>1522</v>
      </c>
      <c r="EM351" s="49" t="s">
        <v>303</v>
      </c>
      <c r="EN351" s="49" t="s">
        <v>327</v>
      </c>
      <c r="EP351" s="49" t="s">
        <v>298</v>
      </c>
      <c r="EQ351" s="0" t="n">
        <v>1</v>
      </c>
      <c r="ER351" s="49" t="s">
        <v>328</v>
      </c>
      <c r="ES351" s="49" t="s">
        <v>329</v>
      </c>
      <c r="ET351" s="49" t="s">
        <v>310</v>
      </c>
      <c r="EU351" s="49" t="s">
        <v>310</v>
      </c>
      <c r="EV351" s="49" t="s">
        <v>310</v>
      </c>
      <c r="EX351" s="49" t="s">
        <v>303</v>
      </c>
      <c r="EY351" s="49" t="s">
        <v>303</v>
      </c>
      <c r="FC351" s="49" t="s">
        <v>330</v>
      </c>
      <c r="FD351" s="49" t="s">
        <v>310</v>
      </c>
      <c r="FE351" s="49" t="s">
        <v>310</v>
      </c>
      <c r="FF351" s="49" t="s">
        <v>66</v>
      </c>
      <c r="FG351" s="49" t="s">
        <v>331</v>
      </c>
      <c r="FH351" s="49" t="s">
        <v>310</v>
      </c>
      <c r="FI351" s="49" t="s">
        <v>332</v>
      </c>
      <c r="FJ351" s="49" t="s">
        <v>303</v>
      </c>
      <c r="FL351" s="49" t="s">
        <v>325</v>
      </c>
      <c r="FM351" s="49" t="s">
        <v>1504</v>
      </c>
      <c r="FP351" s="49" t="s">
        <v>303</v>
      </c>
      <c r="FR351" s="49" t="s">
        <v>303</v>
      </c>
      <c r="FT351" s="49" t="s">
        <v>325</v>
      </c>
      <c r="FU351" s="49" t="s">
        <v>325</v>
      </c>
      <c r="FW351" s="49" t="s">
        <v>333</v>
      </c>
    </row>
    <row r="352" customFormat="false" ht="15" hidden="false" customHeight="false" outlineLevel="0" collapsed="false">
      <c r="A352" s="0" t="n">
        <v>100876295</v>
      </c>
      <c r="B352" s="0" t="s">
        <v>295</v>
      </c>
      <c r="C352" s="0" t="s">
        <v>66</v>
      </c>
      <c r="D352" s="0" t="s">
        <v>296</v>
      </c>
      <c r="E352" s="0" t="s">
        <v>297</v>
      </c>
      <c r="G352" s="0" t="n">
        <v>1</v>
      </c>
      <c r="H352" s="0" t="s">
        <v>298</v>
      </c>
      <c r="I352" s="48" t="n">
        <v>46269</v>
      </c>
      <c r="J352" s="0" t="n">
        <v>1</v>
      </c>
      <c r="K352" s="49" t="s">
        <v>1504</v>
      </c>
      <c r="L352" s="49" t="s">
        <v>1035</v>
      </c>
      <c r="M352" s="48"/>
      <c r="O352" s="49" t="s">
        <v>1052</v>
      </c>
      <c r="P352" s="48"/>
      <c r="Q352" s="48" t="n">
        <v>46269</v>
      </c>
      <c r="R352" s="48" t="n">
        <v>46275</v>
      </c>
      <c r="T352" s="49" t="s">
        <v>302</v>
      </c>
      <c r="U352" s="49" t="s">
        <v>303</v>
      </c>
      <c r="Y352" s="49" t="s">
        <v>312</v>
      </c>
      <c r="AD352" s="49" t="s">
        <v>305</v>
      </c>
      <c r="AE352" s="48" t="n">
        <v>46233</v>
      </c>
      <c r="AF352" s="49" t="s">
        <v>306</v>
      </c>
      <c r="AG352" s="49" t="s">
        <v>307</v>
      </c>
      <c r="AK352" s="49" t="s">
        <v>1047</v>
      </c>
      <c r="AL352" s="49" t="s">
        <v>297</v>
      </c>
      <c r="AO352" s="49" t="s">
        <v>303</v>
      </c>
      <c r="AP352" s="48"/>
      <c r="AR352" s="49" t="s">
        <v>303</v>
      </c>
      <c r="AS352" s="49" t="s">
        <v>306</v>
      </c>
      <c r="AT352" s="49" t="s">
        <v>1523</v>
      </c>
      <c r="AV352" s="49" t="s">
        <v>309</v>
      </c>
      <c r="AW352" s="49" t="s">
        <v>310</v>
      </c>
      <c r="AX352" s="49" t="s">
        <v>311</v>
      </c>
      <c r="AY352" s="48"/>
      <c r="AZ352" s="48" t="n">
        <v>46267</v>
      </c>
      <c r="BC352" s="49" t="s">
        <v>303</v>
      </c>
      <c r="BD352" s="48" t="n">
        <v>46295</v>
      </c>
      <c r="BE352" s="49" t="s">
        <v>1524</v>
      </c>
      <c r="BF352" s="49" t="s">
        <v>303</v>
      </c>
      <c r="BG352" s="48"/>
      <c r="BI352" s="48" t="n">
        <v>46296</v>
      </c>
      <c r="BJ352" s="48" t="n">
        <v>46274</v>
      </c>
      <c r="BK352" s="49" t="s">
        <v>313</v>
      </c>
      <c r="BL352" s="49" t="s">
        <v>313</v>
      </c>
      <c r="BM352" s="49" t="s">
        <v>310</v>
      </c>
      <c r="BN352" s="48"/>
      <c r="BO352" s="48"/>
      <c r="BP352" s="48"/>
      <c r="BQ352" s="49" t="s">
        <v>1504</v>
      </c>
      <c r="BR352" s="48" t="n">
        <v>46274</v>
      </c>
      <c r="BS352" s="49" t="s">
        <v>1521</v>
      </c>
      <c r="BT352" s="49" t="s">
        <v>312</v>
      </c>
      <c r="BU352" s="49" t="s">
        <v>313</v>
      </c>
      <c r="BV352" s="49" t="s">
        <v>303</v>
      </c>
      <c r="BX352" s="0" t="n">
        <v>1</v>
      </c>
      <c r="CC352" s="49" t="s">
        <v>315</v>
      </c>
      <c r="CD352" s="49" t="s">
        <v>303</v>
      </c>
      <c r="CF352" s="49" t="s">
        <v>303</v>
      </c>
      <c r="CG352" s="49" t="s">
        <v>316</v>
      </c>
      <c r="CH352" s="49" t="s">
        <v>317</v>
      </c>
      <c r="CI352" s="49" t="s">
        <v>318</v>
      </c>
      <c r="CM352" s="49" t="s">
        <v>296</v>
      </c>
      <c r="CV352" s="49" t="s">
        <v>303</v>
      </c>
      <c r="DB352" s="49" t="s">
        <v>319</v>
      </c>
      <c r="DD352" s="48" t="n">
        <v>46233</v>
      </c>
      <c r="DF352" s="49" t="s">
        <v>310</v>
      </c>
      <c r="DG352" s="49" t="s">
        <v>320</v>
      </c>
      <c r="DH352" s="49" t="s">
        <v>66</v>
      </c>
      <c r="DI352" s="49" t="s">
        <v>298</v>
      </c>
      <c r="DJ352" s="49" t="s">
        <v>321</v>
      </c>
      <c r="DK352" s="49" t="s">
        <v>322</v>
      </c>
      <c r="DL352" s="49" t="s">
        <v>323</v>
      </c>
      <c r="DM352" s="49" t="s">
        <v>303</v>
      </c>
      <c r="DN352" s="49" t="s">
        <v>297</v>
      </c>
      <c r="DO352" s="48"/>
      <c r="DP352" s="49" t="s">
        <v>312</v>
      </c>
      <c r="DQ352" s="48"/>
      <c r="DR352" s="49" t="s">
        <v>312</v>
      </c>
      <c r="DS352" s="49" t="s">
        <v>303</v>
      </c>
      <c r="DT352" s="49" t="s">
        <v>303</v>
      </c>
      <c r="DW352" s="49" t="s">
        <v>303</v>
      </c>
      <c r="EA352" s="49" t="s">
        <v>324</v>
      </c>
      <c r="EB352" s="49" t="s">
        <v>303</v>
      </c>
      <c r="EF352" s="49" t="s">
        <v>1525</v>
      </c>
      <c r="EH352" s="49" t="s">
        <v>325</v>
      </c>
      <c r="EJ352" s="49" t="s">
        <v>303</v>
      </c>
      <c r="EK352" s="49" t="s">
        <v>1526</v>
      </c>
      <c r="EM352" s="49" t="s">
        <v>303</v>
      </c>
      <c r="EN352" s="49" t="s">
        <v>327</v>
      </c>
      <c r="EP352" s="49" t="s">
        <v>298</v>
      </c>
      <c r="EQ352" s="0" t="n">
        <v>1</v>
      </c>
      <c r="ER352" s="49" t="s">
        <v>328</v>
      </c>
      <c r="ES352" s="49" t="s">
        <v>329</v>
      </c>
      <c r="ET352" s="49" t="s">
        <v>310</v>
      </c>
      <c r="EU352" s="49" t="s">
        <v>310</v>
      </c>
      <c r="EV352" s="49" t="s">
        <v>310</v>
      </c>
      <c r="EX352" s="49" t="s">
        <v>303</v>
      </c>
      <c r="EY352" s="49" t="s">
        <v>303</v>
      </c>
      <c r="FC352" s="49" t="s">
        <v>330</v>
      </c>
      <c r="FD352" s="49" t="s">
        <v>310</v>
      </c>
      <c r="FE352" s="49" t="s">
        <v>310</v>
      </c>
      <c r="FF352" s="49" t="s">
        <v>66</v>
      </c>
      <c r="FG352" s="49" t="s">
        <v>331</v>
      </c>
      <c r="FH352" s="49" t="s">
        <v>310</v>
      </c>
      <c r="FI352" s="49" t="s">
        <v>332</v>
      </c>
      <c r="FJ352" s="49" t="s">
        <v>303</v>
      </c>
      <c r="FL352" s="49" t="s">
        <v>325</v>
      </c>
      <c r="FM352" s="49" t="s">
        <v>1504</v>
      </c>
      <c r="FP352" s="49" t="s">
        <v>303</v>
      </c>
      <c r="FR352" s="49" t="s">
        <v>303</v>
      </c>
      <c r="FT352" s="49" t="s">
        <v>325</v>
      </c>
      <c r="FU352" s="49" t="s">
        <v>325</v>
      </c>
      <c r="FW352" s="49" t="s">
        <v>333</v>
      </c>
    </row>
    <row r="353" customFormat="false" ht="15" hidden="false" customHeight="false" outlineLevel="0" collapsed="false">
      <c r="A353" s="0" t="n">
        <v>100876296</v>
      </c>
      <c r="B353" s="0" t="s">
        <v>295</v>
      </c>
      <c r="C353" s="0" t="s">
        <v>66</v>
      </c>
      <c r="D353" s="0" t="s">
        <v>296</v>
      </c>
      <c r="E353" s="0" t="s">
        <v>297</v>
      </c>
      <c r="G353" s="0" t="n">
        <v>1</v>
      </c>
      <c r="H353" s="0" t="s">
        <v>298</v>
      </c>
      <c r="I353" s="48" t="n">
        <v>46269</v>
      </c>
      <c r="J353" s="0" t="n">
        <v>1</v>
      </c>
      <c r="K353" s="49" t="s">
        <v>1504</v>
      </c>
      <c r="L353" s="49" t="s">
        <v>1035</v>
      </c>
      <c r="M353" s="48"/>
      <c r="O353" s="49" t="s">
        <v>1052</v>
      </c>
      <c r="P353" s="48"/>
      <c r="Q353" s="48" t="n">
        <v>46269</v>
      </c>
      <c r="R353" s="48" t="n">
        <v>46275</v>
      </c>
      <c r="T353" s="49" t="s">
        <v>302</v>
      </c>
      <c r="U353" s="49" t="s">
        <v>303</v>
      </c>
      <c r="Y353" s="49" t="s">
        <v>312</v>
      </c>
      <c r="AD353" s="49" t="s">
        <v>305</v>
      </c>
      <c r="AE353" s="48" t="n">
        <v>46233</v>
      </c>
      <c r="AF353" s="49" t="s">
        <v>306</v>
      </c>
      <c r="AG353" s="49" t="s">
        <v>307</v>
      </c>
      <c r="AK353" s="49" t="s">
        <v>1047</v>
      </c>
      <c r="AL353" s="49" t="s">
        <v>297</v>
      </c>
      <c r="AO353" s="49" t="s">
        <v>303</v>
      </c>
      <c r="AP353" s="48"/>
      <c r="AR353" s="49" t="s">
        <v>303</v>
      </c>
      <c r="AS353" s="49" t="s">
        <v>306</v>
      </c>
      <c r="AT353" s="49" t="s">
        <v>1527</v>
      </c>
      <c r="AV353" s="49" t="s">
        <v>309</v>
      </c>
      <c r="AW353" s="49" t="s">
        <v>310</v>
      </c>
      <c r="AX353" s="49" t="s">
        <v>311</v>
      </c>
      <c r="AY353" s="48"/>
      <c r="AZ353" s="48" t="n">
        <v>46267</v>
      </c>
      <c r="BC353" s="49" t="s">
        <v>303</v>
      </c>
      <c r="BD353" s="48" t="n">
        <v>46298</v>
      </c>
      <c r="BE353" s="49" t="s">
        <v>1528</v>
      </c>
      <c r="BF353" s="49" t="s">
        <v>303</v>
      </c>
      <c r="BG353" s="48"/>
      <c r="BI353" s="48" t="n">
        <v>46298</v>
      </c>
      <c r="BJ353" s="48" t="n">
        <v>46274</v>
      </c>
      <c r="BK353" s="49" t="s">
        <v>313</v>
      </c>
      <c r="BL353" s="49" t="s">
        <v>313</v>
      </c>
      <c r="BM353" s="49" t="s">
        <v>310</v>
      </c>
      <c r="BN353" s="48"/>
      <c r="BO353" s="48"/>
      <c r="BP353" s="48"/>
      <c r="BQ353" s="49" t="s">
        <v>1504</v>
      </c>
      <c r="BR353" s="48" t="n">
        <v>46274</v>
      </c>
      <c r="BS353" s="49" t="s">
        <v>1529</v>
      </c>
      <c r="BT353" s="49" t="s">
        <v>312</v>
      </c>
      <c r="BU353" s="49" t="s">
        <v>313</v>
      </c>
      <c r="BV353" s="49" t="s">
        <v>303</v>
      </c>
      <c r="BX353" s="0" t="n">
        <v>1</v>
      </c>
      <c r="CC353" s="49" t="s">
        <v>315</v>
      </c>
      <c r="CD353" s="49" t="s">
        <v>303</v>
      </c>
      <c r="CF353" s="49" t="s">
        <v>303</v>
      </c>
      <c r="CG353" s="49" t="s">
        <v>316</v>
      </c>
      <c r="CH353" s="49" t="s">
        <v>317</v>
      </c>
      <c r="CI353" s="49" t="s">
        <v>318</v>
      </c>
      <c r="CM353" s="49" t="s">
        <v>296</v>
      </c>
      <c r="CV353" s="49" t="s">
        <v>303</v>
      </c>
      <c r="DB353" s="49" t="s">
        <v>319</v>
      </c>
      <c r="DD353" s="48" t="n">
        <v>46233</v>
      </c>
      <c r="DF353" s="49" t="s">
        <v>310</v>
      </c>
      <c r="DG353" s="49" t="s">
        <v>320</v>
      </c>
      <c r="DH353" s="49" t="s">
        <v>66</v>
      </c>
      <c r="DI353" s="49" t="s">
        <v>298</v>
      </c>
      <c r="DJ353" s="49" t="s">
        <v>321</v>
      </c>
      <c r="DK353" s="49" t="s">
        <v>322</v>
      </c>
      <c r="DL353" s="49" t="s">
        <v>323</v>
      </c>
      <c r="DM353" s="49" t="s">
        <v>303</v>
      </c>
      <c r="DN353" s="49" t="s">
        <v>297</v>
      </c>
      <c r="DO353" s="48"/>
      <c r="DP353" s="49" t="s">
        <v>312</v>
      </c>
      <c r="DQ353" s="48"/>
      <c r="DR353" s="49" t="s">
        <v>312</v>
      </c>
      <c r="DS353" s="49" t="s">
        <v>303</v>
      </c>
      <c r="DT353" s="49" t="s">
        <v>303</v>
      </c>
      <c r="DW353" s="49" t="s">
        <v>303</v>
      </c>
      <c r="EA353" s="49" t="s">
        <v>324</v>
      </c>
      <c r="EB353" s="49" t="s">
        <v>303</v>
      </c>
      <c r="EF353" s="49" t="s">
        <v>1525</v>
      </c>
      <c r="EH353" s="49" t="s">
        <v>325</v>
      </c>
      <c r="EJ353" s="49" t="s">
        <v>303</v>
      </c>
      <c r="EK353" s="49" t="s">
        <v>1530</v>
      </c>
      <c r="EM353" s="49" t="s">
        <v>303</v>
      </c>
      <c r="EN353" s="49" t="s">
        <v>327</v>
      </c>
      <c r="EP353" s="49" t="s">
        <v>298</v>
      </c>
      <c r="EQ353" s="0" t="n">
        <v>1</v>
      </c>
      <c r="ER353" s="49" t="s">
        <v>328</v>
      </c>
      <c r="ES353" s="49" t="s">
        <v>329</v>
      </c>
      <c r="ET353" s="49" t="s">
        <v>310</v>
      </c>
      <c r="EU353" s="49" t="s">
        <v>310</v>
      </c>
      <c r="EV353" s="49" t="s">
        <v>310</v>
      </c>
      <c r="EX353" s="49" t="s">
        <v>303</v>
      </c>
      <c r="EY353" s="49" t="s">
        <v>303</v>
      </c>
      <c r="FC353" s="49" t="s">
        <v>330</v>
      </c>
      <c r="FD353" s="49" t="s">
        <v>310</v>
      </c>
      <c r="FE353" s="49" t="s">
        <v>310</v>
      </c>
      <c r="FF353" s="49" t="s">
        <v>66</v>
      </c>
      <c r="FG353" s="49" t="s">
        <v>331</v>
      </c>
      <c r="FH353" s="49" t="s">
        <v>310</v>
      </c>
      <c r="FI353" s="49" t="s">
        <v>332</v>
      </c>
      <c r="FJ353" s="49" t="s">
        <v>303</v>
      </c>
      <c r="FL353" s="49" t="s">
        <v>325</v>
      </c>
      <c r="FM353" s="49" t="s">
        <v>1504</v>
      </c>
      <c r="FP353" s="49" t="s">
        <v>303</v>
      </c>
      <c r="FR353" s="49" t="s">
        <v>303</v>
      </c>
      <c r="FT353" s="49" t="s">
        <v>325</v>
      </c>
      <c r="FU353" s="49" t="s">
        <v>325</v>
      </c>
      <c r="FW353" s="49" t="s">
        <v>333</v>
      </c>
    </row>
    <row r="354" customFormat="false" ht="15" hidden="false" customHeight="false" outlineLevel="0" collapsed="false">
      <c r="A354" s="0" t="n">
        <v>100876297</v>
      </c>
      <c r="B354" s="0" t="s">
        <v>295</v>
      </c>
      <c r="C354" s="0" t="s">
        <v>68</v>
      </c>
      <c r="D354" s="0" t="s">
        <v>456</v>
      </c>
      <c r="E354" s="0" t="s">
        <v>297</v>
      </c>
      <c r="G354" s="0" t="n">
        <v>1</v>
      </c>
      <c r="H354" s="0" t="s">
        <v>298</v>
      </c>
      <c r="I354" s="48" t="n">
        <v>46269</v>
      </c>
      <c r="J354" s="0" t="n">
        <v>1</v>
      </c>
      <c r="K354" s="49" t="s">
        <v>1504</v>
      </c>
      <c r="L354" s="49" t="s">
        <v>1035</v>
      </c>
      <c r="M354" s="48" t="n">
        <v>46269</v>
      </c>
      <c r="N354" s="49" t="s">
        <v>1035</v>
      </c>
      <c r="O354" s="49" t="s">
        <v>1052</v>
      </c>
      <c r="P354" s="48"/>
      <c r="Q354" s="48" t="n">
        <v>46269</v>
      </c>
      <c r="R354" s="48" t="n">
        <v>46276</v>
      </c>
      <c r="T354" s="49" t="s">
        <v>302</v>
      </c>
      <c r="U354" s="49" t="s">
        <v>303</v>
      </c>
      <c r="Y354" s="49" t="s">
        <v>1531</v>
      </c>
      <c r="AD354" s="49" t="s">
        <v>305</v>
      </c>
      <c r="AE354" s="48" t="n">
        <v>46233</v>
      </c>
      <c r="AF354" s="49" t="s">
        <v>306</v>
      </c>
      <c r="AG354" s="49" t="s">
        <v>307</v>
      </c>
      <c r="AK354" s="49" t="s">
        <v>1047</v>
      </c>
      <c r="AL354" s="49" t="s">
        <v>297</v>
      </c>
      <c r="AO354" s="49" t="s">
        <v>303</v>
      </c>
      <c r="AP354" s="48"/>
      <c r="AR354" s="49" t="s">
        <v>303</v>
      </c>
      <c r="AS354" s="49" t="s">
        <v>306</v>
      </c>
      <c r="AT354" s="49" t="s">
        <v>1532</v>
      </c>
      <c r="AV354" s="49" t="s">
        <v>309</v>
      </c>
      <c r="AW354" s="49" t="s">
        <v>310</v>
      </c>
      <c r="AX354" s="49" t="s">
        <v>311</v>
      </c>
      <c r="AY354" s="48"/>
      <c r="AZ354" s="48" t="n">
        <v>46267</v>
      </c>
      <c r="BC354" s="49" t="s">
        <v>303</v>
      </c>
      <c r="BD354" s="48" t="n">
        <v>46296</v>
      </c>
      <c r="BE354" s="49" t="s">
        <v>1533</v>
      </c>
      <c r="BF354" s="49" t="s">
        <v>303</v>
      </c>
      <c r="BG354" s="48"/>
      <c r="BI354" s="48" t="n">
        <v>46296</v>
      </c>
      <c r="BJ354" s="48" t="n">
        <v>46274</v>
      </c>
      <c r="BK354" s="49" t="s">
        <v>312</v>
      </c>
      <c r="BL354" s="49" t="s">
        <v>313</v>
      </c>
      <c r="BM354" s="49" t="s">
        <v>310</v>
      </c>
      <c r="BN354" s="48"/>
      <c r="BO354" s="48"/>
      <c r="BP354" s="48"/>
      <c r="BQ354" s="49" t="s">
        <v>1504</v>
      </c>
      <c r="BR354" s="48" t="n">
        <v>46274</v>
      </c>
      <c r="BS354" s="49" t="s">
        <v>1529</v>
      </c>
      <c r="BT354" s="49" t="s">
        <v>312</v>
      </c>
      <c r="BU354" s="49" t="s">
        <v>313</v>
      </c>
      <c r="BV354" s="49" t="s">
        <v>303</v>
      </c>
      <c r="BX354" s="0" t="n">
        <v>1</v>
      </c>
      <c r="CC354" s="49" t="s">
        <v>315</v>
      </c>
      <c r="CD354" s="49" t="s">
        <v>303</v>
      </c>
      <c r="CF354" s="49" t="s">
        <v>303</v>
      </c>
      <c r="CG354" s="49" t="s">
        <v>316</v>
      </c>
      <c r="CH354" s="49" t="s">
        <v>317</v>
      </c>
      <c r="CI354" s="49" t="s">
        <v>318</v>
      </c>
      <c r="CM354" s="49" t="s">
        <v>456</v>
      </c>
      <c r="CV354" s="49" t="s">
        <v>303</v>
      </c>
      <c r="DB354" s="49" t="s">
        <v>319</v>
      </c>
      <c r="DD354" s="48" t="n">
        <v>46233</v>
      </c>
      <c r="DF354" s="49" t="s">
        <v>310</v>
      </c>
      <c r="DG354" s="49" t="s">
        <v>320</v>
      </c>
      <c r="DH354" s="49" t="s">
        <v>68</v>
      </c>
      <c r="DI354" s="49" t="s">
        <v>298</v>
      </c>
      <c r="DJ354" s="49" t="s">
        <v>321</v>
      </c>
      <c r="DK354" s="49" t="s">
        <v>322</v>
      </c>
      <c r="DL354" s="49" t="s">
        <v>323</v>
      </c>
      <c r="DM354" s="49" t="s">
        <v>303</v>
      </c>
      <c r="DN354" s="49" t="s">
        <v>297</v>
      </c>
      <c r="DO354" s="48"/>
      <c r="DP354" s="49" t="s">
        <v>312</v>
      </c>
      <c r="DQ354" s="48"/>
      <c r="DR354" s="49" t="s">
        <v>312</v>
      </c>
      <c r="DS354" s="49" t="s">
        <v>303</v>
      </c>
      <c r="DT354" s="49" t="s">
        <v>303</v>
      </c>
      <c r="DW354" s="49" t="s">
        <v>303</v>
      </c>
      <c r="EA354" s="49" t="s">
        <v>324</v>
      </c>
      <c r="EB354" s="49" t="s">
        <v>303</v>
      </c>
      <c r="EH354" s="49" t="s">
        <v>325</v>
      </c>
      <c r="EJ354" s="49" t="s">
        <v>303</v>
      </c>
      <c r="EK354" s="49" t="s">
        <v>1534</v>
      </c>
      <c r="EM354" s="49" t="s">
        <v>303</v>
      </c>
      <c r="EN354" s="49" t="s">
        <v>460</v>
      </c>
      <c r="EP354" s="49" t="s">
        <v>298</v>
      </c>
      <c r="EQ354" s="0" t="n">
        <v>1</v>
      </c>
      <c r="ER354" s="49" t="s">
        <v>328</v>
      </c>
      <c r="ES354" s="49" t="s">
        <v>329</v>
      </c>
      <c r="ET354" s="49" t="s">
        <v>310</v>
      </c>
      <c r="EU354" s="49" t="s">
        <v>310</v>
      </c>
      <c r="EV354" s="49" t="s">
        <v>310</v>
      </c>
      <c r="EX354" s="49" t="s">
        <v>303</v>
      </c>
      <c r="EY354" s="49" t="s">
        <v>303</v>
      </c>
      <c r="FC354" s="49" t="s">
        <v>330</v>
      </c>
      <c r="FD354" s="49" t="s">
        <v>310</v>
      </c>
      <c r="FE354" s="49" t="s">
        <v>310</v>
      </c>
      <c r="FF354" s="49" t="s">
        <v>68</v>
      </c>
      <c r="FG354" s="49" t="s">
        <v>461</v>
      </c>
      <c r="FH354" s="49" t="s">
        <v>310</v>
      </c>
      <c r="FI354" s="49" t="s">
        <v>332</v>
      </c>
      <c r="FJ354" s="49" t="s">
        <v>303</v>
      </c>
      <c r="FL354" s="49" t="s">
        <v>325</v>
      </c>
      <c r="FM354" s="49" t="s">
        <v>1504</v>
      </c>
      <c r="FP354" s="49" t="s">
        <v>303</v>
      </c>
      <c r="FR354" s="49" t="s">
        <v>303</v>
      </c>
      <c r="FT354" s="49" t="s">
        <v>325</v>
      </c>
      <c r="FU354" s="49" t="s">
        <v>325</v>
      </c>
      <c r="FW354" s="49" t="s">
        <v>333</v>
      </c>
    </row>
    <row r="355" customFormat="false" ht="15" hidden="false" customHeight="false" outlineLevel="0" collapsed="false">
      <c r="A355" s="0" t="n">
        <v>100876298</v>
      </c>
      <c r="B355" s="0" t="s">
        <v>295</v>
      </c>
      <c r="C355" s="0" t="s">
        <v>68</v>
      </c>
      <c r="D355" s="0" t="s">
        <v>456</v>
      </c>
      <c r="E355" s="0" t="s">
        <v>297</v>
      </c>
      <c r="G355" s="0" t="n">
        <v>1</v>
      </c>
      <c r="H355" s="0" t="s">
        <v>298</v>
      </c>
      <c r="I355" s="48" t="n">
        <v>46269</v>
      </c>
      <c r="J355" s="0" t="n">
        <v>0</v>
      </c>
      <c r="K355" s="49" t="s">
        <v>1504</v>
      </c>
      <c r="L355" s="49" t="s">
        <v>1035</v>
      </c>
      <c r="M355" s="48"/>
      <c r="O355" s="49" t="s">
        <v>1083</v>
      </c>
      <c r="P355" s="48"/>
      <c r="Q355" s="48" t="n">
        <v>46269</v>
      </c>
      <c r="R355" s="48" t="n">
        <v>46275</v>
      </c>
      <c r="T355" s="49" t="s">
        <v>302</v>
      </c>
      <c r="U355" s="49" t="s">
        <v>303</v>
      </c>
      <c r="Y355" s="49" t="s">
        <v>312</v>
      </c>
      <c r="AD355" s="49" t="s">
        <v>305</v>
      </c>
      <c r="AE355" s="48" t="n">
        <v>46233</v>
      </c>
      <c r="AF355" s="49" t="s">
        <v>306</v>
      </c>
      <c r="AG355" s="49" t="s">
        <v>307</v>
      </c>
      <c r="AK355" s="49" t="s">
        <v>303</v>
      </c>
      <c r="AL355" s="49" t="s">
        <v>297</v>
      </c>
      <c r="AO355" s="49" t="s">
        <v>303</v>
      </c>
      <c r="AP355" s="48"/>
      <c r="AR355" s="49" t="s">
        <v>303</v>
      </c>
      <c r="AS355" s="49" t="s">
        <v>306</v>
      </c>
      <c r="AT355" s="49" t="s">
        <v>1535</v>
      </c>
      <c r="AV355" s="49" t="s">
        <v>309</v>
      </c>
      <c r="AW355" s="49" t="s">
        <v>310</v>
      </c>
      <c r="AX355" s="49" t="s">
        <v>311</v>
      </c>
      <c r="AY355" s="48"/>
      <c r="AZ355" s="48" t="n">
        <v>46267</v>
      </c>
      <c r="BC355" s="49" t="s">
        <v>303</v>
      </c>
      <c r="BD355" s="48"/>
      <c r="BE355" s="49" t="s">
        <v>312</v>
      </c>
      <c r="BF355" s="49" t="s">
        <v>303</v>
      </c>
      <c r="BG355" s="48"/>
      <c r="BI355" s="48"/>
      <c r="BJ355" s="48" t="n">
        <v>46274</v>
      </c>
      <c r="BK355" s="49" t="s">
        <v>313</v>
      </c>
      <c r="BL355" s="49" t="s">
        <v>313</v>
      </c>
      <c r="BM355" s="49" t="s">
        <v>310</v>
      </c>
      <c r="BN355" s="48"/>
      <c r="BO355" s="48"/>
      <c r="BP355" s="48"/>
      <c r="BQ355" s="49" t="s">
        <v>1504</v>
      </c>
      <c r="BR355" s="48" t="n">
        <v>46274</v>
      </c>
      <c r="BS355" s="49" t="s">
        <v>1529</v>
      </c>
      <c r="BT355" s="49" t="s">
        <v>312</v>
      </c>
      <c r="BU355" s="49" t="s">
        <v>313</v>
      </c>
      <c r="BV355" s="49" t="s">
        <v>303</v>
      </c>
      <c r="BX355" s="0" t="n">
        <v>0</v>
      </c>
      <c r="CC355" s="49" t="s">
        <v>315</v>
      </c>
      <c r="CD355" s="49" t="s">
        <v>303</v>
      </c>
      <c r="CF355" s="49" t="s">
        <v>303</v>
      </c>
      <c r="CG355" s="49" t="s">
        <v>316</v>
      </c>
      <c r="CH355" s="49" t="s">
        <v>317</v>
      </c>
      <c r="CI355" s="49" t="s">
        <v>318</v>
      </c>
      <c r="CM355" s="49" t="s">
        <v>456</v>
      </c>
      <c r="CV355" s="49" t="s">
        <v>303</v>
      </c>
      <c r="DB355" s="49" t="s">
        <v>319</v>
      </c>
      <c r="DD355" s="48" t="n">
        <v>46233</v>
      </c>
      <c r="DF355" s="49" t="s">
        <v>310</v>
      </c>
      <c r="DG355" s="49" t="s">
        <v>320</v>
      </c>
      <c r="DH355" s="49" t="s">
        <v>68</v>
      </c>
      <c r="DI355" s="49" t="s">
        <v>298</v>
      </c>
      <c r="DJ355" s="49" t="s">
        <v>321</v>
      </c>
      <c r="DK355" s="49" t="s">
        <v>322</v>
      </c>
      <c r="DL355" s="49" t="s">
        <v>323</v>
      </c>
      <c r="DM355" s="49" t="s">
        <v>303</v>
      </c>
      <c r="DN355" s="49" t="s">
        <v>297</v>
      </c>
      <c r="DO355" s="48"/>
      <c r="DP355" s="49" t="s">
        <v>312</v>
      </c>
      <c r="DQ355" s="48"/>
      <c r="DR355" s="49" t="s">
        <v>312</v>
      </c>
      <c r="DS355" s="49" t="s">
        <v>303</v>
      </c>
      <c r="DT355" s="49" t="s">
        <v>303</v>
      </c>
      <c r="DW355" s="49" t="s">
        <v>303</v>
      </c>
      <c r="EA355" s="49" t="s">
        <v>324</v>
      </c>
      <c r="EB355" s="49" t="s">
        <v>303</v>
      </c>
      <c r="EF355" s="49" t="s">
        <v>1536</v>
      </c>
      <c r="EH355" s="49" t="s">
        <v>325</v>
      </c>
      <c r="EJ355" s="49" t="s">
        <v>303</v>
      </c>
      <c r="EK355" s="49" t="s">
        <v>1537</v>
      </c>
      <c r="EM355" s="49" t="s">
        <v>303</v>
      </c>
      <c r="EN355" s="49" t="s">
        <v>460</v>
      </c>
      <c r="EP355" s="49" t="s">
        <v>298</v>
      </c>
      <c r="EQ355" s="0" t="n">
        <v>1</v>
      </c>
      <c r="ER355" s="49" t="s">
        <v>328</v>
      </c>
      <c r="ES355" s="49" t="s">
        <v>329</v>
      </c>
      <c r="ET355" s="49" t="s">
        <v>310</v>
      </c>
      <c r="EU355" s="49" t="s">
        <v>310</v>
      </c>
      <c r="EV355" s="49" t="s">
        <v>310</v>
      </c>
      <c r="EX355" s="49" t="s">
        <v>303</v>
      </c>
      <c r="EY355" s="49" t="s">
        <v>303</v>
      </c>
      <c r="FC355" s="49" t="s">
        <v>330</v>
      </c>
      <c r="FD355" s="49" t="s">
        <v>310</v>
      </c>
      <c r="FE355" s="49" t="s">
        <v>310</v>
      </c>
      <c r="FF355" s="49" t="s">
        <v>68</v>
      </c>
      <c r="FG355" s="49" t="s">
        <v>461</v>
      </c>
      <c r="FH355" s="49" t="s">
        <v>310</v>
      </c>
      <c r="FI355" s="49" t="s">
        <v>332</v>
      </c>
      <c r="FJ355" s="49" t="s">
        <v>303</v>
      </c>
      <c r="FL355" s="49" t="s">
        <v>325</v>
      </c>
      <c r="FM355" s="49" t="s">
        <v>1504</v>
      </c>
      <c r="FP355" s="49" t="s">
        <v>303</v>
      </c>
      <c r="FR355" s="49" t="s">
        <v>303</v>
      </c>
      <c r="FT355" s="49" t="s">
        <v>325</v>
      </c>
      <c r="FU355" s="49" t="s">
        <v>325</v>
      </c>
      <c r="FW355" s="49" t="s">
        <v>333</v>
      </c>
    </row>
    <row r="356" customFormat="false" ht="15" hidden="false" customHeight="false" outlineLevel="0" collapsed="false">
      <c r="A356" s="0" t="n">
        <v>100876299</v>
      </c>
      <c r="B356" s="0" t="s">
        <v>295</v>
      </c>
      <c r="C356" s="0" t="s">
        <v>68</v>
      </c>
      <c r="D356" s="0" t="s">
        <v>456</v>
      </c>
      <c r="E356" s="0" t="s">
        <v>297</v>
      </c>
      <c r="G356" s="0" t="n">
        <v>1</v>
      </c>
      <c r="H356" s="0" t="s">
        <v>298</v>
      </c>
      <c r="I356" s="48" t="n">
        <v>46269</v>
      </c>
      <c r="J356" s="0" t="n">
        <v>1</v>
      </c>
      <c r="K356" s="49" t="s">
        <v>1504</v>
      </c>
      <c r="L356" s="49" t="s">
        <v>1035</v>
      </c>
      <c r="M356" s="48"/>
      <c r="O356" s="49" t="s">
        <v>1052</v>
      </c>
      <c r="P356" s="48"/>
      <c r="Q356" s="48" t="n">
        <v>46269</v>
      </c>
      <c r="R356" s="48" t="n">
        <v>46275</v>
      </c>
      <c r="T356" s="49" t="s">
        <v>302</v>
      </c>
      <c r="U356" s="49" t="s">
        <v>303</v>
      </c>
      <c r="Y356" s="49" t="s">
        <v>312</v>
      </c>
      <c r="AD356" s="49" t="s">
        <v>305</v>
      </c>
      <c r="AE356" s="48" t="n">
        <v>46233</v>
      </c>
      <c r="AF356" s="49" t="s">
        <v>306</v>
      </c>
      <c r="AG356" s="49" t="s">
        <v>307</v>
      </c>
      <c r="AK356" s="49" t="s">
        <v>1047</v>
      </c>
      <c r="AL356" s="49" t="s">
        <v>297</v>
      </c>
      <c r="AO356" s="49" t="s">
        <v>303</v>
      </c>
      <c r="AP356" s="48"/>
      <c r="AR356" s="49" t="s">
        <v>303</v>
      </c>
      <c r="AS356" s="49" t="s">
        <v>306</v>
      </c>
      <c r="AT356" s="49" t="s">
        <v>1538</v>
      </c>
      <c r="AV356" s="49" t="s">
        <v>309</v>
      </c>
      <c r="AW356" s="49" t="s">
        <v>310</v>
      </c>
      <c r="AX356" s="49" t="s">
        <v>311</v>
      </c>
      <c r="AY356" s="48"/>
      <c r="AZ356" s="48" t="n">
        <v>46267</v>
      </c>
      <c r="BC356" s="49" t="s">
        <v>303</v>
      </c>
      <c r="BD356" s="48" t="n">
        <v>46296</v>
      </c>
      <c r="BE356" s="49" t="s">
        <v>1539</v>
      </c>
      <c r="BF356" s="49" t="s">
        <v>303</v>
      </c>
      <c r="BG356" s="48"/>
      <c r="BI356" s="48" t="n">
        <v>46296</v>
      </c>
      <c r="BJ356" s="48" t="n">
        <v>46274</v>
      </c>
      <c r="BK356" s="49" t="s">
        <v>313</v>
      </c>
      <c r="BL356" s="49" t="s">
        <v>313</v>
      </c>
      <c r="BM356" s="49" t="s">
        <v>310</v>
      </c>
      <c r="BN356" s="48"/>
      <c r="BO356" s="48"/>
      <c r="BP356" s="48"/>
      <c r="BQ356" s="49" t="s">
        <v>1504</v>
      </c>
      <c r="BR356" s="48" t="n">
        <v>46274</v>
      </c>
      <c r="BS356" s="49" t="s">
        <v>1540</v>
      </c>
      <c r="BT356" s="49" t="s">
        <v>312</v>
      </c>
      <c r="BU356" s="49" t="s">
        <v>313</v>
      </c>
      <c r="BV356" s="49" t="s">
        <v>303</v>
      </c>
      <c r="BX356" s="0" t="n">
        <v>1</v>
      </c>
      <c r="CC356" s="49" t="s">
        <v>315</v>
      </c>
      <c r="CD356" s="49" t="s">
        <v>303</v>
      </c>
      <c r="CF356" s="49" t="s">
        <v>303</v>
      </c>
      <c r="CG356" s="49" t="s">
        <v>316</v>
      </c>
      <c r="CH356" s="49" t="s">
        <v>317</v>
      </c>
      <c r="CI356" s="49" t="s">
        <v>318</v>
      </c>
      <c r="CM356" s="49" t="s">
        <v>456</v>
      </c>
      <c r="CV356" s="49" t="s">
        <v>303</v>
      </c>
      <c r="DB356" s="49" t="s">
        <v>319</v>
      </c>
      <c r="DD356" s="48" t="n">
        <v>46233</v>
      </c>
      <c r="DF356" s="49" t="s">
        <v>310</v>
      </c>
      <c r="DG356" s="49" t="s">
        <v>320</v>
      </c>
      <c r="DH356" s="49" t="s">
        <v>68</v>
      </c>
      <c r="DI356" s="49" t="s">
        <v>298</v>
      </c>
      <c r="DJ356" s="49" t="s">
        <v>321</v>
      </c>
      <c r="DK356" s="49" t="s">
        <v>322</v>
      </c>
      <c r="DL356" s="49" t="s">
        <v>323</v>
      </c>
      <c r="DM356" s="49" t="s">
        <v>303</v>
      </c>
      <c r="DN356" s="49" t="s">
        <v>297</v>
      </c>
      <c r="DO356" s="48"/>
      <c r="DP356" s="49" t="s">
        <v>312</v>
      </c>
      <c r="DQ356" s="48"/>
      <c r="DR356" s="49" t="s">
        <v>312</v>
      </c>
      <c r="DS356" s="49" t="s">
        <v>303</v>
      </c>
      <c r="DT356" s="49" t="s">
        <v>303</v>
      </c>
      <c r="DW356" s="49" t="s">
        <v>303</v>
      </c>
      <c r="EA356" s="49" t="s">
        <v>324</v>
      </c>
      <c r="EB356" s="49" t="s">
        <v>303</v>
      </c>
      <c r="EF356" s="49" t="s">
        <v>1536</v>
      </c>
      <c r="EH356" s="49" t="s">
        <v>325</v>
      </c>
      <c r="EJ356" s="49" t="s">
        <v>303</v>
      </c>
      <c r="EK356" s="49" t="s">
        <v>1541</v>
      </c>
      <c r="EM356" s="49" t="s">
        <v>303</v>
      </c>
      <c r="EN356" s="49" t="s">
        <v>460</v>
      </c>
      <c r="EP356" s="49" t="s">
        <v>298</v>
      </c>
      <c r="EQ356" s="0" t="n">
        <v>1</v>
      </c>
      <c r="ER356" s="49" t="s">
        <v>328</v>
      </c>
      <c r="ES356" s="49" t="s">
        <v>329</v>
      </c>
      <c r="ET356" s="49" t="s">
        <v>310</v>
      </c>
      <c r="EU356" s="49" t="s">
        <v>310</v>
      </c>
      <c r="EV356" s="49" t="s">
        <v>310</v>
      </c>
      <c r="EX356" s="49" t="s">
        <v>303</v>
      </c>
      <c r="EY356" s="49" t="s">
        <v>303</v>
      </c>
      <c r="FC356" s="49" t="s">
        <v>330</v>
      </c>
      <c r="FD356" s="49" t="s">
        <v>310</v>
      </c>
      <c r="FE356" s="49" t="s">
        <v>310</v>
      </c>
      <c r="FF356" s="49" t="s">
        <v>68</v>
      </c>
      <c r="FG356" s="49" t="s">
        <v>461</v>
      </c>
      <c r="FH356" s="49" t="s">
        <v>310</v>
      </c>
      <c r="FI356" s="49" t="s">
        <v>332</v>
      </c>
      <c r="FJ356" s="49" t="s">
        <v>303</v>
      </c>
      <c r="FL356" s="49" t="s">
        <v>325</v>
      </c>
      <c r="FM356" s="49" t="s">
        <v>1504</v>
      </c>
      <c r="FP356" s="49" t="s">
        <v>303</v>
      </c>
      <c r="FR356" s="49" t="s">
        <v>303</v>
      </c>
      <c r="FT356" s="49" t="s">
        <v>325</v>
      </c>
      <c r="FU356" s="49" t="s">
        <v>325</v>
      </c>
      <c r="FW356" s="49" t="s">
        <v>333</v>
      </c>
    </row>
    <row r="357" customFormat="false" ht="15" hidden="false" customHeight="false" outlineLevel="0" collapsed="false">
      <c r="A357" s="0" t="n">
        <v>100876300</v>
      </c>
      <c r="B357" s="0" t="s">
        <v>295</v>
      </c>
      <c r="C357" s="0" t="s">
        <v>70</v>
      </c>
      <c r="D357" s="0" t="s">
        <v>468</v>
      </c>
      <c r="E357" s="0" t="s">
        <v>297</v>
      </c>
      <c r="G357" s="0" t="n">
        <v>1</v>
      </c>
      <c r="H357" s="0" t="s">
        <v>298</v>
      </c>
      <c r="I357" s="48" t="n">
        <v>46269</v>
      </c>
      <c r="J357" s="0" t="n">
        <v>1</v>
      </c>
      <c r="K357" s="49" t="s">
        <v>1504</v>
      </c>
      <c r="L357" s="49" t="s">
        <v>1035</v>
      </c>
      <c r="M357" s="48" t="n">
        <v>46269</v>
      </c>
      <c r="N357" s="49" t="s">
        <v>1035</v>
      </c>
      <c r="O357" s="49" t="s">
        <v>1052</v>
      </c>
      <c r="P357" s="48"/>
      <c r="Q357" s="48" t="n">
        <v>46269</v>
      </c>
      <c r="R357" s="48" t="n">
        <v>46276</v>
      </c>
      <c r="T357" s="49" t="s">
        <v>302</v>
      </c>
      <c r="U357" s="49" t="s">
        <v>303</v>
      </c>
      <c r="Y357" s="49" t="s">
        <v>1542</v>
      </c>
      <c r="AD357" s="49" t="s">
        <v>305</v>
      </c>
      <c r="AE357" s="48" t="n">
        <v>46233</v>
      </c>
      <c r="AF357" s="49" t="s">
        <v>306</v>
      </c>
      <c r="AG357" s="49" t="s">
        <v>307</v>
      </c>
      <c r="AK357" s="49" t="s">
        <v>1047</v>
      </c>
      <c r="AL357" s="49" t="s">
        <v>297</v>
      </c>
      <c r="AO357" s="49" t="s">
        <v>303</v>
      </c>
      <c r="AP357" s="48"/>
      <c r="AR357" s="49" t="s">
        <v>303</v>
      </c>
      <c r="AS357" s="49" t="s">
        <v>306</v>
      </c>
      <c r="AT357" s="49" t="s">
        <v>1543</v>
      </c>
      <c r="AV357" s="49" t="s">
        <v>309</v>
      </c>
      <c r="AW357" s="49" t="s">
        <v>310</v>
      </c>
      <c r="AX357" s="49" t="s">
        <v>311</v>
      </c>
      <c r="AY357" s="48"/>
      <c r="AZ357" s="48" t="n">
        <v>46267</v>
      </c>
      <c r="BC357" s="49" t="s">
        <v>303</v>
      </c>
      <c r="BD357" s="48" t="n">
        <v>46296</v>
      </c>
      <c r="BE357" s="49" t="s">
        <v>1544</v>
      </c>
      <c r="BF357" s="49" t="s">
        <v>303</v>
      </c>
      <c r="BG357" s="48"/>
      <c r="BI357" s="48" t="n">
        <v>46296</v>
      </c>
      <c r="BJ357" s="48" t="n">
        <v>46274</v>
      </c>
      <c r="BK357" s="49" t="s">
        <v>312</v>
      </c>
      <c r="BL357" s="49" t="s">
        <v>313</v>
      </c>
      <c r="BM357" s="49" t="s">
        <v>310</v>
      </c>
      <c r="BN357" s="48"/>
      <c r="BO357" s="48"/>
      <c r="BP357" s="48"/>
      <c r="BQ357" s="49" t="s">
        <v>1504</v>
      </c>
      <c r="BR357" s="48" t="n">
        <v>46274</v>
      </c>
      <c r="BS357" s="49" t="s">
        <v>1540</v>
      </c>
      <c r="BT357" s="49" t="s">
        <v>312</v>
      </c>
      <c r="BU357" s="49" t="s">
        <v>313</v>
      </c>
      <c r="BV357" s="49" t="s">
        <v>303</v>
      </c>
      <c r="BX357" s="0" t="n">
        <v>1</v>
      </c>
      <c r="CC357" s="49" t="s">
        <v>315</v>
      </c>
      <c r="CD357" s="49" t="s">
        <v>303</v>
      </c>
      <c r="CF357" s="49" t="s">
        <v>303</v>
      </c>
      <c r="CG357" s="49" t="s">
        <v>316</v>
      </c>
      <c r="CH357" s="49" t="s">
        <v>317</v>
      </c>
      <c r="CI357" s="49" t="s">
        <v>318</v>
      </c>
      <c r="CM357" s="49" t="s">
        <v>468</v>
      </c>
      <c r="CV357" s="49" t="s">
        <v>303</v>
      </c>
      <c r="DB357" s="49" t="s">
        <v>319</v>
      </c>
      <c r="DD357" s="48" t="n">
        <v>46233</v>
      </c>
      <c r="DF357" s="49" t="s">
        <v>310</v>
      </c>
      <c r="DG357" s="49" t="s">
        <v>320</v>
      </c>
      <c r="DH357" s="49" t="s">
        <v>70</v>
      </c>
      <c r="DI357" s="49" t="s">
        <v>298</v>
      </c>
      <c r="DJ357" s="49" t="s">
        <v>321</v>
      </c>
      <c r="DK357" s="49" t="s">
        <v>322</v>
      </c>
      <c r="DL357" s="49" t="s">
        <v>323</v>
      </c>
      <c r="DM357" s="49" t="s">
        <v>303</v>
      </c>
      <c r="DN357" s="49" t="s">
        <v>297</v>
      </c>
      <c r="DO357" s="48"/>
      <c r="DP357" s="49" t="s">
        <v>312</v>
      </c>
      <c r="DQ357" s="48"/>
      <c r="DR357" s="49" t="s">
        <v>312</v>
      </c>
      <c r="DS357" s="49" t="s">
        <v>303</v>
      </c>
      <c r="DT357" s="49" t="s">
        <v>303</v>
      </c>
      <c r="DW357" s="49" t="s">
        <v>303</v>
      </c>
      <c r="EA357" s="49" t="s">
        <v>324</v>
      </c>
      <c r="EB357" s="49" t="s">
        <v>303</v>
      </c>
      <c r="EH357" s="49" t="s">
        <v>325</v>
      </c>
      <c r="EJ357" s="49" t="s">
        <v>303</v>
      </c>
      <c r="EK357" s="49" t="s">
        <v>1545</v>
      </c>
      <c r="EM357" s="49" t="s">
        <v>303</v>
      </c>
      <c r="EN357" s="49" t="s">
        <v>472</v>
      </c>
      <c r="EP357" s="49" t="s">
        <v>298</v>
      </c>
      <c r="EQ357" s="0" t="n">
        <v>1</v>
      </c>
      <c r="ER357" s="49" t="s">
        <v>328</v>
      </c>
      <c r="ES357" s="49" t="s">
        <v>329</v>
      </c>
      <c r="ET357" s="49" t="s">
        <v>310</v>
      </c>
      <c r="EU357" s="49" t="s">
        <v>310</v>
      </c>
      <c r="EV357" s="49" t="s">
        <v>310</v>
      </c>
      <c r="EX357" s="49" t="s">
        <v>303</v>
      </c>
      <c r="EY357" s="49" t="s">
        <v>303</v>
      </c>
      <c r="FC357" s="49" t="s">
        <v>330</v>
      </c>
      <c r="FD357" s="49" t="s">
        <v>310</v>
      </c>
      <c r="FE357" s="49" t="s">
        <v>310</v>
      </c>
      <c r="FF357" s="49" t="s">
        <v>70</v>
      </c>
      <c r="FG357" s="49" t="s">
        <v>473</v>
      </c>
      <c r="FH357" s="49" t="s">
        <v>310</v>
      </c>
      <c r="FI357" s="49" t="s">
        <v>332</v>
      </c>
      <c r="FJ357" s="49" t="s">
        <v>303</v>
      </c>
      <c r="FL357" s="49" t="s">
        <v>325</v>
      </c>
      <c r="FM357" s="49" t="s">
        <v>1504</v>
      </c>
      <c r="FP357" s="49" t="s">
        <v>303</v>
      </c>
      <c r="FR357" s="49" t="s">
        <v>303</v>
      </c>
      <c r="FT357" s="49" t="s">
        <v>325</v>
      </c>
      <c r="FU357" s="49" t="s">
        <v>325</v>
      </c>
      <c r="FW357" s="49" t="s">
        <v>333</v>
      </c>
    </row>
    <row r="358" customFormat="false" ht="15" hidden="false" customHeight="false" outlineLevel="0" collapsed="false">
      <c r="A358" s="0" t="n">
        <v>100876301</v>
      </c>
      <c r="B358" s="0" t="s">
        <v>295</v>
      </c>
      <c r="C358" s="0" t="s">
        <v>70</v>
      </c>
      <c r="D358" s="0" t="s">
        <v>468</v>
      </c>
      <c r="E358" s="0" t="s">
        <v>297</v>
      </c>
      <c r="G358" s="0" t="n">
        <v>1</v>
      </c>
      <c r="H358" s="0" t="s">
        <v>298</v>
      </c>
      <c r="I358" s="48" t="n">
        <v>46269</v>
      </c>
      <c r="J358" s="0" t="n">
        <v>0</v>
      </c>
      <c r="K358" s="49" t="s">
        <v>1504</v>
      </c>
      <c r="L358" s="49" t="s">
        <v>1035</v>
      </c>
      <c r="M358" s="48"/>
      <c r="O358" s="49" t="s">
        <v>1083</v>
      </c>
      <c r="P358" s="48"/>
      <c r="Q358" s="48" t="n">
        <v>46269</v>
      </c>
      <c r="R358" s="48" t="n">
        <v>46275</v>
      </c>
      <c r="T358" s="49" t="s">
        <v>302</v>
      </c>
      <c r="U358" s="49" t="s">
        <v>303</v>
      </c>
      <c r="Y358" s="49" t="s">
        <v>312</v>
      </c>
      <c r="AD358" s="49" t="s">
        <v>305</v>
      </c>
      <c r="AE358" s="48" t="n">
        <v>46233</v>
      </c>
      <c r="AF358" s="49" t="s">
        <v>306</v>
      </c>
      <c r="AG358" s="49" t="s">
        <v>307</v>
      </c>
      <c r="AK358" s="49" t="s">
        <v>303</v>
      </c>
      <c r="AL358" s="49" t="s">
        <v>297</v>
      </c>
      <c r="AO358" s="49" t="s">
        <v>303</v>
      </c>
      <c r="AP358" s="48"/>
      <c r="AR358" s="49" t="s">
        <v>303</v>
      </c>
      <c r="AS358" s="49" t="s">
        <v>306</v>
      </c>
      <c r="AT358" s="49" t="s">
        <v>1546</v>
      </c>
      <c r="AV358" s="49" t="s">
        <v>309</v>
      </c>
      <c r="AW358" s="49" t="s">
        <v>310</v>
      </c>
      <c r="AX358" s="49" t="s">
        <v>311</v>
      </c>
      <c r="AY358" s="48"/>
      <c r="AZ358" s="48" t="n">
        <v>46267</v>
      </c>
      <c r="BC358" s="49" t="s">
        <v>303</v>
      </c>
      <c r="BD358" s="48"/>
      <c r="BE358" s="49" t="s">
        <v>312</v>
      </c>
      <c r="BF358" s="49" t="s">
        <v>303</v>
      </c>
      <c r="BG358" s="48"/>
      <c r="BI358" s="48"/>
      <c r="BJ358" s="48" t="n">
        <v>46274</v>
      </c>
      <c r="BK358" s="49" t="s">
        <v>313</v>
      </c>
      <c r="BL358" s="49" t="s">
        <v>313</v>
      </c>
      <c r="BM358" s="49" t="s">
        <v>310</v>
      </c>
      <c r="BN358" s="48"/>
      <c r="BO358" s="48"/>
      <c r="BP358" s="48"/>
      <c r="BQ358" s="49" t="s">
        <v>1504</v>
      </c>
      <c r="BR358" s="48" t="n">
        <v>46274</v>
      </c>
      <c r="BS358" s="49" t="s">
        <v>1547</v>
      </c>
      <c r="BT358" s="49" t="s">
        <v>312</v>
      </c>
      <c r="BU358" s="49" t="s">
        <v>313</v>
      </c>
      <c r="BV358" s="49" t="s">
        <v>303</v>
      </c>
      <c r="BX358" s="0" t="n">
        <v>0</v>
      </c>
      <c r="CC358" s="49" t="s">
        <v>315</v>
      </c>
      <c r="CD358" s="49" t="s">
        <v>303</v>
      </c>
      <c r="CF358" s="49" t="s">
        <v>303</v>
      </c>
      <c r="CG358" s="49" t="s">
        <v>316</v>
      </c>
      <c r="CH358" s="49" t="s">
        <v>317</v>
      </c>
      <c r="CI358" s="49" t="s">
        <v>318</v>
      </c>
      <c r="CM358" s="49" t="s">
        <v>468</v>
      </c>
      <c r="CV358" s="49" t="s">
        <v>303</v>
      </c>
      <c r="DB358" s="49" t="s">
        <v>319</v>
      </c>
      <c r="DD358" s="48" t="n">
        <v>46233</v>
      </c>
      <c r="DF358" s="49" t="s">
        <v>310</v>
      </c>
      <c r="DG358" s="49" t="s">
        <v>320</v>
      </c>
      <c r="DH358" s="49" t="s">
        <v>70</v>
      </c>
      <c r="DI358" s="49" t="s">
        <v>298</v>
      </c>
      <c r="DJ358" s="49" t="s">
        <v>321</v>
      </c>
      <c r="DK358" s="49" t="s">
        <v>322</v>
      </c>
      <c r="DL358" s="49" t="s">
        <v>323</v>
      </c>
      <c r="DM358" s="49" t="s">
        <v>303</v>
      </c>
      <c r="DN358" s="49" t="s">
        <v>297</v>
      </c>
      <c r="DO358" s="48"/>
      <c r="DP358" s="49" t="s">
        <v>312</v>
      </c>
      <c r="DQ358" s="48"/>
      <c r="DR358" s="49" t="s">
        <v>312</v>
      </c>
      <c r="DS358" s="49" t="s">
        <v>303</v>
      </c>
      <c r="DT358" s="49" t="s">
        <v>303</v>
      </c>
      <c r="DW358" s="49" t="s">
        <v>303</v>
      </c>
      <c r="EA358" s="49" t="s">
        <v>324</v>
      </c>
      <c r="EB358" s="49" t="s">
        <v>303</v>
      </c>
      <c r="EF358" s="49" t="s">
        <v>1548</v>
      </c>
      <c r="EH358" s="49" t="s">
        <v>325</v>
      </c>
      <c r="EJ358" s="49" t="s">
        <v>303</v>
      </c>
      <c r="EK358" s="49" t="s">
        <v>1549</v>
      </c>
      <c r="EM358" s="49" t="s">
        <v>303</v>
      </c>
      <c r="EN358" s="49" t="s">
        <v>472</v>
      </c>
      <c r="EP358" s="49" t="s">
        <v>298</v>
      </c>
      <c r="EQ358" s="0" t="n">
        <v>1</v>
      </c>
      <c r="ER358" s="49" t="s">
        <v>328</v>
      </c>
      <c r="ES358" s="49" t="s">
        <v>329</v>
      </c>
      <c r="ET358" s="49" t="s">
        <v>310</v>
      </c>
      <c r="EU358" s="49" t="s">
        <v>310</v>
      </c>
      <c r="EV358" s="49" t="s">
        <v>310</v>
      </c>
      <c r="EX358" s="49" t="s">
        <v>303</v>
      </c>
      <c r="EY358" s="49" t="s">
        <v>303</v>
      </c>
      <c r="FC358" s="49" t="s">
        <v>330</v>
      </c>
      <c r="FD358" s="49" t="s">
        <v>310</v>
      </c>
      <c r="FE358" s="49" t="s">
        <v>310</v>
      </c>
      <c r="FF358" s="49" t="s">
        <v>70</v>
      </c>
      <c r="FG358" s="49" t="s">
        <v>473</v>
      </c>
      <c r="FH358" s="49" t="s">
        <v>310</v>
      </c>
      <c r="FI358" s="49" t="s">
        <v>332</v>
      </c>
      <c r="FJ358" s="49" t="s">
        <v>303</v>
      </c>
      <c r="FL358" s="49" t="s">
        <v>325</v>
      </c>
      <c r="FM358" s="49" t="s">
        <v>1504</v>
      </c>
      <c r="FP358" s="49" t="s">
        <v>303</v>
      </c>
      <c r="FR358" s="49" t="s">
        <v>303</v>
      </c>
      <c r="FT358" s="49" t="s">
        <v>325</v>
      </c>
      <c r="FU358" s="49" t="s">
        <v>325</v>
      </c>
      <c r="FW358" s="49" t="s">
        <v>333</v>
      </c>
    </row>
    <row r="359" customFormat="false" ht="15" hidden="false" customHeight="false" outlineLevel="0" collapsed="false">
      <c r="A359" s="0" t="n">
        <v>100876302</v>
      </c>
      <c r="B359" s="0" t="s">
        <v>295</v>
      </c>
      <c r="C359" s="0" t="s">
        <v>70</v>
      </c>
      <c r="D359" s="0" t="s">
        <v>468</v>
      </c>
      <c r="E359" s="0" t="s">
        <v>297</v>
      </c>
      <c r="G359" s="0" t="n">
        <v>1</v>
      </c>
      <c r="H359" s="0" t="s">
        <v>298</v>
      </c>
      <c r="I359" s="48" t="n">
        <v>46269</v>
      </c>
      <c r="J359" s="0" t="n">
        <v>1</v>
      </c>
      <c r="K359" s="49" t="s">
        <v>1504</v>
      </c>
      <c r="L359" s="49" t="s">
        <v>1035</v>
      </c>
      <c r="M359" s="48"/>
      <c r="O359" s="49" t="s">
        <v>1052</v>
      </c>
      <c r="P359" s="48"/>
      <c r="Q359" s="48" t="n">
        <v>46269</v>
      </c>
      <c r="R359" s="48" t="n">
        <v>46275</v>
      </c>
      <c r="T359" s="49" t="s">
        <v>302</v>
      </c>
      <c r="U359" s="49" t="s">
        <v>303</v>
      </c>
      <c r="Y359" s="49" t="s">
        <v>312</v>
      </c>
      <c r="AD359" s="49" t="s">
        <v>305</v>
      </c>
      <c r="AE359" s="48" t="n">
        <v>46233</v>
      </c>
      <c r="AF359" s="49" t="s">
        <v>306</v>
      </c>
      <c r="AG359" s="49" t="s">
        <v>307</v>
      </c>
      <c r="AK359" s="49" t="s">
        <v>1047</v>
      </c>
      <c r="AL359" s="49" t="s">
        <v>297</v>
      </c>
      <c r="AO359" s="49" t="s">
        <v>303</v>
      </c>
      <c r="AP359" s="48"/>
      <c r="AR359" s="49" t="s">
        <v>303</v>
      </c>
      <c r="AS359" s="49" t="s">
        <v>306</v>
      </c>
      <c r="AT359" s="49" t="s">
        <v>1550</v>
      </c>
      <c r="AV359" s="49" t="s">
        <v>309</v>
      </c>
      <c r="AW359" s="49" t="s">
        <v>310</v>
      </c>
      <c r="AX359" s="49" t="s">
        <v>311</v>
      </c>
      <c r="AY359" s="48"/>
      <c r="AZ359" s="48" t="n">
        <v>46267</v>
      </c>
      <c r="BC359" s="49" t="s">
        <v>303</v>
      </c>
      <c r="BD359" s="48" t="n">
        <v>46297</v>
      </c>
      <c r="BE359" s="49" t="s">
        <v>1551</v>
      </c>
      <c r="BF359" s="49" t="s">
        <v>303</v>
      </c>
      <c r="BG359" s="48"/>
      <c r="BI359" s="48" t="n">
        <v>46297</v>
      </c>
      <c r="BJ359" s="48" t="n">
        <v>46274</v>
      </c>
      <c r="BK359" s="49" t="s">
        <v>313</v>
      </c>
      <c r="BL359" s="49" t="s">
        <v>313</v>
      </c>
      <c r="BM359" s="49" t="s">
        <v>310</v>
      </c>
      <c r="BN359" s="48"/>
      <c r="BO359" s="48"/>
      <c r="BP359" s="48"/>
      <c r="BQ359" s="49" t="s">
        <v>1504</v>
      </c>
      <c r="BR359" s="48" t="n">
        <v>46274</v>
      </c>
      <c r="BS359" s="49" t="s">
        <v>1547</v>
      </c>
      <c r="BT359" s="49" t="s">
        <v>312</v>
      </c>
      <c r="BU359" s="49" t="s">
        <v>313</v>
      </c>
      <c r="BV359" s="49" t="s">
        <v>303</v>
      </c>
      <c r="BX359" s="0" t="n">
        <v>1</v>
      </c>
      <c r="CC359" s="49" t="s">
        <v>315</v>
      </c>
      <c r="CD359" s="49" t="s">
        <v>303</v>
      </c>
      <c r="CF359" s="49" t="s">
        <v>303</v>
      </c>
      <c r="CG359" s="49" t="s">
        <v>316</v>
      </c>
      <c r="CH359" s="49" t="s">
        <v>317</v>
      </c>
      <c r="CI359" s="49" t="s">
        <v>318</v>
      </c>
      <c r="CM359" s="49" t="s">
        <v>468</v>
      </c>
      <c r="CV359" s="49" t="s">
        <v>303</v>
      </c>
      <c r="DB359" s="49" t="s">
        <v>319</v>
      </c>
      <c r="DD359" s="48" t="n">
        <v>46233</v>
      </c>
      <c r="DF359" s="49" t="s">
        <v>310</v>
      </c>
      <c r="DG359" s="49" t="s">
        <v>320</v>
      </c>
      <c r="DH359" s="49" t="s">
        <v>70</v>
      </c>
      <c r="DI359" s="49" t="s">
        <v>298</v>
      </c>
      <c r="DJ359" s="49" t="s">
        <v>321</v>
      </c>
      <c r="DK359" s="49" t="s">
        <v>322</v>
      </c>
      <c r="DL359" s="49" t="s">
        <v>323</v>
      </c>
      <c r="DM359" s="49" t="s">
        <v>303</v>
      </c>
      <c r="DN359" s="49" t="s">
        <v>297</v>
      </c>
      <c r="DO359" s="48"/>
      <c r="DP359" s="49" t="s">
        <v>312</v>
      </c>
      <c r="DQ359" s="48"/>
      <c r="DR359" s="49" t="s">
        <v>312</v>
      </c>
      <c r="DS359" s="49" t="s">
        <v>303</v>
      </c>
      <c r="DT359" s="49" t="s">
        <v>303</v>
      </c>
      <c r="DW359" s="49" t="s">
        <v>303</v>
      </c>
      <c r="EA359" s="49" t="s">
        <v>324</v>
      </c>
      <c r="EB359" s="49" t="s">
        <v>303</v>
      </c>
      <c r="EF359" s="49" t="s">
        <v>1548</v>
      </c>
      <c r="EH359" s="49" t="s">
        <v>325</v>
      </c>
      <c r="EJ359" s="49" t="s">
        <v>303</v>
      </c>
      <c r="EK359" s="49" t="s">
        <v>1552</v>
      </c>
      <c r="EM359" s="49" t="s">
        <v>303</v>
      </c>
      <c r="EN359" s="49" t="s">
        <v>472</v>
      </c>
      <c r="EP359" s="49" t="s">
        <v>298</v>
      </c>
      <c r="EQ359" s="0" t="n">
        <v>1</v>
      </c>
      <c r="ER359" s="49" t="s">
        <v>328</v>
      </c>
      <c r="ES359" s="49" t="s">
        <v>329</v>
      </c>
      <c r="ET359" s="49" t="s">
        <v>310</v>
      </c>
      <c r="EU359" s="49" t="s">
        <v>310</v>
      </c>
      <c r="EV359" s="49" t="s">
        <v>310</v>
      </c>
      <c r="EX359" s="49" t="s">
        <v>303</v>
      </c>
      <c r="EY359" s="49" t="s">
        <v>303</v>
      </c>
      <c r="FC359" s="49" t="s">
        <v>330</v>
      </c>
      <c r="FD359" s="49" t="s">
        <v>310</v>
      </c>
      <c r="FE359" s="49" t="s">
        <v>310</v>
      </c>
      <c r="FF359" s="49" t="s">
        <v>70</v>
      </c>
      <c r="FG359" s="49" t="s">
        <v>473</v>
      </c>
      <c r="FH359" s="49" t="s">
        <v>310</v>
      </c>
      <c r="FI359" s="49" t="s">
        <v>332</v>
      </c>
      <c r="FJ359" s="49" t="s">
        <v>303</v>
      </c>
      <c r="FL359" s="49" t="s">
        <v>325</v>
      </c>
      <c r="FM359" s="49" t="s">
        <v>1504</v>
      </c>
      <c r="FP359" s="49" t="s">
        <v>303</v>
      </c>
      <c r="FR359" s="49" t="s">
        <v>303</v>
      </c>
      <c r="FT359" s="49" t="s">
        <v>325</v>
      </c>
      <c r="FU359" s="49" t="s">
        <v>325</v>
      </c>
      <c r="FW359" s="49" t="s">
        <v>333</v>
      </c>
    </row>
    <row r="360" customFormat="false" ht="15" hidden="false" customHeight="false" outlineLevel="0" collapsed="false">
      <c r="A360" s="0" t="n">
        <v>100876303</v>
      </c>
      <c r="B360" s="0" t="s">
        <v>295</v>
      </c>
      <c r="C360" s="0" t="s">
        <v>72</v>
      </c>
      <c r="D360" s="0" t="s">
        <v>480</v>
      </c>
      <c r="E360" s="0" t="s">
        <v>297</v>
      </c>
      <c r="G360" s="0" t="n">
        <v>1</v>
      </c>
      <c r="H360" s="0" t="s">
        <v>298</v>
      </c>
      <c r="I360" s="48" t="n">
        <v>46269</v>
      </c>
      <c r="J360" s="0" t="n">
        <v>1</v>
      </c>
      <c r="K360" s="49" t="s">
        <v>1504</v>
      </c>
      <c r="L360" s="49" t="s">
        <v>1035</v>
      </c>
      <c r="M360" s="48" t="n">
        <v>46269</v>
      </c>
      <c r="N360" s="49" t="s">
        <v>1035</v>
      </c>
      <c r="O360" s="49" t="s">
        <v>1052</v>
      </c>
      <c r="P360" s="48"/>
      <c r="Q360" s="48" t="n">
        <v>46269</v>
      </c>
      <c r="R360" s="48" t="n">
        <v>46276</v>
      </c>
      <c r="T360" s="49" t="s">
        <v>302</v>
      </c>
      <c r="U360" s="49" t="s">
        <v>303</v>
      </c>
      <c r="Y360" s="49" t="s">
        <v>1553</v>
      </c>
      <c r="AD360" s="49" t="s">
        <v>305</v>
      </c>
      <c r="AE360" s="48" t="n">
        <v>46233</v>
      </c>
      <c r="AF360" s="49" t="s">
        <v>306</v>
      </c>
      <c r="AG360" s="49" t="s">
        <v>307</v>
      </c>
      <c r="AK360" s="49" t="s">
        <v>1047</v>
      </c>
      <c r="AL360" s="49" t="s">
        <v>297</v>
      </c>
      <c r="AO360" s="49" t="s">
        <v>303</v>
      </c>
      <c r="AP360" s="48"/>
      <c r="AR360" s="49" t="s">
        <v>303</v>
      </c>
      <c r="AS360" s="49" t="s">
        <v>306</v>
      </c>
      <c r="AT360" s="49" t="s">
        <v>1554</v>
      </c>
      <c r="AV360" s="49" t="s">
        <v>309</v>
      </c>
      <c r="AW360" s="49" t="s">
        <v>310</v>
      </c>
      <c r="AX360" s="49" t="s">
        <v>311</v>
      </c>
      <c r="AY360" s="48"/>
      <c r="AZ360" s="48" t="n">
        <v>46267</v>
      </c>
      <c r="BC360" s="49" t="s">
        <v>303</v>
      </c>
      <c r="BD360" s="48" t="n">
        <v>46296</v>
      </c>
      <c r="BE360" s="49" t="s">
        <v>1555</v>
      </c>
      <c r="BF360" s="49" t="s">
        <v>303</v>
      </c>
      <c r="BG360" s="48"/>
      <c r="BI360" s="48" t="n">
        <v>46296</v>
      </c>
      <c r="BJ360" s="48" t="n">
        <v>46274</v>
      </c>
      <c r="BK360" s="49" t="s">
        <v>312</v>
      </c>
      <c r="BL360" s="49" t="s">
        <v>313</v>
      </c>
      <c r="BM360" s="49" t="s">
        <v>310</v>
      </c>
      <c r="BN360" s="48"/>
      <c r="BO360" s="48"/>
      <c r="BP360" s="48"/>
      <c r="BQ360" s="49" t="s">
        <v>1504</v>
      </c>
      <c r="BR360" s="48" t="n">
        <v>46274</v>
      </c>
      <c r="BS360" s="49" t="s">
        <v>1547</v>
      </c>
      <c r="BT360" s="49" t="s">
        <v>312</v>
      </c>
      <c r="BU360" s="49" t="s">
        <v>313</v>
      </c>
      <c r="BV360" s="49" t="s">
        <v>303</v>
      </c>
      <c r="BX360" s="0" t="n">
        <v>1</v>
      </c>
      <c r="CC360" s="49" t="s">
        <v>315</v>
      </c>
      <c r="CD360" s="49" t="s">
        <v>303</v>
      </c>
      <c r="CF360" s="49" t="s">
        <v>303</v>
      </c>
      <c r="CG360" s="49" t="s">
        <v>316</v>
      </c>
      <c r="CH360" s="49" t="s">
        <v>317</v>
      </c>
      <c r="CI360" s="49" t="s">
        <v>318</v>
      </c>
      <c r="CM360" s="49" t="s">
        <v>480</v>
      </c>
      <c r="CV360" s="49" t="s">
        <v>303</v>
      </c>
      <c r="DB360" s="49" t="s">
        <v>319</v>
      </c>
      <c r="DD360" s="48" t="n">
        <v>46233</v>
      </c>
      <c r="DF360" s="49" t="s">
        <v>310</v>
      </c>
      <c r="DG360" s="49" t="s">
        <v>320</v>
      </c>
      <c r="DH360" s="49" t="s">
        <v>72</v>
      </c>
      <c r="DI360" s="49" t="s">
        <v>298</v>
      </c>
      <c r="DJ360" s="49" t="s">
        <v>321</v>
      </c>
      <c r="DK360" s="49" t="s">
        <v>322</v>
      </c>
      <c r="DL360" s="49" t="s">
        <v>323</v>
      </c>
      <c r="DM360" s="49" t="s">
        <v>303</v>
      </c>
      <c r="DN360" s="49" t="s">
        <v>297</v>
      </c>
      <c r="DO360" s="48"/>
      <c r="DP360" s="49" t="s">
        <v>312</v>
      </c>
      <c r="DQ360" s="48"/>
      <c r="DR360" s="49" t="s">
        <v>312</v>
      </c>
      <c r="DS360" s="49" t="s">
        <v>303</v>
      </c>
      <c r="DT360" s="49" t="s">
        <v>303</v>
      </c>
      <c r="DW360" s="49" t="s">
        <v>303</v>
      </c>
      <c r="EA360" s="49" t="s">
        <v>324</v>
      </c>
      <c r="EB360" s="49" t="s">
        <v>303</v>
      </c>
      <c r="EH360" s="49" t="s">
        <v>325</v>
      </c>
      <c r="EJ360" s="49" t="s">
        <v>303</v>
      </c>
      <c r="EK360" s="49" t="s">
        <v>1556</v>
      </c>
      <c r="EM360" s="49" t="s">
        <v>303</v>
      </c>
      <c r="EN360" s="49" t="s">
        <v>485</v>
      </c>
      <c r="EP360" s="49" t="s">
        <v>298</v>
      </c>
      <c r="EQ360" s="0" t="n">
        <v>1</v>
      </c>
      <c r="ER360" s="49" t="s">
        <v>328</v>
      </c>
      <c r="ES360" s="49" t="s">
        <v>329</v>
      </c>
      <c r="ET360" s="49" t="s">
        <v>310</v>
      </c>
      <c r="EU360" s="49" t="s">
        <v>310</v>
      </c>
      <c r="EV360" s="49" t="s">
        <v>310</v>
      </c>
      <c r="EX360" s="49" t="s">
        <v>303</v>
      </c>
      <c r="EY360" s="49" t="s">
        <v>303</v>
      </c>
      <c r="FC360" s="49" t="s">
        <v>330</v>
      </c>
      <c r="FD360" s="49" t="s">
        <v>310</v>
      </c>
      <c r="FE360" s="49" t="s">
        <v>310</v>
      </c>
      <c r="FF360" s="49" t="s">
        <v>72</v>
      </c>
      <c r="FG360" s="49" t="s">
        <v>486</v>
      </c>
      <c r="FH360" s="49" t="s">
        <v>310</v>
      </c>
      <c r="FI360" s="49" t="s">
        <v>332</v>
      </c>
      <c r="FJ360" s="49" t="s">
        <v>303</v>
      </c>
      <c r="FL360" s="49" t="s">
        <v>325</v>
      </c>
      <c r="FM360" s="49" t="s">
        <v>1504</v>
      </c>
      <c r="FP360" s="49" t="s">
        <v>303</v>
      </c>
      <c r="FR360" s="49" t="s">
        <v>303</v>
      </c>
      <c r="FT360" s="49" t="s">
        <v>325</v>
      </c>
      <c r="FU360" s="49" t="s">
        <v>325</v>
      </c>
      <c r="FW360" s="49" t="s">
        <v>333</v>
      </c>
    </row>
    <row r="361" customFormat="false" ht="15" hidden="false" customHeight="false" outlineLevel="0" collapsed="false">
      <c r="A361" s="0" t="n">
        <v>100876304</v>
      </c>
      <c r="B361" s="0" t="s">
        <v>295</v>
      </c>
      <c r="C361" s="0" t="s">
        <v>72</v>
      </c>
      <c r="D361" s="0" t="s">
        <v>480</v>
      </c>
      <c r="E361" s="0" t="s">
        <v>297</v>
      </c>
      <c r="G361" s="0" t="n">
        <v>1</v>
      </c>
      <c r="H361" s="0" t="s">
        <v>298</v>
      </c>
      <c r="I361" s="48" t="n">
        <v>46269</v>
      </c>
      <c r="J361" s="0" t="n">
        <v>0</v>
      </c>
      <c r="K361" s="49" t="s">
        <v>1504</v>
      </c>
      <c r="L361" s="49" t="s">
        <v>1035</v>
      </c>
      <c r="M361" s="48"/>
      <c r="O361" s="49" t="s">
        <v>1083</v>
      </c>
      <c r="P361" s="48"/>
      <c r="Q361" s="48" t="n">
        <v>46269</v>
      </c>
      <c r="R361" s="48" t="n">
        <v>46275</v>
      </c>
      <c r="T361" s="49" t="s">
        <v>302</v>
      </c>
      <c r="U361" s="49" t="s">
        <v>303</v>
      </c>
      <c r="Y361" s="49" t="s">
        <v>312</v>
      </c>
      <c r="AD361" s="49" t="s">
        <v>305</v>
      </c>
      <c r="AE361" s="48" t="n">
        <v>46233</v>
      </c>
      <c r="AF361" s="49" t="s">
        <v>306</v>
      </c>
      <c r="AG361" s="49" t="s">
        <v>307</v>
      </c>
      <c r="AK361" s="49" t="s">
        <v>303</v>
      </c>
      <c r="AL361" s="49" t="s">
        <v>297</v>
      </c>
      <c r="AO361" s="49" t="s">
        <v>303</v>
      </c>
      <c r="AP361" s="48"/>
      <c r="AR361" s="49" t="s">
        <v>303</v>
      </c>
      <c r="AS361" s="49" t="s">
        <v>306</v>
      </c>
      <c r="AT361" s="49" t="s">
        <v>1557</v>
      </c>
      <c r="AV361" s="49" t="s">
        <v>309</v>
      </c>
      <c r="AW361" s="49" t="s">
        <v>310</v>
      </c>
      <c r="AX361" s="49" t="s">
        <v>311</v>
      </c>
      <c r="AY361" s="48"/>
      <c r="AZ361" s="48" t="n">
        <v>46267</v>
      </c>
      <c r="BC361" s="49" t="s">
        <v>303</v>
      </c>
      <c r="BD361" s="48"/>
      <c r="BE361" s="49" t="s">
        <v>312</v>
      </c>
      <c r="BF361" s="49" t="s">
        <v>303</v>
      </c>
      <c r="BG361" s="48"/>
      <c r="BI361" s="48"/>
      <c r="BJ361" s="48" t="n">
        <v>46274</v>
      </c>
      <c r="BK361" s="49" t="s">
        <v>313</v>
      </c>
      <c r="BL361" s="49" t="s">
        <v>313</v>
      </c>
      <c r="BM361" s="49" t="s">
        <v>310</v>
      </c>
      <c r="BN361" s="48"/>
      <c r="BO361" s="48"/>
      <c r="BP361" s="48"/>
      <c r="BQ361" s="49" t="s">
        <v>1504</v>
      </c>
      <c r="BR361" s="48" t="n">
        <v>46274</v>
      </c>
      <c r="BS361" s="49" t="s">
        <v>1558</v>
      </c>
      <c r="BT361" s="49" t="s">
        <v>312</v>
      </c>
      <c r="BU361" s="49" t="s">
        <v>313</v>
      </c>
      <c r="BV361" s="49" t="s">
        <v>303</v>
      </c>
      <c r="BX361" s="0" t="n">
        <v>0</v>
      </c>
      <c r="CC361" s="49" t="s">
        <v>315</v>
      </c>
      <c r="CD361" s="49" t="s">
        <v>303</v>
      </c>
      <c r="CF361" s="49" t="s">
        <v>303</v>
      </c>
      <c r="CG361" s="49" t="s">
        <v>316</v>
      </c>
      <c r="CH361" s="49" t="s">
        <v>317</v>
      </c>
      <c r="CI361" s="49" t="s">
        <v>318</v>
      </c>
      <c r="CM361" s="49" t="s">
        <v>480</v>
      </c>
      <c r="CV361" s="49" t="s">
        <v>303</v>
      </c>
      <c r="DB361" s="49" t="s">
        <v>319</v>
      </c>
      <c r="DD361" s="48" t="n">
        <v>46233</v>
      </c>
      <c r="DF361" s="49" t="s">
        <v>310</v>
      </c>
      <c r="DG361" s="49" t="s">
        <v>320</v>
      </c>
      <c r="DH361" s="49" t="s">
        <v>72</v>
      </c>
      <c r="DI361" s="49" t="s">
        <v>298</v>
      </c>
      <c r="DJ361" s="49" t="s">
        <v>321</v>
      </c>
      <c r="DK361" s="49" t="s">
        <v>322</v>
      </c>
      <c r="DL361" s="49" t="s">
        <v>323</v>
      </c>
      <c r="DM361" s="49" t="s">
        <v>303</v>
      </c>
      <c r="DN361" s="49" t="s">
        <v>297</v>
      </c>
      <c r="DO361" s="48"/>
      <c r="DP361" s="49" t="s">
        <v>312</v>
      </c>
      <c r="DQ361" s="48"/>
      <c r="DR361" s="49" t="s">
        <v>312</v>
      </c>
      <c r="DS361" s="49" t="s">
        <v>303</v>
      </c>
      <c r="DT361" s="49" t="s">
        <v>303</v>
      </c>
      <c r="DW361" s="49" t="s">
        <v>303</v>
      </c>
      <c r="EA361" s="49" t="s">
        <v>324</v>
      </c>
      <c r="EB361" s="49" t="s">
        <v>303</v>
      </c>
      <c r="EF361" s="49" t="s">
        <v>1559</v>
      </c>
      <c r="EH361" s="49" t="s">
        <v>325</v>
      </c>
      <c r="EJ361" s="49" t="s">
        <v>303</v>
      </c>
      <c r="EK361" s="49" t="s">
        <v>1560</v>
      </c>
      <c r="EM361" s="49" t="s">
        <v>303</v>
      </c>
      <c r="EN361" s="49" t="s">
        <v>485</v>
      </c>
      <c r="EP361" s="49" t="s">
        <v>298</v>
      </c>
      <c r="EQ361" s="0" t="n">
        <v>1</v>
      </c>
      <c r="ER361" s="49" t="s">
        <v>328</v>
      </c>
      <c r="ES361" s="49" t="s">
        <v>329</v>
      </c>
      <c r="ET361" s="49" t="s">
        <v>310</v>
      </c>
      <c r="EU361" s="49" t="s">
        <v>310</v>
      </c>
      <c r="EV361" s="49" t="s">
        <v>310</v>
      </c>
      <c r="EX361" s="49" t="s">
        <v>303</v>
      </c>
      <c r="EY361" s="49" t="s">
        <v>303</v>
      </c>
      <c r="FC361" s="49" t="s">
        <v>330</v>
      </c>
      <c r="FD361" s="49" t="s">
        <v>310</v>
      </c>
      <c r="FE361" s="49" t="s">
        <v>310</v>
      </c>
      <c r="FF361" s="49" t="s">
        <v>72</v>
      </c>
      <c r="FG361" s="49" t="s">
        <v>486</v>
      </c>
      <c r="FH361" s="49" t="s">
        <v>310</v>
      </c>
      <c r="FI361" s="49" t="s">
        <v>332</v>
      </c>
      <c r="FJ361" s="49" t="s">
        <v>303</v>
      </c>
      <c r="FL361" s="49" t="s">
        <v>325</v>
      </c>
      <c r="FM361" s="49" t="s">
        <v>1504</v>
      </c>
      <c r="FP361" s="49" t="s">
        <v>303</v>
      </c>
      <c r="FR361" s="49" t="s">
        <v>303</v>
      </c>
      <c r="FT361" s="49" t="s">
        <v>325</v>
      </c>
      <c r="FU361" s="49" t="s">
        <v>325</v>
      </c>
      <c r="FW361" s="49" t="s">
        <v>333</v>
      </c>
    </row>
    <row r="362" customFormat="false" ht="15" hidden="false" customHeight="false" outlineLevel="0" collapsed="false">
      <c r="A362" s="0" t="n">
        <v>100876305</v>
      </c>
      <c r="B362" s="0" t="s">
        <v>295</v>
      </c>
      <c r="C362" s="0" t="s">
        <v>72</v>
      </c>
      <c r="D362" s="0" t="s">
        <v>480</v>
      </c>
      <c r="E362" s="0" t="s">
        <v>297</v>
      </c>
      <c r="G362" s="0" t="n">
        <v>1</v>
      </c>
      <c r="H362" s="0" t="s">
        <v>298</v>
      </c>
      <c r="I362" s="48" t="n">
        <v>46269</v>
      </c>
      <c r="J362" s="0" t="n">
        <v>1</v>
      </c>
      <c r="K362" s="49" t="s">
        <v>1504</v>
      </c>
      <c r="L362" s="49" t="s">
        <v>1035</v>
      </c>
      <c r="M362" s="48"/>
      <c r="O362" s="49" t="s">
        <v>1045</v>
      </c>
      <c r="P362" s="48"/>
      <c r="Q362" s="48" t="n">
        <v>46269</v>
      </c>
      <c r="R362" s="48" t="n">
        <v>46275</v>
      </c>
      <c r="T362" s="49" t="s">
        <v>302</v>
      </c>
      <c r="U362" s="49" t="s">
        <v>303</v>
      </c>
      <c r="Y362" s="49" t="s">
        <v>312</v>
      </c>
      <c r="AD362" s="49" t="s">
        <v>305</v>
      </c>
      <c r="AE362" s="48" t="n">
        <v>46233</v>
      </c>
      <c r="AF362" s="49" t="s">
        <v>306</v>
      </c>
      <c r="AG362" s="49" t="s">
        <v>307</v>
      </c>
      <c r="AK362" s="49" t="s">
        <v>1047</v>
      </c>
      <c r="AL362" s="49" t="s">
        <v>297</v>
      </c>
      <c r="AO362" s="49" t="s">
        <v>303</v>
      </c>
      <c r="AP362" s="48"/>
      <c r="AR362" s="49" t="s">
        <v>303</v>
      </c>
      <c r="AS362" s="49" t="s">
        <v>306</v>
      </c>
      <c r="AT362" s="49" t="s">
        <v>1561</v>
      </c>
      <c r="AV362" s="49" t="s">
        <v>309</v>
      </c>
      <c r="AW362" s="49" t="s">
        <v>310</v>
      </c>
      <c r="AX362" s="49" t="s">
        <v>311</v>
      </c>
      <c r="AY362" s="48"/>
      <c r="AZ362" s="48" t="n">
        <v>46267</v>
      </c>
      <c r="BC362" s="49" t="s">
        <v>303</v>
      </c>
      <c r="BD362" s="48" t="n">
        <v>46295</v>
      </c>
      <c r="BE362" s="49" t="s">
        <v>1562</v>
      </c>
      <c r="BF362" s="49" t="s">
        <v>303</v>
      </c>
      <c r="BG362" s="48"/>
      <c r="BI362" s="48" t="n">
        <v>46295</v>
      </c>
      <c r="BJ362" s="48" t="n">
        <v>46274</v>
      </c>
      <c r="BK362" s="49" t="s">
        <v>313</v>
      </c>
      <c r="BL362" s="49" t="s">
        <v>313</v>
      </c>
      <c r="BM362" s="49" t="s">
        <v>310</v>
      </c>
      <c r="BN362" s="48"/>
      <c r="BO362" s="48"/>
      <c r="BP362" s="48"/>
      <c r="BQ362" s="49" t="s">
        <v>1504</v>
      </c>
      <c r="BR362" s="48" t="n">
        <v>46274</v>
      </c>
      <c r="BS362" s="49" t="s">
        <v>1558</v>
      </c>
      <c r="BT362" s="49" t="s">
        <v>312</v>
      </c>
      <c r="BU362" s="49" t="s">
        <v>313</v>
      </c>
      <c r="BV362" s="49" t="s">
        <v>303</v>
      </c>
      <c r="BX362" s="0" t="n">
        <v>1</v>
      </c>
      <c r="CC362" s="49" t="s">
        <v>315</v>
      </c>
      <c r="CD362" s="49" t="s">
        <v>303</v>
      </c>
      <c r="CF362" s="49" t="s">
        <v>303</v>
      </c>
      <c r="CG362" s="49" t="s">
        <v>316</v>
      </c>
      <c r="CH362" s="49" t="s">
        <v>317</v>
      </c>
      <c r="CI362" s="49" t="s">
        <v>318</v>
      </c>
      <c r="CM362" s="49" t="s">
        <v>480</v>
      </c>
      <c r="CV362" s="49" t="s">
        <v>303</v>
      </c>
      <c r="DB362" s="49" t="s">
        <v>319</v>
      </c>
      <c r="DD362" s="48" t="n">
        <v>46233</v>
      </c>
      <c r="DF362" s="49" t="s">
        <v>310</v>
      </c>
      <c r="DG362" s="49" t="s">
        <v>320</v>
      </c>
      <c r="DH362" s="49" t="s">
        <v>72</v>
      </c>
      <c r="DI362" s="49" t="s">
        <v>298</v>
      </c>
      <c r="DJ362" s="49" t="s">
        <v>321</v>
      </c>
      <c r="DK362" s="49" t="s">
        <v>322</v>
      </c>
      <c r="DL362" s="49" t="s">
        <v>323</v>
      </c>
      <c r="DM362" s="49" t="s">
        <v>303</v>
      </c>
      <c r="DN362" s="49" t="s">
        <v>297</v>
      </c>
      <c r="DO362" s="48"/>
      <c r="DP362" s="49" t="s">
        <v>312</v>
      </c>
      <c r="DQ362" s="48"/>
      <c r="DR362" s="49" t="s">
        <v>312</v>
      </c>
      <c r="DS362" s="49" t="s">
        <v>303</v>
      </c>
      <c r="DT362" s="49" t="s">
        <v>303</v>
      </c>
      <c r="DW362" s="49" t="s">
        <v>303</v>
      </c>
      <c r="EA362" s="49" t="s">
        <v>324</v>
      </c>
      <c r="EB362" s="49" t="s">
        <v>303</v>
      </c>
      <c r="EF362" s="49" t="s">
        <v>1559</v>
      </c>
      <c r="EH362" s="49" t="s">
        <v>325</v>
      </c>
      <c r="EJ362" s="49" t="s">
        <v>303</v>
      </c>
      <c r="EK362" s="49" t="s">
        <v>1563</v>
      </c>
      <c r="EM362" s="49" t="s">
        <v>303</v>
      </c>
      <c r="EN362" s="49" t="s">
        <v>485</v>
      </c>
      <c r="EP362" s="49" t="s">
        <v>298</v>
      </c>
      <c r="EQ362" s="0" t="n">
        <v>1</v>
      </c>
      <c r="ER362" s="49" t="s">
        <v>328</v>
      </c>
      <c r="ES362" s="49" t="s">
        <v>329</v>
      </c>
      <c r="ET362" s="49" t="s">
        <v>310</v>
      </c>
      <c r="EU362" s="49" t="s">
        <v>310</v>
      </c>
      <c r="EV362" s="49" t="s">
        <v>310</v>
      </c>
      <c r="EX362" s="49" t="s">
        <v>303</v>
      </c>
      <c r="EY362" s="49" t="s">
        <v>303</v>
      </c>
      <c r="FC362" s="49" t="s">
        <v>330</v>
      </c>
      <c r="FD362" s="49" t="s">
        <v>310</v>
      </c>
      <c r="FE362" s="49" t="s">
        <v>310</v>
      </c>
      <c r="FF362" s="49" t="s">
        <v>72</v>
      </c>
      <c r="FG362" s="49" t="s">
        <v>486</v>
      </c>
      <c r="FH362" s="49" t="s">
        <v>310</v>
      </c>
      <c r="FI362" s="49" t="s">
        <v>332</v>
      </c>
      <c r="FJ362" s="49" t="s">
        <v>303</v>
      </c>
      <c r="FL362" s="49" t="s">
        <v>325</v>
      </c>
      <c r="FM362" s="49" t="s">
        <v>1504</v>
      </c>
      <c r="FP362" s="49" t="s">
        <v>303</v>
      </c>
      <c r="FR362" s="49" t="s">
        <v>303</v>
      </c>
      <c r="FT362" s="49" t="s">
        <v>325</v>
      </c>
      <c r="FU362" s="49" t="s">
        <v>325</v>
      </c>
      <c r="FW362" s="49" t="s">
        <v>333</v>
      </c>
    </row>
    <row r="363" customFormat="false" ht="15" hidden="false" customHeight="false" outlineLevel="0" collapsed="false">
      <c r="A363" s="0" t="n">
        <v>100875888</v>
      </c>
      <c r="B363" s="0" t="s">
        <v>295</v>
      </c>
      <c r="C363" s="0" t="s">
        <v>48</v>
      </c>
      <c r="D363" s="0" t="s">
        <v>49</v>
      </c>
      <c r="E363" s="0" t="s">
        <v>297</v>
      </c>
      <c r="G363" s="0" t="n">
        <v>1</v>
      </c>
      <c r="H363" s="0" t="s">
        <v>298</v>
      </c>
      <c r="I363" s="48" t="n">
        <v>46266</v>
      </c>
      <c r="J363" s="0" t="n">
        <v>1</v>
      </c>
      <c r="K363" s="49" t="s">
        <v>1564</v>
      </c>
      <c r="L363" s="49" t="s">
        <v>335</v>
      </c>
      <c r="M363" s="48" t="n">
        <v>46281</v>
      </c>
      <c r="N363" s="49" t="s">
        <v>1070</v>
      </c>
      <c r="O363" s="49" t="s">
        <v>1071</v>
      </c>
      <c r="P363" s="48"/>
      <c r="Q363" s="48" t="n">
        <v>46266</v>
      </c>
      <c r="R363" s="48" t="n">
        <v>46273</v>
      </c>
      <c r="T363" s="49" t="s">
        <v>302</v>
      </c>
      <c r="U363" s="49" t="s">
        <v>303</v>
      </c>
      <c r="Y363" s="49" t="s">
        <v>1565</v>
      </c>
      <c r="AD363" s="49" t="s">
        <v>305</v>
      </c>
      <c r="AE363" s="48" t="n">
        <v>46226</v>
      </c>
      <c r="AF363" s="49" t="s">
        <v>306</v>
      </c>
      <c r="AG363" s="49" t="s">
        <v>307</v>
      </c>
      <c r="AK363" s="49" t="s">
        <v>1047</v>
      </c>
      <c r="AL363" s="49" t="s">
        <v>297</v>
      </c>
      <c r="AO363" s="49" t="s">
        <v>303</v>
      </c>
      <c r="AP363" s="48"/>
      <c r="AR363" s="49" t="s">
        <v>303</v>
      </c>
      <c r="AS363" s="49" t="s">
        <v>306</v>
      </c>
      <c r="AT363" s="49" t="s">
        <v>1232</v>
      </c>
      <c r="AV363" s="49" t="s">
        <v>309</v>
      </c>
      <c r="AW363" s="49" t="s">
        <v>310</v>
      </c>
      <c r="AX363" s="49" t="s">
        <v>311</v>
      </c>
      <c r="AY363" s="48"/>
      <c r="AZ363" s="48" t="n">
        <v>46255</v>
      </c>
      <c r="BC363" s="49" t="s">
        <v>303</v>
      </c>
      <c r="BD363" s="48" t="n">
        <v>46281</v>
      </c>
      <c r="BE363" s="49" t="s">
        <v>1566</v>
      </c>
      <c r="BF363" s="49" t="s">
        <v>303</v>
      </c>
      <c r="BG363" s="48"/>
      <c r="BI363" s="48" t="n">
        <v>46281</v>
      </c>
      <c r="BJ363" s="48" t="n">
        <v>46271</v>
      </c>
      <c r="BK363" s="49" t="s">
        <v>312</v>
      </c>
      <c r="BL363" s="49" t="s">
        <v>313</v>
      </c>
      <c r="BM363" s="49" t="s">
        <v>310</v>
      </c>
      <c r="BN363" s="48"/>
      <c r="BO363" s="48"/>
      <c r="BP363" s="48"/>
      <c r="BQ363" s="49" t="s">
        <v>1567</v>
      </c>
      <c r="BR363" s="48" t="n">
        <v>46262</v>
      </c>
      <c r="BS363" s="49" t="s">
        <v>1568</v>
      </c>
      <c r="BT363" s="49" t="s">
        <v>312</v>
      </c>
      <c r="BU363" s="49" t="s">
        <v>312</v>
      </c>
      <c r="BV363" s="49" t="s">
        <v>303</v>
      </c>
      <c r="BX363" s="0" t="n">
        <v>1</v>
      </c>
      <c r="CC363" s="49" t="s">
        <v>315</v>
      </c>
      <c r="CD363" s="49" t="s">
        <v>303</v>
      </c>
      <c r="CF363" s="49" t="s">
        <v>303</v>
      </c>
      <c r="CG363" s="49" t="s">
        <v>316</v>
      </c>
      <c r="CH363" s="49" t="s">
        <v>317</v>
      </c>
      <c r="CI363" s="49" t="s">
        <v>318</v>
      </c>
      <c r="CM363" s="49" t="s">
        <v>49</v>
      </c>
      <c r="CV363" s="49" t="s">
        <v>303</v>
      </c>
      <c r="DB363" s="49" t="s">
        <v>319</v>
      </c>
      <c r="DD363" s="48" t="n">
        <v>46226</v>
      </c>
      <c r="DF363" s="49" t="s">
        <v>310</v>
      </c>
      <c r="DG363" s="49" t="s">
        <v>320</v>
      </c>
      <c r="DH363" s="49" t="s">
        <v>48</v>
      </c>
      <c r="DI363" s="49" t="s">
        <v>298</v>
      </c>
      <c r="DJ363" s="49" t="s">
        <v>339</v>
      </c>
      <c r="DK363" s="49" t="s">
        <v>322</v>
      </c>
      <c r="DL363" s="49" t="s">
        <v>323</v>
      </c>
      <c r="DM363" s="49" t="s">
        <v>303</v>
      </c>
      <c r="DN363" s="49" t="s">
        <v>297</v>
      </c>
      <c r="DO363" s="48"/>
      <c r="DP363" s="49" t="s">
        <v>312</v>
      </c>
      <c r="DQ363" s="48"/>
      <c r="DR363" s="49" t="s">
        <v>312</v>
      </c>
      <c r="DS363" s="49" t="s">
        <v>303</v>
      </c>
      <c r="DT363" s="49" t="s">
        <v>303</v>
      </c>
      <c r="DW363" s="49" t="s">
        <v>303</v>
      </c>
      <c r="EA363" s="49" t="s">
        <v>324</v>
      </c>
      <c r="EB363" s="49" t="s">
        <v>303</v>
      </c>
      <c r="EH363" s="49" t="s">
        <v>310</v>
      </c>
      <c r="EJ363" s="49" t="s">
        <v>303</v>
      </c>
      <c r="EK363" s="49" t="s">
        <v>1569</v>
      </c>
      <c r="EM363" s="49" t="s">
        <v>303</v>
      </c>
      <c r="EN363" s="49" t="s">
        <v>341</v>
      </c>
      <c r="EP363" s="49" t="s">
        <v>298</v>
      </c>
      <c r="EQ363" s="0" t="n">
        <v>1</v>
      </c>
      <c r="ER363" s="49" t="s">
        <v>328</v>
      </c>
      <c r="ES363" s="49" t="s">
        <v>342</v>
      </c>
      <c r="ET363" s="49" t="s">
        <v>310</v>
      </c>
      <c r="EU363" s="49" t="s">
        <v>310</v>
      </c>
      <c r="EV363" s="49" t="s">
        <v>310</v>
      </c>
      <c r="EX363" s="49" t="s">
        <v>303</v>
      </c>
      <c r="EY363" s="49" t="s">
        <v>303</v>
      </c>
      <c r="FC363" s="49" t="s">
        <v>330</v>
      </c>
      <c r="FD363" s="49" t="s">
        <v>310</v>
      </c>
      <c r="FE363" s="49" t="s">
        <v>310</v>
      </c>
      <c r="FF363" s="49" t="s">
        <v>48</v>
      </c>
      <c r="FG363" s="49" t="s">
        <v>343</v>
      </c>
      <c r="FH363" s="49" t="s">
        <v>310</v>
      </c>
      <c r="FI363" s="49" t="s">
        <v>332</v>
      </c>
      <c r="FJ363" s="49" t="s">
        <v>303</v>
      </c>
      <c r="FL363" s="49" t="s">
        <v>325</v>
      </c>
      <c r="FM363" s="49" t="s">
        <v>1564</v>
      </c>
      <c r="FP363" s="49" t="s">
        <v>303</v>
      </c>
      <c r="FR363" s="49" t="s">
        <v>303</v>
      </c>
      <c r="FT363" s="49" t="s">
        <v>325</v>
      </c>
      <c r="FU363" s="49" t="s">
        <v>325</v>
      </c>
      <c r="FW363" s="49" t="s">
        <v>333</v>
      </c>
    </row>
    <row r="364" customFormat="false" ht="15" hidden="false" customHeight="false" outlineLevel="0" collapsed="false">
      <c r="A364" s="0" t="n">
        <v>100875890</v>
      </c>
      <c r="B364" s="0" t="s">
        <v>295</v>
      </c>
      <c r="C364" s="0" t="s">
        <v>50</v>
      </c>
      <c r="D364" s="0" t="s">
        <v>51</v>
      </c>
      <c r="E364" s="0" t="s">
        <v>297</v>
      </c>
      <c r="G364" s="0" t="n">
        <v>1</v>
      </c>
      <c r="H364" s="0" t="s">
        <v>298</v>
      </c>
      <c r="I364" s="48" t="n">
        <v>46266</v>
      </c>
      <c r="J364" s="0" t="n">
        <v>1</v>
      </c>
      <c r="K364" s="49" t="s">
        <v>1564</v>
      </c>
      <c r="L364" s="49" t="s">
        <v>335</v>
      </c>
      <c r="M364" s="48" t="n">
        <v>46277</v>
      </c>
      <c r="N364" s="49" t="s">
        <v>1070</v>
      </c>
      <c r="O364" s="49" t="s">
        <v>1071</v>
      </c>
      <c r="P364" s="48"/>
      <c r="Q364" s="48" t="n">
        <v>46266</v>
      </c>
      <c r="R364" s="48" t="n">
        <v>46273</v>
      </c>
      <c r="T364" s="49" t="s">
        <v>302</v>
      </c>
      <c r="U364" s="49" t="s">
        <v>303</v>
      </c>
      <c r="Y364" s="49" t="s">
        <v>1084</v>
      </c>
      <c r="AD364" s="49" t="s">
        <v>305</v>
      </c>
      <c r="AE364" s="48" t="n">
        <v>46226</v>
      </c>
      <c r="AF364" s="49" t="s">
        <v>306</v>
      </c>
      <c r="AG364" s="49" t="s">
        <v>307</v>
      </c>
      <c r="AK364" s="49" t="s">
        <v>1047</v>
      </c>
      <c r="AL364" s="49" t="s">
        <v>297</v>
      </c>
      <c r="AO364" s="49" t="s">
        <v>303</v>
      </c>
      <c r="AP364" s="48"/>
      <c r="AR364" s="49" t="s">
        <v>303</v>
      </c>
      <c r="AS364" s="49" t="s">
        <v>306</v>
      </c>
      <c r="AT364" s="49" t="s">
        <v>1570</v>
      </c>
      <c r="AV364" s="49" t="s">
        <v>309</v>
      </c>
      <c r="AW364" s="49" t="s">
        <v>310</v>
      </c>
      <c r="AX364" s="49" t="s">
        <v>311</v>
      </c>
      <c r="AY364" s="48"/>
      <c r="AZ364" s="48" t="n">
        <v>46255</v>
      </c>
      <c r="BC364" s="49" t="s">
        <v>303</v>
      </c>
      <c r="BD364" s="48" t="n">
        <v>46277</v>
      </c>
      <c r="BE364" s="49" t="s">
        <v>1571</v>
      </c>
      <c r="BF364" s="49" t="s">
        <v>303</v>
      </c>
      <c r="BG364" s="48"/>
      <c r="BI364" s="48" t="n">
        <v>46277</v>
      </c>
      <c r="BJ364" s="48" t="n">
        <v>46271</v>
      </c>
      <c r="BK364" s="49" t="s">
        <v>312</v>
      </c>
      <c r="BL364" s="49" t="s">
        <v>313</v>
      </c>
      <c r="BM364" s="49" t="s">
        <v>310</v>
      </c>
      <c r="BN364" s="48"/>
      <c r="BO364" s="48"/>
      <c r="BP364" s="48"/>
      <c r="BQ364" s="49" t="s">
        <v>1567</v>
      </c>
      <c r="BR364" s="48" t="n">
        <v>46262</v>
      </c>
      <c r="BS364" s="49" t="s">
        <v>1568</v>
      </c>
      <c r="BT364" s="49" t="s">
        <v>312</v>
      </c>
      <c r="BU364" s="49" t="s">
        <v>312</v>
      </c>
      <c r="BV364" s="49" t="s">
        <v>303</v>
      </c>
      <c r="BX364" s="0" t="n">
        <v>1</v>
      </c>
      <c r="CC364" s="49" t="s">
        <v>315</v>
      </c>
      <c r="CD364" s="49" t="s">
        <v>303</v>
      </c>
      <c r="CF364" s="49" t="s">
        <v>303</v>
      </c>
      <c r="CG364" s="49" t="s">
        <v>316</v>
      </c>
      <c r="CH364" s="49" t="s">
        <v>317</v>
      </c>
      <c r="CI364" s="49" t="s">
        <v>318</v>
      </c>
      <c r="CM364" s="49" t="s">
        <v>51</v>
      </c>
      <c r="CV364" s="49" t="s">
        <v>303</v>
      </c>
      <c r="DB364" s="49" t="s">
        <v>319</v>
      </c>
      <c r="DD364" s="48" t="n">
        <v>46226</v>
      </c>
      <c r="DF364" s="49" t="s">
        <v>310</v>
      </c>
      <c r="DG364" s="49" t="s">
        <v>320</v>
      </c>
      <c r="DH364" s="49" t="s">
        <v>50</v>
      </c>
      <c r="DI364" s="49" t="s">
        <v>298</v>
      </c>
      <c r="DJ364" s="49" t="s">
        <v>346</v>
      </c>
      <c r="DK364" s="49" t="s">
        <v>322</v>
      </c>
      <c r="DL364" s="49" t="s">
        <v>323</v>
      </c>
      <c r="DM364" s="49" t="s">
        <v>303</v>
      </c>
      <c r="DN364" s="49" t="s">
        <v>297</v>
      </c>
      <c r="DO364" s="48"/>
      <c r="DP364" s="49" t="s">
        <v>312</v>
      </c>
      <c r="DQ364" s="48"/>
      <c r="DR364" s="49" t="s">
        <v>312</v>
      </c>
      <c r="DS364" s="49" t="s">
        <v>303</v>
      </c>
      <c r="DT364" s="49" t="s">
        <v>303</v>
      </c>
      <c r="DW364" s="49" t="s">
        <v>303</v>
      </c>
      <c r="EA364" s="49" t="s">
        <v>324</v>
      </c>
      <c r="EB364" s="49" t="s">
        <v>303</v>
      </c>
      <c r="EH364" s="49" t="s">
        <v>310</v>
      </c>
      <c r="EJ364" s="49" t="s">
        <v>303</v>
      </c>
      <c r="EK364" s="49" t="s">
        <v>1572</v>
      </c>
      <c r="EM364" s="49" t="s">
        <v>303</v>
      </c>
      <c r="EN364" s="49" t="s">
        <v>348</v>
      </c>
      <c r="EP364" s="49" t="s">
        <v>298</v>
      </c>
      <c r="EQ364" s="0" t="n">
        <v>1</v>
      </c>
      <c r="ER364" s="49" t="s">
        <v>328</v>
      </c>
      <c r="ES364" s="49" t="s">
        <v>342</v>
      </c>
      <c r="ET364" s="49" t="s">
        <v>310</v>
      </c>
      <c r="EU364" s="49" t="s">
        <v>310</v>
      </c>
      <c r="EV364" s="49" t="s">
        <v>310</v>
      </c>
      <c r="EX364" s="49" t="s">
        <v>303</v>
      </c>
      <c r="EY364" s="49" t="s">
        <v>303</v>
      </c>
      <c r="FC364" s="49" t="s">
        <v>330</v>
      </c>
      <c r="FD364" s="49" t="s">
        <v>310</v>
      </c>
      <c r="FE364" s="49" t="s">
        <v>310</v>
      </c>
      <c r="FF364" s="49" t="s">
        <v>50</v>
      </c>
      <c r="FG364" s="49" t="s">
        <v>349</v>
      </c>
      <c r="FH364" s="49" t="s">
        <v>310</v>
      </c>
      <c r="FI364" s="49" t="s">
        <v>332</v>
      </c>
      <c r="FJ364" s="49" t="s">
        <v>303</v>
      </c>
      <c r="FL364" s="49" t="s">
        <v>325</v>
      </c>
      <c r="FM364" s="49" t="s">
        <v>1564</v>
      </c>
      <c r="FP364" s="49" t="s">
        <v>303</v>
      </c>
      <c r="FR364" s="49" t="s">
        <v>303</v>
      </c>
      <c r="FT364" s="49" t="s">
        <v>325</v>
      </c>
      <c r="FU364" s="49" t="s">
        <v>325</v>
      </c>
      <c r="FW364" s="49" t="s">
        <v>333</v>
      </c>
    </row>
    <row r="365" customFormat="false" ht="15" hidden="false" customHeight="false" outlineLevel="0" collapsed="false">
      <c r="A365" s="0" t="n">
        <v>100875891</v>
      </c>
      <c r="B365" s="0" t="s">
        <v>295</v>
      </c>
      <c r="C365" s="0" t="s">
        <v>50</v>
      </c>
      <c r="D365" s="0" t="s">
        <v>51</v>
      </c>
      <c r="E365" s="0" t="s">
        <v>297</v>
      </c>
      <c r="G365" s="0" t="n">
        <v>1</v>
      </c>
      <c r="H365" s="0" t="s">
        <v>298</v>
      </c>
      <c r="I365" s="48" t="n">
        <v>46266</v>
      </c>
      <c r="J365" s="0" t="n">
        <v>1</v>
      </c>
      <c r="K365" s="49" t="s">
        <v>1564</v>
      </c>
      <c r="L365" s="49" t="s">
        <v>335</v>
      </c>
      <c r="M365" s="48" t="n">
        <v>46272</v>
      </c>
      <c r="N365" s="49" t="s">
        <v>1573</v>
      </c>
      <c r="O365" s="49" t="s">
        <v>1071</v>
      </c>
      <c r="P365" s="48"/>
      <c r="Q365" s="48" t="n">
        <v>46266</v>
      </c>
      <c r="R365" s="48" t="n">
        <v>46272</v>
      </c>
      <c r="T365" s="49" t="s">
        <v>302</v>
      </c>
      <c r="U365" s="49" t="s">
        <v>303</v>
      </c>
      <c r="Y365" s="49" t="s">
        <v>1574</v>
      </c>
      <c r="AD365" s="49" t="s">
        <v>305</v>
      </c>
      <c r="AE365" s="48" t="n">
        <v>46226</v>
      </c>
      <c r="AF365" s="49" t="s">
        <v>306</v>
      </c>
      <c r="AG365" s="49" t="s">
        <v>307</v>
      </c>
      <c r="AK365" s="49" t="s">
        <v>1047</v>
      </c>
      <c r="AL365" s="49" t="s">
        <v>297</v>
      </c>
      <c r="AO365" s="49" t="s">
        <v>303</v>
      </c>
      <c r="AP365" s="48"/>
      <c r="AR365" s="49" t="s">
        <v>303</v>
      </c>
      <c r="AS365" s="49" t="s">
        <v>306</v>
      </c>
      <c r="AT365" s="49" t="s">
        <v>1575</v>
      </c>
      <c r="AV365" s="49" t="s">
        <v>309</v>
      </c>
      <c r="AW365" s="49" t="s">
        <v>310</v>
      </c>
      <c r="AX365" s="49" t="s">
        <v>311</v>
      </c>
      <c r="AY365" s="48"/>
      <c r="AZ365" s="48" t="n">
        <v>46255</v>
      </c>
      <c r="BC365" s="49" t="s">
        <v>303</v>
      </c>
      <c r="BD365" s="48" t="n">
        <v>46272</v>
      </c>
      <c r="BE365" s="49" t="s">
        <v>1576</v>
      </c>
      <c r="BF365" s="49" t="s">
        <v>303</v>
      </c>
      <c r="BG365" s="48"/>
      <c r="BI365" s="48" t="n">
        <v>46286</v>
      </c>
      <c r="BJ365" s="48" t="n">
        <v>46271</v>
      </c>
      <c r="BK365" s="49" t="s">
        <v>313</v>
      </c>
      <c r="BL365" s="49" t="s">
        <v>313</v>
      </c>
      <c r="BM365" s="49" t="s">
        <v>310</v>
      </c>
      <c r="BN365" s="48"/>
      <c r="BO365" s="48"/>
      <c r="BP365" s="48"/>
      <c r="BQ365" s="49" t="s">
        <v>1567</v>
      </c>
      <c r="BR365" s="48" t="n">
        <v>46262</v>
      </c>
      <c r="BS365" s="49" t="s">
        <v>1577</v>
      </c>
      <c r="BT365" s="49" t="s">
        <v>312</v>
      </c>
      <c r="BU365" s="49" t="s">
        <v>312</v>
      </c>
      <c r="BV365" s="49" t="s">
        <v>303</v>
      </c>
      <c r="BX365" s="0" t="n">
        <v>1</v>
      </c>
      <c r="CC365" s="49" t="s">
        <v>315</v>
      </c>
      <c r="CD365" s="49" t="s">
        <v>303</v>
      </c>
      <c r="CF365" s="49" t="s">
        <v>303</v>
      </c>
      <c r="CG365" s="49" t="s">
        <v>316</v>
      </c>
      <c r="CH365" s="49" t="s">
        <v>317</v>
      </c>
      <c r="CI365" s="49" t="s">
        <v>318</v>
      </c>
      <c r="CM365" s="49" t="s">
        <v>51</v>
      </c>
      <c r="CV365" s="49" t="s">
        <v>303</v>
      </c>
      <c r="DB365" s="49" t="s">
        <v>319</v>
      </c>
      <c r="DD365" s="48" t="n">
        <v>46226</v>
      </c>
      <c r="DF365" s="49" t="s">
        <v>310</v>
      </c>
      <c r="DG365" s="49" t="s">
        <v>320</v>
      </c>
      <c r="DH365" s="49" t="s">
        <v>50</v>
      </c>
      <c r="DI365" s="49" t="s">
        <v>298</v>
      </c>
      <c r="DJ365" s="49" t="s">
        <v>346</v>
      </c>
      <c r="DK365" s="49" t="s">
        <v>322</v>
      </c>
      <c r="DL365" s="49" t="s">
        <v>323</v>
      </c>
      <c r="DM365" s="49" t="s">
        <v>303</v>
      </c>
      <c r="DN365" s="49" t="s">
        <v>297</v>
      </c>
      <c r="DO365" s="48"/>
      <c r="DP365" s="49" t="s">
        <v>312</v>
      </c>
      <c r="DQ365" s="48"/>
      <c r="DR365" s="49" t="s">
        <v>312</v>
      </c>
      <c r="DS365" s="49" t="s">
        <v>303</v>
      </c>
      <c r="DT365" s="49" t="s">
        <v>303</v>
      </c>
      <c r="DW365" s="49" t="s">
        <v>303</v>
      </c>
      <c r="EA365" s="49" t="s">
        <v>324</v>
      </c>
      <c r="EB365" s="49" t="s">
        <v>303</v>
      </c>
      <c r="EF365" s="49" t="s">
        <v>1578</v>
      </c>
      <c r="EH365" s="49" t="s">
        <v>310</v>
      </c>
      <c r="EJ365" s="49" t="s">
        <v>303</v>
      </c>
      <c r="EK365" s="49" t="s">
        <v>1579</v>
      </c>
      <c r="EM365" s="49" t="s">
        <v>303</v>
      </c>
      <c r="EN365" s="49" t="s">
        <v>348</v>
      </c>
      <c r="EP365" s="49" t="s">
        <v>298</v>
      </c>
      <c r="EQ365" s="0" t="n">
        <v>1</v>
      </c>
      <c r="ER365" s="49" t="s">
        <v>328</v>
      </c>
      <c r="ES365" s="49" t="s">
        <v>342</v>
      </c>
      <c r="ET365" s="49" t="s">
        <v>310</v>
      </c>
      <c r="EU365" s="49" t="s">
        <v>310</v>
      </c>
      <c r="EV365" s="49" t="s">
        <v>310</v>
      </c>
      <c r="EX365" s="49" t="s">
        <v>303</v>
      </c>
      <c r="EY365" s="49" t="s">
        <v>303</v>
      </c>
      <c r="FC365" s="49" t="s">
        <v>330</v>
      </c>
      <c r="FD365" s="49" t="s">
        <v>310</v>
      </c>
      <c r="FE365" s="49" t="s">
        <v>310</v>
      </c>
      <c r="FF365" s="49" t="s">
        <v>50</v>
      </c>
      <c r="FG365" s="49" t="s">
        <v>349</v>
      </c>
      <c r="FH365" s="49" t="s">
        <v>310</v>
      </c>
      <c r="FI365" s="49" t="s">
        <v>332</v>
      </c>
      <c r="FJ365" s="49" t="s">
        <v>303</v>
      </c>
      <c r="FL365" s="49" t="s">
        <v>325</v>
      </c>
      <c r="FM365" s="49" t="s">
        <v>1564</v>
      </c>
      <c r="FP365" s="49" t="s">
        <v>303</v>
      </c>
      <c r="FR365" s="49" t="s">
        <v>303</v>
      </c>
      <c r="FT365" s="49" t="s">
        <v>325</v>
      </c>
      <c r="FU365" s="49" t="s">
        <v>325</v>
      </c>
      <c r="FW365" s="49" t="s">
        <v>333</v>
      </c>
    </row>
    <row r="366" customFormat="false" ht="15" hidden="false" customHeight="false" outlineLevel="0" collapsed="false">
      <c r="A366" s="0" t="n">
        <v>100875893</v>
      </c>
      <c r="B366" s="0" t="s">
        <v>295</v>
      </c>
      <c r="C366" s="0" t="s">
        <v>56</v>
      </c>
      <c r="D366" s="0" t="s">
        <v>57</v>
      </c>
      <c r="E366" s="0" t="s">
        <v>297</v>
      </c>
      <c r="G366" s="0" t="n">
        <v>1</v>
      </c>
      <c r="H366" s="0" t="s">
        <v>298</v>
      </c>
      <c r="I366" s="48" t="n">
        <v>46266</v>
      </c>
      <c r="J366" s="0" t="n">
        <v>1</v>
      </c>
      <c r="K366" s="49" t="s">
        <v>1564</v>
      </c>
      <c r="L366" s="49" t="s">
        <v>335</v>
      </c>
      <c r="M366" s="48" t="n">
        <v>46266</v>
      </c>
      <c r="N366" s="49" t="s">
        <v>335</v>
      </c>
      <c r="O366" s="49" t="s">
        <v>1045</v>
      </c>
      <c r="P366" s="48"/>
      <c r="Q366" s="48" t="n">
        <v>46266</v>
      </c>
      <c r="R366" s="48" t="n">
        <v>46273</v>
      </c>
      <c r="T366" s="49" t="s">
        <v>302</v>
      </c>
      <c r="U366" s="49" t="s">
        <v>303</v>
      </c>
      <c r="Y366" s="49" t="s">
        <v>1580</v>
      </c>
      <c r="AD366" s="49" t="s">
        <v>305</v>
      </c>
      <c r="AE366" s="48" t="n">
        <v>46233</v>
      </c>
      <c r="AF366" s="49" t="s">
        <v>306</v>
      </c>
      <c r="AG366" s="49" t="s">
        <v>307</v>
      </c>
      <c r="AK366" s="49" t="s">
        <v>1047</v>
      </c>
      <c r="AL366" s="49" t="s">
        <v>297</v>
      </c>
      <c r="AO366" s="49" t="s">
        <v>303</v>
      </c>
      <c r="AP366" s="48"/>
      <c r="AR366" s="49" t="s">
        <v>303</v>
      </c>
      <c r="AS366" s="49" t="s">
        <v>306</v>
      </c>
      <c r="AT366" s="49" t="s">
        <v>1581</v>
      </c>
      <c r="AV366" s="49" t="s">
        <v>309</v>
      </c>
      <c r="AW366" s="49" t="s">
        <v>310</v>
      </c>
      <c r="AX366" s="49" t="s">
        <v>311</v>
      </c>
      <c r="AY366" s="48"/>
      <c r="AZ366" s="48" t="n">
        <v>46255</v>
      </c>
      <c r="BC366" s="49" t="s">
        <v>303</v>
      </c>
      <c r="BD366" s="48" t="n">
        <v>46288</v>
      </c>
      <c r="BE366" s="49" t="s">
        <v>1582</v>
      </c>
      <c r="BF366" s="49" t="s">
        <v>303</v>
      </c>
      <c r="BG366" s="48"/>
      <c r="BI366" s="48" t="n">
        <v>46288</v>
      </c>
      <c r="BJ366" s="48" t="n">
        <v>46271</v>
      </c>
      <c r="BK366" s="49" t="s">
        <v>312</v>
      </c>
      <c r="BL366" s="49" t="s">
        <v>313</v>
      </c>
      <c r="BM366" s="49" t="s">
        <v>310</v>
      </c>
      <c r="BN366" s="48"/>
      <c r="BO366" s="48"/>
      <c r="BP366" s="48"/>
      <c r="BQ366" s="49" t="s">
        <v>1567</v>
      </c>
      <c r="BR366" s="48" t="n">
        <v>46262</v>
      </c>
      <c r="BS366" s="49" t="s">
        <v>1583</v>
      </c>
      <c r="BT366" s="49" t="s">
        <v>312</v>
      </c>
      <c r="BU366" s="49" t="s">
        <v>312</v>
      </c>
      <c r="BV366" s="49" t="s">
        <v>303</v>
      </c>
      <c r="BX366" s="0" t="n">
        <v>1</v>
      </c>
      <c r="CC366" s="49" t="s">
        <v>315</v>
      </c>
      <c r="CD366" s="49" t="s">
        <v>303</v>
      </c>
      <c r="CF366" s="49" t="s">
        <v>303</v>
      </c>
      <c r="CG366" s="49" t="s">
        <v>316</v>
      </c>
      <c r="CH366" s="49" t="s">
        <v>317</v>
      </c>
      <c r="CI366" s="49" t="s">
        <v>318</v>
      </c>
      <c r="CM366" s="49" t="s">
        <v>57</v>
      </c>
      <c r="CV366" s="49" t="s">
        <v>303</v>
      </c>
      <c r="DB366" s="49" t="s">
        <v>319</v>
      </c>
      <c r="DD366" s="48" t="n">
        <v>46233</v>
      </c>
      <c r="DF366" s="49" t="s">
        <v>310</v>
      </c>
      <c r="DG366" s="49" t="s">
        <v>320</v>
      </c>
      <c r="DH366" s="49" t="s">
        <v>56</v>
      </c>
      <c r="DI366" s="49" t="s">
        <v>298</v>
      </c>
      <c r="DJ366" s="49" t="s">
        <v>367</v>
      </c>
      <c r="DK366" s="49" t="s">
        <v>322</v>
      </c>
      <c r="DL366" s="49" t="s">
        <v>323</v>
      </c>
      <c r="DM366" s="49" t="s">
        <v>303</v>
      </c>
      <c r="DN366" s="49" t="s">
        <v>297</v>
      </c>
      <c r="DO366" s="48"/>
      <c r="DP366" s="49" t="s">
        <v>312</v>
      </c>
      <c r="DQ366" s="48"/>
      <c r="DR366" s="49" t="s">
        <v>312</v>
      </c>
      <c r="DS366" s="49" t="s">
        <v>303</v>
      </c>
      <c r="DT366" s="49" t="s">
        <v>303</v>
      </c>
      <c r="DW366" s="49" t="s">
        <v>303</v>
      </c>
      <c r="EA366" s="49" t="s">
        <v>324</v>
      </c>
      <c r="EB366" s="49" t="s">
        <v>303</v>
      </c>
      <c r="EH366" s="49" t="s">
        <v>310</v>
      </c>
      <c r="EJ366" s="49" t="s">
        <v>303</v>
      </c>
      <c r="EK366" s="49" t="s">
        <v>1584</v>
      </c>
      <c r="EM366" s="49" t="s">
        <v>303</v>
      </c>
      <c r="EN366" s="49" t="s">
        <v>369</v>
      </c>
      <c r="EP366" s="49" t="s">
        <v>298</v>
      </c>
      <c r="EQ366" s="0" t="n">
        <v>1</v>
      </c>
      <c r="ER366" s="49" t="s">
        <v>328</v>
      </c>
      <c r="ES366" s="49" t="s">
        <v>342</v>
      </c>
      <c r="ET366" s="49" t="s">
        <v>310</v>
      </c>
      <c r="EU366" s="49" t="s">
        <v>310</v>
      </c>
      <c r="EV366" s="49" t="s">
        <v>310</v>
      </c>
      <c r="EX366" s="49" t="s">
        <v>303</v>
      </c>
      <c r="EY366" s="49" t="s">
        <v>303</v>
      </c>
      <c r="FC366" s="49" t="s">
        <v>330</v>
      </c>
      <c r="FD366" s="49" t="s">
        <v>310</v>
      </c>
      <c r="FE366" s="49" t="s">
        <v>310</v>
      </c>
      <c r="FF366" s="49" t="s">
        <v>56</v>
      </c>
      <c r="FG366" s="49" t="s">
        <v>370</v>
      </c>
      <c r="FH366" s="49" t="s">
        <v>310</v>
      </c>
      <c r="FI366" s="49" t="s">
        <v>332</v>
      </c>
      <c r="FJ366" s="49" t="s">
        <v>303</v>
      </c>
      <c r="FL366" s="49" t="s">
        <v>325</v>
      </c>
      <c r="FM366" s="49" t="s">
        <v>1564</v>
      </c>
      <c r="FP366" s="49" t="s">
        <v>303</v>
      </c>
      <c r="FR366" s="49" t="s">
        <v>303</v>
      </c>
      <c r="FT366" s="49" t="s">
        <v>325</v>
      </c>
      <c r="FU366" s="49" t="s">
        <v>325</v>
      </c>
      <c r="FW366" s="49" t="s">
        <v>333</v>
      </c>
    </row>
    <row r="367" customFormat="false" ht="15" hidden="false" customHeight="false" outlineLevel="0" collapsed="false">
      <c r="A367" s="0" t="n">
        <v>100875894</v>
      </c>
      <c r="B367" s="0" t="s">
        <v>295</v>
      </c>
      <c r="C367" s="0" t="s">
        <v>58</v>
      </c>
      <c r="D367" s="0" t="s">
        <v>59</v>
      </c>
      <c r="E367" s="0" t="s">
        <v>297</v>
      </c>
      <c r="G367" s="0" t="n">
        <v>1</v>
      </c>
      <c r="H367" s="0" t="s">
        <v>298</v>
      </c>
      <c r="I367" s="48" t="n">
        <v>46266</v>
      </c>
      <c r="J367" s="0" t="n">
        <v>1</v>
      </c>
      <c r="K367" s="49" t="s">
        <v>1564</v>
      </c>
      <c r="L367" s="49" t="s">
        <v>335</v>
      </c>
      <c r="M367" s="48" t="n">
        <v>46266</v>
      </c>
      <c r="N367" s="49" t="s">
        <v>335</v>
      </c>
      <c r="O367" s="49" t="s">
        <v>1045</v>
      </c>
      <c r="P367" s="48"/>
      <c r="Q367" s="48" t="n">
        <v>46266</v>
      </c>
      <c r="R367" s="48" t="n">
        <v>46273</v>
      </c>
      <c r="T367" s="49" t="s">
        <v>302</v>
      </c>
      <c r="U367" s="49" t="s">
        <v>303</v>
      </c>
      <c r="Y367" s="49" t="s">
        <v>1585</v>
      </c>
      <c r="AD367" s="49" t="s">
        <v>305</v>
      </c>
      <c r="AE367" s="48" t="n">
        <v>46233</v>
      </c>
      <c r="AF367" s="49" t="s">
        <v>306</v>
      </c>
      <c r="AG367" s="49" t="s">
        <v>307</v>
      </c>
      <c r="AK367" s="49" t="s">
        <v>1047</v>
      </c>
      <c r="AL367" s="49" t="s">
        <v>297</v>
      </c>
      <c r="AO367" s="49" t="s">
        <v>303</v>
      </c>
      <c r="AP367" s="48"/>
      <c r="AR367" s="49" t="s">
        <v>303</v>
      </c>
      <c r="AS367" s="49" t="s">
        <v>306</v>
      </c>
      <c r="AT367" s="49" t="s">
        <v>1586</v>
      </c>
      <c r="AV367" s="49" t="s">
        <v>309</v>
      </c>
      <c r="AW367" s="49" t="s">
        <v>310</v>
      </c>
      <c r="AX367" s="49" t="s">
        <v>311</v>
      </c>
      <c r="AY367" s="48"/>
      <c r="AZ367" s="48" t="n">
        <v>46255</v>
      </c>
      <c r="BC367" s="49" t="s">
        <v>303</v>
      </c>
      <c r="BD367" s="48" t="n">
        <v>46286</v>
      </c>
      <c r="BE367" s="49" t="s">
        <v>1587</v>
      </c>
      <c r="BF367" s="49" t="s">
        <v>303</v>
      </c>
      <c r="BG367" s="48"/>
      <c r="BI367" s="48" t="n">
        <v>46286</v>
      </c>
      <c r="BJ367" s="48" t="n">
        <v>46271</v>
      </c>
      <c r="BK367" s="49" t="s">
        <v>312</v>
      </c>
      <c r="BL367" s="49" t="s">
        <v>313</v>
      </c>
      <c r="BM367" s="49" t="s">
        <v>310</v>
      </c>
      <c r="BN367" s="48"/>
      <c r="BO367" s="48"/>
      <c r="BP367" s="48"/>
      <c r="BQ367" s="49" t="s">
        <v>1567</v>
      </c>
      <c r="BR367" s="48" t="n">
        <v>46262</v>
      </c>
      <c r="BS367" s="49" t="s">
        <v>1583</v>
      </c>
      <c r="BT367" s="49" t="s">
        <v>312</v>
      </c>
      <c r="BU367" s="49" t="s">
        <v>312</v>
      </c>
      <c r="BV367" s="49" t="s">
        <v>303</v>
      </c>
      <c r="BX367" s="0" t="n">
        <v>1</v>
      </c>
      <c r="CC367" s="49" t="s">
        <v>315</v>
      </c>
      <c r="CD367" s="49" t="s">
        <v>303</v>
      </c>
      <c r="CF367" s="49" t="s">
        <v>303</v>
      </c>
      <c r="CG367" s="49" t="s">
        <v>316</v>
      </c>
      <c r="CH367" s="49" t="s">
        <v>317</v>
      </c>
      <c r="CI367" s="49" t="s">
        <v>318</v>
      </c>
      <c r="CM367" s="49" t="s">
        <v>59</v>
      </c>
      <c r="CV367" s="49" t="s">
        <v>303</v>
      </c>
      <c r="DB367" s="49" t="s">
        <v>319</v>
      </c>
      <c r="DD367" s="48" t="n">
        <v>46233</v>
      </c>
      <c r="DF367" s="49" t="s">
        <v>310</v>
      </c>
      <c r="DG367" s="49" t="s">
        <v>320</v>
      </c>
      <c r="DH367" s="49" t="s">
        <v>58</v>
      </c>
      <c r="DI367" s="49" t="s">
        <v>298</v>
      </c>
      <c r="DJ367" s="49" t="s">
        <v>367</v>
      </c>
      <c r="DK367" s="49" t="s">
        <v>322</v>
      </c>
      <c r="DL367" s="49" t="s">
        <v>323</v>
      </c>
      <c r="DM367" s="49" t="s">
        <v>303</v>
      </c>
      <c r="DN367" s="49" t="s">
        <v>297</v>
      </c>
      <c r="DO367" s="48"/>
      <c r="DP367" s="49" t="s">
        <v>312</v>
      </c>
      <c r="DQ367" s="48"/>
      <c r="DR367" s="49" t="s">
        <v>312</v>
      </c>
      <c r="DS367" s="49" t="s">
        <v>303</v>
      </c>
      <c r="DT367" s="49" t="s">
        <v>303</v>
      </c>
      <c r="DW367" s="49" t="s">
        <v>303</v>
      </c>
      <c r="EA367" s="49" t="s">
        <v>324</v>
      </c>
      <c r="EB367" s="49" t="s">
        <v>303</v>
      </c>
      <c r="EH367" s="49" t="s">
        <v>310</v>
      </c>
      <c r="EJ367" s="49" t="s">
        <v>303</v>
      </c>
      <c r="EK367" s="49" t="s">
        <v>1588</v>
      </c>
      <c r="EM367" s="49" t="s">
        <v>303</v>
      </c>
      <c r="EN367" s="49" t="s">
        <v>374</v>
      </c>
      <c r="EP367" s="49" t="s">
        <v>298</v>
      </c>
      <c r="EQ367" s="0" t="n">
        <v>1</v>
      </c>
      <c r="ER367" s="49" t="s">
        <v>328</v>
      </c>
      <c r="ES367" s="49" t="s">
        <v>342</v>
      </c>
      <c r="ET367" s="49" t="s">
        <v>310</v>
      </c>
      <c r="EU367" s="49" t="s">
        <v>310</v>
      </c>
      <c r="EV367" s="49" t="s">
        <v>310</v>
      </c>
      <c r="EX367" s="49" t="s">
        <v>303</v>
      </c>
      <c r="EY367" s="49" t="s">
        <v>303</v>
      </c>
      <c r="FC367" s="49" t="s">
        <v>330</v>
      </c>
      <c r="FD367" s="49" t="s">
        <v>310</v>
      </c>
      <c r="FE367" s="49" t="s">
        <v>310</v>
      </c>
      <c r="FF367" s="49" t="s">
        <v>58</v>
      </c>
      <c r="FG367" s="49" t="s">
        <v>375</v>
      </c>
      <c r="FH367" s="49" t="s">
        <v>310</v>
      </c>
      <c r="FI367" s="49" t="s">
        <v>332</v>
      </c>
      <c r="FJ367" s="49" t="s">
        <v>303</v>
      </c>
      <c r="FL367" s="49" t="s">
        <v>325</v>
      </c>
      <c r="FM367" s="49" t="s">
        <v>1564</v>
      </c>
      <c r="FP367" s="49" t="s">
        <v>303</v>
      </c>
      <c r="FR367" s="49" t="s">
        <v>303</v>
      </c>
      <c r="FT367" s="49" t="s">
        <v>325</v>
      </c>
      <c r="FU367" s="49" t="s">
        <v>325</v>
      </c>
      <c r="FW367" s="49" t="s">
        <v>333</v>
      </c>
    </row>
    <row r="368" customFormat="false" ht="15" hidden="false" customHeight="false" outlineLevel="0" collapsed="false">
      <c r="A368" s="0" t="n">
        <v>100875895</v>
      </c>
      <c r="B368" s="0" t="s">
        <v>295</v>
      </c>
      <c r="C368" s="0" t="s">
        <v>58</v>
      </c>
      <c r="D368" s="0" t="s">
        <v>59</v>
      </c>
      <c r="E368" s="0" t="s">
        <v>297</v>
      </c>
      <c r="G368" s="0" t="n">
        <v>1</v>
      </c>
      <c r="H368" s="0" t="s">
        <v>298</v>
      </c>
      <c r="I368" s="48" t="n">
        <v>46266</v>
      </c>
      <c r="J368" s="0" t="n">
        <v>1</v>
      </c>
      <c r="K368" s="49" t="s">
        <v>1564</v>
      </c>
      <c r="L368" s="49" t="s">
        <v>335</v>
      </c>
      <c r="M368" s="48"/>
      <c r="O368" s="49" t="s">
        <v>1045</v>
      </c>
      <c r="P368" s="48"/>
      <c r="Q368" s="48" t="n">
        <v>46266</v>
      </c>
      <c r="R368" s="48" t="n">
        <v>46272</v>
      </c>
      <c r="T368" s="49" t="s">
        <v>302</v>
      </c>
      <c r="U368" s="49" t="s">
        <v>303</v>
      </c>
      <c r="Y368" s="49" t="s">
        <v>312</v>
      </c>
      <c r="AD368" s="49" t="s">
        <v>305</v>
      </c>
      <c r="AE368" s="48" t="n">
        <v>46233</v>
      </c>
      <c r="AF368" s="49" t="s">
        <v>306</v>
      </c>
      <c r="AG368" s="49" t="s">
        <v>307</v>
      </c>
      <c r="AK368" s="49" t="s">
        <v>1047</v>
      </c>
      <c r="AL368" s="49" t="s">
        <v>297</v>
      </c>
      <c r="AO368" s="49" t="s">
        <v>303</v>
      </c>
      <c r="AP368" s="48"/>
      <c r="AR368" s="49" t="s">
        <v>303</v>
      </c>
      <c r="AS368" s="49" t="s">
        <v>306</v>
      </c>
      <c r="AT368" s="49" t="s">
        <v>1589</v>
      </c>
      <c r="AV368" s="49" t="s">
        <v>309</v>
      </c>
      <c r="AW368" s="49" t="s">
        <v>310</v>
      </c>
      <c r="AX368" s="49" t="s">
        <v>311</v>
      </c>
      <c r="AY368" s="48"/>
      <c r="AZ368" s="48" t="n">
        <v>46255</v>
      </c>
      <c r="BC368" s="49" t="s">
        <v>303</v>
      </c>
      <c r="BD368" s="48" t="n">
        <v>46283</v>
      </c>
      <c r="BE368" s="49" t="s">
        <v>1590</v>
      </c>
      <c r="BF368" s="49" t="s">
        <v>303</v>
      </c>
      <c r="BG368" s="48"/>
      <c r="BI368" s="48" t="n">
        <v>46283</v>
      </c>
      <c r="BJ368" s="48" t="n">
        <v>46271</v>
      </c>
      <c r="BK368" s="49" t="s">
        <v>313</v>
      </c>
      <c r="BL368" s="49" t="s">
        <v>313</v>
      </c>
      <c r="BM368" s="49" t="s">
        <v>310</v>
      </c>
      <c r="BN368" s="48"/>
      <c r="BO368" s="48"/>
      <c r="BP368" s="48"/>
      <c r="BQ368" s="49" t="s">
        <v>1567</v>
      </c>
      <c r="BR368" s="48" t="n">
        <v>46262</v>
      </c>
      <c r="BS368" s="49" t="s">
        <v>1591</v>
      </c>
      <c r="BT368" s="49" t="s">
        <v>312</v>
      </c>
      <c r="BU368" s="49" t="s">
        <v>312</v>
      </c>
      <c r="BV368" s="49" t="s">
        <v>303</v>
      </c>
      <c r="BX368" s="0" t="n">
        <v>1</v>
      </c>
      <c r="CC368" s="49" t="s">
        <v>315</v>
      </c>
      <c r="CD368" s="49" t="s">
        <v>303</v>
      </c>
      <c r="CF368" s="49" t="s">
        <v>303</v>
      </c>
      <c r="CG368" s="49" t="s">
        <v>316</v>
      </c>
      <c r="CH368" s="49" t="s">
        <v>317</v>
      </c>
      <c r="CI368" s="49" t="s">
        <v>318</v>
      </c>
      <c r="CM368" s="49" t="s">
        <v>59</v>
      </c>
      <c r="CV368" s="49" t="s">
        <v>303</v>
      </c>
      <c r="DB368" s="49" t="s">
        <v>319</v>
      </c>
      <c r="DD368" s="48" t="n">
        <v>46233</v>
      </c>
      <c r="DF368" s="49" t="s">
        <v>310</v>
      </c>
      <c r="DG368" s="49" t="s">
        <v>320</v>
      </c>
      <c r="DH368" s="49" t="s">
        <v>58</v>
      </c>
      <c r="DI368" s="49" t="s">
        <v>298</v>
      </c>
      <c r="DJ368" s="49" t="s">
        <v>367</v>
      </c>
      <c r="DK368" s="49" t="s">
        <v>322</v>
      </c>
      <c r="DL368" s="49" t="s">
        <v>323</v>
      </c>
      <c r="DM368" s="49" t="s">
        <v>303</v>
      </c>
      <c r="DN368" s="49" t="s">
        <v>297</v>
      </c>
      <c r="DO368" s="48"/>
      <c r="DP368" s="49" t="s">
        <v>312</v>
      </c>
      <c r="DQ368" s="48"/>
      <c r="DR368" s="49" t="s">
        <v>312</v>
      </c>
      <c r="DS368" s="49" t="s">
        <v>303</v>
      </c>
      <c r="DT368" s="49" t="s">
        <v>303</v>
      </c>
      <c r="DW368" s="49" t="s">
        <v>303</v>
      </c>
      <c r="EA368" s="49" t="s">
        <v>324</v>
      </c>
      <c r="EB368" s="49" t="s">
        <v>303</v>
      </c>
      <c r="EF368" s="49" t="s">
        <v>1592</v>
      </c>
      <c r="EH368" s="49" t="s">
        <v>310</v>
      </c>
      <c r="EJ368" s="49" t="s">
        <v>303</v>
      </c>
      <c r="EK368" s="49" t="s">
        <v>1593</v>
      </c>
      <c r="EM368" s="49" t="s">
        <v>303</v>
      </c>
      <c r="EN368" s="49" t="s">
        <v>374</v>
      </c>
      <c r="EP368" s="49" t="s">
        <v>298</v>
      </c>
      <c r="EQ368" s="0" t="n">
        <v>1</v>
      </c>
      <c r="ER368" s="49" t="s">
        <v>328</v>
      </c>
      <c r="ES368" s="49" t="s">
        <v>342</v>
      </c>
      <c r="ET368" s="49" t="s">
        <v>310</v>
      </c>
      <c r="EU368" s="49" t="s">
        <v>310</v>
      </c>
      <c r="EV368" s="49" t="s">
        <v>310</v>
      </c>
      <c r="EX368" s="49" t="s">
        <v>303</v>
      </c>
      <c r="EY368" s="49" t="s">
        <v>303</v>
      </c>
      <c r="FC368" s="49" t="s">
        <v>330</v>
      </c>
      <c r="FD368" s="49" t="s">
        <v>310</v>
      </c>
      <c r="FE368" s="49" t="s">
        <v>310</v>
      </c>
      <c r="FF368" s="49" t="s">
        <v>58</v>
      </c>
      <c r="FG368" s="49" t="s">
        <v>375</v>
      </c>
      <c r="FH368" s="49" t="s">
        <v>310</v>
      </c>
      <c r="FI368" s="49" t="s">
        <v>332</v>
      </c>
      <c r="FJ368" s="49" t="s">
        <v>303</v>
      </c>
      <c r="FL368" s="49" t="s">
        <v>325</v>
      </c>
      <c r="FM368" s="49" t="s">
        <v>1564</v>
      </c>
      <c r="FP368" s="49" t="s">
        <v>303</v>
      </c>
      <c r="FR368" s="49" t="s">
        <v>303</v>
      </c>
      <c r="FT368" s="49" t="s">
        <v>325</v>
      </c>
      <c r="FU368" s="49" t="s">
        <v>325</v>
      </c>
      <c r="FW368" s="49" t="s">
        <v>333</v>
      </c>
    </row>
    <row r="369" customFormat="false" ht="15" hidden="false" customHeight="false" outlineLevel="0" collapsed="false">
      <c r="A369" s="0" t="n">
        <v>100875783</v>
      </c>
      <c r="B369" s="0" t="s">
        <v>295</v>
      </c>
      <c r="C369" s="0" t="s">
        <v>75</v>
      </c>
      <c r="D369" s="0" t="s">
        <v>492</v>
      </c>
      <c r="E369" s="0" t="s">
        <v>297</v>
      </c>
      <c r="G369" s="0" t="n">
        <v>1</v>
      </c>
      <c r="H369" s="0" t="s">
        <v>298</v>
      </c>
      <c r="I369" s="48" t="n">
        <v>46263</v>
      </c>
      <c r="J369" s="0" t="n">
        <v>0</v>
      </c>
      <c r="K369" s="49" t="s">
        <v>1594</v>
      </c>
      <c r="L369" s="49" t="s">
        <v>1035</v>
      </c>
      <c r="M369" s="48" t="n">
        <v>46263</v>
      </c>
      <c r="N369" s="49" t="s">
        <v>1035</v>
      </c>
      <c r="O369" s="49" t="s">
        <v>1083</v>
      </c>
      <c r="P369" s="48"/>
      <c r="Q369" s="48" t="n">
        <v>46263</v>
      </c>
      <c r="R369" s="48" t="n">
        <v>46270</v>
      </c>
      <c r="T369" s="49" t="s">
        <v>302</v>
      </c>
      <c r="U369" s="49" t="s">
        <v>303</v>
      </c>
      <c r="Y369" s="49" t="s">
        <v>1595</v>
      </c>
      <c r="AD369" s="49" t="s">
        <v>305</v>
      </c>
      <c r="AE369" s="48" t="n">
        <v>46231</v>
      </c>
      <c r="AF369" s="49" t="s">
        <v>306</v>
      </c>
      <c r="AG369" s="49" t="s">
        <v>307</v>
      </c>
      <c r="AK369" s="49" t="s">
        <v>303</v>
      </c>
      <c r="AL369" s="49" t="s">
        <v>297</v>
      </c>
      <c r="AO369" s="49" t="s">
        <v>303</v>
      </c>
      <c r="AP369" s="48"/>
      <c r="AR369" s="49" t="s">
        <v>303</v>
      </c>
      <c r="AS369" s="49" t="s">
        <v>306</v>
      </c>
      <c r="AT369" s="49" t="s">
        <v>1596</v>
      </c>
      <c r="AV369" s="49" t="s">
        <v>309</v>
      </c>
      <c r="AW369" s="49" t="s">
        <v>310</v>
      </c>
      <c r="AX369" s="49" t="s">
        <v>311</v>
      </c>
      <c r="AY369" s="48"/>
      <c r="AZ369" s="48" t="n">
        <v>46260</v>
      </c>
      <c r="BC369" s="49" t="s">
        <v>303</v>
      </c>
      <c r="BD369" s="48"/>
      <c r="BE369" s="49" t="s">
        <v>312</v>
      </c>
      <c r="BF369" s="49" t="s">
        <v>303</v>
      </c>
      <c r="BG369" s="48"/>
      <c r="BI369" s="48"/>
      <c r="BJ369" s="48" t="n">
        <v>46268</v>
      </c>
      <c r="BK369" s="49" t="s">
        <v>312</v>
      </c>
      <c r="BL369" s="49" t="s">
        <v>313</v>
      </c>
      <c r="BM369" s="49" t="s">
        <v>310</v>
      </c>
      <c r="BN369" s="48"/>
      <c r="BO369" s="48"/>
      <c r="BP369" s="48"/>
      <c r="BQ369" s="49" t="s">
        <v>1594</v>
      </c>
      <c r="BR369" s="48" t="n">
        <v>46268</v>
      </c>
      <c r="BS369" s="49" t="s">
        <v>1597</v>
      </c>
      <c r="BT369" s="49" t="s">
        <v>312</v>
      </c>
      <c r="BU369" s="49" t="s">
        <v>313</v>
      </c>
      <c r="BV369" s="49" t="s">
        <v>303</v>
      </c>
      <c r="BX369" s="0" t="n">
        <v>0</v>
      </c>
      <c r="CC369" s="49" t="s">
        <v>315</v>
      </c>
      <c r="CD369" s="49" t="s">
        <v>303</v>
      </c>
      <c r="CF369" s="49" t="s">
        <v>303</v>
      </c>
      <c r="CG369" s="49" t="s">
        <v>316</v>
      </c>
      <c r="CH369" s="49" t="s">
        <v>317</v>
      </c>
      <c r="CI369" s="49" t="s">
        <v>318</v>
      </c>
      <c r="CM369" s="49" t="s">
        <v>492</v>
      </c>
      <c r="CV369" s="49" t="s">
        <v>303</v>
      </c>
      <c r="DB369" s="49" t="s">
        <v>319</v>
      </c>
      <c r="DD369" s="48" t="n">
        <v>46231</v>
      </c>
      <c r="DF369" s="49" t="s">
        <v>310</v>
      </c>
      <c r="DG369" s="49" t="s">
        <v>320</v>
      </c>
      <c r="DH369" s="49" t="s">
        <v>75</v>
      </c>
      <c r="DI369" s="49" t="s">
        <v>298</v>
      </c>
      <c r="DJ369" s="49" t="s">
        <v>495</v>
      </c>
      <c r="DK369" s="49" t="s">
        <v>322</v>
      </c>
      <c r="DL369" s="49" t="s">
        <v>323</v>
      </c>
      <c r="DM369" s="49" t="s">
        <v>303</v>
      </c>
      <c r="DN369" s="49" t="s">
        <v>297</v>
      </c>
      <c r="DO369" s="48"/>
      <c r="DP369" s="49" t="s">
        <v>312</v>
      </c>
      <c r="DQ369" s="48"/>
      <c r="DR369" s="49" t="s">
        <v>312</v>
      </c>
      <c r="DS369" s="49" t="s">
        <v>303</v>
      </c>
      <c r="DT369" s="49" t="s">
        <v>303</v>
      </c>
      <c r="DW369" s="49" t="s">
        <v>303</v>
      </c>
      <c r="EA369" s="49" t="s">
        <v>324</v>
      </c>
      <c r="EB369" s="49" t="s">
        <v>303</v>
      </c>
      <c r="EH369" s="49" t="s">
        <v>310</v>
      </c>
      <c r="EJ369" s="49" t="s">
        <v>303</v>
      </c>
      <c r="EK369" s="49" t="s">
        <v>1598</v>
      </c>
      <c r="EM369" s="49" t="s">
        <v>303</v>
      </c>
      <c r="EN369" s="49" t="s">
        <v>497</v>
      </c>
      <c r="EP369" s="49" t="s">
        <v>298</v>
      </c>
      <c r="EQ369" s="0" t="n">
        <v>1</v>
      </c>
      <c r="ER369" s="49" t="s">
        <v>328</v>
      </c>
      <c r="ES369" s="49" t="s">
        <v>329</v>
      </c>
      <c r="ET369" s="49" t="s">
        <v>310</v>
      </c>
      <c r="EU369" s="49" t="s">
        <v>310</v>
      </c>
      <c r="EV369" s="49" t="s">
        <v>310</v>
      </c>
      <c r="EX369" s="49" t="s">
        <v>303</v>
      </c>
      <c r="EY369" s="49" t="s">
        <v>303</v>
      </c>
      <c r="FC369" s="49" t="s">
        <v>330</v>
      </c>
      <c r="FD369" s="49" t="s">
        <v>310</v>
      </c>
      <c r="FE369" s="49" t="s">
        <v>310</v>
      </c>
      <c r="FF369" s="49" t="s">
        <v>75</v>
      </c>
      <c r="FG369" s="49" t="s">
        <v>498</v>
      </c>
      <c r="FH369" s="49" t="s">
        <v>310</v>
      </c>
      <c r="FI369" s="49" t="s">
        <v>332</v>
      </c>
      <c r="FJ369" s="49" t="s">
        <v>303</v>
      </c>
      <c r="FL369" s="49" t="s">
        <v>325</v>
      </c>
      <c r="FM369" s="49" t="s">
        <v>1594</v>
      </c>
      <c r="FP369" s="49" t="s">
        <v>303</v>
      </c>
      <c r="FR369" s="49" t="s">
        <v>303</v>
      </c>
      <c r="FT369" s="49" t="s">
        <v>325</v>
      </c>
      <c r="FU369" s="49" t="s">
        <v>325</v>
      </c>
      <c r="FW369" s="49" t="s">
        <v>333</v>
      </c>
      <c r="FX369" s="49" t="s">
        <v>499</v>
      </c>
    </row>
    <row r="370" customFormat="false" ht="15" hidden="false" customHeight="false" outlineLevel="0" collapsed="false">
      <c r="A370" s="0" t="n">
        <v>100875784</v>
      </c>
      <c r="B370" s="0" t="s">
        <v>295</v>
      </c>
      <c r="C370" s="0" t="s">
        <v>77</v>
      </c>
      <c r="D370" s="0" t="s">
        <v>500</v>
      </c>
      <c r="E370" s="0" t="s">
        <v>297</v>
      </c>
      <c r="G370" s="0" t="n">
        <v>1</v>
      </c>
      <c r="H370" s="0" t="s">
        <v>298</v>
      </c>
      <c r="I370" s="48" t="n">
        <v>46263</v>
      </c>
      <c r="J370" s="0" t="n">
        <v>0</v>
      </c>
      <c r="K370" s="49" t="s">
        <v>1594</v>
      </c>
      <c r="L370" s="49" t="s">
        <v>1035</v>
      </c>
      <c r="M370" s="48" t="n">
        <v>46263</v>
      </c>
      <c r="N370" s="49" t="s">
        <v>1035</v>
      </c>
      <c r="O370" s="49" t="s">
        <v>1083</v>
      </c>
      <c r="P370" s="48"/>
      <c r="Q370" s="48" t="n">
        <v>46263</v>
      </c>
      <c r="R370" s="48" t="n">
        <v>46270</v>
      </c>
      <c r="T370" s="49" t="s">
        <v>302</v>
      </c>
      <c r="U370" s="49" t="s">
        <v>303</v>
      </c>
      <c r="Y370" s="49" t="s">
        <v>1599</v>
      </c>
      <c r="AD370" s="49" t="s">
        <v>305</v>
      </c>
      <c r="AE370" s="48" t="n">
        <v>46231</v>
      </c>
      <c r="AF370" s="49" t="s">
        <v>306</v>
      </c>
      <c r="AG370" s="49" t="s">
        <v>307</v>
      </c>
      <c r="AK370" s="49" t="s">
        <v>303</v>
      </c>
      <c r="AL370" s="49" t="s">
        <v>297</v>
      </c>
      <c r="AO370" s="49" t="s">
        <v>303</v>
      </c>
      <c r="AP370" s="48"/>
      <c r="AR370" s="49" t="s">
        <v>303</v>
      </c>
      <c r="AS370" s="49" t="s">
        <v>306</v>
      </c>
      <c r="AT370" s="49" t="s">
        <v>1600</v>
      </c>
      <c r="AV370" s="49" t="s">
        <v>309</v>
      </c>
      <c r="AW370" s="49" t="s">
        <v>310</v>
      </c>
      <c r="AX370" s="49" t="s">
        <v>311</v>
      </c>
      <c r="AY370" s="48"/>
      <c r="AZ370" s="48" t="n">
        <v>46260</v>
      </c>
      <c r="BC370" s="49" t="s">
        <v>303</v>
      </c>
      <c r="BD370" s="48"/>
      <c r="BE370" s="49" t="s">
        <v>312</v>
      </c>
      <c r="BF370" s="49" t="s">
        <v>303</v>
      </c>
      <c r="BG370" s="48"/>
      <c r="BI370" s="48"/>
      <c r="BJ370" s="48" t="n">
        <v>46268</v>
      </c>
      <c r="BK370" s="49" t="s">
        <v>312</v>
      </c>
      <c r="BL370" s="49" t="s">
        <v>313</v>
      </c>
      <c r="BM370" s="49" t="s">
        <v>310</v>
      </c>
      <c r="BN370" s="48"/>
      <c r="BO370" s="48"/>
      <c r="BP370" s="48"/>
      <c r="BQ370" s="49" t="s">
        <v>1594</v>
      </c>
      <c r="BR370" s="48" t="n">
        <v>46268</v>
      </c>
      <c r="BS370" s="49" t="s">
        <v>1601</v>
      </c>
      <c r="BT370" s="49" t="s">
        <v>312</v>
      </c>
      <c r="BU370" s="49" t="s">
        <v>313</v>
      </c>
      <c r="BV370" s="49" t="s">
        <v>303</v>
      </c>
      <c r="BX370" s="0" t="n">
        <v>0</v>
      </c>
      <c r="CC370" s="49" t="s">
        <v>315</v>
      </c>
      <c r="CD370" s="49" t="s">
        <v>303</v>
      </c>
      <c r="CF370" s="49" t="s">
        <v>303</v>
      </c>
      <c r="CG370" s="49" t="s">
        <v>316</v>
      </c>
      <c r="CH370" s="49" t="s">
        <v>317</v>
      </c>
      <c r="CI370" s="49" t="s">
        <v>318</v>
      </c>
      <c r="CM370" s="49" t="s">
        <v>500</v>
      </c>
      <c r="CV370" s="49" t="s">
        <v>303</v>
      </c>
      <c r="DB370" s="49" t="s">
        <v>319</v>
      </c>
      <c r="DD370" s="48" t="n">
        <v>46231</v>
      </c>
      <c r="DF370" s="49" t="s">
        <v>310</v>
      </c>
      <c r="DG370" s="49" t="s">
        <v>320</v>
      </c>
      <c r="DH370" s="49" t="s">
        <v>77</v>
      </c>
      <c r="DI370" s="49" t="s">
        <v>298</v>
      </c>
      <c r="DJ370" s="49" t="s">
        <v>495</v>
      </c>
      <c r="DK370" s="49" t="s">
        <v>322</v>
      </c>
      <c r="DL370" s="49" t="s">
        <v>323</v>
      </c>
      <c r="DM370" s="49" t="s">
        <v>303</v>
      </c>
      <c r="DN370" s="49" t="s">
        <v>297</v>
      </c>
      <c r="DO370" s="48"/>
      <c r="DP370" s="49" t="s">
        <v>312</v>
      </c>
      <c r="DQ370" s="48"/>
      <c r="DR370" s="49" t="s">
        <v>312</v>
      </c>
      <c r="DS370" s="49" t="s">
        <v>303</v>
      </c>
      <c r="DT370" s="49" t="s">
        <v>303</v>
      </c>
      <c r="DW370" s="49" t="s">
        <v>303</v>
      </c>
      <c r="EA370" s="49" t="s">
        <v>324</v>
      </c>
      <c r="EB370" s="49" t="s">
        <v>303</v>
      </c>
      <c r="EH370" s="49" t="s">
        <v>310</v>
      </c>
      <c r="EJ370" s="49" t="s">
        <v>303</v>
      </c>
      <c r="EK370" s="49" t="s">
        <v>1602</v>
      </c>
      <c r="EM370" s="49" t="s">
        <v>303</v>
      </c>
      <c r="EN370" s="49" t="s">
        <v>504</v>
      </c>
      <c r="EP370" s="49" t="s">
        <v>298</v>
      </c>
      <c r="EQ370" s="0" t="n">
        <v>1</v>
      </c>
      <c r="ER370" s="49" t="s">
        <v>328</v>
      </c>
      <c r="ES370" s="49" t="s">
        <v>329</v>
      </c>
      <c r="ET370" s="49" t="s">
        <v>310</v>
      </c>
      <c r="EU370" s="49" t="s">
        <v>310</v>
      </c>
      <c r="EV370" s="49" t="s">
        <v>310</v>
      </c>
      <c r="EX370" s="49" t="s">
        <v>303</v>
      </c>
      <c r="EY370" s="49" t="s">
        <v>303</v>
      </c>
      <c r="FC370" s="49" t="s">
        <v>330</v>
      </c>
      <c r="FD370" s="49" t="s">
        <v>310</v>
      </c>
      <c r="FE370" s="49" t="s">
        <v>310</v>
      </c>
      <c r="FF370" s="49" t="s">
        <v>77</v>
      </c>
      <c r="FG370" s="49" t="s">
        <v>505</v>
      </c>
      <c r="FH370" s="49" t="s">
        <v>310</v>
      </c>
      <c r="FI370" s="49" t="s">
        <v>332</v>
      </c>
      <c r="FJ370" s="49" t="s">
        <v>303</v>
      </c>
      <c r="FL370" s="49" t="s">
        <v>325</v>
      </c>
      <c r="FM370" s="49" t="s">
        <v>1594</v>
      </c>
      <c r="FP370" s="49" t="s">
        <v>303</v>
      </c>
      <c r="FR370" s="49" t="s">
        <v>303</v>
      </c>
      <c r="FT370" s="49" t="s">
        <v>325</v>
      </c>
      <c r="FU370" s="49" t="s">
        <v>325</v>
      </c>
      <c r="FW370" s="49" t="s">
        <v>333</v>
      </c>
      <c r="FX370" s="49" t="s">
        <v>499</v>
      </c>
    </row>
    <row r="371" customFormat="false" ht="15" hidden="false" customHeight="false" outlineLevel="0" collapsed="false">
      <c r="A371" s="0" t="n">
        <v>100875785</v>
      </c>
      <c r="B371" s="0" t="s">
        <v>295</v>
      </c>
      <c r="C371" s="0" t="s">
        <v>79</v>
      </c>
      <c r="D371" s="0" t="s">
        <v>506</v>
      </c>
      <c r="E371" s="0" t="s">
        <v>297</v>
      </c>
      <c r="G371" s="0" t="n">
        <v>1</v>
      </c>
      <c r="H371" s="0" t="s">
        <v>298</v>
      </c>
      <c r="I371" s="48" t="n">
        <v>46263</v>
      </c>
      <c r="J371" s="0" t="n">
        <v>1</v>
      </c>
      <c r="K371" s="49" t="s">
        <v>1594</v>
      </c>
      <c r="L371" s="49" t="s">
        <v>1035</v>
      </c>
      <c r="M371" s="48" t="n">
        <v>46263</v>
      </c>
      <c r="N371" s="49" t="s">
        <v>1035</v>
      </c>
      <c r="O371" s="49" t="s">
        <v>1052</v>
      </c>
      <c r="P371" s="48"/>
      <c r="Q371" s="48" t="n">
        <v>46263</v>
      </c>
      <c r="R371" s="48" t="n">
        <v>46270</v>
      </c>
      <c r="T371" s="49" t="s">
        <v>302</v>
      </c>
      <c r="U371" s="49" t="s">
        <v>303</v>
      </c>
      <c r="Y371" s="49" t="s">
        <v>1603</v>
      </c>
      <c r="AD371" s="49" t="s">
        <v>305</v>
      </c>
      <c r="AE371" s="48" t="n">
        <v>46231</v>
      </c>
      <c r="AF371" s="49" t="s">
        <v>306</v>
      </c>
      <c r="AG371" s="49" t="s">
        <v>307</v>
      </c>
      <c r="AK371" s="49" t="s">
        <v>1047</v>
      </c>
      <c r="AL371" s="49" t="s">
        <v>297</v>
      </c>
      <c r="AO371" s="49" t="s">
        <v>303</v>
      </c>
      <c r="AP371" s="48"/>
      <c r="AR371" s="49" t="s">
        <v>303</v>
      </c>
      <c r="AS371" s="49" t="s">
        <v>306</v>
      </c>
      <c r="AT371" s="49" t="s">
        <v>1604</v>
      </c>
      <c r="AV371" s="49" t="s">
        <v>309</v>
      </c>
      <c r="AW371" s="49" t="s">
        <v>310</v>
      </c>
      <c r="AX371" s="49" t="s">
        <v>311</v>
      </c>
      <c r="AY371" s="48"/>
      <c r="AZ371" s="48" t="n">
        <v>46260</v>
      </c>
      <c r="BC371" s="49" t="s">
        <v>303</v>
      </c>
      <c r="BD371" s="48" t="n">
        <v>46296</v>
      </c>
      <c r="BE371" s="49" t="s">
        <v>1605</v>
      </c>
      <c r="BF371" s="49" t="s">
        <v>303</v>
      </c>
      <c r="BG371" s="48"/>
      <c r="BI371" s="48" t="n">
        <v>46296</v>
      </c>
      <c r="BJ371" s="48" t="n">
        <v>46268</v>
      </c>
      <c r="BK371" s="49" t="s">
        <v>312</v>
      </c>
      <c r="BL371" s="49" t="s">
        <v>313</v>
      </c>
      <c r="BM371" s="49" t="s">
        <v>310</v>
      </c>
      <c r="BN371" s="48"/>
      <c r="BO371" s="48"/>
      <c r="BP371" s="48"/>
      <c r="BQ371" s="49" t="s">
        <v>1594</v>
      </c>
      <c r="BR371" s="48" t="n">
        <v>46268</v>
      </c>
      <c r="BS371" s="49" t="s">
        <v>1606</v>
      </c>
      <c r="BT371" s="49" t="s">
        <v>312</v>
      </c>
      <c r="BU371" s="49" t="s">
        <v>313</v>
      </c>
      <c r="BV371" s="49" t="s">
        <v>303</v>
      </c>
      <c r="BX371" s="0" t="n">
        <v>1</v>
      </c>
      <c r="CC371" s="49" t="s">
        <v>315</v>
      </c>
      <c r="CD371" s="49" t="s">
        <v>303</v>
      </c>
      <c r="CF371" s="49" t="s">
        <v>303</v>
      </c>
      <c r="CG371" s="49" t="s">
        <v>316</v>
      </c>
      <c r="CH371" s="49" t="s">
        <v>317</v>
      </c>
      <c r="CI371" s="49" t="s">
        <v>318</v>
      </c>
      <c r="CM371" s="49" t="s">
        <v>506</v>
      </c>
      <c r="CV371" s="49" t="s">
        <v>303</v>
      </c>
      <c r="DB371" s="49" t="s">
        <v>319</v>
      </c>
      <c r="DD371" s="48" t="n">
        <v>46231</v>
      </c>
      <c r="DF371" s="49" t="s">
        <v>310</v>
      </c>
      <c r="DG371" s="49" t="s">
        <v>320</v>
      </c>
      <c r="DH371" s="49" t="s">
        <v>79</v>
      </c>
      <c r="DI371" s="49" t="s">
        <v>298</v>
      </c>
      <c r="DJ371" s="49" t="s">
        <v>495</v>
      </c>
      <c r="DK371" s="49" t="s">
        <v>322</v>
      </c>
      <c r="DL371" s="49" t="s">
        <v>323</v>
      </c>
      <c r="DM371" s="49" t="s">
        <v>303</v>
      </c>
      <c r="DN371" s="49" t="s">
        <v>297</v>
      </c>
      <c r="DO371" s="48"/>
      <c r="DP371" s="49" t="s">
        <v>312</v>
      </c>
      <c r="DQ371" s="48"/>
      <c r="DR371" s="49" t="s">
        <v>312</v>
      </c>
      <c r="DS371" s="49" t="s">
        <v>303</v>
      </c>
      <c r="DT371" s="49" t="s">
        <v>303</v>
      </c>
      <c r="DW371" s="49" t="s">
        <v>303</v>
      </c>
      <c r="EA371" s="49" t="s">
        <v>324</v>
      </c>
      <c r="EB371" s="49" t="s">
        <v>303</v>
      </c>
      <c r="EH371" s="49" t="s">
        <v>310</v>
      </c>
      <c r="EJ371" s="49" t="s">
        <v>303</v>
      </c>
      <c r="EK371" s="49" t="s">
        <v>1607</v>
      </c>
      <c r="EM371" s="49" t="s">
        <v>303</v>
      </c>
      <c r="EN371" s="49" t="s">
        <v>510</v>
      </c>
      <c r="EP371" s="49" t="s">
        <v>298</v>
      </c>
      <c r="EQ371" s="0" t="n">
        <v>1</v>
      </c>
      <c r="ER371" s="49" t="s">
        <v>328</v>
      </c>
      <c r="ES371" s="49" t="s">
        <v>329</v>
      </c>
      <c r="ET371" s="49" t="s">
        <v>310</v>
      </c>
      <c r="EU371" s="49" t="s">
        <v>310</v>
      </c>
      <c r="EV371" s="49" t="s">
        <v>310</v>
      </c>
      <c r="EX371" s="49" t="s">
        <v>303</v>
      </c>
      <c r="EY371" s="49" t="s">
        <v>303</v>
      </c>
      <c r="FC371" s="49" t="s">
        <v>330</v>
      </c>
      <c r="FD371" s="49" t="s">
        <v>310</v>
      </c>
      <c r="FE371" s="49" t="s">
        <v>310</v>
      </c>
      <c r="FF371" s="49" t="s">
        <v>79</v>
      </c>
      <c r="FG371" s="49" t="s">
        <v>511</v>
      </c>
      <c r="FH371" s="49" t="s">
        <v>310</v>
      </c>
      <c r="FI371" s="49" t="s">
        <v>332</v>
      </c>
      <c r="FJ371" s="49" t="s">
        <v>303</v>
      </c>
      <c r="FL371" s="49" t="s">
        <v>325</v>
      </c>
      <c r="FM371" s="49" t="s">
        <v>1594</v>
      </c>
      <c r="FP371" s="49" t="s">
        <v>303</v>
      </c>
      <c r="FR371" s="49" t="s">
        <v>303</v>
      </c>
      <c r="FT371" s="49" t="s">
        <v>325</v>
      </c>
      <c r="FU371" s="49" t="s">
        <v>325</v>
      </c>
      <c r="FW371" s="49" t="s">
        <v>333</v>
      </c>
      <c r="FX371" s="49" t="s">
        <v>499</v>
      </c>
    </row>
    <row r="372" customFormat="false" ht="15" hidden="false" customHeight="false" outlineLevel="0" collapsed="false">
      <c r="A372" s="0" t="n">
        <v>100875704</v>
      </c>
      <c r="B372" s="0" t="s">
        <v>295</v>
      </c>
      <c r="C372" s="0" t="s">
        <v>66</v>
      </c>
      <c r="D372" s="0" t="s">
        <v>296</v>
      </c>
      <c r="E372" s="0" t="s">
        <v>297</v>
      </c>
      <c r="G372" s="0" t="n">
        <v>1</v>
      </c>
      <c r="H372" s="0" t="s">
        <v>298</v>
      </c>
      <c r="I372" s="48" t="n">
        <v>46261</v>
      </c>
      <c r="J372" s="0" t="n">
        <v>1</v>
      </c>
      <c r="K372" s="49" t="s">
        <v>1608</v>
      </c>
      <c r="L372" s="49" t="s">
        <v>335</v>
      </c>
      <c r="M372" s="48" t="n">
        <v>46261</v>
      </c>
      <c r="N372" s="49" t="s">
        <v>335</v>
      </c>
      <c r="O372" s="49" t="s">
        <v>1045</v>
      </c>
      <c r="P372" s="48"/>
      <c r="Q372" s="48" t="n">
        <v>46261</v>
      </c>
      <c r="R372" s="48" t="n">
        <v>46268</v>
      </c>
      <c r="T372" s="49" t="s">
        <v>302</v>
      </c>
      <c r="U372" s="49" t="s">
        <v>303</v>
      </c>
      <c r="Y372" s="49" t="s">
        <v>1609</v>
      </c>
      <c r="AD372" s="49" t="s">
        <v>305</v>
      </c>
      <c r="AE372" s="48" t="n">
        <v>46224</v>
      </c>
      <c r="AF372" s="49" t="s">
        <v>306</v>
      </c>
      <c r="AG372" s="49" t="s">
        <v>307</v>
      </c>
      <c r="AK372" s="49" t="s">
        <v>1047</v>
      </c>
      <c r="AL372" s="49" t="s">
        <v>297</v>
      </c>
      <c r="AO372" s="49" t="s">
        <v>303</v>
      </c>
      <c r="AP372" s="48"/>
      <c r="AR372" s="49" t="s">
        <v>303</v>
      </c>
      <c r="AS372" s="49" t="s">
        <v>306</v>
      </c>
      <c r="AT372" s="49" t="s">
        <v>1610</v>
      </c>
      <c r="AV372" s="49" t="s">
        <v>309</v>
      </c>
      <c r="AW372" s="49" t="s">
        <v>310</v>
      </c>
      <c r="AX372" s="49" t="s">
        <v>311</v>
      </c>
      <c r="AY372" s="48"/>
      <c r="AZ372" s="48" t="n">
        <v>46258</v>
      </c>
      <c r="BC372" s="49" t="s">
        <v>303</v>
      </c>
      <c r="BD372" s="48" t="n">
        <v>46294</v>
      </c>
      <c r="BE372" s="49" t="s">
        <v>1611</v>
      </c>
      <c r="BF372" s="49" t="s">
        <v>303</v>
      </c>
      <c r="BG372" s="48"/>
      <c r="BI372" s="48" t="n">
        <v>46294</v>
      </c>
      <c r="BJ372" s="48" t="n">
        <v>46266</v>
      </c>
      <c r="BK372" s="49" t="s">
        <v>312</v>
      </c>
      <c r="BL372" s="49" t="s">
        <v>313</v>
      </c>
      <c r="BM372" s="49" t="s">
        <v>310</v>
      </c>
      <c r="BN372" s="48"/>
      <c r="BO372" s="48"/>
      <c r="BP372" s="48"/>
      <c r="BQ372" s="49" t="s">
        <v>1612</v>
      </c>
      <c r="BR372" s="48" t="n">
        <v>46266</v>
      </c>
      <c r="BS372" s="49" t="s">
        <v>1613</v>
      </c>
      <c r="BT372" s="49" t="s">
        <v>312</v>
      </c>
      <c r="BU372" s="49" t="s">
        <v>313</v>
      </c>
      <c r="BV372" s="49" t="s">
        <v>303</v>
      </c>
      <c r="BX372" s="0" t="n">
        <v>1</v>
      </c>
      <c r="CC372" s="49" t="s">
        <v>315</v>
      </c>
      <c r="CD372" s="49" t="s">
        <v>303</v>
      </c>
      <c r="CF372" s="49" t="s">
        <v>303</v>
      </c>
      <c r="CG372" s="49" t="s">
        <v>316</v>
      </c>
      <c r="CH372" s="49" t="s">
        <v>317</v>
      </c>
      <c r="CI372" s="49" t="s">
        <v>318</v>
      </c>
      <c r="CM372" s="49" t="s">
        <v>296</v>
      </c>
      <c r="CV372" s="49" t="s">
        <v>303</v>
      </c>
      <c r="DB372" s="49" t="s">
        <v>319</v>
      </c>
      <c r="DD372" s="48" t="n">
        <v>46224</v>
      </c>
      <c r="DF372" s="49" t="s">
        <v>310</v>
      </c>
      <c r="DG372" s="49" t="s">
        <v>320</v>
      </c>
      <c r="DH372" s="49" t="s">
        <v>66</v>
      </c>
      <c r="DI372" s="49" t="s">
        <v>298</v>
      </c>
      <c r="DJ372" s="49" t="s">
        <v>321</v>
      </c>
      <c r="DK372" s="49" t="s">
        <v>322</v>
      </c>
      <c r="DL372" s="49" t="s">
        <v>323</v>
      </c>
      <c r="DM372" s="49" t="s">
        <v>303</v>
      </c>
      <c r="DN372" s="49" t="s">
        <v>297</v>
      </c>
      <c r="DO372" s="48"/>
      <c r="DP372" s="49" t="s">
        <v>312</v>
      </c>
      <c r="DQ372" s="48"/>
      <c r="DR372" s="49" t="s">
        <v>312</v>
      </c>
      <c r="DS372" s="49" t="s">
        <v>303</v>
      </c>
      <c r="DT372" s="49" t="s">
        <v>303</v>
      </c>
      <c r="DW372" s="49" t="s">
        <v>303</v>
      </c>
      <c r="EA372" s="49" t="s">
        <v>324</v>
      </c>
      <c r="EB372" s="49" t="s">
        <v>303</v>
      </c>
      <c r="EH372" s="49" t="s">
        <v>325</v>
      </c>
      <c r="EJ372" s="49" t="s">
        <v>303</v>
      </c>
      <c r="EK372" s="49" t="s">
        <v>1614</v>
      </c>
      <c r="EM372" s="49" t="s">
        <v>303</v>
      </c>
      <c r="EN372" s="49" t="s">
        <v>327</v>
      </c>
      <c r="EP372" s="49" t="s">
        <v>298</v>
      </c>
      <c r="EQ372" s="0" t="n">
        <v>1</v>
      </c>
      <c r="ER372" s="49" t="s">
        <v>328</v>
      </c>
      <c r="ES372" s="49" t="s">
        <v>329</v>
      </c>
      <c r="ET372" s="49" t="s">
        <v>310</v>
      </c>
      <c r="EU372" s="49" t="s">
        <v>310</v>
      </c>
      <c r="EV372" s="49" t="s">
        <v>310</v>
      </c>
      <c r="EX372" s="49" t="s">
        <v>303</v>
      </c>
      <c r="EY372" s="49" t="s">
        <v>303</v>
      </c>
      <c r="FC372" s="49" t="s">
        <v>330</v>
      </c>
      <c r="FD372" s="49" t="s">
        <v>310</v>
      </c>
      <c r="FE372" s="49" t="s">
        <v>310</v>
      </c>
      <c r="FF372" s="49" t="s">
        <v>66</v>
      </c>
      <c r="FG372" s="49" t="s">
        <v>331</v>
      </c>
      <c r="FH372" s="49" t="s">
        <v>310</v>
      </c>
      <c r="FI372" s="49" t="s">
        <v>332</v>
      </c>
      <c r="FJ372" s="49" t="s">
        <v>303</v>
      </c>
      <c r="FL372" s="49" t="s">
        <v>325</v>
      </c>
      <c r="FM372" s="49" t="s">
        <v>1608</v>
      </c>
      <c r="FP372" s="49" t="s">
        <v>303</v>
      </c>
      <c r="FR372" s="49" t="s">
        <v>303</v>
      </c>
      <c r="FT372" s="49" t="s">
        <v>325</v>
      </c>
      <c r="FU372" s="49" t="s">
        <v>325</v>
      </c>
      <c r="FW372" s="49" t="s">
        <v>333</v>
      </c>
    </row>
    <row r="373" customFormat="false" ht="15" hidden="false" customHeight="false" outlineLevel="0" collapsed="false">
      <c r="A373" s="0" t="n">
        <v>100875705</v>
      </c>
      <c r="B373" s="0" t="s">
        <v>295</v>
      </c>
      <c r="C373" s="0" t="s">
        <v>66</v>
      </c>
      <c r="D373" s="0" t="s">
        <v>296</v>
      </c>
      <c r="E373" s="0" t="s">
        <v>297</v>
      </c>
      <c r="G373" s="0" t="n">
        <v>1</v>
      </c>
      <c r="H373" s="0" t="s">
        <v>298</v>
      </c>
      <c r="I373" s="48" t="n">
        <v>46261</v>
      </c>
      <c r="J373" s="0" t="n">
        <v>1</v>
      </c>
      <c r="K373" s="49" t="s">
        <v>1608</v>
      </c>
      <c r="L373" s="49" t="s">
        <v>335</v>
      </c>
      <c r="M373" s="48"/>
      <c r="O373" s="49" t="s">
        <v>1045</v>
      </c>
      <c r="P373" s="48"/>
      <c r="Q373" s="48" t="n">
        <v>46261</v>
      </c>
      <c r="R373" s="48" t="n">
        <v>46267</v>
      </c>
      <c r="T373" s="49" t="s">
        <v>302</v>
      </c>
      <c r="U373" s="49" t="s">
        <v>303</v>
      </c>
      <c r="Y373" s="49" t="s">
        <v>312</v>
      </c>
      <c r="AD373" s="49" t="s">
        <v>305</v>
      </c>
      <c r="AE373" s="48" t="n">
        <v>46224</v>
      </c>
      <c r="AF373" s="49" t="s">
        <v>306</v>
      </c>
      <c r="AG373" s="49" t="s">
        <v>307</v>
      </c>
      <c r="AK373" s="49" t="s">
        <v>1047</v>
      </c>
      <c r="AL373" s="49" t="s">
        <v>297</v>
      </c>
      <c r="AO373" s="49" t="s">
        <v>303</v>
      </c>
      <c r="AP373" s="48"/>
      <c r="AR373" s="49" t="s">
        <v>303</v>
      </c>
      <c r="AS373" s="49" t="s">
        <v>306</v>
      </c>
      <c r="AT373" s="49" t="s">
        <v>1615</v>
      </c>
      <c r="AV373" s="49" t="s">
        <v>309</v>
      </c>
      <c r="AW373" s="49" t="s">
        <v>310</v>
      </c>
      <c r="AX373" s="49" t="s">
        <v>311</v>
      </c>
      <c r="AY373" s="48"/>
      <c r="AZ373" s="48" t="n">
        <v>46258</v>
      </c>
      <c r="BC373" s="49" t="s">
        <v>303</v>
      </c>
      <c r="BD373" s="48" t="n">
        <v>46288</v>
      </c>
      <c r="BE373" s="49" t="s">
        <v>1616</v>
      </c>
      <c r="BF373" s="49" t="s">
        <v>303</v>
      </c>
      <c r="BG373" s="48"/>
      <c r="BI373" s="48" t="n">
        <v>46288</v>
      </c>
      <c r="BJ373" s="48" t="n">
        <v>46266</v>
      </c>
      <c r="BK373" s="49" t="s">
        <v>313</v>
      </c>
      <c r="BL373" s="49" t="s">
        <v>313</v>
      </c>
      <c r="BM373" s="49" t="s">
        <v>310</v>
      </c>
      <c r="BN373" s="48"/>
      <c r="BO373" s="48"/>
      <c r="BP373" s="48"/>
      <c r="BQ373" s="49" t="s">
        <v>1617</v>
      </c>
      <c r="BR373" s="48" t="n">
        <v>46266</v>
      </c>
      <c r="BS373" s="49" t="s">
        <v>1618</v>
      </c>
      <c r="BT373" s="49" t="s">
        <v>312</v>
      </c>
      <c r="BU373" s="49" t="s">
        <v>313</v>
      </c>
      <c r="BV373" s="49" t="s">
        <v>303</v>
      </c>
      <c r="BX373" s="0" t="n">
        <v>1</v>
      </c>
      <c r="CC373" s="49" t="s">
        <v>315</v>
      </c>
      <c r="CD373" s="49" t="s">
        <v>303</v>
      </c>
      <c r="CF373" s="49" t="s">
        <v>303</v>
      </c>
      <c r="CG373" s="49" t="s">
        <v>316</v>
      </c>
      <c r="CH373" s="49" t="s">
        <v>317</v>
      </c>
      <c r="CI373" s="49" t="s">
        <v>318</v>
      </c>
      <c r="CM373" s="49" t="s">
        <v>296</v>
      </c>
      <c r="CV373" s="49" t="s">
        <v>303</v>
      </c>
      <c r="DB373" s="49" t="s">
        <v>319</v>
      </c>
      <c r="DD373" s="48" t="n">
        <v>46224</v>
      </c>
      <c r="DF373" s="49" t="s">
        <v>310</v>
      </c>
      <c r="DG373" s="49" t="s">
        <v>320</v>
      </c>
      <c r="DH373" s="49" t="s">
        <v>66</v>
      </c>
      <c r="DI373" s="49" t="s">
        <v>298</v>
      </c>
      <c r="DJ373" s="49" t="s">
        <v>321</v>
      </c>
      <c r="DK373" s="49" t="s">
        <v>322</v>
      </c>
      <c r="DL373" s="49" t="s">
        <v>323</v>
      </c>
      <c r="DM373" s="49" t="s">
        <v>303</v>
      </c>
      <c r="DN373" s="49" t="s">
        <v>297</v>
      </c>
      <c r="DO373" s="48"/>
      <c r="DP373" s="49" t="s">
        <v>312</v>
      </c>
      <c r="DQ373" s="48"/>
      <c r="DR373" s="49" t="s">
        <v>312</v>
      </c>
      <c r="DS373" s="49" t="s">
        <v>303</v>
      </c>
      <c r="DT373" s="49" t="s">
        <v>303</v>
      </c>
      <c r="DW373" s="49" t="s">
        <v>303</v>
      </c>
      <c r="EA373" s="49" t="s">
        <v>324</v>
      </c>
      <c r="EB373" s="49" t="s">
        <v>303</v>
      </c>
      <c r="EF373" s="49" t="s">
        <v>1619</v>
      </c>
      <c r="EH373" s="49" t="s">
        <v>325</v>
      </c>
      <c r="EJ373" s="49" t="s">
        <v>303</v>
      </c>
      <c r="EK373" s="49" t="s">
        <v>1620</v>
      </c>
      <c r="EM373" s="49" t="s">
        <v>303</v>
      </c>
      <c r="EN373" s="49" t="s">
        <v>327</v>
      </c>
      <c r="EP373" s="49" t="s">
        <v>298</v>
      </c>
      <c r="EQ373" s="0" t="n">
        <v>1</v>
      </c>
      <c r="ER373" s="49" t="s">
        <v>328</v>
      </c>
      <c r="ES373" s="49" t="s">
        <v>329</v>
      </c>
      <c r="ET373" s="49" t="s">
        <v>310</v>
      </c>
      <c r="EU373" s="49" t="s">
        <v>310</v>
      </c>
      <c r="EV373" s="49" t="s">
        <v>310</v>
      </c>
      <c r="EX373" s="49" t="s">
        <v>303</v>
      </c>
      <c r="EY373" s="49" t="s">
        <v>303</v>
      </c>
      <c r="FC373" s="49" t="s">
        <v>330</v>
      </c>
      <c r="FD373" s="49" t="s">
        <v>310</v>
      </c>
      <c r="FE373" s="49" t="s">
        <v>310</v>
      </c>
      <c r="FF373" s="49" t="s">
        <v>66</v>
      </c>
      <c r="FG373" s="49" t="s">
        <v>331</v>
      </c>
      <c r="FH373" s="49" t="s">
        <v>310</v>
      </c>
      <c r="FI373" s="49" t="s">
        <v>332</v>
      </c>
      <c r="FJ373" s="49" t="s">
        <v>303</v>
      </c>
      <c r="FL373" s="49" t="s">
        <v>325</v>
      </c>
      <c r="FM373" s="49" t="s">
        <v>1608</v>
      </c>
      <c r="FP373" s="49" t="s">
        <v>303</v>
      </c>
      <c r="FR373" s="49" t="s">
        <v>303</v>
      </c>
      <c r="FT373" s="49" t="s">
        <v>325</v>
      </c>
      <c r="FU373" s="49" t="s">
        <v>325</v>
      </c>
      <c r="FW373" s="49" t="s">
        <v>333</v>
      </c>
    </row>
    <row r="374" customFormat="false" ht="15" hidden="false" customHeight="false" outlineLevel="0" collapsed="false">
      <c r="A374" s="0" t="n">
        <v>100875706</v>
      </c>
      <c r="B374" s="0" t="s">
        <v>295</v>
      </c>
      <c r="C374" s="0" t="s">
        <v>66</v>
      </c>
      <c r="D374" s="0" t="s">
        <v>296</v>
      </c>
      <c r="E374" s="0" t="s">
        <v>297</v>
      </c>
      <c r="G374" s="0" t="n">
        <v>1</v>
      </c>
      <c r="H374" s="0" t="s">
        <v>298</v>
      </c>
      <c r="I374" s="48" t="n">
        <v>46261</v>
      </c>
      <c r="J374" s="0" t="n">
        <v>1</v>
      </c>
      <c r="K374" s="49" t="s">
        <v>1608</v>
      </c>
      <c r="L374" s="49" t="s">
        <v>335</v>
      </c>
      <c r="M374" s="48"/>
      <c r="O374" s="49" t="s">
        <v>1045</v>
      </c>
      <c r="P374" s="48"/>
      <c r="Q374" s="48" t="n">
        <v>46261</v>
      </c>
      <c r="R374" s="48" t="n">
        <v>46267</v>
      </c>
      <c r="T374" s="49" t="s">
        <v>302</v>
      </c>
      <c r="U374" s="49" t="s">
        <v>303</v>
      </c>
      <c r="Y374" s="49" t="s">
        <v>312</v>
      </c>
      <c r="AD374" s="49" t="s">
        <v>305</v>
      </c>
      <c r="AE374" s="48" t="n">
        <v>46224</v>
      </c>
      <c r="AF374" s="49" t="s">
        <v>306</v>
      </c>
      <c r="AG374" s="49" t="s">
        <v>307</v>
      </c>
      <c r="AK374" s="49" t="s">
        <v>1047</v>
      </c>
      <c r="AL374" s="49" t="s">
        <v>297</v>
      </c>
      <c r="AO374" s="49" t="s">
        <v>303</v>
      </c>
      <c r="AP374" s="48"/>
      <c r="AR374" s="49" t="s">
        <v>303</v>
      </c>
      <c r="AS374" s="49" t="s">
        <v>306</v>
      </c>
      <c r="AT374" s="49" t="s">
        <v>1621</v>
      </c>
      <c r="AV374" s="49" t="s">
        <v>309</v>
      </c>
      <c r="AW374" s="49" t="s">
        <v>310</v>
      </c>
      <c r="AX374" s="49" t="s">
        <v>311</v>
      </c>
      <c r="AY374" s="48"/>
      <c r="AZ374" s="48" t="n">
        <v>46258</v>
      </c>
      <c r="BC374" s="49" t="s">
        <v>303</v>
      </c>
      <c r="BD374" s="48" t="n">
        <v>46294</v>
      </c>
      <c r="BE374" s="49" t="s">
        <v>1622</v>
      </c>
      <c r="BF374" s="49" t="s">
        <v>303</v>
      </c>
      <c r="BG374" s="48"/>
      <c r="BI374" s="48" t="n">
        <v>46294</v>
      </c>
      <c r="BJ374" s="48" t="n">
        <v>46266</v>
      </c>
      <c r="BK374" s="49" t="s">
        <v>313</v>
      </c>
      <c r="BL374" s="49" t="s">
        <v>313</v>
      </c>
      <c r="BM374" s="49" t="s">
        <v>310</v>
      </c>
      <c r="BN374" s="48"/>
      <c r="BO374" s="48"/>
      <c r="BP374" s="48"/>
      <c r="BQ374" s="49" t="s">
        <v>1136</v>
      </c>
      <c r="BR374" s="48" t="n">
        <v>46266</v>
      </c>
      <c r="BS374" s="49" t="s">
        <v>1623</v>
      </c>
      <c r="BT374" s="49" t="s">
        <v>312</v>
      </c>
      <c r="BU374" s="49" t="s">
        <v>313</v>
      </c>
      <c r="BV374" s="49" t="s">
        <v>303</v>
      </c>
      <c r="BX374" s="0" t="n">
        <v>1</v>
      </c>
      <c r="CC374" s="49" t="s">
        <v>315</v>
      </c>
      <c r="CD374" s="49" t="s">
        <v>303</v>
      </c>
      <c r="CF374" s="49" t="s">
        <v>303</v>
      </c>
      <c r="CG374" s="49" t="s">
        <v>316</v>
      </c>
      <c r="CH374" s="49" t="s">
        <v>317</v>
      </c>
      <c r="CI374" s="49" t="s">
        <v>318</v>
      </c>
      <c r="CM374" s="49" t="s">
        <v>296</v>
      </c>
      <c r="CV374" s="49" t="s">
        <v>303</v>
      </c>
      <c r="DB374" s="49" t="s">
        <v>319</v>
      </c>
      <c r="DD374" s="48" t="n">
        <v>46224</v>
      </c>
      <c r="DF374" s="49" t="s">
        <v>310</v>
      </c>
      <c r="DG374" s="49" t="s">
        <v>320</v>
      </c>
      <c r="DH374" s="49" t="s">
        <v>66</v>
      </c>
      <c r="DI374" s="49" t="s">
        <v>298</v>
      </c>
      <c r="DJ374" s="49" t="s">
        <v>321</v>
      </c>
      <c r="DK374" s="49" t="s">
        <v>322</v>
      </c>
      <c r="DL374" s="49" t="s">
        <v>323</v>
      </c>
      <c r="DM374" s="49" t="s">
        <v>303</v>
      </c>
      <c r="DN374" s="49" t="s">
        <v>297</v>
      </c>
      <c r="DO374" s="48"/>
      <c r="DP374" s="49" t="s">
        <v>312</v>
      </c>
      <c r="DQ374" s="48"/>
      <c r="DR374" s="49" t="s">
        <v>312</v>
      </c>
      <c r="DS374" s="49" t="s">
        <v>303</v>
      </c>
      <c r="DT374" s="49" t="s">
        <v>303</v>
      </c>
      <c r="DW374" s="49" t="s">
        <v>303</v>
      </c>
      <c r="EA374" s="49" t="s">
        <v>324</v>
      </c>
      <c r="EB374" s="49" t="s">
        <v>303</v>
      </c>
      <c r="EF374" s="49" t="s">
        <v>1619</v>
      </c>
      <c r="EH374" s="49" t="s">
        <v>325</v>
      </c>
      <c r="EJ374" s="49" t="s">
        <v>303</v>
      </c>
      <c r="EK374" s="49" t="s">
        <v>1624</v>
      </c>
      <c r="EM374" s="49" t="s">
        <v>303</v>
      </c>
      <c r="EN374" s="49" t="s">
        <v>327</v>
      </c>
      <c r="EP374" s="49" t="s">
        <v>298</v>
      </c>
      <c r="EQ374" s="0" t="n">
        <v>1</v>
      </c>
      <c r="ER374" s="49" t="s">
        <v>328</v>
      </c>
      <c r="ES374" s="49" t="s">
        <v>329</v>
      </c>
      <c r="ET374" s="49" t="s">
        <v>310</v>
      </c>
      <c r="EU374" s="49" t="s">
        <v>310</v>
      </c>
      <c r="EV374" s="49" t="s">
        <v>310</v>
      </c>
      <c r="EX374" s="49" t="s">
        <v>303</v>
      </c>
      <c r="EY374" s="49" t="s">
        <v>303</v>
      </c>
      <c r="FC374" s="49" t="s">
        <v>330</v>
      </c>
      <c r="FD374" s="49" t="s">
        <v>310</v>
      </c>
      <c r="FE374" s="49" t="s">
        <v>310</v>
      </c>
      <c r="FF374" s="49" t="s">
        <v>66</v>
      </c>
      <c r="FG374" s="49" t="s">
        <v>331</v>
      </c>
      <c r="FH374" s="49" t="s">
        <v>310</v>
      </c>
      <c r="FI374" s="49" t="s">
        <v>332</v>
      </c>
      <c r="FJ374" s="49" t="s">
        <v>303</v>
      </c>
      <c r="FL374" s="49" t="s">
        <v>325</v>
      </c>
      <c r="FM374" s="49" t="s">
        <v>1608</v>
      </c>
      <c r="FP374" s="49" t="s">
        <v>303</v>
      </c>
      <c r="FR374" s="49" t="s">
        <v>303</v>
      </c>
      <c r="FT374" s="49" t="s">
        <v>325</v>
      </c>
      <c r="FU374" s="49" t="s">
        <v>325</v>
      </c>
      <c r="FW374" s="49" t="s">
        <v>333</v>
      </c>
    </row>
    <row r="375" customFormat="false" ht="15" hidden="false" customHeight="false" outlineLevel="0" collapsed="false">
      <c r="A375" s="0" t="n">
        <v>100875707</v>
      </c>
      <c r="B375" s="0" t="s">
        <v>295</v>
      </c>
      <c r="C375" s="0" t="s">
        <v>68</v>
      </c>
      <c r="D375" s="0" t="s">
        <v>456</v>
      </c>
      <c r="E375" s="0" t="s">
        <v>297</v>
      </c>
      <c r="G375" s="0" t="n">
        <v>1</v>
      </c>
      <c r="H375" s="0" t="s">
        <v>298</v>
      </c>
      <c r="I375" s="48" t="n">
        <v>46261</v>
      </c>
      <c r="J375" s="0" t="n">
        <v>1</v>
      </c>
      <c r="K375" s="49" t="s">
        <v>1608</v>
      </c>
      <c r="L375" s="49" t="s">
        <v>335</v>
      </c>
      <c r="M375" s="48" t="n">
        <v>46261</v>
      </c>
      <c r="N375" s="49" t="s">
        <v>335</v>
      </c>
      <c r="O375" s="49" t="s">
        <v>1045</v>
      </c>
      <c r="P375" s="48"/>
      <c r="Q375" s="48" t="n">
        <v>46261</v>
      </c>
      <c r="R375" s="48" t="n">
        <v>46268</v>
      </c>
      <c r="T375" s="49" t="s">
        <v>302</v>
      </c>
      <c r="U375" s="49" t="s">
        <v>303</v>
      </c>
      <c r="Y375" s="49" t="s">
        <v>1625</v>
      </c>
      <c r="AD375" s="49" t="s">
        <v>305</v>
      </c>
      <c r="AE375" s="48" t="n">
        <v>46224</v>
      </c>
      <c r="AF375" s="49" t="s">
        <v>306</v>
      </c>
      <c r="AG375" s="49" t="s">
        <v>307</v>
      </c>
      <c r="AK375" s="49" t="s">
        <v>1047</v>
      </c>
      <c r="AL375" s="49" t="s">
        <v>297</v>
      </c>
      <c r="AO375" s="49" t="s">
        <v>303</v>
      </c>
      <c r="AP375" s="48"/>
      <c r="AR375" s="49" t="s">
        <v>303</v>
      </c>
      <c r="AS375" s="49" t="s">
        <v>306</v>
      </c>
      <c r="AT375" s="49" t="s">
        <v>1626</v>
      </c>
      <c r="AV375" s="49" t="s">
        <v>309</v>
      </c>
      <c r="AW375" s="49" t="s">
        <v>310</v>
      </c>
      <c r="AX375" s="49" t="s">
        <v>311</v>
      </c>
      <c r="AY375" s="48"/>
      <c r="AZ375" s="48" t="n">
        <v>46258</v>
      </c>
      <c r="BC375" s="49" t="s">
        <v>303</v>
      </c>
      <c r="BD375" s="48" t="n">
        <v>46291</v>
      </c>
      <c r="BE375" s="49" t="s">
        <v>1627</v>
      </c>
      <c r="BF375" s="49" t="s">
        <v>303</v>
      </c>
      <c r="BG375" s="48"/>
      <c r="BI375" s="48" t="n">
        <v>46291</v>
      </c>
      <c r="BJ375" s="48" t="n">
        <v>46266</v>
      </c>
      <c r="BK375" s="49" t="s">
        <v>312</v>
      </c>
      <c r="BL375" s="49" t="s">
        <v>313</v>
      </c>
      <c r="BM375" s="49" t="s">
        <v>310</v>
      </c>
      <c r="BN375" s="48"/>
      <c r="BO375" s="48"/>
      <c r="BP375" s="48"/>
      <c r="BQ375" s="49" t="s">
        <v>1136</v>
      </c>
      <c r="BR375" s="48" t="n">
        <v>46266</v>
      </c>
      <c r="BS375" s="49" t="s">
        <v>1628</v>
      </c>
      <c r="BT375" s="49" t="s">
        <v>312</v>
      </c>
      <c r="BU375" s="49" t="s">
        <v>313</v>
      </c>
      <c r="BV375" s="49" t="s">
        <v>303</v>
      </c>
      <c r="BX375" s="0" t="n">
        <v>1</v>
      </c>
      <c r="CC375" s="49" t="s">
        <v>315</v>
      </c>
      <c r="CD375" s="49" t="s">
        <v>303</v>
      </c>
      <c r="CF375" s="49" t="s">
        <v>303</v>
      </c>
      <c r="CG375" s="49" t="s">
        <v>316</v>
      </c>
      <c r="CH375" s="49" t="s">
        <v>317</v>
      </c>
      <c r="CI375" s="49" t="s">
        <v>318</v>
      </c>
      <c r="CM375" s="49" t="s">
        <v>456</v>
      </c>
      <c r="CV375" s="49" t="s">
        <v>303</v>
      </c>
      <c r="DB375" s="49" t="s">
        <v>319</v>
      </c>
      <c r="DD375" s="48" t="n">
        <v>46224</v>
      </c>
      <c r="DF375" s="49" t="s">
        <v>310</v>
      </c>
      <c r="DG375" s="49" t="s">
        <v>320</v>
      </c>
      <c r="DH375" s="49" t="s">
        <v>68</v>
      </c>
      <c r="DI375" s="49" t="s">
        <v>298</v>
      </c>
      <c r="DJ375" s="49" t="s">
        <v>321</v>
      </c>
      <c r="DK375" s="49" t="s">
        <v>322</v>
      </c>
      <c r="DL375" s="49" t="s">
        <v>323</v>
      </c>
      <c r="DM375" s="49" t="s">
        <v>303</v>
      </c>
      <c r="DN375" s="49" t="s">
        <v>297</v>
      </c>
      <c r="DO375" s="48"/>
      <c r="DP375" s="49" t="s">
        <v>312</v>
      </c>
      <c r="DQ375" s="48"/>
      <c r="DR375" s="49" t="s">
        <v>312</v>
      </c>
      <c r="DS375" s="49" t="s">
        <v>303</v>
      </c>
      <c r="DT375" s="49" t="s">
        <v>303</v>
      </c>
      <c r="DW375" s="49" t="s">
        <v>303</v>
      </c>
      <c r="EA375" s="49" t="s">
        <v>324</v>
      </c>
      <c r="EB375" s="49" t="s">
        <v>303</v>
      </c>
      <c r="EH375" s="49" t="s">
        <v>325</v>
      </c>
      <c r="EJ375" s="49" t="s">
        <v>303</v>
      </c>
      <c r="EK375" s="49" t="s">
        <v>1629</v>
      </c>
      <c r="EM375" s="49" t="s">
        <v>303</v>
      </c>
      <c r="EN375" s="49" t="s">
        <v>460</v>
      </c>
      <c r="EP375" s="49" t="s">
        <v>298</v>
      </c>
      <c r="EQ375" s="0" t="n">
        <v>1</v>
      </c>
      <c r="ER375" s="49" t="s">
        <v>328</v>
      </c>
      <c r="ES375" s="49" t="s">
        <v>329</v>
      </c>
      <c r="ET375" s="49" t="s">
        <v>310</v>
      </c>
      <c r="EU375" s="49" t="s">
        <v>310</v>
      </c>
      <c r="EV375" s="49" t="s">
        <v>310</v>
      </c>
      <c r="EX375" s="49" t="s">
        <v>303</v>
      </c>
      <c r="EY375" s="49" t="s">
        <v>303</v>
      </c>
      <c r="FC375" s="49" t="s">
        <v>330</v>
      </c>
      <c r="FD375" s="49" t="s">
        <v>310</v>
      </c>
      <c r="FE375" s="49" t="s">
        <v>310</v>
      </c>
      <c r="FF375" s="49" t="s">
        <v>68</v>
      </c>
      <c r="FG375" s="49" t="s">
        <v>461</v>
      </c>
      <c r="FH375" s="49" t="s">
        <v>310</v>
      </c>
      <c r="FI375" s="49" t="s">
        <v>332</v>
      </c>
      <c r="FJ375" s="49" t="s">
        <v>303</v>
      </c>
      <c r="FL375" s="49" t="s">
        <v>325</v>
      </c>
      <c r="FM375" s="49" t="s">
        <v>1608</v>
      </c>
      <c r="FP375" s="49" t="s">
        <v>303</v>
      </c>
      <c r="FR375" s="49" t="s">
        <v>303</v>
      </c>
      <c r="FT375" s="49" t="s">
        <v>325</v>
      </c>
      <c r="FU375" s="49" t="s">
        <v>325</v>
      </c>
      <c r="FW375" s="49" t="s">
        <v>333</v>
      </c>
    </row>
    <row r="376" customFormat="false" ht="15" hidden="false" customHeight="false" outlineLevel="0" collapsed="false">
      <c r="A376" s="0" t="n">
        <v>100875708</v>
      </c>
      <c r="B376" s="0" t="s">
        <v>295</v>
      </c>
      <c r="C376" s="0" t="s">
        <v>68</v>
      </c>
      <c r="D376" s="0" t="s">
        <v>456</v>
      </c>
      <c r="E376" s="0" t="s">
        <v>297</v>
      </c>
      <c r="G376" s="0" t="n">
        <v>1</v>
      </c>
      <c r="H376" s="0" t="s">
        <v>298</v>
      </c>
      <c r="I376" s="48" t="n">
        <v>46261</v>
      </c>
      <c r="J376" s="0" t="n">
        <v>1</v>
      </c>
      <c r="K376" s="49" t="s">
        <v>1608</v>
      </c>
      <c r="L376" s="49" t="s">
        <v>335</v>
      </c>
      <c r="M376" s="48" t="n">
        <v>46265</v>
      </c>
      <c r="N376" s="49" t="s">
        <v>1630</v>
      </c>
      <c r="O376" s="49" t="s">
        <v>1045</v>
      </c>
      <c r="P376" s="48"/>
      <c r="Q376" s="48" t="n">
        <v>46261</v>
      </c>
      <c r="R376" s="48" t="n">
        <v>46268</v>
      </c>
      <c r="T376" s="49" t="s">
        <v>302</v>
      </c>
      <c r="U376" s="49" t="s">
        <v>303</v>
      </c>
      <c r="Y376" s="49" t="s">
        <v>1631</v>
      </c>
      <c r="AD376" s="49" t="s">
        <v>305</v>
      </c>
      <c r="AE376" s="48" t="n">
        <v>46224</v>
      </c>
      <c r="AF376" s="49" t="s">
        <v>306</v>
      </c>
      <c r="AG376" s="49" t="s">
        <v>307</v>
      </c>
      <c r="AK376" s="49" t="s">
        <v>1047</v>
      </c>
      <c r="AL376" s="49" t="s">
        <v>297</v>
      </c>
      <c r="AO376" s="49" t="s">
        <v>303</v>
      </c>
      <c r="AP376" s="48"/>
      <c r="AR376" s="49" t="s">
        <v>303</v>
      </c>
      <c r="AS376" s="49" t="s">
        <v>306</v>
      </c>
      <c r="AT376" s="49" t="s">
        <v>1632</v>
      </c>
      <c r="AV376" s="49" t="s">
        <v>309</v>
      </c>
      <c r="AW376" s="49" t="s">
        <v>310</v>
      </c>
      <c r="AX376" s="49" t="s">
        <v>311</v>
      </c>
      <c r="AY376" s="48"/>
      <c r="AZ376" s="48" t="n">
        <v>46259</v>
      </c>
      <c r="BC376" s="49" t="s">
        <v>303</v>
      </c>
      <c r="BD376" s="48" t="n">
        <v>46288</v>
      </c>
      <c r="BE376" s="49" t="s">
        <v>1633</v>
      </c>
      <c r="BF376" s="49" t="s">
        <v>303</v>
      </c>
      <c r="BG376" s="48"/>
      <c r="BI376" s="48" t="n">
        <v>46288</v>
      </c>
      <c r="BJ376" s="48" t="n">
        <v>46267</v>
      </c>
      <c r="BK376" s="49" t="s">
        <v>313</v>
      </c>
      <c r="BL376" s="49" t="s">
        <v>313</v>
      </c>
      <c r="BM376" s="49" t="s">
        <v>310</v>
      </c>
      <c r="BN376" s="48"/>
      <c r="BO376" s="48"/>
      <c r="BP376" s="48"/>
      <c r="BQ376" s="49" t="s">
        <v>1634</v>
      </c>
      <c r="BR376" s="48" t="n">
        <v>46267</v>
      </c>
      <c r="BS376" s="49" t="s">
        <v>1635</v>
      </c>
      <c r="BT376" s="49" t="s">
        <v>312</v>
      </c>
      <c r="BU376" s="49" t="s">
        <v>313</v>
      </c>
      <c r="BV376" s="49" t="s">
        <v>303</v>
      </c>
      <c r="BX376" s="0" t="n">
        <v>1</v>
      </c>
      <c r="CC376" s="49" t="s">
        <v>315</v>
      </c>
      <c r="CD376" s="49" t="s">
        <v>303</v>
      </c>
      <c r="CF376" s="49" t="s">
        <v>303</v>
      </c>
      <c r="CG376" s="49" t="s">
        <v>316</v>
      </c>
      <c r="CH376" s="49" t="s">
        <v>317</v>
      </c>
      <c r="CI376" s="49" t="s">
        <v>318</v>
      </c>
      <c r="CM376" s="49" t="s">
        <v>456</v>
      </c>
      <c r="CV376" s="49" t="s">
        <v>303</v>
      </c>
      <c r="DB376" s="49" t="s">
        <v>319</v>
      </c>
      <c r="DD376" s="48" t="n">
        <v>46224</v>
      </c>
      <c r="DF376" s="49" t="s">
        <v>310</v>
      </c>
      <c r="DG376" s="49" t="s">
        <v>320</v>
      </c>
      <c r="DH376" s="49" t="s">
        <v>68</v>
      </c>
      <c r="DI376" s="49" t="s">
        <v>298</v>
      </c>
      <c r="DJ376" s="49" t="s">
        <v>321</v>
      </c>
      <c r="DK376" s="49" t="s">
        <v>322</v>
      </c>
      <c r="DL376" s="49" t="s">
        <v>323</v>
      </c>
      <c r="DM376" s="49" t="s">
        <v>303</v>
      </c>
      <c r="DN376" s="49" t="s">
        <v>297</v>
      </c>
      <c r="DO376" s="48"/>
      <c r="DP376" s="49" t="s">
        <v>312</v>
      </c>
      <c r="DQ376" s="48"/>
      <c r="DR376" s="49" t="s">
        <v>312</v>
      </c>
      <c r="DS376" s="49" t="s">
        <v>303</v>
      </c>
      <c r="DT376" s="49" t="s">
        <v>303</v>
      </c>
      <c r="DW376" s="49" t="s">
        <v>303</v>
      </c>
      <c r="EA376" s="49" t="s">
        <v>324</v>
      </c>
      <c r="EB376" s="49" t="s">
        <v>303</v>
      </c>
      <c r="EF376" s="49" t="s">
        <v>1636</v>
      </c>
      <c r="EH376" s="49" t="s">
        <v>325</v>
      </c>
      <c r="EJ376" s="49" t="s">
        <v>303</v>
      </c>
      <c r="EK376" s="49" t="s">
        <v>1637</v>
      </c>
      <c r="EM376" s="49" t="s">
        <v>303</v>
      </c>
      <c r="EN376" s="49" t="s">
        <v>460</v>
      </c>
      <c r="EP376" s="49" t="s">
        <v>298</v>
      </c>
      <c r="EQ376" s="0" t="n">
        <v>1</v>
      </c>
      <c r="ER376" s="49" t="s">
        <v>328</v>
      </c>
      <c r="ES376" s="49" t="s">
        <v>329</v>
      </c>
      <c r="ET376" s="49" t="s">
        <v>310</v>
      </c>
      <c r="EU376" s="49" t="s">
        <v>310</v>
      </c>
      <c r="EV376" s="49" t="s">
        <v>310</v>
      </c>
      <c r="EX376" s="49" t="s">
        <v>303</v>
      </c>
      <c r="EY376" s="49" t="s">
        <v>303</v>
      </c>
      <c r="FC376" s="49" t="s">
        <v>330</v>
      </c>
      <c r="FD376" s="49" t="s">
        <v>310</v>
      </c>
      <c r="FE376" s="49" t="s">
        <v>310</v>
      </c>
      <c r="FF376" s="49" t="s">
        <v>68</v>
      </c>
      <c r="FG376" s="49" t="s">
        <v>461</v>
      </c>
      <c r="FH376" s="49" t="s">
        <v>310</v>
      </c>
      <c r="FI376" s="49" t="s">
        <v>332</v>
      </c>
      <c r="FJ376" s="49" t="s">
        <v>303</v>
      </c>
      <c r="FL376" s="49" t="s">
        <v>325</v>
      </c>
      <c r="FM376" s="49" t="s">
        <v>1638</v>
      </c>
      <c r="FP376" s="49" t="s">
        <v>303</v>
      </c>
      <c r="FR376" s="49" t="s">
        <v>303</v>
      </c>
      <c r="FT376" s="49" t="s">
        <v>325</v>
      </c>
      <c r="FU376" s="49" t="s">
        <v>325</v>
      </c>
      <c r="FW376" s="49" t="s">
        <v>333</v>
      </c>
    </row>
    <row r="377" customFormat="false" ht="15" hidden="false" customHeight="false" outlineLevel="0" collapsed="false">
      <c r="A377" s="0" t="n">
        <v>100875709</v>
      </c>
      <c r="B377" s="0" t="s">
        <v>295</v>
      </c>
      <c r="C377" s="0" t="s">
        <v>68</v>
      </c>
      <c r="D377" s="0" t="s">
        <v>456</v>
      </c>
      <c r="E377" s="0" t="s">
        <v>297</v>
      </c>
      <c r="G377" s="0" t="n">
        <v>1</v>
      </c>
      <c r="H377" s="0" t="s">
        <v>298</v>
      </c>
      <c r="I377" s="48" t="n">
        <v>46261</v>
      </c>
      <c r="J377" s="0" t="n">
        <v>1</v>
      </c>
      <c r="K377" s="49" t="s">
        <v>1608</v>
      </c>
      <c r="L377" s="49" t="s">
        <v>335</v>
      </c>
      <c r="M377" s="48" t="n">
        <v>46265</v>
      </c>
      <c r="N377" s="49" t="s">
        <v>1630</v>
      </c>
      <c r="O377" s="49" t="s">
        <v>1045</v>
      </c>
      <c r="P377" s="48"/>
      <c r="Q377" s="48" t="n">
        <v>46261</v>
      </c>
      <c r="R377" s="48" t="n">
        <v>46268</v>
      </c>
      <c r="T377" s="49" t="s">
        <v>302</v>
      </c>
      <c r="U377" s="49" t="s">
        <v>303</v>
      </c>
      <c r="Y377" s="49" t="s">
        <v>1639</v>
      </c>
      <c r="AD377" s="49" t="s">
        <v>305</v>
      </c>
      <c r="AE377" s="48" t="n">
        <v>46224</v>
      </c>
      <c r="AF377" s="49" t="s">
        <v>306</v>
      </c>
      <c r="AG377" s="49" t="s">
        <v>307</v>
      </c>
      <c r="AK377" s="49" t="s">
        <v>1047</v>
      </c>
      <c r="AL377" s="49" t="s">
        <v>297</v>
      </c>
      <c r="AO377" s="49" t="s">
        <v>303</v>
      </c>
      <c r="AP377" s="48"/>
      <c r="AR377" s="49" t="s">
        <v>303</v>
      </c>
      <c r="AS377" s="49" t="s">
        <v>306</v>
      </c>
      <c r="AT377" s="49" t="s">
        <v>1640</v>
      </c>
      <c r="AV377" s="49" t="s">
        <v>309</v>
      </c>
      <c r="AW377" s="49" t="s">
        <v>310</v>
      </c>
      <c r="AX377" s="49" t="s">
        <v>311</v>
      </c>
      <c r="AY377" s="48"/>
      <c r="AZ377" s="48" t="n">
        <v>46259</v>
      </c>
      <c r="BC377" s="49" t="s">
        <v>303</v>
      </c>
      <c r="BD377" s="48" t="n">
        <v>46293</v>
      </c>
      <c r="BE377" s="49" t="s">
        <v>1641</v>
      </c>
      <c r="BF377" s="49" t="s">
        <v>303</v>
      </c>
      <c r="BG377" s="48"/>
      <c r="BI377" s="48" t="n">
        <v>46293</v>
      </c>
      <c r="BJ377" s="48" t="n">
        <v>46267</v>
      </c>
      <c r="BK377" s="49" t="s">
        <v>313</v>
      </c>
      <c r="BL377" s="49" t="s">
        <v>313</v>
      </c>
      <c r="BM377" s="49" t="s">
        <v>310</v>
      </c>
      <c r="BN377" s="48"/>
      <c r="BO377" s="48"/>
      <c r="BP377" s="48"/>
      <c r="BQ377" s="49" t="s">
        <v>1612</v>
      </c>
      <c r="BR377" s="48" t="n">
        <v>46267</v>
      </c>
      <c r="BS377" s="49" t="s">
        <v>1642</v>
      </c>
      <c r="BT377" s="49" t="s">
        <v>312</v>
      </c>
      <c r="BU377" s="49" t="s">
        <v>313</v>
      </c>
      <c r="BV377" s="49" t="s">
        <v>303</v>
      </c>
      <c r="BX377" s="0" t="n">
        <v>1</v>
      </c>
      <c r="CC377" s="49" t="s">
        <v>315</v>
      </c>
      <c r="CD377" s="49" t="s">
        <v>303</v>
      </c>
      <c r="CF377" s="49" t="s">
        <v>303</v>
      </c>
      <c r="CG377" s="49" t="s">
        <v>316</v>
      </c>
      <c r="CH377" s="49" t="s">
        <v>317</v>
      </c>
      <c r="CI377" s="49" t="s">
        <v>318</v>
      </c>
      <c r="CM377" s="49" t="s">
        <v>456</v>
      </c>
      <c r="CV377" s="49" t="s">
        <v>303</v>
      </c>
      <c r="DB377" s="49" t="s">
        <v>319</v>
      </c>
      <c r="DD377" s="48" t="n">
        <v>46224</v>
      </c>
      <c r="DF377" s="49" t="s">
        <v>310</v>
      </c>
      <c r="DG377" s="49" t="s">
        <v>320</v>
      </c>
      <c r="DH377" s="49" t="s">
        <v>68</v>
      </c>
      <c r="DI377" s="49" t="s">
        <v>298</v>
      </c>
      <c r="DJ377" s="49" t="s">
        <v>321</v>
      </c>
      <c r="DK377" s="49" t="s">
        <v>322</v>
      </c>
      <c r="DL377" s="49" t="s">
        <v>323</v>
      </c>
      <c r="DM377" s="49" t="s">
        <v>303</v>
      </c>
      <c r="DN377" s="49" t="s">
        <v>297</v>
      </c>
      <c r="DO377" s="48"/>
      <c r="DP377" s="49" t="s">
        <v>312</v>
      </c>
      <c r="DQ377" s="48"/>
      <c r="DR377" s="49" t="s">
        <v>312</v>
      </c>
      <c r="DS377" s="49" t="s">
        <v>303</v>
      </c>
      <c r="DT377" s="49" t="s">
        <v>303</v>
      </c>
      <c r="DW377" s="49" t="s">
        <v>303</v>
      </c>
      <c r="EA377" s="49" t="s">
        <v>324</v>
      </c>
      <c r="EB377" s="49" t="s">
        <v>303</v>
      </c>
      <c r="EF377" s="49" t="s">
        <v>1636</v>
      </c>
      <c r="EH377" s="49" t="s">
        <v>325</v>
      </c>
      <c r="EJ377" s="49" t="s">
        <v>303</v>
      </c>
      <c r="EK377" s="49" t="s">
        <v>1643</v>
      </c>
      <c r="EM377" s="49" t="s">
        <v>303</v>
      </c>
      <c r="EN377" s="49" t="s">
        <v>460</v>
      </c>
      <c r="EP377" s="49" t="s">
        <v>298</v>
      </c>
      <c r="EQ377" s="0" t="n">
        <v>1</v>
      </c>
      <c r="ER377" s="49" t="s">
        <v>328</v>
      </c>
      <c r="ES377" s="49" t="s">
        <v>329</v>
      </c>
      <c r="ET377" s="49" t="s">
        <v>310</v>
      </c>
      <c r="EU377" s="49" t="s">
        <v>310</v>
      </c>
      <c r="EV377" s="49" t="s">
        <v>310</v>
      </c>
      <c r="EX377" s="49" t="s">
        <v>303</v>
      </c>
      <c r="EY377" s="49" t="s">
        <v>303</v>
      </c>
      <c r="FC377" s="49" t="s">
        <v>330</v>
      </c>
      <c r="FD377" s="49" t="s">
        <v>310</v>
      </c>
      <c r="FE377" s="49" t="s">
        <v>310</v>
      </c>
      <c r="FF377" s="49" t="s">
        <v>68</v>
      </c>
      <c r="FG377" s="49" t="s">
        <v>461</v>
      </c>
      <c r="FH377" s="49" t="s">
        <v>310</v>
      </c>
      <c r="FI377" s="49" t="s">
        <v>332</v>
      </c>
      <c r="FJ377" s="49" t="s">
        <v>303</v>
      </c>
      <c r="FL377" s="49" t="s">
        <v>325</v>
      </c>
      <c r="FM377" s="49" t="s">
        <v>1638</v>
      </c>
      <c r="FP377" s="49" t="s">
        <v>303</v>
      </c>
      <c r="FR377" s="49" t="s">
        <v>303</v>
      </c>
      <c r="FT377" s="49" t="s">
        <v>325</v>
      </c>
      <c r="FU377" s="49" t="s">
        <v>325</v>
      </c>
      <c r="FW377" s="49" t="s">
        <v>333</v>
      </c>
    </row>
    <row r="378" customFormat="false" ht="15" hidden="false" customHeight="false" outlineLevel="0" collapsed="false">
      <c r="A378" s="0" t="n">
        <v>100875710</v>
      </c>
      <c r="B378" s="0" t="s">
        <v>295</v>
      </c>
      <c r="C378" s="0" t="s">
        <v>70</v>
      </c>
      <c r="D378" s="0" t="s">
        <v>468</v>
      </c>
      <c r="E378" s="0" t="s">
        <v>297</v>
      </c>
      <c r="G378" s="0" t="n">
        <v>1</v>
      </c>
      <c r="H378" s="0" t="s">
        <v>298</v>
      </c>
      <c r="I378" s="48" t="n">
        <v>46261</v>
      </c>
      <c r="J378" s="0" t="n">
        <v>1</v>
      </c>
      <c r="K378" s="49" t="s">
        <v>1608</v>
      </c>
      <c r="L378" s="49" t="s">
        <v>335</v>
      </c>
      <c r="M378" s="48" t="n">
        <v>46261</v>
      </c>
      <c r="N378" s="49" t="s">
        <v>335</v>
      </c>
      <c r="O378" s="49" t="s">
        <v>1045</v>
      </c>
      <c r="P378" s="48"/>
      <c r="Q378" s="48" t="n">
        <v>46264</v>
      </c>
      <c r="R378" s="48" t="n">
        <v>46271</v>
      </c>
      <c r="T378" s="49" t="s">
        <v>302</v>
      </c>
      <c r="U378" s="49" t="s">
        <v>303</v>
      </c>
      <c r="Y378" s="49" t="s">
        <v>1644</v>
      </c>
      <c r="AD378" s="49" t="s">
        <v>305</v>
      </c>
      <c r="AE378" s="48" t="n">
        <v>46233</v>
      </c>
      <c r="AF378" s="49" t="s">
        <v>306</v>
      </c>
      <c r="AG378" s="49" t="s">
        <v>307</v>
      </c>
      <c r="AK378" s="49" t="s">
        <v>1047</v>
      </c>
      <c r="AL378" s="49" t="s">
        <v>297</v>
      </c>
      <c r="AO378" s="49" t="s">
        <v>303</v>
      </c>
      <c r="AP378" s="48"/>
      <c r="AR378" s="49" t="s">
        <v>303</v>
      </c>
      <c r="AS378" s="49" t="s">
        <v>306</v>
      </c>
      <c r="AT378" s="49" t="s">
        <v>1645</v>
      </c>
      <c r="AV378" s="49" t="s">
        <v>309</v>
      </c>
      <c r="AW378" s="49" t="s">
        <v>310</v>
      </c>
      <c r="AX378" s="49" t="s">
        <v>311</v>
      </c>
      <c r="AY378" s="48"/>
      <c r="AZ378" s="48" t="n">
        <v>46260</v>
      </c>
      <c r="BC378" s="49" t="s">
        <v>303</v>
      </c>
      <c r="BD378" s="48" t="n">
        <v>46291</v>
      </c>
      <c r="BE378" s="49" t="s">
        <v>1646</v>
      </c>
      <c r="BF378" s="49" t="s">
        <v>303</v>
      </c>
      <c r="BG378" s="48"/>
      <c r="BI378" s="48" t="n">
        <v>46291</v>
      </c>
      <c r="BJ378" s="48" t="n">
        <v>46268</v>
      </c>
      <c r="BK378" s="49" t="s">
        <v>312</v>
      </c>
      <c r="BL378" s="49" t="s">
        <v>313</v>
      </c>
      <c r="BM378" s="49" t="s">
        <v>310</v>
      </c>
      <c r="BN378" s="48"/>
      <c r="BO378" s="48"/>
      <c r="BP378" s="48"/>
      <c r="BQ378" s="49" t="s">
        <v>1136</v>
      </c>
      <c r="BR378" s="48" t="n">
        <v>46268</v>
      </c>
      <c r="BS378" s="49" t="s">
        <v>1304</v>
      </c>
      <c r="BT378" s="49" t="s">
        <v>312</v>
      </c>
      <c r="BU378" s="49" t="s">
        <v>313</v>
      </c>
      <c r="BV378" s="49" t="s">
        <v>303</v>
      </c>
      <c r="BX378" s="0" t="n">
        <v>1</v>
      </c>
      <c r="CC378" s="49" t="s">
        <v>315</v>
      </c>
      <c r="CD378" s="49" t="s">
        <v>303</v>
      </c>
      <c r="CF378" s="49" t="s">
        <v>303</v>
      </c>
      <c r="CG378" s="49" t="s">
        <v>316</v>
      </c>
      <c r="CH378" s="49" t="s">
        <v>317</v>
      </c>
      <c r="CI378" s="49" t="s">
        <v>318</v>
      </c>
      <c r="CM378" s="49" t="s">
        <v>468</v>
      </c>
      <c r="CV378" s="49" t="s">
        <v>303</v>
      </c>
      <c r="DB378" s="49" t="s">
        <v>319</v>
      </c>
      <c r="DD378" s="48" t="n">
        <v>46233</v>
      </c>
      <c r="DF378" s="49" t="s">
        <v>310</v>
      </c>
      <c r="DG378" s="49" t="s">
        <v>320</v>
      </c>
      <c r="DH378" s="49" t="s">
        <v>70</v>
      </c>
      <c r="DI378" s="49" t="s">
        <v>298</v>
      </c>
      <c r="DJ378" s="49" t="s">
        <v>321</v>
      </c>
      <c r="DK378" s="49" t="s">
        <v>322</v>
      </c>
      <c r="DL378" s="49" t="s">
        <v>323</v>
      </c>
      <c r="DM378" s="49" t="s">
        <v>303</v>
      </c>
      <c r="DN378" s="49" t="s">
        <v>297</v>
      </c>
      <c r="DO378" s="48"/>
      <c r="DP378" s="49" t="s">
        <v>312</v>
      </c>
      <c r="DQ378" s="48"/>
      <c r="DR378" s="49" t="s">
        <v>312</v>
      </c>
      <c r="DS378" s="49" t="s">
        <v>303</v>
      </c>
      <c r="DT378" s="49" t="s">
        <v>303</v>
      </c>
      <c r="DW378" s="49" t="s">
        <v>303</v>
      </c>
      <c r="EA378" s="49" t="s">
        <v>324</v>
      </c>
      <c r="EB378" s="49" t="s">
        <v>303</v>
      </c>
      <c r="EH378" s="49" t="s">
        <v>325</v>
      </c>
      <c r="EJ378" s="49" t="s">
        <v>303</v>
      </c>
      <c r="EK378" s="49" t="s">
        <v>1647</v>
      </c>
      <c r="EM378" s="49" t="s">
        <v>303</v>
      </c>
      <c r="EN378" s="49" t="s">
        <v>472</v>
      </c>
      <c r="EP378" s="49" t="s">
        <v>298</v>
      </c>
      <c r="EQ378" s="0" t="n">
        <v>1</v>
      </c>
      <c r="ER378" s="49" t="s">
        <v>328</v>
      </c>
      <c r="ES378" s="49" t="s">
        <v>329</v>
      </c>
      <c r="ET378" s="49" t="s">
        <v>310</v>
      </c>
      <c r="EU378" s="49" t="s">
        <v>310</v>
      </c>
      <c r="EV378" s="49" t="s">
        <v>310</v>
      </c>
      <c r="EX378" s="49" t="s">
        <v>303</v>
      </c>
      <c r="EY378" s="49" t="s">
        <v>303</v>
      </c>
      <c r="FC378" s="49" t="s">
        <v>330</v>
      </c>
      <c r="FD378" s="49" t="s">
        <v>310</v>
      </c>
      <c r="FE378" s="49" t="s">
        <v>310</v>
      </c>
      <c r="FF378" s="49" t="s">
        <v>70</v>
      </c>
      <c r="FG378" s="49" t="s">
        <v>473</v>
      </c>
      <c r="FH378" s="49" t="s">
        <v>310</v>
      </c>
      <c r="FI378" s="49" t="s">
        <v>332</v>
      </c>
      <c r="FJ378" s="49" t="s">
        <v>303</v>
      </c>
      <c r="FL378" s="49" t="s">
        <v>325</v>
      </c>
      <c r="FM378" s="49" t="s">
        <v>1608</v>
      </c>
      <c r="FP378" s="49" t="s">
        <v>303</v>
      </c>
      <c r="FR378" s="49" t="s">
        <v>303</v>
      </c>
      <c r="FT378" s="49" t="s">
        <v>325</v>
      </c>
      <c r="FU378" s="49" t="s">
        <v>325</v>
      </c>
      <c r="FW378" s="49" t="s">
        <v>333</v>
      </c>
    </row>
    <row r="379" customFormat="false" ht="15" hidden="false" customHeight="false" outlineLevel="0" collapsed="false">
      <c r="A379" s="0" t="n">
        <v>100875711</v>
      </c>
      <c r="B379" s="0" t="s">
        <v>295</v>
      </c>
      <c r="C379" s="0" t="s">
        <v>70</v>
      </c>
      <c r="D379" s="0" t="s">
        <v>468</v>
      </c>
      <c r="E379" s="0" t="s">
        <v>297</v>
      </c>
      <c r="G379" s="0" t="n">
        <v>1</v>
      </c>
      <c r="H379" s="0" t="s">
        <v>298</v>
      </c>
      <c r="I379" s="48" t="n">
        <v>46261</v>
      </c>
      <c r="J379" s="0" t="n">
        <v>1</v>
      </c>
      <c r="K379" s="49" t="s">
        <v>1608</v>
      </c>
      <c r="L379" s="49" t="s">
        <v>335</v>
      </c>
      <c r="M379" s="48"/>
      <c r="O379" s="49" t="s">
        <v>1045</v>
      </c>
      <c r="P379" s="48"/>
      <c r="Q379" s="48" t="n">
        <v>46264</v>
      </c>
      <c r="R379" s="48" t="n">
        <v>46270</v>
      </c>
      <c r="T379" s="49" t="s">
        <v>302</v>
      </c>
      <c r="U379" s="49" t="s">
        <v>303</v>
      </c>
      <c r="Y379" s="49" t="s">
        <v>312</v>
      </c>
      <c r="AD379" s="49" t="s">
        <v>305</v>
      </c>
      <c r="AE379" s="48" t="n">
        <v>46233</v>
      </c>
      <c r="AF379" s="49" t="s">
        <v>306</v>
      </c>
      <c r="AG379" s="49" t="s">
        <v>307</v>
      </c>
      <c r="AK379" s="49" t="s">
        <v>1047</v>
      </c>
      <c r="AL379" s="49" t="s">
        <v>297</v>
      </c>
      <c r="AO379" s="49" t="s">
        <v>303</v>
      </c>
      <c r="AP379" s="48"/>
      <c r="AR379" s="49" t="s">
        <v>303</v>
      </c>
      <c r="AS379" s="49" t="s">
        <v>306</v>
      </c>
      <c r="AT379" s="49" t="s">
        <v>1648</v>
      </c>
      <c r="AV379" s="49" t="s">
        <v>309</v>
      </c>
      <c r="AW379" s="49" t="s">
        <v>310</v>
      </c>
      <c r="AX379" s="49" t="s">
        <v>311</v>
      </c>
      <c r="AY379" s="48"/>
      <c r="AZ379" s="48" t="n">
        <v>46260</v>
      </c>
      <c r="BC379" s="49" t="s">
        <v>303</v>
      </c>
      <c r="BD379" s="48" t="n">
        <v>46294</v>
      </c>
      <c r="BE379" s="49" t="s">
        <v>1649</v>
      </c>
      <c r="BF379" s="49" t="s">
        <v>303</v>
      </c>
      <c r="BG379" s="48"/>
      <c r="BI379" s="48" t="n">
        <v>46294</v>
      </c>
      <c r="BJ379" s="48" t="n">
        <v>46268</v>
      </c>
      <c r="BK379" s="49" t="s">
        <v>313</v>
      </c>
      <c r="BL379" s="49" t="s">
        <v>313</v>
      </c>
      <c r="BM379" s="49" t="s">
        <v>310</v>
      </c>
      <c r="BN379" s="48"/>
      <c r="BO379" s="48"/>
      <c r="BP379" s="48"/>
      <c r="BQ379" s="49" t="s">
        <v>1141</v>
      </c>
      <c r="BR379" s="48" t="n">
        <v>46268</v>
      </c>
      <c r="BS379" s="49" t="s">
        <v>1650</v>
      </c>
      <c r="BT379" s="49" t="s">
        <v>312</v>
      </c>
      <c r="BU379" s="49" t="s">
        <v>313</v>
      </c>
      <c r="BV379" s="49" t="s">
        <v>303</v>
      </c>
      <c r="BX379" s="0" t="n">
        <v>1</v>
      </c>
      <c r="CC379" s="49" t="s">
        <v>315</v>
      </c>
      <c r="CD379" s="49" t="s">
        <v>303</v>
      </c>
      <c r="CF379" s="49" t="s">
        <v>303</v>
      </c>
      <c r="CG379" s="49" t="s">
        <v>316</v>
      </c>
      <c r="CH379" s="49" t="s">
        <v>317</v>
      </c>
      <c r="CI379" s="49" t="s">
        <v>318</v>
      </c>
      <c r="CM379" s="49" t="s">
        <v>468</v>
      </c>
      <c r="CV379" s="49" t="s">
        <v>303</v>
      </c>
      <c r="DB379" s="49" t="s">
        <v>319</v>
      </c>
      <c r="DD379" s="48" t="n">
        <v>46233</v>
      </c>
      <c r="DF379" s="49" t="s">
        <v>310</v>
      </c>
      <c r="DG379" s="49" t="s">
        <v>320</v>
      </c>
      <c r="DH379" s="49" t="s">
        <v>70</v>
      </c>
      <c r="DI379" s="49" t="s">
        <v>298</v>
      </c>
      <c r="DJ379" s="49" t="s">
        <v>321</v>
      </c>
      <c r="DK379" s="49" t="s">
        <v>322</v>
      </c>
      <c r="DL379" s="49" t="s">
        <v>323</v>
      </c>
      <c r="DM379" s="49" t="s">
        <v>303</v>
      </c>
      <c r="DN379" s="49" t="s">
        <v>297</v>
      </c>
      <c r="DO379" s="48"/>
      <c r="DP379" s="49" t="s">
        <v>312</v>
      </c>
      <c r="DQ379" s="48"/>
      <c r="DR379" s="49" t="s">
        <v>312</v>
      </c>
      <c r="DS379" s="49" t="s">
        <v>303</v>
      </c>
      <c r="DT379" s="49" t="s">
        <v>303</v>
      </c>
      <c r="DW379" s="49" t="s">
        <v>303</v>
      </c>
      <c r="EA379" s="49" t="s">
        <v>324</v>
      </c>
      <c r="EB379" s="49" t="s">
        <v>303</v>
      </c>
      <c r="EF379" s="49" t="s">
        <v>1651</v>
      </c>
      <c r="EH379" s="49" t="s">
        <v>325</v>
      </c>
      <c r="EJ379" s="49" t="s">
        <v>303</v>
      </c>
      <c r="EK379" s="49" t="s">
        <v>1652</v>
      </c>
      <c r="EM379" s="49" t="s">
        <v>303</v>
      </c>
      <c r="EN379" s="49" t="s">
        <v>472</v>
      </c>
      <c r="EP379" s="49" t="s">
        <v>298</v>
      </c>
      <c r="EQ379" s="0" t="n">
        <v>1</v>
      </c>
      <c r="ER379" s="49" t="s">
        <v>328</v>
      </c>
      <c r="ES379" s="49" t="s">
        <v>329</v>
      </c>
      <c r="ET379" s="49" t="s">
        <v>310</v>
      </c>
      <c r="EU379" s="49" t="s">
        <v>310</v>
      </c>
      <c r="EV379" s="49" t="s">
        <v>310</v>
      </c>
      <c r="EX379" s="49" t="s">
        <v>303</v>
      </c>
      <c r="EY379" s="49" t="s">
        <v>303</v>
      </c>
      <c r="FC379" s="49" t="s">
        <v>330</v>
      </c>
      <c r="FD379" s="49" t="s">
        <v>310</v>
      </c>
      <c r="FE379" s="49" t="s">
        <v>310</v>
      </c>
      <c r="FF379" s="49" t="s">
        <v>70</v>
      </c>
      <c r="FG379" s="49" t="s">
        <v>473</v>
      </c>
      <c r="FH379" s="49" t="s">
        <v>310</v>
      </c>
      <c r="FI379" s="49" t="s">
        <v>332</v>
      </c>
      <c r="FJ379" s="49" t="s">
        <v>303</v>
      </c>
      <c r="FL379" s="49" t="s">
        <v>325</v>
      </c>
      <c r="FM379" s="49" t="s">
        <v>1608</v>
      </c>
      <c r="FP379" s="49" t="s">
        <v>303</v>
      </c>
      <c r="FR379" s="49" t="s">
        <v>303</v>
      </c>
      <c r="FT379" s="49" t="s">
        <v>325</v>
      </c>
      <c r="FU379" s="49" t="s">
        <v>325</v>
      </c>
      <c r="FW379" s="49" t="s">
        <v>333</v>
      </c>
    </row>
    <row r="380" customFormat="false" ht="15" hidden="false" customHeight="false" outlineLevel="0" collapsed="false">
      <c r="A380" s="0" t="n">
        <v>100875712</v>
      </c>
      <c r="B380" s="0" t="s">
        <v>295</v>
      </c>
      <c r="C380" s="0" t="s">
        <v>70</v>
      </c>
      <c r="D380" s="0" t="s">
        <v>468</v>
      </c>
      <c r="E380" s="0" t="s">
        <v>297</v>
      </c>
      <c r="G380" s="0" t="n">
        <v>1</v>
      </c>
      <c r="H380" s="0" t="s">
        <v>298</v>
      </c>
      <c r="I380" s="48" t="n">
        <v>46261</v>
      </c>
      <c r="J380" s="0" t="n">
        <v>1</v>
      </c>
      <c r="K380" s="49" t="s">
        <v>1608</v>
      </c>
      <c r="L380" s="49" t="s">
        <v>335</v>
      </c>
      <c r="M380" s="48"/>
      <c r="O380" s="49" t="s">
        <v>1045</v>
      </c>
      <c r="P380" s="48"/>
      <c r="Q380" s="48" t="n">
        <v>46264</v>
      </c>
      <c r="R380" s="48" t="n">
        <v>46270</v>
      </c>
      <c r="T380" s="49" t="s">
        <v>302</v>
      </c>
      <c r="U380" s="49" t="s">
        <v>303</v>
      </c>
      <c r="Y380" s="49" t="s">
        <v>312</v>
      </c>
      <c r="AD380" s="49" t="s">
        <v>305</v>
      </c>
      <c r="AE380" s="48" t="n">
        <v>46233</v>
      </c>
      <c r="AF380" s="49" t="s">
        <v>306</v>
      </c>
      <c r="AG380" s="49" t="s">
        <v>307</v>
      </c>
      <c r="AK380" s="49" t="s">
        <v>1047</v>
      </c>
      <c r="AL380" s="49" t="s">
        <v>297</v>
      </c>
      <c r="AO380" s="49" t="s">
        <v>303</v>
      </c>
      <c r="AP380" s="48"/>
      <c r="AR380" s="49" t="s">
        <v>303</v>
      </c>
      <c r="AS380" s="49" t="s">
        <v>306</v>
      </c>
      <c r="AT380" s="49" t="s">
        <v>1653</v>
      </c>
      <c r="AV380" s="49" t="s">
        <v>309</v>
      </c>
      <c r="AW380" s="49" t="s">
        <v>310</v>
      </c>
      <c r="AX380" s="49" t="s">
        <v>311</v>
      </c>
      <c r="AY380" s="48"/>
      <c r="AZ380" s="48" t="n">
        <v>46260</v>
      </c>
      <c r="BC380" s="49" t="s">
        <v>303</v>
      </c>
      <c r="BD380" s="48" t="n">
        <v>46288</v>
      </c>
      <c r="BE380" s="49" t="s">
        <v>1654</v>
      </c>
      <c r="BF380" s="49" t="s">
        <v>303</v>
      </c>
      <c r="BG380" s="48"/>
      <c r="BI380" s="48" t="n">
        <v>46288</v>
      </c>
      <c r="BJ380" s="48" t="n">
        <v>46268</v>
      </c>
      <c r="BK380" s="49" t="s">
        <v>313</v>
      </c>
      <c r="BL380" s="49" t="s">
        <v>313</v>
      </c>
      <c r="BM380" s="49" t="s">
        <v>310</v>
      </c>
      <c r="BN380" s="48"/>
      <c r="BO380" s="48"/>
      <c r="BP380" s="48"/>
      <c r="BQ380" s="49" t="s">
        <v>1617</v>
      </c>
      <c r="BR380" s="48" t="n">
        <v>46268</v>
      </c>
      <c r="BS380" s="49" t="s">
        <v>1655</v>
      </c>
      <c r="BT380" s="49" t="s">
        <v>312</v>
      </c>
      <c r="BU380" s="49" t="s">
        <v>313</v>
      </c>
      <c r="BV380" s="49" t="s">
        <v>303</v>
      </c>
      <c r="BX380" s="0" t="n">
        <v>1</v>
      </c>
      <c r="CC380" s="49" t="s">
        <v>315</v>
      </c>
      <c r="CD380" s="49" t="s">
        <v>303</v>
      </c>
      <c r="CF380" s="49" t="s">
        <v>303</v>
      </c>
      <c r="CG380" s="49" t="s">
        <v>316</v>
      </c>
      <c r="CH380" s="49" t="s">
        <v>317</v>
      </c>
      <c r="CI380" s="49" t="s">
        <v>318</v>
      </c>
      <c r="CM380" s="49" t="s">
        <v>468</v>
      </c>
      <c r="CV380" s="49" t="s">
        <v>303</v>
      </c>
      <c r="DB380" s="49" t="s">
        <v>319</v>
      </c>
      <c r="DD380" s="48" t="n">
        <v>46233</v>
      </c>
      <c r="DF380" s="49" t="s">
        <v>310</v>
      </c>
      <c r="DG380" s="49" t="s">
        <v>320</v>
      </c>
      <c r="DH380" s="49" t="s">
        <v>70</v>
      </c>
      <c r="DI380" s="49" t="s">
        <v>298</v>
      </c>
      <c r="DJ380" s="49" t="s">
        <v>321</v>
      </c>
      <c r="DK380" s="49" t="s">
        <v>322</v>
      </c>
      <c r="DL380" s="49" t="s">
        <v>323</v>
      </c>
      <c r="DM380" s="49" t="s">
        <v>303</v>
      </c>
      <c r="DN380" s="49" t="s">
        <v>297</v>
      </c>
      <c r="DO380" s="48"/>
      <c r="DP380" s="49" t="s">
        <v>312</v>
      </c>
      <c r="DQ380" s="48"/>
      <c r="DR380" s="49" t="s">
        <v>312</v>
      </c>
      <c r="DS380" s="49" t="s">
        <v>303</v>
      </c>
      <c r="DT380" s="49" t="s">
        <v>303</v>
      </c>
      <c r="DW380" s="49" t="s">
        <v>303</v>
      </c>
      <c r="EA380" s="49" t="s">
        <v>324</v>
      </c>
      <c r="EB380" s="49" t="s">
        <v>303</v>
      </c>
      <c r="EF380" s="49" t="s">
        <v>1651</v>
      </c>
      <c r="EH380" s="49" t="s">
        <v>325</v>
      </c>
      <c r="EJ380" s="49" t="s">
        <v>303</v>
      </c>
      <c r="EK380" s="49" t="s">
        <v>1656</v>
      </c>
      <c r="EM380" s="49" t="s">
        <v>303</v>
      </c>
      <c r="EN380" s="49" t="s">
        <v>472</v>
      </c>
      <c r="EP380" s="49" t="s">
        <v>298</v>
      </c>
      <c r="EQ380" s="0" t="n">
        <v>1</v>
      </c>
      <c r="ER380" s="49" t="s">
        <v>328</v>
      </c>
      <c r="ES380" s="49" t="s">
        <v>329</v>
      </c>
      <c r="ET380" s="49" t="s">
        <v>310</v>
      </c>
      <c r="EU380" s="49" t="s">
        <v>310</v>
      </c>
      <c r="EV380" s="49" t="s">
        <v>310</v>
      </c>
      <c r="EX380" s="49" t="s">
        <v>303</v>
      </c>
      <c r="EY380" s="49" t="s">
        <v>303</v>
      </c>
      <c r="FC380" s="49" t="s">
        <v>330</v>
      </c>
      <c r="FD380" s="49" t="s">
        <v>310</v>
      </c>
      <c r="FE380" s="49" t="s">
        <v>310</v>
      </c>
      <c r="FF380" s="49" t="s">
        <v>70</v>
      </c>
      <c r="FG380" s="49" t="s">
        <v>473</v>
      </c>
      <c r="FH380" s="49" t="s">
        <v>310</v>
      </c>
      <c r="FI380" s="49" t="s">
        <v>332</v>
      </c>
      <c r="FJ380" s="49" t="s">
        <v>303</v>
      </c>
      <c r="FL380" s="49" t="s">
        <v>325</v>
      </c>
      <c r="FM380" s="49" t="s">
        <v>1608</v>
      </c>
      <c r="FP380" s="49" t="s">
        <v>303</v>
      </c>
      <c r="FR380" s="49" t="s">
        <v>303</v>
      </c>
      <c r="FT380" s="49" t="s">
        <v>325</v>
      </c>
      <c r="FU380" s="49" t="s">
        <v>325</v>
      </c>
      <c r="FW380" s="49" t="s">
        <v>333</v>
      </c>
    </row>
    <row r="381" customFormat="false" ht="15" hidden="false" customHeight="false" outlineLevel="0" collapsed="false">
      <c r="A381" s="0" t="n">
        <v>100875713</v>
      </c>
      <c r="B381" s="0" t="s">
        <v>295</v>
      </c>
      <c r="C381" s="0" t="s">
        <v>72</v>
      </c>
      <c r="D381" s="0" t="s">
        <v>480</v>
      </c>
      <c r="E381" s="0" t="s">
        <v>297</v>
      </c>
      <c r="G381" s="0" t="n">
        <v>1</v>
      </c>
      <c r="H381" s="0" t="s">
        <v>298</v>
      </c>
      <c r="I381" s="48" t="n">
        <v>46261</v>
      </c>
      <c r="J381" s="0" t="n">
        <v>1</v>
      </c>
      <c r="K381" s="49" t="s">
        <v>1608</v>
      </c>
      <c r="L381" s="49" t="s">
        <v>335</v>
      </c>
      <c r="M381" s="48" t="n">
        <v>46261</v>
      </c>
      <c r="N381" s="49" t="s">
        <v>335</v>
      </c>
      <c r="O381" s="49" t="s">
        <v>1045</v>
      </c>
      <c r="P381" s="48"/>
      <c r="Q381" s="48" t="n">
        <v>46261</v>
      </c>
      <c r="R381" s="48" t="n">
        <v>46268</v>
      </c>
      <c r="T381" s="49" t="s">
        <v>302</v>
      </c>
      <c r="U381" s="49" t="s">
        <v>303</v>
      </c>
      <c r="Y381" s="49" t="s">
        <v>1657</v>
      </c>
      <c r="AD381" s="49" t="s">
        <v>305</v>
      </c>
      <c r="AE381" s="48" t="n">
        <v>46224</v>
      </c>
      <c r="AF381" s="49" t="s">
        <v>306</v>
      </c>
      <c r="AG381" s="49" t="s">
        <v>307</v>
      </c>
      <c r="AK381" s="49" t="s">
        <v>1047</v>
      </c>
      <c r="AL381" s="49" t="s">
        <v>297</v>
      </c>
      <c r="AO381" s="49" t="s">
        <v>303</v>
      </c>
      <c r="AP381" s="48"/>
      <c r="AR381" s="49" t="s">
        <v>303</v>
      </c>
      <c r="AS381" s="49" t="s">
        <v>306</v>
      </c>
      <c r="AT381" s="49" t="s">
        <v>1658</v>
      </c>
      <c r="AV381" s="49" t="s">
        <v>309</v>
      </c>
      <c r="AW381" s="49" t="s">
        <v>310</v>
      </c>
      <c r="AX381" s="49" t="s">
        <v>311</v>
      </c>
      <c r="AY381" s="48"/>
      <c r="AZ381" s="48" t="n">
        <v>46258</v>
      </c>
      <c r="BC381" s="49" t="s">
        <v>303</v>
      </c>
      <c r="BD381" s="48" t="n">
        <v>46294</v>
      </c>
      <c r="BE381" s="49" t="s">
        <v>1659</v>
      </c>
      <c r="BF381" s="49" t="s">
        <v>303</v>
      </c>
      <c r="BG381" s="48"/>
      <c r="BI381" s="48" t="n">
        <v>46294</v>
      </c>
      <c r="BJ381" s="48" t="n">
        <v>46266</v>
      </c>
      <c r="BK381" s="49" t="s">
        <v>312</v>
      </c>
      <c r="BL381" s="49" t="s">
        <v>313</v>
      </c>
      <c r="BM381" s="49" t="s">
        <v>310</v>
      </c>
      <c r="BN381" s="48"/>
      <c r="BO381" s="48"/>
      <c r="BP381" s="48"/>
      <c r="BQ381" s="49" t="s">
        <v>1141</v>
      </c>
      <c r="BR381" s="48" t="n">
        <v>46266</v>
      </c>
      <c r="BS381" s="49" t="s">
        <v>1660</v>
      </c>
      <c r="BT381" s="49" t="s">
        <v>312</v>
      </c>
      <c r="BU381" s="49" t="s">
        <v>313</v>
      </c>
      <c r="BV381" s="49" t="s">
        <v>303</v>
      </c>
      <c r="BX381" s="0" t="n">
        <v>1</v>
      </c>
      <c r="CC381" s="49" t="s">
        <v>315</v>
      </c>
      <c r="CD381" s="49" t="s">
        <v>303</v>
      </c>
      <c r="CF381" s="49" t="s">
        <v>303</v>
      </c>
      <c r="CG381" s="49" t="s">
        <v>316</v>
      </c>
      <c r="CH381" s="49" t="s">
        <v>317</v>
      </c>
      <c r="CI381" s="49" t="s">
        <v>318</v>
      </c>
      <c r="CM381" s="49" t="s">
        <v>480</v>
      </c>
      <c r="CV381" s="49" t="s">
        <v>303</v>
      </c>
      <c r="DB381" s="49" t="s">
        <v>319</v>
      </c>
      <c r="DD381" s="48" t="n">
        <v>46224</v>
      </c>
      <c r="DF381" s="49" t="s">
        <v>310</v>
      </c>
      <c r="DG381" s="49" t="s">
        <v>320</v>
      </c>
      <c r="DH381" s="49" t="s">
        <v>72</v>
      </c>
      <c r="DI381" s="49" t="s">
        <v>298</v>
      </c>
      <c r="DJ381" s="49" t="s">
        <v>321</v>
      </c>
      <c r="DK381" s="49" t="s">
        <v>322</v>
      </c>
      <c r="DL381" s="49" t="s">
        <v>323</v>
      </c>
      <c r="DM381" s="49" t="s">
        <v>303</v>
      </c>
      <c r="DN381" s="49" t="s">
        <v>297</v>
      </c>
      <c r="DO381" s="48"/>
      <c r="DP381" s="49" t="s">
        <v>312</v>
      </c>
      <c r="DQ381" s="48"/>
      <c r="DR381" s="49" t="s">
        <v>312</v>
      </c>
      <c r="DS381" s="49" t="s">
        <v>303</v>
      </c>
      <c r="DT381" s="49" t="s">
        <v>303</v>
      </c>
      <c r="DW381" s="49" t="s">
        <v>303</v>
      </c>
      <c r="EA381" s="49" t="s">
        <v>324</v>
      </c>
      <c r="EB381" s="49" t="s">
        <v>303</v>
      </c>
      <c r="EH381" s="49" t="s">
        <v>325</v>
      </c>
      <c r="EJ381" s="49" t="s">
        <v>303</v>
      </c>
      <c r="EK381" s="49" t="s">
        <v>1661</v>
      </c>
      <c r="EM381" s="49" t="s">
        <v>303</v>
      </c>
      <c r="EN381" s="49" t="s">
        <v>485</v>
      </c>
      <c r="EP381" s="49" t="s">
        <v>298</v>
      </c>
      <c r="EQ381" s="0" t="n">
        <v>1</v>
      </c>
      <c r="ER381" s="49" t="s">
        <v>328</v>
      </c>
      <c r="ES381" s="49" t="s">
        <v>329</v>
      </c>
      <c r="ET381" s="49" t="s">
        <v>310</v>
      </c>
      <c r="EU381" s="49" t="s">
        <v>310</v>
      </c>
      <c r="EV381" s="49" t="s">
        <v>310</v>
      </c>
      <c r="EX381" s="49" t="s">
        <v>303</v>
      </c>
      <c r="EY381" s="49" t="s">
        <v>303</v>
      </c>
      <c r="FC381" s="49" t="s">
        <v>330</v>
      </c>
      <c r="FD381" s="49" t="s">
        <v>310</v>
      </c>
      <c r="FE381" s="49" t="s">
        <v>310</v>
      </c>
      <c r="FF381" s="49" t="s">
        <v>72</v>
      </c>
      <c r="FG381" s="49" t="s">
        <v>486</v>
      </c>
      <c r="FH381" s="49" t="s">
        <v>310</v>
      </c>
      <c r="FI381" s="49" t="s">
        <v>332</v>
      </c>
      <c r="FJ381" s="49" t="s">
        <v>303</v>
      </c>
      <c r="FL381" s="49" t="s">
        <v>325</v>
      </c>
      <c r="FM381" s="49" t="s">
        <v>1608</v>
      </c>
      <c r="FP381" s="49" t="s">
        <v>303</v>
      </c>
      <c r="FR381" s="49" t="s">
        <v>303</v>
      </c>
      <c r="FT381" s="49" t="s">
        <v>325</v>
      </c>
      <c r="FU381" s="49" t="s">
        <v>325</v>
      </c>
      <c r="FW381" s="49" t="s">
        <v>333</v>
      </c>
    </row>
    <row r="382" customFormat="false" ht="15" hidden="false" customHeight="false" outlineLevel="0" collapsed="false">
      <c r="A382" s="0" t="n">
        <v>100875714</v>
      </c>
      <c r="B382" s="0" t="s">
        <v>295</v>
      </c>
      <c r="C382" s="0" t="s">
        <v>72</v>
      </c>
      <c r="D382" s="0" t="s">
        <v>480</v>
      </c>
      <c r="E382" s="0" t="s">
        <v>297</v>
      </c>
      <c r="G382" s="0" t="n">
        <v>1</v>
      </c>
      <c r="H382" s="0" t="s">
        <v>298</v>
      </c>
      <c r="I382" s="48" t="n">
        <v>46261</v>
      </c>
      <c r="J382" s="0" t="n">
        <v>1</v>
      </c>
      <c r="K382" s="49" t="s">
        <v>1608</v>
      </c>
      <c r="L382" s="49" t="s">
        <v>335</v>
      </c>
      <c r="M382" s="48"/>
      <c r="O382" s="49" t="s">
        <v>1045</v>
      </c>
      <c r="P382" s="48"/>
      <c r="Q382" s="48" t="n">
        <v>46261</v>
      </c>
      <c r="R382" s="48" t="n">
        <v>46267</v>
      </c>
      <c r="T382" s="49" t="s">
        <v>302</v>
      </c>
      <c r="U382" s="49" t="s">
        <v>303</v>
      </c>
      <c r="Y382" s="49" t="s">
        <v>312</v>
      </c>
      <c r="AD382" s="49" t="s">
        <v>305</v>
      </c>
      <c r="AE382" s="48" t="n">
        <v>46224</v>
      </c>
      <c r="AF382" s="49" t="s">
        <v>306</v>
      </c>
      <c r="AG382" s="49" t="s">
        <v>307</v>
      </c>
      <c r="AK382" s="49" t="s">
        <v>1047</v>
      </c>
      <c r="AL382" s="49" t="s">
        <v>297</v>
      </c>
      <c r="AO382" s="49" t="s">
        <v>303</v>
      </c>
      <c r="AP382" s="48"/>
      <c r="AR382" s="49" t="s">
        <v>303</v>
      </c>
      <c r="AS382" s="49" t="s">
        <v>306</v>
      </c>
      <c r="AT382" s="49" t="s">
        <v>1662</v>
      </c>
      <c r="AV382" s="49" t="s">
        <v>309</v>
      </c>
      <c r="AW382" s="49" t="s">
        <v>310</v>
      </c>
      <c r="AX382" s="49" t="s">
        <v>311</v>
      </c>
      <c r="AY382" s="48"/>
      <c r="AZ382" s="48" t="n">
        <v>46258</v>
      </c>
      <c r="BC382" s="49" t="s">
        <v>303</v>
      </c>
      <c r="BD382" s="48" t="n">
        <v>46288</v>
      </c>
      <c r="BE382" s="49" t="s">
        <v>1663</v>
      </c>
      <c r="BF382" s="49" t="s">
        <v>303</v>
      </c>
      <c r="BG382" s="48"/>
      <c r="BI382" s="48" t="n">
        <v>46288</v>
      </c>
      <c r="BJ382" s="48" t="n">
        <v>46266</v>
      </c>
      <c r="BK382" s="49" t="s">
        <v>313</v>
      </c>
      <c r="BL382" s="49" t="s">
        <v>313</v>
      </c>
      <c r="BM382" s="49" t="s">
        <v>310</v>
      </c>
      <c r="BN382" s="48"/>
      <c r="BO382" s="48"/>
      <c r="BP382" s="48"/>
      <c r="BQ382" s="49" t="s">
        <v>1617</v>
      </c>
      <c r="BR382" s="48" t="n">
        <v>46266</v>
      </c>
      <c r="BS382" s="49" t="s">
        <v>1664</v>
      </c>
      <c r="BT382" s="49" t="s">
        <v>312</v>
      </c>
      <c r="BU382" s="49" t="s">
        <v>313</v>
      </c>
      <c r="BV382" s="49" t="s">
        <v>303</v>
      </c>
      <c r="BX382" s="0" t="n">
        <v>1</v>
      </c>
      <c r="CC382" s="49" t="s">
        <v>315</v>
      </c>
      <c r="CD382" s="49" t="s">
        <v>303</v>
      </c>
      <c r="CF382" s="49" t="s">
        <v>303</v>
      </c>
      <c r="CG382" s="49" t="s">
        <v>316</v>
      </c>
      <c r="CH382" s="49" t="s">
        <v>317</v>
      </c>
      <c r="CI382" s="49" t="s">
        <v>318</v>
      </c>
      <c r="CM382" s="49" t="s">
        <v>480</v>
      </c>
      <c r="CV382" s="49" t="s">
        <v>303</v>
      </c>
      <c r="DB382" s="49" t="s">
        <v>319</v>
      </c>
      <c r="DD382" s="48" t="n">
        <v>46224</v>
      </c>
      <c r="DF382" s="49" t="s">
        <v>310</v>
      </c>
      <c r="DG382" s="49" t="s">
        <v>320</v>
      </c>
      <c r="DH382" s="49" t="s">
        <v>72</v>
      </c>
      <c r="DI382" s="49" t="s">
        <v>298</v>
      </c>
      <c r="DJ382" s="49" t="s">
        <v>321</v>
      </c>
      <c r="DK382" s="49" t="s">
        <v>322</v>
      </c>
      <c r="DL382" s="49" t="s">
        <v>323</v>
      </c>
      <c r="DM382" s="49" t="s">
        <v>303</v>
      </c>
      <c r="DN382" s="49" t="s">
        <v>297</v>
      </c>
      <c r="DO382" s="48"/>
      <c r="DP382" s="49" t="s">
        <v>312</v>
      </c>
      <c r="DQ382" s="48"/>
      <c r="DR382" s="49" t="s">
        <v>312</v>
      </c>
      <c r="DS382" s="49" t="s">
        <v>303</v>
      </c>
      <c r="DT382" s="49" t="s">
        <v>303</v>
      </c>
      <c r="DW382" s="49" t="s">
        <v>303</v>
      </c>
      <c r="EA382" s="49" t="s">
        <v>324</v>
      </c>
      <c r="EB382" s="49" t="s">
        <v>303</v>
      </c>
      <c r="EF382" s="49" t="s">
        <v>1665</v>
      </c>
      <c r="EH382" s="49" t="s">
        <v>325</v>
      </c>
      <c r="EJ382" s="49" t="s">
        <v>303</v>
      </c>
      <c r="EK382" s="49" t="s">
        <v>1666</v>
      </c>
      <c r="EM382" s="49" t="s">
        <v>303</v>
      </c>
      <c r="EN382" s="49" t="s">
        <v>485</v>
      </c>
      <c r="EP382" s="49" t="s">
        <v>298</v>
      </c>
      <c r="EQ382" s="0" t="n">
        <v>1</v>
      </c>
      <c r="ER382" s="49" t="s">
        <v>328</v>
      </c>
      <c r="ES382" s="49" t="s">
        <v>329</v>
      </c>
      <c r="ET382" s="49" t="s">
        <v>310</v>
      </c>
      <c r="EU382" s="49" t="s">
        <v>310</v>
      </c>
      <c r="EV382" s="49" t="s">
        <v>310</v>
      </c>
      <c r="EX382" s="49" t="s">
        <v>303</v>
      </c>
      <c r="EY382" s="49" t="s">
        <v>303</v>
      </c>
      <c r="FC382" s="49" t="s">
        <v>330</v>
      </c>
      <c r="FD382" s="49" t="s">
        <v>310</v>
      </c>
      <c r="FE382" s="49" t="s">
        <v>310</v>
      </c>
      <c r="FF382" s="49" t="s">
        <v>72</v>
      </c>
      <c r="FG382" s="49" t="s">
        <v>486</v>
      </c>
      <c r="FH382" s="49" t="s">
        <v>310</v>
      </c>
      <c r="FI382" s="49" t="s">
        <v>332</v>
      </c>
      <c r="FJ382" s="49" t="s">
        <v>303</v>
      </c>
      <c r="FL382" s="49" t="s">
        <v>325</v>
      </c>
      <c r="FM382" s="49" t="s">
        <v>1608</v>
      </c>
      <c r="FP382" s="49" t="s">
        <v>303</v>
      </c>
      <c r="FR382" s="49" t="s">
        <v>303</v>
      </c>
      <c r="FT382" s="49" t="s">
        <v>325</v>
      </c>
      <c r="FU382" s="49" t="s">
        <v>325</v>
      </c>
      <c r="FW382" s="49" t="s">
        <v>333</v>
      </c>
    </row>
    <row r="383" customFormat="false" ht="15" hidden="false" customHeight="false" outlineLevel="0" collapsed="false">
      <c r="A383" s="0" t="n">
        <v>100875715</v>
      </c>
      <c r="B383" s="0" t="s">
        <v>295</v>
      </c>
      <c r="C383" s="0" t="s">
        <v>72</v>
      </c>
      <c r="D383" s="0" t="s">
        <v>480</v>
      </c>
      <c r="E383" s="0" t="s">
        <v>297</v>
      </c>
      <c r="G383" s="0" t="n">
        <v>1</v>
      </c>
      <c r="H383" s="0" t="s">
        <v>298</v>
      </c>
      <c r="I383" s="48" t="n">
        <v>46261</v>
      </c>
      <c r="J383" s="0" t="n">
        <v>1</v>
      </c>
      <c r="K383" s="49" t="s">
        <v>1608</v>
      </c>
      <c r="L383" s="49" t="s">
        <v>335</v>
      </c>
      <c r="M383" s="48"/>
      <c r="O383" s="49" t="s">
        <v>1045</v>
      </c>
      <c r="P383" s="48"/>
      <c r="Q383" s="48" t="n">
        <v>46261</v>
      </c>
      <c r="R383" s="48" t="n">
        <v>46267</v>
      </c>
      <c r="T383" s="49" t="s">
        <v>302</v>
      </c>
      <c r="U383" s="49" t="s">
        <v>303</v>
      </c>
      <c r="Y383" s="49" t="s">
        <v>312</v>
      </c>
      <c r="AD383" s="49" t="s">
        <v>305</v>
      </c>
      <c r="AE383" s="48" t="n">
        <v>46224</v>
      </c>
      <c r="AF383" s="49" t="s">
        <v>306</v>
      </c>
      <c r="AG383" s="49" t="s">
        <v>307</v>
      </c>
      <c r="AK383" s="49" t="s">
        <v>1047</v>
      </c>
      <c r="AL383" s="49" t="s">
        <v>297</v>
      </c>
      <c r="AO383" s="49" t="s">
        <v>303</v>
      </c>
      <c r="AP383" s="48"/>
      <c r="AR383" s="49" t="s">
        <v>303</v>
      </c>
      <c r="AS383" s="49" t="s">
        <v>306</v>
      </c>
      <c r="AT383" s="49" t="s">
        <v>1667</v>
      </c>
      <c r="AV383" s="49" t="s">
        <v>309</v>
      </c>
      <c r="AW383" s="49" t="s">
        <v>310</v>
      </c>
      <c r="AX383" s="49" t="s">
        <v>311</v>
      </c>
      <c r="AY383" s="48"/>
      <c r="AZ383" s="48" t="n">
        <v>46258</v>
      </c>
      <c r="BC383" s="49" t="s">
        <v>303</v>
      </c>
      <c r="BD383" s="48" t="n">
        <v>46292</v>
      </c>
      <c r="BE383" s="49" t="s">
        <v>1668</v>
      </c>
      <c r="BF383" s="49" t="s">
        <v>303</v>
      </c>
      <c r="BG383" s="48"/>
      <c r="BI383" s="48" t="n">
        <v>46292</v>
      </c>
      <c r="BJ383" s="48" t="n">
        <v>46266</v>
      </c>
      <c r="BK383" s="49" t="s">
        <v>313</v>
      </c>
      <c r="BL383" s="49" t="s">
        <v>313</v>
      </c>
      <c r="BM383" s="49" t="s">
        <v>310</v>
      </c>
      <c r="BN383" s="48"/>
      <c r="BO383" s="48"/>
      <c r="BP383" s="48"/>
      <c r="BQ383" s="49" t="s">
        <v>1669</v>
      </c>
      <c r="BR383" s="48" t="n">
        <v>46266</v>
      </c>
      <c r="BS383" s="49" t="s">
        <v>1670</v>
      </c>
      <c r="BT383" s="49" t="s">
        <v>312</v>
      </c>
      <c r="BU383" s="49" t="s">
        <v>313</v>
      </c>
      <c r="BV383" s="49" t="s">
        <v>303</v>
      </c>
      <c r="BX383" s="0" t="n">
        <v>1</v>
      </c>
      <c r="CC383" s="49" t="s">
        <v>315</v>
      </c>
      <c r="CD383" s="49" t="s">
        <v>303</v>
      </c>
      <c r="CF383" s="49" t="s">
        <v>303</v>
      </c>
      <c r="CG383" s="49" t="s">
        <v>316</v>
      </c>
      <c r="CH383" s="49" t="s">
        <v>317</v>
      </c>
      <c r="CI383" s="49" t="s">
        <v>318</v>
      </c>
      <c r="CM383" s="49" t="s">
        <v>480</v>
      </c>
      <c r="CV383" s="49" t="s">
        <v>303</v>
      </c>
      <c r="DB383" s="49" t="s">
        <v>319</v>
      </c>
      <c r="DD383" s="48" t="n">
        <v>46224</v>
      </c>
      <c r="DF383" s="49" t="s">
        <v>310</v>
      </c>
      <c r="DG383" s="49" t="s">
        <v>320</v>
      </c>
      <c r="DH383" s="49" t="s">
        <v>72</v>
      </c>
      <c r="DI383" s="49" t="s">
        <v>298</v>
      </c>
      <c r="DJ383" s="49" t="s">
        <v>321</v>
      </c>
      <c r="DK383" s="49" t="s">
        <v>322</v>
      </c>
      <c r="DL383" s="49" t="s">
        <v>323</v>
      </c>
      <c r="DM383" s="49" t="s">
        <v>303</v>
      </c>
      <c r="DN383" s="49" t="s">
        <v>297</v>
      </c>
      <c r="DO383" s="48"/>
      <c r="DP383" s="49" t="s">
        <v>312</v>
      </c>
      <c r="DQ383" s="48"/>
      <c r="DR383" s="49" t="s">
        <v>312</v>
      </c>
      <c r="DS383" s="49" t="s">
        <v>303</v>
      </c>
      <c r="DT383" s="49" t="s">
        <v>303</v>
      </c>
      <c r="DW383" s="49" t="s">
        <v>303</v>
      </c>
      <c r="EA383" s="49" t="s">
        <v>324</v>
      </c>
      <c r="EB383" s="49" t="s">
        <v>303</v>
      </c>
      <c r="EF383" s="49" t="s">
        <v>1665</v>
      </c>
      <c r="EH383" s="49" t="s">
        <v>325</v>
      </c>
      <c r="EJ383" s="49" t="s">
        <v>303</v>
      </c>
      <c r="EK383" s="49" t="s">
        <v>1671</v>
      </c>
      <c r="EM383" s="49" t="s">
        <v>303</v>
      </c>
      <c r="EN383" s="49" t="s">
        <v>485</v>
      </c>
      <c r="EP383" s="49" t="s">
        <v>298</v>
      </c>
      <c r="EQ383" s="0" t="n">
        <v>1</v>
      </c>
      <c r="ER383" s="49" t="s">
        <v>328</v>
      </c>
      <c r="ES383" s="49" t="s">
        <v>329</v>
      </c>
      <c r="ET383" s="49" t="s">
        <v>310</v>
      </c>
      <c r="EU383" s="49" t="s">
        <v>310</v>
      </c>
      <c r="EV383" s="49" t="s">
        <v>310</v>
      </c>
      <c r="EX383" s="49" t="s">
        <v>303</v>
      </c>
      <c r="EY383" s="49" t="s">
        <v>303</v>
      </c>
      <c r="FC383" s="49" t="s">
        <v>330</v>
      </c>
      <c r="FD383" s="49" t="s">
        <v>310</v>
      </c>
      <c r="FE383" s="49" t="s">
        <v>310</v>
      </c>
      <c r="FF383" s="49" t="s">
        <v>72</v>
      </c>
      <c r="FG383" s="49" t="s">
        <v>486</v>
      </c>
      <c r="FH383" s="49" t="s">
        <v>310</v>
      </c>
      <c r="FI383" s="49" t="s">
        <v>332</v>
      </c>
      <c r="FJ383" s="49" t="s">
        <v>303</v>
      </c>
      <c r="FL383" s="49" t="s">
        <v>325</v>
      </c>
      <c r="FM383" s="49" t="s">
        <v>1608</v>
      </c>
      <c r="FP383" s="49" t="s">
        <v>303</v>
      </c>
      <c r="FR383" s="49" t="s">
        <v>303</v>
      </c>
      <c r="FT383" s="49" t="s">
        <v>325</v>
      </c>
      <c r="FU383" s="49" t="s">
        <v>325</v>
      </c>
      <c r="FW383" s="49" t="s">
        <v>333</v>
      </c>
    </row>
    <row r="384" customFormat="false" ht="15" hidden="false" customHeight="false" outlineLevel="0" collapsed="false">
      <c r="A384" s="0" t="n">
        <v>100875463</v>
      </c>
      <c r="B384" s="0" t="s">
        <v>295</v>
      </c>
      <c r="C384" s="0" t="s">
        <v>53</v>
      </c>
      <c r="D384" s="0" t="s">
        <v>54</v>
      </c>
      <c r="E384" s="0" t="s">
        <v>297</v>
      </c>
      <c r="G384" s="0" t="n">
        <v>1</v>
      </c>
      <c r="H384" s="0" t="s">
        <v>298</v>
      </c>
      <c r="I384" s="48" t="n">
        <v>46259</v>
      </c>
      <c r="J384" s="0" t="n">
        <v>1</v>
      </c>
      <c r="K384" s="49" t="s">
        <v>1672</v>
      </c>
      <c r="L384" s="49" t="s">
        <v>335</v>
      </c>
      <c r="M384" s="48" t="n">
        <v>46259</v>
      </c>
      <c r="N384" s="49" t="s">
        <v>335</v>
      </c>
      <c r="O384" s="49" t="s">
        <v>1045</v>
      </c>
      <c r="P384" s="48"/>
      <c r="Q384" s="48" t="n">
        <v>46259</v>
      </c>
      <c r="R384" s="48" t="n">
        <v>46266</v>
      </c>
      <c r="T384" s="49" t="s">
        <v>302</v>
      </c>
      <c r="U384" s="49" t="s">
        <v>303</v>
      </c>
      <c r="Y384" s="49" t="s">
        <v>1053</v>
      </c>
      <c r="AD384" s="49" t="s">
        <v>305</v>
      </c>
      <c r="AE384" s="48" t="n">
        <v>46226</v>
      </c>
      <c r="AF384" s="49" t="s">
        <v>306</v>
      </c>
      <c r="AG384" s="49" t="s">
        <v>307</v>
      </c>
      <c r="AK384" s="49" t="s">
        <v>1047</v>
      </c>
      <c r="AL384" s="49" t="s">
        <v>297</v>
      </c>
      <c r="AO384" s="49" t="s">
        <v>303</v>
      </c>
      <c r="AP384" s="48"/>
      <c r="AR384" s="49" t="s">
        <v>303</v>
      </c>
      <c r="AS384" s="49" t="s">
        <v>306</v>
      </c>
      <c r="AT384" s="49" t="s">
        <v>1673</v>
      </c>
      <c r="AV384" s="49" t="s">
        <v>309</v>
      </c>
      <c r="AW384" s="49" t="s">
        <v>310</v>
      </c>
      <c r="AX384" s="49" t="s">
        <v>311</v>
      </c>
      <c r="AY384" s="48"/>
      <c r="AZ384" s="48" t="n">
        <v>46248</v>
      </c>
      <c r="BC384" s="49" t="s">
        <v>303</v>
      </c>
      <c r="BD384" s="48" t="n">
        <v>46264</v>
      </c>
      <c r="BE384" s="49" t="s">
        <v>1674</v>
      </c>
      <c r="BF384" s="49" t="s">
        <v>303</v>
      </c>
      <c r="BG384" s="48"/>
      <c r="BI384" s="48" t="n">
        <v>46264</v>
      </c>
      <c r="BJ384" s="48" t="n">
        <v>46261</v>
      </c>
      <c r="BK384" s="49" t="s">
        <v>312</v>
      </c>
      <c r="BL384" s="49" t="s">
        <v>313</v>
      </c>
      <c r="BM384" s="49" t="s">
        <v>310</v>
      </c>
      <c r="BN384" s="48"/>
      <c r="BO384" s="48"/>
      <c r="BP384" s="48"/>
      <c r="BQ384" s="49" t="s">
        <v>1672</v>
      </c>
      <c r="BR384" s="48" t="n">
        <v>46255</v>
      </c>
      <c r="BS384" s="49" t="s">
        <v>1675</v>
      </c>
      <c r="BT384" s="49" t="s">
        <v>312</v>
      </c>
      <c r="BU384" s="49" t="s">
        <v>312</v>
      </c>
      <c r="BV384" s="49" t="s">
        <v>303</v>
      </c>
      <c r="BX384" s="0" t="n">
        <v>1</v>
      </c>
      <c r="CC384" s="49" t="s">
        <v>315</v>
      </c>
      <c r="CD384" s="49" t="s">
        <v>303</v>
      </c>
      <c r="CF384" s="49" t="s">
        <v>303</v>
      </c>
      <c r="CG384" s="49" t="s">
        <v>316</v>
      </c>
      <c r="CH384" s="49" t="s">
        <v>317</v>
      </c>
      <c r="CI384" s="49" t="s">
        <v>318</v>
      </c>
      <c r="CM384" s="49" t="s">
        <v>54</v>
      </c>
      <c r="CV384" s="49" t="s">
        <v>303</v>
      </c>
      <c r="DB384" s="49" t="s">
        <v>319</v>
      </c>
      <c r="DD384" s="48" t="n">
        <v>46226</v>
      </c>
      <c r="DF384" s="49" t="s">
        <v>310</v>
      </c>
      <c r="DG384" s="49" t="s">
        <v>320</v>
      </c>
      <c r="DH384" s="49" t="s">
        <v>53</v>
      </c>
      <c r="DI384" s="49" t="s">
        <v>298</v>
      </c>
      <c r="DJ384" s="49" t="s">
        <v>355</v>
      </c>
      <c r="DK384" s="49" t="s">
        <v>322</v>
      </c>
      <c r="DL384" s="49" t="s">
        <v>323</v>
      </c>
      <c r="DM384" s="49" t="s">
        <v>303</v>
      </c>
      <c r="DN384" s="49" t="s">
        <v>297</v>
      </c>
      <c r="DO384" s="48"/>
      <c r="DP384" s="49" t="s">
        <v>312</v>
      </c>
      <c r="DQ384" s="48"/>
      <c r="DR384" s="49" t="s">
        <v>312</v>
      </c>
      <c r="DS384" s="49" t="s">
        <v>303</v>
      </c>
      <c r="DT384" s="49" t="s">
        <v>303</v>
      </c>
      <c r="DW384" s="49" t="s">
        <v>303</v>
      </c>
      <c r="EA384" s="49" t="s">
        <v>324</v>
      </c>
      <c r="EB384" s="49" t="s">
        <v>303</v>
      </c>
      <c r="EH384" s="49" t="s">
        <v>310</v>
      </c>
      <c r="EJ384" s="49" t="s">
        <v>303</v>
      </c>
      <c r="EK384" s="49" t="s">
        <v>1676</v>
      </c>
      <c r="EM384" s="49" t="s">
        <v>303</v>
      </c>
      <c r="EN384" s="49" t="s">
        <v>357</v>
      </c>
      <c r="EP384" s="49" t="s">
        <v>298</v>
      </c>
      <c r="EQ384" s="0" t="n">
        <v>1</v>
      </c>
      <c r="ER384" s="49" t="s">
        <v>328</v>
      </c>
      <c r="ES384" s="49" t="s">
        <v>358</v>
      </c>
      <c r="ET384" s="49" t="s">
        <v>310</v>
      </c>
      <c r="EU384" s="49" t="s">
        <v>310</v>
      </c>
      <c r="EV384" s="49" t="s">
        <v>310</v>
      </c>
      <c r="EX384" s="49" t="s">
        <v>303</v>
      </c>
      <c r="EY384" s="49" t="s">
        <v>303</v>
      </c>
      <c r="FC384" s="49" t="s">
        <v>330</v>
      </c>
      <c r="FD384" s="49" t="s">
        <v>310</v>
      </c>
      <c r="FE384" s="49" t="s">
        <v>310</v>
      </c>
      <c r="FF384" s="49" t="s">
        <v>53</v>
      </c>
      <c r="FG384" s="49" t="s">
        <v>359</v>
      </c>
      <c r="FH384" s="49" t="s">
        <v>310</v>
      </c>
      <c r="FI384" s="49" t="s">
        <v>332</v>
      </c>
      <c r="FJ384" s="49" t="s">
        <v>303</v>
      </c>
      <c r="FL384" s="49" t="s">
        <v>325</v>
      </c>
      <c r="FM384" s="49" t="s">
        <v>1672</v>
      </c>
      <c r="FP384" s="49" t="s">
        <v>303</v>
      </c>
      <c r="FR384" s="49" t="s">
        <v>303</v>
      </c>
      <c r="FT384" s="49" t="s">
        <v>325</v>
      </c>
      <c r="FU384" s="49" t="s">
        <v>325</v>
      </c>
      <c r="FW384" s="49" t="s">
        <v>333</v>
      </c>
    </row>
    <row r="385" customFormat="false" ht="15" hidden="false" customHeight="false" outlineLevel="0" collapsed="false">
      <c r="A385" s="0" t="n">
        <v>100875464</v>
      </c>
      <c r="B385" s="0" t="s">
        <v>295</v>
      </c>
      <c r="C385" s="0" t="s">
        <v>53</v>
      </c>
      <c r="D385" s="0" t="s">
        <v>54</v>
      </c>
      <c r="E385" s="0" t="s">
        <v>297</v>
      </c>
      <c r="G385" s="0" t="n">
        <v>1</v>
      </c>
      <c r="H385" s="0" t="s">
        <v>298</v>
      </c>
      <c r="I385" s="48" t="n">
        <v>46259</v>
      </c>
      <c r="J385" s="0" t="n">
        <v>1</v>
      </c>
      <c r="K385" s="49" t="s">
        <v>1672</v>
      </c>
      <c r="L385" s="49" t="s">
        <v>335</v>
      </c>
      <c r="M385" s="48"/>
      <c r="O385" s="49" t="s">
        <v>1045</v>
      </c>
      <c r="P385" s="48"/>
      <c r="Q385" s="48" t="n">
        <v>46259</v>
      </c>
      <c r="R385" s="48" t="n">
        <v>46265</v>
      </c>
      <c r="T385" s="49" t="s">
        <v>302</v>
      </c>
      <c r="U385" s="49" t="s">
        <v>303</v>
      </c>
      <c r="Y385" s="49" t="s">
        <v>312</v>
      </c>
      <c r="AD385" s="49" t="s">
        <v>305</v>
      </c>
      <c r="AE385" s="48" t="n">
        <v>46226</v>
      </c>
      <c r="AF385" s="49" t="s">
        <v>306</v>
      </c>
      <c r="AG385" s="49" t="s">
        <v>307</v>
      </c>
      <c r="AK385" s="49" t="s">
        <v>1047</v>
      </c>
      <c r="AL385" s="49" t="s">
        <v>297</v>
      </c>
      <c r="AO385" s="49" t="s">
        <v>303</v>
      </c>
      <c r="AP385" s="48"/>
      <c r="AR385" s="49" t="s">
        <v>303</v>
      </c>
      <c r="AS385" s="49" t="s">
        <v>306</v>
      </c>
      <c r="AT385" s="49" t="s">
        <v>1059</v>
      </c>
      <c r="AV385" s="49" t="s">
        <v>309</v>
      </c>
      <c r="AW385" s="49" t="s">
        <v>310</v>
      </c>
      <c r="AX385" s="49" t="s">
        <v>311</v>
      </c>
      <c r="AY385" s="48"/>
      <c r="AZ385" s="48" t="n">
        <v>46248</v>
      </c>
      <c r="BC385" s="49" t="s">
        <v>303</v>
      </c>
      <c r="BD385" s="48" t="n">
        <v>46261</v>
      </c>
      <c r="BE385" s="49" t="s">
        <v>1677</v>
      </c>
      <c r="BF385" s="49" t="s">
        <v>303</v>
      </c>
      <c r="BG385" s="48"/>
      <c r="BI385" s="48" t="n">
        <v>46261</v>
      </c>
      <c r="BJ385" s="48" t="n">
        <v>46261</v>
      </c>
      <c r="BK385" s="49" t="s">
        <v>313</v>
      </c>
      <c r="BL385" s="49" t="s">
        <v>313</v>
      </c>
      <c r="BM385" s="49" t="s">
        <v>310</v>
      </c>
      <c r="BN385" s="48"/>
      <c r="BO385" s="48"/>
      <c r="BP385" s="48"/>
      <c r="BQ385" s="49" t="s">
        <v>1672</v>
      </c>
      <c r="BR385" s="48" t="n">
        <v>46255</v>
      </c>
      <c r="BS385" s="49" t="s">
        <v>1678</v>
      </c>
      <c r="BT385" s="49" t="s">
        <v>312</v>
      </c>
      <c r="BU385" s="49" t="s">
        <v>312</v>
      </c>
      <c r="BV385" s="49" t="s">
        <v>303</v>
      </c>
      <c r="BX385" s="0" t="n">
        <v>1</v>
      </c>
      <c r="CC385" s="49" t="s">
        <v>315</v>
      </c>
      <c r="CD385" s="49" t="s">
        <v>303</v>
      </c>
      <c r="CF385" s="49" t="s">
        <v>303</v>
      </c>
      <c r="CG385" s="49" t="s">
        <v>316</v>
      </c>
      <c r="CH385" s="49" t="s">
        <v>317</v>
      </c>
      <c r="CI385" s="49" t="s">
        <v>318</v>
      </c>
      <c r="CM385" s="49" t="s">
        <v>54</v>
      </c>
      <c r="CV385" s="49" t="s">
        <v>303</v>
      </c>
      <c r="DB385" s="49" t="s">
        <v>319</v>
      </c>
      <c r="DD385" s="48" t="n">
        <v>46226</v>
      </c>
      <c r="DF385" s="49" t="s">
        <v>310</v>
      </c>
      <c r="DG385" s="49" t="s">
        <v>320</v>
      </c>
      <c r="DH385" s="49" t="s">
        <v>53</v>
      </c>
      <c r="DI385" s="49" t="s">
        <v>298</v>
      </c>
      <c r="DJ385" s="49" t="s">
        <v>355</v>
      </c>
      <c r="DK385" s="49" t="s">
        <v>322</v>
      </c>
      <c r="DL385" s="49" t="s">
        <v>323</v>
      </c>
      <c r="DM385" s="49" t="s">
        <v>303</v>
      </c>
      <c r="DN385" s="49" t="s">
        <v>297</v>
      </c>
      <c r="DO385" s="48"/>
      <c r="DP385" s="49" t="s">
        <v>312</v>
      </c>
      <c r="DQ385" s="48"/>
      <c r="DR385" s="49" t="s">
        <v>312</v>
      </c>
      <c r="DS385" s="49" t="s">
        <v>303</v>
      </c>
      <c r="DT385" s="49" t="s">
        <v>303</v>
      </c>
      <c r="DW385" s="49" t="s">
        <v>303</v>
      </c>
      <c r="EA385" s="49" t="s">
        <v>324</v>
      </c>
      <c r="EB385" s="49" t="s">
        <v>303</v>
      </c>
      <c r="EF385" s="49" t="s">
        <v>1679</v>
      </c>
      <c r="EH385" s="49" t="s">
        <v>310</v>
      </c>
      <c r="EJ385" s="49" t="s">
        <v>303</v>
      </c>
      <c r="EK385" s="49" t="s">
        <v>1680</v>
      </c>
      <c r="EM385" s="49" t="s">
        <v>303</v>
      </c>
      <c r="EN385" s="49" t="s">
        <v>357</v>
      </c>
      <c r="EP385" s="49" t="s">
        <v>298</v>
      </c>
      <c r="EQ385" s="0" t="n">
        <v>1</v>
      </c>
      <c r="ER385" s="49" t="s">
        <v>328</v>
      </c>
      <c r="ES385" s="49" t="s">
        <v>358</v>
      </c>
      <c r="ET385" s="49" t="s">
        <v>310</v>
      </c>
      <c r="EU385" s="49" t="s">
        <v>310</v>
      </c>
      <c r="EV385" s="49" t="s">
        <v>310</v>
      </c>
      <c r="EX385" s="49" t="s">
        <v>303</v>
      </c>
      <c r="EY385" s="49" t="s">
        <v>303</v>
      </c>
      <c r="FC385" s="49" t="s">
        <v>330</v>
      </c>
      <c r="FD385" s="49" t="s">
        <v>310</v>
      </c>
      <c r="FE385" s="49" t="s">
        <v>310</v>
      </c>
      <c r="FF385" s="49" t="s">
        <v>53</v>
      </c>
      <c r="FG385" s="49" t="s">
        <v>359</v>
      </c>
      <c r="FH385" s="49" t="s">
        <v>310</v>
      </c>
      <c r="FI385" s="49" t="s">
        <v>332</v>
      </c>
      <c r="FJ385" s="49" t="s">
        <v>303</v>
      </c>
      <c r="FL385" s="49" t="s">
        <v>325</v>
      </c>
      <c r="FM385" s="49" t="s">
        <v>1672</v>
      </c>
      <c r="FP385" s="49" t="s">
        <v>303</v>
      </c>
      <c r="FR385" s="49" t="s">
        <v>303</v>
      </c>
      <c r="FT385" s="49" t="s">
        <v>325</v>
      </c>
      <c r="FU385" s="49" t="s">
        <v>325</v>
      </c>
      <c r="FW385" s="49" t="s">
        <v>333</v>
      </c>
    </row>
    <row r="386" customFormat="false" ht="15" hidden="false" customHeight="false" outlineLevel="0" collapsed="false">
      <c r="A386" s="0" t="n">
        <v>100875465</v>
      </c>
      <c r="B386" s="0" t="s">
        <v>295</v>
      </c>
      <c r="C386" s="0" t="s">
        <v>53</v>
      </c>
      <c r="D386" s="0" t="s">
        <v>54</v>
      </c>
      <c r="E386" s="0" t="s">
        <v>297</v>
      </c>
      <c r="G386" s="0" t="n">
        <v>1</v>
      </c>
      <c r="H386" s="0" t="s">
        <v>298</v>
      </c>
      <c r="I386" s="48" t="n">
        <v>46259</v>
      </c>
      <c r="J386" s="0" t="n">
        <v>1</v>
      </c>
      <c r="K386" s="49" t="s">
        <v>1672</v>
      </c>
      <c r="L386" s="49" t="s">
        <v>335</v>
      </c>
      <c r="M386" s="48"/>
      <c r="O386" s="49" t="s">
        <v>1052</v>
      </c>
      <c r="P386" s="48"/>
      <c r="Q386" s="48" t="n">
        <v>46259</v>
      </c>
      <c r="R386" s="48" t="n">
        <v>46265</v>
      </c>
      <c r="T386" s="49" t="s">
        <v>302</v>
      </c>
      <c r="U386" s="49" t="s">
        <v>303</v>
      </c>
      <c r="Y386" s="49" t="s">
        <v>312</v>
      </c>
      <c r="AD386" s="49" t="s">
        <v>305</v>
      </c>
      <c r="AE386" s="48" t="n">
        <v>46226</v>
      </c>
      <c r="AF386" s="49" t="s">
        <v>306</v>
      </c>
      <c r="AG386" s="49" t="s">
        <v>307</v>
      </c>
      <c r="AK386" s="49" t="s">
        <v>1047</v>
      </c>
      <c r="AL386" s="49" t="s">
        <v>297</v>
      </c>
      <c r="AO386" s="49" t="s">
        <v>303</v>
      </c>
      <c r="AP386" s="48"/>
      <c r="AR386" s="49" t="s">
        <v>303</v>
      </c>
      <c r="AS386" s="49" t="s">
        <v>306</v>
      </c>
      <c r="AT386" s="49" t="s">
        <v>1681</v>
      </c>
      <c r="AV386" s="49" t="s">
        <v>309</v>
      </c>
      <c r="AW386" s="49" t="s">
        <v>310</v>
      </c>
      <c r="AX386" s="49" t="s">
        <v>311</v>
      </c>
      <c r="AY386" s="48"/>
      <c r="AZ386" s="48" t="n">
        <v>46248</v>
      </c>
      <c r="BC386" s="49" t="s">
        <v>303</v>
      </c>
      <c r="BD386" s="48" t="n">
        <v>46261</v>
      </c>
      <c r="BE386" s="49" t="s">
        <v>1682</v>
      </c>
      <c r="BF386" s="49" t="s">
        <v>303</v>
      </c>
      <c r="BG386" s="48"/>
      <c r="BI386" s="48" t="n">
        <v>46286</v>
      </c>
      <c r="BJ386" s="48" t="n">
        <v>46261</v>
      </c>
      <c r="BK386" s="49" t="s">
        <v>313</v>
      </c>
      <c r="BL386" s="49" t="s">
        <v>313</v>
      </c>
      <c r="BM386" s="49" t="s">
        <v>310</v>
      </c>
      <c r="BN386" s="48"/>
      <c r="BO386" s="48"/>
      <c r="BP386" s="48"/>
      <c r="BQ386" s="49" t="s">
        <v>1672</v>
      </c>
      <c r="BR386" s="48" t="n">
        <v>46255</v>
      </c>
      <c r="BS386" s="49" t="s">
        <v>1678</v>
      </c>
      <c r="BT386" s="49" t="s">
        <v>312</v>
      </c>
      <c r="BU386" s="49" t="s">
        <v>312</v>
      </c>
      <c r="BV386" s="49" t="s">
        <v>303</v>
      </c>
      <c r="BX386" s="0" t="n">
        <v>1</v>
      </c>
      <c r="CC386" s="49" t="s">
        <v>315</v>
      </c>
      <c r="CD386" s="49" t="s">
        <v>303</v>
      </c>
      <c r="CF386" s="49" t="s">
        <v>303</v>
      </c>
      <c r="CG386" s="49" t="s">
        <v>316</v>
      </c>
      <c r="CH386" s="49" t="s">
        <v>317</v>
      </c>
      <c r="CI386" s="49" t="s">
        <v>318</v>
      </c>
      <c r="CM386" s="49" t="s">
        <v>54</v>
      </c>
      <c r="CV386" s="49" t="s">
        <v>303</v>
      </c>
      <c r="DB386" s="49" t="s">
        <v>319</v>
      </c>
      <c r="DD386" s="48" t="n">
        <v>46226</v>
      </c>
      <c r="DF386" s="49" t="s">
        <v>310</v>
      </c>
      <c r="DG386" s="49" t="s">
        <v>320</v>
      </c>
      <c r="DH386" s="49" t="s">
        <v>53</v>
      </c>
      <c r="DI386" s="49" t="s">
        <v>298</v>
      </c>
      <c r="DJ386" s="49" t="s">
        <v>355</v>
      </c>
      <c r="DK386" s="49" t="s">
        <v>322</v>
      </c>
      <c r="DL386" s="49" t="s">
        <v>323</v>
      </c>
      <c r="DM386" s="49" t="s">
        <v>303</v>
      </c>
      <c r="DN386" s="49" t="s">
        <v>297</v>
      </c>
      <c r="DO386" s="48"/>
      <c r="DP386" s="49" t="s">
        <v>312</v>
      </c>
      <c r="DQ386" s="48"/>
      <c r="DR386" s="49" t="s">
        <v>312</v>
      </c>
      <c r="DS386" s="49" t="s">
        <v>303</v>
      </c>
      <c r="DT386" s="49" t="s">
        <v>303</v>
      </c>
      <c r="DW386" s="49" t="s">
        <v>303</v>
      </c>
      <c r="EA386" s="49" t="s">
        <v>324</v>
      </c>
      <c r="EB386" s="49" t="s">
        <v>303</v>
      </c>
      <c r="EF386" s="49" t="s">
        <v>1679</v>
      </c>
      <c r="EH386" s="49" t="s">
        <v>310</v>
      </c>
      <c r="EJ386" s="49" t="s">
        <v>303</v>
      </c>
      <c r="EK386" s="49" t="s">
        <v>1683</v>
      </c>
      <c r="EM386" s="49" t="s">
        <v>303</v>
      </c>
      <c r="EN386" s="49" t="s">
        <v>357</v>
      </c>
      <c r="EP386" s="49" t="s">
        <v>298</v>
      </c>
      <c r="EQ386" s="0" t="n">
        <v>1</v>
      </c>
      <c r="ER386" s="49" t="s">
        <v>328</v>
      </c>
      <c r="ES386" s="49" t="s">
        <v>358</v>
      </c>
      <c r="ET386" s="49" t="s">
        <v>310</v>
      </c>
      <c r="EU386" s="49" t="s">
        <v>310</v>
      </c>
      <c r="EV386" s="49" t="s">
        <v>310</v>
      </c>
      <c r="EX386" s="49" t="s">
        <v>303</v>
      </c>
      <c r="EY386" s="49" t="s">
        <v>303</v>
      </c>
      <c r="FC386" s="49" t="s">
        <v>330</v>
      </c>
      <c r="FD386" s="49" t="s">
        <v>310</v>
      </c>
      <c r="FE386" s="49" t="s">
        <v>310</v>
      </c>
      <c r="FF386" s="49" t="s">
        <v>53</v>
      </c>
      <c r="FG386" s="49" t="s">
        <v>359</v>
      </c>
      <c r="FH386" s="49" t="s">
        <v>310</v>
      </c>
      <c r="FI386" s="49" t="s">
        <v>332</v>
      </c>
      <c r="FJ386" s="49" t="s">
        <v>303</v>
      </c>
      <c r="FL386" s="49" t="s">
        <v>325</v>
      </c>
      <c r="FM386" s="49" t="s">
        <v>1672</v>
      </c>
      <c r="FP386" s="49" t="s">
        <v>303</v>
      </c>
      <c r="FR386" s="49" t="s">
        <v>303</v>
      </c>
      <c r="FT386" s="49" t="s">
        <v>325</v>
      </c>
      <c r="FU386" s="49" t="s">
        <v>325</v>
      </c>
      <c r="FW386" s="49" t="s">
        <v>333</v>
      </c>
    </row>
    <row r="387" customFormat="false" ht="15" hidden="false" customHeight="false" outlineLevel="0" collapsed="false">
      <c r="A387" s="0" t="n">
        <v>100874808</v>
      </c>
      <c r="B387" s="0" t="s">
        <v>295</v>
      </c>
      <c r="C387" s="0" t="s">
        <v>56</v>
      </c>
      <c r="D387" s="0" t="s">
        <v>57</v>
      </c>
      <c r="E387" s="0" t="s">
        <v>297</v>
      </c>
      <c r="G387" s="0" t="n">
        <v>1</v>
      </c>
      <c r="H387" s="0" t="s">
        <v>298</v>
      </c>
      <c r="I387" s="48" t="n">
        <v>46256</v>
      </c>
      <c r="J387" s="0" t="n">
        <v>1</v>
      </c>
      <c r="K387" s="49" t="s">
        <v>1684</v>
      </c>
      <c r="L387" s="49" t="s">
        <v>1035</v>
      </c>
      <c r="M387" s="48" t="n">
        <v>46256</v>
      </c>
      <c r="N387" s="49" t="s">
        <v>1035</v>
      </c>
      <c r="O387" s="49" t="s">
        <v>1045</v>
      </c>
      <c r="P387" s="48"/>
      <c r="Q387" s="48" t="n">
        <v>46256</v>
      </c>
      <c r="R387" s="48" t="n">
        <v>46263</v>
      </c>
      <c r="T387" s="49" t="s">
        <v>302</v>
      </c>
      <c r="U387" s="49" t="s">
        <v>303</v>
      </c>
      <c r="Y387" s="49" t="s">
        <v>1685</v>
      </c>
      <c r="AD387" s="49" t="s">
        <v>305</v>
      </c>
      <c r="AE387" s="48" t="n">
        <v>46233</v>
      </c>
      <c r="AF387" s="49" t="s">
        <v>306</v>
      </c>
      <c r="AG387" s="49" t="s">
        <v>307</v>
      </c>
      <c r="AK387" s="49" t="s">
        <v>1047</v>
      </c>
      <c r="AL387" s="49" t="s">
        <v>297</v>
      </c>
      <c r="AO387" s="49" t="s">
        <v>303</v>
      </c>
      <c r="AP387" s="48"/>
      <c r="AR387" s="49" t="s">
        <v>303</v>
      </c>
      <c r="AS387" s="49" t="s">
        <v>306</v>
      </c>
      <c r="AT387" s="49" t="s">
        <v>1686</v>
      </c>
      <c r="AV387" s="49" t="s">
        <v>309</v>
      </c>
      <c r="AW387" s="49" t="s">
        <v>310</v>
      </c>
      <c r="AX387" s="49" t="s">
        <v>311</v>
      </c>
      <c r="AY387" s="48"/>
      <c r="AZ387" s="48" t="n">
        <v>46248</v>
      </c>
      <c r="BC387" s="49" t="s">
        <v>303</v>
      </c>
      <c r="BD387" s="48" t="n">
        <v>46283</v>
      </c>
      <c r="BE387" s="49" t="s">
        <v>1687</v>
      </c>
      <c r="BF387" s="49" t="s">
        <v>303</v>
      </c>
      <c r="BG387" s="48"/>
      <c r="BI387" s="48" t="n">
        <v>46283</v>
      </c>
      <c r="BJ387" s="48" t="n">
        <v>46261</v>
      </c>
      <c r="BK387" s="49" t="s">
        <v>312</v>
      </c>
      <c r="BL387" s="49" t="s">
        <v>313</v>
      </c>
      <c r="BM387" s="49" t="s">
        <v>310</v>
      </c>
      <c r="BN387" s="48"/>
      <c r="BO387" s="48"/>
      <c r="BP387" s="48"/>
      <c r="BQ387" s="49" t="s">
        <v>1313</v>
      </c>
      <c r="BR387" s="48" t="n">
        <v>46255</v>
      </c>
      <c r="BS387" s="49" t="s">
        <v>1688</v>
      </c>
      <c r="BT387" s="49" t="s">
        <v>312</v>
      </c>
      <c r="BU387" s="49" t="s">
        <v>312</v>
      </c>
      <c r="BV387" s="49" t="s">
        <v>303</v>
      </c>
      <c r="BX387" s="0" t="n">
        <v>1</v>
      </c>
      <c r="CC387" s="49" t="s">
        <v>315</v>
      </c>
      <c r="CD387" s="49" t="s">
        <v>303</v>
      </c>
      <c r="CF387" s="49" t="s">
        <v>303</v>
      </c>
      <c r="CG387" s="49" t="s">
        <v>316</v>
      </c>
      <c r="CH387" s="49" t="s">
        <v>317</v>
      </c>
      <c r="CI387" s="49" t="s">
        <v>318</v>
      </c>
      <c r="CM387" s="49" t="s">
        <v>57</v>
      </c>
      <c r="CV387" s="49" t="s">
        <v>303</v>
      </c>
      <c r="DB387" s="49" t="s">
        <v>319</v>
      </c>
      <c r="DD387" s="48" t="n">
        <v>46233</v>
      </c>
      <c r="DF387" s="49" t="s">
        <v>310</v>
      </c>
      <c r="DG387" s="49" t="s">
        <v>320</v>
      </c>
      <c r="DH387" s="49" t="s">
        <v>56</v>
      </c>
      <c r="DI387" s="49" t="s">
        <v>298</v>
      </c>
      <c r="DJ387" s="49" t="s">
        <v>367</v>
      </c>
      <c r="DK387" s="49" t="s">
        <v>322</v>
      </c>
      <c r="DL387" s="49" t="s">
        <v>323</v>
      </c>
      <c r="DM387" s="49" t="s">
        <v>303</v>
      </c>
      <c r="DN387" s="49" t="s">
        <v>297</v>
      </c>
      <c r="DO387" s="48"/>
      <c r="DP387" s="49" t="s">
        <v>312</v>
      </c>
      <c r="DQ387" s="48"/>
      <c r="DR387" s="49" t="s">
        <v>312</v>
      </c>
      <c r="DS387" s="49" t="s">
        <v>303</v>
      </c>
      <c r="DT387" s="49" t="s">
        <v>303</v>
      </c>
      <c r="DW387" s="49" t="s">
        <v>303</v>
      </c>
      <c r="EA387" s="49" t="s">
        <v>324</v>
      </c>
      <c r="EB387" s="49" t="s">
        <v>303</v>
      </c>
      <c r="EH387" s="49" t="s">
        <v>310</v>
      </c>
      <c r="EJ387" s="49" t="s">
        <v>303</v>
      </c>
      <c r="EK387" s="49" t="s">
        <v>1689</v>
      </c>
      <c r="EM387" s="49" t="s">
        <v>303</v>
      </c>
      <c r="EN387" s="49" t="s">
        <v>369</v>
      </c>
      <c r="EP387" s="49" t="s">
        <v>298</v>
      </c>
      <c r="EQ387" s="0" t="n">
        <v>1</v>
      </c>
      <c r="ER387" s="49" t="s">
        <v>328</v>
      </c>
      <c r="ES387" s="49" t="s">
        <v>342</v>
      </c>
      <c r="ET387" s="49" t="s">
        <v>310</v>
      </c>
      <c r="EU387" s="49" t="s">
        <v>310</v>
      </c>
      <c r="EV387" s="49" t="s">
        <v>310</v>
      </c>
      <c r="EX387" s="49" t="s">
        <v>303</v>
      </c>
      <c r="EY387" s="49" t="s">
        <v>303</v>
      </c>
      <c r="FC387" s="49" t="s">
        <v>330</v>
      </c>
      <c r="FD387" s="49" t="s">
        <v>310</v>
      </c>
      <c r="FE387" s="49" t="s">
        <v>310</v>
      </c>
      <c r="FF387" s="49" t="s">
        <v>56</v>
      </c>
      <c r="FG387" s="49" t="s">
        <v>370</v>
      </c>
      <c r="FH387" s="49" t="s">
        <v>310</v>
      </c>
      <c r="FI387" s="49" t="s">
        <v>332</v>
      </c>
      <c r="FJ387" s="49" t="s">
        <v>303</v>
      </c>
      <c r="FL387" s="49" t="s">
        <v>325</v>
      </c>
      <c r="FM387" s="49" t="s">
        <v>1684</v>
      </c>
      <c r="FP387" s="49" t="s">
        <v>303</v>
      </c>
      <c r="FR387" s="49" t="s">
        <v>303</v>
      </c>
      <c r="FT387" s="49" t="s">
        <v>325</v>
      </c>
      <c r="FU387" s="49" t="s">
        <v>325</v>
      </c>
      <c r="FW387" s="49" t="s">
        <v>333</v>
      </c>
    </row>
    <row r="388" customFormat="false" ht="15" hidden="false" customHeight="false" outlineLevel="0" collapsed="false">
      <c r="A388" s="0" t="n">
        <v>100874809</v>
      </c>
      <c r="B388" s="0" t="s">
        <v>295</v>
      </c>
      <c r="C388" s="0" t="s">
        <v>58</v>
      </c>
      <c r="D388" s="0" t="s">
        <v>59</v>
      </c>
      <c r="E388" s="0" t="s">
        <v>297</v>
      </c>
      <c r="G388" s="0" t="n">
        <v>1</v>
      </c>
      <c r="H388" s="0" t="s">
        <v>298</v>
      </c>
      <c r="I388" s="48" t="n">
        <v>46256</v>
      </c>
      <c r="J388" s="0" t="n">
        <v>1</v>
      </c>
      <c r="K388" s="49" t="s">
        <v>1684</v>
      </c>
      <c r="L388" s="49" t="s">
        <v>1035</v>
      </c>
      <c r="M388" s="48" t="n">
        <v>46256</v>
      </c>
      <c r="N388" s="49" t="s">
        <v>1035</v>
      </c>
      <c r="O388" s="49" t="s">
        <v>1052</v>
      </c>
      <c r="P388" s="48"/>
      <c r="Q388" s="48" t="n">
        <v>46256</v>
      </c>
      <c r="R388" s="48" t="n">
        <v>46263</v>
      </c>
      <c r="T388" s="49" t="s">
        <v>302</v>
      </c>
      <c r="U388" s="49" t="s">
        <v>303</v>
      </c>
      <c r="Y388" s="49" t="s">
        <v>1690</v>
      </c>
      <c r="AD388" s="49" t="s">
        <v>305</v>
      </c>
      <c r="AE388" s="48" t="n">
        <v>46226</v>
      </c>
      <c r="AF388" s="49" t="s">
        <v>306</v>
      </c>
      <c r="AG388" s="49" t="s">
        <v>307</v>
      </c>
      <c r="AK388" s="49" t="s">
        <v>1047</v>
      </c>
      <c r="AL388" s="49" t="s">
        <v>297</v>
      </c>
      <c r="AO388" s="49" t="s">
        <v>303</v>
      </c>
      <c r="AP388" s="48"/>
      <c r="AR388" s="49" t="s">
        <v>303</v>
      </c>
      <c r="AS388" s="49" t="s">
        <v>306</v>
      </c>
      <c r="AT388" s="49" t="s">
        <v>1691</v>
      </c>
      <c r="AV388" s="49" t="s">
        <v>309</v>
      </c>
      <c r="AW388" s="49" t="s">
        <v>310</v>
      </c>
      <c r="AX388" s="49" t="s">
        <v>311</v>
      </c>
      <c r="AY388" s="48"/>
      <c r="AZ388" s="48" t="n">
        <v>46248</v>
      </c>
      <c r="BC388" s="49" t="s">
        <v>303</v>
      </c>
      <c r="BD388" s="48" t="n">
        <v>46287</v>
      </c>
      <c r="BE388" s="49" t="s">
        <v>1692</v>
      </c>
      <c r="BF388" s="49" t="s">
        <v>303</v>
      </c>
      <c r="BG388" s="48"/>
      <c r="BI388" s="48" t="n">
        <v>46287</v>
      </c>
      <c r="BJ388" s="48" t="n">
        <v>46261</v>
      </c>
      <c r="BK388" s="49" t="s">
        <v>312</v>
      </c>
      <c r="BL388" s="49" t="s">
        <v>313</v>
      </c>
      <c r="BM388" s="49" t="s">
        <v>310</v>
      </c>
      <c r="BN388" s="48"/>
      <c r="BO388" s="48"/>
      <c r="BP388" s="48"/>
      <c r="BQ388" s="49" t="s">
        <v>1684</v>
      </c>
      <c r="BR388" s="48" t="n">
        <v>46255</v>
      </c>
      <c r="BS388" s="49" t="s">
        <v>1693</v>
      </c>
      <c r="BT388" s="49" t="s">
        <v>312</v>
      </c>
      <c r="BU388" s="49" t="s">
        <v>312</v>
      </c>
      <c r="BV388" s="49" t="s">
        <v>303</v>
      </c>
      <c r="BX388" s="0" t="n">
        <v>1</v>
      </c>
      <c r="CC388" s="49" t="s">
        <v>315</v>
      </c>
      <c r="CD388" s="49" t="s">
        <v>303</v>
      </c>
      <c r="CF388" s="49" t="s">
        <v>303</v>
      </c>
      <c r="CG388" s="49" t="s">
        <v>316</v>
      </c>
      <c r="CH388" s="49" t="s">
        <v>317</v>
      </c>
      <c r="CI388" s="49" t="s">
        <v>318</v>
      </c>
      <c r="CM388" s="49" t="s">
        <v>59</v>
      </c>
      <c r="CV388" s="49" t="s">
        <v>303</v>
      </c>
      <c r="DB388" s="49" t="s">
        <v>319</v>
      </c>
      <c r="DD388" s="48" t="n">
        <v>46226</v>
      </c>
      <c r="DF388" s="49" t="s">
        <v>310</v>
      </c>
      <c r="DG388" s="49" t="s">
        <v>320</v>
      </c>
      <c r="DH388" s="49" t="s">
        <v>58</v>
      </c>
      <c r="DI388" s="49" t="s">
        <v>298</v>
      </c>
      <c r="DJ388" s="49" t="s">
        <v>367</v>
      </c>
      <c r="DK388" s="49" t="s">
        <v>322</v>
      </c>
      <c r="DL388" s="49" t="s">
        <v>323</v>
      </c>
      <c r="DM388" s="49" t="s">
        <v>303</v>
      </c>
      <c r="DN388" s="49" t="s">
        <v>297</v>
      </c>
      <c r="DO388" s="48"/>
      <c r="DP388" s="49" t="s">
        <v>312</v>
      </c>
      <c r="DQ388" s="48"/>
      <c r="DR388" s="49" t="s">
        <v>312</v>
      </c>
      <c r="DS388" s="49" t="s">
        <v>303</v>
      </c>
      <c r="DT388" s="49" t="s">
        <v>303</v>
      </c>
      <c r="DW388" s="49" t="s">
        <v>303</v>
      </c>
      <c r="EA388" s="49" t="s">
        <v>324</v>
      </c>
      <c r="EB388" s="49" t="s">
        <v>303</v>
      </c>
      <c r="EH388" s="49" t="s">
        <v>310</v>
      </c>
      <c r="EJ388" s="49" t="s">
        <v>303</v>
      </c>
      <c r="EK388" s="49" t="s">
        <v>1694</v>
      </c>
      <c r="EM388" s="49" t="s">
        <v>303</v>
      </c>
      <c r="EN388" s="49" t="s">
        <v>374</v>
      </c>
      <c r="EP388" s="49" t="s">
        <v>298</v>
      </c>
      <c r="EQ388" s="0" t="n">
        <v>1</v>
      </c>
      <c r="ER388" s="49" t="s">
        <v>328</v>
      </c>
      <c r="ES388" s="49" t="s">
        <v>342</v>
      </c>
      <c r="ET388" s="49" t="s">
        <v>310</v>
      </c>
      <c r="EU388" s="49" t="s">
        <v>310</v>
      </c>
      <c r="EV388" s="49" t="s">
        <v>310</v>
      </c>
      <c r="EX388" s="49" t="s">
        <v>303</v>
      </c>
      <c r="EY388" s="49" t="s">
        <v>303</v>
      </c>
      <c r="FC388" s="49" t="s">
        <v>330</v>
      </c>
      <c r="FD388" s="49" t="s">
        <v>310</v>
      </c>
      <c r="FE388" s="49" t="s">
        <v>310</v>
      </c>
      <c r="FF388" s="49" t="s">
        <v>58</v>
      </c>
      <c r="FG388" s="49" t="s">
        <v>375</v>
      </c>
      <c r="FH388" s="49" t="s">
        <v>310</v>
      </c>
      <c r="FI388" s="49" t="s">
        <v>332</v>
      </c>
      <c r="FJ388" s="49" t="s">
        <v>303</v>
      </c>
      <c r="FL388" s="49" t="s">
        <v>325</v>
      </c>
      <c r="FM388" s="49" t="s">
        <v>1684</v>
      </c>
      <c r="FP388" s="49" t="s">
        <v>303</v>
      </c>
      <c r="FR388" s="49" t="s">
        <v>303</v>
      </c>
      <c r="FT388" s="49" t="s">
        <v>325</v>
      </c>
      <c r="FU388" s="49" t="s">
        <v>325</v>
      </c>
      <c r="FW388" s="49" t="s">
        <v>333</v>
      </c>
    </row>
    <row r="389" customFormat="false" ht="15" hidden="false" customHeight="false" outlineLevel="0" collapsed="false">
      <c r="A389" s="0" t="n">
        <v>100874810</v>
      </c>
      <c r="B389" s="0" t="s">
        <v>295</v>
      </c>
      <c r="C389" s="0" t="s">
        <v>58</v>
      </c>
      <c r="D389" s="0" t="s">
        <v>59</v>
      </c>
      <c r="E389" s="0" t="s">
        <v>297</v>
      </c>
      <c r="G389" s="0" t="n">
        <v>1</v>
      </c>
      <c r="H389" s="0" t="s">
        <v>298</v>
      </c>
      <c r="I389" s="48" t="n">
        <v>46256</v>
      </c>
      <c r="J389" s="0" t="n">
        <v>1</v>
      </c>
      <c r="K389" s="49" t="s">
        <v>1684</v>
      </c>
      <c r="L389" s="49" t="s">
        <v>1035</v>
      </c>
      <c r="M389" s="48" t="n">
        <v>46256</v>
      </c>
      <c r="N389" s="49" t="s">
        <v>1035</v>
      </c>
      <c r="O389" s="49" t="s">
        <v>1052</v>
      </c>
      <c r="P389" s="48"/>
      <c r="Q389" s="48" t="n">
        <v>46256</v>
      </c>
      <c r="R389" s="48" t="n">
        <v>46263</v>
      </c>
      <c r="T389" s="49" t="s">
        <v>302</v>
      </c>
      <c r="U389" s="49" t="s">
        <v>303</v>
      </c>
      <c r="Y389" s="49" t="s">
        <v>1695</v>
      </c>
      <c r="AD389" s="49" t="s">
        <v>305</v>
      </c>
      <c r="AE389" s="48" t="n">
        <v>46233</v>
      </c>
      <c r="AF389" s="49" t="s">
        <v>306</v>
      </c>
      <c r="AG389" s="49" t="s">
        <v>307</v>
      </c>
      <c r="AK389" s="49" t="s">
        <v>1047</v>
      </c>
      <c r="AL389" s="49" t="s">
        <v>297</v>
      </c>
      <c r="AO389" s="49" t="s">
        <v>303</v>
      </c>
      <c r="AP389" s="48"/>
      <c r="AR389" s="49" t="s">
        <v>303</v>
      </c>
      <c r="AS389" s="49" t="s">
        <v>306</v>
      </c>
      <c r="AT389" s="49" t="s">
        <v>1696</v>
      </c>
      <c r="AV389" s="49" t="s">
        <v>309</v>
      </c>
      <c r="AW389" s="49" t="s">
        <v>310</v>
      </c>
      <c r="AX389" s="49" t="s">
        <v>311</v>
      </c>
      <c r="AY389" s="48"/>
      <c r="AZ389" s="48" t="n">
        <v>46248</v>
      </c>
      <c r="BC389" s="49" t="s">
        <v>303</v>
      </c>
      <c r="BD389" s="48" t="n">
        <v>46275</v>
      </c>
      <c r="BE389" s="49" t="s">
        <v>1697</v>
      </c>
      <c r="BF389" s="49" t="s">
        <v>303</v>
      </c>
      <c r="BG389" s="48"/>
      <c r="BI389" s="48" t="n">
        <v>46275</v>
      </c>
      <c r="BJ389" s="48" t="n">
        <v>46261</v>
      </c>
      <c r="BK389" s="49" t="s">
        <v>312</v>
      </c>
      <c r="BL389" s="49" t="s">
        <v>313</v>
      </c>
      <c r="BM389" s="49" t="s">
        <v>310</v>
      </c>
      <c r="BN389" s="48"/>
      <c r="BO389" s="48"/>
      <c r="BP389" s="48"/>
      <c r="BQ389" s="49" t="s">
        <v>1684</v>
      </c>
      <c r="BR389" s="48" t="n">
        <v>46255</v>
      </c>
      <c r="BS389" s="49" t="s">
        <v>1698</v>
      </c>
      <c r="BT389" s="49" t="s">
        <v>312</v>
      </c>
      <c r="BU389" s="49" t="s">
        <v>312</v>
      </c>
      <c r="BV389" s="49" t="s">
        <v>303</v>
      </c>
      <c r="BX389" s="0" t="n">
        <v>1</v>
      </c>
      <c r="CC389" s="49" t="s">
        <v>315</v>
      </c>
      <c r="CD389" s="49" t="s">
        <v>303</v>
      </c>
      <c r="CF389" s="49" t="s">
        <v>303</v>
      </c>
      <c r="CG389" s="49" t="s">
        <v>316</v>
      </c>
      <c r="CH389" s="49" t="s">
        <v>317</v>
      </c>
      <c r="CI389" s="49" t="s">
        <v>318</v>
      </c>
      <c r="CM389" s="49" t="s">
        <v>59</v>
      </c>
      <c r="CV389" s="49" t="s">
        <v>303</v>
      </c>
      <c r="DB389" s="49" t="s">
        <v>319</v>
      </c>
      <c r="DD389" s="48" t="n">
        <v>46233</v>
      </c>
      <c r="DF389" s="49" t="s">
        <v>310</v>
      </c>
      <c r="DG389" s="49" t="s">
        <v>320</v>
      </c>
      <c r="DH389" s="49" t="s">
        <v>58</v>
      </c>
      <c r="DI389" s="49" t="s">
        <v>298</v>
      </c>
      <c r="DJ389" s="49" t="s">
        <v>367</v>
      </c>
      <c r="DK389" s="49" t="s">
        <v>322</v>
      </c>
      <c r="DL389" s="49" t="s">
        <v>323</v>
      </c>
      <c r="DM389" s="49" t="s">
        <v>303</v>
      </c>
      <c r="DN389" s="49" t="s">
        <v>297</v>
      </c>
      <c r="DO389" s="48"/>
      <c r="DP389" s="49" t="s">
        <v>312</v>
      </c>
      <c r="DQ389" s="48"/>
      <c r="DR389" s="49" t="s">
        <v>312</v>
      </c>
      <c r="DS389" s="49" t="s">
        <v>303</v>
      </c>
      <c r="DT389" s="49" t="s">
        <v>303</v>
      </c>
      <c r="DW389" s="49" t="s">
        <v>303</v>
      </c>
      <c r="EA389" s="49" t="s">
        <v>324</v>
      </c>
      <c r="EB389" s="49" t="s">
        <v>303</v>
      </c>
      <c r="EH389" s="49" t="s">
        <v>310</v>
      </c>
      <c r="EJ389" s="49" t="s">
        <v>303</v>
      </c>
      <c r="EK389" s="49" t="s">
        <v>1699</v>
      </c>
      <c r="EM389" s="49" t="s">
        <v>303</v>
      </c>
      <c r="EN389" s="49" t="s">
        <v>374</v>
      </c>
      <c r="EP389" s="49" t="s">
        <v>298</v>
      </c>
      <c r="EQ389" s="0" t="n">
        <v>1</v>
      </c>
      <c r="ER389" s="49" t="s">
        <v>328</v>
      </c>
      <c r="ES389" s="49" t="s">
        <v>342</v>
      </c>
      <c r="ET389" s="49" t="s">
        <v>310</v>
      </c>
      <c r="EU389" s="49" t="s">
        <v>310</v>
      </c>
      <c r="EV389" s="49" t="s">
        <v>310</v>
      </c>
      <c r="EX389" s="49" t="s">
        <v>303</v>
      </c>
      <c r="EY389" s="49" t="s">
        <v>303</v>
      </c>
      <c r="FC389" s="49" t="s">
        <v>330</v>
      </c>
      <c r="FD389" s="49" t="s">
        <v>310</v>
      </c>
      <c r="FE389" s="49" t="s">
        <v>310</v>
      </c>
      <c r="FF389" s="49" t="s">
        <v>58</v>
      </c>
      <c r="FG389" s="49" t="s">
        <v>375</v>
      </c>
      <c r="FH389" s="49" t="s">
        <v>310</v>
      </c>
      <c r="FI389" s="49" t="s">
        <v>332</v>
      </c>
      <c r="FJ389" s="49" t="s">
        <v>303</v>
      </c>
      <c r="FL389" s="49" t="s">
        <v>325</v>
      </c>
      <c r="FM389" s="49" t="s">
        <v>1684</v>
      </c>
      <c r="FP389" s="49" t="s">
        <v>303</v>
      </c>
      <c r="FR389" s="49" t="s">
        <v>303</v>
      </c>
      <c r="FT389" s="49" t="s">
        <v>325</v>
      </c>
      <c r="FU389" s="49" t="s">
        <v>325</v>
      </c>
      <c r="FW389" s="49" t="s">
        <v>333</v>
      </c>
    </row>
    <row r="390" customFormat="false" ht="15" hidden="false" customHeight="false" outlineLevel="0" collapsed="false">
      <c r="A390" s="0" t="n">
        <v>100874815</v>
      </c>
      <c r="B390" s="0" t="s">
        <v>295</v>
      </c>
      <c r="C390" s="0" t="s">
        <v>64</v>
      </c>
      <c r="D390" s="0" t="s">
        <v>65</v>
      </c>
      <c r="E390" s="0" t="s">
        <v>297</v>
      </c>
      <c r="G390" s="0" t="n">
        <v>1</v>
      </c>
      <c r="H390" s="0" t="s">
        <v>298</v>
      </c>
      <c r="I390" s="48" t="n">
        <v>46256</v>
      </c>
      <c r="J390" s="0" t="n">
        <v>1</v>
      </c>
      <c r="K390" s="49" t="s">
        <v>1684</v>
      </c>
      <c r="L390" s="49" t="s">
        <v>1035</v>
      </c>
      <c r="M390" s="48" t="n">
        <v>46274</v>
      </c>
      <c r="N390" s="49" t="s">
        <v>1204</v>
      </c>
      <c r="O390" s="49" t="s">
        <v>1052</v>
      </c>
      <c r="P390" s="48"/>
      <c r="Q390" s="48" t="n">
        <v>46256</v>
      </c>
      <c r="R390" s="48" t="n">
        <v>46263</v>
      </c>
      <c r="T390" s="49" t="s">
        <v>302</v>
      </c>
      <c r="U390" s="49" t="s">
        <v>303</v>
      </c>
      <c r="Y390" s="49" t="s">
        <v>1700</v>
      </c>
      <c r="AD390" s="49" t="s">
        <v>305</v>
      </c>
      <c r="AE390" s="48" t="n">
        <v>46226</v>
      </c>
      <c r="AF390" s="49" t="s">
        <v>306</v>
      </c>
      <c r="AG390" s="49" t="s">
        <v>307</v>
      </c>
      <c r="AK390" s="49" t="s">
        <v>1047</v>
      </c>
      <c r="AL390" s="49" t="s">
        <v>297</v>
      </c>
      <c r="AO390" s="49" t="s">
        <v>303</v>
      </c>
      <c r="AP390" s="48"/>
      <c r="AR390" s="49" t="s">
        <v>303</v>
      </c>
      <c r="AS390" s="49" t="s">
        <v>306</v>
      </c>
      <c r="AT390" s="49" t="s">
        <v>1701</v>
      </c>
      <c r="AV390" s="49" t="s">
        <v>309</v>
      </c>
      <c r="AW390" s="49" t="s">
        <v>310</v>
      </c>
      <c r="AX390" s="49" t="s">
        <v>311</v>
      </c>
      <c r="AY390" s="48"/>
      <c r="AZ390" s="48" t="n">
        <v>46254</v>
      </c>
      <c r="BC390" s="49" t="s">
        <v>303</v>
      </c>
      <c r="BD390" s="48" t="n">
        <v>46274</v>
      </c>
      <c r="BE390" s="49" t="s">
        <v>1702</v>
      </c>
      <c r="BF390" s="49" t="s">
        <v>303</v>
      </c>
      <c r="BG390" s="48"/>
      <c r="BI390" s="48" t="n">
        <v>46274</v>
      </c>
      <c r="BJ390" s="48" t="n">
        <v>46261</v>
      </c>
      <c r="BK390" s="49" t="s">
        <v>312</v>
      </c>
      <c r="BL390" s="49" t="s">
        <v>313</v>
      </c>
      <c r="BM390" s="49" t="s">
        <v>310</v>
      </c>
      <c r="BN390" s="48"/>
      <c r="BO390" s="48"/>
      <c r="BP390" s="48"/>
      <c r="BQ390" s="49" t="s">
        <v>1684</v>
      </c>
      <c r="BR390" s="48" t="n">
        <v>46261</v>
      </c>
      <c r="BS390" s="49" t="s">
        <v>1698</v>
      </c>
      <c r="BT390" s="49" t="s">
        <v>312</v>
      </c>
      <c r="BU390" s="49" t="s">
        <v>313</v>
      </c>
      <c r="BV390" s="49" t="s">
        <v>303</v>
      </c>
      <c r="BX390" s="0" t="n">
        <v>1</v>
      </c>
      <c r="CC390" s="49" t="s">
        <v>315</v>
      </c>
      <c r="CD390" s="49" t="s">
        <v>303</v>
      </c>
      <c r="CF390" s="49" t="s">
        <v>303</v>
      </c>
      <c r="CG390" s="49" t="s">
        <v>316</v>
      </c>
      <c r="CH390" s="49" t="s">
        <v>317</v>
      </c>
      <c r="CI390" s="49" t="s">
        <v>318</v>
      </c>
      <c r="CM390" s="49" t="s">
        <v>65</v>
      </c>
      <c r="CV390" s="49" t="s">
        <v>303</v>
      </c>
      <c r="DB390" s="49" t="s">
        <v>319</v>
      </c>
      <c r="DD390" s="48" t="n">
        <v>46226</v>
      </c>
      <c r="DF390" s="49" t="s">
        <v>310</v>
      </c>
      <c r="DG390" s="49" t="s">
        <v>320</v>
      </c>
      <c r="DH390" s="49" t="s">
        <v>64</v>
      </c>
      <c r="DI390" s="49" t="s">
        <v>298</v>
      </c>
      <c r="DJ390" s="49" t="s">
        <v>394</v>
      </c>
      <c r="DK390" s="49" t="s">
        <v>322</v>
      </c>
      <c r="DL390" s="49" t="s">
        <v>323</v>
      </c>
      <c r="DM390" s="49" t="s">
        <v>303</v>
      </c>
      <c r="DN390" s="49" t="s">
        <v>297</v>
      </c>
      <c r="DO390" s="48"/>
      <c r="DP390" s="49" t="s">
        <v>312</v>
      </c>
      <c r="DQ390" s="48"/>
      <c r="DR390" s="49" t="s">
        <v>312</v>
      </c>
      <c r="DS390" s="49" t="s">
        <v>303</v>
      </c>
      <c r="DT390" s="49" t="s">
        <v>303</v>
      </c>
      <c r="DW390" s="49" t="s">
        <v>303</v>
      </c>
      <c r="EA390" s="49" t="s">
        <v>324</v>
      </c>
      <c r="EB390" s="49" t="s">
        <v>303</v>
      </c>
      <c r="EH390" s="49" t="s">
        <v>310</v>
      </c>
      <c r="EJ390" s="49" t="s">
        <v>303</v>
      </c>
      <c r="EK390" s="49" t="s">
        <v>1703</v>
      </c>
      <c r="EM390" s="49" t="s">
        <v>303</v>
      </c>
      <c r="EN390" s="49" t="s">
        <v>396</v>
      </c>
      <c r="EP390" s="49" t="s">
        <v>298</v>
      </c>
      <c r="EQ390" s="0" t="n">
        <v>1</v>
      </c>
      <c r="ER390" s="49" t="s">
        <v>328</v>
      </c>
      <c r="ES390" s="49" t="s">
        <v>329</v>
      </c>
      <c r="ET390" s="49" t="s">
        <v>310</v>
      </c>
      <c r="EU390" s="49" t="s">
        <v>310</v>
      </c>
      <c r="EV390" s="49" t="s">
        <v>310</v>
      </c>
      <c r="EX390" s="49" t="s">
        <v>303</v>
      </c>
      <c r="EY390" s="49" t="s">
        <v>303</v>
      </c>
      <c r="FC390" s="49" t="s">
        <v>330</v>
      </c>
      <c r="FD390" s="49" t="s">
        <v>310</v>
      </c>
      <c r="FE390" s="49" t="s">
        <v>310</v>
      </c>
      <c r="FF390" s="49" t="s">
        <v>64</v>
      </c>
      <c r="FG390" s="49" t="s">
        <v>397</v>
      </c>
      <c r="FH390" s="49" t="s">
        <v>310</v>
      </c>
      <c r="FI390" s="49" t="s">
        <v>332</v>
      </c>
      <c r="FJ390" s="49" t="s">
        <v>303</v>
      </c>
      <c r="FL390" s="49" t="s">
        <v>325</v>
      </c>
      <c r="FM390" s="49" t="s">
        <v>1684</v>
      </c>
      <c r="FP390" s="49" t="s">
        <v>303</v>
      </c>
      <c r="FR390" s="49" t="s">
        <v>303</v>
      </c>
      <c r="FT390" s="49" t="s">
        <v>325</v>
      </c>
      <c r="FU390" s="49" t="s">
        <v>325</v>
      </c>
      <c r="FW390" s="49" t="s">
        <v>333</v>
      </c>
    </row>
    <row r="391" customFormat="false" ht="15" hidden="false" customHeight="false" outlineLevel="0" collapsed="false">
      <c r="A391" s="0" t="n">
        <v>100874816</v>
      </c>
      <c r="B391" s="0" t="s">
        <v>295</v>
      </c>
      <c r="C391" s="0" t="s">
        <v>64</v>
      </c>
      <c r="D391" s="0" t="s">
        <v>65</v>
      </c>
      <c r="E391" s="0" t="s">
        <v>297</v>
      </c>
      <c r="G391" s="0" t="n">
        <v>1</v>
      </c>
      <c r="H391" s="0" t="s">
        <v>298</v>
      </c>
      <c r="I391" s="48" t="n">
        <v>46256</v>
      </c>
      <c r="J391" s="0" t="n">
        <v>1</v>
      </c>
      <c r="K391" s="49" t="s">
        <v>1684</v>
      </c>
      <c r="L391" s="49" t="s">
        <v>1035</v>
      </c>
      <c r="M391" s="48" t="n">
        <v>46274</v>
      </c>
      <c r="N391" s="49" t="s">
        <v>1204</v>
      </c>
      <c r="O391" s="49" t="s">
        <v>1052</v>
      </c>
      <c r="P391" s="48"/>
      <c r="Q391" s="48" t="n">
        <v>46256</v>
      </c>
      <c r="R391" s="48" t="n">
        <v>46262</v>
      </c>
      <c r="T391" s="49" t="s">
        <v>302</v>
      </c>
      <c r="U391" s="49" t="s">
        <v>303</v>
      </c>
      <c r="Y391" s="49" t="s">
        <v>1704</v>
      </c>
      <c r="AD391" s="49" t="s">
        <v>305</v>
      </c>
      <c r="AE391" s="48" t="n">
        <v>46226</v>
      </c>
      <c r="AF391" s="49" t="s">
        <v>306</v>
      </c>
      <c r="AG391" s="49" t="s">
        <v>307</v>
      </c>
      <c r="AK391" s="49" t="s">
        <v>1047</v>
      </c>
      <c r="AL391" s="49" t="s">
        <v>297</v>
      </c>
      <c r="AO391" s="49" t="s">
        <v>303</v>
      </c>
      <c r="AP391" s="48"/>
      <c r="AR391" s="49" t="s">
        <v>303</v>
      </c>
      <c r="AS391" s="49" t="s">
        <v>306</v>
      </c>
      <c r="AT391" s="49" t="s">
        <v>1705</v>
      </c>
      <c r="AV391" s="49" t="s">
        <v>309</v>
      </c>
      <c r="AW391" s="49" t="s">
        <v>310</v>
      </c>
      <c r="AX391" s="49" t="s">
        <v>311</v>
      </c>
      <c r="AY391" s="48"/>
      <c r="AZ391" s="48" t="n">
        <v>46254</v>
      </c>
      <c r="BC391" s="49" t="s">
        <v>303</v>
      </c>
      <c r="BD391" s="48" t="n">
        <v>46274</v>
      </c>
      <c r="BE391" s="49" t="s">
        <v>1706</v>
      </c>
      <c r="BF391" s="49" t="s">
        <v>303</v>
      </c>
      <c r="BG391" s="48"/>
      <c r="BI391" s="48" t="n">
        <v>46274</v>
      </c>
      <c r="BJ391" s="48" t="n">
        <v>46261</v>
      </c>
      <c r="BK391" s="49" t="s">
        <v>313</v>
      </c>
      <c r="BL391" s="49" t="s">
        <v>313</v>
      </c>
      <c r="BM391" s="49" t="s">
        <v>310</v>
      </c>
      <c r="BN391" s="48"/>
      <c r="BO391" s="48"/>
      <c r="BP391" s="48"/>
      <c r="BQ391" s="49" t="s">
        <v>1684</v>
      </c>
      <c r="BR391" s="48" t="n">
        <v>46261</v>
      </c>
      <c r="BS391" s="49" t="s">
        <v>1698</v>
      </c>
      <c r="BT391" s="49" t="s">
        <v>312</v>
      </c>
      <c r="BU391" s="49" t="s">
        <v>313</v>
      </c>
      <c r="BV391" s="49" t="s">
        <v>303</v>
      </c>
      <c r="BX391" s="0" t="n">
        <v>1</v>
      </c>
      <c r="CC391" s="49" t="s">
        <v>315</v>
      </c>
      <c r="CD391" s="49" t="s">
        <v>303</v>
      </c>
      <c r="CF391" s="49" t="s">
        <v>303</v>
      </c>
      <c r="CG391" s="49" t="s">
        <v>316</v>
      </c>
      <c r="CH391" s="49" t="s">
        <v>317</v>
      </c>
      <c r="CI391" s="49" t="s">
        <v>318</v>
      </c>
      <c r="CM391" s="49" t="s">
        <v>65</v>
      </c>
      <c r="CV391" s="49" t="s">
        <v>303</v>
      </c>
      <c r="DB391" s="49" t="s">
        <v>319</v>
      </c>
      <c r="DD391" s="48" t="n">
        <v>46226</v>
      </c>
      <c r="DF391" s="49" t="s">
        <v>310</v>
      </c>
      <c r="DG391" s="49" t="s">
        <v>320</v>
      </c>
      <c r="DH391" s="49" t="s">
        <v>64</v>
      </c>
      <c r="DI391" s="49" t="s">
        <v>298</v>
      </c>
      <c r="DJ391" s="49" t="s">
        <v>394</v>
      </c>
      <c r="DK391" s="49" t="s">
        <v>322</v>
      </c>
      <c r="DL391" s="49" t="s">
        <v>323</v>
      </c>
      <c r="DM391" s="49" t="s">
        <v>303</v>
      </c>
      <c r="DN391" s="49" t="s">
        <v>297</v>
      </c>
      <c r="DO391" s="48"/>
      <c r="DP391" s="49" t="s">
        <v>312</v>
      </c>
      <c r="DQ391" s="48"/>
      <c r="DR391" s="49" t="s">
        <v>312</v>
      </c>
      <c r="DS391" s="49" t="s">
        <v>303</v>
      </c>
      <c r="DT391" s="49" t="s">
        <v>303</v>
      </c>
      <c r="DW391" s="49" t="s">
        <v>303</v>
      </c>
      <c r="EA391" s="49" t="s">
        <v>324</v>
      </c>
      <c r="EB391" s="49" t="s">
        <v>303</v>
      </c>
      <c r="EF391" s="49" t="s">
        <v>1707</v>
      </c>
      <c r="EH391" s="49" t="s">
        <v>310</v>
      </c>
      <c r="EJ391" s="49" t="s">
        <v>303</v>
      </c>
      <c r="EK391" s="49" t="s">
        <v>1708</v>
      </c>
      <c r="EM391" s="49" t="s">
        <v>303</v>
      </c>
      <c r="EN391" s="49" t="s">
        <v>396</v>
      </c>
      <c r="EP391" s="49" t="s">
        <v>298</v>
      </c>
      <c r="EQ391" s="0" t="n">
        <v>1</v>
      </c>
      <c r="ER391" s="49" t="s">
        <v>328</v>
      </c>
      <c r="ES391" s="49" t="s">
        <v>329</v>
      </c>
      <c r="ET391" s="49" t="s">
        <v>310</v>
      </c>
      <c r="EU391" s="49" t="s">
        <v>310</v>
      </c>
      <c r="EV391" s="49" t="s">
        <v>310</v>
      </c>
      <c r="EX391" s="49" t="s">
        <v>303</v>
      </c>
      <c r="EY391" s="49" t="s">
        <v>303</v>
      </c>
      <c r="FC391" s="49" t="s">
        <v>330</v>
      </c>
      <c r="FD391" s="49" t="s">
        <v>310</v>
      </c>
      <c r="FE391" s="49" t="s">
        <v>310</v>
      </c>
      <c r="FF391" s="49" t="s">
        <v>64</v>
      </c>
      <c r="FG391" s="49" t="s">
        <v>397</v>
      </c>
      <c r="FH391" s="49" t="s">
        <v>310</v>
      </c>
      <c r="FI391" s="49" t="s">
        <v>332</v>
      </c>
      <c r="FJ391" s="49" t="s">
        <v>303</v>
      </c>
      <c r="FL391" s="49" t="s">
        <v>325</v>
      </c>
      <c r="FM391" s="49" t="s">
        <v>1684</v>
      </c>
      <c r="FP391" s="49" t="s">
        <v>303</v>
      </c>
      <c r="FR391" s="49" t="s">
        <v>303</v>
      </c>
      <c r="FT391" s="49" t="s">
        <v>325</v>
      </c>
      <c r="FU391" s="49" t="s">
        <v>325</v>
      </c>
      <c r="FW391" s="49" t="s">
        <v>333</v>
      </c>
    </row>
    <row r="392" customFormat="false" ht="15" hidden="false" customHeight="false" outlineLevel="0" collapsed="false">
      <c r="A392" s="0" t="n">
        <v>100874817</v>
      </c>
      <c r="B392" s="0" t="s">
        <v>295</v>
      </c>
      <c r="C392" s="0" t="s">
        <v>64</v>
      </c>
      <c r="D392" s="0" t="s">
        <v>65</v>
      </c>
      <c r="E392" s="0" t="s">
        <v>297</v>
      </c>
      <c r="G392" s="0" t="n">
        <v>1</v>
      </c>
      <c r="H392" s="0" t="s">
        <v>298</v>
      </c>
      <c r="I392" s="48" t="n">
        <v>46256</v>
      </c>
      <c r="J392" s="0" t="n">
        <v>1</v>
      </c>
      <c r="K392" s="49" t="s">
        <v>1684</v>
      </c>
      <c r="L392" s="49" t="s">
        <v>1035</v>
      </c>
      <c r="M392" s="48" t="n">
        <v>46274</v>
      </c>
      <c r="N392" s="49" t="s">
        <v>1204</v>
      </c>
      <c r="O392" s="49" t="s">
        <v>1052</v>
      </c>
      <c r="P392" s="48"/>
      <c r="Q392" s="48" t="n">
        <v>46256</v>
      </c>
      <c r="R392" s="48" t="n">
        <v>46262</v>
      </c>
      <c r="T392" s="49" t="s">
        <v>302</v>
      </c>
      <c r="U392" s="49" t="s">
        <v>303</v>
      </c>
      <c r="Y392" s="49" t="s">
        <v>1709</v>
      </c>
      <c r="AD392" s="49" t="s">
        <v>305</v>
      </c>
      <c r="AE392" s="48" t="n">
        <v>46226</v>
      </c>
      <c r="AF392" s="49" t="s">
        <v>306</v>
      </c>
      <c r="AG392" s="49" t="s">
        <v>307</v>
      </c>
      <c r="AK392" s="49" t="s">
        <v>1047</v>
      </c>
      <c r="AL392" s="49" t="s">
        <v>297</v>
      </c>
      <c r="AO392" s="49" t="s">
        <v>303</v>
      </c>
      <c r="AP392" s="48"/>
      <c r="AR392" s="49" t="s">
        <v>303</v>
      </c>
      <c r="AS392" s="49" t="s">
        <v>306</v>
      </c>
      <c r="AT392" s="49" t="s">
        <v>1710</v>
      </c>
      <c r="AV392" s="49" t="s">
        <v>309</v>
      </c>
      <c r="AW392" s="49" t="s">
        <v>310</v>
      </c>
      <c r="AX392" s="49" t="s">
        <v>311</v>
      </c>
      <c r="AY392" s="48"/>
      <c r="AZ392" s="48" t="n">
        <v>46254</v>
      </c>
      <c r="BC392" s="49" t="s">
        <v>303</v>
      </c>
      <c r="BD392" s="48" t="n">
        <v>46274</v>
      </c>
      <c r="BE392" s="49" t="s">
        <v>1711</v>
      </c>
      <c r="BF392" s="49" t="s">
        <v>303</v>
      </c>
      <c r="BG392" s="48"/>
      <c r="BI392" s="48" t="n">
        <v>46274</v>
      </c>
      <c r="BJ392" s="48" t="n">
        <v>46261</v>
      </c>
      <c r="BK392" s="49" t="s">
        <v>313</v>
      </c>
      <c r="BL392" s="49" t="s">
        <v>313</v>
      </c>
      <c r="BM392" s="49" t="s">
        <v>310</v>
      </c>
      <c r="BN392" s="48"/>
      <c r="BO392" s="48"/>
      <c r="BP392" s="48"/>
      <c r="BQ392" s="49" t="s">
        <v>1684</v>
      </c>
      <c r="BR392" s="48" t="n">
        <v>46261</v>
      </c>
      <c r="BS392" s="49" t="s">
        <v>1304</v>
      </c>
      <c r="BT392" s="49" t="s">
        <v>312</v>
      </c>
      <c r="BU392" s="49" t="s">
        <v>313</v>
      </c>
      <c r="BV392" s="49" t="s">
        <v>303</v>
      </c>
      <c r="BX392" s="0" t="n">
        <v>1</v>
      </c>
      <c r="CC392" s="49" t="s">
        <v>315</v>
      </c>
      <c r="CD392" s="49" t="s">
        <v>303</v>
      </c>
      <c r="CF392" s="49" t="s">
        <v>303</v>
      </c>
      <c r="CG392" s="49" t="s">
        <v>316</v>
      </c>
      <c r="CH392" s="49" t="s">
        <v>317</v>
      </c>
      <c r="CI392" s="49" t="s">
        <v>318</v>
      </c>
      <c r="CM392" s="49" t="s">
        <v>65</v>
      </c>
      <c r="CV392" s="49" t="s">
        <v>303</v>
      </c>
      <c r="DB392" s="49" t="s">
        <v>319</v>
      </c>
      <c r="DD392" s="48" t="n">
        <v>46226</v>
      </c>
      <c r="DF392" s="49" t="s">
        <v>310</v>
      </c>
      <c r="DG392" s="49" t="s">
        <v>320</v>
      </c>
      <c r="DH392" s="49" t="s">
        <v>64</v>
      </c>
      <c r="DI392" s="49" t="s">
        <v>298</v>
      </c>
      <c r="DJ392" s="49" t="s">
        <v>394</v>
      </c>
      <c r="DK392" s="49" t="s">
        <v>322</v>
      </c>
      <c r="DL392" s="49" t="s">
        <v>323</v>
      </c>
      <c r="DM392" s="49" t="s">
        <v>303</v>
      </c>
      <c r="DN392" s="49" t="s">
        <v>297</v>
      </c>
      <c r="DO392" s="48"/>
      <c r="DP392" s="49" t="s">
        <v>312</v>
      </c>
      <c r="DQ392" s="48"/>
      <c r="DR392" s="49" t="s">
        <v>312</v>
      </c>
      <c r="DS392" s="49" t="s">
        <v>303</v>
      </c>
      <c r="DT392" s="49" t="s">
        <v>303</v>
      </c>
      <c r="DW392" s="49" t="s">
        <v>303</v>
      </c>
      <c r="EA392" s="49" t="s">
        <v>324</v>
      </c>
      <c r="EB392" s="49" t="s">
        <v>303</v>
      </c>
      <c r="EF392" s="49" t="s">
        <v>1707</v>
      </c>
      <c r="EH392" s="49" t="s">
        <v>310</v>
      </c>
      <c r="EJ392" s="49" t="s">
        <v>303</v>
      </c>
      <c r="EK392" s="49" t="s">
        <v>1712</v>
      </c>
      <c r="EM392" s="49" t="s">
        <v>303</v>
      </c>
      <c r="EN392" s="49" t="s">
        <v>396</v>
      </c>
      <c r="EP392" s="49" t="s">
        <v>298</v>
      </c>
      <c r="EQ392" s="0" t="n">
        <v>1</v>
      </c>
      <c r="ER392" s="49" t="s">
        <v>328</v>
      </c>
      <c r="ES392" s="49" t="s">
        <v>329</v>
      </c>
      <c r="ET392" s="49" t="s">
        <v>310</v>
      </c>
      <c r="EU392" s="49" t="s">
        <v>310</v>
      </c>
      <c r="EV392" s="49" t="s">
        <v>310</v>
      </c>
      <c r="EX392" s="49" t="s">
        <v>303</v>
      </c>
      <c r="EY392" s="49" t="s">
        <v>303</v>
      </c>
      <c r="FC392" s="49" t="s">
        <v>330</v>
      </c>
      <c r="FD392" s="49" t="s">
        <v>310</v>
      </c>
      <c r="FE392" s="49" t="s">
        <v>310</v>
      </c>
      <c r="FF392" s="49" t="s">
        <v>64</v>
      </c>
      <c r="FG392" s="49" t="s">
        <v>397</v>
      </c>
      <c r="FH392" s="49" t="s">
        <v>310</v>
      </c>
      <c r="FI392" s="49" t="s">
        <v>332</v>
      </c>
      <c r="FJ392" s="49" t="s">
        <v>303</v>
      </c>
      <c r="FL392" s="49" t="s">
        <v>325</v>
      </c>
      <c r="FM392" s="49" t="s">
        <v>1684</v>
      </c>
      <c r="FP392" s="49" t="s">
        <v>303</v>
      </c>
      <c r="FR392" s="49" t="s">
        <v>303</v>
      </c>
      <c r="FT392" s="49" t="s">
        <v>325</v>
      </c>
      <c r="FU392" s="49" t="s">
        <v>325</v>
      </c>
      <c r="FW392" s="49" t="s">
        <v>333</v>
      </c>
    </row>
    <row r="393" customFormat="false" ht="15" hidden="false" customHeight="false" outlineLevel="0" collapsed="false">
      <c r="A393" s="0" t="n">
        <v>100874818</v>
      </c>
      <c r="B393" s="0" t="s">
        <v>295</v>
      </c>
      <c r="C393" s="0" t="s">
        <v>64</v>
      </c>
      <c r="D393" s="0" t="s">
        <v>65</v>
      </c>
      <c r="E393" s="0" t="s">
        <v>297</v>
      </c>
      <c r="G393" s="0" t="n">
        <v>1</v>
      </c>
      <c r="H393" s="0" t="s">
        <v>298</v>
      </c>
      <c r="I393" s="48" t="n">
        <v>46256</v>
      </c>
      <c r="J393" s="0" t="n">
        <v>1</v>
      </c>
      <c r="K393" s="49" t="s">
        <v>1684</v>
      </c>
      <c r="L393" s="49" t="s">
        <v>1035</v>
      </c>
      <c r="M393" s="48" t="n">
        <v>46274</v>
      </c>
      <c r="N393" s="49" t="s">
        <v>1204</v>
      </c>
      <c r="O393" s="49" t="s">
        <v>1052</v>
      </c>
      <c r="P393" s="48"/>
      <c r="Q393" s="48" t="n">
        <v>46256</v>
      </c>
      <c r="R393" s="48" t="n">
        <v>46262</v>
      </c>
      <c r="T393" s="49" t="s">
        <v>302</v>
      </c>
      <c r="U393" s="49" t="s">
        <v>303</v>
      </c>
      <c r="Y393" s="49" t="s">
        <v>1713</v>
      </c>
      <c r="AD393" s="49" t="s">
        <v>305</v>
      </c>
      <c r="AE393" s="48" t="n">
        <v>46226</v>
      </c>
      <c r="AF393" s="49" t="s">
        <v>306</v>
      </c>
      <c r="AG393" s="49" t="s">
        <v>307</v>
      </c>
      <c r="AK393" s="49" t="s">
        <v>1047</v>
      </c>
      <c r="AL393" s="49" t="s">
        <v>297</v>
      </c>
      <c r="AO393" s="49" t="s">
        <v>303</v>
      </c>
      <c r="AP393" s="48"/>
      <c r="AR393" s="49" t="s">
        <v>303</v>
      </c>
      <c r="AS393" s="49" t="s">
        <v>306</v>
      </c>
      <c r="AT393" s="49" t="s">
        <v>1714</v>
      </c>
      <c r="AV393" s="49" t="s">
        <v>309</v>
      </c>
      <c r="AW393" s="49" t="s">
        <v>310</v>
      </c>
      <c r="AX393" s="49" t="s">
        <v>311</v>
      </c>
      <c r="AY393" s="48"/>
      <c r="AZ393" s="48" t="n">
        <v>46254</v>
      </c>
      <c r="BC393" s="49" t="s">
        <v>303</v>
      </c>
      <c r="BD393" s="48" t="n">
        <v>46274</v>
      </c>
      <c r="BE393" s="49" t="s">
        <v>1715</v>
      </c>
      <c r="BF393" s="49" t="s">
        <v>303</v>
      </c>
      <c r="BG393" s="48"/>
      <c r="BI393" s="48" t="n">
        <v>46274</v>
      </c>
      <c r="BJ393" s="48" t="n">
        <v>46261</v>
      </c>
      <c r="BK393" s="49" t="s">
        <v>313</v>
      </c>
      <c r="BL393" s="49" t="s">
        <v>313</v>
      </c>
      <c r="BM393" s="49" t="s">
        <v>310</v>
      </c>
      <c r="BN393" s="48"/>
      <c r="BO393" s="48"/>
      <c r="BP393" s="48"/>
      <c r="BQ393" s="49" t="s">
        <v>1684</v>
      </c>
      <c r="BR393" s="48" t="n">
        <v>46261</v>
      </c>
      <c r="BS393" s="49" t="s">
        <v>1304</v>
      </c>
      <c r="BT393" s="49" t="s">
        <v>312</v>
      </c>
      <c r="BU393" s="49" t="s">
        <v>313</v>
      </c>
      <c r="BV393" s="49" t="s">
        <v>303</v>
      </c>
      <c r="BX393" s="0" t="n">
        <v>1</v>
      </c>
      <c r="CC393" s="49" t="s">
        <v>315</v>
      </c>
      <c r="CD393" s="49" t="s">
        <v>303</v>
      </c>
      <c r="CF393" s="49" t="s">
        <v>303</v>
      </c>
      <c r="CG393" s="49" t="s">
        <v>316</v>
      </c>
      <c r="CH393" s="49" t="s">
        <v>317</v>
      </c>
      <c r="CI393" s="49" t="s">
        <v>318</v>
      </c>
      <c r="CM393" s="49" t="s">
        <v>65</v>
      </c>
      <c r="CV393" s="49" t="s">
        <v>303</v>
      </c>
      <c r="DB393" s="49" t="s">
        <v>319</v>
      </c>
      <c r="DD393" s="48" t="n">
        <v>46226</v>
      </c>
      <c r="DF393" s="49" t="s">
        <v>310</v>
      </c>
      <c r="DG393" s="49" t="s">
        <v>320</v>
      </c>
      <c r="DH393" s="49" t="s">
        <v>64</v>
      </c>
      <c r="DI393" s="49" t="s">
        <v>298</v>
      </c>
      <c r="DJ393" s="49" t="s">
        <v>394</v>
      </c>
      <c r="DK393" s="49" t="s">
        <v>322</v>
      </c>
      <c r="DL393" s="49" t="s">
        <v>323</v>
      </c>
      <c r="DM393" s="49" t="s">
        <v>303</v>
      </c>
      <c r="DN393" s="49" t="s">
        <v>297</v>
      </c>
      <c r="DO393" s="48"/>
      <c r="DP393" s="49" t="s">
        <v>312</v>
      </c>
      <c r="DQ393" s="48"/>
      <c r="DR393" s="49" t="s">
        <v>312</v>
      </c>
      <c r="DS393" s="49" t="s">
        <v>303</v>
      </c>
      <c r="DT393" s="49" t="s">
        <v>303</v>
      </c>
      <c r="DW393" s="49" t="s">
        <v>303</v>
      </c>
      <c r="EA393" s="49" t="s">
        <v>324</v>
      </c>
      <c r="EB393" s="49" t="s">
        <v>303</v>
      </c>
      <c r="EF393" s="49" t="s">
        <v>1707</v>
      </c>
      <c r="EH393" s="49" t="s">
        <v>310</v>
      </c>
      <c r="EJ393" s="49" t="s">
        <v>303</v>
      </c>
      <c r="EK393" s="49" t="s">
        <v>1716</v>
      </c>
      <c r="EM393" s="49" t="s">
        <v>303</v>
      </c>
      <c r="EN393" s="49" t="s">
        <v>396</v>
      </c>
      <c r="EP393" s="49" t="s">
        <v>298</v>
      </c>
      <c r="EQ393" s="0" t="n">
        <v>1</v>
      </c>
      <c r="ER393" s="49" t="s">
        <v>328</v>
      </c>
      <c r="ES393" s="49" t="s">
        <v>329</v>
      </c>
      <c r="ET393" s="49" t="s">
        <v>310</v>
      </c>
      <c r="EU393" s="49" t="s">
        <v>310</v>
      </c>
      <c r="EV393" s="49" t="s">
        <v>310</v>
      </c>
      <c r="EX393" s="49" t="s">
        <v>303</v>
      </c>
      <c r="EY393" s="49" t="s">
        <v>303</v>
      </c>
      <c r="FC393" s="49" t="s">
        <v>330</v>
      </c>
      <c r="FD393" s="49" t="s">
        <v>310</v>
      </c>
      <c r="FE393" s="49" t="s">
        <v>310</v>
      </c>
      <c r="FF393" s="49" t="s">
        <v>64</v>
      </c>
      <c r="FG393" s="49" t="s">
        <v>397</v>
      </c>
      <c r="FH393" s="49" t="s">
        <v>310</v>
      </c>
      <c r="FI393" s="49" t="s">
        <v>332</v>
      </c>
      <c r="FJ393" s="49" t="s">
        <v>303</v>
      </c>
      <c r="FL393" s="49" t="s">
        <v>325</v>
      </c>
      <c r="FM393" s="49" t="s">
        <v>1684</v>
      </c>
      <c r="FP393" s="49" t="s">
        <v>303</v>
      </c>
      <c r="FR393" s="49" t="s">
        <v>303</v>
      </c>
      <c r="FT393" s="49" t="s">
        <v>325</v>
      </c>
      <c r="FU393" s="49" t="s">
        <v>325</v>
      </c>
      <c r="FW393" s="49" t="s">
        <v>333</v>
      </c>
    </row>
    <row r="394" customFormat="false" ht="15" hidden="false" customHeight="false" outlineLevel="0" collapsed="false">
      <c r="A394" s="0" t="n">
        <v>100874819</v>
      </c>
      <c r="B394" s="0" t="s">
        <v>295</v>
      </c>
      <c r="C394" s="0" t="s">
        <v>64</v>
      </c>
      <c r="D394" s="0" t="s">
        <v>65</v>
      </c>
      <c r="E394" s="0" t="s">
        <v>297</v>
      </c>
      <c r="G394" s="0" t="n">
        <v>1</v>
      </c>
      <c r="H394" s="0" t="s">
        <v>298</v>
      </c>
      <c r="I394" s="48" t="n">
        <v>46256</v>
      </c>
      <c r="J394" s="0" t="n">
        <v>1</v>
      </c>
      <c r="K394" s="49" t="s">
        <v>1684</v>
      </c>
      <c r="L394" s="49" t="s">
        <v>1035</v>
      </c>
      <c r="M394" s="48" t="n">
        <v>46274</v>
      </c>
      <c r="N394" s="49" t="s">
        <v>1204</v>
      </c>
      <c r="O394" s="49" t="s">
        <v>1052</v>
      </c>
      <c r="P394" s="48"/>
      <c r="Q394" s="48" t="n">
        <v>46256</v>
      </c>
      <c r="R394" s="48" t="n">
        <v>46262</v>
      </c>
      <c r="T394" s="49" t="s">
        <v>302</v>
      </c>
      <c r="U394" s="49" t="s">
        <v>303</v>
      </c>
      <c r="Y394" s="49" t="s">
        <v>1717</v>
      </c>
      <c r="AD394" s="49" t="s">
        <v>305</v>
      </c>
      <c r="AE394" s="48" t="n">
        <v>46226</v>
      </c>
      <c r="AF394" s="49" t="s">
        <v>306</v>
      </c>
      <c r="AG394" s="49" t="s">
        <v>307</v>
      </c>
      <c r="AK394" s="49" t="s">
        <v>1047</v>
      </c>
      <c r="AL394" s="49" t="s">
        <v>297</v>
      </c>
      <c r="AO394" s="49" t="s">
        <v>303</v>
      </c>
      <c r="AP394" s="48"/>
      <c r="AR394" s="49" t="s">
        <v>303</v>
      </c>
      <c r="AS394" s="49" t="s">
        <v>306</v>
      </c>
      <c r="AT394" s="49" t="s">
        <v>1718</v>
      </c>
      <c r="AV394" s="49" t="s">
        <v>309</v>
      </c>
      <c r="AW394" s="49" t="s">
        <v>310</v>
      </c>
      <c r="AX394" s="49" t="s">
        <v>311</v>
      </c>
      <c r="AY394" s="48"/>
      <c r="AZ394" s="48" t="n">
        <v>46254</v>
      </c>
      <c r="BC394" s="49" t="s">
        <v>303</v>
      </c>
      <c r="BD394" s="48" t="n">
        <v>46274</v>
      </c>
      <c r="BE394" s="49" t="s">
        <v>1719</v>
      </c>
      <c r="BF394" s="49" t="s">
        <v>303</v>
      </c>
      <c r="BG394" s="48"/>
      <c r="BI394" s="48" t="n">
        <v>46274</v>
      </c>
      <c r="BJ394" s="48" t="n">
        <v>46261</v>
      </c>
      <c r="BK394" s="49" t="s">
        <v>313</v>
      </c>
      <c r="BL394" s="49" t="s">
        <v>313</v>
      </c>
      <c r="BM394" s="49" t="s">
        <v>310</v>
      </c>
      <c r="BN394" s="48"/>
      <c r="BO394" s="48"/>
      <c r="BP394" s="48"/>
      <c r="BQ394" s="49" t="s">
        <v>1684</v>
      </c>
      <c r="BR394" s="48" t="n">
        <v>46261</v>
      </c>
      <c r="BS394" s="49" t="s">
        <v>1304</v>
      </c>
      <c r="BT394" s="49" t="s">
        <v>312</v>
      </c>
      <c r="BU394" s="49" t="s">
        <v>313</v>
      </c>
      <c r="BV394" s="49" t="s">
        <v>303</v>
      </c>
      <c r="BX394" s="0" t="n">
        <v>1</v>
      </c>
      <c r="CC394" s="49" t="s">
        <v>315</v>
      </c>
      <c r="CD394" s="49" t="s">
        <v>303</v>
      </c>
      <c r="CF394" s="49" t="s">
        <v>303</v>
      </c>
      <c r="CG394" s="49" t="s">
        <v>316</v>
      </c>
      <c r="CH394" s="49" t="s">
        <v>317</v>
      </c>
      <c r="CI394" s="49" t="s">
        <v>318</v>
      </c>
      <c r="CM394" s="49" t="s">
        <v>65</v>
      </c>
      <c r="CV394" s="49" t="s">
        <v>303</v>
      </c>
      <c r="DB394" s="49" t="s">
        <v>319</v>
      </c>
      <c r="DD394" s="48" t="n">
        <v>46226</v>
      </c>
      <c r="DF394" s="49" t="s">
        <v>310</v>
      </c>
      <c r="DG394" s="49" t="s">
        <v>320</v>
      </c>
      <c r="DH394" s="49" t="s">
        <v>64</v>
      </c>
      <c r="DI394" s="49" t="s">
        <v>298</v>
      </c>
      <c r="DJ394" s="49" t="s">
        <v>394</v>
      </c>
      <c r="DK394" s="49" t="s">
        <v>322</v>
      </c>
      <c r="DL394" s="49" t="s">
        <v>323</v>
      </c>
      <c r="DM394" s="49" t="s">
        <v>303</v>
      </c>
      <c r="DN394" s="49" t="s">
        <v>297</v>
      </c>
      <c r="DO394" s="48"/>
      <c r="DP394" s="49" t="s">
        <v>312</v>
      </c>
      <c r="DQ394" s="48"/>
      <c r="DR394" s="49" t="s">
        <v>312</v>
      </c>
      <c r="DS394" s="49" t="s">
        <v>303</v>
      </c>
      <c r="DT394" s="49" t="s">
        <v>303</v>
      </c>
      <c r="DW394" s="49" t="s">
        <v>303</v>
      </c>
      <c r="EA394" s="49" t="s">
        <v>324</v>
      </c>
      <c r="EB394" s="49" t="s">
        <v>303</v>
      </c>
      <c r="EF394" s="49" t="s">
        <v>1707</v>
      </c>
      <c r="EH394" s="49" t="s">
        <v>310</v>
      </c>
      <c r="EJ394" s="49" t="s">
        <v>303</v>
      </c>
      <c r="EK394" s="49" t="s">
        <v>1720</v>
      </c>
      <c r="EM394" s="49" t="s">
        <v>303</v>
      </c>
      <c r="EN394" s="49" t="s">
        <v>396</v>
      </c>
      <c r="EP394" s="49" t="s">
        <v>298</v>
      </c>
      <c r="EQ394" s="0" t="n">
        <v>1</v>
      </c>
      <c r="ER394" s="49" t="s">
        <v>328</v>
      </c>
      <c r="ES394" s="49" t="s">
        <v>329</v>
      </c>
      <c r="ET394" s="49" t="s">
        <v>310</v>
      </c>
      <c r="EU394" s="49" t="s">
        <v>310</v>
      </c>
      <c r="EV394" s="49" t="s">
        <v>310</v>
      </c>
      <c r="EX394" s="49" t="s">
        <v>303</v>
      </c>
      <c r="EY394" s="49" t="s">
        <v>303</v>
      </c>
      <c r="FC394" s="49" t="s">
        <v>330</v>
      </c>
      <c r="FD394" s="49" t="s">
        <v>310</v>
      </c>
      <c r="FE394" s="49" t="s">
        <v>310</v>
      </c>
      <c r="FF394" s="49" t="s">
        <v>64</v>
      </c>
      <c r="FG394" s="49" t="s">
        <v>397</v>
      </c>
      <c r="FH394" s="49" t="s">
        <v>310</v>
      </c>
      <c r="FI394" s="49" t="s">
        <v>332</v>
      </c>
      <c r="FJ394" s="49" t="s">
        <v>303</v>
      </c>
      <c r="FL394" s="49" t="s">
        <v>325</v>
      </c>
      <c r="FM394" s="49" t="s">
        <v>1684</v>
      </c>
      <c r="FP394" s="49" t="s">
        <v>303</v>
      </c>
      <c r="FR394" s="49" t="s">
        <v>303</v>
      </c>
      <c r="FT394" s="49" t="s">
        <v>325</v>
      </c>
      <c r="FU394" s="49" t="s">
        <v>325</v>
      </c>
      <c r="FW394" s="49" t="s">
        <v>333</v>
      </c>
    </row>
    <row r="395" customFormat="false" ht="15" hidden="false" customHeight="false" outlineLevel="0" collapsed="false">
      <c r="A395" s="0" t="n">
        <v>100874820</v>
      </c>
      <c r="B395" s="0" t="s">
        <v>295</v>
      </c>
      <c r="C395" s="0" t="s">
        <v>64</v>
      </c>
      <c r="D395" s="0" t="s">
        <v>65</v>
      </c>
      <c r="E395" s="0" t="s">
        <v>297</v>
      </c>
      <c r="G395" s="0" t="n">
        <v>1</v>
      </c>
      <c r="H395" s="0" t="s">
        <v>298</v>
      </c>
      <c r="I395" s="48" t="n">
        <v>46256</v>
      </c>
      <c r="J395" s="0" t="n">
        <v>1</v>
      </c>
      <c r="K395" s="49" t="s">
        <v>1684</v>
      </c>
      <c r="L395" s="49" t="s">
        <v>1035</v>
      </c>
      <c r="M395" s="48" t="n">
        <v>46274</v>
      </c>
      <c r="N395" s="49" t="s">
        <v>1204</v>
      </c>
      <c r="O395" s="49" t="s">
        <v>1052</v>
      </c>
      <c r="P395" s="48"/>
      <c r="Q395" s="48" t="n">
        <v>46256</v>
      </c>
      <c r="R395" s="48" t="n">
        <v>46262</v>
      </c>
      <c r="T395" s="49" t="s">
        <v>302</v>
      </c>
      <c r="U395" s="49" t="s">
        <v>303</v>
      </c>
      <c r="Y395" s="49" t="s">
        <v>1721</v>
      </c>
      <c r="AD395" s="49" t="s">
        <v>305</v>
      </c>
      <c r="AE395" s="48" t="n">
        <v>46226</v>
      </c>
      <c r="AF395" s="49" t="s">
        <v>306</v>
      </c>
      <c r="AG395" s="49" t="s">
        <v>307</v>
      </c>
      <c r="AK395" s="49" t="s">
        <v>1047</v>
      </c>
      <c r="AL395" s="49" t="s">
        <v>297</v>
      </c>
      <c r="AO395" s="49" t="s">
        <v>303</v>
      </c>
      <c r="AP395" s="48"/>
      <c r="AR395" s="49" t="s">
        <v>303</v>
      </c>
      <c r="AS395" s="49" t="s">
        <v>306</v>
      </c>
      <c r="AT395" s="49" t="s">
        <v>1722</v>
      </c>
      <c r="AV395" s="49" t="s">
        <v>309</v>
      </c>
      <c r="AW395" s="49" t="s">
        <v>310</v>
      </c>
      <c r="AX395" s="49" t="s">
        <v>311</v>
      </c>
      <c r="AY395" s="48"/>
      <c r="AZ395" s="48" t="n">
        <v>46254</v>
      </c>
      <c r="BC395" s="49" t="s">
        <v>303</v>
      </c>
      <c r="BD395" s="48" t="n">
        <v>46274</v>
      </c>
      <c r="BE395" s="49" t="s">
        <v>570</v>
      </c>
      <c r="BF395" s="49" t="s">
        <v>303</v>
      </c>
      <c r="BG395" s="48"/>
      <c r="BI395" s="48" t="n">
        <v>46274</v>
      </c>
      <c r="BJ395" s="48" t="n">
        <v>46261</v>
      </c>
      <c r="BK395" s="49" t="s">
        <v>313</v>
      </c>
      <c r="BL395" s="49" t="s">
        <v>313</v>
      </c>
      <c r="BM395" s="49" t="s">
        <v>310</v>
      </c>
      <c r="BN395" s="48"/>
      <c r="BO395" s="48"/>
      <c r="BP395" s="48"/>
      <c r="BQ395" s="49" t="s">
        <v>1684</v>
      </c>
      <c r="BR395" s="48" t="n">
        <v>46261</v>
      </c>
      <c r="BS395" s="49" t="s">
        <v>1304</v>
      </c>
      <c r="BT395" s="49" t="s">
        <v>312</v>
      </c>
      <c r="BU395" s="49" t="s">
        <v>313</v>
      </c>
      <c r="BV395" s="49" t="s">
        <v>303</v>
      </c>
      <c r="BX395" s="0" t="n">
        <v>1</v>
      </c>
      <c r="CC395" s="49" t="s">
        <v>315</v>
      </c>
      <c r="CD395" s="49" t="s">
        <v>303</v>
      </c>
      <c r="CF395" s="49" t="s">
        <v>303</v>
      </c>
      <c r="CG395" s="49" t="s">
        <v>316</v>
      </c>
      <c r="CH395" s="49" t="s">
        <v>317</v>
      </c>
      <c r="CI395" s="49" t="s">
        <v>318</v>
      </c>
      <c r="CM395" s="49" t="s">
        <v>65</v>
      </c>
      <c r="CV395" s="49" t="s">
        <v>303</v>
      </c>
      <c r="DB395" s="49" t="s">
        <v>319</v>
      </c>
      <c r="DD395" s="48" t="n">
        <v>46226</v>
      </c>
      <c r="DF395" s="49" t="s">
        <v>310</v>
      </c>
      <c r="DG395" s="49" t="s">
        <v>320</v>
      </c>
      <c r="DH395" s="49" t="s">
        <v>64</v>
      </c>
      <c r="DI395" s="49" t="s">
        <v>298</v>
      </c>
      <c r="DJ395" s="49" t="s">
        <v>394</v>
      </c>
      <c r="DK395" s="49" t="s">
        <v>322</v>
      </c>
      <c r="DL395" s="49" t="s">
        <v>323</v>
      </c>
      <c r="DM395" s="49" t="s">
        <v>303</v>
      </c>
      <c r="DN395" s="49" t="s">
        <v>297</v>
      </c>
      <c r="DO395" s="48"/>
      <c r="DP395" s="49" t="s">
        <v>312</v>
      </c>
      <c r="DQ395" s="48"/>
      <c r="DR395" s="49" t="s">
        <v>312</v>
      </c>
      <c r="DS395" s="49" t="s">
        <v>303</v>
      </c>
      <c r="DT395" s="49" t="s">
        <v>303</v>
      </c>
      <c r="DW395" s="49" t="s">
        <v>303</v>
      </c>
      <c r="EA395" s="49" t="s">
        <v>324</v>
      </c>
      <c r="EB395" s="49" t="s">
        <v>303</v>
      </c>
      <c r="EF395" s="49" t="s">
        <v>1707</v>
      </c>
      <c r="EH395" s="49" t="s">
        <v>310</v>
      </c>
      <c r="EJ395" s="49" t="s">
        <v>303</v>
      </c>
      <c r="EK395" s="49" t="s">
        <v>1723</v>
      </c>
      <c r="EM395" s="49" t="s">
        <v>303</v>
      </c>
      <c r="EN395" s="49" t="s">
        <v>396</v>
      </c>
      <c r="EP395" s="49" t="s">
        <v>298</v>
      </c>
      <c r="EQ395" s="0" t="n">
        <v>1</v>
      </c>
      <c r="ER395" s="49" t="s">
        <v>328</v>
      </c>
      <c r="ES395" s="49" t="s">
        <v>329</v>
      </c>
      <c r="ET395" s="49" t="s">
        <v>310</v>
      </c>
      <c r="EU395" s="49" t="s">
        <v>310</v>
      </c>
      <c r="EV395" s="49" t="s">
        <v>310</v>
      </c>
      <c r="EX395" s="49" t="s">
        <v>303</v>
      </c>
      <c r="EY395" s="49" t="s">
        <v>303</v>
      </c>
      <c r="FC395" s="49" t="s">
        <v>330</v>
      </c>
      <c r="FD395" s="49" t="s">
        <v>310</v>
      </c>
      <c r="FE395" s="49" t="s">
        <v>310</v>
      </c>
      <c r="FF395" s="49" t="s">
        <v>64</v>
      </c>
      <c r="FG395" s="49" t="s">
        <v>397</v>
      </c>
      <c r="FH395" s="49" t="s">
        <v>310</v>
      </c>
      <c r="FI395" s="49" t="s">
        <v>332</v>
      </c>
      <c r="FJ395" s="49" t="s">
        <v>303</v>
      </c>
      <c r="FL395" s="49" t="s">
        <v>325</v>
      </c>
      <c r="FM395" s="49" t="s">
        <v>1684</v>
      </c>
      <c r="FP395" s="49" t="s">
        <v>303</v>
      </c>
      <c r="FR395" s="49" t="s">
        <v>303</v>
      </c>
      <c r="FT395" s="49" t="s">
        <v>325</v>
      </c>
      <c r="FU395" s="49" t="s">
        <v>325</v>
      </c>
      <c r="FW395" s="49" t="s">
        <v>333</v>
      </c>
    </row>
    <row r="396" customFormat="false" ht="15" hidden="false" customHeight="false" outlineLevel="0" collapsed="false">
      <c r="A396" s="0" t="n">
        <v>100874821</v>
      </c>
      <c r="B396" s="0" t="s">
        <v>295</v>
      </c>
      <c r="C396" s="0" t="s">
        <v>64</v>
      </c>
      <c r="D396" s="0" t="s">
        <v>65</v>
      </c>
      <c r="E396" s="0" t="s">
        <v>297</v>
      </c>
      <c r="G396" s="0" t="n">
        <v>1</v>
      </c>
      <c r="H396" s="0" t="s">
        <v>298</v>
      </c>
      <c r="I396" s="48" t="n">
        <v>46256</v>
      </c>
      <c r="J396" s="0" t="n">
        <v>1</v>
      </c>
      <c r="K396" s="49" t="s">
        <v>1684</v>
      </c>
      <c r="L396" s="49" t="s">
        <v>1035</v>
      </c>
      <c r="M396" s="48" t="n">
        <v>46274</v>
      </c>
      <c r="N396" s="49" t="s">
        <v>1204</v>
      </c>
      <c r="O396" s="49" t="s">
        <v>1052</v>
      </c>
      <c r="P396" s="48"/>
      <c r="Q396" s="48" t="n">
        <v>46256</v>
      </c>
      <c r="R396" s="48" t="n">
        <v>46262</v>
      </c>
      <c r="T396" s="49" t="s">
        <v>302</v>
      </c>
      <c r="U396" s="49" t="s">
        <v>303</v>
      </c>
      <c r="Y396" s="49" t="s">
        <v>1724</v>
      </c>
      <c r="AD396" s="49" t="s">
        <v>305</v>
      </c>
      <c r="AE396" s="48" t="n">
        <v>46226</v>
      </c>
      <c r="AF396" s="49" t="s">
        <v>306</v>
      </c>
      <c r="AG396" s="49" t="s">
        <v>307</v>
      </c>
      <c r="AK396" s="49" t="s">
        <v>1047</v>
      </c>
      <c r="AL396" s="49" t="s">
        <v>297</v>
      </c>
      <c r="AO396" s="49" t="s">
        <v>303</v>
      </c>
      <c r="AP396" s="48"/>
      <c r="AR396" s="49" t="s">
        <v>303</v>
      </c>
      <c r="AS396" s="49" t="s">
        <v>306</v>
      </c>
      <c r="AT396" s="49" t="s">
        <v>1725</v>
      </c>
      <c r="AV396" s="49" t="s">
        <v>309</v>
      </c>
      <c r="AW396" s="49" t="s">
        <v>310</v>
      </c>
      <c r="AX396" s="49" t="s">
        <v>311</v>
      </c>
      <c r="AY396" s="48"/>
      <c r="AZ396" s="48" t="n">
        <v>46254</v>
      </c>
      <c r="BC396" s="49" t="s">
        <v>303</v>
      </c>
      <c r="BD396" s="48" t="n">
        <v>46274</v>
      </c>
      <c r="BE396" s="49" t="s">
        <v>1726</v>
      </c>
      <c r="BF396" s="49" t="s">
        <v>303</v>
      </c>
      <c r="BG396" s="48"/>
      <c r="BI396" s="48" t="n">
        <v>46274</v>
      </c>
      <c r="BJ396" s="48" t="n">
        <v>46261</v>
      </c>
      <c r="BK396" s="49" t="s">
        <v>313</v>
      </c>
      <c r="BL396" s="49" t="s">
        <v>313</v>
      </c>
      <c r="BM396" s="49" t="s">
        <v>310</v>
      </c>
      <c r="BN396" s="48"/>
      <c r="BO396" s="48"/>
      <c r="BP396" s="48"/>
      <c r="BQ396" s="49" t="s">
        <v>1684</v>
      </c>
      <c r="BR396" s="48" t="n">
        <v>46261</v>
      </c>
      <c r="BS396" s="49" t="s">
        <v>1532</v>
      </c>
      <c r="BT396" s="49" t="s">
        <v>312</v>
      </c>
      <c r="BU396" s="49" t="s">
        <v>313</v>
      </c>
      <c r="BV396" s="49" t="s">
        <v>303</v>
      </c>
      <c r="BX396" s="0" t="n">
        <v>1</v>
      </c>
      <c r="CC396" s="49" t="s">
        <v>315</v>
      </c>
      <c r="CD396" s="49" t="s">
        <v>303</v>
      </c>
      <c r="CF396" s="49" t="s">
        <v>303</v>
      </c>
      <c r="CG396" s="49" t="s">
        <v>316</v>
      </c>
      <c r="CH396" s="49" t="s">
        <v>317</v>
      </c>
      <c r="CI396" s="49" t="s">
        <v>318</v>
      </c>
      <c r="CM396" s="49" t="s">
        <v>65</v>
      </c>
      <c r="CV396" s="49" t="s">
        <v>303</v>
      </c>
      <c r="DB396" s="49" t="s">
        <v>319</v>
      </c>
      <c r="DD396" s="48" t="n">
        <v>46226</v>
      </c>
      <c r="DF396" s="49" t="s">
        <v>310</v>
      </c>
      <c r="DG396" s="49" t="s">
        <v>320</v>
      </c>
      <c r="DH396" s="49" t="s">
        <v>64</v>
      </c>
      <c r="DI396" s="49" t="s">
        <v>298</v>
      </c>
      <c r="DJ396" s="49" t="s">
        <v>394</v>
      </c>
      <c r="DK396" s="49" t="s">
        <v>322</v>
      </c>
      <c r="DL396" s="49" t="s">
        <v>323</v>
      </c>
      <c r="DM396" s="49" t="s">
        <v>303</v>
      </c>
      <c r="DN396" s="49" t="s">
        <v>297</v>
      </c>
      <c r="DO396" s="48"/>
      <c r="DP396" s="49" t="s">
        <v>312</v>
      </c>
      <c r="DQ396" s="48"/>
      <c r="DR396" s="49" t="s">
        <v>312</v>
      </c>
      <c r="DS396" s="49" t="s">
        <v>303</v>
      </c>
      <c r="DT396" s="49" t="s">
        <v>303</v>
      </c>
      <c r="DW396" s="49" t="s">
        <v>303</v>
      </c>
      <c r="EA396" s="49" t="s">
        <v>324</v>
      </c>
      <c r="EB396" s="49" t="s">
        <v>303</v>
      </c>
      <c r="EF396" s="49" t="s">
        <v>1707</v>
      </c>
      <c r="EH396" s="49" t="s">
        <v>310</v>
      </c>
      <c r="EJ396" s="49" t="s">
        <v>303</v>
      </c>
      <c r="EK396" s="49" t="s">
        <v>1727</v>
      </c>
      <c r="EM396" s="49" t="s">
        <v>303</v>
      </c>
      <c r="EN396" s="49" t="s">
        <v>396</v>
      </c>
      <c r="EP396" s="49" t="s">
        <v>298</v>
      </c>
      <c r="EQ396" s="0" t="n">
        <v>1</v>
      </c>
      <c r="ER396" s="49" t="s">
        <v>328</v>
      </c>
      <c r="ES396" s="49" t="s">
        <v>329</v>
      </c>
      <c r="ET396" s="49" t="s">
        <v>310</v>
      </c>
      <c r="EU396" s="49" t="s">
        <v>310</v>
      </c>
      <c r="EV396" s="49" t="s">
        <v>310</v>
      </c>
      <c r="EX396" s="49" t="s">
        <v>303</v>
      </c>
      <c r="EY396" s="49" t="s">
        <v>303</v>
      </c>
      <c r="FC396" s="49" t="s">
        <v>330</v>
      </c>
      <c r="FD396" s="49" t="s">
        <v>310</v>
      </c>
      <c r="FE396" s="49" t="s">
        <v>310</v>
      </c>
      <c r="FF396" s="49" t="s">
        <v>64</v>
      </c>
      <c r="FG396" s="49" t="s">
        <v>397</v>
      </c>
      <c r="FH396" s="49" t="s">
        <v>310</v>
      </c>
      <c r="FI396" s="49" t="s">
        <v>332</v>
      </c>
      <c r="FJ396" s="49" t="s">
        <v>303</v>
      </c>
      <c r="FL396" s="49" t="s">
        <v>325</v>
      </c>
      <c r="FM396" s="49" t="s">
        <v>1684</v>
      </c>
      <c r="FP396" s="49" t="s">
        <v>303</v>
      </c>
      <c r="FR396" s="49" t="s">
        <v>303</v>
      </c>
      <c r="FT396" s="49" t="s">
        <v>325</v>
      </c>
      <c r="FU396" s="49" t="s">
        <v>325</v>
      </c>
      <c r="FW396" s="49" t="s">
        <v>333</v>
      </c>
    </row>
    <row r="397" customFormat="false" ht="15" hidden="false" customHeight="false" outlineLevel="0" collapsed="false">
      <c r="A397" s="0" t="n">
        <v>100874822</v>
      </c>
      <c r="B397" s="0" t="s">
        <v>295</v>
      </c>
      <c r="C397" s="0" t="s">
        <v>64</v>
      </c>
      <c r="D397" s="0" t="s">
        <v>65</v>
      </c>
      <c r="E397" s="0" t="s">
        <v>297</v>
      </c>
      <c r="G397" s="0" t="n">
        <v>1</v>
      </c>
      <c r="H397" s="0" t="s">
        <v>298</v>
      </c>
      <c r="I397" s="48" t="n">
        <v>46256</v>
      </c>
      <c r="J397" s="0" t="n">
        <v>1</v>
      </c>
      <c r="K397" s="49" t="s">
        <v>1684</v>
      </c>
      <c r="L397" s="49" t="s">
        <v>1035</v>
      </c>
      <c r="M397" s="48" t="n">
        <v>46274</v>
      </c>
      <c r="N397" s="49" t="s">
        <v>1204</v>
      </c>
      <c r="O397" s="49" t="s">
        <v>1052</v>
      </c>
      <c r="P397" s="48"/>
      <c r="Q397" s="48" t="n">
        <v>46256</v>
      </c>
      <c r="R397" s="48" t="n">
        <v>46262</v>
      </c>
      <c r="T397" s="49" t="s">
        <v>302</v>
      </c>
      <c r="U397" s="49" t="s">
        <v>303</v>
      </c>
      <c r="Y397" s="49" t="s">
        <v>1728</v>
      </c>
      <c r="AD397" s="49" t="s">
        <v>305</v>
      </c>
      <c r="AE397" s="48" t="n">
        <v>46226</v>
      </c>
      <c r="AF397" s="49" t="s">
        <v>306</v>
      </c>
      <c r="AG397" s="49" t="s">
        <v>307</v>
      </c>
      <c r="AK397" s="49" t="s">
        <v>1047</v>
      </c>
      <c r="AL397" s="49" t="s">
        <v>297</v>
      </c>
      <c r="AO397" s="49" t="s">
        <v>303</v>
      </c>
      <c r="AP397" s="48"/>
      <c r="AR397" s="49" t="s">
        <v>303</v>
      </c>
      <c r="AS397" s="49" t="s">
        <v>306</v>
      </c>
      <c r="AT397" s="49" t="s">
        <v>1729</v>
      </c>
      <c r="AV397" s="49" t="s">
        <v>309</v>
      </c>
      <c r="AW397" s="49" t="s">
        <v>310</v>
      </c>
      <c r="AX397" s="49" t="s">
        <v>311</v>
      </c>
      <c r="AY397" s="48"/>
      <c r="AZ397" s="48" t="n">
        <v>46254</v>
      </c>
      <c r="BC397" s="49" t="s">
        <v>303</v>
      </c>
      <c r="BD397" s="48" t="n">
        <v>46274</v>
      </c>
      <c r="BE397" s="49" t="s">
        <v>1730</v>
      </c>
      <c r="BF397" s="49" t="s">
        <v>303</v>
      </c>
      <c r="BG397" s="48"/>
      <c r="BI397" s="48" t="n">
        <v>46274</v>
      </c>
      <c r="BJ397" s="48" t="n">
        <v>46261</v>
      </c>
      <c r="BK397" s="49" t="s">
        <v>313</v>
      </c>
      <c r="BL397" s="49" t="s">
        <v>313</v>
      </c>
      <c r="BM397" s="49" t="s">
        <v>310</v>
      </c>
      <c r="BN397" s="48"/>
      <c r="BO397" s="48"/>
      <c r="BP397" s="48"/>
      <c r="BQ397" s="49" t="s">
        <v>1684</v>
      </c>
      <c r="BR397" s="48" t="n">
        <v>46261</v>
      </c>
      <c r="BS397" s="49" t="s">
        <v>1532</v>
      </c>
      <c r="BT397" s="49" t="s">
        <v>312</v>
      </c>
      <c r="BU397" s="49" t="s">
        <v>313</v>
      </c>
      <c r="BV397" s="49" t="s">
        <v>303</v>
      </c>
      <c r="BX397" s="0" t="n">
        <v>1</v>
      </c>
      <c r="CC397" s="49" t="s">
        <v>315</v>
      </c>
      <c r="CD397" s="49" t="s">
        <v>303</v>
      </c>
      <c r="CF397" s="49" t="s">
        <v>303</v>
      </c>
      <c r="CG397" s="49" t="s">
        <v>316</v>
      </c>
      <c r="CH397" s="49" t="s">
        <v>317</v>
      </c>
      <c r="CI397" s="49" t="s">
        <v>318</v>
      </c>
      <c r="CM397" s="49" t="s">
        <v>65</v>
      </c>
      <c r="CV397" s="49" t="s">
        <v>303</v>
      </c>
      <c r="DB397" s="49" t="s">
        <v>319</v>
      </c>
      <c r="DD397" s="48" t="n">
        <v>46226</v>
      </c>
      <c r="DF397" s="49" t="s">
        <v>310</v>
      </c>
      <c r="DG397" s="49" t="s">
        <v>320</v>
      </c>
      <c r="DH397" s="49" t="s">
        <v>64</v>
      </c>
      <c r="DI397" s="49" t="s">
        <v>298</v>
      </c>
      <c r="DJ397" s="49" t="s">
        <v>394</v>
      </c>
      <c r="DK397" s="49" t="s">
        <v>322</v>
      </c>
      <c r="DL397" s="49" t="s">
        <v>323</v>
      </c>
      <c r="DM397" s="49" t="s">
        <v>303</v>
      </c>
      <c r="DN397" s="49" t="s">
        <v>297</v>
      </c>
      <c r="DO397" s="48"/>
      <c r="DP397" s="49" t="s">
        <v>312</v>
      </c>
      <c r="DQ397" s="48"/>
      <c r="DR397" s="49" t="s">
        <v>312</v>
      </c>
      <c r="DS397" s="49" t="s">
        <v>303</v>
      </c>
      <c r="DT397" s="49" t="s">
        <v>303</v>
      </c>
      <c r="DW397" s="49" t="s">
        <v>303</v>
      </c>
      <c r="EA397" s="49" t="s">
        <v>324</v>
      </c>
      <c r="EB397" s="49" t="s">
        <v>303</v>
      </c>
      <c r="EF397" s="49" t="s">
        <v>1707</v>
      </c>
      <c r="EH397" s="49" t="s">
        <v>310</v>
      </c>
      <c r="EJ397" s="49" t="s">
        <v>303</v>
      </c>
      <c r="EK397" s="49" t="s">
        <v>1731</v>
      </c>
      <c r="EM397" s="49" t="s">
        <v>303</v>
      </c>
      <c r="EN397" s="49" t="s">
        <v>396</v>
      </c>
      <c r="EP397" s="49" t="s">
        <v>298</v>
      </c>
      <c r="EQ397" s="0" t="n">
        <v>1</v>
      </c>
      <c r="ER397" s="49" t="s">
        <v>328</v>
      </c>
      <c r="ES397" s="49" t="s">
        <v>329</v>
      </c>
      <c r="ET397" s="49" t="s">
        <v>310</v>
      </c>
      <c r="EU397" s="49" t="s">
        <v>310</v>
      </c>
      <c r="EV397" s="49" t="s">
        <v>310</v>
      </c>
      <c r="EX397" s="49" t="s">
        <v>303</v>
      </c>
      <c r="EY397" s="49" t="s">
        <v>303</v>
      </c>
      <c r="FC397" s="49" t="s">
        <v>330</v>
      </c>
      <c r="FD397" s="49" t="s">
        <v>310</v>
      </c>
      <c r="FE397" s="49" t="s">
        <v>310</v>
      </c>
      <c r="FF397" s="49" t="s">
        <v>64</v>
      </c>
      <c r="FG397" s="49" t="s">
        <v>397</v>
      </c>
      <c r="FH397" s="49" t="s">
        <v>310</v>
      </c>
      <c r="FI397" s="49" t="s">
        <v>332</v>
      </c>
      <c r="FJ397" s="49" t="s">
        <v>303</v>
      </c>
      <c r="FL397" s="49" t="s">
        <v>325</v>
      </c>
      <c r="FM397" s="49" t="s">
        <v>1684</v>
      </c>
      <c r="FP397" s="49" t="s">
        <v>303</v>
      </c>
      <c r="FR397" s="49" t="s">
        <v>303</v>
      </c>
      <c r="FT397" s="49" t="s">
        <v>325</v>
      </c>
      <c r="FU397" s="49" t="s">
        <v>325</v>
      </c>
      <c r="FW397" s="49" t="s">
        <v>333</v>
      </c>
    </row>
    <row r="398" customFormat="false" ht="15" hidden="false" customHeight="false" outlineLevel="0" collapsed="false">
      <c r="A398" s="0" t="n">
        <v>100874823</v>
      </c>
      <c r="B398" s="0" t="s">
        <v>295</v>
      </c>
      <c r="C398" s="0" t="s">
        <v>64</v>
      </c>
      <c r="D398" s="0" t="s">
        <v>65</v>
      </c>
      <c r="E398" s="0" t="s">
        <v>297</v>
      </c>
      <c r="G398" s="0" t="n">
        <v>1</v>
      </c>
      <c r="H398" s="0" t="s">
        <v>298</v>
      </c>
      <c r="I398" s="48" t="n">
        <v>46256</v>
      </c>
      <c r="J398" s="0" t="n">
        <v>1</v>
      </c>
      <c r="K398" s="49" t="s">
        <v>1684</v>
      </c>
      <c r="L398" s="49" t="s">
        <v>1035</v>
      </c>
      <c r="M398" s="48" t="n">
        <v>46274</v>
      </c>
      <c r="N398" s="49" t="s">
        <v>1204</v>
      </c>
      <c r="O398" s="49" t="s">
        <v>1052</v>
      </c>
      <c r="P398" s="48"/>
      <c r="Q398" s="48" t="n">
        <v>46256</v>
      </c>
      <c r="R398" s="48" t="n">
        <v>46262</v>
      </c>
      <c r="T398" s="49" t="s">
        <v>302</v>
      </c>
      <c r="U398" s="49" t="s">
        <v>303</v>
      </c>
      <c r="Y398" s="49" t="s">
        <v>1732</v>
      </c>
      <c r="AD398" s="49" t="s">
        <v>305</v>
      </c>
      <c r="AE398" s="48" t="n">
        <v>46226</v>
      </c>
      <c r="AF398" s="49" t="s">
        <v>306</v>
      </c>
      <c r="AG398" s="49" t="s">
        <v>307</v>
      </c>
      <c r="AK398" s="49" t="s">
        <v>1047</v>
      </c>
      <c r="AL398" s="49" t="s">
        <v>297</v>
      </c>
      <c r="AO398" s="49" t="s">
        <v>303</v>
      </c>
      <c r="AP398" s="48"/>
      <c r="AR398" s="49" t="s">
        <v>303</v>
      </c>
      <c r="AS398" s="49" t="s">
        <v>306</v>
      </c>
      <c r="AT398" s="49" t="s">
        <v>1733</v>
      </c>
      <c r="AV398" s="49" t="s">
        <v>309</v>
      </c>
      <c r="AW398" s="49" t="s">
        <v>310</v>
      </c>
      <c r="AX398" s="49" t="s">
        <v>311</v>
      </c>
      <c r="AY398" s="48"/>
      <c r="AZ398" s="48" t="n">
        <v>46254</v>
      </c>
      <c r="BC398" s="49" t="s">
        <v>303</v>
      </c>
      <c r="BD398" s="48" t="n">
        <v>46274</v>
      </c>
      <c r="BE398" s="49" t="s">
        <v>1734</v>
      </c>
      <c r="BF398" s="49" t="s">
        <v>303</v>
      </c>
      <c r="BG398" s="48"/>
      <c r="BI398" s="48" t="n">
        <v>46274</v>
      </c>
      <c r="BJ398" s="48" t="n">
        <v>46261</v>
      </c>
      <c r="BK398" s="49" t="s">
        <v>313</v>
      </c>
      <c r="BL398" s="49" t="s">
        <v>313</v>
      </c>
      <c r="BM398" s="49" t="s">
        <v>310</v>
      </c>
      <c r="BN398" s="48"/>
      <c r="BO398" s="48"/>
      <c r="BP398" s="48"/>
      <c r="BQ398" s="49" t="s">
        <v>1684</v>
      </c>
      <c r="BR398" s="48" t="n">
        <v>46261</v>
      </c>
      <c r="BS398" s="49" t="s">
        <v>1532</v>
      </c>
      <c r="BT398" s="49" t="s">
        <v>312</v>
      </c>
      <c r="BU398" s="49" t="s">
        <v>313</v>
      </c>
      <c r="BV398" s="49" t="s">
        <v>303</v>
      </c>
      <c r="BX398" s="0" t="n">
        <v>1</v>
      </c>
      <c r="CC398" s="49" t="s">
        <v>315</v>
      </c>
      <c r="CD398" s="49" t="s">
        <v>303</v>
      </c>
      <c r="CF398" s="49" t="s">
        <v>303</v>
      </c>
      <c r="CG398" s="49" t="s">
        <v>316</v>
      </c>
      <c r="CH398" s="49" t="s">
        <v>317</v>
      </c>
      <c r="CI398" s="49" t="s">
        <v>318</v>
      </c>
      <c r="CM398" s="49" t="s">
        <v>65</v>
      </c>
      <c r="CV398" s="49" t="s">
        <v>303</v>
      </c>
      <c r="DB398" s="49" t="s">
        <v>319</v>
      </c>
      <c r="DD398" s="48" t="n">
        <v>46226</v>
      </c>
      <c r="DF398" s="49" t="s">
        <v>310</v>
      </c>
      <c r="DG398" s="49" t="s">
        <v>320</v>
      </c>
      <c r="DH398" s="49" t="s">
        <v>64</v>
      </c>
      <c r="DI398" s="49" t="s">
        <v>298</v>
      </c>
      <c r="DJ398" s="49" t="s">
        <v>394</v>
      </c>
      <c r="DK398" s="49" t="s">
        <v>322</v>
      </c>
      <c r="DL398" s="49" t="s">
        <v>323</v>
      </c>
      <c r="DM398" s="49" t="s">
        <v>303</v>
      </c>
      <c r="DN398" s="49" t="s">
        <v>297</v>
      </c>
      <c r="DO398" s="48"/>
      <c r="DP398" s="49" t="s">
        <v>312</v>
      </c>
      <c r="DQ398" s="48"/>
      <c r="DR398" s="49" t="s">
        <v>312</v>
      </c>
      <c r="DS398" s="49" t="s">
        <v>303</v>
      </c>
      <c r="DT398" s="49" t="s">
        <v>303</v>
      </c>
      <c r="DW398" s="49" t="s">
        <v>303</v>
      </c>
      <c r="EA398" s="49" t="s">
        <v>324</v>
      </c>
      <c r="EB398" s="49" t="s">
        <v>303</v>
      </c>
      <c r="EF398" s="49" t="s">
        <v>1707</v>
      </c>
      <c r="EH398" s="49" t="s">
        <v>310</v>
      </c>
      <c r="EJ398" s="49" t="s">
        <v>303</v>
      </c>
      <c r="EK398" s="49" t="s">
        <v>1735</v>
      </c>
      <c r="EM398" s="49" t="s">
        <v>303</v>
      </c>
      <c r="EN398" s="49" t="s">
        <v>396</v>
      </c>
      <c r="EP398" s="49" t="s">
        <v>298</v>
      </c>
      <c r="EQ398" s="0" t="n">
        <v>1</v>
      </c>
      <c r="ER398" s="49" t="s">
        <v>328</v>
      </c>
      <c r="ES398" s="49" t="s">
        <v>329</v>
      </c>
      <c r="ET398" s="49" t="s">
        <v>310</v>
      </c>
      <c r="EU398" s="49" t="s">
        <v>310</v>
      </c>
      <c r="EV398" s="49" t="s">
        <v>310</v>
      </c>
      <c r="EX398" s="49" t="s">
        <v>303</v>
      </c>
      <c r="EY398" s="49" t="s">
        <v>303</v>
      </c>
      <c r="FC398" s="49" t="s">
        <v>330</v>
      </c>
      <c r="FD398" s="49" t="s">
        <v>310</v>
      </c>
      <c r="FE398" s="49" t="s">
        <v>310</v>
      </c>
      <c r="FF398" s="49" t="s">
        <v>64</v>
      </c>
      <c r="FG398" s="49" t="s">
        <v>397</v>
      </c>
      <c r="FH398" s="49" t="s">
        <v>310</v>
      </c>
      <c r="FI398" s="49" t="s">
        <v>332</v>
      </c>
      <c r="FJ398" s="49" t="s">
        <v>303</v>
      </c>
      <c r="FL398" s="49" t="s">
        <v>325</v>
      </c>
      <c r="FM398" s="49" t="s">
        <v>1684</v>
      </c>
      <c r="FP398" s="49" t="s">
        <v>303</v>
      </c>
      <c r="FR398" s="49" t="s">
        <v>303</v>
      </c>
      <c r="FT398" s="49" t="s">
        <v>325</v>
      </c>
      <c r="FU398" s="49" t="s">
        <v>325</v>
      </c>
      <c r="FW398" s="49" t="s">
        <v>333</v>
      </c>
    </row>
    <row r="399" customFormat="false" ht="15" hidden="false" customHeight="false" outlineLevel="0" collapsed="false">
      <c r="A399" s="0" t="n">
        <v>100874824</v>
      </c>
      <c r="B399" s="0" t="s">
        <v>295</v>
      </c>
      <c r="C399" s="0" t="s">
        <v>64</v>
      </c>
      <c r="D399" s="0" t="s">
        <v>65</v>
      </c>
      <c r="E399" s="0" t="s">
        <v>297</v>
      </c>
      <c r="G399" s="0" t="n">
        <v>1</v>
      </c>
      <c r="H399" s="0" t="s">
        <v>298</v>
      </c>
      <c r="I399" s="48" t="n">
        <v>46256</v>
      </c>
      <c r="J399" s="0" t="n">
        <v>1</v>
      </c>
      <c r="K399" s="49" t="s">
        <v>1684</v>
      </c>
      <c r="L399" s="49" t="s">
        <v>1035</v>
      </c>
      <c r="M399" s="48" t="n">
        <v>46274</v>
      </c>
      <c r="N399" s="49" t="s">
        <v>1204</v>
      </c>
      <c r="O399" s="49" t="s">
        <v>1052</v>
      </c>
      <c r="P399" s="48"/>
      <c r="Q399" s="48" t="n">
        <v>46256</v>
      </c>
      <c r="R399" s="48" t="n">
        <v>46262</v>
      </c>
      <c r="T399" s="49" t="s">
        <v>302</v>
      </c>
      <c r="U399" s="49" t="s">
        <v>303</v>
      </c>
      <c r="Y399" s="49" t="s">
        <v>1736</v>
      </c>
      <c r="AD399" s="49" t="s">
        <v>305</v>
      </c>
      <c r="AE399" s="48" t="n">
        <v>46226</v>
      </c>
      <c r="AF399" s="49" t="s">
        <v>306</v>
      </c>
      <c r="AG399" s="49" t="s">
        <v>307</v>
      </c>
      <c r="AK399" s="49" t="s">
        <v>1047</v>
      </c>
      <c r="AL399" s="49" t="s">
        <v>297</v>
      </c>
      <c r="AO399" s="49" t="s">
        <v>303</v>
      </c>
      <c r="AP399" s="48"/>
      <c r="AR399" s="49" t="s">
        <v>303</v>
      </c>
      <c r="AS399" s="49" t="s">
        <v>306</v>
      </c>
      <c r="AT399" s="49" t="s">
        <v>1737</v>
      </c>
      <c r="AV399" s="49" t="s">
        <v>309</v>
      </c>
      <c r="AW399" s="49" t="s">
        <v>310</v>
      </c>
      <c r="AX399" s="49" t="s">
        <v>311</v>
      </c>
      <c r="AY399" s="48"/>
      <c r="AZ399" s="48" t="n">
        <v>46254</v>
      </c>
      <c r="BC399" s="49" t="s">
        <v>303</v>
      </c>
      <c r="BD399" s="48" t="n">
        <v>46274</v>
      </c>
      <c r="BE399" s="49" t="s">
        <v>1738</v>
      </c>
      <c r="BF399" s="49" t="s">
        <v>303</v>
      </c>
      <c r="BG399" s="48"/>
      <c r="BI399" s="48" t="n">
        <v>46275</v>
      </c>
      <c r="BJ399" s="48" t="n">
        <v>46261</v>
      </c>
      <c r="BK399" s="49" t="s">
        <v>313</v>
      </c>
      <c r="BL399" s="49" t="s">
        <v>313</v>
      </c>
      <c r="BM399" s="49" t="s">
        <v>310</v>
      </c>
      <c r="BN399" s="48"/>
      <c r="BO399" s="48"/>
      <c r="BP399" s="48"/>
      <c r="BQ399" s="49" t="s">
        <v>1684</v>
      </c>
      <c r="BR399" s="48" t="n">
        <v>46261</v>
      </c>
      <c r="BS399" s="49" t="s">
        <v>1739</v>
      </c>
      <c r="BT399" s="49" t="s">
        <v>312</v>
      </c>
      <c r="BU399" s="49" t="s">
        <v>313</v>
      </c>
      <c r="BV399" s="49" t="s">
        <v>303</v>
      </c>
      <c r="BX399" s="0" t="n">
        <v>1</v>
      </c>
      <c r="CC399" s="49" t="s">
        <v>315</v>
      </c>
      <c r="CD399" s="49" t="s">
        <v>303</v>
      </c>
      <c r="CF399" s="49" t="s">
        <v>303</v>
      </c>
      <c r="CG399" s="49" t="s">
        <v>316</v>
      </c>
      <c r="CH399" s="49" t="s">
        <v>317</v>
      </c>
      <c r="CI399" s="49" t="s">
        <v>318</v>
      </c>
      <c r="CM399" s="49" t="s">
        <v>65</v>
      </c>
      <c r="CV399" s="49" t="s">
        <v>303</v>
      </c>
      <c r="DB399" s="49" t="s">
        <v>319</v>
      </c>
      <c r="DD399" s="48" t="n">
        <v>46226</v>
      </c>
      <c r="DF399" s="49" t="s">
        <v>310</v>
      </c>
      <c r="DG399" s="49" t="s">
        <v>320</v>
      </c>
      <c r="DH399" s="49" t="s">
        <v>64</v>
      </c>
      <c r="DI399" s="49" t="s">
        <v>298</v>
      </c>
      <c r="DJ399" s="49" t="s">
        <v>394</v>
      </c>
      <c r="DK399" s="49" t="s">
        <v>322</v>
      </c>
      <c r="DL399" s="49" t="s">
        <v>323</v>
      </c>
      <c r="DM399" s="49" t="s">
        <v>303</v>
      </c>
      <c r="DN399" s="49" t="s">
        <v>297</v>
      </c>
      <c r="DO399" s="48"/>
      <c r="DP399" s="49" t="s">
        <v>312</v>
      </c>
      <c r="DQ399" s="48"/>
      <c r="DR399" s="49" t="s">
        <v>312</v>
      </c>
      <c r="DS399" s="49" t="s">
        <v>303</v>
      </c>
      <c r="DT399" s="49" t="s">
        <v>303</v>
      </c>
      <c r="DW399" s="49" t="s">
        <v>303</v>
      </c>
      <c r="EA399" s="49" t="s">
        <v>324</v>
      </c>
      <c r="EB399" s="49" t="s">
        <v>303</v>
      </c>
      <c r="EF399" s="49" t="s">
        <v>1707</v>
      </c>
      <c r="EH399" s="49" t="s">
        <v>310</v>
      </c>
      <c r="EJ399" s="49" t="s">
        <v>303</v>
      </c>
      <c r="EK399" s="49" t="s">
        <v>1740</v>
      </c>
      <c r="EM399" s="49" t="s">
        <v>303</v>
      </c>
      <c r="EN399" s="49" t="s">
        <v>396</v>
      </c>
      <c r="EP399" s="49" t="s">
        <v>298</v>
      </c>
      <c r="EQ399" s="0" t="n">
        <v>1</v>
      </c>
      <c r="ER399" s="49" t="s">
        <v>328</v>
      </c>
      <c r="ES399" s="49" t="s">
        <v>329</v>
      </c>
      <c r="ET399" s="49" t="s">
        <v>310</v>
      </c>
      <c r="EU399" s="49" t="s">
        <v>310</v>
      </c>
      <c r="EV399" s="49" t="s">
        <v>310</v>
      </c>
      <c r="EX399" s="49" t="s">
        <v>303</v>
      </c>
      <c r="EY399" s="49" t="s">
        <v>303</v>
      </c>
      <c r="FC399" s="49" t="s">
        <v>330</v>
      </c>
      <c r="FD399" s="49" t="s">
        <v>310</v>
      </c>
      <c r="FE399" s="49" t="s">
        <v>310</v>
      </c>
      <c r="FF399" s="49" t="s">
        <v>64</v>
      </c>
      <c r="FG399" s="49" t="s">
        <v>397</v>
      </c>
      <c r="FH399" s="49" t="s">
        <v>310</v>
      </c>
      <c r="FI399" s="49" t="s">
        <v>332</v>
      </c>
      <c r="FJ399" s="49" t="s">
        <v>303</v>
      </c>
      <c r="FL399" s="49" t="s">
        <v>325</v>
      </c>
      <c r="FM399" s="49" t="s">
        <v>1684</v>
      </c>
      <c r="FP399" s="49" t="s">
        <v>303</v>
      </c>
      <c r="FR399" s="49" t="s">
        <v>303</v>
      </c>
      <c r="FT399" s="49" t="s">
        <v>325</v>
      </c>
      <c r="FU399" s="49" t="s">
        <v>325</v>
      </c>
      <c r="FW399" s="49" t="s">
        <v>333</v>
      </c>
    </row>
    <row r="400" customFormat="false" ht="15" hidden="false" customHeight="false" outlineLevel="0" collapsed="false">
      <c r="A400" s="0" t="n">
        <v>100874825</v>
      </c>
      <c r="B400" s="0" t="s">
        <v>295</v>
      </c>
      <c r="C400" s="0" t="s">
        <v>64</v>
      </c>
      <c r="D400" s="0" t="s">
        <v>65</v>
      </c>
      <c r="E400" s="0" t="s">
        <v>297</v>
      </c>
      <c r="G400" s="0" t="n">
        <v>1</v>
      </c>
      <c r="H400" s="0" t="s">
        <v>298</v>
      </c>
      <c r="I400" s="48" t="n">
        <v>46256</v>
      </c>
      <c r="J400" s="0" t="n">
        <v>1</v>
      </c>
      <c r="K400" s="49" t="s">
        <v>1684</v>
      </c>
      <c r="L400" s="49" t="s">
        <v>1035</v>
      </c>
      <c r="M400" s="48" t="n">
        <v>46274</v>
      </c>
      <c r="N400" s="49" t="s">
        <v>1204</v>
      </c>
      <c r="O400" s="49" t="s">
        <v>1052</v>
      </c>
      <c r="P400" s="48"/>
      <c r="Q400" s="48" t="n">
        <v>46256</v>
      </c>
      <c r="R400" s="48" t="n">
        <v>46262</v>
      </c>
      <c r="T400" s="49" t="s">
        <v>302</v>
      </c>
      <c r="U400" s="49" t="s">
        <v>303</v>
      </c>
      <c r="Y400" s="49" t="s">
        <v>1741</v>
      </c>
      <c r="AD400" s="49" t="s">
        <v>305</v>
      </c>
      <c r="AE400" s="48" t="n">
        <v>46226</v>
      </c>
      <c r="AF400" s="49" t="s">
        <v>306</v>
      </c>
      <c r="AG400" s="49" t="s">
        <v>307</v>
      </c>
      <c r="AK400" s="49" t="s">
        <v>1047</v>
      </c>
      <c r="AL400" s="49" t="s">
        <v>297</v>
      </c>
      <c r="AO400" s="49" t="s">
        <v>303</v>
      </c>
      <c r="AP400" s="48"/>
      <c r="AR400" s="49" t="s">
        <v>303</v>
      </c>
      <c r="AS400" s="49" t="s">
        <v>306</v>
      </c>
      <c r="AT400" s="49" t="s">
        <v>1742</v>
      </c>
      <c r="AV400" s="49" t="s">
        <v>309</v>
      </c>
      <c r="AW400" s="49" t="s">
        <v>310</v>
      </c>
      <c r="AX400" s="49" t="s">
        <v>311</v>
      </c>
      <c r="AY400" s="48"/>
      <c r="AZ400" s="48" t="n">
        <v>46254</v>
      </c>
      <c r="BC400" s="49" t="s">
        <v>303</v>
      </c>
      <c r="BD400" s="48" t="n">
        <v>46274</v>
      </c>
      <c r="BE400" s="49" t="s">
        <v>1743</v>
      </c>
      <c r="BF400" s="49" t="s">
        <v>303</v>
      </c>
      <c r="BG400" s="48"/>
      <c r="BI400" s="48" t="n">
        <v>46275</v>
      </c>
      <c r="BJ400" s="48" t="n">
        <v>46261</v>
      </c>
      <c r="BK400" s="49" t="s">
        <v>313</v>
      </c>
      <c r="BL400" s="49" t="s">
        <v>313</v>
      </c>
      <c r="BM400" s="49" t="s">
        <v>310</v>
      </c>
      <c r="BN400" s="48"/>
      <c r="BO400" s="48"/>
      <c r="BP400" s="48"/>
      <c r="BQ400" s="49" t="s">
        <v>1684</v>
      </c>
      <c r="BR400" s="48" t="n">
        <v>46261</v>
      </c>
      <c r="BS400" s="49" t="s">
        <v>1739</v>
      </c>
      <c r="BT400" s="49" t="s">
        <v>312</v>
      </c>
      <c r="BU400" s="49" t="s">
        <v>313</v>
      </c>
      <c r="BV400" s="49" t="s">
        <v>303</v>
      </c>
      <c r="BX400" s="0" t="n">
        <v>1</v>
      </c>
      <c r="CC400" s="49" t="s">
        <v>315</v>
      </c>
      <c r="CD400" s="49" t="s">
        <v>303</v>
      </c>
      <c r="CF400" s="49" t="s">
        <v>303</v>
      </c>
      <c r="CG400" s="49" t="s">
        <v>316</v>
      </c>
      <c r="CH400" s="49" t="s">
        <v>317</v>
      </c>
      <c r="CI400" s="49" t="s">
        <v>318</v>
      </c>
      <c r="CM400" s="49" t="s">
        <v>65</v>
      </c>
      <c r="CV400" s="49" t="s">
        <v>303</v>
      </c>
      <c r="DB400" s="49" t="s">
        <v>319</v>
      </c>
      <c r="DD400" s="48" t="n">
        <v>46226</v>
      </c>
      <c r="DF400" s="49" t="s">
        <v>310</v>
      </c>
      <c r="DG400" s="49" t="s">
        <v>320</v>
      </c>
      <c r="DH400" s="49" t="s">
        <v>64</v>
      </c>
      <c r="DI400" s="49" t="s">
        <v>298</v>
      </c>
      <c r="DJ400" s="49" t="s">
        <v>394</v>
      </c>
      <c r="DK400" s="49" t="s">
        <v>322</v>
      </c>
      <c r="DL400" s="49" t="s">
        <v>323</v>
      </c>
      <c r="DM400" s="49" t="s">
        <v>303</v>
      </c>
      <c r="DN400" s="49" t="s">
        <v>297</v>
      </c>
      <c r="DO400" s="48"/>
      <c r="DP400" s="49" t="s">
        <v>312</v>
      </c>
      <c r="DQ400" s="48"/>
      <c r="DR400" s="49" t="s">
        <v>312</v>
      </c>
      <c r="DS400" s="49" t="s">
        <v>303</v>
      </c>
      <c r="DT400" s="49" t="s">
        <v>303</v>
      </c>
      <c r="DW400" s="49" t="s">
        <v>303</v>
      </c>
      <c r="EA400" s="49" t="s">
        <v>324</v>
      </c>
      <c r="EB400" s="49" t="s">
        <v>303</v>
      </c>
      <c r="EF400" s="49" t="s">
        <v>1707</v>
      </c>
      <c r="EH400" s="49" t="s">
        <v>310</v>
      </c>
      <c r="EJ400" s="49" t="s">
        <v>303</v>
      </c>
      <c r="EK400" s="49" t="s">
        <v>1744</v>
      </c>
      <c r="EM400" s="49" t="s">
        <v>303</v>
      </c>
      <c r="EN400" s="49" t="s">
        <v>396</v>
      </c>
      <c r="EP400" s="49" t="s">
        <v>298</v>
      </c>
      <c r="EQ400" s="0" t="n">
        <v>1</v>
      </c>
      <c r="ER400" s="49" t="s">
        <v>328</v>
      </c>
      <c r="ES400" s="49" t="s">
        <v>329</v>
      </c>
      <c r="ET400" s="49" t="s">
        <v>310</v>
      </c>
      <c r="EU400" s="49" t="s">
        <v>310</v>
      </c>
      <c r="EV400" s="49" t="s">
        <v>310</v>
      </c>
      <c r="EX400" s="49" t="s">
        <v>303</v>
      </c>
      <c r="EY400" s="49" t="s">
        <v>303</v>
      </c>
      <c r="FC400" s="49" t="s">
        <v>330</v>
      </c>
      <c r="FD400" s="49" t="s">
        <v>310</v>
      </c>
      <c r="FE400" s="49" t="s">
        <v>310</v>
      </c>
      <c r="FF400" s="49" t="s">
        <v>64</v>
      </c>
      <c r="FG400" s="49" t="s">
        <v>397</v>
      </c>
      <c r="FH400" s="49" t="s">
        <v>310</v>
      </c>
      <c r="FI400" s="49" t="s">
        <v>332</v>
      </c>
      <c r="FJ400" s="49" t="s">
        <v>303</v>
      </c>
      <c r="FL400" s="49" t="s">
        <v>325</v>
      </c>
      <c r="FM400" s="49" t="s">
        <v>1684</v>
      </c>
      <c r="FP400" s="49" t="s">
        <v>303</v>
      </c>
      <c r="FR400" s="49" t="s">
        <v>303</v>
      </c>
      <c r="FT400" s="49" t="s">
        <v>325</v>
      </c>
      <c r="FU400" s="49" t="s">
        <v>325</v>
      </c>
      <c r="FW400" s="49" t="s">
        <v>333</v>
      </c>
    </row>
    <row r="401" customFormat="false" ht="15" hidden="false" customHeight="false" outlineLevel="0" collapsed="false">
      <c r="A401" s="0" t="n">
        <v>100874826</v>
      </c>
      <c r="B401" s="0" t="s">
        <v>295</v>
      </c>
      <c r="C401" s="0" t="s">
        <v>64</v>
      </c>
      <c r="D401" s="0" t="s">
        <v>65</v>
      </c>
      <c r="E401" s="0" t="s">
        <v>297</v>
      </c>
      <c r="G401" s="0" t="n">
        <v>1</v>
      </c>
      <c r="H401" s="0" t="s">
        <v>298</v>
      </c>
      <c r="I401" s="48" t="n">
        <v>46256</v>
      </c>
      <c r="J401" s="0" t="n">
        <v>1</v>
      </c>
      <c r="K401" s="49" t="s">
        <v>1684</v>
      </c>
      <c r="L401" s="49" t="s">
        <v>1035</v>
      </c>
      <c r="M401" s="48" t="n">
        <v>46274</v>
      </c>
      <c r="N401" s="49" t="s">
        <v>1204</v>
      </c>
      <c r="O401" s="49" t="s">
        <v>1052</v>
      </c>
      <c r="P401" s="48"/>
      <c r="Q401" s="48" t="n">
        <v>46256</v>
      </c>
      <c r="R401" s="48" t="n">
        <v>46262</v>
      </c>
      <c r="T401" s="49" t="s">
        <v>302</v>
      </c>
      <c r="U401" s="49" t="s">
        <v>303</v>
      </c>
      <c r="Y401" s="49" t="s">
        <v>1745</v>
      </c>
      <c r="AD401" s="49" t="s">
        <v>305</v>
      </c>
      <c r="AE401" s="48" t="n">
        <v>46226</v>
      </c>
      <c r="AF401" s="49" t="s">
        <v>306</v>
      </c>
      <c r="AG401" s="49" t="s">
        <v>307</v>
      </c>
      <c r="AK401" s="49" t="s">
        <v>1047</v>
      </c>
      <c r="AL401" s="49" t="s">
        <v>297</v>
      </c>
      <c r="AO401" s="49" t="s">
        <v>303</v>
      </c>
      <c r="AP401" s="48"/>
      <c r="AR401" s="49" t="s">
        <v>303</v>
      </c>
      <c r="AS401" s="49" t="s">
        <v>306</v>
      </c>
      <c r="AT401" s="49" t="s">
        <v>1746</v>
      </c>
      <c r="AV401" s="49" t="s">
        <v>309</v>
      </c>
      <c r="AW401" s="49" t="s">
        <v>310</v>
      </c>
      <c r="AX401" s="49" t="s">
        <v>311</v>
      </c>
      <c r="AY401" s="48"/>
      <c r="AZ401" s="48" t="n">
        <v>46254</v>
      </c>
      <c r="BC401" s="49" t="s">
        <v>303</v>
      </c>
      <c r="BD401" s="48" t="n">
        <v>46274</v>
      </c>
      <c r="BE401" s="49" t="s">
        <v>1747</v>
      </c>
      <c r="BF401" s="49" t="s">
        <v>303</v>
      </c>
      <c r="BG401" s="48"/>
      <c r="BI401" s="48" t="n">
        <v>46275</v>
      </c>
      <c r="BJ401" s="48" t="n">
        <v>46261</v>
      </c>
      <c r="BK401" s="49" t="s">
        <v>313</v>
      </c>
      <c r="BL401" s="49" t="s">
        <v>313</v>
      </c>
      <c r="BM401" s="49" t="s">
        <v>310</v>
      </c>
      <c r="BN401" s="48"/>
      <c r="BO401" s="48"/>
      <c r="BP401" s="48"/>
      <c r="BQ401" s="49" t="s">
        <v>1684</v>
      </c>
      <c r="BR401" s="48" t="n">
        <v>46261</v>
      </c>
      <c r="BS401" s="49" t="s">
        <v>1748</v>
      </c>
      <c r="BT401" s="49" t="s">
        <v>312</v>
      </c>
      <c r="BU401" s="49" t="s">
        <v>313</v>
      </c>
      <c r="BV401" s="49" t="s">
        <v>303</v>
      </c>
      <c r="BX401" s="0" t="n">
        <v>1</v>
      </c>
      <c r="CC401" s="49" t="s">
        <v>315</v>
      </c>
      <c r="CD401" s="49" t="s">
        <v>303</v>
      </c>
      <c r="CF401" s="49" t="s">
        <v>303</v>
      </c>
      <c r="CG401" s="49" t="s">
        <v>316</v>
      </c>
      <c r="CH401" s="49" t="s">
        <v>317</v>
      </c>
      <c r="CI401" s="49" t="s">
        <v>318</v>
      </c>
      <c r="CM401" s="49" t="s">
        <v>65</v>
      </c>
      <c r="CV401" s="49" t="s">
        <v>303</v>
      </c>
      <c r="DB401" s="49" t="s">
        <v>319</v>
      </c>
      <c r="DD401" s="48" t="n">
        <v>46226</v>
      </c>
      <c r="DF401" s="49" t="s">
        <v>310</v>
      </c>
      <c r="DG401" s="49" t="s">
        <v>320</v>
      </c>
      <c r="DH401" s="49" t="s">
        <v>64</v>
      </c>
      <c r="DI401" s="49" t="s">
        <v>298</v>
      </c>
      <c r="DJ401" s="49" t="s">
        <v>394</v>
      </c>
      <c r="DK401" s="49" t="s">
        <v>322</v>
      </c>
      <c r="DL401" s="49" t="s">
        <v>323</v>
      </c>
      <c r="DM401" s="49" t="s">
        <v>303</v>
      </c>
      <c r="DN401" s="49" t="s">
        <v>297</v>
      </c>
      <c r="DO401" s="48"/>
      <c r="DP401" s="49" t="s">
        <v>312</v>
      </c>
      <c r="DQ401" s="48"/>
      <c r="DR401" s="49" t="s">
        <v>312</v>
      </c>
      <c r="DS401" s="49" t="s">
        <v>303</v>
      </c>
      <c r="DT401" s="49" t="s">
        <v>303</v>
      </c>
      <c r="DW401" s="49" t="s">
        <v>303</v>
      </c>
      <c r="EA401" s="49" t="s">
        <v>324</v>
      </c>
      <c r="EB401" s="49" t="s">
        <v>303</v>
      </c>
      <c r="EF401" s="49" t="s">
        <v>1707</v>
      </c>
      <c r="EH401" s="49" t="s">
        <v>310</v>
      </c>
      <c r="EJ401" s="49" t="s">
        <v>303</v>
      </c>
      <c r="EK401" s="49" t="s">
        <v>1749</v>
      </c>
      <c r="EM401" s="49" t="s">
        <v>303</v>
      </c>
      <c r="EN401" s="49" t="s">
        <v>396</v>
      </c>
      <c r="EP401" s="49" t="s">
        <v>298</v>
      </c>
      <c r="EQ401" s="0" t="n">
        <v>1</v>
      </c>
      <c r="ER401" s="49" t="s">
        <v>328</v>
      </c>
      <c r="ES401" s="49" t="s">
        <v>329</v>
      </c>
      <c r="ET401" s="49" t="s">
        <v>310</v>
      </c>
      <c r="EU401" s="49" t="s">
        <v>310</v>
      </c>
      <c r="EV401" s="49" t="s">
        <v>310</v>
      </c>
      <c r="EX401" s="49" t="s">
        <v>303</v>
      </c>
      <c r="EY401" s="49" t="s">
        <v>303</v>
      </c>
      <c r="FC401" s="49" t="s">
        <v>330</v>
      </c>
      <c r="FD401" s="49" t="s">
        <v>310</v>
      </c>
      <c r="FE401" s="49" t="s">
        <v>310</v>
      </c>
      <c r="FF401" s="49" t="s">
        <v>64</v>
      </c>
      <c r="FG401" s="49" t="s">
        <v>397</v>
      </c>
      <c r="FH401" s="49" t="s">
        <v>310</v>
      </c>
      <c r="FI401" s="49" t="s">
        <v>332</v>
      </c>
      <c r="FJ401" s="49" t="s">
        <v>303</v>
      </c>
      <c r="FL401" s="49" t="s">
        <v>325</v>
      </c>
      <c r="FM401" s="49" t="s">
        <v>1684</v>
      </c>
      <c r="FP401" s="49" t="s">
        <v>303</v>
      </c>
      <c r="FR401" s="49" t="s">
        <v>303</v>
      </c>
      <c r="FT401" s="49" t="s">
        <v>325</v>
      </c>
      <c r="FU401" s="49" t="s">
        <v>325</v>
      </c>
      <c r="FW401" s="49" t="s">
        <v>333</v>
      </c>
    </row>
    <row r="402" customFormat="false" ht="15" hidden="false" customHeight="false" outlineLevel="0" collapsed="false">
      <c r="A402" s="0" t="n">
        <v>100874827</v>
      </c>
      <c r="B402" s="0" t="s">
        <v>295</v>
      </c>
      <c r="C402" s="0" t="s">
        <v>64</v>
      </c>
      <c r="D402" s="0" t="s">
        <v>65</v>
      </c>
      <c r="E402" s="0" t="s">
        <v>297</v>
      </c>
      <c r="G402" s="0" t="n">
        <v>1</v>
      </c>
      <c r="H402" s="0" t="s">
        <v>298</v>
      </c>
      <c r="I402" s="48" t="n">
        <v>46256</v>
      </c>
      <c r="J402" s="0" t="n">
        <v>1</v>
      </c>
      <c r="K402" s="49" t="s">
        <v>1684</v>
      </c>
      <c r="L402" s="49" t="s">
        <v>1035</v>
      </c>
      <c r="M402" s="48" t="n">
        <v>46274</v>
      </c>
      <c r="N402" s="49" t="s">
        <v>1204</v>
      </c>
      <c r="O402" s="49" t="s">
        <v>1052</v>
      </c>
      <c r="P402" s="48"/>
      <c r="Q402" s="48" t="n">
        <v>46256</v>
      </c>
      <c r="R402" s="48" t="n">
        <v>46262</v>
      </c>
      <c r="T402" s="49" t="s">
        <v>302</v>
      </c>
      <c r="U402" s="49" t="s">
        <v>303</v>
      </c>
      <c r="Y402" s="49" t="s">
        <v>1750</v>
      </c>
      <c r="AD402" s="49" t="s">
        <v>305</v>
      </c>
      <c r="AE402" s="48" t="n">
        <v>46226</v>
      </c>
      <c r="AF402" s="49" t="s">
        <v>306</v>
      </c>
      <c r="AG402" s="49" t="s">
        <v>307</v>
      </c>
      <c r="AK402" s="49" t="s">
        <v>1047</v>
      </c>
      <c r="AL402" s="49" t="s">
        <v>297</v>
      </c>
      <c r="AO402" s="49" t="s">
        <v>303</v>
      </c>
      <c r="AP402" s="48"/>
      <c r="AR402" s="49" t="s">
        <v>303</v>
      </c>
      <c r="AS402" s="49" t="s">
        <v>306</v>
      </c>
      <c r="AT402" s="49" t="s">
        <v>1751</v>
      </c>
      <c r="AV402" s="49" t="s">
        <v>309</v>
      </c>
      <c r="AW402" s="49" t="s">
        <v>310</v>
      </c>
      <c r="AX402" s="49" t="s">
        <v>311</v>
      </c>
      <c r="AY402" s="48"/>
      <c r="AZ402" s="48" t="n">
        <v>46254</v>
      </c>
      <c r="BC402" s="49" t="s">
        <v>303</v>
      </c>
      <c r="BD402" s="48" t="n">
        <v>46274</v>
      </c>
      <c r="BE402" s="49" t="s">
        <v>1752</v>
      </c>
      <c r="BF402" s="49" t="s">
        <v>303</v>
      </c>
      <c r="BG402" s="48"/>
      <c r="BI402" s="48" t="n">
        <v>46275</v>
      </c>
      <c r="BJ402" s="48" t="n">
        <v>46261</v>
      </c>
      <c r="BK402" s="49" t="s">
        <v>313</v>
      </c>
      <c r="BL402" s="49" t="s">
        <v>313</v>
      </c>
      <c r="BM402" s="49" t="s">
        <v>310</v>
      </c>
      <c r="BN402" s="48"/>
      <c r="BO402" s="48"/>
      <c r="BP402" s="48"/>
      <c r="BQ402" s="49" t="s">
        <v>1684</v>
      </c>
      <c r="BR402" s="48" t="n">
        <v>46261</v>
      </c>
      <c r="BS402" s="49" t="s">
        <v>1531</v>
      </c>
      <c r="BT402" s="49" t="s">
        <v>312</v>
      </c>
      <c r="BU402" s="49" t="s">
        <v>313</v>
      </c>
      <c r="BV402" s="49" t="s">
        <v>303</v>
      </c>
      <c r="BX402" s="0" t="n">
        <v>1</v>
      </c>
      <c r="CC402" s="49" t="s">
        <v>315</v>
      </c>
      <c r="CD402" s="49" t="s">
        <v>303</v>
      </c>
      <c r="CF402" s="49" t="s">
        <v>303</v>
      </c>
      <c r="CG402" s="49" t="s">
        <v>316</v>
      </c>
      <c r="CH402" s="49" t="s">
        <v>317</v>
      </c>
      <c r="CI402" s="49" t="s">
        <v>318</v>
      </c>
      <c r="CM402" s="49" t="s">
        <v>65</v>
      </c>
      <c r="CV402" s="49" t="s">
        <v>303</v>
      </c>
      <c r="DB402" s="49" t="s">
        <v>319</v>
      </c>
      <c r="DD402" s="48" t="n">
        <v>46226</v>
      </c>
      <c r="DF402" s="49" t="s">
        <v>310</v>
      </c>
      <c r="DG402" s="49" t="s">
        <v>320</v>
      </c>
      <c r="DH402" s="49" t="s">
        <v>64</v>
      </c>
      <c r="DI402" s="49" t="s">
        <v>298</v>
      </c>
      <c r="DJ402" s="49" t="s">
        <v>394</v>
      </c>
      <c r="DK402" s="49" t="s">
        <v>322</v>
      </c>
      <c r="DL402" s="49" t="s">
        <v>323</v>
      </c>
      <c r="DM402" s="49" t="s">
        <v>303</v>
      </c>
      <c r="DN402" s="49" t="s">
        <v>297</v>
      </c>
      <c r="DO402" s="48"/>
      <c r="DP402" s="49" t="s">
        <v>312</v>
      </c>
      <c r="DQ402" s="48"/>
      <c r="DR402" s="49" t="s">
        <v>312</v>
      </c>
      <c r="DS402" s="49" t="s">
        <v>303</v>
      </c>
      <c r="DT402" s="49" t="s">
        <v>303</v>
      </c>
      <c r="DW402" s="49" t="s">
        <v>303</v>
      </c>
      <c r="EA402" s="49" t="s">
        <v>324</v>
      </c>
      <c r="EB402" s="49" t="s">
        <v>303</v>
      </c>
      <c r="EF402" s="49" t="s">
        <v>1707</v>
      </c>
      <c r="EH402" s="49" t="s">
        <v>310</v>
      </c>
      <c r="EJ402" s="49" t="s">
        <v>303</v>
      </c>
      <c r="EK402" s="49" t="s">
        <v>1753</v>
      </c>
      <c r="EM402" s="49" t="s">
        <v>303</v>
      </c>
      <c r="EN402" s="49" t="s">
        <v>396</v>
      </c>
      <c r="EP402" s="49" t="s">
        <v>298</v>
      </c>
      <c r="EQ402" s="0" t="n">
        <v>1</v>
      </c>
      <c r="ER402" s="49" t="s">
        <v>328</v>
      </c>
      <c r="ES402" s="49" t="s">
        <v>329</v>
      </c>
      <c r="ET402" s="49" t="s">
        <v>310</v>
      </c>
      <c r="EU402" s="49" t="s">
        <v>310</v>
      </c>
      <c r="EV402" s="49" t="s">
        <v>310</v>
      </c>
      <c r="EX402" s="49" t="s">
        <v>303</v>
      </c>
      <c r="EY402" s="49" t="s">
        <v>303</v>
      </c>
      <c r="FC402" s="49" t="s">
        <v>330</v>
      </c>
      <c r="FD402" s="49" t="s">
        <v>310</v>
      </c>
      <c r="FE402" s="49" t="s">
        <v>310</v>
      </c>
      <c r="FF402" s="49" t="s">
        <v>64</v>
      </c>
      <c r="FG402" s="49" t="s">
        <v>397</v>
      </c>
      <c r="FH402" s="49" t="s">
        <v>310</v>
      </c>
      <c r="FI402" s="49" t="s">
        <v>332</v>
      </c>
      <c r="FJ402" s="49" t="s">
        <v>303</v>
      </c>
      <c r="FL402" s="49" t="s">
        <v>325</v>
      </c>
      <c r="FM402" s="49" t="s">
        <v>1684</v>
      </c>
      <c r="FP402" s="49" t="s">
        <v>303</v>
      </c>
      <c r="FR402" s="49" t="s">
        <v>303</v>
      </c>
      <c r="FT402" s="49" t="s">
        <v>325</v>
      </c>
      <c r="FU402" s="49" t="s">
        <v>325</v>
      </c>
      <c r="FW402" s="49" t="s">
        <v>333</v>
      </c>
    </row>
    <row r="403" customFormat="false" ht="15" hidden="false" customHeight="false" outlineLevel="0" collapsed="false">
      <c r="A403" s="0" t="n">
        <v>100874828</v>
      </c>
      <c r="B403" s="0" t="s">
        <v>295</v>
      </c>
      <c r="C403" s="0" t="s">
        <v>64</v>
      </c>
      <c r="D403" s="0" t="s">
        <v>65</v>
      </c>
      <c r="E403" s="0" t="s">
        <v>297</v>
      </c>
      <c r="G403" s="0" t="n">
        <v>1</v>
      </c>
      <c r="H403" s="0" t="s">
        <v>298</v>
      </c>
      <c r="I403" s="48" t="n">
        <v>46256</v>
      </c>
      <c r="J403" s="0" t="n">
        <v>1</v>
      </c>
      <c r="K403" s="49" t="s">
        <v>1684</v>
      </c>
      <c r="L403" s="49" t="s">
        <v>1035</v>
      </c>
      <c r="M403" s="48" t="n">
        <v>46275</v>
      </c>
      <c r="N403" s="49" t="s">
        <v>1204</v>
      </c>
      <c r="O403" s="49" t="s">
        <v>1052</v>
      </c>
      <c r="P403" s="48"/>
      <c r="Q403" s="48" t="n">
        <v>46256</v>
      </c>
      <c r="R403" s="48" t="n">
        <v>46262</v>
      </c>
      <c r="T403" s="49" t="s">
        <v>302</v>
      </c>
      <c r="U403" s="49" t="s">
        <v>303</v>
      </c>
      <c r="Y403" s="49" t="s">
        <v>1754</v>
      </c>
      <c r="AD403" s="49" t="s">
        <v>305</v>
      </c>
      <c r="AE403" s="48" t="n">
        <v>46226</v>
      </c>
      <c r="AF403" s="49" t="s">
        <v>306</v>
      </c>
      <c r="AG403" s="49" t="s">
        <v>307</v>
      </c>
      <c r="AK403" s="49" t="s">
        <v>1047</v>
      </c>
      <c r="AL403" s="49" t="s">
        <v>297</v>
      </c>
      <c r="AO403" s="49" t="s">
        <v>303</v>
      </c>
      <c r="AP403" s="48"/>
      <c r="AR403" s="49" t="s">
        <v>303</v>
      </c>
      <c r="AS403" s="49" t="s">
        <v>306</v>
      </c>
      <c r="AT403" s="49" t="s">
        <v>1755</v>
      </c>
      <c r="AV403" s="49" t="s">
        <v>309</v>
      </c>
      <c r="AW403" s="49" t="s">
        <v>310</v>
      </c>
      <c r="AX403" s="49" t="s">
        <v>311</v>
      </c>
      <c r="AY403" s="48"/>
      <c r="AZ403" s="48" t="n">
        <v>46254</v>
      </c>
      <c r="BC403" s="49" t="s">
        <v>303</v>
      </c>
      <c r="BD403" s="48" t="n">
        <v>46276</v>
      </c>
      <c r="BE403" s="49" t="s">
        <v>1756</v>
      </c>
      <c r="BF403" s="49" t="s">
        <v>303</v>
      </c>
      <c r="BG403" s="48"/>
      <c r="BI403" s="48" t="n">
        <v>46276</v>
      </c>
      <c r="BJ403" s="48" t="n">
        <v>46261</v>
      </c>
      <c r="BK403" s="49" t="s">
        <v>313</v>
      </c>
      <c r="BL403" s="49" t="s">
        <v>313</v>
      </c>
      <c r="BM403" s="49" t="s">
        <v>310</v>
      </c>
      <c r="BN403" s="48"/>
      <c r="BO403" s="48"/>
      <c r="BP403" s="48"/>
      <c r="BQ403" s="49" t="s">
        <v>1684</v>
      </c>
      <c r="BR403" s="48" t="n">
        <v>46261</v>
      </c>
      <c r="BS403" s="49" t="s">
        <v>1531</v>
      </c>
      <c r="BT403" s="49" t="s">
        <v>312</v>
      </c>
      <c r="BU403" s="49" t="s">
        <v>313</v>
      </c>
      <c r="BV403" s="49" t="s">
        <v>303</v>
      </c>
      <c r="BX403" s="0" t="n">
        <v>1</v>
      </c>
      <c r="CC403" s="49" t="s">
        <v>315</v>
      </c>
      <c r="CD403" s="49" t="s">
        <v>303</v>
      </c>
      <c r="CF403" s="49" t="s">
        <v>303</v>
      </c>
      <c r="CG403" s="49" t="s">
        <v>316</v>
      </c>
      <c r="CH403" s="49" t="s">
        <v>317</v>
      </c>
      <c r="CI403" s="49" t="s">
        <v>318</v>
      </c>
      <c r="CM403" s="49" t="s">
        <v>65</v>
      </c>
      <c r="CV403" s="49" t="s">
        <v>303</v>
      </c>
      <c r="DB403" s="49" t="s">
        <v>319</v>
      </c>
      <c r="DD403" s="48" t="n">
        <v>46226</v>
      </c>
      <c r="DF403" s="49" t="s">
        <v>310</v>
      </c>
      <c r="DG403" s="49" t="s">
        <v>320</v>
      </c>
      <c r="DH403" s="49" t="s">
        <v>64</v>
      </c>
      <c r="DI403" s="49" t="s">
        <v>298</v>
      </c>
      <c r="DJ403" s="49" t="s">
        <v>394</v>
      </c>
      <c r="DK403" s="49" t="s">
        <v>322</v>
      </c>
      <c r="DL403" s="49" t="s">
        <v>323</v>
      </c>
      <c r="DM403" s="49" t="s">
        <v>303</v>
      </c>
      <c r="DN403" s="49" t="s">
        <v>297</v>
      </c>
      <c r="DO403" s="48"/>
      <c r="DP403" s="49" t="s">
        <v>312</v>
      </c>
      <c r="DQ403" s="48"/>
      <c r="DR403" s="49" t="s">
        <v>312</v>
      </c>
      <c r="DS403" s="49" t="s">
        <v>303</v>
      </c>
      <c r="DT403" s="49" t="s">
        <v>303</v>
      </c>
      <c r="DW403" s="49" t="s">
        <v>303</v>
      </c>
      <c r="EA403" s="49" t="s">
        <v>324</v>
      </c>
      <c r="EB403" s="49" t="s">
        <v>303</v>
      </c>
      <c r="EF403" s="49" t="s">
        <v>1707</v>
      </c>
      <c r="EH403" s="49" t="s">
        <v>310</v>
      </c>
      <c r="EJ403" s="49" t="s">
        <v>303</v>
      </c>
      <c r="EK403" s="49" t="s">
        <v>1757</v>
      </c>
      <c r="EM403" s="49" t="s">
        <v>303</v>
      </c>
      <c r="EN403" s="49" t="s">
        <v>396</v>
      </c>
      <c r="EP403" s="49" t="s">
        <v>298</v>
      </c>
      <c r="EQ403" s="0" t="n">
        <v>1</v>
      </c>
      <c r="ER403" s="49" t="s">
        <v>328</v>
      </c>
      <c r="ES403" s="49" t="s">
        <v>329</v>
      </c>
      <c r="ET403" s="49" t="s">
        <v>310</v>
      </c>
      <c r="EU403" s="49" t="s">
        <v>310</v>
      </c>
      <c r="EV403" s="49" t="s">
        <v>310</v>
      </c>
      <c r="EX403" s="49" t="s">
        <v>303</v>
      </c>
      <c r="EY403" s="49" t="s">
        <v>303</v>
      </c>
      <c r="FC403" s="49" t="s">
        <v>330</v>
      </c>
      <c r="FD403" s="49" t="s">
        <v>310</v>
      </c>
      <c r="FE403" s="49" t="s">
        <v>310</v>
      </c>
      <c r="FF403" s="49" t="s">
        <v>64</v>
      </c>
      <c r="FG403" s="49" t="s">
        <v>397</v>
      </c>
      <c r="FH403" s="49" t="s">
        <v>310</v>
      </c>
      <c r="FI403" s="49" t="s">
        <v>332</v>
      </c>
      <c r="FJ403" s="49" t="s">
        <v>303</v>
      </c>
      <c r="FL403" s="49" t="s">
        <v>325</v>
      </c>
      <c r="FM403" s="49" t="s">
        <v>1684</v>
      </c>
      <c r="FP403" s="49" t="s">
        <v>303</v>
      </c>
      <c r="FR403" s="49" t="s">
        <v>303</v>
      </c>
      <c r="FT403" s="49" t="s">
        <v>325</v>
      </c>
      <c r="FU403" s="49" t="s">
        <v>325</v>
      </c>
      <c r="FW403" s="49" t="s">
        <v>333</v>
      </c>
    </row>
    <row r="404" customFormat="false" ht="15" hidden="false" customHeight="false" outlineLevel="0" collapsed="false">
      <c r="A404" s="0" t="n">
        <v>100874829</v>
      </c>
      <c r="B404" s="0" t="s">
        <v>295</v>
      </c>
      <c r="C404" s="0" t="s">
        <v>64</v>
      </c>
      <c r="D404" s="0" t="s">
        <v>65</v>
      </c>
      <c r="E404" s="0" t="s">
        <v>297</v>
      </c>
      <c r="G404" s="0" t="n">
        <v>1</v>
      </c>
      <c r="H404" s="0" t="s">
        <v>298</v>
      </c>
      <c r="I404" s="48" t="n">
        <v>46256</v>
      </c>
      <c r="J404" s="0" t="n">
        <v>1</v>
      </c>
      <c r="K404" s="49" t="s">
        <v>1684</v>
      </c>
      <c r="L404" s="49" t="s">
        <v>1035</v>
      </c>
      <c r="M404" s="48" t="n">
        <v>46275</v>
      </c>
      <c r="N404" s="49" t="s">
        <v>1204</v>
      </c>
      <c r="O404" s="49" t="s">
        <v>1052</v>
      </c>
      <c r="P404" s="48"/>
      <c r="Q404" s="48" t="n">
        <v>46256</v>
      </c>
      <c r="R404" s="48" t="n">
        <v>46262</v>
      </c>
      <c r="T404" s="49" t="s">
        <v>302</v>
      </c>
      <c r="U404" s="49" t="s">
        <v>303</v>
      </c>
      <c r="Y404" s="49" t="s">
        <v>1758</v>
      </c>
      <c r="AD404" s="49" t="s">
        <v>305</v>
      </c>
      <c r="AE404" s="48" t="n">
        <v>46226</v>
      </c>
      <c r="AF404" s="49" t="s">
        <v>306</v>
      </c>
      <c r="AG404" s="49" t="s">
        <v>307</v>
      </c>
      <c r="AK404" s="49" t="s">
        <v>1047</v>
      </c>
      <c r="AL404" s="49" t="s">
        <v>297</v>
      </c>
      <c r="AO404" s="49" t="s">
        <v>303</v>
      </c>
      <c r="AP404" s="48"/>
      <c r="AR404" s="49" t="s">
        <v>303</v>
      </c>
      <c r="AS404" s="49" t="s">
        <v>306</v>
      </c>
      <c r="AT404" s="49" t="s">
        <v>1759</v>
      </c>
      <c r="AV404" s="49" t="s">
        <v>309</v>
      </c>
      <c r="AW404" s="49" t="s">
        <v>310</v>
      </c>
      <c r="AX404" s="49" t="s">
        <v>311</v>
      </c>
      <c r="AY404" s="48"/>
      <c r="AZ404" s="48" t="n">
        <v>46254</v>
      </c>
      <c r="BC404" s="49" t="s">
        <v>303</v>
      </c>
      <c r="BD404" s="48" t="n">
        <v>46276</v>
      </c>
      <c r="BE404" s="49" t="s">
        <v>1760</v>
      </c>
      <c r="BF404" s="49" t="s">
        <v>303</v>
      </c>
      <c r="BG404" s="48"/>
      <c r="BI404" s="48" t="n">
        <v>46276</v>
      </c>
      <c r="BJ404" s="48" t="n">
        <v>46261</v>
      </c>
      <c r="BK404" s="49" t="s">
        <v>313</v>
      </c>
      <c r="BL404" s="49" t="s">
        <v>313</v>
      </c>
      <c r="BM404" s="49" t="s">
        <v>310</v>
      </c>
      <c r="BN404" s="48"/>
      <c r="BO404" s="48"/>
      <c r="BP404" s="48"/>
      <c r="BQ404" s="49" t="s">
        <v>1684</v>
      </c>
      <c r="BR404" s="48" t="n">
        <v>46261</v>
      </c>
      <c r="BS404" s="49" t="s">
        <v>1761</v>
      </c>
      <c r="BT404" s="49" t="s">
        <v>312</v>
      </c>
      <c r="BU404" s="49" t="s">
        <v>313</v>
      </c>
      <c r="BV404" s="49" t="s">
        <v>303</v>
      </c>
      <c r="BX404" s="0" t="n">
        <v>1</v>
      </c>
      <c r="CC404" s="49" t="s">
        <v>315</v>
      </c>
      <c r="CD404" s="49" t="s">
        <v>303</v>
      </c>
      <c r="CF404" s="49" t="s">
        <v>303</v>
      </c>
      <c r="CG404" s="49" t="s">
        <v>316</v>
      </c>
      <c r="CH404" s="49" t="s">
        <v>317</v>
      </c>
      <c r="CI404" s="49" t="s">
        <v>318</v>
      </c>
      <c r="CM404" s="49" t="s">
        <v>65</v>
      </c>
      <c r="CV404" s="49" t="s">
        <v>303</v>
      </c>
      <c r="DB404" s="49" t="s">
        <v>319</v>
      </c>
      <c r="DD404" s="48" t="n">
        <v>46226</v>
      </c>
      <c r="DF404" s="49" t="s">
        <v>310</v>
      </c>
      <c r="DG404" s="49" t="s">
        <v>320</v>
      </c>
      <c r="DH404" s="49" t="s">
        <v>64</v>
      </c>
      <c r="DI404" s="49" t="s">
        <v>298</v>
      </c>
      <c r="DJ404" s="49" t="s">
        <v>394</v>
      </c>
      <c r="DK404" s="49" t="s">
        <v>322</v>
      </c>
      <c r="DL404" s="49" t="s">
        <v>323</v>
      </c>
      <c r="DM404" s="49" t="s">
        <v>303</v>
      </c>
      <c r="DN404" s="49" t="s">
        <v>297</v>
      </c>
      <c r="DO404" s="48"/>
      <c r="DP404" s="49" t="s">
        <v>312</v>
      </c>
      <c r="DQ404" s="48"/>
      <c r="DR404" s="49" t="s">
        <v>312</v>
      </c>
      <c r="DS404" s="49" t="s">
        <v>303</v>
      </c>
      <c r="DT404" s="49" t="s">
        <v>303</v>
      </c>
      <c r="DW404" s="49" t="s">
        <v>303</v>
      </c>
      <c r="EA404" s="49" t="s">
        <v>324</v>
      </c>
      <c r="EB404" s="49" t="s">
        <v>303</v>
      </c>
      <c r="EF404" s="49" t="s">
        <v>1707</v>
      </c>
      <c r="EH404" s="49" t="s">
        <v>310</v>
      </c>
      <c r="EJ404" s="49" t="s">
        <v>303</v>
      </c>
      <c r="EK404" s="49" t="s">
        <v>1762</v>
      </c>
      <c r="EM404" s="49" t="s">
        <v>303</v>
      </c>
      <c r="EN404" s="49" t="s">
        <v>396</v>
      </c>
      <c r="EP404" s="49" t="s">
        <v>298</v>
      </c>
      <c r="EQ404" s="0" t="n">
        <v>1</v>
      </c>
      <c r="ER404" s="49" t="s">
        <v>328</v>
      </c>
      <c r="ES404" s="49" t="s">
        <v>329</v>
      </c>
      <c r="ET404" s="49" t="s">
        <v>310</v>
      </c>
      <c r="EU404" s="49" t="s">
        <v>310</v>
      </c>
      <c r="EV404" s="49" t="s">
        <v>310</v>
      </c>
      <c r="EX404" s="49" t="s">
        <v>303</v>
      </c>
      <c r="EY404" s="49" t="s">
        <v>303</v>
      </c>
      <c r="FC404" s="49" t="s">
        <v>330</v>
      </c>
      <c r="FD404" s="49" t="s">
        <v>310</v>
      </c>
      <c r="FE404" s="49" t="s">
        <v>310</v>
      </c>
      <c r="FF404" s="49" t="s">
        <v>64</v>
      </c>
      <c r="FG404" s="49" t="s">
        <v>397</v>
      </c>
      <c r="FH404" s="49" t="s">
        <v>310</v>
      </c>
      <c r="FI404" s="49" t="s">
        <v>332</v>
      </c>
      <c r="FJ404" s="49" t="s">
        <v>303</v>
      </c>
      <c r="FL404" s="49" t="s">
        <v>325</v>
      </c>
      <c r="FM404" s="49" t="s">
        <v>1684</v>
      </c>
      <c r="FP404" s="49" t="s">
        <v>303</v>
      </c>
      <c r="FR404" s="49" t="s">
        <v>303</v>
      </c>
      <c r="FT404" s="49" t="s">
        <v>325</v>
      </c>
      <c r="FU404" s="49" t="s">
        <v>325</v>
      </c>
      <c r="FW404" s="49" t="s">
        <v>333</v>
      </c>
    </row>
    <row r="405" customFormat="false" ht="15" hidden="false" customHeight="false" outlineLevel="0" collapsed="false">
      <c r="A405" s="0" t="n">
        <v>100874830</v>
      </c>
      <c r="B405" s="0" t="s">
        <v>295</v>
      </c>
      <c r="C405" s="0" t="s">
        <v>64</v>
      </c>
      <c r="D405" s="0" t="s">
        <v>65</v>
      </c>
      <c r="E405" s="0" t="s">
        <v>297</v>
      </c>
      <c r="G405" s="0" t="n">
        <v>1</v>
      </c>
      <c r="H405" s="0" t="s">
        <v>298</v>
      </c>
      <c r="I405" s="48" t="n">
        <v>46256</v>
      </c>
      <c r="J405" s="0" t="n">
        <v>1</v>
      </c>
      <c r="K405" s="49" t="s">
        <v>1684</v>
      </c>
      <c r="L405" s="49" t="s">
        <v>1035</v>
      </c>
      <c r="M405" s="48" t="n">
        <v>46275</v>
      </c>
      <c r="N405" s="49" t="s">
        <v>1204</v>
      </c>
      <c r="O405" s="49" t="s">
        <v>1052</v>
      </c>
      <c r="P405" s="48"/>
      <c r="Q405" s="48" t="n">
        <v>46256</v>
      </c>
      <c r="R405" s="48" t="n">
        <v>46262</v>
      </c>
      <c r="T405" s="49" t="s">
        <v>302</v>
      </c>
      <c r="U405" s="49" t="s">
        <v>303</v>
      </c>
      <c r="Y405" s="49" t="s">
        <v>1763</v>
      </c>
      <c r="AD405" s="49" t="s">
        <v>305</v>
      </c>
      <c r="AE405" s="48" t="n">
        <v>46226</v>
      </c>
      <c r="AF405" s="49" t="s">
        <v>306</v>
      </c>
      <c r="AG405" s="49" t="s">
        <v>307</v>
      </c>
      <c r="AK405" s="49" t="s">
        <v>1047</v>
      </c>
      <c r="AL405" s="49" t="s">
        <v>297</v>
      </c>
      <c r="AO405" s="49" t="s">
        <v>303</v>
      </c>
      <c r="AP405" s="48"/>
      <c r="AR405" s="49" t="s">
        <v>303</v>
      </c>
      <c r="AS405" s="49" t="s">
        <v>306</v>
      </c>
      <c r="AT405" s="49" t="s">
        <v>1764</v>
      </c>
      <c r="AV405" s="49" t="s">
        <v>309</v>
      </c>
      <c r="AW405" s="49" t="s">
        <v>310</v>
      </c>
      <c r="AX405" s="49" t="s">
        <v>311</v>
      </c>
      <c r="AY405" s="48"/>
      <c r="AZ405" s="48" t="n">
        <v>46254</v>
      </c>
      <c r="BC405" s="49" t="s">
        <v>303</v>
      </c>
      <c r="BD405" s="48" t="n">
        <v>46276</v>
      </c>
      <c r="BE405" s="49" t="s">
        <v>1765</v>
      </c>
      <c r="BF405" s="49" t="s">
        <v>303</v>
      </c>
      <c r="BG405" s="48"/>
      <c r="BI405" s="48" t="n">
        <v>46276</v>
      </c>
      <c r="BJ405" s="48" t="n">
        <v>46261</v>
      </c>
      <c r="BK405" s="49" t="s">
        <v>313</v>
      </c>
      <c r="BL405" s="49" t="s">
        <v>313</v>
      </c>
      <c r="BM405" s="49" t="s">
        <v>310</v>
      </c>
      <c r="BN405" s="48"/>
      <c r="BO405" s="48"/>
      <c r="BP405" s="48"/>
      <c r="BQ405" s="49" t="s">
        <v>1684</v>
      </c>
      <c r="BR405" s="48" t="n">
        <v>46261</v>
      </c>
      <c r="BS405" s="49" t="s">
        <v>1761</v>
      </c>
      <c r="BT405" s="49" t="s">
        <v>312</v>
      </c>
      <c r="BU405" s="49" t="s">
        <v>313</v>
      </c>
      <c r="BV405" s="49" t="s">
        <v>303</v>
      </c>
      <c r="BX405" s="0" t="n">
        <v>1</v>
      </c>
      <c r="CC405" s="49" t="s">
        <v>315</v>
      </c>
      <c r="CD405" s="49" t="s">
        <v>303</v>
      </c>
      <c r="CF405" s="49" t="s">
        <v>303</v>
      </c>
      <c r="CG405" s="49" t="s">
        <v>316</v>
      </c>
      <c r="CH405" s="49" t="s">
        <v>317</v>
      </c>
      <c r="CI405" s="49" t="s">
        <v>318</v>
      </c>
      <c r="CM405" s="49" t="s">
        <v>65</v>
      </c>
      <c r="CV405" s="49" t="s">
        <v>303</v>
      </c>
      <c r="DB405" s="49" t="s">
        <v>319</v>
      </c>
      <c r="DD405" s="48" t="n">
        <v>46226</v>
      </c>
      <c r="DF405" s="49" t="s">
        <v>310</v>
      </c>
      <c r="DG405" s="49" t="s">
        <v>320</v>
      </c>
      <c r="DH405" s="49" t="s">
        <v>64</v>
      </c>
      <c r="DI405" s="49" t="s">
        <v>298</v>
      </c>
      <c r="DJ405" s="49" t="s">
        <v>394</v>
      </c>
      <c r="DK405" s="49" t="s">
        <v>322</v>
      </c>
      <c r="DL405" s="49" t="s">
        <v>323</v>
      </c>
      <c r="DM405" s="49" t="s">
        <v>303</v>
      </c>
      <c r="DN405" s="49" t="s">
        <v>297</v>
      </c>
      <c r="DO405" s="48"/>
      <c r="DP405" s="49" t="s">
        <v>312</v>
      </c>
      <c r="DQ405" s="48"/>
      <c r="DR405" s="49" t="s">
        <v>312</v>
      </c>
      <c r="DS405" s="49" t="s">
        <v>303</v>
      </c>
      <c r="DT405" s="49" t="s">
        <v>303</v>
      </c>
      <c r="DW405" s="49" t="s">
        <v>303</v>
      </c>
      <c r="EA405" s="49" t="s">
        <v>324</v>
      </c>
      <c r="EB405" s="49" t="s">
        <v>303</v>
      </c>
      <c r="EF405" s="49" t="s">
        <v>1707</v>
      </c>
      <c r="EH405" s="49" t="s">
        <v>310</v>
      </c>
      <c r="EJ405" s="49" t="s">
        <v>303</v>
      </c>
      <c r="EK405" s="49" t="s">
        <v>1766</v>
      </c>
      <c r="EM405" s="49" t="s">
        <v>303</v>
      </c>
      <c r="EN405" s="49" t="s">
        <v>396</v>
      </c>
      <c r="EP405" s="49" t="s">
        <v>298</v>
      </c>
      <c r="EQ405" s="0" t="n">
        <v>1</v>
      </c>
      <c r="ER405" s="49" t="s">
        <v>328</v>
      </c>
      <c r="ES405" s="49" t="s">
        <v>329</v>
      </c>
      <c r="ET405" s="49" t="s">
        <v>310</v>
      </c>
      <c r="EU405" s="49" t="s">
        <v>310</v>
      </c>
      <c r="EV405" s="49" t="s">
        <v>310</v>
      </c>
      <c r="EX405" s="49" t="s">
        <v>303</v>
      </c>
      <c r="EY405" s="49" t="s">
        <v>303</v>
      </c>
      <c r="FC405" s="49" t="s">
        <v>330</v>
      </c>
      <c r="FD405" s="49" t="s">
        <v>310</v>
      </c>
      <c r="FE405" s="49" t="s">
        <v>310</v>
      </c>
      <c r="FF405" s="49" t="s">
        <v>64</v>
      </c>
      <c r="FG405" s="49" t="s">
        <v>397</v>
      </c>
      <c r="FH405" s="49" t="s">
        <v>310</v>
      </c>
      <c r="FI405" s="49" t="s">
        <v>332</v>
      </c>
      <c r="FJ405" s="49" t="s">
        <v>303</v>
      </c>
      <c r="FL405" s="49" t="s">
        <v>325</v>
      </c>
      <c r="FM405" s="49" t="s">
        <v>1684</v>
      </c>
      <c r="FP405" s="49" t="s">
        <v>303</v>
      </c>
      <c r="FR405" s="49" t="s">
        <v>303</v>
      </c>
      <c r="FT405" s="49" t="s">
        <v>325</v>
      </c>
      <c r="FU405" s="49" t="s">
        <v>325</v>
      </c>
      <c r="FW405" s="49" t="s">
        <v>333</v>
      </c>
    </row>
    <row r="406" customFormat="false" ht="15" hidden="false" customHeight="false" outlineLevel="0" collapsed="false">
      <c r="A406" s="0" t="n">
        <v>100874831</v>
      </c>
      <c r="B406" s="0" t="s">
        <v>295</v>
      </c>
      <c r="C406" s="0" t="s">
        <v>64</v>
      </c>
      <c r="D406" s="0" t="s">
        <v>65</v>
      </c>
      <c r="E406" s="0" t="s">
        <v>297</v>
      </c>
      <c r="G406" s="0" t="n">
        <v>1</v>
      </c>
      <c r="H406" s="0" t="s">
        <v>298</v>
      </c>
      <c r="I406" s="48" t="n">
        <v>46256</v>
      </c>
      <c r="J406" s="0" t="n">
        <v>1</v>
      </c>
      <c r="K406" s="49" t="s">
        <v>1684</v>
      </c>
      <c r="L406" s="49" t="s">
        <v>1035</v>
      </c>
      <c r="M406" s="48" t="n">
        <v>46275</v>
      </c>
      <c r="N406" s="49" t="s">
        <v>1204</v>
      </c>
      <c r="O406" s="49" t="s">
        <v>1052</v>
      </c>
      <c r="P406" s="48"/>
      <c r="Q406" s="48" t="n">
        <v>46256</v>
      </c>
      <c r="R406" s="48" t="n">
        <v>46262</v>
      </c>
      <c r="T406" s="49" t="s">
        <v>302</v>
      </c>
      <c r="U406" s="49" t="s">
        <v>303</v>
      </c>
      <c r="Y406" s="49" t="s">
        <v>1767</v>
      </c>
      <c r="AD406" s="49" t="s">
        <v>305</v>
      </c>
      <c r="AE406" s="48" t="n">
        <v>46226</v>
      </c>
      <c r="AF406" s="49" t="s">
        <v>306</v>
      </c>
      <c r="AG406" s="49" t="s">
        <v>307</v>
      </c>
      <c r="AK406" s="49" t="s">
        <v>1047</v>
      </c>
      <c r="AL406" s="49" t="s">
        <v>297</v>
      </c>
      <c r="AO406" s="49" t="s">
        <v>303</v>
      </c>
      <c r="AP406" s="48"/>
      <c r="AR406" s="49" t="s">
        <v>303</v>
      </c>
      <c r="AS406" s="49" t="s">
        <v>306</v>
      </c>
      <c r="AT406" s="49" t="s">
        <v>1768</v>
      </c>
      <c r="AV406" s="49" t="s">
        <v>309</v>
      </c>
      <c r="AW406" s="49" t="s">
        <v>310</v>
      </c>
      <c r="AX406" s="49" t="s">
        <v>311</v>
      </c>
      <c r="AY406" s="48"/>
      <c r="AZ406" s="48" t="n">
        <v>46254</v>
      </c>
      <c r="BC406" s="49" t="s">
        <v>303</v>
      </c>
      <c r="BD406" s="48" t="n">
        <v>46276</v>
      </c>
      <c r="BE406" s="49" t="s">
        <v>1769</v>
      </c>
      <c r="BF406" s="49" t="s">
        <v>303</v>
      </c>
      <c r="BG406" s="48"/>
      <c r="BI406" s="48" t="n">
        <v>46276</v>
      </c>
      <c r="BJ406" s="48" t="n">
        <v>46261</v>
      </c>
      <c r="BK406" s="49" t="s">
        <v>313</v>
      </c>
      <c r="BL406" s="49" t="s">
        <v>313</v>
      </c>
      <c r="BM406" s="49" t="s">
        <v>310</v>
      </c>
      <c r="BN406" s="48"/>
      <c r="BO406" s="48"/>
      <c r="BP406" s="48"/>
      <c r="BQ406" s="49" t="s">
        <v>1684</v>
      </c>
      <c r="BR406" s="48" t="n">
        <v>46261</v>
      </c>
      <c r="BS406" s="49" t="s">
        <v>1761</v>
      </c>
      <c r="BT406" s="49" t="s">
        <v>312</v>
      </c>
      <c r="BU406" s="49" t="s">
        <v>313</v>
      </c>
      <c r="BV406" s="49" t="s">
        <v>303</v>
      </c>
      <c r="BX406" s="0" t="n">
        <v>1</v>
      </c>
      <c r="CC406" s="49" t="s">
        <v>315</v>
      </c>
      <c r="CD406" s="49" t="s">
        <v>303</v>
      </c>
      <c r="CF406" s="49" t="s">
        <v>303</v>
      </c>
      <c r="CG406" s="49" t="s">
        <v>316</v>
      </c>
      <c r="CH406" s="49" t="s">
        <v>317</v>
      </c>
      <c r="CI406" s="49" t="s">
        <v>318</v>
      </c>
      <c r="CM406" s="49" t="s">
        <v>65</v>
      </c>
      <c r="CV406" s="49" t="s">
        <v>303</v>
      </c>
      <c r="DB406" s="49" t="s">
        <v>319</v>
      </c>
      <c r="DD406" s="48" t="n">
        <v>46226</v>
      </c>
      <c r="DF406" s="49" t="s">
        <v>310</v>
      </c>
      <c r="DG406" s="49" t="s">
        <v>320</v>
      </c>
      <c r="DH406" s="49" t="s">
        <v>64</v>
      </c>
      <c r="DI406" s="49" t="s">
        <v>298</v>
      </c>
      <c r="DJ406" s="49" t="s">
        <v>394</v>
      </c>
      <c r="DK406" s="49" t="s">
        <v>322</v>
      </c>
      <c r="DL406" s="49" t="s">
        <v>323</v>
      </c>
      <c r="DM406" s="49" t="s">
        <v>303</v>
      </c>
      <c r="DN406" s="49" t="s">
        <v>297</v>
      </c>
      <c r="DO406" s="48"/>
      <c r="DP406" s="49" t="s">
        <v>312</v>
      </c>
      <c r="DQ406" s="48"/>
      <c r="DR406" s="49" t="s">
        <v>312</v>
      </c>
      <c r="DS406" s="49" t="s">
        <v>303</v>
      </c>
      <c r="DT406" s="49" t="s">
        <v>303</v>
      </c>
      <c r="DW406" s="49" t="s">
        <v>303</v>
      </c>
      <c r="EA406" s="49" t="s">
        <v>324</v>
      </c>
      <c r="EB406" s="49" t="s">
        <v>303</v>
      </c>
      <c r="EF406" s="49" t="s">
        <v>1707</v>
      </c>
      <c r="EH406" s="49" t="s">
        <v>310</v>
      </c>
      <c r="EJ406" s="49" t="s">
        <v>303</v>
      </c>
      <c r="EK406" s="49" t="s">
        <v>1770</v>
      </c>
      <c r="EM406" s="49" t="s">
        <v>303</v>
      </c>
      <c r="EN406" s="49" t="s">
        <v>396</v>
      </c>
      <c r="EP406" s="49" t="s">
        <v>298</v>
      </c>
      <c r="EQ406" s="0" t="n">
        <v>1</v>
      </c>
      <c r="ER406" s="49" t="s">
        <v>328</v>
      </c>
      <c r="ES406" s="49" t="s">
        <v>329</v>
      </c>
      <c r="ET406" s="49" t="s">
        <v>310</v>
      </c>
      <c r="EU406" s="49" t="s">
        <v>310</v>
      </c>
      <c r="EV406" s="49" t="s">
        <v>310</v>
      </c>
      <c r="EX406" s="49" t="s">
        <v>303</v>
      </c>
      <c r="EY406" s="49" t="s">
        <v>303</v>
      </c>
      <c r="FC406" s="49" t="s">
        <v>330</v>
      </c>
      <c r="FD406" s="49" t="s">
        <v>310</v>
      </c>
      <c r="FE406" s="49" t="s">
        <v>310</v>
      </c>
      <c r="FF406" s="49" t="s">
        <v>64</v>
      </c>
      <c r="FG406" s="49" t="s">
        <v>397</v>
      </c>
      <c r="FH406" s="49" t="s">
        <v>310</v>
      </c>
      <c r="FI406" s="49" t="s">
        <v>332</v>
      </c>
      <c r="FJ406" s="49" t="s">
        <v>303</v>
      </c>
      <c r="FL406" s="49" t="s">
        <v>325</v>
      </c>
      <c r="FM406" s="49" t="s">
        <v>1684</v>
      </c>
      <c r="FP406" s="49" t="s">
        <v>303</v>
      </c>
      <c r="FR406" s="49" t="s">
        <v>303</v>
      </c>
      <c r="FT406" s="49" t="s">
        <v>325</v>
      </c>
      <c r="FU406" s="49" t="s">
        <v>325</v>
      </c>
      <c r="FW406" s="49" t="s">
        <v>333</v>
      </c>
    </row>
    <row r="407" customFormat="false" ht="15" hidden="false" customHeight="false" outlineLevel="0" collapsed="false">
      <c r="A407" s="0" t="n">
        <v>100874832</v>
      </c>
      <c r="B407" s="0" t="s">
        <v>295</v>
      </c>
      <c r="C407" s="0" t="s">
        <v>64</v>
      </c>
      <c r="D407" s="0" t="s">
        <v>65</v>
      </c>
      <c r="E407" s="0" t="s">
        <v>297</v>
      </c>
      <c r="G407" s="0" t="n">
        <v>1</v>
      </c>
      <c r="H407" s="0" t="s">
        <v>298</v>
      </c>
      <c r="I407" s="48" t="n">
        <v>46256</v>
      </c>
      <c r="J407" s="0" t="n">
        <v>1</v>
      </c>
      <c r="K407" s="49" t="s">
        <v>1684</v>
      </c>
      <c r="L407" s="49" t="s">
        <v>1035</v>
      </c>
      <c r="M407" s="48" t="n">
        <v>46277</v>
      </c>
      <c r="N407" s="49" t="s">
        <v>1204</v>
      </c>
      <c r="O407" s="49" t="s">
        <v>1052</v>
      </c>
      <c r="P407" s="48"/>
      <c r="Q407" s="48" t="n">
        <v>46256</v>
      </c>
      <c r="R407" s="48" t="n">
        <v>46262</v>
      </c>
      <c r="T407" s="49" t="s">
        <v>302</v>
      </c>
      <c r="U407" s="49" t="s">
        <v>303</v>
      </c>
      <c r="Y407" s="49" t="s">
        <v>1771</v>
      </c>
      <c r="AD407" s="49" t="s">
        <v>305</v>
      </c>
      <c r="AE407" s="48" t="n">
        <v>46226</v>
      </c>
      <c r="AF407" s="49" t="s">
        <v>306</v>
      </c>
      <c r="AG407" s="49" t="s">
        <v>307</v>
      </c>
      <c r="AK407" s="49" t="s">
        <v>1047</v>
      </c>
      <c r="AL407" s="49" t="s">
        <v>297</v>
      </c>
      <c r="AO407" s="49" t="s">
        <v>303</v>
      </c>
      <c r="AP407" s="48"/>
      <c r="AR407" s="49" t="s">
        <v>303</v>
      </c>
      <c r="AS407" s="49" t="s">
        <v>306</v>
      </c>
      <c r="AT407" s="49" t="s">
        <v>1772</v>
      </c>
      <c r="AV407" s="49" t="s">
        <v>309</v>
      </c>
      <c r="AW407" s="49" t="s">
        <v>310</v>
      </c>
      <c r="AX407" s="49" t="s">
        <v>311</v>
      </c>
      <c r="AY407" s="48"/>
      <c r="AZ407" s="48" t="n">
        <v>46254</v>
      </c>
      <c r="BC407" s="49" t="s">
        <v>303</v>
      </c>
      <c r="BD407" s="48" t="n">
        <v>46277</v>
      </c>
      <c r="BE407" s="49" t="s">
        <v>1773</v>
      </c>
      <c r="BF407" s="49" t="s">
        <v>303</v>
      </c>
      <c r="BG407" s="48"/>
      <c r="BI407" s="48" t="n">
        <v>46277</v>
      </c>
      <c r="BJ407" s="48" t="n">
        <v>46261</v>
      </c>
      <c r="BK407" s="49" t="s">
        <v>313</v>
      </c>
      <c r="BL407" s="49" t="s">
        <v>313</v>
      </c>
      <c r="BM407" s="49" t="s">
        <v>310</v>
      </c>
      <c r="BN407" s="48"/>
      <c r="BO407" s="48"/>
      <c r="BP407" s="48"/>
      <c r="BQ407" s="49" t="s">
        <v>1684</v>
      </c>
      <c r="BR407" s="48" t="n">
        <v>46261</v>
      </c>
      <c r="BS407" s="49" t="s">
        <v>1761</v>
      </c>
      <c r="BT407" s="49" t="s">
        <v>312</v>
      </c>
      <c r="BU407" s="49" t="s">
        <v>313</v>
      </c>
      <c r="BV407" s="49" t="s">
        <v>303</v>
      </c>
      <c r="BX407" s="0" t="n">
        <v>1</v>
      </c>
      <c r="CC407" s="49" t="s">
        <v>315</v>
      </c>
      <c r="CD407" s="49" t="s">
        <v>303</v>
      </c>
      <c r="CF407" s="49" t="s">
        <v>303</v>
      </c>
      <c r="CG407" s="49" t="s">
        <v>316</v>
      </c>
      <c r="CH407" s="49" t="s">
        <v>317</v>
      </c>
      <c r="CI407" s="49" t="s">
        <v>318</v>
      </c>
      <c r="CM407" s="49" t="s">
        <v>65</v>
      </c>
      <c r="CV407" s="49" t="s">
        <v>303</v>
      </c>
      <c r="DB407" s="49" t="s">
        <v>319</v>
      </c>
      <c r="DD407" s="48" t="n">
        <v>46226</v>
      </c>
      <c r="DF407" s="49" t="s">
        <v>310</v>
      </c>
      <c r="DG407" s="49" t="s">
        <v>320</v>
      </c>
      <c r="DH407" s="49" t="s">
        <v>64</v>
      </c>
      <c r="DI407" s="49" t="s">
        <v>298</v>
      </c>
      <c r="DJ407" s="49" t="s">
        <v>394</v>
      </c>
      <c r="DK407" s="49" t="s">
        <v>322</v>
      </c>
      <c r="DL407" s="49" t="s">
        <v>323</v>
      </c>
      <c r="DM407" s="49" t="s">
        <v>303</v>
      </c>
      <c r="DN407" s="49" t="s">
        <v>297</v>
      </c>
      <c r="DO407" s="48"/>
      <c r="DP407" s="49" t="s">
        <v>312</v>
      </c>
      <c r="DQ407" s="48"/>
      <c r="DR407" s="49" t="s">
        <v>312</v>
      </c>
      <c r="DS407" s="49" t="s">
        <v>303</v>
      </c>
      <c r="DT407" s="49" t="s">
        <v>303</v>
      </c>
      <c r="DW407" s="49" t="s">
        <v>303</v>
      </c>
      <c r="EA407" s="49" t="s">
        <v>324</v>
      </c>
      <c r="EB407" s="49" t="s">
        <v>303</v>
      </c>
      <c r="EF407" s="49" t="s">
        <v>1707</v>
      </c>
      <c r="EH407" s="49" t="s">
        <v>310</v>
      </c>
      <c r="EJ407" s="49" t="s">
        <v>303</v>
      </c>
      <c r="EK407" s="49" t="s">
        <v>1774</v>
      </c>
      <c r="EM407" s="49" t="s">
        <v>303</v>
      </c>
      <c r="EN407" s="49" t="s">
        <v>396</v>
      </c>
      <c r="EP407" s="49" t="s">
        <v>298</v>
      </c>
      <c r="EQ407" s="0" t="n">
        <v>1</v>
      </c>
      <c r="ER407" s="49" t="s">
        <v>328</v>
      </c>
      <c r="ES407" s="49" t="s">
        <v>329</v>
      </c>
      <c r="ET407" s="49" t="s">
        <v>310</v>
      </c>
      <c r="EU407" s="49" t="s">
        <v>310</v>
      </c>
      <c r="EV407" s="49" t="s">
        <v>310</v>
      </c>
      <c r="EX407" s="49" t="s">
        <v>303</v>
      </c>
      <c r="EY407" s="49" t="s">
        <v>303</v>
      </c>
      <c r="FC407" s="49" t="s">
        <v>330</v>
      </c>
      <c r="FD407" s="49" t="s">
        <v>310</v>
      </c>
      <c r="FE407" s="49" t="s">
        <v>310</v>
      </c>
      <c r="FF407" s="49" t="s">
        <v>64</v>
      </c>
      <c r="FG407" s="49" t="s">
        <v>397</v>
      </c>
      <c r="FH407" s="49" t="s">
        <v>310</v>
      </c>
      <c r="FI407" s="49" t="s">
        <v>332</v>
      </c>
      <c r="FJ407" s="49" t="s">
        <v>303</v>
      </c>
      <c r="FL407" s="49" t="s">
        <v>325</v>
      </c>
      <c r="FM407" s="49" t="s">
        <v>1684</v>
      </c>
      <c r="FP407" s="49" t="s">
        <v>303</v>
      </c>
      <c r="FR407" s="49" t="s">
        <v>303</v>
      </c>
      <c r="FT407" s="49" t="s">
        <v>325</v>
      </c>
      <c r="FU407" s="49" t="s">
        <v>325</v>
      </c>
      <c r="FW407" s="49" t="s">
        <v>333</v>
      </c>
    </row>
    <row r="408" customFormat="false" ht="15" hidden="false" customHeight="false" outlineLevel="0" collapsed="false">
      <c r="A408" s="0" t="n">
        <v>100874833</v>
      </c>
      <c r="B408" s="0" t="s">
        <v>295</v>
      </c>
      <c r="C408" s="0" t="s">
        <v>64</v>
      </c>
      <c r="D408" s="0" t="s">
        <v>65</v>
      </c>
      <c r="E408" s="0" t="s">
        <v>297</v>
      </c>
      <c r="G408" s="0" t="n">
        <v>1</v>
      </c>
      <c r="H408" s="0" t="s">
        <v>298</v>
      </c>
      <c r="I408" s="48" t="n">
        <v>46256</v>
      </c>
      <c r="J408" s="0" t="n">
        <v>1</v>
      </c>
      <c r="K408" s="49" t="s">
        <v>1684</v>
      </c>
      <c r="L408" s="49" t="s">
        <v>1035</v>
      </c>
      <c r="M408" s="48" t="n">
        <v>46277</v>
      </c>
      <c r="N408" s="49" t="s">
        <v>1204</v>
      </c>
      <c r="O408" s="49" t="s">
        <v>1052</v>
      </c>
      <c r="P408" s="48"/>
      <c r="Q408" s="48" t="n">
        <v>46256</v>
      </c>
      <c r="R408" s="48" t="n">
        <v>46262</v>
      </c>
      <c r="T408" s="49" t="s">
        <v>302</v>
      </c>
      <c r="U408" s="49" t="s">
        <v>303</v>
      </c>
      <c r="Y408" s="49" t="s">
        <v>1775</v>
      </c>
      <c r="AD408" s="49" t="s">
        <v>305</v>
      </c>
      <c r="AE408" s="48" t="n">
        <v>46226</v>
      </c>
      <c r="AF408" s="49" t="s">
        <v>306</v>
      </c>
      <c r="AG408" s="49" t="s">
        <v>307</v>
      </c>
      <c r="AK408" s="49" t="s">
        <v>1047</v>
      </c>
      <c r="AL408" s="49" t="s">
        <v>297</v>
      </c>
      <c r="AO408" s="49" t="s">
        <v>303</v>
      </c>
      <c r="AP408" s="48"/>
      <c r="AR408" s="49" t="s">
        <v>303</v>
      </c>
      <c r="AS408" s="49" t="s">
        <v>306</v>
      </c>
      <c r="AT408" s="49" t="s">
        <v>1776</v>
      </c>
      <c r="AV408" s="49" t="s">
        <v>309</v>
      </c>
      <c r="AW408" s="49" t="s">
        <v>310</v>
      </c>
      <c r="AX408" s="49" t="s">
        <v>311</v>
      </c>
      <c r="AY408" s="48"/>
      <c r="AZ408" s="48" t="n">
        <v>46254</v>
      </c>
      <c r="BC408" s="49" t="s">
        <v>303</v>
      </c>
      <c r="BD408" s="48" t="n">
        <v>46277</v>
      </c>
      <c r="BE408" s="49" t="s">
        <v>1777</v>
      </c>
      <c r="BF408" s="49" t="s">
        <v>303</v>
      </c>
      <c r="BG408" s="48"/>
      <c r="BI408" s="48" t="n">
        <v>46277</v>
      </c>
      <c r="BJ408" s="48" t="n">
        <v>46261</v>
      </c>
      <c r="BK408" s="49" t="s">
        <v>313</v>
      </c>
      <c r="BL408" s="49" t="s">
        <v>313</v>
      </c>
      <c r="BM408" s="49" t="s">
        <v>310</v>
      </c>
      <c r="BN408" s="48"/>
      <c r="BO408" s="48"/>
      <c r="BP408" s="48"/>
      <c r="BQ408" s="49" t="s">
        <v>1684</v>
      </c>
      <c r="BR408" s="48" t="n">
        <v>46261</v>
      </c>
      <c r="BS408" s="49" t="s">
        <v>1778</v>
      </c>
      <c r="BT408" s="49" t="s">
        <v>312</v>
      </c>
      <c r="BU408" s="49" t="s">
        <v>313</v>
      </c>
      <c r="BV408" s="49" t="s">
        <v>303</v>
      </c>
      <c r="BX408" s="0" t="n">
        <v>1</v>
      </c>
      <c r="CC408" s="49" t="s">
        <v>315</v>
      </c>
      <c r="CD408" s="49" t="s">
        <v>303</v>
      </c>
      <c r="CF408" s="49" t="s">
        <v>303</v>
      </c>
      <c r="CG408" s="49" t="s">
        <v>316</v>
      </c>
      <c r="CH408" s="49" t="s">
        <v>317</v>
      </c>
      <c r="CI408" s="49" t="s">
        <v>318</v>
      </c>
      <c r="CM408" s="49" t="s">
        <v>65</v>
      </c>
      <c r="CV408" s="49" t="s">
        <v>303</v>
      </c>
      <c r="DB408" s="49" t="s">
        <v>319</v>
      </c>
      <c r="DD408" s="48" t="n">
        <v>46226</v>
      </c>
      <c r="DF408" s="49" t="s">
        <v>310</v>
      </c>
      <c r="DG408" s="49" t="s">
        <v>320</v>
      </c>
      <c r="DH408" s="49" t="s">
        <v>64</v>
      </c>
      <c r="DI408" s="49" t="s">
        <v>298</v>
      </c>
      <c r="DJ408" s="49" t="s">
        <v>394</v>
      </c>
      <c r="DK408" s="49" t="s">
        <v>322</v>
      </c>
      <c r="DL408" s="49" t="s">
        <v>323</v>
      </c>
      <c r="DM408" s="49" t="s">
        <v>303</v>
      </c>
      <c r="DN408" s="49" t="s">
        <v>297</v>
      </c>
      <c r="DO408" s="48"/>
      <c r="DP408" s="49" t="s">
        <v>312</v>
      </c>
      <c r="DQ408" s="48"/>
      <c r="DR408" s="49" t="s">
        <v>312</v>
      </c>
      <c r="DS408" s="49" t="s">
        <v>303</v>
      </c>
      <c r="DT408" s="49" t="s">
        <v>303</v>
      </c>
      <c r="DW408" s="49" t="s">
        <v>303</v>
      </c>
      <c r="EA408" s="49" t="s">
        <v>324</v>
      </c>
      <c r="EB408" s="49" t="s">
        <v>303</v>
      </c>
      <c r="EF408" s="49" t="s">
        <v>1707</v>
      </c>
      <c r="EH408" s="49" t="s">
        <v>310</v>
      </c>
      <c r="EJ408" s="49" t="s">
        <v>303</v>
      </c>
      <c r="EK408" s="49" t="s">
        <v>1779</v>
      </c>
      <c r="EM408" s="49" t="s">
        <v>303</v>
      </c>
      <c r="EN408" s="49" t="s">
        <v>396</v>
      </c>
      <c r="EP408" s="49" t="s">
        <v>298</v>
      </c>
      <c r="EQ408" s="0" t="n">
        <v>1</v>
      </c>
      <c r="ER408" s="49" t="s">
        <v>328</v>
      </c>
      <c r="ES408" s="49" t="s">
        <v>329</v>
      </c>
      <c r="ET408" s="49" t="s">
        <v>310</v>
      </c>
      <c r="EU408" s="49" t="s">
        <v>310</v>
      </c>
      <c r="EV408" s="49" t="s">
        <v>310</v>
      </c>
      <c r="EX408" s="49" t="s">
        <v>303</v>
      </c>
      <c r="EY408" s="49" t="s">
        <v>303</v>
      </c>
      <c r="FC408" s="49" t="s">
        <v>330</v>
      </c>
      <c r="FD408" s="49" t="s">
        <v>310</v>
      </c>
      <c r="FE408" s="49" t="s">
        <v>310</v>
      </c>
      <c r="FF408" s="49" t="s">
        <v>64</v>
      </c>
      <c r="FG408" s="49" t="s">
        <v>397</v>
      </c>
      <c r="FH408" s="49" t="s">
        <v>310</v>
      </c>
      <c r="FI408" s="49" t="s">
        <v>332</v>
      </c>
      <c r="FJ408" s="49" t="s">
        <v>303</v>
      </c>
      <c r="FL408" s="49" t="s">
        <v>325</v>
      </c>
      <c r="FM408" s="49" t="s">
        <v>1684</v>
      </c>
      <c r="FP408" s="49" t="s">
        <v>303</v>
      </c>
      <c r="FR408" s="49" t="s">
        <v>303</v>
      </c>
      <c r="FT408" s="49" t="s">
        <v>325</v>
      </c>
      <c r="FU408" s="49" t="s">
        <v>325</v>
      </c>
      <c r="FW408" s="49" t="s">
        <v>333</v>
      </c>
    </row>
    <row r="409" customFormat="false" ht="15" hidden="false" customHeight="false" outlineLevel="0" collapsed="false">
      <c r="A409" s="0" t="n">
        <v>100874834</v>
      </c>
      <c r="B409" s="0" t="s">
        <v>295</v>
      </c>
      <c r="C409" s="0" t="s">
        <v>64</v>
      </c>
      <c r="D409" s="0" t="s">
        <v>65</v>
      </c>
      <c r="E409" s="0" t="s">
        <v>297</v>
      </c>
      <c r="G409" s="0" t="n">
        <v>1</v>
      </c>
      <c r="H409" s="0" t="s">
        <v>298</v>
      </c>
      <c r="I409" s="48" t="n">
        <v>46256</v>
      </c>
      <c r="J409" s="0" t="n">
        <v>1</v>
      </c>
      <c r="K409" s="49" t="s">
        <v>1684</v>
      </c>
      <c r="L409" s="49" t="s">
        <v>1035</v>
      </c>
      <c r="M409" s="48" t="n">
        <v>46277</v>
      </c>
      <c r="N409" s="49" t="s">
        <v>1204</v>
      </c>
      <c r="O409" s="49" t="s">
        <v>1052</v>
      </c>
      <c r="P409" s="48"/>
      <c r="Q409" s="48" t="n">
        <v>46256</v>
      </c>
      <c r="R409" s="48" t="n">
        <v>46262</v>
      </c>
      <c r="T409" s="49" t="s">
        <v>302</v>
      </c>
      <c r="U409" s="49" t="s">
        <v>303</v>
      </c>
      <c r="Y409" s="49" t="s">
        <v>1780</v>
      </c>
      <c r="AD409" s="49" t="s">
        <v>305</v>
      </c>
      <c r="AE409" s="48" t="n">
        <v>46226</v>
      </c>
      <c r="AF409" s="49" t="s">
        <v>306</v>
      </c>
      <c r="AG409" s="49" t="s">
        <v>307</v>
      </c>
      <c r="AK409" s="49" t="s">
        <v>1047</v>
      </c>
      <c r="AL409" s="49" t="s">
        <v>297</v>
      </c>
      <c r="AO409" s="49" t="s">
        <v>303</v>
      </c>
      <c r="AP409" s="48"/>
      <c r="AR409" s="49" t="s">
        <v>303</v>
      </c>
      <c r="AS409" s="49" t="s">
        <v>306</v>
      </c>
      <c r="AT409" s="49" t="s">
        <v>1781</v>
      </c>
      <c r="AV409" s="49" t="s">
        <v>309</v>
      </c>
      <c r="AW409" s="49" t="s">
        <v>310</v>
      </c>
      <c r="AX409" s="49" t="s">
        <v>311</v>
      </c>
      <c r="AY409" s="48"/>
      <c r="AZ409" s="48" t="n">
        <v>46254</v>
      </c>
      <c r="BC409" s="49" t="s">
        <v>303</v>
      </c>
      <c r="BD409" s="48" t="n">
        <v>46277</v>
      </c>
      <c r="BE409" s="49" t="s">
        <v>1782</v>
      </c>
      <c r="BF409" s="49" t="s">
        <v>303</v>
      </c>
      <c r="BG409" s="48"/>
      <c r="BI409" s="48" t="n">
        <v>46277</v>
      </c>
      <c r="BJ409" s="48" t="n">
        <v>46261</v>
      </c>
      <c r="BK409" s="49" t="s">
        <v>313</v>
      </c>
      <c r="BL409" s="49" t="s">
        <v>313</v>
      </c>
      <c r="BM409" s="49" t="s">
        <v>310</v>
      </c>
      <c r="BN409" s="48"/>
      <c r="BO409" s="48"/>
      <c r="BP409" s="48"/>
      <c r="BQ409" s="49" t="s">
        <v>1684</v>
      </c>
      <c r="BR409" s="48" t="n">
        <v>46261</v>
      </c>
      <c r="BS409" s="49" t="s">
        <v>1778</v>
      </c>
      <c r="BT409" s="49" t="s">
        <v>312</v>
      </c>
      <c r="BU409" s="49" t="s">
        <v>313</v>
      </c>
      <c r="BV409" s="49" t="s">
        <v>303</v>
      </c>
      <c r="BX409" s="0" t="n">
        <v>1</v>
      </c>
      <c r="CC409" s="49" t="s">
        <v>315</v>
      </c>
      <c r="CD409" s="49" t="s">
        <v>303</v>
      </c>
      <c r="CF409" s="49" t="s">
        <v>303</v>
      </c>
      <c r="CG409" s="49" t="s">
        <v>316</v>
      </c>
      <c r="CH409" s="49" t="s">
        <v>317</v>
      </c>
      <c r="CI409" s="49" t="s">
        <v>318</v>
      </c>
      <c r="CM409" s="49" t="s">
        <v>65</v>
      </c>
      <c r="CV409" s="49" t="s">
        <v>303</v>
      </c>
      <c r="DB409" s="49" t="s">
        <v>319</v>
      </c>
      <c r="DD409" s="48" t="n">
        <v>46226</v>
      </c>
      <c r="DF409" s="49" t="s">
        <v>310</v>
      </c>
      <c r="DG409" s="49" t="s">
        <v>320</v>
      </c>
      <c r="DH409" s="49" t="s">
        <v>64</v>
      </c>
      <c r="DI409" s="49" t="s">
        <v>298</v>
      </c>
      <c r="DJ409" s="49" t="s">
        <v>394</v>
      </c>
      <c r="DK409" s="49" t="s">
        <v>322</v>
      </c>
      <c r="DL409" s="49" t="s">
        <v>323</v>
      </c>
      <c r="DM409" s="49" t="s">
        <v>303</v>
      </c>
      <c r="DN409" s="49" t="s">
        <v>297</v>
      </c>
      <c r="DO409" s="48"/>
      <c r="DP409" s="49" t="s">
        <v>312</v>
      </c>
      <c r="DQ409" s="48"/>
      <c r="DR409" s="49" t="s">
        <v>312</v>
      </c>
      <c r="DS409" s="49" t="s">
        <v>303</v>
      </c>
      <c r="DT409" s="49" t="s">
        <v>303</v>
      </c>
      <c r="DW409" s="49" t="s">
        <v>303</v>
      </c>
      <c r="EA409" s="49" t="s">
        <v>324</v>
      </c>
      <c r="EB409" s="49" t="s">
        <v>303</v>
      </c>
      <c r="EF409" s="49" t="s">
        <v>1707</v>
      </c>
      <c r="EH409" s="49" t="s">
        <v>310</v>
      </c>
      <c r="EJ409" s="49" t="s">
        <v>303</v>
      </c>
      <c r="EK409" s="49" t="s">
        <v>1783</v>
      </c>
      <c r="EM409" s="49" t="s">
        <v>303</v>
      </c>
      <c r="EN409" s="49" t="s">
        <v>396</v>
      </c>
      <c r="EP409" s="49" t="s">
        <v>298</v>
      </c>
      <c r="EQ409" s="0" t="n">
        <v>1</v>
      </c>
      <c r="ER409" s="49" t="s">
        <v>328</v>
      </c>
      <c r="ES409" s="49" t="s">
        <v>329</v>
      </c>
      <c r="ET409" s="49" t="s">
        <v>310</v>
      </c>
      <c r="EU409" s="49" t="s">
        <v>310</v>
      </c>
      <c r="EV409" s="49" t="s">
        <v>310</v>
      </c>
      <c r="EX409" s="49" t="s">
        <v>303</v>
      </c>
      <c r="EY409" s="49" t="s">
        <v>303</v>
      </c>
      <c r="FC409" s="49" t="s">
        <v>330</v>
      </c>
      <c r="FD409" s="49" t="s">
        <v>310</v>
      </c>
      <c r="FE409" s="49" t="s">
        <v>310</v>
      </c>
      <c r="FF409" s="49" t="s">
        <v>64</v>
      </c>
      <c r="FG409" s="49" t="s">
        <v>397</v>
      </c>
      <c r="FH409" s="49" t="s">
        <v>310</v>
      </c>
      <c r="FI409" s="49" t="s">
        <v>332</v>
      </c>
      <c r="FJ409" s="49" t="s">
        <v>303</v>
      </c>
      <c r="FL409" s="49" t="s">
        <v>325</v>
      </c>
      <c r="FM409" s="49" t="s">
        <v>1684</v>
      </c>
      <c r="FP409" s="49" t="s">
        <v>303</v>
      </c>
      <c r="FR409" s="49" t="s">
        <v>303</v>
      </c>
      <c r="FT409" s="49" t="s">
        <v>325</v>
      </c>
      <c r="FU409" s="49" t="s">
        <v>325</v>
      </c>
      <c r="FW409" s="49" t="s">
        <v>333</v>
      </c>
    </row>
    <row r="410" customFormat="false" ht="15" hidden="false" customHeight="false" outlineLevel="0" collapsed="false">
      <c r="A410" s="0" t="n">
        <v>100874835</v>
      </c>
      <c r="B410" s="0" t="s">
        <v>295</v>
      </c>
      <c r="C410" s="0" t="s">
        <v>64</v>
      </c>
      <c r="D410" s="0" t="s">
        <v>65</v>
      </c>
      <c r="E410" s="0" t="s">
        <v>297</v>
      </c>
      <c r="G410" s="0" t="n">
        <v>1</v>
      </c>
      <c r="H410" s="0" t="s">
        <v>298</v>
      </c>
      <c r="I410" s="48" t="n">
        <v>46256</v>
      </c>
      <c r="J410" s="0" t="n">
        <v>1</v>
      </c>
      <c r="K410" s="49" t="s">
        <v>1684</v>
      </c>
      <c r="L410" s="49" t="s">
        <v>1035</v>
      </c>
      <c r="M410" s="48" t="n">
        <v>46277</v>
      </c>
      <c r="N410" s="49" t="s">
        <v>1204</v>
      </c>
      <c r="O410" s="49" t="s">
        <v>1052</v>
      </c>
      <c r="P410" s="48"/>
      <c r="Q410" s="48" t="n">
        <v>46256</v>
      </c>
      <c r="R410" s="48" t="n">
        <v>46262</v>
      </c>
      <c r="T410" s="49" t="s">
        <v>302</v>
      </c>
      <c r="U410" s="49" t="s">
        <v>303</v>
      </c>
      <c r="Y410" s="49" t="s">
        <v>1784</v>
      </c>
      <c r="AD410" s="49" t="s">
        <v>305</v>
      </c>
      <c r="AE410" s="48" t="n">
        <v>46226</v>
      </c>
      <c r="AF410" s="49" t="s">
        <v>306</v>
      </c>
      <c r="AG410" s="49" t="s">
        <v>307</v>
      </c>
      <c r="AK410" s="49" t="s">
        <v>1047</v>
      </c>
      <c r="AL410" s="49" t="s">
        <v>297</v>
      </c>
      <c r="AO410" s="49" t="s">
        <v>303</v>
      </c>
      <c r="AP410" s="48"/>
      <c r="AR410" s="49" t="s">
        <v>303</v>
      </c>
      <c r="AS410" s="49" t="s">
        <v>306</v>
      </c>
      <c r="AT410" s="49" t="s">
        <v>1785</v>
      </c>
      <c r="AV410" s="49" t="s">
        <v>309</v>
      </c>
      <c r="AW410" s="49" t="s">
        <v>310</v>
      </c>
      <c r="AX410" s="49" t="s">
        <v>311</v>
      </c>
      <c r="AY410" s="48"/>
      <c r="AZ410" s="48" t="n">
        <v>46254</v>
      </c>
      <c r="BC410" s="49" t="s">
        <v>303</v>
      </c>
      <c r="BD410" s="48" t="n">
        <v>46277</v>
      </c>
      <c r="BE410" s="49" t="s">
        <v>1786</v>
      </c>
      <c r="BF410" s="49" t="s">
        <v>303</v>
      </c>
      <c r="BG410" s="48"/>
      <c r="BI410" s="48" t="n">
        <v>46277</v>
      </c>
      <c r="BJ410" s="48" t="n">
        <v>46261</v>
      </c>
      <c r="BK410" s="49" t="s">
        <v>313</v>
      </c>
      <c r="BL410" s="49" t="s">
        <v>313</v>
      </c>
      <c r="BM410" s="49" t="s">
        <v>310</v>
      </c>
      <c r="BN410" s="48"/>
      <c r="BO410" s="48"/>
      <c r="BP410" s="48"/>
      <c r="BQ410" s="49" t="s">
        <v>1684</v>
      </c>
      <c r="BR410" s="48" t="n">
        <v>46261</v>
      </c>
      <c r="BS410" s="49" t="s">
        <v>1778</v>
      </c>
      <c r="BT410" s="49" t="s">
        <v>312</v>
      </c>
      <c r="BU410" s="49" t="s">
        <v>313</v>
      </c>
      <c r="BV410" s="49" t="s">
        <v>303</v>
      </c>
      <c r="BX410" s="0" t="n">
        <v>1</v>
      </c>
      <c r="CC410" s="49" t="s">
        <v>315</v>
      </c>
      <c r="CD410" s="49" t="s">
        <v>303</v>
      </c>
      <c r="CF410" s="49" t="s">
        <v>303</v>
      </c>
      <c r="CG410" s="49" t="s">
        <v>316</v>
      </c>
      <c r="CH410" s="49" t="s">
        <v>317</v>
      </c>
      <c r="CI410" s="49" t="s">
        <v>318</v>
      </c>
      <c r="CM410" s="49" t="s">
        <v>65</v>
      </c>
      <c r="CV410" s="49" t="s">
        <v>303</v>
      </c>
      <c r="DB410" s="49" t="s">
        <v>319</v>
      </c>
      <c r="DD410" s="48" t="n">
        <v>46226</v>
      </c>
      <c r="DF410" s="49" t="s">
        <v>310</v>
      </c>
      <c r="DG410" s="49" t="s">
        <v>320</v>
      </c>
      <c r="DH410" s="49" t="s">
        <v>64</v>
      </c>
      <c r="DI410" s="49" t="s">
        <v>298</v>
      </c>
      <c r="DJ410" s="49" t="s">
        <v>394</v>
      </c>
      <c r="DK410" s="49" t="s">
        <v>322</v>
      </c>
      <c r="DL410" s="49" t="s">
        <v>323</v>
      </c>
      <c r="DM410" s="49" t="s">
        <v>303</v>
      </c>
      <c r="DN410" s="49" t="s">
        <v>297</v>
      </c>
      <c r="DO410" s="48"/>
      <c r="DP410" s="49" t="s">
        <v>312</v>
      </c>
      <c r="DQ410" s="48"/>
      <c r="DR410" s="49" t="s">
        <v>312</v>
      </c>
      <c r="DS410" s="49" t="s">
        <v>303</v>
      </c>
      <c r="DT410" s="49" t="s">
        <v>303</v>
      </c>
      <c r="DW410" s="49" t="s">
        <v>303</v>
      </c>
      <c r="EA410" s="49" t="s">
        <v>324</v>
      </c>
      <c r="EB410" s="49" t="s">
        <v>303</v>
      </c>
      <c r="EF410" s="49" t="s">
        <v>1707</v>
      </c>
      <c r="EH410" s="49" t="s">
        <v>310</v>
      </c>
      <c r="EJ410" s="49" t="s">
        <v>303</v>
      </c>
      <c r="EK410" s="49" t="s">
        <v>1787</v>
      </c>
      <c r="EM410" s="49" t="s">
        <v>303</v>
      </c>
      <c r="EN410" s="49" t="s">
        <v>396</v>
      </c>
      <c r="EP410" s="49" t="s">
        <v>298</v>
      </c>
      <c r="EQ410" s="0" t="n">
        <v>1</v>
      </c>
      <c r="ER410" s="49" t="s">
        <v>328</v>
      </c>
      <c r="ES410" s="49" t="s">
        <v>329</v>
      </c>
      <c r="ET410" s="49" t="s">
        <v>310</v>
      </c>
      <c r="EU410" s="49" t="s">
        <v>310</v>
      </c>
      <c r="EV410" s="49" t="s">
        <v>310</v>
      </c>
      <c r="EX410" s="49" t="s">
        <v>303</v>
      </c>
      <c r="EY410" s="49" t="s">
        <v>303</v>
      </c>
      <c r="FC410" s="49" t="s">
        <v>330</v>
      </c>
      <c r="FD410" s="49" t="s">
        <v>310</v>
      </c>
      <c r="FE410" s="49" t="s">
        <v>310</v>
      </c>
      <c r="FF410" s="49" t="s">
        <v>64</v>
      </c>
      <c r="FG410" s="49" t="s">
        <v>397</v>
      </c>
      <c r="FH410" s="49" t="s">
        <v>310</v>
      </c>
      <c r="FI410" s="49" t="s">
        <v>332</v>
      </c>
      <c r="FJ410" s="49" t="s">
        <v>303</v>
      </c>
      <c r="FL410" s="49" t="s">
        <v>325</v>
      </c>
      <c r="FM410" s="49" t="s">
        <v>1684</v>
      </c>
      <c r="FP410" s="49" t="s">
        <v>303</v>
      </c>
      <c r="FR410" s="49" t="s">
        <v>303</v>
      </c>
      <c r="FT410" s="49" t="s">
        <v>325</v>
      </c>
      <c r="FU410" s="49" t="s">
        <v>325</v>
      </c>
      <c r="FW410" s="49" t="s">
        <v>333</v>
      </c>
    </row>
    <row r="411" customFormat="false" ht="15" hidden="false" customHeight="false" outlineLevel="0" collapsed="false">
      <c r="A411" s="0" t="n">
        <v>100874836</v>
      </c>
      <c r="B411" s="0" t="s">
        <v>295</v>
      </c>
      <c r="C411" s="0" t="s">
        <v>64</v>
      </c>
      <c r="D411" s="0" t="s">
        <v>65</v>
      </c>
      <c r="E411" s="0" t="s">
        <v>297</v>
      </c>
      <c r="G411" s="0" t="n">
        <v>1</v>
      </c>
      <c r="H411" s="0" t="s">
        <v>298</v>
      </c>
      <c r="I411" s="48" t="n">
        <v>46256</v>
      </c>
      <c r="J411" s="0" t="n">
        <v>1</v>
      </c>
      <c r="K411" s="49" t="s">
        <v>1684</v>
      </c>
      <c r="L411" s="49" t="s">
        <v>1035</v>
      </c>
      <c r="M411" s="48" t="n">
        <v>46277</v>
      </c>
      <c r="N411" s="49" t="s">
        <v>1204</v>
      </c>
      <c r="O411" s="49" t="s">
        <v>1052</v>
      </c>
      <c r="P411" s="48"/>
      <c r="Q411" s="48" t="n">
        <v>46256</v>
      </c>
      <c r="R411" s="48" t="n">
        <v>46262</v>
      </c>
      <c r="T411" s="49" t="s">
        <v>302</v>
      </c>
      <c r="U411" s="49" t="s">
        <v>303</v>
      </c>
      <c r="Y411" s="49" t="s">
        <v>1788</v>
      </c>
      <c r="AD411" s="49" t="s">
        <v>305</v>
      </c>
      <c r="AE411" s="48" t="n">
        <v>46226</v>
      </c>
      <c r="AF411" s="49" t="s">
        <v>306</v>
      </c>
      <c r="AG411" s="49" t="s">
        <v>307</v>
      </c>
      <c r="AK411" s="49" t="s">
        <v>1047</v>
      </c>
      <c r="AL411" s="49" t="s">
        <v>297</v>
      </c>
      <c r="AO411" s="49" t="s">
        <v>303</v>
      </c>
      <c r="AP411" s="48"/>
      <c r="AR411" s="49" t="s">
        <v>303</v>
      </c>
      <c r="AS411" s="49" t="s">
        <v>306</v>
      </c>
      <c r="AT411" s="49" t="s">
        <v>1789</v>
      </c>
      <c r="AV411" s="49" t="s">
        <v>309</v>
      </c>
      <c r="AW411" s="49" t="s">
        <v>310</v>
      </c>
      <c r="AX411" s="49" t="s">
        <v>311</v>
      </c>
      <c r="AY411" s="48"/>
      <c r="AZ411" s="48" t="n">
        <v>46254</v>
      </c>
      <c r="BC411" s="49" t="s">
        <v>303</v>
      </c>
      <c r="BD411" s="48" t="n">
        <v>46277</v>
      </c>
      <c r="BE411" s="49" t="s">
        <v>1790</v>
      </c>
      <c r="BF411" s="49" t="s">
        <v>303</v>
      </c>
      <c r="BG411" s="48"/>
      <c r="BI411" s="48" t="n">
        <v>46277</v>
      </c>
      <c r="BJ411" s="48" t="n">
        <v>46261</v>
      </c>
      <c r="BK411" s="49" t="s">
        <v>313</v>
      </c>
      <c r="BL411" s="49" t="s">
        <v>313</v>
      </c>
      <c r="BM411" s="49" t="s">
        <v>310</v>
      </c>
      <c r="BN411" s="48"/>
      <c r="BO411" s="48"/>
      <c r="BP411" s="48"/>
      <c r="BQ411" s="49" t="s">
        <v>1684</v>
      </c>
      <c r="BR411" s="48" t="n">
        <v>46261</v>
      </c>
      <c r="BS411" s="49" t="s">
        <v>1791</v>
      </c>
      <c r="BT411" s="49" t="s">
        <v>312</v>
      </c>
      <c r="BU411" s="49" t="s">
        <v>313</v>
      </c>
      <c r="BV411" s="49" t="s">
        <v>303</v>
      </c>
      <c r="BX411" s="0" t="n">
        <v>1</v>
      </c>
      <c r="CC411" s="49" t="s">
        <v>315</v>
      </c>
      <c r="CD411" s="49" t="s">
        <v>303</v>
      </c>
      <c r="CF411" s="49" t="s">
        <v>303</v>
      </c>
      <c r="CG411" s="49" t="s">
        <v>316</v>
      </c>
      <c r="CH411" s="49" t="s">
        <v>317</v>
      </c>
      <c r="CI411" s="49" t="s">
        <v>318</v>
      </c>
      <c r="CM411" s="49" t="s">
        <v>65</v>
      </c>
      <c r="CV411" s="49" t="s">
        <v>303</v>
      </c>
      <c r="DB411" s="49" t="s">
        <v>319</v>
      </c>
      <c r="DD411" s="48" t="n">
        <v>46226</v>
      </c>
      <c r="DF411" s="49" t="s">
        <v>310</v>
      </c>
      <c r="DG411" s="49" t="s">
        <v>320</v>
      </c>
      <c r="DH411" s="49" t="s">
        <v>64</v>
      </c>
      <c r="DI411" s="49" t="s">
        <v>298</v>
      </c>
      <c r="DJ411" s="49" t="s">
        <v>394</v>
      </c>
      <c r="DK411" s="49" t="s">
        <v>322</v>
      </c>
      <c r="DL411" s="49" t="s">
        <v>323</v>
      </c>
      <c r="DM411" s="49" t="s">
        <v>303</v>
      </c>
      <c r="DN411" s="49" t="s">
        <v>297</v>
      </c>
      <c r="DO411" s="48"/>
      <c r="DP411" s="49" t="s">
        <v>312</v>
      </c>
      <c r="DQ411" s="48"/>
      <c r="DR411" s="49" t="s">
        <v>312</v>
      </c>
      <c r="DS411" s="49" t="s">
        <v>303</v>
      </c>
      <c r="DT411" s="49" t="s">
        <v>303</v>
      </c>
      <c r="DW411" s="49" t="s">
        <v>303</v>
      </c>
      <c r="EA411" s="49" t="s">
        <v>324</v>
      </c>
      <c r="EB411" s="49" t="s">
        <v>303</v>
      </c>
      <c r="EF411" s="49" t="s">
        <v>1707</v>
      </c>
      <c r="EH411" s="49" t="s">
        <v>310</v>
      </c>
      <c r="EJ411" s="49" t="s">
        <v>303</v>
      </c>
      <c r="EK411" s="49" t="s">
        <v>1792</v>
      </c>
      <c r="EM411" s="49" t="s">
        <v>303</v>
      </c>
      <c r="EN411" s="49" t="s">
        <v>396</v>
      </c>
      <c r="EP411" s="49" t="s">
        <v>298</v>
      </c>
      <c r="EQ411" s="0" t="n">
        <v>1</v>
      </c>
      <c r="ER411" s="49" t="s">
        <v>328</v>
      </c>
      <c r="ES411" s="49" t="s">
        <v>329</v>
      </c>
      <c r="ET411" s="49" t="s">
        <v>310</v>
      </c>
      <c r="EU411" s="49" t="s">
        <v>310</v>
      </c>
      <c r="EV411" s="49" t="s">
        <v>310</v>
      </c>
      <c r="EX411" s="49" t="s">
        <v>303</v>
      </c>
      <c r="EY411" s="49" t="s">
        <v>303</v>
      </c>
      <c r="FC411" s="49" t="s">
        <v>330</v>
      </c>
      <c r="FD411" s="49" t="s">
        <v>310</v>
      </c>
      <c r="FE411" s="49" t="s">
        <v>310</v>
      </c>
      <c r="FF411" s="49" t="s">
        <v>64</v>
      </c>
      <c r="FG411" s="49" t="s">
        <v>397</v>
      </c>
      <c r="FH411" s="49" t="s">
        <v>310</v>
      </c>
      <c r="FI411" s="49" t="s">
        <v>332</v>
      </c>
      <c r="FJ411" s="49" t="s">
        <v>303</v>
      </c>
      <c r="FL411" s="49" t="s">
        <v>325</v>
      </c>
      <c r="FM411" s="49" t="s">
        <v>1684</v>
      </c>
      <c r="FP411" s="49" t="s">
        <v>303</v>
      </c>
      <c r="FR411" s="49" t="s">
        <v>303</v>
      </c>
      <c r="FT411" s="49" t="s">
        <v>325</v>
      </c>
      <c r="FU411" s="49" t="s">
        <v>325</v>
      </c>
      <c r="FW411" s="49" t="s">
        <v>333</v>
      </c>
    </row>
    <row r="412" customFormat="false" ht="15" hidden="false" customHeight="false" outlineLevel="0" collapsed="false">
      <c r="A412" s="0" t="n">
        <v>100874837</v>
      </c>
      <c r="B412" s="0" t="s">
        <v>295</v>
      </c>
      <c r="C412" s="0" t="s">
        <v>64</v>
      </c>
      <c r="D412" s="0" t="s">
        <v>65</v>
      </c>
      <c r="E412" s="0" t="s">
        <v>297</v>
      </c>
      <c r="G412" s="0" t="n">
        <v>1</v>
      </c>
      <c r="H412" s="0" t="s">
        <v>298</v>
      </c>
      <c r="I412" s="48" t="n">
        <v>46256</v>
      </c>
      <c r="J412" s="0" t="n">
        <v>1</v>
      </c>
      <c r="K412" s="49" t="s">
        <v>1684</v>
      </c>
      <c r="L412" s="49" t="s">
        <v>1035</v>
      </c>
      <c r="M412" s="48" t="n">
        <v>46277</v>
      </c>
      <c r="N412" s="49" t="s">
        <v>1204</v>
      </c>
      <c r="O412" s="49" t="s">
        <v>1052</v>
      </c>
      <c r="P412" s="48"/>
      <c r="Q412" s="48" t="n">
        <v>46256</v>
      </c>
      <c r="R412" s="48" t="n">
        <v>46262</v>
      </c>
      <c r="T412" s="49" t="s">
        <v>302</v>
      </c>
      <c r="U412" s="49" t="s">
        <v>303</v>
      </c>
      <c r="Y412" s="49" t="s">
        <v>1793</v>
      </c>
      <c r="AD412" s="49" t="s">
        <v>305</v>
      </c>
      <c r="AE412" s="48" t="n">
        <v>46226</v>
      </c>
      <c r="AF412" s="49" t="s">
        <v>306</v>
      </c>
      <c r="AG412" s="49" t="s">
        <v>307</v>
      </c>
      <c r="AK412" s="49" t="s">
        <v>1047</v>
      </c>
      <c r="AL412" s="49" t="s">
        <v>297</v>
      </c>
      <c r="AO412" s="49" t="s">
        <v>303</v>
      </c>
      <c r="AP412" s="48"/>
      <c r="AR412" s="49" t="s">
        <v>303</v>
      </c>
      <c r="AS412" s="49" t="s">
        <v>306</v>
      </c>
      <c r="AT412" s="49" t="s">
        <v>1794</v>
      </c>
      <c r="AV412" s="49" t="s">
        <v>309</v>
      </c>
      <c r="AW412" s="49" t="s">
        <v>310</v>
      </c>
      <c r="AX412" s="49" t="s">
        <v>311</v>
      </c>
      <c r="AY412" s="48"/>
      <c r="AZ412" s="48" t="n">
        <v>46254</v>
      </c>
      <c r="BC412" s="49" t="s">
        <v>303</v>
      </c>
      <c r="BD412" s="48" t="n">
        <v>46277</v>
      </c>
      <c r="BE412" s="49" t="s">
        <v>1795</v>
      </c>
      <c r="BF412" s="49" t="s">
        <v>303</v>
      </c>
      <c r="BG412" s="48"/>
      <c r="BI412" s="48" t="n">
        <v>46277</v>
      </c>
      <c r="BJ412" s="48" t="n">
        <v>46261</v>
      </c>
      <c r="BK412" s="49" t="s">
        <v>313</v>
      </c>
      <c r="BL412" s="49" t="s">
        <v>313</v>
      </c>
      <c r="BM412" s="49" t="s">
        <v>310</v>
      </c>
      <c r="BN412" s="48"/>
      <c r="BO412" s="48"/>
      <c r="BP412" s="48"/>
      <c r="BQ412" s="49" t="s">
        <v>1684</v>
      </c>
      <c r="BR412" s="48" t="n">
        <v>46261</v>
      </c>
      <c r="BS412" s="49" t="s">
        <v>1791</v>
      </c>
      <c r="BT412" s="49" t="s">
        <v>312</v>
      </c>
      <c r="BU412" s="49" t="s">
        <v>313</v>
      </c>
      <c r="BV412" s="49" t="s">
        <v>303</v>
      </c>
      <c r="BX412" s="0" t="n">
        <v>1</v>
      </c>
      <c r="CC412" s="49" t="s">
        <v>315</v>
      </c>
      <c r="CD412" s="49" t="s">
        <v>303</v>
      </c>
      <c r="CF412" s="49" t="s">
        <v>303</v>
      </c>
      <c r="CG412" s="49" t="s">
        <v>316</v>
      </c>
      <c r="CH412" s="49" t="s">
        <v>317</v>
      </c>
      <c r="CI412" s="49" t="s">
        <v>318</v>
      </c>
      <c r="CM412" s="49" t="s">
        <v>65</v>
      </c>
      <c r="CV412" s="49" t="s">
        <v>303</v>
      </c>
      <c r="DB412" s="49" t="s">
        <v>319</v>
      </c>
      <c r="DD412" s="48" t="n">
        <v>46226</v>
      </c>
      <c r="DF412" s="49" t="s">
        <v>310</v>
      </c>
      <c r="DG412" s="49" t="s">
        <v>320</v>
      </c>
      <c r="DH412" s="49" t="s">
        <v>64</v>
      </c>
      <c r="DI412" s="49" t="s">
        <v>298</v>
      </c>
      <c r="DJ412" s="49" t="s">
        <v>394</v>
      </c>
      <c r="DK412" s="49" t="s">
        <v>322</v>
      </c>
      <c r="DL412" s="49" t="s">
        <v>323</v>
      </c>
      <c r="DM412" s="49" t="s">
        <v>303</v>
      </c>
      <c r="DN412" s="49" t="s">
        <v>297</v>
      </c>
      <c r="DO412" s="48"/>
      <c r="DP412" s="49" t="s">
        <v>312</v>
      </c>
      <c r="DQ412" s="48"/>
      <c r="DR412" s="49" t="s">
        <v>312</v>
      </c>
      <c r="DS412" s="49" t="s">
        <v>303</v>
      </c>
      <c r="DT412" s="49" t="s">
        <v>303</v>
      </c>
      <c r="DW412" s="49" t="s">
        <v>303</v>
      </c>
      <c r="EA412" s="49" t="s">
        <v>324</v>
      </c>
      <c r="EB412" s="49" t="s">
        <v>303</v>
      </c>
      <c r="EF412" s="49" t="s">
        <v>1707</v>
      </c>
      <c r="EH412" s="49" t="s">
        <v>310</v>
      </c>
      <c r="EJ412" s="49" t="s">
        <v>303</v>
      </c>
      <c r="EK412" s="49" t="s">
        <v>1796</v>
      </c>
      <c r="EM412" s="49" t="s">
        <v>303</v>
      </c>
      <c r="EN412" s="49" t="s">
        <v>396</v>
      </c>
      <c r="EP412" s="49" t="s">
        <v>298</v>
      </c>
      <c r="EQ412" s="0" t="n">
        <v>1</v>
      </c>
      <c r="ER412" s="49" t="s">
        <v>328</v>
      </c>
      <c r="ES412" s="49" t="s">
        <v>329</v>
      </c>
      <c r="ET412" s="49" t="s">
        <v>310</v>
      </c>
      <c r="EU412" s="49" t="s">
        <v>310</v>
      </c>
      <c r="EV412" s="49" t="s">
        <v>310</v>
      </c>
      <c r="EX412" s="49" t="s">
        <v>303</v>
      </c>
      <c r="EY412" s="49" t="s">
        <v>303</v>
      </c>
      <c r="FC412" s="49" t="s">
        <v>330</v>
      </c>
      <c r="FD412" s="49" t="s">
        <v>310</v>
      </c>
      <c r="FE412" s="49" t="s">
        <v>310</v>
      </c>
      <c r="FF412" s="49" t="s">
        <v>64</v>
      </c>
      <c r="FG412" s="49" t="s">
        <v>397</v>
      </c>
      <c r="FH412" s="49" t="s">
        <v>310</v>
      </c>
      <c r="FI412" s="49" t="s">
        <v>332</v>
      </c>
      <c r="FJ412" s="49" t="s">
        <v>303</v>
      </c>
      <c r="FL412" s="49" t="s">
        <v>325</v>
      </c>
      <c r="FM412" s="49" t="s">
        <v>1684</v>
      </c>
      <c r="FP412" s="49" t="s">
        <v>303</v>
      </c>
      <c r="FR412" s="49" t="s">
        <v>303</v>
      </c>
      <c r="FT412" s="49" t="s">
        <v>325</v>
      </c>
      <c r="FU412" s="49" t="s">
        <v>325</v>
      </c>
      <c r="FW412" s="49" t="s">
        <v>333</v>
      </c>
    </row>
    <row r="413" customFormat="false" ht="15" hidden="false" customHeight="false" outlineLevel="0" collapsed="false">
      <c r="A413" s="0" t="n">
        <v>100874838</v>
      </c>
      <c r="B413" s="0" t="s">
        <v>295</v>
      </c>
      <c r="C413" s="0" t="s">
        <v>64</v>
      </c>
      <c r="D413" s="0" t="s">
        <v>65</v>
      </c>
      <c r="E413" s="0" t="s">
        <v>297</v>
      </c>
      <c r="G413" s="0" t="n">
        <v>1</v>
      </c>
      <c r="H413" s="0" t="s">
        <v>298</v>
      </c>
      <c r="I413" s="48" t="n">
        <v>46256</v>
      </c>
      <c r="J413" s="0" t="n">
        <v>1</v>
      </c>
      <c r="K413" s="49" t="s">
        <v>1684</v>
      </c>
      <c r="L413" s="49" t="s">
        <v>1035</v>
      </c>
      <c r="M413" s="48" t="n">
        <v>46277</v>
      </c>
      <c r="N413" s="49" t="s">
        <v>1204</v>
      </c>
      <c r="O413" s="49" t="s">
        <v>1052</v>
      </c>
      <c r="P413" s="48"/>
      <c r="Q413" s="48" t="n">
        <v>46256</v>
      </c>
      <c r="R413" s="48" t="n">
        <v>46262</v>
      </c>
      <c r="T413" s="49" t="s">
        <v>302</v>
      </c>
      <c r="U413" s="49" t="s">
        <v>303</v>
      </c>
      <c r="Y413" s="49" t="s">
        <v>1797</v>
      </c>
      <c r="AD413" s="49" t="s">
        <v>305</v>
      </c>
      <c r="AE413" s="48" t="n">
        <v>46226</v>
      </c>
      <c r="AF413" s="49" t="s">
        <v>306</v>
      </c>
      <c r="AG413" s="49" t="s">
        <v>307</v>
      </c>
      <c r="AK413" s="49" t="s">
        <v>1047</v>
      </c>
      <c r="AL413" s="49" t="s">
        <v>297</v>
      </c>
      <c r="AO413" s="49" t="s">
        <v>303</v>
      </c>
      <c r="AP413" s="48"/>
      <c r="AR413" s="49" t="s">
        <v>303</v>
      </c>
      <c r="AS413" s="49" t="s">
        <v>306</v>
      </c>
      <c r="AT413" s="49" t="s">
        <v>1798</v>
      </c>
      <c r="AV413" s="49" t="s">
        <v>309</v>
      </c>
      <c r="AW413" s="49" t="s">
        <v>310</v>
      </c>
      <c r="AX413" s="49" t="s">
        <v>311</v>
      </c>
      <c r="AY413" s="48"/>
      <c r="AZ413" s="48" t="n">
        <v>46254</v>
      </c>
      <c r="BC413" s="49" t="s">
        <v>303</v>
      </c>
      <c r="BD413" s="48" t="n">
        <v>46277</v>
      </c>
      <c r="BE413" s="49" t="s">
        <v>1799</v>
      </c>
      <c r="BF413" s="49" t="s">
        <v>303</v>
      </c>
      <c r="BG413" s="48"/>
      <c r="BI413" s="48" t="n">
        <v>46277</v>
      </c>
      <c r="BJ413" s="48" t="n">
        <v>46261</v>
      </c>
      <c r="BK413" s="49" t="s">
        <v>313</v>
      </c>
      <c r="BL413" s="49" t="s">
        <v>313</v>
      </c>
      <c r="BM413" s="49" t="s">
        <v>310</v>
      </c>
      <c r="BN413" s="48"/>
      <c r="BO413" s="48"/>
      <c r="BP413" s="48"/>
      <c r="BQ413" s="49" t="s">
        <v>1684</v>
      </c>
      <c r="BR413" s="48" t="n">
        <v>46261</v>
      </c>
      <c r="BS413" s="49" t="s">
        <v>1791</v>
      </c>
      <c r="BT413" s="49" t="s">
        <v>312</v>
      </c>
      <c r="BU413" s="49" t="s">
        <v>313</v>
      </c>
      <c r="BV413" s="49" t="s">
        <v>303</v>
      </c>
      <c r="BX413" s="0" t="n">
        <v>1</v>
      </c>
      <c r="CC413" s="49" t="s">
        <v>315</v>
      </c>
      <c r="CD413" s="49" t="s">
        <v>303</v>
      </c>
      <c r="CF413" s="49" t="s">
        <v>303</v>
      </c>
      <c r="CG413" s="49" t="s">
        <v>316</v>
      </c>
      <c r="CH413" s="49" t="s">
        <v>317</v>
      </c>
      <c r="CI413" s="49" t="s">
        <v>318</v>
      </c>
      <c r="CM413" s="49" t="s">
        <v>65</v>
      </c>
      <c r="CV413" s="49" t="s">
        <v>303</v>
      </c>
      <c r="DB413" s="49" t="s">
        <v>319</v>
      </c>
      <c r="DD413" s="48" t="n">
        <v>46226</v>
      </c>
      <c r="DF413" s="49" t="s">
        <v>310</v>
      </c>
      <c r="DG413" s="49" t="s">
        <v>320</v>
      </c>
      <c r="DH413" s="49" t="s">
        <v>64</v>
      </c>
      <c r="DI413" s="49" t="s">
        <v>298</v>
      </c>
      <c r="DJ413" s="49" t="s">
        <v>394</v>
      </c>
      <c r="DK413" s="49" t="s">
        <v>322</v>
      </c>
      <c r="DL413" s="49" t="s">
        <v>323</v>
      </c>
      <c r="DM413" s="49" t="s">
        <v>303</v>
      </c>
      <c r="DN413" s="49" t="s">
        <v>297</v>
      </c>
      <c r="DO413" s="48"/>
      <c r="DP413" s="49" t="s">
        <v>312</v>
      </c>
      <c r="DQ413" s="48"/>
      <c r="DR413" s="49" t="s">
        <v>312</v>
      </c>
      <c r="DS413" s="49" t="s">
        <v>303</v>
      </c>
      <c r="DT413" s="49" t="s">
        <v>303</v>
      </c>
      <c r="DW413" s="49" t="s">
        <v>303</v>
      </c>
      <c r="EA413" s="49" t="s">
        <v>324</v>
      </c>
      <c r="EB413" s="49" t="s">
        <v>303</v>
      </c>
      <c r="EF413" s="49" t="s">
        <v>1707</v>
      </c>
      <c r="EH413" s="49" t="s">
        <v>310</v>
      </c>
      <c r="EJ413" s="49" t="s">
        <v>303</v>
      </c>
      <c r="EK413" s="49" t="s">
        <v>1800</v>
      </c>
      <c r="EM413" s="49" t="s">
        <v>303</v>
      </c>
      <c r="EN413" s="49" t="s">
        <v>396</v>
      </c>
      <c r="EP413" s="49" t="s">
        <v>298</v>
      </c>
      <c r="EQ413" s="0" t="n">
        <v>1</v>
      </c>
      <c r="ER413" s="49" t="s">
        <v>328</v>
      </c>
      <c r="ES413" s="49" t="s">
        <v>329</v>
      </c>
      <c r="ET413" s="49" t="s">
        <v>310</v>
      </c>
      <c r="EU413" s="49" t="s">
        <v>310</v>
      </c>
      <c r="EV413" s="49" t="s">
        <v>310</v>
      </c>
      <c r="EX413" s="49" t="s">
        <v>303</v>
      </c>
      <c r="EY413" s="49" t="s">
        <v>303</v>
      </c>
      <c r="FC413" s="49" t="s">
        <v>330</v>
      </c>
      <c r="FD413" s="49" t="s">
        <v>310</v>
      </c>
      <c r="FE413" s="49" t="s">
        <v>310</v>
      </c>
      <c r="FF413" s="49" t="s">
        <v>64</v>
      </c>
      <c r="FG413" s="49" t="s">
        <v>397</v>
      </c>
      <c r="FH413" s="49" t="s">
        <v>310</v>
      </c>
      <c r="FI413" s="49" t="s">
        <v>332</v>
      </c>
      <c r="FJ413" s="49" t="s">
        <v>303</v>
      </c>
      <c r="FL413" s="49" t="s">
        <v>325</v>
      </c>
      <c r="FM413" s="49" t="s">
        <v>1684</v>
      </c>
      <c r="FP413" s="49" t="s">
        <v>303</v>
      </c>
      <c r="FR413" s="49" t="s">
        <v>303</v>
      </c>
      <c r="FT413" s="49" t="s">
        <v>325</v>
      </c>
      <c r="FU413" s="49" t="s">
        <v>325</v>
      </c>
      <c r="FW413" s="49" t="s">
        <v>333</v>
      </c>
    </row>
    <row r="414" customFormat="false" ht="15" hidden="false" customHeight="false" outlineLevel="0" collapsed="false">
      <c r="A414" s="0" t="n">
        <v>100874843</v>
      </c>
      <c r="B414" s="0" t="s">
        <v>295</v>
      </c>
      <c r="C414" s="0" t="s">
        <v>61</v>
      </c>
      <c r="D414" s="0" t="s">
        <v>62</v>
      </c>
      <c r="E414" s="0" t="s">
        <v>297</v>
      </c>
      <c r="G414" s="0" t="n">
        <v>1</v>
      </c>
      <c r="H414" s="0" t="s">
        <v>298</v>
      </c>
      <c r="I414" s="48" t="n">
        <v>46256</v>
      </c>
      <c r="J414" s="0" t="n">
        <v>1</v>
      </c>
      <c r="K414" s="49" t="s">
        <v>1684</v>
      </c>
      <c r="L414" s="49" t="s">
        <v>1035</v>
      </c>
      <c r="M414" s="48" t="n">
        <v>46256</v>
      </c>
      <c r="N414" s="49" t="s">
        <v>1035</v>
      </c>
      <c r="O414" s="49" t="s">
        <v>1052</v>
      </c>
      <c r="P414" s="48"/>
      <c r="Q414" s="48" t="n">
        <v>46256</v>
      </c>
      <c r="R414" s="48" t="n">
        <v>46263</v>
      </c>
      <c r="T414" s="49" t="s">
        <v>302</v>
      </c>
      <c r="U414" s="49" t="s">
        <v>303</v>
      </c>
      <c r="Y414" s="49" t="s">
        <v>1801</v>
      </c>
      <c r="AD414" s="49" t="s">
        <v>305</v>
      </c>
      <c r="AE414" s="48" t="n">
        <v>46226</v>
      </c>
      <c r="AF414" s="49" t="s">
        <v>306</v>
      </c>
      <c r="AG414" s="49" t="s">
        <v>307</v>
      </c>
      <c r="AK414" s="49" t="s">
        <v>1047</v>
      </c>
      <c r="AL414" s="49" t="s">
        <v>297</v>
      </c>
      <c r="AO414" s="49" t="s">
        <v>303</v>
      </c>
      <c r="AP414" s="48"/>
      <c r="AR414" s="49" t="s">
        <v>303</v>
      </c>
      <c r="AS414" s="49" t="s">
        <v>306</v>
      </c>
      <c r="AT414" s="49" t="s">
        <v>1802</v>
      </c>
      <c r="AV414" s="49" t="s">
        <v>309</v>
      </c>
      <c r="AW414" s="49" t="s">
        <v>310</v>
      </c>
      <c r="AX414" s="49" t="s">
        <v>311</v>
      </c>
      <c r="AY414" s="48"/>
      <c r="AZ414" s="48" t="n">
        <v>46254</v>
      </c>
      <c r="BC414" s="49" t="s">
        <v>303</v>
      </c>
      <c r="BD414" s="48" t="n">
        <v>46273</v>
      </c>
      <c r="BE414" s="49" t="s">
        <v>1803</v>
      </c>
      <c r="BF414" s="49" t="s">
        <v>303</v>
      </c>
      <c r="BG414" s="48"/>
      <c r="BI414" s="48" t="n">
        <v>46273</v>
      </c>
      <c r="BJ414" s="48" t="n">
        <v>46261</v>
      </c>
      <c r="BK414" s="49" t="s">
        <v>312</v>
      </c>
      <c r="BL414" s="49" t="s">
        <v>313</v>
      </c>
      <c r="BM414" s="49" t="s">
        <v>310</v>
      </c>
      <c r="BN414" s="48"/>
      <c r="BO414" s="48"/>
      <c r="BP414" s="48"/>
      <c r="BQ414" s="49" t="s">
        <v>1684</v>
      </c>
      <c r="BR414" s="48" t="n">
        <v>46261</v>
      </c>
      <c r="BS414" s="49" t="s">
        <v>1791</v>
      </c>
      <c r="BT414" s="49" t="s">
        <v>312</v>
      </c>
      <c r="BU414" s="49" t="s">
        <v>313</v>
      </c>
      <c r="BV414" s="49" t="s">
        <v>303</v>
      </c>
      <c r="BX414" s="0" t="n">
        <v>1</v>
      </c>
      <c r="CC414" s="49" t="s">
        <v>315</v>
      </c>
      <c r="CD414" s="49" t="s">
        <v>303</v>
      </c>
      <c r="CF414" s="49" t="s">
        <v>303</v>
      </c>
      <c r="CG414" s="49" t="s">
        <v>316</v>
      </c>
      <c r="CH414" s="49" t="s">
        <v>317</v>
      </c>
      <c r="CI414" s="49" t="s">
        <v>318</v>
      </c>
      <c r="CM414" s="49" t="s">
        <v>62</v>
      </c>
      <c r="CV414" s="49" t="s">
        <v>303</v>
      </c>
      <c r="DB414" s="49" t="s">
        <v>319</v>
      </c>
      <c r="DD414" s="48" t="n">
        <v>46226</v>
      </c>
      <c r="DF414" s="49" t="s">
        <v>310</v>
      </c>
      <c r="DG414" s="49" t="s">
        <v>320</v>
      </c>
      <c r="DH414" s="49" t="s">
        <v>61</v>
      </c>
      <c r="DI414" s="49" t="s">
        <v>298</v>
      </c>
      <c r="DJ414" s="49" t="s">
        <v>381</v>
      </c>
      <c r="DK414" s="49" t="s">
        <v>322</v>
      </c>
      <c r="DL414" s="49" t="s">
        <v>323</v>
      </c>
      <c r="DM414" s="49" t="s">
        <v>303</v>
      </c>
      <c r="DN414" s="49" t="s">
        <v>297</v>
      </c>
      <c r="DO414" s="48"/>
      <c r="DP414" s="49" t="s">
        <v>312</v>
      </c>
      <c r="DQ414" s="48"/>
      <c r="DR414" s="49" t="s">
        <v>312</v>
      </c>
      <c r="DS414" s="49" t="s">
        <v>303</v>
      </c>
      <c r="DT414" s="49" t="s">
        <v>303</v>
      </c>
      <c r="DW414" s="49" t="s">
        <v>303</v>
      </c>
      <c r="EA414" s="49" t="s">
        <v>324</v>
      </c>
      <c r="EB414" s="49" t="s">
        <v>303</v>
      </c>
      <c r="EH414" s="49" t="s">
        <v>310</v>
      </c>
      <c r="EJ414" s="49" t="s">
        <v>303</v>
      </c>
      <c r="EK414" s="49" t="s">
        <v>1804</v>
      </c>
      <c r="EM414" s="49" t="s">
        <v>303</v>
      </c>
      <c r="EN414" s="49" t="s">
        <v>383</v>
      </c>
      <c r="EP414" s="49" t="s">
        <v>298</v>
      </c>
      <c r="EQ414" s="0" t="n">
        <v>1</v>
      </c>
      <c r="ER414" s="49" t="s">
        <v>328</v>
      </c>
      <c r="ES414" s="49" t="s">
        <v>384</v>
      </c>
      <c r="ET414" s="49" t="s">
        <v>310</v>
      </c>
      <c r="EU414" s="49" t="s">
        <v>310</v>
      </c>
      <c r="EV414" s="49" t="s">
        <v>310</v>
      </c>
      <c r="EX414" s="49" t="s">
        <v>303</v>
      </c>
      <c r="EY414" s="49" t="s">
        <v>303</v>
      </c>
      <c r="FC414" s="49" t="s">
        <v>330</v>
      </c>
      <c r="FD414" s="49" t="s">
        <v>310</v>
      </c>
      <c r="FE414" s="49" t="s">
        <v>310</v>
      </c>
      <c r="FF414" s="49" t="s">
        <v>61</v>
      </c>
      <c r="FG414" s="49" t="s">
        <v>385</v>
      </c>
      <c r="FH414" s="49" t="s">
        <v>310</v>
      </c>
      <c r="FI414" s="49" t="s">
        <v>332</v>
      </c>
      <c r="FJ414" s="49" t="s">
        <v>303</v>
      </c>
      <c r="FL414" s="49" t="s">
        <v>325</v>
      </c>
      <c r="FM414" s="49" t="s">
        <v>1684</v>
      </c>
      <c r="FP414" s="49" t="s">
        <v>303</v>
      </c>
      <c r="FR414" s="49" t="s">
        <v>303</v>
      </c>
      <c r="FT414" s="49" t="s">
        <v>325</v>
      </c>
      <c r="FU414" s="49" t="s">
        <v>325</v>
      </c>
      <c r="FW414" s="49" t="s">
        <v>333</v>
      </c>
    </row>
    <row r="415" customFormat="false" ht="15" hidden="false" customHeight="false" outlineLevel="0" collapsed="false">
      <c r="A415" s="0" t="n">
        <v>100874844</v>
      </c>
      <c r="B415" s="0" t="s">
        <v>295</v>
      </c>
      <c r="C415" s="0" t="s">
        <v>61</v>
      </c>
      <c r="D415" s="0" t="s">
        <v>62</v>
      </c>
      <c r="E415" s="0" t="s">
        <v>297</v>
      </c>
      <c r="G415" s="0" t="n">
        <v>1</v>
      </c>
      <c r="H415" s="0" t="s">
        <v>298</v>
      </c>
      <c r="I415" s="48" t="n">
        <v>46256</v>
      </c>
      <c r="J415" s="0" t="n">
        <v>1</v>
      </c>
      <c r="K415" s="49" t="s">
        <v>1684</v>
      </c>
      <c r="L415" s="49" t="s">
        <v>1035</v>
      </c>
      <c r="M415" s="48" t="n">
        <v>46256</v>
      </c>
      <c r="N415" s="49" t="s">
        <v>1035</v>
      </c>
      <c r="O415" s="49" t="s">
        <v>1052</v>
      </c>
      <c r="P415" s="48"/>
      <c r="Q415" s="48" t="n">
        <v>46256</v>
      </c>
      <c r="R415" s="48" t="n">
        <v>46263</v>
      </c>
      <c r="T415" s="49" t="s">
        <v>302</v>
      </c>
      <c r="U415" s="49" t="s">
        <v>303</v>
      </c>
      <c r="Y415" s="49" t="s">
        <v>1805</v>
      </c>
      <c r="AD415" s="49" t="s">
        <v>305</v>
      </c>
      <c r="AE415" s="48" t="n">
        <v>46233</v>
      </c>
      <c r="AF415" s="49" t="s">
        <v>306</v>
      </c>
      <c r="AG415" s="49" t="s">
        <v>307</v>
      </c>
      <c r="AK415" s="49" t="s">
        <v>1047</v>
      </c>
      <c r="AL415" s="49" t="s">
        <v>297</v>
      </c>
      <c r="AO415" s="49" t="s">
        <v>303</v>
      </c>
      <c r="AP415" s="48"/>
      <c r="AR415" s="49" t="s">
        <v>303</v>
      </c>
      <c r="AS415" s="49" t="s">
        <v>306</v>
      </c>
      <c r="AT415" s="49" t="s">
        <v>1806</v>
      </c>
      <c r="AV415" s="49" t="s">
        <v>309</v>
      </c>
      <c r="AW415" s="49" t="s">
        <v>310</v>
      </c>
      <c r="AX415" s="49" t="s">
        <v>311</v>
      </c>
      <c r="AY415" s="48"/>
      <c r="AZ415" s="48" t="n">
        <v>46254</v>
      </c>
      <c r="BC415" s="49" t="s">
        <v>303</v>
      </c>
      <c r="BD415" s="48" t="n">
        <v>46268</v>
      </c>
      <c r="BE415" s="49" t="s">
        <v>1807</v>
      </c>
      <c r="BF415" s="49" t="s">
        <v>303</v>
      </c>
      <c r="BG415" s="48"/>
      <c r="BI415" s="48" t="n">
        <v>46268</v>
      </c>
      <c r="BJ415" s="48" t="n">
        <v>46261</v>
      </c>
      <c r="BK415" s="49" t="s">
        <v>312</v>
      </c>
      <c r="BL415" s="49" t="s">
        <v>313</v>
      </c>
      <c r="BM415" s="49" t="s">
        <v>310</v>
      </c>
      <c r="BN415" s="48"/>
      <c r="BO415" s="48"/>
      <c r="BP415" s="48"/>
      <c r="BQ415" s="49" t="s">
        <v>1684</v>
      </c>
      <c r="BR415" s="48" t="n">
        <v>46261</v>
      </c>
      <c r="BS415" s="49" t="s">
        <v>1535</v>
      </c>
      <c r="BT415" s="49" t="s">
        <v>312</v>
      </c>
      <c r="BU415" s="49" t="s">
        <v>313</v>
      </c>
      <c r="BV415" s="49" t="s">
        <v>303</v>
      </c>
      <c r="BX415" s="0" t="n">
        <v>1</v>
      </c>
      <c r="CC415" s="49" t="s">
        <v>315</v>
      </c>
      <c r="CD415" s="49" t="s">
        <v>303</v>
      </c>
      <c r="CF415" s="49" t="s">
        <v>303</v>
      </c>
      <c r="CG415" s="49" t="s">
        <v>316</v>
      </c>
      <c r="CH415" s="49" t="s">
        <v>317</v>
      </c>
      <c r="CI415" s="49" t="s">
        <v>318</v>
      </c>
      <c r="CM415" s="49" t="s">
        <v>62</v>
      </c>
      <c r="CV415" s="49" t="s">
        <v>303</v>
      </c>
      <c r="DB415" s="49" t="s">
        <v>319</v>
      </c>
      <c r="DD415" s="48" t="n">
        <v>46233</v>
      </c>
      <c r="DF415" s="49" t="s">
        <v>310</v>
      </c>
      <c r="DG415" s="49" t="s">
        <v>320</v>
      </c>
      <c r="DH415" s="49" t="s">
        <v>61</v>
      </c>
      <c r="DI415" s="49" t="s">
        <v>298</v>
      </c>
      <c r="DJ415" s="49" t="s">
        <v>381</v>
      </c>
      <c r="DK415" s="49" t="s">
        <v>322</v>
      </c>
      <c r="DL415" s="49" t="s">
        <v>323</v>
      </c>
      <c r="DM415" s="49" t="s">
        <v>303</v>
      </c>
      <c r="DN415" s="49" t="s">
        <v>297</v>
      </c>
      <c r="DO415" s="48"/>
      <c r="DP415" s="49" t="s">
        <v>312</v>
      </c>
      <c r="DQ415" s="48"/>
      <c r="DR415" s="49" t="s">
        <v>312</v>
      </c>
      <c r="DS415" s="49" t="s">
        <v>303</v>
      </c>
      <c r="DT415" s="49" t="s">
        <v>303</v>
      </c>
      <c r="DW415" s="49" t="s">
        <v>303</v>
      </c>
      <c r="EA415" s="49" t="s">
        <v>324</v>
      </c>
      <c r="EB415" s="49" t="s">
        <v>303</v>
      </c>
      <c r="EH415" s="49" t="s">
        <v>310</v>
      </c>
      <c r="EJ415" s="49" t="s">
        <v>303</v>
      </c>
      <c r="EK415" s="49" t="s">
        <v>1808</v>
      </c>
      <c r="EM415" s="49" t="s">
        <v>303</v>
      </c>
      <c r="EN415" s="49" t="s">
        <v>383</v>
      </c>
      <c r="EP415" s="49" t="s">
        <v>298</v>
      </c>
      <c r="EQ415" s="0" t="n">
        <v>1</v>
      </c>
      <c r="ER415" s="49" t="s">
        <v>328</v>
      </c>
      <c r="ES415" s="49" t="s">
        <v>384</v>
      </c>
      <c r="ET415" s="49" t="s">
        <v>310</v>
      </c>
      <c r="EU415" s="49" t="s">
        <v>310</v>
      </c>
      <c r="EV415" s="49" t="s">
        <v>310</v>
      </c>
      <c r="EX415" s="49" t="s">
        <v>303</v>
      </c>
      <c r="EY415" s="49" t="s">
        <v>303</v>
      </c>
      <c r="FC415" s="49" t="s">
        <v>330</v>
      </c>
      <c r="FD415" s="49" t="s">
        <v>310</v>
      </c>
      <c r="FE415" s="49" t="s">
        <v>310</v>
      </c>
      <c r="FF415" s="49" t="s">
        <v>61</v>
      </c>
      <c r="FG415" s="49" t="s">
        <v>385</v>
      </c>
      <c r="FH415" s="49" t="s">
        <v>310</v>
      </c>
      <c r="FI415" s="49" t="s">
        <v>332</v>
      </c>
      <c r="FJ415" s="49" t="s">
        <v>303</v>
      </c>
      <c r="FL415" s="49" t="s">
        <v>325</v>
      </c>
      <c r="FM415" s="49" t="s">
        <v>1684</v>
      </c>
      <c r="FP415" s="49" t="s">
        <v>303</v>
      </c>
      <c r="FR415" s="49" t="s">
        <v>303</v>
      </c>
      <c r="FT415" s="49" t="s">
        <v>325</v>
      </c>
      <c r="FU415" s="49" t="s">
        <v>325</v>
      </c>
      <c r="FW415" s="49" t="s">
        <v>333</v>
      </c>
    </row>
    <row r="416" customFormat="false" ht="15" hidden="false" customHeight="false" outlineLevel="0" collapsed="false">
      <c r="A416" s="0" t="n">
        <v>100874845</v>
      </c>
      <c r="B416" s="0" t="s">
        <v>295</v>
      </c>
      <c r="C416" s="0" t="s">
        <v>61</v>
      </c>
      <c r="D416" s="0" t="s">
        <v>62</v>
      </c>
      <c r="E416" s="0" t="s">
        <v>297</v>
      </c>
      <c r="G416" s="0" t="n">
        <v>1</v>
      </c>
      <c r="H416" s="0" t="s">
        <v>298</v>
      </c>
      <c r="I416" s="48" t="n">
        <v>46256</v>
      </c>
      <c r="J416" s="0" t="n">
        <v>1</v>
      </c>
      <c r="K416" s="49" t="s">
        <v>1684</v>
      </c>
      <c r="L416" s="49" t="s">
        <v>1035</v>
      </c>
      <c r="M416" s="48" t="n">
        <v>46256</v>
      </c>
      <c r="N416" s="49" t="s">
        <v>1035</v>
      </c>
      <c r="O416" s="49" t="s">
        <v>1052</v>
      </c>
      <c r="P416" s="48"/>
      <c r="Q416" s="48" t="n">
        <v>46256</v>
      </c>
      <c r="R416" s="48" t="n">
        <v>46263</v>
      </c>
      <c r="T416" s="49" t="s">
        <v>302</v>
      </c>
      <c r="U416" s="49" t="s">
        <v>303</v>
      </c>
      <c r="Y416" s="49" t="s">
        <v>1809</v>
      </c>
      <c r="AD416" s="49" t="s">
        <v>305</v>
      </c>
      <c r="AE416" s="48" t="n">
        <v>46233</v>
      </c>
      <c r="AF416" s="49" t="s">
        <v>306</v>
      </c>
      <c r="AG416" s="49" t="s">
        <v>307</v>
      </c>
      <c r="AK416" s="49" t="s">
        <v>1047</v>
      </c>
      <c r="AL416" s="49" t="s">
        <v>297</v>
      </c>
      <c r="AO416" s="49" t="s">
        <v>303</v>
      </c>
      <c r="AP416" s="48"/>
      <c r="AR416" s="49" t="s">
        <v>303</v>
      </c>
      <c r="AS416" s="49" t="s">
        <v>306</v>
      </c>
      <c r="AT416" s="49" t="s">
        <v>1810</v>
      </c>
      <c r="AV416" s="49" t="s">
        <v>309</v>
      </c>
      <c r="AW416" s="49" t="s">
        <v>310</v>
      </c>
      <c r="AX416" s="49" t="s">
        <v>311</v>
      </c>
      <c r="AY416" s="48"/>
      <c r="AZ416" s="48" t="n">
        <v>46254</v>
      </c>
      <c r="BC416" s="49" t="s">
        <v>303</v>
      </c>
      <c r="BD416" s="48" t="n">
        <v>46272</v>
      </c>
      <c r="BE416" s="49" t="s">
        <v>1811</v>
      </c>
      <c r="BF416" s="49" t="s">
        <v>303</v>
      </c>
      <c r="BG416" s="48"/>
      <c r="BI416" s="48" t="n">
        <v>46272</v>
      </c>
      <c r="BJ416" s="48" t="n">
        <v>46261</v>
      </c>
      <c r="BK416" s="49" t="s">
        <v>312</v>
      </c>
      <c r="BL416" s="49" t="s">
        <v>313</v>
      </c>
      <c r="BM416" s="49" t="s">
        <v>310</v>
      </c>
      <c r="BN416" s="48"/>
      <c r="BO416" s="48"/>
      <c r="BP416" s="48"/>
      <c r="BQ416" s="49" t="s">
        <v>1684</v>
      </c>
      <c r="BR416" s="48" t="n">
        <v>46261</v>
      </c>
      <c r="BS416" s="49" t="s">
        <v>1535</v>
      </c>
      <c r="BT416" s="49" t="s">
        <v>312</v>
      </c>
      <c r="BU416" s="49" t="s">
        <v>313</v>
      </c>
      <c r="BV416" s="49" t="s">
        <v>303</v>
      </c>
      <c r="BX416" s="0" t="n">
        <v>1</v>
      </c>
      <c r="CC416" s="49" t="s">
        <v>315</v>
      </c>
      <c r="CD416" s="49" t="s">
        <v>303</v>
      </c>
      <c r="CF416" s="49" t="s">
        <v>303</v>
      </c>
      <c r="CG416" s="49" t="s">
        <v>316</v>
      </c>
      <c r="CH416" s="49" t="s">
        <v>317</v>
      </c>
      <c r="CI416" s="49" t="s">
        <v>318</v>
      </c>
      <c r="CM416" s="49" t="s">
        <v>62</v>
      </c>
      <c r="CV416" s="49" t="s">
        <v>303</v>
      </c>
      <c r="DB416" s="49" t="s">
        <v>319</v>
      </c>
      <c r="DD416" s="48" t="n">
        <v>46233</v>
      </c>
      <c r="DF416" s="49" t="s">
        <v>310</v>
      </c>
      <c r="DG416" s="49" t="s">
        <v>320</v>
      </c>
      <c r="DH416" s="49" t="s">
        <v>61</v>
      </c>
      <c r="DI416" s="49" t="s">
        <v>298</v>
      </c>
      <c r="DJ416" s="49" t="s">
        <v>381</v>
      </c>
      <c r="DK416" s="49" t="s">
        <v>322</v>
      </c>
      <c r="DL416" s="49" t="s">
        <v>323</v>
      </c>
      <c r="DM416" s="49" t="s">
        <v>303</v>
      </c>
      <c r="DN416" s="49" t="s">
        <v>297</v>
      </c>
      <c r="DO416" s="48"/>
      <c r="DP416" s="49" t="s">
        <v>312</v>
      </c>
      <c r="DQ416" s="48"/>
      <c r="DR416" s="49" t="s">
        <v>312</v>
      </c>
      <c r="DS416" s="49" t="s">
        <v>303</v>
      </c>
      <c r="DT416" s="49" t="s">
        <v>303</v>
      </c>
      <c r="DW416" s="49" t="s">
        <v>303</v>
      </c>
      <c r="EA416" s="49" t="s">
        <v>324</v>
      </c>
      <c r="EB416" s="49" t="s">
        <v>303</v>
      </c>
      <c r="EH416" s="49" t="s">
        <v>310</v>
      </c>
      <c r="EJ416" s="49" t="s">
        <v>303</v>
      </c>
      <c r="EK416" s="49" t="s">
        <v>1812</v>
      </c>
      <c r="EM416" s="49" t="s">
        <v>303</v>
      </c>
      <c r="EN416" s="49" t="s">
        <v>383</v>
      </c>
      <c r="EP416" s="49" t="s">
        <v>298</v>
      </c>
      <c r="EQ416" s="0" t="n">
        <v>1</v>
      </c>
      <c r="ER416" s="49" t="s">
        <v>328</v>
      </c>
      <c r="ES416" s="49" t="s">
        <v>384</v>
      </c>
      <c r="ET416" s="49" t="s">
        <v>310</v>
      </c>
      <c r="EU416" s="49" t="s">
        <v>310</v>
      </c>
      <c r="EV416" s="49" t="s">
        <v>310</v>
      </c>
      <c r="EX416" s="49" t="s">
        <v>303</v>
      </c>
      <c r="EY416" s="49" t="s">
        <v>303</v>
      </c>
      <c r="FC416" s="49" t="s">
        <v>330</v>
      </c>
      <c r="FD416" s="49" t="s">
        <v>310</v>
      </c>
      <c r="FE416" s="49" t="s">
        <v>310</v>
      </c>
      <c r="FF416" s="49" t="s">
        <v>61</v>
      </c>
      <c r="FG416" s="49" t="s">
        <v>385</v>
      </c>
      <c r="FH416" s="49" t="s">
        <v>310</v>
      </c>
      <c r="FI416" s="49" t="s">
        <v>332</v>
      </c>
      <c r="FJ416" s="49" t="s">
        <v>303</v>
      </c>
      <c r="FL416" s="49" t="s">
        <v>325</v>
      </c>
      <c r="FM416" s="49" t="s">
        <v>1684</v>
      </c>
      <c r="FP416" s="49" t="s">
        <v>303</v>
      </c>
      <c r="FR416" s="49" t="s">
        <v>303</v>
      </c>
      <c r="FT416" s="49" t="s">
        <v>325</v>
      </c>
      <c r="FU416" s="49" t="s">
        <v>325</v>
      </c>
      <c r="FW416" s="49" t="s">
        <v>333</v>
      </c>
    </row>
    <row r="417" customFormat="false" ht="15" hidden="false" customHeight="false" outlineLevel="0" collapsed="false">
      <c r="A417" s="0" t="n">
        <v>100874670</v>
      </c>
      <c r="B417" s="0" t="s">
        <v>295</v>
      </c>
      <c r="C417" s="0" t="s">
        <v>53</v>
      </c>
      <c r="D417" s="0" t="s">
        <v>54</v>
      </c>
      <c r="E417" s="0" t="s">
        <v>297</v>
      </c>
      <c r="G417" s="0" t="n">
        <v>1</v>
      </c>
      <c r="H417" s="0" t="s">
        <v>298</v>
      </c>
      <c r="I417" s="48" t="n">
        <v>46253</v>
      </c>
      <c r="J417" s="0" t="n">
        <v>1</v>
      </c>
      <c r="K417" s="49" t="s">
        <v>1813</v>
      </c>
      <c r="L417" s="49" t="s">
        <v>1035</v>
      </c>
      <c r="M417" s="48" t="n">
        <v>46253</v>
      </c>
      <c r="N417" s="49" t="s">
        <v>1035</v>
      </c>
      <c r="O417" s="49" t="s">
        <v>1045</v>
      </c>
      <c r="P417" s="48"/>
      <c r="Q417" s="48" t="n">
        <v>46253</v>
      </c>
      <c r="R417" s="48" t="n">
        <v>46260</v>
      </c>
      <c r="T417" s="49" t="s">
        <v>302</v>
      </c>
      <c r="U417" s="49" t="s">
        <v>303</v>
      </c>
      <c r="Y417" s="49" t="s">
        <v>1814</v>
      </c>
      <c r="AD417" s="49" t="s">
        <v>305</v>
      </c>
      <c r="AE417" s="48" t="n">
        <v>46226</v>
      </c>
      <c r="AF417" s="49" t="s">
        <v>306</v>
      </c>
      <c r="AG417" s="49" t="s">
        <v>307</v>
      </c>
      <c r="AK417" s="49" t="s">
        <v>1047</v>
      </c>
      <c r="AL417" s="49" t="s">
        <v>297</v>
      </c>
      <c r="AO417" s="49" t="s">
        <v>303</v>
      </c>
      <c r="AP417" s="48"/>
      <c r="AR417" s="49" t="s">
        <v>303</v>
      </c>
      <c r="AS417" s="49" t="s">
        <v>306</v>
      </c>
      <c r="AT417" s="49" t="s">
        <v>1815</v>
      </c>
      <c r="AV417" s="49" t="s">
        <v>309</v>
      </c>
      <c r="AW417" s="49" t="s">
        <v>310</v>
      </c>
      <c r="AX417" s="49" t="s">
        <v>311</v>
      </c>
      <c r="AY417" s="48"/>
      <c r="AZ417" s="48" t="n">
        <v>46245</v>
      </c>
      <c r="BC417" s="49" t="s">
        <v>303</v>
      </c>
      <c r="BD417" s="48" t="n">
        <v>46259</v>
      </c>
      <c r="BE417" s="49" t="s">
        <v>1816</v>
      </c>
      <c r="BF417" s="49" t="s">
        <v>303</v>
      </c>
      <c r="BG417" s="48"/>
      <c r="BI417" s="48" t="n">
        <v>46259</v>
      </c>
      <c r="BJ417" s="48" t="n">
        <v>46258</v>
      </c>
      <c r="BK417" s="49" t="s">
        <v>312</v>
      </c>
      <c r="BL417" s="49" t="s">
        <v>313</v>
      </c>
      <c r="BM417" s="49" t="s">
        <v>310</v>
      </c>
      <c r="BN417" s="48"/>
      <c r="BO417" s="48"/>
      <c r="BP417" s="48"/>
      <c r="BQ417" s="49" t="s">
        <v>1817</v>
      </c>
      <c r="BR417" s="48" t="n">
        <v>46252</v>
      </c>
      <c r="BS417" s="49" t="s">
        <v>1818</v>
      </c>
      <c r="BT417" s="49" t="s">
        <v>312</v>
      </c>
      <c r="BU417" s="49" t="s">
        <v>312</v>
      </c>
      <c r="BV417" s="49" t="s">
        <v>303</v>
      </c>
      <c r="BX417" s="0" t="n">
        <v>1</v>
      </c>
      <c r="CC417" s="49" t="s">
        <v>315</v>
      </c>
      <c r="CD417" s="49" t="s">
        <v>303</v>
      </c>
      <c r="CF417" s="49" t="s">
        <v>303</v>
      </c>
      <c r="CG417" s="49" t="s">
        <v>316</v>
      </c>
      <c r="CH417" s="49" t="s">
        <v>317</v>
      </c>
      <c r="CI417" s="49" t="s">
        <v>318</v>
      </c>
      <c r="CM417" s="49" t="s">
        <v>54</v>
      </c>
      <c r="CV417" s="49" t="s">
        <v>303</v>
      </c>
      <c r="DB417" s="49" t="s">
        <v>319</v>
      </c>
      <c r="DD417" s="48" t="n">
        <v>46226</v>
      </c>
      <c r="DF417" s="49" t="s">
        <v>310</v>
      </c>
      <c r="DG417" s="49" t="s">
        <v>320</v>
      </c>
      <c r="DH417" s="49" t="s">
        <v>53</v>
      </c>
      <c r="DI417" s="49" t="s">
        <v>298</v>
      </c>
      <c r="DJ417" s="49" t="s">
        <v>355</v>
      </c>
      <c r="DK417" s="49" t="s">
        <v>322</v>
      </c>
      <c r="DL417" s="49" t="s">
        <v>323</v>
      </c>
      <c r="DM417" s="49" t="s">
        <v>303</v>
      </c>
      <c r="DN417" s="49" t="s">
        <v>297</v>
      </c>
      <c r="DO417" s="48"/>
      <c r="DP417" s="49" t="s">
        <v>312</v>
      </c>
      <c r="DQ417" s="48"/>
      <c r="DR417" s="49" t="s">
        <v>312</v>
      </c>
      <c r="DS417" s="49" t="s">
        <v>303</v>
      </c>
      <c r="DT417" s="49" t="s">
        <v>303</v>
      </c>
      <c r="DW417" s="49" t="s">
        <v>303</v>
      </c>
      <c r="EA417" s="49" t="s">
        <v>324</v>
      </c>
      <c r="EB417" s="49" t="s">
        <v>303</v>
      </c>
      <c r="EH417" s="49" t="s">
        <v>310</v>
      </c>
      <c r="EJ417" s="49" t="s">
        <v>303</v>
      </c>
      <c r="EK417" s="49" t="s">
        <v>1819</v>
      </c>
      <c r="EM417" s="49" t="s">
        <v>303</v>
      </c>
      <c r="EN417" s="49" t="s">
        <v>357</v>
      </c>
      <c r="EP417" s="49" t="s">
        <v>298</v>
      </c>
      <c r="EQ417" s="0" t="n">
        <v>1</v>
      </c>
      <c r="ER417" s="49" t="s">
        <v>328</v>
      </c>
      <c r="ES417" s="49" t="s">
        <v>358</v>
      </c>
      <c r="ET417" s="49" t="s">
        <v>310</v>
      </c>
      <c r="EU417" s="49" t="s">
        <v>310</v>
      </c>
      <c r="EV417" s="49" t="s">
        <v>310</v>
      </c>
      <c r="EX417" s="49" t="s">
        <v>303</v>
      </c>
      <c r="EY417" s="49" t="s">
        <v>303</v>
      </c>
      <c r="FC417" s="49" t="s">
        <v>330</v>
      </c>
      <c r="FD417" s="49" t="s">
        <v>310</v>
      </c>
      <c r="FE417" s="49" t="s">
        <v>310</v>
      </c>
      <c r="FF417" s="49" t="s">
        <v>53</v>
      </c>
      <c r="FG417" s="49" t="s">
        <v>359</v>
      </c>
      <c r="FH417" s="49" t="s">
        <v>310</v>
      </c>
      <c r="FI417" s="49" t="s">
        <v>332</v>
      </c>
      <c r="FJ417" s="49" t="s">
        <v>303</v>
      </c>
      <c r="FL417" s="49" t="s">
        <v>325</v>
      </c>
      <c r="FM417" s="49" t="s">
        <v>1813</v>
      </c>
      <c r="FP417" s="49" t="s">
        <v>303</v>
      </c>
      <c r="FR417" s="49" t="s">
        <v>303</v>
      </c>
      <c r="FT417" s="49" t="s">
        <v>325</v>
      </c>
      <c r="FU417" s="49" t="s">
        <v>325</v>
      </c>
      <c r="FW417" s="49" t="s">
        <v>333</v>
      </c>
    </row>
    <row r="418" customFormat="false" ht="15" hidden="false" customHeight="false" outlineLevel="0" collapsed="false">
      <c r="A418" s="0" t="n">
        <v>100874671</v>
      </c>
      <c r="B418" s="0" t="s">
        <v>295</v>
      </c>
      <c r="C418" s="0" t="s">
        <v>53</v>
      </c>
      <c r="D418" s="0" t="s">
        <v>54</v>
      </c>
      <c r="E418" s="0" t="s">
        <v>297</v>
      </c>
      <c r="G418" s="0" t="n">
        <v>1</v>
      </c>
      <c r="H418" s="0" t="s">
        <v>298</v>
      </c>
      <c r="I418" s="48" t="n">
        <v>46253</v>
      </c>
      <c r="J418" s="0" t="n">
        <v>1</v>
      </c>
      <c r="K418" s="49" t="s">
        <v>1813</v>
      </c>
      <c r="L418" s="49" t="s">
        <v>1035</v>
      </c>
      <c r="M418" s="48"/>
      <c r="O418" s="49" t="s">
        <v>1045</v>
      </c>
      <c r="P418" s="48"/>
      <c r="Q418" s="48" t="n">
        <v>46253</v>
      </c>
      <c r="R418" s="48" t="n">
        <v>46259</v>
      </c>
      <c r="T418" s="49" t="s">
        <v>302</v>
      </c>
      <c r="U418" s="49" t="s">
        <v>303</v>
      </c>
      <c r="Y418" s="49" t="s">
        <v>312</v>
      </c>
      <c r="AD418" s="49" t="s">
        <v>305</v>
      </c>
      <c r="AE418" s="48" t="n">
        <v>46226</v>
      </c>
      <c r="AF418" s="49" t="s">
        <v>306</v>
      </c>
      <c r="AG418" s="49" t="s">
        <v>307</v>
      </c>
      <c r="AK418" s="49" t="s">
        <v>1047</v>
      </c>
      <c r="AL418" s="49" t="s">
        <v>297</v>
      </c>
      <c r="AO418" s="49" t="s">
        <v>303</v>
      </c>
      <c r="AP418" s="48"/>
      <c r="AR418" s="49" t="s">
        <v>303</v>
      </c>
      <c r="AS418" s="49" t="s">
        <v>306</v>
      </c>
      <c r="AT418" s="49" t="s">
        <v>1820</v>
      </c>
      <c r="AV418" s="49" t="s">
        <v>309</v>
      </c>
      <c r="AW418" s="49" t="s">
        <v>310</v>
      </c>
      <c r="AX418" s="49" t="s">
        <v>311</v>
      </c>
      <c r="AY418" s="48"/>
      <c r="AZ418" s="48" t="n">
        <v>46245</v>
      </c>
      <c r="BC418" s="49" t="s">
        <v>303</v>
      </c>
      <c r="BD418" s="48" t="n">
        <v>46257</v>
      </c>
      <c r="BE418" s="49" t="s">
        <v>1821</v>
      </c>
      <c r="BF418" s="49" t="s">
        <v>303</v>
      </c>
      <c r="BG418" s="48"/>
      <c r="BI418" s="48" t="n">
        <v>46257</v>
      </c>
      <c r="BJ418" s="48" t="n">
        <v>46258</v>
      </c>
      <c r="BK418" s="49" t="s">
        <v>313</v>
      </c>
      <c r="BL418" s="49" t="s">
        <v>313</v>
      </c>
      <c r="BM418" s="49" t="s">
        <v>310</v>
      </c>
      <c r="BN418" s="48"/>
      <c r="BO418" s="48"/>
      <c r="BP418" s="48"/>
      <c r="BQ418" s="49" t="s">
        <v>1813</v>
      </c>
      <c r="BR418" s="48" t="n">
        <v>46252</v>
      </c>
      <c r="BS418" s="49" t="s">
        <v>1822</v>
      </c>
      <c r="BT418" s="49" t="s">
        <v>312</v>
      </c>
      <c r="BU418" s="49" t="s">
        <v>312</v>
      </c>
      <c r="BV418" s="49" t="s">
        <v>303</v>
      </c>
      <c r="BX418" s="0" t="n">
        <v>1</v>
      </c>
      <c r="CC418" s="49" t="s">
        <v>315</v>
      </c>
      <c r="CD418" s="49" t="s">
        <v>303</v>
      </c>
      <c r="CF418" s="49" t="s">
        <v>303</v>
      </c>
      <c r="CG418" s="49" t="s">
        <v>316</v>
      </c>
      <c r="CH418" s="49" t="s">
        <v>317</v>
      </c>
      <c r="CI418" s="49" t="s">
        <v>318</v>
      </c>
      <c r="CM418" s="49" t="s">
        <v>54</v>
      </c>
      <c r="CV418" s="49" t="s">
        <v>303</v>
      </c>
      <c r="DB418" s="49" t="s">
        <v>319</v>
      </c>
      <c r="DD418" s="48" t="n">
        <v>46226</v>
      </c>
      <c r="DF418" s="49" t="s">
        <v>310</v>
      </c>
      <c r="DG418" s="49" t="s">
        <v>320</v>
      </c>
      <c r="DH418" s="49" t="s">
        <v>53</v>
      </c>
      <c r="DI418" s="49" t="s">
        <v>298</v>
      </c>
      <c r="DJ418" s="49" t="s">
        <v>355</v>
      </c>
      <c r="DK418" s="49" t="s">
        <v>322</v>
      </c>
      <c r="DL418" s="49" t="s">
        <v>323</v>
      </c>
      <c r="DM418" s="49" t="s">
        <v>303</v>
      </c>
      <c r="DN418" s="49" t="s">
        <v>297</v>
      </c>
      <c r="DO418" s="48"/>
      <c r="DP418" s="49" t="s">
        <v>312</v>
      </c>
      <c r="DQ418" s="48"/>
      <c r="DR418" s="49" t="s">
        <v>312</v>
      </c>
      <c r="DS418" s="49" t="s">
        <v>303</v>
      </c>
      <c r="DT418" s="49" t="s">
        <v>303</v>
      </c>
      <c r="DW418" s="49" t="s">
        <v>303</v>
      </c>
      <c r="EA418" s="49" t="s">
        <v>324</v>
      </c>
      <c r="EB418" s="49" t="s">
        <v>303</v>
      </c>
      <c r="EF418" s="49" t="s">
        <v>1823</v>
      </c>
      <c r="EH418" s="49" t="s">
        <v>310</v>
      </c>
      <c r="EJ418" s="49" t="s">
        <v>303</v>
      </c>
      <c r="EK418" s="49" t="s">
        <v>1824</v>
      </c>
      <c r="EM418" s="49" t="s">
        <v>303</v>
      </c>
      <c r="EN418" s="49" t="s">
        <v>357</v>
      </c>
      <c r="EP418" s="49" t="s">
        <v>298</v>
      </c>
      <c r="EQ418" s="0" t="n">
        <v>1</v>
      </c>
      <c r="ER418" s="49" t="s">
        <v>328</v>
      </c>
      <c r="ES418" s="49" t="s">
        <v>358</v>
      </c>
      <c r="ET418" s="49" t="s">
        <v>310</v>
      </c>
      <c r="EU418" s="49" t="s">
        <v>310</v>
      </c>
      <c r="EV418" s="49" t="s">
        <v>310</v>
      </c>
      <c r="EX418" s="49" t="s">
        <v>303</v>
      </c>
      <c r="EY418" s="49" t="s">
        <v>303</v>
      </c>
      <c r="FC418" s="49" t="s">
        <v>330</v>
      </c>
      <c r="FD418" s="49" t="s">
        <v>310</v>
      </c>
      <c r="FE418" s="49" t="s">
        <v>310</v>
      </c>
      <c r="FF418" s="49" t="s">
        <v>53</v>
      </c>
      <c r="FG418" s="49" t="s">
        <v>359</v>
      </c>
      <c r="FH418" s="49" t="s">
        <v>310</v>
      </c>
      <c r="FI418" s="49" t="s">
        <v>332</v>
      </c>
      <c r="FJ418" s="49" t="s">
        <v>303</v>
      </c>
      <c r="FL418" s="49" t="s">
        <v>325</v>
      </c>
      <c r="FM418" s="49" t="s">
        <v>1813</v>
      </c>
      <c r="FP418" s="49" t="s">
        <v>303</v>
      </c>
      <c r="FR418" s="49" t="s">
        <v>303</v>
      </c>
      <c r="FT418" s="49" t="s">
        <v>325</v>
      </c>
      <c r="FU418" s="49" t="s">
        <v>325</v>
      </c>
      <c r="FW418" s="49" t="s">
        <v>333</v>
      </c>
    </row>
    <row r="419" customFormat="false" ht="15" hidden="false" customHeight="false" outlineLevel="0" collapsed="false">
      <c r="A419" s="0" t="n">
        <v>100874672</v>
      </c>
      <c r="B419" s="0" t="s">
        <v>295</v>
      </c>
      <c r="C419" s="0" t="s">
        <v>53</v>
      </c>
      <c r="D419" s="0" t="s">
        <v>54</v>
      </c>
      <c r="E419" s="0" t="s">
        <v>297</v>
      </c>
      <c r="G419" s="0" t="n">
        <v>1</v>
      </c>
      <c r="H419" s="0" t="s">
        <v>298</v>
      </c>
      <c r="I419" s="48" t="n">
        <v>46253</v>
      </c>
      <c r="J419" s="0" t="n">
        <v>1</v>
      </c>
      <c r="K419" s="49" t="s">
        <v>1813</v>
      </c>
      <c r="L419" s="49" t="s">
        <v>1035</v>
      </c>
      <c r="M419" s="48"/>
      <c r="O419" s="49" t="s">
        <v>1045</v>
      </c>
      <c r="P419" s="48"/>
      <c r="Q419" s="48" t="n">
        <v>46253</v>
      </c>
      <c r="R419" s="48" t="n">
        <v>46259</v>
      </c>
      <c r="T419" s="49" t="s">
        <v>302</v>
      </c>
      <c r="U419" s="49" t="s">
        <v>303</v>
      </c>
      <c r="Y419" s="49" t="s">
        <v>312</v>
      </c>
      <c r="AD419" s="49" t="s">
        <v>305</v>
      </c>
      <c r="AE419" s="48" t="n">
        <v>46226</v>
      </c>
      <c r="AF419" s="49" t="s">
        <v>306</v>
      </c>
      <c r="AG419" s="49" t="s">
        <v>307</v>
      </c>
      <c r="AK419" s="49" t="s">
        <v>1047</v>
      </c>
      <c r="AL419" s="49" t="s">
        <v>297</v>
      </c>
      <c r="AO419" s="49" t="s">
        <v>303</v>
      </c>
      <c r="AP419" s="48"/>
      <c r="AR419" s="49" t="s">
        <v>303</v>
      </c>
      <c r="AS419" s="49" t="s">
        <v>306</v>
      </c>
      <c r="AT419" s="49" t="s">
        <v>1825</v>
      </c>
      <c r="AV419" s="49" t="s">
        <v>309</v>
      </c>
      <c r="AW419" s="49" t="s">
        <v>310</v>
      </c>
      <c r="AX419" s="49" t="s">
        <v>311</v>
      </c>
      <c r="AY419" s="48"/>
      <c r="AZ419" s="48" t="n">
        <v>46245</v>
      </c>
      <c r="BC419" s="49" t="s">
        <v>303</v>
      </c>
      <c r="BD419" s="48" t="n">
        <v>46261</v>
      </c>
      <c r="BE419" s="49" t="s">
        <v>1826</v>
      </c>
      <c r="BF419" s="49" t="s">
        <v>303</v>
      </c>
      <c r="BG419" s="48"/>
      <c r="BI419" s="48" t="n">
        <v>46261</v>
      </c>
      <c r="BJ419" s="48" t="n">
        <v>46258</v>
      </c>
      <c r="BK419" s="49" t="s">
        <v>313</v>
      </c>
      <c r="BL419" s="49" t="s">
        <v>313</v>
      </c>
      <c r="BM419" s="49" t="s">
        <v>310</v>
      </c>
      <c r="BN419" s="48"/>
      <c r="BO419" s="48"/>
      <c r="BP419" s="48"/>
      <c r="BQ419" s="49" t="s">
        <v>1813</v>
      </c>
      <c r="BR419" s="48" t="n">
        <v>46252</v>
      </c>
      <c r="BS419" s="49" t="s">
        <v>1827</v>
      </c>
      <c r="BT419" s="49" t="s">
        <v>312</v>
      </c>
      <c r="BU419" s="49" t="s">
        <v>312</v>
      </c>
      <c r="BV419" s="49" t="s">
        <v>303</v>
      </c>
      <c r="BX419" s="0" t="n">
        <v>1</v>
      </c>
      <c r="CC419" s="49" t="s">
        <v>315</v>
      </c>
      <c r="CD419" s="49" t="s">
        <v>303</v>
      </c>
      <c r="CF419" s="49" t="s">
        <v>303</v>
      </c>
      <c r="CG419" s="49" t="s">
        <v>316</v>
      </c>
      <c r="CH419" s="49" t="s">
        <v>317</v>
      </c>
      <c r="CI419" s="49" t="s">
        <v>318</v>
      </c>
      <c r="CM419" s="49" t="s">
        <v>54</v>
      </c>
      <c r="CV419" s="49" t="s">
        <v>303</v>
      </c>
      <c r="DB419" s="49" t="s">
        <v>319</v>
      </c>
      <c r="DD419" s="48" t="n">
        <v>46226</v>
      </c>
      <c r="DF419" s="49" t="s">
        <v>310</v>
      </c>
      <c r="DG419" s="49" t="s">
        <v>320</v>
      </c>
      <c r="DH419" s="49" t="s">
        <v>53</v>
      </c>
      <c r="DI419" s="49" t="s">
        <v>298</v>
      </c>
      <c r="DJ419" s="49" t="s">
        <v>355</v>
      </c>
      <c r="DK419" s="49" t="s">
        <v>322</v>
      </c>
      <c r="DL419" s="49" t="s">
        <v>323</v>
      </c>
      <c r="DM419" s="49" t="s">
        <v>303</v>
      </c>
      <c r="DN419" s="49" t="s">
        <v>297</v>
      </c>
      <c r="DO419" s="48"/>
      <c r="DP419" s="49" t="s">
        <v>312</v>
      </c>
      <c r="DQ419" s="48"/>
      <c r="DR419" s="49" t="s">
        <v>312</v>
      </c>
      <c r="DS419" s="49" t="s">
        <v>303</v>
      </c>
      <c r="DT419" s="49" t="s">
        <v>303</v>
      </c>
      <c r="DW419" s="49" t="s">
        <v>303</v>
      </c>
      <c r="EA419" s="49" t="s">
        <v>324</v>
      </c>
      <c r="EB419" s="49" t="s">
        <v>303</v>
      </c>
      <c r="EF419" s="49" t="s">
        <v>1823</v>
      </c>
      <c r="EH419" s="49" t="s">
        <v>310</v>
      </c>
      <c r="EJ419" s="49" t="s">
        <v>303</v>
      </c>
      <c r="EK419" s="49" t="s">
        <v>1828</v>
      </c>
      <c r="EM419" s="49" t="s">
        <v>303</v>
      </c>
      <c r="EN419" s="49" t="s">
        <v>357</v>
      </c>
      <c r="EP419" s="49" t="s">
        <v>298</v>
      </c>
      <c r="EQ419" s="0" t="n">
        <v>1</v>
      </c>
      <c r="ER419" s="49" t="s">
        <v>328</v>
      </c>
      <c r="ES419" s="49" t="s">
        <v>358</v>
      </c>
      <c r="ET419" s="49" t="s">
        <v>310</v>
      </c>
      <c r="EU419" s="49" t="s">
        <v>310</v>
      </c>
      <c r="EV419" s="49" t="s">
        <v>310</v>
      </c>
      <c r="EX419" s="49" t="s">
        <v>303</v>
      </c>
      <c r="EY419" s="49" t="s">
        <v>303</v>
      </c>
      <c r="FC419" s="49" t="s">
        <v>330</v>
      </c>
      <c r="FD419" s="49" t="s">
        <v>310</v>
      </c>
      <c r="FE419" s="49" t="s">
        <v>310</v>
      </c>
      <c r="FF419" s="49" t="s">
        <v>53</v>
      </c>
      <c r="FG419" s="49" t="s">
        <v>359</v>
      </c>
      <c r="FH419" s="49" t="s">
        <v>310</v>
      </c>
      <c r="FI419" s="49" t="s">
        <v>332</v>
      </c>
      <c r="FJ419" s="49" t="s">
        <v>303</v>
      </c>
      <c r="FL419" s="49" t="s">
        <v>325</v>
      </c>
      <c r="FM419" s="49" t="s">
        <v>1813</v>
      </c>
      <c r="FP419" s="49" t="s">
        <v>303</v>
      </c>
      <c r="FR419" s="49" t="s">
        <v>303</v>
      </c>
      <c r="FT419" s="49" t="s">
        <v>325</v>
      </c>
      <c r="FU419" s="49" t="s">
        <v>325</v>
      </c>
      <c r="FW419" s="49" t="s">
        <v>333</v>
      </c>
    </row>
    <row r="420" customFormat="false" ht="15" hidden="false" customHeight="false" outlineLevel="0" collapsed="false">
      <c r="A420" s="0" t="n">
        <v>100874481</v>
      </c>
      <c r="B420" s="0" t="s">
        <v>295</v>
      </c>
      <c r="C420" s="0" t="s">
        <v>75</v>
      </c>
      <c r="D420" s="0" t="s">
        <v>492</v>
      </c>
      <c r="E420" s="0" t="s">
        <v>297</v>
      </c>
      <c r="G420" s="0" t="n">
        <v>1</v>
      </c>
      <c r="H420" s="0" t="s">
        <v>298</v>
      </c>
      <c r="I420" s="48" t="n">
        <v>46252</v>
      </c>
      <c r="J420" s="0" t="n">
        <v>1</v>
      </c>
      <c r="K420" s="49" t="s">
        <v>1829</v>
      </c>
      <c r="L420" s="49" t="s">
        <v>1830</v>
      </c>
      <c r="M420" s="48" t="n">
        <v>46252</v>
      </c>
      <c r="N420" s="49" t="s">
        <v>1830</v>
      </c>
      <c r="O420" s="49" t="s">
        <v>1052</v>
      </c>
      <c r="P420" s="48"/>
      <c r="Q420" s="48" t="n">
        <v>46252</v>
      </c>
      <c r="R420" s="48" t="n">
        <v>46266</v>
      </c>
      <c r="T420" s="49" t="s">
        <v>302</v>
      </c>
      <c r="U420" s="49" t="s">
        <v>303</v>
      </c>
      <c r="Y420" s="49" t="s">
        <v>1831</v>
      </c>
      <c r="AD420" s="49" t="s">
        <v>305</v>
      </c>
      <c r="AE420" s="48" t="n">
        <v>46231</v>
      </c>
      <c r="AF420" s="49" t="s">
        <v>306</v>
      </c>
      <c r="AG420" s="49" t="s">
        <v>307</v>
      </c>
      <c r="AK420" s="49" t="s">
        <v>1047</v>
      </c>
      <c r="AL420" s="49" t="s">
        <v>297</v>
      </c>
      <c r="AO420" s="49" t="s">
        <v>303</v>
      </c>
      <c r="AP420" s="48"/>
      <c r="AR420" s="49" t="s">
        <v>303</v>
      </c>
      <c r="AS420" s="49" t="s">
        <v>306</v>
      </c>
      <c r="AT420" s="49" t="s">
        <v>1832</v>
      </c>
      <c r="AV420" s="49" t="s">
        <v>309</v>
      </c>
      <c r="AW420" s="49" t="s">
        <v>310</v>
      </c>
      <c r="AX420" s="49" t="s">
        <v>311</v>
      </c>
      <c r="AY420" s="48"/>
      <c r="AZ420" s="48" t="n">
        <v>46254</v>
      </c>
      <c r="BC420" s="49" t="s">
        <v>303</v>
      </c>
      <c r="BD420" s="48" t="n">
        <v>46287</v>
      </c>
      <c r="BE420" s="49" t="s">
        <v>1833</v>
      </c>
      <c r="BF420" s="49" t="s">
        <v>303</v>
      </c>
      <c r="BG420" s="48"/>
      <c r="BI420" s="48" t="n">
        <v>46287</v>
      </c>
      <c r="BJ420" s="48" t="n">
        <v>46261</v>
      </c>
      <c r="BK420" s="49" t="s">
        <v>312</v>
      </c>
      <c r="BL420" s="49" t="s">
        <v>313</v>
      </c>
      <c r="BM420" s="49" t="s">
        <v>310</v>
      </c>
      <c r="BN420" s="48"/>
      <c r="BO420" s="48"/>
      <c r="BP420" s="48"/>
      <c r="BQ420" s="49" t="s">
        <v>1834</v>
      </c>
      <c r="BR420" s="48" t="n">
        <v>46261</v>
      </c>
      <c r="BS420" s="49" t="s">
        <v>1835</v>
      </c>
      <c r="BT420" s="49" t="s">
        <v>312</v>
      </c>
      <c r="BU420" s="49" t="s">
        <v>313</v>
      </c>
      <c r="BV420" s="49" t="s">
        <v>303</v>
      </c>
      <c r="BX420" s="0" t="n">
        <v>1</v>
      </c>
      <c r="CC420" s="49" t="s">
        <v>315</v>
      </c>
      <c r="CD420" s="49" t="s">
        <v>303</v>
      </c>
      <c r="CF420" s="49" t="s">
        <v>303</v>
      </c>
      <c r="CG420" s="49" t="s">
        <v>316</v>
      </c>
      <c r="CH420" s="49" t="s">
        <v>317</v>
      </c>
      <c r="CI420" s="49" t="s">
        <v>318</v>
      </c>
      <c r="CM420" s="49" t="s">
        <v>492</v>
      </c>
      <c r="CV420" s="49" t="s">
        <v>303</v>
      </c>
      <c r="DB420" s="49" t="s">
        <v>319</v>
      </c>
      <c r="DD420" s="48" t="n">
        <v>46231</v>
      </c>
      <c r="DF420" s="49" t="s">
        <v>310</v>
      </c>
      <c r="DG420" s="49" t="s">
        <v>320</v>
      </c>
      <c r="DH420" s="49" t="s">
        <v>75</v>
      </c>
      <c r="DI420" s="49" t="s">
        <v>298</v>
      </c>
      <c r="DJ420" s="49" t="s">
        <v>495</v>
      </c>
      <c r="DK420" s="49" t="s">
        <v>322</v>
      </c>
      <c r="DL420" s="49" t="s">
        <v>323</v>
      </c>
      <c r="DM420" s="49" t="s">
        <v>303</v>
      </c>
      <c r="DN420" s="49" t="s">
        <v>297</v>
      </c>
      <c r="DO420" s="48"/>
      <c r="DP420" s="49" t="s">
        <v>312</v>
      </c>
      <c r="DQ420" s="48"/>
      <c r="DR420" s="49" t="s">
        <v>312</v>
      </c>
      <c r="DS420" s="49" t="s">
        <v>303</v>
      </c>
      <c r="DT420" s="49" t="s">
        <v>303</v>
      </c>
      <c r="DW420" s="49" t="s">
        <v>303</v>
      </c>
      <c r="EA420" s="49" t="s">
        <v>324</v>
      </c>
      <c r="EB420" s="49" t="s">
        <v>303</v>
      </c>
      <c r="EH420" s="49" t="s">
        <v>310</v>
      </c>
      <c r="EJ420" s="49" t="s">
        <v>303</v>
      </c>
      <c r="EK420" s="49" t="s">
        <v>1836</v>
      </c>
      <c r="EM420" s="49" t="s">
        <v>303</v>
      </c>
      <c r="EN420" s="49" t="s">
        <v>497</v>
      </c>
      <c r="EP420" s="49" t="s">
        <v>298</v>
      </c>
      <c r="EQ420" s="0" t="n">
        <v>1</v>
      </c>
      <c r="ER420" s="49" t="s">
        <v>328</v>
      </c>
      <c r="ES420" s="49" t="s">
        <v>329</v>
      </c>
      <c r="ET420" s="49" t="s">
        <v>310</v>
      </c>
      <c r="EU420" s="49" t="s">
        <v>310</v>
      </c>
      <c r="EV420" s="49" t="s">
        <v>310</v>
      </c>
      <c r="EX420" s="49" t="s">
        <v>303</v>
      </c>
      <c r="EY420" s="49" t="s">
        <v>303</v>
      </c>
      <c r="FC420" s="49" t="s">
        <v>330</v>
      </c>
      <c r="FD420" s="49" t="s">
        <v>310</v>
      </c>
      <c r="FE420" s="49" t="s">
        <v>310</v>
      </c>
      <c r="FF420" s="49" t="s">
        <v>75</v>
      </c>
      <c r="FG420" s="49" t="s">
        <v>498</v>
      </c>
      <c r="FH420" s="49" t="s">
        <v>310</v>
      </c>
      <c r="FI420" s="49" t="s">
        <v>332</v>
      </c>
      <c r="FJ420" s="49" t="s">
        <v>303</v>
      </c>
      <c r="FL420" s="49" t="s">
        <v>325</v>
      </c>
      <c r="FM420" s="49" t="s">
        <v>1829</v>
      </c>
      <c r="FP420" s="49" t="s">
        <v>303</v>
      </c>
      <c r="FR420" s="49" t="s">
        <v>303</v>
      </c>
      <c r="FT420" s="49" t="s">
        <v>325</v>
      </c>
      <c r="FU420" s="49" t="s">
        <v>325</v>
      </c>
      <c r="FW420" s="49" t="s">
        <v>333</v>
      </c>
      <c r="FX420" s="49" t="s">
        <v>499</v>
      </c>
    </row>
    <row r="421" customFormat="false" ht="15" hidden="false" customHeight="false" outlineLevel="0" collapsed="false">
      <c r="A421" s="0" t="n">
        <v>100874482</v>
      </c>
      <c r="B421" s="0" t="s">
        <v>295</v>
      </c>
      <c r="C421" s="0" t="s">
        <v>77</v>
      </c>
      <c r="D421" s="0" t="s">
        <v>500</v>
      </c>
      <c r="E421" s="0" t="s">
        <v>297</v>
      </c>
      <c r="G421" s="0" t="n">
        <v>1</v>
      </c>
      <c r="H421" s="0" t="s">
        <v>298</v>
      </c>
      <c r="I421" s="48" t="n">
        <v>46252</v>
      </c>
      <c r="J421" s="0" t="n">
        <v>1</v>
      </c>
      <c r="K421" s="49" t="s">
        <v>1829</v>
      </c>
      <c r="L421" s="49" t="s">
        <v>1830</v>
      </c>
      <c r="M421" s="48" t="n">
        <v>46252</v>
      </c>
      <c r="N421" s="49" t="s">
        <v>1830</v>
      </c>
      <c r="O421" s="49" t="s">
        <v>1052</v>
      </c>
      <c r="P421" s="48"/>
      <c r="Q421" s="48" t="n">
        <v>46252</v>
      </c>
      <c r="R421" s="48" t="n">
        <v>46266</v>
      </c>
      <c r="T421" s="49" t="s">
        <v>302</v>
      </c>
      <c r="U421" s="49" t="s">
        <v>303</v>
      </c>
      <c r="Y421" s="49" t="s">
        <v>1837</v>
      </c>
      <c r="AD421" s="49" t="s">
        <v>305</v>
      </c>
      <c r="AE421" s="48" t="n">
        <v>46231</v>
      </c>
      <c r="AF421" s="49" t="s">
        <v>306</v>
      </c>
      <c r="AG421" s="49" t="s">
        <v>307</v>
      </c>
      <c r="AK421" s="49" t="s">
        <v>1047</v>
      </c>
      <c r="AL421" s="49" t="s">
        <v>297</v>
      </c>
      <c r="AO421" s="49" t="s">
        <v>303</v>
      </c>
      <c r="AP421" s="48"/>
      <c r="AR421" s="49" t="s">
        <v>303</v>
      </c>
      <c r="AS421" s="49" t="s">
        <v>306</v>
      </c>
      <c r="AT421" s="49" t="s">
        <v>1838</v>
      </c>
      <c r="AV421" s="49" t="s">
        <v>309</v>
      </c>
      <c r="AW421" s="49" t="s">
        <v>310</v>
      </c>
      <c r="AX421" s="49" t="s">
        <v>311</v>
      </c>
      <c r="AY421" s="48"/>
      <c r="AZ421" s="48" t="n">
        <v>46254</v>
      </c>
      <c r="BC421" s="49" t="s">
        <v>303</v>
      </c>
      <c r="BD421" s="48" t="n">
        <v>46290</v>
      </c>
      <c r="BE421" s="49" t="s">
        <v>1839</v>
      </c>
      <c r="BF421" s="49" t="s">
        <v>303</v>
      </c>
      <c r="BG421" s="48"/>
      <c r="BI421" s="48" t="n">
        <v>46290</v>
      </c>
      <c r="BJ421" s="48" t="n">
        <v>46261</v>
      </c>
      <c r="BK421" s="49" t="s">
        <v>312</v>
      </c>
      <c r="BL421" s="49" t="s">
        <v>313</v>
      </c>
      <c r="BM421" s="49" t="s">
        <v>310</v>
      </c>
      <c r="BN421" s="48"/>
      <c r="BO421" s="48"/>
      <c r="BP421" s="48"/>
      <c r="BQ421" s="49" t="s">
        <v>1684</v>
      </c>
      <c r="BR421" s="48" t="n">
        <v>46261</v>
      </c>
      <c r="BS421" s="49" t="s">
        <v>1840</v>
      </c>
      <c r="BT421" s="49" t="s">
        <v>312</v>
      </c>
      <c r="BU421" s="49" t="s">
        <v>313</v>
      </c>
      <c r="BV421" s="49" t="s">
        <v>303</v>
      </c>
      <c r="BX421" s="0" t="n">
        <v>1</v>
      </c>
      <c r="CC421" s="49" t="s">
        <v>315</v>
      </c>
      <c r="CD421" s="49" t="s">
        <v>303</v>
      </c>
      <c r="CF421" s="49" t="s">
        <v>303</v>
      </c>
      <c r="CG421" s="49" t="s">
        <v>316</v>
      </c>
      <c r="CH421" s="49" t="s">
        <v>317</v>
      </c>
      <c r="CI421" s="49" t="s">
        <v>318</v>
      </c>
      <c r="CM421" s="49" t="s">
        <v>500</v>
      </c>
      <c r="CV421" s="49" t="s">
        <v>303</v>
      </c>
      <c r="DB421" s="49" t="s">
        <v>319</v>
      </c>
      <c r="DD421" s="48" t="n">
        <v>46231</v>
      </c>
      <c r="DF421" s="49" t="s">
        <v>310</v>
      </c>
      <c r="DG421" s="49" t="s">
        <v>320</v>
      </c>
      <c r="DH421" s="49" t="s">
        <v>77</v>
      </c>
      <c r="DI421" s="49" t="s">
        <v>298</v>
      </c>
      <c r="DJ421" s="49" t="s">
        <v>495</v>
      </c>
      <c r="DK421" s="49" t="s">
        <v>322</v>
      </c>
      <c r="DL421" s="49" t="s">
        <v>323</v>
      </c>
      <c r="DM421" s="49" t="s">
        <v>303</v>
      </c>
      <c r="DN421" s="49" t="s">
        <v>297</v>
      </c>
      <c r="DO421" s="48"/>
      <c r="DP421" s="49" t="s">
        <v>312</v>
      </c>
      <c r="DQ421" s="48"/>
      <c r="DR421" s="49" t="s">
        <v>312</v>
      </c>
      <c r="DS421" s="49" t="s">
        <v>303</v>
      </c>
      <c r="DT421" s="49" t="s">
        <v>303</v>
      </c>
      <c r="DW421" s="49" t="s">
        <v>303</v>
      </c>
      <c r="EA421" s="49" t="s">
        <v>324</v>
      </c>
      <c r="EB421" s="49" t="s">
        <v>303</v>
      </c>
      <c r="EH421" s="49" t="s">
        <v>310</v>
      </c>
      <c r="EJ421" s="49" t="s">
        <v>303</v>
      </c>
      <c r="EK421" s="49" t="s">
        <v>1841</v>
      </c>
      <c r="EM421" s="49" t="s">
        <v>303</v>
      </c>
      <c r="EN421" s="49" t="s">
        <v>504</v>
      </c>
      <c r="EP421" s="49" t="s">
        <v>298</v>
      </c>
      <c r="EQ421" s="0" t="n">
        <v>1</v>
      </c>
      <c r="ER421" s="49" t="s">
        <v>328</v>
      </c>
      <c r="ES421" s="49" t="s">
        <v>329</v>
      </c>
      <c r="ET421" s="49" t="s">
        <v>310</v>
      </c>
      <c r="EU421" s="49" t="s">
        <v>310</v>
      </c>
      <c r="EV421" s="49" t="s">
        <v>310</v>
      </c>
      <c r="EX421" s="49" t="s">
        <v>303</v>
      </c>
      <c r="EY421" s="49" t="s">
        <v>303</v>
      </c>
      <c r="FC421" s="49" t="s">
        <v>330</v>
      </c>
      <c r="FD421" s="49" t="s">
        <v>310</v>
      </c>
      <c r="FE421" s="49" t="s">
        <v>310</v>
      </c>
      <c r="FF421" s="49" t="s">
        <v>77</v>
      </c>
      <c r="FG421" s="49" t="s">
        <v>505</v>
      </c>
      <c r="FH421" s="49" t="s">
        <v>310</v>
      </c>
      <c r="FI421" s="49" t="s">
        <v>332</v>
      </c>
      <c r="FJ421" s="49" t="s">
        <v>303</v>
      </c>
      <c r="FL421" s="49" t="s">
        <v>325</v>
      </c>
      <c r="FM421" s="49" t="s">
        <v>1829</v>
      </c>
      <c r="FP421" s="49" t="s">
        <v>303</v>
      </c>
      <c r="FR421" s="49" t="s">
        <v>303</v>
      </c>
      <c r="FT421" s="49" t="s">
        <v>325</v>
      </c>
      <c r="FU421" s="49" t="s">
        <v>325</v>
      </c>
      <c r="FW421" s="49" t="s">
        <v>333</v>
      </c>
      <c r="FX421" s="49" t="s">
        <v>499</v>
      </c>
    </row>
    <row r="422" customFormat="false" ht="15" hidden="false" customHeight="false" outlineLevel="0" collapsed="false">
      <c r="A422" s="0" t="n">
        <v>100874483</v>
      </c>
      <c r="B422" s="0" t="s">
        <v>295</v>
      </c>
      <c r="C422" s="0" t="s">
        <v>79</v>
      </c>
      <c r="D422" s="0" t="s">
        <v>506</v>
      </c>
      <c r="E422" s="0" t="s">
        <v>297</v>
      </c>
      <c r="G422" s="0" t="n">
        <v>1</v>
      </c>
      <c r="H422" s="0" t="s">
        <v>298</v>
      </c>
      <c r="I422" s="48" t="n">
        <v>46252</v>
      </c>
      <c r="J422" s="0" t="n">
        <v>1</v>
      </c>
      <c r="K422" s="49" t="s">
        <v>1829</v>
      </c>
      <c r="L422" s="49" t="s">
        <v>1830</v>
      </c>
      <c r="M422" s="48" t="n">
        <v>46252</v>
      </c>
      <c r="N422" s="49" t="s">
        <v>1830</v>
      </c>
      <c r="O422" s="49" t="s">
        <v>1052</v>
      </c>
      <c r="P422" s="48"/>
      <c r="Q422" s="48" t="n">
        <v>46252</v>
      </c>
      <c r="R422" s="48" t="n">
        <v>46266</v>
      </c>
      <c r="T422" s="49" t="s">
        <v>302</v>
      </c>
      <c r="U422" s="49" t="s">
        <v>303</v>
      </c>
      <c r="Y422" s="49" t="s">
        <v>1842</v>
      </c>
      <c r="AD422" s="49" t="s">
        <v>305</v>
      </c>
      <c r="AE422" s="48" t="n">
        <v>46231</v>
      </c>
      <c r="AF422" s="49" t="s">
        <v>306</v>
      </c>
      <c r="AG422" s="49" t="s">
        <v>307</v>
      </c>
      <c r="AK422" s="49" t="s">
        <v>1047</v>
      </c>
      <c r="AL422" s="49" t="s">
        <v>297</v>
      </c>
      <c r="AO422" s="49" t="s">
        <v>303</v>
      </c>
      <c r="AP422" s="48"/>
      <c r="AR422" s="49" t="s">
        <v>303</v>
      </c>
      <c r="AS422" s="49" t="s">
        <v>306</v>
      </c>
      <c r="AT422" s="49" t="s">
        <v>1843</v>
      </c>
      <c r="AV422" s="49" t="s">
        <v>309</v>
      </c>
      <c r="AW422" s="49" t="s">
        <v>310</v>
      </c>
      <c r="AX422" s="49" t="s">
        <v>311</v>
      </c>
      <c r="AY422" s="48"/>
      <c r="AZ422" s="48" t="n">
        <v>46254</v>
      </c>
      <c r="BC422" s="49" t="s">
        <v>303</v>
      </c>
      <c r="BD422" s="48" t="n">
        <v>46291</v>
      </c>
      <c r="BE422" s="49" t="s">
        <v>1844</v>
      </c>
      <c r="BF422" s="49" t="s">
        <v>303</v>
      </c>
      <c r="BG422" s="48"/>
      <c r="BI422" s="48" t="n">
        <v>46291</v>
      </c>
      <c r="BJ422" s="48" t="n">
        <v>46261</v>
      </c>
      <c r="BK422" s="49" t="s">
        <v>312</v>
      </c>
      <c r="BL422" s="49" t="s">
        <v>313</v>
      </c>
      <c r="BM422" s="49" t="s">
        <v>310</v>
      </c>
      <c r="BN422" s="48"/>
      <c r="BO422" s="48"/>
      <c r="BP422" s="48"/>
      <c r="BQ422" s="49" t="s">
        <v>1684</v>
      </c>
      <c r="BR422" s="48" t="n">
        <v>46261</v>
      </c>
      <c r="BS422" s="49" t="s">
        <v>650</v>
      </c>
      <c r="BT422" s="49" t="s">
        <v>312</v>
      </c>
      <c r="BU422" s="49" t="s">
        <v>313</v>
      </c>
      <c r="BV422" s="49" t="s">
        <v>303</v>
      </c>
      <c r="BX422" s="0" t="n">
        <v>1</v>
      </c>
      <c r="CC422" s="49" t="s">
        <v>315</v>
      </c>
      <c r="CD422" s="49" t="s">
        <v>303</v>
      </c>
      <c r="CF422" s="49" t="s">
        <v>303</v>
      </c>
      <c r="CG422" s="49" t="s">
        <v>316</v>
      </c>
      <c r="CH422" s="49" t="s">
        <v>317</v>
      </c>
      <c r="CI422" s="49" t="s">
        <v>318</v>
      </c>
      <c r="CM422" s="49" t="s">
        <v>506</v>
      </c>
      <c r="CV422" s="49" t="s">
        <v>303</v>
      </c>
      <c r="DB422" s="49" t="s">
        <v>319</v>
      </c>
      <c r="DD422" s="48" t="n">
        <v>46231</v>
      </c>
      <c r="DF422" s="49" t="s">
        <v>310</v>
      </c>
      <c r="DG422" s="49" t="s">
        <v>320</v>
      </c>
      <c r="DH422" s="49" t="s">
        <v>79</v>
      </c>
      <c r="DI422" s="49" t="s">
        <v>298</v>
      </c>
      <c r="DJ422" s="49" t="s">
        <v>495</v>
      </c>
      <c r="DK422" s="49" t="s">
        <v>322</v>
      </c>
      <c r="DL422" s="49" t="s">
        <v>323</v>
      </c>
      <c r="DM422" s="49" t="s">
        <v>303</v>
      </c>
      <c r="DN422" s="49" t="s">
        <v>297</v>
      </c>
      <c r="DO422" s="48"/>
      <c r="DP422" s="49" t="s">
        <v>312</v>
      </c>
      <c r="DQ422" s="48"/>
      <c r="DR422" s="49" t="s">
        <v>312</v>
      </c>
      <c r="DS422" s="49" t="s">
        <v>303</v>
      </c>
      <c r="DT422" s="49" t="s">
        <v>303</v>
      </c>
      <c r="DW422" s="49" t="s">
        <v>303</v>
      </c>
      <c r="EA422" s="49" t="s">
        <v>324</v>
      </c>
      <c r="EB422" s="49" t="s">
        <v>303</v>
      </c>
      <c r="EH422" s="49" t="s">
        <v>310</v>
      </c>
      <c r="EJ422" s="49" t="s">
        <v>303</v>
      </c>
      <c r="EK422" s="49" t="s">
        <v>1845</v>
      </c>
      <c r="EM422" s="49" t="s">
        <v>303</v>
      </c>
      <c r="EN422" s="49" t="s">
        <v>510</v>
      </c>
      <c r="EP422" s="49" t="s">
        <v>298</v>
      </c>
      <c r="EQ422" s="0" t="n">
        <v>1</v>
      </c>
      <c r="ER422" s="49" t="s">
        <v>328</v>
      </c>
      <c r="ES422" s="49" t="s">
        <v>329</v>
      </c>
      <c r="ET422" s="49" t="s">
        <v>310</v>
      </c>
      <c r="EU422" s="49" t="s">
        <v>310</v>
      </c>
      <c r="EV422" s="49" t="s">
        <v>310</v>
      </c>
      <c r="EX422" s="49" t="s">
        <v>303</v>
      </c>
      <c r="EY422" s="49" t="s">
        <v>303</v>
      </c>
      <c r="FC422" s="49" t="s">
        <v>330</v>
      </c>
      <c r="FD422" s="49" t="s">
        <v>310</v>
      </c>
      <c r="FE422" s="49" t="s">
        <v>310</v>
      </c>
      <c r="FF422" s="49" t="s">
        <v>79</v>
      </c>
      <c r="FG422" s="49" t="s">
        <v>511</v>
      </c>
      <c r="FH422" s="49" t="s">
        <v>310</v>
      </c>
      <c r="FI422" s="49" t="s">
        <v>332</v>
      </c>
      <c r="FJ422" s="49" t="s">
        <v>303</v>
      </c>
      <c r="FL422" s="49" t="s">
        <v>325</v>
      </c>
      <c r="FM422" s="49" t="s">
        <v>1829</v>
      </c>
      <c r="FP422" s="49" t="s">
        <v>303</v>
      </c>
      <c r="FR422" s="49" t="s">
        <v>303</v>
      </c>
      <c r="FT422" s="49" t="s">
        <v>325</v>
      </c>
      <c r="FU422" s="49" t="s">
        <v>325</v>
      </c>
      <c r="FW422" s="49" t="s">
        <v>333</v>
      </c>
      <c r="FX422" s="49" t="s">
        <v>499</v>
      </c>
    </row>
    <row r="423" customFormat="false" ht="15" hidden="false" customHeight="false" outlineLevel="0" collapsed="false">
      <c r="A423" s="0" t="n">
        <v>100874390</v>
      </c>
      <c r="B423" s="0" t="s">
        <v>295</v>
      </c>
      <c r="C423" s="0" t="s">
        <v>48</v>
      </c>
      <c r="D423" s="0" t="s">
        <v>49</v>
      </c>
      <c r="E423" s="0" t="s">
        <v>297</v>
      </c>
      <c r="G423" s="0" t="n">
        <v>1</v>
      </c>
      <c r="H423" s="0" t="s">
        <v>298</v>
      </c>
      <c r="I423" s="48" t="n">
        <v>46251</v>
      </c>
      <c r="J423" s="0" t="n">
        <v>1</v>
      </c>
      <c r="K423" s="49" t="s">
        <v>1846</v>
      </c>
      <c r="L423" s="49" t="s">
        <v>335</v>
      </c>
      <c r="M423" s="48" t="n">
        <v>46283</v>
      </c>
      <c r="N423" s="49" t="s">
        <v>1070</v>
      </c>
      <c r="O423" s="49" t="s">
        <v>1847</v>
      </c>
      <c r="P423" s="48"/>
      <c r="Q423" s="48" t="n">
        <v>46251</v>
      </c>
      <c r="R423" s="48" t="n">
        <v>46258</v>
      </c>
      <c r="T423" s="49" t="s">
        <v>302</v>
      </c>
      <c r="U423" s="49" t="s">
        <v>303</v>
      </c>
      <c r="Y423" s="49" t="s">
        <v>1848</v>
      </c>
      <c r="AD423" s="49" t="s">
        <v>305</v>
      </c>
      <c r="AE423" s="48" t="n">
        <v>46226</v>
      </c>
      <c r="AF423" s="49" t="s">
        <v>306</v>
      </c>
      <c r="AG423" s="49" t="s">
        <v>307</v>
      </c>
      <c r="AK423" s="49" t="s">
        <v>1047</v>
      </c>
      <c r="AL423" s="49" t="s">
        <v>297</v>
      </c>
      <c r="AO423" s="49" t="s">
        <v>303</v>
      </c>
      <c r="AP423" s="48"/>
      <c r="AR423" s="49" t="s">
        <v>303</v>
      </c>
      <c r="AS423" s="49" t="s">
        <v>306</v>
      </c>
      <c r="AT423" s="49" t="s">
        <v>1849</v>
      </c>
      <c r="AV423" s="49" t="s">
        <v>309</v>
      </c>
      <c r="AW423" s="49" t="s">
        <v>310</v>
      </c>
      <c r="AX423" s="49" t="s">
        <v>311</v>
      </c>
      <c r="AY423" s="48"/>
      <c r="AZ423" s="48" t="n">
        <v>46241</v>
      </c>
      <c r="BC423" s="49" t="s">
        <v>303</v>
      </c>
      <c r="BD423" s="48" t="n">
        <v>46283</v>
      </c>
      <c r="BE423" s="49" t="s">
        <v>1850</v>
      </c>
      <c r="BF423" s="49" t="s">
        <v>303</v>
      </c>
      <c r="BG423" s="48"/>
      <c r="BI423" s="48" t="n">
        <v>46283</v>
      </c>
      <c r="BJ423" s="48" t="n">
        <v>46254</v>
      </c>
      <c r="BK423" s="49" t="s">
        <v>312</v>
      </c>
      <c r="BL423" s="49" t="s">
        <v>313</v>
      </c>
      <c r="BM423" s="49" t="s">
        <v>310</v>
      </c>
      <c r="BN423" s="48"/>
      <c r="BO423" s="48"/>
      <c r="BP423" s="48"/>
      <c r="BQ423" s="49" t="s">
        <v>1846</v>
      </c>
      <c r="BR423" s="48" t="n">
        <v>46248</v>
      </c>
      <c r="BS423" s="49" t="s">
        <v>1851</v>
      </c>
      <c r="BT423" s="49" t="s">
        <v>312</v>
      </c>
      <c r="BU423" s="49" t="s">
        <v>312</v>
      </c>
      <c r="BV423" s="49" t="s">
        <v>303</v>
      </c>
      <c r="BX423" s="0" t="n">
        <v>1</v>
      </c>
      <c r="CC423" s="49" t="s">
        <v>315</v>
      </c>
      <c r="CD423" s="49" t="s">
        <v>303</v>
      </c>
      <c r="CF423" s="49" t="s">
        <v>303</v>
      </c>
      <c r="CG423" s="49" t="s">
        <v>316</v>
      </c>
      <c r="CH423" s="49" t="s">
        <v>317</v>
      </c>
      <c r="CI423" s="49" t="s">
        <v>318</v>
      </c>
      <c r="CM423" s="49" t="s">
        <v>49</v>
      </c>
      <c r="CV423" s="49" t="s">
        <v>303</v>
      </c>
      <c r="DB423" s="49" t="s">
        <v>319</v>
      </c>
      <c r="DD423" s="48" t="n">
        <v>46226</v>
      </c>
      <c r="DF423" s="49" t="s">
        <v>310</v>
      </c>
      <c r="DG423" s="49" t="s">
        <v>320</v>
      </c>
      <c r="DH423" s="49" t="s">
        <v>48</v>
      </c>
      <c r="DI423" s="49" t="s">
        <v>298</v>
      </c>
      <c r="DJ423" s="49" t="s">
        <v>339</v>
      </c>
      <c r="DK423" s="49" t="s">
        <v>322</v>
      </c>
      <c r="DL423" s="49" t="s">
        <v>323</v>
      </c>
      <c r="DM423" s="49" t="s">
        <v>303</v>
      </c>
      <c r="DN423" s="49" t="s">
        <v>297</v>
      </c>
      <c r="DO423" s="48"/>
      <c r="DP423" s="49" t="s">
        <v>312</v>
      </c>
      <c r="DQ423" s="48"/>
      <c r="DR423" s="49" t="s">
        <v>312</v>
      </c>
      <c r="DS423" s="49" t="s">
        <v>303</v>
      </c>
      <c r="DT423" s="49" t="s">
        <v>303</v>
      </c>
      <c r="DW423" s="49" t="s">
        <v>303</v>
      </c>
      <c r="EA423" s="49" t="s">
        <v>324</v>
      </c>
      <c r="EB423" s="49" t="s">
        <v>303</v>
      </c>
      <c r="EH423" s="49" t="s">
        <v>310</v>
      </c>
      <c r="EJ423" s="49" t="s">
        <v>303</v>
      </c>
      <c r="EK423" s="49" t="s">
        <v>1852</v>
      </c>
      <c r="EM423" s="49" t="s">
        <v>303</v>
      </c>
      <c r="EN423" s="49" t="s">
        <v>341</v>
      </c>
      <c r="EP423" s="49" t="s">
        <v>298</v>
      </c>
      <c r="EQ423" s="0" t="n">
        <v>1</v>
      </c>
      <c r="ER423" s="49" t="s">
        <v>328</v>
      </c>
      <c r="ES423" s="49" t="s">
        <v>342</v>
      </c>
      <c r="ET423" s="49" t="s">
        <v>310</v>
      </c>
      <c r="EU423" s="49" t="s">
        <v>310</v>
      </c>
      <c r="EV423" s="49" t="s">
        <v>310</v>
      </c>
      <c r="EX423" s="49" t="s">
        <v>303</v>
      </c>
      <c r="EY423" s="49" t="s">
        <v>303</v>
      </c>
      <c r="FC423" s="49" t="s">
        <v>330</v>
      </c>
      <c r="FD423" s="49" t="s">
        <v>310</v>
      </c>
      <c r="FE423" s="49" t="s">
        <v>310</v>
      </c>
      <c r="FF423" s="49" t="s">
        <v>48</v>
      </c>
      <c r="FG423" s="49" t="s">
        <v>343</v>
      </c>
      <c r="FH423" s="49" t="s">
        <v>310</v>
      </c>
      <c r="FI423" s="49" t="s">
        <v>332</v>
      </c>
      <c r="FJ423" s="49" t="s">
        <v>303</v>
      </c>
      <c r="FL423" s="49" t="s">
        <v>325</v>
      </c>
      <c r="FM423" s="49" t="s">
        <v>1846</v>
      </c>
      <c r="FP423" s="49" t="s">
        <v>303</v>
      </c>
      <c r="FR423" s="49" t="s">
        <v>303</v>
      </c>
      <c r="FT423" s="49" t="s">
        <v>325</v>
      </c>
      <c r="FU423" s="49" t="s">
        <v>325</v>
      </c>
      <c r="FW423" s="49" t="s">
        <v>333</v>
      </c>
    </row>
    <row r="424" customFormat="false" ht="15" hidden="false" customHeight="false" outlineLevel="0" collapsed="false">
      <c r="A424" s="0" t="n">
        <v>100874391</v>
      </c>
      <c r="B424" s="0" t="s">
        <v>295</v>
      </c>
      <c r="C424" s="0" t="s">
        <v>50</v>
      </c>
      <c r="D424" s="0" t="s">
        <v>51</v>
      </c>
      <c r="E424" s="0" t="s">
        <v>297</v>
      </c>
      <c r="G424" s="0" t="n">
        <v>1</v>
      </c>
      <c r="H424" s="0" t="s">
        <v>298</v>
      </c>
      <c r="I424" s="48" t="n">
        <v>46251</v>
      </c>
      <c r="J424" s="0" t="n">
        <v>1</v>
      </c>
      <c r="K424" s="49" t="s">
        <v>1846</v>
      </c>
      <c r="L424" s="49" t="s">
        <v>335</v>
      </c>
      <c r="M424" s="48" t="n">
        <v>46275</v>
      </c>
      <c r="N424" s="49" t="s">
        <v>1853</v>
      </c>
      <c r="O424" s="49" t="s">
        <v>1847</v>
      </c>
      <c r="P424" s="48"/>
      <c r="Q424" s="48" t="n">
        <v>46251</v>
      </c>
      <c r="R424" s="48" t="n">
        <v>46258</v>
      </c>
      <c r="T424" s="49" t="s">
        <v>302</v>
      </c>
      <c r="U424" s="49" t="s">
        <v>303</v>
      </c>
      <c r="Y424" s="49" t="s">
        <v>1854</v>
      </c>
      <c r="AD424" s="49" t="s">
        <v>305</v>
      </c>
      <c r="AE424" s="48" t="n">
        <v>46226</v>
      </c>
      <c r="AF424" s="49" t="s">
        <v>306</v>
      </c>
      <c r="AG424" s="49" t="s">
        <v>307</v>
      </c>
      <c r="AK424" s="49" t="s">
        <v>1047</v>
      </c>
      <c r="AL424" s="49" t="s">
        <v>297</v>
      </c>
      <c r="AO424" s="49" t="s">
        <v>303</v>
      </c>
      <c r="AP424" s="48"/>
      <c r="AR424" s="49" t="s">
        <v>303</v>
      </c>
      <c r="AS424" s="49" t="s">
        <v>306</v>
      </c>
      <c r="AT424" s="49" t="s">
        <v>1855</v>
      </c>
      <c r="AV424" s="49" t="s">
        <v>309</v>
      </c>
      <c r="AW424" s="49" t="s">
        <v>310</v>
      </c>
      <c r="AX424" s="49" t="s">
        <v>311</v>
      </c>
      <c r="AY424" s="48"/>
      <c r="AZ424" s="48" t="n">
        <v>46241</v>
      </c>
      <c r="BC424" s="49" t="s">
        <v>303</v>
      </c>
      <c r="BD424" s="48" t="n">
        <v>46275</v>
      </c>
      <c r="BE424" s="49" t="s">
        <v>1856</v>
      </c>
      <c r="BF424" s="49" t="s">
        <v>303</v>
      </c>
      <c r="BG424" s="48"/>
      <c r="BI424" s="48" t="n">
        <v>46275</v>
      </c>
      <c r="BJ424" s="48" t="n">
        <v>46254</v>
      </c>
      <c r="BK424" s="49" t="s">
        <v>312</v>
      </c>
      <c r="BL424" s="49" t="s">
        <v>313</v>
      </c>
      <c r="BM424" s="49" t="s">
        <v>310</v>
      </c>
      <c r="BN424" s="48"/>
      <c r="BO424" s="48"/>
      <c r="BP424" s="48"/>
      <c r="BQ424" s="49" t="s">
        <v>1846</v>
      </c>
      <c r="BR424" s="48" t="n">
        <v>46248</v>
      </c>
      <c r="BS424" s="49" t="s">
        <v>1857</v>
      </c>
      <c r="BT424" s="49" t="s">
        <v>312</v>
      </c>
      <c r="BU424" s="49" t="s">
        <v>312</v>
      </c>
      <c r="BV424" s="49" t="s">
        <v>303</v>
      </c>
      <c r="BX424" s="0" t="n">
        <v>1</v>
      </c>
      <c r="CC424" s="49" t="s">
        <v>315</v>
      </c>
      <c r="CD424" s="49" t="s">
        <v>303</v>
      </c>
      <c r="CF424" s="49" t="s">
        <v>303</v>
      </c>
      <c r="CG424" s="49" t="s">
        <v>316</v>
      </c>
      <c r="CH424" s="49" t="s">
        <v>317</v>
      </c>
      <c r="CI424" s="49" t="s">
        <v>318</v>
      </c>
      <c r="CM424" s="49" t="s">
        <v>51</v>
      </c>
      <c r="CV424" s="49" t="s">
        <v>303</v>
      </c>
      <c r="DB424" s="49" t="s">
        <v>319</v>
      </c>
      <c r="DD424" s="48" t="n">
        <v>46226</v>
      </c>
      <c r="DF424" s="49" t="s">
        <v>310</v>
      </c>
      <c r="DG424" s="49" t="s">
        <v>320</v>
      </c>
      <c r="DH424" s="49" t="s">
        <v>50</v>
      </c>
      <c r="DI424" s="49" t="s">
        <v>298</v>
      </c>
      <c r="DJ424" s="49" t="s">
        <v>346</v>
      </c>
      <c r="DK424" s="49" t="s">
        <v>322</v>
      </c>
      <c r="DL424" s="49" t="s">
        <v>323</v>
      </c>
      <c r="DM424" s="49" t="s">
        <v>303</v>
      </c>
      <c r="DN424" s="49" t="s">
        <v>297</v>
      </c>
      <c r="DO424" s="48"/>
      <c r="DP424" s="49" t="s">
        <v>312</v>
      </c>
      <c r="DQ424" s="48"/>
      <c r="DR424" s="49" t="s">
        <v>312</v>
      </c>
      <c r="DS424" s="49" t="s">
        <v>303</v>
      </c>
      <c r="DT424" s="49" t="s">
        <v>303</v>
      </c>
      <c r="DW424" s="49" t="s">
        <v>303</v>
      </c>
      <c r="EA424" s="49" t="s">
        <v>324</v>
      </c>
      <c r="EB424" s="49" t="s">
        <v>303</v>
      </c>
      <c r="EH424" s="49" t="s">
        <v>310</v>
      </c>
      <c r="EJ424" s="49" t="s">
        <v>303</v>
      </c>
      <c r="EK424" s="49" t="s">
        <v>1858</v>
      </c>
      <c r="EM424" s="49" t="s">
        <v>303</v>
      </c>
      <c r="EN424" s="49" t="s">
        <v>348</v>
      </c>
      <c r="EP424" s="49" t="s">
        <v>298</v>
      </c>
      <c r="EQ424" s="0" t="n">
        <v>1</v>
      </c>
      <c r="ER424" s="49" t="s">
        <v>328</v>
      </c>
      <c r="ES424" s="49" t="s">
        <v>342</v>
      </c>
      <c r="ET424" s="49" t="s">
        <v>310</v>
      </c>
      <c r="EU424" s="49" t="s">
        <v>310</v>
      </c>
      <c r="EV424" s="49" t="s">
        <v>310</v>
      </c>
      <c r="EX424" s="49" t="s">
        <v>303</v>
      </c>
      <c r="EY424" s="49" t="s">
        <v>303</v>
      </c>
      <c r="FC424" s="49" t="s">
        <v>330</v>
      </c>
      <c r="FD424" s="49" t="s">
        <v>310</v>
      </c>
      <c r="FE424" s="49" t="s">
        <v>310</v>
      </c>
      <c r="FF424" s="49" t="s">
        <v>50</v>
      </c>
      <c r="FG424" s="49" t="s">
        <v>349</v>
      </c>
      <c r="FH424" s="49" t="s">
        <v>310</v>
      </c>
      <c r="FI424" s="49" t="s">
        <v>332</v>
      </c>
      <c r="FJ424" s="49" t="s">
        <v>303</v>
      </c>
      <c r="FL424" s="49" t="s">
        <v>325</v>
      </c>
      <c r="FM424" s="49" t="s">
        <v>1846</v>
      </c>
      <c r="FP424" s="49" t="s">
        <v>303</v>
      </c>
      <c r="FR424" s="49" t="s">
        <v>303</v>
      </c>
      <c r="FT424" s="49" t="s">
        <v>325</v>
      </c>
      <c r="FU424" s="49" t="s">
        <v>325</v>
      </c>
      <c r="FW424" s="49" t="s">
        <v>333</v>
      </c>
    </row>
    <row r="425" customFormat="false" ht="15" hidden="false" customHeight="false" outlineLevel="0" collapsed="false">
      <c r="A425" s="0" t="n">
        <v>100874392</v>
      </c>
      <c r="B425" s="0" t="s">
        <v>295</v>
      </c>
      <c r="C425" s="0" t="s">
        <v>50</v>
      </c>
      <c r="D425" s="0" t="s">
        <v>51</v>
      </c>
      <c r="E425" s="0" t="s">
        <v>297</v>
      </c>
      <c r="G425" s="0" t="n">
        <v>1</v>
      </c>
      <c r="H425" s="0" t="s">
        <v>298</v>
      </c>
      <c r="I425" s="48" t="n">
        <v>46251</v>
      </c>
      <c r="J425" s="0" t="n">
        <v>1</v>
      </c>
      <c r="K425" s="49" t="s">
        <v>1846</v>
      </c>
      <c r="L425" s="49" t="s">
        <v>335</v>
      </c>
      <c r="M425" s="48" t="n">
        <v>46260</v>
      </c>
      <c r="N425" s="49" t="s">
        <v>1853</v>
      </c>
      <c r="O425" s="49" t="s">
        <v>1071</v>
      </c>
      <c r="P425" s="48"/>
      <c r="Q425" s="48" t="n">
        <v>46251</v>
      </c>
      <c r="R425" s="48" t="n">
        <v>46257</v>
      </c>
      <c r="T425" s="49" t="s">
        <v>302</v>
      </c>
      <c r="U425" s="49" t="s">
        <v>303</v>
      </c>
      <c r="Y425" s="49" t="s">
        <v>1859</v>
      </c>
      <c r="AD425" s="49" t="s">
        <v>305</v>
      </c>
      <c r="AE425" s="48" t="n">
        <v>46226</v>
      </c>
      <c r="AF425" s="49" t="s">
        <v>306</v>
      </c>
      <c r="AG425" s="49" t="s">
        <v>307</v>
      </c>
      <c r="AK425" s="49" t="s">
        <v>1047</v>
      </c>
      <c r="AL425" s="49" t="s">
        <v>297</v>
      </c>
      <c r="AO425" s="49" t="s">
        <v>303</v>
      </c>
      <c r="AP425" s="48"/>
      <c r="AR425" s="49" t="s">
        <v>303</v>
      </c>
      <c r="AS425" s="49" t="s">
        <v>306</v>
      </c>
      <c r="AT425" s="49" t="s">
        <v>1860</v>
      </c>
      <c r="AV425" s="49" t="s">
        <v>309</v>
      </c>
      <c r="AW425" s="49" t="s">
        <v>310</v>
      </c>
      <c r="AX425" s="49" t="s">
        <v>311</v>
      </c>
      <c r="AY425" s="48"/>
      <c r="AZ425" s="48" t="n">
        <v>46241</v>
      </c>
      <c r="BC425" s="49" t="s">
        <v>303</v>
      </c>
      <c r="BD425" s="48" t="n">
        <v>46260</v>
      </c>
      <c r="BE425" s="49" t="s">
        <v>1861</v>
      </c>
      <c r="BF425" s="49" t="s">
        <v>303</v>
      </c>
      <c r="BG425" s="48"/>
      <c r="BI425" s="48" t="n">
        <v>46260</v>
      </c>
      <c r="BJ425" s="48" t="n">
        <v>46254</v>
      </c>
      <c r="BK425" s="49" t="s">
        <v>313</v>
      </c>
      <c r="BL425" s="49" t="s">
        <v>313</v>
      </c>
      <c r="BM425" s="49" t="s">
        <v>310</v>
      </c>
      <c r="BN425" s="48"/>
      <c r="BO425" s="48"/>
      <c r="BP425" s="48"/>
      <c r="BQ425" s="49" t="s">
        <v>1846</v>
      </c>
      <c r="BR425" s="48" t="n">
        <v>46248</v>
      </c>
      <c r="BS425" s="49" t="s">
        <v>1857</v>
      </c>
      <c r="BT425" s="49" t="s">
        <v>312</v>
      </c>
      <c r="BU425" s="49" t="s">
        <v>312</v>
      </c>
      <c r="BV425" s="49" t="s">
        <v>303</v>
      </c>
      <c r="BX425" s="0" t="n">
        <v>1</v>
      </c>
      <c r="CC425" s="49" t="s">
        <v>315</v>
      </c>
      <c r="CD425" s="49" t="s">
        <v>303</v>
      </c>
      <c r="CF425" s="49" t="s">
        <v>303</v>
      </c>
      <c r="CG425" s="49" t="s">
        <v>316</v>
      </c>
      <c r="CH425" s="49" t="s">
        <v>317</v>
      </c>
      <c r="CI425" s="49" t="s">
        <v>318</v>
      </c>
      <c r="CM425" s="49" t="s">
        <v>51</v>
      </c>
      <c r="CV425" s="49" t="s">
        <v>303</v>
      </c>
      <c r="DB425" s="49" t="s">
        <v>319</v>
      </c>
      <c r="DD425" s="48" t="n">
        <v>46226</v>
      </c>
      <c r="DF425" s="49" t="s">
        <v>310</v>
      </c>
      <c r="DG425" s="49" t="s">
        <v>320</v>
      </c>
      <c r="DH425" s="49" t="s">
        <v>50</v>
      </c>
      <c r="DI425" s="49" t="s">
        <v>298</v>
      </c>
      <c r="DJ425" s="49" t="s">
        <v>346</v>
      </c>
      <c r="DK425" s="49" t="s">
        <v>322</v>
      </c>
      <c r="DL425" s="49" t="s">
        <v>323</v>
      </c>
      <c r="DM425" s="49" t="s">
        <v>303</v>
      </c>
      <c r="DN425" s="49" t="s">
        <v>297</v>
      </c>
      <c r="DO425" s="48"/>
      <c r="DP425" s="49" t="s">
        <v>312</v>
      </c>
      <c r="DQ425" s="48"/>
      <c r="DR425" s="49" t="s">
        <v>312</v>
      </c>
      <c r="DS425" s="49" t="s">
        <v>303</v>
      </c>
      <c r="DT425" s="49" t="s">
        <v>303</v>
      </c>
      <c r="DW425" s="49" t="s">
        <v>303</v>
      </c>
      <c r="EA425" s="49" t="s">
        <v>324</v>
      </c>
      <c r="EB425" s="49" t="s">
        <v>303</v>
      </c>
      <c r="EF425" s="49" t="s">
        <v>1862</v>
      </c>
      <c r="EH425" s="49" t="s">
        <v>310</v>
      </c>
      <c r="EJ425" s="49" t="s">
        <v>303</v>
      </c>
      <c r="EK425" s="49" t="s">
        <v>1863</v>
      </c>
      <c r="EM425" s="49" t="s">
        <v>303</v>
      </c>
      <c r="EN425" s="49" t="s">
        <v>348</v>
      </c>
      <c r="EP425" s="49" t="s">
        <v>298</v>
      </c>
      <c r="EQ425" s="0" t="n">
        <v>1</v>
      </c>
      <c r="ER425" s="49" t="s">
        <v>328</v>
      </c>
      <c r="ES425" s="49" t="s">
        <v>342</v>
      </c>
      <c r="ET425" s="49" t="s">
        <v>310</v>
      </c>
      <c r="EU425" s="49" t="s">
        <v>310</v>
      </c>
      <c r="EV425" s="49" t="s">
        <v>310</v>
      </c>
      <c r="EX425" s="49" t="s">
        <v>303</v>
      </c>
      <c r="EY425" s="49" t="s">
        <v>303</v>
      </c>
      <c r="FC425" s="49" t="s">
        <v>330</v>
      </c>
      <c r="FD425" s="49" t="s">
        <v>310</v>
      </c>
      <c r="FE425" s="49" t="s">
        <v>310</v>
      </c>
      <c r="FF425" s="49" t="s">
        <v>50</v>
      </c>
      <c r="FG425" s="49" t="s">
        <v>349</v>
      </c>
      <c r="FH425" s="49" t="s">
        <v>310</v>
      </c>
      <c r="FI425" s="49" t="s">
        <v>332</v>
      </c>
      <c r="FJ425" s="49" t="s">
        <v>303</v>
      </c>
      <c r="FL425" s="49" t="s">
        <v>325</v>
      </c>
      <c r="FM425" s="49" t="s">
        <v>1846</v>
      </c>
      <c r="FP425" s="49" t="s">
        <v>303</v>
      </c>
      <c r="FR425" s="49" t="s">
        <v>303</v>
      </c>
      <c r="FT425" s="49" t="s">
        <v>325</v>
      </c>
      <c r="FU425" s="49" t="s">
        <v>325</v>
      </c>
      <c r="FW425" s="49" t="s">
        <v>333</v>
      </c>
    </row>
    <row r="426" customFormat="false" ht="15" hidden="false" customHeight="false" outlineLevel="0" collapsed="false">
      <c r="A426" s="0" t="n">
        <v>100874141</v>
      </c>
      <c r="B426" s="0" t="s">
        <v>295</v>
      </c>
      <c r="C426" s="0" t="s">
        <v>64</v>
      </c>
      <c r="D426" s="0" t="s">
        <v>65</v>
      </c>
      <c r="E426" s="0" t="s">
        <v>297</v>
      </c>
      <c r="G426" s="0" t="n">
        <v>1</v>
      </c>
      <c r="H426" s="0" t="s">
        <v>298</v>
      </c>
      <c r="I426" s="48" t="n">
        <v>46246</v>
      </c>
      <c r="J426" s="0" t="n">
        <v>1</v>
      </c>
      <c r="K426" s="49" t="s">
        <v>1864</v>
      </c>
      <c r="L426" s="49" t="s">
        <v>335</v>
      </c>
      <c r="M426" s="48" t="n">
        <v>46261</v>
      </c>
      <c r="N426" s="49" t="s">
        <v>1204</v>
      </c>
      <c r="O426" s="49" t="s">
        <v>1045</v>
      </c>
      <c r="P426" s="48"/>
      <c r="Q426" s="48" t="n">
        <v>46246</v>
      </c>
      <c r="R426" s="48" t="n">
        <v>46253</v>
      </c>
      <c r="T426" s="49" t="s">
        <v>302</v>
      </c>
      <c r="U426" s="49" t="s">
        <v>303</v>
      </c>
      <c r="Y426" s="49" t="s">
        <v>1865</v>
      </c>
      <c r="AD426" s="49" t="s">
        <v>305</v>
      </c>
      <c r="AE426" s="48" t="n">
        <v>46217</v>
      </c>
      <c r="AF426" s="49" t="s">
        <v>306</v>
      </c>
      <c r="AG426" s="49" t="s">
        <v>307</v>
      </c>
      <c r="AK426" s="49" t="s">
        <v>1047</v>
      </c>
      <c r="AL426" s="49" t="s">
        <v>297</v>
      </c>
      <c r="AO426" s="49" t="s">
        <v>303</v>
      </c>
      <c r="AP426" s="48"/>
      <c r="AR426" s="49" t="s">
        <v>303</v>
      </c>
      <c r="AS426" s="49" t="s">
        <v>306</v>
      </c>
      <c r="AT426" s="49" t="s">
        <v>1866</v>
      </c>
      <c r="AV426" s="49" t="s">
        <v>309</v>
      </c>
      <c r="AW426" s="49" t="s">
        <v>310</v>
      </c>
      <c r="AX426" s="49" t="s">
        <v>311</v>
      </c>
      <c r="AY426" s="48"/>
      <c r="AZ426" s="48" t="n">
        <v>46244</v>
      </c>
      <c r="BC426" s="49" t="s">
        <v>303</v>
      </c>
      <c r="BD426" s="48" t="n">
        <v>46264</v>
      </c>
      <c r="BE426" s="49" t="s">
        <v>1867</v>
      </c>
      <c r="BF426" s="49" t="s">
        <v>303</v>
      </c>
      <c r="BG426" s="48"/>
      <c r="BI426" s="48" t="n">
        <v>46264</v>
      </c>
      <c r="BJ426" s="48" t="n">
        <v>46251</v>
      </c>
      <c r="BK426" s="49" t="s">
        <v>312</v>
      </c>
      <c r="BL426" s="49" t="s">
        <v>313</v>
      </c>
      <c r="BM426" s="49" t="s">
        <v>310</v>
      </c>
      <c r="BN426" s="48"/>
      <c r="BO426" s="48"/>
      <c r="BP426" s="48"/>
      <c r="BQ426" s="49" t="s">
        <v>1868</v>
      </c>
      <c r="BR426" s="48" t="n">
        <v>46251</v>
      </c>
      <c r="BS426" s="49" t="s">
        <v>1422</v>
      </c>
      <c r="BT426" s="49" t="s">
        <v>312</v>
      </c>
      <c r="BU426" s="49" t="s">
        <v>313</v>
      </c>
      <c r="BV426" s="49" t="s">
        <v>303</v>
      </c>
      <c r="BX426" s="0" t="n">
        <v>1</v>
      </c>
      <c r="CC426" s="49" t="s">
        <v>315</v>
      </c>
      <c r="CD426" s="49" t="s">
        <v>303</v>
      </c>
      <c r="CF426" s="49" t="s">
        <v>303</v>
      </c>
      <c r="CG426" s="49" t="s">
        <v>316</v>
      </c>
      <c r="CH426" s="49" t="s">
        <v>317</v>
      </c>
      <c r="CI426" s="49" t="s">
        <v>318</v>
      </c>
      <c r="CM426" s="49" t="s">
        <v>65</v>
      </c>
      <c r="CV426" s="49" t="s">
        <v>303</v>
      </c>
      <c r="DB426" s="49" t="s">
        <v>319</v>
      </c>
      <c r="DD426" s="48" t="n">
        <v>46217</v>
      </c>
      <c r="DF426" s="49" t="s">
        <v>310</v>
      </c>
      <c r="DG426" s="49" t="s">
        <v>320</v>
      </c>
      <c r="DH426" s="49" t="s">
        <v>64</v>
      </c>
      <c r="DI426" s="49" t="s">
        <v>298</v>
      </c>
      <c r="DJ426" s="49" t="s">
        <v>394</v>
      </c>
      <c r="DK426" s="49" t="s">
        <v>322</v>
      </c>
      <c r="DL426" s="49" t="s">
        <v>323</v>
      </c>
      <c r="DM426" s="49" t="s">
        <v>303</v>
      </c>
      <c r="DN426" s="49" t="s">
        <v>297</v>
      </c>
      <c r="DO426" s="48"/>
      <c r="DP426" s="49" t="s">
        <v>312</v>
      </c>
      <c r="DQ426" s="48"/>
      <c r="DR426" s="49" t="s">
        <v>312</v>
      </c>
      <c r="DS426" s="49" t="s">
        <v>303</v>
      </c>
      <c r="DT426" s="49" t="s">
        <v>303</v>
      </c>
      <c r="DW426" s="49" t="s">
        <v>303</v>
      </c>
      <c r="EA426" s="49" t="s">
        <v>324</v>
      </c>
      <c r="EB426" s="49" t="s">
        <v>303</v>
      </c>
      <c r="EH426" s="49" t="s">
        <v>310</v>
      </c>
      <c r="EJ426" s="49" t="s">
        <v>303</v>
      </c>
      <c r="EK426" s="49" t="s">
        <v>1869</v>
      </c>
      <c r="EM426" s="49" t="s">
        <v>303</v>
      </c>
      <c r="EN426" s="49" t="s">
        <v>396</v>
      </c>
      <c r="EP426" s="49" t="s">
        <v>298</v>
      </c>
      <c r="EQ426" s="0" t="n">
        <v>1</v>
      </c>
      <c r="ER426" s="49" t="s">
        <v>328</v>
      </c>
      <c r="ES426" s="49" t="s">
        <v>329</v>
      </c>
      <c r="ET426" s="49" t="s">
        <v>310</v>
      </c>
      <c r="EU426" s="49" t="s">
        <v>310</v>
      </c>
      <c r="EV426" s="49" t="s">
        <v>310</v>
      </c>
      <c r="EX426" s="49" t="s">
        <v>303</v>
      </c>
      <c r="EY426" s="49" t="s">
        <v>303</v>
      </c>
      <c r="FC426" s="49" t="s">
        <v>330</v>
      </c>
      <c r="FD426" s="49" t="s">
        <v>310</v>
      </c>
      <c r="FE426" s="49" t="s">
        <v>310</v>
      </c>
      <c r="FF426" s="49" t="s">
        <v>64</v>
      </c>
      <c r="FG426" s="49" t="s">
        <v>397</v>
      </c>
      <c r="FH426" s="49" t="s">
        <v>310</v>
      </c>
      <c r="FI426" s="49" t="s">
        <v>332</v>
      </c>
      <c r="FJ426" s="49" t="s">
        <v>303</v>
      </c>
      <c r="FL426" s="49" t="s">
        <v>325</v>
      </c>
      <c r="FM426" s="49" t="s">
        <v>1864</v>
      </c>
      <c r="FP426" s="49" t="s">
        <v>303</v>
      </c>
      <c r="FR426" s="49" t="s">
        <v>303</v>
      </c>
      <c r="FT426" s="49" t="s">
        <v>325</v>
      </c>
      <c r="FU426" s="49" t="s">
        <v>325</v>
      </c>
      <c r="FW426" s="49" t="s">
        <v>333</v>
      </c>
    </row>
    <row r="427" customFormat="false" ht="15" hidden="false" customHeight="false" outlineLevel="0" collapsed="false">
      <c r="A427" s="0" t="n">
        <v>100874142</v>
      </c>
      <c r="B427" s="0" t="s">
        <v>295</v>
      </c>
      <c r="C427" s="0" t="s">
        <v>64</v>
      </c>
      <c r="D427" s="0" t="s">
        <v>65</v>
      </c>
      <c r="E427" s="0" t="s">
        <v>297</v>
      </c>
      <c r="G427" s="0" t="n">
        <v>1</v>
      </c>
      <c r="H427" s="0" t="s">
        <v>298</v>
      </c>
      <c r="I427" s="48" t="n">
        <v>46246</v>
      </c>
      <c r="J427" s="0" t="n">
        <v>1</v>
      </c>
      <c r="K427" s="49" t="s">
        <v>1864</v>
      </c>
      <c r="L427" s="49" t="s">
        <v>335</v>
      </c>
      <c r="M427" s="48" t="n">
        <v>46266</v>
      </c>
      <c r="N427" s="49" t="s">
        <v>1442</v>
      </c>
      <c r="O427" s="49" t="s">
        <v>1052</v>
      </c>
      <c r="P427" s="48"/>
      <c r="Q427" s="48" t="n">
        <v>46246</v>
      </c>
      <c r="R427" s="48" t="n">
        <v>46252</v>
      </c>
      <c r="T427" s="49" t="s">
        <v>302</v>
      </c>
      <c r="U427" s="49" t="s">
        <v>303</v>
      </c>
      <c r="Y427" s="49" t="s">
        <v>1870</v>
      </c>
      <c r="AD427" s="49" t="s">
        <v>305</v>
      </c>
      <c r="AE427" s="48" t="n">
        <v>46217</v>
      </c>
      <c r="AF427" s="49" t="s">
        <v>306</v>
      </c>
      <c r="AG427" s="49" t="s">
        <v>307</v>
      </c>
      <c r="AK427" s="49" t="s">
        <v>1047</v>
      </c>
      <c r="AL427" s="49" t="s">
        <v>297</v>
      </c>
      <c r="AO427" s="49" t="s">
        <v>303</v>
      </c>
      <c r="AP427" s="48"/>
      <c r="AR427" s="49" t="s">
        <v>303</v>
      </c>
      <c r="AS427" s="49" t="s">
        <v>306</v>
      </c>
      <c r="AT427" s="49" t="s">
        <v>1871</v>
      </c>
      <c r="AV427" s="49" t="s">
        <v>309</v>
      </c>
      <c r="AW427" s="49" t="s">
        <v>310</v>
      </c>
      <c r="AX427" s="49" t="s">
        <v>311</v>
      </c>
      <c r="AY427" s="48"/>
      <c r="AZ427" s="48" t="n">
        <v>46244</v>
      </c>
      <c r="BC427" s="49" t="s">
        <v>303</v>
      </c>
      <c r="BD427" s="48" t="n">
        <v>46270</v>
      </c>
      <c r="BE427" s="49" t="s">
        <v>1872</v>
      </c>
      <c r="BF427" s="49" t="s">
        <v>303</v>
      </c>
      <c r="BG427" s="48"/>
      <c r="BI427" s="48" t="n">
        <v>46270</v>
      </c>
      <c r="BJ427" s="48" t="n">
        <v>46251</v>
      </c>
      <c r="BK427" s="49" t="s">
        <v>313</v>
      </c>
      <c r="BL427" s="49" t="s">
        <v>313</v>
      </c>
      <c r="BM427" s="49" t="s">
        <v>310</v>
      </c>
      <c r="BN427" s="48"/>
      <c r="BO427" s="48"/>
      <c r="BP427" s="48"/>
      <c r="BQ427" s="49" t="s">
        <v>1868</v>
      </c>
      <c r="BR427" s="48" t="n">
        <v>46251</v>
      </c>
      <c r="BS427" s="49" t="s">
        <v>1873</v>
      </c>
      <c r="BT427" s="49" t="s">
        <v>312</v>
      </c>
      <c r="BU427" s="49" t="s">
        <v>313</v>
      </c>
      <c r="BV427" s="49" t="s">
        <v>303</v>
      </c>
      <c r="BX427" s="0" t="n">
        <v>1</v>
      </c>
      <c r="CC427" s="49" t="s">
        <v>315</v>
      </c>
      <c r="CD427" s="49" t="s">
        <v>303</v>
      </c>
      <c r="CF427" s="49" t="s">
        <v>303</v>
      </c>
      <c r="CG427" s="49" t="s">
        <v>316</v>
      </c>
      <c r="CH427" s="49" t="s">
        <v>317</v>
      </c>
      <c r="CI427" s="49" t="s">
        <v>318</v>
      </c>
      <c r="CM427" s="49" t="s">
        <v>65</v>
      </c>
      <c r="CV427" s="49" t="s">
        <v>303</v>
      </c>
      <c r="DB427" s="49" t="s">
        <v>319</v>
      </c>
      <c r="DD427" s="48" t="n">
        <v>46217</v>
      </c>
      <c r="DF427" s="49" t="s">
        <v>310</v>
      </c>
      <c r="DG427" s="49" t="s">
        <v>320</v>
      </c>
      <c r="DH427" s="49" t="s">
        <v>64</v>
      </c>
      <c r="DI427" s="49" t="s">
        <v>298</v>
      </c>
      <c r="DJ427" s="49" t="s">
        <v>394</v>
      </c>
      <c r="DK427" s="49" t="s">
        <v>322</v>
      </c>
      <c r="DL427" s="49" t="s">
        <v>323</v>
      </c>
      <c r="DM427" s="49" t="s">
        <v>303</v>
      </c>
      <c r="DN427" s="49" t="s">
        <v>297</v>
      </c>
      <c r="DO427" s="48"/>
      <c r="DP427" s="49" t="s">
        <v>312</v>
      </c>
      <c r="DQ427" s="48"/>
      <c r="DR427" s="49" t="s">
        <v>312</v>
      </c>
      <c r="DS427" s="49" t="s">
        <v>303</v>
      </c>
      <c r="DT427" s="49" t="s">
        <v>303</v>
      </c>
      <c r="DW427" s="49" t="s">
        <v>303</v>
      </c>
      <c r="EA427" s="49" t="s">
        <v>324</v>
      </c>
      <c r="EB427" s="49" t="s">
        <v>303</v>
      </c>
      <c r="EF427" s="49" t="s">
        <v>1874</v>
      </c>
      <c r="EH427" s="49" t="s">
        <v>310</v>
      </c>
      <c r="EJ427" s="49" t="s">
        <v>303</v>
      </c>
      <c r="EK427" s="49" t="s">
        <v>1875</v>
      </c>
      <c r="EM427" s="49" t="s">
        <v>303</v>
      </c>
      <c r="EN427" s="49" t="s">
        <v>396</v>
      </c>
      <c r="EP427" s="49" t="s">
        <v>298</v>
      </c>
      <c r="EQ427" s="0" t="n">
        <v>1</v>
      </c>
      <c r="ER427" s="49" t="s">
        <v>328</v>
      </c>
      <c r="ES427" s="49" t="s">
        <v>329</v>
      </c>
      <c r="ET427" s="49" t="s">
        <v>310</v>
      </c>
      <c r="EU427" s="49" t="s">
        <v>310</v>
      </c>
      <c r="EV427" s="49" t="s">
        <v>310</v>
      </c>
      <c r="EX427" s="49" t="s">
        <v>303</v>
      </c>
      <c r="EY427" s="49" t="s">
        <v>303</v>
      </c>
      <c r="FC427" s="49" t="s">
        <v>330</v>
      </c>
      <c r="FD427" s="49" t="s">
        <v>310</v>
      </c>
      <c r="FE427" s="49" t="s">
        <v>310</v>
      </c>
      <c r="FF427" s="49" t="s">
        <v>64</v>
      </c>
      <c r="FG427" s="49" t="s">
        <v>397</v>
      </c>
      <c r="FH427" s="49" t="s">
        <v>310</v>
      </c>
      <c r="FI427" s="49" t="s">
        <v>332</v>
      </c>
      <c r="FJ427" s="49" t="s">
        <v>303</v>
      </c>
      <c r="FL427" s="49" t="s">
        <v>325</v>
      </c>
      <c r="FM427" s="49" t="s">
        <v>1864</v>
      </c>
      <c r="FP427" s="49" t="s">
        <v>303</v>
      </c>
      <c r="FR427" s="49" t="s">
        <v>303</v>
      </c>
      <c r="FT427" s="49" t="s">
        <v>325</v>
      </c>
      <c r="FU427" s="49" t="s">
        <v>325</v>
      </c>
      <c r="FW427" s="49" t="s">
        <v>333</v>
      </c>
    </row>
    <row r="428" customFormat="false" ht="15" hidden="false" customHeight="false" outlineLevel="0" collapsed="false">
      <c r="A428" s="0" t="n">
        <v>100874143</v>
      </c>
      <c r="B428" s="0" t="s">
        <v>295</v>
      </c>
      <c r="C428" s="0" t="s">
        <v>64</v>
      </c>
      <c r="D428" s="0" t="s">
        <v>65</v>
      </c>
      <c r="E428" s="0" t="s">
        <v>297</v>
      </c>
      <c r="G428" s="0" t="n">
        <v>1</v>
      </c>
      <c r="H428" s="0" t="s">
        <v>298</v>
      </c>
      <c r="I428" s="48" t="n">
        <v>46246</v>
      </c>
      <c r="J428" s="0" t="n">
        <v>1</v>
      </c>
      <c r="K428" s="49" t="s">
        <v>1864</v>
      </c>
      <c r="L428" s="49" t="s">
        <v>335</v>
      </c>
      <c r="M428" s="48" t="n">
        <v>46266</v>
      </c>
      <c r="N428" s="49" t="s">
        <v>1442</v>
      </c>
      <c r="O428" s="49" t="s">
        <v>1052</v>
      </c>
      <c r="P428" s="48"/>
      <c r="Q428" s="48" t="n">
        <v>46246</v>
      </c>
      <c r="R428" s="48" t="n">
        <v>46252</v>
      </c>
      <c r="T428" s="49" t="s">
        <v>302</v>
      </c>
      <c r="U428" s="49" t="s">
        <v>303</v>
      </c>
      <c r="Y428" s="49" t="s">
        <v>1876</v>
      </c>
      <c r="AD428" s="49" t="s">
        <v>305</v>
      </c>
      <c r="AE428" s="48" t="n">
        <v>46217</v>
      </c>
      <c r="AF428" s="49" t="s">
        <v>306</v>
      </c>
      <c r="AG428" s="49" t="s">
        <v>307</v>
      </c>
      <c r="AK428" s="49" t="s">
        <v>1047</v>
      </c>
      <c r="AL428" s="49" t="s">
        <v>297</v>
      </c>
      <c r="AO428" s="49" t="s">
        <v>303</v>
      </c>
      <c r="AP428" s="48"/>
      <c r="AR428" s="49" t="s">
        <v>303</v>
      </c>
      <c r="AS428" s="49" t="s">
        <v>306</v>
      </c>
      <c r="AT428" s="49" t="s">
        <v>1877</v>
      </c>
      <c r="AV428" s="49" t="s">
        <v>309</v>
      </c>
      <c r="AW428" s="49" t="s">
        <v>310</v>
      </c>
      <c r="AX428" s="49" t="s">
        <v>311</v>
      </c>
      <c r="AY428" s="48"/>
      <c r="AZ428" s="48" t="n">
        <v>46244</v>
      </c>
      <c r="BC428" s="49" t="s">
        <v>303</v>
      </c>
      <c r="BD428" s="48" t="n">
        <v>46270</v>
      </c>
      <c r="BE428" s="49" t="s">
        <v>1878</v>
      </c>
      <c r="BF428" s="49" t="s">
        <v>303</v>
      </c>
      <c r="BG428" s="48"/>
      <c r="BI428" s="48" t="n">
        <v>46270</v>
      </c>
      <c r="BJ428" s="48" t="n">
        <v>46251</v>
      </c>
      <c r="BK428" s="49" t="s">
        <v>313</v>
      </c>
      <c r="BL428" s="49" t="s">
        <v>313</v>
      </c>
      <c r="BM428" s="49" t="s">
        <v>310</v>
      </c>
      <c r="BN428" s="48"/>
      <c r="BO428" s="48"/>
      <c r="BP428" s="48"/>
      <c r="BQ428" s="49" t="s">
        <v>1868</v>
      </c>
      <c r="BR428" s="48" t="n">
        <v>46251</v>
      </c>
      <c r="BS428" s="49" t="s">
        <v>1873</v>
      </c>
      <c r="BT428" s="49" t="s">
        <v>312</v>
      </c>
      <c r="BU428" s="49" t="s">
        <v>313</v>
      </c>
      <c r="BV428" s="49" t="s">
        <v>303</v>
      </c>
      <c r="BX428" s="0" t="n">
        <v>1</v>
      </c>
      <c r="CC428" s="49" t="s">
        <v>315</v>
      </c>
      <c r="CD428" s="49" t="s">
        <v>303</v>
      </c>
      <c r="CF428" s="49" t="s">
        <v>303</v>
      </c>
      <c r="CG428" s="49" t="s">
        <v>316</v>
      </c>
      <c r="CH428" s="49" t="s">
        <v>317</v>
      </c>
      <c r="CI428" s="49" t="s">
        <v>318</v>
      </c>
      <c r="CM428" s="49" t="s">
        <v>65</v>
      </c>
      <c r="CV428" s="49" t="s">
        <v>303</v>
      </c>
      <c r="DB428" s="49" t="s">
        <v>319</v>
      </c>
      <c r="DD428" s="48" t="n">
        <v>46217</v>
      </c>
      <c r="DF428" s="49" t="s">
        <v>310</v>
      </c>
      <c r="DG428" s="49" t="s">
        <v>320</v>
      </c>
      <c r="DH428" s="49" t="s">
        <v>64</v>
      </c>
      <c r="DI428" s="49" t="s">
        <v>298</v>
      </c>
      <c r="DJ428" s="49" t="s">
        <v>394</v>
      </c>
      <c r="DK428" s="49" t="s">
        <v>322</v>
      </c>
      <c r="DL428" s="49" t="s">
        <v>323</v>
      </c>
      <c r="DM428" s="49" t="s">
        <v>303</v>
      </c>
      <c r="DN428" s="49" t="s">
        <v>297</v>
      </c>
      <c r="DO428" s="48"/>
      <c r="DP428" s="49" t="s">
        <v>312</v>
      </c>
      <c r="DQ428" s="48"/>
      <c r="DR428" s="49" t="s">
        <v>312</v>
      </c>
      <c r="DS428" s="49" t="s">
        <v>303</v>
      </c>
      <c r="DT428" s="49" t="s">
        <v>303</v>
      </c>
      <c r="DW428" s="49" t="s">
        <v>303</v>
      </c>
      <c r="EA428" s="49" t="s">
        <v>324</v>
      </c>
      <c r="EB428" s="49" t="s">
        <v>303</v>
      </c>
      <c r="EF428" s="49" t="s">
        <v>1874</v>
      </c>
      <c r="EH428" s="49" t="s">
        <v>310</v>
      </c>
      <c r="EJ428" s="49" t="s">
        <v>303</v>
      </c>
      <c r="EK428" s="49" t="s">
        <v>1879</v>
      </c>
      <c r="EM428" s="49" t="s">
        <v>303</v>
      </c>
      <c r="EN428" s="49" t="s">
        <v>396</v>
      </c>
      <c r="EP428" s="49" t="s">
        <v>298</v>
      </c>
      <c r="EQ428" s="0" t="n">
        <v>1</v>
      </c>
      <c r="ER428" s="49" t="s">
        <v>328</v>
      </c>
      <c r="ES428" s="49" t="s">
        <v>329</v>
      </c>
      <c r="ET428" s="49" t="s">
        <v>310</v>
      </c>
      <c r="EU428" s="49" t="s">
        <v>310</v>
      </c>
      <c r="EV428" s="49" t="s">
        <v>310</v>
      </c>
      <c r="EX428" s="49" t="s">
        <v>303</v>
      </c>
      <c r="EY428" s="49" t="s">
        <v>303</v>
      </c>
      <c r="FC428" s="49" t="s">
        <v>330</v>
      </c>
      <c r="FD428" s="49" t="s">
        <v>310</v>
      </c>
      <c r="FE428" s="49" t="s">
        <v>310</v>
      </c>
      <c r="FF428" s="49" t="s">
        <v>64</v>
      </c>
      <c r="FG428" s="49" t="s">
        <v>397</v>
      </c>
      <c r="FH428" s="49" t="s">
        <v>310</v>
      </c>
      <c r="FI428" s="49" t="s">
        <v>332</v>
      </c>
      <c r="FJ428" s="49" t="s">
        <v>303</v>
      </c>
      <c r="FL428" s="49" t="s">
        <v>325</v>
      </c>
      <c r="FM428" s="49" t="s">
        <v>1864</v>
      </c>
      <c r="FP428" s="49" t="s">
        <v>303</v>
      </c>
      <c r="FR428" s="49" t="s">
        <v>303</v>
      </c>
      <c r="FT428" s="49" t="s">
        <v>325</v>
      </c>
      <c r="FU428" s="49" t="s">
        <v>325</v>
      </c>
      <c r="FW428" s="49" t="s">
        <v>333</v>
      </c>
    </row>
    <row r="429" customFormat="false" ht="15" hidden="false" customHeight="false" outlineLevel="0" collapsed="false">
      <c r="A429" s="0" t="n">
        <v>100874144</v>
      </c>
      <c r="B429" s="0" t="s">
        <v>295</v>
      </c>
      <c r="C429" s="0" t="s">
        <v>64</v>
      </c>
      <c r="D429" s="0" t="s">
        <v>65</v>
      </c>
      <c r="E429" s="0" t="s">
        <v>297</v>
      </c>
      <c r="G429" s="0" t="n">
        <v>1</v>
      </c>
      <c r="H429" s="0" t="s">
        <v>298</v>
      </c>
      <c r="I429" s="48" t="n">
        <v>46246</v>
      </c>
      <c r="J429" s="0" t="n">
        <v>1</v>
      </c>
      <c r="K429" s="49" t="s">
        <v>1864</v>
      </c>
      <c r="L429" s="49" t="s">
        <v>335</v>
      </c>
      <c r="M429" s="48" t="n">
        <v>46266</v>
      </c>
      <c r="N429" s="49" t="s">
        <v>1442</v>
      </c>
      <c r="O429" s="49" t="s">
        <v>1052</v>
      </c>
      <c r="P429" s="48"/>
      <c r="Q429" s="48" t="n">
        <v>46246</v>
      </c>
      <c r="R429" s="48" t="n">
        <v>46252</v>
      </c>
      <c r="T429" s="49" t="s">
        <v>302</v>
      </c>
      <c r="U429" s="49" t="s">
        <v>303</v>
      </c>
      <c r="Y429" s="49" t="s">
        <v>1259</v>
      </c>
      <c r="AD429" s="49" t="s">
        <v>305</v>
      </c>
      <c r="AE429" s="48" t="n">
        <v>46217</v>
      </c>
      <c r="AF429" s="49" t="s">
        <v>306</v>
      </c>
      <c r="AG429" s="49" t="s">
        <v>307</v>
      </c>
      <c r="AK429" s="49" t="s">
        <v>1047</v>
      </c>
      <c r="AL429" s="49" t="s">
        <v>297</v>
      </c>
      <c r="AO429" s="49" t="s">
        <v>303</v>
      </c>
      <c r="AP429" s="48"/>
      <c r="AR429" s="49" t="s">
        <v>303</v>
      </c>
      <c r="AS429" s="49" t="s">
        <v>306</v>
      </c>
      <c r="AT429" s="49" t="s">
        <v>1880</v>
      </c>
      <c r="AV429" s="49" t="s">
        <v>309</v>
      </c>
      <c r="AW429" s="49" t="s">
        <v>310</v>
      </c>
      <c r="AX429" s="49" t="s">
        <v>311</v>
      </c>
      <c r="AY429" s="48"/>
      <c r="AZ429" s="48" t="n">
        <v>46244</v>
      </c>
      <c r="BC429" s="49" t="s">
        <v>303</v>
      </c>
      <c r="BD429" s="48" t="n">
        <v>46270</v>
      </c>
      <c r="BE429" s="49" t="s">
        <v>1881</v>
      </c>
      <c r="BF429" s="49" t="s">
        <v>303</v>
      </c>
      <c r="BG429" s="48"/>
      <c r="BI429" s="48" t="n">
        <v>46270</v>
      </c>
      <c r="BJ429" s="48" t="n">
        <v>46251</v>
      </c>
      <c r="BK429" s="49" t="s">
        <v>313</v>
      </c>
      <c r="BL429" s="49" t="s">
        <v>313</v>
      </c>
      <c r="BM429" s="49" t="s">
        <v>310</v>
      </c>
      <c r="BN429" s="48"/>
      <c r="BO429" s="48"/>
      <c r="BP429" s="48"/>
      <c r="BQ429" s="49" t="s">
        <v>1868</v>
      </c>
      <c r="BR429" s="48" t="n">
        <v>46251</v>
      </c>
      <c r="BS429" s="49" t="s">
        <v>1873</v>
      </c>
      <c r="BT429" s="49" t="s">
        <v>312</v>
      </c>
      <c r="BU429" s="49" t="s">
        <v>313</v>
      </c>
      <c r="BV429" s="49" t="s">
        <v>303</v>
      </c>
      <c r="BX429" s="0" t="n">
        <v>1</v>
      </c>
      <c r="CC429" s="49" t="s">
        <v>315</v>
      </c>
      <c r="CD429" s="49" t="s">
        <v>303</v>
      </c>
      <c r="CF429" s="49" t="s">
        <v>303</v>
      </c>
      <c r="CG429" s="49" t="s">
        <v>316</v>
      </c>
      <c r="CH429" s="49" t="s">
        <v>317</v>
      </c>
      <c r="CI429" s="49" t="s">
        <v>318</v>
      </c>
      <c r="CM429" s="49" t="s">
        <v>65</v>
      </c>
      <c r="CV429" s="49" t="s">
        <v>303</v>
      </c>
      <c r="DB429" s="49" t="s">
        <v>319</v>
      </c>
      <c r="DD429" s="48" t="n">
        <v>46217</v>
      </c>
      <c r="DF429" s="49" t="s">
        <v>310</v>
      </c>
      <c r="DG429" s="49" t="s">
        <v>320</v>
      </c>
      <c r="DH429" s="49" t="s">
        <v>64</v>
      </c>
      <c r="DI429" s="49" t="s">
        <v>298</v>
      </c>
      <c r="DJ429" s="49" t="s">
        <v>394</v>
      </c>
      <c r="DK429" s="49" t="s">
        <v>322</v>
      </c>
      <c r="DL429" s="49" t="s">
        <v>323</v>
      </c>
      <c r="DM429" s="49" t="s">
        <v>303</v>
      </c>
      <c r="DN429" s="49" t="s">
        <v>297</v>
      </c>
      <c r="DO429" s="48"/>
      <c r="DP429" s="49" t="s">
        <v>312</v>
      </c>
      <c r="DQ429" s="48"/>
      <c r="DR429" s="49" t="s">
        <v>312</v>
      </c>
      <c r="DS429" s="49" t="s">
        <v>303</v>
      </c>
      <c r="DT429" s="49" t="s">
        <v>303</v>
      </c>
      <c r="DW429" s="49" t="s">
        <v>303</v>
      </c>
      <c r="EA429" s="49" t="s">
        <v>324</v>
      </c>
      <c r="EB429" s="49" t="s">
        <v>303</v>
      </c>
      <c r="EF429" s="49" t="s">
        <v>1874</v>
      </c>
      <c r="EH429" s="49" t="s">
        <v>310</v>
      </c>
      <c r="EJ429" s="49" t="s">
        <v>303</v>
      </c>
      <c r="EK429" s="49" t="s">
        <v>1882</v>
      </c>
      <c r="EM429" s="49" t="s">
        <v>303</v>
      </c>
      <c r="EN429" s="49" t="s">
        <v>396</v>
      </c>
      <c r="EP429" s="49" t="s">
        <v>298</v>
      </c>
      <c r="EQ429" s="0" t="n">
        <v>1</v>
      </c>
      <c r="ER429" s="49" t="s">
        <v>328</v>
      </c>
      <c r="ES429" s="49" t="s">
        <v>329</v>
      </c>
      <c r="ET429" s="49" t="s">
        <v>310</v>
      </c>
      <c r="EU429" s="49" t="s">
        <v>310</v>
      </c>
      <c r="EV429" s="49" t="s">
        <v>310</v>
      </c>
      <c r="EX429" s="49" t="s">
        <v>303</v>
      </c>
      <c r="EY429" s="49" t="s">
        <v>303</v>
      </c>
      <c r="FC429" s="49" t="s">
        <v>330</v>
      </c>
      <c r="FD429" s="49" t="s">
        <v>310</v>
      </c>
      <c r="FE429" s="49" t="s">
        <v>310</v>
      </c>
      <c r="FF429" s="49" t="s">
        <v>64</v>
      </c>
      <c r="FG429" s="49" t="s">
        <v>397</v>
      </c>
      <c r="FH429" s="49" t="s">
        <v>310</v>
      </c>
      <c r="FI429" s="49" t="s">
        <v>332</v>
      </c>
      <c r="FJ429" s="49" t="s">
        <v>303</v>
      </c>
      <c r="FL429" s="49" t="s">
        <v>325</v>
      </c>
      <c r="FM429" s="49" t="s">
        <v>1864</v>
      </c>
      <c r="FP429" s="49" t="s">
        <v>303</v>
      </c>
      <c r="FR429" s="49" t="s">
        <v>303</v>
      </c>
      <c r="FT429" s="49" t="s">
        <v>325</v>
      </c>
      <c r="FU429" s="49" t="s">
        <v>325</v>
      </c>
      <c r="FW429" s="49" t="s">
        <v>333</v>
      </c>
    </row>
    <row r="430" customFormat="false" ht="15" hidden="false" customHeight="false" outlineLevel="0" collapsed="false">
      <c r="A430" s="0" t="n">
        <v>100874145</v>
      </c>
      <c r="B430" s="0" t="s">
        <v>295</v>
      </c>
      <c r="C430" s="0" t="s">
        <v>64</v>
      </c>
      <c r="D430" s="0" t="s">
        <v>65</v>
      </c>
      <c r="E430" s="0" t="s">
        <v>297</v>
      </c>
      <c r="G430" s="0" t="n">
        <v>1</v>
      </c>
      <c r="H430" s="0" t="s">
        <v>298</v>
      </c>
      <c r="I430" s="48" t="n">
        <v>46246</v>
      </c>
      <c r="J430" s="0" t="n">
        <v>1</v>
      </c>
      <c r="K430" s="49" t="s">
        <v>1864</v>
      </c>
      <c r="L430" s="49" t="s">
        <v>335</v>
      </c>
      <c r="M430" s="48" t="n">
        <v>46266</v>
      </c>
      <c r="N430" s="49" t="s">
        <v>1442</v>
      </c>
      <c r="O430" s="49" t="s">
        <v>1052</v>
      </c>
      <c r="P430" s="48"/>
      <c r="Q430" s="48" t="n">
        <v>46246</v>
      </c>
      <c r="R430" s="48" t="n">
        <v>46252</v>
      </c>
      <c r="T430" s="49" t="s">
        <v>302</v>
      </c>
      <c r="U430" s="49" t="s">
        <v>303</v>
      </c>
      <c r="Y430" s="49" t="s">
        <v>1883</v>
      </c>
      <c r="AD430" s="49" t="s">
        <v>305</v>
      </c>
      <c r="AE430" s="48" t="n">
        <v>46217</v>
      </c>
      <c r="AF430" s="49" t="s">
        <v>306</v>
      </c>
      <c r="AG430" s="49" t="s">
        <v>307</v>
      </c>
      <c r="AK430" s="49" t="s">
        <v>1047</v>
      </c>
      <c r="AL430" s="49" t="s">
        <v>297</v>
      </c>
      <c r="AO430" s="49" t="s">
        <v>303</v>
      </c>
      <c r="AP430" s="48"/>
      <c r="AR430" s="49" t="s">
        <v>303</v>
      </c>
      <c r="AS430" s="49" t="s">
        <v>306</v>
      </c>
      <c r="AT430" s="49" t="s">
        <v>1884</v>
      </c>
      <c r="AV430" s="49" t="s">
        <v>309</v>
      </c>
      <c r="AW430" s="49" t="s">
        <v>310</v>
      </c>
      <c r="AX430" s="49" t="s">
        <v>311</v>
      </c>
      <c r="AY430" s="48"/>
      <c r="AZ430" s="48" t="n">
        <v>46244</v>
      </c>
      <c r="BC430" s="49" t="s">
        <v>303</v>
      </c>
      <c r="BD430" s="48" t="n">
        <v>46270</v>
      </c>
      <c r="BE430" s="49" t="s">
        <v>1885</v>
      </c>
      <c r="BF430" s="49" t="s">
        <v>303</v>
      </c>
      <c r="BG430" s="48"/>
      <c r="BI430" s="48" t="n">
        <v>46270</v>
      </c>
      <c r="BJ430" s="48" t="n">
        <v>46251</v>
      </c>
      <c r="BK430" s="49" t="s">
        <v>313</v>
      </c>
      <c r="BL430" s="49" t="s">
        <v>313</v>
      </c>
      <c r="BM430" s="49" t="s">
        <v>310</v>
      </c>
      <c r="BN430" s="48"/>
      <c r="BO430" s="48"/>
      <c r="BP430" s="48"/>
      <c r="BQ430" s="49" t="s">
        <v>1868</v>
      </c>
      <c r="BR430" s="48" t="n">
        <v>46251</v>
      </c>
      <c r="BS430" s="49" t="s">
        <v>1873</v>
      </c>
      <c r="BT430" s="49" t="s">
        <v>312</v>
      </c>
      <c r="BU430" s="49" t="s">
        <v>313</v>
      </c>
      <c r="BV430" s="49" t="s">
        <v>303</v>
      </c>
      <c r="BX430" s="0" t="n">
        <v>1</v>
      </c>
      <c r="CC430" s="49" t="s">
        <v>315</v>
      </c>
      <c r="CD430" s="49" t="s">
        <v>303</v>
      </c>
      <c r="CF430" s="49" t="s">
        <v>303</v>
      </c>
      <c r="CG430" s="49" t="s">
        <v>316</v>
      </c>
      <c r="CH430" s="49" t="s">
        <v>317</v>
      </c>
      <c r="CI430" s="49" t="s">
        <v>318</v>
      </c>
      <c r="CM430" s="49" t="s">
        <v>65</v>
      </c>
      <c r="CV430" s="49" t="s">
        <v>303</v>
      </c>
      <c r="DB430" s="49" t="s">
        <v>319</v>
      </c>
      <c r="DD430" s="48" t="n">
        <v>46217</v>
      </c>
      <c r="DF430" s="49" t="s">
        <v>310</v>
      </c>
      <c r="DG430" s="49" t="s">
        <v>320</v>
      </c>
      <c r="DH430" s="49" t="s">
        <v>64</v>
      </c>
      <c r="DI430" s="49" t="s">
        <v>298</v>
      </c>
      <c r="DJ430" s="49" t="s">
        <v>394</v>
      </c>
      <c r="DK430" s="49" t="s">
        <v>322</v>
      </c>
      <c r="DL430" s="49" t="s">
        <v>323</v>
      </c>
      <c r="DM430" s="49" t="s">
        <v>303</v>
      </c>
      <c r="DN430" s="49" t="s">
        <v>297</v>
      </c>
      <c r="DO430" s="48"/>
      <c r="DP430" s="49" t="s">
        <v>312</v>
      </c>
      <c r="DQ430" s="48"/>
      <c r="DR430" s="49" t="s">
        <v>312</v>
      </c>
      <c r="DS430" s="49" t="s">
        <v>303</v>
      </c>
      <c r="DT430" s="49" t="s">
        <v>303</v>
      </c>
      <c r="DW430" s="49" t="s">
        <v>303</v>
      </c>
      <c r="EA430" s="49" t="s">
        <v>324</v>
      </c>
      <c r="EB430" s="49" t="s">
        <v>303</v>
      </c>
      <c r="EF430" s="49" t="s">
        <v>1874</v>
      </c>
      <c r="EH430" s="49" t="s">
        <v>310</v>
      </c>
      <c r="EJ430" s="49" t="s">
        <v>303</v>
      </c>
      <c r="EK430" s="49" t="s">
        <v>1886</v>
      </c>
      <c r="EM430" s="49" t="s">
        <v>303</v>
      </c>
      <c r="EN430" s="49" t="s">
        <v>396</v>
      </c>
      <c r="EP430" s="49" t="s">
        <v>298</v>
      </c>
      <c r="EQ430" s="0" t="n">
        <v>1</v>
      </c>
      <c r="ER430" s="49" t="s">
        <v>328</v>
      </c>
      <c r="ES430" s="49" t="s">
        <v>329</v>
      </c>
      <c r="ET430" s="49" t="s">
        <v>310</v>
      </c>
      <c r="EU430" s="49" t="s">
        <v>310</v>
      </c>
      <c r="EV430" s="49" t="s">
        <v>310</v>
      </c>
      <c r="EX430" s="49" t="s">
        <v>303</v>
      </c>
      <c r="EY430" s="49" t="s">
        <v>303</v>
      </c>
      <c r="FC430" s="49" t="s">
        <v>330</v>
      </c>
      <c r="FD430" s="49" t="s">
        <v>310</v>
      </c>
      <c r="FE430" s="49" t="s">
        <v>310</v>
      </c>
      <c r="FF430" s="49" t="s">
        <v>64</v>
      </c>
      <c r="FG430" s="49" t="s">
        <v>397</v>
      </c>
      <c r="FH430" s="49" t="s">
        <v>310</v>
      </c>
      <c r="FI430" s="49" t="s">
        <v>332</v>
      </c>
      <c r="FJ430" s="49" t="s">
        <v>303</v>
      </c>
      <c r="FL430" s="49" t="s">
        <v>325</v>
      </c>
      <c r="FM430" s="49" t="s">
        <v>1864</v>
      </c>
      <c r="FP430" s="49" t="s">
        <v>303</v>
      </c>
      <c r="FR430" s="49" t="s">
        <v>303</v>
      </c>
      <c r="FT430" s="49" t="s">
        <v>325</v>
      </c>
      <c r="FU430" s="49" t="s">
        <v>325</v>
      </c>
      <c r="FW430" s="49" t="s">
        <v>333</v>
      </c>
    </row>
    <row r="431" customFormat="false" ht="15" hidden="false" customHeight="false" outlineLevel="0" collapsed="false">
      <c r="A431" s="0" t="n">
        <v>100874146</v>
      </c>
      <c r="B431" s="0" t="s">
        <v>295</v>
      </c>
      <c r="C431" s="0" t="s">
        <v>64</v>
      </c>
      <c r="D431" s="0" t="s">
        <v>65</v>
      </c>
      <c r="E431" s="0" t="s">
        <v>297</v>
      </c>
      <c r="G431" s="0" t="n">
        <v>1</v>
      </c>
      <c r="H431" s="0" t="s">
        <v>298</v>
      </c>
      <c r="I431" s="48" t="n">
        <v>46246</v>
      </c>
      <c r="J431" s="0" t="n">
        <v>1</v>
      </c>
      <c r="K431" s="49" t="s">
        <v>1864</v>
      </c>
      <c r="L431" s="49" t="s">
        <v>335</v>
      </c>
      <c r="M431" s="48" t="n">
        <v>46266</v>
      </c>
      <c r="N431" s="49" t="s">
        <v>1442</v>
      </c>
      <c r="O431" s="49" t="s">
        <v>1052</v>
      </c>
      <c r="P431" s="48"/>
      <c r="Q431" s="48" t="n">
        <v>46246</v>
      </c>
      <c r="R431" s="48" t="n">
        <v>46252</v>
      </c>
      <c r="T431" s="49" t="s">
        <v>302</v>
      </c>
      <c r="U431" s="49" t="s">
        <v>303</v>
      </c>
      <c r="Y431" s="49" t="s">
        <v>1887</v>
      </c>
      <c r="AD431" s="49" t="s">
        <v>305</v>
      </c>
      <c r="AE431" s="48" t="n">
        <v>46217</v>
      </c>
      <c r="AF431" s="49" t="s">
        <v>306</v>
      </c>
      <c r="AG431" s="49" t="s">
        <v>307</v>
      </c>
      <c r="AK431" s="49" t="s">
        <v>1047</v>
      </c>
      <c r="AL431" s="49" t="s">
        <v>297</v>
      </c>
      <c r="AO431" s="49" t="s">
        <v>303</v>
      </c>
      <c r="AP431" s="48"/>
      <c r="AR431" s="49" t="s">
        <v>303</v>
      </c>
      <c r="AS431" s="49" t="s">
        <v>306</v>
      </c>
      <c r="AT431" s="49" t="s">
        <v>1888</v>
      </c>
      <c r="AV431" s="49" t="s">
        <v>309</v>
      </c>
      <c r="AW431" s="49" t="s">
        <v>310</v>
      </c>
      <c r="AX431" s="49" t="s">
        <v>311</v>
      </c>
      <c r="AY431" s="48"/>
      <c r="AZ431" s="48" t="n">
        <v>46244</v>
      </c>
      <c r="BC431" s="49" t="s">
        <v>303</v>
      </c>
      <c r="BD431" s="48" t="n">
        <v>46270</v>
      </c>
      <c r="BE431" s="49" t="s">
        <v>1889</v>
      </c>
      <c r="BF431" s="49" t="s">
        <v>303</v>
      </c>
      <c r="BG431" s="48"/>
      <c r="BI431" s="48" t="n">
        <v>46270</v>
      </c>
      <c r="BJ431" s="48" t="n">
        <v>46251</v>
      </c>
      <c r="BK431" s="49" t="s">
        <v>313</v>
      </c>
      <c r="BL431" s="49" t="s">
        <v>313</v>
      </c>
      <c r="BM431" s="49" t="s">
        <v>310</v>
      </c>
      <c r="BN431" s="48"/>
      <c r="BO431" s="48"/>
      <c r="BP431" s="48"/>
      <c r="BQ431" s="49" t="s">
        <v>1868</v>
      </c>
      <c r="BR431" s="48" t="n">
        <v>46251</v>
      </c>
      <c r="BS431" s="49" t="s">
        <v>1890</v>
      </c>
      <c r="BT431" s="49" t="s">
        <v>312</v>
      </c>
      <c r="BU431" s="49" t="s">
        <v>313</v>
      </c>
      <c r="BV431" s="49" t="s">
        <v>303</v>
      </c>
      <c r="BX431" s="0" t="n">
        <v>1</v>
      </c>
      <c r="CC431" s="49" t="s">
        <v>315</v>
      </c>
      <c r="CD431" s="49" t="s">
        <v>303</v>
      </c>
      <c r="CF431" s="49" t="s">
        <v>303</v>
      </c>
      <c r="CG431" s="49" t="s">
        <v>316</v>
      </c>
      <c r="CH431" s="49" t="s">
        <v>317</v>
      </c>
      <c r="CI431" s="49" t="s">
        <v>318</v>
      </c>
      <c r="CM431" s="49" t="s">
        <v>65</v>
      </c>
      <c r="CV431" s="49" t="s">
        <v>303</v>
      </c>
      <c r="DB431" s="49" t="s">
        <v>319</v>
      </c>
      <c r="DD431" s="48" t="n">
        <v>46217</v>
      </c>
      <c r="DF431" s="49" t="s">
        <v>310</v>
      </c>
      <c r="DG431" s="49" t="s">
        <v>320</v>
      </c>
      <c r="DH431" s="49" t="s">
        <v>64</v>
      </c>
      <c r="DI431" s="49" t="s">
        <v>298</v>
      </c>
      <c r="DJ431" s="49" t="s">
        <v>394</v>
      </c>
      <c r="DK431" s="49" t="s">
        <v>322</v>
      </c>
      <c r="DL431" s="49" t="s">
        <v>323</v>
      </c>
      <c r="DM431" s="49" t="s">
        <v>303</v>
      </c>
      <c r="DN431" s="49" t="s">
        <v>297</v>
      </c>
      <c r="DO431" s="48"/>
      <c r="DP431" s="49" t="s">
        <v>312</v>
      </c>
      <c r="DQ431" s="48"/>
      <c r="DR431" s="49" t="s">
        <v>312</v>
      </c>
      <c r="DS431" s="49" t="s">
        <v>303</v>
      </c>
      <c r="DT431" s="49" t="s">
        <v>303</v>
      </c>
      <c r="DW431" s="49" t="s">
        <v>303</v>
      </c>
      <c r="EA431" s="49" t="s">
        <v>324</v>
      </c>
      <c r="EB431" s="49" t="s">
        <v>303</v>
      </c>
      <c r="EF431" s="49" t="s">
        <v>1874</v>
      </c>
      <c r="EH431" s="49" t="s">
        <v>310</v>
      </c>
      <c r="EJ431" s="49" t="s">
        <v>303</v>
      </c>
      <c r="EK431" s="49" t="s">
        <v>1891</v>
      </c>
      <c r="EM431" s="49" t="s">
        <v>303</v>
      </c>
      <c r="EN431" s="49" t="s">
        <v>396</v>
      </c>
      <c r="EP431" s="49" t="s">
        <v>298</v>
      </c>
      <c r="EQ431" s="0" t="n">
        <v>1</v>
      </c>
      <c r="ER431" s="49" t="s">
        <v>328</v>
      </c>
      <c r="ES431" s="49" t="s">
        <v>329</v>
      </c>
      <c r="ET431" s="49" t="s">
        <v>310</v>
      </c>
      <c r="EU431" s="49" t="s">
        <v>310</v>
      </c>
      <c r="EV431" s="49" t="s">
        <v>310</v>
      </c>
      <c r="EX431" s="49" t="s">
        <v>303</v>
      </c>
      <c r="EY431" s="49" t="s">
        <v>303</v>
      </c>
      <c r="FC431" s="49" t="s">
        <v>330</v>
      </c>
      <c r="FD431" s="49" t="s">
        <v>310</v>
      </c>
      <c r="FE431" s="49" t="s">
        <v>310</v>
      </c>
      <c r="FF431" s="49" t="s">
        <v>64</v>
      </c>
      <c r="FG431" s="49" t="s">
        <v>397</v>
      </c>
      <c r="FH431" s="49" t="s">
        <v>310</v>
      </c>
      <c r="FI431" s="49" t="s">
        <v>332</v>
      </c>
      <c r="FJ431" s="49" t="s">
        <v>303</v>
      </c>
      <c r="FL431" s="49" t="s">
        <v>325</v>
      </c>
      <c r="FM431" s="49" t="s">
        <v>1864</v>
      </c>
      <c r="FP431" s="49" t="s">
        <v>303</v>
      </c>
      <c r="FR431" s="49" t="s">
        <v>303</v>
      </c>
      <c r="FT431" s="49" t="s">
        <v>325</v>
      </c>
      <c r="FU431" s="49" t="s">
        <v>325</v>
      </c>
      <c r="FW431" s="49" t="s">
        <v>333</v>
      </c>
    </row>
    <row r="432" customFormat="false" ht="15" hidden="false" customHeight="false" outlineLevel="0" collapsed="false">
      <c r="A432" s="0" t="n">
        <v>100874147</v>
      </c>
      <c r="B432" s="0" t="s">
        <v>295</v>
      </c>
      <c r="C432" s="0" t="s">
        <v>64</v>
      </c>
      <c r="D432" s="0" t="s">
        <v>65</v>
      </c>
      <c r="E432" s="0" t="s">
        <v>297</v>
      </c>
      <c r="G432" s="0" t="n">
        <v>1</v>
      </c>
      <c r="H432" s="0" t="s">
        <v>298</v>
      </c>
      <c r="I432" s="48" t="n">
        <v>46246</v>
      </c>
      <c r="J432" s="0" t="n">
        <v>1</v>
      </c>
      <c r="K432" s="49" t="s">
        <v>1864</v>
      </c>
      <c r="L432" s="49" t="s">
        <v>335</v>
      </c>
      <c r="M432" s="48" t="n">
        <v>46267</v>
      </c>
      <c r="N432" s="49" t="s">
        <v>1204</v>
      </c>
      <c r="O432" s="49" t="s">
        <v>1052</v>
      </c>
      <c r="P432" s="48"/>
      <c r="Q432" s="48" t="n">
        <v>46246</v>
      </c>
      <c r="R432" s="48" t="n">
        <v>46252</v>
      </c>
      <c r="T432" s="49" t="s">
        <v>302</v>
      </c>
      <c r="U432" s="49" t="s">
        <v>303</v>
      </c>
      <c r="Y432" s="49" t="s">
        <v>1892</v>
      </c>
      <c r="AD432" s="49" t="s">
        <v>305</v>
      </c>
      <c r="AE432" s="48" t="n">
        <v>46217</v>
      </c>
      <c r="AF432" s="49" t="s">
        <v>306</v>
      </c>
      <c r="AG432" s="49" t="s">
        <v>307</v>
      </c>
      <c r="AK432" s="49" t="s">
        <v>1047</v>
      </c>
      <c r="AL432" s="49" t="s">
        <v>297</v>
      </c>
      <c r="AO432" s="49" t="s">
        <v>303</v>
      </c>
      <c r="AP432" s="48"/>
      <c r="AR432" s="49" t="s">
        <v>303</v>
      </c>
      <c r="AS432" s="49" t="s">
        <v>306</v>
      </c>
      <c r="AT432" s="49" t="s">
        <v>1893</v>
      </c>
      <c r="AV432" s="49" t="s">
        <v>309</v>
      </c>
      <c r="AW432" s="49" t="s">
        <v>310</v>
      </c>
      <c r="AX432" s="49" t="s">
        <v>311</v>
      </c>
      <c r="AY432" s="48"/>
      <c r="AZ432" s="48" t="n">
        <v>46244</v>
      </c>
      <c r="BC432" s="49" t="s">
        <v>303</v>
      </c>
      <c r="BD432" s="48" t="n">
        <v>46270</v>
      </c>
      <c r="BE432" s="49" t="s">
        <v>1297</v>
      </c>
      <c r="BF432" s="49" t="s">
        <v>303</v>
      </c>
      <c r="BG432" s="48"/>
      <c r="BI432" s="48" t="n">
        <v>46270</v>
      </c>
      <c r="BJ432" s="48" t="n">
        <v>46251</v>
      </c>
      <c r="BK432" s="49" t="s">
        <v>313</v>
      </c>
      <c r="BL432" s="49" t="s">
        <v>313</v>
      </c>
      <c r="BM432" s="49" t="s">
        <v>310</v>
      </c>
      <c r="BN432" s="48"/>
      <c r="BO432" s="48"/>
      <c r="BP432" s="48"/>
      <c r="BQ432" s="49" t="s">
        <v>1868</v>
      </c>
      <c r="BR432" s="48" t="n">
        <v>46251</v>
      </c>
      <c r="BS432" s="49" t="s">
        <v>1890</v>
      </c>
      <c r="BT432" s="49" t="s">
        <v>312</v>
      </c>
      <c r="BU432" s="49" t="s">
        <v>313</v>
      </c>
      <c r="BV432" s="49" t="s">
        <v>303</v>
      </c>
      <c r="BX432" s="0" t="n">
        <v>1</v>
      </c>
      <c r="CC432" s="49" t="s">
        <v>315</v>
      </c>
      <c r="CD432" s="49" t="s">
        <v>303</v>
      </c>
      <c r="CF432" s="49" t="s">
        <v>303</v>
      </c>
      <c r="CG432" s="49" t="s">
        <v>316</v>
      </c>
      <c r="CH432" s="49" t="s">
        <v>317</v>
      </c>
      <c r="CI432" s="49" t="s">
        <v>318</v>
      </c>
      <c r="CM432" s="49" t="s">
        <v>65</v>
      </c>
      <c r="CV432" s="49" t="s">
        <v>303</v>
      </c>
      <c r="DB432" s="49" t="s">
        <v>319</v>
      </c>
      <c r="DD432" s="48" t="n">
        <v>46217</v>
      </c>
      <c r="DF432" s="49" t="s">
        <v>310</v>
      </c>
      <c r="DG432" s="49" t="s">
        <v>320</v>
      </c>
      <c r="DH432" s="49" t="s">
        <v>64</v>
      </c>
      <c r="DI432" s="49" t="s">
        <v>298</v>
      </c>
      <c r="DJ432" s="49" t="s">
        <v>394</v>
      </c>
      <c r="DK432" s="49" t="s">
        <v>322</v>
      </c>
      <c r="DL432" s="49" t="s">
        <v>323</v>
      </c>
      <c r="DM432" s="49" t="s">
        <v>303</v>
      </c>
      <c r="DN432" s="49" t="s">
        <v>297</v>
      </c>
      <c r="DO432" s="48"/>
      <c r="DP432" s="49" t="s">
        <v>312</v>
      </c>
      <c r="DQ432" s="48"/>
      <c r="DR432" s="49" t="s">
        <v>312</v>
      </c>
      <c r="DS432" s="49" t="s">
        <v>303</v>
      </c>
      <c r="DT432" s="49" t="s">
        <v>303</v>
      </c>
      <c r="DW432" s="49" t="s">
        <v>303</v>
      </c>
      <c r="EA432" s="49" t="s">
        <v>324</v>
      </c>
      <c r="EB432" s="49" t="s">
        <v>303</v>
      </c>
      <c r="EF432" s="49" t="s">
        <v>1874</v>
      </c>
      <c r="EH432" s="49" t="s">
        <v>310</v>
      </c>
      <c r="EJ432" s="49" t="s">
        <v>303</v>
      </c>
      <c r="EK432" s="49" t="s">
        <v>1894</v>
      </c>
      <c r="EM432" s="49" t="s">
        <v>303</v>
      </c>
      <c r="EN432" s="49" t="s">
        <v>396</v>
      </c>
      <c r="EP432" s="49" t="s">
        <v>298</v>
      </c>
      <c r="EQ432" s="0" t="n">
        <v>1</v>
      </c>
      <c r="ER432" s="49" t="s">
        <v>328</v>
      </c>
      <c r="ES432" s="49" t="s">
        <v>329</v>
      </c>
      <c r="ET432" s="49" t="s">
        <v>310</v>
      </c>
      <c r="EU432" s="49" t="s">
        <v>310</v>
      </c>
      <c r="EV432" s="49" t="s">
        <v>310</v>
      </c>
      <c r="EX432" s="49" t="s">
        <v>303</v>
      </c>
      <c r="EY432" s="49" t="s">
        <v>303</v>
      </c>
      <c r="FC432" s="49" t="s">
        <v>330</v>
      </c>
      <c r="FD432" s="49" t="s">
        <v>310</v>
      </c>
      <c r="FE432" s="49" t="s">
        <v>310</v>
      </c>
      <c r="FF432" s="49" t="s">
        <v>64</v>
      </c>
      <c r="FG432" s="49" t="s">
        <v>397</v>
      </c>
      <c r="FH432" s="49" t="s">
        <v>310</v>
      </c>
      <c r="FI432" s="49" t="s">
        <v>332</v>
      </c>
      <c r="FJ432" s="49" t="s">
        <v>303</v>
      </c>
      <c r="FL432" s="49" t="s">
        <v>325</v>
      </c>
      <c r="FM432" s="49" t="s">
        <v>1864</v>
      </c>
      <c r="FP432" s="49" t="s">
        <v>303</v>
      </c>
      <c r="FR432" s="49" t="s">
        <v>303</v>
      </c>
      <c r="FT432" s="49" t="s">
        <v>325</v>
      </c>
      <c r="FU432" s="49" t="s">
        <v>325</v>
      </c>
      <c r="FW432" s="49" t="s">
        <v>333</v>
      </c>
    </row>
    <row r="433" customFormat="false" ht="15" hidden="false" customHeight="false" outlineLevel="0" collapsed="false">
      <c r="A433" s="0" t="n">
        <v>100874148</v>
      </c>
      <c r="B433" s="0" t="s">
        <v>295</v>
      </c>
      <c r="C433" s="0" t="s">
        <v>64</v>
      </c>
      <c r="D433" s="0" t="s">
        <v>65</v>
      </c>
      <c r="E433" s="0" t="s">
        <v>297</v>
      </c>
      <c r="G433" s="0" t="n">
        <v>1</v>
      </c>
      <c r="H433" s="0" t="s">
        <v>298</v>
      </c>
      <c r="I433" s="48" t="n">
        <v>46246</v>
      </c>
      <c r="J433" s="0" t="n">
        <v>1</v>
      </c>
      <c r="K433" s="49" t="s">
        <v>1864</v>
      </c>
      <c r="L433" s="49" t="s">
        <v>335</v>
      </c>
      <c r="M433" s="48" t="n">
        <v>46267</v>
      </c>
      <c r="N433" s="49" t="s">
        <v>1442</v>
      </c>
      <c r="O433" s="49" t="s">
        <v>1052</v>
      </c>
      <c r="P433" s="48"/>
      <c r="Q433" s="48" t="n">
        <v>46246</v>
      </c>
      <c r="R433" s="48" t="n">
        <v>46252</v>
      </c>
      <c r="T433" s="49" t="s">
        <v>302</v>
      </c>
      <c r="U433" s="49" t="s">
        <v>303</v>
      </c>
      <c r="Y433" s="49" t="s">
        <v>1895</v>
      </c>
      <c r="AD433" s="49" t="s">
        <v>305</v>
      </c>
      <c r="AE433" s="48" t="n">
        <v>46217</v>
      </c>
      <c r="AF433" s="49" t="s">
        <v>306</v>
      </c>
      <c r="AG433" s="49" t="s">
        <v>307</v>
      </c>
      <c r="AK433" s="49" t="s">
        <v>1047</v>
      </c>
      <c r="AL433" s="49" t="s">
        <v>297</v>
      </c>
      <c r="AO433" s="49" t="s">
        <v>303</v>
      </c>
      <c r="AP433" s="48"/>
      <c r="AR433" s="49" t="s">
        <v>303</v>
      </c>
      <c r="AS433" s="49" t="s">
        <v>306</v>
      </c>
      <c r="AT433" s="49" t="s">
        <v>1896</v>
      </c>
      <c r="AV433" s="49" t="s">
        <v>309</v>
      </c>
      <c r="AW433" s="49" t="s">
        <v>310</v>
      </c>
      <c r="AX433" s="49" t="s">
        <v>311</v>
      </c>
      <c r="AY433" s="48"/>
      <c r="AZ433" s="48" t="n">
        <v>46244</v>
      </c>
      <c r="BC433" s="49" t="s">
        <v>303</v>
      </c>
      <c r="BD433" s="48" t="n">
        <v>46270</v>
      </c>
      <c r="BE433" s="49" t="s">
        <v>1897</v>
      </c>
      <c r="BF433" s="49" t="s">
        <v>303</v>
      </c>
      <c r="BG433" s="48"/>
      <c r="BI433" s="48" t="n">
        <v>46270</v>
      </c>
      <c r="BJ433" s="48" t="n">
        <v>46251</v>
      </c>
      <c r="BK433" s="49" t="s">
        <v>313</v>
      </c>
      <c r="BL433" s="49" t="s">
        <v>313</v>
      </c>
      <c r="BM433" s="49" t="s">
        <v>310</v>
      </c>
      <c r="BN433" s="48"/>
      <c r="BO433" s="48"/>
      <c r="BP433" s="48"/>
      <c r="BQ433" s="49" t="s">
        <v>1868</v>
      </c>
      <c r="BR433" s="48" t="n">
        <v>46251</v>
      </c>
      <c r="BS433" s="49" t="s">
        <v>1890</v>
      </c>
      <c r="BT433" s="49" t="s">
        <v>312</v>
      </c>
      <c r="BU433" s="49" t="s">
        <v>313</v>
      </c>
      <c r="BV433" s="49" t="s">
        <v>303</v>
      </c>
      <c r="BX433" s="0" t="n">
        <v>1</v>
      </c>
      <c r="CC433" s="49" t="s">
        <v>315</v>
      </c>
      <c r="CD433" s="49" t="s">
        <v>303</v>
      </c>
      <c r="CF433" s="49" t="s">
        <v>303</v>
      </c>
      <c r="CG433" s="49" t="s">
        <v>316</v>
      </c>
      <c r="CH433" s="49" t="s">
        <v>317</v>
      </c>
      <c r="CI433" s="49" t="s">
        <v>318</v>
      </c>
      <c r="CM433" s="49" t="s">
        <v>65</v>
      </c>
      <c r="CV433" s="49" t="s">
        <v>303</v>
      </c>
      <c r="DB433" s="49" t="s">
        <v>319</v>
      </c>
      <c r="DD433" s="48" t="n">
        <v>46217</v>
      </c>
      <c r="DF433" s="49" t="s">
        <v>310</v>
      </c>
      <c r="DG433" s="49" t="s">
        <v>320</v>
      </c>
      <c r="DH433" s="49" t="s">
        <v>64</v>
      </c>
      <c r="DI433" s="49" t="s">
        <v>298</v>
      </c>
      <c r="DJ433" s="49" t="s">
        <v>394</v>
      </c>
      <c r="DK433" s="49" t="s">
        <v>322</v>
      </c>
      <c r="DL433" s="49" t="s">
        <v>323</v>
      </c>
      <c r="DM433" s="49" t="s">
        <v>303</v>
      </c>
      <c r="DN433" s="49" t="s">
        <v>297</v>
      </c>
      <c r="DO433" s="48"/>
      <c r="DP433" s="49" t="s">
        <v>312</v>
      </c>
      <c r="DQ433" s="48"/>
      <c r="DR433" s="49" t="s">
        <v>312</v>
      </c>
      <c r="DS433" s="49" t="s">
        <v>303</v>
      </c>
      <c r="DT433" s="49" t="s">
        <v>303</v>
      </c>
      <c r="DW433" s="49" t="s">
        <v>303</v>
      </c>
      <c r="EA433" s="49" t="s">
        <v>324</v>
      </c>
      <c r="EB433" s="49" t="s">
        <v>303</v>
      </c>
      <c r="EF433" s="49" t="s">
        <v>1874</v>
      </c>
      <c r="EH433" s="49" t="s">
        <v>310</v>
      </c>
      <c r="EJ433" s="49" t="s">
        <v>303</v>
      </c>
      <c r="EK433" s="49" t="s">
        <v>1898</v>
      </c>
      <c r="EM433" s="49" t="s">
        <v>303</v>
      </c>
      <c r="EN433" s="49" t="s">
        <v>396</v>
      </c>
      <c r="EP433" s="49" t="s">
        <v>298</v>
      </c>
      <c r="EQ433" s="0" t="n">
        <v>1</v>
      </c>
      <c r="ER433" s="49" t="s">
        <v>328</v>
      </c>
      <c r="ES433" s="49" t="s">
        <v>329</v>
      </c>
      <c r="ET433" s="49" t="s">
        <v>310</v>
      </c>
      <c r="EU433" s="49" t="s">
        <v>310</v>
      </c>
      <c r="EV433" s="49" t="s">
        <v>310</v>
      </c>
      <c r="EX433" s="49" t="s">
        <v>303</v>
      </c>
      <c r="EY433" s="49" t="s">
        <v>303</v>
      </c>
      <c r="FC433" s="49" t="s">
        <v>330</v>
      </c>
      <c r="FD433" s="49" t="s">
        <v>310</v>
      </c>
      <c r="FE433" s="49" t="s">
        <v>310</v>
      </c>
      <c r="FF433" s="49" t="s">
        <v>64</v>
      </c>
      <c r="FG433" s="49" t="s">
        <v>397</v>
      </c>
      <c r="FH433" s="49" t="s">
        <v>310</v>
      </c>
      <c r="FI433" s="49" t="s">
        <v>332</v>
      </c>
      <c r="FJ433" s="49" t="s">
        <v>303</v>
      </c>
      <c r="FL433" s="49" t="s">
        <v>325</v>
      </c>
      <c r="FM433" s="49" t="s">
        <v>1864</v>
      </c>
      <c r="FP433" s="49" t="s">
        <v>303</v>
      </c>
      <c r="FR433" s="49" t="s">
        <v>303</v>
      </c>
      <c r="FT433" s="49" t="s">
        <v>325</v>
      </c>
      <c r="FU433" s="49" t="s">
        <v>325</v>
      </c>
      <c r="FW433" s="49" t="s">
        <v>333</v>
      </c>
    </row>
    <row r="434" customFormat="false" ht="15" hidden="false" customHeight="false" outlineLevel="0" collapsed="false">
      <c r="A434" s="0" t="n">
        <v>100874149</v>
      </c>
      <c r="B434" s="0" t="s">
        <v>295</v>
      </c>
      <c r="C434" s="0" t="s">
        <v>64</v>
      </c>
      <c r="D434" s="0" t="s">
        <v>65</v>
      </c>
      <c r="E434" s="0" t="s">
        <v>297</v>
      </c>
      <c r="G434" s="0" t="n">
        <v>1</v>
      </c>
      <c r="H434" s="0" t="s">
        <v>298</v>
      </c>
      <c r="I434" s="48" t="n">
        <v>46246</v>
      </c>
      <c r="J434" s="0" t="n">
        <v>1</v>
      </c>
      <c r="K434" s="49" t="s">
        <v>1864</v>
      </c>
      <c r="L434" s="49" t="s">
        <v>335</v>
      </c>
      <c r="M434" s="48" t="n">
        <v>46267</v>
      </c>
      <c r="N434" s="49" t="s">
        <v>1442</v>
      </c>
      <c r="O434" s="49" t="s">
        <v>1052</v>
      </c>
      <c r="P434" s="48"/>
      <c r="Q434" s="48" t="n">
        <v>46246</v>
      </c>
      <c r="R434" s="48" t="n">
        <v>46252</v>
      </c>
      <c r="T434" s="49" t="s">
        <v>302</v>
      </c>
      <c r="U434" s="49" t="s">
        <v>303</v>
      </c>
      <c r="Y434" s="49" t="s">
        <v>1899</v>
      </c>
      <c r="AD434" s="49" t="s">
        <v>305</v>
      </c>
      <c r="AE434" s="48" t="n">
        <v>46217</v>
      </c>
      <c r="AF434" s="49" t="s">
        <v>306</v>
      </c>
      <c r="AG434" s="49" t="s">
        <v>307</v>
      </c>
      <c r="AK434" s="49" t="s">
        <v>1047</v>
      </c>
      <c r="AL434" s="49" t="s">
        <v>297</v>
      </c>
      <c r="AO434" s="49" t="s">
        <v>303</v>
      </c>
      <c r="AP434" s="48"/>
      <c r="AR434" s="49" t="s">
        <v>303</v>
      </c>
      <c r="AS434" s="49" t="s">
        <v>306</v>
      </c>
      <c r="AT434" s="49" t="s">
        <v>1900</v>
      </c>
      <c r="AV434" s="49" t="s">
        <v>309</v>
      </c>
      <c r="AW434" s="49" t="s">
        <v>310</v>
      </c>
      <c r="AX434" s="49" t="s">
        <v>311</v>
      </c>
      <c r="AY434" s="48"/>
      <c r="AZ434" s="48" t="n">
        <v>46244</v>
      </c>
      <c r="BC434" s="49" t="s">
        <v>303</v>
      </c>
      <c r="BD434" s="48" t="n">
        <v>46270</v>
      </c>
      <c r="BE434" s="49" t="s">
        <v>1901</v>
      </c>
      <c r="BF434" s="49" t="s">
        <v>303</v>
      </c>
      <c r="BG434" s="48"/>
      <c r="BI434" s="48" t="n">
        <v>46270</v>
      </c>
      <c r="BJ434" s="48" t="n">
        <v>46251</v>
      </c>
      <c r="BK434" s="49" t="s">
        <v>313</v>
      </c>
      <c r="BL434" s="49" t="s">
        <v>313</v>
      </c>
      <c r="BM434" s="49" t="s">
        <v>310</v>
      </c>
      <c r="BN434" s="48"/>
      <c r="BO434" s="48"/>
      <c r="BP434" s="48"/>
      <c r="BQ434" s="49" t="s">
        <v>1868</v>
      </c>
      <c r="BR434" s="48" t="n">
        <v>46251</v>
      </c>
      <c r="BS434" s="49" t="s">
        <v>1426</v>
      </c>
      <c r="BT434" s="49" t="s">
        <v>312</v>
      </c>
      <c r="BU434" s="49" t="s">
        <v>313</v>
      </c>
      <c r="BV434" s="49" t="s">
        <v>303</v>
      </c>
      <c r="BX434" s="0" t="n">
        <v>1</v>
      </c>
      <c r="CC434" s="49" t="s">
        <v>315</v>
      </c>
      <c r="CD434" s="49" t="s">
        <v>303</v>
      </c>
      <c r="CF434" s="49" t="s">
        <v>303</v>
      </c>
      <c r="CG434" s="49" t="s">
        <v>316</v>
      </c>
      <c r="CH434" s="49" t="s">
        <v>317</v>
      </c>
      <c r="CI434" s="49" t="s">
        <v>318</v>
      </c>
      <c r="CM434" s="49" t="s">
        <v>65</v>
      </c>
      <c r="CV434" s="49" t="s">
        <v>303</v>
      </c>
      <c r="DB434" s="49" t="s">
        <v>319</v>
      </c>
      <c r="DD434" s="48" t="n">
        <v>46217</v>
      </c>
      <c r="DF434" s="49" t="s">
        <v>310</v>
      </c>
      <c r="DG434" s="49" t="s">
        <v>320</v>
      </c>
      <c r="DH434" s="49" t="s">
        <v>64</v>
      </c>
      <c r="DI434" s="49" t="s">
        <v>298</v>
      </c>
      <c r="DJ434" s="49" t="s">
        <v>394</v>
      </c>
      <c r="DK434" s="49" t="s">
        <v>322</v>
      </c>
      <c r="DL434" s="49" t="s">
        <v>323</v>
      </c>
      <c r="DM434" s="49" t="s">
        <v>303</v>
      </c>
      <c r="DN434" s="49" t="s">
        <v>297</v>
      </c>
      <c r="DO434" s="48"/>
      <c r="DP434" s="49" t="s">
        <v>312</v>
      </c>
      <c r="DQ434" s="48"/>
      <c r="DR434" s="49" t="s">
        <v>312</v>
      </c>
      <c r="DS434" s="49" t="s">
        <v>303</v>
      </c>
      <c r="DT434" s="49" t="s">
        <v>303</v>
      </c>
      <c r="DW434" s="49" t="s">
        <v>303</v>
      </c>
      <c r="EA434" s="49" t="s">
        <v>324</v>
      </c>
      <c r="EB434" s="49" t="s">
        <v>303</v>
      </c>
      <c r="EF434" s="49" t="s">
        <v>1874</v>
      </c>
      <c r="EH434" s="49" t="s">
        <v>310</v>
      </c>
      <c r="EJ434" s="49" t="s">
        <v>303</v>
      </c>
      <c r="EK434" s="49" t="s">
        <v>1902</v>
      </c>
      <c r="EM434" s="49" t="s">
        <v>303</v>
      </c>
      <c r="EN434" s="49" t="s">
        <v>396</v>
      </c>
      <c r="EP434" s="49" t="s">
        <v>298</v>
      </c>
      <c r="EQ434" s="0" t="n">
        <v>1</v>
      </c>
      <c r="ER434" s="49" t="s">
        <v>328</v>
      </c>
      <c r="ES434" s="49" t="s">
        <v>329</v>
      </c>
      <c r="ET434" s="49" t="s">
        <v>310</v>
      </c>
      <c r="EU434" s="49" t="s">
        <v>310</v>
      </c>
      <c r="EV434" s="49" t="s">
        <v>310</v>
      </c>
      <c r="EX434" s="49" t="s">
        <v>303</v>
      </c>
      <c r="EY434" s="49" t="s">
        <v>303</v>
      </c>
      <c r="FC434" s="49" t="s">
        <v>330</v>
      </c>
      <c r="FD434" s="49" t="s">
        <v>310</v>
      </c>
      <c r="FE434" s="49" t="s">
        <v>310</v>
      </c>
      <c r="FF434" s="49" t="s">
        <v>64</v>
      </c>
      <c r="FG434" s="49" t="s">
        <v>397</v>
      </c>
      <c r="FH434" s="49" t="s">
        <v>310</v>
      </c>
      <c r="FI434" s="49" t="s">
        <v>332</v>
      </c>
      <c r="FJ434" s="49" t="s">
        <v>303</v>
      </c>
      <c r="FL434" s="49" t="s">
        <v>325</v>
      </c>
      <c r="FM434" s="49" t="s">
        <v>1864</v>
      </c>
      <c r="FP434" s="49" t="s">
        <v>303</v>
      </c>
      <c r="FR434" s="49" t="s">
        <v>303</v>
      </c>
      <c r="FT434" s="49" t="s">
        <v>325</v>
      </c>
      <c r="FU434" s="49" t="s">
        <v>325</v>
      </c>
      <c r="FW434" s="49" t="s">
        <v>333</v>
      </c>
    </row>
    <row r="435" customFormat="false" ht="15" hidden="false" customHeight="false" outlineLevel="0" collapsed="false">
      <c r="A435" s="0" t="n">
        <v>100874150</v>
      </c>
      <c r="B435" s="0" t="s">
        <v>295</v>
      </c>
      <c r="C435" s="0" t="s">
        <v>64</v>
      </c>
      <c r="D435" s="0" t="s">
        <v>65</v>
      </c>
      <c r="E435" s="0" t="s">
        <v>297</v>
      </c>
      <c r="G435" s="0" t="n">
        <v>1</v>
      </c>
      <c r="H435" s="0" t="s">
        <v>298</v>
      </c>
      <c r="I435" s="48" t="n">
        <v>46246</v>
      </c>
      <c r="J435" s="0" t="n">
        <v>1</v>
      </c>
      <c r="K435" s="49" t="s">
        <v>1864</v>
      </c>
      <c r="L435" s="49" t="s">
        <v>335</v>
      </c>
      <c r="M435" s="48" t="n">
        <v>46267</v>
      </c>
      <c r="N435" s="49" t="s">
        <v>1442</v>
      </c>
      <c r="O435" s="49" t="s">
        <v>1052</v>
      </c>
      <c r="P435" s="48"/>
      <c r="Q435" s="48" t="n">
        <v>46246</v>
      </c>
      <c r="R435" s="48" t="n">
        <v>46252</v>
      </c>
      <c r="T435" s="49" t="s">
        <v>302</v>
      </c>
      <c r="U435" s="49" t="s">
        <v>303</v>
      </c>
      <c r="Y435" s="49" t="s">
        <v>1903</v>
      </c>
      <c r="AD435" s="49" t="s">
        <v>305</v>
      </c>
      <c r="AE435" s="48" t="n">
        <v>46217</v>
      </c>
      <c r="AF435" s="49" t="s">
        <v>306</v>
      </c>
      <c r="AG435" s="49" t="s">
        <v>307</v>
      </c>
      <c r="AK435" s="49" t="s">
        <v>1047</v>
      </c>
      <c r="AL435" s="49" t="s">
        <v>297</v>
      </c>
      <c r="AO435" s="49" t="s">
        <v>303</v>
      </c>
      <c r="AP435" s="48"/>
      <c r="AR435" s="49" t="s">
        <v>303</v>
      </c>
      <c r="AS435" s="49" t="s">
        <v>306</v>
      </c>
      <c r="AT435" s="49" t="s">
        <v>1904</v>
      </c>
      <c r="AV435" s="49" t="s">
        <v>309</v>
      </c>
      <c r="AW435" s="49" t="s">
        <v>310</v>
      </c>
      <c r="AX435" s="49" t="s">
        <v>311</v>
      </c>
      <c r="AY435" s="48"/>
      <c r="AZ435" s="48" t="n">
        <v>46244</v>
      </c>
      <c r="BC435" s="49" t="s">
        <v>303</v>
      </c>
      <c r="BD435" s="48" t="n">
        <v>46270</v>
      </c>
      <c r="BE435" s="49" t="s">
        <v>1905</v>
      </c>
      <c r="BF435" s="49" t="s">
        <v>303</v>
      </c>
      <c r="BG435" s="48"/>
      <c r="BI435" s="48" t="n">
        <v>46270</v>
      </c>
      <c r="BJ435" s="48" t="n">
        <v>46251</v>
      </c>
      <c r="BK435" s="49" t="s">
        <v>313</v>
      </c>
      <c r="BL435" s="49" t="s">
        <v>313</v>
      </c>
      <c r="BM435" s="49" t="s">
        <v>310</v>
      </c>
      <c r="BN435" s="48"/>
      <c r="BO435" s="48"/>
      <c r="BP435" s="48"/>
      <c r="BQ435" s="49" t="s">
        <v>1868</v>
      </c>
      <c r="BR435" s="48" t="n">
        <v>46251</v>
      </c>
      <c r="BS435" s="49" t="s">
        <v>1426</v>
      </c>
      <c r="BT435" s="49" t="s">
        <v>312</v>
      </c>
      <c r="BU435" s="49" t="s">
        <v>313</v>
      </c>
      <c r="BV435" s="49" t="s">
        <v>303</v>
      </c>
      <c r="BX435" s="0" t="n">
        <v>1</v>
      </c>
      <c r="CC435" s="49" t="s">
        <v>315</v>
      </c>
      <c r="CD435" s="49" t="s">
        <v>303</v>
      </c>
      <c r="CF435" s="49" t="s">
        <v>303</v>
      </c>
      <c r="CG435" s="49" t="s">
        <v>316</v>
      </c>
      <c r="CH435" s="49" t="s">
        <v>317</v>
      </c>
      <c r="CI435" s="49" t="s">
        <v>318</v>
      </c>
      <c r="CM435" s="49" t="s">
        <v>65</v>
      </c>
      <c r="CV435" s="49" t="s">
        <v>303</v>
      </c>
      <c r="DB435" s="49" t="s">
        <v>319</v>
      </c>
      <c r="DD435" s="48" t="n">
        <v>46217</v>
      </c>
      <c r="DF435" s="49" t="s">
        <v>310</v>
      </c>
      <c r="DG435" s="49" t="s">
        <v>320</v>
      </c>
      <c r="DH435" s="49" t="s">
        <v>64</v>
      </c>
      <c r="DI435" s="49" t="s">
        <v>298</v>
      </c>
      <c r="DJ435" s="49" t="s">
        <v>394</v>
      </c>
      <c r="DK435" s="49" t="s">
        <v>322</v>
      </c>
      <c r="DL435" s="49" t="s">
        <v>323</v>
      </c>
      <c r="DM435" s="49" t="s">
        <v>303</v>
      </c>
      <c r="DN435" s="49" t="s">
        <v>297</v>
      </c>
      <c r="DO435" s="48"/>
      <c r="DP435" s="49" t="s">
        <v>312</v>
      </c>
      <c r="DQ435" s="48"/>
      <c r="DR435" s="49" t="s">
        <v>312</v>
      </c>
      <c r="DS435" s="49" t="s">
        <v>303</v>
      </c>
      <c r="DT435" s="49" t="s">
        <v>303</v>
      </c>
      <c r="DW435" s="49" t="s">
        <v>303</v>
      </c>
      <c r="EA435" s="49" t="s">
        <v>324</v>
      </c>
      <c r="EB435" s="49" t="s">
        <v>303</v>
      </c>
      <c r="EF435" s="49" t="s">
        <v>1874</v>
      </c>
      <c r="EH435" s="49" t="s">
        <v>310</v>
      </c>
      <c r="EJ435" s="49" t="s">
        <v>303</v>
      </c>
      <c r="EK435" s="49" t="s">
        <v>1906</v>
      </c>
      <c r="EM435" s="49" t="s">
        <v>303</v>
      </c>
      <c r="EN435" s="49" t="s">
        <v>396</v>
      </c>
      <c r="EP435" s="49" t="s">
        <v>298</v>
      </c>
      <c r="EQ435" s="0" t="n">
        <v>1</v>
      </c>
      <c r="ER435" s="49" t="s">
        <v>328</v>
      </c>
      <c r="ES435" s="49" t="s">
        <v>329</v>
      </c>
      <c r="ET435" s="49" t="s">
        <v>310</v>
      </c>
      <c r="EU435" s="49" t="s">
        <v>310</v>
      </c>
      <c r="EV435" s="49" t="s">
        <v>310</v>
      </c>
      <c r="EX435" s="49" t="s">
        <v>303</v>
      </c>
      <c r="EY435" s="49" t="s">
        <v>303</v>
      </c>
      <c r="FC435" s="49" t="s">
        <v>330</v>
      </c>
      <c r="FD435" s="49" t="s">
        <v>310</v>
      </c>
      <c r="FE435" s="49" t="s">
        <v>310</v>
      </c>
      <c r="FF435" s="49" t="s">
        <v>64</v>
      </c>
      <c r="FG435" s="49" t="s">
        <v>397</v>
      </c>
      <c r="FH435" s="49" t="s">
        <v>310</v>
      </c>
      <c r="FI435" s="49" t="s">
        <v>332</v>
      </c>
      <c r="FJ435" s="49" t="s">
        <v>303</v>
      </c>
      <c r="FL435" s="49" t="s">
        <v>325</v>
      </c>
      <c r="FM435" s="49" t="s">
        <v>1864</v>
      </c>
      <c r="FP435" s="49" t="s">
        <v>303</v>
      </c>
      <c r="FR435" s="49" t="s">
        <v>303</v>
      </c>
      <c r="FT435" s="49" t="s">
        <v>325</v>
      </c>
      <c r="FU435" s="49" t="s">
        <v>325</v>
      </c>
      <c r="FW435" s="49" t="s">
        <v>333</v>
      </c>
    </row>
    <row r="436" customFormat="false" ht="15" hidden="false" customHeight="false" outlineLevel="0" collapsed="false">
      <c r="A436" s="0" t="n">
        <v>100874151</v>
      </c>
      <c r="B436" s="0" t="s">
        <v>295</v>
      </c>
      <c r="C436" s="0" t="s">
        <v>64</v>
      </c>
      <c r="D436" s="0" t="s">
        <v>65</v>
      </c>
      <c r="E436" s="0" t="s">
        <v>297</v>
      </c>
      <c r="G436" s="0" t="n">
        <v>1</v>
      </c>
      <c r="H436" s="0" t="s">
        <v>298</v>
      </c>
      <c r="I436" s="48" t="n">
        <v>46246</v>
      </c>
      <c r="J436" s="0" t="n">
        <v>1</v>
      </c>
      <c r="K436" s="49" t="s">
        <v>1864</v>
      </c>
      <c r="L436" s="49" t="s">
        <v>335</v>
      </c>
      <c r="M436" s="48" t="n">
        <v>46267</v>
      </c>
      <c r="N436" s="49" t="s">
        <v>1442</v>
      </c>
      <c r="O436" s="49" t="s">
        <v>1052</v>
      </c>
      <c r="P436" s="48"/>
      <c r="Q436" s="48" t="n">
        <v>46246</v>
      </c>
      <c r="R436" s="48" t="n">
        <v>46252</v>
      </c>
      <c r="T436" s="49" t="s">
        <v>302</v>
      </c>
      <c r="U436" s="49" t="s">
        <v>303</v>
      </c>
      <c r="Y436" s="49" t="s">
        <v>1907</v>
      </c>
      <c r="AD436" s="49" t="s">
        <v>305</v>
      </c>
      <c r="AE436" s="48" t="n">
        <v>46217</v>
      </c>
      <c r="AF436" s="49" t="s">
        <v>306</v>
      </c>
      <c r="AG436" s="49" t="s">
        <v>307</v>
      </c>
      <c r="AK436" s="49" t="s">
        <v>1047</v>
      </c>
      <c r="AL436" s="49" t="s">
        <v>297</v>
      </c>
      <c r="AO436" s="49" t="s">
        <v>303</v>
      </c>
      <c r="AP436" s="48"/>
      <c r="AR436" s="49" t="s">
        <v>303</v>
      </c>
      <c r="AS436" s="49" t="s">
        <v>306</v>
      </c>
      <c r="AT436" s="49" t="s">
        <v>1908</v>
      </c>
      <c r="AV436" s="49" t="s">
        <v>309</v>
      </c>
      <c r="AW436" s="49" t="s">
        <v>310</v>
      </c>
      <c r="AX436" s="49" t="s">
        <v>311</v>
      </c>
      <c r="AY436" s="48"/>
      <c r="AZ436" s="48" t="n">
        <v>46244</v>
      </c>
      <c r="BC436" s="49" t="s">
        <v>303</v>
      </c>
      <c r="BD436" s="48" t="n">
        <v>46270</v>
      </c>
      <c r="BE436" s="49" t="s">
        <v>1909</v>
      </c>
      <c r="BF436" s="49" t="s">
        <v>303</v>
      </c>
      <c r="BG436" s="48"/>
      <c r="BI436" s="48" t="n">
        <v>46270</v>
      </c>
      <c r="BJ436" s="48" t="n">
        <v>46251</v>
      </c>
      <c r="BK436" s="49" t="s">
        <v>313</v>
      </c>
      <c r="BL436" s="49" t="s">
        <v>313</v>
      </c>
      <c r="BM436" s="49" t="s">
        <v>310</v>
      </c>
      <c r="BN436" s="48"/>
      <c r="BO436" s="48"/>
      <c r="BP436" s="48"/>
      <c r="BQ436" s="49" t="s">
        <v>1868</v>
      </c>
      <c r="BR436" s="48" t="n">
        <v>46251</v>
      </c>
      <c r="BS436" s="49" t="s">
        <v>1426</v>
      </c>
      <c r="BT436" s="49" t="s">
        <v>312</v>
      </c>
      <c r="BU436" s="49" t="s">
        <v>313</v>
      </c>
      <c r="BV436" s="49" t="s">
        <v>303</v>
      </c>
      <c r="BX436" s="0" t="n">
        <v>1</v>
      </c>
      <c r="CC436" s="49" t="s">
        <v>315</v>
      </c>
      <c r="CD436" s="49" t="s">
        <v>303</v>
      </c>
      <c r="CF436" s="49" t="s">
        <v>303</v>
      </c>
      <c r="CG436" s="49" t="s">
        <v>316</v>
      </c>
      <c r="CH436" s="49" t="s">
        <v>317</v>
      </c>
      <c r="CI436" s="49" t="s">
        <v>318</v>
      </c>
      <c r="CM436" s="49" t="s">
        <v>65</v>
      </c>
      <c r="CV436" s="49" t="s">
        <v>303</v>
      </c>
      <c r="DB436" s="49" t="s">
        <v>319</v>
      </c>
      <c r="DD436" s="48" t="n">
        <v>46217</v>
      </c>
      <c r="DF436" s="49" t="s">
        <v>310</v>
      </c>
      <c r="DG436" s="49" t="s">
        <v>320</v>
      </c>
      <c r="DH436" s="49" t="s">
        <v>64</v>
      </c>
      <c r="DI436" s="49" t="s">
        <v>298</v>
      </c>
      <c r="DJ436" s="49" t="s">
        <v>394</v>
      </c>
      <c r="DK436" s="49" t="s">
        <v>322</v>
      </c>
      <c r="DL436" s="49" t="s">
        <v>323</v>
      </c>
      <c r="DM436" s="49" t="s">
        <v>303</v>
      </c>
      <c r="DN436" s="49" t="s">
        <v>297</v>
      </c>
      <c r="DO436" s="48"/>
      <c r="DP436" s="49" t="s">
        <v>312</v>
      </c>
      <c r="DQ436" s="48"/>
      <c r="DR436" s="49" t="s">
        <v>312</v>
      </c>
      <c r="DS436" s="49" t="s">
        <v>303</v>
      </c>
      <c r="DT436" s="49" t="s">
        <v>303</v>
      </c>
      <c r="DW436" s="49" t="s">
        <v>303</v>
      </c>
      <c r="EA436" s="49" t="s">
        <v>324</v>
      </c>
      <c r="EB436" s="49" t="s">
        <v>303</v>
      </c>
      <c r="EF436" s="49" t="s">
        <v>1874</v>
      </c>
      <c r="EH436" s="49" t="s">
        <v>310</v>
      </c>
      <c r="EJ436" s="49" t="s">
        <v>303</v>
      </c>
      <c r="EK436" s="49" t="s">
        <v>1910</v>
      </c>
      <c r="EM436" s="49" t="s">
        <v>303</v>
      </c>
      <c r="EN436" s="49" t="s">
        <v>396</v>
      </c>
      <c r="EP436" s="49" t="s">
        <v>298</v>
      </c>
      <c r="EQ436" s="0" t="n">
        <v>1</v>
      </c>
      <c r="ER436" s="49" t="s">
        <v>328</v>
      </c>
      <c r="ES436" s="49" t="s">
        <v>329</v>
      </c>
      <c r="ET436" s="49" t="s">
        <v>310</v>
      </c>
      <c r="EU436" s="49" t="s">
        <v>310</v>
      </c>
      <c r="EV436" s="49" t="s">
        <v>310</v>
      </c>
      <c r="EX436" s="49" t="s">
        <v>303</v>
      </c>
      <c r="EY436" s="49" t="s">
        <v>303</v>
      </c>
      <c r="FC436" s="49" t="s">
        <v>330</v>
      </c>
      <c r="FD436" s="49" t="s">
        <v>310</v>
      </c>
      <c r="FE436" s="49" t="s">
        <v>310</v>
      </c>
      <c r="FF436" s="49" t="s">
        <v>64</v>
      </c>
      <c r="FG436" s="49" t="s">
        <v>397</v>
      </c>
      <c r="FH436" s="49" t="s">
        <v>310</v>
      </c>
      <c r="FI436" s="49" t="s">
        <v>332</v>
      </c>
      <c r="FJ436" s="49" t="s">
        <v>303</v>
      </c>
      <c r="FL436" s="49" t="s">
        <v>325</v>
      </c>
      <c r="FM436" s="49" t="s">
        <v>1864</v>
      </c>
      <c r="FP436" s="49" t="s">
        <v>303</v>
      </c>
      <c r="FR436" s="49" t="s">
        <v>303</v>
      </c>
      <c r="FT436" s="49" t="s">
        <v>325</v>
      </c>
      <c r="FU436" s="49" t="s">
        <v>325</v>
      </c>
      <c r="FW436" s="49" t="s">
        <v>333</v>
      </c>
    </row>
    <row r="437" customFormat="false" ht="15" hidden="false" customHeight="false" outlineLevel="0" collapsed="false">
      <c r="A437" s="0" t="n">
        <v>100874152</v>
      </c>
      <c r="B437" s="0" t="s">
        <v>295</v>
      </c>
      <c r="C437" s="0" t="s">
        <v>64</v>
      </c>
      <c r="D437" s="0" t="s">
        <v>65</v>
      </c>
      <c r="E437" s="0" t="s">
        <v>297</v>
      </c>
      <c r="G437" s="0" t="n">
        <v>1</v>
      </c>
      <c r="H437" s="0" t="s">
        <v>298</v>
      </c>
      <c r="I437" s="48" t="n">
        <v>46246</v>
      </c>
      <c r="J437" s="0" t="n">
        <v>1</v>
      </c>
      <c r="K437" s="49" t="s">
        <v>1864</v>
      </c>
      <c r="L437" s="49" t="s">
        <v>335</v>
      </c>
      <c r="M437" s="48" t="n">
        <v>46267</v>
      </c>
      <c r="N437" s="49" t="s">
        <v>1442</v>
      </c>
      <c r="O437" s="49" t="s">
        <v>1052</v>
      </c>
      <c r="P437" s="48"/>
      <c r="Q437" s="48" t="n">
        <v>46246</v>
      </c>
      <c r="R437" s="48" t="n">
        <v>46252</v>
      </c>
      <c r="T437" s="49" t="s">
        <v>302</v>
      </c>
      <c r="U437" s="49" t="s">
        <v>303</v>
      </c>
      <c r="Y437" s="49" t="s">
        <v>1911</v>
      </c>
      <c r="AD437" s="49" t="s">
        <v>305</v>
      </c>
      <c r="AE437" s="48" t="n">
        <v>46217</v>
      </c>
      <c r="AF437" s="49" t="s">
        <v>306</v>
      </c>
      <c r="AG437" s="49" t="s">
        <v>307</v>
      </c>
      <c r="AK437" s="49" t="s">
        <v>1047</v>
      </c>
      <c r="AL437" s="49" t="s">
        <v>297</v>
      </c>
      <c r="AO437" s="49" t="s">
        <v>303</v>
      </c>
      <c r="AP437" s="48"/>
      <c r="AR437" s="49" t="s">
        <v>303</v>
      </c>
      <c r="AS437" s="49" t="s">
        <v>306</v>
      </c>
      <c r="AT437" s="49" t="s">
        <v>1912</v>
      </c>
      <c r="AV437" s="49" t="s">
        <v>309</v>
      </c>
      <c r="AW437" s="49" t="s">
        <v>310</v>
      </c>
      <c r="AX437" s="49" t="s">
        <v>311</v>
      </c>
      <c r="AY437" s="48"/>
      <c r="AZ437" s="48" t="n">
        <v>46244</v>
      </c>
      <c r="BC437" s="49" t="s">
        <v>303</v>
      </c>
      <c r="BD437" s="48" t="n">
        <v>46270</v>
      </c>
      <c r="BE437" s="49" t="s">
        <v>1913</v>
      </c>
      <c r="BF437" s="49" t="s">
        <v>303</v>
      </c>
      <c r="BG437" s="48"/>
      <c r="BI437" s="48" t="n">
        <v>46270</v>
      </c>
      <c r="BJ437" s="48" t="n">
        <v>46251</v>
      </c>
      <c r="BK437" s="49" t="s">
        <v>313</v>
      </c>
      <c r="BL437" s="49" t="s">
        <v>313</v>
      </c>
      <c r="BM437" s="49" t="s">
        <v>310</v>
      </c>
      <c r="BN437" s="48"/>
      <c r="BO437" s="48"/>
      <c r="BP437" s="48"/>
      <c r="BQ437" s="49" t="s">
        <v>1868</v>
      </c>
      <c r="BR437" s="48" t="n">
        <v>46251</v>
      </c>
      <c r="BS437" s="49" t="s">
        <v>1426</v>
      </c>
      <c r="BT437" s="49" t="s">
        <v>312</v>
      </c>
      <c r="BU437" s="49" t="s">
        <v>313</v>
      </c>
      <c r="BV437" s="49" t="s">
        <v>303</v>
      </c>
      <c r="BX437" s="0" t="n">
        <v>1</v>
      </c>
      <c r="CC437" s="49" t="s">
        <v>315</v>
      </c>
      <c r="CD437" s="49" t="s">
        <v>303</v>
      </c>
      <c r="CF437" s="49" t="s">
        <v>303</v>
      </c>
      <c r="CG437" s="49" t="s">
        <v>316</v>
      </c>
      <c r="CH437" s="49" t="s">
        <v>317</v>
      </c>
      <c r="CI437" s="49" t="s">
        <v>318</v>
      </c>
      <c r="CM437" s="49" t="s">
        <v>65</v>
      </c>
      <c r="CV437" s="49" t="s">
        <v>303</v>
      </c>
      <c r="DB437" s="49" t="s">
        <v>319</v>
      </c>
      <c r="DD437" s="48" t="n">
        <v>46217</v>
      </c>
      <c r="DF437" s="49" t="s">
        <v>310</v>
      </c>
      <c r="DG437" s="49" t="s">
        <v>320</v>
      </c>
      <c r="DH437" s="49" t="s">
        <v>64</v>
      </c>
      <c r="DI437" s="49" t="s">
        <v>298</v>
      </c>
      <c r="DJ437" s="49" t="s">
        <v>394</v>
      </c>
      <c r="DK437" s="49" t="s">
        <v>322</v>
      </c>
      <c r="DL437" s="49" t="s">
        <v>323</v>
      </c>
      <c r="DM437" s="49" t="s">
        <v>303</v>
      </c>
      <c r="DN437" s="49" t="s">
        <v>297</v>
      </c>
      <c r="DO437" s="48"/>
      <c r="DP437" s="49" t="s">
        <v>312</v>
      </c>
      <c r="DQ437" s="48"/>
      <c r="DR437" s="49" t="s">
        <v>312</v>
      </c>
      <c r="DS437" s="49" t="s">
        <v>303</v>
      </c>
      <c r="DT437" s="49" t="s">
        <v>303</v>
      </c>
      <c r="DW437" s="49" t="s">
        <v>303</v>
      </c>
      <c r="EA437" s="49" t="s">
        <v>324</v>
      </c>
      <c r="EB437" s="49" t="s">
        <v>303</v>
      </c>
      <c r="EF437" s="49" t="s">
        <v>1874</v>
      </c>
      <c r="EH437" s="49" t="s">
        <v>310</v>
      </c>
      <c r="EJ437" s="49" t="s">
        <v>303</v>
      </c>
      <c r="EK437" s="49" t="s">
        <v>1914</v>
      </c>
      <c r="EM437" s="49" t="s">
        <v>303</v>
      </c>
      <c r="EN437" s="49" t="s">
        <v>396</v>
      </c>
      <c r="EP437" s="49" t="s">
        <v>298</v>
      </c>
      <c r="EQ437" s="0" t="n">
        <v>1</v>
      </c>
      <c r="ER437" s="49" t="s">
        <v>328</v>
      </c>
      <c r="ES437" s="49" t="s">
        <v>329</v>
      </c>
      <c r="ET437" s="49" t="s">
        <v>310</v>
      </c>
      <c r="EU437" s="49" t="s">
        <v>310</v>
      </c>
      <c r="EV437" s="49" t="s">
        <v>310</v>
      </c>
      <c r="EX437" s="49" t="s">
        <v>303</v>
      </c>
      <c r="EY437" s="49" t="s">
        <v>303</v>
      </c>
      <c r="FC437" s="49" t="s">
        <v>330</v>
      </c>
      <c r="FD437" s="49" t="s">
        <v>310</v>
      </c>
      <c r="FE437" s="49" t="s">
        <v>310</v>
      </c>
      <c r="FF437" s="49" t="s">
        <v>64</v>
      </c>
      <c r="FG437" s="49" t="s">
        <v>397</v>
      </c>
      <c r="FH437" s="49" t="s">
        <v>310</v>
      </c>
      <c r="FI437" s="49" t="s">
        <v>332</v>
      </c>
      <c r="FJ437" s="49" t="s">
        <v>303</v>
      </c>
      <c r="FL437" s="49" t="s">
        <v>325</v>
      </c>
      <c r="FM437" s="49" t="s">
        <v>1864</v>
      </c>
      <c r="FP437" s="49" t="s">
        <v>303</v>
      </c>
      <c r="FR437" s="49" t="s">
        <v>303</v>
      </c>
      <c r="FT437" s="49" t="s">
        <v>325</v>
      </c>
      <c r="FU437" s="49" t="s">
        <v>325</v>
      </c>
      <c r="FW437" s="49" t="s">
        <v>333</v>
      </c>
    </row>
    <row r="438" customFormat="false" ht="15" hidden="false" customHeight="false" outlineLevel="0" collapsed="false">
      <c r="A438" s="0" t="n">
        <v>100874153</v>
      </c>
      <c r="B438" s="0" t="s">
        <v>295</v>
      </c>
      <c r="C438" s="0" t="s">
        <v>64</v>
      </c>
      <c r="D438" s="0" t="s">
        <v>65</v>
      </c>
      <c r="E438" s="0" t="s">
        <v>297</v>
      </c>
      <c r="G438" s="0" t="n">
        <v>1</v>
      </c>
      <c r="H438" s="0" t="s">
        <v>298</v>
      </c>
      <c r="I438" s="48" t="n">
        <v>46246</v>
      </c>
      <c r="J438" s="0" t="n">
        <v>1</v>
      </c>
      <c r="K438" s="49" t="s">
        <v>1864</v>
      </c>
      <c r="L438" s="49" t="s">
        <v>335</v>
      </c>
      <c r="M438" s="48" t="n">
        <v>46267</v>
      </c>
      <c r="N438" s="49" t="s">
        <v>1442</v>
      </c>
      <c r="O438" s="49" t="s">
        <v>1052</v>
      </c>
      <c r="P438" s="48"/>
      <c r="Q438" s="48" t="n">
        <v>46246</v>
      </c>
      <c r="R438" s="48" t="n">
        <v>46252</v>
      </c>
      <c r="T438" s="49" t="s">
        <v>302</v>
      </c>
      <c r="U438" s="49" t="s">
        <v>303</v>
      </c>
      <c r="Y438" s="49" t="s">
        <v>1915</v>
      </c>
      <c r="AD438" s="49" t="s">
        <v>305</v>
      </c>
      <c r="AE438" s="48" t="n">
        <v>46217</v>
      </c>
      <c r="AF438" s="49" t="s">
        <v>306</v>
      </c>
      <c r="AG438" s="49" t="s">
        <v>307</v>
      </c>
      <c r="AK438" s="49" t="s">
        <v>1047</v>
      </c>
      <c r="AL438" s="49" t="s">
        <v>297</v>
      </c>
      <c r="AO438" s="49" t="s">
        <v>303</v>
      </c>
      <c r="AP438" s="48"/>
      <c r="AR438" s="49" t="s">
        <v>303</v>
      </c>
      <c r="AS438" s="49" t="s">
        <v>306</v>
      </c>
      <c r="AT438" s="49" t="s">
        <v>1916</v>
      </c>
      <c r="AV438" s="49" t="s">
        <v>309</v>
      </c>
      <c r="AW438" s="49" t="s">
        <v>310</v>
      </c>
      <c r="AX438" s="49" t="s">
        <v>311</v>
      </c>
      <c r="AY438" s="48"/>
      <c r="AZ438" s="48" t="n">
        <v>46244</v>
      </c>
      <c r="BC438" s="49" t="s">
        <v>303</v>
      </c>
      <c r="BD438" s="48" t="n">
        <v>46270</v>
      </c>
      <c r="BE438" s="49" t="s">
        <v>1917</v>
      </c>
      <c r="BF438" s="49" t="s">
        <v>303</v>
      </c>
      <c r="BG438" s="48"/>
      <c r="BI438" s="48" t="n">
        <v>46270</v>
      </c>
      <c r="BJ438" s="48" t="n">
        <v>46251</v>
      </c>
      <c r="BK438" s="49" t="s">
        <v>313</v>
      </c>
      <c r="BL438" s="49" t="s">
        <v>313</v>
      </c>
      <c r="BM438" s="49" t="s">
        <v>310</v>
      </c>
      <c r="BN438" s="48"/>
      <c r="BO438" s="48"/>
      <c r="BP438" s="48"/>
      <c r="BQ438" s="49" t="s">
        <v>1868</v>
      </c>
      <c r="BR438" s="48" t="n">
        <v>46251</v>
      </c>
      <c r="BS438" s="49" t="s">
        <v>1918</v>
      </c>
      <c r="BT438" s="49" t="s">
        <v>312</v>
      </c>
      <c r="BU438" s="49" t="s">
        <v>313</v>
      </c>
      <c r="BV438" s="49" t="s">
        <v>303</v>
      </c>
      <c r="BX438" s="0" t="n">
        <v>1</v>
      </c>
      <c r="CC438" s="49" t="s">
        <v>315</v>
      </c>
      <c r="CD438" s="49" t="s">
        <v>303</v>
      </c>
      <c r="CF438" s="49" t="s">
        <v>303</v>
      </c>
      <c r="CG438" s="49" t="s">
        <v>316</v>
      </c>
      <c r="CH438" s="49" t="s">
        <v>317</v>
      </c>
      <c r="CI438" s="49" t="s">
        <v>318</v>
      </c>
      <c r="CM438" s="49" t="s">
        <v>65</v>
      </c>
      <c r="CV438" s="49" t="s">
        <v>303</v>
      </c>
      <c r="DB438" s="49" t="s">
        <v>319</v>
      </c>
      <c r="DD438" s="48" t="n">
        <v>46217</v>
      </c>
      <c r="DF438" s="49" t="s">
        <v>310</v>
      </c>
      <c r="DG438" s="49" t="s">
        <v>320</v>
      </c>
      <c r="DH438" s="49" t="s">
        <v>64</v>
      </c>
      <c r="DI438" s="49" t="s">
        <v>298</v>
      </c>
      <c r="DJ438" s="49" t="s">
        <v>394</v>
      </c>
      <c r="DK438" s="49" t="s">
        <v>322</v>
      </c>
      <c r="DL438" s="49" t="s">
        <v>323</v>
      </c>
      <c r="DM438" s="49" t="s">
        <v>303</v>
      </c>
      <c r="DN438" s="49" t="s">
        <v>297</v>
      </c>
      <c r="DO438" s="48"/>
      <c r="DP438" s="49" t="s">
        <v>312</v>
      </c>
      <c r="DQ438" s="48"/>
      <c r="DR438" s="49" t="s">
        <v>312</v>
      </c>
      <c r="DS438" s="49" t="s">
        <v>303</v>
      </c>
      <c r="DT438" s="49" t="s">
        <v>303</v>
      </c>
      <c r="DW438" s="49" t="s">
        <v>303</v>
      </c>
      <c r="EA438" s="49" t="s">
        <v>324</v>
      </c>
      <c r="EB438" s="49" t="s">
        <v>303</v>
      </c>
      <c r="EF438" s="49" t="s">
        <v>1874</v>
      </c>
      <c r="EH438" s="49" t="s">
        <v>310</v>
      </c>
      <c r="EJ438" s="49" t="s">
        <v>303</v>
      </c>
      <c r="EK438" s="49" t="s">
        <v>1919</v>
      </c>
      <c r="EM438" s="49" t="s">
        <v>303</v>
      </c>
      <c r="EN438" s="49" t="s">
        <v>396</v>
      </c>
      <c r="EP438" s="49" t="s">
        <v>298</v>
      </c>
      <c r="EQ438" s="0" t="n">
        <v>1</v>
      </c>
      <c r="ER438" s="49" t="s">
        <v>328</v>
      </c>
      <c r="ES438" s="49" t="s">
        <v>329</v>
      </c>
      <c r="ET438" s="49" t="s">
        <v>310</v>
      </c>
      <c r="EU438" s="49" t="s">
        <v>310</v>
      </c>
      <c r="EV438" s="49" t="s">
        <v>310</v>
      </c>
      <c r="EX438" s="49" t="s">
        <v>303</v>
      </c>
      <c r="EY438" s="49" t="s">
        <v>303</v>
      </c>
      <c r="FC438" s="49" t="s">
        <v>330</v>
      </c>
      <c r="FD438" s="49" t="s">
        <v>310</v>
      </c>
      <c r="FE438" s="49" t="s">
        <v>310</v>
      </c>
      <c r="FF438" s="49" t="s">
        <v>64</v>
      </c>
      <c r="FG438" s="49" t="s">
        <v>397</v>
      </c>
      <c r="FH438" s="49" t="s">
        <v>310</v>
      </c>
      <c r="FI438" s="49" t="s">
        <v>332</v>
      </c>
      <c r="FJ438" s="49" t="s">
        <v>303</v>
      </c>
      <c r="FL438" s="49" t="s">
        <v>325</v>
      </c>
      <c r="FM438" s="49" t="s">
        <v>1864</v>
      </c>
      <c r="FP438" s="49" t="s">
        <v>303</v>
      </c>
      <c r="FR438" s="49" t="s">
        <v>303</v>
      </c>
      <c r="FT438" s="49" t="s">
        <v>325</v>
      </c>
      <c r="FU438" s="49" t="s">
        <v>325</v>
      </c>
      <c r="FW438" s="49" t="s">
        <v>333</v>
      </c>
    </row>
    <row r="439" customFormat="false" ht="15" hidden="false" customHeight="false" outlineLevel="0" collapsed="false">
      <c r="A439" s="0" t="n">
        <v>100874154</v>
      </c>
      <c r="B439" s="0" t="s">
        <v>295</v>
      </c>
      <c r="C439" s="0" t="s">
        <v>64</v>
      </c>
      <c r="D439" s="0" t="s">
        <v>65</v>
      </c>
      <c r="E439" s="0" t="s">
        <v>297</v>
      </c>
      <c r="G439" s="0" t="n">
        <v>1</v>
      </c>
      <c r="H439" s="0" t="s">
        <v>298</v>
      </c>
      <c r="I439" s="48" t="n">
        <v>46246</v>
      </c>
      <c r="J439" s="0" t="n">
        <v>1</v>
      </c>
      <c r="K439" s="49" t="s">
        <v>1864</v>
      </c>
      <c r="L439" s="49" t="s">
        <v>335</v>
      </c>
      <c r="M439" s="48" t="n">
        <v>46267</v>
      </c>
      <c r="N439" s="49" t="s">
        <v>1442</v>
      </c>
      <c r="O439" s="49" t="s">
        <v>1052</v>
      </c>
      <c r="P439" s="48"/>
      <c r="Q439" s="48" t="n">
        <v>46246</v>
      </c>
      <c r="R439" s="48" t="n">
        <v>46252</v>
      </c>
      <c r="T439" s="49" t="s">
        <v>302</v>
      </c>
      <c r="U439" s="49" t="s">
        <v>303</v>
      </c>
      <c r="Y439" s="49" t="s">
        <v>1920</v>
      </c>
      <c r="AD439" s="49" t="s">
        <v>305</v>
      </c>
      <c r="AE439" s="48" t="n">
        <v>46217</v>
      </c>
      <c r="AF439" s="49" t="s">
        <v>306</v>
      </c>
      <c r="AG439" s="49" t="s">
        <v>307</v>
      </c>
      <c r="AK439" s="49" t="s">
        <v>1047</v>
      </c>
      <c r="AL439" s="49" t="s">
        <v>297</v>
      </c>
      <c r="AO439" s="49" t="s">
        <v>303</v>
      </c>
      <c r="AP439" s="48"/>
      <c r="AR439" s="49" t="s">
        <v>303</v>
      </c>
      <c r="AS439" s="49" t="s">
        <v>306</v>
      </c>
      <c r="AT439" s="49" t="s">
        <v>1921</v>
      </c>
      <c r="AV439" s="49" t="s">
        <v>309</v>
      </c>
      <c r="AW439" s="49" t="s">
        <v>310</v>
      </c>
      <c r="AX439" s="49" t="s">
        <v>311</v>
      </c>
      <c r="AY439" s="48"/>
      <c r="AZ439" s="48" t="n">
        <v>46244</v>
      </c>
      <c r="BC439" s="49" t="s">
        <v>303</v>
      </c>
      <c r="BD439" s="48" t="n">
        <v>46270</v>
      </c>
      <c r="BE439" s="49" t="s">
        <v>1922</v>
      </c>
      <c r="BF439" s="49" t="s">
        <v>303</v>
      </c>
      <c r="BG439" s="48"/>
      <c r="BI439" s="48" t="n">
        <v>46270</v>
      </c>
      <c r="BJ439" s="48" t="n">
        <v>46251</v>
      </c>
      <c r="BK439" s="49" t="s">
        <v>313</v>
      </c>
      <c r="BL439" s="49" t="s">
        <v>313</v>
      </c>
      <c r="BM439" s="49" t="s">
        <v>310</v>
      </c>
      <c r="BN439" s="48"/>
      <c r="BO439" s="48"/>
      <c r="BP439" s="48"/>
      <c r="BQ439" s="49" t="s">
        <v>1868</v>
      </c>
      <c r="BR439" s="48" t="n">
        <v>46251</v>
      </c>
      <c r="BS439" s="49" t="s">
        <v>1918</v>
      </c>
      <c r="BT439" s="49" t="s">
        <v>312</v>
      </c>
      <c r="BU439" s="49" t="s">
        <v>313</v>
      </c>
      <c r="BV439" s="49" t="s">
        <v>303</v>
      </c>
      <c r="BX439" s="0" t="n">
        <v>1</v>
      </c>
      <c r="CC439" s="49" t="s">
        <v>315</v>
      </c>
      <c r="CD439" s="49" t="s">
        <v>303</v>
      </c>
      <c r="CF439" s="49" t="s">
        <v>303</v>
      </c>
      <c r="CG439" s="49" t="s">
        <v>316</v>
      </c>
      <c r="CH439" s="49" t="s">
        <v>317</v>
      </c>
      <c r="CI439" s="49" t="s">
        <v>318</v>
      </c>
      <c r="CM439" s="49" t="s">
        <v>65</v>
      </c>
      <c r="CV439" s="49" t="s">
        <v>303</v>
      </c>
      <c r="DB439" s="49" t="s">
        <v>319</v>
      </c>
      <c r="DD439" s="48" t="n">
        <v>46217</v>
      </c>
      <c r="DF439" s="49" t="s">
        <v>310</v>
      </c>
      <c r="DG439" s="49" t="s">
        <v>320</v>
      </c>
      <c r="DH439" s="49" t="s">
        <v>64</v>
      </c>
      <c r="DI439" s="49" t="s">
        <v>298</v>
      </c>
      <c r="DJ439" s="49" t="s">
        <v>394</v>
      </c>
      <c r="DK439" s="49" t="s">
        <v>322</v>
      </c>
      <c r="DL439" s="49" t="s">
        <v>323</v>
      </c>
      <c r="DM439" s="49" t="s">
        <v>303</v>
      </c>
      <c r="DN439" s="49" t="s">
        <v>297</v>
      </c>
      <c r="DO439" s="48"/>
      <c r="DP439" s="49" t="s">
        <v>312</v>
      </c>
      <c r="DQ439" s="48"/>
      <c r="DR439" s="49" t="s">
        <v>312</v>
      </c>
      <c r="DS439" s="49" t="s">
        <v>303</v>
      </c>
      <c r="DT439" s="49" t="s">
        <v>303</v>
      </c>
      <c r="DW439" s="49" t="s">
        <v>303</v>
      </c>
      <c r="EA439" s="49" t="s">
        <v>324</v>
      </c>
      <c r="EB439" s="49" t="s">
        <v>303</v>
      </c>
      <c r="EF439" s="49" t="s">
        <v>1874</v>
      </c>
      <c r="EH439" s="49" t="s">
        <v>310</v>
      </c>
      <c r="EJ439" s="49" t="s">
        <v>303</v>
      </c>
      <c r="EK439" s="49" t="s">
        <v>1923</v>
      </c>
      <c r="EM439" s="49" t="s">
        <v>303</v>
      </c>
      <c r="EN439" s="49" t="s">
        <v>396</v>
      </c>
      <c r="EP439" s="49" t="s">
        <v>298</v>
      </c>
      <c r="EQ439" s="0" t="n">
        <v>1</v>
      </c>
      <c r="ER439" s="49" t="s">
        <v>328</v>
      </c>
      <c r="ES439" s="49" t="s">
        <v>329</v>
      </c>
      <c r="ET439" s="49" t="s">
        <v>310</v>
      </c>
      <c r="EU439" s="49" t="s">
        <v>310</v>
      </c>
      <c r="EV439" s="49" t="s">
        <v>310</v>
      </c>
      <c r="EX439" s="49" t="s">
        <v>303</v>
      </c>
      <c r="EY439" s="49" t="s">
        <v>303</v>
      </c>
      <c r="FC439" s="49" t="s">
        <v>330</v>
      </c>
      <c r="FD439" s="49" t="s">
        <v>310</v>
      </c>
      <c r="FE439" s="49" t="s">
        <v>310</v>
      </c>
      <c r="FF439" s="49" t="s">
        <v>64</v>
      </c>
      <c r="FG439" s="49" t="s">
        <v>397</v>
      </c>
      <c r="FH439" s="49" t="s">
        <v>310</v>
      </c>
      <c r="FI439" s="49" t="s">
        <v>332</v>
      </c>
      <c r="FJ439" s="49" t="s">
        <v>303</v>
      </c>
      <c r="FL439" s="49" t="s">
        <v>325</v>
      </c>
      <c r="FM439" s="49" t="s">
        <v>1864</v>
      </c>
      <c r="FP439" s="49" t="s">
        <v>303</v>
      </c>
      <c r="FR439" s="49" t="s">
        <v>303</v>
      </c>
      <c r="FT439" s="49" t="s">
        <v>325</v>
      </c>
      <c r="FU439" s="49" t="s">
        <v>325</v>
      </c>
      <c r="FW439" s="49" t="s">
        <v>333</v>
      </c>
    </row>
    <row r="440" customFormat="false" ht="15" hidden="false" customHeight="false" outlineLevel="0" collapsed="false">
      <c r="A440" s="0" t="n">
        <v>100874155</v>
      </c>
      <c r="B440" s="0" t="s">
        <v>295</v>
      </c>
      <c r="C440" s="0" t="s">
        <v>64</v>
      </c>
      <c r="D440" s="0" t="s">
        <v>65</v>
      </c>
      <c r="E440" s="0" t="s">
        <v>297</v>
      </c>
      <c r="G440" s="0" t="n">
        <v>1</v>
      </c>
      <c r="H440" s="0" t="s">
        <v>298</v>
      </c>
      <c r="I440" s="48" t="n">
        <v>46246</v>
      </c>
      <c r="J440" s="0" t="n">
        <v>1</v>
      </c>
      <c r="K440" s="49" t="s">
        <v>1864</v>
      </c>
      <c r="L440" s="49" t="s">
        <v>335</v>
      </c>
      <c r="M440" s="48" t="n">
        <v>46267</v>
      </c>
      <c r="N440" s="49" t="s">
        <v>1442</v>
      </c>
      <c r="O440" s="49" t="s">
        <v>1052</v>
      </c>
      <c r="P440" s="48"/>
      <c r="Q440" s="48" t="n">
        <v>46246</v>
      </c>
      <c r="R440" s="48" t="n">
        <v>46252</v>
      </c>
      <c r="T440" s="49" t="s">
        <v>302</v>
      </c>
      <c r="U440" s="49" t="s">
        <v>303</v>
      </c>
      <c r="Y440" s="49" t="s">
        <v>1924</v>
      </c>
      <c r="AD440" s="49" t="s">
        <v>305</v>
      </c>
      <c r="AE440" s="48" t="n">
        <v>46217</v>
      </c>
      <c r="AF440" s="49" t="s">
        <v>306</v>
      </c>
      <c r="AG440" s="49" t="s">
        <v>307</v>
      </c>
      <c r="AK440" s="49" t="s">
        <v>1047</v>
      </c>
      <c r="AL440" s="49" t="s">
        <v>297</v>
      </c>
      <c r="AO440" s="49" t="s">
        <v>303</v>
      </c>
      <c r="AP440" s="48"/>
      <c r="AR440" s="49" t="s">
        <v>303</v>
      </c>
      <c r="AS440" s="49" t="s">
        <v>306</v>
      </c>
      <c r="AT440" s="49" t="s">
        <v>1790</v>
      </c>
      <c r="AV440" s="49" t="s">
        <v>309</v>
      </c>
      <c r="AW440" s="49" t="s">
        <v>310</v>
      </c>
      <c r="AX440" s="49" t="s">
        <v>311</v>
      </c>
      <c r="AY440" s="48"/>
      <c r="AZ440" s="48" t="n">
        <v>46244</v>
      </c>
      <c r="BC440" s="49" t="s">
        <v>303</v>
      </c>
      <c r="BD440" s="48" t="n">
        <v>46272</v>
      </c>
      <c r="BE440" s="49" t="s">
        <v>1925</v>
      </c>
      <c r="BF440" s="49" t="s">
        <v>303</v>
      </c>
      <c r="BG440" s="48"/>
      <c r="BI440" s="48" t="n">
        <v>46272</v>
      </c>
      <c r="BJ440" s="48" t="n">
        <v>46251</v>
      </c>
      <c r="BK440" s="49" t="s">
        <v>313</v>
      </c>
      <c r="BL440" s="49" t="s">
        <v>313</v>
      </c>
      <c r="BM440" s="49" t="s">
        <v>310</v>
      </c>
      <c r="BN440" s="48"/>
      <c r="BO440" s="48"/>
      <c r="BP440" s="48"/>
      <c r="BQ440" s="49" t="s">
        <v>1868</v>
      </c>
      <c r="BR440" s="48" t="n">
        <v>46251</v>
      </c>
      <c r="BS440" s="49" t="s">
        <v>1918</v>
      </c>
      <c r="BT440" s="49" t="s">
        <v>312</v>
      </c>
      <c r="BU440" s="49" t="s">
        <v>313</v>
      </c>
      <c r="BV440" s="49" t="s">
        <v>303</v>
      </c>
      <c r="BX440" s="0" t="n">
        <v>1</v>
      </c>
      <c r="CC440" s="49" t="s">
        <v>315</v>
      </c>
      <c r="CD440" s="49" t="s">
        <v>303</v>
      </c>
      <c r="CF440" s="49" t="s">
        <v>303</v>
      </c>
      <c r="CG440" s="49" t="s">
        <v>316</v>
      </c>
      <c r="CH440" s="49" t="s">
        <v>317</v>
      </c>
      <c r="CI440" s="49" t="s">
        <v>318</v>
      </c>
      <c r="CM440" s="49" t="s">
        <v>65</v>
      </c>
      <c r="CV440" s="49" t="s">
        <v>303</v>
      </c>
      <c r="DB440" s="49" t="s">
        <v>319</v>
      </c>
      <c r="DD440" s="48" t="n">
        <v>46217</v>
      </c>
      <c r="DF440" s="49" t="s">
        <v>310</v>
      </c>
      <c r="DG440" s="49" t="s">
        <v>320</v>
      </c>
      <c r="DH440" s="49" t="s">
        <v>64</v>
      </c>
      <c r="DI440" s="49" t="s">
        <v>298</v>
      </c>
      <c r="DJ440" s="49" t="s">
        <v>394</v>
      </c>
      <c r="DK440" s="49" t="s">
        <v>322</v>
      </c>
      <c r="DL440" s="49" t="s">
        <v>323</v>
      </c>
      <c r="DM440" s="49" t="s">
        <v>303</v>
      </c>
      <c r="DN440" s="49" t="s">
        <v>297</v>
      </c>
      <c r="DO440" s="48"/>
      <c r="DP440" s="49" t="s">
        <v>312</v>
      </c>
      <c r="DQ440" s="48"/>
      <c r="DR440" s="49" t="s">
        <v>312</v>
      </c>
      <c r="DS440" s="49" t="s">
        <v>303</v>
      </c>
      <c r="DT440" s="49" t="s">
        <v>303</v>
      </c>
      <c r="DW440" s="49" t="s">
        <v>303</v>
      </c>
      <c r="EA440" s="49" t="s">
        <v>324</v>
      </c>
      <c r="EB440" s="49" t="s">
        <v>303</v>
      </c>
      <c r="EF440" s="49" t="s">
        <v>1874</v>
      </c>
      <c r="EH440" s="49" t="s">
        <v>310</v>
      </c>
      <c r="EJ440" s="49" t="s">
        <v>303</v>
      </c>
      <c r="EK440" s="49" t="s">
        <v>1926</v>
      </c>
      <c r="EM440" s="49" t="s">
        <v>303</v>
      </c>
      <c r="EN440" s="49" t="s">
        <v>396</v>
      </c>
      <c r="EP440" s="49" t="s">
        <v>298</v>
      </c>
      <c r="EQ440" s="0" t="n">
        <v>1</v>
      </c>
      <c r="ER440" s="49" t="s">
        <v>328</v>
      </c>
      <c r="ES440" s="49" t="s">
        <v>329</v>
      </c>
      <c r="ET440" s="49" t="s">
        <v>310</v>
      </c>
      <c r="EU440" s="49" t="s">
        <v>310</v>
      </c>
      <c r="EV440" s="49" t="s">
        <v>310</v>
      </c>
      <c r="EX440" s="49" t="s">
        <v>303</v>
      </c>
      <c r="EY440" s="49" t="s">
        <v>303</v>
      </c>
      <c r="FC440" s="49" t="s">
        <v>330</v>
      </c>
      <c r="FD440" s="49" t="s">
        <v>310</v>
      </c>
      <c r="FE440" s="49" t="s">
        <v>310</v>
      </c>
      <c r="FF440" s="49" t="s">
        <v>64</v>
      </c>
      <c r="FG440" s="49" t="s">
        <v>397</v>
      </c>
      <c r="FH440" s="49" t="s">
        <v>310</v>
      </c>
      <c r="FI440" s="49" t="s">
        <v>332</v>
      </c>
      <c r="FJ440" s="49" t="s">
        <v>303</v>
      </c>
      <c r="FL440" s="49" t="s">
        <v>325</v>
      </c>
      <c r="FM440" s="49" t="s">
        <v>1864</v>
      </c>
      <c r="FP440" s="49" t="s">
        <v>303</v>
      </c>
      <c r="FR440" s="49" t="s">
        <v>303</v>
      </c>
      <c r="FT440" s="49" t="s">
        <v>325</v>
      </c>
      <c r="FU440" s="49" t="s">
        <v>325</v>
      </c>
      <c r="FW440" s="49" t="s">
        <v>333</v>
      </c>
    </row>
    <row r="441" customFormat="false" ht="15" hidden="false" customHeight="false" outlineLevel="0" collapsed="false">
      <c r="A441" s="0" t="n">
        <v>100874156</v>
      </c>
      <c r="B441" s="0" t="s">
        <v>295</v>
      </c>
      <c r="C441" s="0" t="s">
        <v>64</v>
      </c>
      <c r="D441" s="0" t="s">
        <v>65</v>
      </c>
      <c r="E441" s="0" t="s">
        <v>297</v>
      </c>
      <c r="G441" s="0" t="n">
        <v>1</v>
      </c>
      <c r="H441" s="0" t="s">
        <v>298</v>
      </c>
      <c r="I441" s="48" t="n">
        <v>46246</v>
      </c>
      <c r="J441" s="0" t="n">
        <v>1</v>
      </c>
      <c r="K441" s="49" t="s">
        <v>1864</v>
      </c>
      <c r="L441" s="49" t="s">
        <v>335</v>
      </c>
      <c r="M441" s="48" t="n">
        <v>46267</v>
      </c>
      <c r="N441" s="49" t="s">
        <v>1442</v>
      </c>
      <c r="O441" s="49" t="s">
        <v>1052</v>
      </c>
      <c r="P441" s="48"/>
      <c r="Q441" s="48" t="n">
        <v>46246</v>
      </c>
      <c r="R441" s="48" t="n">
        <v>46252</v>
      </c>
      <c r="T441" s="49" t="s">
        <v>302</v>
      </c>
      <c r="U441" s="49" t="s">
        <v>303</v>
      </c>
      <c r="Y441" s="49" t="s">
        <v>1927</v>
      </c>
      <c r="AD441" s="49" t="s">
        <v>305</v>
      </c>
      <c r="AE441" s="48" t="n">
        <v>46217</v>
      </c>
      <c r="AF441" s="49" t="s">
        <v>306</v>
      </c>
      <c r="AG441" s="49" t="s">
        <v>307</v>
      </c>
      <c r="AK441" s="49" t="s">
        <v>1047</v>
      </c>
      <c r="AL441" s="49" t="s">
        <v>297</v>
      </c>
      <c r="AO441" s="49" t="s">
        <v>303</v>
      </c>
      <c r="AP441" s="48"/>
      <c r="AR441" s="49" t="s">
        <v>303</v>
      </c>
      <c r="AS441" s="49" t="s">
        <v>306</v>
      </c>
      <c r="AT441" s="49" t="s">
        <v>1928</v>
      </c>
      <c r="AV441" s="49" t="s">
        <v>309</v>
      </c>
      <c r="AW441" s="49" t="s">
        <v>310</v>
      </c>
      <c r="AX441" s="49" t="s">
        <v>311</v>
      </c>
      <c r="AY441" s="48"/>
      <c r="AZ441" s="48" t="n">
        <v>46244</v>
      </c>
      <c r="BC441" s="49" t="s">
        <v>303</v>
      </c>
      <c r="BD441" s="48" t="n">
        <v>46272</v>
      </c>
      <c r="BE441" s="49" t="s">
        <v>1929</v>
      </c>
      <c r="BF441" s="49" t="s">
        <v>303</v>
      </c>
      <c r="BG441" s="48"/>
      <c r="BI441" s="48" t="n">
        <v>46272</v>
      </c>
      <c r="BJ441" s="48" t="n">
        <v>46251</v>
      </c>
      <c r="BK441" s="49" t="s">
        <v>313</v>
      </c>
      <c r="BL441" s="49" t="s">
        <v>313</v>
      </c>
      <c r="BM441" s="49" t="s">
        <v>310</v>
      </c>
      <c r="BN441" s="48"/>
      <c r="BO441" s="48"/>
      <c r="BP441" s="48"/>
      <c r="BQ441" s="49" t="s">
        <v>1868</v>
      </c>
      <c r="BR441" s="48" t="n">
        <v>46251</v>
      </c>
      <c r="BS441" s="49" t="s">
        <v>1930</v>
      </c>
      <c r="BT441" s="49" t="s">
        <v>312</v>
      </c>
      <c r="BU441" s="49" t="s">
        <v>313</v>
      </c>
      <c r="BV441" s="49" t="s">
        <v>303</v>
      </c>
      <c r="BX441" s="0" t="n">
        <v>1</v>
      </c>
      <c r="CC441" s="49" t="s">
        <v>315</v>
      </c>
      <c r="CD441" s="49" t="s">
        <v>303</v>
      </c>
      <c r="CF441" s="49" t="s">
        <v>303</v>
      </c>
      <c r="CG441" s="49" t="s">
        <v>316</v>
      </c>
      <c r="CH441" s="49" t="s">
        <v>317</v>
      </c>
      <c r="CI441" s="49" t="s">
        <v>318</v>
      </c>
      <c r="CM441" s="49" t="s">
        <v>65</v>
      </c>
      <c r="CV441" s="49" t="s">
        <v>303</v>
      </c>
      <c r="DB441" s="49" t="s">
        <v>319</v>
      </c>
      <c r="DD441" s="48" t="n">
        <v>46217</v>
      </c>
      <c r="DF441" s="49" t="s">
        <v>310</v>
      </c>
      <c r="DG441" s="49" t="s">
        <v>320</v>
      </c>
      <c r="DH441" s="49" t="s">
        <v>64</v>
      </c>
      <c r="DI441" s="49" t="s">
        <v>298</v>
      </c>
      <c r="DJ441" s="49" t="s">
        <v>394</v>
      </c>
      <c r="DK441" s="49" t="s">
        <v>322</v>
      </c>
      <c r="DL441" s="49" t="s">
        <v>323</v>
      </c>
      <c r="DM441" s="49" t="s">
        <v>303</v>
      </c>
      <c r="DN441" s="49" t="s">
        <v>297</v>
      </c>
      <c r="DO441" s="48"/>
      <c r="DP441" s="49" t="s">
        <v>312</v>
      </c>
      <c r="DQ441" s="48"/>
      <c r="DR441" s="49" t="s">
        <v>312</v>
      </c>
      <c r="DS441" s="49" t="s">
        <v>303</v>
      </c>
      <c r="DT441" s="49" t="s">
        <v>303</v>
      </c>
      <c r="DW441" s="49" t="s">
        <v>303</v>
      </c>
      <c r="EA441" s="49" t="s">
        <v>324</v>
      </c>
      <c r="EB441" s="49" t="s">
        <v>303</v>
      </c>
      <c r="EF441" s="49" t="s">
        <v>1874</v>
      </c>
      <c r="EH441" s="49" t="s">
        <v>310</v>
      </c>
      <c r="EJ441" s="49" t="s">
        <v>303</v>
      </c>
      <c r="EK441" s="49" t="s">
        <v>1931</v>
      </c>
      <c r="EM441" s="49" t="s">
        <v>303</v>
      </c>
      <c r="EN441" s="49" t="s">
        <v>396</v>
      </c>
      <c r="EP441" s="49" t="s">
        <v>298</v>
      </c>
      <c r="EQ441" s="0" t="n">
        <v>1</v>
      </c>
      <c r="ER441" s="49" t="s">
        <v>328</v>
      </c>
      <c r="ES441" s="49" t="s">
        <v>329</v>
      </c>
      <c r="ET441" s="49" t="s">
        <v>310</v>
      </c>
      <c r="EU441" s="49" t="s">
        <v>310</v>
      </c>
      <c r="EV441" s="49" t="s">
        <v>310</v>
      </c>
      <c r="EX441" s="49" t="s">
        <v>303</v>
      </c>
      <c r="EY441" s="49" t="s">
        <v>303</v>
      </c>
      <c r="FC441" s="49" t="s">
        <v>330</v>
      </c>
      <c r="FD441" s="49" t="s">
        <v>310</v>
      </c>
      <c r="FE441" s="49" t="s">
        <v>310</v>
      </c>
      <c r="FF441" s="49" t="s">
        <v>64</v>
      </c>
      <c r="FG441" s="49" t="s">
        <v>397</v>
      </c>
      <c r="FH441" s="49" t="s">
        <v>310</v>
      </c>
      <c r="FI441" s="49" t="s">
        <v>332</v>
      </c>
      <c r="FJ441" s="49" t="s">
        <v>303</v>
      </c>
      <c r="FL441" s="49" t="s">
        <v>325</v>
      </c>
      <c r="FM441" s="49" t="s">
        <v>1864</v>
      </c>
      <c r="FP441" s="49" t="s">
        <v>303</v>
      </c>
      <c r="FR441" s="49" t="s">
        <v>303</v>
      </c>
      <c r="FT441" s="49" t="s">
        <v>325</v>
      </c>
      <c r="FU441" s="49" t="s">
        <v>325</v>
      </c>
      <c r="FW441" s="49" t="s">
        <v>333</v>
      </c>
    </row>
    <row r="442" customFormat="false" ht="15" hidden="false" customHeight="false" outlineLevel="0" collapsed="false">
      <c r="A442" s="0" t="n">
        <v>100874157</v>
      </c>
      <c r="B442" s="0" t="s">
        <v>295</v>
      </c>
      <c r="C442" s="0" t="s">
        <v>64</v>
      </c>
      <c r="D442" s="0" t="s">
        <v>65</v>
      </c>
      <c r="E442" s="0" t="s">
        <v>297</v>
      </c>
      <c r="G442" s="0" t="n">
        <v>1</v>
      </c>
      <c r="H442" s="0" t="s">
        <v>298</v>
      </c>
      <c r="I442" s="48" t="n">
        <v>46246</v>
      </c>
      <c r="J442" s="0" t="n">
        <v>1</v>
      </c>
      <c r="K442" s="49" t="s">
        <v>1864</v>
      </c>
      <c r="L442" s="49" t="s">
        <v>335</v>
      </c>
      <c r="M442" s="48" t="n">
        <v>46267</v>
      </c>
      <c r="N442" s="49" t="s">
        <v>1442</v>
      </c>
      <c r="O442" s="49" t="s">
        <v>1052</v>
      </c>
      <c r="P442" s="48"/>
      <c r="Q442" s="48" t="n">
        <v>46246</v>
      </c>
      <c r="R442" s="48" t="n">
        <v>46252</v>
      </c>
      <c r="T442" s="49" t="s">
        <v>302</v>
      </c>
      <c r="U442" s="49" t="s">
        <v>303</v>
      </c>
      <c r="Y442" s="49" t="s">
        <v>1932</v>
      </c>
      <c r="AD442" s="49" t="s">
        <v>305</v>
      </c>
      <c r="AE442" s="48" t="n">
        <v>46217</v>
      </c>
      <c r="AF442" s="49" t="s">
        <v>306</v>
      </c>
      <c r="AG442" s="49" t="s">
        <v>307</v>
      </c>
      <c r="AK442" s="49" t="s">
        <v>1047</v>
      </c>
      <c r="AL442" s="49" t="s">
        <v>297</v>
      </c>
      <c r="AO442" s="49" t="s">
        <v>303</v>
      </c>
      <c r="AP442" s="48"/>
      <c r="AR442" s="49" t="s">
        <v>303</v>
      </c>
      <c r="AS442" s="49" t="s">
        <v>306</v>
      </c>
      <c r="AT442" s="49" t="s">
        <v>1933</v>
      </c>
      <c r="AV442" s="49" t="s">
        <v>309</v>
      </c>
      <c r="AW442" s="49" t="s">
        <v>310</v>
      </c>
      <c r="AX442" s="49" t="s">
        <v>311</v>
      </c>
      <c r="AY442" s="48"/>
      <c r="AZ442" s="48" t="n">
        <v>46244</v>
      </c>
      <c r="BC442" s="49" t="s">
        <v>303</v>
      </c>
      <c r="BD442" s="48" t="n">
        <v>46270</v>
      </c>
      <c r="BE442" s="49" t="s">
        <v>1934</v>
      </c>
      <c r="BF442" s="49" t="s">
        <v>303</v>
      </c>
      <c r="BG442" s="48"/>
      <c r="BI442" s="48" t="n">
        <v>46270</v>
      </c>
      <c r="BJ442" s="48" t="n">
        <v>46251</v>
      </c>
      <c r="BK442" s="49" t="s">
        <v>313</v>
      </c>
      <c r="BL442" s="49" t="s">
        <v>313</v>
      </c>
      <c r="BM442" s="49" t="s">
        <v>310</v>
      </c>
      <c r="BN442" s="48"/>
      <c r="BO442" s="48"/>
      <c r="BP442" s="48"/>
      <c r="BQ442" s="49" t="s">
        <v>1868</v>
      </c>
      <c r="BR442" s="48" t="n">
        <v>46251</v>
      </c>
      <c r="BS442" s="49" t="s">
        <v>1930</v>
      </c>
      <c r="BT442" s="49" t="s">
        <v>312</v>
      </c>
      <c r="BU442" s="49" t="s">
        <v>313</v>
      </c>
      <c r="BV442" s="49" t="s">
        <v>303</v>
      </c>
      <c r="BX442" s="0" t="n">
        <v>1</v>
      </c>
      <c r="CC442" s="49" t="s">
        <v>315</v>
      </c>
      <c r="CD442" s="49" t="s">
        <v>303</v>
      </c>
      <c r="CF442" s="49" t="s">
        <v>303</v>
      </c>
      <c r="CG442" s="49" t="s">
        <v>316</v>
      </c>
      <c r="CH442" s="49" t="s">
        <v>317</v>
      </c>
      <c r="CI442" s="49" t="s">
        <v>318</v>
      </c>
      <c r="CM442" s="49" t="s">
        <v>65</v>
      </c>
      <c r="CV442" s="49" t="s">
        <v>303</v>
      </c>
      <c r="DB442" s="49" t="s">
        <v>319</v>
      </c>
      <c r="DD442" s="48" t="n">
        <v>46217</v>
      </c>
      <c r="DF442" s="49" t="s">
        <v>310</v>
      </c>
      <c r="DG442" s="49" t="s">
        <v>320</v>
      </c>
      <c r="DH442" s="49" t="s">
        <v>64</v>
      </c>
      <c r="DI442" s="49" t="s">
        <v>298</v>
      </c>
      <c r="DJ442" s="49" t="s">
        <v>394</v>
      </c>
      <c r="DK442" s="49" t="s">
        <v>322</v>
      </c>
      <c r="DL442" s="49" t="s">
        <v>323</v>
      </c>
      <c r="DM442" s="49" t="s">
        <v>303</v>
      </c>
      <c r="DN442" s="49" t="s">
        <v>297</v>
      </c>
      <c r="DO442" s="48"/>
      <c r="DP442" s="49" t="s">
        <v>312</v>
      </c>
      <c r="DQ442" s="48"/>
      <c r="DR442" s="49" t="s">
        <v>312</v>
      </c>
      <c r="DS442" s="49" t="s">
        <v>303</v>
      </c>
      <c r="DT442" s="49" t="s">
        <v>303</v>
      </c>
      <c r="DW442" s="49" t="s">
        <v>303</v>
      </c>
      <c r="EA442" s="49" t="s">
        <v>324</v>
      </c>
      <c r="EB442" s="49" t="s">
        <v>303</v>
      </c>
      <c r="EF442" s="49" t="s">
        <v>1874</v>
      </c>
      <c r="EH442" s="49" t="s">
        <v>310</v>
      </c>
      <c r="EJ442" s="49" t="s">
        <v>303</v>
      </c>
      <c r="EK442" s="49" t="s">
        <v>1935</v>
      </c>
      <c r="EM442" s="49" t="s">
        <v>303</v>
      </c>
      <c r="EN442" s="49" t="s">
        <v>396</v>
      </c>
      <c r="EP442" s="49" t="s">
        <v>298</v>
      </c>
      <c r="EQ442" s="0" t="n">
        <v>1</v>
      </c>
      <c r="ER442" s="49" t="s">
        <v>328</v>
      </c>
      <c r="ES442" s="49" t="s">
        <v>329</v>
      </c>
      <c r="ET442" s="49" t="s">
        <v>310</v>
      </c>
      <c r="EU442" s="49" t="s">
        <v>310</v>
      </c>
      <c r="EV442" s="49" t="s">
        <v>310</v>
      </c>
      <c r="EX442" s="49" t="s">
        <v>303</v>
      </c>
      <c r="EY442" s="49" t="s">
        <v>303</v>
      </c>
      <c r="FC442" s="49" t="s">
        <v>330</v>
      </c>
      <c r="FD442" s="49" t="s">
        <v>310</v>
      </c>
      <c r="FE442" s="49" t="s">
        <v>310</v>
      </c>
      <c r="FF442" s="49" t="s">
        <v>64</v>
      </c>
      <c r="FG442" s="49" t="s">
        <v>397</v>
      </c>
      <c r="FH442" s="49" t="s">
        <v>310</v>
      </c>
      <c r="FI442" s="49" t="s">
        <v>332</v>
      </c>
      <c r="FJ442" s="49" t="s">
        <v>303</v>
      </c>
      <c r="FL442" s="49" t="s">
        <v>325</v>
      </c>
      <c r="FM442" s="49" t="s">
        <v>1864</v>
      </c>
      <c r="FP442" s="49" t="s">
        <v>303</v>
      </c>
      <c r="FR442" s="49" t="s">
        <v>303</v>
      </c>
      <c r="FT442" s="49" t="s">
        <v>325</v>
      </c>
      <c r="FU442" s="49" t="s">
        <v>325</v>
      </c>
      <c r="FW442" s="49" t="s">
        <v>333</v>
      </c>
    </row>
    <row r="443" customFormat="false" ht="15" hidden="false" customHeight="false" outlineLevel="0" collapsed="false">
      <c r="A443" s="0" t="n">
        <v>100874158</v>
      </c>
      <c r="B443" s="0" t="s">
        <v>295</v>
      </c>
      <c r="C443" s="0" t="s">
        <v>64</v>
      </c>
      <c r="D443" s="0" t="s">
        <v>65</v>
      </c>
      <c r="E443" s="0" t="s">
        <v>297</v>
      </c>
      <c r="G443" s="0" t="n">
        <v>1</v>
      </c>
      <c r="H443" s="0" t="s">
        <v>298</v>
      </c>
      <c r="I443" s="48" t="n">
        <v>46246</v>
      </c>
      <c r="J443" s="0" t="n">
        <v>1</v>
      </c>
      <c r="K443" s="49" t="s">
        <v>1864</v>
      </c>
      <c r="L443" s="49" t="s">
        <v>335</v>
      </c>
      <c r="M443" s="48" t="n">
        <v>46267</v>
      </c>
      <c r="N443" s="49" t="s">
        <v>1442</v>
      </c>
      <c r="O443" s="49" t="s">
        <v>1052</v>
      </c>
      <c r="P443" s="48"/>
      <c r="Q443" s="48" t="n">
        <v>46246</v>
      </c>
      <c r="R443" s="48" t="n">
        <v>46252</v>
      </c>
      <c r="T443" s="49" t="s">
        <v>302</v>
      </c>
      <c r="U443" s="49" t="s">
        <v>303</v>
      </c>
      <c r="Y443" s="49" t="s">
        <v>1936</v>
      </c>
      <c r="AD443" s="49" t="s">
        <v>305</v>
      </c>
      <c r="AE443" s="48" t="n">
        <v>46217</v>
      </c>
      <c r="AF443" s="49" t="s">
        <v>306</v>
      </c>
      <c r="AG443" s="49" t="s">
        <v>307</v>
      </c>
      <c r="AK443" s="49" t="s">
        <v>1047</v>
      </c>
      <c r="AL443" s="49" t="s">
        <v>297</v>
      </c>
      <c r="AO443" s="49" t="s">
        <v>303</v>
      </c>
      <c r="AP443" s="48"/>
      <c r="AR443" s="49" t="s">
        <v>303</v>
      </c>
      <c r="AS443" s="49" t="s">
        <v>306</v>
      </c>
      <c r="AT443" s="49" t="s">
        <v>1937</v>
      </c>
      <c r="AV443" s="49" t="s">
        <v>309</v>
      </c>
      <c r="AW443" s="49" t="s">
        <v>310</v>
      </c>
      <c r="AX443" s="49" t="s">
        <v>311</v>
      </c>
      <c r="AY443" s="48"/>
      <c r="AZ443" s="48" t="n">
        <v>46244</v>
      </c>
      <c r="BC443" s="49" t="s">
        <v>303</v>
      </c>
      <c r="BD443" s="48" t="n">
        <v>46270</v>
      </c>
      <c r="BE443" s="49" t="s">
        <v>1938</v>
      </c>
      <c r="BF443" s="49" t="s">
        <v>303</v>
      </c>
      <c r="BG443" s="48"/>
      <c r="BI443" s="48" t="n">
        <v>46270</v>
      </c>
      <c r="BJ443" s="48" t="n">
        <v>46251</v>
      </c>
      <c r="BK443" s="49" t="s">
        <v>313</v>
      </c>
      <c r="BL443" s="49" t="s">
        <v>313</v>
      </c>
      <c r="BM443" s="49" t="s">
        <v>310</v>
      </c>
      <c r="BN443" s="48"/>
      <c r="BO443" s="48"/>
      <c r="BP443" s="48"/>
      <c r="BQ443" s="49" t="s">
        <v>1868</v>
      </c>
      <c r="BR443" s="48" t="n">
        <v>46251</v>
      </c>
      <c r="BS443" s="49" t="s">
        <v>1930</v>
      </c>
      <c r="BT443" s="49" t="s">
        <v>312</v>
      </c>
      <c r="BU443" s="49" t="s">
        <v>313</v>
      </c>
      <c r="BV443" s="49" t="s">
        <v>303</v>
      </c>
      <c r="BX443" s="0" t="n">
        <v>1</v>
      </c>
      <c r="CC443" s="49" t="s">
        <v>315</v>
      </c>
      <c r="CD443" s="49" t="s">
        <v>303</v>
      </c>
      <c r="CF443" s="49" t="s">
        <v>303</v>
      </c>
      <c r="CG443" s="49" t="s">
        <v>316</v>
      </c>
      <c r="CH443" s="49" t="s">
        <v>317</v>
      </c>
      <c r="CI443" s="49" t="s">
        <v>318</v>
      </c>
      <c r="CM443" s="49" t="s">
        <v>65</v>
      </c>
      <c r="CV443" s="49" t="s">
        <v>303</v>
      </c>
      <c r="DB443" s="49" t="s">
        <v>319</v>
      </c>
      <c r="DD443" s="48" t="n">
        <v>46217</v>
      </c>
      <c r="DF443" s="49" t="s">
        <v>310</v>
      </c>
      <c r="DG443" s="49" t="s">
        <v>320</v>
      </c>
      <c r="DH443" s="49" t="s">
        <v>64</v>
      </c>
      <c r="DI443" s="49" t="s">
        <v>298</v>
      </c>
      <c r="DJ443" s="49" t="s">
        <v>394</v>
      </c>
      <c r="DK443" s="49" t="s">
        <v>322</v>
      </c>
      <c r="DL443" s="49" t="s">
        <v>323</v>
      </c>
      <c r="DM443" s="49" t="s">
        <v>303</v>
      </c>
      <c r="DN443" s="49" t="s">
        <v>297</v>
      </c>
      <c r="DO443" s="48"/>
      <c r="DP443" s="49" t="s">
        <v>312</v>
      </c>
      <c r="DQ443" s="48"/>
      <c r="DR443" s="49" t="s">
        <v>312</v>
      </c>
      <c r="DS443" s="49" t="s">
        <v>303</v>
      </c>
      <c r="DT443" s="49" t="s">
        <v>303</v>
      </c>
      <c r="DW443" s="49" t="s">
        <v>303</v>
      </c>
      <c r="EA443" s="49" t="s">
        <v>324</v>
      </c>
      <c r="EB443" s="49" t="s">
        <v>303</v>
      </c>
      <c r="EF443" s="49" t="s">
        <v>1874</v>
      </c>
      <c r="EH443" s="49" t="s">
        <v>310</v>
      </c>
      <c r="EJ443" s="49" t="s">
        <v>303</v>
      </c>
      <c r="EK443" s="49" t="s">
        <v>1939</v>
      </c>
      <c r="EM443" s="49" t="s">
        <v>303</v>
      </c>
      <c r="EN443" s="49" t="s">
        <v>396</v>
      </c>
      <c r="EP443" s="49" t="s">
        <v>298</v>
      </c>
      <c r="EQ443" s="0" t="n">
        <v>1</v>
      </c>
      <c r="ER443" s="49" t="s">
        <v>328</v>
      </c>
      <c r="ES443" s="49" t="s">
        <v>329</v>
      </c>
      <c r="ET443" s="49" t="s">
        <v>310</v>
      </c>
      <c r="EU443" s="49" t="s">
        <v>310</v>
      </c>
      <c r="EV443" s="49" t="s">
        <v>310</v>
      </c>
      <c r="EX443" s="49" t="s">
        <v>303</v>
      </c>
      <c r="EY443" s="49" t="s">
        <v>303</v>
      </c>
      <c r="FC443" s="49" t="s">
        <v>330</v>
      </c>
      <c r="FD443" s="49" t="s">
        <v>310</v>
      </c>
      <c r="FE443" s="49" t="s">
        <v>310</v>
      </c>
      <c r="FF443" s="49" t="s">
        <v>64</v>
      </c>
      <c r="FG443" s="49" t="s">
        <v>397</v>
      </c>
      <c r="FH443" s="49" t="s">
        <v>310</v>
      </c>
      <c r="FI443" s="49" t="s">
        <v>332</v>
      </c>
      <c r="FJ443" s="49" t="s">
        <v>303</v>
      </c>
      <c r="FL443" s="49" t="s">
        <v>325</v>
      </c>
      <c r="FM443" s="49" t="s">
        <v>1864</v>
      </c>
      <c r="FP443" s="49" t="s">
        <v>303</v>
      </c>
      <c r="FR443" s="49" t="s">
        <v>303</v>
      </c>
      <c r="FT443" s="49" t="s">
        <v>325</v>
      </c>
      <c r="FU443" s="49" t="s">
        <v>325</v>
      </c>
      <c r="FW443" s="49" t="s">
        <v>333</v>
      </c>
    </row>
    <row r="444" customFormat="false" ht="15" hidden="false" customHeight="false" outlineLevel="0" collapsed="false">
      <c r="A444" s="0" t="n">
        <v>100874161</v>
      </c>
      <c r="B444" s="0" t="s">
        <v>295</v>
      </c>
      <c r="C444" s="0" t="s">
        <v>64</v>
      </c>
      <c r="D444" s="0" t="s">
        <v>65</v>
      </c>
      <c r="E444" s="0" t="s">
        <v>297</v>
      </c>
      <c r="G444" s="0" t="n">
        <v>1</v>
      </c>
      <c r="H444" s="0" t="s">
        <v>298</v>
      </c>
      <c r="I444" s="48" t="n">
        <v>46246</v>
      </c>
      <c r="J444" s="0" t="n">
        <v>1</v>
      </c>
      <c r="K444" s="49" t="s">
        <v>1864</v>
      </c>
      <c r="L444" s="49" t="s">
        <v>335</v>
      </c>
      <c r="M444" s="48" t="n">
        <v>46271</v>
      </c>
      <c r="N444" s="49" t="s">
        <v>1204</v>
      </c>
      <c r="O444" s="49" t="s">
        <v>1052</v>
      </c>
      <c r="P444" s="48"/>
      <c r="Q444" s="48" t="n">
        <v>46246</v>
      </c>
      <c r="R444" s="48" t="n">
        <v>46253</v>
      </c>
      <c r="T444" s="49" t="s">
        <v>302</v>
      </c>
      <c r="U444" s="49" t="s">
        <v>303</v>
      </c>
      <c r="Y444" s="49" t="s">
        <v>1940</v>
      </c>
      <c r="AD444" s="49" t="s">
        <v>305</v>
      </c>
      <c r="AE444" s="48" t="n">
        <v>46224</v>
      </c>
      <c r="AF444" s="49" t="s">
        <v>306</v>
      </c>
      <c r="AG444" s="49" t="s">
        <v>307</v>
      </c>
      <c r="AK444" s="49" t="s">
        <v>1047</v>
      </c>
      <c r="AL444" s="49" t="s">
        <v>297</v>
      </c>
      <c r="AO444" s="49" t="s">
        <v>303</v>
      </c>
      <c r="AP444" s="48"/>
      <c r="AR444" s="49" t="s">
        <v>303</v>
      </c>
      <c r="AS444" s="49" t="s">
        <v>306</v>
      </c>
      <c r="AT444" s="49" t="s">
        <v>1941</v>
      </c>
      <c r="AV444" s="49" t="s">
        <v>309</v>
      </c>
      <c r="AW444" s="49" t="s">
        <v>310</v>
      </c>
      <c r="AX444" s="49" t="s">
        <v>311</v>
      </c>
      <c r="AY444" s="48"/>
      <c r="AZ444" s="48" t="n">
        <v>46244</v>
      </c>
      <c r="BC444" s="49" t="s">
        <v>303</v>
      </c>
      <c r="BD444" s="48" t="n">
        <v>46271</v>
      </c>
      <c r="BE444" s="49" t="s">
        <v>1942</v>
      </c>
      <c r="BF444" s="49" t="s">
        <v>303</v>
      </c>
      <c r="BG444" s="48"/>
      <c r="BI444" s="48" t="n">
        <v>46271</v>
      </c>
      <c r="BJ444" s="48" t="n">
        <v>46251</v>
      </c>
      <c r="BK444" s="49" t="s">
        <v>312</v>
      </c>
      <c r="BL444" s="49" t="s">
        <v>313</v>
      </c>
      <c r="BM444" s="49" t="s">
        <v>310</v>
      </c>
      <c r="BN444" s="48"/>
      <c r="BO444" s="48"/>
      <c r="BP444" s="48"/>
      <c r="BQ444" s="49" t="s">
        <v>1868</v>
      </c>
      <c r="BR444" s="48" t="n">
        <v>46251</v>
      </c>
      <c r="BS444" s="49" t="s">
        <v>1930</v>
      </c>
      <c r="BT444" s="49" t="s">
        <v>312</v>
      </c>
      <c r="BU444" s="49" t="s">
        <v>313</v>
      </c>
      <c r="BV444" s="49" t="s">
        <v>303</v>
      </c>
      <c r="BX444" s="0" t="n">
        <v>1</v>
      </c>
      <c r="CC444" s="49" t="s">
        <v>315</v>
      </c>
      <c r="CD444" s="49" t="s">
        <v>303</v>
      </c>
      <c r="CF444" s="49" t="s">
        <v>303</v>
      </c>
      <c r="CG444" s="49" t="s">
        <v>316</v>
      </c>
      <c r="CH444" s="49" t="s">
        <v>317</v>
      </c>
      <c r="CI444" s="49" t="s">
        <v>318</v>
      </c>
      <c r="CM444" s="49" t="s">
        <v>65</v>
      </c>
      <c r="CV444" s="49" t="s">
        <v>303</v>
      </c>
      <c r="DB444" s="49" t="s">
        <v>319</v>
      </c>
      <c r="DD444" s="48" t="n">
        <v>46224</v>
      </c>
      <c r="DF444" s="49" t="s">
        <v>310</v>
      </c>
      <c r="DG444" s="49" t="s">
        <v>320</v>
      </c>
      <c r="DH444" s="49" t="s">
        <v>64</v>
      </c>
      <c r="DI444" s="49" t="s">
        <v>298</v>
      </c>
      <c r="DJ444" s="49" t="s">
        <v>394</v>
      </c>
      <c r="DK444" s="49" t="s">
        <v>322</v>
      </c>
      <c r="DL444" s="49" t="s">
        <v>323</v>
      </c>
      <c r="DM444" s="49" t="s">
        <v>303</v>
      </c>
      <c r="DN444" s="49" t="s">
        <v>297</v>
      </c>
      <c r="DO444" s="48"/>
      <c r="DP444" s="49" t="s">
        <v>312</v>
      </c>
      <c r="DQ444" s="48"/>
      <c r="DR444" s="49" t="s">
        <v>312</v>
      </c>
      <c r="DS444" s="49" t="s">
        <v>303</v>
      </c>
      <c r="DT444" s="49" t="s">
        <v>303</v>
      </c>
      <c r="DW444" s="49" t="s">
        <v>303</v>
      </c>
      <c r="EA444" s="49" t="s">
        <v>324</v>
      </c>
      <c r="EB444" s="49" t="s">
        <v>303</v>
      </c>
      <c r="EH444" s="49" t="s">
        <v>310</v>
      </c>
      <c r="EJ444" s="49" t="s">
        <v>303</v>
      </c>
      <c r="EK444" s="49" t="s">
        <v>1943</v>
      </c>
      <c r="EM444" s="49" t="s">
        <v>303</v>
      </c>
      <c r="EN444" s="49" t="s">
        <v>396</v>
      </c>
      <c r="EP444" s="49" t="s">
        <v>298</v>
      </c>
      <c r="EQ444" s="0" t="n">
        <v>1</v>
      </c>
      <c r="ER444" s="49" t="s">
        <v>328</v>
      </c>
      <c r="ES444" s="49" t="s">
        <v>329</v>
      </c>
      <c r="ET444" s="49" t="s">
        <v>310</v>
      </c>
      <c r="EU444" s="49" t="s">
        <v>310</v>
      </c>
      <c r="EV444" s="49" t="s">
        <v>310</v>
      </c>
      <c r="EX444" s="49" t="s">
        <v>303</v>
      </c>
      <c r="EY444" s="49" t="s">
        <v>303</v>
      </c>
      <c r="FC444" s="49" t="s">
        <v>330</v>
      </c>
      <c r="FD444" s="49" t="s">
        <v>310</v>
      </c>
      <c r="FE444" s="49" t="s">
        <v>310</v>
      </c>
      <c r="FF444" s="49" t="s">
        <v>64</v>
      </c>
      <c r="FG444" s="49" t="s">
        <v>397</v>
      </c>
      <c r="FH444" s="49" t="s">
        <v>310</v>
      </c>
      <c r="FI444" s="49" t="s">
        <v>332</v>
      </c>
      <c r="FJ444" s="49" t="s">
        <v>303</v>
      </c>
      <c r="FL444" s="49" t="s">
        <v>325</v>
      </c>
      <c r="FM444" s="49" t="s">
        <v>1864</v>
      </c>
      <c r="FP444" s="49" t="s">
        <v>303</v>
      </c>
      <c r="FR444" s="49" t="s">
        <v>303</v>
      </c>
      <c r="FT444" s="49" t="s">
        <v>325</v>
      </c>
      <c r="FU444" s="49" t="s">
        <v>325</v>
      </c>
      <c r="FW444" s="49" t="s">
        <v>333</v>
      </c>
    </row>
    <row r="445" customFormat="false" ht="15" hidden="false" customHeight="false" outlineLevel="0" collapsed="false">
      <c r="A445" s="0" t="n">
        <v>100874162</v>
      </c>
      <c r="B445" s="0" t="s">
        <v>295</v>
      </c>
      <c r="C445" s="0" t="s">
        <v>64</v>
      </c>
      <c r="D445" s="0" t="s">
        <v>65</v>
      </c>
      <c r="E445" s="0" t="s">
        <v>297</v>
      </c>
      <c r="G445" s="0" t="n">
        <v>1</v>
      </c>
      <c r="H445" s="0" t="s">
        <v>298</v>
      </c>
      <c r="I445" s="48" t="n">
        <v>46246</v>
      </c>
      <c r="J445" s="0" t="n">
        <v>1</v>
      </c>
      <c r="K445" s="49" t="s">
        <v>1864</v>
      </c>
      <c r="L445" s="49" t="s">
        <v>335</v>
      </c>
      <c r="M445" s="48" t="n">
        <v>46271</v>
      </c>
      <c r="N445" s="49" t="s">
        <v>1204</v>
      </c>
      <c r="O445" s="49" t="s">
        <v>1052</v>
      </c>
      <c r="P445" s="48"/>
      <c r="Q445" s="48" t="n">
        <v>46246</v>
      </c>
      <c r="R445" s="48" t="n">
        <v>46252</v>
      </c>
      <c r="T445" s="49" t="s">
        <v>302</v>
      </c>
      <c r="U445" s="49" t="s">
        <v>303</v>
      </c>
      <c r="Y445" s="49" t="s">
        <v>1944</v>
      </c>
      <c r="AD445" s="49" t="s">
        <v>305</v>
      </c>
      <c r="AE445" s="48" t="n">
        <v>46224</v>
      </c>
      <c r="AF445" s="49" t="s">
        <v>306</v>
      </c>
      <c r="AG445" s="49" t="s">
        <v>307</v>
      </c>
      <c r="AK445" s="49" t="s">
        <v>1047</v>
      </c>
      <c r="AL445" s="49" t="s">
        <v>297</v>
      </c>
      <c r="AO445" s="49" t="s">
        <v>303</v>
      </c>
      <c r="AP445" s="48"/>
      <c r="AR445" s="49" t="s">
        <v>303</v>
      </c>
      <c r="AS445" s="49" t="s">
        <v>306</v>
      </c>
      <c r="AT445" s="49" t="s">
        <v>1945</v>
      </c>
      <c r="AV445" s="49" t="s">
        <v>309</v>
      </c>
      <c r="AW445" s="49" t="s">
        <v>310</v>
      </c>
      <c r="AX445" s="49" t="s">
        <v>311</v>
      </c>
      <c r="AY445" s="48"/>
      <c r="AZ445" s="48" t="n">
        <v>46244</v>
      </c>
      <c r="BC445" s="49" t="s">
        <v>303</v>
      </c>
      <c r="BD445" s="48" t="n">
        <v>46271</v>
      </c>
      <c r="BE445" s="49" t="s">
        <v>1946</v>
      </c>
      <c r="BF445" s="49" t="s">
        <v>303</v>
      </c>
      <c r="BG445" s="48"/>
      <c r="BI445" s="48" t="n">
        <v>46271</v>
      </c>
      <c r="BJ445" s="48" t="n">
        <v>46251</v>
      </c>
      <c r="BK445" s="49" t="s">
        <v>313</v>
      </c>
      <c r="BL445" s="49" t="s">
        <v>313</v>
      </c>
      <c r="BM445" s="49" t="s">
        <v>310</v>
      </c>
      <c r="BN445" s="48"/>
      <c r="BO445" s="48"/>
      <c r="BP445" s="48"/>
      <c r="BQ445" s="49" t="s">
        <v>1868</v>
      </c>
      <c r="BR445" s="48" t="n">
        <v>46251</v>
      </c>
      <c r="BS445" s="49" t="s">
        <v>1430</v>
      </c>
      <c r="BT445" s="49" t="s">
        <v>312</v>
      </c>
      <c r="BU445" s="49" t="s">
        <v>313</v>
      </c>
      <c r="BV445" s="49" t="s">
        <v>303</v>
      </c>
      <c r="BX445" s="0" t="n">
        <v>1</v>
      </c>
      <c r="CC445" s="49" t="s">
        <v>315</v>
      </c>
      <c r="CD445" s="49" t="s">
        <v>303</v>
      </c>
      <c r="CF445" s="49" t="s">
        <v>303</v>
      </c>
      <c r="CG445" s="49" t="s">
        <v>316</v>
      </c>
      <c r="CH445" s="49" t="s">
        <v>317</v>
      </c>
      <c r="CI445" s="49" t="s">
        <v>318</v>
      </c>
      <c r="CM445" s="49" t="s">
        <v>65</v>
      </c>
      <c r="CV445" s="49" t="s">
        <v>303</v>
      </c>
      <c r="DB445" s="49" t="s">
        <v>319</v>
      </c>
      <c r="DD445" s="48" t="n">
        <v>46224</v>
      </c>
      <c r="DF445" s="49" t="s">
        <v>310</v>
      </c>
      <c r="DG445" s="49" t="s">
        <v>320</v>
      </c>
      <c r="DH445" s="49" t="s">
        <v>64</v>
      </c>
      <c r="DI445" s="49" t="s">
        <v>298</v>
      </c>
      <c r="DJ445" s="49" t="s">
        <v>394</v>
      </c>
      <c r="DK445" s="49" t="s">
        <v>322</v>
      </c>
      <c r="DL445" s="49" t="s">
        <v>323</v>
      </c>
      <c r="DM445" s="49" t="s">
        <v>303</v>
      </c>
      <c r="DN445" s="49" t="s">
        <v>297</v>
      </c>
      <c r="DO445" s="48"/>
      <c r="DP445" s="49" t="s">
        <v>312</v>
      </c>
      <c r="DQ445" s="48"/>
      <c r="DR445" s="49" t="s">
        <v>312</v>
      </c>
      <c r="DS445" s="49" t="s">
        <v>303</v>
      </c>
      <c r="DT445" s="49" t="s">
        <v>303</v>
      </c>
      <c r="DW445" s="49" t="s">
        <v>303</v>
      </c>
      <c r="EA445" s="49" t="s">
        <v>324</v>
      </c>
      <c r="EB445" s="49" t="s">
        <v>303</v>
      </c>
      <c r="EF445" s="49" t="s">
        <v>1947</v>
      </c>
      <c r="EH445" s="49" t="s">
        <v>310</v>
      </c>
      <c r="EJ445" s="49" t="s">
        <v>303</v>
      </c>
      <c r="EK445" s="49" t="s">
        <v>1948</v>
      </c>
      <c r="EM445" s="49" t="s">
        <v>303</v>
      </c>
      <c r="EN445" s="49" t="s">
        <v>396</v>
      </c>
      <c r="EP445" s="49" t="s">
        <v>298</v>
      </c>
      <c r="EQ445" s="0" t="n">
        <v>1</v>
      </c>
      <c r="ER445" s="49" t="s">
        <v>328</v>
      </c>
      <c r="ES445" s="49" t="s">
        <v>329</v>
      </c>
      <c r="ET445" s="49" t="s">
        <v>310</v>
      </c>
      <c r="EU445" s="49" t="s">
        <v>310</v>
      </c>
      <c r="EV445" s="49" t="s">
        <v>310</v>
      </c>
      <c r="EX445" s="49" t="s">
        <v>303</v>
      </c>
      <c r="EY445" s="49" t="s">
        <v>303</v>
      </c>
      <c r="FC445" s="49" t="s">
        <v>330</v>
      </c>
      <c r="FD445" s="49" t="s">
        <v>310</v>
      </c>
      <c r="FE445" s="49" t="s">
        <v>310</v>
      </c>
      <c r="FF445" s="49" t="s">
        <v>64</v>
      </c>
      <c r="FG445" s="49" t="s">
        <v>397</v>
      </c>
      <c r="FH445" s="49" t="s">
        <v>310</v>
      </c>
      <c r="FI445" s="49" t="s">
        <v>332</v>
      </c>
      <c r="FJ445" s="49" t="s">
        <v>303</v>
      </c>
      <c r="FL445" s="49" t="s">
        <v>325</v>
      </c>
      <c r="FM445" s="49" t="s">
        <v>1864</v>
      </c>
      <c r="FP445" s="49" t="s">
        <v>303</v>
      </c>
      <c r="FR445" s="49" t="s">
        <v>303</v>
      </c>
      <c r="FT445" s="49" t="s">
        <v>325</v>
      </c>
      <c r="FU445" s="49" t="s">
        <v>325</v>
      </c>
      <c r="FW445" s="49" t="s">
        <v>333</v>
      </c>
    </row>
    <row r="446" customFormat="false" ht="15" hidden="false" customHeight="false" outlineLevel="0" collapsed="false">
      <c r="A446" s="0" t="n">
        <v>100874163</v>
      </c>
      <c r="B446" s="0" t="s">
        <v>295</v>
      </c>
      <c r="C446" s="0" t="s">
        <v>64</v>
      </c>
      <c r="D446" s="0" t="s">
        <v>65</v>
      </c>
      <c r="E446" s="0" t="s">
        <v>297</v>
      </c>
      <c r="G446" s="0" t="n">
        <v>1</v>
      </c>
      <c r="H446" s="0" t="s">
        <v>298</v>
      </c>
      <c r="I446" s="48" t="n">
        <v>46246</v>
      </c>
      <c r="J446" s="0" t="n">
        <v>1</v>
      </c>
      <c r="K446" s="49" t="s">
        <v>1864</v>
      </c>
      <c r="L446" s="49" t="s">
        <v>335</v>
      </c>
      <c r="M446" s="48" t="n">
        <v>46271</v>
      </c>
      <c r="N446" s="49" t="s">
        <v>1204</v>
      </c>
      <c r="O446" s="49" t="s">
        <v>1052</v>
      </c>
      <c r="P446" s="48"/>
      <c r="Q446" s="48" t="n">
        <v>46246</v>
      </c>
      <c r="R446" s="48" t="n">
        <v>46252</v>
      </c>
      <c r="T446" s="49" t="s">
        <v>302</v>
      </c>
      <c r="U446" s="49" t="s">
        <v>303</v>
      </c>
      <c r="Y446" s="49" t="s">
        <v>1949</v>
      </c>
      <c r="AD446" s="49" t="s">
        <v>305</v>
      </c>
      <c r="AE446" s="48" t="n">
        <v>46224</v>
      </c>
      <c r="AF446" s="49" t="s">
        <v>306</v>
      </c>
      <c r="AG446" s="49" t="s">
        <v>307</v>
      </c>
      <c r="AK446" s="49" t="s">
        <v>1047</v>
      </c>
      <c r="AL446" s="49" t="s">
        <v>297</v>
      </c>
      <c r="AO446" s="49" t="s">
        <v>303</v>
      </c>
      <c r="AP446" s="48"/>
      <c r="AR446" s="49" t="s">
        <v>303</v>
      </c>
      <c r="AS446" s="49" t="s">
        <v>306</v>
      </c>
      <c r="AT446" s="49" t="s">
        <v>1950</v>
      </c>
      <c r="AV446" s="49" t="s">
        <v>309</v>
      </c>
      <c r="AW446" s="49" t="s">
        <v>310</v>
      </c>
      <c r="AX446" s="49" t="s">
        <v>311</v>
      </c>
      <c r="AY446" s="48"/>
      <c r="AZ446" s="48" t="n">
        <v>46244</v>
      </c>
      <c r="BC446" s="49" t="s">
        <v>303</v>
      </c>
      <c r="BD446" s="48" t="n">
        <v>46271</v>
      </c>
      <c r="BE446" s="49" t="s">
        <v>1951</v>
      </c>
      <c r="BF446" s="49" t="s">
        <v>303</v>
      </c>
      <c r="BG446" s="48"/>
      <c r="BI446" s="48" t="n">
        <v>46271</v>
      </c>
      <c r="BJ446" s="48" t="n">
        <v>46251</v>
      </c>
      <c r="BK446" s="49" t="s">
        <v>313</v>
      </c>
      <c r="BL446" s="49" t="s">
        <v>313</v>
      </c>
      <c r="BM446" s="49" t="s">
        <v>310</v>
      </c>
      <c r="BN446" s="48"/>
      <c r="BO446" s="48"/>
      <c r="BP446" s="48"/>
      <c r="BQ446" s="49" t="s">
        <v>1868</v>
      </c>
      <c r="BR446" s="48" t="n">
        <v>46251</v>
      </c>
      <c r="BS446" s="49" t="s">
        <v>1430</v>
      </c>
      <c r="BT446" s="49" t="s">
        <v>312</v>
      </c>
      <c r="BU446" s="49" t="s">
        <v>313</v>
      </c>
      <c r="BV446" s="49" t="s">
        <v>303</v>
      </c>
      <c r="BX446" s="0" t="n">
        <v>1</v>
      </c>
      <c r="CC446" s="49" t="s">
        <v>315</v>
      </c>
      <c r="CD446" s="49" t="s">
        <v>303</v>
      </c>
      <c r="CF446" s="49" t="s">
        <v>303</v>
      </c>
      <c r="CG446" s="49" t="s">
        <v>316</v>
      </c>
      <c r="CH446" s="49" t="s">
        <v>317</v>
      </c>
      <c r="CI446" s="49" t="s">
        <v>318</v>
      </c>
      <c r="CM446" s="49" t="s">
        <v>65</v>
      </c>
      <c r="CV446" s="49" t="s">
        <v>303</v>
      </c>
      <c r="DB446" s="49" t="s">
        <v>319</v>
      </c>
      <c r="DD446" s="48" t="n">
        <v>46224</v>
      </c>
      <c r="DF446" s="49" t="s">
        <v>310</v>
      </c>
      <c r="DG446" s="49" t="s">
        <v>320</v>
      </c>
      <c r="DH446" s="49" t="s">
        <v>64</v>
      </c>
      <c r="DI446" s="49" t="s">
        <v>298</v>
      </c>
      <c r="DJ446" s="49" t="s">
        <v>394</v>
      </c>
      <c r="DK446" s="49" t="s">
        <v>322</v>
      </c>
      <c r="DL446" s="49" t="s">
        <v>323</v>
      </c>
      <c r="DM446" s="49" t="s">
        <v>303</v>
      </c>
      <c r="DN446" s="49" t="s">
        <v>297</v>
      </c>
      <c r="DO446" s="48"/>
      <c r="DP446" s="49" t="s">
        <v>312</v>
      </c>
      <c r="DQ446" s="48"/>
      <c r="DR446" s="49" t="s">
        <v>312</v>
      </c>
      <c r="DS446" s="49" t="s">
        <v>303</v>
      </c>
      <c r="DT446" s="49" t="s">
        <v>303</v>
      </c>
      <c r="DW446" s="49" t="s">
        <v>303</v>
      </c>
      <c r="EA446" s="49" t="s">
        <v>324</v>
      </c>
      <c r="EB446" s="49" t="s">
        <v>303</v>
      </c>
      <c r="EF446" s="49" t="s">
        <v>1947</v>
      </c>
      <c r="EH446" s="49" t="s">
        <v>310</v>
      </c>
      <c r="EJ446" s="49" t="s">
        <v>303</v>
      </c>
      <c r="EK446" s="49" t="s">
        <v>1952</v>
      </c>
      <c r="EM446" s="49" t="s">
        <v>303</v>
      </c>
      <c r="EN446" s="49" t="s">
        <v>396</v>
      </c>
      <c r="EP446" s="49" t="s">
        <v>298</v>
      </c>
      <c r="EQ446" s="0" t="n">
        <v>1</v>
      </c>
      <c r="ER446" s="49" t="s">
        <v>328</v>
      </c>
      <c r="ES446" s="49" t="s">
        <v>329</v>
      </c>
      <c r="ET446" s="49" t="s">
        <v>310</v>
      </c>
      <c r="EU446" s="49" t="s">
        <v>310</v>
      </c>
      <c r="EV446" s="49" t="s">
        <v>310</v>
      </c>
      <c r="EX446" s="49" t="s">
        <v>303</v>
      </c>
      <c r="EY446" s="49" t="s">
        <v>303</v>
      </c>
      <c r="FC446" s="49" t="s">
        <v>330</v>
      </c>
      <c r="FD446" s="49" t="s">
        <v>310</v>
      </c>
      <c r="FE446" s="49" t="s">
        <v>310</v>
      </c>
      <c r="FF446" s="49" t="s">
        <v>64</v>
      </c>
      <c r="FG446" s="49" t="s">
        <v>397</v>
      </c>
      <c r="FH446" s="49" t="s">
        <v>310</v>
      </c>
      <c r="FI446" s="49" t="s">
        <v>332</v>
      </c>
      <c r="FJ446" s="49" t="s">
        <v>303</v>
      </c>
      <c r="FL446" s="49" t="s">
        <v>325</v>
      </c>
      <c r="FM446" s="49" t="s">
        <v>1864</v>
      </c>
      <c r="FP446" s="49" t="s">
        <v>303</v>
      </c>
      <c r="FR446" s="49" t="s">
        <v>303</v>
      </c>
      <c r="FT446" s="49" t="s">
        <v>325</v>
      </c>
      <c r="FU446" s="49" t="s">
        <v>325</v>
      </c>
      <c r="FW446" s="49" t="s">
        <v>333</v>
      </c>
    </row>
    <row r="447" customFormat="false" ht="15" hidden="false" customHeight="false" outlineLevel="0" collapsed="false">
      <c r="A447" s="0" t="n">
        <v>100874164</v>
      </c>
      <c r="B447" s="0" t="s">
        <v>295</v>
      </c>
      <c r="C447" s="0" t="s">
        <v>64</v>
      </c>
      <c r="D447" s="0" t="s">
        <v>65</v>
      </c>
      <c r="E447" s="0" t="s">
        <v>297</v>
      </c>
      <c r="G447" s="0" t="n">
        <v>1</v>
      </c>
      <c r="H447" s="0" t="s">
        <v>298</v>
      </c>
      <c r="I447" s="48" t="n">
        <v>46246</v>
      </c>
      <c r="J447" s="0" t="n">
        <v>1</v>
      </c>
      <c r="K447" s="49" t="s">
        <v>1864</v>
      </c>
      <c r="L447" s="49" t="s">
        <v>335</v>
      </c>
      <c r="M447" s="48" t="n">
        <v>46271</v>
      </c>
      <c r="N447" s="49" t="s">
        <v>1204</v>
      </c>
      <c r="O447" s="49" t="s">
        <v>1052</v>
      </c>
      <c r="P447" s="48"/>
      <c r="Q447" s="48" t="n">
        <v>46246</v>
      </c>
      <c r="R447" s="48" t="n">
        <v>46252</v>
      </c>
      <c r="T447" s="49" t="s">
        <v>302</v>
      </c>
      <c r="U447" s="49" t="s">
        <v>303</v>
      </c>
      <c r="Y447" s="49" t="s">
        <v>1953</v>
      </c>
      <c r="AD447" s="49" t="s">
        <v>305</v>
      </c>
      <c r="AE447" s="48" t="n">
        <v>46224</v>
      </c>
      <c r="AF447" s="49" t="s">
        <v>306</v>
      </c>
      <c r="AG447" s="49" t="s">
        <v>307</v>
      </c>
      <c r="AK447" s="49" t="s">
        <v>1047</v>
      </c>
      <c r="AL447" s="49" t="s">
        <v>297</v>
      </c>
      <c r="AO447" s="49" t="s">
        <v>303</v>
      </c>
      <c r="AP447" s="48"/>
      <c r="AR447" s="49" t="s">
        <v>303</v>
      </c>
      <c r="AS447" s="49" t="s">
        <v>306</v>
      </c>
      <c r="AT447" s="49" t="s">
        <v>1954</v>
      </c>
      <c r="AV447" s="49" t="s">
        <v>309</v>
      </c>
      <c r="AW447" s="49" t="s">
        <v>310</v>
      </c>
      <c r="AX447" s="49" t="s">
        <v>311</v>
      </c>
      <c r="AY447" s="48"/>
      <c r="AZ447" s="48" t="n">
        <v>46244</v>
      </c>
      <c r="BC447" s="49" t="s">
        <v>303</v>
      </c>
      <c r="BD447" s="48" t="n">
        <v>46271</v>
      </c>
      <c r="BE447" s="49" t="s">
        <v>1955</v>
      </c>
      <c r="BF447" s="49" t="s">
        <v>303</v>
      </c>
      <c r="BG447" s="48"/>
      <c r="BI447" s="48" t="n">
        <v>46271</v>
      </c>
      <c r="BJ447" s="48" t="n">
        <v>46251</v>
      </c>
      <c r="BK447" s="49" t="s">
        <v>313</v>
      </c>
      <c r="BL447" s="49" t="s">
        <v>313</v>
      </c>
      <c r="BM447" s="49" t="s">
        <v>310</v>
      </c>
      <c r="BN447" s="48"/>
      <c r="BO447" s="48"/>
      <c r="BP447" s="48"/>
      <c r="BQ447" s="49" t="s">
        <v>1868</v>
      </c>
      <c r="BR447" s="48" t="n">
        <v>46251</v>
      </c>
      <c r="BS447" s="49" t="s">
        <v>1430</v>
      </c>
      <c r="BT447" s="49" t="s">
        <v>312</v>
      </c>
      <c r="BU447" s="49" t="s">
        <v>313</v>
      </c>
      <c r="BV447" s="49" t="s">
        <v>303</v>
      </c>
      <c r="BX447" s="0" t="n">
        <v>1</v>
      </c>
      <c r="CC447" s="49" t="s">
        <v>315</v>
      </c>
      <c r="CD447" s="49" t="s">
        <v>303</v>
      </c>
      <c r="CF447" s="49" t="s">
        <v>303</v>
      </c>
      <c r="CG447" s="49" t="s">
        <v>316</v>
      </c>
      <c r="CH447" s="49" t="s">
        <v>317</v>
      </c>
      <c r="CI447" s="49" t="s">
        <v>318</v>
      </c>
      <c r="CM447" s="49" t="s">
        <v>65</v>
      </c>
      <c r="CV447" s="49" t="s">
        <v>303</v>
      </c>
      <c r="DB447" s="49" t="s">
        <v>319</v>
      </c>
      <c r="DD447" s="48" t="n">
        <v>46224</v>
      </c>
      <c r="DF447" s="49" t="s">
        <v>310</v>
      </c>
      <c r="DG447" s="49" t="s">
        <v>320</v>
      </c>
      <c r="DH447" s="49" t="s">
        <v>64</v>
      </c>
      <c r="DI447" s="49" t="s">
        <v>298</v>
      </c>
      <c r="DJ447" s="49" t="s">
        <v>394</v>
      </c>
      <c r="DK447" s="49" t="s">
        <v>322</v>
      </c>
      <c r="DL447" s="49" t="s">
        <v>323</v>
      </c>
      <c r="DM447" s="49" t="s">
        <v>303</v>
      </c>
      <c r="DN447" s="49" t="s">
        <v>297</v>
      </c>
      <c r="DO447" s="48"/>
      <c r="DP447" s="49" t="s">
        <v>312</v>
      </c>
      <c r="DQ447" s="48"/>
      <c r="DR447" s="49" t="s">
        <v>312</v>
      </c>
      <c r="DS447" s="49" t="s">
        <v>303</v>
      </c>
      <c r="DT447" s="49" t="s">
        <v>303</v>
      </c>
      <c r="DW447" s="49" t="s">
        <v>303</v>
      </c>
      <c r="EA447" s="49" t="s">
        <v>324</v>
      </c>
      <c r="EB447" s="49" t="s">
        <v>303</v>
      </c>
      <c r="EF447" s="49" t="s">
        <v>1947</v>
      </c>
      <c r="EH447" s="49" t="s">
        <v>310</v>
      </c>
      <c r="EJ447" s="49" t="s">
        <v>303</v>
      </c>
      <c r="EK447" s="49" t="s">
        <v>1956</v>
      </c>
      <c r="EM447" s="49" t="s">
        <v>303</v>
      </c>
      <c r="EN447" s="49" t="s">
        <v>396</v>
      </c>
      <c r="EP447" s="49" t="s">
        <v>298</v>
      </c>
      <c r="EQ447" s="0" t="n">
        <v>1</v>
      </c>
      <c r="ER447" s="49" t="s">
        <v>328</v>
      </c>
      <c r="ES447" s="49" t="s">
        <v>329</v>
      </c>
      <c r="ET447" s="49" t="s">
        <v>310</v>
      </c>
      <c r="EU447" s="49" t="s">
        <v>310</v>
      </c>
      <c r="EV447" s="49" t="s">
        <v>310</v>
      </c>
      <c r="EX447" s="49" t="s">
        <v>303</v>
      </c>
      <c r="EY447" s="49" t="s">
        <v>303</v>
      </c>
      <c r="FC447" s="49" t="s">
        <v>330</v>
      </c>
      <c r="FD447" s="49" t="s">
        <v>310</v>
      </c>
      <c r="FE447" s="49" t="s">
        <v>310</v>
      </c>
      <c r="FF447" s="49" t="s">
        <v>64</v>
      </c>
      <c r="FG447" s="49" t="s">
        <v>397</v>
      </c>
      <c r="FH447" s="49" t="s">
        <v>310</v>
      </c>
      <c r="FI447" s="49" t="s">
        <v>332</v>
      </c>
      <c r="FJ447" s="49" t="s">
        <v>303</v>
      </c>
      <c r="FL447" s="49" t="s">
        <v>325</v>
      </c>
      <c r="FM447" s="49" t="s">
        <v>1864</v>
      </c>
      <c r="FP447" s="49" t="s">
        <v>303</v>
      </c>
      <c r="FR447" s="49" t="s">
        <v>303</v>
      </c>
      <c r="FT447" s="49" t="s">
        <v>325</v>
      </c>
      <c r="FU447" s="49" t="s">
        <v>325</v>
      </c>
      <c r="FW447" s="49" t="s">
        <v>333</v>
      </c>
    </row>
    <row r="448" customFormat="false" ht="15" hidden="false" customHeight="false" outlineLevel="0" collapsed="false">
      <c r="A448" s="0" t="n">
        <v>100874165</v>
      </c>
      <c r="B448" s="0" t="s">
        <v>295</v>
      </c>
      <c r="C448" s="0" t="s">
        <v>64</v>
      </c>
      <c r="D448" s="0" t="s">
        <v>65</v>
      </c>
      <c r="E448" s="0" t="s">
        <v>297</v>
      </c>
      <c r="G448" s="0" t="n">
        <v>1</v>
      </c>
      <c r="H448" s="0" t="s">
        <v>298</v>
      </c>
      <c r="I448" s="48" t="n">
        <v>46246</v>
      </c>
      <c r="J448" s="0" t="n">
        <v>1</v>
      </c>
      <c r="K448" s="49" t="s">
        <v>1864</v>
      </c>
      <c r="L448" s="49" t="s">
        <v>335</v>
      </c>
      <c r="M448" s="48" t="n">
        <v>46271</v>
      </c>
      <c r="N448" s="49" t="s">
        <v>1204</v>
      </c>
      <c r="O448" s="49" t="s">
        <v>1052</v>
      </c>
      <c r="P448" s="48"/>
      <c r="Q448" s="48" t="n">
        <v>46246</v>
      </c>
      <c r="R448" s="48" t="n">
        <v>46252</v>
      </c>
      <c r="T448" s="49" t="s">
        <v>302</v>
      </c>
      <c r="U448" s="49" t="s">
        <v>303</v>
      </c>
      <c r="Y448" s="49" t="s">
        <v>1957</v>
      </c>
      <c r="AD448" s="49" t="s">
        <v>305</v>
      </c>
      <c r="AE448" s="48" t="n">
        <v>46224</v>
      </c>
      <c r="AF448" s="49" t="s">
        <v>306</v>
      </c>
      <c r="AG448" s="49" t="s">
        <v>307</v>
      </c>
      <c r="AK448" s="49" t="s">
        <v>1047</v>
      </c>
      <c r="AL448" s="49" t="s">
        <v>297</v>
      </c>
      <c r="AO448" s="49" t="s">
        <v>303</v>
      </c>
      <c r="AP448" s="48"/>
      <c r="AR448" s="49" t="s">
        <v>303</v>
      </c>
      <c r="AS448" s="49" t="s">
        <v>306</v>
      </c>
      <c r="AT448" s="49" t="s">
        <v>1958</v>
      </c>
      <c r="AV448" s="49" t="s">
        <v>309</v>
      </c>
      <c r="AW448" s="49" t="s">
        <v>310</v>
      </c>
      <c r="AX448" s="49" t="s">
        <v>311</v>
      </c>
      <c r="AY448" s="48"/>
      <c r="AZ448" s="48" t="n">
        <v>46244</v>
      </c>
      <c r="BC448" s="49" t="s">
        <v>303</v>
      </c>
      <c r="BD448" s="48" t="n">
        <v>46271</v>
      </c>
      <c r="BE448" s="49" t="s">
        <v>1959</v>
      </c>
      <c r="BF448" s="49" t="s">
        <v>303</v>
      </c>
      <c r="BG448" s="48"/>
      <c r="BI448" s="48" t="n">
        <v>46271</v>
      </c>
      <c r="BJ448" s="48" t="n">
        <v>46251</v>
      </c>
      <c r="BK448" s="49" t="s">
        <v>313</v>
      </c>
      <c r="BL448" s="49" t="s">
        <v>313</v>
      </c>
      <c r="BM448" s="49" t="s">
        <v>310</v>
      </c>
      <c r="BN448" s="48"/>
      <c r="BO448" s="48"/>
      <c r="BP448" s="48"/>
      <c r="BQ448" s="49" t="s">
        <v>1868</v>
      </c>
      <c r="BR448" s="48" t="n">
        <v>46251</v>
      </c>
      <c r="BS448" s="49" t="s">
        <v>1430</v>
      </c>
      <c r="BT448" s="49" t="s">
        <v>312</v>
      </c>
      <c r="BU448" s="49" t="s">
        <v>313</v>
      </c>
      <c r="BV448" s="49" t="s">
        <v>303</v>
      </c>
      <c r="BX448" s="0" t="n">
        <v>1</v>
      </c>
      <c r="CC448" s="49" t="s">
        <v>315</v>
      </c>
      <c r="CD448" s="49" t="s">
        <v>303</v>
      </c>
      <c r="CF448" s="49" t="s">
        <v>303</v>
      </c>
      <c r="CG448" s="49" t="s">
        <v>316</v>
      </c>
      <c r="CH448" s="49" t="s">
        <v>317</v>
      </c>
      <c r="CI448" s="49" t="s">
        <v>318</v>
      </c>
      <c r="CM448" s="49" t="s">
        <v>65</v>
      </c>
      <c r="CV448" s="49" t="s">
        <v>303</v>
      </c>
      <c r="DB448" s="49" t="s">
        <v>319</v>
      </c>
      <c r="DD448" s="48" t="n">
        <v>46224</v>
      </c>
      <c r="DF448" s="49" t="s">
        <v>310</v>
      </c>
      <c r="DG448" s="49" t="s">
        <v>320</v>
      </c>
      <c r="DH448" s="49" t="s">
        <v>64</v>
      </c>
      <c r="DI448" s="49" t="s">
        <v>298</v>
      </c>
      <c r="DJ448" s="49" t="s">
        <v>394</v>
      </c>
      <c r="DK448" s="49" t="s">
        <v>322</v>
      </c>
      <c r="DL448" s="49" t="s">
        <v>323</v>
      </c>
      <c r="DM448" s="49" t="s">
        <v>303</v>
      </c>
      <c r="DN448" s="49" t="s">
        <v>297</v>
      </c>
      <c r="DO448" s="48"/>
      <c r="DP448" s="49" t="s">
        <v>312</v>
      </c>
      <c r="DQ448" s="48"/>
      <c r="DR448" s="49" t="s">
        <v>312</v>
      </c>
      <c r="DS448" s="49" t="s">
        <v>303</v>
      </c>
      <c r="DT448" s="49" t="s">
        <v>303</v>
      </c>
      <c r="DW448" s="49" t="s">
        <v>303</v>
      </c>
      <c r="EA448" s="49" t="s">
        <v>324</v>
      </c>
      <c r="EB448" s="49" t="s">
        <v>303</v>
      </c>
      <c r="EF448" s="49" t="s">
        <v>1947</v>
      </c>
      <c r="EH448" s="49" t="s">
        <v>310</v>
      </c>
      <c r="EJ448" s="49" t="s">
        <v>303</v>
      </c>
      <c r="EK448" s="49" t="s">
        <v>1960</v>
      </c>
      <c r="EM448" s="49" t="s">
        <v>303</v>
      </c>
      <c r="EN448" s="49" t="s">
        <v>396</v>
      </c>
      <c r="EP448" s="49" t="s">
        <v>298</v>
      </c>
      <c r="EQ448" s="0" t="n">
        <v>1</v>
      </c>
      <c r="ER448" s="49" t="s">
        <v>328</v>
      </c>
      <c r="ES448" s="49" t="s">
        <v>329</v>
      </c>
      <c r="ET448" s="49" t="s">
        <v>310</v>
      </c>
      <c r="EU448" s="49" t="s">
        <v>310</v>
      </c>
      <c r="EV448" s="49" t="s">
        <v>310</v>
      </c>
      <c r="EX448" s="49" t="s">
        <v>303</v>
      </c>
      <c r="EY448" s="49" t="s">
        <v>303</v>
      </c>
      <c r="FC448" s="49" t="s">
        <v>330</v>
      </c>
      <c r="FD448" s="49" t="s">
        <v>310</v>
      </c>
      <c r="FE448" s="49" t="s">
        <v>310</v>
      </c>
      <c r="FF448" s="49" t="s">
        <v>64</v>
      </c>
      <c r="FG448" s="49" t="s">
        <v>397</v>
      </c>
      <c r="FH448" s="49" t="s">
        <v>310</v>
      </c>
      <c r="FI448" s="49" t="s">
        <v>332</v>
      </c>
      <c r="FJ448" s="49" t="s">
        <v>303</v>
      </c>
      <c r="FL448" s="49" t="s">
        <v>325</v>
      </c>
      <c r="FM448" s="49" t="s">
        <v>1864</v>
      </c>
      <c r="FP448" s="49" t="s">
        <v>303</v>
      </c>
      <c r="FR448" s="49" t="s">
        <v>303</v>
      </c>
      <c r="FT448" s="49" t="s">
        <v>325</v>
      </c>
      <c r="FU448" s="49" t="s">
        <v>325</v>
      </c>
      <c r="FW448" s="49" t="s">
        <v>333</v>
      </c>
    </row>
    <row r="449" customFormat="false" ht="15" hidden="false" customHeight="false" outlineLevel="0" collapsed="false">
      <c r="A449" s="0" t="n">
        <v>100874166</v>
      </c>
      <c r="B449" s="0" t="s">
        <v>295</v>
      </c>
      <c r="C449" s="0" t="s">
        <v>64</v>
      </c>
      <c r="D449" s="0" t="s">
        <v>65</v>
      </c>
      <c r="E449" s="0" t="s">
        <v>297</v>
      </c>
      <c r="G449" s="0" t="n">
        <v>1</v>
      </c>
      <c r="H449" s="0" t="s">
        <v>298</v>
      </c>
      <c r="I449" s="48" t="n">
        <v>46246</v>
      </c>
      <c r="J449" s="0" t="n">
        <v>1</v>
      </c>
      <c r="K449" s="49" t="s">
        <v>1864</v>
      </c>
      <c r="L449" s="49" t="s">
        <v>335</v>
      </c>
      <c r="M449" s="48" t="n">
        <v>46274</v>
      </c>
      <c r="N449" s="49" t="s">
        <v>1204</v>
      </c>
      <c r="O449" s="49" t="s">
        <v>1052</v>
      </c>
      <c r="P449" s="48"/>
      <c r="Q449" s="48" t="n">
        <v>46246</v>
      </c>
      <c r="R449" s="48" t="n">
        <v>46252</v>
      </c>
      <c r="T449" s="49" t="s">
        <v>302</v>
      </c>
      <c r="U449" s="49" t="s">
        <v>303</v>
      </c>
      <c r="Y449" s="49" t="s">
        <v>1961</v>
      </c>
      <c r="AD449" s="49" t="s">
        <v>305</v>
      </c>
      <c r="AE449" s="48" t="n">
        <v>46224</v>
      </c>
      <c r="AF449" s="49" t="s">
        <v>306</v>
      </c>
      <c r="AG449" s="49" t="s">
        <v>307</v>
      </c>
      <c r="AK449" s="49" t="s">
        <v>1047</v>
      </c>
      <c r="AL449" s="49" t="s">
        <v>297</v>
      </c>
      <c r="AO449" s="49" t="s">
        <v>303</v>
      </c>
      <c r="AP449" s="48"/>
      <c r="AR449" s="49" t="s">
        <v>303</v>
      </c>
      <c r="AS449" s="49" t="s">
        <v>306</v>
      </c>
      <c r="AT449" s="49" t="s">
        <v>1388</v>
      </c>
      <c r="AV449" s="49" t="s">
        <v>309</v>
      </c>
      <c r="AW449" s="49" t="s">
        <v>310</v>
      </c>
      <c r="AX449" s="49" t="s">
        <v>311</v>
      </c>
      <c r="AY449" s="48"/>
      <c r="AZ449" s="48" t="n">
        <v>46244</v>
      </c>
      <c r="BC449" s="49" t="s">
        <v>303</v>
      </c>
      <c r="BD449" s="48" t="n">
        <v>46274</v>
      </c>
      <c r="BE449" s="49" t="s">
        <v>1962</v>
      </c>
      <c r="BF449" s="49" t="s">
        <v>303</v>
      </c>
      <c r="BG449" s="48"/>
      <c r="BI449" s="48" t="n">
        <v>46274</v>
      </c>
      <c r="BJ449" s="48" t="n">
        <v>46251</v>
      </c>
      <c r="BK449" s="49" t="s">
        <v>313</v>
      </c>
      <c r="BL449" s="49" t="s">
        <v>313</v>
      </c>
      <c r="BM449" s="49" t="s">
        <v>310</v>
      </c>
      <c r="BN449" s="48"/>
      <c r="BO449" s="48"/>
      <c r="BP449" s="48"/>
      <c r="BQ449" s="49" t="s">
        <v>1868</v>
      </c>
      <c r="BR449" s="48" t="n">
        <v>46251</v>
      </c>
      <c r="BS449" s="49" t="s">
        <v>1963</v>
      </c>
      <c r="BT449" s="49" t="s">
        <v>312</v>
      </c>
      <c r="BU449" s="49" t="s">
        <v>313</v>
      </c>
      <c r="BV449" s="49" t="s">
        <v>303</v>
      </c>
      <c r="BX449" s="0" t="n">
        <v>1</v>
      </c>
      <c r="CC449" s="49" t="s">
        <v>315</v>
      </c>
      <c r="CD449" s="49" t="s">
        <v>303</v>
      </c>
      <c r="CF449" s="49" t="s">
        <v>303</v>
      </c>
      <c r="CG449" s="49" t="s">
        <v>316</v>
      </c>
      <c r="CH449" s="49" t="s">
        <v>317</v>
      </c>
      <c r="CI449" s="49" t="s">
        <v>318</v>
      </c>
      <c r="CM449" s="49" t="s">
        <v>65</v>
      </c>
      <c r="CV449" s="49" t="s">
        <v>303</v>
      </c>
      <c r="DB449" s="49" t="s">
        <v>319</v>
      </c>
      <c r="DD449" s="48" t="n">
        <v>46224</v>
      </c>
      <c r="DF449" s="49" t="s">
        <v>310</v>
      </c>
      <c r="DG449" s="49" t="s">
        <v>320</v>
      </c>
      <c r="DH449" s="49" t="s">
        <v>64</v>
      </c>
      <c r="DI449" s="49" t="s">
        <v>298</v>
      </c>
      <c r="DJ449" s="49" t="s">
        <v>394</v>
      </c>
      <c r="DK449" s="49" t="s">
        <v>322</v>
      </c>
      <c r="DL449" s="49" t="s">
        <v>323</v>
      </c>
      <c r="DM449" s="49" t="s">
        <v>303</v>
      </c>
      <c r="DN449" s="49" t="s">
        <v>297</v>
      </c>
      <c r="DO449" s="48"/>
      <c r="DP449" s="49" t="s">
        <v>312</v>
      </c>
      <c r="DQ449" s="48"/>
      <c r="DR449" s="49" t="s">
        <v>312</v>
      </c>
      <c r="DS449" s="49" t="s">
        <v>303</v>
      </c>
      <c r="DT449" s="49" t="s">
        <v>303</v>
      </c>
      <c r="DW449" s="49" t="s">
        <v>303</v>
      </c>
      <c r="EA449" s="49" t="s">
        <v>324</v>
      </c>
      <c r="EB449" s="49" t="s">
        <v>303</v>
      </c>
      <c r="EF449" s="49" t="s">
        <v>1947</v>
      </c>
      <c r="EH449" s="49" t="s">
        <v>310</v>
      </c>
      <c r="EJ449" s="49" t="s">
        <v>303</v>
      </c>
      <c r="EK449" s="49" t="s">
        <v>1964</v>
      </c>
      <c r="EM449" s="49" t="s">
        <v>303</v>
      </c>
      <c r="EN449" s="49" t="s">
        <v>396</v>
      </c>
      <c r="EP449" s="49" t="s">
        <v>298</v>
      </c>
      <c r="EQ449" s="0" t="n">
        <v>1</v>
      </c>
      <c r="ER449" s="49" t="s">
        <v>328</v>
      </c>
      <c r="ES449" s="49" t="s">
        <v>329</v>
      </c>
      <c r="ET449" s="49" t="s">
        <v>310</v>
      </c>
      <c r="EU449" s="49" t="s">
        <v>310</v>
      </c>
      <c r="EV449" s="49" t="s">
        <v>310</v>
      </c>
      <c r="EX449" s="49" t="s">
        <v>303</v>
      </c>
      <c r="EY449" s="49" t="s">
        <v>303</v>
      </c>
      <c r="FC449" s="49" t="s">
        <v>330</v>
      </c>
      <c r="FD449" s="49" t="s">
        <v>310</v>
      </c>
      <c r="FE449" s="49" t="s">
        <v>310</v>
      </c>
      <c r="FF449" s="49" t="s">
        <v>64</v>
      </c>
      <c r="FG449" s="49" t="s">
        <v>397</v>
      </c>
      <c r="FH449" s="49" t="s">
        <v>310</v>
      </c>
      <c r="FI449" s="49" t="s">
        <v>332</v>
      </c>
      <c r="FJ449" s="49" t="s">
        <v>303</v>
      </c>
      <c r="FL449" s="49" t="s">
        <v>325</v>
      </c>
      <c r="FM449" s="49" t="s">
        <v>1864</v>
      </c>
      <c r="FP449" s="49" t="s">
        <v>303</v>
      </c>
      <c r="FR449" s="49" t="s">
        <v>303</v>
      </c>
      <c r="FT449" s="49" t="s">
        <v>325</v>
      </c>
      <c r="FU449" s="49" t="s">
        <v>325</v>
      </c>
      <c r="FW449" s="49" t="s">
        <v>333</v>
      </c>
    </row>
    <row r="450" customFormat="false" ht="15" hidden="false" customHeight="false" outlineLevel="0" collapsed="false">
      <c r="A450" s="0" t="n">
        <v>100874170</v>
      </c>
      <c r="B450" s="0" t="s">
        <v>295</v>
      </c>
      <c r="C450" s="0" t="s">
        <v>66</v>
      </c>
      <c r="D450" s="0" t="s">
        <v>296</v>
      </c>
      <c r="E450" s="0" t="s">
        <v>297</v>
      </c>
      <c r="G450" s="0" t="n">
        <v>1</v>
      </c>
      <c r="H450" s="0" t="s">
        <v>298</v>
      </c>
      <c r="I450" s="48" t="n">
        <v>46246</v>
      </c>
      <c r="J450" s="0" t="n">
        <v>1</v>
      </c>
      <c r="K450" s="49" t="s">
        <v>1864</v>
      </c>
      <c r="L450" s="49" t="s">
        <v>335</v>
      </c>
      <c r="M450" s="48" t="n">
        <v>46246</v>
      </c>
      <c r="N450" s="49" t="s">
        <v>335</v>
      </c>
      <c r="O450" s="49" t="s">
        <v>1052</v>
      </c>
      <c r="P450" s="48"/>
      <c r="Q450" s="48" t="n">
        <v>46246</v>
      </c>
      <c r="R450" s="48" t="n">
        <v>46253</v>
      </c>
      <c r="T450" s="49" t="s">
        <v>302</v>
      </c>
      <c r="U450" s="49" t="s">
        <v>303</v>
      </c>
      <c r="Y450" s="49" t="s">
        <v>1965</v>
      </c>
      <c r="AD450" s="49" t="s">
        <v>305</v>
      </c>
      <c r="AE450" s="48" t="n">
        <v>46224</v>
      </c>
      <c r="AF450" s="49" t="s">
        <v>306</v>
      </c>
      <c r="AG450" s="49" t="s">
        <v>307</v>
      </c>
      <c r="AK450" s="49" t="s">
        <v>1047</v>
      </c>
      <c r="AL450" s="49" t="s">
        <v>297</v>
      </c>
      <c r="AO450" s="49" t="s">
        <v>303</v>
      </c>
      <c r="AP450" s="48"/>
      <c r="AR450" s="49" t="s">
        <v>303</v>
      </c>
      <c r="AS450" s="49" t="s">
        <v>306</v>
      </c>
      <c r="AT450" s="49" t="s">
        <v>1966</v>
      </c>
      <c r="AV450" s="49" t="s">
        <v>309</v>
      </c>
      <c r="AW450" s="49" t="s">
        <v>310</v>
      </c>
      <c r="AX450" s="49" t="s">
        <v>311</v>
      </c>
      <c r="AY450" s="48"/>
      <c r="AZ450" s="48" t="n">
        <v>46244</v>
      </c>
      <c r="BC450" s="49" t="s">
        <v>303</v>
      </c>
      <c r="BD450" s="48" t="n">
        <v>46273</v>
      </c>
      <c r="BE450" s="49" t="s">
        <v>1967</v>
      </c>
      <c r="BF450" s="49" t="s">
        <v>303</v>
      </c>
      <c r="BG450" s="48"/>
      <c r="BI450" s="48" t="n">
        <v>46273</v>
      </c>
      <c r="BJ450" s="48" t="n">
        <v>46251</v>
      </c>
      <c r="BK450" s="49" t="s">
        <v>312</v>
      </c>
      <c r="BL450" s="49" t="s">
        <v>313</v>
      </c>
      <c r="BM450" s="49" t="s">
        <v>310</v>
      </c>
      <c r="BN450" s="48"/>
      <c r="BO450" s="48"/>
      <c r="BP450" s="48"/>
      <c r="BQ450" s="49" t="s">
        <v>1864</v>
      </c>
      <c r="BR450" s="48" t="n">
        <v>46251</v>
      </c>
      <c r="BS450" s="49" t="s">
        <v>1968</v>
      </c>
      <c r="BT450" s="49" t="s">
        <v>312</v>
      </c>
      <c r="BU450" s="49" t="s">
        <v>313</v>
      </c>
      <c r="BV450" s="49" t="s">
        <v>303</v>
      </c>
      <c r="BX450" s="0" t="n">
        <v>1</v>
      </c>
      <c r="CC450" s="49" t="s">
        <v>315</v>
      </c>
      <c r="CD450" s="49" t="s">
        <v>303</v>
      </c>
      <c r="CF450" s="49" t="s">
        <v>303</v>
      </c>
      <c r="CG450" s="49" t="s">
        <v>316</v>
      </c>
      <c r="CH450" s="49" t="s">
        <v>317</v>
      </c>
      <c r="CI450" s="49" t="s">
        <v>318</v>
      </c>
      <c r="CM450" s="49" t="s">
        <v>296</v>
      </c>
      <c r="CV450" s="49" t="s">
        <v>303</v>
      </c>
      <c r="DB450" s="49" t="s">
        <v>319</v>
      </c>
      <c r="DD450" s="48" t="n">
        <v>46224</v>
      </c>
      <c r="DF450" s="49" t="s">
        <v>310</v>
      </c>
      <c r="DG450" s="49" t="s">
        <v>320</v>
      </c>
      <c r="DH450" s="49" t="s">
        <v>66</v>
      </c>
      <c r="DI450" s="49" t="s">
        <v>298</v>
      </c>
      <c r="DJ450" s="49" t="s">
        <v>321</v>
      </c>
      <c r="DK450" s="49" t="s">
        <v>322</v>
      </c>
      <c r="DL450" s="49" t="s">
        <v>323</v>
      </c>
      <c r="DM450" s="49" t="s">
        <v>303</v>
      </c>
      <c r="DN450" s="49" t="s">
        <v>297</v>
      </c>
      <c r="DO450" s="48"/>
      <c r="DP450" s="49" t="s">
        <v>312</v>
      </c>
      <c r="DQ450" s="48"/>
      <c r="DR450" s="49" t="s">
        <v>312</v>
      </c>
      <c r="DS450" s="49" t="s">
        <v>303</v>
      </c>
      <c r="DT450" s="49" t="s">
        <v>303</v>
      </c>
      <c r="DW450" s="49" t="s">
        <v>303</v>
      </c>
      <c r="EA450" s="49" t="s">
        <v>324</v>
      </c>
      <c r="EB450" s="49" t="s">
        <v>303</v>
      </c>
      <c r="EH450" s="49" t="s">
        <v>310</v>
      </c>
      <c r="EJ450" s="49" t="s">
        <v>303</v>
      </c>
      <c r="EK450" s="49" t="s">
        <v>1969</v>
      </c>
      <c r="EM450" s="49" t="s">
        <v>303</v>
      </c>
      <c r="EN450" s="49" t="s">
        <v>327</v>
      </c>
      <c r="EP450" s="49" t="s">
        <v>298</v>
      </c>
      <c r="EQ450" s="0" t="n">
        <v>1</v>
      </c>
      <c r="ER450" s="49" t="s">
        <v>328</v>
      </c>
      <c r="ES450" s="49" t="s">
        <v>329</v>
      </c>
      <c r="ET450" s="49" t="s">
        <v>310</v>
      </c>
      <c r="EU450" s="49" t="s">
        <v>310</v>
      </c>
      <c r="EV450" s="49" t="s">
        <v>310</v>
      </c>
      <c r="EX450" s="49" t="s">
        <v>303</v>
      </c>
      <c r="EY450" s="49" t="s">
        <v>303</v>
      </c>
      <c r="FC450" s="49" t="s">
        <v>330</v>
      </c>
      <c r="FD450" s="49" t="s">
        <v>310</v>
      </c>
      <c r="FE450" s="49" t="s">
        <v>310</v>
      </c>
      <c r="FF450" s="49" t="s">
        <v>66</v>
      </c>
      <c r="FG450" s="49" t="s">
        <v>331</v>
      </c>
      <c r="FH450" s="49" t="s">
        <v>310</v>
      </c>
      <c r="FI450" s="49" t="s">
        <v>332</v>
      </c>
      <c r="FJ450" s="49" t="s">
        <v>303</v>
      </c>
      <c r="FL450" s="49" t="s">
        <v>325</v>
      </c>
      <c r="FM450" s="49" t="s">
        <v>1864</v>
      </c>
      <c r="FP450" s="49" t="s">
        <v>303</v>
      </c>
      <c r="FR450" s="49" t="s">
        <v>303</v>
      </c>
      <c r="FT450" s="49" t="s">
        <v>325</v>
      </c>
      <c r="FU450" s="49" t="s">
        <v>325</v>
      </c>
      <c r="FW450" s="49" t="s">
        <v>333</v>
      </c>
    </row>
    <row r="451" customFormat="false" ht="15" hidden="false" customHeight="false" outlineLevel="0" collapsed="false">
      <c r="A451" s="0" t="n">
        <v>100874171</v>
      </c>
      <c r="B451" s="0" t="s">
        <v>295</v>
      </c>
      <c r="C451" s="0" t="s">
        <v>66</v>
      </c>
      <c r="D451" s="0" t="s">
        <v>296</v>
      </c>
      <c r="E451" s="0" t="s">
        <v>297</v>
      </c>
      <c r="G451" s="0" t="n">
        <v>1</v>
      </c>
      <c r="H451" s="0" t="s">
        <v>298</v>
      </c>
      <c r="I451" s="48" t="n">
        <v>46246</v>
      </c>
      <c r="J451" s="0" t="n">
        <v>1</v>
      </c>
      <c r="K451" s="49" t="s">
        <v>1864</v>
      </c>
      <c r="L451" s="49" t="s">
        <v>335</v>
      </c>
      <c r="M451" s="48"/>
      <c r="O451" s="49" t="s">
        <v>1052</v>
      </c>
      <c r="P451" s="48"/>
      <c r="Q451" s="48" t="n">
        <v>46246</v>
      </c>
      <c r="R451" s="48" t="n">
        <v>46252</v>
      </c>
      <c r="T451" s="49" t="s">
        <v>302</v>
      </c>
      <c r="U451" s="49" t="s">
        <v>303</v>
      </c>
      <c r="Y451" s="49" t="s">
        <v>312</v>
      </c>
      <c r="AD451" s="49" t="s">
        <v>305</v>
      </c>
      <c r="AE451" s="48" t="n">
        <v>46224</v>
      </c>
      <c r="AF451" s="49" t="s">
        <v>306</v>
      </c>
      <c r="AG451" s="49" t="s">
        <v>307</v>
      </c>
      <c r="AK451" s="49" t="s">
        <v>1047</v>
      </c>
      <c r="AL451" s="49" t="s">
        <v>297</v>
      </c>
      <c r="AO451" s="49" t="s">
        <v>303</v>
      </c>
      <c r="AP451" s="48"/>
      <c r="AR451" s="49" t="s">
        <v>303</v>
      </c>
      <c r="AS451" s="49" t="s">
        <v>306</v>
      </c>
      <c r="AT451" s="49" t="s">
        <v>1970</v>
      </c>
      <c r="AV451" s="49" t="s">
        <v>309</v>
      </c>
      <c r="AW451" s="49" t="s">
        <v>310</v>
      </c>
      <c r="AX451" s="49" t="s">
        <v>311</v>
      </c>
      <c r="AY451" s="48"/>
      <c r="AZ451" s="48" t="n">
        <v>46244</v>
      </c>
      <c r="BC451" s="49" t="s">
        <v>303</v>
      </c>
      <c r="BD451" s="48" t="n">
        <v>46280</v>
      </c>
      <c r="BE451" s="49" t="s">
        <v>1231</v>
      </c>
      <c r="BF451" s="49" t="s">
        <v>303</v>
      </c>
      <c r="BG451" s="48"/>
      <c r="BI451" s="48" t="n">
        <v>46280</v>
      </c>
      <c r="BJ451" s="48" t="n">
        <v>46251</v>
      </c>
      <c r="BK451" s="49" t="s">
        <v>313</v>
      </c>
      <c r="BL451" s="49" t="s">
        <v>313</v>
      </c>
      <c r="BM451" s="49" t="s">
        <v>310</v>
      </c>
      <c r="BN451" s="48"/>
      <c r="BO451" s="48"/>
      <c r="BP451" s="48"/>
      <c r="BQ451" s="49" t="s">
        <v>1864</v>
      </c>
      <c r="BR451" s="48" t="n">
        <v>46251</v>
      </c>
      <c r="BS451" s="49" t="s">
        <v>1968</v>
      </c>
      <c r="BT451" s="49" t="s">
        <v>312</v>
      </c>
      <c r="BU451" s="49" t="s">
        <v>313</v>
      </c>
      <c r="BV451" s="49" t="s">
        <v>303</v>
      </c>
      <c r="BX451" s="0" t="n">
        <v>1</v>
      </c>
      <c r="CC451" s="49" t="s">
        <v>315</v>
      </c>
      <c r="CD451" s="49" t="s">
        <v>303</v>
      </c>
      <c r="CF451" s="49" t="s">
        <v>303</v>
      </c>
      <c r="CG451" s="49" t="s">
        <v>316</v>
      </c>
      <c r="CH451" s="49" t="s">
        <v>317</v>
      </c>
      <c r="CI451" s="49" t="s">
        <v>318</v>
      </c>
      <c r="CM451" s="49" t="s">
        <v>296</v>
      </c>
      <c r="CV451" s="49" t="s">
        <v>303</v>
      </c>
      <c r="DB451" s="49" t="s">
        <v>319</v>
      </c>
      <c r="DD451" s="48" t="n">
        <v>46224</v>
      </c>
      <c r="DF451" s="49" t="s">
        <v>310</v>
      </c>
      <c r="DG451" s="49" t="s">
        <v>320</v>
      </c>
      <c r="DH451" s="49" t="s">
        <v>66</v>
      </c>
      <c r="DI451" s="49" t="s">
        <v>298</v>
      </c>
      <c r="DJ451" s="49" t="s">
        <v>321</v>
      </c>
      <c r="DK451" s="49" t="s">
        <v>322</v>
      </c>
      <c r="DL451" s="49" t="s">
        <v>323</v>
      </c>
      <c r="DM451" s="49" t="s">
        <v>303</v>
      </c>
      <c r="DN451" s="49" t="s">
        <v>297</v>
      </c>
      <c r="DO451" s="48"/>
      <c r="DP451" s="49" t="s">
        <v>312</v>
      </c>
      <c r="DQ451" s="48"/>
      <c r="DR451" s="49" t="s">
        <v>312</v>
      </c>
      <c r="DS451" s="49" t="s">
        <v>303</v>
      </c>
      <c r="DT451" s="49" t="s">
        <v>303</v>
      </c>
      <c r="DW451" s="49" t="s">
        <v>303</v>
      </c>
      <c r="EA451" s="49" t="s">
        <v>324</v>
      </c>
      <c r="EB451" s="49" t="s">
        <v>303</v>
      </c>
      <c r="EF451" s="49" t="s">
        <v>1971</v>
      </c>
      <c r="EH451" s="49" t="s">
        <v>310</v>
      </c>
      <c r="EJ451" s="49" t="s">
        <v>303</v>
      </c>
      <c r="EK451" s="49" t="s">
        <v>1972</v>
      </c>
      <c r="EM451" s="49" t="s">
        <v>303</v>
      </c>
      <c r="EN451" s="49" t="s">
        <v>327</v>
      </c>
      <c r="EP451" s="49" t="s">
        <v>298</v>
      </c>
      <c r="EQ451" s="0" t="n">
        <v>1</v>
      </c>
      <c r="ER451" s="49" t="s">
        <v>328</v>
      </c>
      <c r="ES451" s="49" t="s">
        <v>329</v>
      </c>
      <c r="ET451" s="49" t="s">
        <v>310</v>
      </c>
      <c r="EU451" s="49" t="s">
        <v>310</v>
      </c>
      <c r="EV451" s="49" t="s">
        <v>310</v>
      </c>
      <c r="EX451" s="49" t="s">
        <v>303</v>
      </c>
      <c r="EY451" s="49" t="s">
        <v>303</v>
      </c>
      <c r="FC451" s="49" t="s">
        <v>330</v>
      </c>
      <c r="FD451" s="49" t="s">
        <v>310</v>
      </c>
      <c r="FE451" s="49" t="s">
        <v>310</v>
      </c>
      <c r="FF451" s="49" t="s">
        <v>66</v>
      </c>
      <c r="FG451" s="49" t="s">
        <v>331</v>
      </c>
      <c r="FH451" s="49" t="s">
        <v>310</v>
      </c>
      <c r="FI451" s="49" t="s">
        <v>332</v>
      </c>
      <c r="FJ451" s="49" t="s">
        <v>303</v>
      </c>
      <c r="FL451" s="49" t="s">
        <v>325</v>
      </c>
      <c r="FM451" s="49" t="s">
        <v>1864</v>
      </c>
      <c r="FP451" s="49" t="s">
        <v>303</v>
      </c>
      <c r="FR451" s="49" t="s">
        <v>303</v>
      </c>
      <c r="FT451" s="49" t="s">
        <v>325</v>
      </c>
      <c r="FU451" s="49" t="s">
        <v>325</v>
      </c>
      <c r="FW451" s="49" t="s">
        <v>333</v>
      </c>
    </row>
    <row r="452" customFormat="false" ht="15" hidden="false" customHeight="false" outlineLevel="0" collapsed="false">
      <c r="A452" s="0" t="n">
        <v>100874172</v>
      </c>
      <c r="B452" s="0" t="s">
        <v>295</v>
      </c>
      <c r="C452" s="0" t="s">
        <v>66</v>
      </c>
      <c r="D452" s="0" t="s">
        <v>296</v>
      </c>
      <c r="E452" s="0" t="s">
        <v>297</v>
      </c>
      <c r="G452" s="0" t="n">
        <v>1</v>
      </c>
      <c r="H452" s="0" t="s">
        <v>298</v>
      </c>
      <c r="I452" s="48" t="n">
        <v>46246</v>
      </c>
      <c r="J452" s="0" t="n">
        <v>1</v>
      </c>
      <c r="K452" s="49" t="s">
        <v>1864</v>
      </c>
      <c r="L452" s="49" t="s">
        <v>335</v>
      </c>
      <c r="M452" s="48"/>
      <c r="O452" s="49" t="s">
        <v>1052</v>
      </c>
      <c r="P452" s="48"/>
      <c r="Q452" s="48" t="n">
        <v>46246</v>
      </c>
      <c r="R452" s="48" t="n">
        <v>46252</v>
      </c>
      <c r="T452" s="49" t="s">
        <v>302</v>
      </c>
      <c r="U452" s="49" t="s">
        <v>303</v>
      </c>
      <c r="Y452" s="49" t="s">
        <v>312</v>
      </c>
      <c r="AD452" s="49" t="s">
        <v>305</v>
      </c>
      <c r="AE452" s="48" t="n">
        <v>46224</v>
      </c>
      <c r="AF452" s="49" t="s">
        <v>306</v>
      </c>
      <c r="AG452" s="49" t="s">
        <v>307</v>
      </c>
      <c r="AK452" s="49" t="s">
        <v>1047</v>
      </c>
      <c r="AL452" s="49" t="s">
        <v>297</v>
      </c>
      <c r="AO452" s="49" t="s">
        <v>303</v>
      </c>
      <c r="AP452" s="48"/>
      <c r="AR452" s="49" t="s">
        <v>303</v>
      </c>
      <c r="AS452" s="49" t="s">
        <v>306</v>
      </c>
      <c r="AT452" s="49" t="s">
        <v>1973</v>
      </c>
      <c r="AV452" s="49" t="s">
        <v>309</v>
      </c>
      <c r="AW452" s="49" t="s">
        <v>310</v>
      </c>
      <c r="AX452" s="49" t="s">
        <v>311</v>
      </c>
      <c r="AY452" s="48"/>
      <c r="AZ452" s="48" t="n">
        <v>46244</v>
      </c>
      <c r="BC452" s="49" t="s">
        <v>303</v>
      </c>
      <c r="BD452" s="48" t="n">
        <v>46273</v>
      </c>
      <c r="BE452" s="49" t="s">
        <v>1974</v>
      </c>
      <c r="BF452" s="49" t="s">
        <v>303</v>
      </c>
      <c r="BG452" s="48"/>
      <c r="BI452" s="48" t="n">
        <v>46275</v>
      </c>
      <c r="BJ452" s="48" t="n">
        <v>46251</v>
      </c>
      <c r="BK452" s="49" t="s">
        <v>313</v>
      </c>
      <c r="BL452" s="49" t="s">
        <v>313</v>
      </c>
      <c r="BM452" s="49" t="s">
        <v>310</v>
      </c>
      <c r="BN452" s="48"/>
      <c r="BO452" s="48"/>
      <c r="BP452" s="48"/>
      <c r="BQ452" s="49" t="s">
        <v>1864</v>
      </c>
      <c r="BR452" s="48" t="n">
        <v>46251</v>
      </c>
      <c r="BS452" s="49" t="s">
        <v>1975</v>
      </c>
      <c r="BT452" s="49" t="s">
        <v>312</v>
      </c>
      <c r="BU452" s="49" t="s">
        <v>313</v>
      </c>
      <c r="BV452" s="49" t="s">
        <v>303</v>
      </c>
      <c r="BX452" s="0" t="n">
        <v>1</v>
      </c>
      <c r="CC452" s="49" t="s">
        <v>315</v>
      </c>
      <c r="CD452" s="49" t="s">
        <v>303</v>
      </c>
      <c r="CF452" s="49" t="s">
        <v>303</v>
      </c>
      <c r="CG452" s="49" t="s">
        <v>316</v>
      </c>
      <c r="CH452" s="49" t="s">
        <v>317</v>
      </c>
      <c r="CI452" s="49" t="s">
        <v>318</v>
      </c>
      <c r="CM452" s="49" t="s">
        <v>296</v>
      </c>
      <c r="CV452" s="49" t="s">
        <v>303</v>
      </c>
      <c r="DB452" s="49" t="s">
        <v>319</v>
      </c>
      <c r="DD452" s="48" t="n">
        <v>46224</v>
      </c>
      <c r="DF452" s="49" t="s">
        <v>310</v>
      </c>
      <c r="DG452" s="49" t="s">
        <v>320</v>
      </c>
      <c r="DH452" s="49" t="s">
        <v>66</v>
      </c>
      <c r="DI452" s="49" t="s">
        <v>298</v>
      </c>
      <c r="DJ452" s="49" t="s">
        <v>321</v>
      </c>
      <c r="DK452" s="49" t="s">
        <v>322</v>
      </c>
      <c r="DL452" s="49" t="s">
        <v>323</v>
      </c>
      <c r="DM452" s="49" t="s">
        <v>303</v>
      </c>
      <c r="DN452" s="49" t="s">
        <v>297</v>
      </c>
      <c r="DO452" s="48"/>
      <c r="DP452" s="49" t="s">
        <v>312</v>
      </c>
      <c r="DQ452" s="48"/>
      <c r="DR452" s="49" t="s">
        <v>312</v>
      </c>
      <c r="DS452" s="49" t="s">
        <v>303</v>
      </c>
      <c r="DT452" s="49" t="s">
        <v>303</v>
      </c>
      <c r="DW452" s="49" t="s">
        <v>303</v>
      </c>
      <c r="EA452" s="49" t="s">
        <v>324</v>
      </c>
      <c r="EB452" s="49" t="s">
        <v>303</v>
      </c>
      <c r="EF452" s="49" t="s">
        <v>1971</v>
      </c>
      <c r="EH452" s="49" t="s">
        <v>310</v>
      </c>
      <c r="EJ452" s="49" t="s">
        <v>303</v>
      </c>
      <c r="EK452" s="49" t="s">
        <v>1976</v>
      </c>
      <c r="EM452" s="49" t="s">
        <v>303</v>
      </c>
      <c r="EN452" s="49" t="s">
        <v>327</v>
      </c>
      <c r="EP452" s="49" t="s">
        <v>298</v>
      </c>
      <c r="EQ452" s="0" t="n">
        <v>1</v>
      </c>
      <c r="ER452" s="49" t="s">
        <v>328</v>
      </c>
      <c r="ES452" s="49" t="s">
        <v>329</v>
      </c>
      <c r="ET452" s="49" t="s">
        <v>310</v>
      </c>
      <c r="EU452" s="49" t="s">
        <v>310</v>
      </c>
      <c r="EV452" s="49" t="s">
        <v>310</v>
      </c>
      <c r="EX452" s="49" t="s">
        <v>303</v>
      </c>
      <c r="EY452" s="49" t="s">
        <v>303</v>
      </c>
      <c r="FC452" s="49" t="s">
        <v>330</v>
      </c>
      <c r="FD452" s="49" t="s">
        <v>310</v>
      </c>
      <c r="FE452" s="49" t="s">
        <v>310</v>
      </c>
      <c r="FF452" s="49" t="s">
        <v>66</v>
      </c>
      <c r="FG452" s="49" t="s">
        <v>331</v>
      </c>
      <c r="FH452" s="49" t="s">
        <v>310</v>
      </c>
      <c r="FI452" s="49" t="s">
        <v>332</v>
      </c>
      <c r="FJ452" s="49" t="s">
        <v>303</v>
      </c>
      <c r="FL452" s="49" t="s">
        <v>325</v>
      </c>
      <c r="FM452" s="49" t="s">
        <v>1864</v>
      </c>
      <c r="FP452" s="49" t="s">
        <v>303</v>
      </c>
      <c r="FR452" s="49" t="s">
        <v>303</v>
      </c>
      <c r="FT452" s="49" t="s">
        <v>325</v>
      </c>
      <c r="FU452" s="49" t="s">
        <v>325</v>
      </c>
      <c r="FW452" s="49" t="s">
        <v>333</v>
      </c>
    </row>
    <row r="453" customFormat="false" ht="15" hidden="false" customHeight="false" outlineLevel="0" collapsed="false">
      <c r="A453" s="0" t="n">
        <v>100874174</v>
      </c>
      <c r="B453" s="0" t="s">
        <v>295</v>
      </c>
      <c r="C453" s="0" t="s">
        <v>68</v>
      </c>
      <c r="D453" s="0" t="s">
        <v>456</v>
      </c>
      <c r="E453" s="0" t="s">
        <v>297</v>
      </c>
      <c r="G453" s="0" t="n">
        <v>1</v>
      </c>
      <c r="H453" s="0" t="s">
        <v>298</v>
      </c>
      <c r="I453" s="48" t="n">
        <v>46246</v>
      </c>
      <c r="J453" s="0" t="n">
        <v>1</v>
      </c>
      <c r="K453" s="49" t="s">
        <v>1864</v>
      </c>
      <c r="L453" s="49" t="s">
        <v>335</v>
      </c>
      <c r="M453" s="48" t="n">
        <v>46265</v>
      </c>
      <c r="N453" s="49" t="s">
        <v>1630</v>
      </c>
      <c r="O453" s="49" t="s">
        <v>1052</v>
      </c>
      <c r="P453" s="48"/>
      <c r="Q453" s="48" t="n">
        <v>46246</v>
      </c>
      <c r="R453" s="48" t="n">
        <v>46268</v>
      </c>
      <c r="T453" s="49" t="s">
        <v>302</v>
      </c>
      <c r="U453" s="49" t="s">
        <v>303</v>
      </c>
      <c r="Y453" s="49" t="s">
        <v>1977</v>
      </c>
      <c r="AD453" s="49" t="s">
        <v>305</v>
      </c>
      <c r="AE453" s="48" t="n">
        <v>46224</v>
      </c>
      <c r="AF453" s="49" t="s">
        <v>306</v>
      </c>
      <c r="AG453" s="49" t="s">
        <v>307</v>
      </c>
      <c r="AK453" s="49" t="s">
        <v>1047</v>
      </c>
      <c r="AL453" s="49" t="s">
        <v>297</v>
      </c>
      <c r="AO453" s="49" t="s">
        <v>303</v>
      </c>
      <c r="AP453" s="48"/>
      <c r="AR453" s="49" t="s">
        <v>303</v>
      </c>
      <c r="AS453" s="49" t="s">
        <v>306</v>
      </c>
      <c r="AT453" s="49" t="s">
        <v>1978</v>
      </c>
      <c r="AV453" s="49" t="s">
        <v>309</v>
      </c>
      <c r="AW453" s="49" t="s">
        <v>310</v>
      </c>
      <c r="AX453" s="49" t="s">
        <v>311</v>
      </c>
      <c r="AY453" s="48"/>
      <c r="AZ453" s="48" t="n">
        <v>46258</v>
      </c>
      <c r="BC453" s="49" t="s">
        <v>303</v>
      </c>
      <c r="BD453" s="48" t="n">
        <v>46274</v>
      </c>
      <c r="BE453" s="49" t="s">
        <v>1979</v>
      </c>
      <c r="BF453" s="49" t="s">
        <v>303</v>
      </c>
      <c r="BG453" s="48"/>
      <c r="BI453" s="48" t="n">
        <v>46274</v>
      </c>
      <c r="BJ453" s="48" t="n">
        <v>46266</v>
      </c>
      <c r="BK453" s="49" t="s">
        <v>312</v>
      </c>
      <c r="BL453" s="49" t="s">
        <v>313</v>
      </c>
      <c r="BM453" s="49" t="s">
        <v>310</v>
      </c>
      <c r="BN453" s="48"/>
      <c r="BO453" s="48"/>
      <c r="BP453" s="48"/>
      <c r="BQ453" s="49" t="s">
        <v>1864</v>
      </c>
      <c r="BR453" s="48" t="n">
        <v>46266</v>
      </c>
      <c r="BS453" s="49" t="s">
        <v>1975</v>
      </c>
      <c r="BT453" s="49" t="s">
        <v>312</v>
      </c>
      <c r="BU453" s="49" t="s">
        <v>313</v>
      </c>
      <c r="BV453" s="49" t="s">
        <v>303</v>
      </c>
      <c r="BX453" s="0" t="n">
        <v>1</v>
      </c>
      <c r="CC453" s="49" t="s">
        <v>315</v>
      </c>
      <c r="CD453" s="49" t="s">
        <v>303</v>
      </c>
      <c r="CF453" s="49" t="s">
        <v>303</v>
      </c>
      <c r="CG453" s="49" t="s">
        <v>316</v>
      </c>
      <c r="CH453" s="49" t="s">
        <v>317</v>
      </c>
      <c r="CI453" s="49" t="s">
        <v>318</v>
      </c>
      <c r="CM453" s="49" t="s">
        <v>456</v>
      </c>
      <c r="CV453" s="49" t="s">
        <v>303</v>
      </c>
      <c r="DB453" s="49" t="s">
        <v>319</v>
      </c>
      <c r="DD453" s="48" t="n">
        <v>46224</v>
      </c>
      <c r="DF453" s="49" t="s">
        <v>310</v>
      </c>
      <c r="DG453" s="49" t="s">
        <v>320</v>
      </c>
      <c r="DH453" s="49" t="s">
        <v>68</v>
      </c>
      <c r="DI453" s="49" t="s">
        <v>298</v>
      </c>
      <c r="DJ453" s="49" t="s">
        <v>321</v>
      </c>
      <c r="DK453" s="49" t="s">
        <v>322</v>
      </c>
      <c r="DL453" s="49" t="s">
        <v>323</v>
      </c>
      <c r="DM453" s="49" t="s">
        <v>303</v>
      </c>
      <c r="DN453" s="49" t="s">
        <v>297</v>
      </c>
      <c r="DO453" s="48"/>
      <c r="DP453" s="49" t="s">
        <v>312</v>
      </c>
      <c r="DQ453" s="48"/>
      <c r="DR453" s="49" t="s">
        <v>312</v>
      </c>
      <c r="DS453" s="49" t="s">
        <v>303</v>
      </c>
      <c r="DT453" s="49" t="s">
        <v>303</v>
      </c>
      <c r="DW453" s="49" t="s">
        <v>303</v>
      </c>
      <c r="EA453" s="49" t="s">
        <v>324</v>
      </c>
      <c r="EB453" s="49" t="s">
        <v>303</v>
      </c>
      <c r="EH453" s="49" t="s">
        <v>310</v>
      </c>
      <c r="EJ453" s="49" t="s">
        <v>303</v>
      </c>
      <c r="EK453" s="49" t="s">
        <v>1980</v>
      </c>
      <c r="EM453" s="49" t="s">
        <v>303</v>
      </c>
      <c r="EN453" s="49" t="s">
        <v>460</v>
      </c>
      <c r="EP453" s="49" t="s">
        <v>298</v>
      </c>
      <c r="EQ453" s="0" t="n">
        <v>1</v>
      </c>
      <c r="ER453" s="49" t="s">
        <v>328</v>
      </c>
      <c r="ES453" s="49" t="s">
        <v>329</v>
      </c>
      <c r="ET453" s="49" t="s">
        <v>310</v>
      </c>
      <c r="EU453" s="49" t="s">
        <v>310</v>
      </c>
      <c r="EV453" s="49" t="s">
        <v>310</v>
      </c>
      <c r="EX453" s="49" t="s">
        <v>303</v>
      </c>
      <c r="EY453" s="49" t="s">
        <v>303</v>
      </c>
      <c r="FC453" s="49" t="s">
        <v>330</v>
      </c>
      <c r="FD453" s="49" t="s">
        <v>310</v>
      </c>
      <c r="FE453" s="49" t="s">
        <v>310</v>
      </c>
      <c r="FF453" s="49" t="s">
        <v>68</v>
      </c>
      <c r="FG453" s="49" t="s">
        <v>461</v>
      </c>
      <c r="FH453" s="49" t="s">
        <v>310</v>
      </c>
      <c r="FI453" s="49" t="s">
        <v>332</v>
      </c>
      <c r="FJ453" s="49" t="s">
        <v>303</v>
      </c>
      <c r="FL453" s="49" t="s">
        <v>325</v>
      </c>
      <c r="FM453" s="49" t="s">
        <v>1638</v>
      </c>
      <c r="FP453" s="49" t="s">
        <v>303</v>
      </c>
      <c r="FR453" s="49" t="s">
        <v>303</v>
      </c>
      <c r="FT453" s="49" t="s">
        <v>325</v>
      </c>
      <c r="FU453" s="49" t="s">
        <v>325</v>
      </c>
      <c r="FW453" s="49" t="s">
        <v>333</v>
      </c>
    </row>
    <row r="454" customFormat="false" ht="15" hidden="false" customHeight="false" outlineLevel="0" collapsed="false">
      <c r="A454" s="0" t="n">
        <v>100874175</v>
      </c>
      <c r="B454" s="0" t="s">
        <v>295</v>
      </c>
      <c r="C454" s="0" t="s">
        <v>68</v>
      </c>
      <c r="D454" s="0" t="s">
        <v>456</v>
      </c>
      <c r="E454" s="0" t="s">
        <v>297</v>
      </c>
      <c r="G454" s="0" t="n">
        <v>1</v>
      </c>
      <c r="H454" s="0" t="s">
        <v>298</v>
      </c>
      <c r="I454" s="48" t="n">
        <v>46246</v>
      </c>
      <c r="J454" s="0" t="n">
        <v>1</v>
      </c>
      <c r="K454" s="49" t="s">
        <v>1864</v>
      </c>
      <c r="L454" s="49" t="s">
        <v>335</v>
      </c>
      <c r="M454" s="48" t="n">
        <v>46265</v>
      </c>
      <c r="N454" s="49" t="s">
        <v>1630</v>
      </c>
      <c r="O454" s="49" t="s">
        <v>1052</v>
      </c>
      <c r="P454" s="48"/>
      <c r="Q454" s="48" t="n">
        <v>46246</v>
      </c>
      <c r="R454" s="48" t="n">
        <v>46268</v>
      </c>
      <c r="T454" s="49" t="s">
        <v>302</v>
      </c>
      <c r="U454" s="49" t="s">
        <v>303</v>
      </c>
      <c r="Y454" s="49" t="s">
        <v>1981</v>
      </c>
      <c r="AD454" s="49" t="s">
        <v>305</v>
      </c>
      <c r="AE454" s="48" t="n">
        <v>46224</v>
      </c>
      <c r="AF454" s="49" t="s">
        <v>306</v>
      </c>
      <c r="AG454" s="49" t="s">
        <v>307</v>
      </c>
      <c r="AK454" s="49" t="s">
        <v>1047</v>
      </c>
      <c r="AL454" s="49" t="s">
        <v>297</v>
      </c>
      <c r="AO454" s="49" t="s">
        <v>303</v>
      </c>
      <c r="AP454" s="48"/>
      <c r="AR454" s="49" t="s">
        <v>303</v>
      </c>
      <c r="AS454" s="49" t="s">
        <v>306</v>
      </c>
      <c r="AT454" s="49" t="s">
        <v>1982</v>
      </c>
      <c r="AV454" s="49" t="s">
        <v>309</v>
      </c>
      <c r="AW454" s="49" t="s">
        <v>310</v>
      </c>
      <c r="AX454" s="49" t="s">
        <v>311</v>
      </c>
      <c r="AY454" s="48"/>
      <c r="AZ454" s="48" t="n">
        <v>46259</v>
      </c>
      <c r="BC454" s="49" t="s">
        <v>303</v>
      </c>
      <c r="BD454" s="48" t="n">
        <v>46274</v>
      </c>
      <c r="BE454" s="49" t="s">
        <v>1983</v>
      </c>
      <c r="BF454" s="49" t="s">
        <v>303</v>
      </c>
      <c r="BG454" s="48"/>
      <c r="BI454" s="48" t="n">
        <v>46275</v>
      </c>
      <c r="BJ454" s="48" t="n">
        <v>46267</v>
      </c>
      <c r="BK454" s="49" t="s">
        <v>313</v>
      </c>
      <c r="BL454" s="49" t="s">
        <v>313</v>
      </c>
      <c r="BM454" s="49" t="s">
        <v>310</v>
      </c>
      <c r="BN454" s="48"/>
      <c r="BO454" s="48"/>
      <c r="BP454" s="48"/>
      <c r="BQ454" s="49" t="s">
        <v>1864</v>
      </c>
      <c r="BR454" s="48" t="n">
        <v>46267</v>
      </c>
      <c r="BS454" s="49" t="s">
        <v>1975</v>
      </c>
      <c r="BT454" s="49" t="s">
        <v>312</v>
      </c>
      <c r="BU454" s="49" t="s">
        <v>313</v>
      </c>
      <c r="BV454" s="49" t="s">
        <v>303</v>
      </c>
      <c r="BX454" s="0" t="n">
        <v>1</v>
      </c>
      <c r="CC454" s="49" t="s">
        <v>315</v>
      </c>
      <c r="CD454" s="49" t="s">
        <v>303</v>
      </c>
      <c r="CF454" s="49" t="s">
        <v>303</v>
      </c>
      <c r="CG454" s="49" t="s">
        <v>316</v>
      </c>
      <c r="CH454" s="49" t="s">
        <v>317</v>
      </c>
      <c r="CI454" s="49" t="s">
        <v>318</v>
      </c>
      <c r="CM454" s="49" t="s">
        <v>456</v>
      </c>
      <c r="CV454" s="49" t="s">
        <v>303</v>
      </c>
      <c r="DB454" s="49" t="s">
        <v>319</v>
      </c>
      <c r="DD454" s="48" t="n">
        <v>46224</v>
      </c>
      <c r="DF454" s="49" t="s">
        <v>310</v>
      </c>
      <c r="DG454" s="49" t="s">
        <v>320</v>
      </c>
      <c r="DH454" s="49" t="s">
        <v>68</v>
      </c>
      <c r="DI454" s="49" t="s">
        <v>298</v>
      </c>
      <c r="DJ454" s="49" t="s">
        <v>321</v>
      </c>
      <c r="DK454" s="49" t="s">
        <v>322</v>
      </c>
      <c r="DL454" s="49" t="s">
        <v>323</v>
      </c>
      <c r="DM454" s="49" t="s">
        <v>303</v>
      </c>
      <c r="DN454" s="49" t="s">
        <v>297</v>
      </c>
      <c r="DO454" s="48"/>
      <c r="DP454" s="49" t="s">
        <v>312</v>
      </c>
      <c r="DQ454" s="48"/>
      <c r="DR454" s="49" t="s">
        <v>312</v>
      </c>
      <c r="DS454" s="49" t="s">
        <v>303</v>
      </c>
      <c r="DT454" s="49" t="s">
        <v>303</v>
      </c>
      <c r="DW454" s="49" t="s">
        <v>303</v>
      </c>
      <c r="EA454" s="49" t="s">
        <v>324</v>
      </c>
      <c r="EB454" s="49" t="s">
        <v>303</v>
      </c>
      <c r="EF454" s="49" t="s">
        <v>1984</v>
      </c>
      <c r="EH454" s="49" t="s">
        <v>310</v>
      </c>
      <c r="EJ454" s="49" t="s">
        <v>303</v>
      </c>
      <c r="EK454" s="49" t="s">
        <v>1985</v>
      </c>
      <c r="EM454" s="49" t="s">
        <v>303</v>
      </c>
      <c r="EN454" s="49" t="s">
        <v>460</v>
      </c>
      <c r="EP454" s="49" t="s">
        <v>298</v>
      </c>
      <c r="EQ454" s="0" t="n">
        <v>1</v>
      </c>
      <c r="ER454" s="49" t="s">
        <v>328</v>
      </c>
      <c r="ES454" s="49" t="s">
        <v>329</v>
      </c>
      <c r="ET454" s="49" t="s">
        <v>310</v>
      </c>
      <c r="EU454" s="49" t="s">
        <v>310</v>
      </c>
      <c r="EV454" s="49" t="s">
        <v>310</v>
      </c>
      <c r="EX454" s="49" t="s">
        <v>303</v>
      </c>
      <c r="EY454" s="49" t="s">
        <v>303</v>
      </c>
      <c r="FC454" s="49" t="s">
        <v>330</v>
      </c>
      <c r="FD454" s="49" t="s">
        <v>310</v>
      </c>
      <c r="FE454" s="49" t="s">
        <v>310</v>
      </c>
      <c r="FF454" s="49" t="s">
        <v>68</v>
      </c>
      <c r="FG454" s="49" t="s">
        <v>461</v>
      </c>
      <c r="FH454" s="49" t="s">
        <v>310</v>
      </c>
      <c r="FI454" s="49" t="s">
        <v>332</v>
      </c>
      <c r="FJ454" s="49" t="s">
        <v>303</v>
      </c>
      <c r="FL454" s="49" t="s">
        <v>325</v>
      </c>
      <c r="FM454" s="49" t="s">
        <v>1638</v>
      </c>
      <c r="FP454" s="49" t="s">
        <v>303</v>
      </c>
      <c r="FR454" s="49" t="s">
        <v>303</v>
      </c>
      <c r="FT454" s="49" t="s">
        <v>325</v>
      </c>
      <c r="FU454" s="49" t="s">
        <v>325</v>
      </c>
      <c r="FW454" s="49" t="s">
        <v>333</v>
      </c>
    </row>
    <row r="455" customFormat="false" ht="15" hidden="false" customHeight="false" outlineLevel="0" collapsed="false">
      <c r="A455" s="0" t="n">
        <v>100874176</v>
      </c>
      <c r="B455" s="0" t="s">
        <v>295</v>
      </c>
      <c r="C455" s="0" t="s">
        <v>68</v>
      </c>
      <c r="D455" s="0" t="s">
        <v>456</v>
      </c>
      <c r="E455" s="0" t="s">
        <v>297</v>
      </c>
      <c r="G455" s="0" t="n">
        <v>1</v>
      </c>
      <c r="H455" s="0" t="s">
        <v>298</v>
      </c>
      <c r="I455" s="48" t="n">
        <v>46246</v>
      </c>
      <c r="J455" s="0" t="n">
        <v>1</v>
      </c>
      <c r="K455" s="49" t="s">
        <v>1864</v>
      </c>
      <c r="L455" s="49" t="s">
        <v>335</v>
      </c>
      <c r="M455" s="48" t="n">
        <v>46265</v>
      </c>
      <c r="N455" s="49" t="s">
        <v>1630</v>
      </c>
      <c r="O455" s="49" t="s">
        <v>1052</v>
      </c>
      <c r="P455" s="48"/>
      <c r="Q455" s="48" t="n">
        <v>46246</v>
      </c>
      <c r="R455" s="48" t="n">
        <v>46268</v>
      </c>
      <c r="T455" s="49" t="s">
        <v>302</v>
      </c>
      <c r="U455" s="49" t="s">
        <v>303</v>
      </c>
      <c r="Y455" s="49" t="s">
        <v>1986</v>
      </c>
      <c r="AD455" s="49" t="s">
        <v>305</v>
      </c>
      <c r="AE455" s="48" t="n">
        <v>46224</v>
      </c>
      <c r="AF455" s="49" t="s">
        <v>306</v>
      </c>
      <c r="AG455" s="49" t="s">
        <v>307</v>
      </c>
      <c r="AK455" s="49" t="s">
        <v>1047</v>
      </c>
      <c r="AL455" s="49" t="s">
        <v>297</v>
      </c>
      <c r="AO455" s="49" t="s">
        <v>303</v>
      </c>
      <c r="AP455" s="48"/>
      <c r="AR455" s="49" t="s">
        <v>303</v>
      </c>
      <c r="AS455" s="49" t="s">
        <v>306</v>
      </c>
      <c r="AT455" s="49" t="s">
        <v>1987</v>
      </c>
      <c r="AV455" s="49" t="s">
        <v>309</v>
      </c>
      <c r="AW455" s="49" t="s">
        <v>310</v>
      </c>
      <c r="AX455" s="49" t="s">
        <v>311</v>
      </c>
      <c r="AY455" s="48"/>
      <c r="AZ455" s="48" t="n">
        <v>46259</v>
      </c>
      <c r="BC455" s="49" t="s">
        <v>303</v>
      </c>
      <c r="BD455" s="48" t="n">
        <v>46279</v>
      </c>
      <c r="BE455" s="49" t="s">
        <v>1988</v>
      </c>
      <c r="BF455" s="49" t="s">
        <v>303</v>
      </c>
      <c r="BG455" s="48"/>
      <c r="BI455" s="48" t="n">
        <v>46279</v>
      </c>
      <c r="BJ455" s="48" t="n">
        <v>46267</v>
      </c>
      <c r="BK455" s="49" t="s">
        <v>313</v>
      </c>
      <c r="BL455" s="49" t="s">
        <v>313</v>
      </c>
      <c r="BM455" s="49" t="s">
        <v>310</v>
      </c>
      <c r="BN455" s="48"/>
      <c r="BO455" s="48"/>
      <c r="BP455" s="48"/>
      <c r="BQ455" s="49" t="s">
        <v>1864</v>
      </c>
      <c r="BR455" s="48" t="n">
        <v>46267</v>
      </c>
      <c r="BS455" s="49" t="s">
        <v>1989</v>
      </c>
      <c r="BT455" s="49" t="s">
        <v>312</v>
      </c>
      <c r="BU455" s="49" t="s">
        <v>313</v>
      </c>
      <c r="BV455" s="49" t="s">
        <v>303</v>
      </c>
      <c r="BX455" s="0" t="n">
        <v>1</v>
      </c>
      <c r="CC455" s="49" t="s">
        <v>315</v>
      </c>
      <c r="CD455" s="49" t="s">
        <v>303</v>
      </c>
      <c r="CF455" s="49" t="s">
        <v>303</v>
      </c>
      <c r="CG455" s="49" t="s">
        <v>316</v>
      </c>
      <c r="CH455" s="49" t="s">
        <v>317</v>
      </c>
      <c r="CI455" s="49" t="s">
        <v>318</v>
      </c>
      <c r="CM455" s="49" t="s">
        <v>456</v>
      </c>
      <c r="CV455" s="49" t="s">
        <v>303</v>
      </c>
      <c r="DB455" s="49" t="s">
        <v>319</v>
      </c>
      <c r="DD455" s="48" t="n">
        <v>46224</v>
      </c>
      <c r="DF455" s="49" t="s">
        <v>310</v>
      </c>
      <c r="DG455" s="49" t="s">
        <v>320</v>
      </c>
      <c r="DH455" s="49" t="s">
        <v>68</v>
      </c>
      <c r="DI455" s="49" t="s">
        <v>298</v>
      </c>
      <c r="DJ455" s="49" t="s">
        <v>321</v>
      </c>
      <c r="DK455" s="49" t="s">
        <v>322</v>
      </c>
      <c r="DL455" s="49" t="s">
        <v>323</v>
      </c>
      <c r="DM455" s="49" t="s">
        <v>303</v>
      </c>
      <c r="DN455" s="49" t="s">
        <v>297</v>
      </c>
      <c r="DO455" s="48"/>
      <c r="DP455" s="49" t="s">
        <v>312</v>
      </c>
      <c r="DQ455" s="48"/>
      <c r="DR455" s="49" t="s">
        <v>312</v>
      </c>
      <c r="DS455" s="49" t="s">
        <v>303</v>
      </c>
      <c r="DT455" s="49" t="s">
        <v>303</v>
      </c>
      <c r="DW455" s="49" t="s">
        <v>303</v>
      </c>
      <c r="EA455" s="49" t="s">
        <v>324</v>
      </c>
      <c r="EB455" s="49" t="s">
        <v>303</v>
      </c>
      <c r="EF455" s="49" t="s">
        <v>1984</v>
      </c>
      <c r="EH455" s="49" t="s">
        <v>310</v>
      </c>
      <c r="EJ455" s="49" t="s">
        <v>303</v>
      </c>
      <c r="EK455" s="49" t="s">
        <v>1990</v>
      </c>
      <c r="EM455" s="49" t="s">
        <v>303</v>
      </c>
      <c r="EN455" s="49" t="s">
        <v>460</v>
      </c>
      <c r="EP455" s="49" t="s">
        <v>298</v>
      </c>
      <c r="EQ455" s="0" t="n">
        <v>1</v>
      </c>
      <c r="ER455" s="49" t="s">
        <v>328</v>
      </c>
      <c r="ES455" s="49" t="s">
        <v>329</v>
      </c>
      <c r="ET455" s="49" t="s">
        <v>310</v>
      </c>
      <c r="EU455" s="49" t="s">
        <v>310</v>
      </c>
      <c r="EV455" s="49" t="s">
        <v>310</v>
      </c>
      <c r="EX455" s="49" t="s">
        <v>303</v>
      </c>
      <c r="EY455" s="49" t="s">
        <v>303</v>
      </c>
      <c r="FC455" s="49" t="s">
        <v>330</v>
      </c>
      <c r="FD455" s="49" t="s">
        <v>310</v>
      </c>
      <c r="FE455" s="49" t="s">
        <v>310</v>
      </c>
      <c r="FF455" s="49" t="s">
        <v>68</v>
      </c>
      <c r="FG455" s="49" t="s">
        <v>461</v>
      </c>
      <c r="FH455" s="49" t="s">
        <v>310</v>
      </c>
      <c r="FI455" s="49" t="s">
        <v>332</v>
      </c>
      <c r="FJ455" s="49" t="s">
        <v>303</v>
      </c>
      <c r="FL455" s="49" t="s">
        <v>325</v>
      </c>
      <c r="FM455" s="49" t="s">
        <v>1638</v>
      </c>
      <c r="FP455" s="49" t="s">
        <v>303</v>
      </c>
      <c r="FR455" s="49" t="s">
        <v>303</v>
      </c>
      <c r="FT455" s="49" t="s">
        <v>325</v>
      </c>
      <c r="FU455" s="49" t="s">
        <v>325</v>
      </c>
      <c r="FW455" s="49" t="s">
        <v>333</v>
      </c>
    </row>
    <row r="456" customFormat="false" ht="15" hidden="false" customHeight="false" outlineLevel="0" collapsed="false">
      <c r="A456" s="0" t="n">
        <v>100874177</v>
      </c>
      <c r="B456" s="0" t="s">
        <v>295</v>
      </c>
      <c r="C456" s="0" t="s">
        <v>70</v>
      </c>
      <c r="D456" s="0" t="s">
        <v>468</v>
      </c>
      <c r="E456" s="0" t="s">
        <v>297</v>
      </c>
      <c r="G456" s="0" t="n">
        <v>1</v>
      </c>
      <c r="H456" s="0" t="s">
        <v>298</v>
      </c>
      <c r="I456" s="48" t="n">
        <v>46246</v>
      </c>
      <c r="J456" s="0" t="n">
        <v>1</v>
      </c>
      <c r="K456" s="49" t="s">
        <v>1864</v>
      </c>
      <c r="L456" s="49" t="s">
        <v>335</v>
      </c>
      <c r="M456" s="48" t="n">
        <v>46246</v>
      </c>
      <c r="N456" s="49" t="s">
        <v>335</v>
      </c>
      <c r="O456" s="49" t="s">
        <v>1052</v>
      </c>
      <c r="P456" s="48"/>
      <c r="Q456" s="48" t="n">
        <v>46246</v>
      </c>
      <c r="R456" s="48" t="n">
        <v>46253</v>
      </c>
      <c r="T456" s="49" t="s">
        <v>302</v>
      </c>
      <c r="U456" s="49" t="s">
        <v>303</v>
      </c>
      <c r="Y456" s="49" t="s">
        <v>1991</v>
      </c>
      <c r="AD456" s="49" t="s">
        <v>305</v>
      </c>
      <c r="AE456" s="48" t="n">
        <v>46224</v>
      </c>
      <c r="AF456" s="49" t="s">
        <v>306</v>
      </c>
      <c r="AG456" s="49" t="s">
        <v>307</v>
      </c>
      <c r="AK456" s="49" t="s">
        <v>1047</v>
      </c>
      <c r="AL456" s="49" t="s">
        <v>297</v>
      </c>
      <c r="AO456" s="49" t="s">
        <v>303</v>
      </c>
      <c r="AP456" s="48"/>
      <c r="AR456" s="49" t="s">
        <v>303</v>
      </c>
      <c r="AS456" s="49" t="s">
        <v>306</v>
      </c>
      <c r="AT456" s="49" t="s">
        <v>1992</v>
      </c>
      <c r="AV456" s="49" t="s">
        <v>309</v>
      </c>
      <c r="AW456" s="49" t="s">
        <v>310</v>
      </c>
      <c r="AX456" s="49" t="s">
        <v>311</v>
      </c>
      <c r="AY456" s="48"/>
      <c r="AZ456" s="48" t="n">
        <v>46244</v>
      </c>
      <c r="BC456" s="49" t="s">
        <v>303</v>
      </c>
      <c r="BD456" s="48" t="n">
        <v>46275</v>
      </c>
      <c r="BE456" s="49" t="s">
        <v>1993</v>
      </c>
      <c r="BF456" s="49" t="s">
        <v>303</v>
      </c>
      <c r="BG456" s="48"/>
      <c r="BI456" s="48" t="n">
        <v>46275</v>
      </c>
      <c r="BJ456" s="48" t="n">
        <v>46251</v>
      </c>
      <c r="BK456" s="49" t="s">
        <v>312</v>
      </c>
      <c r="BL456" s="49" t="s">
        <v>313</v>
      </c>
      <c r="BM456" s="49" t="s">
        <v>310</v>
      </c>
      <c r="BN456" s="48"/>
      <c r="BO456" s="48"/>
      <c r="BP456" s="48"/>
      <c r="BQ456" s="49" t="s">
        <v>1864</v>
      </c>
      <c r="BR456" s="48" t="n">
        <v>46251</v>
      </c>
      <c r="BS456" s="49" t="s">
        <v>1989</v>
      </c>
      <c r="BT456" s="49" t="s">
        <v>312</v>
      </c>
      <c r="BU456" s="49" t="s">
        <v>313</v>
      </c>
      <c r="BV456" s="49" t="s">
        <v>303</v>
      </c>
      <c r="BX456" s="0" t="n">
        <v>1</v>
      </c>
      <c r="CC456" s="49" t="s">
        <v>315</v>
      </c>
      <c r="CD456" s="49" t="s">
        <v>303</v>
      </c>
      <c r="CF456" s="49" t="s">
        <v>303</v>
      </c>
      <c r="CG456" s="49" t="s">
        <v>316</v>
      </c>
      <c r="CH456" s="49" t="s">
        <v>317</v>
      </c>
      <c r="CI456" s="49" t="s">
        <v>318</v>
      </c>
      <c r="CM456" s="49" t="s">
        <v>468</v>
      </c>
      <c r="CV456" s="49" t="s">
        <v>303</v>
      </c>
      <c r="DB456" s="49" t="s">
        <v>319</v>
      </c>
      <c r="DD456" s="48" t="n">
        <v>46224</v>
      </c>
      <c r="DF456" s="49" t="s">
        <v>310</v>
      </c>
      <c r="DG456" s="49" t="s">
        <v>320</v>
      </c>
      <c r="DH456" s="49" t="s">
        <v>70</v>
      </c>
      <c r="DI456" s="49" t="s">
        <v>298</v>
      </c>
      <c r="DJ456" s="49" t="s">
        <v>321</v>
      </c>
      <c r="DK456" s="49" t="s">
        <v>322</v>
      </c>
      <c r="DL456" s="49" t="s">
        <v>323</v>
      </c>
      <c r="DM456" s="49" t="s">
        <v>303</v>
      </c>
      <c r="DN456" s="49" t="s">
        <v>297</v>
      </c>
      <c r="DO456" s="48"/>
      <c r="DP456" s="49" t="s">
        <v>312</v>
      </c>
      <c r="DQ456" s="48"/>
      <c r="DR456" s="49" t="s">
        <v>312</v>
      </c>
      <c r="DS456" s="49" t="s">
        <v>303</v>
      </c>
      <c r="DT456" s="49" t="s">
        <v>303</v>
      </c>
      <c r="DW456" s="49" t="s">
        <v>303</v>
      </c>
      <c r="EA456" s="49" t="s">
        <v>324</v>
      </c>
      <c r="EB456" s="49" t="s">
        <v>303</v>
      </c>
      <c r="EH456" s="49" t="s">
        <v>310</v>
      </c>
      <c r="EJ456" s="49" t="s">
        <v>303</v>
      </c>
      <c r="EK456" s="49" t="s">
        <v>1994</v>
      </c>
      <c r="EM456" s="49" t="s">
        <v>303</v>
      </c>
      <c r="EN456" s="49" t="s">
        <v>472</v>
      </c>
      <c r="EP456" s="49" t="s">
        <v>298</v>
      </c>
      <c r="EQ456" s="0" t="n">
        <v>1</v>
      </c>
      <c r="ER456" s="49" t="s">
        <v>328</v>
      </c>
      <c r="ES456" s="49" t="s">
        <v>329</v>
      </c>
      <c r="ET456" s="49" t="s">
        <v>310</v>
      </c>
      <c r="EU456" s="49" t="s">
        <v>310</v>
      </c>
      <c r="EV456" s="49" t="s">
        <v>310</v>
      </c>
      <c r="EX456" s="49" t="s">
        <v>303</v>
      </c>
      <c r="EY456" s="49" t="s">
        <v>303</v>
      </c>
      <c r="FC456" s="49" t="s">
        <v>330</v>
      </c>
      <c r="FD456" s="49" t="s">
        <v>310</v>
      </c>
      <c r="FE456" s="49" t="s">
        <v>310</v>
      </c>
      <c r="FF456" s="49" t="s">
        <v>70</v>
      </c>
      <c r="FG456" s="49" t="s">
        <v>473</v>
      </c>
      <c r="FH456" s="49" t="s">
        <v>310</v>
      </c>
      <c r="FI456" s="49" t="s">
        <v>332</v>
      </c>
      <c r="FJ456" s="49" t="s">
        <v>303</v>
      </c>
      <c r="FL456" s="49" t="s">
        <v>325</v>
      </c>
      <c r="FM456" s="49" t="s">
        <v>1864</v>
      </c>
      <c r="FP456" s="49" t="s">
        <v>303</v>
      </c>
      <c r="FR456" s="49" t="s">
        <v>303</v>
      </c>
      <c r="FT456" s="49" t="s">
        <v>325</v>
      </c>
      <c r="FU456" s="49" t="s">
        <v>325</v>
      </c>
      <c r="FW456" s="49" t="s">
        <v>333</v>
      </c>
    </row>
    <row r="457" customFormat="false" ht="15" hidden="false" customHeight="false" outlineLevel="0" collapsed="false">
      <c r="A457" s="0" t="n">
        <v>100874178</v>
      </c>
      <c r="B457" s="0" t="s">
        <v>295</v>
      </c>
      <c r="C457" s="0" t="s">
        <v>70</v>
      </c>
      <c r="D457" s="0" t="s">
        <v>468</v>
      </c>
      <c r="E457" s="0" t="s">
        <v>297</v>
      </c>
      <c r="G457" s="0" t="n">
        <v>1</v>
      </c>
      <c r="H457" s="0" t="s">
        <v>298</v>
      </c>
      <c r="I457" s="48" t="n">
        <v>46246</v>
      </c>
      <c r="J457" s="0" t="n">
        <v>1</v>
      </c>
      <c r="K457" s="49" t="s">
        <v>1864</v>
      </c>
      <c r="L457" s="49" t="s">
        <v>335</v>
      </c>
      <c r="M457" s="48"/>
      <c r="O457" s="49" t="s">
        <v>1052</v>
      </c>
      <c r="P457" s="48"/>
      <c r="Q457" s="48" t="n">
        <v>46246</v>
      </c>
      <c r="R457" s="48" t="n">
        <v>46252</v>
      </c>
      <c r="T457" s="49" t="s">
        <v>302</v>
      </c>
      <c r="U457" s="49" t="s">
        <v>303</v>
      </c>
      <c r="Y457" s="49" t="s">
        <v>312</v>
      </c>
      <c r="AD457" s="49" t="s">
        <v>305</v>
      </c>
      <c r="AE457" s="48" t="n">
        <v>46224</v>
      </c>
      <c r="AF457" s="49" t="s">
        <v>306</v>
      </c>
      <c r="AG457" s="49" t="s">
        <v>307</v>
      </c>
      <c r="AK457" s="49" t="s">
        <v>1047</v>
      </c>
      <c r="AL457" s="49" t="s">
        <v>297</v>
      </c>
      <c r="AO457" s="49" t="s">
        <v>303</v>
      </c>
      <c r="AP457" s="48"/>
      <c r="AR457" s="49" t="s">
        <v>303</v>
      </c>
      <c r="AS457" s="49" t="s">
        <v>306</v>
      </c>
      <c r="AT457" s="49" t="s">
        <v>1995</v>
      </c>
      <c r="AV457" s="49" t="s">
        <v>309</v>
      </c>
      <c r="AW457" s="49" t="s">
        <v>310</v>
      </c>
      <c r="AX457" s="49" t="s">
        <v>311</v>
      </c>
      <c r="AY457" s="48"/>
      <c r="AZ457" s="48" t="n">
        <v>46244</v>
      </c>
      <c r="BC457" s="49" t="s">
        <v>303</v>
      </c>
      <c r="BD457" s="48" t="n">
        <v>46273</v>
      </c>
      <c r="BE457" s="49" t="s">
        <v>1996</v>
      </c>
      <c r="BF457" s="49" t="s">
        <v>303</v>
      </c>
      <c r="BG457" s="48"/>
      <c r="BI457" s="48" t="n">
        <v>46274</v>
      </c>
      <c r="BJ457" s="48" t="n">
        <v>46251</v>
      </c>
      <c r="BK457" s="49" t="s">
        <v>313</v>
      </c>
      <c r="BL457" s="49" t="s">
        <v>313</v>
      </c>
      <c r="BM457" s="49" t="s">
        <v>310</v>
      </c>
      <c r="BN457" s="48"/>
      <c r="BO457" s="48"/>
      <c r="BP457" s="48"/>
      <c r="BQ457" s="49" t="s">
        <v>1864</v>
      </c>
      <c r="BR457" s="48" t="n">
        <v>46251</v>
      </c>
      <c r="BS457" s="49" t="s">
        <v>1997</v>
      </c>
      <c r="BT457" s="49" t="s">
        <v>312</v>
      </c>
      <c r="BU457" s="49" t="s">
        <v>313</v>
      </c>
      <c r="BV457" s="49" t="s">
        <v>303</v>
      </c>
      <c r="BX457" s="0" t="n">
        <v>1</v>
      </c>
      <c r="CC457" s="49" t="s">
        <v>315</v>
      </c>
      <c r="CD457" s="49" t="s">
        <v>303</v>
      </c>
      <c r="CF457" s="49" t="s">
        <v>303</v>
      </c>
      <c r="CG457" s="49" t="s">
        <v>316</v>
      </c>
      <c r="CH457" s="49" t="s">
        <v>317</v>
      </c>
      <c r="CI457" s="49" t="s">
        <v>318</v>
      </c>
      <c r="CM457" s="49" t="s">
        <v>468</v>
      </c>
      <c r="CV457" s="49" t="s">
        <v>303</v>
      </c>
      <c r="DB457" s="49" t="s">
        <v>319</v>
      </c>
      <c r="DD457" s="48" t="n">
        <v>46224</v>
      </c>
      <c r="DF457" s="49" t="s">
        <v>310</v>
      </c>
      <c r="DG457" s="49" t="s">
        <v>320</v>
      </c>
      <c r="DH457" s="49" t="s">
        <v>70</v>
      </c>
      <c r="DI457" s="49" t="s">
        <v>298</v>
      </c>
      <c r="DJ457" s="49" t="s">
        <v>321</v>
      </c>
      <c r="DK457" s="49" t="s">
        <v>322</v>
      </c>
      <c r="DL457" s="49" t="s">
        <v>323</v>
      </c>
      <c r="DM457" s="49" t="s">
        <v>303</v>
      </c>
      <c r="DN457" s="49" t="s">
        <v>297</v>
      </c>
      <c r="DO457" s="48"/>
      <c r="DP457" s="49" t="s">
        <v>312</v>
      </c>
      <c r="DQ457" s="48"/>
      <c r="DR457" s="49" t="s">
        <v>312</v>
      </c>
      <c r="DS457" s="49" t="s">
        <v>303</v>
      </c>
      <c r="DT457" s="49" t="s">
        <v>303</v>
      </c>
      <c r="DW457" s="49" t="s">
        <v>303</v>
      </c>
      <c r="EA457" s="49" t="s">
        <v>324</v>
      </c>
      <c r="EB457" s="49" t="s">
        <v>303</v>
      </c>
      <c r="EF457" s="49" t="s">
        <v>1998</v>
      </c>
      <c r="EH457" s="49" t="s">
        <v>310</v>
      </c>
      <c r="EJ457" s="49" t="s">
        <v>303</v>
      </c>
      <c r="EK457" s="49" t="s">
        <v>1999</v>
      </c>
      <c r="EM457" s="49" t="s">
        <v>303</v>
      </c>
      <c r="EN457" s="49" t="s">
        <v>472</v>
      </c>
      <c r="EP457" s="49" t="s">
        <v>298</v>
      </c>
      <c r="EQ457" s="0" t="n">
        <v>1</v>
      </c>
      <c r="ER457" s="49" t="s">
        <v>328</v>
      </c>
      <c r="ES457" s="49" t="s">
        <v>329</v>
      </c>
      <c r="ET457" s="49" t="s">
        <v>310</v>
      </c>
      <c r="EU457" s="49" t="s">
        <v>310</v>
      </c>
      <c r="EV457" s="49" t="s">
        <v>310</v>
      </c>
      <c r="EX457" s="49" t="s">
        <v>303</v>
      </c>
      <c r="EY457" s="49" t="s">
        <v>303</v>
      </c>
      <c r="FC457" s="49" t="s">
        <v>330</v>
      </c>
      <c r="FD457" s="49" t="s">
        <v>310</v>
      </c>
      <c r="FE457" s="49" t="s">
        <v>310</v>
      </c>
      <c r="FF457" s="49" t="s">
        <v>70</v>
      </c>
      <c r="FG457" s="49" t="s">
        <v>473</v>
      </c>
      <c r="FH457" s="49" t="s">
        <v>310</v>
      </c>
      <c r="FI457" s="49" t="s">
        <v>332</v>
      </c>
      <c r="FJ457" s="49" t="s">
        <v>303</v>
      </c>
      <c r="FL457" s="49" t="s">
        <v>325</v>
      </c>
      <c r="FM457" s="49" t="s">
        <v>1864</v>
      </c>
      <c r="FP457" s="49" t="s">
        <v>303</v>
      </c>
      <c r="FR457" s="49" t="s">
        <v>303</v>
      </c>
      <c r="FT457" s="49" t="s">
        <v>325</v>
      </c>
      <c r="FU457" s="49" t="s">
        <v>325</v>
      </c>
      <c r="FW457" s="49" t="s">
        <v>333</v>
      </c>
    </row>
    <row r="458" customFormat="false" ht="15" hidden="false" customHeight="false" outlineLevel="0" collapsed="false">
      <c r="A458" s="0" t="n">
        <v>100874179</v>
      </c>
      <c r="B458" s="0" t="s">
        <v>295</v>
      </c>
      <c r="C458" s="0" t="s">
        <v>70</v>
      </c>
      <c r="D458" s="0" t="s">
        <v>468</v>
      </c>
      <c r="E458" s="0" t="s">
        <v>297</v>
      </c>
      <c r="G458" s="0" t="n">
        <v>1</v>
      </c>
      <c r="H458" s="0" t="s">
        <v>298</v>
      </c>
      <c r="I458" s="48" t="n">
        <v>46246</v>
      </c>
      <c r="J458" s="0" t="n">
        <v>1</v>
      </c>
      <c r="K458" s="49" t="s">
        <v>1864</v>
      </c>
      <c r="L458" s="49" t="s">
        <v>335</v>
      </c>
      <c r="M458" s="48"/>
      <c r="O458" s="49" t="s">
        <v>1052</v>
      </c>
      <c r="P458" s="48"/>
      <c r="Q458" s="48" t="n">
        <v>46246</v>
      </c>
      <c r="R458" s="48" t="n">
        <v>46252</v>
      </c>
      <c r="T458" s="49" t="s">
        <v>302</v>
      </c>
      <c r="U458" s="49" t="s">
        <v>303</v>
      </c>
      <c r="Y458" s="49" t="s">
        <v>312</v>
      </c>
      <c r="AD458" s="49" t="s">
        <v>305</v>
      </c>
      <c r="AE458" s="48" t="n">
        <v>46224</v>
      </c>
      <c r="AF458" s="49" t="s">
        <v>306</v>
      </c>
      <c r="AG458" s="49" t="s">
        <v>307</v>
      </c>
      <c r="AK458" s="49" t="s">
        <v>1047</v>
      </c>
      <c r="AL458" s="49" t="s">
        <v>297</v>
      </c>
      <c r="AO458" s="49" t="s">
        <v>303</v>
      </c>
      <c r="AP458" s="48"/>
      <c r="AR458" s="49" t="s">
        <v>303</v>
      </c>
      <c r="AS458" s="49" t="s">
        <v>306</v>
      </c>
      <c r="AT458" s="49" t="s">
        <v>2000</v>
      </c>
      <c r="AV458" s="49" t="s">
        <v>309</v>
      </c>
      <c r="AW458" s="49" t="s">
        <v>310</v>
      </c>
      <c r="AX458" s="49" t="s">
        <v>311</v>
      </c>
      <c r="AY458" s="48"/>
      <c r="AZ458" s="48" t="n">
        <v>46244</v>
      </c>
      <c r="BC458" s="49" t="s">
        <v>303</v>
      </c>
      <c r="BD458" s="48" t="n">
        <v>46280</v>
      </c>
      <c r="BE458" s="49" t="s">
        <v>2001</v>
      </c>
      <c r="BF458" s="49" t="s">
        <v>303</v>
      </c>
      <c r="BG458" s="48"/>
      <c r="BI458" s="48" t="n">
        <v>46280</v>
      </c>
      <c r="BJ458" s="48" t="n">
        <v>46251</v>
      </c>
      <c r="BK458" s="49" t="s">
        <v>313</v>
      </c>
      <c r="BL458" s="49" t="s">
        <v>313</v>
      </c>
      <c r="BM458" s="49" t="s">
        <v>310</v>
      </c>
      <c r="BN458" s="48"/>
      <c r="BO458" s="48"/>
      <c r="BP458" s="48"/>
      <c r="BQ458" s="49" t="s">
        <v>1864</v>
      </c>
      <c r="BR458" s="48" t="n">
        <v>46251</v>
      </c>
      <c r="BS458" s="49" t="s">
        <v>1997</v>
      </c>
      <c r="BT458" s="49" t="s">
        <v>312</v>
      </c>
      <c r="BU458" s="49" t="s">
        <v>313</v>
      </c>
      <c r="BV458" s="49" t="s">
        <v>303</v>
      </c>
      <c r="BX458" s="0" t="n">
        <v>1</v>
      </c>
      <c r="CC458" s="49" t="s">
        <v>315</v>
      </c>
      <c r="CD458" s="49" t="s">
        <v>303</v>
      </c>
      <c r="CF458" s="49" t="s">
        <v>303</v>
      </c>
      <c r="CG458" s="49" t="s">
        <v>316</v>
      </c>
      <c r="CH458" s="49" t="s">
        <v>317</v>
      </c>
      <c r="CI458" s="49" t="s">
        <v>318</v>
      </c>
      <c r="CM458" s="49" t="s">
        <v>468</v>
      </c>
      <c r="CV458" s="49" t="s">
        <v>303</v>
      </c>
      <c r="DB458" s="49" t="s">
        <v>319</v>
      </c>
      <c r="DD458" s="48" t="n">
        <v>46224</v>
      </c>
      <c r="DF458" s="49" t="s">
        <v>310</v>
      </c>
      <c r="DG458" s="49" t="s">
        <v>320</v>
      </c>
      <c r="DH458" s="49" t="s">
        <v>70</v>
      </c>
      <c r="DI458" s="49" t="s">
        <v>298</v>
      </c>
      <c r="DJ458" s="49" t="s">
        <v>321</v>
      </c>
      <c r="DK458" s="49" t="s">
        <v>322</v>
      </c>
      <c r="DL458" s="49" t="s">
        <v>323</v>
      </c>
      <c r="DM458" s="49" t="s">
        <v>303</v>
      </c>
      <c r="DN458" s="49" t="s">
        <v>297</v>
      </c>
      <c r="DO458" s="48"/>
      <c r="DP458" s="49" t="s">
        <v>312</v>
      </c>
      <c r="DQ458" s="48"/>
      <c r="DR458" s="49" t="s">
        <v>312</v>
      </c>
      <c r="DS458" s="49" t="s">
        <v>303</v>
      </c>
      <c r="DT458" s="49" t="s">
        <v>303</v>
      </c>
      <c r="DW458" s="49" t="s">
        <v>303</v>
      </c>
      <c r="EA458" s="49" t="s">
        <v>324</v>
      </c>
      <c r="EB458" s="49" t="s">
        <v>303</v>
      </c>
      <c r="EF458" s="49" t="s">
        <v>1998</v>
      </c>
      <c r="EH458" s="49" t="s">
        <v>310</v>
      </c>
      <c r="EJ458" s="49" t="s">
        <v>303</v>
      </c>
      <c r="EK458" s="49" t="s">
        <v>2002</v>
      </c>
      <c r="EM458" s="49" t="s">
        <v>303</v>
      </c>
      <c r="EN458" s="49" t="s">
        <v>472</v>
      </c>
      <c r="EP458" s="49" t="s">
        <v>298</v>
      </c>
      <c r="EQ458" s="0" t="n">
        <v>1</v>
      </c>
      <c r="ER458" s="49" t="s">
        <v>328</v>
      </c>
      <c r="ES458" s="49" t="s">
        <v>329</v>
      </c>
      <c r="ET458" s="49" t="s">
        <v>310</v>
      </c>
      <c r="EU458" s="49" t="s">
        <v>310</v>
      </c>
      <c r="EV458" s="49" t="s">
        <v>310</v>
      </c>
      <c r="EX458" s="49" t="s">
        <v>303</v>
      </c>
      <c r="EY458" s="49" t="s">
        <v>303</v>
      </c>
      <c r="FC458" s="49" t="s">
        <v>330</v>
      </c>
      <c r="FD458" s="49" t="s">
        <v>310</v>
      </c>
      <c r="FE458" s="49" t="s">
        <v>310</v>
      </c>
      <c r="FF458" s="49" t="s">
        <v>70</v>
      </c>
      <c r="FG458" s="49" t="s">
        <v>473</v>
      </c>
      <c r="FH458" s="49" t="s">
        <v>310</v>
      </c>
      <c r="FI458" s="49" t="s">
        <v>332</v>
      </c>
      <c r="FJ458" s="49" t="s">
        <v>303</v>
      </c>
      <c r="FL458" s="49" t="s">
        <v>325</v>
      </c>
      <c r="FM458" s="49" t="s">
        <v>1864</v>
      </c>
      <c r="FP458" s="49" t="s">
        <v>303</v>
      </c>
      <c r="FR458" s="49" t="s">
        <v>303</v>
      </c>
      <c r="FT458" s="49" t="s">
        <v>325</v>
      </c>
      <c r="FU458" s="49" t="s">
        <v>325</v>
      </c>
      <c r="FW458" s="49" t="s">
        <v>333</v>
      </c>
    </row>
    <row r="459" customFormat="false" ht="15" hidden="false" customHeight="false" outlineLevel="0" collapsed="false">
      <c r="A459" s="0" t="n">
        <v>100874180</v>
      </c>
      <c r="B459" s="0" t="s">
        <v>295</v>
      </c>
      <c r="C459" s="0" t="s">
        <v>72</v>
      </c>
      <c r="D459" s="0" t="s">
        <v>480</v>
      </c>
      <c r="E459" s="0" t="s">
        <v>297</v>
      </c>
      <c r="G459" s="0" t="n">
        <v>1</v>
      </c>
      <c r="H459" s="0" t="s">
        <v>298</v>
      </c>
      <c r="I459" s="48" t="n">
        <v>46246</v>
      </c>
      <c r="J459" s="0" t="n">
        <v>1</v>
      </c>
      <c r="K459" s="49" t="s">
        <v>1864</v>
      </c>
      <c r="L459" s="49" t="s">
        <v>335</v>
      </c>
      <c r="M459" s="48" t="n">
        <v>46246</v>
      </c>
      <c r="N459" s="49" t="s">
        <v>335</v>
      </c>
      <c r="O459" s="49" t="s">
        <v>1052</v>
      </c>
      <c r="P459" s="48"/>
      <c r="Q459" s="48" t="n">
        <v>46246</v>
      </c>
      <c r="R459" s="48" t="n">
        <v>46253</v>
      </c>
      <c r="T459" s="49" t="s">
        <v>302</v>
      </c>
      <c r="U459" s="49" t="s">
        <v>303</v>
      </c>
      <c r="Y459" s="49" t="s">
        <v>2003</v>
      </c>
      <c r="AD459" s="49" t="s">
        <v>305</v>
      </c>
      <c r="AE459" s="48" t="n">
        <v>46224</v>
      </c>
      <c r="AF459" s="49" t="s">
        <v>306</v>
      </c>
      <c r="AG459" s="49" t="s">
        <v>307</v>
      </c>
      <c r="AK459" s="49" t="s">
        <v>1047</v>
      </c>
      <c r="AL459" s="49" t="s">
        <v>297</v>
      </c>
      <c r="AO459" s="49" t="s">
        <v>303</v>
      </c>
      <c r="AP459" s="48"/>
      <c r="AR459" s="49" t="s">
        <v>303</v>
      </c>
      <c r="AS459" s="49" t="s">
        <v>306</v>
      </c>
      <c r="AT459" s="49" t="s">
        <v>2004</v>
      </c>
      <c r="AV459" s="49" t="s">
        <v>309</v>
      </c>
      <c r="AW459" s="49" t="s">
        <v>310</v>
      </c>
      <c r="AX459" s="49" t="s">
        <v>311</v>
      </c>
      <c r="AY459" s="48"/>
      <c r="AZ459" s="48" t="n">
        <v>46244</v>
      </c>
      <c r="BC459" s="49" t="s">
        <v>303</v>
      </c>
      <c r="BD459" s="48" t="n">
        <v>46276</v>
      </c>
      <c r="BE459" s="49" t="s">
        <v>2005</v>
      </c>
      <c r="BF459" s="49" t="s">
        <v>303</v>
      </c>
      <c r="BG459" s="48"/>
      <c r="BI459" s="48" t="n">
        <v>46283</v>
      </c>
      <c r="BJ459" s="48" t="n">
        <v>46251</v>
      </c>
      <c r="BK459" s="49" t="s">
        <v>312</v>
      </c>
      <c r="BL459" s="49" t="s">
        <v>313</v>
      </c>
      <c r="BM459" s="49" t="s">
        <v>310</v>
      </c>
      <c r="BN459" s="48"/>
      <c r="BO459" s="48"/>
      <c r="BP459" s="48"/>
      <c r="BQ459" s="49" t="s">
        <v>1864</v>
      </c>
      <c r="BR459" s="48" t="n">
        <v>46251</v>
      </c>
      <c r="BS459" s="49" t="s">
        <v>1997</v>
      </c>
      <c r="BT459" s="49" t="s">
        <v>312</v>
      </c>
      <c r="BU459" s="49" t="s">
        <v>313</v>
      </c>
      <c r="BV459" s="49" t="s">
        <v>303</v>
      </c>
      <c r="BX459" s="0" t="n">
        <v>1</v>
      </c>
      <c r="CC459" s="49" t="s">
        <v>315</v>
      </c>
      <c r="CD459" s="49" t="s">
        <v>303</v>
      </c>
      <c r="CF459" s="49" t="s">
        <v>303</v>
      </c>
      <c r="CG459" s="49" t="s">
        <v>316</v>
      </c>
      <c r="CH459" s="49" t="s">
        <v>317</v>
      </c>
      <c r="CI459" s="49" t="s">
        <v>318</v>
      </c>
      <c r="CM459" s="49" t="s">
        <v>480</v>
      </c>
      <c r="CV459" s="49" t="s">
        <v>303</v>
      </c>
      <c r="DB459" s="49" t="s">
        <v>319</v>
      </c>
      <c r="DD459" s="48" t="n">
        <v>46224</v>
      </c>
      <c r="DF459" s="49" t="s">
        <v>310</v>
      </c>
      <c r="DG459" s="49" t="s">
        <v>320</v>
      </c>
      <c r="DH459" s="49" t="s">
        <v>72</v>
      </c>
      <c r="DI459" s="49" t="s">
        <v>298</v>
      </c>
      <c r="DJ459" s="49" t="s">
        <v>321</v>
      </c>
      <c r="DK459" s="49" t="s">
        <v>322</v>
      </c>
      <c r="DL459" s="49" t="s">
        <v>323</v>
      </c>
      <c r="DM459" s="49" t="s">
        <v>303</v>
      </c>
      <c r="DN459" s="49" t="s">
        <v>297</v>
      </c>
      <c r="DO459" s="48"/>
      <c r="DP459" s="49" t="s">
        <v>312</v>
      </c>
      <c r="DQ459" s="48"/>
      <c r="DR459" s="49" t="s">
        <v>312</v>
      </c>
      <c r="DS459" s="49" t="s">
        <v>303</v>
      </c>
      <c r="DT459" s="49" t="s">
        <v>303</v>
      </c>
      <c r="DW459" s="49" t="s">
        <v>303</v>
      </c>
      <c r="EA459" s="49" t="s">
        <v>324</v>
      </c>
      <c r="EB459" s="49" t="s">
        <v>303</v>
      </c>
      <c r="EH459" s="49" t="s">
        <v>310</v>
      </c>
      <c r="EJ459" s="49" t="s">
        <v>303</v>
      </c>
      <c r="EK459" s="49" t="s">
        <v>2006</v>
      </c>
      <c r="EM459" s="49" t="s">
        <v>303</v>
      </c>
      <c r="EN459" s="49" t="s">
        <v>485</v>
      </c>
      <c r="EP459" s="49" t="s">
        <v>298</v>
      </c>
      <c r="EQ459" s="0" t="n">
        <v>1</v>
      </c>
      <c r="ER459" s="49" t="s">
        <v>328</v>
      </c>
      <c r="ES459" s="49" t="s">
        <v>329</v>
      </c>
      <c r="ET459" s="49" t="s">
        <v>310</v>
      </c>
      <c r="EU459" s="49" t="s">
        <v>310</v>
      </c>
      <c r="EV459" s="49" t="s">
        <v>310</v>
      </c>
      <c r="EX459" s="49" t="s">
        <v>303</v>
      </c>
      <c r="EY459" s="49" t="s">
        <v>303</v>
      </c>
      <c r="FC459" s="49" t="s">
        <v>330</v>
      </c>
      <c r="FD459" s="49" t="s">
        <v>310</v>
      </c>
      <c r="FE459" s="49" t="s">
        <v>310</v>
      </c>
      <c r="FF459" s="49" t="s">
        <v>72</v>
      </c>
      <c r="FG459" s="49" t="s">
        <v>486</v>
      </c>
      <c r="FH459" s="49" t="s">
        <v>310</v>
      </c>
      <c r="FI459" s="49" t="s">
        <v>332</v>
      </c>
      <c r="FJ459" s="49" t="s">
        <v>303</v>
      </c>
      <c r="FL459" s="49" t="s">
        <v>325</v>
      </c>
      <c r="FM459" s="49" t="s">
        <v>1864</v>
      </c>
      <c r="FP459" s="49" t="s">
        <v>303</v>
      </c>
      <c r="FR459" s="49" t="s">
        <v>303</v>
      </c>
      <c r="FT459" s="49" t="s">
        <v>325</v>
      </c>
      <c r="FU459" s="49" t="s">
        <v>325</v>
      </c>
      <c r="FW459" s="49" t="s">
        <v>333</v>
      </c>
    </row>
    <row r="460" customFormat="false" ht="15" hidden="false" customHeight="false" outlineLevel="0" collapsed="false">
      <c r="A460" s="0" t="n">
        <v>100874181</v>
      </c>
      <c r="B460" s="0" t="s">
        <v>295</v>
      </c>
      <c r="C460" s="0" t="s">
        <v>72</v>
      </c>
      <c r="D460" s="0" t="s">
        <v>480</v>
      </c>
      <c r="E460" s="0" t="s">
        <v>297</v>
      </c>
      <c r="G460" s="0" t="n">
        <v>1</v>
      </c>
      <c r="H460" s="0" t="s">
        <v>298</v>
      </c>
      <c r="I460" s="48" t="n">
        <v>46246</v>
      </c>
      <c r="J460" s="0" t="n">
        <v>1</v>
      </c>
      <c r="K460" s="49" t="s">
        <v>1864</v>
      </c>
      <c r="L460" s="49" t="s">
        <v>335</v>
      </c>
      <c r="M460" s="48"/>
      <c r="O460" s="49" t="s">
        <v>1052</v>
      </c>
      <c r="P460" s="48"/>
      <c r="Q460" s="48" t="n">
        <v>46246</v>
      </c>
      <c r="R460" s="48" t="n">
        <v>46252</v>
      </c>
      <c r="T460" s="49" t="s">
        <v>302</v>
      </c>
      <c r="U460" s="49" t="s">
        <v>303</v>
      </c>
      <c r="Y460" s="49" t="s">
        <v>312</v>
      </c>
      <c r="AD460" s="49" t="s">
        <v>305</v>
      </c>
      <c r="AE460" s="48" t="n">
        <v>46224</v>
      </c>
      <c r="AF460" s="49" t="s">
        <v>306</v>
      </c>
      <c r="AG460" s="49" t="s">
        <v>307</v>
      </c>
      <c r="AK460" s="49" t="s">
        <v>1047</v>
      </c>
      <c r="AL460" s="49" t="s">
        <v>297</v>
      </c>
      <c r="AO460" s="49" t="s">
        <v>303</v>
      </c>
      <c r="AP460" s="48"/>
      <c r="AR460" s="49" t="s">
        <v>303</v>
      </c>
      <c r="AS460" s="49" t="s">
        <v>306</v>
      </c>
      <c r="AT460" s="49" t="s">
        <v>2007</v>
      </c>
      <c r="AV460" s="49" t="s">
        <v>309</v>
      </c>
      <c r="AW460" s="49" t="s">
        <v>310</v>
      </c>
      <c r="AX460" s="49" t="s">
        <v>311</v>
      </c>
      <c r="AY460" s="48"/>
      <c r="AZ460" s="48" t="n">
        <v>46244</v>
      </c>
      <c r="BC460" s="49" t="s">
        <v>303</v>
      </c>
      <c r="BD460" s="48" t="n">
        <v>46273</v>
      </c>
      <c r="BE460" s="49" t="s">
        <v>2008</v>
      </c>
      <c r="BF460" s="49" t="s">
        <v>303</v>
      </c>
      <c r="BG460" s="48"/>
      <c r="BI460" s="48" t="n">
        <v>46274</v>
      </c>
      <c r="BJ460" s="48" t="n">
        <v>46251</v>
      </c>
      <c r="BK460" s="49" t="s">
        <v>313</v>
      </c>
      <c r="BL460" s="49" t="s">
        <v>313</v>
      </c>
      <c r="BM460" s="49" t="s">
        <v>310</v>
      </c>
      <c r="BN460" s="48"/>
      <c r="BO460" s="48"/>
      <c r="BP460" s="48"/>
      <c r="BQ460" s="49" t="s">
        <v>1864</v>
      </c>
      <c r="BR460" s="48" t="n">
        <v>46251</v>
      </c>
      <c r="BS460" s="49" t="s">
        <v>2009</v>
      </c>
      <c r="BT460" s="49" t="s">
        <v>312</v>
      </c>
      <c r="BU460" s="49" t="s">
        <v>313</v>
      </c>
      <c r="BV460" s="49" t="s">
        <v>303</v>
      </c>
      <c r="BX460" s="0" t="n">
        <v>1</v>
      </c>
      <c r="CC460" s="49" t="s">
        <v>315</v>
      </c>
      <c r="CD460" s="49" t="s">
        <v>303</v>
      </c>
      <c r="CF460" s="49" t="s">
        <v>303</v>
      </c>
      <c r="CG460" s="49" t="s">
        <v>316</v>
      </c>
      <c r="CH460" s="49" t="s">
        <v>317</v>
      </c>
      <c r="CI460" s="49" t="s">
        <v>318</v>
      </c>
      <c r="CM460" s="49" t="s">
        <v>480</v>
      </c>
      <c r="CV460" s="49" t="s">
        <v>303</v>
      </c>
      <c r="DB460" s="49" t="s">
        <v>319</v>
      </c>
      <c r="DD460" s="48" t="n">
        <v>46224</v>
      </c>
      <c r="DF460" s="49" t="s">
        <v>310</v>
      </c>
      <c r="DG460" s="49" t="s">
        <v>320</v>
      </c>
      <c r="DH460" s="49" t="s">
        <v>72</v>
      </c>
      <c r="DI460" s="49" t="s">
        <v>298</v>
      </c>
      <c r="DJ460" s="49" t="s">
        <v>321</v>
      </c>
      <c r="DK460" s="49" t="s">
        <v>322</v>
      </c>
      <c r="DL460" s="49" t="s">
        <v>323</v>
      </c>
      <c r="DM460" s="49" t="s">
        <v>303</v>
      </c>
      <c r="DN460" s="49" t="s">
        <v>297</v>
      </c>
      <c r="DO460" s="48"/>
      <c r="DP460" s="49" t="s">
        <v>312</v>
      </c>
      <c r="DQ460" s="48"/>
      <c r="DR460" s="49" t="s">
        <v>312</v>
      </c>
      <c r="DS460" s="49" t="s">
        <v>303</v>
      </c>
      <c r="DT460" s="49" t="s">
        <v>303</v>
      </c>
      <c r="DW460" s="49" t="s">
        <v>303</v>
      </c>
      <c r="EA460" s="49" t="s">
        <v>324</v>
      </c>
      <c r="EB460" s="49" t="s">
        <v>303</v>
      </c>
      <c r="EF460" s="49" t="s">
        <v>2010</v>
      </c>
      <c r="EH460" s="49" t="s">
        <v>310</v>
      </c>
      <c r="EJ460" s="49" t="s">
        <v>303</v>
      </c>
      <c r="EK460" s="49" t="s">
        <v>2011</v>
      </c>
      <c r="EM460" s="49" t="s">
        <v>303</v>
      </c>
      <c r="EN460" s="49" t="s">
        <v>485</v>
      </c>
      <c r="EP460" s="49" t="s">
        <v>298</v>
      </c>
      <c r="EQ460" s="0" t="n">
        <v>1</v>
      </c>
      <c r="ER460" s="49" t="s">
        <v>328</v>
      </c>
      <c r="ES460" s="49" t="s">
        <v>329</v>
      </c>
      <c r="ET460" s="49" t="s">
        <v>310</v>
      </c>
      <c r="EU460" s="49" t="s">
        <v>310</v>
      </c>
      <c r="EV460" s="49" t="s">
        <v>310</v>
      </c>
      <c r="EX460" s="49" t="s">
        <v>303</v>
      </c>
      <c r="EY460" s="49" t="s">
        <v>303</v>
      </c>
      <c r="FC460" s="49" t="s">
        <v>330</v>
      </c>
      <c r="FD460" s="49" t="s">
        <v>310</v>
      </c>
      <c r="FE460" s="49" t="s">
        <v>310</v>
      </c>
      <c r="FF460" s="49" t="s">
        <v>72</v>
      </c>
      <c r="FG460" s="49" t="s">
        <v>486</v>
      </c>
      <c r="FH460" s="49" t="s">
        <v>310</v>
      </c>
      <c r="FI460" s="49" t="s">
        <v>332</v>
      </c>
      <c r="FJ460" s="49" t="s">
        <v>303</v>
      </c>
      <c r="FL460" s="49" t="s">
        <v>325</v>
      </c>
      <c r="FM460" s="49" t="s">
        <v>1864</v>
      </c>
      <c r="FP460" s="49" t="s">
        <v>303</v>
      </c>
      <c r="FR460" s="49" t="s">
        <v>303</v>
      </c>
      <c r="FT460" s="49" t="s">
        <v>325</v>
      </c>
      <c r="FU460" s="49" t="s">
        <v>325</v>
      </c>
      <c r="FW460" s="49" t="s">
        <v>333</v>
      </c>
    </row>
    <row r="461" customFormat="false" ht="15" hidden="false" customHeight="false" outlineLevel="0" collapsed="false">
      <c r="A461" s="0" t="n">
        <v>100874182</v>
      </c>
      <c r="B461" s="0" t="s">
        <v>295</v>
      </c>
      <c r="C461" s="0" t="s">
        <v>72</v>
      </c>
      <c r="D461" s="0" t="s">
        <v>480</v>
      </c>
      <c r="E461" s="0" t="s">
        <v>297</v>
      </c>
      <c r="G461" s="0" t="n">
        <v>1</v>
      </c>
      <c r="H461" s="0" t="s">
        <v>298</v>
      </c>
      <c r="I461" s="48" t="n">
        <v>46246</v>
      </c>
      <c r="J461" s="0" t="n">
        <v>1</v>
      </c>
      <c r="K461" s="49" t="s">
        <v>1864</v>
      </c>
      <c r="L461" s="49" t="s">
        <v>335</v>
      </c>
      <c r="M461" s="48"/>
      <c r="O461" s="49" t="s">
        <v>1052</v>
      </c>
      <c r="P461" s="48"/>
      <c r="Q461" s="48" t="n">
        <v>46246</v>
      </c>
      <c r="R461" s="48" t="n">
        <v>46252</v>
      </c>
      <c r="T461" s="49" t="s">
        <v>302</v>
      </c>
      <c r="U461" s="49" t="s">
        <v>303</v>
      </c>
      <c r="Y461" s="49" t="s">
        <v>312</v>
      </c>
      <c r="AD461" s="49" t="s">
        <v>305</v>
      </c>
      <c r="AE461" s="48" t="n">
        <v>46224</v>
      </c>
      <c r="AF461" s="49" t="s">
        <v>306</v>
      </c>
      <c r="AG461" s="49" t="s">
        <v>307</v>
      </c>
      <c r="AK461" s="49" t="s">
        <v>1047</v>
      </c>
      <c r="AL461" s="49" t="s">
        <v>297</v>
      </c>
      <c r="AO461" s="49" t="s">
        <v>303</v>
      </c>
      <c r="AP461" s="48"/>
      <c r="AR461" s="49" t="s">
        <v>303</v>
      </c>
      <c r="AS461" s="49" t="s">
        <v>306</v>
      </c>
      <c r="AT461" s="49" t="s">
        <v>2012</v>
      </c>
      <c r="AV461" s="49" t="s">
        <v>309</v>
      </c>
      <c r="AW461" s="49" t="s">
        <v>310</v>
      </c>
      <c r="AX461" s="49" t="s">
        <v>311</v>
      </c>
      <c r="AY461" s="48"/>
      <c r="AZ461" s="48" t="n">
        <v>46244</v>
      </c>
      <c r="BC461" s="49" t="s">
        <v>303</v>
      </c>
      <c r="BD461" s="48" t="n">
        <v>46280</v>
      </c>
      <c r="BE461" s="49" t="s">
        <v>2013</v>
      </c>
      <c r="BF461" s="49" t="s">
        <v>303</v>
      </c>
      <c r="BG461" s="48"/>
      <c r="BI461" s="48" t="n">
        <v>46280</v>
      </c>
      <c r="BJ461" s="48" t="n">
        <v>46251</v>
      </c>
      <c r="BK461" s="49" t="s">
        <v>313</v>
      </c>
      <c r="BL461" s="49" t="s">
        <v>313</v>
      </c>
      <c r="BM461" s="49" t="s">
        <v>310</v>
      </c>
      <c r="BN461" s="48"/>
      <c r="BO461" s="48"/>
      <c r="BP461" s="48"/>
      <c r="BQ461" s="49" t="s">
        <v>1864</v>
      </c>
      <c r="BR461" s="48" t="n">
        <v>46251</v>
      </c>
      <c r="BS461" s="49" t="s">
        <v>2009</v>
      </c>
      <c r="BT461" s="49" t="s">
        <v>312</v>
      </c>
      <c r="BU461" s="49" t="s">
        <v>313</v>
      </c>
      <c r="BV461" s="49" t="s">
        <v>303</v>
      </c>
      <c r="BX461" s="0" t="n">
        <v>1</v>
      </c>
      <c r="CC461" s="49" t="s">
        <v>315</v>
      </c>
      <c r="CD461" s="49" t="s">
        <v>303</v>
      </c>
      <c r="CF461" s="49" t="s">
        <v>303</v>
      </c>
      <c r="CG461" s="49" t="s">
        <v>316</v>
      </c>
      <c r="CH461" s="49" t="s">
        <v>317</v>
      </c>
      <c r="CI461" s="49" t="s">
        <v>318</v>
      </c>
      <c r="CM461" s="49" t="s">
        <v>480</v>
      </c>
      <c r="CV461" s="49" t="s">
        <v>303</v>
      </c>
      <c r="DB461" s="49" t="s">
        <v>319</v>
      </c>
      <c r="DD461" s="48" t="n">
        <v>46224</v>
      </c>
      <c r="DF461" s="49" t="s">
        <v>310</v>
      </c>
      <c r="DG461" s="49" t="s">
        <v>320</v>
      </c>
      <c r="DH461" s="49" t="s">
        <v>72</v>
      </c>
      <c r="DI461" s="49" t="s">
        <v>298</v>
      </c>
      <c r="DJ461" s="49" t="s">
        <v>321</v>
      </c>
      <c r="DK461" s="49" t="s">
        <v>322</v>
      </c>
      <c r="DL461" s="49" t="s">
        <v>323</v>
      </c>
      <c r="DM461" s="49" t="s">
        <v>303</v>
      </c>
      <c r="DN461" s="49" t="s">
        <v>297</v>
      </c>
      <c r="DO461" s="48"/>
      <c r="DP461" s="49" t="s">
        <v>312</v>
      </c>
      <c r="DQ461" s="48"/>
      <c r="DR461" s="49" t="s">
        <v>312</v>
      </c>
      <c r="DS461" s="49" t="s">
        <v>303</v>
      </c>
      <c r="DT461" s="49" t="s">
        <v>303</v>
      </c>
      <c r="DW461" s="49" t="s">
        <v>303</v>
      </c>
      <c r="EA461" s="49" t="s">
        <v>324</v>
      </c>
      <c r="EB461" s="49" t="s">
        <v>303</v>
      </c>
      <c r="EF461" s="49" t="s">
        <v>2010</v>
      </c>
      <c r="EH461" s="49" t="s">
        <v>310</v>
      </c>
      <c r="EJ461" s="49" t="s">
        <v>303</v>
      </c>
      <c r="EK461" s="49" t="s">
        <v>2014</v>
      </c>
      <c r="EM461" s="49" t="s">
        <v>303</v>
      </c>
      <c r="EN461" s="49" t="s">
        <v>485</v>
      </c>
      <c r="EP461" s="49" t="s">
        <v>298</v>
      </c>
      <c r="EQ461" s="0" t="n">
        <v>1</v>
      </c>
      <c r="ER461" s="49" t="s">
        <v>328</v>
      </c>
      <c r="ES461" s="49" t="s">
        <v>329</v>
      </c>
      <c r="ET461" s="49" t="s">
        <v>310</v>
      </c>
      <c r="EU461" s="49" t="s">
        <v>310</v>
      </c>
      <c r="EV461" s="49" t="s">
        <v>310</v>
      </c>
      <c r="EX461" s="49" t="s">
        <v>303</v>
      </c>
      <c r="EY461" s="49" t="s">
        <v>303</v>
      </c>
      <c r="FC461" s="49" t="s">
        <v>330</v>
      </c>
      <c r="FD461" s="49" t="s">
        <v>310</v>
      </c>
      <c r="FE461" s="49" t="s">
        <v>310</v>
      </c>
      <c r="FF461" s="49" t="s">
        <v>72</v>
      </c>
      <c r="FG461" s="49" t="s">
        <v>486</v>
      </c>
      <c r="FH461" s="49" t="s">
        <v>310</v>
      </c>
      <c r="FI461" s="49" t="s">
        <v>332</v>
      </c>
      <c r="FJ461" s="49" t="s">
        <v>303</v>
      </c>
      <c r="FL461" s="49" t="s">
        <v>325</v>
      </c>
      <c r="FM461" s="49" t="s">
        <v>1864</v>
      </c>
      <c r="FP461" s="49" t="s">
        <v>303</v>
      </c>
      <c r="FR461" s="49" t="s">
        <v>303</v>
      </c>
      <c r="FT461" s="49" t="s">
        <v>325</v>
      </c>
      <c r="FU461" s="49" t="s">
        <v>325</v>
      </c>
      <c r="FW461" s="49" t="s">
        <v>333</v>
      </c>
    </row>
    <row r="462" customFormat="false" ht="15" hidden="false" customHeight="false" outlineLevel="0" collapsed="false">
      <c r="A462" s="0" t="n">
        <v>100873444</v>
      </c>
      <c r="B462" s="0" t="s">
        <v>295</v>
      </c>
      <c r="C462" s="0" t="s">
        <v>56</v>
      </c>
      <c r="D462" s="0" t="s">
        <v>57</v>
      </c>
      <c r="E462" s="0" t="s">
        <v>297</v>
      </c>
      <c r="G462" s="0" t="n">
        <v>1</v>
      </c>
      <c r="H462" s="0" t="s">
        <v>298</v>
      </c>
      <c r="I462" s="48" t="n">
        <v>46244</v>
      </c>
      <c r="J462" s="0" t="n">
        <v>1</v>
      </c>
      <c r="K462" s="49" t="s">
        <v>2015</v>
      </c>
      <c r="L462" s="49" t="s">
        <v>335</v>
      </c>
      <c r="M462" s="48" t="n">
        <v>46244</v>
      </c>
      <c r="N462" s="49" t="s">
        <v>335</v>
      </c>
      <c r="O462" s="49" t="s">
        <v>1052</v>
      </c>
      <c r="P462" s="48"/>
      <c r="Q462" s="48" t="n">
        <v>46244</v>
      </c>
      <c r="R462" s="48" t="n">
        <v>46251</v>
      </c>
      <c r="T462" s="49" t="s">
        <v>302</v>
      </c>
      <c r="U462" s="49" t="s">
        <v>303</v>
      </c>
      <c r="Y462" s="49" t="s">
        <v>2016</v>
      </c>
      <c r="AD462" s="49" t="s">
        <v>305</v>
      </c>
      <c r="AE462" s="48" t="n">
        <v>46224</v>
      </c>
      <c r="AF462" s="49" t="s">
        <v>306</v>
      </c>
      <c r="AG462" s="49" t="s">
        <v>307</v>
      </c>
      <c r="AK462" s="49" t="s">
        <v>1047</v>
      </c>
      <c r="AL462" s="49" t="s">
        <v>297</v>
      </c>
      <c r="AO462" s="49" t="s">
        <v>303</v>
      </c>
      <c r="AP462" s="48"/>
      <c r="AR462" s="49" t="s">
        <v>303</v>
      </c>
      <c r="AS462" s="49" t="s">
        <v>306</v>
      </c>
      <c r="AT462" s="49" t="s">
        <v>2017</v>
      </c>
      <c r="AV462" s="49" t="s">
        <v>309</v>
      </c>
      <c r="AW462" s="49" t="s">
        <v>310</v>
      </c>
      <c r="AX462" s="49" t="s">
        <v>311</v>
      </c>
      <c r="AY462" s="48"/>
      <c r="AZ462" s="48" t="n">
        <v>46234</v>
      </c>
      <c r="BC462" s="49" t="s">
        <v>303</v>
      </c>
      <c r="BD462" s="48" t="n">
        <v>46269</v>
      </c>
      <c r="BE462" s="49" t="s">
        <v>2018</v>
      </c>
      <c r="BF462" s="49" t="s">
        <v>303</v>
      </c>
      <c r="BG462" s="48"/>
      <c r="BI462" s="48" t="n">
        <v>46269</v>
      </c>
      <c r="BJ462" s="48" t="n">
        <v>46247</v>
      </c>
      <c r="BK462" s="49" t="s">
        <v>312</v>
      </c>
      <c r="BL462" s="49" t="s">
        <v>313</v>
      </c>
      <c r="BM462" s="49" t="s">
        <v>310</v>
      </c>
      <c r="BN462" s="48"/>
      <c r="BO462" s="48"/>
      <c r="BP462" s="48"/>
      <c r="BQ462" s="49" t="s">
        <v>1864</v>
      </c>
      <c r="BR462" s="48" t="n">
        <v>46241</v>
      </c>
      <c r="BS462" s="49" t="s">
        <v>2019</v>
      </c>
      <c r="BT462" s="49" t="s">
        <v>312</v>
      </c>
      <c r="BU462" s="49" t="s">
        <v>312</v>
      </c>
      <c r="BV462" s="49" t="s">
        <v>303</v>
      </c>
      <c r="BX462" s="0" t="n">
        <v>1</v>
      </c>
      <c r="CC462" s="49" t="s">
        <v>315</v>
      </c>
      <c r="CD462" s="49" t="s">
        <v>303</v>
      </c>
      <c r="CF462" s="49" t="s">
        <v>303</v>
      </c>
      <c r="CG462" s="49" t="s">
        <v>316</v>
      </c>
      <c r="CH462" s="49" t="s">
        <v>317</v>
      </c>
      <c r="CI462" s="49" t="s">
        <v>318</v>
      </c>
      <c r="CM462" s="49" t="s">
        <v>57</v>
      </c>
      <c r="CV462" s="49" t="s">
        <v>303</v>
      </c>
      <c r="DB462" s="49" t="s">
        <v>319</v>
      </c>
      <c r="DD462" s="48" t="n">
        <v>46224</v>
      </c>
      <c r="DF462" s="49" t="s">
        <v>310</v>
      </c>
      <c r="DG462" s="49" t="s">
        <v>320</v>
      </c>
      <c r="DH462" s="49" t="s">
        <v>56</v>
      </c>
      <c r="DI462" s="49" t="s">
        <v>298</v>
      </c>
      <c r="DJ462" s="49" t="s">
        <v>367</v>
      </c>
      <c r="DK462" s="49" t="s">
        <v>322</v>
      </c>
      <c r="DL462" s="49" t="s">
        <v>323</v>
      </c>
      <c r="DM462" s="49" t="s">
        <v>303</v>
      </c>
      <c r="DN462" s="49" t="s">
        <v>297</v>
      </c>
      <c r="DO462" s="48"/>
      <c r="DP462" s="49" t="s">
        <v>312</v>
      </c>
      <c r="DQ462" s="48"/>
      <c r="DR462" s="49" t="s">
        <v>312</v>
      </c>
      <c r="DS462" s="49" t="s">
        <v>303</v>
      </c>
      <c r="DT462" s="49" t="s">
        <v>303</v>
      </c>
      <c r="DW462" s="49" t="s">
        <v>303</v>
      </c>
      <c r="EA462" s="49" t="s">
        <v>324</v>
      </c>
      <c r="EB462" s="49" t="s">
        <v>303</v>
      </c>
      <c r="EH462" s="49" t="s">
        <v>310</v>
      </c>
      <c r="EJ462" s="49" t="s">
        <v>303</v>
      </c>
      <c r="EK462" s="49" t="s">
        <v>2020</v>
      </c>
      <c r="EM462" s="49" t="s">
        <v>303</v>
      </c>
      <c r="EN462" s="49" t="s">
        <v>369</v>
      </c>
      <c r="EP462" s="49" t="s">
        <v>298</v>
      </c>
      <c r="EQ462" s="0" t="n">
        <v>1</v>
      </c>
      <c r="ER462" s="49" t="s">
        <v>328</v>
      </c>
      <c r="ES462" s="49" t="s">
        <v>342</v>
      </c>
      <c r="ET462" s="49" t="s">
        <v>310</v>
      </c>
      <c r="EU462" s="49" t="s">
        <v>310</v>
      </c>
      <c r="EV462" s="49" t="s">
        <v>310</v>
      </c>
      <c r="EX462" s="49" t="s">
        <v>303</v>
      </c>
      <c r="EY462" s="49" t="s">
        <v>303</v>
      </c>
      <c r="FC462" s="49" t="s">
        <v>330</v>
      </c>
      <c r="FD462" s="49" t="s">
        <v>310</v>
      </c>
      <c r="FE462" s="49" t="s">
        <v>310</v>
      </c>
      <c r="FF462" s="49" t="s">
        <v>56</v>
      </c>
      <c r="FG462" s="49" t="s">
        <v>370</v>
      </c>
      <c r="FH462" s="49" t="s">
        <v>310</v>
      </c>
      <c r="FI462" s="49" t="s">
        <v>332</v>
      </c>
      <c r="FJ462" s="49" t="s">
        <v>303</v>
      </c>
      <c r="FL462" s="49" t="s">
        <v>325</v>
      </c>
      <c r="FM462" s="49" t="s">
        <v>2015</v>
      </c>
      <c r="FP462" s="49" t="s">
        <v>303</v>
      </c>
      <c r="FR462" s="49" t="s">
        <v>303</v>
      </c>
      <c r="FT462" s="49" t="s">
        <v>325</v>
      </c>
      <c r="FU462" s="49" t="s">
        <v>325</v>
      </c>
      <c r="FW462" s="49" t="s">
        <v>333</v>
      </c>
    </row>
    <row r="463" customFormat="false" ht="15" hidden="false" customHeight="false" outlineLevel="0" collapsed="false">
      <c r="A463" s="0" t="n">
        <v>100873445</v>
      </c>
      <c r="B463" s="0" t="s">
        <v>295</v>
      </c>
      <c r="C463" s="0" t="s">
        <v>58</v>
      </c>
      <c r="D463" s="0" t="s">
        <v>59</v>
      </c>
      <c r="E463" s="0" t="s">
        <v>297</v>
      </c>
      <c r="G463" s="0" t="n">
        <v>1</v>
      </c>
      <c r="H463" s="0" t="s">
        <v>298</v>
      </c>
      <c r="I463" s="48" t="n">
        <v>46244</v>
      </c>
      <c r="J463" s="0" t="n">
        <v>1</v>
      </c>
      <c r="K463" s="49" t="s">
        <v>2015</v>
      </c>
      <c r="L463" s="49" t="s">
        <v>335</v>
      </c>
      <c r="M463" s="48" t="n">
        <v>46282</v>
      </c>
      <c r="N463" s="49" t="s">
        <v>1070</v>
      </c>
      <c r="O463" s="49" t="s">
        <v>1052</v>
      </c>
      <c r="P463" s="48"/>
      <c r="Q463" s="48" t="n">
        <v>46244</v>
      </c>
      <c r="R463" s="48" t="n">
        <v>46251</v>
      </c>
      <c r="T463" s="49" t="s">
        <v>302</v>
      </c>
      <c r="U463" s="49" t="s">
        <v>303</v>
      </c>
      <c r="Y463" s="49" t="s">
        <v>2021</v>
      </c>
      <c r="AD463" s="49" t="s">
        <v>305</v>
      </c>
      <c r="AE463" s="48" t="n">
        <v>46224</v>
      </c>
      <c r="AF463" s="49" t="s">
        <v>306</v>
      </c>
      <c r="AG463" s="49" t="s">
        <v>307</v>
      </c>
      <c r="AK463" s="49" t="s">
        <v>1047</v>
      </c>
      <c r="AL463" s="49" t="s">
        <v>297</v>
      </c>
      <c r="AO463" s="49" t="s">
        <v>303</v>
      </c>
      <c r="AP463" s="48"/>
      <c r="AR463" s="49" t="s">
        <v>303</v>
      </c>
      <c r="AS463" s="49" t="s">
        <v>306</v>
      </c>
      <c r="AT463" s="49" t="s">
        <v>2022</v>
      </c>
      <c r="AV463" s="49" t="s">
        <v>309</v>
      </c>
      <c r="AW463" s="49" t="s">
        <v>310</v>
      </c>
      <c r="AX463" s="49" t="s">
        <v>311</v>
      </c>
      <c r="AY463" s="48"/>
      <c r="AZ463" s="48" t="n">
        <v>46234</v>
      </c>
      <c r="BC463" s="49" t="s">
        <v>303</v>
      </c>
      <c r="BD463" s="48" t="n">
        <v>46298</v>
      </c>
      <c r="BE463" s="49" t="s">
        <v>2023</v>
      </c>
      <c r="BF463" s="49" t="s">
        <v>303</v>
      </c>
      <c r="BG463" s="48"/>
      <c r="BI463" s="48" t="n">
        <v>46298</v>
      </c>
      <c r="BJ463" s="48" t="n">
        <v>46247</v>
      </c>
      <c r="BK463" s="49" t="s">
        <v>312</v>
      </c>
      <c r="BL463" s="49" t="s">
        <v>313</v>
      </c>
      <c r="BM463" s="49" t="s">
        <v>310</v>
      </c>
      <c r="BN463" s="48"/>
      <c r="BO463" s="48"/>
      <c r="BP463" s="48"/>
      <c r="BQ463" s="49" t="s">
        <v>1864</v>
      </c>
      <c r="BR463" s="48" t="n">
        <v>46241</v>
      </c>
      <c r="BS463" s="49" t="s">
        <v>2024</v>
      </c>
      <c r="BT463" s="49" t="s">
        <v>312</v>
      </c>
      <c r="BU463" s="49" t="s">
        <v>312</v>
      </c>
      <c r="BV463" s="49" t="s">
        <v>303</v>
      </c>
      <c r="BX463" s="0" t="n">
        <v>1</v>
      </c>
      <c r="CC463" s="49" t="s">
        <v>315</v>
      </c>
      <c r="CD463" s="49" t="s">
        <v>303</v>
      </c>
      <c r="CF463" s="49" t="s">
        <v>303</v>
      </c>
      <c r="CG463" s="49" t="s">
        <v>316</v>
      </c>
      <c r="CH463" s="49" t="s">
        <v>317</v>
      </c>
      <c r="CI463" s="49" t="s">
        <v>318</v>
      </c>
      <c r="CM463" s="49" t="s">
        <v>59</v>
      </c>
      <c r="CV463" s="49" t="s">
        <v>303</v>
      </c>
      <c r="DB463" s="49" t="s">
        <v>319</v>
      </c>
      <c r="DD463" s="48" t="n">
        <v>46224</v>
      </c>
      <c r="DF463" s="49" t="s">
        <v>310</v>
      </c>
      <c r="DG463" s="49" t="s">
        <v>320</v>
      </c>
      <c r="DH463" s="49" t="s">
        <v>58</v>
      </c>
      <c r="DI463" s="49" t="s">
        <v>298</v>
      </c>
      <c r="DJ463" s="49" t="s">
        <v>367</v>
      </c>
      <c r="DK463" s="49" t="s">
        <v>322</v>
      </c>
      <c r="DL463" s="49" t="s">
        <v>323</v>
      </c>
      <c r="DM463" s="49" t="s">
        <v>303</v>
      </c>
      <c r="DN463" s="49" t="s">
        <v>297</v>
      </c>
      <c r="DO463" s="48"/>
      <c r="DP463" s="49" t="s">
        <v>312</v>
      </c>
      <c r="DQ463" s="48"/>
      <c r="DR463" s="49" t="s">
        <v>312</v>
      </c>
      <c r="DS463" s="49" t="s">
        <v>303</v>
      </c>
      <c r="DT463" s="49" t="s">
        <v>303</v>
      </c>
      <c r="DW463" s="49" t="s">
        <v>303</v>
      </c>
      <c r="EA463" s="49" t="s">
        <v>324</v>
      </c>
      <c r="EB463" s="49" t="s">
        <v>303</v>
      </c>
      <c r="EH463" s="49" t="s">
        <v>310</v>
      </c>
      <c r="EJ463" s="49" t="s">
        <v>303</v>
      </c>
      <c r="EK463" s="49" t="s">
        <v>2025</v>
      </c>
      <c r="EM463" s="49" t="s">
        <v>303</v>
      </c>
      <c r="EN463" s="49" t="s">
        <v>374</v>
      </c>
      <c r="EP463" s="49" t="s">
        <v>298</v>
      </c>
      <c r="EQ463" s="0" t="n">
        <v>1</v>
      </c>
      <c r="ER463" s="49" t="s">
        <v>328</v>
      </c>
      <c r="ES463" s="49" t="s">
        <v>342</v>
      </c>
      <c r="ET463" s="49" t="s">
        <v>310</v>
      </c>
      <c r="EU463" s="49" t="s">
        <v>310</v>
      </c>
      <c r="EV463" s="49" t="s">
        <v>310</v>
      </c>
      <c r="EX463" s="49" t="s">
        <v>303</v>
      </c>
      <c r="EY463" s="49" t="s">
        <v>303</v>
      </c>
      <c r="FC463" s="49" t="s">
        <v>330</v>
      </c>
      <c r="FD463" s="49" t="s">
        <v>310</v>
      </c>
      <c r="FE463" s="49" t="s">
        <v>310</v>
      </c>
      <c r="FF463" s="49" t="s">
        <v>58</v>
      </c>
      <c r="FG463" s="49" t="s">
        <v>375</v>
      </c>
      <c r="FH463" s="49" t="s">
        <v>310</v>
      </c>
      <c r="FI463" s="49" t="s">
        <v>332</v>
      </c>
      <c r="FJ463" s="49" t="s">
        <v>303</v>
      </c>
      <c r="FL463" s="49" t="s">
        <v>325</v>
      </c>
      <c r="FM463" s="49" t="s">
        <v>1153</v>
      </c>
      <c r="FP463" s="49" t="s">
        <v>303</v>
      </c>
      <c r="FR463" s="49" t="s">
        <v>303</v>
      </c>
      <c r="FT463" s="49" t="s">
        <v>325</v>
      </c>
      <c r="FU463" s="49" t="s">
        <v>325</v>
      </c>
      <c r="FW463" s="49" t="s">
        <v>333</v>
      </c>
    </row>
    <row r="464" customFormat="false" ht="15" hidden="false" customHeight="false" outlineLevel="0" collapsed="false">
      <c r="A464" s="0" t="n">
        <v>100873446</v>
      </c>
      <c r="B464" s="0" t="s">
        <v>295</v>
      </c>
      <c r="C464" s="0" t="s">
        <v>58</v>
      </c>
      <c r="D464" s="0" t="s">
        <v>59</v>
      </c>
      <c r="E464" s="0" t="s">
        <v>297</v>
      </c>
      <c r="G464" s="0" t="n">
        <v>1</v>
      </c>
      <c r="H464" s="0" t="s">
        <v>298</v>
      </c>
      <c r="I464" s="48" t="n">
        <v>46244</v>
      </c>
      <c r="J464" s="0" t="n">
        <v>1</v>
      </c>
      <c r="K464" s="49" t="s">
        <v>2015</v>
      </c>
      <c r="L464" s="49" t="s">
        <v>335</v>
      </c>
      <c r="M464" s="48"/>
      <c r="O464" s="49" t="s">
        <v>1052</v>
      </c>
      <c r="P464" s="48"/>
      <c r="Q464" s="48" t="n">
        <v>46244</v>
      </c>
      <c r="R464" s="48" t="n">
        <v>46250</v>
      </c>
      <c r="T464" s="49" t="s">
        <v>302</v>
      </c>
      <c r="U464" s="49" t="s">
        <v>303</v>
      </c>
      <c r="Y464" s="49" t="s">
        <v>312</v>
      </c>
      <c r="AD464" s="49" t="s">
        <v>305</v>
      </c>
      <c r="AE464" s="48" t="n">
        <v>46224</v>
      </c>
      <c r="AF464" s="49" t="s">
        <v>306</v>
      </c>
      <c r="AG464" s="49" t="s">
        <v>307</v>
      </c>
      <c r="AK464" s="49" t="s">
        <v>1047</v>
      </c>
      <c r="AL464" s="49" t="s">
        <v>297</v>
      </c>
      <c r="AO464" s="49" t="s">
        <v>303</v>
      </c>
      <c r="AP464" s="48"/>
      <c r="AR464" s="49" t="s">
        <v>303</v>
      </c>
      <c r="AS464" s="49" t="s">
        <v>306</v>
      </c>
      <c r="AT464" s="49" t="s">
        <v>2026</v>
      </c>
      <c r="AV464" s="49" t="s">
        <v>309</v>
      </c>
      <c r="AW464" s="49" t="s">
        <v>310</v>
      </c>
      <c r="AX464" s="49" t="s">
        <v>311</v>
      </c>
      <c r="AY464" s="48"/>
      <c r="AZ464" s="48" t="n">
        <v>46234</v>
      </c>
      <c r="BC464" s="49" t="s">
        <v>303</v>
      </c>
      <c r="BD464" s="48" t="n">
        <v>46266</v>
      </c>
      <c r="BE464" s="49" t="s">
        <v>2027</v>
      </c>
      <c r="BF464" s="49" t="s">
        <v>303</v>
      </c>
      <c r="BG464" s="48"/>
      <c r="BI464" s="48" t="n">
        <v>46266</v>
      </c>
      <c r="BJ464" s="48" t="n">
        <v>46247</v>
      </c>
      <c r="BK464" s="49" t="s">
        <v>313</v>
      </c>
      <c r="BL464" s="49" t="s">
        <v>313</v>
      </c>
      <c r="BM464" s="49" t="s">
        <v>310</v>
      </c>
      <c r="BN464" s="48"/>
      <c r="BO464" s="48"/>
      <c r="BP464" s="48"/>
      <c r="BQ464" s="49" t="s">
        <v>1864</v>
      </c>
      <c r="BR464" s="48" t="n">
        <v>46241</v>
      </c>
      <c r="BS464" s="49" t="s">
        <v>2024</v>
      </c>
      <c r="BT464" s="49" t="s">
        <v>312</v>
      </c>
      <c r="BU464" s="49" t="s">
        <v>312</v>
      </c>
      <c r="BV464" s="49" t="s">
        <v>303</v>
      </c>
      <c r="BX464" s="0" t="n">
        <v>1</v>
      </c>
      <c r="CC464" s="49" t="s">
        <v>315</v>
      </c>
      <c r="CD464" s="49" t="s">
        <v>303</v>
      </c>
      <c r="CF464" s="49" t="s">
        <v>303</v>
      </c>
      <c r="CG464" s="49" t="s">
        <v>316</v>
      </c>
      <c r="CH464" s="49" t="s">
        <v>317</v>
      </c>
      <c r="CI464" s="49" t="s">
        <v>318</v>
      </c>
      <c r="CM464" s="49" t="s">
        <v>59</v>
      </c>
      <c r="CV464" s="49" t="s">
        <v>303</v>
      </c>
      <c r="DB464" s="49" t="s">
        <v>319</v>
      </c>
      <c r="DD464" s="48" t="n">
        <v>46224</v>
      </c>
      <c r="DF464" s="49" t="s">
        <v>310</v>
      </c>
      <c r="DG464" s="49" t="s">
        <v>320</v>
      </c>
      <c r="DH464" s="49" t="s">
        <v>58</v>
      </c>
      <c r="DI464" s="49" t="s">
        <v>298</v>
      </c>
      <c r="DJ464" s="49" t="s">
        <v>367</v>
      </c>
      <c r="DK464" s="49" t="s">
        <v>322</v>
      </c>
      <c r="DL464" s="49" t="s">
        <v>323</v>
      </c>
      <c r="DM464" s="49" t="s">
        <v>303</v>
      </c>
      <c r="DN464" s="49" t="s">
        <v>297</v>
      </c>
      <c r="DO464" s="48"/>
      <c r="DP464" s="49" t="s">
        <v>312</v>
      </c>
      <c r="DQ464" s="48"/>
      <c r="DR464" s="49" t="s">
        <v>312</v>
      </c>
      <c r="DS464" s="49" t="s">
        <v>303</v>
      </c>
      <c r="DT464" s="49" t="s">
        <v>303</v>
      </c>
      <c r="DW464" s="49" t="s">
        <v>303</v>
      </c>
      <c r="EA464" s="49" t="s">
        <v>324</v>
      </c>
      <c r="EB464" s="49" t="s">
        <v>303</v>
      </c>
      <c r="EF464" s="49" t="s">
        <v>2028</v>
      </c>
      <c r="EH464" s="49" t="s">
        <v>310</v>
      </c>
      <c r="EJ464" s="49" t="s">
        <v>303</v>
      </c>
      <c r="EK464" s="49" t="s">
        <v>2029</v>
      </c>
      <c r="EM464" s="49" t="s">
        <v>303</v>
      </c>
      <c r="EN464" s="49" t="s">
        <v>374</v>
      </c>
      <c r="EP464" s="49" t="s">
        <v>298</v>
      </c>
      <c r="EQ464" s="0" t="n">
        <v>1</v>
      </c>
      <c r="ER464" s="49" t="s">
        <v>328</v>
      </c>
      <c r="ES464" s="49" t="s">
        <v>342</v>
      </c>
      <c r="ET464" s="49" t="s">
        <v>310</v>
      </c>
      <c r="EU464" s="49" t="s">
        <v>310</v>
      </c>
      <c r="EV464" s="49" t="s">
        <v>310</v>
      </c>
      <c r="EX464" s="49" t="s">
        <v>303</v>
      </c>
      <c r="EY464" s="49" t="s">
        <v>303</v>
      </c>
      <c r="FC464" s="49" t="s">
        <v>330</v>
      </c>
      <c r="FD464" s="49" t="s">
        <v>310</v>
      </c>
      <c r="FE464" s="49" t="s">
        <v>310</v>
      </c>
      <c r="FF464" s="49" t="s">
        <v>58</v>
      </c>
      <c r="FG464" s="49" t="s">
        <v>375</v>
      </c>
      <c r="FH464" s="49" t="s">
        <v>310</v>
      </c>
      <c r="FI464" s="49" t="s">
        <v>332</v>
      </c>
      <c r="FJ464" s="49" t="s">
        <v>303</v>
      </c>
      <c r="FL464" s="49" t="s">
        <v>325</v>
      </c>
      <c r="FM464" s="49" t="s">
        <v>2015</v>
      </c>
      <c r="FP464" s="49" t="s">
        <v>303</v>
      </c>
      <c r="FR464" s="49" t="s">
        <v>303</v>
      </c>
      <c r="FT464" s="49" t="s">
        <v>325</v>
      </c>
      <c r="FU464" s="49" t="s">
        <v>325</v>
      </c>
      <c r="FW464" s="49" t="s">
        <v>333</v>
      </c>
    </row>
    <row r="465" customFormat="false" ht="15" hidden="false" customHeight="false" outlineLevel="0" collapsed="false">
      <c r="A465" s="0" t="n">
        <v>100873447</v>
      </c>
      <c r="B465" s="0" t="s">
        <v>295</v>
      </c>
      <c r="C465" s="0" t="s">
        <v>61</v>
      </c>
      <c r="D465" s="0" t="s">
        <v>62</v>
      </c>
      <c r="E465" s="0" t="s">
        <v>297</v>
      </c>
      <c r="G465" s="0" t="n">
        <v>1</v>
      </c>
      <c r="H465" s="0" t="s">
        <v>298</v>
      </c>
      <c r="I465" s="48" t="n">
        <v>46244</v>
      </c>
      <c r="J465" s="0" t="n">
        <v>1</v>
      </c>
      <c r="K465" s="49" t="s">
        <v>2015</v>
      </c>
      <c r="L465" s="49" t="s">
        <v>335</v>
      </c>
      <c r="M465" s="48" t="n">
        <v>46251</v>
      </c>
      <c r="N465" s="49" t="s">
        <v>1630</v>
      </c>
      <c r="O465" s="49" t="s">
        <v>1052</v>
      </c>
      <c r="P465" s="48"/>
      <c r="Q465" s="48" t="n">
        <v>46244</v>
      </c>
      <c r="R465" s="48" t="n">
        <v>46251</v>
      </c>
      <c r="T465" s="49" t="s">
        <v>302</v>
      </c>
      <c r="U465" s="49" t="s">
        <v>303</v>
      </c>
      <c r="Y465" s="49" t="s">
        <v>2030</v>
      </c>
      <c r="AD465" s="49" t="s">
        <v>305</v>
      </c>
      <c r="AE465" s="48" t="n">
        <v>46224</v>
      </c>
      <c r="AF465" s="49" t="s">
        <v>306</v>
      </c>
      <c r="AG465" s="49" t="s">
        <v>307</v>
      </c>
      <c r="AK465" s="49" t="s">
        <v>1047</v>
      </c>
      <c r="AL465" s="49" t="s">
        <v>297</v>
      </c>
      <c r="AO465" s="49" t="s">
        <v>303</v>
      </c>
      <c r="AP465" s="48"/>
      <c r="AR465" s="49" t="s">
        <v>303</v>
      </c>
      <c r="AS465" s="49" t="s">
        <v>306</v>
      </c>
      <c r="AT465" s="49" t="s">
        <v>2031</v>
      </c>
      <c r="AV465" s="49" t="s">
        <v>309</v>
      </c>
      <c r="AW465" s="49" t="s">
        <v>310</v>
      </c>
      <c r="AX465" s="49" t="s">
        <v>311</v>
      </c>
      <c r="AY465" s="48"/>
      <c r="AZ465" s="48" t="n">
        <v>46240</v>
      </c>
      <c r="BC465" s="49" t="s">
        <v>303</v>
      </c>
      <c r="BD465" s="48" t="n">
        <v>46267</v>
      </c>
      <c r="BE465" s="49" t="s">
        <v>2032</v>
      </c>
      <c r="BF465" s="49" t="s">
        <v>303</v>
      </c>
      <c r="BG465" s="48"/>
      <c r="BI465" s="48" t="n">
        <v>46267</v>
      </c>
      <c r="BJ465" s="48" t="n">
        <v>46247</v>
      </c>
      <c r="BK465" s="49" t="s">
        <v>312</v>
      </c>
      <c r="BL465" s="49" t="s">
        <v>313</v>
      </c>
      <c r="BM465" s="49" t="s">
        <v>310</v>
      </c>
      <c r="BN465" s="48"/>
      <c r="BO465" s="48"/>
      <c r="BP465" s="48"/>
      <c r="BQ465" s="49" t="s">
        <v>2033</v>
      </c>
      <c r="BR465" s="48" t="n">
        <v>46247</v>
      </c>
      <c r="BS465" s="49" t="s">
        <v>2034</v>
      </c>
      <c r="BT465" s="49" t="s">
        <v>312</v>
      </c>
      <c r="BU465" s="49" t="s">
        <v>313</v>
      </c>
      <c r="BV465" s="49" t="s">
        <v>303</v>
      </c>
      <c r="BX465" s="0" t="n">
        <v>1</v>
      </c>
      <c r="CC465" s="49" t="s">
        <v>315</v>
      </c>
      <c r="CD465" s="49" t="s">
        <v>303</v>
      </c>
      <c r="CF465" s="49" t="s">
        <v>303</v>
      </c>
      <c r="CG465" s="49" t="s">
        <v>316</v>
      </c>
      <c r="CH465" s="49" t="s">
        <v>317</v>
      </c>
      <c r="CI465" s="49" t="s">
        <v>318</v>
      </c>
      <c r="CM465" s="49" t="s">
        <v>62</v>
      </c>
      <c r="CV465" s="49" t="s">
        <v>303</v>
      </c>
      <c r="DB465" s="49" t="s">
        <v>319</v>
      </c>
      <c r="DD465" s="48" t="n">
        <v>46224</v>
      </c>
      <c r="DF465" s="49" t="s">
        <v>310</v>
      </c>
      <c r="DG465" s="49" t="s">
        <v>320</v>
      </c>
      <c r="DH465" s="49" t="s">
        <v>61</v>
      </c>
      <c r="DI465" s="49" t="s">
        <v>298</v>
      </c>
      <c r="DJ465" s="49" t="s">
        <v>381</v>
      </c>
      <c r="DK465" s="49" t="s">
        <v>322</v>
      </c>
      <c r="DL465" s="49" t="s">
        <v>323</v>
      </c>
      <c r="DM465" s="49" t="s">
        <v>303</v>
      </c>
      <c r="DN465" s="49" t="s">
        <v>297</v>
      </c>
      <c r="DO465" s="48"/>
      <c r="DP465" s="49" t="s">
        <v>312</v>
      </c>
      <c r="DQ465" s="48"/>
      <c r="DR465" s="49" t="s">
        <v>312</v>
      </c>
      <c r="DS465" s="49" t="s">
        <v>303</v>
      </c>
      <c r="DT465" s="49" t="s">
        <v>303</v>
      </c>
      <c r="DW465" s="49" t="s">
        <v>303</v>
      </c>
      <c r="EA465" s="49" t="s">
        <v>324</v>
      </c>
      <c r="EB465" s="49" t="s">
        <v>303</v>
      </c>
      <c r="EH465" s="49" t="s">
        <v>310</v>
      </c>
      <c r="EJ465" s="49" t="s">
        <v>303</v>
      </c>
      <c r="EK465" s="49" t="s">
        <v>2035</v>
      </c>
      <c r="EM465" s="49" t="s">
        <v>303</v>
      </c>
      <c r="EN465" s="49" t="s">
        <v>383</v>
      </c>
      <c r="EP465" s="49" t="s">
        <v>298</v>
      </c>
      <c r="EQ465" s="0" t="n">
        <v>1</v>
      </c>
      <c r="ER465" s="49" t="s">
        <v>328</v>
      </c>
      <c r="ES465" s="49" t="s">
        <v>384</v>
      </c>
      <c r="ET465" s="49" t="s">
        <v>310</v>
      </c>
      <c r="EU465" s="49" t="s">
        <v>310</v>
      </c>
      <c r="EV465" s="49" t="s">
        <v>310</v>
      </c>
      <c r="EX465" s="49" t="s">
        <v>303</v>
      </c>
      <c r="EY465" s="49" t="s">
        <v>303</v>
      </c>
      <c r="FC465" s="49" t="s">
        <v>330</v>
      </c>
      <c r="FD465" s="49" t="s">
        <v>310</v>
      </c>
      <c r="FE465" s="49" t="s">
        <v>310</v>
      </c>
      <c r="FF465" s="49" t="s">
        <v>61</v>
      </c>
      <c r="FG465" s="49" t="s">
        <v>385</v>
      </c>
      <c r="FH465" s="49" t="s">
        <v>310</v>
      </c>
      <c r="FI465" s="49" t="s">
        <v>332</v>
      </c>
      <c r="FJ465" s="49" t="s">
        <v>303</v>
      </c>
      <c r="FL465" s="49" t="s">
        <v>325</v>
      </c>
      <c r="FM465" s="49" t="s">
        <v>2015</v>
      </c>
      <c r="FP465" s="49" t="s">
        <v>303</v>
      </c>
      <c r="FR465" s="49" t="s">
        <v>303</v>
      </c>
      <c r="FT465" s="49" t="s">
        <v>325</v>
      </c>
      <c r="FU465" s="49" t="s">
        <v>325</v>
      </c>
      <c r="FW465" s="49" t="s">
        <v>333</v>
      </c>
    </row>
    <row r="466" customFormat="false" ht="15" hidden="false" customHeight="false" outlineLevel="0" collapsed="false">
      <c r="A466" s="0" t="n">
        <v>100873448</v>
      </c>
      <c r="B466" s="0" t="s">
        <v>295</v>
      </c>
      <c r="C466" s="0" t="s">
        <v>61</v>
      </c>
      <c r="D466" s="0" t="s">
        <v>62</v>
      </c>
      <c r="E466" s="0" t="s">
        <v>297</v>
      </c>
      <c r="G466" s="0" t="n">
        <v>1</v>
      </c>
      <c r="H466" s="0" t="s">
        <v>298</v>
      </c>
      <c r="I466" s="48" t="n">
        <v>46244</v>
      </c>
      <c r="J466" s="0" t="n">
        <v>1</v>
      </c>
      <c r="K466" s="49" t="s">
        <v>2015</v>
      </c>
      <c r="L466" s="49" t="s">
        <v>335</v>
      </c>
      <c r="M466" s="48" t="n">
        <v>46251</v>
      </c>
      <c r="N466" s="49" t="s">
        <v>1630</v>
      </c>
      <c r="O466" s="49" t="s">
        <v>1045</v>
      </c>
      <c r="P466" s="48"/>
      <c r="Q466" s="48" t="n">
        <v>46245</v>
      </c>
      <c r="R466" s="48" t="n">
        <v>46251</v>
      </c>
      <c r="T466" s="49" t="s">
        <v>302</v>
      </c>
      <c r="U466" s="49" t="s">
        <v>303</v>
      </c>
      <c r="Y466" s="49" t="s">
        <v>2036</v>
      </c>
      <c r="AD466" s="49" t="s">
        <v>305</v>
      </c>
      <c r="AE466" s="48" t="n">
        <v>46224</v>
      </c>
      <c r="AF466" s="49" t="s">
        <v>306</v>
      </c>
      <c r="AG466" s="49" t="s">
        <v>307</v>
      </c>
      <c r="AK466" s="49" t="s">
        <v>1047</v>
      </c>
      <c r="AL466" s="49" t="s">
        <v>297</v>
      </c>
      <c r="AO466" s="49" t="s">
        <v>303</v>
      </c>
      <c r="AP466" s="48"/>
      <c r="AR466" s="49" t="s">
        <v>303</v>
      </c>
      <c r="AS466" s="49" t="s">
        <v>306</v>
      </c>
      <c r="AT466" s="49" t="s">
        <v>2037</v>
      </c>
      <c r="AV466" s="49" t="s">
        <v>309</v>
      </c>
      <c r="AW466" s="49" t="s">
        <v>310</v>
      </c>
      <c r="AX466" s="49" t="s">
        <v>311</v>
      </c>
      <c r="AY466" s="48"/>
      <c r="AZ466" s="48" t="n">
        <v>46241</v>
      </c>
      <c r="BC466" s="49" t="s">
        <v>303</v>
      </c>
      <c r="BD466" s="48" t="n">
        <v>46260</v>
      </c>
      <c r="BE466" s="49" t="s">
        <v>2038</v>
      </c>
      <c r="BF466" s="49" t="s">
        <v>303</v>
      </c>
      <c r="BG466" s="48"/>
      <c r="BI466" s="48" t="n">
        <v>46260</v>
      </c>
      <c r="BJ466" s="48" t="n">
        <v>46250</v>
      </c>
      <c r="BK466" s="49" t="s">
        <v>313</v>
      </c>
      <c r="BL466" s="49" t="s">
        <v>313</v>
      </c>
      <c r="BM466" s="49" t="s">
        <v>310</v>
      </c>
      <c r="BN466" s="48"/>
      <c r="BO466" s="48"/>
      <c r="BP466" s="48"/>
      <c r="BQ466" s="49" t="s">
        <v>2033</v>
      </c>
      <c r="BR466" s="48" t="n">
        <v>46250</v>
      </c>
      <c r="BS466" s="49" t="s">
        <v>2039</v>
      </c>
      <c r="BT466" s="49" t="s">
        <v>312</v>
      </c>
      <c r="BU466" s="49" t="s">
        <v>313</v>
      </c>
      <c r="BV466" s="49" t="s">
        <v>303</v>
      </c>
      <c r="BX466" s="0" t="n">
        <v>1</v>
      </c>
      <c r="CC466" s="49" t="s">
        <v>315</v>
      </c>
      <c r="CD466" s="49" t="s">
        <v>303</v>
      </c>
      <c r="CF466" s="49" t="s">
        <v>303</v>
      </c>
      <c r="CG466" s="49" t="s">
        <v>316</v>
      </c>
      <c r="CH466" s="49" t="s">
        <v>317</v>
      </c>
      <c r="CI466" s="49" t="s">
        <v>318</v>
      </c>
      <c r="CM466" s="49" t="s">
        <v>62</v>
      </c>
      <c r="CV466" s="49" t="s">
        <v>303</v>
      </c>
      <c r="DB466" s="49" t="s">
        <v>319</v>
      </c>
      <c r="DD466" s="48" t="n">
        <v>46224</v>
      </c>
      <c r="DF466" s="49" t="s">
        <v>310</v>
      </c>
      <c r="DG466" s="49" t="s">
        <v>320</v>
      </c>
      <c r="DH466" s="49" t="s">
        <v>61</v>
      </c>
      <c r="DI466" s="49" t="s">
        <v>298</v>
      </c>
      <c r="DJ466" s="49" t="s">
        <v>381</v>
      </c>
      <c r="DK466" s="49" t="s">
        <v>322</v>
      </c>
      <c r="DL466" s="49" t="s">
        <v>323</v>
      </c>
      <c r="DM466" s="49" t="s">
        <v>303</v>
      </c>
      <c r="DN466" s="49" t="s">
        <v>297</v>
      </c>
      <c r="DO466" s="48"/>
      <c r="DP466" s="49" t="s">
        <v>312</v>
      </c>
      <c r="DQ466" s="48"/>
      <c r="DR466" s="49" t="s">
        <v>312</v>
      </c>
      <c r="DS466" s="49" t="s">
        <v>303</v>
      </c>
      <c r="DT466" s="49" t="s">
        <v>303</v>
      </c>
      <c r="DW466" s="49" t="s">
        <v>303</v>
      </c>
      <c r="EA466" s="49" t="s">
        <v>324</v>
      </c>
      <c r="EB466" s="49" t="s">
        <v>303</v>
      </c>
      <c r="EF466" s="49" t="s">
        <v>2040</v>
      </c>
      <c r="EH466" s="49" t="s">
        <v>310</v>
      </c>
      <c r="EJ466" s="49" t="s">
        <v>303</v>
      </c>
      <c r="EK466" s="49" t="s">
        <v>2041</v>
      </c>
      <c r="EM466" s="49" t="s">
        <v>303</v>
      </c>
      <c r="EN466" s="49" t="s">
        <v>383</v>
      </c>
      <c r="EP466" s="49" t="s">
        <v>298</v>
      </c>
      <c r="EQ466" s="0" t="n">
        <v>1</v>
      </c>
      <c r="ER466" s="49" t="s">
        <v>328</v>
      </c>
      <c r="ES466" s="49" t="s">
        <v>384</v>
      </c>
      <c r="ET466" s="49" t="s">
        <v>310</v>
      </c>
      <c r="EU466" s="49" t="s">
        <v>310</v>
      </c>
      <c r="EV466" s="49" t="s">
        <v>310</v>
      </c>
      <c r="EX466" s="49" t="s">
        <v>303</v>
      </c>
      <c r="EY466" s="49" t="s">
        <v>303</v>
      </c>
      <c r="FC466" s="49" t="s">
        <v>330</v>
      </c>
      <c r="FD466" s="49" t="s">
        <v>310</v>
      </c>
      <c r="FE466" s="49" t="s">
        <v>310</v>
      </c>
      <c r="FF466" s="49" t="s">
        <v>61</v>
      </c>
      <c r="FG466" s="49" t="s">
        <v>385</v>
      </c>
      <c r="FH466" s="49" t="s">
        <v>310</v>
      </c>
      <c r="FI466" s="49" t="s">
        <v>332</v>
      </c>
      <c r="FJ466" s="49" t="s">
        <v>303</v>
      </c>
      <c r="FL466" s="49" t="s">
        <v>325</v>
      </c>
      <c r="FM466" s="49" t="s">
        <v>1846</v>
      </c>
      <c r="FP466" s="49" t="s">
        <v>303</v>
      </c>
      <c r="FR466" s="49" t="s">
        <v>303</v>
      </c>
      <c r="FT466" s="49" t="s">
        <v>325</v>
      </c>
      <c r="FU466" s="49" t="s">
        <v>325</v>
      </c>
      <c r="FW466" s="49" t="s">
        <v>333</v>
      </c>
    </row>
    <row r="467" customFormat="false" ht="15" hidden="false" customHeight="false" outlineLevel="0" collapsed="false">
      <c r="A467" s="0" t="n">
        <v>100873450</v>
      </c>
      <c r="B467" s="0" t="s">
        <v>295</v>
      </c>
      <c r="C467" s="0" t="s">
        <v>61</v>
      </c>
      <c r="D467" s="0" t="s">
        <v>62</v>
      </c>
      <c r="E467" s="0" t="s">
        <v>297</v>
      </c>
      <c r="G467" s="0" t="n">
        <v>1</v>
      </c>
      <c r="H467" s="0" t="s">
        <v>298</v>
      </c>
      <c r="I467" s="48" t="n">
        <v>46244</v>
      </c>
      <c r="J467" s="0" t="n">
        <v>1</v>
      </c>
      <c r="K467" s="49" t="s">
        <v>2015</v>
      </c>
      <c r="L467" s="49" t="s">
        <v>335</v>
      </c>
      <c r="M467" s="48" t="n">
        <v>46251</v>
      </c>
      <c r="N467" s="49" t="s">
        <v>1630</v>
      </c>
      <c r="O467" s="49" t="s">
        <v>1045</v>
      </c>
      <c r="P467" s="48"/>
      <c r="Q467" s="48" t="n">
        <v>46245</v>
      </c>
      <c r="R467" s="48" t="n">
        <v>46251</v>
      </c>
      <c r="T467" s="49" t="s">
        <v>302</v>
      </c>
      <c r="U467" s="49" t="s">
        <v>303</v>
      </c>
      <c r="Y467" s="49" t="s">
        <v>2042</v>
      </c>
      <c r="AD467" s="49" t="s">
        <v>305</v>
      </c>
      <c r="AE467" s="48" t="n">
        <v>46224</v>
      </c>
      <c r="AF467" s="49" t="s">
        <v>306</v>
      </c>
      <c r="AG467" s="49" t="s">
        <v>307</v>
      </c>
      <c r="AK467" s="49" t="s">
        <v>1047</v>
      </c>
      <c r="AL467" s="49" t="s">
        <v>297</v>
      </c>
      <c r="AO467" s="49" t="s">
        <v>303</v>
      </c>
      <c r="AP467" s="48"/>
      <c r="AR467" s="49" t="s">
        <v>303</v>
      </c>
      <c r="AS467" s="49" t="s">
        <v>306</v>
      </c>
      <c r="AT467" s="49" t="s">
        <v>2043</v>
      </c>
      <c r="AV467" s="49" t="s">
        <v>309</v>
      </c>
      <c r="AW467" s="49" t="s">
        <v>310</v>
      </c>
      <c r="AX467" s="49" t="s">
        <v>311</v>
      </c>
      <c r="AY467" s="48"/>
      <c r="AZ467" s="48" t="n">
        <v>46241</v>
      </c>
      <c r="BC467" s="49" t="s">
        <v>303</v>
      </c>
      <c r="BD467" s="48" t="n">
        <v>46258</v>
      </c>
      <c r="BE467" s="49" t="s">
        <v>2044</v>
      </c>
      <c r="BF467" s="49" t="s">
        <v>303</v>
      </c>
      <c r="BG467" s="48"/>
      <c r="BI467" s="48" t="n">
        <v>46258</v>
      </c>
      <c r="BJ467" s="48" t="n">
        <v>46250</v>
      </c>
      <c r="BK467" s="49" t="s">
        <v>313</v>
      </c>
      <c r="BL467" s="49" t="s">
        <v>313</v>
      </c>
      <c r="BM467" s="49" t="s">
        <v>310</v>
      </c>
      <c r="BN467" s="48"/>
      <c r="BO467" s="48"/>
      <c r="BP467" s="48"/>
      <c r="BQ467" s="49" t="s">
        <v>2033</v>
      </c>
      <c r="BR467" s="48" t="n">
        <v>46250</v>
      </c>
      <c r="BS467" s="49" t="s">
        <v>2039</v>
      </c>
      <c r="BT467" s="49" t="s">
        <v>312</v>
      </c>
      <c r="BU467" s="49" t="s">
        <v>313</v>
      </c>
      <c r="BV467" s="49" t="s">
        <v>303</v>
      </c>
      <c r="BX467" s="0" t="n">
        <v>1</v>
      </c>
      <c r="CC467" s="49" t="s">
        <v>315</v>
      </c>
      <c r="CD467" s="49" t="s">
        <v>303</v>
      </c>
      <c r="CF467" s="49" t="s">
        <v>303</v>
      </c>
      <c r="CG467" s="49" t="s">
        <v>316</v>
      </c>
      <c r="CH467" s="49" t="s">
        <v>317</v>
      </c>
      <c r="CI467" s="49" t="s">
        <v>318</v>
      </c>
      <c r="CM467" s="49" t="s">
        <v>62</v>
      </c>
      <c r="CV467" s="49" t="s">
        <v>303</v>
      </c>
      <c r="DB467" s="49" t="s">
        <v>319</v>
      </c>
      <c r="DD467" s="48" t="n">
        <v>46224</v>
      </c>
      <c r="DF467" s="49" t="s">
        <v>310</v>
      </c>
      <c r="DG467" s="49" t="s">
        <v>320</v>
      </c>
      <c r="DH467" s="49" t="s">
        <v>61</v>
      </c>
      <c r="DI467" s="49" t="s">
        <v>298</v>
      </c>
      <c r="DJ467" s="49" t="s">
        <v>381</v>
      </c>
      <c r="DK467" s="49" t="s">
        <v>322</v>
      </c>
      <c r="DL467" s="49" t="s">
        <v>323</v>
      </c>
      <c r="DM467" s="49" t="s">
        <v>303</v>
      </c>
      <c r="DN467" s="49" t="s">
        <v>297</v>
      </c>
      <c r="DO467" s="48"/>
      <c r="DP467" s="49" t="s">
        <v>312</v>
      </c>
      <c r="DQ467" s="48"/>
      <c r="DR467" s="49" t="s">
        <v>312</v>
      </c>
      <c r="DS467" s="49" t="s">
        <v>303</v>
      </c>
      <c r="DT467" s="49" t="s">
        <v>303</v>
      </c>
      <c r="DW467" s="49" t="s">
        <v>303</v>
      </c>
      <c r="EA467" s="49" t="s">
        <v>324</v>
      </c>
      <c r="EB467" s="49" t="s">
        <v>303</v>
      </c>
      <c r="EF467" s="49" t="s">
        <v>2040</v>
      </c>
      <c r="EH467" s="49" t="s">
        <v>310</v>
      </c>
      <c r="EJ467" s="49" t="s">
        <v>303</v>
      </c>
      <c r="EK467" s="49" t="s">
        <v>2045</v>
      </c>
      <c r="EM467" s="49" t="s">
        <v>303</v>
      </c>
      <c r="EN467" s="49" t="s">
        <v>383</v>
      </c>
      <c r="EP467" s="49" t="s">
        <v>298</v>
      </c>
      <c r="EQ467" s="0" t="n">
        <v>1</v>
      </c>
      <c r="ER467" s="49" t="s">
        <v>328</v>
      </c>
      <c r="ES467" s="49" t="s">
        <v>384</v>
      </c>
      <c r="ET467" s="49" t="s">
        <v>310</v>
      </c>
      <c r="EU467" s="49" t="s">
        <v>310</v>
      </c>
      <c r="EV467" s="49" t="s">
        <v>310</v>
      </c>
      <c r="EX467" s="49" t="s">
        <v>303</v>
      </c>
      <c r="EY467" s="49" t="s">
        <v>303</v>
      </c>
      <c r="FC467" s="49" t="s">
        <v>330</v>
      </c>
      <c r="FD467" s="49" t="s">
        <v>310</v>
      </c>
      <c r="FE467" s="49" t="s">
        <v>310</v>
      </c>
      <c r="FF467" s="49" t="s">
        <v>61</v>
      </c>
      <c r="FG467" s="49" t="s">
        <v>385</v>
      </c>
      <c r="FH467" s="49" t="s">
        <v>310</v>
      </c>
      <c r="FI467" s="49" t="s">
        <v>332</v>
      </c>
      <c r="FJ467" s="49" t="s">
        <v>303</v>
      </c>
      <c r="FL467" s="49" t="s">
        <v>325</v>
      </c>
      <c r="FM467" s="49" t="s">
        <v>1846</v>
      </c>
      <c r="FP467" s="49" t="s">
        <v>303</v>
      </c>
      <c r="FR467" s="49" t="s">
        <v>303</v>
      </c>
      <c r="FT467" s="49" t="s">
        <v>325</v>
      </c>
      <c r="FU467" s="49" t="s">
        <v>325</v>
      </c>
      <c r="FW467" s="49" t="s">
        <v>333</v>
      </c>
    </row>
    <row r="468" customFormat="false" ht="15" hidden="false" customHeight="false" outlineLevel="0" collapsed="false">
      <c r="A468" s="0" t="n">
        <v>100873356</v>
      </c>
      <c r="B468" s="0" t="s">
        <v>295</v>
      </c>
      <c r="C468" s="0" t="s">
        <v>48</v>
      </c>
      <c r="D468" s="0" t="s">
        <v>49</v>
      </c>
      <c r="E468" s="0" t="s">
        <v>297</v>
      </c>
      <c r="G468" s="0" t="n">
        <v>1</v>
      </c>
      <c r="H468" s="0" t="s">
        <v>298</v>
      </c>
      <c r="I468" s="48" t="n">
        <v>46243</v>
      </c>
      <c r="J468" s="0" t="n">
        <v>1</v>
      </c>
      <c r="K468" s="49" t="s">
        <v>2046</v>
      </c>
      <c r="L468" s="49" t="s">
        <v>1035</v>
      </c>
      <c r="M468" s="48" t="n">
        <v>46264</v>
      </c>
      <c r="N468" s="49" t="s">
        <v>2047</v>
      </c>
      <c r="O468" s="49" t="s">
        <v>1071</v>
      </c>
      <c r="P468" s="48"/>
      <c r="Q468" s="48" t="n">
        <v>46243</v>
      </c>
      <c r="R468" s="48" t="n">
        <v>46250</v>
      </c>
      <c r="T468" s="49" t="s">
        <v>302</v>
      </c>
      <c r="U468" s="49" t="s">
        <v>303</v>
      </c>
      <c r="Y468" s="49" t="s">
        <v>2048</v>
      </c>
      <c r="AD468" s="49" t="s">
        <v>305</v>
      </c>
      <c r="AE468" s="48" t="n">
        <v>46226</v>
      </c>
      <c r="AF468" s="49" t="s">
        <v>306</v>
      </c>
      <c r="AG468" s="49" t="s">
        <v>307</v>
      </c>
      <c r="AK468" s="49" t="s">
        <v>1047</v>
      </c>
      <c r="AL468" s="49" t="s">
        <v>297</v>
      </c>
      <c r="AO468" s="49" t="s">
        <v>303</v>
      </c>
      <c r="AP468" s="48"/>
      <c r="AR468" s="49" t="s">
        <v>303</v>
      </c>
      <c r="AS468" s="49" t="s">
        <v>306</v>
      </c>
      <c r="AT468" s="49" t="s">
        <v>2049</v>
      </c>
      <c r="AV468" s="49" t="s">
        <v>309</v>
      </c>
      <c r="AW468" s="49" t="s">
        <v>310</v>
      </c>
      <c r="AX468" s="49" t="s">
        <v>311</v>
      </c>
      <c r="AY468" s="48"/>
      <c r="AZ468" s="48" t="n">
        <v>46234</v>
      </c>
      <c r="BC468" s="49" t="s">
        <v>303</v>
      </c>
      <c r="BD468" s="48" t="n">
        <v>46264</v>
      </c>
      <c r="BE468" s="49" t="s">
        <v>2050</v>
      </c>
      <c r="BF468" s="49" t="s">
        <v>303</v>
      </c>
      <c r="BG468" s="48"/>
      <c r="BI468" s="48" t="n">
        <v>46264</v>
      </c>
      <c r="BJ468" s="48" t="n">
        <v>46247</v>
      </c>
      <c r="BK468" s="49" t="s">
        <v>312</v>
      </c>
      <c r="BL468" s="49" t="s">
        <v>313</v>
      </c>
      <c r="BM468" s="49" t="s">
        <v>310</v>
      </c>
      <c r="BN468" s="48"/>
      <c r="BO468" s="48"/>
      <c r="BP468" s="48"/>
      <c r="BQ468" s="49" t="s">
        <v>2033</v>
      </c>
      <c r="BR468" s="48" t="n">
        <v>46241</v>
      </c>
      <c r="BS468" s="49" t="s">
        <v>2051</v>
      </c>
      <c r="BT468" s="49" t="s">
        <v>312</v>
      </c>
      <c r="BU468" s="49" t="s">
        <v>312</v>
      </c>
      <c r="BV468" s="49" t="s">
        <v>303</v>
      </c>
      <c r="BX468" s="0" t="n">
        <v>1</v>
      </c>
      <c r="CC468" s="49" t="s">
        <v>315</v>
      </c>
      <c r="CD468" s="49" t="s">
        <v>303</v>
      </c>
      <c r="CF468" s="49" t="s">
        <v>303</v>
      </c>
      <c r="CG468" s="49" t="s">
        <v>316</v>
      </c>
      <c r="CH468" s="49" t="s">
        <v>317</v>
      </c>
      <c r="CI468" s="49" t="s">
        <v>318</v>
      </c>
      <c r="CM468" s="49" t="s">
        <v>49</v>
      </c>
      <c r="CV468" s="49" t="s">
        <v>303</v>
      </c>
      <c r="DB468" s="49" t="s">
        <v>319</v>
      </c>
      <c r="DD468" s="48" t="n">
        <v>46226</v>
      </c>
      <c r="DF468" s="49" t="s">
        <v>310</v>
      </c>
      <c r="DG468" s="49" t="s">
        <v>320</v>
      </c>
      <c r="DH468" s="49" t="s">
        <v>48</v>
      </c>
      <c r="DI468" s="49" t="s">
        <v>298</v>
      </c>
      <c r="DJ468" s="49" t="s">
        <v>339</v>
      </c>
      <c r="DK468" s="49" t="s">
        <v>322</v>
      </c>
      <c r="DL468" s="49" t="s">
        <v>323</v>
      </c>
      <c r="DM468" s="49" t="s">
        <v>303</v>
      </c>
      <c r="DN468" s="49" t="s">
        <v>297</v>
      </c>
      <c r="DO468" s="48"/>
      <c r="DP468" s="49" t="s">
        <v>312</v>
      </c>
      <c r="DQ468" s="48"/>
      <c r="DR468" s="49" t="s">
        <v>312</v>
      </c>
      <c r="DS468" s="49" t="s">
        <v>303</v>
      </c>
      <c r="DT468" s="49" t="s">
        <v>303</v>
      </c>
      <c r="DW468" s="49" t="s">
        <v>303</v>
      </c>
      <c r="EA468" s="49" t="s">
        <v>324</v>
      </c>
      <c r="EB468" s="49" t="s">
        <v>303</v>
      </c>
      <c r="EH468" s="49" t="s">
        <v>310</v>
      </c>
      <c r="EJ468" s="49" t="s">
        <v>303</v>
      </c>
      <c r="EK468" s="49" t="s">
        <v>2052</v>
      </c>
      <c r="EM468" s="49" t="s">
        <v>303</v>
      </c>
      <c r="EN468" s="49" t="s">
        <v>341</v>
      </c>
      <c r="EP468" s="49" t="s">
        <v>298</v>
      </c>
      <c r="EQ468" s="0" t="n">
        <v>1</v>
      </c>
      <c r="ER468" s="49" t="s">
        <v>328</v>
      </c>
      <c r="ES468" s="49" t="s">
        <v>342</v>
      </c>
      <c r="ET468" s="49" t="s">
        <v>310</v>
      </c>
      <c r="EU468" s="49" t="s">
        <v>310</v>
      </c>
      <c r="EV468" s="49" t="s">
        <v>310</v>
      </c>
      <c r="EX468" s="49" t="s">
        <v>303</v>
      </c>
      <c r="EY468" s="49" t="s">
        <v>303</v>
      </c>
      <c r="FC468" s="49" t="s">
        <v>330</v>
      </c>
      <c r="FD468" s="49" t="s">
        <v>310</v>
      </c>
      <c r="FE468" s="49" t="s">
        <v>310</v>
      </c>
      <c r="FF468" s="49" t="s">
        <v>48</v>
      </c>
      <c r="FG468" s="49" t="s">
        <v>343</v>
      </c>
      <c r="FH468" s="49" t="s">
        <v>310</v>
      </c>
      <c r="FI468" s="49" t="s">
        <v>332</v>
      </c>
      <c r="FJ468" s="49" t="s">
        <v>303</v>
      </c>
      <c r="FL468" s="49" t="s">
        <v>325</v>
      </c>
      <c r="FM468" s="49" t="s">
        <v>2046</v>
      </c>
      <c r="FP468" s="49" t="s">
        <v>303</v>
      </c>
      <c r="FR468" s="49" t="s">
        <v>303</v>
      </c>
      <c r="FT468" s="49" t="s">
        <v>325</v>
      </c>
      <c r="FU468" s="49" t="s">
        <v>325</v>
      </c>
      <c r="FW468" s="49" t="s">
        <v>333</v>
      </c>
    </row>
    <row r="469" customFormat="false" ht="15" hidden="false" customHeight="false" outlineLevel="0" collapsed="false">
      <c r="A469" s="0" t="n">
        <v>100873357</v>
      </c>
      <c r="B469" s="0" t="s">
        <v>295</v>
      </c>
      <c r="C469" s="0" t="s">
        <v>50</v>
      </c>
      <c r="D469" s="0" t="s">
        <v>51</v>
      </c>
      <c r="E469" s="0" t="s">
        <v>297</v>
      </c>
      <c r="G469" s="0" t="n">
        <v>1</v>
      </c>
      <c r="H469" s="0" t="s">
        <v>298</v>
      </c>
      <c r="I469" s="48" t="n">
        <v>46243</v>
      </c>
      <c r="J469" s="0" t="n">
        <v>1</v>
      </c>
      <c r="K469" s="49" t="s">
        <v>2046</v>
      </c>
      <c r="L469" s="49" t="s">
        <v>1035</v>
      </c>
      <c r="M469" s="48" t="n">
        <v>46271</v>
      </c>
      <c r="N469" s="49" t="s">
        <v>1070</v>
      </c>
      <c r="O469" s="49" t="s">
        <v>1052</v>
      </c>
      <c r="P469" s="48"/>
      <c r="Q469" s="48" t="n">
        <v>46243</v>
      </c>
      <c r="R469" s="48" t="n">
        <v>46250</v>
      </c>
      <c r="T469" s="49" t="s">
        <v>302</v>
      </c>
      <c r="U469" s="49" t="s">
        <v>303</v>
      </c>
      <c r="Y469" s="49" t="s">
        <v>2053</v>
      </c>
      <c r="AD469" s="49" t="s">
        <v>305</v>
      </c>
      <c r="AE469" s="48" t="n">
        <v>46217</v>
      </c>
      <c r="AF469" s="49" t="s">
        <v>306</v>
      </c>
      <c r="AG469" s="49" t="s">
        <v>307</v>
      </c>
      <c r="AK469" s="49" t="s">
        <v>1047</v>
      </c>
      <c r="AL469" s="49" t="s">
        <v>297</v>
      </c>
      <c r="AO469" s="49" t="s">
        <v>303</v>
      </c>
      <c r="AP469" s="48"/>
      <c r="AR469" s="49" t="s">
        <v>303</v>
      </c>
      <c r="AS469" s="49" t="s">
        <v>306</v>
      </c>
      <c r="AT469" s="49" t="s">
        <v>2054</v>
      </c>
      <c r="AV469" s="49" t="s">
        <v>309</v>
      </c>
      <c r="AW469" s="49" t="s">
        <v>310</v>
      </c>
      <c r="AX469" s="49" t="s">
        <v>311</v>
      </c>
      <c r="AY469" s="48"/>
      <c r="AZ469" s="48" t="n">
        <v>46240</v>
      </c>
      <c r="BC469" s="49" t="s">
        <v>303</v>
      </c>
      <c r="BD469" s="48" t="n">
        <v>46271</v>
      </c>
      <c r="BE469" s="49" t="s">
        <v>2055</v>
      </c>
      <c r="BF469" s="49" t="s">
        <v>303</v>
      </c>
      <c r="BG469" s="48"/>
      <c r="BI469" s="48" t="n">
        <v>46271</v>
      </c>
      <c r="BJ469" s="48" t="n">
        <v>46247</v>
      </c>
      <c r="BK469" s="49" t="s">
        <v>312</v>
      </c>
      <c r="BL469" s="49" t="s">
        <v>313</v>
      </c>
      <c r="BM469" s="49" t="s">
        <v>310</v>
      </c>
      <c r="BN469" s="48"/>
      <c r="BO469" s="48"/>
      <c r="BP469" s="48"/>
      <c r="BQ469" s="49" t="s">
        <v>2033</v>
      </c>
      <c r="BR469" s="48" t="n">
        <v>46247</v>
      </c>
      <c r="BS469" s="49" t="s">
        <v>2051</v>
      </c>
      <c r="BT469" s="49" t="s">
        <v>312</v>
      </c>
      <c r="BU469" s="49" t="s">
        <v>313</v>
      </c>
      <c r="BV469" s="49" t="s">
        <v>303</v>
      </c>
      <c r="BX469" s="0" t="n">
        <v>1</v>
      </c>
      <c r="CC469" s="49" t="s">
        <v>315</v>
      </c>
      <c r="CD469" s="49" t="s">
        <v>303</v>
      </c>
      <c r="CF469" s="49" t="s">
        <v>303</v>
      </c>
      <c r="CG469" s="49" t="s">
        <v>316</v>
      </c>
      <c r="CH469" s="49" t="s">
        <v>317</v>
      </c>
      <c r="CI469" s="49" t="s">
        <v>318</v>
      </c>
      <c r="CM469" s="49" t="s">
        <v>51</v>
      </c>
      <c r="CV469" s="49" t="s">
        <v>303</v>
      </c>
      <c r="DB469" s="49" t="s">
        <v>319</v>
      </c>
      <c r="DD469" s="48" t="n">
        <v>46217</v>
      </c>
      <c r="DF469" s="49" t="s">
        <v>310</v>
      </c>
      <c r="DG469" s="49" t="s">
        <v>320</v>
      </c>
      <c r="DH469" s="49" t="s">
        <v>50</v>
      </c>
      <c r="DI469" s="49" t="s">
        <v>298</v>
      </c>
      <c r="DJ469" s="49" t="s">
        <v>346</v>
      </c>
      <c r="DK469" s="49" t="s">
        <v>322</v>
      </c>
      <c r="DL469" s="49" t="s">
        <v>323</v>
      </c>
      <c r="DM469" s="49" t="s">
        <v>303</v>
      </c>
      <c r="DN469" s="49" t="s">
        <v>297</v>
      </c>
      <c r="DO469" s="48"/>
      <c r="DP469" s="49" t="s">
        <v>312</v>
      </c>
      <c r="DQ469" s="48"/>
      <c r="DR469" s="49" t="s">
        <v>312</v>
      </c>
      <c r="DS469" s="49" t="s">
        <v>303</v>
      </c>
      <c r="DT469" s="49" t="s">
        <v>303</v>
      </c>
      <c r="DW469" s="49" t="s">
        <v>303</v>
      </c>
      <c r="EA469" s="49" t="s">
        <v>324</v>
      </c>
      <c r="EB469" s="49" t="s">
        <v>303</v>
      </c>
      <c r="EH469" s="49" t="s">
        <v>310</v>
      </c>
      <c r="EJ469" s="49" t="s">
        <v>303</v>
      </c>
      <c r="EK469" s="49" t="s">
        <v>2056</v>
      </c>
      <c r="EM469" s="49" t="s">
        <v>303</v>
      </c>
      <c r="EN469" s="49" t="s">
        <v>348</v>
      </c>
      <c r="EP469" s="49" t="s">
        <v>298</v>
      </c>
      <c r="EQ469" s="0" t="n">
        <v>1</v>
      </c>
      <c r="ER469" s="49" t="s">
        <v>328</v>
      </c>
      <c r="ES469" s="49" t="s">
        <v>342</v>
      </c>
      <c r="ET469" s="49" t="s">
        <v>310</v>
      </c>
      <c r="EU469" s="49" t="s">
        <v>310</v>
      </c>
      <c r="EV469" s="49" t="s">
        <v>310</v>
      </c>
      <c r="EX469" s="49" t="s">
        <v>303</v>
      </c>
      <c r="EY469" s="49" t="s">
        <v>303</v>
      </c>
      <c r="FC469" s="49" t="s">
        <v>330</v>
      </c>
      <c r="FD469" s="49" t="s">
        <v>310</v>
      </c>
      <c r="FE469" s="49" t="s">
        <v>310</v>
      </c>
      <c r="FF469" s="49" t="s">
        <v>50</v>
      </c>
      <c r="FG469" s="49" t="s">
        <v>349</v>
      </c>
      <c r="FH469" s="49" t="s">
        <v>310</v>
      </c>
      <c r="FI469" s="49" t="s">
        <v>332</v>
      </c>
      <c r="FJ469" s="49" t="s">
        <v>303</v>
      </c>
      <c r="FL469" s="49" t="s">
        <v>325</v>
      </c>
      <c r="FM469" s="49" t="s">
        <v>2057</v>
      </c>
      <c r="FP469" s="49" t="s">
        <v>303</v>
      </c>
      <c r="FR469" s="49" t="s">
        <v>303</v>
      </c>
      <c r="FT469" s="49" t="s">
        <v>325</v>
      </c>
      <c r="FU469" s="49" t="s">
        <v>325</v>
      </c>
      <c r="FW469" s="49" t="s">
        <v>333</v>
      </c>
    </row>
    <row r="470" customFormat="false" ht="15" hidden="false" customHeight="false" outlineLevel="0" collapsed="false">
      <c r="A470" s="0" t="n">
        <v>100873358</v>
      </c>
      <c r="B470" s="0" t="s">
        <v>295</v>
      </c>
      <c r="C470" s="0" t="s">
        <v>50</v>
      </c>
      <c r="D470" s="0" t="s">
        <v>51</v>
      </c>
      <c r="E470" s="0" t="s">
        <v>297</v>
      </c>
      <c r="G470" s="0" t="n">
        <v>1</v>
      </c>
      <c r="H470" s="0" t="s">
        <v>298</v>
      </c>
      <c r="I470" s="48" t="n">
        <v>46243</v>
      </c>
      <c r="J470" s="0" t="n">
        <v>1</v>
      </c>
      <c r="K470" s="49" t="s">
        <v>2046</v>
      </c>
      <c r="L470" s="49" t="s">
        <v>1035</v>
      </c>
      <c r="M470" s="48" t="n">
        <v>46281</v>
      </c>
      <c r="N470" s="49" t="s">
        <v>1070</v>
      </c>
      <c r="O470" s="49" t="s">
        <v>1847</v>
      </c>
      <c r="P470" s="48"/>
      <c r="Q470" s="48" t="n">
        <v>46243</v>
      </c>
      <c r="R470" s="48" t="n">
        <v>46249</v>
      </c>
      <c r="T470" s="49" t="s">
        <v>302</v>
      </c>
      <c r="U470" s="49" t="s">
        <v>303</v>
      </c>
      <c r="Y470" s="49" t="s">
        <v>2058</v>
      </c>
      <c r="AD470" s="49" t="s">
        <v>305</v>
      </c>
      <c r="AE470" s="48" t="n">
        <v>46217</v>
      </c>
      <c r="AF470" s="49" t="s">
        <v>306</v>
      </c>
      <c r="AG470" s="49" t="s">
        <v>307</v>
      </c>
      <c r="AK470" s="49" t="s">
        <v>1047</v>
      </c>
      <c r="AL470" s="49" t="s">
        <v>297</v>
      </c>
      <c r="AO470" s="49" t="s">
        <v>303</v>
      </c>
      <c r="AP470" s="48"/>
      <c r="AR470" s="49" t="s">
        <v>303</v>
      </c>
      <c r="AS470" s="49" t="s">
        <v>306</v>
      </c>
      <c r="AT470" s="49" t="s">
        <v>2059</v>
      </c>
      <c r="AV470" s="49" t="s">
        <v>309</v>
      </c>
      <c r="AW470" s="49" t="s">
        <v>310</v>
      </c>
      <c r="AX470" s="49" t="s">
        <v>311</v>
      </c>
      <c r="AY470" s="48"/>
      <c r="AZ470" s="48" t="n">
        <v>46234</v>
      </c>
      <c r="BC470" s="49" t="s">
        <v>303</v>
      </c>
      <c r="BD470" s="48" t="n">
        <v>46281</v>
      </c>
      <c r="BE470" s="49" t="s">
        <v>2060</v>
      </c>
      <c r="BF470" s="49" t="s">
        <v>303</v>
      </c>
      <c r="BG470" s="48"/>
      <c r="BI470" s="48" t="n">
        <v>46281</v>
      </c>
      <c r="BJ470" s="48" t="n">
        <v>46247</v>
      </c>
      <c r="BK470" s="49" t="s">
        <v>313</v>
      </c>
      <c r="BL470" s="49" t="s">
        <v>313</v>
      </c>
      <c r="BM470" s="49" t="s">
        <v>310</v>
      </c>
      <c r="BN470" s="48"/>
      <c r="BO470" s="48"/>
      <c r="BP470" s="48"/>
      <c r="BQ470" s="49" t="s">
        <v>2033</v>
      </c>
      <c r="BR470" s="48" t="n">
        <v>46241</v>
      </c>
      <c r="BS470" s="49" t="s">
        <v>2061</v>
      </c>
      <c r="BT470" s="49" t="s">
        <v>312</v>
      </c>
      <c r="BU470" s="49" t="s">
        <v>312</v>
      </c>
      <c r="BV470" s="49" t="s">
        <v>303</v>
      </c>
      <c r="BX470" s="0" t="n">
        <v>1</v>
      </c>
      <c r="CC470" s="49" t="s">
        <v>315</v>
      </c>
      <c r="CD470" s="49" t="s">
        <v>303</v>
      </c>
      <c r="CF470" s="49" t="s">
        <v>303</v>
      </c>
      <c r="CG470" s="49" t="s">
        <v>316</v>
      </c>
      <c r="CH470" s="49" t="s">
        <v>317</v>
      </c>
      <c r="CI470" s="49" t="s">
        <v>318</v>
      </c>
      <c r="CM470" s="49" t="s">
        <v>51</v>
      </c>
      <c r="CV470" s="49" t="s">
        <v>303</v>
      </c>
      <c r="DB470" s="49" t="s">
        <v>319</v>
      </c>
      <c r="DD470" s="48" t="n">
        <v>46217</v>
      </c>
      <c r="DF470" s="49" t="s">
        <v>310</v>
      </c>
      <c r="DG470" s="49" t="s">
        <v>320</v>
      </c>
      <c r="DH470" s="49" t="s">
        <v>50</v>
      </c>
      <c r="DI470" s="49" t="s">
        <v>298</v>
      </c>
      <c r="DJ470" s="49" t="s">
        <v>346</v>
      </c>
      <c r="DK470" s="49" t="s">
        <v>322</v>
      </c>
      <c r="DL470" s="49" t="s">
        <v>323</v>
      </c>
      <c r="DM470" s="49" t="s">
        <v>303</v>
      </c>
      <c r="DN470" s="49" t="s">
        <v>297</v>
      </c>
      <c r="DO470" s="48"/>
      <c r="DP470" s="49" t="s">
        <v>312</v>
      </c>
      <c r="DQ470" s="48"/>
      <c r="DR470" s="49" t="s">
        <v>312</v>
      </c>
      <c r="DS470" s="49" t="s">
        <v>303</v>
      </c>
      <c r="DT470" s="49" t="s">
        <v>303</v>
      </c>
      <c r="DW470" s="49" t="s">
        <v>303</v>
      </c>
      <c r="EA470" s="49" t="s">
        <v>324</v>
      </c>
      <c r="EB470" s="49" t="s">
        <v>303</v>
      </c>
      <c r="EF470" s="49" t="s">
        <v>2062</v>
      </c>
      <c r="EH470" s="49" t="s">
        <v>310</v>
      </c>
      <c r="EJ470" s="49" t="s">
        <v>303</v>
      </c>
      <c r="EK470" s="49" t="s">
        <v>2063</v>
      </c>
      <c r="EM470" s="49" t="s">
        <v>303</v>
      </c>
      <c r="EN470" s="49" t="s">
        <v>348</v>
      </c>
      <c r="EP470" s="49" t="s">
        <v>298</v>
      </c>
      <c r="EQ470" s="0" t="n">
        <v>1</v>
      </c>
      <c r="ER470" s="49" t="s">
        <v>328</v>
      </c>
      <c r="ES470" s="49" t="s">
        <v>342</v>
      </c>
      <c r="ET470" s="49" t="s">
        <v>310</v>
      </c>
      <c r="EU470" s="49" t="s">
        <v>310</v>
      </c>
      <c r="EV470" s="49" t="s">
        <v>310</v>
      </c>
      <c r="EX470" s="49" t="s">
        <v>303</v>
      </c>
      <c r="EY470" s="49" t="s">
        <v>303</v>
      </c>
      <c r="FC470" s="49" t="s">
        <v>330</v>
      </c>
      <c r="FD470" s="49" t="s">
        <v>310</v>
      </c>
      <c r="FE470" s="49" t="s">
        <v>310</v>
      </c>
      <c r="FF470" s="49" t="s">
        <v>50</v>
      </c>
      <c r="FG470" s="49" t="s">
        <v>349</v>
      </c>
      <c r="FH470" s="49" t="s">
        <v>310</v>
      </c>
      <c r="FI470" s="49" t="s">
        <v>332</v>
      </c>
      <c r="FJ470" s="49" t="s">
        <v>303</v>
      </c>
      <c r="FL470" s="49" t="s">
        <v>325</v>
      </c>
      <c r="FM470" s="49" t="s">
        <v>2046</v>
      </c>
      <c r="FP470" s="49" t="s">
        <v>303</v>
      </c>
      <c r="FR470" s="49" t="s">
        <v>303</v>
      </c>
      <c r="FT470" s="49" t="s">
        <v>325</v>
      </c>
      <c r="FU470" s="49" t="s">
        <v>325</v>
      </c>
      <c r="FW470" s="49" t="s">
        <v>333</v>
      </c>
    </row>
    <row r="471" customFormat="false" ht="15" hidden="false" customHeight="false" outlineLevel="0" collapsed="false">
      <c r="A471" s="0" t="n">
        <v>100873359</v>
      </c>
      <c r="B471" s="0" t="s">
        <v>295</v>
      </c>
      <c r="C471" s="0" t="s">
        <v>53</v>
      </c>
      <c r="D471" s="0" t="s">
        <v>54</v>
      </c>
      <c r="E471" s="0" t="s">
        <v>297</v>
      </c>
      <c r="G471" s="0" t="n">
        <v>1</v>
      </c>
      <c r="H471" s="0" t="s">
        <v>298</v>
      </c>
      <c r="I471" s="48" t="n">
        <v>46243</v>
      </c>
      <c r="J471" s="0" t="n">
        <v>1</v>
      </c>
      <c r="K471" s="49" t="s">
        <v>2046</v>
      </c>
      <c r="L471" s="49" t="s">
        <v>1035</v>
      </c>
      <c r="M471" s="48" t="n">
        <v>46243</v>
      </c>
      <c r="N471" s="49" t="s">
        <v>1035</v>
      </c>
      <c r="O471" s="49" t="s">
        <v>1045</v>
      </c>
      <c r="P471" s="48"/>
      <c r="Q471" s="48" t="n">
        <v>46243</v>
      </c>
      <c r="R471" s="48" t="n">
        <v>46250</v>
      </c>
      <c r="T471" s="49" t="s">
        <v>302</v>
      </c>
      <c r="U471" s="49" t="s">
        <v>303</v>
      </c>
      <c r="Y471" s="49" t="s">
        <v>2064</v>
      </c>
      <c r="AD471" s="49" t="s">
        <v>305</v>
      </c>
      <c r="AE471" s="48" t="n">
        <v>46219</v>
      </c>
      <c r="AF471" s="49" t="s">
        <v>306</v>
      </c>
      <c r="AG471" s="49" t="s">
        <v>307</v>
      </c>
      <c r="AK471" s="49" t="s">
        <v>1047</v>
      </c>
      <c r="AL471" s="49" t="s">
        <v>297</v>
      </c>
      <c r="AO471" s="49" t="s">
        <v>303</v>
      </c>
      <c r="AP471" s="48"/>
      <c r="AR471" s="49" t="s">
        <v>303</v>
      </c>
      <c r="AS471" s="49" t="s">
        <v>306</v>
      </c>
      <c r="AT471" s="49" t="s">
        <v>2065</v>
      </c>
      <c r="AV471" s="49" t="s">
        <v>309</v>
      </c>
      <c r="AW471" s="49" t="s">
        <v>310</v>
      </c>
      <c r="AX471" s="49" t="s">
        <v>311</v>
      </c>
      <c r="AY471" s="48"/>
      <c r="AZ471" s="48" t="n">
        <v>46234</v>
      </c>
      <c r="BC471" s="49" t="s">
        <v>303</v>
      </c>
      <c r="BD471" s="48" t="n">
        <v>46260</v>
      </c>
      <c r="BE471" s="49" t="s">
        <v>2066</v>
      </c>
      <c r="BF471" s="49" t="s">
        <v>303</v>
      </c>
      <c r="BG471" s="48"/>
      <c r="BI471" s="48" t="n">
        <v>46260</v>
      </c>
      <c r="BJ471" s="48" t="n">
        <v>46247</v>
      </c>
      <c r="BK471" s="49" t="s">
        <v>312</v>
      </c>
      <c r="BL471" s="49" t="s">
        <v>313</v>
      </c>
      <c r="BM471" s="49" t="s">
        <v>310</v>
      </c>
      <c r="BN471" s="48"/>
      <c r="BO471" s="48"/>
      <c r="BP471" s="48"/>
      <c r="BQ471" s="49" t="s">
        <v>2033</v>
      </c>
      <c r="BR471" s="48" t="n">
        <v>46241</v>
      </c>
      <c r="BS471" s="49" t="s">
        <v>2061</v>
      </c>
      <c r="BT471" s="49" t="s">
        <v>312</v>
      </c>
      <c r="BU471" s="49" t="s">
        <v>312</v>
      </c>
      <c r="BV471" s="49" t="s">
        <v>303</v>
      </c>
      <c r="BX471" s="0" t="n">
        <v>1</v>
      </c>
      <c r="CC471" s="49" t="s">
        <v>315</v>
      </c>
      <c r="CD471" s="49" t="s">
        <v>303</v>
      </c>
      <c r="CF471" s="49" t="s">
        <v>303</v>
      </c>
      <c r="CG471" s="49" t="s">
        <v>316</v>
      </c>
      <c r="CH471" s="49" t="s">
        <v>317</v>
      </c>
      <c r="CI471" s="49" t="s">
        <v>318</v>
      </c>
      <c r="CM471" s="49" t="s">
        <v>54</v>
      </c>
      <c r="CV471" s="49" t="s">
        <v>303</v>
      </c>
      <c r="DB471" s="49" t="s">
        <v>319</v>
      </c>
      <c r="DD471" s="48" t="n">
        <v>46219</v>
      </c>
      <c r="DF471" s="49" t="s">
        <v>310</v>
      </c>
      <c r="DG471" s="49" t="s">
        <v>320</v>
      </c>
      <c r="DH471" s="49" t="s">
        <v>53</v>
      </c>
      <c r="DI471" s="49" t="s">
        <v>298</v>
      </c>
      <c r="DJ471" s="49" t="s">
        <v>355</v>
      </c>
      <c r="DK471" s="49" t="s">
        <v>322</v>
      </c>
      <c r="DL471" s="49" t="s">
        <v>323</v>
      </c>
      <c r="DM471" s="49" t="s">
        <v>303</v>
      </c>
      <c r="DN471" s="49" t="s">
        <v>297</v>
      </c>
      <c r="DO471" s="48"/>
      <c r="DP471" s="49" t="s">
        <v>312</v>
      </c>
      <c r="DQ471" s="48"/>
      <c r="DR471" s="49" t="s">
        <v>312</v>
      </c>
      <c r="DS471" s="49" t="s">
        <v>303</v>
      </c>
      <c r="DT471" s="49" t="s">
        <v>303</v>
      </c>
      <c r="DW471" s="49" t="s">
        <v>303</v>
      </c>
      <c r="EA471" s="49" t="s">
        <v>324</v>
      </c>
      <c r="EB471" s="49" t="s">
        <v>303</v>
      </c>
      <c r="EH471" s="49" t="s">
        <v>310</v>
      </c>
      <c r="EJ471" s="49" t="s">
        <v>303</v>
      </c>
      <c r="EK471" s="49" t="s">
        <v>2067</v>
      </c>
      <c r="EM471" s="49" t="s">
        <v>303</v>
      </c>
      <c r="EN471" s="49" t="s">
        <v>357</v>
      </c>
      <c r="EP471" s="49" t="s">
        <v>298</v>
      </c>
      <c r="EQ471" s="0" t="n">
        <v>1</v>
      </c>
      <c r="ER471" s="49" t="s">
        <v>328</v>
      </c>
      <c r="ES471" s="49" t="s">
        <v>358</v>
      </c>
      <c r="ET471" s="49" t="s">
        <v>310</v>
      </c>
      <c r="EU471" s="49" t="s">
        <v>310</v>
      </c>
      <c r="EV471" s="49" t="s">
        <v>310</v>
      </c>
      <c r="EX471" s="49" t="s">
        <v>303</v>
      </c>
      <c r="EY471" s="49" t="s">
        <v>303</v>
      </c>
      <c r="FC471" s="49" t="s">
        <v>330</v>
      </c>
      <c r="FD471" s="49" t="s">
        <v>310</v>
      </c>
      <c r="FE471" s="49" t="s">
        <v>310</v>
      </c>
      <c r="FF471" s="49" t="s">
        <v>53</v>
      </c>
      <c r="FG471" s="49" t="s">
        <v>359</v>
      </c>
      <c r="FH471" s="49" t="s">
        <v>310</v>
      </c>
      <c r="FI471" s="49" t="s">
        <v>332</v>
      </c>
      <c r="FJ471" s="49" t="s">
        <v>303</v>
      </c>
      <c r="FL471" s="49" t="s">
        <v>325</v>
      </c>
      <c r="FM471" s="49" t="s">
        <v>2046</v>
      </c>
      <c r="FP471" s="49" t="s">
        <v>303</v>
      </c>
      <c r="FR471" s="49" t="s">
        <v>303</v>
      </c>
      <c r="FT471" s="49" t="s">
        <v>325</v>
      </c>
      <c r="FU471" s="49" t="s">
        <v>325</v>
      </c>
      <c r="FW471" s="49" t="s">
        <v>333</v>
      </c>
    </row>
    <row r="472" customFormat="false" ht="15" hidden="false" customHeight="false" outlineLevel="0" collapsed="false">
      <c r="A472" s="0" t="n">
        <v>100873360</v>
      </c>
      <c r="B472" s="0" t="s">
        <v>295</v>
      </c>
      <c r="C472" s="0" t="s">
        <v>53</v>
      </c>
      <c r="D472" s="0" t="s">
        <v>54</v>
      </c>
      <c r="E472" s="0" t="s">
        <v>297</v>
      </c>
      <c r="G472" s="0" t="n">
        <v>1</v>
      </c>
      <c r="H472" s="0" t="s">
        <v>298</v>
      </c>
      <c r="I472" s="48" t="n">
        <v>46243</v>
      </c>
      <c r="J472" s="0" t="n">
        <v>1</v>
      </c>
      <c r="K472" s="49" t="s">
        <v>2046</v>
      </c>
      <c r="L472" s="49" t="s">
        <v>1035</v>
      </c>
      <c r="M472" s="48"/>
      <c r="O472" s="49" t="s">
        <v>1045</v>
      </c>
      <c r="P472" s="48"/>
      <c r="Q472" s="48" t="n">
        <v>46243</v>
      </c>
      <c r="R472" s="48" t="n">
        <v>46249</v>
      </c>
      <c r="T472" s="49" t="s">
        <v>302</v>
      </c>
      <c r="U472" s="49" t="s">
        <v>303</v>
      </c>
      <c r="Y472" s="49" t="s">
        <v>312</v>
      </c>
      <c r="AD472" s="49" t="s">
        <v>305</v>
      </c>
      <c r="AE472" s="48" t="n">
        <v>46219</v>
      </c>
      <c r="AF472" s="49" t="s">
        <v>306</v>
      </c>
      <c r="AG472" s="49" t="s">
        <v>307</v>
      </c>
      <c r="AK472" s="49" t="s">
        <v>1047</v>
      </c>
      <c r="AL472" s="49" t="s">
        <v>297</v>
      </c>
      <c r="AO472" s="49" t="s">
        <v>303</v>
      </c>
      <c r="AP472" s="48"/>
      <c r="AR472" s="49" t="s">
        <v>303</v>
      </c>
      <c r="AS472" s="49" t="s">
        <v>306</v>
      </c>
      <c r="AT472" s="49" t="s">
        <v>2068</v>
      </c>
      <c r="AV472" s="49" t="s">
        <v>309</v>
      </c>
      <c r="AW472" s="49" t="s">
        <v>310</v>
      </c>
      <c r="AX472" s="49" t="s">
        <v>311</v>
      </c>
      <c r="AY472" s="48"/>
      <c r="AZ472" s="48" t="n">
        <v>46234</v>
      </c>
      <c r="BC472" s="49" t="s">
        <v>303</v>
      </c>
      <c r="BD472" s="48" t="n">
        <v>46247</v>
      </c>
      <c r="BE472" s="49" t="s">
        <v>2069</v>
      </c>
      <c r="BF472" s="49" t="s">
        <v>303</v>
      </c>
      <c r="BG472" s="48"/>
      <c r="BI472" s="48" t="n">
        <v>46247</v>
      </c>
      <c r="BJ472" s="48" t="n">
        <v>46247</v>
      </c>
      <c r="BK472" s="49" t="s">
        <v>313</v>
      </c>
      <c r="BL472" s="49" t="s">
        <v>313</v>
      </c>
      <c r="BM472" s="49" t="s">
        <v>310</v>
      </c>
      <c r="BN472" s="48"/>
      <c r="BO472" s="48"/>
      <c r="BP472" s="48"/>
      <c r="BQ472" s="49" t="s">
        <v>2033</v>
      </c>
      <c r="BR472" s="48" t="n">
        <v>46241</v>
      </c>
      <c r="BS472" s="49" t="s">
        <v>2070</v>
      </c>
      <c r="BT472" s="49" t="s">
        <v>312</v>
      </c>
      <c r="BU472" s="49" t="s">
        <v>312</v>
      </c>
      <c r="BV472" s="49" t="s">
        <v>303</v>
      </c>
      <c r="BX472" s="0" t="n">
        <v>1</v>
      </c>
      <c r="CC472" s="49" t="s">
        <v>315</v>
      </c>
      <c r="CD472" s="49" t="s">
        <v>303</v>
      </c>
      <c r="CF472" s="49" t="s">
        <v>303</v>
      </c>
      <c r="CG472" s="49" t="s">
        <v>316</v>
      </c>
      <c r="CH472" s="49" t="s">
        <v>317</v>
      </c>
      <c r="CI472" s="49" t="s">
        <v>318</v>
      </c>
      <c r="CM472" s="49" t="s">
        <v>54</v>
      </c>
      <c r="CV472" s="49" t="s">
        <v>303</v>
      </c>
      <c r="DB472" s="49" t="s">
        <v>319</v>
      </c>
      <c r="DD472" s="48" t="n">
        <v>46219</v>
      </c>
      <c r="DF472" s="49" t="s">
        <v>310</v>
      </c>
      <c r="DG472" s="49" t="s">
        <v>320</v>
      </c>
      <c r="DH472" s="49" t="s">
        <v>53</v>
      </c>
      <c r="DI472" s="49" t="s">
        <v>298</v>
      </c>
      <c r="DJ472" s="49" t="s">
        <v>355</v>
      </c>
      <c r="DK472" s="49" t="s">
        <v>322</v>
      </c>
      <c r="DL472" s="49" t="s">
        <v>323</v>
      </c>
      <c r="DM472" s="49" t="s">
        <v>303</v>
      </c>
      <c r="DN472" s="49" t="s">
        <v>297</v>
      </c>
      <c r="DO472" s="48"/>
      <c r="DP472" s="49" t="s">
        <v>312</v>
      </c>
      <c r="DQ472" s="48"/>
      <c r="DR472" s="49" t="s">
        <v>312</v>
      </c>
      <c r="DS472" s="49" t="s">
        <v>303</v>
      </c>
      <c r="DT472" s="49" t="s">
        <v>303</v>
      </c>
      <c r="DW472" s="49" t="s">
        <v>303</v>
      </c>
      <c r="EA472" s="49" t="s">
        <v>324</v>
      </c>
      <c r="EB472" s="49" t="s">
        <v>303</v>
      </c>
      <c r="EF472" s="49" t="s">
        <v>2071</v>
      </c>
      <c r="EH472" s="49" t="s">
        <v>310</v>
      </c>
      <c r="EJ472" s="49" t="s">
        <v>303</v>
      </c>
      <c r="EK472" s="49" t="s">
        <v>2072</v>
      </c>
      <c r="EM472" s="49" t="s">
        <v>303</v>
      </c>
      <c r="EN472" s="49" t="s">
        <v>357</v>
      </c>
      <c r="EP472" s="49" t="s">
        <v>298</v>
      </c>
      <c r="EQ472" s="0" t="n">
        <v>1</v>
      </c>
      <c r="ER472" s="49" t="s">
        <v>328</v>
      </c>
      <c r="ES472" s="49" t="s">
        <v>358</v>
      </c>
      <c r="ET472" s="49" t="s">
        <v>310</v>
      </c>
      <c r="EU472" s="49" t="s">
        <v>310</v>
      </c>
      <c r="EV472" s="49" t="s">
        <v>310</v>
      </c>
      <c r="EX472" s="49" t="s">
        <v>303</v>
      </c>
      <c r="EY472" s="49" t="s">
        <v>303</v>
      </c>
      <c r="FC472" s="49" t="s">
        <v>330</v>
      </c>
      <c r="FD472" s="49" t="s">
        <v>310</v>
      </c>
      <c r="FE472" s="49" t="s">
        <v>310</v>
      </c>
      <c r="FF472" s="49" t="s">
        <v>53</v>
      </c>
      <c r="FG472" s="49" t="s">
        <v>359</v>
      </c>
      <c r="FH472" s="49" t="s">
        <v>310</v>
      </c>
      <c r="FI472" s="49" t="s">
        <v>332</v>
      </c>
      <c r="FJ472" s="49" t="s">
        <v>303</v>
      </c>
      <c r="FL472" s="49" t="s">
        <v>325</v>
      </c>
      <c r="FM472" s="49" t="s">
        <v>2046</v>
      </c>
      <c r="FP472" s="49" t="s">
        <v>303</v>
      </c>
      <c r="FR472" s="49" t="s">
        <v>303</v>
      </c>
      <c r="FT472" s="49" t="s">
        <v>325</v>
      </c>
      <c r="FU472" s="49" t="s">
        <v>325</v>
      </c>
      <c r="FW472" s="49" t="s">
        <v>333</v>
      </c>
    </row>
    <row r="473" customFormat="false" ht="15" hidden="false" customHeight="false" outlineLevel="0" collapsed="false">
      <c r="A473" s="0" t="n">
        <v>100873361</v>
      </c>
      <c r="B473" s="0" t="s">
        <v>295</v>
      </c>
      <c r="C473" s="0" t="s">
        <v>53</v>
      </c>
      <c r="D473" s="0" t="s">
        <v>54</v>
      </c>
      <c r="E473" s="0" t="s">
        <v>297</v>
      </c>
      <c r="G473" s="0" t="n">
        <v>1</v>
      </c>
      <c r="H473" s="0" t="s">
        <v>298</v>
      </c>
      <c r="I473" s="48" t="n">
        <v>46243</v>
      </c>
      <c r="J473" s="0" t="n">
        <v>1</v>
      </c>
      <c r="K473" s="49" t="s">
        <v>2046</v>
      </c>
      <c r="L473" s="49" t="s">
        <v>1035</v>
      </c>
      <c r="M473" s="48"/>
      <c r="O473" s="49" t="s">
        <v>1045</v>
      </c>
      <c r="P473" s="48"/>
      <c r="Q473" s="48" t="n">
        <v>46243</v>
      </c>
      <c r="R473" s="48" t="n">
        <v>46249</v>
      </c>
      <c r="T473" s="49" t="s">
        <v>302</v>
      </c>
      <c r="U473" s="49" t="s">
        <v>303</v>
      </c>
      <c r="Y473" s="49" t="s">
        <v>312</v>
      </c>
      <c r="AD473" s="49" t="s">
        <v>305</v>
      </c>
      <c r="AE473" s="48" t="n">
        <v>46219</v>
      </c>
      <c r="AF473" s="49" t="s">
        <v>306</v>
      </c>
      <c r="AG473" s="49" t="s">
        <v>307</v>
      </c>
      <c r="AK473" s="49" t="s">
        <v>1047</v>
      </c>
      <c r="AL473" s="49" t="s">
        <v>297</v>
      </c>
      <c r="AO473" s="49" t="s">
        <v>303</v>
      </c>
      <c r="AP473" s="48"/>
      <c r="AR473" s="49" t="s">
        <v>303</v>
      </c>
      <c r="AS473" s="49" t="s">
        <v>306</v>
      </c>
      <c r="AT473" s="49" t="s">
        <v>2073</v>
      </c>
      <c r="AV473" s="49" t="s">
        <v>309</v>
      </c>
      <c r="AW473" s="49" t="s">
        <v>310</v>
      </c>
      <c r="AX473" s="49" t="s">
        <v>311</v>
      </c>
      <c r="AY473" s="48"/>
      <c r="AZ473" s="48" t="n">
        <v>46234</v>
      </c>
      <c r="BC473" s="49" t="s">
        <v>303</v>
      </c>
      <c r="BD473" s="48" t="n">
        <v>46247</v>
      </c>
      <c r="BE473" s="49" t="s">
        <v>2074</v>
      </c>
      <c r="BF473" s="49" t="s">
        <v>303</v>
      </c>
      <c r="BG473" s="48"/>
      <c r="BI473" s="48" t="n">
        <v>46247</v>
      </c>
      <c r="BJ473" s="48" t="n">
        <v>46247</v>
      </c>
      <c r="BK473" s="49" t="s">
        <v>313</v>
      </c>
      <c r="BL473" s="49" t="s">
        <v>313</v>
      </c>
      <c r="BM473" s="49" t="s">
        <v>310</v>
      </c>
      <c r="BN473" s="48"/>
      <c r="BO473" s="48"/>
      <c r="BP473" s="48"/>
      <c r="BQ473" s="49" t="s">
        <v>2033</v>
      </c>
      <c r="BR473" s="48" t="n">
        <v>46241</v>
      </c>
      <c r="BS473" s="49" t="s">
        <v>2070</v>
      </c>
      <c r="BT473" s="49" t="s">
        <v>312</v>
      </c>
      <c r="BU473" s="49" t="s">
        <v>312</v>
      </c>
      <c r="BV473" s="49" t="s">
        <v>303</v>
      </c>
      <c r="BX473" s="0" t="n">
        <v>1</v>
      </c>
      <c r="CC473" s="49" t="s">
        <v>315</v>
      </c>
      <c r="CD473" s="49" t="s">
        <v>303</v>
      </c>
      <c r="CF473" s="49" t="s">
        <v>303</v>
      </c>
      <c r="CG473" s="49" t="s">
        <v>316</v>
      </c>
      <c r="CH473" s="49" t="s">
        <v>317</v>
      </c>
      <c r="CI473" s="49" t="s">
        <v>318</v>
      </c>
      <c r="CM473" s="49" t="s">
        <v>54</v>
      </c>
      <c r="CV473" s="49" t="s">
        <v>303</v>
      </c>
      <c r="DB473" s="49" t="s">
        <v>319</v>
      </c>
      <c r="DD473" s="48" t="n">
        <v>46219</v>
      </c>
      <c r="DF473" s="49" t="s">
        <v>310</v>
      </c>
      <c r="DG473" s="49" t="s">
        <v>320</v>
      </c>
      <c r="DH473" s="49" t="s">
        <v>53</v>
      </c>
      <c r="DI473" s="49" t="s">
        <v>298</v>
      </c>
      <c r="DJ473" s="49" t="s">
        <v>355</v>
      </c>
      <c r="DK473" s="49" t="s">
        <v>322</v>
      </c>
      <c r="DL473" s="49" t="s">
        <v>323</v>
      </c>
      <c r="DM473" s="49" t="s">
        <v>303</v>
      </c>
      <c r="DN473" s="49" t="s">
        <v>297</v>
      </c>
      <c r="DO473" s="48"/>
      <c r="DP473" s="49" t="s">
        <v>312</v>
      </c>
      <c r="DQ473" s="48"/>
      <c r="DR473" s="49" t="s">
        <v>312</v>
      </c>
      <c r="DS473" s="49" t="s">
        <v>303</v>
      </c>
      <c r="DT473" s="49" t="s">
        <v>303</v>
      </c>
      <c r="DW473" s="49" t="s">
        <v>303</v>
      </c>
      <c r="EA473" s="49" t="s">
        <v>324</v>
      </c>
      <c r="EB473" s="49" t="s">
        <v>303</v>
      </c>
      <c r="EF473" s="49" t="s">
        <v>2071</v>
      </c>
      <c r="EH473" s="49" t="s">
        <v>310</v>
      </c>
      <c r="EJ473" s="49" t="s">
        <v>303</v>
      </c>
      <c r="EK473" s="49" t="s">
        <v>2075</v>
      </c>
      <c r="EM473" s="49" t="s">
        <v>303</v>
      </c>
      <c r="EN473" s="49" t="s">
        <v>357</v>
      </c>
      <c r="EP473" s="49" t="s">
        <v>298</v>
      </c>
      <c r="EQ473" s="0" t="n">
        <v>1</v>
      </c>
      <c r="ER473" s="49" t="s">
        <v>328</v>
      </c>
      <c r="ES473" s="49" t="s">
        <v>358</v>
      </c>
      <c r="ET473" s="49" t="s">
        <v>310</v>
      </c>
      <c r="EU473" s="49" t="s">
        <v>310</v>
      </c>
      <c r="EV473" s="49" t="s">
        <v>310</v>
      </c>
      <c r="EX473" s="49" t="s">
        <v>303</v>
      </c>
      <c r="EY473" s="49" t="s">
        <v>303</v>
      </c>
      <c r="FC473" s="49" t="s">
        <v>330</v>
      </c>
      <c r="FD473" s="49" t="s">
        <v>310</v>
      </c>
      <c r="FE473" s="49" t="s">
        <v>310</v>
      </c>
      <c r="FF473" s="49" t="s">
        <v>53</v>
      </c>
      <c r="FG473" s="49" t="s">
        <v>359</v>
      </c>
      <c r="FH473" s="49" t="s">
        <v>310</v>
      </c>
      <c r="FI473" s="49" t="s">
        <v>332</v>
      </c>
      <c r="FJ473" s="49" t="s">
        <v>303</v>
      </c>
      <c r="FL473" s="49" t="s">
        <v>325</v>
      </c>
      <c r="FM473" s="49" t="s">
        <v>2046</v>
      </c>
      <c r="FP473" s="49" t="s">
        <v>303</v>
      </c>
      <c r="FR473" s="49" t="s">
        <v>303</v>
      </c>
      <c r="FT473" s="49" t="s">
        <v>325</v>
      </c>
      <c r="FU473" s="49" t="s">
        <v>325</v>
      </c>
      <c r="FW473" s="49" t="s">
        <v>333</v>
      </c>
    </row>
    <row r="474" customFormat="false" ht="15" hidden="false" customHeight="false" outlineLevel="0" collapsed="false">
      <c r="A474" s="0" t="n">
        <v>100873342</v>
      </c>
      <c r="B474" s="0" t="s">
        <v>295</v>
      </c>
      <c r="C474" s="0" t="s">
        <v>53</v>
      </c>
      <c r="D474" s="0" t="s">
        <v>54</v>
      </c>
      <c r="E474" s="0" t="s">
        <v>297</v>
      </c>
      <c r="G474" s="0" t="n">
        <v>1</v>
      </c>
      <c r="H474" s="0" t="s">
        <v>298</v>
      </c>
      <c r="I474" s="48" t="n">
        <v>46242</v>
      </c>
      <c r="J474" s="0" t="n">
        <v>1</v>
      </c>
      <c r="K474" s="49" t="s">
        <v>2076</v>
      </c>
      <c r="L474" s="49" t="s">
        <v>1035</v>
      </c>
      <c r="M474" s="48" t="n">
        <v>46242</v>
      </c>
      <c r="N474" s="49" t="s">
        <v>1035</v>
      </c>
      <c r="O474" s="49" t="s">
        <v>1045</v>
      </c>
      <c r="P474" s="48"/>
      <c r="Q474" s="48" t="n">
        <v>46242</v>
      </c>
      <c r="R474" s="48" t="n">
        <v>46249</v>
      </c>
      <c r="T474" s="49" t="s">
        <v>302</v>
      </c>
      <c r="U474" s="49" t="s">
        <v>303</v>
      </c>
      <c r="Y474" s="49" t="s">
        <v>2077</v>
      </c>
      <c r="AD474" s="49" t="s">
        <v>305</v>
      </c>
      <c r="AE474" s="48" t="n">
        <v>46210</v>
      </c>
      <c r="AF474" s="49" t="s">
        <v>306</v>
      </c>
      <c r="AG474" s="49" t="s">
        <v>307</v>
      </c>
      <c r="AK474" s="49" t="s">
        <v>1047</v>
      </c>
      <c r="AL474" s="49" t="s">
        <v>297</v>
      </c>
      <c r="AO474" s="49" t="s">
        <v>303</v>
      </c>
      <c r="AP474" s="48"/>
      <c r="AR474" s="49" t="s">
        <v>303</v>
      </c>
      <c r="AS474" s="49" t="s">
        <v>306</v>
      </c>
      <c r="AT474" s="49" t="s">
        <v>2078</v>
      </c>
      <c r="AV474" s="49" t="s">
        <v>309</v>
      </c>
      <c r="AW474" s="49" t="s">
        <v>310</v>
      </c>
      <c r="AX474" s="49" t="s">
        <v>311</v>
      </c>
      <c r="AY474" s="48"/>
      <c r="AZ474" s="48" t="n">
        <v>46234</v>
      </c>
      <c r="BC474" s="49" t="s">
        <v>303</v>
      </c>
      <c r="BD474" s="48" t="n">
        <v>46244</v>
      </c>
      <c r="BE474" s="49" t="s">
        <v>2079</v>
      </c>
      <c r="BF474" s="49" t="s">
        <v>303</v>
      </c>
      <c r="BG474" s="48"/>
      <c r="BI474" s="48" t="n">
        <v>46244</v>
      </c>
      <c r="BJ474" s="48" t="n">
        <v>46247</v>
      </c>
      <c r="BK474" s="49" t="s">
        <v>312</v>
      </c>
      <c r="BL474" s="49" t="s">
        <v>313</v>
      </c>
      <c r="BM474" s="49" t="s">
        <v>310</v>
      </c>
      <c r="BN474" s="48"/>
      <c r="BO474" s="48"/>
      <c r="BP474" s="48"/>
      <c r="BQ474" s="49" t="s">
        <v>2046</v>
      </c>
      <c r="BR474" s="48" t="n">
        <v>46241</v>
      </c>
      <c r="BS474" s="49" t="s">
        <v>2080</v>
      </c>
      <c r="BT474" s="49" t="s">
        <v>312</v>
      </c>
      <c r="BU474" s="49" t="s">
        <v>312</v>
      </c>
      <c r="BV474" s="49" t="s">
        <v>303</v>
      </c>
      <c r="BX474" s="0" t="n">
        <v>1</v>
      </c>
      <c r="CC474" s="49" t="s">
        <v>315</v>
      </c>
      <c r="CD474" s="49" t="s">
        <v>303</v>
      </c>
      <c r="CF474" s="49" t="s">
        <v>303</v>
      </c>
      <c r="CG474" s="49" t="s">
        <v>316</v>
      </c>
      <c r="CH474" s="49" t="s">
        <v>317</v>
      </c>
      <c r="CI474" s="49" t="s">
        <v>318</v>
      </c>
      <c r="CM474" s="49" t="s">
        <v>54</v>
      </c>
      <c r="CV474" s="49" t="s">
        <v>303</v>
      </c>
      <c r="DB474" s="49" t="s">
        <v>319</v>
      </c>
      <c r="DD474" s="48" t="n">
        <v>46210</v>
      </c>
      <c r="DF474" s="49" t="s">
        <v>310</v>
      </c>
      <c r="DG474" s="49" t="s">
        <v>320</v>
      </c>
      <c r="DH474" s="49" t="s">
        <v>53</v>
      </c>
      <c r="DI474" s="49" t="s">
        <v>298</v>
      </c>
      <c r="DJ474" s="49" t="s">
        <v>355</v>
      </c>
      <c r="DK474" s="49" t="s">
        <v>322</v>
      </c>
      <c r="DL474" s="49" t="s">
        <v>323</v>
      </c>
      <c r="DM474" s="49" t="s">
        <v>303</v>
      </c>
      <c r="DN474" s="49" t="s">
        <v>297</v>
      </c>
      <c r="DO474" s="48"/>
      <c r="DP474" s="49" t="s">
        <v>312</v>
      </c>
      <c r="DQ474" s="48"/>
      <c r="DR474" s="49" t="s">
        <v>312</v>
      </c>
      <c r="DS474" s="49" t="s">
        <v>303</v>
      </c>
      <c r="DT474" s="49" t="s">
        <v>303</v>
      </c>
      <c r="DW474" s="49" t="s">
        <v>303</v>
      </c>
      <c r="EA474" s="49" t="s">
        <v>324</v>
      </c>
      <c r="EB474" s="49" t="s">
        <v>303</v>
      </c>
      <c r="EH474" s="49" t="s">
        <v>310</v>
      </c>
      <c r="EJ474" s="49" t="s">
        <v>303</v>
      </c>
      <c r="EK474" s="49" t="s">
        <v>2081</v>
      </c>
      <c r="EM474" s="49" t="s">
        <v>303</v>
      </c>
      <c r="EN474" s="49" t="s">
        <v>357</v>
      </c>
      <c r="EP474" s="49" t="s">
        <v>298</v>
      </c>
      <c r="EQ474" s="0" t="n">
        <v>1</v>
      </c>
      <c r="ER474" s="49" t="s">
        <v>328</v>
      </c>
      <c r="ES474" s="49" t="s">
        <v>358</v>
      </c>
      <c r="ET474" s="49" t="s">
        <v>310</v>
      </c>
      <c r="EU474" s="49" t="s">
        <v>310</v>
      </c>
      <c r="EV474" s="49" t="s">
        <v>310</v>
      </c>
      <c r="EX474" s="49" t="s">
        <v>303</v>
      </c>
      <c r="EY474" s="49" t="s">
        <v>303</v>
      </c>
      <c r="FC474" s="49" t="s">
        <v>330</v>
      </c>
      <c r="FD474" s="49" t="s">
        <v>310</v>
      </c>
      <c r="FE474" s="49" t="s">
        <v>310</v>
      </c>
      <c r="FF474" s="49" t="s">
        <v>53</v>
      </c>
      <c r="FG474" s="49" t="s">
        <v>359</v>
      </c>
      <c r="FH474" s="49" t="s">
        <v>310</v>
      </c>
      <c r="FI474" s="49" t="s">
        <v>332</v>
      </c>
      <c r="FJ474" s="49" t="s">
        <v>303</v>
      </c>
      <c r="FL474" s="49" t="s">
        <v>325</v>
      </c>
      <c r="FM474" s="49" t="s">
        <v>2076</v>
      </c>
      <c r="FP474" s="49" t="s">
        <v>303</v>
      </c>
      <c r="FR474" s="49" t="s">
        <v>303</v>
      </c>
      <c r="FT474" s="49" t="s">
        <v>325</v>
      </c>
      <c r="FU474" s="49" t="s">
        <v>325</v>
      </c>
      <c r="FW474" s="49" t="s">
        <v>333</v>
      </c>
    </row>
    <row r="475" customFormat="false" ht="15" hidden="false" customHeight="false" outlineLevel="0" collapsed="false">
      <c r="A475" s="0" t="n">
        <v>100873353</v>
      </c>
      <c r="B475" s="0" t="s">
        <v>295</v>
      </c>
      <c r="C475" s="0" t="s">
        <v>75</v>
      </c>
      <c r="D475" s="0" t="s">
        <v>492</v>
      </c>
      <c r="E475" s="0" t="s">
        <v>297</v>
      </c>
      <c r="G475" s="0" t="n">
        <v>1</v>
      </c>
      <c r="H475" s="0" t="s">
        <v>298</v>
      </c>
      <c r="I475" s="48" t="n">
        <v>46242</v>
      </c>
      <c r="J475" s="0" t="n">
        <v>1</v>
      </c>
      <c r="K475" s="49" t="s">
        <v>2076</v>
      </c>
      <c r="L475" s="49" t="s">
        <v>335</v>
      </c>
      <c r="M475" s="48" t="n">
        <v>46276</v>
      </c>
      <c r="N475" s="49" t="s">
        <v>2082</v>
      </c>
      <c r="O475" s="49" t="s">
        <v>1052</v>
      </c>
      <c r="P475" s="48"/>
      <c r="Q475" s="48" t="n">
        <v>46242</v>
      </c>
      <c r="R475" s="48" t="n">
        <v>46256</v>
      </c>
      <c r="T475" s="49" t="s">
        <v>302</v>
      </c>
      <c r="U475" s="49" t="s">
        <v>303</v>
      </c>
      <c r="Y475" s="49" t="s">
        <v>2083</v>
      </c>
      <c r="AD475" s="49" t="s">
        <v>305</v>
      </c>
      <c r="AE475" s="48" t="n">
        <v>46226</v>
      </c>
      <c r="AF475" s="49" t="s">
        <v>306</v>
      </c>
      <c r="AG475" s="49" t="s">
        <v>307</v>
      </c>
      <c r="AK475" s="49" t="s">
        <v>1047</v>
      </c>
      <c r="AL475" s="49" t="s">
        <v>297</v>
      </c>
      <c r="AO475" s="49" t="s">
        <v>303</v>
      </c>
      <c r="AP475" s="48"/>
      <c r="AR475" s="49" t="s">
        <v>303</v>
      </c>
      <c r="AS475" s="49" t="s">
        <v>306</v>
      </c>
      <c r="AT475" s="49" t="s">
        <v>2084</v>
      </c>
      <c r="AV475" s="49" t="s">
        <v>309</v>
      </c>
      <c r="AW475" s="49" t="s">
        <v>310</v>
      </c>
      <c r="AX475" s="49" t="s">
        <v>311</v>
      </c>
      <c r="AY475" s="48"/>
      <c r="AZ475" s="48" t="n">
        <v>46247</v>
      </c>
      <c r="BC475" s="49" t="s">
        <v>303</v>
      </c>
      <c r="BD475" s="48" t="n">
        <v>46290</v>
      </c>
      <c r="BE475" s="49" t="s">
        <v>2085</v>
      </c>
      <c r="BF475" s="49" t="s">
        <v>303</v>
      </c>
      <c r="BG475" s="48"/>
      <c r="BI475" s="48" t="n">
        <v>46290</v>
      </c>
      <c r="BJ475" s="48" t="n">
        <v>46254</v>
      </c>
      <c r="BK475" s="49" t="s">
        <v>312</v>
      </c>
      <c r="BL475" s="49" t="s">
        <v>313</v>
      </c>
      <c r="BM475" s="49" t="s">
        <v>310</v>
      </c>
      <c r="BN475" s="48"/>
      <c r="BO475" s="48"/>
      <c r="BP475" s="48"/>
      <c r="BQ475" s="49" t="s">
        <v>2086</v>
      </c>
      <c r="BR475" s="48" t="n">
        <v>46254</v>
      </c>
      <c r="BS475" s="49" t="s">
        <v>2087</v>
      </c>
      <c r="BT475" s="49" t="s">
        <v>312</v>
      </c>
      <c r="BU475" s="49" t="s">
        <v>313</v>
      </c>
      <c r="BV475" s="49" t="s">
        <v>303</v>
      </c>
      <c r="BX475" s="0" t="n">
        <v>1</v>
      </c>
      <c r="CC475" s="49" t="s">
        <v>315</v>
      </c>
      <c r="CD475" s="49" t="s">
        <v>303</v>
      </c>
      <c r="CF475" s="49" t="s">
        <v>303</v>
      </c>
      <c r="CG475" s="49" t="s">
        <v>316</v>
      </c>
      <c r="CH475" s="49" t="s">
        <v>317</v>
      </c>
      <c r="CI475" s="49" t="s">
        <v>318</v>
      </c>
      <c r="CM475" s="49" t="s">
        <v>492</v>
      </c>
      <c r="CV475" s="49" t="s">
        <v>303</v>
      </c>
      <c r="DB475" s="49" t="s">
        <v>319</v>
      </c>
      <c r="DD475" s="48" t="n">
        <v>46226</v>
      </c>
      <c r="DF475" s="49" t="s">
        <v>310</v>
      </c>
      <c r="DG475" s="49" t="s">
        <v>320</v>
      </c>
      <c r="DH475" s="49" t="s">
        <v>75</v>
      </c>
      <c r="DI475" s="49" t="s">
        <v>298</v>
      </c>
      <c r="DJ475" s="49" t="s">
        <v>495</v>
      </c>
      <c r="DK475" s="49" t="s">
        <v>322</v>
      </c>
      <c r="DL475" s="49" t="s">
        <v>323</v>
      </c>
      <c r="DM475" s="49" t="s">
        <v>303</v>
      </c>
      <c r="DN475" s="49" t="s">
        <v>297</v>
      </c>
      <c r="DO475" s="48"/>
      <c r="DP475" s="49" t="s">
        <v>312</v>
      </c>
      <c r="DQ475" s="48"/>
      <c r="DR475" s="49" t="s">
        <v>312</v>
      </c>
      <c r="DS475" s="49" t="s">
        <v>303</v>
      </c>
      <c r="DT475" s="49" t="s">
        <v>303</v>
      </c>
      <c r="DW475" s="49" t="s">
        <v>303</v>
      </c>
      <c r="EA475" s="49" t="s">
        <v>324</v>
      </c>
      <c r="EB475" s="49" t="s">
        <v>303</v>
      </c>
      <c r="EH475" s="49" t="s">
        <v>310</v>
      </c>
      <c r="EJ475" s="49" t="s">
        <v>303</v>
      </c>
      <c r="EK475" s="49" t="s">
        <v>2088</v>
      </c>
      <c r="EM475" s="49" t="s">
        <v>303</v>
      </c>
      <c r="EN475" s="49" t="s">
        <v>497</v>
      </c>
      <c r="EP475" s="49" t="s">
        <v>298</v>
      </c>
      <c r="EQ475" s="0" t="n">
        <v>1</v>
      </c>
      <c r="ER475" s="49" t="s">
        <v>328</v>
      </c>
      <c r="ES475" s="49" t="s">
        <v>329</v>
      </c>
      <c r="ET475" s="49" t="s">
        <v>310</v>
      </c>
      <c r="EU475" s="49" t="s">
        <v>310</v>
      </c>
      <c r="EV475" s="49" t="s">
        <v>310</v>
      </c>
      <c r="EX475" s="49" t="s">
        <v>303</v>
      </c>
      <c r="EY475" s="49" t="s">
        <v>303</v>
      </c>
      <c r="FC475" s="49" t="s">
        <v>330</v>
      </c>
      <c r="FD475" s="49" t="s">
        <v>310</v>
      </c>
      <c r="FE475" s="49" t="s">
        <v>310</v>
      </c>
      <c r="FF475" s="49" t="s">
        <v>75</v>
      </c>
      <c r="FG475" s="49" t="s">
        <v>498</v>
      </c>
      <c r="FH475" s="49" t="s">
        <v>310</v>
      </c>
      <c r="FI475" s="49" t="s">
        <v>332</v>
      </c>
      <c r="FJ475" s="49" t="s">
        <v>303</v>
      </c>
      <c r="FL475" s="49" t="s">
        <v>325</v>
      </c>
      <c r="FM475" s="49" t="s">
        <v>1275</v>
      </c>
      <c r="FP475" s="49" t="s">
        <v>303</v>
      </c>
      <c r="FR475" s="49" t="s">
        <v>303</v>
      </c>
      <c r="FT475" s="49" t="s">
        <v>325</v>
      </c>
      <c r="FU475" s="49" t="s">
        <v>325</v>
      </c>
      <c r="FW475" s="49" t="s">
        <v>333</v>
      </c>
      <c r="FX475" s="49" t="s">
        <v>499</v>
      </c>
    </row>
    <row r="476" customFormat="false" ht="15" hidden="false" customHeight="false" outlineLevel="0" collapsed="false">
      <c r="A476" s="0" t="n">
        <v>100873354</v>
      </c>
      <c r="B476" s="0" t="s">
        <v>295</v>
      </c>
      <c r="C476" s="0" t="s">
        <v>77</v>
      </c>
      <c r="D476" s="0" t="s">
        <v>500</v>
      </c>
      <c r="E476" s="0" t="s">
        <v>297</v>
      </c>
      <c r="G476" s="0" t="n">
        <v>1</v>
      </c>
      <c r="H476" s="0" t="s">
        <v>298</v>
      </c>
      <c r="I476" s="48" t="n">
        <v>46242</v>
      </c>
      <c r="J476" s="0" t="n">
        <v>1</v>
      </c>
      <c r="K476" s="49" t="s">
        <v>2076</v>
      </c>
      <c r="L476" s="49" t="s">
        <v>335</v>
      </c>
      <c r="M476" s="48" t="n">
        <v>46270</v>
      </c>
      <c r="N476" s="49" t="s">
        <v>2089</v>
      </c>
      <c r="O476" s="49" t="s">
        <v>1052</v>
      </c>
      <c r="P476" s="48"/>
      <c r="Q476" s="48" t="n">
        <v>46242</v>
      </c>
      <c r="R476" s="48" t="n">
        <v>46256</v>
      </c>
      <c r="T476" s="49" t="s">
        <v>302</v>
      </c>
      <c r="U476" s="49" t="s">
        <v>303</v>
      </c>
      <c r="Y476" s="49" t="s">
        <v>2090</v>
      </c>
      <c r="AD476" s="49" t="s">
        <v>305</v>
      </c>
      <c r="AE476" s="48" t="n">
        <v>46226</v>
      </c>
      <c r="AF476" s="49" t="s">
        <v>306</v>
      </c>
      <c r="AG476" s="49" t="s">
        <v>307</v>
      </c>
      <c r="AK476" s="49" t="s">
        <v>1047</v>
      </c>
      <c r="AL476" s="49" t="s">
        <v>297</v>
      </c>
      <c r="AO476" s="49" t="s">
        <v>303</v>
      </c>
      <c r="AP476" s="48"/>
      <c r="AR476" s="49" t="s">
        <v>303</v>
      </c>
      <c r="AS476" s="49" t="s">
        <v>306</v>
      </c>
      <c r="AT476" s="49" t="s">
        <v>2091</v>
      </c>
      <c r="AV476" s="49" t="s">
        <v>309</v>
      </c>
      <c r="AW476" s="49" t="s">
        <v>310</v>
      </c>
      <c r="AX476" s="49" t="s">
        <v>311</v>
      </c>
      <c r="AY476" s="48"/>
      <c r="AZ476" s="48" t="n">
        <v>46247</v>
      </c>
      <c r="BC476" s="49" t="s">
        <v>303</v>
      </c>
      <c r="BD476" s="48" t="n">
        <v>46271</v>
      </c>
      <c r="BE476" s="49" t="s">
        <v>2092</v>
      </c>
      <c r="BF476" s="49" t="s">
        <v>303</v>
      </c>
      <c r="BG476" s="48"/>
      <c r="BI476" s="48" t="n">
        <v>46271</v>
      </c>
      <c r="BJ476" s="48" t="n">
        <v>46254</v>
      </c>
      <c r="BK476" s="49" t="s">
        <v>312</v>
      </c>
      <c r="BL476" s="49" t="s">
        <v>313</v>
      </c>
      <c r="BM476" s="49" t="s">
        <v>310</v>
      </c>
      <c r="BN476" s="48"/>
      <c r="BO476" s="48"/>
      <c r="BP476" s="48"/>
      <c r="BQ476" s="49" t="s">
        <v>1813</v>
      </c>
      <c r="BR476" s="48" t="n">
        <v>46254</v>
      </c>
      <c r="BS476" s="49" t="s">
        <v>2093</v>
      </c>
      <c r="BT476" s="49" t="s">
        <v>312</v>
      </c>
      <c r="BU476" s="49" t="s">
        <v>313</v>
      </c>
      <c r="BV476" s="49" t="s">
        <v>303</v>
      </c>
      <c r="BX476" s="0" t="n">
        <v>1</v>
      </c>
      <c r="CC476" s="49" t="s">
        <v>315</v>
      </c>
      <c r="CD476" s="49" t="s">
        <v>303</v>
      </c>
      <c r="CF476" s="49" t="s">
        <v>303</v>
      </c>
      <c r="CG476" s="49" t="s">
        <v>316</v>
      </c>
      <c r="CH476" s="49" t="s">
        <v>317</v>
      </c>
      <c r="CI476" s="49" t="s">
        <v>318</v>
      </c>
      <c r="CM476" s="49" t="s">
        <v>500</v>
      </c>
      <c r="CV476" s="49" t="s">
        <v>303</v>
      </c>
      <c r="DB476" s="49" t="s">
        <v>319</v>
      </c>
      <c r="DD476" s="48" t="n">
        <v>46226</v>
      </c>
      <c r="DF476" s="49" t="s">
        <v>310</v>
      </c>
      <c r="DG476" s="49" t="s">
        <v>320</v>
      </c>
      <c r="DH476" s="49" t="s">
        <v>77</v>
      </c>
      <c r="DI476" s="49" t="s">
        <v>298</v>
      </c>
      <c r="DJ476" s="49" t="s">
        <v>495</v>
      </c>
      <c r="DK476" s="49" t="s">
        <v>322</v>
      </c>
      <c r="DL476" s="49" t="s">
        <v>323</v>
      </c>
      <c r="DM476" s="49" t="s">
        <v>303</v>
      </c>
      <c r="DN476" s="49" t="s">
        <v>297</v>
      </c>
      <c r="DO476" s="48"/>
      <c r="DP476" s="49" t="s">
        <v>312</v>
      </c>
      <c r="DQ476" s="48"/>
      <c r="DR476" s="49" t="s">
        <v>312</v>
      </c>
      <c r="DS476" s="49" t="s">
        <v>303</v>
      </c>
      <c r="DT476" s="49" t="s">
        <v>303</v>
      </c>
      <c r="DW476" s="49" t="s">
        <v>303</v>
      </c>
      <c r="EA476" s="49" t="s">
        <v>324</v>
      </c>
      <c r="EB476" s="49" t="s">
        <v>303</v>
      </c>
      <c r="EH476" s="49" t="s">
        <v>310</v>
      </c>
      <c r="EJ476" s="49" t="s">
        <v>303</v>
      </c>
      <c r="EK476" s="49" t="s">
        <v>2094</v>
      </c>
      <c r="EM476" s="49" t="s">
        <v>303</v>
      </c>
      <c r="EN476" s="49" t="s">
        <v>504</v>
      </c>
      <c r="EP476" s="49" t="s">
        <v>298</v>
      </c>
      <c r="EQ476" s="0" t="n">
        <v>1</v>
      </c>
      <c r="ER476" s="49" t="s">
        <v>328</v>
      </c>
      <c r="ES476" s="49" t="s">
        <v>329</v>
      </c>
      <c r="ET476" s="49" t="s">
        <v>310</v>
      </c>
      <c r="EU476" s="49" t="s">
        <v>310</v>
      </c>
      <c r="EV476" s="49" t="s">
        <v>310</v>
      </c>
      <c r="EX476" s="49" t="s">
        <v>303</v>
      </c>
      <c r="EY476" s="49" t="s">
        <v>303</v>
      </c>
      <c r="FC476" s="49" t="s">
        <v>330</v>
      </c>
      <c r="FD476" s="49" t="s">
        <v>310</v>
      </c>
      <c r="FE476" s="49" t="s">
        <v>310</v>
      </c>
      <c r="FF476" s="49" t="s">
        <v>77</v>
      </c>
      <c r="FG476" s="49" t="s">
        <v>505</v>
      </c>
      <c r="FH476" s="49" t="s">
        <v>310</v>
      </c>
      <c r="FI476" s="49" t="s">
        <v>332</v>
      </c>
      <c r="FJ476" s="49" t="s">
        <v>303</v>
      </c>
      <c r="FL476" s="49" t="s">
        <v>325</v>
      </c>
      <c r="FM476" s="49" t="s">
        <v>1491</v>
      </c>
      <c r="FP476" s="49" t="s">
        <v>303</v>
      </c>
      <c r="FR476" s="49" t="s">
        <v>303</v>
      </c>
      <c r="FT476" s="49" t="s">
        <v>325</v>
      </c>
      <c r="FU476" s="49" t="s">
        <v>325</v>
      </c>
      <c r="FW476" s="49" t="s">
        <v>333</v>
      </c>
      <c r="FX476" s="49" t="s">
        <v>499</v>
      </c>
    </row>
    <row r="477" customFormat="false" ht="15" hidden="false" customHeight="false" outlineLevel="0" collapsed="false">
      <c r="A477" s="0" t="n">
        <v>100873355</v>
      </c>
      <c r="B477" s="0" t="s">
        <v>295</v>
      </c>
      <c r="C477" s="0" t="s">
        <v>79</v>
      </c>
      <c r="D477" s="0" t="s">
        <v>506</v>
      </c>
      <c r="E477" s="0" t="s">
        <v>297</v>
      </c>
      <c r="G477" s="0" t="n">
        <v>1</v>
      </c>
      <c r="H477" s="0" t="s">
        <v>298</v>
      </c>
      <c r="I477" s="48" t="n">
        <v>46242</v>
      </c>
      <c r="J477" s="0" t="n">
        <v>1</v>
      </c>
      <c r="K477" s="49" t="s">
        <v>2076</v>
      </c>
      <c r="L477" s="49" t="s">
        <v>335</v>
      </c>
      <c r="M477" s="48" t="n">
        <v>46274</v>
      </c>
      <c r="N477" s="49" t="s">
        <v>2082</v>
      </c>
      <c r="O477" s="49" t="s">
        <v>1052</v>
      </c>
      <c r="P477" s="48"/>
      <c r="Q477" s="48" t="n">
        <v>46242</v>
      </c>
      <c r="R477" s="48" t="n">
        <v>46256</v>
      </c>
      <c r="T477" s="49" t="s">
        <v>302</v>
      </c>
      <c r="U477" s="49" t="s">
        <v>303</v>
      </c>
      <c r="Y477" s="49" t="s">
        <v>2095</v>
      </c>
      <c r="AD477" s="49" t="s">
        <v>305</v>
      </c>
      <c r="AE477" s="48" t="n">
        <v>46226</v>
      </c>
      <c r="AF477" s="49" t="s">
        <v>306</v>
      </c>
      <c r="AG477" s="49" t="s">
        <v>307</v>
      </c>
      <c r="AK477" s="49" t="s">
        <v>1047</v>
      </c>
      <c r="AL477" s="49" t="s">
        <v>297</v>
      </c>
      <c r="AO477" s="49" t="s">
        <v>303</v>
      </c>
      <c r="AP477" s="48"/>
      <c r="AR477" s="49" t="s">
        <v>303</v>
      </c>
      <c r="AS477" s="49" t="s">
        <v>306</v>
      </c>
      <c r="AT477" s="49" t="s">
        <v>2096</v>
      </c>
      <c r="AV477" s="49" t="s">
        <v>309</v>
      </c>
      <c r="AW477" s="49" t="s">
        <v>310</v>
      </c>
      <c r="AX477" s="49" t="s">
        <v>311</v>
      </c>
      <c r="AY477" s="48"/>
      <c r="AZ477" s="48" t="n">
        <v>46247</v>
      </c>
      <c r="BC477" s="49" t="s">
        <v>303</v>
      </c>
      <c r="BD477" s="48" t="n">
        <v>46277</v>
      </c>
      <c r="BE477" s="49" t="s">
        <v>2097</v>
      </c>
      <c r="BF477" s="49" t="s">
        <v>303</v>
      </c>
      <c r="BG477" s="48"/>
      <c r="BI477" s="48" t="n">
        <v>46277</v>
      </c>
      <c r="BJ477" s="48" t="n">
        <v>46254</v>
      </c>
      <c r="BK477" s="49" t="s">
        <v>312</v>
      </c>
      <c r="BL477" s="49" t="s">
        <v>313</v>
      </c>
      <c r="BM477" s="49" t="s">
        <v>310</v>
      </c>
      <c r="BN477" s="48"/>
      <c r="BO477" s="48"/>
      <c r="BP477" s="48"/>
      <c r="BQ477" s="49" t="s">
        <v>1672</v>
      </c>
      <c r="BR477" s="48" t="n">
        <v>46254</v>
      </c>
      <c r="BS477" s="49" t="s">
        <v>2098</v>
      </c>
      <c r="BT477" s="49" t="s">
        <v>312</v>
      </c>
      <c r="BU477" s="49" t="s">
        <v>313</v>
      </c>
      <c r="BV477" s="49" t="s">
        <v>303</v>
      </c>
      <c r="BX477" s="0" t="n">
        <v>1</v>
      </c>
      <c r="CC477" s="49" t="s">
        <v>315</v>
      </c>
      <c r="CD477" s="49" t="s">
        <v>303</v>
      </c>
      <c r="CF477" s="49" t="s">
        <v>303</v>
      </c>
      <c r="CG477" s="49" t="s">
        <v>316</v>
      </c>
      <c r="CH477" s="49" t="s">
        <v>317</v>
      </c>
      <c r="CI477" s="49" t="s">
        <v>318</v>
      </c>
      <c r="CM477" s="49" t="s">
        <v>506</v>
      </c>
      <c r="CV477" s="49" t="s">
        <v>303</v>
      </c>
      <c r="DB477" s="49" t="s">
        <v>319</v>
      </c>
      <c r="DD477" s="48" t="n">
        <v>46226</v>
      </c>
      <c r="DF477" s="49" t="s">
        <v>310</v>
      </c>
      <c r="DG477" s="49" t="s">
        <v>320</v>
      </c>
      <c r="DH477" s="49" t="s">
        <v>79</v>
      </c>
      <c r="DI477" s="49" t="s">
        <v>298</v>
      </c>
      <c r="DJ477" s="49" t="s">
        <v>495</v>
      </c>
      <c r="DK477" s="49" t="s">
        <v>322</v>
      </c>
      <c r="DL477" s="49" t="s">
        <v>323</v>
      </c>
      <c r="DM477" s="49" t="s">
        <v>303</v>
      </c>
      <c r="DN477" s="49" t="s">
        <v>297</v>
      </c>
      <c r="DO477" s="48"/>
      <c r="DP477" s="49" t="s">
        <v>312</v>
      </c>
      <c r="DQ477" s="48"/>
      <c r="DR477" s="49" t="s">
        <v>312</v>
      </c>
      <c r="DS477" s="49" t="s">
        <v>303</v>
      </c>
      <c r="DT477" s="49" t="s">
        <v>303</v>
      </c>
      <c r="DW477" s="49" t="s">
        <v>303</v>
      </c>
      <c r="EA477" s="49" t="s">
        <v>324</v>
      </c>
      <c r="EB477" s="49" t="s">
        <v>303</v>
      </c>
      <c r="EH477" s="49" t="s">
        <v>310</v>
      </c>
      <c r="EJ477" s="49" t="s">
        <v>303</v>
      </c>
      <c r="EK477" s="49" t="s">
        <v>2099</v>
      </c>
      <c r="EM477" s="49" t="s">
        <v>303</v>
      </c>
      <c r="EN477" s="49" t="s">
        <v>510</v>
      </c>
      <c r="EP477" s="49" t="s">
        <v>298</v>
      </c>
      <c r="EQ477" s="0" t="n">
        <v>1</v>
      </c>
      <c r="ER477" s="49" t="s">
        <v>328</v>
      </c>
      <c r="ES477" s="49" t="s">
        <v>329</v>
      </c>
      <c r="ET477" s="49" t="s">
        <v>310</v>
      </c>
      <c r="EU477" s="49" t="s">
        <v>310</v>
      </c>
      <c r="EV477" s="49" t="s">
        <v>310</v>
      </c>
      <c r="EX477" s="49" t="s">
        <v>303</v>
      </c>
      <c r="EY477" s="49" t="s">
        <v>303</v>
      </c>
      <c r="FC477" s="49" t="s">
        <v>330</v>
      </c>
      <c r="FD477" s="49" t="s">
        <v>310</v>
      </c>
      <c r="FE477" s="49" t="s">
        <v>310</v>
      </c>
      <c r="FF477" s="49" t="s">
        <v>79</v>
      </c>
      <c r="FG477" s="49" t="s">
        <v>511</v>
      </c>
      <c r="FH477" s="49" t="s">
        <v>310</v>
      </c>
      <c r="FI477" s="49" t="s">
        <v>332</v>
      </c>
      <c r="FJ477" s="49" t="s">
        <v>303</v>
      </c>
      <c r="FL477" s="49" t="s">
        <v>325</v>
      </c>
      <c r="FM477" s="49" t="s">
        <v>1327</v>
      </c>
      <c r="FP477" s="49" t="s">
        <v>303</v>
      </c>
      <c r="FR477" s="49" t="s">
        <v>303</v>
      </c>
      <c r="FT477" s="49" t="s">
        <v>325</v>
      </c>
      <c r="FU477" s="49" t="s">
        <v>325</v>
      </c>
      <c r="FW477" s="49" t="s">
        <v>333</v>
      </c>
      <c r="FX477" s="49" t="s">
        <v>499</v>
      </c>
    </row>
    <row r="478" customFormat="false" ht="15" hidden="false" customHeight="false" outlineLevel="0" collapsed="false">
      <c r="A478" s="0" t="n">
        <v>100873300</v>
      </c>
      <c r="B478" s="0" t="s">
        <v>295</v>
      </c>
      <c r="C478" s="0" t="s">
        <v>66</v>
      </c>
      <c r="D478" s="0" t="s">
        <v>296</v>
      </c>
      <c r="E478" s="0" t="s">
        <v>297</v>
      </c>
      <c r="G478" s="0" t="n">
        <v>1</v>
      </c>
      <c r="H478" s="0" t="s">
        <v>298</v>
      </c>
      <c r="I478" s="48" t="n">
        <v>46241</v>
      </c>
      <c r="J478" s="0" t="n">
        <v>1</v>
      </c>
      <c r="K478" s="49" t="s">
        <v>2100</v>
      </c>
      <c r="L478" s="49" t="s">
        <v>1035</v>
      </c>
      <c r="M478" s="48" t="n">
        <v>46241</v>
      </c>
      <c r="N478" s="49" t="s">
        <v>1035</v>
      </c>
      <c r="O478" s="49" t="s">
        <v>1052</v>
      </c>
      <c r="P478" s="48"/>
      <c r="Q478" s="48" t="n">
        <v>46241</v>
      </c>
      <c r="R478" s="48" t="n">
        <v>46248</v>
      </c>
      <c r="T478" s="49" t="s">
        <v>302</v>
      </c>
      <c r="U478" s="49" t="s">
        <v>303</v>
      </c>
      <c r="Y478" s="49" t="s">
        <v>2101</v>
      </c>
      <c r="AD478" s="49" t="s">
        <v>305</v>
      </c>
      <c r="AE478" s="48" t="n">
        <v>46219</v>
      </c>
      <c r="AF478" s="49" t="s">
        <v>306</v>
      </c>
      <c r="AG478" s="49" t="s">
        <v>307</v>
      </c>
      <c r="AK478" s="49" t="s">
        <v>1047</v>
      </c>
      <c r="AL478" s="49" t="s">
        <v>297</v>
      </c>
      <c r="AO478" s="49" t="s">
        <v>303</v>
      </c>
      <c r="AP478" s="48"/>
      <c r="AR478" s="49" t="s">
        <v>303</v>
      </c>
      <c r="AS478" s="49" t="s">
        <v>306</v>
      </c>
      <c r="AT478" s="49" t="s">
        <v>2102</v>
      </c>
      <c r="AV478" s="49" t="s">
        <v>309</v>
      </c>
      <c r="AW478" s="49" t="s">
        <v>310</v>
      </c>
      <c r="AX478" s="49" t="s">
        <v>311</v>
      </c>
      <c r="AY478" s="48"/>
      <c r="AZ478" s="48" t="n">
        <v>46239</v>
      </c>
      <c r="BC478" s="49" t="s">
        <v>303</v>
      </c>
      <c r="BD478" s="48" t="n">
        <v>46269</v>
      </c>
      <c r="BE478" s="49" t="s">
        <v>2103</v>
      </c>
      <c r="BF478" s="49" t="s">
        <v>303</v>
      </c>
      <c r="BG478" s="48"/>
      <c r="BI478" s="48" t="n">
        <v>46270</v>
      </c>
      <c r="BJ478" s="48" t="n">
        <v>46246</v>
      </c>
      <c r="BK478" s="49" t="s">
        <v>312</v>
      </c>
      <c r="BL478" s="49" t="s">
        <v>313</v>
      </c>
      <c r="BM478" s="49" t="s">
        <v>310</v>
      </c>
      <c r="BN478" s="48"/>
      <c r="BO478" s="48"/>
      <c r="BP478" s="48"/>
      <c r="BQ478" s="49" t="s">
        <v>1564</v>
      </c>
      <c r="BR478" s="48" t="n">
        <v>46246</v>
      </c>
      <c r="BS478" s="49" t="s">
        <v>2104</v>
      </c>
      <c r="BT478" s="49" t="s">
        <v>312</v>
      </c>
      <c r="BU478" s="49" t="s">
        <v>313</v>
      </c>
      <c r="BV478" s="49" t="s">
        <v>303</v>
      </c>
      <c r="BX478" s="0" t="n">
        <v>1</v>
      </c>
      <c r="CC478" s="49" t="s">
        <v>315</v>
      </c>
      <c r="CD478" s="49" t="s">
        <v>303</v>
      </c>
      <c r="CF478" s="49" t="s">
        <v>303</v>
      </c>
      <c r="CG478" s="49" t="s">
        <v>316</v>
      </c>
      <c r="CH478" s="49" t="s">
        <v>317</v>
      </c>
      <c r="CI478" s="49" t="s">
        <v>318</v>
      </c>
      <c r="CM478" s="49" t="s">
        <v>296</v>
      </c>
      <c r="CV478" s="49" t="s">
        <v>303</v>
      </c>
      <c r="DB478" s="49" t="s">
        <v>319</v>
      </c>
      <c r="DD478" s="48" t="n">
        <v>46219</v>
      </c>
      <c r="DF478" s="49" t="s">
        <v>310</v>
      </c>
      <c r="DG478" s="49" t="s">
        <v>320</v>
      </c>
      <c r="DH478" s="49" t="s">
        <v>66</v>
      </c>
      <c r="DI478" s="49" t="s">
        <v>298</v>
      </c>
      <c r="DJ478" s="49" t="s">
        <v>321</v>
      </c>
      <c r="DK478" s="49" t="s">
        <v>322</v>
      </c>
      <c r="DL478" s="49" t="s">
        <v>323</v>
      </c>
      <c r="DM478" s="49" t="s">
        <v>303</v>
      </c>
      <c r="DN478" s="49" t="s">
        <v>297</v>
      </c>
      <c r="DO478" s="48"/>
      <c r="DP478" s="49" t="s">
        <v>312</v>
      </c>
      <c r="DQ478" s="48"/>
      <c r="DR478" s="49" t="s">
        <v>312</v>
      </c>
      <c r="DS478" s="49" t="s">
        <v>303</v>
      </c>
      <c r="DT478" s="49" t="s">
        <v>303</v>
      </c>
      <c r="DW478" s="49" t="s">
        <v>303</v>
      </c>
      <c r="EA478" s="49" t="s">
        <v>324</v>
      </c>
      <c r="EB478" s="49" t="s">
        <v>303</v>
      </c>
      <c r="EH478" s="49" t="s">
        <v>310</v>
      </c>
      <c r="EJ478" s="49" t="s">
        <v>303</v>
      </c>
      <c r="EK478" s="49" t="s">
        <v>2105</v>
      </c>
      <c r="EM478" s="49" t="s">
        <v>303</v>
      </c>
      <c r="EN478" s="49" t="s">
        <v>327</v>
      </c>
      <c r="EP478" s="49" t="s">
        <v>298</v>
      </c>
      <c r="EQ478" s="0" t="n">
        <v>1</v>
      </c>
      <c r="ER478" s="49" t="s">
        <v>328</v>
      </c>
      <c r="ES478" s="49" t="s">
        <v>329</v>
      </c>
      <c r="ET478" s="49" t="s">
        <v>310</v>
      </c>
      <c r="EU478" s="49" t="s">
        <v>310</v>
      </c>
      <c r="EV478" s="49" t="s">
        <v>310</v>
      </c>
      <c r="EX478" s="49" t="s">
        <v>303</v>
      </c>
      <c r="EY478" s="49" t="s">
        <v>303</v>
      </c>
      <c r="FC478" s="49" t="s">
        <v>330</v>
      </c>
      <c r="FD478" s="49" t="s">
        <v>310</v>
      </c>
      <c r="FE478" s="49" t="s">
        <v>310</v>
      </c>
      <c r="FF478" s="49" t="s">
        <v>66</v>
      </c>
      <c r="FG478" s="49" t="s">
        <v>331</v>
      </c>
      <c r="FH478" s="49" t="s">
        <v>310</v>
      </c>
      <c r="FI478" s="49" t="s">
        <v>332</v>
      </c>
      <c r="FJ478" s="49" t="s">
        <v>303</v>
      </c>
      <c r="FL478" s="49" t="s">
        <v>325</v>
      </c>
      <c r="FM478" s="49" t="s">
        <v>2100</v>
      </c>
      <c r="FP478" s="49" t="s">
        <v>303</v>
      </c>
      <c r="FR478" s="49" t="s">
        <v>303</v>
      </c>
      <c r="FT478" s="49" t="s">
        <v>325</v>
      </c>
      <c r="FU478" s="49" t="s">
        <v>325</v>
      </c>
      <c r="FW478" s="49" t="s">
        <v>333</v>
      </c>
    </row>
    <row r="479" customFormat="false" ht="15" hidden="false" customHeight="false" outlineLevel="0" collapsed="false">
      <c r="A479" s="0" t="n">
        <v>100873301</v>
      </c>
      <c r="B479" s="0" t="s">
        <v>295</v>
      </c>
      <c r="C479" s="0" t="s">
        <v>66</v>
      </c>
      <c r="D479" s="0" t="s">
        <v>296</v>
      </c>
      <c r="E479" s="0" t="s">
        <v>297</v>
      </c>
      <c r="G479" s="0" t="n">
        <v>1</v>
      </c>
      <c r="H479" s="0" t="s">
        <v>298</v>
      </c>
      <c r="I479" s="48" t="n">
        <v>46241</v>
      </c>
      <c r="J479" s="0" t="n">
        <v>1</v>
      </c>
      <c r="K479" s="49" t="s">
        <v>2100</v>
      </c>
      <c r="L479" s="49" t="s">
        <v>1035</v>
      </c>
      <c r="M479" s="48"/>
      <c r="O479" s="49" t="s">
        <v>1045</v>
      </c>
      <c r="P479" s="48"/>
      <c r="Q479" s="48" t="n">
        <v>46241</v>
      </c>
      <c r="R479" s="48" t="n">
        <v>46247</v>
      </c>
      <c r="T479" s="49" t="s">
        <v>302</v>
      </c>
      <c r="U479" s="49" t="s">
        <v>303</v>
      </c>
      <c r="Y479" s="49" t="s">
        <v>312</v>
      </c>
      <c r="AD479" s="49" t="s">
        <v>305</v>
      </c>
      <c r="AE479" s="48" t="n">
        <v>46219</v>
      </c>
      <c r="AF479" s="49" t="s">
        <v>306</v>
      </c>
      <c r="AG479" s="49" t="s">
        <v>307</v>
      </c>
      <c r="AK479" s="49" t="s">
        <v>1047</v>
      </c>
      <c r="AL479" s="49" t="s">
        <v>297</v>
      </c>
      <c r="AO479" s="49" t="s">
        <v>303</v>
      </c>
      <c r="AP479" s="48"/>
      <c r="AR479" s="49" t="s">
        <v>303</v>
      </c>
      <c r="AS479" s="49" t="s">
        <v>306</v>
      </c>
      <c r="AT479" s="49" t="s">
        <v>2106</v>
      </c>
      <c r="AV479" s="49" t="s">
        <v>309</v>
      </c>
      <c r="AW479" s="49" t="s">
        <v>310</v>
      </c>
      <c r="AX479" s="49" t="s">
        <v>311</v>
      </c>
      <c r="AY479" s="48"/>
      <c r="AZ479" s="48" t="n">
        <v>46239</v>
      </c>
      <c r="BC479" s="49" t="s">
        <v>303</v>
      </c>
      <c r="BD479" s="48" t="n">
        <v>46263</v>
      </c>
      <c r="BE479" s="49" t="s">
        <v>2107</v>
      </c>
      <c r="BF479" s="49" t="s">
        <v>303</v>
      </c>
      <c r="BG479" s="48"/>
      <c r="BI479" s="48" t="n">
        <v>46264</v>
      </c>
      <c r="BJ479" s="48" t="n">
        <v>46246</v>
      </c>
      <c r="BK479" s="49" t="s">
        <v>313</v>
      </c>
      <c r="BL479" s="49" t="s">
        <v>313</v>
      </c>
      <c r="BM479" s="49" t="s">
        <v>310</v>
      </c>
      <c r="BN479" s="48"/>
      <c r="BO479" s="48"/>
      <c r="BP479" s="48"/>
      <c r="BQ479" s="49" t="s">
        <v>2086</v>
      </c>
      <c r="BR479" s="48" t="n">
        <v>46246</v>
      </c>
      <c r="BS479" s="49" t="s">
        <v>2108</v>
      </c>
      <c r="BT479" s="49" t="s">
        <v>312</v>
      </c>
      <c r="BU479" s="49" t="s">
        <v>313</v>
      </c>
      <c r="BV479" s="49" t="s">
        <v>303</v>
      </c>
      <c r="BX479" s="0" t="n">
        <v>1</v>
      </c>
      <c r="CC479" s="49" t="s">
        <v>315</v>
      </c>
      <c r="CD479" s="49" t="s">
        <v>303</v>
      </c>
      <c r="CF479" s="49" t="s">
        <v>303</v>
      </c>
      <c r="CG479" s="49" t="s">
        <v>316</v>
      </c>
      <c r="CH479" s="49" t="s">
        <v>317</v>
      </c>
      <c r="CI479" s="49" t="s">
        <v>318</v>
      </c>
      <c r="CM479" s="49" t="s">
        <v>296</v>
      </c>
      <c r="CV479" s="49" t="s">
        <v>303</v>
      </c>
      <c r="DB479" s="49" t="s">
        <v>319</v>
      </c>
      <c r="DD479" s="48" t="n">
        <v>46219</v>
      </c>
      <c r="DF479" s="49" t="s">
        <v>310</v>
      </c>
      <c r="DG479" s="49" t="s">
        <v>320</v>
      </c>
      <c r="DH479" s="49" t="s">
        <v>66</v>
      </c>
      <c r="DI479" s="49" t="s">
        <v>298</v>
      </c>
      <c r="DJ479" s="49" t="s">
        <v>321</v>
      </c>
      <c r="DK479" s="49" t="s">
        <v>322</v>
      </c>
      <c r="DL479" s="49" t="s">
        <v>323</v>
      </c>
      <c r="DM479" s="49" t="s">
        <v>303</v>
      </c>
      <c r="DN479" s="49" t="s">
        <v>297</v>
      </c>
      <c r="DO479" s="48"/>
      <c r="DP479" s="49" t="s">
        <v>312</v>
      </c>
      <c r="DQ479" s="48"/>
      <c r="DR479" s="49" t="s">
        <v>312</v>
      </c>
      <c r="DS479" s="49" t="s">
        <v>303</v>
      </c>
      <c r="DT479" s="49" t="s">
        <v>303</v>
      </c>
      <c r="DW479" s="49" t="s">
        <v>303</v>
      </c>
      <c r="EA479" s="49" t="s">
        <v>324</v>
      </c>
      <c r="EB479" s="49" t="s">
        <v>303</v>
      </c>
      <c r="EF479" s="49" t="s">
        <v>2109</v>
      </c>
      <c r="EH479" s="49" t="s">
        <v>310</v>
      </c>
      <c r="EJ479" s="49" t="s">
        <v>303</v>
      </c>
      <c r="EK479" s="49" t="s">
        <v>2110</v>
      </c>
      <c r="EM479" s="49" t="s">
        <v>303</v>
      </c>
      <c r="EN479" s="49" t="s">
        <v>327</v>
      </c>
      <c r="EP479" s="49" t="s">
        <v>298</v>
      </c>
      <c r="EQ479" s="0" t="n">
        <v>1</v>
      </c>
      <c r="ER479" s="49" t="s">
        <v>328</v>
      </c>
      <c r="ES479" s="49" t="s">
        <v>329</v>
      </c>
      <c r="ET479" s="49" t="s">
        <v>310</v>
      </c>
      <c r="EU479" s="49" t="s">
        <v>310</v>
      </c>
      <c r="EV479" s="49" t="s">
        <v>310</v>
      </c>
      <c r="EX479" s="49" t="s">
        <v>303</v>
      </c>
      <c r="EY479" s="49" t="s">
        <v>303</v>
      </c>
      <c r="FC479" s="49" t="s">
        <v>330</v>
      </c>
      <c r="FD479" s="49" t="s">
        <v>310</v>
      </c>
      <c r="FE479" s="49" t="s">
        <v>310</v>
      </c>
      <c r="FF479" s="49" t="s">
        <v>66</v>
      </c>
      <c r="FG479" s="49" t="s">
        <v>331</v>
      </c>
      <c r="FH479" s="49" t="s">
        <v>310</v>
      </c>
      <c r="FI479" s="49" t="s">
        <v>332</v>
      </c>
      <c r="FJ479" s="49" t="s">
        <v>303</v>
      </c>
      <c r="FL479" s="49" t="s">
        <v>325</v>
      </c>
      <c r="FM479" s="49" t="s">
        <v>2100</v>
      </c>
      <c r="FP479" s="49" t="s">
        <v>303</v>
      </c>
      <c r="FR479" s="49" t="s">
        <v>303</v>
      </c>
      <c r="FT479" s="49" t="s">
        <v>325</v>
      </c>
      <c r="FU479" s="49" t="s">
        <v>325</v>
      </c>
      <c r="FW479" s="49" t="s">
        <v>333</v>
      </c>
    </row>
    <row r="480" customFormat="false" ht="15" hidden="false" customHeight="false" outlineLevel="0" collapsed="false">
      <c r="A480" s="0" t="n">
        <v>100873302</v>
      </c>
      <c r="B480" s="0" t="s">
        <v>295</v>
      </c>
      <c r="C480" s="0" t="s">
        <v>66</v>
      </c>
      <c r="D480" s="0" t="s">
        <v>296</v>
      </c>
      <c r="E480" s="0" t="s">
        <v>297</v>
      </c>
      <c r="G480" s="0" t="n">
        <v>1</v>
      </c>
      <c r="H480" s="0" t="s">
        <v>298</v>
      </c>
      <c r="I480" s="48" t="n">
        <v>46241</v>
      </c>
      <c r="J480" s="0" t="n">
        <v>1</v>
      </c>
      <c r="K480" s="49" t="s">
        <v>2100</v>
      </c>
      <c r="L480" s="49" t="s">
        <v>1035</v>
      </c>
      <c r="M480" s="48"/>
      <c r="O480" s="49" t="s">
        <v>1052</v>
      </c>
      <c r="P480" s="48"/>
      <c r="Q480" s="48" t="n">
        <v>46241</v>
      </c>
      <c r="R480" s="48" t="n">
        <v>46247</v>
      </c>
      <c r="T480" s="49" t="s">
        <v>302</v>
      </c>
      <c r="U480" s="49" t="s">
        <v>303</v>
      </c>
      <c r="Y480" s="49" t="s">
        <v>312</v>
      </c>
      <c r="AD480" s="49" t="s">
        <v>305</v>
      </c>
      <c r="AE480" s="48" t="n">
        <v>46219</v>
      </c>
      <c r="AF480" s="49" t="s">
        <v>306</v>
      </c>
      <c r="AG480" s="49" t="s">
        <v>307</v>
      </c>
      <c r="AK480" s="49" t="s">
        <v>1047</v>
      </c>
      <c r="AL480" s="49" t="s">
        <v>297</v>
      </c>
      <c r="AO480" s="49" t="s">
        <v>303</v>
      </c>
      <c r="AP480" s="48"/>
      <c r="AR480" s="49" t="s">
        <v>303</v>
      </c>
      <c r="AS480" s="49" t="s">
        <v>306</v>
      </c>
      <c r="AT480" s="49" t="s">
        <v>2111</v>
      </c>
      <c r="AV480" s="49" t="s">
        <v>309</v>
      </c>
      <c r="AW480" s="49" t="s">
        <v>310</v>
      </c>
      <c r="AX480" s="49" t="s">
        <v>311</v>
      </c>
      <c r="AY480" s="48"/>
      <c r="AZ480" s="48" t="n">
        <v>46239</v>
      </c>
      <c r="BC480" s="49" t="s">
        <v>303</v>
      </c>
      <c r="BD480" s="48" t="n">
        <v>46266</v>
      </c>
      <c r="BE480" s="49" t="s">
        <v>2112</v>
      </c>
      <c r="BF480" s="49" t="s">
        <v>303</v>
      </c>
      <c r="BG480" s="48"/>
      <c r="BI480" s="48" t="n">
        <v>46267</v>
      </c>
      <c r="BJ480" s="48" t="n">
        <v>46246</v>
      </c>
      <c r="BK480" s="49" t="s">
        <v>313</v>
      </c>
      <c r="BL480" s="49" t="s">
        <v>313</v>
      </c>
      <c r="BM480" s="49" t="s">
        <v>310</v>
      </c>
      <c r="BN480" s="48"/>
      <c r="BO480" s="48"/>
      <c r="BP480" s="48"/>
      <c r="BQ480" s="49" t="s">
        <v>1594</v>
      </c>
      <c r="BR480" s="48" t="n">
        <v>46246</v>
      </c>
      <c r="BS480" s="49" t="s">
        <v>2113</v>
      </c>
      <c r="BT480" s="49" t="s">
        <v>312</v>
      </c>
      <c r="BU480" s="49" t="s">
        <v>313</v>
      </c>
      <c r="BV480" s="49" t="s">
        <v>303</v>
      </c>
      <c r="BX480" s="0" t="n">
        <v>1</v>
      </c>
      <c r="CC480" s="49" t="s">
        <v>315</v>
      </c>
      <c r="CD480" s="49" t="s">
        <v>303</v>
      </c>
      <c r="CF480" s="49" t="s">
        <v>303</v>
      </c>
      <c r="CG480" s="49" t="s">
        <v>316</v>
      </c>
      <c r="CH480" s="49" t="s">
        <v>317</v>
      </c>
      <c r="CI480" s="49" t="s">
        <v>318</v>
      </c>
      <c r="CM480" s="49" t="s">
        <v>296</v>
      </c>
      <c r="CV480" s="49" t="s">
        <v>303</v>
      </c>
      <c r="DB480" s="49" t="s">
        <v>319</v>
      </c>
      <c r="DD480" s="48" t="n">
        <v>46219</v>
      </c>
      <c r="DF480" s="49" t="s">
        <v>310</v>
      </c>
      <c r="DG480" s="49" t="s">
        <v>320</v>
      </c>
      <c r="DH480" s="49" t="s">
        <v>66</v>
      </c>
      <c r="DI480" s="49" t="s">
        <v>298</v>
      </c>
      <c r="DJ480" s="49" t="s">
        <v>321</v>
      </c>
      <c r="DK480" s="49" t="s">
        <v>322</v>
      </c>
      <c r="DL480" s="49" t="s">
        <v>323</v>
      </c>
      <c r="DM480" s="49" t="s">
        <v>303</v>
      </c>
      <c r="DN480" s="49" t="s">
        <v>297</v>
      </c>
      <c r="DO480" s="48"/>
      <c r="DP480" s="49" t="s">
        <v>312</v>
      </c>
      <c r="DQ480" s="48"/>
      <c r="DR480" s="49" t="s">
        <v>312</v>
      </c>
      <c r="DS480" s="49" t="s">
        <v>303</v>
      </c>
      <c r="DT480" s="49" t="s">
        <v>303</v>
      </c>
      <c r="DW480" s="49" t="s">
        <v>303</v>
      </c>
      <c r="EA480" s="49" t="s">
        <v>324</v>
      </c>
      <c r="EB480" s="49" t="s">
        <v>303</v>
      </c>
      <c r="EF480" s="49" t="s">
        <v>2109</v>
      </c>
      <c r="EH480" s="49" t="s">
        <v>310</v>
      </c>
      <c r="EJ480" s="49" t="s">
        <v>303</v>
      </c>
      <c r="EK480" s="49" t="s">
        <v>2114</v>
      </c>
      <c r="EM480" s="49" t="s">
        <v>303</v>
      </c>
      <c r="EN480" s="49" t="s">
        <v>327</v>
      </c>
      <c r="EP480" s="49" t="s">
        <v>298</v>
      </c>
      <c r="EQ480" s="0" t="n">
        <v>1</v>
      </c>
      <c r="ER480" s="49" t="s">
        <v>328</v>
      </c>
      <c r="ES480" s="49" t="s">
        <v>329</v>
      </c>
      <c r="ET480" s="49" t="s">
        <v>310</v>
      </c>
      <c r="EU480" s="49" t="s">
        <v>310</v>
      </c>
      <c r="EV480" s="49" t="s">
        <v>310</v>
      </c>
      <c r="EX480" s="49" t="s">
        <v>303</v>
      </c>
      <c r="EY480" s="49" t="s">
        <v>303</v>
      </c>
      <c r="FC480" s="49" t="s">
        <v>330</v>
      </c>
      <c r="FD480" s="49" t="s">
        <v>310</v>
      </c>
      <c r="FE480" s="49" t="s">
        <v>310</v>
      </c>
      <c r="FF480" s="49" t="s">
        <v>66</v>
      </c>
      <c r="FG480" s="49" t="s">
        <v>331</v>
      </c>
      <c r="FH480" s="49" t="s">
        <v>310</v>
      </c>
      <c r="FI480" s="49" t="s">
        <v>332</v>
      </c>
      <c r="FJ480" s="49" t="s">
        <v>303</v>
      </c>
      <c r="FL480" s="49" t="s">
        <v>325</v>
      </c>
      <c r="FM480" s="49" t="s">
        <v>2100</v>
      </c>
      <c r="FP480" s="49" t="s">
        <v>303</v>
      </c>
      <c r="FR480" s="49" t="s">
        <v>303</v>
      </c>
      <c r="FT480" s="49" t="s">
        <v>325</v>
      </c>
      <c r="FU480" s="49" t="s">
        <v>325</v>
      </c>
      <c r="FW480" s="49" t="s">
        <v>333</v>
      </c>
    </row>
    <row r="481" customFormat="false" ht="15" hidden="false" customHeight="false" outlineLevel="0" collapsed="false">
      <c r="A481" s="0" t="n">
        <v>100873313</v>
      </c>
      <c r="B481" s="0" t="s">
        <v>295</v>
      </c>
      <c r="C481" s="0" t="s">
        <v>68</v>
      </c>
      <c r="D481" s="0" t="s">
        <v>456</v>
      </c>
      <c r="E481" s="0" t="s">
        <v>297</v>
      </c>
      <c r="G481" s="0" t="n">
        <v>1</v>
      </c>
      <c r="H481" s="0" t="s">
        <v>298</v>
      </c>
      <c r="I481" s="48" t="n">
        <v>46241</v>
      </c>
      <c r="J481" s="0" t="n">
        <v>1</v>
      </c>
      <c r="K481" s="49" t="s">
        <v>2100</v>
      </c>
      <c r="L481" s="49" t="s">
        <v>1035</v>
      </c>
      <c r="M481" s="48" t="n">
        <v>46265</v>
      </c>
      <c r="N481" s="49" t="s">
        <v>1630</v>
      </c>
      <c r="O481" s="49" t="s">
        <v>1052</v>
      </c>
      <c r="P481" s="48"/>
      <c r="Q481" s="48" t="n">
        <v>46241</v>
      </c>
      <c r="R481" s="48" t="n">
        <v>46268</v>
      </c>
      <c r="T481" s="49" t="s">
        <v>302</v>
      </c>
      <c r="U481" s="49" t="s">
        <v>303</v>
      </c>
      <c r="Y481" s="49" t="s">
        <v>2115</v>
      </c>
      <c r="AD481" s="49" t="s">
        <v>305</v>
      </c>
      <c r="AE481" s="48" t="n">
        <v>46219</v>
      </c>
      <c r="AF481" s="49" t="s">
        <v>306</v>
      </c>
      <c r="AG481" s="49" t="s">
        <v>307</v>
      </c>
      <c r="AK481" s="49" t="s">
        <v>1047</v>
      </c>
      <c r="AL481" s="49" t="s">
        <v>297</v>
      </c>
      <c r="AO481" s="49" t="s">
        <v>303</v>
      </c>
      <c r="AP481" s="48"/>
      <c r="AR481" s="49" t="s">
        <v>303</v>
      </c>
      <c r="AS481" s="49" t="s">
        <v>306</v>
      </c>
      <c r="AT481" s="49" t="s">
        <v>2116</v>
      </c>
      <c r="AV481" s="49" t="s">
        <v>309</v>
      </c>
      <c r="AW481" s="49" t="s">
        <v>310</v>
      </c>
      <c r="AX481" s="49" t="s">
        <v>311</v>
      </c>
      <c r="AY481" s="48"/>
      <c r="AZ481" s="48" t="n">
        <v>46258</v>
      </c>
      <c r="BC481" s="49" t="s">
        <v>303</v>
      </c>
      <c r="BD481" s="48" t="n">
        <v>46270</v>
      </c>
      <c r="BE481" s="49" t="s">
        <v>2117</v>
      </c>
      <c r="BF481" s="49" t="s">
        <v>303</v>
      </c>
      <c r="BG481" s="48"/>
      <c r="BI481" s="48" t="n">
        <v>46270</v>
      </c>
      <c r="BJ481" s="48" t="n">
        <v>46266</v>
      </c>
      <c r="BK481" s="49" t="s">
        <v>312</v>
      </c>
      <c r="BL481" s="49" t="s">
        <v>313</v>
      </c>
      <c r="BM481" s="49" t="s">
        <v>310</v>
      </c>
      <c r="BN481" s="48"/>
      <c r="BO481" s="48"/>
      <c r="BP481" s="48"/>
      <c r="BQ481" s="49" t="s">
        <v>2118</v>
      </c>
      <c r="BR481" s="48" t="n">
        <v>46266</v>
      </c>
      <c r="BS481" s="49" t="s">
        <v>2119</v>
      </c>
      <c r="BT481" s="49" t="s">
        <v>312</v>
      </c>
      <c r="BU481" s="49" t="s">
        <v>313</v>
      </c>
      <c r="BV481" s="49" t="s">
        <v>303</v>
      </c>
      <c r="BX481" s="0" t="n">
        <v>1</v>
      </c>
      <c r="CC481" s="49" t="s">
        <v>315</v>
      </c>
      <c r="CD481" s="49" t="s">
        <v>303</v>
      </c>
      <c r="CF481" s="49" t="s">
        <v>303</v>
      </c>
      <c r="CG481" s="49" t="s">
        <v>316</v>
      </c>
      <c r="CH481" s="49" t="s">
        <v>317</v>
      </c>
      <c r="CI481" s="49" t="s">
        <v>318</v>
      </c>
      <c r="CM481" s="49" t="s">
        <v>456</v>
      </c>
      <c r="CV481" s="49" t="s">
        <v>303</v>
      </c>
      <c r="DB481" s="49" t="s">
        <v>319</v>
      </c>
      <c r="DD481" s="48" t="n">
        <v>46219</v>
      </c>
      <c r="DF481" s="49" t="s">
        <v>310</v>
      </c>
      <c r="DG481" s="49" t="s">
        <v>320</v>
      </c>
      <c r="DH481" s="49" t="s">
        <v>68</v>
      </c>
      <c r="DI481" s="49" t="s">
        <v>298</v>
      </c>
      <c r="DJ481" s="49" t="s">
        <v>321</v>
      </c>
      <c r="DK481" s="49" t="s">
        <v>322</v>
      </c>
      <c r="DL481" s="49" t="s">
        <v>323</v>
      </c>
      <c r="DM481" s="49" t="s">
        <v>303</v>
      </c>
      <c r="DN481" s="49" t="s">
        <v>297</v>
      </c>
      <c r="DO481" s="48"/>
      <c r="DP481" s="49" t="s">
        <v>312</v>
      </c>
      <c r="DQ481" s="48"/>
      <c r="DR481" s="49" t="s">
        <v>312</v>
      </c>
      <c r="DS481" s="49" t="s">
        <v>303</v>
      </c>
      <c r="DT481" s="49" t="s">
        <v>303</v>
      </c>
      <c r="DW481" s="49" t="s">
        <v>303</v>
      </c>
      <c r="EA481" s="49" t="s">
        <v>324</v>
      </c>
      <c r="EB481" s="49" t="s">
        <v>303</v>
      </c>
      <c r="EH481" s="49" t="s">
        <v>310</v>
      </c>
      <c r="EJ481" s="49" t="s">
        <v>303</v>
      </c>
      <c r="EK481" s="49" t="s">
        <v>2120</v>
      </c>
      <c r="EM481" s="49" t="s">
        <v>303</v>
      </c>
      <c r="EN481" s="49" t="s">
        <v>460</v>
      </c>
      <c r="EP481" s="49" t="s">
        <v>298</v>
      </c>
      <c r="EQ481" s="0" t="n">
        <v>1</v>
      </c>
      <c r="ER481" s="49" t="s">
        <v>328</v>
      </c>
      <c r="ES481" s="49" t="s">
        <v>329</v>
      </c>
      <c r="ET481" s="49" t="s">
        <v>310</v>
      </c>
      <c r="EU481" s="49" t="s">
        <v>310</v>
      </c>
      <c r="EV481" s="49" t="s">
        <v>310</v>
      </c>
      <c r="EX481" s="49" t="s">
        <v>303</v>
      </c>
      <c r="EY481" s="49" t="s">
        <v>303</v>
      </c>
      <c r="FC481" s="49" t="s">
        <v>330</v>
      </c>
      <c r="FD481" s="49" t="s">
        <v>310</v>
      </c>
      <c r="FE481" s="49" t="s">
        <v>310</v>
      </c>
      <c r="FF481" s="49" t="s">
        <v>68</v>
      </c>
      <c r="FG481" s="49" t="s">
        <v>461</v>
      </c>
      <c r="FH481" s="49" t="s">
        <v>310</v>
      </c>
      <c r="FI481" s="49" t="s">
        <v>332</v>
      </c>
      <c r="FJ481" s="49" t="s">
        <v>303</v>
      </c>
      <c r="FL481" s="49" t="s">
        <v>325</v>
      </c>
      <c r="FM481" s="49" t="s">
        <v>1638</v>
      </c>
      <c r="FP481" s="49" t="s">
        <v>303</v>
      </c>
      <c r="FR481" s="49" t="s">
        <v>303</v>
      </c>
      <c r="FT481" s="49" t="s">
        <v>325</v>
      </c>
      <c r="FU481" s="49" t="s">
        <v>325</v>
      </c>
      <c r="FW481" s="49" t="s">
        <v>333</v>
      </c>
    </row>
    <row r="482" customFormat="false" ht="15" hidden="false" customHeight="false" outlineLevel="0" collapsed="false">
      <c r="A482" s="0" t="n">
        <v>100873314</v>
      </c>
      <c r="B482" s="0" t="s">
        <v>295</v>
      </c>
      <c r="C482" s="0" t="s">
        <v>68</v>
      </c>
      <c r="D482" s="0" t="s">
        <v>456</v>
      </c>
      <c r="E482" s="0" t="s">
        <v>297</v>
      </c>
      <c r="G482" s="0" t="n">
        <v>1</v>
      </c>
      <c r="H482" s="0" t="s">
        <v>298</v>
      </c>
      <c r="I482" s="48" t="n">
        <v>46241</v>
      </c>
      <c r="J482" s="0" t="n">
        <v>1</v>
      </c>
      <c r="K482" s="49" t="s">
        <v>2100</v>
      </c>
      <c r="L482" s="49" t="s">
        <v>1035</v>
      </c>
      <c r="M482" s="48" t="n">
        <v>46265</v>
      </c>
      <c r="N482" s="49" t="s">
        <v>1630</v>
      </c>
      <c r="O482" s="49" t="s">
        <v>1052</v>
      </c>
      <c r="P482" s="48"/>
      <c r="Q482" s="48" t="n">
        <v>46260</v>
      </c>
      <c r="R482" s="48" t="n">
        <v>46268</v>
      </c>
      <c r="T482" s="49" t="s">
        <v>302</v>
      </c>
      <c r="U482" s="49" t="s">
        <v>303</v>
      </c>
      <c r="Y482" s="49" t="s">
        <v>2121</v>
      </c>
      <c r="AD482" s="49" t="s">
        <v>305</v>
      </c>
      <c r="AE482" s="48" t="n">
        <v>46219</v>
      </c>
      <c r="AF482" s="49" t="s">
        <v>306</v>
      </c>
      <c r="AG482" s="49" t="s">
        <v>307</v>
      </c>
      <c r="AK482" s="49" t="s">
        <v>1047</v>
      </c>
      <c r="AL482" s="49" t="s">
        <v>297</v>
      </c>
      <c r="AO482" s="49" t="s">
        <v>303</v>
      </c>
      <c r="AP482" s="48"/>
      <c r="AR482" s="49" t="s">
        <v>303</v>
      </c>
      <c r="AS482" s="49" t="s">
        <v>306</v>
      </c>
      <c r="AT482" s="49" t="s">
        <v>2122</v>
      </c>
      <c r="AV482" s="49" t="s">
        <v>309</v>
      </c>
      <c r="AW482" s="49" t="s">
        <v>310</v>
      </c>
      <c r="AX482" s="49" t="s">
        <v>311</v>
      </c>
      <c r="AY482" s="48"/>
      <c r="AZ482" s="48" t="n">
        <v>46253</v>
      </c>
      <c r="BC482" s="49" t="s">
        <v>303</v>
      </c>
      <c r="BD482" s="48" t="n">
        <v>46264</v>
      </c>
      <c r="BE482" s="49" t="s">
        <v>2123</v>
      </c>
      <c r="BF482" s="49" t="s">
        <v>303</v>
      </c>
      <c r="BG482" s="48"/>
      <c r="BI482" s="48" t="n">
        <v>46266</v>
      </c>
      <c r="BJ482" s="48" t="n">
        <v>46264</v>
      </c>
      <c r="BK482" s="49" t="s">
        <v>313</v>
      </c>
      <c r="BL482" s="49" t="s">
        <v>2123</v>
      </c>
      <c r="BM482" s="49" t="s">
        <v>310</v>
      </c>
      <c r="BN482" s="48"/>
      <c r="BO482" s="48"/>
      <c r="BP482" s="48"/>
      <c r="BQ482" s="49" t="s">
        <v>2086</v>
      </c>
      <c r="BR482" s="48" t="n">
        <v>46260</v>
      </c>
      <c r="BS482" s="49" t="s">
        <v>2124</v>
      </c>
      <c r="BT482" s="49" t="s">
        <v>312</v>
      </c>
      <c r="BU482" s="49" t="s">
        <v>2124</v>
      </c>
      <c r="BV482" s="49" t="s">
        <v>303</v>
      </c>
      <c r="BX482" s="0" t="n">
        <v>1</v>
      </c>
      <c r="CC482" s="49" t="s">
        <v>315</v>
      </c>
      <c r="CD482" s="49" t="s">
        <v>303</v>
      </c>
      <c r="CF482" s="49" t="s">
        <v>303</v>
      </c>
      <c r="CG482" s="49" t="s">
        <v>316</v>
      </c>
      <c r="CH482" s="49" t="s">
        <v>317</v>
      </c>
      <c r="CI482" s="49" t="s">
        <v>318</v>
      </c>
      <c r="CM482" s="49" t="s">
        <v>456</v>
      </c>
      <c r="CV482" s="49" t="s">
        <v>303</v>
      </c>
      <c r="DB482" s="49" t="s">
        <v>319</v>
      </c>
      <c r="DD482" s="48" t="n">
        <v>46219</v>
      </c>
      <c r="DF482" s="49" t="s">
        <v>310</v>
      </c>
      <c r="DG482" s="49" t="s">
        <v>320</v>
      </c>
      <c r="DH482" s="49" t="s">
        <v>68</v>
      </c>
      <c r="DI482" s="49" t="s">
        <v>298</v>
      </c>
      <c r="DJ482" s="49" t="s">
        <v>321</v>
      </c>
      <c r="DK482" s="49" t="s">
        <v>322</v>
      </c>
      <c r="DL482" s="49" t="s">
        <v>323</v>
      </c>
      <c r="DM482" s="49" t="s">
        <v>303</v>
      </c>
      <c r="DN482" s="49" t="s">
        <v>297</v>
      </c>
      <c r="DO482" s="48"/>
      <c r="DP482" s="49" t="s">
        <v>312</v>
      </c>
      <c r="DQ482" s="48"/>
      <c r="DR482" s="49" t="s">
        <v>312</v>
      </c>
      <c r="DS482" s="49" t="s">
        <v>303</v>
      </c>
      <c r="DT482" s="49" t="s">
        <v>303</v>
      </c>
      <c r="DW482" s="49" t="s">
        <v>303</v>
      </c>
      <c r="EA482" s="49" t="s">
        <v>324</v>
      </c>
      <c r="EB482" s="49" t="s">
        <v>303</v>
      </c>
      <c r="EF482" s="49" t="s">
        <v>2125</v>
      </c>
      <c r="EH482" s="49" t="s">
        <v>310</v>
      </c>
      <c r="EJ482" s="49" t="s">
        <v>303</v>
      </c>
      <c r="EK482" s="49" t="s">
        <v>2126</v>
      </c>
      <c r="EM482" s="49" t="s">
        <v>303</v>
      </c>
      <c r="EN482" s="49" t="s">
        <v>460</v>
      </c>
      <c r="EP482" s="49" t="s">
        <v>298</v>
      </c>
      <c r="EQ482" s="0" t="n">
        <v>1</v>
      </c>
      <c r="ER482" s="49" t="s">
        <v>328</v>
      </c>
      <c r="ES482" s="49" t="s">
        <v>329</v>
      </c>
      <c r="ET482" s="49" t="s">
        <v>310</v>
      </c>
      <c r="EU482" s="49" t="s">
        <v>310</v>
      </c>
      <c r="EV482" s="49" t="s">
        <v>310</v>
      </c>
      <c r="EX482" s="49" t="s">
        <v>303</v>
      </c>
      <c r="EY482" s="49" t="s">
        <v>303</v>
      </c>
      <c r="FC482" s="49" t="s">
        <v>330</v>
      </c>
      <c r="FD482" s="49" t="s">
        <v>310</v>
      </c>
      <c r="FE482" s="49" t="s">
        <v>310</v>
      </c>
      <c r="FF482" s="49" t="s">
        <v>68</v>
      </c>
      <c r="FG482" s="49" t="s">
        <v>461</v>
      </c>
      <c r="FH482" s="49" t="s">
        <v>310</v>
      </c>
      <c r="FI482" s="49" t="s">
        <v>332</v>
      </c>
      <c r="FJ482" s="49" t="s">
        <v>303</v>
      </c>
      <c r="FL482" s="49" t="s">
        <v>325</v>
      </c>
      <c r="FM482" s="49" t="s">
        <v>1638</v>
      </c>
      <c r="FP482" s="49" t="s">
        <v>303</v>
      </c>
      <c r="FR482" s="49" t="s">
        <v>303</v>
      </c>
      <c r="FT482" s="49" t="s">
        <v>325</v>
      </c>
      <c r="FU482" s="49" t="s">
        <v>325</v>
      </c>
      <c r="FW482" s="49" t="s">
        <v>333</v>
      </c>
    </row>
    <row r="483" customFormat="false" ht="15" hidden="false" customHeight="false" outlineLevel="0" collapsed="false">
      <c r="A483" s="0" t="n">
        <v>100873315</v>
      </c>
      <c r="B483" s="0" t="s">
        <v>295</v>
      </c>
      <c r="C483" s="0" t="s">
        <v>68</v>
      </c>
      <c r="D483" s="0" t="s">
        <v>456</v>
      </c>
      <c r="E483" s="0" t="s">
        <v>297</v>
      </c>
      <c r="G483" s="0" t="n">
        <v>1</v>
      </c>
      <c r="H483" s="0" t="s">
        <v>298</v>
      </c>
      <c r="I483" s="48" t="n">
        <v>46241</v>
      </c>
      <c r="J483" s="0" t="n">
        <v>1</v>
      </c>
      <c r="K483" s="49" t="s">
        <v>2100</v>
      </c>
      <c r="L483" s="49" t="s">
        <v>1035</v>
      </c>
      <c r="M483" s="48" t="n">
        <v>46265</v>
      </c>
      <c r="N483" s="49" t="s">
        <v>1630</v>
      </c>
      <c r="O483" s="49" t="s">
        <v>1052</v>
      </c>
      <c r="P483" s="48"/>
      <c r="Q483" s="48" t="n">
        <v>46263</v>
      </c>
      <c r="R483" s="48" t="n">
        <v>46268</v>
      </c>
      <c r="T483" s="49" t="s">
        <v>302</v>
      </c>
      <c r="U483" s="49" t="s">
        <v>303</v>
      </c>
      <c r="Y483" s="49" t="s">
        <v>2127</v>
      </c>
      <c r="AD483" s="49" t="s">
        <v>305</v>
      </c>
      <c r="AE483" s="48" t="n">
        <v>46219</v>
      </c>
      <c r="AF483" s="49" t="s">
        <v>306</v>
      </c>
      <c r="AG483" s="49" t="s">
        <v>307</v>
      </c>
      <c r="AK483" s="49" t="s">
        <v>1047</v>
      </c>
      <c r="AL483" s="49" t="s">
        <v>297</v>
      </c>
      <c r="AO483" s="49" t="s">
        <v>303</v>
      </c>
      <c r="AP483" s="48"/>
      <c r="AR483" s="49" t="s">
        <v>303</v>
      </c>
      <c r="AS483" s="49" t="s">
        <v>306</v>
      </c>
      <c r="AT483" s="49" t="s">
        <v>2128</v>
      </c>
      <c r="AV483" s="49" t="s">
        <v>309</v>
      </c>
      <c r="AW483" s="49" t="s">
        <v>310</v>
      </c>
      <c r="AX483" s="49" t="s">
        <v>311</v>
      </c>
      <c r="AY483" s="48"/>
      <c r="AZ483" s="48" t="n">
        <v>46259</v>
      </c>
      <c r="BC483" s="49" t="s">
        <v>303</v>
      </c>
      <c r="BD483" s="48" t="n">
        <v>46267</v>
      </c>
      <c r="BE483" s="49" t="s">
        <v>2129</v>
      </c>
      <c r="BF483" s="49" t="s">
        <v>303</v>
      </c>
      <c r="BG483" s="48"/>
      <c r="BI483" s="48" t="n">
        <v>46267</v>
      </c>
      <c r="BJ483" s="48" t="n">
        <v>46267</v>
      </c>
      <c r="BK483" s="49" t="s">
        <v>313</v>
      </c>
      <c r="BL483" s="49" t="s">
        <v>313</v>
      </c>
      <c r="BM483" s="49" t="s">
        <v>310</v>
      </c>
      <c r="BN483" s="48"/>
      <c r="BO483" s="48"/>
      <c r="BP483" s="48"/>
      <c r="BQ483" s="49" t="s">
        <v>1594</v>
      </c>
      <c r="BR483" s="48" t="n">
        <v>46267</v>
      </c>
      <c r="BS483" s="49" t="s">
        <v>2130</v>
      </c>
      <c r="BT483" s="49" t="s">
        <v>312</v>
      </c>
      <c r="BU483" s="49" t="s">
        <v>313</v>
      </c>
      <c r="BV483" s="49" t="s">
        <v>303</v>
      </c>
      <c r="BX483" s="0" t="n">
        <v>1</v>
      </c>
      <c r="CC483" s="49" t="s">
        <v>315</v>
      </c>
      <c r="CD483" s="49" t="s">
        <v>303</v>
      </c>
      <c r="CF483" s="49" t="s">
        <v>303</v>
      </c>
      <c r="CG483" s="49" t="s">
        <v>316</v>
      </c>
      <c r="CH483" s="49" t="s">
        <v>317</v>
      </c>
      <c r="CI483" s="49" t="s">
        <v>318</v>
      </c>
      <c r="CM483" s="49" t="s">
        <v>456</v>
      </c>
      <c r="CV483" s="49" t="s">
        <v>303</v>
      </c>
      <c r="DB483" s="49" t="s">
        <v>319</v>
      </c>
      <c r="DD483" s="48" t="n">
        <v>46219</v>
      </c>
      <c r="DF483" s="49" t="s">
        <v>310</v>
      </c>
      <c r="DG483" s="49" t="s">
        <v>320</v>
      </c>
      <c r="DH483" s="49" t="s">
        <v>68</v>
      </c>
      <c r="DI483" s="49" t="s">
        <v>298</v>
      </c>
      <c r="DJ483" s="49" t="s">
        <v>321</v>
      </c>
      <c r="DK483" s="49" t="s">
        <v>322</v>
      </c>
      <c r="DL483" s="49" t="s">
        <v>323</v>
      </c>
      <c r="DM483" s="49" t="s">
        <v>303</v>
      </c>
      <c r="DN483" s="49" t="s">
        <v>297</v>
      </c>
      <c r="DO483" s="48"/>
      <c r="DP483" s="49" t="s">
        <v>312</v>
      </c>
      <c r="DQ483" s="48"/>
      <c r="DR483" s="49" t="s">
        <v>312</v>
      </c>
      <c r="DS483" s="49" t="s">
        <v>303</v>
      </c>
      <c r="DT483" s="49" t="s">
        <v>303</v>
      </c>
      <c r="DW483" s="49" t="s">
        <v>303</v>
      </c>
      <c r="EA483" s="49" t="s">
        <v>324</v>
      </c>
      <c r="EB483" s="49" t="s">
        <v>303</v>
      </c>
      <c r="EF483" s="49" t="s">
        <v>2125</v>
      </c>
      <c r="EH483" s="49" t="s">
        <v>310</v>
      </c>
      <c r="EJ483" s="49" t="s">
        <v>303</v>
      </c>
      <c r="EK483" s="49" t="s">
        <v>2131</v>
      </c>
      <c r="EM483" s="49" t="s">
        <v>303</v>
      </c>
      <c r="EN483" s="49" t="s">
        <v>460</v>
      </c>
      <c r="EP483" s="49" t="s">
        <v>298</v>
      </c>
      <c r="EQ483" s="0" t="n">
        <v>1</v>
      </c>
      <c r="ER483" s="49" t="s">
        <v>328</v>
      </c>
      <c r="ES483" s="49" t="s">
        <v>329</v>
      </c>
      <c r="ET483" s="49" t="s">
        <v>310</v>
      </c>
      <c r="EU483" s="49" t="s">
        <v>310</v>
      </c>
      <c r="EV483" s="49" t="s">
        <v>310</v>
      </c>
      <c r="EX483" s="49" t="s">
        <v>303</v>
      </c>
      <c r="EY483" s="49" t="s">
        <v>303</v>
      </c>
      <c r="FC483" s="49" t="s">
        <v>330</v>
      </c>
      <c r="FD483" s="49" t="s">
        <v>310</v>
      </c>
      <c r="FE483" s="49" t="s">
        <v>310</v>
      </c>
      <c r="FF483" s="49" t="s">
        <v>68</v>
      </c>
      <c r="FG483" s="49" t="s">
        <v>461</v>
      </c>
      <c r="FH483" s="49" t="s">
        <v>310</v>
      </c>
      <c r="FI483" s="49" t="s">
        <v>332</v>
      </c>
      <c r="FJ483" s="49" t="s">
        <v>303</v>
      </c>
      <c r="FL483" s="49" t="s">
        <v>325</v>
      </c>
      <c r="FM483" s="49" t="s">
        <v>1638</v>
      </c>
      <c r="FP483" s="49" t="s">
        <v>303</v>
      </c>
      <c r="FR483" s="49" t="s">
        <v>303</v>
      </c>
      <c r="FT483" s="49" t="s">
        <v>325</v>
      </c>
      <c r="FU483" s="49" t="s">
        <v>325</v>
      </c>
      <c r="FW483" s="49" t="s">
        <v>333</v>
      </c>
    </row>
    <row r="484" customFormat="false" ht="15" hidden="false" customHeight="false" outlineLevel="0" collapsed="false">
      <c r="A484" s="0" t="n">
        <v>100873316</v>
      </c>
      <c r="B484" s="0" t="s">
        <v>295</v>
      </c>
      <c r="C484" s="0" t="s">
        <v>70</v>
      </c>
      <c r="D484" s="0" t="s">
        <v>468</v>
      </c>
      <c r="E484" s="0" t="s">
        <v>297</v>
      </c>
      <c r="G484" s="0" t="n">
        <v>1</v>
      </c>
      <c r="H484" s="0" t="s">
        <v>298</v>
      </c>
      <c r="I484" s="48" t="n">
        <v>46241</v>
      </c>
      <c r="J484" s="0" t="n">
        <v>1</v>
      </c>
      <c r="K484" s="49" t="s">
        <v>2100</v>
      </c>
      <c r="L484" s="49" t="s">
        <v>1035</v>
      </c>
      <c r="M484" s="48" t="n">
        <v>46241</v>
      </c>
      <c r="N484" s="49" t="s">
        <v>1035</v>
      </c>
      <c r="O484" s="49" t="s">
        <v>1052</v>
      </c>
      <c r="P484" s="48"/>
      <c r="Q484" s="48" t="n">
        <v>46241</v>
      </c>
      <c r="R484" s="48" t="n">
        <v>46248</v>
      </c>
      <c r="T484" s="49" t="s">
        <v>302</v>
      </c>
      <c r="U484" s="49" t="s">
        <v>303</v>
      </c>
      <c r="Y484" s="49" t="s">
        <v>2132</v>
      </c>
      <c r="AD484" s="49" t="s">
        <v>305</v>
      </c>
      <c r="AE484" s="48" t="n">
        <v>46224</v>
      </c>
      <c r="AF484" s="49" t="s">
        <v>306</v>
      </c>
      <c r="AG484" s="49" t="s">
        <v>307</v>
      </c>
      <c r="AK484" s="49" t="s">
        <v>1047</v>
      </c>
      <c r="AL484" s="49" t="s">
        <v>297</v>
      </c>
      <c r="AO484" s="49" t="s">
        <v>303</v>
      </c>
      <c r="AP484" s="48"/>
      <c r="AR484" s="49" t="s">
        <v>303</v>
      </c>
      <c r="AS484" s="49" t="s">
        <v>306</v>
      </c>
      <c r="AT484" s="49" t="s">
        <v>2133</v>
      </c>
      <c r="AV484" s="49" t="s">
        <v>309</v>
      </c>
      <c r="AW484" s="49" t="s">
        <v>310</v>
      </c>
      <c r="AX484" s="49" t="s">
        <v>311</v>
      </c>
      <c r="AY484" s="48"/>
      <c r="AZ484" s="48" t="n">
        <v>46239</v>
      </c>
      <c r="BC484" s="49" t="s">
        <v>303</v>
      </c>
      <c r="BD484" s="48" t="n">
        <v>46267</v>
      </c>
      <c r="BE484" s="49" t="s">
        <v>2134</v>
      </c>
      <c r="BF484" s="49" t="s">
        <v>303</v>
      </c>
      <c r="BG484" s="48"/>
      <c r="BI484" s="48" t="n">
        <v>46267</v>
      </c>
      <c r="BJ484" s="48" t="n">
        <v>46246</v>
      </c>
      <c r="BK484" s="49" t="s">
        <v>312</v>
      </c>
      <c r="BL484" s="49" t="s">
        <v>313</v>
      </c>
      <c r="BM484" s="49" t="s">
        <v>310</v>
      </c>
      <c r="BN484" s="48"/>
      <c r="BO484" s="48"/>
      <c r="BP484" s="48"/>
      <c r="BQ484" s="49" t="s">
        <v>1594</v>
      </c>
      <c r="BR484" s="48" t="n">
        <v>46246</v>
      </c>
      <c r="BS484" s="49" t="s">
        <v>2135</v>
      </c>
      <c r="BT484" s="49" t="s">
        <v>312</v>
      </c>
      <c r="BU484" s="49" t="s">
        <v>313</v>
      </c>
      <c r="BV484" s="49" t="s">
        <v>303</v>
      </c>
      <c r="BX484" s="0" t="n">
        <v>1</v>
      </c>
      <c r="CC484" s="49" t="s">
        <v>315</v>
      </c>
      <c r="CD484" s="49" t="s">
        <v>303</v>
      </c>
      <c r="CF484" s="49" t="s">
        <v>303</v>
      </c>
      <c r="CG484" s="49" t="s">
        <v>316</v>
      </c>
      <c r="CH484" s="49" t="s">
        <v>317</v>
      </c>
      <c r="CI484" s="49" t="s">
        <v>318</v>
      </c>
      <c r="CM484" s="49" t="s">
        <v>468</v>
      </c>
      <c r="CV484" s="49" t="s">
        <v>303</v>
      </c>
      <c r="DB484" s="49" t="s">
        <v>319</v>
      </c>
      <c r="DD484" s="48" t="n">
        <v>46224</v>
      </c>
      <c r="DF484" s="49" t="s">
        <v>310</v>
      </c>
      <c r="DG484" s="49" t="s">
        <v>320</v>
      </c>
      <c r="DH484" s="49" t="s">
        <v>70</v>
      </c>
      <c r="DI484" s="49" t="s">
        <v>298</v>
      </c>
      <c r="DJ484" s="49" t="s">
        <v>321</v>
      </c>
      <c r="DK484" s="49" t="s">
        <v>322</v>
      </c>
      <c r="DL484" s="49" t="s">
        <v>323</v>
      </c>
      <c r="DM484" s="49" t="s">
        <v>303</v>
      </c>
      <c r="DN484" s="49" t="s">
        <v>297</v>
      </c>
      <c r="DO484" s="48"/>
      <c r="DP484" s="49" t="s">
        <v>312</v>
      </c>
      <c r="DQ484" s="48"/>
      <c r="DR484" s="49" t="s">
        <v>312</v>
      </c>
      <c r="DS484" s="49" t="s">
        <v>303</v>
      </c>
      <c r="DT484" s="49" t="s">
        <v>303</v>
      </c>
      <c r="DW484" s="49" t="s">
        <v>303</v>
      </c>
      <c r="EA484" s="49" t="s">
        <v>324</v>
      </c>
      <c r="EB484" s="49" t="s">
        <v>303</v>
      </c>
      <c r="EH484" s="49" t="s">
        <v>310</v>
      </c>
      <c r="EJ484" s="49" t="s">
        <v>303</v>
      </c>
      <c r="EK484" s="49" t="s">
        <v>2136</v>
      </c>
      <c r="EM484" s="49" t="s">
        <v>303</v>
      </c>
      <c r="EN484" s="49" t="s">
        <v>472</v>
      </c>
      <c r="EP484" s="49" t="s">
        <v>298</v>
      </c>
      <c r="EQ484" s="0" t="n">
        <v>1</v>
      </c>
      <c r="ER484" s="49" t="s">
        <v>328</v>
      </c>
      <c r="ES484" s="49" t="s">
        <v>329</v>
      </c>
      <c r="ET484" s="49" t="s">
        <v>310</v>
      </c>
      <c r="EU484" s="49" t="s">
        <v>310</v>
      </c>
      <c r="EV484" s="49" t="s">
        <v>310</v>
      </c>
      <c r="EX484" s="49" t="s">
        <v>303</v>
      </c>
      <c r="EY484" s="49" t="s">
        <v>303</v>
      </c>
      <c r="FC484" s="49" t="s">
        <v>330</v>
      </c>
      <c r="FD484" s="49" t="s">
        <v>310</v>
      </c>
      <c r="FE484" s="49" t="s">
        <v>310</v>
      </c>
      <c r="FF484" s="49" t="s">
        <v>70</v>
      </c>
      <c r="FG484" s="49" t="s">
        <v>473</v>
      </c>
      <c r="FH484" s="49" t="s">
        <v>310</v>
      </c>
      <c r="FI484" s="49" t="s">
        <v>332</v>
      </c>
      <c r="FJ484" s="49" t="s">
        <v>303</v>
      </c>
      <c r="FL484" s="49" t="s">
        <v>325</v>
      </c>
      <c r="FM484" s="49" t="s">
        <v>2100</v>
      </c>
      <c r="FP484" s="49" t="s">
        <v>303</v>
      </c>
      <c r="FR484" s="49" t="s">
        <v>303</v>
      </c>
      <c r="FT484" s="49" t="s">
        <v>325</v>
      </c>
      <c r="FU484" s="49" t="s">
        <v>325</v>
      </c>
      <c r="FW484" s="49" t="s">
        <v>333</v>
      </c>
    </row>
    <row r="485" customFormat="false" ht="15" hidden="false" customHeight="false" outlineLevel="0" collapsed="false">
      <c r="A485" s="0" t="n">
        <v>100873317</v>
      </c>
      <c r="B485" s="0" t="s">
        <v>295</v>
      </c>
      <c r="C485" s="0" t="s">
        <v>70</v>
      </c>
      <c r="D485" s="0" t="s">
        <v>468</v>
      </c>
      <c r="E485" s="0" t="s">
        <v>297</v>
      </c>
      <c r="G485" s="0" t="n">
        <v>1</v>
      </c>
      <c r="H485" s="0" t="s">
        <v>298</v>
      </c>
      <c r="I485" s="48" t="n">
        <v>46241</v>
      </c>
      <c r="J485" s="0" t="n">
        <v>1</v>
      </c>
      <c r="K485" s="49" t="s">
        <v>2100</v>
      </c>
      <c r="L485" s="49" t="s">
        <v>1035</v>
      </c>
      <c r="M485" s="48"/>
      <c r="O485" s="49" t="s">
        <v>1045</v>
      </c>
      <c r="P485" s="48"/>
      <c r="Q485" s="48" t="n">
        <v>46241</v>
      </c>
      <c r="R485" s="48" t="n">
        <v>46247</v>
      </c>
      <c r="T485" s="49" t="s">
        <v>302</v>
      </c>
      <c r="U485" s="49" t="s">
        <v>303</v>
      </c>
      <c r="Y485" s="49" t="s">
        <v>312</v>
      </c>
      <c r="AD485" s="49" t="s">
        <v>305</v>
      </c>
      <c r="AE485" s="48" t="n">
        <v>46224</v>
      </c>
      <c r="AF485" s="49" t="s">
        <v>306</v>
      </c>
      <c r="AG485" s="49" t="s">
        <v>307</v>
      </c>
      <c r="AK485" s="49" t="s">
        <v>1047</v>
      </c>
      <c r="AL485" s="49" t="s">
        <v>297</v>
      </c>
      <c r="AO485" s="49" t="s">
        <v>303</v>
      </c>
      <c r="AP485" s="48"/>
      <c r="AR485" s="49" t="s">
        <v>303</v>
      </c>
      <c r="AS485" s="49" t="s">
        <v>306</v>
      </c>
      <c r="AT485" s="49" t="s">
        <v>2137</v>
      </c>
      <c r="AV485" s="49" t="s">
        <v>309</v>
      </c>
      <c r="AW485" s="49" t="s">
        <v>310</v>
      </c>
      <c r="AX485" s="49" t="s">
        <v>311</v>
      </c>
      <c r="AY485" s="48"/>
      <c r="AZ485" s="48" t="n">
        <v>46239</v>
      </c>
      <c r="BC485" s="49" t="s">
        <v>303</v>
      </c>
      <c r="BD485" s="48" t="n">
        <v>46263</v>
      </c>
      <c r="BE485" s="49" t="s">
        <v>2138</v>
      </c>
      <c r="BF485" s="49" t="s">
        <v>303</v>
      </c>
      <c r="BG485" s="48"/>
      <c r="BI485" s="48" t="n">
        <v>46263</v>
      </c>
      <c r="BJ485" s="48" t="n">
        <v>46246</v>
      </c>
      <c r="BK485" s="49" t="s">
        <v>313</v>
      </c>
      <c r="BL485" s="49" t="s">
        <v>313</v>
      </c>
      <c r="BM485" s="49" t="s">
        <v>310</v>
      </c>
      <c r="BN485" s="48"/>
      <c r="BO485" s="48"/>
      <c r="BP485" s="48"/>
      <c r="BQ485" s="49" t="s">
        <v>2086</v>
      </c>
      <c r="BR485" s="48" t="n">
        <v>46246</v>
      </c>
      <c r="BS485" s="49" t="s">
        <v>2124</v>
      </c>
      <c r="BT485" s="49" t="s">
        <v>312</v>
      </c>
      <c r="BU485" s="49" t="s">
        <v>313</v>
      </c>
      <c r="BV485" s="49" t="s">
        <v>303</v>
      </c>
      <c r="BX485" s="0" t="n">
        <v>1</v>
      </c>
      <c r="CC485" s="49" t="s">
        <v>315</v>
      </c>
      <c r="CD485" s="49" t="s">
        <v>303</v>
      </c>
      <c r="CF485" s="49" t="s">
        <v>303</v>
      </c>
      <c r="CG485" s="49" t="s">
        <v>316</v>
      </c>
      <c r="CH485" s="49" t="s">
        <v>317</v>
      </c>
      <c r="CI485" s="49" t="s">
        <v>318</v>
      </c>
      <c r="CM485" s="49" t="s">
        <v>468</v>
      </c>
      <c r="CV485" s="49" t="s">
        <v>303</v>
      </c>
      <c r="DB485" s="49" t="s">
        <v>319</v>
      </c>
      <c r="DD485" s="48" t="n">
        <v>46224</v>
      </c>
      <c r="DF485" s="49" t="s">
        <v>310</v>
      </c>
      <c r="DG485" s="49" t="s">
        <v>320</v>
      </c>
      <c r="DH485" s="49" t="s">
        <v>70</v>
      </c>
      <c r="DI485" s="49" t="s">
        <v>298</v>
      </c>
      <c r="DJ485" s="49" t="s">
        <v>321</v>
      </c>
      <c r="DK485" s="49" t="s">
        <v>322</v>
      </c>
      <c r="DL485" s="49" t="s">
        <v>323</v>
      </c>
      <c r="DM485" s="49" t="s">
        <v>303</v>
      </c>
      <c r="DN485" s="49" t="s">
        <v>297</v>
      </c>
      <c r="DO485" s="48"/>
      <c r="DP485" s="49" t="s">
        <v>312</v>
      </c>
      <c r="DQ485" s="48"/>
      <c r="DR485" s="49" t="s">
        <v>312</v>
      </c>
      <c r="DS485" s="49" t="s">
        <v>303</v>
      </c>
      <c r="DT485" s="49" t="s">
        <v>303</v>
      </c>
      <c r="DW485" s="49" t="s">
        <v>303</v>
      </c>
      <c r="EA485" s="49" t="s">
        <v>324</v>
      </c>
      <c r="EB485" s="49" t="s">
        <v>303</v>
      </c>
      <c r="EF485" s="49" t="s">
        <v>2139</v>
      </c>
      <c r="EH485" s="49" t="s">
        <v>310</v>
      </c>
      <c r="EJ485" s="49" t="s">
        <v>303</v>
      </c>
      <c r="EK485" s="49" t="s">
        <v>2140</v>
      </c>
      <c r="EM485" s="49" t="s">
        <v>303</v>
      </c>
      <c r="EN485" s="49" t="s">
        <v>472</v>
      </c>
      <c r="EP485" s="49" t="s">
        <v>298</v>
      </c>
      <c r="EQ485" s="0" t="n">
        <v>1</v>
      </c>
      <c r="ER485" s="49" t="s">
        <v>328</v>
      </c>
      <c r="ES485" s="49" t="s">
        <v>329</v>
      </c>
      <c r="ET485" s="49" t="s">
        <v>310</v>
      </c>
      <c r="EU485" s="49" t="s">
        <v>310</v>
      </c>
      <c r="EV485" s="49" t="s">
        <v>310</v>
      </c>
      <c r="EX485" s="49" t="s">
        <v>303</v>
      </c>
      <c r="EY485" s="49" t="s">
        <v>303</v>
      </c>
      <c r="FC485" s="49" t="s">
        <v>330</v>
      </c>
      <c r="FD485" s="49" t="s">
        <v>310</v>
      </c>
      <c r="FE485" s="49" t="s">
        <v>310</v>
      </c>
      <c r="FF485" s="49" t="s">
        <v>70</v>
      </c>
      <c r="FG485" s="49" t="s">
        <v>473</v>
      </c>
      <c r="FH485" s="49" t="s">
        <v>310</v>
      </c>
      <c r="FI485" s="49" t="s">
        <v>332</v>
      </c>
      <c r="FJ485" s="49" t="s">
        <v>303</v>
      </c>
      <c r="FL485" s="49" t="s">
        <v>325</v>
      </c>
      <c r="FM485" s="49" t="s">
        <v>2100</v>
      </c>
      <c r="FP485" s="49" t="s">
        <v>303</v>
      </c>
      <c r="FR485" s="49" t="s">
        <v>303</v>
      </c>
      <c r="FT485" s="49" t="s">
        <v>325</v>
      </c>
      <c r="FU485" s="49" t="s">
        <v>325</v>
      </c>
      <c r="FW485" s="49" t="s">
        <v>333</v>
      </c>
    </row>
    <row r="486" customFormat="false" ht="15" hidden="false" customHeight="false" outlineLevel="0" collapsed="false">
      <c r="A486" s="0" t="n">
        <v>100873319</v>
      </c>
      <c r="B486" s="0" t="s">
        <v>295</v>
      </c>
      <c r="C486" s="0" t="s">
        <v>72</v>
      </c>
      <c r="D486" s="0" t="s">
        <v>480</v>
      </c>
      <c r="E486" s="0" t="s">
        <v>297</v>
      </c>
      <c r="G486" s="0" t="n">
        <v>1</v>
      </c>
      <c r="H486" s="0" t="s">
        <v>298</v>
      </c>
      <c r="I486" s="48" t="n">
        <v>46241</v>
      </c>
      <c r="J486" s="0" t="n">
        <v>1</v>
      </c>
      <c r="K486" s="49" t="s">
        <v>2100</v>
      </c>
      <c r="L486" s="49" t="s">
        <v>1035</v>
      </c>
      <c r="M486" s="48" t="n">
        <v>46241</v>
      </c>
      <c r="N486" s="49" t="s">
        <v>1035</v>
      </c>
      <c r="O486" s="49" t="s">
        <v>1052</v>
      </c>
      <c r="P486" s="48"/>
      <c r="Q486" s="48" t="n">
        <v>46241</v>
      </c>
      <c r="R486" s="48" t="n">
        <v>46248</v>
      </c>
      <c r="T486" s="49" t="s">
        <v>302</v>
      </c>
      <c r="U486" s="49" t="s">
        <v>303</v>
      </c>
      <c r="Y486" s="49" t="s">
        <v>2141</v>
      </c>
      <c r="AD486" s="49" t="s">
        <v>305</v>
      </c>
      <c r="AE486" s="48" t="n">
        <v>46219</v>
      </c>
      <c r="AF486" s="49" t="s">
        <v>306</v>
      </c>
      <c r="AG486" s="49" t="s">
        <v>307</v>
      </c>
      <c r="AK486" s="49" t="s">
        <v>1047</v>
      </c>
      <c r="AL486" s="49" t="s">
        <v>297</v>
      </c>
      <c r="AO486" s="49" t="s">
        <v>303</v>
      </c>
      <c r="AP486" s="48"/>
      <c r="AR486" s="49" t="s">
        <v>303</v>
      </c>
      <c r="AS486" s="49" t="s">
        <v>306</v>
      </c>
      <c r="AT486" s="49" t="s">
        <v>2142</v>
      </c>
      <c r="AV486" s="49" t="s">
        <v>309</v>
      </c>
      <c r="AW486" s="49" t="s">
        <v>310</v>
      </c>
      <c r="AX486" s="49" t="s">
        <v>311</v>
      </c>
      <c r="AY486" s="48"/>
      <c r="AZ486" s="48" t="n">
        <v>46239</v>
      </c>
      <c r="BC486" s="49" t="s">
        <v>303</v>
      </c>
      <c r="BD486" s="48" t="n">
        <v>46271</v>
      </c>
      <c r="BE486" s="49" t="s">
        <v>2143</v>
      </c>
      <c r="BF486" s="49" t="s">
        <v>303</v>
      </c>
      <c r="BG486" s="48"/>
      <c r="BI486" s="48" t="n">
        <v>46273</v>
      </c>
      <c r="BJ486" s="48" t="n">
        <v>46246</v>
      </c>
      <c r="BK486" s="49" t="s">
        <v>312</v>
      </c>
      <c r="BL486" s="49" t="s">
        <v>313</v>
      </c>
      <c r="BM486" s="49" t="s">
        <v>310</v>
      </c>
      <c r="BN486" s="48"/>
      <c r="BO486" s="48"/>
      <c r="BP486" s="48"/>
      <c r="BQ486" s="49" t="s">
        <v>2118</v>
      </c>
      <c r="BR486" s="48" t="n">
        <v>46246</v>
      </c>
      <c r="BS486" s="49" t="s">
        <v>2144</v>
      </c>
      <c r="BT486" s="49" t="s">
        <v>312</v>
      </c>
      <c r="BU486" s="49" t="s">
        <v>313</v>
      </c>
      <c r="BV486" s="49" t="s">
        <v>303</v>
      </c>
      <c r="BX486" s="0" t="n">
        <v>1</v>
      </c>
      <c r="CC486" s="49" t="s">
        <v>315</v>
      </c>
      <c r="CD486" s="49" t="s">
        <v>303</v>
      </c>
      <c r="CF486" s="49" t="s">
        <v>303</v>
      </c>
      <c r="CG486" s="49" t="s">
        <v>316</v>
      </c>
      <c r="CH486" s="49" t="s">
        <v>317</v>
      </c>
      <c r="CI486" s="49" t="s">
        <v>318</v>
      </c>
      <c r="CM486" s="49" t="s">
        <v>480</v>
      </c>
      <c r="CV486" s="49" t="s">
        <v>303</v>
      </c>
      <c r="DB486" s="49" t="s">
        <v>319</v>
      </c>
      <c r="DD486" s="48" t="n">
        <v>46219</v>
      </c>
      <c r="DF486" s="49" t="s">
        <v>310</v>
      </c>
      <c r="DG486" s="49" t="s">
        <v>320</v>
      </c>
      <c r="DH486" s="49" t="s">
        <v>72</v>
      </c>
      <c r="DI486" s="49" t="s">
        <v>298</v>
      </c>
      <c r="DJ486" s="49" t="s">
        <v>321</v>
      </c>
      <c r="DK486" s="49" t="s">
        <v>322</v>
      </c>
      <c r="DL486" s="49" t="s">
        <v>323</v>
      </c>
      <c r="DM486" s="49" t="s">
        <v>303</v>
      </c>
      <c r="DN486" s="49" t="s">
        <v>297</v>
      </c>
      <c r="DO486" s="48"/>
      <c r="DP486" s="49" t="s">
        <v>312</v>
      </c>
      <c r="DQ486" s="48"/>
      <c r="DR486" s="49" t="s">
        <v>312</v>
      </c>
      <c r="DS486" s="49" t="s">
        <v>303</v>
      </c>
      <c r="DT486" s="49" t="s">
        <v>303</v>
      </c>
      <c r="DW486" s="49" t="s">
        <v>303</v>
      </c>
      <c r="EA486" s="49" t="s">
        <v>324</v>
      </c>
      <c r="EB486" s="49" t="s">
        <v>303</v>
      </c>
      <c r="EH486" s="49" t="s">
        <v>310</v>
      </c>
      <c r="EJ486" s="49" t="s">
        <v>303</v>
      </c>
      <c r="EK486" s="49" t="s">
        <v>2145</v>
      </c>
      <c r="EM486" s="49" t="s">
        <v>303</v>
      </c>
      <c r="EN486" s="49" t="s">
        <v>485</v>
      </c>
      <c r="EP486" s="49" t="s">
        <v>298</v>
      </c>
      <c r="EQ486" s="0" t="n">
        <v>1</v>
      </c>
      <c r="ER486" s="49" t="s">
        <v>328</v>
      </c>
      <c r="ES486" s="49" t="s">
        <v>329</v>
      </c>
      <c r="ET486" s="49" t="s">
        <v>310</v>
      </c>
      <c r="EU486" s="49" t="s">
        <v>310</v>
      </c>
      <c r="EV486" s="49" t="s">
        <v>310</v>
      </c>
      <c r="EX486" s="49" t="s">
        <v>303</v>
      </c>
      <c r="EY486" s="49" t="s">
        <v>303</v>
      </c>
      <c r="FC486" s="49" t="s">
        <v>330</v>
      </c>
      <c r="FD486" s="49" t="s">
        <v>310</v>
      </c>
      <c r="FE486" s="49" t="s">
        <v>310</v>
      </c>
      <c r="FF486" s="49" t="s">
        <v>72</v>
      </c>
      <c r="FG486" s="49" t="s">
        <v>486</v>
      </c>
      <c r="FH486" s="49" t="s">
        <v>310</v>
      </c>
      <c r="FI486" s="49" t="s">
        <v>332</v>
      </c>
      <c r="FJ486" s="49" t="s">
        <v>303</v>
      </c>
      <c r="FL486" s="49" t="s">
        <v>325</v>
      </c>
      <c r="FM486" s="49" t="s">
        <v>2100</v>
      </c>
      <c r="FP486" s="49" t="s">
        <v>303</v>
      </c>
      <c r="FR486" s="49" t="s">
        <v>303</v>
      </c>
      <c r="FT486" s="49" t="s">
        <v>325</v>
      </c>
      <c r="FU486" s="49" t="s">
        <v>325</v>
      </c>
      <c r="FW486" s="49" t="s">
        <v>333</v>
      </c>
    </row>
    <row r="487" customFormat="false" ht="15" hidden="false" customHeight="false" outlineLevel="0" collapsed="false">
      <c r="A487" s="0" t="n">
        <v>100873320</v>
      </c>
      <c r="B487" s="0" t="s">
        <v>295</v>
      </c>
      <c r="C487" s="0" t="s">
        <v>72</v>
      </c>
      <c r="D487" s="0" t="s">
        <v>480</v>
      </c>
      <c r="E487" s="0" t="s">
        <v>297</v>
      </c>
      <c r="G487" s="0" t="n">
        <v>1</v>
      </c>
      <c r="H487" s="0" t="s">
        <v>298</v>
      </c>
      <c r="I487" s="48" t="n">
        <v>46241</v>
      </c>
      <c r="J487" s="0" t="n">
        <v>1</v>
      </c>
      <c r="K487" s="49" t="s">
        <v>2100</v>
      </c>
      <c r="L487" s="49" t="s">
        <v>1035</v>
      </c>
      <c r="M487" s="48"/>
      <c r="O487" s="49" t="s">
        <v>1052</v>
      </c>
      <c r="P487" s="48"/>
      <c r="Q487" s="48" t="n">
        <v>46241</v>
      </c>
      <c r="R487" s="48" t="n">
        <v>46247</v>
      </c>
      <c r="T487" s="49" t="s">
        <v>302</v>
      </c>
      <c r="U487" s="49" t="s">
        <v>303</v>
      </c>
      <c r="Y487" s="49" t="s">
        <v>312</v>
      </c>
      <c r="AD487" s="49" t="s">
        <v>305</v>
      </c>
      <c r="AE487" s="48" t="n">
        <v>46219</v>
      </c>
      <c r="AF487" s="49" t="s">
        <v>306</v>
      </c>
      <c r="AG487" s="49" t="s">
        <v>307</v>
      </c>
      <c r="AK487" s="49" t="s">
        <v>1047</v>
      </c>
      <c r="AL487" s="49" t="s">
        <v>297</v>
      </c>
      <c r="AO487" s="49" t="s">
        <v>303</v>
      </c>
      <c r="AP487" s="48"/>
      <c r="AR487" s="49" t="s">
        <v>303</v>
      </c>
      <c r="AS487" s="49" t="s">
        <v>306</v>
      </c>
      <c r="AT487" s="49" t="s">
        <v>2146</v>
      </c>
      <c r="AV487" s="49" t="s">
        <v>309</v>
      </c>
      <c r="AW487" s="49" t="s">
        <v>310</v>
      </c>
      <c r="AX487" s="49" t="s">
        <v>311</v>
      </c>
      <c r="AY487" s="48"/>
      <c r="AZ487" s="48" t="n">
        <v>46239</v>
      </c>
      <c r="BC487" s="49" t="s">
        <v>303</v>
      </c>
      <c r="BD487" s="48" t="n">
        <v>46267</v>
      </c>
      <c r="BE487" s="49" t="s">
        <v>2147</v>
      </c>
      <c r="BF487" s="49" t="s">
        <v>303</v>
      </c>
      <c r="BG487" s="48"/>
      <c r="BI487" s="48" t="n">
        <v>46267</v>
      </c>
      <c r="BJ487" s="48" t="n">
        <v>46246</v>
      </c>
      <c r="BK487" s="49" t="s">
        <v>313</v>
      </c>
      <c r="BL487" s="49" t="s">
        <v>313</v>
      </c>
      <c r="BM487" s="49" t="s">
        <v>310</v>
      </c>
      <c r="BN487" s="48"/>
      <c r="BO487" s="48"/>
      <c r="BP487" s="48"/>
      <c r="BQ487" s="49" t="s">
        <v>1594</v>
      </c>
      <c r="BR487" s="48" t="n">
        <v>46246</v>
      </c>
      <c r="BS487" s="49" t="s">
        <v>2148</v>
      </c>
      <c r="BT487" s="49" t="s">
        <v>312</v>
      </c>
      <c r="BU487" s="49" t="s">
        <v>313</v>
      </c>
      <c r="BV487" s="49" t="s">
        <v>303</v>
      </c>
      <c r="BX487" s="0" t="n">
        <v>1</v>
      </c>
      <c r="CC487" s="49" t="s">
        <v>315</v>
      </c>
      <c r="CD487" s="49" t="s">
        <v>303</v>
      </c>
      <c r="CF487" s="49" t="s">
        <v>303</v>
      </c>
      <c r="CG487" s="49" t="s">
        <v>316</v>
      </c>
      <c r="CH487" s="49" t="s">
        <v>317</v>
      </c>
      <c r="CI487" s="49" t="s">
        <v>318</v>
      </c>
      <c r="CM487" s="49" t="s">
        <v>480</v>
      </c>
      <c r="CV487" s="49" t="s">
        <v>303</v>
      </c>
      <c r="DB487" s="49" t="s">
        <v>319</v>
      </c>
      <c r="DD487" s="48" t="n">
        <v>46219</v>
      </c>
      <c r="DF487" s="49" t="s">
        <v>310</v>
      </c>
      <c r="DG487" s="49" t="s">
        <v>320</v>
      </c>
      <c r="DH487" s="49" t="s">
        <v>72</v>
      </c>
      <c r="DI487" s="49" t="s">
        <v>298</v>
      </c>
      <c r="DJ487" s="49" t="s">
        <v>321</v>
      </c>
      <c r="DK487" s="49" t="s">
        <v>322</v>
      </c>
      <c r="DL487" s="49" t="s">
        <v>323</v>
      </c>
      <c r="DM487" s="49" t="s">
        <v>303</v>
      </c>
      <c r="DN487" s="49" t="s">
        <v>297</v>
      </c>
      <c r="DO487" s="48"/>
      <c r="DP487" s="49" t="s">
        <v>312</v>
      </c>
      <c r="DQ487" s="48"/>
      <c r="DR487" s="49" t="s">
        <v>312</v>
      </c>
      <c r="DS487" s="49" t="s">
        <v>303</v>
      </c>
      <c r="DT487" s="49" t="s">
        <v>303</v>
      </c>
      <c r="DW487" s="49" t="s">
        <v>303</v>
      </c>
      <c r="EA487" s="49" t="s">
        <v>324</v>
      </c>
      <c r="EB487" s="49" t="s">
        <v>303</v>
      </c>
      <c r="EF487" s="49" t="s">
        <v>2149</v>
      </c>
      <c r="EH487" s="49" t="s">
        <v>310</v>
      </c>
      <c r="EJ487" s="49" t="s">
        <v>303</v>
      </c>
      <c r="EK487" s="49" t="s">
        <v>2150</v>
      </c>
      <c r="EM487" s="49" t="s">
        <v>303</v>
      </c>
      <c r="EN487" s="49" t="s">
        <v>485</v>
      </c>
      <c r="EP487" s="49" t="s">
        <v>298</v>
      </c>
      <c r="EQ487" s="0" t="n">
        <v>1</v>
      </c>
      <c r="ER487" s="49" t="s">
        <v>328</v>
      </c>
      <c r="ES487" s="49" t="s">
        <v>329</v>
      </c>
      <c r="ET487" s="49" t="s">
        <v>310</v>
      </c>
      <c r="EU487" s="49" t="s">
        <v>310</v>
      </c>
      <c r="EV487" s="49" t="s">
        <v>310</v>
      </c>
      <c r="EX487" s="49" t="s">
        <v>303</v>
      </c>
      <c r="EY487" s="49" t="s">
        <v>303</v>
      </c>
      <c r="FC487" s="49" t="s">
        <v>330</v>
      </c>
      <c r="FD487" s="49" t="s">
        <v>310</v>
      </c>
      <c r="FE487" s="49" t="s">
        <v>310</v>
      </c>
      <c r="FF487" s="49" t="s">
        <v>72</v>
      </c>
      <c r="FG487" s="49" t="s">
        <v>486</v>
      </c>
      <c r="FH487" s="49" t="s">
        <v>310</v>
      </c>
      <c r="FI487" s="49" t="s">
        <v>332</v>
      </c>
      <c r="FJ487" s="49" t="s">
        <v>303</v>
      </c>
      <c r="FL487" s="49" t="s">
        <v>325</v>
      </c>
      <c r="FM487" s="49" t="s">
        <v>2100</v>
      </c>
      <c r="FP487" s="49" t="s">
        <v>303</v>
      </c>
      <c r="FR487" s="49" t="s">
        <v>303</v>
      </c>
      <c r="FT487" s="49" t="s">
        <v>325</v>
      </c>
      <c r="FU487" s="49" t="s">
        <v>325</v>
      </c>
      <c r="FW487" s="49" t="s">
        <v>333</v>
      </c>
    </row>
    <row r="488" customFormat="false" ht="15" hidden="false" customHeight="false" outlineLevel="0" collapsed="false">
      <c r="A488" s="0" t="n">
        <v>100873321</v>
      </c>
      <c r="B488" s="0" t="s">
        <v>295</v>
      </c>
      <c r="C488" s="0" t="s">
        <v>72</v>
      </c>
      <c r="D488" s="0" t="s">
        <v>480</v>
      </c>
      <c r="E488" s="0" t="s">
        <v>297</v>
      </c>
      <c r="G488" s="0" t="n">
        <v>1</v>
      </c>
      <c r="H488" s="0" t="s">
        <v>298</v>
      </c>
      <c r="I488" s="48" t="n">
        <v>46241</v>
      </c>
      <c r="J488" s="0" t="n">
        <v>1</v>
      </c>
      <c r="K488" s="49" t="s">
        <v>2100</v>
      </c>
      <c r="L488" s="49" t="s">
        <v>1035</v>
      </c>
      <c r="M488" s="48"/>
      <c r="O488" s="49" t="s">
        <v>1045</v>
      </c>
      <c r="P488" s="48"/>
      <c r="Q488" s="48" t="n">
        <v>46241</v>
      </c>
      <c r="R488" s="48" t="n">
        <v>46247</v>
      </c>
      <c r="T488" s="49" t="s">
        <v>302</v>
      </c>
      <c r="U488" s="49" t="s">
        <v>303</v>
      </c>
      <c r="Y488" s="49" t="s">
        <v>312</v>
      </c>
      <c r="AD488" s="49" t="s">
        <v>305</v>
      </c>
      <c r="AE488" s="48" t="n">
        <v>46219</v>
      </c>
      <c r="AF488" s="49" t="s">
        <v>306</v>
      </c>
      <c r="AG488" s="49" t="s">
        <v>307</v>
      </c>
      <c r="AK488" s="49" t="s">
        <v>1047</v>
      </c>
      <c r="AL488" s="49" t="s">
        <v>297</v>
      </c>
      <c r="AO488" s="49" t="s">
        <v>303</v>
      </c>
      <c r="AP488" s="48"/>
      <c r="AR488" s="49" t="s">
        <v>303</v>
      </c>
      <c r="AS488" s="49" t="s">
        <v>306</v>
      </c>
      <c r="AT488" s="49" t="s">
        <v>2151</v>
      </c>
      <c r="AV488" s="49" t="s">
        <v>309</v>
      </c>
      <c r="AW488" s="49" t="s">
        <v>310</v>
      </c>
      <c r="AX488" s="49" t="s">
        <v>311</v>
      </c>
      <c r="AY488" s="48"/>
      <c r="AZ488" s="48" t="n">
        <v>46239</v>
      </c>
      <c r="BC488" s="49" t="s">
        <v>303</v>
      </c>
      <c r="BD488" s="48" t="n">
        <v>46263</v>
      </c>
      <c r="BE488" s="49" t="s">
        <v>2152</v>
      </c>
      <c r="BF488" s="49" t="s">
        <v>303</v>
      </c>
      <c r="BG488" s="48"/>
      <c r="BI488" s="48" t="n">
        <v>46264</v>
      </c>
      <c r="BJ488" s="48" t="n">
        <v>46246</v>
      </c>
      <c r="BK488" s="49" t="s">
        <v>313</v>
      </c>
      <c r="BL488" s="49" t="s">
        <v>313</v>
      </c>
      <c r="BM488" s="49" t="s">
        <v>310</v>
      </c>
      <c r="BN488" s="48"/>
      <c r="BO488" s="48"/>
      <c r="BP488" s="48"/>
      <c r="BQ488" s="49" t="s">
        <v>2086</v>
      </c>
      <c r="BR488" s="48" t="n">
        <v>46246</v>
      </c>
      <c r="BS488" s="49" t="s">
        <v>2153</v>
      </c>
      <c r="BT488" s="49" t="s">
        <v>312</v>
      </c>
      <c r="BU488" s="49" t="s">
        <v>313</v>
      </c>
      <c r="BV488" s="49" t="s">
        <v>303</v>
      </c>
      <c r="BX488" s="0" t="n">
        <v>1</v>
      </c>
      <c r="CC488" s="49" t="s">
        <v>315</v>
      </c>
      <c r="CD488" s="49" t="s">
        <v>303</v>
      </c>
      <c r="CF488" s="49" t="s">
        <v>303</v>
      </c>
      <c r="CG488" s="49" t="s">
        <v>316</v>
      </c>
      <c r="CH488" s="49" t="s">
        <v>317</v>
      </c>
      <c r="CI488" s="49" t="s">
        <v>318</v>
      </c>
      <c r="CM488" s="49" t="s">
        <v>480</v>
      </c>
      <c r="CV488" s="49" t="s">
        <v>303</v>
      </c>
      <c r="DB488" s="49" t="s">
        <v>319</v>
      </c>
      <c r="DD488" s="48" t="n">
        <v>46219</v>
      </c>
      <c r="DF488" s="49" t="s">
        <v>310</v>
      </c>
      <c r="DG488" s="49" t="s">
        <v>320</v>
      </c>
      <c r="DH488" s="49" t="s">
        <v>72</v>
      </c>
      <c r="DI488" s="49" t="s">
        <v>298</v>
      </c>
      <c r="DJ488" s="49" t="s">
        <v>321</v>
      </c>
      <c r="DK488" s="49" t="s">
        <v>322</v>
      </c>
      <c r="DL488" s="49" t="s">
        <v>323</v>
      </c>
      <c r="DM488" s="49" t="s">
        <v>303</v>
      </c>
      <c r="DN488" s="49" t="s">
        <v>297</v>
      </c>
      <c r="DO488" s="48"/>
      <c r="DP488" s="49" t="s">
        <v>312</v>
      </c>
      <c r="DQ488" s="48"/>
      <c r="DR488" s="49" t="s">
        <v>312</v>
      </c>
      <c r="DS488" s="49" t="s">
        <v>303</v>
      </c>
      <c r="DT488" s="49" t="s">
        <v>303</v>
      </c>
      <c r="DW488" s="49" t="s">
        <v>303</v>
      </c>
      <c r="EA488" s="49" t="s">
        <v>324</v>
      </c>
      <c r="EB488" s="49" t="s">
        <v>303</v>
      </c>
      <c r="EF488" s="49" t="s">
        <v>2149</v>
      </c>
      <c r="EH488" s="49" t="s">
        <v>310</v>
      </c>
      <c r="EJ488" s="49" t="s">
        <v>303</v>
      </c>
      <c r="EK488" s="49" t="s">
        <v>2154</v>
      </c>
      <c r="EM488" s="49" t="s">
        <v>303</v>
      </c>
      <c r="EN488" s="49" t="s">
        <v>485</v>
      </c>
      <c r="EP488" s="49" t="s">
        <v>298</v>
      </c>
      <c r="EQ488" s="0" t="n">
        <v>1</v>
      </c>
      <c r="ER488" s="49" t="s">
        <v>328</v>
      </c>
      <c r="ES488" s="49" t="s">
        <v>329</v>
      </c>
      <c r="ET488" s="49" t="s">
        <v>310</v>
      </c>
      <c r="EU488" s="49" t="s">
        <v>310</v>
      </c>
      <c r="EV488" s="49" t="s">
        <v>310</v>
      </c>
      <c r="EX488" s="49" t="s">
        <v>303</v>
      </c>
      <c r="EY488" s="49" t="s">
        <v>303</v>
      </c>
      <c r="FC488" s="49" t="s">
        <v>330</v>
      </c>
      <c r="FD488" s="49" t="s">
        <v>310</v>
      </c>
      <c r="FE488" s="49" t="s">
        <v>310</v>
      </c>
      <c r="FF488" s="49" t="s">
        <v>72</v>
      </c>
      <c r="FG488" s="49" t="s">
        <v>486</v>
      </c>
      <c r="FH488" s="49" t="s">
        <v>310</v>
      </c>
      <c r="FI488" s="49" t="s">
        <v>332</v>
      </c>
      <c r="FJ488" s="49" t="s">
        <v>303</v>
      </c>
      <c r="FL488" s="49" t="s">
        <v>325</v>
      </c>
      <c r="FM488" s="49" t="s">
        <v>2100</v>
      </c>
      <c r="FP488" s="49" t="s">
        <v>303</v>
      </c>
      <c r="FR488" s="49" t="s">
        <v>303</v>
      </c>
      <c r="FT488" s="49" t="s">
        <v>325</v>
      </c>
      <c r="FU488" s="49" t="s">
        <v>325</v>
      </c>
      <c r="FW488" s="49" t="s">
        <v>333</v>
      </c>
    </row>
    <row r="489" customFormat="false" ht="15" hidden="false" customHeight="false" outlineLevel="0" collapsed="false">
      <c r="A489" s="0" t="n">
        <v>100873284</v>
      </c>
      <c r="B489" s="0" t="s">
        <v>295</v>
      </c>
      <c r="C489" s="0" t="s">
        <v>53</v>
      </c>
      <c r="D489" s="0" t="s">
        <v>54</v>
      </c>
      <c r="E489" s="0" t="s">
        <v>297</v>
      </c>
      <c r="G489" s="0" t="n">
        <v>1</v>
      </c>
      <c r="H489" s="0" t="s">
        <v>298</v>
      </c>
      <c r="I489" s="48" t="n">
        <v>46240</v>
      </c>
      <c r="J489" s="0" t="n">
        <v>1</v>
      </c>
      <c r="K489" s="49" t="s">
        <v>2155</v>
      </c>
      <c r="L489" s="49" t="s">
        <v>335</v>
      </c>
      <c r="M489" s="48" t="n">
        <v>46240</v>
      </c>
      <c r="N489" s="49" t="s">
        <v>335</v>
      </c>
      <c r="O489" s="49" t="s">
        <v>1052</v>
      </c>
      <c r="P489" s="48"/>
      <c r="Q489" s="48" t="n">
        <v>46240</v>
      </c>
      <c r="R489" s="48" t="n">
        <v>46247</v>
      </c>
      <c r="T489" s="49" t="s">
        <v>302</v>
      </c>
      <c r="U489" s="49" t="s">
        <v>303</v>
      </c>
      <c r="Y489" s="49" t="s">
        <v>2156</v>
      </c>
      <c r="AD489" s="49" t="s">
        <v>305</v>
      </c>
      <c r="AE489" s="48" t="n">
        <v>46210</v>
      </c>
      <c r="AF489" s="49" t="s">
        <v>306</v>
      </c>
      <c r="AG489" s="49" t="s">
        <v>307</v>
      </c>
      <c r="AK489" s="49" t="s">
        <v>1047</v>
      </c>
      <c r="AL489" s="49" t="s">
        <v>297</v>
      </c>
      <c r="AO489" s="49" t="s">
        <v>303</v>
      </c>
      <c r="AP489" s="48"/>
      <c r="AR489" s="49" t="s">
        <v>303</v>
      </c>
      <c r="AS489" s="49" t="s">
        <v>306</v>
      </c>
      <c r="AT489" s="49" t="s">
        <v>2157</v>
      </c>
      <c r="AV489" s="49" t="s">
        <v>309</v>
      </c>
      <c r="AW489" s="49" t="s">
        <v>310</v>
      </c>
      <c r="AX489" s="49" t="s">
        <v>311</v>
      </c>
      <c r="AY489" s="48"/>
      <c r="AZ489" s="48" t="n">
        <v>46232</v>
      </c>
      <c r="BC489" s="49" t="s">
        <v>303</v>
      </c>
      <c r="BD489" s="48" t="n">
        <v>46271</v>
      </c>
      <c r="BE489" s="49" t="s">
        <v>2158</v>
      </c>
      <c r="BF489" s="49" t="s">
        <v>303</v>
      </c>
      <c r="BG489" s="48"/>
      <c r="BI489" s="48" t="n">
        <v>46271</v>
      </c>
      <c r="BJ489" s="48" t="n">
        <v>46245</v>
      </c>
      <c r="BK489" s="49" t="s">
        <v>312</v>
      </c>
      <c r="BL489" s="49" t="s">
        <v>313</v>
      </c>
      <c r="BM489" s="49" t="s">
        <v>310</v>
      </c>
      <c r="BN489" s="48"/>
      <c r="BO489" s="48"/>
      <c r="BP489" s="48"/>
      <c r="BQ489" s="49" t="s">
        <v>1864</v>
      </c>
      <c r="BR489" s="48" t="n">
        <v>46239</v>
      </c>
      <c r="BS489" s="49" t="s">
        <v>2159</v>
      </c>
      <c r="BT489" s="49" t="s">
        <v>312</v>
      </c>
      <c r="BU489" s="49" t="s">
        <v>312</v>
      </c>
      <c r="BV489" s="49" t="s">
        <v>303</v>
      </c>
      <c r="BX489" s="0" t="n">
        <v>1</v>
      </c>
      <c r="CC489" s="49" t="s">
        <v>315</v>
      </c>
      <c r="CD489" s="49" t="s">
        <v>303</v>
      </c>
      <c r="CF489" s="49" t="s">
        <v>303</v>
      </c>
      <c r="CG489" s="49" t="s">
        <v>316</v>
      </c>
      <c r="CH489" s="49" t="s">
        <v>317</v>
      </c>
      <c r="CI489" s="49" t="s">
        <v>318</v>
      </c>
      <c r="CM489" s="49" t="s">
        <v>54</v>
      </c>
      <c r="CV489" s="49" t="s">
        <v>303</v>
      </c>
      <c r="DB489" s="49" t="s">
        <v>319</v>
      </c>
      <c r="DD489" s="48" t="n">
        <v>46210</v>
      </c>
      <c r="DF489" s="49" t="s">
        <v>310</v>
      </c>
      <c r="DG489" s="49" t="s">
        <v>320</v>
      </c>
      <c r="DH489" s="49" t="s">
        <v>53</v>
      </c>
      <c r="DI489" s="49" t="s">
        <v>298</v>
      </c>
      <c r="DJ489" s="49" t="s">
        <v>355</v>
      </c>
      <c r="DK489" s="49" t="s">
        <v>322</v>
      </c>
      <c r="DL489" s="49" t="s">
        <v>323</v>
      </c>
      <c r="DM489" s="49" t="s">
        <v>303</v>
      </c>
      <c r="DN489" s="49" t="s">
        <v>297</v>
      </c>
      <c r="DO489" s="48"/>
      <c r="DP489" s="49" t="s">
        <v>312</v>
      </c>
      <c r="DQ489" s="48"/>
      <c r="DR489" s="49" t="s">
        <v>312</v>
      </c>
      <c r="DS489" s="49" t="s">
        <v>303</v>
      </c>
      <c r="DT489" s="49" t="s">
        <v>303</v>
      </c>
      <c r="DW489" s="49" t="s">
        <v>303</v>
      </c>
      <c r="EA489" s="49" t="s">
        <v>324</v>
      </c>
      <c r="EB489" s="49" t="s">
        <v>303</v>
      </c>
      <c r="EH489" s="49" t="s">
        <v>310</v>
      </c>
      <c r="EJ489" s="49" t="s">
        <v>303</v>
      </c>
      <c r="EK489" s="49" t="s">
        <v>2160</v>
      </c>
      <c r="EM489" s="49" t="s">
        <v>303</v>
      </c>
      <c r="EN489" s="49" t="s">
        <v>357</v>
      </c>
      <c r="EP489" s="49" t="s">
        <v>298</v>
      </c>
      <c r="EQ489" s="0" t="n">
        <v>1</v>
      </c>
      <c r="ER489" s="49" t="s">
        <v>328</v>
      </c>
      <c r="ES489" s="49" t="s">
        <v>358</v>
      </c>
      <c r="ET489" s="49" t="s">
        <v>310</v>
      </c>
      <c r="EU489" s="49" t="s">
        <v>310</v>
      </c>
      <c r="EV489" s="49" t="s">
        <v>310</v>
      </c>
      <c r="EX489" s="49" t="s">
        <v>303</v>
      </c>
      <c r="EY489" s="49" t="s">
        <v>303</v>
      </c>
      <c r="FC489" s="49" t="s">
        <v>330</v>
      </c>
      <c r="FD489" s="49" t="s">
        <v>310</v>
      </c>
      <c r="FE489" s="49" t="s">
        <v>310</v>
      </c>
      <c r="FF489" s="49" t="s">
        <v>53</v>
      </c>
      <c r="FG489" s="49" t="s">
        <v>359</v>
      </c>
      <c r="FH489" s="49" t="s">
        <v>310</v>
      </c>
      <c r="FI489" s="49" t="s">
        <v>332</v>
      </c>
      <c r="FJ489" s="49" t="s">
        <v>303</v>
      </c>
      <c r="FL489" s="49" t="s">
        <v>325</v>
      </c>
      <c r="FM489" s="49" t="s">
        <v>2155</v>
      </c>
      <c r="FP489" s="49" t="s">
        <v>303</v>
      </c>
      <c r="FR489" s="49" t="s">
        <v>303</v>
      </c>
      <c r="FT489" s="49" t="s">
        <v>325</v>
      </c>
      <c r="FU489" s="49" t="s">
        <v>325</v>
      </c>
      <c r="FW489" s="49" t="s">
        <v>333</v>
      </c>
    </row>
    <row r="490" customFormat="false" ht="15" hidden="false" customHeight="false" outlineLevel="0" collapsed="false">
      <c r="A490" s="0" t="n">
        <v>100872658</v>
      </c>
      <c r="B490" s="0" t="s">
        <v>295</v>
      </c>
      <c r="C490" s="0" t="s">
        <v>56</v>
      </c>
      <c r="D490" s="0" t="s">
        <v>57</v>
      </c>
      <c r="E490" s="0" t="s">
        <v>297</v>
      </c>
      <c r="G490" s="0" t="n">
        <v>1</v>
      </c>
      <c r="H490" s="0" t="s">
        <v>298</v>
      </c>
      <c r="I490" s="48" t="n">
        <v>46238</v>
      </c>
      <c r="J490" s="0" t="n">
        <v>1</v>
      </c>
      <c r="K490" s="49" t="s">
        <v>2161</v>
      </c>
      <c r="L490" s="49" t="s">
        <v>1035</v>
      </c>
      <c r="M490" s="48" t="n">
        <v>46238</v>
      </c>
      <c r="N490" s="49" t="s">
        <v>1035</v>
      </c>
      <c r="O490" s="49" t="s">
        <v>1045</v>
      </c>
      <c r="P490" s="48"/>
      <c r="Q490" s="48" t="n">
        <v>46238</v>
      </c>
      <c r="R490" s="48" t="n">
        <v>46245</v>
      </c>
      <c r="T490" s="49" t="s">
        <v>302</v>
      </c>
      <c r="U490" s="49" t="s">
        <v>303</v>
      </c>
      <c r="Y490" s="49" t="s">
        <v>2162</v>
      </c>
      <c r="AD490" s="49" t="s">
        <v>305</v>
      </c>
      <c r="AE490" s="48" t="n">
        <v>46219</v>
      </c>
      <c r="AF490" s="49" t="s">
        <v>306</v>
      </c>
      <c r="AG490" s="49" t="s">
        <v>307</v>
      </c>
      <c r="AK490" s="49" t="s">
        <v>1047</v>
      </c>
      <c r="AL490" s="49" t="s">
        <v>297</v>
      </c>
      <c r="AO490" s="49" t="s">
        <v>303</v>
      </c>
      <c r="AP490" s="48"/>
      <c r="AR490" s="49" t="s">
        <v>303</v>
      </c>
      <c r="AS490" s="49" t="s">
        <v>306</v>
      </c>
      <c r="AT490" s="49" t="s">
        <v>2163</v>
      </c>
      <c r="AV490" s="49" t="s">
        <v>309</v>
      </c>
      <c r="AW490" s="49" t="s">
        <v>310</v>
      </c>
      <c r="AX490" s="49" t="s">
        <v>311</v>
      </c>
      <c r="AY490" s="48"/>
      <c r="AZ490" s="48" t="n">
        <v>46230</v>
      </c>
      <c r="BC490" s="49" t="s">
        <v>303</v>
      </c>
      <c r="BD490" s="48" t="n">
        <v>46247</v>
      </c>
      <c r="BE490" s="49" t="s">
        <v>2164</v>
      </c>
      <c r="BF490" s="49" t="s">
        <v>303</v>
      </c>
      <c r="BG490" s="48"/>
      <c r="BI490" s="48" t="n">
        <v>46247</v>
      </c>
      <c r="BJ490" s="48" t="n">
        <v>46243</v>
      </c>
      <c r="BK490" s="49" t="s">
        <v>312</v>
      </c>
      <c r="BL490" s="49" t="s">
        <v>313</v>
      </c>
      <c r="BM490" s="49" t="s">
        <v>310</v>
      </c>
      <c r="BN490" s="48"/>
      <c r="BO490" s="48"/>
      <c r="BP490" s="48"/>
      <c r="BQ490" s="49" t="s">
        <v>1864</v>
      </c>
      <c r="BR490" s="48" t="n">
        <v>46237</v>
      </c>
      <c r="BS490" s="49" t="s">
        <v>2165</v>
      </c>
      <c r="BT490" s="49" t="s">
        <v>312</v>
      </c>
      <c r="BU490" s="49" t="s">
        <v>312</v>
      </c>
      <c r="BV490" s="49" t="s">
        <v>303</v>
      </c>
      <c r="BX490" s="0" t="n">
        <v>1</v>
      </c>
      <c r="CC490" s="49" t="s">
        <v>315</v>
      </c>
      <c r="CD490" s="49" t="s">
        <v>303</v>
      </c>
      <c r="CF490" s="49" t="s">
        <v>303</v>
      </c>
      <c r="CG490" s="49" t="s">
        <v>316</v>
      </c>
      <c r="CH490" s="49" t="s">
        <v>317</v>
      </c>
      <c r="CI490" s="49" t="s">
        <v>318</v>
      </c>
      <c r="CM490" s="49" t="s">
        <v>57</v>
      </c>
      <c r="CV490" s="49" t="s">
        <v>303</v>
      </c>
      <c r="DB490" s="49" t="s">
        <v>319</v>
      </c>
      <c r="DD490" s="48" t="n">
        <v>46219</v>
      </c>
      <c r="DF490" s="49" t="s">
        <v>310</v>
      </c>
      <c r="DG490" s="49" t="s">
        <v>320</v>
      </c>
      <c r="DH490" s="49" t="s">
        <v>56</v>
      </c>
      <c r="DI490" s="49" t="s">
        <v>298</v>
      </c>
      <c r="DJ490" s="49" t="s">
        <v>367</v>
      </c>
      <c r="DK490" s="49" t="s">
        <v>322</v>
      </c>
      <c r="DL490" s="49" t="s">
        <v>323</v>
      </c>
      <c r="DM490" s="49" t="s">
        <v>303</v>
      </c>
      <c r="DN490" s="49" t="s">
        <v>297</v>
      </c>
      <c r="DO490" s="48"/>
      <c r="DP490" s="49" t="s">
        <v>312</v>
      </c>
      <c r="DQ490" s="48"/>
      <c r="DR490" s="49" t="s">
        <v>312</v>
      </c>
      <c r="DS490" s="49" t="s">
        <v>303</v>
      </c>
      <c r="DT490" s="49" t="s">
        <v>303</v>
      </c>
      <c r="DW490" s="49" t="s">
        <v>303</v>
      </c>
      <c r="EA490" s="49" t="s">
        <v>324</v>
      </c>
      <c r="EB490" s="49" t="s">
        <v>303</v>
      </c>
      <c r="EH490" s="49" t="s">
        <v>310</v>
      </c>
      <c r="EJ490" s="49" t="s">
        <v>303</v>
      </c>
      <c r="EK490" s="49" t="s">
        <v>2166</v>
      </c>
      <c r="EM490" s="49" t="s">
        <v>303</v>
      </c>
      <c r="EN490" s="49" t="s">
        <v>369</v>
      </c>
      <c r="EP490" s="49" t="s">
        <v>298</v>
      </c>
      <c r="EQ490" s="0" t="n">
        <v>1</v>
      </c>
      <c r="ER490" s="49" t="s">
        <v>328</v>
      </c>
      <c r="ES490" s="49" t="s">
        <v>342</v>
      </c>
      <c r="ET490" s="49" t="s">
        <v>310</v>
      </c>
      <c r="EU490" s="49" t="s">
        <v>310</v>
      </c>
      <c r="EV490" s="49" t="s">
        <v>310</v>
      </c>
      <c r="EX490" s="49" t="s">
        <v>303</v>
      </c>
      <c r="EY490" s="49" t="s">
        <v>303</v>
      </c>
      <c r="FC490" s="49" t="s">
        <v>330</v>
      </c>
      <c r="FD490" s="49" t="s">
        <v>310</v>
      </c>
      <c r="FE490" s="49" t="s">
        <v>310</v>
      </c>
      <c r="FF490" s="49" t="s">
        <v>56</v>
      </c>
      <c r="FG490" s="49" t="s">
        <v>370</v>
      </c>
      <c r="FH490" s="49" t="s">
        <v>310</v>
      </c>
      <c r="FI490" s="49" t="s">
        <v>332</v>
      </c>
      <c r="FJ490" s="49" t="s">
        <v>303</v>
      </c>
      <c r="FL490" s="49" t="s">
        <v>325</v>
      </c>
      <c r="FM490" s="49" t="s">
        <v>2161</v>
      </c>
      <c r="FP490" s="49" t="s">
        <v>303</v>
      </c>
      <c r="FR490" s="49" t="s">
        <v>303</v>
      </c>
      <c r="FT490" s="49" t="s">
        <v>325</v>
      </c>
      <c r="FU490" s="49" t="s">
        <v>325</v>
      </c>
      <c r="FW490" s="49" t="s">
        <v>333</v>
      </c>
    </row>
    <row r="491" customFormat="false" ht="15" hidden="false" customHeight="false" outlineLevel="0" collapsed="false">
      <c r="A491" s="0" t="n">
        <v>100872659</v>
      </c>
      <c r="B491" s="0" t="s">
        <v>295</v>
      </c>
      <c r="C491" s="0" t="s">
        <v>48</v>
      </c>
      <c r="D491" s="0" t="s">
        <v>49</v>
      </c>
      <c r="E491" s="0" t="s">
        <v>297</v>
      </c>
      <c r="G491" s="0" t="n">
        <v>1</v>
      </c>
      <c r="H491" s="0" t="s">
        <v>298</v>
      </c>
      <c r="I491" s="48" t="n">
        <v>46238</v>
      </c>
      <c r="J491" s="0" t="n">
        <v>1</v>
      </c>
      <c r="K491" s="49" t="s">
        <v>2161</v>
      </c>
      <c r="L491" s="49" t="s">
        <v>1035</v>
      </c>
      <c r="M491" s="48" t="n">
        <v>46259</v>
      </c>
      <c r="N491" s="49" t="s">
        <v>1573</v>
      </c>
      <c r="O491" s="49" t="s">
        <v>1071</v>
      </c>
      <c r="P491" s="48"/>
      <c r="Q491" s="48" t="n">
        <v>46238</v>
      </c>
      <c r="R491" s="48" t="n">
        <v>46245</v>
      </c>
      <c r="T491" s="49" t="s">
        <v>302</v>
      </c>
      <c r="U491" s="49" t="s">
        <v>303</v>
      </c>
      <c r="Y491" s="49" t="s">
        <v>2167</v>
      </c>
      <c r="AD491" s="49" t="s">
        <v>305</v>
      </c>
      <c r="AE491" s="48" t="n">
        <v>46217</v>
      </c>
      <c r="AF491" s="49" t="s">
        <v>306</v>
      </c>
      <c r="AG491" s="49" t="s">
        <v>307</v>
      </c>
      <c r="AK491" s="49" t="s">
        <v>1047</v>
      </c>
      <c r="AL491" s="49" t="s">
        <v>297</v>
      </c>
      <c r="AO491" s="49" t="s">
        <v>303</v>
      </c>
      <c r="AP491" s="48"/>
      <c r="AR491" s="49" t="s">
        <v>303</v>
      </c>
      <c r="AS491" s="49" t="s">
        <v>306</v>
      </c>
      <c r="AT491" s="49" t="s">
        <v>2168</v>
      </c>
      <c r="AV491" s="49" t="s">
        <v>309</v>
      </c>
      <c r="AW491" s="49" t="s">
        <v>310</v>
      </c>
      <c r="AX491" s="49" t="s">
        <v>311</v>
      </c>
      <c r="AY491" s="48"/>
      <c r="AZ491" s="48" t="n">
        <v>46230</v>
      </c>
      <c r="BC491" s="49" t="s">
        <v>303</v>
      </c>
      <c r="BD491" s="48" t="n">
        <v>46259</v>
      </c>
      <c r="BE491" s="49" t="s">
        <v>2169</v>
      </c>
      <c r="BF491" s="49" t="s">
        <v>303</v>
      </c>
      <c r="BG491" s="48"/>
      <c r="BI491" s="48" t="n">
        <v>46259</v>
      </c>
      <c r="BJ491" s="48" t="n">
        <v>46243</v>
      </c>
      <c r="BK491" s="49" t="s">
        <v>312</v>
      </c>
      <c r="BL491" s="49" t="s">
        <v>313</v>
      </c>
      <c r="BM491" s="49" t="s">
        <v>310</v>
      </c>
      <c r="BN491" s="48"/>
      <c r="BO491" s="48"/>
      <c r="BP491" s="48"/>
      <c r="BQ491" s="49" t="s">
        <v>2015</v>
      </c>
      <c r="BR491" s="48" t="n">
        <v>46237</v>
      </c>
      <c r="BS491" s="49" t="s">
        <v>2170</v>
      </c>
      <c r="BT491" s="49" t="s">
        <v>312</v>
      </c>
      <c r="BU491" s="49" t="s">
        <v>312</v>
      </c>
      <c r="BV491" s="49" t="s">
        <v>303</v>
      </c>
      <c r="BX491" s="0" t="n">
        <v>1</v>
      </c>
      <c r="CC491" s="49" t="s">
        <v>315</v>
      </c>
      <c r="CD491" s="49" t="s">
        <v>303</v>
      </c>
      <c r="CF491" s="49" t="s">
        <v>303</v>
      </c>
      <c r="CG491" s="49" t="s">
        <v>316</v>
      </c>
      <c r="CH491" s="49" t="s">
        <v>317</v>
      </c>
      <c r="CI491" s="49" t="s">
        <v>318</v>
      </c>
      <c r="CM491" s="49" t="s">
        <v>49</v>
      </c>
      <c r="CV491" s="49" t="s">
        <v>303</v>
      </c>
      <c r="DB491" s="49" t="s">
        <v>319</v>
      </c>
      <c r="DD491" s="48" t="n">
        <v>46217</v>
      </c>
      <c r="DF491" s="49" t="s">
        <v>310</v>
      </c>
      <c r="DG491" s="49" t="s">
        <v>320</v>
      </c>
      <c r="DH491" s="49" t="s">
        <v>48</v>
      </c>
      <c r="DI491" s="49" t="s">
        <v>298</v>
      </c>
      <c r="DJ491" s="49" t="s">
        <v>339</v>
      </c>
      <c r="DK491" s="49" t="s">
        <v>322</v>
      </c>
      <c r="DL491" s="49" t="s">
        <v>323</v>
      </c>
      <c r="DM491" s="49" t="s">
        <v>303</v>
      </c>
      <c r="DN491" s="49" t="s">
        <v>297</v>
      </c>
      <c r="DO491" s="48"/>
      <c r="DP491" s="49" t="s">
        <v>312</v>
      </c>
      <c r="DQ491" s="48"/>
      <c r="DR491" s="49" t="s">
        <v>312</v>
      </c>
      <c r="DS491" s="49" t="s">
        <v>303</v>
      </c>
      <c r="DT491" s="49" t="s">
        <v>303</v>
      </c>
      <c r="DW491" s="49" t="s">
        <v>303</v>
      </c>
      <c r="EA491" s="49" t="s">
        <v>324</v>
      </c>
      <c r="EB491" s="49" t="s">
        <v>303</v>
      </c>
      <c r="EH491" s="49" t="s">
        <v>310</v>
      </c>
      <c r="EJ491" s="49" t="s">
        <v>303</v>
      </c>
      <c r="EK491" s="49" t="s">
        <v>2171</v>
      </c>
      <c r="EM491" s="49" t="s">
        <v>303</v>
      </c>
      <c r="EN491" s="49" t="s">
        <v>341</v>
      </c>
      <c r="EP491" s="49" t="s">
        <v>298</v>
      </c>
      <c r="EQ491" s="0" t="n">
        <v>1</v>
      </c>
      <c r="ER491" s="49" t="s">
        <v>328</v>
      </c>
      <c r="ES491" s="49" t="s">
        <v>342</v>
      </c>
      <c r="ET491" s="49" t="s">
        <v>310</v>
      </c>
      <c r="EU491" s="49" t="s">
        <v>310</v>
      </c>
      <c r="EV491" s="49" t="s">
        <v>310</v>
      </c>
      <c r="EX491" s="49" t="s">
        <v>303</v>
      </c>
      <c r="EY491" s="49" t="s">
        <v>303</v>
      </c>
      <c r="FC491" s="49" t="s">
        <v>330</v>
      </c>
      <c r="FD491" s="49" t="s">
        <v>310</v>
      </c>
      <c r="FE491" s="49" t="s">
        <v>310</v>
      </c>
      <c r="FF491" s="49" t="s">
        <v>48</v>
      </c>
      <c r="FG491" s="49" t="s">
        <v>343</v>
      </c>
      <c r="FH491" s="49" t="s">
        <v>310</v>
      </c>
      <c r="FI491" s="49" t="s">
        <v>332</v>
      </c>
      <c r="FJ491" s="49" t="s">
        <v>303</v>
      </c>
      <c r="FL491" s="49" t="s">
        <v>325</v>
      </c>
      <c r="FM491" s="49" t="s">
        <v>2161</v>
      </c>
      <c r="FP491" s="49" t="s">
        <v>303</v>
      </c>
      <c r="FR491" s="49" t="s">
        <v>303</v>
      </c>
      <c r="FT491" s="49" t="s">
        <v>325</v>
      </c>
      <c r="FU491" s="49" t="s">
        <v>325</v>
      </c>
      <c r="FW491" s="49" t="s">
        <v>333</v>
      </c>
    </row>
    <row r="492" customFormat="false" ht="15" hidden="false" customHeight="false" outlineLevel="0" collapsed="false">
      <c r="A492" s="0" t="n">
        <v>100872715</v>
      </c>
      <c r="B492" s="0" t="s">
        <v>295</v>
      </c>
      <c r="C492" s="0" t="s">
        <v>64</v>
      </c>
      <c r="D492" s="0" t="s">
        <v>65</v>
      </c>
      <c r="E492" s="0" t="s">
        <v>297</v>
      </c>
      <c r="G492" s="0" t="n">
        <v>1</v>
      </c>
      <c r="H492" s="0" t="s">
        <v>298</v>
      </c>
      <c r="I492" s="48" t="n">
        <v>46238</v>
      </c>
      <c r="J492" s="0" t="n">
        <v>1</v>
      </c>
      <c r="K492" s="49" t="s">
        <v>2161</v>
      </c>
      <c r="L492" s="49" t="s">
        <v>1035</v>
      </c>
      <c r="M492" s="48" t="n">
        <v>46240</v>
      </c>
      <c r="N492" s="49" t="s">
        <v>1204</v>
      </c>
      <c r="O492" s="49" t="s">
        <v>1045</v>
      </c>
      <c r="P492" s="48"/>
      <c r="Q492" s="48" t="n">
        <v>46238</v>
      </c>
      <c r="R492" s="48" t="n">
        <v>46245</v>
      </c>
      <c r="T492" s="49" t="s">
        <v>302</v>
      </c>
      <c r="U492" s="49" t="s">
        <v>303</v>
      </c>
      <c r="Y492" s="49" t="s">
        <v>2172</v>
      </c>
      <c r="AD492" s="49" t="s">
        <v>305</v>
      </c>
      <c r="AE492" s="48" t="n">
        <v>46212</v>
      </c>
      <c r="AF492" s="49" t="s">
        <v>306</v>
      </c>
      <c r="AG492" s="49" t="s">
        <v>307</v>
      </c>
      <c r="AK492" s="49" t="s">
        <v>1047</v>
      </c>
      <c r="AL492" s="49" t="s">
        <v>297</v>
      </c>
      <c r="AO492" s="49" t="s">
        <v>303</v>
      </c>
      <c r="AP492" s="48"/>
      <c r="AR492" s="49" t="s">
        <v>303</v>
      </c>
      <c r="AS492" s="49" t="s">
        <v>306</v>
      </c>
      <c r="AT492" s="49" t="s">
        <v>2173</v>
      </c>
      <c r="AV492" s="49" t="s">
        <v>309</v>
      </c>
      <c r="AW492" s="49" t="s">
        <v>310</v>
      </c>
      <c r="AX492" s="49" t="s">
        <v>311</v>
      </c>
      <c r="AY492" s="48"/>
      <c r="AZ492" s="48" t="n">
        <v>46234</v>
      </c>
      <c r="BC492" s="49" t="s">
        <v>303</v>
      </c>
      <c r="BD492" s="48" t="n">
        <v>46244</v>
      </c>
      <c r="BE492" s="49" t="s">
        <v>2174</v>
      </c>
      <c r="BF492" s="49" t="s">
        <v>303</v>
      </c>
      <c r="BG492" s="48"/>
      <c r="BI492" s="48" t="n">
        <v>46244</v>
      </c>
      <c r="BJ492" s="48" t="n">
        <v>46243</v>
      </c>
      <c r="BK492" s="49" t="s">
        <v>312</v>
      </c>
      <c r="BL492" s="49" t="s">
        <v>313</v>
      </c>
      <c r="BM492" s="49" t="s">
        <v>310</v>
      </c>
      <c r="BN492" s="48"/>
      <c r="BO492" s="48"/>
      <c r="BP492" s="48"/>
      <c r="BQ492" s="49" t="s">
        <v>2155</v>
      </c>
      <c r="BR492" s="48" t="n">
        <v>46243</v>
      </c>
      <c r="BS492" s="49" t="s">
        <v>2175</v>
      </c>
      <c r="BT492" s="49" t="s">
        <v>312</v>
      </c>
      <c r="BU492" s="49" t="s">
        <v>313</v>
      </c>
      <c r="BV492" s="49" t="s">
        <v>303</v>
      </c>
      <c r="BX492" s="0" t="n">
        <v>1</v>
      </c>
      <c r="CC492" s="49" t="s">
        <v>315</v>
      </c>
      <c r="CD492" s="49" t="s">
        <v>303</v>
      </c>
      <c r="CF492" s="49" t="s">
        <v>303</v>
      </c>
      <c r="CG492" s="49" t="s">
        <v>316</v>
      </c>
      <c r="CH492" s="49" t="s">
        <v>317</v>
      </c>
      <c r="CI492" s="49" t="s">
        <v>318</v>
      </c>
      <c r="CM492" s="49" t="s">
        <v>65</v>
      </c>
      <c r="CV492" s="49" t="s">
        <v>303</v>
      </c>
      <c r="DB492" s="49" t="s">
        <v>319</v>
      </c>
      <c r="DD492" s="48" t="n">
        <v>46212</v>
      </c>
      <c r="DF492" s="49" t="s">
        <v>310</v>
      </c>
      <c r="DG492" s="49" t="s">
        <v>320</v>
      </c>
      <c r="DH492" s="49" t="s">
        <v>64</v>
      </c>
      <c r="DI492" s="49" t="s">
        <v>298</v>
      </c>
      <c r="DJ492" s="49" t="s">
        <v>394</v>
      </c>
      <c r="DK492" s="49" t="s">
        <v>322</v>
      </c>
      <c r="DL492" s="49" t="s">
        <v>323</v>
      </c>
      <c r="DM492" s="49" t="s">
        <v>303</v>
      </c>
      <c r="DN492" s="49" t="s">
        <v>297</v>
      </c>
      <c r="DO492" s="48"/>
      <c r="DP492" s="49" t="s">
        <v>312</v>
      </c>
      <c r="DQ492" s="48"/>
      <c r="DR492" s="49" t="s">
        <v>312</v>
      </c>
      <c r="DS492" s="49" t="s">
        <v>303</v>
      </c>
      <c r="DT492" s="49" t="s">
        <v>303</v>
      </c>
      <c r="DW492" s="49" t="s">
        <v>303</v>
      </c>
      <c r="EA492" s="49" t="s">
        <v>324</v>
      </c>
      <c r="EB492" s="49" t="s">
        <v>303</v>
      </c>
      <c r="EH492" s="49" t="s">
        <v>310</v>
      </c>
      <c r="EJ492" s="49" t="s">
        <v>303</v>
      </c>
      <c r="EK492" s="49" t="s">
        <v>2176</v>
      </c>
      <c r="EM492" s="49" t="s">
        <v>303</v>
      </c>
      <c r="EN492" s="49" t="s">
        <v>396</v>
      </c>
      <c r="EP492" s="49" t="s">
        <v>298</v>
      </c>
      <c r="EQ492" s="0" t="n">
        <v>1</v>
      </c>
      <c r="ER492" s="49" t="s">
        <v>328</v>
      </c>
      <c r="ES492" s="49" t="s">
        <v>329</v>
      </c>
      <c r="ET492" s="49" t="s">
        <v>310</v>
      </c>
      <c r="EU492" s="49" t="s">
        <v>310</v>
      </c>
      <c r="EV492" s="49" t="s">
        <v>310</v>
      </c>
      <c r="EX492" s="49" t="s">
        <v>303</v>
      </c>
      <c r="EY492" s="49" t="s">
        <v>303</v>
      </c>
      <c r="FC492" s="49" t="s">
        <v>330</v>
      </c>
      <c r="FD492" s="49" t="s">
        <v>310</v>
      </c>
      <c r="FE492" s="49" t="s">
        <v>310</v>
      </c>
      <c r="FF492" s="49" t="s">
        <v>64</v>
      </c>
      <c r="FG492" s="49" t="s">
        <v>397</v>
      </c>
      <c r="FH492" s="49" t="s">
        <v>310</v>
      </c>
      <c r="FI492" s="49" t="s">
        <v>332</v>
      </c>
      <c r="FJ492" s="49" t="s">
        <v>303</v>
      </c>
      <c r="FL492" s="49" t="s">
        <v>325</v>
      </c>
      <c r="FM492" s="49" t="s">
        <v>2161</v>
      </c>
      <c r="FP492" s="49" t="s">
        <v>303</v>
      </c>
      <c r="FR492" s="49" t="s">
        <v>303</v>
      </c>
      <c r="FT492" s="49" t="s">
        <v>325</v>
      </c>
      <c r="FU492" s="49" t="s">
        <v>325</v>
      </c>
      <c r="FW492" s="49" t="s">
        <v>333</v>
      </c>
    </row>
    <row r="493" customFormat="false" ht="15" hidden="false" customHeight="false" outlineLevel="0" collapsed="false">
      <c r="A493" s="0" t="n">
        <v>100872716</v>
      </c>
      <c r="B493" s="0" t="s">
        <v>295</v>
      </c>
      <c r="C493" s="0" t="s">
        <v>64</v>
      </c>
      <c r="D493" s="0" t="s">
        <v>65</v>
      </c>
      <c r="E493" s="0" t="s">
        <v>297</v>
      </c>
      <c r="G493" s="0" t="n">
        <v>1</v>
      </c>
      <c r="H493" s="0" t="s">
        <v>298</v>
      </c>
      <c r="I493" s="48" t="n">
        <v>46238</v>
      </c>
      <c r="J493" s="0" t="n">
        <v>1</v>
      </c>
      <c r="K493" s="49" t="s">
        <v>2161</v>
      </c>
      <c r="L493" s="49" t="s">
        <v>1035</v>
      </c>
      <c r="M493" s="48" t="n">
        <v>46275</v>
      </c>
      <c r="N493" s="49" t="s">
        <v>1070</v>
      </c>
      <c r="O493" s="49" t="s">
        <v>1045</v>
      </c>
      <c r="P493" s="48"/>
      <c r="Q493" s="48" t="n">
        <v>46238</v>
      </c>
      <c r="R493" s="48" t="n">
        <v>46244</v>
      </c>
      <c r="T493" s="49" t="s">
        <v>302</v>
      </c>
      <c r="U493" s="49" t="s">
        <v>303</v>
      </c>
      <c r="Y493" s="49" t="s">
        <v>2177</v>
      </c>
      <c r="AD493" s="49" t="s">
        <v>305</v>
      </c>
      <c r="AE493" s="48" t="n">
        <v>46212</v>
      </c>
      <c r="AF493" s="49" t="s">
        <v>306</v>
      </c>
      <c r="AG493" s="49" t="s">
        <v>307</v>
      </c>
      <c r="AK493" s="49" t="s">
        <v>1047</v>
      </c>
      <c r="AL493" s="49" t="s">
        <v>297</v>
      </c>
      <c r="AO493" s="49" t="s">
        <v>303</v>
      </c>
      <c r="AP493" s="48"/>
      <c r="AR493" s="49" t="s">
        <v>303</v>
      </c>
      <c r="AS493" s="49" t="s">
        <v>306</v>
      </c>
      <c r="AT493" s="49" t="s">
        <v>2178</v>
      </c>
      <c r="AV493" s="49" t="s">
        <v>309</v>
      </c>
      <c r="AW493" s="49" t="s">
        <v>310</v>
      </c>
      <c r="AX493" s="49" t="s">
        <v>311</v>
      </c>
      <c r="AY493" s="48"/>
      <c r="AZ493" s="48" t="n">
        <v>46234</v>
      </c>
      <c r="BC493" s="49" t="s">
        <v>303</v>
      </c>
      <c r="BD493" s="48" t="n">
        <v>46244</v>
      </c>
      <c r="BE493" s="49" t="s">
        <v>2174</v>
      </c>
      <c r="BF493" s="49" t="s">
        <v>303</v>
      </c>
      <c r="BG493" s="48"/>
      <c r="BI493" s="48" t="n">
        <v>46244</v>
      </c>
      <c r="BJ493" s="48" t="n">
        <v>46243</v>
      </c>
      <c r="BK493" s="49" t="s">
        <v>313</v>
      </c>
      <c r="BL493" s="49" t="s">
        <v>313</v>
      </c>
      <c r="BM493" s="49" t="s">
        <v>310</v>
      </c>
      <c r="BN493" s="48"/>
      <c r="BO493" s="48"/>
      <c r="BP493" s="48"/>
      <c r="BQ493" s="49" t="s">
        <v>2155</v>
      </c>
      <c r="BR493" s="48" t="n">
        <v>46243</v>
      </c>
      <c r="BS493" s="49" t="s">
        <v>2175</v>
      </c>
      <c r="BT493" s="49" t="s">
        <v>312</v>
      </c>
      <c r="BU493" s="49" t="s">
        <v>313</v>
      </c>
      <c r="BV493" s="49" t="s">
        <v>303</v>
      </c>
      <c r="BX493" s="0" t="n">
        <v>1</v>
      </c>
      <c r="CC493" s="49" t="s">
        <v>315</v>
      </c>
      <c r="CD493" s="49" t="s">
        <v>303</v>
      </c>
      <c r="CF493" s="49" t="s">
        <v>303</v>
      </c>
      <c r="CG493" s="49" t="s">
        <v>316</v>
      </c>
      <c r="CH493" s="49" t="s">
        <v>317</v>
      </c>
      <c r="CI493" s="49" t="s">
        <v>318</v>
      </c>
      <c r="CM493" s="49" t="s">
        <v>65</v>
      </c>
      <c r="CV493" s="49" t="s">
        <v>303</v>
      </c>
      <c r="DB493" s="49" t="s">
        <v>319</v>
      </c>
      <c r="DD493" s="48" t="n">
        <v>46212</v>
      </c>
      <c r="DF493" s="49" t="s">
        <v>310</v>
      </c>
      <c r="DG493" s="49" t="s">
        <v>320</v>
      </c>
      <c r="DH493" s="49" t="s">
        <v>64</v>
      </c>
      <c r="DI493" s="49" t="s">
        <v>298</v>
      </c>
      <c r="DJ493" s="49" t="s">
        <v>394</v>
      </c>
      <c r="DK493" s="49" t="s">
        <v>322</v>
      </c>
      <c r="DL493" s="49" t="s">
        <v>323</v>
      </c>
      <c r="DM493" s="49" t="s">
        <v>303</v>
      </c>
      <c r="DN493" s="49" t="s">
        <v>297</v>
      </c>
      <c r="DO493" s="48"/>
      <c r="DP493" s="49" t="s">
        <v>312</v>
      </c>
      <c r="DQ493" s="48"/>
      <c r="DR493" s="49" t="s">
        <v>312</v>
      </c>
      <c r="DS493" s="49" t="s">
        <v>303</v>
      </c>
      <c r="DT493" s="49" t="s">
        <v>303</v>
      </c>
      <c r="DW493" s="49" t="s">
        <v>303</v>
      </c>
      <c r="EA493" s="49" t="s">
        <v>324</v>
      </c>
      <c r="EB493" s="49" t="s">
        <v>303</v>
      </c>
      <c r="EF493" s="49" t="s">
        <v>2179</v>
      </c>
      <c r="EH493" s="49" t="s">
        <v>310</v>
      </c>
      <c r="EJ493" s="49" t="s">
        <v>303</v>
      </c>
      <c r="EK493" s="49" t="s">
        <v>2180</v>
      </c>
      <c r="EM493" s="49" t="s">
        <v>303</v>
      </c>
      <c r="EN493" s="49" t="s">
        <v>396</v>
      </c>
      <c r="EP493" s="49" t="s">
        <v>298</v>
      </c>
      <c r="EQ493" s="0" t="n">
        <v>1</v>
      </c>
      <c r="ER493" s="49" t="s">
        <v>328</v>
      </c>
      <c r="ES493" s="49" t="s">
        <v>329</v>
      </c>
      <c r="ET493" s="49" t="s">
        <v>310</v>
      </c>
      <c r="EU493" s="49" t="s">
        <v>310</v>
      </c>
      <c r="EV493" s="49" t="s">
        <v>310</v>
      </c>
      <c r="EX493" s="49" t="s">
        <v>303</v>
      </c>
      <c r="EY493" s="49" t="s">
        <v>303</v>
      </c>
      <c r="FC493" s="49" t="s">
        <v>330</v>
      </c>
      <c r="FD493" s="49" t="s">
        <v>310</v>
      </c>
      <c r="FE493" s="49" t="s">
        <v>310</v>
      </c>
      <c r="FF493" s="49" t="s">
        <v>64</v>
      </c>
      <c r="FG493" s="49" t="s">
        <v>397</v>
      </c>
      <c r="FH493" s="49" t="s">
        <v>310</v>
      </c>
      <c r="FI493" s="49" t="s">
        <v>332</v>
      </c>
      <c r="FJ493" s="49" t="s">
        <v>303</v>
      </c>
      <c r="FL493" s="49" t="s">
        <v>325</v>
      </c>
      <c r="FM493" s="49" t="s">
        <v>2161</v>
      </c>
      <c r="FP493" s="49" t="s">
        <v>303</v>
      </c>
      <c r="FR493" s="49" t="s">
        <v>303</v>
      </c>
      <c r="FT493" s="49" t="s">
        <v>325</v>
      </c>
      <c r="FU493" s="49" t="s">
        <v>325</v>
      </c>
      <c r="FW493" s="49" t="s">
        <v>333</v>
      </c>
    </row>
    <row r="494" customFormat="false" ht="15" hidden="false" customHeight="false" outlineLevel="0" collapsed="false">
      <c r="A494" s="0" t="n">
        <v>100872717</v>
      </c>
      <c r="B494" s="0" t="s">
        <v>295</v>
      </c>
      <c r="C494" s="0" t="s">
        <v>64</v>
      </c>
      <c r="D494" s="0" t="s">
        <v>65</v>
      </c>
      <c r="E494" s="0" t="s">
        <v>297</v>
      </c>
      <c r="G494" s="0" t="n">
        <v>1</v>
      </c>
      <c r="H494" s="0" t="s">
        <v>298</v>
      </c>
      <c r="I494" s="48" t="n">
        <v>46238</v>
      </c>
      <c r="J494" s="0" t="n">
        <v>1</v>
      </c>
      <c r="K494" s="49" t="s">
        <v>2161</v>
      </c>
      <c r="L494" s="49" t="s">
        <v>1035</v>
      </c>
      <c r="M494" s="48" t="n">
        <v>46275</v>
      </c>
      <c r="N494" s="49" t="s">
        <v>1070</v>
      </c>
      <c r="O494" s="49" t="s">
        <v>1045</v>
      </c>
      <c r="P494" s="48"/>
      <c r="Q494" s="48" t="n">
        <v>46238</v>
      </c>
      <c r="R494" s="48" t="n">
        <v>46244</v>
      </c>
      <c r="T494" s="49" t="s">
        <v>302</v>
      </c>
      <c r="U494" s="49" t="s">
        <v>303</v>
      </c>
      <c r="Y494" s="49" t="s">
        <v>2181</v>
      </c>
      <c r="AD494" s="49" t="s">
        <v>305</v>
      </c>
      <c r="AE494" s="48" t="n">
        <v>46212</v>
      </c>
      <c r="AF494" s="49" t="s">
        <v>306</v>
      </c>
      <c r="AG494" s="49" t="s">
        <v>307</v>
      </c>
      <c r="AK494" s="49" t="s">
        <v>1047</v>
      </c>
      <c r="AL494" s="49" t="s">
        <v>297</v>
      </c>
      <c r="AO494" s="49" t="s">
        <v>303</v>
      </c>
      <c r="AP494" s="48"/>
      <c r="AR494" s="49" t="s">
        <v>303</v>
      </c>
      <c r="AS494" s="49" t="s">
        <v>306</v>
      </c>
      <c r="AT494" s="49" t="s">
        <v>2182</v>
      </c>
      <c r="AV494" s="49" t="s">
        <v>309</v>
      </c>
      <c r="AW494" s="49" t="s">
        <v>310</v>
      </c>
      <c r="AX494" s="49" t="s">
        <v>311</v>
      </c>
      <c r="AY494" s="48"/>
      <c r="AZ494" s="48" t="n">
        <v>46234</v>
      </c>
      <c r="BC494" s="49" t="s">
        <v>303</v>
      </c>
      <c r="BD494" s="48" t="n">
        <v>46244</v>
      </c>
      <c r="BE494" s="49" t="s">
        <v>2183</v>
      </c>
      <c r="BF494" s="49" t="s">
        <v>303</v>
      </c>
      <c r="BG494" s="48"/>
      <c r="BI494" s="48" t="n">
        <v>46244</v>
      </c>
      <c r="BJ494" s="48" t="n">
        <v>46243</v>
      </c>
      <c r="BK494" s="49" t="s">
        <v>313</v>
      </c>
      <c r="BL494" s="49" t="s">
        <v>313</v>
      </c>
      <c r="BM494" s="49" t="s">
        <v>310</v>
      </c>
      <c r="BN494" s="48"/>
      <c r="BO494" s="48"/>
      <c r="BP494" s="48"/>
      <c r="BQ494" s="49" t="s">
        <v>2155</v>
      </c>
      <c r="BR494" s="48" t="n">
        <v>46243</v>
      </c>
      <c r="BS494" s="49" t="s">
        <v>2184</v>
      </c>
      <c r="BT494" s="49" t="s">
        <v>312</v>
      </c>
      <c r="BU494" s="49" t="s">
        <v>313</v>
      </c>
      <c r="BV494" s="49" t="s">
        <v>303</v>
      </c>
      <c r="BX494" s="0" t="n">
        <v>1</v>
      </c>
      <c r="CC494" s="49" t="s">
        <v>315</v>
      </c>
      <c r="CD494" s="49" t="s">
        <v>303</v>
      </c>
      <c r="CF494" s="49" t="s">
        <v>303</v>
      </c>
      <c r="CG494" s="49" t="s">
        <v>316</v>
      </c>
      <c r="CH494" s="49" t="s">
        <v>317</v>
      </c>
      <c r="CI494" s="49" t="s">
        <v>318</v>
      </c>
      <c r="CM494" s="49" t="s">
        <v>65</v>
      </c>
      <c r="CV494" s="49" t="s">
        <v>303</v>
      </c>
      <c r="DB494" s="49" t="s">
        <v>319</v>
      </c>
      <c r="DD494" s="48" t="n">
        <v>46212</v>
      </c>
      <c r="DF494" s="49" t="s">
        <v>310</v>
      </c>
      <c r="DG494" s="49" t="s">
        <v>320</v>
      </c>
      <c r="DH494" s="49" t="s">
        <v>64</v>
      </c>
      <c r="DI494" s="49" t="s">
        <v>298</v>
      </c>
      <c r="DJ494" s="49" t="s">
        <v>394</v>
      </c>
      <c r="DK494" s="49" t="s">
        <v>322</v>
      </c>
      <c r="DL494" s="49" t="s">
        <v>323</v>
      </c>
      <c r="DM494" s="49" t="s">
        <v>303</v>
      </c>
      <c r="DN494" s="49" t="s">
        <v>297</v>
      </c>
      <c r="DO494" s="48"/>
      <c r="DP494" s="49" t="s">
        <v>312</v>
      </c>
      <c r="DQ494" s="48"/>
      <c r="DR494" s="49" t="s">
        <v>312</v>
      </c>
      <c r="DS494" s="49" t="s">
        <v>303</v>
      </c>
      <c r="DT494" s="49" t="s">
        <v>303</v>
      </c>
      <c r="DW494" s="49" t="s">
        <v>303</v>
      </c>
      <c r="EA494" s="49" t="s">
        <v>324</v>
      </c>
      <c r="EB494" s="49" t="s">
        <v>303</v>
      </c>
      <c r="EF494" s="49" t="s">
        <v>2179</v>
      </c>
      <c r="EH494" s="49" t="s">
        <v>310</v>
      </c>
      <c r="EJ494" s="49" t="s">
        <v>303</v>
      </c>
      <c r="EK494" s="49" t="s">
        <v>2185</v>
      </c>
      <c r="EM494" s="49" t="s">
        <v>303</v>
      </c>
      <c r="EN494" s="49" t="s">
        <v>396</v>
      </c>
      <c r="EP494" s="49" t="s">
        <v>298</v>
      </c>
      <c r="EQ494" s="0" t="n">
        <v>1</v>
      </c>
      <c r="ER494" s="49" t="s">
        <v>328</v>
      </c>
      <c r="ES494" s="49" t="s">
        <v>329</v>
      </c>
      <c r="ET494" s="49" t="s">
        <v>310</v>
      </c>
      <c r="EU494" s="49" t="s">
        <v>310</v>
      </c>
      <c r="EV494" s="49" t="s">
        <v>310</v>
      </c>
      <c r="EX494" s="49" t="s">
        <v>303</v>
      </c>
      <c r="EY494" s="49" t="s">
        <v>303</v>
      </c>
      <c r="FC494" s="49" t="s">
        <v>330</v>
      </c>
      <c r="FD494" s="49" t="s">
        <v>310</v>
      </c>
      <c r="FE494" s="49" t="s">
        <v>310</v>
      </c>
      <c r="FF494" s="49" t="s">
        <v>64</v>
      </c>
      <c r="FG494" s="49" t="s">
        <v>397</v>
      </c>
      <c r="FH494" s="49" t="s">
        <v>310</v>
      </c>
      <c r="FI494" s="49" t="s">
        <v>332</v>
      </c>
      <c r="FJ494" s="49" t="s">
        <v>303</v>
      </c>
      <c r="FL494" s="49" t="s">
        <v>325</v>
      </c>
      <c r="FM494" s="49" t="s">
        <v>2161</v>
      </c>
      <c r="FP494" s="49" t="s">
        <v>303</v>
      </c>
      <c r="FR494" s="49" t="s">
        <v>303</v>
      </c>
      <c r="FT494" s="49" t="s">
        <v>325</v>
      </c>
      <c r="FU494" s="49" t="s">
        <v>325</v>
      </c>
      <c r="FW494" s="49" t="s">
        <v>333</v>
      </c>
    </row>
    <row r="495" customFormat="false" ht="15" hidden="false" customHeight="false" outlineLevel="0" collapsed="false">
      <c r="A495" s="0" t="n">
        <v>100872718</v>
      </c>
      <c r="B495" s="0" t="s">
        <v>295</v>
      </c>
      <c r="C495" s="0" t="s">
        <v>64</v>
      </c>
      <c r="D495" s="0" t="s">
        <v>65</v>
      </c>
      <c r="E495" s="0" t="s">
        <v>297</v>
      </c>
      <c r="G495" s="0" t="n">
        <v>1</v>
      </c>
      <c r="H495" s="0" t="s">
        <v>298</v>
      </c>
      <c r="I495" s="48" t="n">
        <v>46238</v>
      </c>
      <c r="J495" s="0" t="n">
        <v>1</v>
      </c>
      <c r="K495" s="49" t="s">
        <v>2161</v>
      </c>
      <c r="L495" s="49" t="s">
        <v>1035</v>
      </c>
      <c r="M495" s="48" t="n">
        <v>46275</v>
      </c>
      <c r="N495" s="49" t="s">
        <v>1070</v>
      </c>
      <c r="O495" s="49" t="s">
        <v>1045</v>
      </c>
      <c r="P495" s="48"/>
      <c r="Q495" s="48" t="n">
        <v>46238</v>
      </c>
      <c r="R495" s="48" t="n">
        <v>46244</v>
      </c>
      <c r="T495" s="49" t="s">
        <v>302</v>
      </c>
      <c r="U495" s="49" t="s">
        <v>303</v>
      </c>
      <c r="Y495" s="49" t="s">
        <v>2186</v>
      </c>
      <c r="AD495" s="49" t="s">
        <v>305</v>
      </c>
      <c r="AE495" s="48" t="n">
        <v>46212</v>
      </c>
      <c r="AF495" s="49" t="s">
        <v>306</v>
      </c>
      <c r="AG495" s="49" t="s">
        <v>307</v>
      </c>
      <c r="AK495" s="49" t="s">
        <v>1047</v>
      </c>
      <c r="AL495" s="49" t="s">
        <v>297</v>
      </c>
      <c r="AO495" s="49" t="s">
        <v>303</v>
      </c>
      <c r="AP495" s="48"/>
      <c r="AR495" s="49" t="s">
        <v>303</v>
      </c>
      <c r="AS495" s="49" t="s">
        <v>306</v>
      </c>
      <c r="AT495" s="49" t="s">
        <v>2187</v>
      </c>
      <c r="AV495" s="49" t="s">
        <v>309</v>
      </c>
      <c r="AW495" s="49" t="s">
        <v>310</v>
      </c>
      <c r="AX495" s="49" t="s">
        <v>311</v>
      </c>
      <c r="AY495" s="48"/>
      <c r="AZ495" s="48" t="n">
        <v>46234</v>
      </c>
      <c r="BC495" s="49" t="s">
        <v>303</v>
      </c>
      <c r="BD495" s="48" t="n">
        <v>46244</v>
      </c>
      <c r="BE495" s="49" t="s">
        <v>2183</v>
      </c>
      <c r="BF495" s="49" t="s">
        <v>303</v>
      </c>
      <c r="BG495" s="48"/>
      <c r="BI495" s="48" t="n">
        <v>46244</v>
      </c>
      <c r="BJ495" s="48" t="n">
        <v>46243</v>
      </c>
      <c r="BK495" s="49" t="s">
        <v>313</v>
      </c>
      <c r="BL495" s="49" t="s">
        <v>313</v>
      </c>
      <c r="BM495" s="49" t="s">
        <v>310</v>
      </c>
      <c r="BN495" s="48"/>
      <c r="BO495" s="48"/>
      <c r="BP495" s="48"/>
      <c r="BQ495" s="49" t="s">
        <v>2155</v>
      </c>
      <c r="BR495" s="48" t="n">
        <v>46243</v>
      </c>
      <c r="BS495" s="49" t="s">
        <v>2184</v>
      </c>
      <c r="BT495" s="49" t="s">
        <v>312</v>
      </c>
      <c r="BU495" s="49" t="s">
        <v>313</v>
      </c>
      <c r="BV495" s="49" t="s">
        <v>303</v>
      </c>
      <c r="BX495" s="0" t="n">
        <v>1</v>
      </c>
      <c r="CC495" s="49" t="s">
        <v>315</v>
      </c>
      <c r="CD495" s="49" t="s">
        <v>303</v>
      </c>
      <c r="CF495" s="49" t="s">
        <v>303</v>
      </c>
      <c r="CG495" s="49" t="s">
        <v>316</v>
      </c>
      <c r="CH495" s="49" t="s">
        <v>317</v>
      </c>
      <c r="CI495" s="49" t="s">
        <v>318</v>
      </c>
      <c r="CM495" s="49" t="s">
        <v>65</v>
      </c>
      <c r="CV495" s="49" t="s">
        <v>303</v>
      </c>
      <c r="DB495" s="49" t="s">
        <v>319</v>
      </c>
      <c r="DD495" s="48" t="n">
        <v>46212</v>
      </c>
      <c r="DF495" s="49" t="s">
        <v>310</v>
      </c>
      <c r="DG495" s="49" t="s">
        <v>320</v>
      </c>
      <c r="DH495" s="49" t="s">
        <v>64</v>
      </c>
      <c r="DI495" s="49" t="s">
        <v>298</v>
      </c>
      <c r="DJ495" s="49" t="s">
        <v>394</v>
      </c>
      <c r="DK495" s="49" t="s">
        <v>322</v>
      </c>
      <c r="DL495" s="49" t="s">
        <v>323</v>
      </c>
      <c r="DM495" s="49" t="s">
        <v>303</v>
      </c>
      <c r="DN495" s="49" t="s">
        <v>297</v>
      </c>
      <c r="DO495" s="48"/>
      <c r="DP495" s="49" t="s">
        <v>312</v>
      </c>
      <c r="DQ495" s="48"/>
      <c r="DR495" s="49" t="s">
        <v>312</v>
      </c>
      <c r="DS495" s="49" t="s">
        <v>303</v>
      </c>
      <c r="DT495" s="49" t="s">
        <v>303</v>
      </c>
      <c r="DW495" s="49" t="s">
        <v>303</v>
      </c>
      <c r="EA495" s="49" t="s">
        <v>324</v>
      </c>
      <c r="EB495" s="49" t="s">
        <v>303</v>
      </c>
      <c r="EF495" s="49" t="s">
        <v>2179</v>
      </c>
      <c r="EH495" s="49" t="s">
        <v>310</v>
      </c>
      <c r="EJ495" s="49" t="s">
        <v>303</v>
      </c>
      <c r="EK495" s="49" t="s">
        <v>2188</v>
      </c>
      <c r="EM495" s="49" t="s">
        <v>303</v>
      </c>
      <c r="EN495" s="49" t="s">
        <v>396</v>
      </c>
      <c r="EP495" s="49" t="s">
        <v>298</v>
      </c>
      <c r="EQ495" s="0" t="n">
        <v>1</v>
      </c>
      <c r="ER495" s="49" t="s">
        <v>328</v>
      </c>
      <c r="ES495" s="49" t="s">
        <v>329</v>
      </c>
      <c r="ET495" s="49" t="s">
        <v>310</v>
      </c>
      <c r="EU495" s="49" t="s">
        <v>310</v>
      </c>
      <c r="EV495" s="49" t="s">
        <v>310</v>
      </c>
      <c r="EX495" s="49" t="s">
        <v>303</v>
      </c>
      <c r="EY495" s="49" t="s">
        <v>303</v>
      </c>
      <c r="FC495" s="49" t="s">
        <v>330</v>
      </c>
      <c r="FD495" s="49" t="s">
        <v>310</v>
      </c>
      <c r="FE495" s="49" t="s">
        <v>310</v>
      </c>
      <c r="FF495" s="49" t="s">
        <v>64</v>
      </c>
      <c r="FG495" s="49" t="s">
        <v>397</v>
      </c>
      <c r="FH495" s="49" t="s">
        <v>310</v>
      </c>
      <c r="FI495" s="49" t="s">
        <v>332</v>
      </c>
      <c r="FJ495" s="49" t="s">
        <v>303</v>
      </c>
      <c r="FL495" s="49" t="s">
        <v>325</v>
      </c>
      <c r="FM495" s="49" t="s">
        <v>2161</v>
      </c>
      <c r="FP495" s="49" t="s">
        <v>303</v>
      </c>
      <c r="FR495" s="49" t="s">
        <v>303</v>
      </c>
      <c r="FT495" s="49" t="s">
        <v>325</v>
      </c>
      <c r="FU495" s="49" t="s">
        <v>325</v>
      </c>
      <c r="FW495" s="49" t="s">
        <v>333</v>
      </c>
    </row>
    <row r="496" customFormat="false" ht="15" hidden="false" customHeight="false" outlineLevel="0" collapsed="false">
      <c r="A496" s="0" t="n">
        <v>100872719</v>
      </c>
      <c r="B496" s="0" t="s">
        <v>295</v>
      </c>
      <c r="C496" s="0" t="s">
        <v>64</v>
      </c>
      <c r="D496" s="0" t="s">
        <v>65</v>
      </c>
      <c r="E496" s="0" t="s">
        <v>297</v>
      </c>
      <c r="G496" s="0" t="n">
        <v>1</v>
      </c>
      <c r="H496" s="0" t="s">
        <v>298</v>
      </c>
      <c r="I496" s="48" t="n">
        <v>46238</v>
      </c>
      <c r="J496" s="0" t="n">
        <v>1</v>
      </c>
      <c r="K496" s="49" t="s">
        <v>2161</v>
      </c>
      <c r="L496" s="49" t="s">
        <v>1035</v>
      </c>
      <c r="M496" s="48" t="n">
        <v>46275</v>
      </c>
      <c r="N496" s="49" t="s">
        <v>1070</v>
      </c>
      <c r="O496" s="49" t="s">
        <v>1045</v>
      </c>
      <c r="P496" s="48"/>
      <c r="Q496" s="48" t="n">
        <v>46238</v>
      </c>
      <c r="R496" s="48" t="n">
        <v>46244</v>
      </c>
      <c r="T496" s="49" t="s">
        <v>302</v>
      </c>
      <c r="U496" s="49" t="s">
        <v>303</v>
      </c>
      <c r="Y496" s="49" t="s">
        <v>2189</v>
      </c>
      <c r="AD496" s="49" t="s">
        <v>305</v>
      </c>
      <c r="AE496" s="48" t="n">
        <v>46212</v>
      </c>
      <c r="AF496" s="49" t="s">
        <v>306</v>
      </c>
      <c r="AG496" s="49" t="s">
        <v>307</v>
      </c>
      <c r="AK496" s="49" t="s">
        <v>1047</v>
      </c>
      <c r="AL496" s="49" t="s">
        <v>297</v>
      </c>
      <c r="AO496" s="49" t="s">
        <v>303</v>
      </c>
      <c r="AP496" s="48"/>
      <c r="AR496" s="49" t="s">
        <v>303</v>
      </c>
      <c r="AS496" s="49" t="s">
        <v>306</v>
      </c>
      <c r="AT496" s="49" t="s">
        <v>2190</v>
      </c>
      <c r="AV496" s="49" t="s">
        <v>309</v>
      </c>
      <c r="AW496" s="49" t="s">
        <v>310</v>
      </c>
      <c r="AX496" s="49" t="s">
        <v>311</v>
      </c>
      <c r="AY496" s="48"/>
      <c r="AZ496" s="48" t="n">
        <v>46234</v>
      </c>
      <c r="BC496" s="49" t="s">
        <v>303</v>
      </c>
      <c r="BD496" s="48" t="n">
        <v>46244</v>
      </c>
      <c r="BE496" s="49" t="s">
        <v>2183</v>
      </c>
      <c r="BF496" s="49" t="s">
        <v>303</v>
      </c>
      <c r="BG496" s="48"/>
      <c r="BI496" s="48" t="n">
        <v>46244</v>
      </c>
      <c r="BJ496" s="48" t="n">
        <v>46243</v>
      </c>
      <c r="BK496" s="49" t="s">
        <v>313</v>
      </c>
      <c r="BL496" s="49" t="s">
        <v>313</v>
      </c>
      <c r="BM496" s="49" t="s">
        <v>310</v>
      </c>
      <c r="BN496" s="48"/>
      <c r="BO496" s="48"/>
      <c r="BP496" s="48"/>
      <c r="BQ496" s="49" t="s">
        <v>2155</v>
      </c>
      <c r="BR496" s="48" t="n">
        <v>46243</v>
      </c>
      <c r="BS496" s="49" t="s">
        <v>2184</v>
      </c>
      <c r="BT496" s="49" t="s">
        <v>312</v>
      </c>
      <c r="BU496" s="49" t="s">
        <v>313</v>
      </c>
      <c r="BV496" s="49" t="s">
        <v>303</v>
      </c>
      <c r="BX496" s="0" t="n">
        <v>1</v>
      </c>
      <c r="CC496" s="49" t="s">
        <v>315</v>
      </c>
      <c r="CD496" s="49" t="s">
        <v>303</v>
      </c>
      <c r="CF496" s="49" t="s">
        <v>303</v>
      </c>
      <c r="CG496" s="49" t="s">
        <v>316</v>
      </c>
      <c r="CH496" s="49" t="s">
        <v>317</v>
      </c>
      <c r="CI496" s="49" t="s">
        <v>318</v>
      </c>
      <c r="CM496" s="49" t="s">
        <v>65</v>
      </c>
      <c r="CV496" s="49" t="s">
        <v>303</v>
      </c>
      <c r="DB496" s="49" t="s">
        <v>319</v>
      </c>
      <c r="DD496" s="48" t="n">
        <v>46212</v>
      </c>
      <c r="DF496" s="49" t="s">
        <v>310</v>
      </c>
      <c r="DG496" s="49" t="s">
        <v>320</v>
      </c>
      <c r="DH496" s="49" t="s">
        <v>64</v>
      </c>
      <c r="DI496" s="49" t="s">
        <v>298</v>
      </c>
      <c r="DJ496" s="49" t="s">
        <v>394</v>
      </c>
      <c r="DK496" s="49" t="s">
        <v>322</v>
      </c>
      <c r="DL496" s="49" t="s">
        <v>323</v>
      </c>
      <c r="DM496" s="49" t="s">
        <v>303</v>
      </c>
      <c r="DN496" s="49" t="s">
        <v>297</v>
      </c>
      <c r="DO496" s="48"/>
      <c r="DP496" s="49" t="s">
        <v>312</v>
      </c>
      <c r="DQ496" s="48"/>
      <c r="DR496" s="49" t="s">
        <v>312</v>
      </c>
      <c r="DS496" s="49" t="s">
        <v>303</v>
      </c>
      <c r="DT496" s="49" t="s">
        <v>303</v>
      </c>
      <c r="DW496" s="49" t="s">
        <v>303</v>
      </c>
      <c r="EA496" s="49" t="s">
        <v>324</v>
      </c>
      <c r="EB496" s="49" t="s">
        <v>303</v>
      </c>
      <c r="EF496" s="49" t="s">
        <v>2179</v>
      </c>
      <c r="EH496" s="49" t="s">
        <v>310</v>
      </c>
      <c r="EJ496" s="49" t="s">
        <v>303</v>
      </c>
      <c r="EK496" s="49" t="s">
        <v>2191</v>
      </c>
      <c r="EM496" s="49" t="s">
        <v>303</v>
      </c>
      <c r="EN496" s="49" t="s">
        <v>396</v>
      </c>
      <c r="EP496" s="49" t="s">
        <v>298</v>
      </c>
      <c r="EQ496" s="0" t="n">
        <v>1</v>
      </c>
      <c r="ER496" s="49" t="s">
        <v>328</v>
      </c>
      <c r="ES496" s="49" t="s">
        <v>329</v>
      </c>
      <c r="ET496" s="49" t="s">
        <v>310</v>
      </c>
      <c r="EU496" s="49" t="s">
        <v>310</v>
      </c>
      <c r="EV496" s="49" t="s">
        <v>310</v>
      </c>
      <c r="EX496" s="49" t="s">
        <v>303</v>
      </c>
      <c r="EY496" s="49" t="s">
        <v>303</v>
      </c>
      <c r="FC496" s="49" t="s">
        <v>330</v>
      </c>
      <c r="FD496" s="49" t="s">
        <v>310</v>
      </c>
      <c r="FE496" s="49" t="s">
        <v>310</v>
      </c>
      <c r="FF496" s="49" t="s">
        <v>64</v>
      </c>
      <c r="FG496" s="49" t="s">
        <v>397</v>
      </c>
      <c r="FH496" s="49" t="s">
        <v>310</v>
      </c>
      <c r="FI496" s="49" t="s">
        <v>332</v>
      </c>
      <c r="FJ496" s="49" t="s">
        <v>303</v>
      </c>
      <c r="FL496" s="49" t="s">
        <v>325</v>
      </c>
      <c r="FM496" s="49" t="s">
        <v>2161</v>
      </c>
      <c r="FP496" s="49" t="s">
        <v>303</v>
      </c>
      <c r="FR496" s="49" t="s">
        <v>303</v>
      </c>
      <c r="FT496" s="49" t="s">
        <v>325</v>
      </c>
      <c r="FU496" s="49" t="s">
        <v>325</v>
      </c>
      <c r="FW496" s="49" t="s">
        <v>333</v>
      </c>
    </row>
    <row r="497" customFormat="false" ht="15" hidden="false" customHeight="false" outlineLevel="0" collapsed="false">
      <c r="A497" s="0" t="n">
        <v>100872720</v>
      </c>
      <c r="B497" s="0" t="s">
        <v>295</v>
      </c>
      <c r="C497" s="0" t="s">
        <v>64</v>
      </c>
      <c r="D497" s="0" t="s">
        <v>65</v>
      </c>
      <c r="E497" s="0" t="s">
        <v>297</v>
      </c>
      <c r="G497" s="0" t="n">
        <v>1</v>
      </c>
      <c r="H497" s="0" t="s">
        <v>298</v>
      </c>
      <c r="I497" s="48" t="n">
        <v>46238</v>
      </c>
      <c r="J497" s="0" t="n">
        <v>1</v>
      </c>
      <c r="K497" s="49" t="s">
        <v>2161</v>
      </c>
      <c r="L497" s="49" t="s">
        <v>1035</v>
      </c>
      <c r="M497" s="48" t="n">
        <v>46275</v>
      </c>
      <c r="N497" s="49" t="s">
        <v>1070</v>
      </c>
      <c r="O497" s="49" t="s">
        <v>1045</v>
      </c>
      <c r="P497" s="48"/>
      <c r="Q497" s="48" t="n">
        <v>46238</v>
      </c>
      <c r="R497" s="48" t="n">
        <v>46244</v>
      </c>
      <c r="T497" s="49" t="s">
        <v>302</v>
      </c>
      <c r="U497" s="49" t="s">
        <v>303</v>
      </c>
      <c r="Y497" s="49" t="s">
        <v>2192</v>
      </c>
      <c r="AD497" s="49" t="s">
        <v>305</v>
      </c>
      <c r="AE497" s="48" t="n">
        <v>46212</v>
      </c>
      <c r="AF497" s="49" t="s">
        <v>306</v>
      </c>
      <c r="AG497" s="49" t="s">
        <v>307</v>
      </c>
      <c r="AK497" s="49" t="s">
        <v>1047</v>
      </c>
      <c r="AL497" s="49" t="s">
        <v>297</v>
      </c>
      <c r="AO497" s="49" t="s">
        <v>303</v>
      </c>
      <c r="AP497" s="48"/>
      <c r="AR497" s="49" t="s">
        <v>303</v>
      </c>
      <c r="AS497" s="49" t="s">
        <v>306</v>
      </c>
      <c r="AT497" s="49" t="s">
        <v>2193</v>
      </c>
      <c r="AV497" s="49" t="s">
        <v>309</v>
      </c>
      <c r="AW497" s="49" t="s">
        <v>310</v>
      </c>
      <c r="AX497" s="49" t="s">
        <v>311</v>
      </c>
      <c r="AY497" s="48"/>
      <c r="AZ497" s="48" t="n">
        <v>46234</v>
      </c>
      <c r="BC497" s="49" t="s">
        <v>303</v>
      </c>
      <c r="BD497" s="48" t="n">
        <v>46244</v>
      </c>
      <c r="BE497" s="49" t="s">
        <v>2194</v>
      </c>
      <c r="BF497" s="49" t="s">
        <v>303</v>
      </c>
      <c r="BG497" s="48"/>
      <c r="BI497" s="48" t="n">
        <v>46244</v>
      </c>
      <c r="BJ497" s="48" t="n">
        <v>46243</v>
      </c>
      <c r="BK497" s="49" t="s">
        <v>313</v>
      </c>
      <c r="BL497" s="49" t="s">
        <v>313</v>
      </c>
      <c r="BM497" s="49" t="s">
        <v>310</v>
      </c>
      <c r="BN497" s="48"/>
      <c r="BO497" s="48"/>
      <c r="BP497" s="48"/>
      <c r="BQ497" s="49" t="s">
        <v>2155</v>
      </c>
      <c r="BR497" s="48" t="n">
        <v>46243</v>
      </c>
      <c r="BS497" s="49" t="s">
        <v>2195</v>
      </c>
      <c r="BT497" s="49" t="s">
        <v>312</v>
      </c>
      <c r="BU497" s="49" t="s">
        <v>313</v>
      </c>
      <c r="BV497" s="49" t="s">
        <v>303</v>
      </c>
      <c r="BX497" s="0" t="n">
        <v>1</v>
      </c>
      <c r="CC497" s="49" t="s">
        <v>315</v>
      </c>
      <c r="CD497" s="49" t="s">
        <v>303</v>
      </c>
      <c r="CF497" s="49" t="s">
        <v>303</v>
      </c>
      <c r="CG497" s="49" t="s">
        <v>316</v>
      </c>
      <c r="CH497" s="49" t="s">
        <v>317</v>
      </c>
      <c r="CI497" s="49" t="s">
        <v>318</v>
      </c>
      <c r="CM497" s="49" t="s">
        <v>65</v>
      </c>
      <c r="CV497" s="49" t="s">
        <v>303</v>
      </c>
      <c r="DB497" s="49" t="s">
        <v>319</v>
      </c>
      <c r="DD497" s="48" t="n">
        <v>46212</v>
      </c>
      <c r="DF497" s="49" t="s">
        <v>310</v>
      </c>
      <c r="DG497" s="49" t="s">
        <v>320</v>
      </c>
      <c r="DH497" s="49" t="s">
        <v>64</v>
      </c>
      <c r="DI497" s="49" t="s">
        <v>298</v>
      </c>
      <c r="DJ497" s="49" t="s">
        <v>394</v>
      </c>
      <c r="DK497" s="49" t="s">
        <v>322</v>
      </c>
      <c r="DL497" s="49" t="s">
        <v>323</v>
      </c>
      <c r="DM497" s="49" t="s">
        <v>303</v>
      </c>
      <c r="DN497" s="49" t="s">
        <v>297</v>
      </c>
      <c r="DO497" s="48"/>
      <c r="DP497" s="49" t="s">
        <v>312</v>
      </c>
      <c r="DQ497" s="48"/>
      <c r="DR497" s="49" t="s">
        <v>312</v>
      </c>
      <c r="DS497" s="49" t="s">
        <v>303</v>
      </c>
      <c r="DT497" s="49" t="s">
        <v>303</v>
      </c>
      <c r="DW497" s="49" t="s">
        <v>303</v>
      </c>
      <c r="EA497" s="49" t="s">
        <v>324</v>
      </c>
      <c r="EB497" s="49" t="s">
        <v>303</v>
      </c>
      <c r="EF497" s="49" t="s">
        <v>2179</v>
      </c>
      <c r="EH497" s="49" t="s">
        <v>310</v>
      </c>
      <c r="EJ497" s="49" t="s">
        <v>303</v>
      </c>
      <c r="EK497" s="49" t="s">
        <v>2196</v>
      </c>
      <c r="EM497" s="49" t="s">
        <v>303</v>
      </c>
      <c r="EN497" s="49" t="s">
        <v>396</v>
      </c>
      <c r="EP497" s="49" t="s">
        <v>298</v>
      </c>
      <c r="EQ497" s="0" t="n">
        <v>1</v>
      </c>
      <c r="ER497" s="49" t="s">
        <v>328</v>
      </c>
      <c r="ES497" s="49" t="s">
        <v>329</v>
      </c>
      <c r="ET497" s="49" t="s">
        <v>310</v>
      </c>
      <c r="EU497" s="49" t="s">
        <v>310</v>
      </c>
      <c r="EV497" s="49" t="s">
        <v>310</v>
      </c>
      <c r="EX497" s="49" t="s">
        <v>303</v>
      </c>
      <c r="EY497" s="49" t="s">
        <v>303</v>
      </c>
      <c r="FC497" s="49" t="s">
        <v>330</v>
      </c>
      <c r="FD497" s="49" t="s">
        <v>310</v>
      </c>
      <c r="FE497" s="49" t="s">
        <v>310</v>
      </c>
      <c r="FF497" s="49" t="s">
        <v>64</v>
      </c>
      <c r="FG497" s="49" t="s">
        <v>397</v>
      </c>
      <c r="FH497" s="49" t="s">
        <v>310</v>
      </c>
      <c r="FI497" s="49" t="s">
        <v>332</v>
      </c>
      <c r="FJ497" s="49" t="s">
        <v>303</v>
      </c>
      <c r="FL497" s="49" t="s">
        <v>325</v>
      </c>
      <c r="FM497" s="49" t="s">
        <v>2161</v>
      </c>
      <c r="FP497" s="49" t="s">
        <v>303</v>
      </c>
      <c r="FR497" s="49" t="s">
        <v>303</v>
      </c>
      <c r="FT497" s="49" t="s">
        <v>325</v>
      </c>
      <c r="FU497" s="49" t="s">
        <v>325</v>
      </c>
      <c r="FW497" s="49" t="s">
        <v>333</v>
      </c>
    </row>
    <row r="498" customFormat="false" ht="15" hidden="false" customHeight="false" outlineLevel="0" collapsed="false">
      <c r="A498" s="0" t="n">
        <v>100872721</v>
      </c>
      <c r="B498" s="0" t="s">
        <v>295</v>
      </c>
      <c r="C498" s="0" t="s">
        <v>64</v>
      </c>
      <c r="D498" s="0" t="s">
        <v>65</v>
      </c>
      <c r="E498" s="0" t="s">
        <v>297</v>
      </c>
      <c r="G498" s="0" t="n">
        <v>1</v>
      </c>
      <c r="H498" s="0" t="s">
        <v>298</v>
      </c>
      <c r="I498" s="48" t="n">
        <v>46238</v>
      </c>
      <c r="J498" s="0" t="n">
        <v>1</v>
      </c>
      <c r="K498" s="49" t="s">
        <v>2161</v>
      </c>
      <c r="L498" s="49" t="s">
        <v>1035</v>
      </c>
      <c r="M498" s="48" t="n">
        <v>46256</v>
      </c>
      <c r="N498" s="49" t="s">
        <v>1204</v>
      </c>
      <c r="O498" s="49" t="s">
        <v>1045</v>
      </c>
      <c r="P498" s="48"/>
      <c r="Q498" s="48" t="n">
        <v>46238</v>
      </c>
      <c r="R498" s="48" t="n">
        <v>46244</v>
      </c>
      <c r="T498" s="49" t="s">
        <v>302</v>
      </c>
      <c r="U498" s="49" t="s">
        <v>303</v>
      </c>
      <c r="Y498" s="49" t="s">
        <v>2197</v>
      </c>
      <c r="AD498" s="49" t="s">
        <v>305</v>
      </c>
      <c r="AE498" s="48" t="n">
        <v>46212</v>
      </c>
      <c r="AF498" s="49" t="s">
        <v>306</v>
      </c>
      <c r="AG498" s="49" t="s">
        <v>307</v>
      </c>
      <c r="AK498" s="49" t="s">
        <v>1047</v>
      </c>
      <c r="AL498" s="49" t="s">
        <v>297</v>
      </c>
      <c r="AO498" s="49" t="s">
        <v>303</v>
      </c>
      <c r="AP498" s="48"/>
      <c r="AR498" s="49" t="s">
        <v>303</v>
      </c>
      <c r="AS498" s="49" t="s">
        <v>306</v>
      </c>
      <c r="AT498" s="49" t="s">
        <v>2198</v>
      </c>
      <c r="AV498" s="49" t="s">
        <v>309</v>
      </c>
      <c r="AW498" s="49" t="s">
        <v>310</v>
      </c>
      <c r="AX498" s="49" t="s">
        <v>311</v>
      </c>
      <c r="AY498" s="48"/>
      <c r="AZ498" s="48" t="n">
        <v>46234</v>
      </c>
      <c r="BC498" s="49" t="s">
        <v>303</v>
      </c>
      <c r="BD498" s="48" t="n">
        <v>46258</v>
      </c>
      <c r="BE498" s="49" t="s">
        <v>2199</v>
      </c>
      <c r="BF498" s="49" t="s">
        <v>303</v>
      </c>
      <c r="BG498" s="48"/>
      <c r="BI498" s="48" t="n">
        <v>46258</v>
      </c>
      <c r="BJ498" s="48" t="n">
        <v>46243</v>
      </c>
      <c r="BK498" s="49" t="s">
        <v>313</v>
      </c>
      <c r="BL498" s="49" t="s">
        <v>313</v>
      </c>
      <c r="BM498" s="49" t="s">
        <v>310</v>
      </c>
      <c r="BN498" s="48"/>
      <c r="BO498" s="48"/>
      <c r="BP498" s="48"/>
      <c r="BQ498" s="49" t="s">
        <v>1684</v>
      </c>
      <c r="BR498" s="48" t="n">
        <v>46243</v>
      </c>
      <c r="BS498" s="49" t="s">
        <v>2200</v>
      </c>
      <c r="BT498" s="49" t="s">
        <v>312</v>
      </c>
      <c r="BU498" s="49" t="s">
        <v>313</v>
      </c>
      <c r="BV498" s="49" t="s">
        <v>303</v>
      </c>
      <c r="BX498" s="0" t="n">
        <v>1</v>
      </c>
      <c r="CC498" s="49" t="s">
        <v>315</v>
      </c>
      <c r="CD498" s="49" t="s">
        <v>303</v>
      </c>
      <c r="CF498" s="49" t="s">
        <v>303</v>
      </c>
      <c r="CG498" s="49" t="s">
        <v>316</v>
      </c>
      <c r="CH498" s="49" t="s">
        <v>317</v>
      </c>
      <c r="CI498" s="49" t="s">
        <v>318</v>
      </c>
      <c r="CM498" s="49" t="s">
        <v>65</v>
      </c>
      <c r="CV498" s="49" t="s">
        <v>303</v>
      </c>
      <c r="DB498" s="49" t="s">
        <v>319</v>
      </c>
      <c r="DD498" s="48" t="n">
        <v>46212</v>
      </c>
      <c r="DF498" s="49" t="s">
        <v>310</v>
      </c>
      <c r="DG498" s="49" t="s">
        <v>320</v>
      </c>
      <c r="DH498" s="49" t="s">
        <v>64</v>
      </c>
      <c r="DI498" s="49" t="s">
        <v>298</v>
      </c>
      <c r="DJ498" s="49" t="s">
        <v>394</v>
      </c>
      <c r="DK498" s="49" t="s">
        <v>322</v>
      </c>
      <c r="DL498" s="49" t="s">
        <v>323</v>
      </c>
      <c r="DM498" s="49" t="s">
        <v>303</v>
      </c>
      <c r="DN498" s="49" t="s">
        <v>297</v>
      </c>
      <c r="DO498" s="48"/>
      <c r="DP498" s="49" t="s">
        <v>312</v>
      </c>
      <c r="DQ498" s="48"/>
      <c r="DR498" s="49" t="s">
        <v>312</v>
      </c>
      <c r="DS498" s="49" t="s">
        <v>303</v>
      </c>
      <c r="DT498" s="49" t="s">
        <v>303</v>
      </c>
      <c r="DW498" s="49" t="s">
        <v>303</v>
      </c>
      <c r="EA498" s="49" t="s">
        <v>324</v>
      </c>
      <c r="EB498" s="49" t="s">
        <v>303</v>
      </c>
      <c r="EF498" s="49" t="s">
        <v>2179</v>
      </c>
      <c r="EH498" s="49" t="s">
        <v>310</v>
      </c>
      <c r="EJ498" s="49" t="s">
        <v>303</v>
      </c>
      <c r="EK498" s="49" t="s">
        <v>2201</v>
      </c>
      <c r="EM498" s="49" t="s">
        <v>303</v>
      </c>
      <c r="EN498" s="49" t="s">
        <v>396</v>
      </c>
      <c r="EP498" s="49" t="s">
        <v>298</v>
      </c>
      <c r="EQ498" s="0" t="n">
        <v>1</v>
      </c>
      <c r="ER498" s="49" t="s">
        <v>328</v>
      </c>
      <c r="ES498" s="49" t="s">
        <v>329</v>
      </c>
      <c r="ET498" s="49" t="s">
        <v>310</v>
      </c>
      <c r="EU498" s="49" t="s">
        <v>310</v>
      </c>
      <c r="EV498" s="49" t="s">
        <v>310</v>
      </c>
      <c r="EX498" s="49" t="s">
        <v>303</v>
      </c>
      <c r="EY498" s="49" t="s">
        <v>303</v>
      </c>
      <c r="FC498" s="49" t="s">
        <v>330</v>
      </c>
      <c r="FD498" s="49" t="s">
        <v>310</v>
      </c>
      <c r="FE498" s="49" t="s">
        <v>310</v>
      </c>
      <c r="FF498" s="49" t="s">
        <v>64</v>
      </c>
      <c r="FG498" s="49" t="s">
        <v>397</v>
      </c>
      <c r="FH498" s="49" t="s">
        <v>310</v>
      </c>
      <c r="FI498" s="49" t="s">
        <v>332</v>
      </c>
      <c r="FJ498" s="49" t="s">
        <v>303</v>
      </c>
      <c r="FL498" s="49" t="s">
        <v>325</v>
      </c>
      <c r="FM498" s="49" t="s">
        <v>2161</v>
      </c>
      <c r="FP498" s="49" t="s">
        <v>303</v>
      </c>
      <c r="FR498" s="49" t="s">
        <v>303</v>
      </c>
      <c r="FT498" s="49" t="s">
        <v>325</v>
      </c>
      <c r="FU498" s="49" t="s">
        <v>325</v>
      </c>
      <c r="FW498" s="49" t="s">
        <v>333</v>
      </c>
    </row>
    <row r="499" customFormat="false" ht="15" hidden="false" customHeight="false" outlineLevel="0" collapsed="false">
      <c r="A499" s="0" t="n">
        <v>100872722</v>
      </c>
      <c r="B499" s="0" t="s">
        <v>295</v>
      </c>
      <c r="C499" s="0" t="s">
        <v>64</v>
      </c>
      <c r="D499" s="0" t="s">
        <v>65</v>
      </c>
      <c r="E499" s="0" t="s">
        <v>297</v>
      </c>
      <c r="G499" s="0" t="n">
        <v>1</v>
      </c>
      <c r="H499" s="0" t="s">
        <v>298</v>
      </c>
      <c r="I499" s="48" t="n">
        <v>46238</v>
      </c>
      <c r="J499" s="0" t="n">
        <v>1</v>
      </c>
      <c r="K499" s="49" t="s">
        <v>2161</v>
      </c>
      <c r="L499" s="49" t="s">
        <v>1035</v>
      </c>
      <c r="M499" s="48" t="n">
        <v>46256</v>
      </c>
      <c r="N499" s="49" t="s">
        <v>1204</v>
      </c>
      <c r="O499" s="49" t="s">
        <v>1045</v>
      </c>
      <c r="P499" s="48"/>
      <c r="Q499" s="48" t="n">
        <v>46238</v>
      </c>
      <c r="R499" s="48" t="n">
        <v>46244</v>
      </c>
      <c r="T499" s="49" t="s">
        <v>302</v>
      </c>
      <c r="U499" s="49" t="s">
        <v>303</v>
      </c>
      <c r="Y499" s="49" t="s">
        <v>2202</v>
      </c>
      <c r="AD499" s="49" t="s">
        <v>305</v>
      </c>
      <c r="AE499" s="48" t="n">
        <v>46212</v>
      </c>
      <c r="AF499" s="49" t="s">
        <v>306</v>
      </c>
      <c r="AG499" s="49" t="s">
        <v>307</v>
      </c>
      <c r="AK499" s="49" t="s">
        <v>1047</v>
      </c>
      <c r="AL499" s="49" t="s">
        <v>297</v>
      </c>
      <c r="AO499" s="49" t="s">
        <v>303</v>
      </c>
      <c r="AP499" s="48"/>
      <c r="AR499" s="49" t="s">
        <v>303</v>
      </c>
      <c r="AS499" s="49" t="s">
        <v>306</v>
      </c>
      <c r="AT499" s="49" t="s">
        <v>2203</v>
      </c>
      <c r="AV499" s="49" t="s">
        <v>309</v>
      </c>
      <c r="AW499" s="49" t="s">
        <v>310</v>
      </c>
      <c r="AX499" s="49" t="s">
        <v>311</v>
      </c>
      <c r="AY499" s="48"/>
      <c r="AZ499" s="48" t="n">
        <v>46234</v>
      </c>
      <c r="BC499" s="49" t="s">
        <v>303</v>
      </c>
      <c r="BD499" s="48" t="n">
        <v>46258</v>
      </c>
      <c r="BE499" s="49" t="s">
        <v>2204</v>
      </c>
      <c r="BF499" s="49" t="s">
        <v>303</v>
      </c>
      <c r="BG499" s="48"/>
      <c r="BI499" s="48" t="n">
        <v>46258</v>
      </c>
      <c r="BJ499" s="48" t="n">
        <v>46243</v>
      </c>
      <c r="BK499" s="49" t="s">
        <v>313</v>
      </c>
      <c r="BL499" s="49" t="s">
        <v>313</v>
      </c>
      <c r="BM499" s="49" t="s">
        <v>310</v>
      </c>
      <c r="BN499" s="48"/>
      <c r="BO499" s="48"/>
      <c r="BP499" s="48"/>
      <c r="BQ499" s="49" t="s">
        <v>1684</v>
      </c>
      <c r="BR499" s="48" t="n">
        <v>46243</v>
      </c>
      <c r="BS499" s="49" t="s">
        <v>2205</v>
      </c>
      <c r="BT499" s="49" t="s">
        <v>312</v>
      </c>
      <c r="BU499" s="49" t="s">
        <v>313</v>
      </c>
      <c r="BV499" s="49" t="s">
        <v>303</v>
      </c>
      <c r="BX499" s="0" t="n">
        <v>1</v>
      </c>
      <c r="CC499" s="49" t="s">
        <v>315</v>
      </c>
      <c r="CD499" s="49" t="s">
        <v>303</v>
      </c>
      <c r="CF499" s="49" t="s">
        <v>303</v>
      </c>
      <c r="CG499" s="49" t="s">
        <v>316</v>
      </c>
      <c r="CH499" s="49" t="s">
        <v>317</v>
      </c>
      <c r="CI499" s="49" t="s">
        <v>318</v>
      </c>
      <c r="CM499" s="49" t="s">
        <v>65</v>
      </c>
      <c r="CV499" s="49" t="s">
        <v>303</v>
      </c>
      <c r="DB499" s="49" t="s">
        <v>319</v>
      </c>
      <c r="DD499" s="48" t="n">
        <v>46212</v>
      </c>
      <c r="DF499" s="49" t="s">
        <v>310</v>
      </c>
      <c r="DG499" s="49" t="s">
        <v>320</v>
      </c>
      <c r="DH499" s="49" t="s">
        <v>64</v>
      </c>
      <c r="DI499" s="49" t="s">
        <v>298</v>
      </c>
      <c r="DJ499" s="49" t="s">
        <v>394</v>
      </c>
      <c r="DK499" s="49" t="s">
        <v>322</v>
      </c>
      <c r="DL499" s="49" t="s">
        <v>323</v>
      </c>
      <c r="DM499" s="49" t="s">
        <v>303</v>
      </c>
      <c r="DN499" s="49" t="s">
        <v>297</v>
      </c>
      <c r="DO499" s="48"/>
      <c r="DP499" s="49" t="s">
        <v>312</v>
      </c>
      <c r="DQ499" s="48"/>
      <c r="DR499" s="49" t="s">
        <v>312</v>
      </c>
      <c r="DS499" s="49" t="s">
        <v>303</v>
      </c>
      <c r="DT499" s="49" t="s">
        <v>303</v>
      </c>
      <c r="DW499" s="49" t="s">
        <v>303</v>
      </c>
      <c r="EA499" s="49" t="s">
        <v>324</v>
      </c>
      <c r="EB499" s="49" t="s">
        <v>303</v>
      </c>
      <c r="EF499" s="49" t="s">
        <v>2179</v>
      </c>
      <c r="EH499" s="49" t="s">
        <v>310</v>
      </c>
      <c r="EJ499" s="49" t="s">
        <v>303</v>
      </c>
      <c r="EK499" s="49" t="s">
        <v>2206</v>
      </c>
      <c r="EM499" s="49" t="s">
        <v>303</v>
      </c>
      <c r="EN499" s="49" t="s">
        <v>396</v>
      </c>
      <c r="EP499" s="49" t="s">
        <v>298</v>
      </c>
      <c r="EQ499" s="0" t="n">
        <v>1</v>
      </c>
      <c r="ER499" s="49" t="s">
        <v>328</v>
      </c>
      <c r="ES499" s="49" t="s">
        <v>329</v>
      </c>
      <c r="ET499" s="49" t="s">
        <v>310</v>
      </c>
      <c r="EU499" s="49" t="s">
        <v>310</v>
      </c>
      <c r="EV499" s="49" t="s">
        <v>310</v>
      </c>
      <c r="EX499" s="49" t="s">
        <v>303</v>
      </c>
      <c r="EY499" s="49" t="s">
        <v>303</v>
      </c>
      <c r="FC499" s="49" t="s">
        <v>330</v>
      </c>
      <c r="FD499" s="49" t="s">
        <v>310</v>
      </c>
      <c r="FE499" s="49" t="s">
        <v>310</v>
      </c>
      <c r="FF499" s="49" t="s">
        <v>64</v>
      </c>
      <c r="FG499" s="49" t="s">
        <v>397</v>
      </c>
      <c r="FH499" s="49" t="s">
        <v>310</v>
      </c>
      <c r="FI499" s="49" t="s">
        <v>332</v>
      </c>
      <c r="FJ499" s="49" t="s">
        <v>303</v>
      </c>
      <c r="FL499" s="49" t="s">
        <v>325</v>
      </c>
      <c r="FM499" s="49" t="s">
        <v>2161</v>
      </c>
      <c r="FP499" s="49" t="s">
        <v>303</v>
      </c>
      <c r="FR499" s="49" t="s">
        <v>303</v>
      </c>
      <c r="FT499" s="49" t="s">
        <v>325</v>
      </c>
      <c r="FU499" s="49" t="s">
        <v>325</v>
      </c>
      <c r="FW499" s="49" t="s">
        <v>333</v>
      </c>
    </row>
    <row r="500" customFormat="false" ht="15" hidden="false" customHeight="false" outlineLevel="0" collapsed="false">
      <c r="A500" s="0" t="n">
        <v>100872723</v>
      </c>
      <c r="B500" s="0" t="s">
        <v>295</v>
      </c>
      <c r="C500" s="0" t="s">
        <v>64</v>
      </c>
      <c r="D500" s="0" t="s">
        <v>65</v>
      </c>
      <c r="E500" s="0" t="s">
        <v>297</v>
      </c>
      <c r="G500" s="0" t="n">
        <v>1</v>
      </c>
      <c r="H500" s="0" t="s">
        <v>298</v>
      </c>
      <c r="I500" s="48" t="n">
        <v>46238</v>
      </c>
      <c r="J500" s="0" t="n">
        <v>1</v>
      </c>
      <c r="K500" s="49" t="s">
        <v>2161</v>
      </c>
      <c r="L500" s="49" t="s">
        <v>1035</v>
      </c>
      <c r="M500" s="48" t="n">
        <v>46256</v>
      </c>
      <c r="N500" s="49" t="s">
        <v>1204</v>
      </c>
      <c r="O500" s="49" t="s">
        <v>1045</v>
      </c>
      <c r="P500" s="48"/>
      <c r="Q500" s="48" t="n">
        <v>46238</v>
      </c>
      <c r="R500" s="48" t="n">
        <v>46244</v>
      </c>
      <c r="T500" s="49" t="s">
        <v>302</v>
      </c>
      <c r="U500" s="49" t="s">
        <v>303</v>
      </c>
      <c r="Y500" s="49" t="s">
        <v>2207</v>
      </c>
      <c r="AD500" s="49" t="s">
        <v>305</v>
      </c>
      <c r="AE500" s="48" t="n">
        <v>46212</v>
      </c>
      <c r="AF500" s="49" t="s">
        <v>306</v>
      </c>
      <c r="AG500" s="49" t="s">
        <v>307</v>
      </c>
      <c r="AK500" s="49" t="s">
        <v>1047</v>
      </c>
      <c r="AL500" s="49" t="s">
        <v>297</v>
      </c>
      <c r="AO500" s="49" t="s">
        <v>303</v>
      </c>
      <c r="AP500" s="48"/>
      <c r="AR500" s="49" t="s">
        <v>303</v>
      </c>
      <c r="AS500" s="49" t="s">
        <v>306</v>
      </c>
      <c r="AT500" s="49" t="s">
        <v>2208</v>
      </c>
      <c r="AV500" s="49" t="s">
        <v>309</v>
      </c>
      <c r="AW500" s="49" t="s">
        <v>310</v>
      </c>
      <c r="AX500" s="49" t="s">
        <v>311</v>
      </c>
      <c r="AY500" s="48"/>
      <c r="AZ500" s="48" t="n">
        <v>46234</v>
      </c>
      <c r="BC500" s="49" t="s">
        <v>303</v>
      </c>
      <c r="BD500" s="48" t="n">
        <v>46258</v>
      </c>
      <c r="BE500" s="49" t="s">
        <v>2209</v>
      </c>
      <c r="BF500" s="49" t="s">
        <v>303</v>
      </c>
      <c r="BG500" s="48"/>
      <c r="BI500" s="48" t="n">
        <v>46258</v>
      </c>
      <c r="BJ500" s="48" t="n">
        <v>46243</v>
      </c>
      <c r="BK500" s="49" t="s">
        <v>313</v>
      </c>
      <c r="BL500" s="49" t="s">
        <v>313</v>
      </c>
      <c r="BM500" s="49" t="s">
        <v>310</v>
      </c>
      <c r="BN500" s="48"/>
      <c r="BO500" s="48"/>
      <c r="BP500" s="48"/>
      <c r="BQ500" s="49" t="s">
        <v>1684</v>
      </c>
      <c r="BR500" s="48" t="n">
        <v>46243</v>
      </c>
      <c r="BS500" s="49" t="s">
        <v>1889</v>
      </c>
      <c r="BT500" s="49" t="s">
        <v>312</v>
      </c>
      <c r="BU500" s="49" t="s">
        <v>313</v>
      </c>
      <c r="BV500" s="49" t="s">
        <v>303</v>
      </c>
      <c r="BX500" s="0" t="n">
        <v>1</v>
      </c>
      <c r="CC500" s="49" t="s">
        <v>315</v>
      </c>
      <c r="CD500" s="49" t="s">
        <v>303</v>
      </c>
      <c r="CF500" s="49" t="s">
        <v>303</v>
      </c>
      <c r="CG500" s="49" t="s">
        <v>316</v>
      </c>
      <c r="CH500" s="49" t="s">
        <v>317</v>
      </c>
      <c r="CI500" s="49" t="s">
        <v>318</v>
      </c>
      <c r="CM500" s="49" t="s">
        <v>65</v>
      </c>
      <c r="CV500" s="49" t="s">
        <v>303</v>
      </c>
      <c r="DB500" s="49" t="s">
        <v>319</v>
      </c>
      <c r="DD500" s="48" t="n">
        <v>46212</v>
      </c>
      <c r="DF500" s="49" t="s">
        <v>310</v>
      </c>
      <c r="DG500" s="49" t="s">
        <v>320</v>
      </c>
      <c r="DH500" s="49" t="s">
        <v>64</v>
      </c>
      <c r="DI500" s="49" t="s">
        <v>298</v>
      </c>
      <c r="DJ500" s="49" t="s">
        <v>394</v>
      </c>
      <c r="DK500" s="49" t="s">
        <v>322</v>
      </c>
      <c r="DL500" s="49" t="s">
        <v>323</v>
      </c>
      <c r="DM500" s="49" t="s">
        <v>303</v>
      </c>
      <c r="DN500" s="49" t="s">
        <v>297</v>
      </c>
      <c r="DO500" s="48"/>
      <c r="DP500" s="49" t="s">
        <v>312</v>
      </c>
      <c r="DQ500" s="48"/>
      <c r="DR500" s="49" t="s">
        <v>312</v>
      </c>
      <c r="DS500" s="49" t="s">
        <v>303</v>
      </c>
      <c r="DT500" s="49" t="s">
        <v>303</v>
      </c>
      <c r="DW500" s="49" t="s">
        <v>303</v>
      </c>
      <c r="EA500" s="49" t="s">
        <v>324</v>
      </c>
      <c r="EB500" s="49" t="s">
        <v>303</v>
      </c>
      <c r="EF500" s="49" t="s">
        <v>2179</v>
      </c>
      <c r="EH500" s="49" t="s">
        <v>310</v>
      </c>
      <c r="EJ500" s="49" t="s">
        <v>303</v>
      </c>
      <c r="EK500" s="49" t="s">
        <v>2210</v>
      </c>
      <c r="EM500" s="49" t="s">
        <v>303</v>
      </c>
      <c r="EN500" s="49" t="s">
        <v>396</v>
      </c>
      <c r="EP500" s="49" t="s">
        <v>298</v>
      </c>
      <c r="EQ500" s="0" t="n">
        <v>1</v>
      </c>
      <c r="ER500" s="49" t="s">
        <v>328</v>
      </c>
      <c r="ES500" s="49" t="s">
        <v>329</v>
      </c>
      <c r="ET500" s="49" t="s">
        <v>310</v>
      </c>
      <c r="EU500" s="49" t="s">
        <v>310</v>
      </c>
      <c r="EV500" s="49" t="s">
        <v>310</v>
      </c>
      <c r="EX500" s="49" t="s">
        <v>303</v>
      </c>
      <c r="EY500" s="49" t="s">
        <v>303</v>
      </c>
      <c r="FC500" s="49" t="s">
        <v>330</v>
      </c>
      <c r="FD500" s="49" t="s">
        <v>310</v>
      </c>
      <c r="FE500" s="49" t="s">
        <v>310</v>
      </c>
      <c r="FF500" s="49" t="s">
        <v>64</v>
      </c>
      <c r="FG500" s="49" t="s">
        <v>397</v>
      </c>
      <c r="FH500" s="49" t="s">
        <v>310</v>
      </c>
      <c r="FI500" s="49" t="s">
        <v>332</v>
      </c>
      <c r="FJ500" s="49" t="s">
        <v>303</v>
      </c>
      <c r="FL500" s="49" t="s">
        <v>325</v>
      </c>
      <c r="FM500" s="49" t="s">
        <v>2161</v>
      </c>
      <c r="FP500" s="49" t="s">
        <v>303</v>
      </c>
      <c r="FR500" s="49" t="s">
        <v>303</v>
      </c>
      <c r="FT500" s="49" t="s">
        <v>325</v>
      </c>
      <c r="FU500" s="49" t="s">
        <v>325</v>
      </c>
      <c r="FW500" s="49" t="s">
        <v>333</v>
      </c>
    </row>
    <row r="501" customFormat="false" ht="15" hidden="false" customHeight="false" outlineLevel="0" collapsed="false">
      <c r="A501" s="0" t="n">
        <v>100872724</v>
      </c>
      <c r="B501" s="0" t="s">
        <v>295</v>
      </c>
      <c r="C501" s="0" t="s">
        <v>64</v>
      </c>
      <c r="D501" s="0" t="s">
        <v>65</v>
      </c>
      <c r="E501" s="0" t="s">
        <v>297</v>
      </c>
      <c r="G501" s="0" t="n">
        <v>1</v>
      </c>
      <c r="H501" s="0" t="s">
        <v>298</v>
      </c>
      <c r="I501" s="48" t="n">
        <v>46238</v>
      </c>
      <c r="J501" s="0" t="n">
        <v>1</v>
      </c>
      <c r="K501" s="49" t="s">
        <v>2161</v>
      </c>
      <c r="L501" s="49" t="s">
        <v>1035</v>
      </c>
      <c r="M501" s="48" t="n">
        <v>46256</v>
      </c>
      <c r="N501" s="49" t="s">
        <v>1204</v>
      </c>
      <c r="O501" s="49" t="s">
        <v>1045</v>
      </c>
      <c r="P501" s="48"/>
      <c r="Q501" s="48" t="n">
        <v>46238</v>
      </c>
      <c r="R501" s="48" t="n">
        <v>46244</v>
      </c>
      <c r="T501" s="49" t="s">
        <v>302</v>
      </c>
      <c r="U501" s="49" t="s">
        <v>303</v>
      </c>
      <c r="Y501" s="49" t="s">
        <v>2211</v>
      </c>
      <c r="AD501" s="49" t="s">
        <v>305</v>
      </c>
      <c r="AE501" s="48" t="n">
        <v>46212</v>
      </c>
      <c r="AF501" s="49" t="s">
        <v>306</v>
      </c>
      <c r="AG501" s="49" t="s">
        <v>307</v>
      </c>
      <c r="AK501" s="49" t="s">
        <v>1047</v>
      </c>
      <c r="AL501" s="49" t="s">
        <v>297</v>
      </c>
      <c r="AO501" s="49" t="s">
        <v>303</v>
      </c>
      <c r="AP501" s="48"/>
      <c r="AR501" s="49" t="s">
        <v>303</v>
      </c>
      <c r="AS501" s="49" t="s">
        <v>306</v>
      </c>
      <c r="AT501" s="49" t="s">
        <v>2212</v>
      </c>
      <c r="AV501" s="49" t="s">
        <v>309</v>
      </c>
      <c r="AW501" s="49" t="s">
        <v>310</v>
      </c>
      <c r="AX501" s="49" t="s">
        <v>311</v>
      </c>
      <c r="AY501" s="48"/>
      <c r="AZ501" s="48" t="n">
        <v>46234</v>
      </c>
      <c r="BC501" s="49" t="s">
        <v>303</v>
      </c>
      <c r="BD501" s="48" t="n">
        <v>46258</v>
      </c>
      <c r="BE501" s="49" t="s">
        <v>2213</v>
      </c>
      <c r="BF501" s="49" t="s">
        <v>303</v>
      </c>
      <c r="BG501" s="48"/>
      <c r="BI501" s="48" t="n">
        <v>46258</v>
      </c>
      <c r="BJ501" s="48" t="n">
        <v>46243</v>
      </c>
      <c r="BK501" s="49" t="s">
        <v>313</v>
      </c>
      <c r="BL501" s="49" t="s">
        <v>313</v>
      </c>
      <c r="BM501" s="49" t="s">
        <v>310</v>
      </c>
      <c r="BN501" s="48"/>
      <c r="BO501" s="48"/>
      <c r="BP501" s="48"/>
      <c r="BQ501" s="49" t="s">
        <v>1684</v>
      </c>
      <c r="BR501" s="48" t="n">
        <v>46243</v>
      </c>
      <c r="BS501" s="49" t="s">
        <v>2214</v>
      </c>
      <c r="BT501" s="49" t="s">
        <v>312</v>
      </c>
      <c r="BU501" s="49" t="s">
        <v>313</v>
      </c>
      <c r="BV501" s="49" t="s">
        <v>303</v>
      </c>
      <c r="BX501" s="0" t="n">
        <v>1</v>
      </c>
      <c r="CC501" s="49" t="s">
        <v>315</v>
      </c>
      <c r="CD501" s="49" t="s">
        <v>303</v>
      </c>
      <c r="CF501" s="49" t="s">
        <v>303</v>
      </c>
      <c r="CG501" s="49" t="s">
        <v>316</v>
      </c>
      <c r="CH501" s="49" t="s">
        <v>317</v>
      </c>
      <c r="CI501" s="49" t="s">
        <v>318</v>
      </c>
      <c r="CM501" s="49" t="s">
        <v>65</v>
      </c>
      <c r="CV501" s="49" t="s">
        <v>303</v>
      </c>
      <c r="DB501" s="49" t="s">
        <v>319</v>
      </c>
      <c r="DD501" s="48" t="n">
        <v>46212</v>
      </c>
      <c r="DF501" s="49" t="s">
        <v>310</v>
      </c>
      <c r="DG501" s="49" t="s">
        <v>320</v>
      </c>
      <c r="DH501" s="49" t="s">
        <v>64</v>
      </c>
      <c r="DI501" s="49" t="s">
        <v>298</v>
      </c>
      <c r="DJ501" s="49" t="s">
        <v>394</v>
      </c>
      <c r="DK501" s="49" t="s">
        <v>322</v>
      </c>
      <c r="DL501" s="49" t="s">
        <v>323</v>
      </c>
      <c r="DM501" s="49" t="s">
        <v>303</v>
      </c>
      <c r="DN501" s="49" t="s">
        <v>297</v>
      </c>
      <c r="DO501" s="48"/>
      <c r="DP501" s="49" t="s">
        <v>312</v>
      </c>
      <c r="DQ501" s="48"/>
      <c r="DR501" s="49" t="s">
        <v>312</v>
      </c>
      <c r="DS501" s="49" t="s">
        <v>303</v>
      </c>
      <c r="DT501" s="49" t="s">
        <v>303</v>
      </c>
      <c r="DW501" s="49" t="s">
        <v>303</v>
      </c>
      <c r="EA501" s="49" t="s">
        <v>324</v>
      </c>
      <c r="EB501" s="49" t="s">
        <v>303</v>
      </c>
      <c r="EF501" s="49" t="s">
        <v>2179</v>
      </c>
      <c r="EH501" s="49" t="s">
        <v>310</v>
      </c>
      <c r="EJ501" s="49" t="s">
        <v>303</v>
      </c>
      <c r="EK501" s="49" t="s">
        <v>2215</v>
      </c>
      <c r="EM501" s="49" t="s">
        <v>303</v>
      </c>
      <c r="EN501" s="49" t="s">
        <v>396</v>
      </c>
      <c r="EP501" s="49" t="s">
        <v>298</v>
      </c>
      <c r="EQ501" s="0" t="n">
        <v>1</v>
      </c>
      <c r="ER501" s="49" t="s">
        <v>328</v>
      </c>
      <c r="ES501" s="49" t="s">
        <v>329</v>
      </c>
      <c r="ET501" s="49" t="s">
        <v>310</v>
      </c>
      <c r="EU501" s="49" t="s">
        <v>310</v>
      </c>
      <c r="EV501" s="49" t="s">
        <v>310</v>
      </c>
      <c r="EX501" s="49" t="s">
        <v>303</v>
      </c>
      <c r="EY501" s="49" t="s">
        <v>303</v>
      </c>
      <c r="FC501" s="49" t="s">
        <v>330</v>
      </c>
      <c r="FD501" s="49" t="s">
        <v>310</v>
      </c>
      <c r="FE501" s="49" t="s">
        <v>310</v>
      </c>
      <c r="FF501" s="49" t="s">
        <v>64</v>
      </c>
      <c r="FG501" s="49" t="s">
        <v>397</v>
      </c>
      <c r="FH501" s="49" t="s">
        <v>310</v>
      </c>
      <c r="FI501" s="49" t="s">
        <v>332</v>
      </c>
      <c r="FJ501" s="49" t="s">
        <v>303</v>
      </c>
      <c r="FL501" s="49" t="s">
        <v>325</v>
      </c>
      <c r="FM501" s="49" t="s">
        <v>2161</v>
      </c>
      <c r="FP501" s="49" t="s">
        <v>303</v>
      </c>
      <c r="FR501" s="49" t="s">
        <v>303</v>
      </c>
      <c r="FT501" s="49" t="s">
        <v>325</v>
      </c>
      <c r="FU501" s="49" t="s">
        <v>325</v>
      </c>
      <c r="FW501" s="49" t="s">
        <v>333</v>
      </c>
    </row>
    <row r="502" customFormat="false" ht="15" hidden="false" customHeight="false" outlineLevel="0" collapsed="false">
      <c r="A502" s="0" t="n">
        <v>100872725</v>
      </c>
      <c r="B502" s="0" t="s">
        <v>295</v>
      </c>
      <c r="C502" s="0" t="s">
        <v>64</v>
      </c>
      <c r="D502" s="0" t="s">
        <v>65</v>
      </c>
      <c r="E502" s="0" t="s">
        <v>297</v>
      </c>
      <c r="G502" s="0" t="n">
        <v>1</v>
      </c>
      <c r="H502" s="0" t="s">
        <v>298</v>
      </c>
      <c r="I502" s="48" t="n">
        <v>46238</v>
      </c>
      <c r="J502" s="0" t="n">
        <v>1</v>
      </c>
      <c r="K502" s="49" t="s">
        <v>2161</v>
      </c>
      <c r="L502" s="49" t="s">
        <v>1035</v>
      </c>
      <c r="M502" s="48" t="n">
        <v>46256</v>
      </c>
      <c r="N502" s="49" t="s">
        <v>1204</v>
      </c>
      <c r="O502" s="49" t="s">
        <v>1045</v>
      </c>
      <c r="P502" s="48"/>
      <c r="Q502" s="48" t="n">
        <v>46238</v>
      </c>
      <c r="R502" s="48" t="n">
        <v>46244</v>
      </c>
      <c r="T502" s="49" t="s">
        <v>302</v>
      </c>
      <c r="U502" s="49" t="s">
        <v>303</v>
      </c>
      <c r="Y502" s="49" t="s">
        <v>2216</v>
      </c>
      <c r="AD502" s="49" t="s">
        <v>305</v>
      </c>
      <c r="AE502" s="48" t="n">
        <v>46212</v>
      </c>
      <c r="AF502" s="49" t="s">
        <v>306</v>
      </c>
      <c r="AG502" s="49" t="s">
        <v>307</v>
      </c>
      <c r="AK502" s="49" t="s">
        <v>1047</v>
      </c>
      <c r="AL502" s="49" t="s">
        <v>297</v>
      </c>
      <c r="AO502" s="49" t="s">
        <v>303</v>
      </c>
      <c r="AP502" s="48"/>
      <c r="AR502" s="49" t="s">
        <v>303</v>
      </c>
      <c r="AS502" s="49" t="s">
        <v>306</v>
      </c>
      <c r="AT502" s="49" t="s">
        <v>2217</v>
      </c>
      <c r="AV502" s="49" t="s">
        <v>309</v>
      </c>
      <c r="AW502" s="49" t="s">
        <v>310</v>
      </c>
      <c r="AX502" s="49" t="s">
        <v>311</v>
      </c>
      <c r="AY502" s="48"/>
      <c r="AZ502" s="48" t="n">
        <v>46234</v>
      </c>
      <c r="BC502" s="49" t="s">
        <v>303</v>
      </c>
      <c r="BD502" s="48" t="n">
        <v>46258</v>
      </c>
      <c r="BE502" s="49" t="s">
        <v>2218</v>
      </c>
      <c r="BF502" s="49" t="s">
        <v>303</v>
      </c>
      <c r="BG502" s="48"/>
      <c r="BI502" s="48" t="n">
        <v>46258</v>
      </c>
      <c r="BJ502" s="48" t="n">
        <v>46243</v>
      </c>
      <c r="BK502" s="49" t="s">
        <v>313</v>
      </c>
      <c r="BL502" s="49" t="s">
        <v>313</v>
      </c>
      <c r="BM502" s="49" t="s">
        <v>310</v>
      </c>
      <c r="BN502" s="48"/>
      <c r="BO502" s="48"/>
      <c r="BP502" s="48"/>
      <c r="BQ502" s="49" t="s">
        <v>1684</v>
      </c>
      <c r="BR502" s="48" t="n">
        <v>46243</v>
      </c>
      <c r="BS502" s="49" t="s">
        <v>2219</v>
      </c>
      <c r="BT502" s="49" t="s">
        <v>312</v>
      </c>
      <c r="BU502" s="49" t="s">
        <v>313</v>
      </c>
      <c r="BV502" s="49" t="s">
        <v>303</v>
      </c>
      <c r="BX502" s="0" t="n">
        <v>1</v>
      </c>
      <c r="CC502" s="49" t="s">
        <v>315</v>
      </c>
      <c r="CD502" s="49" t="s">
        <v>303</v>
      </c>
      <c r="CF502" s="49" t="s">
        <v>303</v>
      </c>
      <c r="CG502" s="49" t="s">
        <v>316</v>
      </c>
      <c r="CH502" s="49" t="s">
        <v>317</v>
      </c>
      <c r="CI502" s="49" t="s">
        <v>318</v>
      </c>
      <c r="CM502" s="49" t="s">
        <v>65</v>
      </c>
      <c r="CV502" s="49" t="s">
        <v>303</v>
      </c>
      <c r="DB502" s="49" t="s">
        <v>319</v>
      </c>
      <c r="DD502" s="48" t="n">
        <v>46212</v>
      </c>
      <c r="DF502" s="49" t="s">
        <v>310</v>
      </c>
      <c r="DG502" s="49" t="s">
        <v>320</v>
      </c>
      <c r="DH502" s="49" t="s">
        <v>64</v>
      </c>
      <c r="DI502" s="49" t="s">
        <v>298</v>
      </c>
      <c r="DJ502" s="49" t="s">
        <v>394</v>
      </c>
      <c r="DK502" s="49" t="s">
        <v>322</v>
      </c>
      <c r="DL502" s="49" t="s">
        <v>323</v>
      </c>
      <c r="DM502" s="49" t="s">
        <v>303</v>
      </c>
      <c r="DN502" s="49" t="s">
        <v>297</v>
      </c>
      <c r="DO502" s="48"/>
      <c r="DP502" s="49" t="s">
        <v>312</v>
      </c>
      <c r="DQ502" s="48"/>
      <c r="DR502" s="49" t="s">
        <v>312</v>
      </c>
      <c r="DS502" s="49" t="s">
        <v>303</v>
      </c>
      <c r="DT502" s="49" t="s">
        <v>303</v>
      </c>
      <c r="DW502" s="49" t="s">
        <v>303</v>
      </c>
      <c r="EA502" s="49" t="s">
        <v>324</v>
      </c>
      <c r="EB502" s="49" t="s">
        <v>303</v>
      </c>
      <c r="EF502" s="49" t="s">
        <v>2179</v>
      </c>
      <c r="EH502" s="49" t="s">
        <v>310</v>
      </c>
      <c r="EJ502" s="49" t="s">
        <v>303</v>
      </c>
      <c r="EK502" s="49" t="s">
        <v>2220</v>
      </c>
      <c r="EM502" s="49" t="s">
        <v>303</v>
      </c>
      <c r="EN502" s="49" t="s">
        <v>396</v>
      </c>
      <c r="EP502" s="49" t="s">
        <v>298</v>
      </c>
      <c r="EQ502" s="0" t="n">
        <v>1</v>
      </c>
      <c r="ER502" s="49" t="s">
        <v>328</v>
      </c>
      <c r="ES502" s="49" t="s">
        <v>329</v>
      </c>
      <c r="ET502" s="49" t="s">
        <v>310</v>
      </c>
      <c r="EU502" s="49" t="s">
        <v>310</v>
      </c>
      <c r="EV502" s="49" t="s">
        <v>310</v>
      </c>
      <c r="EX502" s="49" t="s">
        <v>303</v>
      </c>
      <c r="EY502" s="49" t="s">
        <v>303</v>
      </c>
      <c r="FC502" s="49" t="s">
        <v>330</v>
      </c>
      <c r="FD502" s="49" t="s">
        <v>310</v>
      </c>
      <c r="FE502" s="49" t="s">
        <v>310</v>
      </c>
      <c r="FF502" s="49" t="s">
        <v>64</v>
      </c>
      <c r="FG502" s="49" t="s">
        <v>397</v>
      </c>
      <c r="FH502" s="49" t="s">
        <v>310</v>
      </c>
      <c r="FI502" s="49" t="s">
        <v>332</v>
      </c>
      <c r="FJ502" s="49" t="s">
        <v>303</v>
      </c>
      <c r="FL502" s="49" t="s">
        <v>325</v>
      </c>
      <c r="FM502" s="49" t="s">
        <v>2161</v>
      </c>
      <c r="FP502" s="49" t="s">
        <v>303</v>
      </c>
      <c r="FR502" s="49" t="s">
        <v>303</v>
      </c>
      <c r="FT502" s="49" t="s">
        <v>325</v>
      </c>
      <c r="FU502" s="49" t="s">
        <v>325</v>
      </c>
      <c r="FW502" s="49" t="s">
        <v>333</v>
      </c>
    </row>
    <row r="503" customFormat="false" ht="15" hidden="false" customHeight="false" outlineLevel="0" collapsed="false">
      <c r="A503" s="0" t="n">
        <v>100872726</v>
      </c>
      <c r="B503" s="0" t="s">
        <v>295</v>
      </c>
      <c r="C503" s="0" t="s">
        <v>64</v>
      </c>
      <c r="D503" s="0" t="s">
        <v>65</v>
      </c>
      <c r="E503" s="0" t="s">
        <v>297</v>
      </c>
      <c r="G503" s="0" t="n">
        <v>1</v>
      </c>
      <c r="H503" s="0" t="s">
        <v>298</v>
      </c>
      <c r="I503" s="48" t="n">
        <v>46238</v>
      </c>
      <c r="J503" s="0" t="n">
        <v>1</v>
      </c>
      <c r="K503" s="49" t="s">
        <v>2161</v>
      </c>
      <c r="L503" s="49" t="s">
        <v>1035</v>
      </c>
      <c r="M503" s="48" t="n">
        <v>46256</v>
      </c>
      <c r="N503" s="49" t="s">
        <v>1204</v>
      </c>
      <c r="O503" s="49" t="s">
        <v>1045</v>
      </c>
      <c r="P503" s="48"/>
      <c r="Q503" s="48" t="n">
        <v>46238</v>
      </c>
      <c r="R503" s="48" t="n">
        <v>46244</v>
      </c>
      <c r="T503" s="49" t="s">
        <v>302</v>
      </c>
      <c r="U503" s="49" t="s">
        <v>303</v>
      </c>
      <c r="Y503" s="49" t="s">
        <v>2221</v>
      </c>
      <c r="AD503" s="49" t="s">
        <v>305</v>
      </c>
      <c r="AE503" s="48" t="n">
        <v>46212</v>
      </c>
      <c r="AF503" s="49" t="s">
        <v>306</v>
      </c>
      <c r="AG503" s="49" t="s">
        <v>307</v>
      </c>
      <c r="AK503" s="49" t="s">
        <v>1047</v>
      </c>
      <c r="AL503" s="49" t="s">
        <v>297</v>
      </c>
      <c r="AO503" s="49" t="s">
        <v>303</v>
      </c>
      <c r="AP503" s="48"/>
      <c r="AR503" s="49" t="s">
        <v>303</v>
      </c>
      <c r="AS503" s="49" t="s">
        <v>306</v>
      </c>
      <c r="AT503" s="49" t="s">
        <v>2222</v>
      </c>
      <c r="AV503" s="49" t="s">
        <v>309</v>
      </c>
      <c r="AW503" s="49" t="s">
        <v>310</v>
      </c>
      <c r="AX503" s="49" t="s">
        <v>311</v>
      </c>
      <c r="AY503" s="48"/>
      <c r="AZ503" s="48" t="n">
        <v>46234</v>
      </c>
      <c r="BC503" s="49" t="s">
        <v>303</v>
      </c>
      <c r="BD503" s="48" t="n">
        <v>46258</v>
      </c>
      <c r="BE503" s="49" t="s">
        <v>2223</v>
      </c>
      <c r="BF503" s="49" t="s">
        <v>303</v>
      </c>
      <c r="BG503" s="48"/>
      <c r="BI503" s="48" t="n">
        <v>46258</v>
      </c>
      <c r="BJ503" s="48" t="n">
        <v>46243</v>
      </c>
      <c r="BK503" s="49" t="s">
        <v>313</v>
      </c>
      <c r="BL503" s="49" t="s">
        <v>313</v>
      </c>
      <c r="BM503" s="49" t="s">
        <v>310</v>
      </c>
      <c r="BN503" s="48"/>
      <c r="BO503" s="48"/>
      <c r="BP503" s="48"/>
      <c r="BQ503" s="49" t="s">
        <v>1684</v>
      </c>
      <c r="BR503" s="48" t="n">
        <v>46243</v>
      </c>
      <c r="BS503" s="49" t="s">
        <v>2224</v>
      </c>
      <c r="BT503" s="49" t="s">
        <v>312</v>
      </c>
      <c r="BU503" s="49" t="s">
        <v>313</v>
      </c>
      <c r="BV503" s="49" t="s">
        <v>303</v>
      </c>
      <c r="BX503" s="0" t="n">
        <v>1</v>
      </c>
      <c r="CC503" s="49" t="s">
        <v>315</v>
      </c>
      <c r="CD503" s="49" t="s">
        <v>303</v>
      </c>
      <c r="CF503" s="49" t="s">
        <v>303</v>
      </c>
      <c r="CG503" s="49" t="s">
        <v>316</v>
      </c>
      <c r="CH503" s="49" t="s">
        <v>317</v>
      </c>
      <c r="CI503" s="49" t="s">
        <v>318</v>
      </c>
      <c r="CM503" s="49" t="s">
        <v>65</v>
      </c>
      <c r="CV503" s="49" t="s">
        <v>303</v>
      </c>
      <c r="DB503" s="49" t="s">
        <v>319</v>
      </c>
      <c r="DD503" s="48" t="n">
        <v>46212</v>
      </c>
      <c r="DF503" s="49" t="s">
        <v>310</v>
      </c>
      <c r="DG503" s="49" t="s">
        <v>320</v>
      </c>
      <c r="DH503" s="49" t="s">
        <v>64</v>
      </c>
      <c r="DI503" s="49" t="s">
        <v>298</v>
      </c>
      <c r="DJ503" s="49" t="s">
        <v>394</v>
      </c>
      <c r="DK503" s="49" t="s">
        <v>322</v>
      </c>
      <c r="DL503" s="49" t="s">
        <v>323</v>
      </c>
      <c r="DM503" s="49" t="s">
        <v>303</v>
      </c>
      <c r="DN503" s="49" t="s">
        <v>297</v>
      </c>
      <c r="DO503" s="48"/>
      <c r="DP503" s="49" t="s">
        <v>312</v>
      </c>
      <c r="DQ503" s="48"/>
      <c r="DR503" s="49" t="s">
        <v>312</v>
      </c>
      <c r="DS503" s="49" t="s">
        <v>303</v>
      </c>
      <c r="DT503" s="49" t="s">
        <v>303</v>
      </c>
      <c r="DW503" s="49" t="s">
        <v>303</v>
      </c>
      <c r="EA503" s="49" t="s">
        <v>324</v>
      </c>
      <c r="EB503" s="49" t="s">
        <v>303</v>
      </c>
      <c r="EF503" s="49" t="s">
        <v>2179</v>
      </c>
      <c r="EH503" s="49" t="s">
        <v>310</v>
      </c>
      <c r="EJ503" s="49" t="s">
        <v>303</v>
      </c>
      <c r="EK503" s="49" t="s">
        <v>2225</v>
      </c>
      <c r="EM503" s="49" t="s">
        <v>303</v>
      </c>
      <c r="EN503" s="49" t="s">
        <v>396</v>
      </c>
      <c r="EP503" s="49" t="s">
        <v>298</v>
      </c>
      <c r="EQ503" s="0" t="n">
        <v>1</v>
      </c>
      <c r="ER503" s="49" t="s">
        <v>328</v>
      </c>
      <c r="ES503" s="49" t="s">
        <v>329</v>
      </c>
      <c r="ET503" s="49" t="s">
        <v>310</v>
      </c>
      <c r="EU503" s="49" t="s">
        <v>310</v>
      </c>
      <c r="EV503" s="49" t="s">
        <v>310</v>
      </c>
      <c r="EX503" s="49" t="s">
        <v>303</v>
      </c>
      <c r="EY503" s="49" t="s">
        <v>303</v>
      </c>
      <c r="FC503" s="49" t="s">
        <v>330</v>
      </c>
      <c r="FD503" s="49" t="s">
        <v>310</v>
      </c>
      <c r="FE503" s="49" t="s">
        <v>310</v>
      </c>
      <c r="FF503" s="49" t="s">
        <v>64</v>
      </c>
      <c r="FG503" s="49" t="s">
        <v>397</v>
      </c>
      <c r="FH503" s="49" t="s">
        <v>310</v>
      </c>
      <c r="FI503" s="49" t="s">
        <v>332</v>
      </c>
      <c r="FJ503" s="49" t="s">
        <v>303</v>
      </c>
      <c r="FL503" s="49" t="s">
        <v>325</v>
      </c>
      <c r="FM503" s="49" t="s">
        <v>2161</v>
      </c>
      <c r="FP503" s="49" t="s">
        <v>303</v>
      </c>
      <c r="FR503" s="49" t="s">
        <v>303</v>
      </c>
      <c r="FT503" s="49" t="s">
        <v>325</v>
      </c>
      <c r="FU503" s="49" t="s">
        <v>325</v>
      </c>
      <c r="FW503" s="49" t="s">
        <v>333</v>
      </c>
    </row>
    <row r="504" customFormat="false" ht="15" hidden="false" customHeight="false" outlineLevel="0" collapsed="false">
      <c r="A504" s="0" t="n">
        <v>100872727</v>
      </c>
      <c r="B504" s="0" t="s">
        <v>295</v>
      </c>
      <c r="C504" s="0" t="s">
        <v>64</v>
      </c>
      <c r="D504" s="0" t="s">
        <v>65</v>
      </c>
      <c r="E504" s="0" t="s">
        <v>297</v>
      </c>
      <c r="G504" s="0" t="n">
        <v>1</v>
      </c>
      <c r="H504" s="0" t="s">
        <v>298</v>
      </c>
      <c r="I504" s="48" t="n">
        <v>46238</v>
      </c>
      <c r="J504" s="0" t="n">
        <v>1</v>
      </c>
      <c r="K504" s="49" t="s">
        <v>2161</v>
      </c>
      <c r="L504" s="49" t="s">
        <v>1035</v>
      </c>
      <c r="M504" s="48" t="n">
        <v>46256</v>
      </c>
      <c r="N504" s="49" t="s">
        <v>1204</v>
      </c>
      <c r="O504" s="49" t="s">
        <v>1045</v>
      </c>
      <c r="P504" s="48"/>
      <c r="Q504" s="48" t="n">
        <v>46238</v>
      </c>
      <c r="R504" s="48" t="n">
        <v>46244</v>
      </c>
      <c r="T504" s="49" t="s">
        <v>302</v>
      </c>
      <c r="U504" s="49" t="s">
        <v>303</v>
      </c>
      <c r="Y504" s="49" t="s">
        <v>2226</v>
      </c>
      <c r="AD504" s="49" t="s">
        <v>305</v>
      </c>
      <c r="AE504" s="48" t="n">
        <v>46212</v>
      </c>
      <c r="AF504" s="49" t="s">
        <v>306</v>
      </c>
      <c r="AG504" s="49" t="s">
        <v>307</v>
      </c>
      <c r="AK504" s="49" t="s">
        <v>1047</v>
      </c>
      <c r="AL504" s="49" t="s">
        <v>297</v>
      </c>
      <c r="AO504" s="49" t="s">
        <v>303</v>
      </c>
      <c r="AP504" s="48"/>
      <c r="AR504" s="49" t="s">
        <v>303</v>
      </c>
      <c r="AS504" s="49" t="s">
        <v>306</v>
      </c>
      <c r="AT504" s="49" t="s">
        <v>2227</v>
      </c>
      <c r="AV504" s="49" t="s">
        <v>309</v>
      </c>
      <c r="AW504" s="49" t="s">
        <v>310</v>
      </c>
      <c r="AX504" s="49" t="s">
        <v>311</v>
      </c>
      <c r="AY504" s="48"/>
      <c r="AZ504" s="48" t="n">
        <v>46234</v>
      </c>
      <c r="BC504" s="49" t="s">
        <v>303</v>
      </c>
      <c r="BD504" s="48" t="n">
        <v>46258</v>
      </c>
      <c r="BE504" s="49" t="s">
        <v>2228</v>
      </c>
      <c r="BF504" s="49" t="s">
        <v>303</v>
      </c>
      <c r="BG504" s="48"/>
      <c r="BI504" s="48" t="n">
        <v>46258</v>
      </c>
      <c r="BJ504" s="48" t="n">
        <v>46243</v>
      </c>
      <c r="BK504" s="49" t="s">
        <v>313</v>
      </c>
      <c r="BL504" s="49" t="s">
        <v>313</v>
      </c>
      <c r="BM504" s="49" t="s">
        <v>310</v>
      </c>
      <c r="BN504" s="48"/>
      <c r="BO504" s="48"/>
      <c r="BP504" s="48"/>
      <c r="BQ504" s="49" t="s">
        <v>1684</v>
      </c>
      <c r="BR504" s="48" t="n">
        <v>46243</v>
      </c>
      <c r="BS504" s="49" t="s">
        <v>2229</v>
      </c>
      <c r="BT504" s="49" t="s">
        <v>312</v>
      </c>
      <c r="BU504" s="49" t="s">
        <v>313</v>
      </c>
      <c r="BV504" s="49" t="s">
        <v>303</v>
      </c>
      <c r="BX504" s="0" t="n">
        <v>1</v>
      </c>
      <c r="CC504" s="49" t="s">
        <v>315</v>
      </c>
      <c r="CD504" s="49" t="s">
        <v>303</v>
      </c>
      <c r="CF504" s="49" t="s">
        <v>303</v>
      </c>
      <c r="CG504" s="49" t="s">
        <v>316</v>
      </c>
      <c r="CH504" s="49" t="s">
        <v>317</v>
      </c>
      <c r="CI504" s="49" t="s">
        <v>318</v>
      </c>
      <c r="CM504" s="49" t="s">
        <v>65</v>
      </c>
      <c r="CV504" s="49" t="s">
        <v>303</v>
      </c>
      <c r="DB504" s="49" t="s">
        <v>319</v>
      </c>
      <c r="DD504" s="48" t="n">
        <v>46212</v>
      </c>
      <c r="DF504" s="49" t="s">
        <v>310</v>
      </c>
      <c r="DG504" s="49" t="s">
        <v>320</v>
      </c>
      <c r="DH504" s="49" t="s">
        <v>64</v>
      </c>
      <c r="DI504" s="49" t="s">
        <v>298</v>
      </c>
      <c r="DJ504" s="49" t="s">
        <v>394</v>
      </c>
      <c r="DK504" s="49" t="s">
        <v>322</v>
      </c>
      <c r="DL504" s="49" t="s">
        <v>323</v>
      </c>
      <c r="DM504" s="49" t="s">
        <v>303</v>
      </c>
      <c r="DN504" s="49" t="s">
        <v>297</v>
      </c>
      <c r="DO504" s="48"/>
      <c r="DP504" s="49" t="s">
        <v>312</v>
      </c>
      <c r="DQ504" s="48"/>
      <c r="DR504" s="49" t="s">
        <v>312</v>
      </c>
      <c r="DS504" s="49" t="s">
        <v>303</v>
      </c>
      <c r="DT504" s="49" t="s">
        <v>303</v>
      </c>
      <c r="DW504" s="49" t="s">
        <v>303</v>
      </c>
      <c r="EA504" s="49" t="s">
        <v>324</v>
      </c>
      <c r="EB504" s="49" t="s">
        <v>303</v>
      </c>
      <c r="EF504" s="49" t="s">
        <v>2179</v>
      </c>
      <c r="EH504" s="49" t="s">
        <v>310</v>
      </c>
      <c r="EJ504" s="49" t="s">
        <v>303</v>
      </c>
      <c r="EK504" s="49" t="s">
        <v>2230</v>
      </c>
      <c r="EM504" s="49" t="s">
        <v>303</v>
      </c>
      <c r="EN504" s="49" t="s">
        <v>396</v>
      </c>
      <c r="EP504" s="49" t="s">
        <v>298</v>
      </c>
      <c r="EQ504" s="0" t="n">
        <v>1</v>
      </c>
      <c r="ER504" s="49" t="s">
        <v>328</v>
      </c>
      <c r="ES504" s="49" t="s">
        <v>329</v>
      </c>
      <c r="ET504" s="49" t="s">
        <v>310</v>
      </c>
      <c r="EU504" s="49" t="s">
        <v>310</v>
      </c>
      <c r="EV504" s="49" t="s">
        <v>310</v>
      </c>
      <c r="EX504" s="49" t="s">
        <v>303</v>
      </c>
      <c r="EY504" s="49" t="s">
        <v>303</v>
      </c>
      <c r="FC504" s="49" t="s">
        <v>330</v>
      </c>
      <c r="FD504" s="49" t="s">
        <v>310</v>
      </c>
      <c r="FE504" s="49" t="s">
        <v>310</v>
      </c>
      <c r="FF504" s="49" t="s">
        <v>64</v>
      </c>
      <c r="FG504" s="49" t="s">
        <v>397</v>
      </c>
      <c r="FH504" s="49" t="s">
        <v>310</v>
      </c>
      <c r="FI504" s="49" t="s">
        <v>332</v>
      </c>
      <c r="FJ504" s="49" t="s">
        <v>303</v>
      </c>
      <c r="FL504" s="49" t="s">
        <v>325</v>
      </c>
      <c r="FM504" s="49" t="s">
        <v>2161</v>
      </c>
      <c r="FP504" s="49" t="s">
        <v>303</v>
      </c>
      <c r="FR504" s="49" t="s">
        <v>303</v>
      </c>
      <c r="FT504" s="49" t="s">
        <v>325</v>
      </c>
      <c r="FU504" s="49" t="s">
        <v>325</v>
      </c>
      <c r="FW504" s="49" t="s">
        <v>333</v>
      </c>
    </row>
    <row r="505" customFormat="false" ht="15" hidden="false" customHeight="false" outlineLevel="0" collapsed="false">
      <c r="A505" s="0" t="n">
        <v>100872728</v>
      </c>
      <c r="B505" s="0" t="s">
        <v>295</v>
      </c>
      <c r="C505" s="0" t="s">
        <v>64</v>
      </c>
      <c r="D505" s="0" t="s">
        <v>65</v>
      </c>
      <c r="E505" s="0" t="s">
        <v>297</v>
      </c>
      <c r="G505" s="0" t="n">
        <v>1</v>
      </c>
      <c r="H505" s="0" t="s">
        <v>298</v>
      </c>
      <c r="I505" s="48" t="n">
        <v>46238</v>
      </c>
      <c r="J505" s="0" t="n">
        <v>1</v>
      </c>
      <c r="K505" s="49" t="s">
        <v>2161</v>
      </c>
      <c r="L505" s="49" t="s">
        <v>1035</v>
      </c>
      <c r="M505" s="48" t="n">
        <v>46256</v>
      </c>
      <c r="N505" s="49" t="s">
        <v>1204</v>
      </c>
      <c r="O505" s="49" t="s">
        <v>1045</v>
      </c>
      <c r="P505" s="48"/>
      <c r="Q505" s="48" t="n">
        <v>46238</v>
      </c>
      <c r="R505" s="48" t="n">
        <v>46244</v>
      </c>
      <c r="T505" s="49" t="s">
        <v>302</v>
      </c>
      <c r="U505" s="49" t="s">
        <v>303</v>
      </c>
      <c r="Y505" s="49" t="s">
        <v>2231</v>
      </c>
      <c r="AD505" s="49" t="s">
        <v>305</v>
      </c>
      <c r="AE505" s="48" t="n">
        <v>46212</v>
      </c>
      <c r="AF505" s="49" t="s">
        <v>306</v>
      </c>
      <c r="AG505" s="49" t="s">
        <v>307</v>
      </c>
      <c r="AK505" s="49" t="s">
        <v>1047</v>
      </c>
      <c r="AL505" s="49" t="s">
        <v>297</v>
      </c>
      <c r="AO505" s="49" t="s">
        <v>303</v>
      </c>
      <c r="AP505" s="48"/>
      <c r="AR505" s="49" t="s">
        <v>303</v>
      </c>
      <c r="AS505" s="49" t="s">
        <v>306</v>
      </c>
      <c r="AT505" s="49" t="s">
        <v>2232</v>
      </c>
      <c r="AV505" s="49" t="s">
        <v>309</v>
      </c>
      <c r="AW505" s="49" t="s">
        <v>310</v>
      </c>
      <c r="AX505" s="49" t="s">
        <v>311</v>
      </c>
      <c r="AY505" s="48"/>
      <c r="AZ505" s="48" t="n">
        <v>46234</v>
      </c>
      <c r="BC505" s="49" t="s">
        <v>303</v>
      </c>
      <c r="BD505" s="48" t="n">
        <v>46258</v>
      </c>
      <c r="BE505" s="49" t="s">
        <v>2233</v>
      </c>
      <c r="BF505" s="49" t="s">
        <v>303</v>
      </c>
      <c r="BG505" s="48"/>
      <c r="BI505" s="48" t="n">
        <v>46258</v>
      </c>
      <c r="BJ505" s="48" t="n">
        <v>46243</v>
      </c>
      <c r="BK505" s="49" t="s">
        <v>313</v>
      </c>
      <c r="BL505" s="49" t="s">
        <v>313</v>
      </c>
      <c r="BM505" s="49" t="s">
        <v>310</v>
      </c>
      <c r="BN505" s="48"/>
      <c r="BO505" s="48"/>
      <c r="BP505" s="48"/>
      <c r="BQ505" s="49" t="s">
        <v>1684</v>
      </c>
      <c r="BR505" s="48" t="n">
        <v>46243</v>
      </c>
      <c r="BS505" s="49" t="s">
        <v>2234</v>
      </c>
      <c r="BT505" s="49" t="s">
        <v>312</v>
      </c>
      <c r="BU505" s="49" t="s">
        <v>313</v>
      </c>
      <c r="BV505" s="49" t="s">
        <v>303</v>
      </c>
      <c r="BX505" s="0" t="n">
        <v>1</v>
      </c>
      <c r="CC505" s="49" t="s">
        <v>315</v>
      </c>
      <c r="CD505" s="49" t="s">
        <v>303</v>
      </c>
      <c r="CF505" s="49" t="s">
        <v>303</v>
      </c>
      <c r="CG505" s="49" t="s">
        <v>316</v>
      </c>
      <c r="CH505" s="49" t="s">
        <v>317</v>
      </c>
      <c r="CI505" s="49" t="s">
        <v>318</v>
      </c>
      <c r="CM505" s="49" t="s">
        <v>65</v>
      </c>
      <c r="CV505" s="49" t="s">
        <v>303</v>
      </c>
      <c r="DB505" s="49" t="s">
        <v>319</v>
      </c>
      <c r="DD505" s="48" t="n">
        <v>46212</v>
      </c>
      <c r="DF505" s="49" t="s">
        <v>310</v>
      </c>
      <c r="DG505" s="49" t="s">
        <v>320</v>
      </c>
      <c r="DH505" s="49" t="s">
        <v>64</v>
      </c>
      <c r="DI505" s="49" t="s">
        <v>298</v>
      </c>
      <c r="DJ505" s="49" t="s">
        <v>394</v>
      </c>
      <c r="DK505" s="49" t="s">
        <v>322</v>
      </c>
      <c r="DL505" s="49" t="s">
        <v>323</v>
      </c>
      <c r="DM505" s="49" t="s">
        <v>303</v>
      </c>
      <c r="DN505" s="49" t="s">
        <v>297</v>
      </c>
      <c r="DO505" s="48"/>
      <c r="DP505" s="49" t="s">
        <v>312</v>
      </c>
      <c r="DQ505" s="48"/>
      <c r="DR505" s="49" t="s">
        <v>312</v>
      </c>
      <c r="DS505" s="49" t="s">
        <v>303</v>
      </c>
      <c r="DT505" s="49" t="s">
        <v>303</v>
      </c>
      <c r="DW505" s="49" t="s">
        <v>303</v>
      </c>
      <c r="EA505" s="49" t="s">
        <v>324</v>
      </c>
      <c r="EB505" s="49" t="s">
        <v>303</v>
      </c>
      <c r="EF505" s="49" t="s">
        <v>2179</v>
      </c>
      <c r="EH505" s="49" t="s">
        <v>310</v>
      </c>
      <c r="EJ505" s="49" t="s">
        <v>303</v>
      </c>
      <c r="EK505" s="49" t="s">
        <v>2235</v>
      </c>
      <c r="EM505" s="49" t="s">
        <v>303</v>
      </c>
      <c r="EN505" s="49" t="s">
        <v>396</v>
      </c>
      <c r="EP505" s="49" t="s">
        <v>298</v>
      </c>
      <c r="EQ505" s="0" t="n">
        <v>1</v>
      </c>
      <c r="ER505" s="49" t="s">
        <v>328</v>
      </c>
      <c r="ES505" s="49" t="s">
        <v>329</v>
      </c>
      <c r="ET505" s="49" t="s">
        <v>310</v>
      </c>
      <c r="EU505" s="49" t="s">
        <v>310</v>
      </c>
      <c r="EV505" s="49" t="s">
        <v>310</v>
      </c>
      <c r="EX505" s="49" t="s">
        <v>303</v>
      </c>
      <c r="EY505" s="49" t="s">
        <v>303</v>
      </c>
      <c r="FC505" s="49" t="s">
        <v>330</v>
      </c>
      <c r="FD505" s="49" t="s">
        <v>310</v>
      </c>
      <c r="FE505" s="49" t="s">
        <v>310</v>
      </c>
      <c r="FF505" s="49" t="s">
        <v>64</v>
      </c>
      <c r="FG505" s="49" t="s">
        <v>397</v>
      </c>
      <c r="FH505" s="49" t="s">
        <v>310</v>
      </c>
      <c r="FI505" s="49" t="s">
        <v>332</v>
      </c>
      <c r="FJ505" s="49" t="s">
        <v>303</v>
      </c>
      <c r="FL505" s="49" t="s">
        <v>325</v>
      </c>
      <c r="FM505" s="49" t="s">
        <v>2161</v>
      </c>
      <c r="FP505" s="49" t="s">
        <v>303</v>
      </c>
      <c r="FR505" s="49" t="s">
        <v>303</v>
      </c>
      <c r="FT505" s="49" t="s">
        <v>325</v>
      </c>
      <c r="FU505" s="49" t="s">
        <v>325</v>
      </c>
      <c r="FW505" s="49" t="s">
        <v>333</v>
      </c>
    </row>
    <row r="506" customFormat="false" ht="15" hidden="false" customHeight="false" outlineLevel="0" collapsed="false">
      <c r="A506" s="0" t="n">
        <v>100872729</v>
      </c>
      <c r="B506" s="0" t="s">
        <v>295</v>
      </c>
      <c r="C506" s="0" t="s">
        <v>64</v>
      </c>
      <c r="D506" s="0" t="s">
        <v>65</v>
      </c>
      <c r="E506" s="0" t="s">
        <v>297</v>
      </c>
      <c r="G506" s="0" t="n">
        <v>1</v>
      </c>
      <c r="H506" s="0" t="s">
        <v>298</v>
      </c>
      <c r="I506" s="48" t="n">
        <v>46238</v>
      </c>
      <c r="J506" s="0" t="n">
        <v>1</v>
      </c>
      <c r="K506" s="49" t="s">
        <v>2161</v>
      </c>
      <c r="L506" s="49" t="s">
        <v>1035</v>
      </c>
      <c r="M506" s="48" t="n">
        <v>46256</v>
      </c>
      <c r="N506" s="49" t="s">
        <v>1204</v>
      </c>
      <c r="O506" s="49" t="s">
        <v>1045</v>
      </c>
      <c r="P506" s="48"/>
      <c r="Q506" s="48" t="n">
        <v>46238</v>
      </c>
      <c r="R506" s="48" t="n">
        <v>46244</v>
      </c>
      <c r="T506" s="49" t="s">
        <v>302</v>
      </c>
      <c r="U506" s="49" t="s">
        <v>303</v>
      </c>
      <c r="Y506" s="49" t="s">
        <v>2236</v>
      </c>
      <c r="AD506" s="49" t="s">
        <v>305</v>
      </c>
      <c r="AE506" s="48" t="n">
        <v>46212</v>
      </c>
      <c r="AF506" s="49" t="s">
        <v>306</v>
      </c>
      <c r="AG506" s="49" t="s">
        <v>307</v>
      </c>
      <c r="AK506" s="49" t="s">
        <v>1047</v>
      </c>
      <c r="AL506" s="49" t="s">
        <v>297</v>
      </c>
      <c r="AO506" s="49" t="s">
        <v>303</v>
      </c>
      <c r="AP506" s="48"/>
      <c r="AR506" s="49" t="s">
        <v>303</v>
      </c>
      <c r="AS506" s="49" t="s">
        <v>306</v>
      </c>
      <c r="AT506" s="49" t="s">
        <v>2237</v>
      </c>
      <c r="AV506" s="49" t="s">
        <v>309</v>
      </c>
      <c r="AW506" s="49" t="s">
        <v>310</v>
      </c>
      <c r="AX506" s="49" t="s">
        <v>311</v>
      </c>
      <c r="AY506" s="48"/>
      <c r="AZ506" s="48" t="n">
        <v>46234</v>
      </c>
      <c r="BC506" s="49" t="s">
        <v>303</v>
      </c>
      <c r="BD506" s="48" t="n">
        <v>46258</v>
      </c>
      <c r="BE506" s="49" t="s">
        <v>2238</v>
      </c>
      <c r="BF506" s="49" t="s">
        <v>303</v>
      </c>
      <c r="BG506" s="48"/>
      <c r="BI506" s="48" t="n">
        <v>46258</v>
      </c>
      <c r="BJ506" s="48" t="n">
        <v>46243</v>
      </c>
      <c r="BK506" s="49" t="s">
        <v>313</v>
      </c>
      <c r="BL506" s="49" t="s">
        <v>313</v>
      </c>
      <c r="BM506" s="49" t="s">
        <v>310</v>
      </c>
      <c r="BN506" s="48"/>
      <c r="BO506" s="48"/>
      <c r="BP506" s="48"/>
      <c r="BQ506" s="49" t="s">
        <v>1684</v>
      </c>
      <c r="BR506" s="48" t="n">
        <v>46243</v>
      </c>
      <c r="BS506" s="49" t="s">
        <v>2239</v>
      </c>
      <c r="BT506" s="49" t="s">
        <v>312</v>
      </c>
      <c r="BU506" s="49" t="s">
        <v>313</v>
      </c>
      <c r="BV506" s="49" t="s">
        <v>303</v>
      </c>
      <c r="BX506" s="0" t="n">
        <v>1</v>
      </c>
      <c r="CC506" s="49" t="s">
        <v>315</v>
      </c>
      <c r="CD506" s="49" t="s">
        <v>303</v>
      </c>
      <c r="CF506" s="49" t="s">
        <v>303</v>
      </c>
      <c r="CG506" s="49" t="s">
        <v>316</v>
      </c>
      <c r="CH506" s="49" t="s">
        <v>317</v>
      </c>
      <c r="CI506" s="49" t="s">
        <v>318</v>
      </c>
      <c r="CM506" s="49" t="s">
        <v>65</v>
      </c>
      <c r="CV506" s="49" t="s">
        <v>303</v>
      </c>
      <c r="DB506" s="49" t="s">
        <v>319</v>
      </c>
      <c r="DD506" s="48" t="n">
        <v>46212</v>
      </c>
      <c r="DF506" s="49" t="s">
        <v>310</v>
      </c>
      <c r="DG506" s="49" t="s">
        <v>320</v>
      </c>
      <c r="DH506" s="49" t="s">
        <v>64</v>
      </c>
      <c r="DI506" s="49" t="s">
        <v>298</v>
      </c>
      <c r="DJ506" s="49" t="s">
        <v>394</v>
      </c>
      <c r="DK506" s="49" t="s">
        <v>322</v>
      </c>
      <c r="DL506" s="49" t="s">
        <v>323</v>
      </c>
      <c r="DM506" s="49" t="s">
        <v>303</v>
      </c>
      <c r="DN506" s="49" t="s">
        <v>297</v>
      </c>
      <c r="DO506" s="48"/>
      <c r="DP506" s="49" t="s">
        <v>312</v>
      </c>
      <c r="DQ506" s="48"/>
      <c r="DR506" s="49" t="s">
        <v>312</v>
      </c>
      <c r="DS506" s="49" t="s">
        <v>303</v>
      </c>
      <c r="DT506" s="49" t="s">
        <v>303</v>
      </c>
      <c r="DW506" s="49" t="s">
        <v>303</v>
      </c>
      <c r="EA506" s="49" t="s">
        <v>324</v>
      </c>
      <c r="EB506" s="49" t="s">
        <v>303</v>
      </c>
      <c r="EF506" s="49" t="s">
        <v>2179</v>
      </c>
      <c r="EH506" s="49" t="s">
        <v>310</v>
      </c>
      <c r="EJ506" s="49" t="s">
        <v>303</v>
      </c>
      <c r="EK506" s="49" t="s">
        <v>2240</v>
      </c>
      <c r="EM506" s="49" t="s">
        <v>303</v>
      </c>
      <c r="EN506" s="49" t="s">
        <v>396</v>
      </c>
      <c r="EP506" s="49" t="s">
        <v>298</v>
      </c>
      <c r="EQ506" s="0" t="n">
        <v>1</v>
      </c>
      <c r="ER506" s="49" t="s">
        <v>328</v>
      </c>
      <c r="ES506" s="49" t="s">
        <v>329</v>
      </c>
      <c r="ET506" s="49" t="s">
        <v>310</v>
      </c>
      <c r="EU506" s="49" t="s">
        <v>310</v>
      </c>
      <c r="EV506" s="49" t="s">
        <v>310</v>
      </c>
      <c r="EX506" s="49" t="s">
        <v>303</v>
      </c>
      <c r="EY506" s="49" t="s">
        <v>303</v>
      </c>
      <c r="FC506" s="49" t="s">
        <v>330</v>
      </c>
      <c r="FD506" s="49" t="s">
        <v>310</v>
      </c>
      <c r="FE506" s="49" t="s">
        <v>310</v>
      </c>
      <c r="FF506" s="49" t="s">
        <v>64</v>
      </c>
      <c r="FG506" s="49" t="s">
        <v>397</v>
      </c>
      <c r="FH506" s="49" t="s">
        <v>310</v>
      </c>
      <c r="FI506" s="49" t="s">
        <v>332</v>
      </c>
      <c r="FJ506" s="49" t="s">
        <v>303</v>
      </c>
      <c r="FL506" s="49" t="s">
        <v>325</v>
      </c>
      <c r="FM506" s="49" t="s">
        <v>2161</v>
      </c>
      <c r="FP506" s="49" t="s">
        <v>303</v>
      </c>
      <c r="FR506" s="49" t="s">
        <v>303</v>
      </c>
      <c r="FT506" s="49" t="s">
        <v>325</v>
      </c>
      <c r="FU506" s="49" t="s">
        <v>325</v>
      </c>
      <c r="FW506" s="49" t="s">
        <v>333</v>
      </c>
    </row>
    <row r="507" customFormat="false" ht="15" hidden="false" customHeight="false" outlineLevel="0" collapsed="false">
      <c r="A507" s="0" t="n">
        <v>100872730</v>
      </c>
      <c r="B507" s="0" t="s">
        <v>295</v>
      </c>
      <c r="C507" s="0" t="s">
        <v>64</v>
      </c>
      <c r="D507" s="0" t="s">
        <v>65</v>
      </c>
      <c r="E507" s="0" t="s">
        <v>297</v>
      </c>
      <c r="G507" s="0" t="n">
        <v>1</v>
      </c>
      <c r="H507" s="0" t="s">
        <v>298</v>
      </c>
      <c r="I507" s="48" t="n">
        <v>46238</v>
      </c>
      <c r="J507" s="0" t="n">
        <v>1</v>
      </c>
      <c r="K507" s="49" t="s">
        <v>2161</v>
      </c>
      <c r="L507" s="49" t="s">
        <v>1035</v>
      </c>
      <c r="M507" s="48" t="n">
        <v>46256</v>
      </c>
      <c r="N507" s="49" t="s">
        <v>1204</v>
      </c>
      <c r="O507" s="49" t="s">
        <v>1045</v>
      </c>
      <c r="P507" s="48"/>
      <c r="Q507" s="48" t="n">
        <v>46238</v>
      </c>
      <c r="R507" s="48" t="n">
        <v>46244</v>
      </c>
      <c r="T507" s="49" t="s">
        <v>302</v>
      </c>
      <c r="U507" s="49" t="s">
        <v>303</v>
      </c>
      <c r="Y507" s="49" t="s">
        <v>2241</v>
      </c>
      <c r="AD507" s="49" t="s">
        <v>305</v>
      </c>
      <c r="AE507" s="48" t="n">
        <v>46212</v>
      </c>
      <c r="AF507" s="49" t="s">
        <v>306</v>
      </c>
      <c r="AG507" s="49" t="s">
        <v>307</v>
      </c>
      <c r="AK507" s="49" t="s">
        <v>1047</v>
      </c>
      <c r="AL507" s="49" t="s">
        <v>297</v>
      </c>
      <c r="AO507" s="49" t="s">
        <v>303</v>
      </c>
      <c r="AP507" s="48"/>
      <c r="AR507" s="49" t="s">
        <v>303</v>
      </c>
      <c r="AS507" s="49" t="s">
        <v>306</v>
      </c>
      <c r="AT507" s="49" t="s">
        <v>2242</v>
      </c>
      <c r="AV507" s="49" t="s">
        <v>309</v>
      </c>
      <c r="AW507" s="49" t="s">
        <v>310</v>
      </c>
      <c r="AX507" s="49" t="s">
        <v>311</v>
      </c>
      <c r="AY507" s="48"/>
      <c r="AZ507" s="48" t="n">
        <v>46234</v>
      </c>
      <c r="BC507" s="49" t="s">
        <v>303</v>
      </c>
      <c r="BD507" s="48" t="n">
        <v>46258</v>
      </c>
      <c r="BE507" s="49" t="s">
        <v>2243</v>
      </c>
      <c r="BF507" s="49" t="s">
        <v>303</v>
      </c>
      <c r="BG507" s="48"/>
      <c r="BI507" s="48" t="n">
        <v>46258</v>
      </c>
      <c r="BJ507" s="48" t="n">
        <v>46243</v>
      </c>
      <c r="BK507" s="49" t="s">
        <v>313</v>
      </c>
      <c r="BL507" s="49" t="s">
        <v>313</v>
      </c>
      <c r="BM507" s="49" t="s">
        <v>310</v>
      </c>
      <c r="BN507" s="48"/>
      <c r="BO507" s="48"/>
      <c r="BP507" s="48"/>
      <c r="BQ507" s="49" t="s">
        <v>1684</v>
      </c>
      <c r="BR507" s="48" t="n">
        <v>46243</v>
      </c>
      <c r="BS507" s="49" t="s">
        <v>2244</v>
      </c>
      <c r="BT507" s="49" t="s">
        <v>312</v>
      </c>
      <c r="BU507" s="49" t="s">
        <v>313</v>
      </c>
      <c r="BV507" s="49" t="s">
        <v>303</v>
      </c>
      <c r="BX507" s="0" t="n">
        <v>1</v>
      </c>
      <c r="CC507" s="49" t="s">
        <v>315</v>
      </c>
      <c r="CD507" s="49" t="s">
        <v>303</v>
      </c>
      <c r="CF507" s="49" t="s">
        <v>303</v>
      </c>
      <c r="CG507" s="49" t="s">
        <v>316</v>
      </c>
      <c r="CH507" s="49" t="s">
        <v>317</v>
      </c>
      <c r="CI507" s="49" t="s">
        <v>318</v>
      </c>
      <c r="CM507" s="49" t="s">
        <v>65</v>
      </c>
      <c r="CV507" s="49" t="s">
        <v>303</v>
      </c>
      <c r="DB507" s="49" t="s">
        <v>319</v>
      </c>
      <c r="DD507" s="48" t="n">
        <v>46212</v>
      </c>
      <c r="DF507" s="49" t="s">
        <v>310</v>
      </c>
      <c r="DG507" s="49" t="s">
        <v>320</v>
      </c>
      <c r="DH507" s="49" t="s">
        <v>64</v>
      </c>
      <c r="DI507" s="49" t="s">
        <v>298</v>
      </c>
      <c r="DJ507" s="49" t="s">
        <v>394</v>
      </c>
      <c r="DK507" s="49" t="s">
        <v>322</v>
      </c>
      <c r="DL507" s="49" t="s">
        <v>323</v>
      </c>
      <c r="DM507" s="49" t="s">
        <v>303</v>
      </c>
      <c r="DN507" s="49" t="s">
        <v>297</v>
      </c>
      <c r="DO507" s="48"/>
      <c r="DP507" s="49" t="s">
        <v>312</v>
      </c>
      <c r="DQ507" s="48"/>
      <c r="DR507" s="49" t="s">
        <v>312</v>
      </c>
      <c r="DS507" s="49" t="s">
        <v>303</v>
      </c>
      <c r="DT507" s="49" t="s">
        <v>303</v>
      </c>
      <c r="DW507" s="49" t="s">
        <v>303</v>
      </c>
      <c r="EA507" s="49" t="s">
        <v>324</v>
      </c>
      <c r="EB507" s="49" t="s">
        <v>303</v>
      </c>
      <c r="EF507" s="49" t="s">
        <v>2179</v>
      </c>
      <c r="EH507" s="49" t="s">
        <v>310</v>
      </c>
      <c r="EJ507" s="49" t="s">
        <v>303</v>
      </c>
      <c r="EK507" s="49" t="s">
        <v>2245</v>
      </c>
      <c r="EM507" s="49" t="s">
        <v>303</v>
      </c>
      <c r="EN507" s="49" t="s">
        <v>396</v>
      </c>
      <c r="EP507" s="49" t="s">
        <v>298</v>
      </c>
      <c r="EQ507" s="0" t="n">
        <v>1</v>
      </c>
      <c r="ER507" s="49" t="s">
        <v>328</v>
      </c>
      <c r="ES507" s="49" t="s">
        <v>329</v>
      </c>
      <c r="ET507" s="49" t="s">
        <v>310</v>
      </c>
      <c r="EU507" s="49" t="s">
        <v>310</v>
      </c>
      <c r="EV507" s="49" t="s">
        <v>310</v>
      </c>
      <c r="EX507" s="49" t="s">
        <v>303</v>
      </c>
      <c r="EY507" s="49" t="s">
        <v>303</v>
      </c>
      <c r="FC507" s="49" t="s">
        <v>330</v>
      </c>
      <c r="FD507" s="49" t="s">
        <v>310</v>
      </c>
      <c r="FE507" s="49" t="s">
        <v>310</v>
      </c>
      <c r="FF507" s="49" t="s">
        <v>64</v>
      </c>
      <c r="FG507" s="49" t="s">
        <v>397</v>
      </c>
      <c r="FH507" s="49" t="s">
        <v>310</v>
      </c>
      <c r="FI507" s="49" t="s">
        <v>332</v>
      </c>
      <c r="FJ507" s="49" t="s">
        <v>303</v>
      </c>
      <c r="FL507" s="49" t="s">
        <v>325</v>
      </c>
      <c r="FM507" s="49" t="s">
        <v>2161</v>
      </c>
      <c r="FP507" s="49" t="s">
        <v>303</v>
      </c>
      <c r="FR507" s="49" t="s">
        <v>303</v>
      </c>
      <c r="FT507" s="49" t="s">
        <v>325</v>
      </c>
      <c r="FU507" s="49" t="s">
        <v>325</v>
      </c>
      <c r="FW507" s="49" t="s">
        <v>333</v>
      </c>
    </row>
    <row r="508" customFormat="false" ht="15" hidden="false" customHeight="false" outlineLevel="0" collapsed="false">
      <c r="A508" s="0" t="n">
        <v>100872731</v>
      </c>
      <c r="B508" s="0" t="s">
        <v>295</v>
      </c>
      <c r="C508" s="0" t="s">
        <v>64</v>
      </c>
      <c r="D508" s="0" t="s">
        <v>65</v>
      </c>
      <c r="E508" s="0" t="s">
        <v>297</v>
      </c>
      <c r="G508" s="0" t="n">
        <v>1</v>
      </c>
      <c r="H508" s="0" t="s">
        <v>298</v>
      </c>
      <c r="I508" s="48" t="n">
        <v>46238</v>
      </c>
      <c r="J508" s="0" t="n">
        <v>1</v>
      </c>
      <c r="K508" s="49" t="s">
        <v>2161</v>
      </c>
      <c r="L508" s="49" t="s">
        <v>1035</v>
      </c>
      <c r="M508" s="48" t="n">
        <v>46257</v>
      </c>
      <c r="N508" s="49" t="s">
        <v>1204</v>
      </c>
      <c r="O508" s="49" t="s">
        <v>1045</v>
      </c>
      <c r="P508" s="48"/>
      <c r="Q508" s="48" t="n">
        <v>46238</v>
      </c>
      <c r="R508" s="48" t="n">
        <v>46244</v>
      </c>
      <c r="T508" s="49" t="s">
        <v>302</v>
      </c>
      <c r="U508" s="49" t="s">
        <v>303</v>
      </c>
      <c r="Y508" s="49" t="s">
        <v>2246</v>
      </c>
      <c r="AD508" s="49" t="s">
        <v>305</v>
      </c>
      <c r="AE508" s="48" t="n">
        <v>46212</v>
      </c>
      <c r="AF508" s="49" t="s">
        <v>306</v>
      </c>
      <c r="AG508" s="49" t="s">
        <v>307</v>
      </c>
      <c r="AK508" s="49" t="s">
        <v>1047</v>
      </c>
      <c r="AL508" s="49" t="s">
        <v>297</v>
      </c>
      <c r="AO508" s="49" t="s">
        <v>303</v>
      </c>
      <c r="AP508" s="48"/>
      <c r="AR508" s="49" t="s">
        <v>303</v>
      </c>
      <c r="AS508" s="49" t="s">
        <v>306</v>
      </c>
      <c r="AT508" s="49" t="s">
        <v>2247</v>
      </c>
      <c r="AV508" s="49" t="s">
        <v>309</v>
      </c>
      <c r="AW508" s="49" t="s">
        <v>310</v>
      </c>
      <c r="AX508" s="49" t="s">
        <v>311</v>
      </c>
      <c r="AY508" s="48"/>
      <c r="AZ508" s="48" t="n">
        <v>46234</v>
      </c>
      <c r="BC508" s="49" t="s">
        <v>303</v>
      </c>
      <c r="BD508" s="48" t="n">
        <v>46257</v>
      </c>
      <c r="BE508" s="49" t="s">
        <v>2248</v>
      </c>
      <c r="BF508" s="49" t="s">
        <v>303</v>
      </c>
      <c r="BG508" s="48"/>
      <c r="BI508" s="48" t="n">
        <v>46257</v>
      </c>
      <c r="BJ508" s="48" t="n">
        <v>46243</v>
      </c>
      <c r="BK508" s="49" t="s">
        <v>313</v>
      </c>
      <c r="BL508" s="49" t="s">
        <v>313</v>
      </c>
      <c r="BM508" s="49" t="s">
        <v>310</v>
      </c>
      <c r="BN508" s="48"/>
      <c r="BO508" s="48"/>
      <c r="BP508" s="48"/>
      <c r="BQ508" s="49" t="s">
        <v>2249</v>
      </c>
      <c r="BR508" s="48" t="n">
        <v>46243</v>
      </c>
      <c r="BS508" s="49" t="s">
        <v>2250</v>
      </c>
      <c r="BT508" s="49" t="s">
        <v>312</v>
      </c>
      <c r="BU508" s="49" t="s">
        <v>313</v>
      </c>
      <c r="BV508" s="49" t="s">
        <v>303</v>
      </c>
      <c r="BX508" s="0" t="n">
        <v>1</v>
      </c>
      <c r="CC508" s="49" t="s">
        <v>315</v>
      </c>
      <c r="CD508" s="49" t="s">
        <v>303</v>
      </c>
      <c r="CF508" s="49" t="s">
        <v>303</v>
      </c>
      <c r="CG508" s="49" t="s">
        <v>316</v>
      </c>
      <c r="CH508" s="49" t="s">
        <v>317</v>
      </c>
      <c r="CI508" s="49" t="s">
        <v>318</v>
      </c>
      <c r="CM508" s="49" t="s">
        <v>65</v>
      </c>
      <c r="CV508" s="49" t="s">
        <v>303</v>
      </c>
      <c r="DB508" s="49" t="s">
        <v>319</v>
      </c>
      <c r="DD508" s="48" t="n">
        <v>46212</v>
      </c>
      <c r="DF508" s="49" t="s">
        <v>310</v>
      </c>
      <c r="DG508" s="49" t="s">
        <v>320</v>
      </c>
      <c r="DH508" s="49" t="s">
        <v>64</v>
      </c>
      <c r="DI508" s="49" t="s">
        <v>298</v>
      </c>
      <c r="DJ508" s="49" t="s">
        <v>394</v>
      </c>
      <c r="DK508" s="49" t="s">
        <v>322</v>
      </c>
      <c r="DL508" s="49" t="s">
        <v>323</v>
      </c>
      <c r="DM508" s="49" t="s">
        <v>303</v>
      </c>
      <c r="DN508" s="49" t="s">
        <v>297</v>
      </c>
      <c r="DO508" s="48"/>
      <c r="DP508" s="49" t="s">
        <v>312</v>
      </c>
      <c r="DQ508" s="48"/>
      <c r="DR508" s="49" t="s">
        <v>312</v>
      </c>
      <c r="DS508" s="49" t="s">
        <v>303</v>
      </c>
      <c r="DT508" s="49" t="s">
        <v>303</v>
      </c>
      <c r="DW508" s="49" t="s">
        <v>303</v>
      </c>
      <c r="EA508" s="49" t="s">
        <v>324</v>
      </c>
      <c r="EB508" s="49" t="s">
        <v>303</v>
      </c>
      <c r="EF508" s="49" t="s">
        <v>2179</v>
      </c>
      <c r="EH508" s="49" t="s">
        <v>310</v>
      </c>
      <c r="EJ508" s="49" t="s">
        <v>303</v>
      </c>
      <c r="EK508" s="49" t="s">
        <v>2251</v>
      </c>
      <c r="EM508" s="49" t="s">
        <v>303</v>
      </c>
      <c r="EN508" s="49" t="s">
        <v>396</v>
      </c>
      <c r="EP508" s="49" t="s">
        <v>298</v>
      </c>
      <c r="EQ508" s="0" t="n">
        <v>1</v>
      </c>
      <c r="ER508" s="49" t="s">
        <v>328</v>
      </c>
      <c r="ES508" s="49" t="s">
        <v>329</v>
      </c>
      <c r="ET508" s="49" t="s">
        <v>310</v>
      </c>
      <c r="EU508" s="49" t="s">
        <v>310</v>
      </c>
      <c r="EV508" s="49" t="s">
        <v>310</v>
      </c>
      <c r="EX508" s="49" t="s">
        <v>303</v>
      </c>
      <c r="EY508" s="49" t="s">
        <v>303</v>
      </c>
      <c r="FC508" s="49" t="s">
        <v>330</v>
      </c>
      <c r="FD508" s="49" t="s">
        <v>310</v>
      </c>
      <c r="FE508" s="49" t="s">
        <v>310</v>
      </c>
      <c r="FF508" s="49" t="s">
        <v>64</v>
      </c>
      <c r="FG508" s="49" t="s">
        <v>397</v>
      </c>
      <c r="FH508" s="49" t="s">
        <v>310</v>
      </c>
      <c r="FI508" s="49" t="s">
        <v>332</v>
      </c>
      <c r="FJ508" s="49" t="s">
        <v>303</v>
      </c>
      <c r="FL508" s="49" t="s">
        <v>325</v>
      </c>
      <c r="FM508" s="49" t="s">
        <v>2161</v>
      </c>
      <c r="FP508" s="49" t="s">
        <v>303</v>
      </c>
      <c r="FR508" s="49" t="s">
        <v>303</v>
      </c>
      <c r="FT508" s="49" t="s">
        <v>325</v>
      </c>
      <c r="FU508" s="49" t="s">
        <v>325</v>
      </c>
      <c r="FW508" s="49" t="s">
        <v>333</v>
      </c>
    </row>
    <row r="509" customFormat="false" ht="15" hidden="false" customHeight="false" outlineLevel="0" collapsed="false">
      <c r="A509" s="0" t="n">
        <v>100872732</v>
      </c>
      <c r="B509" s="0" t="s">
        <v>295</v>
      </c>
      <c r="C509" s="0" t="s">
        <v>64</v>
      </c>
      <c r="D509" s="0" t="s">
        <v>65</v>
      </c>
      <c r="E509" s="0" t="s">
        <v>297</v>
      </c>
      <c r="G509" s="0" t="n">
        <v>1</v>
      </c>
      <c r="H509" s="0" t="s">
        <v>298</v>
      </c>
      <c r="I509" s="48" t="n">
        <v>46238</v>
      </c>
      <c r="J509" s="0" t="n">
        <v>1</v>
      </c>
      <c r="K509" s="49" t="s">
        <v>2161</v>
      </c>
      <c r="L509" s="49" t="s">
        <v>1035</v>
      </c>
      <c r="M509" s="48" t="n">
        <v>46257</v>
      </c>
      <c r="N509" s="49" t="s">
        <v>1204</v>
      </c>
      <c r="O509" s="49" t="s">
        <v>1045</v>
      </c>
      <c r="P509" s="48"/>
      <c r="Q509" s="48" t="n">
        <v>46238</v>
      </c>
      <c r="R509" s="48" t="n">
        <v>46244</v>
      </c>
      <c r="T509" s="49" t="s">
        <v>302</v>
      </c>
      <c r="U509" s="49" t="s">
        <v>303</v>
      </c>
      <c r="Y509" s="49" t="s">
        <v>2252</v>
      </c>
      <c r="AD509" s="49" t="s">
        <v>305</v>
      </c>
      <c r="AE509" s="48" t="n">
        <v>46212</v>
      </c>
      <c r="AF509" s="49" t="s">
        <v>306</v>
      </c>
      <c r="AG509" s="49" t="s">
        <v>307</v>
      </c>
      <c r="AK509" s="49" t="s">
        <v>1047</v>
      </c>
      <c r="AL509" s="49" t="s">
        <v>297</v>
      </c>
      <c r="AO509" s="49" t="s">
        <v>303</v>
      </c>
      <c r="AP509" s="48"/>
      <c r="AR509" s="49" t="s">
        <v>303</v>
      </c>
      <c r="AS509" s="49" t="s">
        <v>306</v>
      </c>
      <c r="AT509" s="49" t="s">
        <v>2253</v>
      </c>
      <c r="AV509" s="49" t="s">
        <v>309</v>
      </c>
      <c r="AW509" s="49" t="s">
        <v>310</v>
      </c>
      <c r="AX509" s="49" t="s">
        <v>311</v>
      </c>
      <c r="AY509" s="48"/>
      <c r="AZ509" s="48" t="n">
        <v>46234</v>
      </c>
      <c r="BC509" s="49" t="s">
        <v>303</v>
      </c>
      <c r="BD509" s="48" t="n">
        <v>46258</v>
      </c>
      <c r="BE509" s="49" t="s">
        <v>2254</v>
      </c>
      <c r="BF509" s="49" t="s">
        <v>303</v>
      </c>
      <c r="BG509" s="48"/>
      <c r="BI509" s="48" t="n">
        <v>46258</v>
      </c>
      <c r="BJ509" s="48" t="n">
        <v>46243</v>
      </c>
      <c r="BK509" s="49" t="s">
        <v>313</v>
      </c>
      <c r="BL509" s="49" t="s">
        <v>313</v>
      </c>
      <c r="BM509" s="49" t="s">
        <v>310</v>
      </c>
      <c r="BN509" s="48"/>
      <c r="BO509" s="48"/>
      <c r="BP509" s="48"/>
      <c r="BQ509" s="49" t="s">
        <v>2249</v>
      </c>
      <c r="BR509" s="48" t="n">
        <v>46243</v>
      </c>
      <c r="BS509" s="49" t="s">
        <v>2255</v>
      </c>
      <c r="BT509" s="49" t="s">
        <v>312</v>
      </c>
      <c r="BU509" s="49" t="s">
        <v>313</v>
      </c>
      <c r="BV509" s="49" t="s">
        <v>303</v>
      </c>
      <c r="BX509" s="0" t="n">
        <v>1</v>
      </c>
      <c r="CC509" s="49" t="s">
        <v>315</v>
      </c>
      <c r="CD509" s="49" t="s">
        <v>303</v>
      </c>
      <c r="CF509" s="49" t="s">
        <v>303</v>
      </c>
      <c r="CG509" s="49" t="s">
        <v>316</v>
      </c>
      <c r="CH509" s="49" t="s">
        <v>317</v>
      </c>
      <c r="CI509" s="49" t="s">
        <v>318</v>
      </c>
      <c r="CM509" s="49" t="s">
        <v>65</v>
      </c>
      <c r="CV509" s="49" t="s">
        <v>303</v>
      </c>
      <c r="DB509" s="49" t="s">
        <v>319</v>
      </c>
      <c r="DD509" s="48" t="n">
        <v>46212</v>
      </c>
      <c r="DF509" s="49" t="s">
        <v>310</v>
      </c>
      <c r="DG509" s="49" t="s">
        <v>320</v>
      </c>
      <c r="DH509" s="49" t="s">
        <v>64</v>
      </c>
      <c r="DI509" s="49" t="s">
        <v>298</v>
      </c>
      <c r="DJ509" s="49" t="s">
        <v>394</v>
      </c>
      <c r="DK509" s="49" t="s">
        <v>322</v>
      </c>
      <c r="DL509" s="49" t="s">
        <v>323</v>
      </c>
      <c r="DM509" s="49" t="s">
        <v>303</v>
      </c>
      <c r="DN509" s="49" t="s">
        <v>297</v>
      </c>
      <c r="DO509" s="48"/>
      <c r="DP509" s="49" t="s">
        <v>312</v>
      </c>
      <c r="DQ509" s="48"/>
      <c r="DR509" s="49" t="s">
        <v>312</v>
      </c>
      <c r="DS509" s="49" t="s">
        <v>303</v>
      </c>
      <c r="DT509" s="49" t="s">
        <v>303</v>
      </c>
      <c r="DW509" s="49" t="s">
        <v>303</v>
      </c>
      <c r="EA509" s="49" t="s">
        <v>324</v>
      </c>
      <c r="EB509" s="49" t="s">
        <v>303</v>
      </c>
      <c r="EF509" s="49" t="s">
        <v>2179</v>
      </c>
      <c r="EH509" s="49" t="s">
        <v>310</v>
      </c>
      <c r="EJ509" s="49" t="s">
        <v>303</v>
      </c>
      <c r="EK509" s="49" t="s">
        <v>2256</v>
      </c>
      <c r="EM509" s="49" t="s">
        <v>303</v>
      </c>
      <c r="EN509" s="49" t="s">
        <v>396</v>
      </c>
      <c r="EP509" s="49" t="s">
        <v>298</v>
      </c>
      <c r="EQ509" s="0" t="n">
        <v>1</v>
      </c>
      <c r="ER509" s="49" t="s">
        <v>328</v>
      </c>
      <c r="ES509" s="49" t="s">
        <v>329</v>
      </c>
      <c r="ET509" s="49" t="s">
        <v>310</v>
      </c>
      <c r="EU509" s="49" t="s">
        <v>310</v>
      </c>
      <c r="EV509" s="49" t="s">
        <v>310</v>
      </c>
      <c r="EX509" s="49" t="s">
        <v>303</v>
      </c>
      <c r="EY509" s="49" t="s">
        <v>303</v>
      </c>
      <c r="FC509" s="49" t="s">
        <v>330</v>
      </c>
      <c r="FD509" s="49" t="s">
        <v>310</v>
      </c>
      <c r="FE509" s="49" t="s">
        <v>310</v>
      </c>
      <c r="FF509" s="49" t="s">
        <v>64</v>
      </c>
      <c r="FG509" s="49" t="s">
        <v>397</v>
      </c>
      <c r="FH509" s="49" t="s">
        <v>310</v>
      </c>
      <c r="FI509" s="49" t="s">
        <v>332</v>
      </c>
      <c r="FJ509" s="49" t="s">
        <v>303</v>
      </c>
      <c r="FL509" s="49" t="s">
        <v>325</v>
      </c>
      <c r="FM509" s="49" t="s">
        <v>2161</v>
      </c>
      <c r="FP509" s="49" t="s">
        <v>303</v>
      </c>
      <c r="FR509" s="49" t="s">
        <v>303</v>
      </c>
      <c r="FT509" s="49" t="s">
        <v>325</v>
      </c>
      <c r="FU509" s="49" t="s">
        <v>325</v>
      </c>
      <c r="FW509" s="49" t="s">
        <v>333</v>
      </c>
    </row>
    <row r="510" customFormat="false" ht="15" hidden="false" customHeight="false" outlineLevel="0" collapsed="false">
      <c r="A510" s="0" t="n">
        <v>100872733</v>
      </c>
      <c r="B510" s="0" t="s">
        <v>295</v>
      </c>
      <c r="C510" s="0" t="s">
        <v>64</v>
      </c>
      <c r="D510" s="0" t="s">
        <v>65</v>
      </c>
      <c r="E510" s="0" t="s">
        <v>297</v>
      </c>
      <c r="G510" s="0" t="n">
        <v>1</v>
      </c>
      <c r="H510" s="0" t="s">
        <v>298</v>
      </c>
      <c r="I510" s="48" t="n">
        <v>46238</v>
      </c>
      <c r="J510" s="0" t="n">
        <v>1</v>
      </c>
      <c r="K510" s="49" t="s">
        <v>2161</v>
      </c>
      <c r="L510" s="49" t="s">
        <v>1035</v>
      </c>
      <c r="M510" s="48" t="n">
        <v>46257</v>
      </c>
      <c r="N510" s="49" t="s">
        <v>1204</v>
      </c>
      <c r="O510" s="49" t="s">
        <v>1045</v>
      </c>
      <c r="P510" s="48"/>
      <c r="Q510" s="48" t="n">
        <v>46238</v>
      </c>
      <c r="R510" s="48" t="n">
        <v>46245</v>
      </c>
      <c r="T510" s="49" t="s">
        <v>302</v>
      </c>
      <c r="U510" s="49" t="s">
        <v>303</v>
      </c>
      <c r="Y510" s="49" t="s">
        <v>2257</v>
      </c>
      <c r="AD510" s="49" t="s">
        <v>305</v>
      </c>
      <c r="AE510" s="48" t="n">
        <v>46217</v>
      </c>
      <c r="AF510" s="49" t="s">
        <v>306</v>
      </c>
      <c r="AG510" s="49" t="s">
        <v>307</v>
      </c>
      <c r="AK510" s="49" t="s">
        <v>1047</v>
      </c>
      <c r="AL510" s="49" t="s">
        <v>297</v>
      </c>
      <c r="AO510" s="49" t="s">
        <v>303</v>
      </c>
      <c r="AP510" s="48"/>
      <c r="AR510" s="49" t="s">
        <v>303</v>
      </c>
      <c r="AS510" s="49" t="s">
        <v>306</v>
      </c>
      <c r="AT510" s="49" t="s">
        <v>2258</v>
      </c>
      <c r="AV510" s="49" t="s">
        <v>309</v>
      </c>
      <c r="AW510" s="49" t="s">
        <v>310</v>
      </c>
      <c r="AX510" s="49" t="s">
        <v>311</v>
      </c>
      <c r="AY510" s="48"/>
      <c r="AZ510" s="48" t="n">
        <v>46234</v>
      </c>
      <c r="BC510" s="49" t="s">
        <v>303</v>
      </c>
      <c r="BD510" s="48" t="n">
        <v>46258</v>
      </c>
      <c r="BE510" s="49" t="s">
        <v>2259</v>
      </c>
      <c r="BF510" s="49" t="s">
        <v>303</v>
      </c>
      <c r="BG510" s="48"/>
      <c r="BI510" s="48" t="n">
        <v>46258</v>
      </c>
      <c r="BJ510" s="48" t="n">
        <v>46243</v>
      </c>
      <c r="BK510" s="49" t="s">
        <v>312</v>
      </c>
      <c r="BL510" s="49" t="s">
        <v>313</v>
      </c>
      <c r="BM510" s="49" t="s">
        <v>310</v>
      </c>
      <c r="BN510" s="48"/>
      <c r="BO510" s="48"/>
      <c r="BP510" s="48"/>
      <c r="BQ510" s="49" t="s">
        <v>2249</v>
      </c>
      <c r="BR510" s="48" t="n">
        <v>46243</v>
      </c>
      <c r="BS510" s="49" t="s">
        <v>2260</v>
      </c>
      <c r="BT510" s="49" t="s">
        <v>312</v>
      </c>
      <c r="BU510" s="49" t="s">
        <v>313</v>
      </c>
      <c r="BV510" s="49" t="s">
        <v>303</v>
      </c>
      <c r="BX510" s="0" t="n">
        <v>1</v>
      </c>
      <c r="CC510" s="49" t="s">
        <v>315</v>
      </c>
      <c r="CD510" s="49" t="s">
        <v>303</v>
      </c>
      <c r="CF510" s="49" t="s">
        <v>303</v>
      </c>
      <c r="CG510" s="49" t="s">
        <v>316</v>
      </c>
      <c r="CH510" s="49" t="s">
        <v>317</v>
      </c>
      <c r="CI510" s="49" t="s">
        <v>318</v>
      </c>
      <c r="CM510" s="49" t="s">
        <v>65</v>
      </c>
      <c r="CV510" s="49" t="s">
        <v>303</v>
      </c>
      <c r="DB510" s="49" t="s">
        <v>319</v>
      </c>
      <c r="DD510" s="48" t="n">
        <v>46217</v>
      </c>
      <c r="DF510" s="49" t="s">
        <v>310</v>
      </c>
      <c r="DG510" s="49" t="s">
        <v>320</v>
      </c>
      <c r="DH510" s="49" t="s">
        <v>64</v>
      </c>
      <c r="DI510" s="49" t="s">
        <v>298</v>
      </c>
      <c r="DJ510" s="49" t="s">
        <v>394</v>
      </c>
      <c r="DK510" s="49" t="s">
        <v>322</v>
      </c>
      <c r="DL510" s="49" t="s">
        <v>323</v>
      </c>
      <c r="DM510" s="49" t="s">
        <v>303</v>
      </c>
      <c r="DN510" s="49" t="s">
        <v>297</v>
      </c>
      <c r="DO510" s="48"/>
      <c r="DP510" s="49" t="s">
        <v>312</v>
      </c>
      <c r="DQ510" s="48"/>
      <c r="DR510" s="49" t="s">
        <v>312</v>
      </c>
      <c r="DS510" s="49" t="s">
        <v>303</v>
      </c>
      <c r="DT510" s="49" t="s">
        <v>303</v>
      </c>
      <c r="DW510" s="49" t="s">
        <v>303</v>
      </c>
      <c r="EA510" s="49" t="s">
        <v>324</v>
      </c>
      <c r="EB510" s="49" t="s">
        <v>303</v>
      </c>
      <c r="EH510" s="49" t="s">
        <v>310</v>
      </c>
      <c r="EJ510" s="49" t="s">
        <v>303</v>
      </c>
      <c r="EK510" s="49" t="s">
        <v>2261</v>
      </c>
      <c r="EM510" s="49" t="s">
        <v>303</v>
      </c>
      <c r="EN510" s="49" t="s">
        <v>396</v>
      </c>
      <c r="EP510" s="49" t="s">
        <v>298</v>
      </c>
      <c r="EQ510" s="0" t="n">
        <v>1</v>
      </c>
      <c r="ER510" s="49" t="s">
        <v>328</v>
      </c>
      <c r="ES510" s="49" t="s">
        <v>329</v>
      </c>
      <c r="ET510" s="49" t="s">
        <v>310</v>
      </c>
      <c r="EU510" s="49" t="s">
        <v>310</v>
      </c>
      <c r="EV510" s="49" t="s">
        <v>310</v>
      </c>
      <c r="EX510" s="49" t="s">
        <v>303</v>
      </c>
      <c r="EY510" s="49" t="s">
        <v>303</v>
      </c>
      <c r="FC510" s="49" t="s">
        <v>330</v>
      </c>
      <c r="FD510" s="49" t="s">
        <v>310</v>
      </c>
      <c r="FE510" s="49" t="s">
        <v>310</v>
      </c>
      <c r="FF510" s="49" t="s">
        <v>64</v>
      </c>
      <c r="FG510" s="49" t="s">
        <v>397</v>
      </c>
      <c r="FH510" s="49" t="s">
        <v>310</v>
      </c>
      <c r="FI510" s="49" t="s">
        <v>332</v>
      </c>
      <c r="FJ510" s="49" t="s">
        <v>303</v>
      </c>
      <c r="FL510" s="49" t="s">
        <v>325</v>
      </c>
      <c r="FM510" s="49" t="s">
        <v>2161</v>
      </c>
      <c r="FP510" s="49" t="s">
        <v>303</v>
      </c>
      <c r="FR510" s="49" t="s">
        <v>303</v>
      </c>
      <c r="FT510" s="49" t="s">
        <v>325</v>
      </c>
      <c r="FU510" s="49" t="s">
        <v>325</v>
      </c>
      <c r="FW510" s="49" t="s">
        <v>333</v>
      </c>
    </row>
    <row r="511" customFormat="false" ht="15" hidden="false" customHeight="false" outlineLevel="0" collapsed="false">
      <c r="A511" s="0" t="n">
        <v>100872734</v>
      </c>
      <c r="B511" s="0" t="s">
        <v>295</v>
      </c>
      <c r="C511" s="0" t="s">
        <v>64</v>
      </c>
      <c r="D511" s="0" t="s">
        <v>65</v>
      </c>
      <c r="E511" s="0" t="s">
        <v>297</v>
      </c>
      <c r="G511" s="0" t="n">
        <v>1</v>
      </c>
      <c r="H511" s="0" t="s">
        <v>298</v>
      </c>
      <c r="I511" s="48" t="n">
        <v>46238</v>
      </c>
      <c r="J511" s="0" t="n">
        <v>1</v>
      </c>
      <c r="K511" s="49" t="s">
        <v>2161</v>
      </c>
      <c r="L511" s="49" t="s">
        <v>1035</v>
      </c>
      <c r="M511" s="48" t="n">
        <v>46257</v>
      </c>
      <c r="N511" s="49" t="s">
        <v>1204</v>
      </c>
      <c r="O511" s="49" t="s">
        <v>1045</v>
      </c>
      <c r="P511" s="48"/>
      <c r="Q511" s="48" t="n">
        <v>46238</v>
      </c>
      <c r="R511" s="48" t="n">
        <v>46244</v>
      </c>
      <c r="T511" s="49" t="s">
        <v>302</v>
      </c>
      <c r="U511" s="49" t="s">
        <v>303</v>
      </c>
      <c r="Y511" s="49" t="s">
        <v>2262</v>
      </c>
      <c r="AD511" s="49" t="s">
        <v>305</v>
      </c>
      <c r="AE511" s="48" t="n">
        <v>46217</v>
      </c>
      <c r="AF511" s="49" t="s">
        <v>306</v>
      </c>
      <c r="AG511" s="49" t="s">
        <v>307</v>
      </c>
      <c r="AK511" s="49" t="s">
        <v>1047</v>
      </c>
      <c r="AL511" s="49" t="s">
        <v>297</v>
      </c>
      <c r="AO511" s="49" t="s">
        <v>303</v>
      </c>
      <c r="AP511" s="48"/>
      <c r="AR511" s="49" t="s">
        <v>303</v>
      </c>
      <c r="AS511" s="49" t="s">
        <v>306</v>
      </c>
      <c r="AT511" s="49" t="s">
        <v>2263</v>
      </c>
      <c r="AV511" s="49" t="s">
        <v>309</v>
      </c>
      <c r="AW511" s="49" t="s">
        <v>310</v>
      </c>
      <c r="AX511" s="49" t="s">
        <v>311</v>
      </c>
      <c r="AY511" s="48"/>
      <c r="AZ511" s="48" t="n">
        <v>46234</v>
      </c>
      <c r="BC511" s="49" t="s">
        <v>303</v>
      </c>
      <c r="BD511" s="48" t="n">
        <v>46258</v>
      </c>
      <c r="BE511" s="49" t="s">
        <v>2264</v>
      </c>
      <c r="BF511" s="49" t="s">
        <v>303</v>
      </c>
      <c r="BG511" s="48"/>
      <c r="BI511" s="48" t="n">
        <v>46258</v>
      </c>
      <c r="BJ511" s="48" t="n">
        <v>46243</v>
      </c>
      <c r="BK511" s="49" t="s">
        <v>313</v>
      </c>
      <c r="BL511" s="49" t="s">
        <v>313</v>
      </c>
      <c r="BM511" s="49" t="s">
        <v>310</v>
      </c>
      <c r="BN511" s="48"/>
      <c r="BO511" s="48"/>
      <c r="BP511" s="48"/>
      <c r="BQ511" s="49" t="s">
        <v>2249</v>
      </c>
      <c r="BR511" s="48" t="n">
        <v>46243</v>
      </c>
      <c r="BS511" s="49" t="s">
        <v>2260</v>
      </c>
      <c r="BT511" s="49" t="s">
        <v>312</v>
      </c>
      <c r="BU511" s="49" t="s">
        <v>313</v>
      </c>
      <c r="BV511" s="49" t="s">
        <v>303</v>
      </c>
      <c r="BX511" s="0" t="n">
        <v>1</v>
      </c>
      <c r="CC511" s="49" t="s">
        <v>315</v>
      </c>
      <c r="CD511" s="49" t="s">
        <v>303</v>
      </c>
      <c r="CF511" s="49" t="s">
        <v>303</v>
      </c>
      <c r="CG511" s="49" t="s">
        <v>316</v>
      </c>
      <c r="CH511" s="49" t="s">
        <v>317</v>
      </c>
      <c r="CI511" s="49" t="s">
        <v>318</v>
      </c>
      <c r="CM511" s="49" t="s">
        <v>65</v>
      </c>
      <c r="CV511" s="49" t="s">
        <v>303</v>
      </c>
      <c r="DB511" s="49" t="s">
        <v>319</v>
      </c>
      <c r="DD511" s="48" t="n">
        <v>46217</v>
      </c>
      <c r="DF511" s="49" t="s">
        <v>310</v>
      </c>
      <c r="DG511" s="49" t="s">
        <v>320</v>
      </c>
      <c r="DH511" s="49" t="s">
        <v>64</v>
      </c>
      <c r="DI511" s="49" t="s">
        <v>298</v>
      </c>
      <c r="DJ511" s="49" t="s">
        <v>394</v>
      </c>
      <c r="DK511" s="49" t="s">
        <v>322</v>
      </c>
      <c r="DL511" s="49" t="s">
        <v>323</v>
      </c>
      <c r="DM511" s="49" t="s">
        <v>303</v>
      </c>
      <c r="DN511" s="49" t="s">
        <v>297</v>
      </c>
      <c r="DO511" s="48"/>
      <c r="DP511" s="49" t="s">
        <v>312</v>
      </c>
      <c r="DQ511" s="48"/>
      <c r="DR511" s="49" t="s">
        <v>312</v>
      </c>
      <c r="DS511" s="49" t="s">
        <v>303</v>
      </c>
      <c r="DT511" s="49" t="s">
        <v>303</v>
      </c>
      <c r="DW511" s="49" t="s">
        <v>303</v>
      </c>
      <c r="EA511" s="49" t="s">
        <v>324</v>
      </c>
      <c r="EB511" s="49" t="s">
        <v>303</v>
      </c>
      <c r="EF511" s="49" t="s">
        <v>2265</v>
      </c>
      <c r="EH511" s="49" t="s">
        <v>310</v>
      </c>
      <c r="EJ511" s="49" t="s">
        <v>303</v>
      </c>
      <c r="EK511" s="49" t="s">
        <v>2266</v>
      </c>
      <c r="EM511" s="49" t="s">
        <v>303</v>
      </c>
      <c r="EN511" s="49" t="s">
        <v>396</v>
      </c>
      <c r="EP511" s="49" t="s">
        <v>298</v>
      </c>
      <c r="EQ511" s="0" t="n">
        <v>1</v>
      </c>
      <c r="ER511" s="49" t="s">
        <v>328</v>
      </c>
      <c r="ES511" s="49" t="s">
        <v>329</v>
      </c>
      <c r="ET511" s="49" t="s">
        <v>310</v>
      </c>
      <c r="EU511" s="49" t="s">
        <v>310</v>
      </c>
      <c r="EV511" s="49" t="s">
        <v>310</v>
      </c>
      <c r="EX511" s="49" t="s">
        <v>303</v>
      </c>
      <c r="EY511" s="49" t="s">
        <v>303</v>
      </c>
      <c r="FC511" s="49" t="s">
        <v>330</v>
      </c>
      <c r="FD511" s="49" t="s">
        <v>310</v>
      </c>
      <c r="FE511" s="49" t="s">
        <v>310</v>
      </c>
      <c r="FF511" s="49" t="s">
        <v>64</v>
      </c>
      <c r="FG511" s="49" t="s">
        <v>397</v>
      </c>
      <c r="FH511" s="49" t="s">
        <v>310</v>
      </c>
      <c r="FI511" s="49" t="s">
        <v>332</v>
      </c>
      <c r="FJ511" s="49" t="s">
        <v>303</v>
      </c>
      <c r="FL511" s="49" t="s">
        <v>325</v>
      </c>
      <c r="FM511" s="49" t="s">
        <v>2161</v>
      </c>
      <c r="FP511" s="49" t="s">
        <v>303</v>
      </c>
      <c r="FR511" s="49" t="s">
        <v>303</v>
      </c>
      <c r="FT511" s="49" t="s">
        <v>325</v>
      </c>
      <c r="FU511" s="49" t="s">
        <v>325</v>
      </c>
      <c r="FW511" s="49" t="s">
        <v>333</v>
      </c>
    </row>
    <row r="512" customFormat="false" ht="15" hidden="false" customHeight="false" outlineLevel="0" collapsed="false">
      <c r="A512" s="0" t="n">
        <v>100872735</v>
      </c>
      <c r="B512" s="0" t="s">
        <v>295</v>
      </c>
      <c r="C512" s="0" t="s">
        <v>64</v>
      </c>
      <c r="D512" s="0" t="s">
        <v>65</v>
      </c>
      <c r="E512" s="0" t="s">
        <v>297</v>
      </c>
      <c r="G512" s="0" t="n">
        <v>1</v>
      </c>
      <c r="H512" s="0" t="s">
        <v>298</v>
      </c>
      <c r="I512" s="48" t="n">
        <v>46238</v>
      </c>
      <c r="J512" s="0" t="n">
        <v>1</v>
      </c>
      <c r="K512" s="49" t="s">
        <v>2161</v>
      </c>
      <c r="L512" s="49" t="s">
        <v>1035</v>
      </c>
      <c r="M512" s="48" t="n">
        <v>46257</v>
      </c>
      <c r="N512" s="49" t="s">
        <v>1204</v>
      </c>
      <c r="O512" s="49" t="s">
        <v>1045</v>
      </c>
      <c r="P512" s="48"/>
      <c r="Q512" s="48" t="n">
        <v>46238</v>
      </c>
      <c r="R512" s="48" t="n">
        <v>46244</v>
      </c>
      <c r="T512" s="49" t="s">
        <v>302</v>
      </c>
      <c r="U512" s="49" t="s">
        <v>303</v>
      </c>
      <c r="Y512" s="49" t="s">
        <v>2267</v>
      </c>
      <c r="AD512" s="49" t="s">
        <v>305</v>
      </c>
      <c r="AE512" s="48" t="n">
        <v>46217</v>
      </c>
      <c r="AF512" s="49" t="s">
        <v>306</v>
      </c>
      <c r="AG512" s="49" t="s">
        <v>307</v>
      </c>
      <c r="AK512" s="49" t="s">
        <v>1047</v>
      </c>
      <c r="AL512" s="49" t="s">
        <v>297</v>
      </c>
      <c r="AO512" s="49" t="s">
        <v>303</v>
      </c>
      <c r="AP512" s="48"/>
      <c r="AR512" s="49" t="s">
        <v>303</v>
      </c>
      <c r="AS512" s="49" t="s">
        <v>306</v>
      </c>
      <c r="AT512" s="49" t="s">
        <v>2268</v>
      </c>
      <c r="AV512" s="49" t="s">
        <v>309</v>
      </c>
      <c r="AW512" s="49" t="s">
        <v>310</v>
      </c>
      <c r="AX512" s="49" t="s">
        <v>311</v>
      </c>
      <c r="AY512" s="48"/>
      <c r="AZ512" s="48" t="n">
        <v>46234</v>
      </c>
      <c r="BC512" s="49" t="s">
        <v>303</v>
      </c>
      <c r="BD512" s="48" t="n">
        <v>46258</v>
      </c>
      <c r="BE512" s="49" t="s">
        <v>2269</v>
      </c>
      <c r="BF512" s="49" t="s">
        <v>303</v>
      </c>
      <c r="BG512" s="48"/>
      <c r="BI512" s="48" t="n">
        <v>46258</v>
      </c>
      <c r="BJ512" s="48" t="n">
        <v>46243</v>
      </c>
      <c r="BK512" s="49" t="s">
        <v>313</v>
      </c>
      <c r="BL512" s="49" t="s">
        <v>313</v>
      </c>
      <c r="BM512" s="49" t="s">
        <v>310</v>
      </c>
      <c r="BN512" s="48"/>
      <c r="BO512" s="48"/>
      <c r="BP512" s="48"/>
      <c r="BQ512" s="49" t="s">
        <v>2249</v>
      </c>
      <c r="BR512" s="48" t="n">
        <v>46243</v>
      </c>
      <c r="BS512" s="49" t="s">
        <v>2270</v>
      </c>
      <c r="BT512" s="49" t="s">
        <v>312</v>
      </c>
      <c r="BU512" s="49" t="s">
        <v>313</v>
      </c>
      <c r="BV512" s="49" t="s">
        <v>303</v>
      </c>
      <c r="BX512" s="0" t="n">
        <v>1</v>
      </c>
      <c r="CC512" s="49" t="s">
        <v>315</v>
      </c>
      <c r="CD512" s="49" t="s">
        <v>303</v>
      </c>
      <c r="CF512" s="49" t="s">
        <v>303</v>
      </c>
      <c r="CG512" s="49" t="s">
        <v>316</v>
      </c>
      <c r="CH512" s="49" t="s">
        <v>317</v>
      </c>
      <c r="CI512" s="49" t="s">
        <v>318</v>
      </c>
      <c r="CM512" s="49" t="s">
        <v>65</v>
      </c>
      <c r="CV512" s="49" t="s">
        <v>303</v>
      </c>
      <c r="DB512" s="49" t="s">
        <v>319</v>
      </c>
      <c r="DD512" s="48" t="n">
        <v>46217</v>
      </c>
      <c r="DF512" s="49" t="s">
        <v>310</v>
      </c>
      <c r="DG512" s="49" t="s">
        <v>320</v>
      </c>
      <c r="DH512" s="49" t="s">
        <v>64</v>
      </c>
      <c r="DI512" s="49" t="s">
        <v>298</v>
      </c>
      <c r="DJ512" s="49" t="s">
        <v>394</v>
      </c>
      <c r="DK512" s="49" t="s">
        <v>322</v>
      </c>
      <c r="DL512" s="49" t="s">
        <v>323</v>
      </c>
      <c r="DM512" s="49" t="s">
        <v>303</v>
      </c>
      <c r="DN512" s="49" t="s">
        <v>297</v>
      </c>
      <c r="DO512" s="48"/>
      <c r="DP512" s="49" t="s">
        <v>312</v>
      </c>
      <c r="DQ512" s="48"/>
      <c r="DR512" s="49" t="s">
        <v>312</v>
      </c>
      <c r="DS512" s="49" t="s">
        <v>303</v>
      </c>
      <c r="DT512" s="49" t="s">
        <v>303</v>
      </c>
      <c r="DW512" s="49" t="s">
        <v>303</v>
      </c>
      <c r="EA512" s="49" t="s">
        <v>324</v>
      </c>
      <c r="EB512" s="49" t="s">
        <v>303</v>
      </c>
      <c r="EF512" s="49" t="s">
        <v>2265</v>
      </c>
      <c r="EH512" s="49" t="s">
        <v>310</v>
      </c>
      <c r="EJ512" s="49" t="s">
        <v>303</v>
      </c>
      <c r="EK512" s="49" t="s">
        <v>2271</v>
      </c>
      <c r="EM512" s="49" t="s">
        <v>303</v>
      </c>
      <c r="EN512" s="49" t="s">
        <v>396</v>
      </c>
      <c r="EP512" s="49" t="s">
        <v>298</v>
      </c>
      <c r="EQ512" s="0" t="n">
        <v>1</v>
      </c>
      <c r="ER512" s="49" t="s">
        <v>328</v>
      </c>
      <c r="ES512" s="49" t="s">
        <v>329</v>
      </c>
      <c r="ET512" s="49" t="s">
        <v>310</v>
      </c>
      <c r="EU512" s="49" t="s">
        <v>310</v>
      </c>
      <c r="EV512" s="49" t="s">
        <v>310</v>
      </c>
      <c r="EX512" s="49" t="s">
        <v>303</v>
      </c>
      <c r="EY512" s="49" t="s">
        <v>303</v>
      </c>
      <c r="FC512" s="49" t="s">
        <v>330</v>
      </c>
      <c r="FD512" s="49" t="s">
        <v>310</v>
      </c>
      <c r="FE512" s="49" t="s">
        <v>310</v>
      </c>
      <c r="FF512" s="49" t="s">
        <v>64</v>
      </c>
      <c r="FG512" s="49" t="s">
        <v>397</v>
      </c>
      <c r="FH512" s="49" t="s">
        <v>310</v>
      </c>
      <c r="FI512" s="49" t="s">
        <v>332</v>
      </c>
      <c r="FJ512" s="49" t="s">
        <v>303</v>
      </c>
      <c r="FL512" s="49" t="s">
        <v>325</v>
      </c>
      <c r="FM512" s="49" t="s">
        <v>2161</v>
      </c>
      <c r="FP512" s="49" t="s">
        <v>303</v>
      </c>
      <c r="FR512" s="49" t="s">
        <v>303</v>
      </c>
      <c r="FT512" s="49" t="s">
        <v>325</v>
      </c>
      <c r="FU512" s="49" t="s">
        <v>325</v>
      </c>
      <c r="FW512" s="49" t="s">
        <v>333</v>
      </c>
    </row>
    <row r="513" customFormat="false" ht="15" hidden="false" customHeight="false" outlineLevel="0" collapsed="false">
      <c r="A513" s="0" t="n">
        <v>100872736</v>
      </c>
      <c r="B513" s="0" t="s">
        <v>295</v>
      </c>
      <c r="C513" s="0" t="s">
        <v>64</v>
      </c>
      <c r="D513" s="0" t="s">
        <v>65</v>
      </c>
      <c r="E513" s="0" t="s">
        <v>297</v>
      </c>
      <c r="G513" s="0" t="n">
        <v>1</v>
      </c>
      <c r="H513" s="0" t="s">
        <v>298</v>
      </c>
      <c r="I513" s="48" t="n">
        <v>46238</v>
      </c>
      <c r="J513" s="0" t="n">
        <v>1</v>
      </c>
      <c r="K513" s="49" t="s">
        <v>2161</v>
      </c>
      <c r="L513" s="49" t="s">
        <v>1035</v>
      </c>
      <c r="M513" s="48" t="n">
        <v>46257</v>
      </c>
      <c r="N513" s="49" t="s">
        <v>1204</v>
      </c>
      <c r="O513" s="49" t="s">
        <v>1045</v>
      </c>
      <c r="P513" s="48"/>
      <c r="Q513" s="48" t="n">
        <v>46238</v>
      </c>
      <c r="R513" s="48" t="n">
        <v>46244</v>
      </c>
      <c r="T513" s="49" t="s">
        <v>302</v>
      </c>
      <c r="U513" s="49" t="s">
        <v>303</v>
      </c>
      <c r="Y513" s="49" t="s">
        <v>2272</v>
      </c>
      <c r="AD513" s="49" t="s">
        <v>305</v>
      </c>
      <c r="AE513" s="48" t="n">
        <v>46217</v>
      </c>
      <c r="AF513" s="49" t="s">
        <v>306</v>
      </c>
      <c r="AG513" s="49" t="s">
        <v>307</v>
      </c>
      <c r="AK513" s="49" t="s">
        <v>1047</v>
      </c>
      <c r="AL513" s="49" t="s">
        <v>297</v>
      </c>
      <c r="AO513" s="49" t="s">
        <v>303</v>
      </c>
      <c r="AP513" s="48"/>
      <c r="AR513" s="49" t="s">
        <v>303</v>
      </c>
      <c r="AS513" s="49" t="s">
        <v>306</v>
      </c>
      <c r="AT513" s="49" t="s">
        <v>2273</v>
      </c>
      <c r="AV513" s="49" t="s">
        <v>309</v>
      </c>
      <c r="AW513" s="49" t="s">
        <v>310</v>
      </c>
      <c r="AX513" s="49" t="s">
        <v>311</v>
      </c>
      <c r="AY513" s="48"/>
      <c r="AZ513" s="48" t="n">
        <v>46234</v>
      </c>
      <c r="BC513" s="49" t="s">
        <v>303</v>
      </c>
      <c r="BD513" s="48" t="n">
        <v>46258</v>
      </c>
      <c r="BE513" s="49" t="s">
        <v>2274</v>
      </c>
      <c r="BF513" s="49" t="s">
        <v>303</v>
      </c>
      <c r="BG513" s="48"/>
      <c r="BI513" s="48" t="n">
        <v>46258</v>
      </c>
      <c r="BJ513" s="48" t="n">
        <v>46243</v>
      </c>
      <c r="BK513" s="49" t="s">
        <v>313</v>
      </c>
      <c r="BL513" s="49" t="s">
        <v>313</v>
      </c>
      <c r="BM513" s="49" t="s">
        <v>310</v>
      </c>
      <c r="BN513" s="48"/>
      <c r="BO513" s="48"/>
      <c r="BP513" s="48"/>
      <c r="BQ513" s="49" t="s">
        <v>2249</v>
      </c>
      <c r="BR513" s="48" t="n">
        <v>46243</v>
      </c>
      <c r="BS513" s="49" t="s">
        <v>2270</v>
      </c>
      <c r="BT513" s="49" t="s">
        <v>312</v>
      </c>
      <c r="BU513" s="49" t="s">
        <v>313</v>
      </c>
      <c r="BV513" s="49" t="s">
        <v>303</v>
      </c>
      <c r="BX513" s="0" t="n">
        <v>1</v>
      </c>
      <c r="CC513" s="49" t="s">
        <v>315</v>
      </c>
      <c r="CD513" s="49" t="s">
        <v>303</v>
      </c>
      <c r="CF513" s="49" t="s">
        <v>303</v>
      </c>
      <c r="CG513" s="49" t="s">
        <v>316</v>
      </c>
      <c r="CH513" s="49" t="s">
        <v>317</v>
      </c>
      <c r="CI513" s="49" t="s">
        <v>318</v>
      </c>
      <c r="CM513" s="49" t="s">
        <v>65</v>
      </c>
      <c r="CV513" s="49" t="s">
        <v>303</v>
      </c>
      <c r="DB513" s="49" t="s">
        <v>319</v>
      </c>
      <c r="DD513" s="48" t="n">
        <v>46217</v>
      </c>
      <c r="DF513" s="49" t="s">
        <v>310</v>
      </c>
      <c r="DG513" s="49" t="s">
        <v>320</v>
      </c>
      <c r="DH513" s="49" t="s">
        <v>64</v>
      </c>
      <c r="DI513" s="49" t="s">
        <v>298</v>
      </c>
      <c r="DJ513" s="49" t="s">
        <v>394</v>
      </c>
      <c r="DK513" s="49" t="s">
        <v>322</v>
      </c>
      <c r="DL513" s="49" t="s">
        <v>323</v>
      </c>
      <c r="DM513" s="49" t="s">
        <v>303</v>
      </c>
      <c r="DN513" s="49" t="s">
        <v>297</v>
      </c>
      <c r="DO513" s="48"/>
      <c r="DP513" s="49" t="s">
        <v>312</v>
      </c>
      <c r="DQ513" s="48"/>
      <c r="DR513" s="49" t="s">
        <v>312</v>
      </c>
      <c r="DS513" s="49" t="s">
        <v>303</v>
      </c>
      <c r="DT513" s="49" t="s">
        <v>303</v>
      </c>
      <c r="DW513" s="49" t="s">
        <v>303</v>
      </c>
      <c r="EA513" s="49" t="s">
        <v>324</v>
      </c>
      <c r="EB513" s="49" t="s">
        <v>303</v>
      </c>
      <c r="EF513" s="49" t="s">
        <v>2265</v>
      </c>
      <c r="EH513" s="49" t="s">
        <v>310</v>
      </c>
      <c r="EJ513" s="49" t="s">
        <v>303</v>
      </c>
      <c r="EK513" s="49" t="s">
        <v>2275</v>
      </c>
      <c r="EM513" s="49" t="s">
        <v>303</v>
      </c>
      <c r="EN513" s="49" t="s">
        <v>396</v>
      </c>
      <c r="EP513" s="49" t="s">
        <v>298</v>
      </c>
      <c r="EQ513" s="0" t="n">
        <v>1</v>
      </c>
      <c r="ER513" s="49" t="s">
        <v>328</v>
      </c>
      <c r="ES513" s="49" t="s">
        <v>329</v>
      </c>
      <c r="ET513" s="49" t="s">
        <v>310</v>
      </c>
      <c r="EU513" s="49" t="s">
        <v>310</v>
      </c>
      <c r="EV513" s="49" t="s">
        <v>310</v>
      </c>
      <c r="EX513" s="49" t="s">
        <v>303</v>
      </c>
      <c r="EY513" s="49" t="s">
        <v>303</v>
      </c>
      <c r="FC513" s="49" t="s">
        <v>330</v>
      </c>
      <c r="FD513" s="49" t="s">
        <v>310</v>
      </c>
      <c r="FE513" s="49" t="s">
        <v>310</v>
      </c>
      <c r="FF513" s="49" t="s">
        <v>64</v>
      </c>
      <c r="FG513" s="49" t="s">
        <v>397</v>
      </c>
      <c r="FH513" s="49" t="s">
        <v>310</v>
      </c>
      <c r="FI513" s="49" t="s">
        <v>332</v>
      </c>
      <c r="FJ513" s="49" t="s">
        <v>303</v>
      </c>
      <c r="FL513" s="49" t="s">
        <v>325</v>
      </c>
      <c r="FM513" s="49" t="s">
        <v>2161</v>
      </c>
      <c r="FP513" s="49" t="s">
        <v>303</v>
      </c>
      <c r="FR513" s="49" t="s">
        <v>303</v>
      </c>
      <c r="FT513" s="49" t="s">
        <v>325</v>
      </c>
      <c r="FU513" s="49" t="s">
        <v>325</v>
      </c>
      <c r="FW513" s="49" t="s">
        <v>333</v>
      </c>
    </row>
    <row r="514" customFormat="false" ht="15" hidden="false" customHeight="false" outlineLevel="0" collapsed="false">
      <c r="A514" s="0" t="n">
        <v>100872737</v>
      </c>
      <c r="B514" s="0" t="s">
        <v>295</v>
      </c>
      <c r="C514" s="0" t="s">
        <v>64</v>
      </c>
      <c r="D514" s="0" t="s">
        <v>65</v>
      </c>
      <c r="E514" s="0" t="s">
        <v>297</v>
      </c>
      <c r="G514" s="0" t="n">
        <v>1</v>
      </c>
      <c r="H514" s="0" t="s">
        <v>298</v>
      </c>
      <c r="I514" s="48" t="n">
        <v>46238</v>
      </c>
      <c r="J514" s="0" t="n">
        <v>1</v>
      </c>
      <c r="K514" s="49" t="s">
        <v>2161</v>
      </c>
      <c r="L514" s="49" t="s">
        <v>1035</v>
      </c>
      <c r="M514" s="48" t="n">
        <v>46257</v>
      </c>
      <c r="N514" s="49" t="s">
        <v>1204</v>
      </c>
      <c r="O514" s="49" t="s">
        <v>1045</v>
      </c>
      <c r="P514" s="48"/>
      <c r="Q514" s="48" t="n">
        <v>46238</v>
      </c>
      <c r="R514" s="48" t="n">
        <v>46244</v>
      </c>
      <c r="T514" s="49" t="s">
        <v>302</v>
      </c>
      <c r="U514" s="49" t="s">
        <v>303</v>
      </c>
      <c r="Y514" s="49" t="s">
        <v>2276</v>
      </c>
      <c r="AD514" s="49" t="s">
        <v>305</v>
      </c>
      <c r="AE514" s="48" t="n">
        <v>46217</v>
      </c>
      <c r="AF514" s="49" t="s">
        <v>306</v>
      </c>
      <c r="AG514" s="49" t="s">
        <v>307</v>
      </c>
      <c r="AK514" s="49" t="s">
        <v>1047</v>
      </c>
      <c r="AL514" s="49" t="s">
        <v>297</v>
      </c>
      <c r="AO514" s="49" t="s">
        <v>303</v>
      </c>
      <c r="AP514" s="48"/>
      <c r="AR514" s="49" t="s">
        <v>303</v>
      </c>
      <c r="AS514" s="49" t="s">
        <v>306</v>
      </c>
      <c r="AT514" s="49" t="s">
        <v>1257</v>
      </c>
      <c r="AV514" s="49" t="s">
        <v>309</v>
      </c>
      <c r="AW514" s="49" t="s">
        <v>310</v>
      </c>
      <c r="AX514" s="49" t="s">
        <v>311</v>
      </c>
      <c r="AY514" s="48"/>
      <c r="AZ514" s="48" t="n">
        <v>46234</v>
      </c>
      <c r="BC514" s="49" t="s">
        <v>303</v>
      </c>
      <c r="BD514" s="48" t="n">
        <v>46258</v>
      </c>
      <c r="BE514" s="49" t="s">
        <v>2277</v>
      </c>
      <c r="BF514" s="49" t="s">
        <v>303</v>
      </c>
      <c r="BG514" s="48"/>
      <c r="BI514" s="48" t="n">
        <v>46258</v>
      </c>
      <c r="BJ514" s="48" t="n">
        <v>46243</v>
      </c>
      <c r="BK514" s="49" t="s">
        <v>313</v>
      </c>
      <c r="BL514" s="49" t="s">
        <v>313</v>
      </c>
      <c r="BM514" s="49" t="s">
        <v>310</v>
      </c>
      <c r="BN514" s="48"/>
      <c r="BO514" s="48"/>
      <c r="BP514" s="48"/>
      <c r="BQ514" s="49" t="s">
        <v>2249</v>
      </c>
      <c r="BR514" s="48" t="n">
        <v>46243</v>
      </c>
      <c r="BS514" s="49" t="s">
        <v>2270</v>
      </c>
      <c r="BT514" s="49" t="s">
        <v>312</v>
      </c>
      <c r="BU514" s="49" t="s">
        <v>313</v>
      </c>
      <c r="BV514" s="49" t="s">
        <v>303</v>
      </c>
      <c r="BX514" s="0" t="n">
        <v>1</v>
      </c>
      <c r="CC514" s="49" t="s">
        <v>315</v>
      </c>
      <c r="CD514" s="49" t="s">
        <v>303</v>
      </c>
      <c r="CF514" s="49" t="s">
        <v>303</v>
      </c>
      <c r="CG514" s="49" t="s">
        <v>316</v>
      </c>
      <c r="CH514" s="49" t="s">
        <v>317</v>
      </c>
      <c r="CI514" s="49" t="s">
        <v>318</v>
      </c>
      <c r="CM514" s="49" t="s">
        <v>65</v>
      </c>
      <c r="CV514" s="49" t="s">
        <v>303</v>
      </c>
      <c r="DB514" s="49" t="s">
        <v>319</v>
      </c>
      <c r="DD514" s="48" t="n">
        <v>46217</v>
      </c>
      <c r="DF514" s="49" t="s">
        <v>310</v>
      </c>
      <c r="DG514" s="49" t="s">
        <v>320</v>
      </c>
      <c r="DH514" s="49" t="s">
        <v>64</v>
      </c>
      <c r="DI514" s="49" t="s">
        <v>298</v>
      </c>
      <c r="DJ514" s="49" t="s">
        <v>394</v>
      </c>
      <c r="DK514" s="49" t="s">
        <v>322</v>
      </c>
      <c r="DL514" s="49" t="s">
        <v>323</v>
      </c>
      <c r="DM514" s="49" t="s">
        <v>303</v>
      </c>
      <c r="DN514" s="49" t="s">
        <v>297</v>
      </c>
      <c r="DO514" s="48"/>
      <c r="DP514" s="49" t="s">
        <v>312</v>
      </c>
      <c r="DQ514" s="48"/>
      <c r="DR514" s="49" t="s">
        <v>312</v>
      </c>
      <c r="DS514" s="49" t="s">
        <v>303</v>
      </c>
      <c r="DT514" s="49" t="s">
        <v>303</v>
      </c>
      <c r="DW514" s="49" t="s">
        <v>303</v>
      </c>
      <c r="EA514" s="49" t="s">
        <v>324</v>
      </c>
      <c r="EB514" s="49" t="s">
        <v>303</v>
      </c>
      <c r="EF514" s="49" t="s">
        <v>2265</v>
      </c>
      <c r="EH514" s="49" t="s">
        <v>310</v>
      </c>
      <c r="EJ514" s="49" t="s">
        <v>303</v>
      </c>
      <c r="EK514" s="49" t="s">
        <v>2278</v>
      </c>
      <c r="EM514" s="49" t="s">
        <v>303</v>
      </c>
      <c r="EN514" s="49" t="s">
        <v>396</v>
      </c>
      <c r="EP514" s="49" t="s">
        <v>298</v>
      </c>
      <c r="EQ514" s="0" t="n">
        <v>1</v>
      </c>
      <c r="ER514" s="49" t="s">
        <v>328</v>
      </c>
      <c r="ES514" s="49" t="s">
        <v>329</v>
      </c>
      <c r="ET514" s="49" t="s">
        <v>310</v>
      </c>
      <c r="EU514" s="49" t="s">
        <v>310</v>
      </c>
      <c r="EV514" s="49" t="s">
        <v>310</v>
      </c>
      <c r="EX514" s="49" t="s">
        <v>303</v>
      </c>
      <c r="EY514" s="49" t="s">
        <v>303</v>
      </c>
      <c r="FC514" s="49" t="s">
        <v>330</v>
      </c>
      <c r="FD514" s="49" t="s">
        <v>310</v>
      </c>
      <c r="FE514" s="49" t="s">
        <v>310</v>
      </c>
      <c r="FF514" s="49" t="s">
        <v>64</v>
      </c>
      <c r="FG514" s="49" t="s">
        <v>397</v>
      </c>
      <c r="FH514" s="49" t="s">
        <v>310</v>
      </c>
      <c r="FI514" s="49" t="s">
        <v>332</v>
      </c>
      <c r="FJ514" s="49" t="s">
        <v>303</v>
      </c>
      <c r="FL514" s="49" t="s">
        <v>325</v>
      </c>
      <c r="FM514" s="49" t="s">
        <v>2161</v>
      </c>
      <c r="FP514" s="49" t="s">
        <v>303</v>
      </c>
      <c r="FR514" s="49" t="s">
        <v>303</v>
      </c>
      <c r="FT514" s="49" t="s">
        <v>325</v>
      </c>
      <c r="FU514" s="49" t="s">
        <v>325</v>
      </c>
      <c r="FW514" s="49" t="s">
        <v>333</v>
      </c>
    </row>
    <row r="515" customFormat="false" ht="15" hidden="false" customHeight="false" outlineLevel="0" collapsed="false">
      <c r="A515" s="0" t="n">
        <v>100872738</v>
      </c>
      <c r="B515" s="0" t="s">
        <v>295</v>
      </c>
      <c r="C515" s="0" t="s">
        <v>64</v>
      </c>
      <c r="D515" s="0" t="s">
        <v>65</v>
      </c>
      <c r="E515" s="0" t="s">
        <v>297</v>
      </c>
      <c r="G515" s="0" t="n">
        <v>1</v>
      </c>
      <c r="H515" s="0" t="s">
        <v>298</v>
      </c>
      <c r="I515" s="48" t="n">
        <v>46238</v>
      </c>
      <c r="J515" s="0" t="n">
        <v>1</v>
      </c>
      <c r="K515" s="49" t="s">
        <v>2161</v>
      </c>
      <c r="L515" s="49" t="s">
        <v>1035</v>
      </c>
      <c r="M515" s="48" t="n">
        <v>46257</v>
      </c>
      <c r="N515" s="49" t="s">
        <v>1204</v>
      </c>
      <c r="O515" s="49" t="s">
        <v>1045</v>
      </c>
      <c r="P515" s="48"/>
      <c r="Q515" s="48" t="n">
        <v>46238</v>
      </c>
      <c r="R515" s="48" t="n">
        <v>46244</v>
      </c>
      <c r="T515" s="49" t="s">
        <v>302</v>
      </c>
      <c r="U515" s="49" t="s">
        <v>303</v>
      </c>
      <c r="Y515" s="49" t="s">
        <v>2279</v>
      </c>
      <c r="AD515" s="49" t="s">
        <v>305</v>
      </c>
      <c r="AE515" s="48" t="n">
        <v>46217</v>
      </c>
      <c r="AF515" s="49" t="s">
        <v>306</v>
      </c>
      <c r="AG515" s="49" t="s">
        <v>307</v>
      </c>
      <c r="AK515" s="49" t="s">
        <v>1047</v>
      </c>
      <c r="AL515" s="49" t="s">
        <v>297</v>
      </c>
      <c r="AO515" s="49" t="s">
        <v>303</v>
      </c>
      <c r="AP515" s="48"/>
      <c r="AR515" s="49" t="s">
        <v>303</v>
      </c>
      <c r="AS515" s="49" t="s">
        <v>306</v>
      </c>
      <c r="AT515" s="49" t="s">
        <v>2280</v>
      </c>
      <c r="AV515" s="49" t="s">
        <v>309</v>
      </c>
      <c r="AW515" s="49" t="s">
        <v>310</v>
      </c>
      <c r="AX515" s="49" t="s">
        <v>311</v>
      </c>
      <c r="AY515" s="48"/>
      <c r="AZ515" s="48" t="n">
        <v>46234</v>
      </c>
      <c r="BC515" s="49" t="s">
        <v>303</v>
      </c>
      <c r="BD515" s="48" t="n">
        <v>46258</v>
      </c>
      <c r="BE515" s="49" t="s">
        <v>2281</v>
      </c>
      <c r="BF515" s="49" t="s">
        <v>303</v>
      </c>
      <c r="BG515" s="48"/>
      <c r="BI515" s="48" t="n">
        <v>46258</v>
      </c>
      <c r="BJ515" s="48" t="n">
        <v>46243</v>
      </c>
      <c r="BK515" s="49" t="s">
        <v>313</v>
      </c>
      <c r="BL515" s="49" t="s">
        <v>313</v>
      </c>
      <c r="BM515" s="49" t="s">
        <v>310</v>
      </c>
      <c r="BN515" s="48"/>
      <c r="BO515" s="48"/>
      <c r="BP515" s="48"/>
      <c r="BQ515" s="49" t="s">
        <v>2249</v>
      </c>
      <c r="BR515" s="48" t="n">
        <v>46243</v>
      </c>
      <c r="BS515" s="49" t="s">
        <v>2270</v>
      </c>
      <c r="BT515" s="49" t="s">
        <v>312</v>
      </c>
      <c r="BU515" s="49" t="s">
        <v>313</v>
      </c>
      <c r="BV515" s="49" t="s">
        <v>303</v>
      </c>
      <c r="BX515" s="0" t="n">
        <v>1</v>
      </c>
      <c r="CC515" s="49" t="s">
        <v>315</v>
      </c>
      <c r="CD515" s="49" t="s">
        <v>303</v>
      </c>
      <c r="CF515" s="49" t="s">
        <v>303</v>
      </c>
      <c r="CG515" s="49" t="s">
        <v>316</v>
      </c>
      <c r="CH515" s="49" t="s">
        <v>317</v>
      </c>
      <c r="CI515" s="49" t="s">
        <v>318</v>
      </c>
      <c r="CM515" s="49" t="s">
        <v>65</v>
      </c>
      <c r="CV515" s="49" t="s">
        <v>303</v>
      </c>
      <c r="DB515" s="49" t="s">
        <v>319</v>
      </c>
      <c r="DD515" s="48" t="n">
        <v>46217</v>
      </c>
      <c r="DF515" s="49" t="s">
        <v>310</v>
      </c>
      <c r="DG515" s="49" t="s">
        <v>320</v>
      </c>
      <c r="DH515" s="49" t="s">
        <v>64</v>
      </c>
      <c r="DI515" s="49" t="s">
        <v>298</v>
      </c>
      <c r="DJ515" s="49" t="s">
        <v>394</v>
      </c>
      <c r="DK515" s="49" t="s">
        <v>322</v>
      </c>
      <c r="DL515" s="49" t="s">
        <v>323</v>
      </c>
      <c r="DM515" s="49" t="s">
        <v>303</v>
      </c>
      <c r="DN515" s="49" t="s">
        <v>297</v>
      </c>
      <c r="DO515" s="48"/>
      <c r="DP515" s="49" t="s">
        <v>312</v>
      </c>
      <c r="DQ515" s="48"/>
      <c r="DR515" s="49" t="s">
        <v>312</v>
      </c>
      <c r="DS515" s="49" t="s">
        <v>303</v>
      </c>
      <c r="DT515" s="49" t="s">
        <v>303</v>
      </c>
      <c r="DW515" s="49" t="s">
        <v>303</v>
      </c>
      <c r="EA515" s="49" t="s">
        <v>324</v>
      </c>
      <c r="EB515" s="49" t="s">
        <v>303</v>
      </c>
      <c r="EF515" s="49" t="s">
        <v>2265</v>
      </c>
      <c r="EH515" s="49" t="s">
        <v>310</v>
      </c>
      <c r="EJ515" s="49" t="s">
        <v>303</v>
      </c>
      <c r="EK515" s="49" t="s">
        <v>2282</v>
      </c>
      <c r="EM515" s="49" t="s">
        <v>303</v>
      </c>
      <c r="EN515" s="49" t="s">
        <v>396</v>
      </c>
      <c r="EP515" s="49" t="s">
        <v>298</v>
      </c>
      <c r="EQ515" s="0" t="n">
        <v>1</v>
      </c>
      <c r="ER515" s="49" t="s">
        <v>328</v>
      </c>
      <c r="ES515" s="49" t="s">
        <v>329</v>
      </c>
      <c r="ET515" s="49" t="s">
        <v>310</v>
      </c>
      <c r="EU515" s="49" t="s">
        <v>310</v>
      </c>
      <c r="EV515" s="49" t="s">
        <v>310</v>
      </c>
      <c r="EX515" s="49" t="s">
        <v>303</v>
      </c>
      <c r="EY515" s="49" t="s">
        <v>303</v>
      </c>
      <c r="FC515" s="49" t="s">
        <v>330</v>
      </c>
      <c r="FD515" s="49" t="s">
        <v>310</v>
      </c>
      <c r="FE515" s="49" t="s">
        <v>310</v>
      </c>
      <c r="FF515" s="49" t="s">
        <v>64</v>
      </c>
      <c r="FG515" s="49" t="s">
        <v>397</v>
      </c>
      <c r="FH515" s="49" t="s">
        <v>310</v>
      </c>
      <c r="FI515" s="49" t="s">
        <v>332</v>
      </c>
      <c r="FJ515" s="49" t="s">
        <v>303</v>
      </c>
      <c r="FL515" s="49" t="s">
        <v>325</v>
      </c>
      <c r="FM515" s="49" t="s">
        <v>2161</v>
      </c>
      <c r="FP515" s="49" t="s">
        <v>303</v>
      </c>
      <c r="FR515" s="49" t="s">
        <v>303</v>
      </c>
      <c r="FT515" s="49" t="s">
        <v>325</v>
      </c>
      <c r="FU515" s="49" t="s">
        <v>325</v>
      </c>
      <c r="FW515" s="49" t="s">
        <v>333</v>
      </c>
    </row>
    <row r="516" customFormat="false" ht="15" hidden="false" customHeight="false" outlineLevel="0" collapsed="false">
      <c r="A516" s="0" t="n">
        <v>100872517</v>
      </c>
      <c r="B516" s="0" t="s">
        <v>295</v>
      </c>
      <c r="C516" s="0" t="s">
        <v>56</v>
      </c>
      <c r="D516" s="0" t="s">
        <v>57</v>
      </c>
      <c r="E516" s="0" t="s">
        <v>297</v>
      </c>
      <c r="G516" s="0" t="n">
        <v>1</v>
      </c>
      <c r="H516" s="0" t="s">
        <v>298</v>
      </c>
      <c r="I516" s="48" t="n">
        <v>46234</v>
      </c>
      <c r="J516" s="0" t="n">
        <v>1</v>
      </c>
      <c r="K516" s="49" t="s">
        <v>2283</v>
      </c>
      <c r="L516" s="49" t="s">
        <v>1035</v>
      </c>
      <c r="M516" s="48" t="n">
        <v>46234</v>
      </c>
      <c r="N516" s="49" t="s">
        <v>1035</v>
      </c>
      <c r="O516" s="49" t="s">
        <v>1045</v>
      </c>
      <c r="P516" s="48"/>
      <c r="Q516" s="48" t="n">
        <v>46234</v>
      </c>
      <c r="R516" s="48" t="n">
        <v>46241</v>
      </c>
      <c r="T516" s="49" t="s">
        <v>302</v>
      </c>
      <c r="U516" s="49" t="s">
        <v>303</v>
      </c>
      <c r="Y516" s="49" t="s">
        <v>2284</v>
      </c>
      <c r="AD516" s="49" t="s">
        <v>305</v>
      </c>
      <c r="AE516" s="48" t="n">
        <v>46149</v>
      </c>
      <c r="AF516" s="49" t="s">
        <v>306</v>
      </c>
      <c r="AG516" s="49" t="s">
        <v>307</v>
      </c>
      <c r="AK516" s="49" t="s">
        <v>1047</v>
      </c>
      <c r="AL516" s="49" t="s">
        <v>297</v>
      </c>
      <c r="AO516" s="49" t="s">
        <v>303</v>
      </c>
      <c r="AP516" s="48"/>
      <c r="AR516" s="49" t="s">
        <v>303</v>
      </c>
      <c r="AS516" s="49" t="s">
        <v>306</v>
      </c>
      <c r="AT516" s="49" t="s">
        <v>2285</v>
      </c>
      <c r="AV516" s="49" t="s">
        <v>309</v>
      </c>
      <c r="AW516" s="49" t="s">
        <v>310</v>
      </c>
      <c r="AX516" s="49" t="s">
        <v>311</v>
      </c>
      <c r="AY516" s="48"/>
      <c r="AZ516" s="48" t="n">
        <v>46226</v>
      </c>
      <c r="BC516" s="49" t="s">
        <v>303</v>
      </c>
      <c r="BD516" s="48" t="n">
        <v>46260</v>
      </c>
      <c r="BE516" s="49" t="s">
        <v>2286</v>
      </c>
      <c r="BF516" s="49" t="s">
        <v>303</v>
      </c>
      <c r="BG516" s="48"/>
      <c r="BI516" s="48" t="n">
        <v>46260</v>
      </c>
      <c r="BJ516" s="48" t="n">
        <v>46239</v>
      </c>
      <c r="BK516" s="49" t="s">
        <v>312</v>
      </c>
      <c r="BL516" s="49" t="s">
        <v>313</v>
      </c>
      <c r="BM516" s="49" t="s">
        <v>310</v>
      </c>
      <c r="BN516" s="48"/>
      <c r="BO516" s="48"/>
      <c r="BP516" s="48"/>
      <c r="BQ516" s="49" t="s">
        <v>2287</v>
      </c>
      <c r="BR516" s="48" t="n">
        <v>46233</v>
      </c>
      <c r="BS516" s="49" t="s">
        <v>2288</v>
      </c>
      <c r="BT516" s="49" t="s">
        <v>312</v>
      </c>
      <c r="BU516" s="49" t="s">
        <v>312</v>
      </c>
      <c r="BV516" s="49" t="s">
        <v>303</v>
      </c>
      <c r="BX516" s="0" t="n">
        <v>1</v>
      </c>
      <c r="CC516" s="49" t="s">
        <v>315</v>
      </c>
      <c r="CD516" s="49" t="s">
        <v>303</v>
      </c>
      <c r="CF516" s="49" t="s">
        <v>303</v>
      </c>
      <c r="CG516" s="49" t="s">
        <v>316</v>
      </c>
      <c r="CH516" s="49" t="s">
        <v>317</v>
      </c>
      <c r="CI516" s="49" t="s">
        <v>318</v>
      </c>
      <c r="CM516" s="49" t="s">
        <v>57</v>
      </c>
      <c r="CV516" s="49" t="s">
        <v>303</v>
      </c>
      <c r="DB516" s="49" t="s">
        <v>319</v>
      </c>
      <c r="DD516" s="48" t="n">
        <v>46149</v>
      </c>
      <c r="DF516" s="49" t="s">
        <v>310</v>
      </c>
      <c r="DG516" s="49" t="s">
        <v>320</v>
      </c>
      <c r="DH516" s="49" t="s">
        <v>56</v>
      </c>
      <c r="DI516" s="49" t="s">
        <v>298</v>
      </c>
      <c r="DJ516" s="49" t="s">
        <v>367</v>
      </c>
      <c r="DK516" s="49" t="s">
        <v>322</v>
      </c>
      <c r="DL516" s="49" t="s">
        <v>323</v>
      </c>
      <c r="DM516" s="49" t="s">
        <v>303</v>
      </c>
      <c r="DN516" s="49" t="s">
        <v>297</v>
      </c>
      <c r="DO516" s="48"/>
      <c r="DP516" s="49" t="s">
        <v>312</v>
      </c>
      <c r="DQ516" s="48"/>
      <c r="DR516" s="49" t="s">
        <v>312</v>
      </c>
      <c r="DS516" s="49" t="s">
        <v>303</v>
      </c>
      <c r="DT516" s="49" t="s">
        <v>303</v>
      </c>
      <c r="DW516" s="49" t="s">
        <v>303</v>
      </c>
      <c r="EA516" s="49" t="s">
        <v>324</v>
      </c>
      <c r="EB516" s="49" t="s">
        <v>303</v>
      </c>
      <c r="EH516" s="49" t="s">
        <v>310</v>
      </c>
      <c r="EJ516" s="49" t="s">
        <v>303</v>
      </c>
      <c r="EK516" s="49" t="s">
        <v>2289</v>
      </c>
      <c r="EM516" s="49" t="s">
        <v>303</v>
      </c>
      <c r="EN516" s="49" t="s">
        <v>369</v>
      </c>
      <c r="EP516" s="49" t="s">
        <v>298</v>
      </c>
      <c r="EQ516" s="0" t="n">
        <v>1</v>
      </c>
      <c r="ER516" s="49" t="s">
        <v>328</v>
      </c>
      <c r="ES516" s="49" t="s">
        <v>342</v>
      </c>
      <c r="ET516" s="49" t="s">
        <v>310</v>
      </c>
      <c r="EU516" s="49" t="s">
        <v>310</v>
      </c>
      <c r="EV516" s="49" t="s">
        <v>310</v>
      </c>
      <c r="EX516" s="49" t="s">
        <v>303</v>
      </c>
      <c r="EY516" s="49" t="s">
        <v>303</v>
      </c>
      <c r="FC516" s="49" t="s">
        <v>330</v>
      </c>
      <c r="FD516" s="49" t="s">
        <v>310</v>
      </c>
      <c r="FE516" s="49" t="s">
        <v>310</v>
      </c>
      <c r="FF516" s="49" t="s">
        <v>56</v>
      </c>
      <c r="FG516" s="49" t="s">
        <v>370</v>
      </c>
      <c r="FH516" s="49" t="s">
        <v>310</v>
      </c>
      <c r="FI516" s="49" t="s">
        <v>332</v>
      </c>
      <c r="FJ516" s="49" t="s">
        <v>303</v>
      </c>
      <c r="FL516" s="49" t="s">
        <v>325</v>
      </c>
      <c r="FM516" s="49" t="s">
        <v>2283</v>
      </c>
      <c r="FP516" s="49" t="s">
        <v>303</v>
      </c>
      <c r="FR516" s="49" t="s">
        <v>303</v>
      </c>
      <c r="FT516" s="49" t="s">
        <v>325</v>
      </c>
      <c r="FU516" s="49" t="s">
        <v>325</v>
      </c>
      <c r="FW516" s="49" t="s">
        <v>333</v>
      </c>
    </row>
    <row r="517" customFormat="false" ht="15" hidden="false" customHeight="false" outlineLevel="0" collapsed="false">
      <c r="A517" s="0" t="n">
        <v>100872518</v>
      </c>
      <c r="B517" s="0" t="s">
        <v>295</v>
      </c>
      <c r="C517" s="0" t="s">
        <v>58</v>
      </c>
      <c r="D517" s="0" t="s">
        <v>59</v>
      </c>
      <c r="E517" s="0" t="s">
        <v>297</v>
      </c>
      <c r="G517" s="0" t="n">
        <v>1</v>
      </c>
      <c r="H517" s="0" t="s">
        <v>298</v>
      </c>
      <c r="I517" s="48" t="n">
        <v>46234</v>
      </c>
      <c r="J517" s="0" t="n">
        <v>1</v>
      </c>
      <c r="K517" s="49" t="s">
        <v>2283</v>
      </c>
      <c r="L517" s="49" t="s">
        <v>1035</v>
      </c>
      <c r="M517" s="48" t="n">
        <v>46234</v>
      </c>
      <c r="N517" s="49" t="s">
        <v>1035</v>
      </c>
      <c r="O517" s="49" t="s">
        <v>1045</v>
      </c>
      <c r="P517" s="48"/>
      <c r="Q517" s="48" t="n">
        <v>46234</v>
      </c>
      <c r="R517" s="48" t="n">
        <v>46241</v>
      </c>
      <c r="T517" s="49" t="s">
        <v>302</v>
      </c>
      <c r="U517" s="49" t="s">
        <v>303</v>
      </c>
      <c r="Y517" s="49" t="s">
        <v>2290</v>
      </c>
      <c r="AD517" s="49" t="s">
        <v>305</v>
      </c>
      <c r="AE517" s="48" t="n">
        <v>46219</v>
      </c>
      <c r="AF517" s="49" t="s">
        <v>306</v>
      </c>
      <c r="AG517" s="49" t="s">
        <v>307</v>
      </c>
      <c r="AK517" s="49" t="s">
        <v>1047</v>
      </c>
      <c r="AL517" s="49" t="s">
        <v>297</v>
      </c>
      <c r="AO517" s="49" t="s">
        <v>303</v>
      </c>
      <c r="AP517" s="48"/>
      <c r="AR517" s="49" t="s">
        <v>303</v>
      </c>
      <c r="AS517" s="49" t="s">
        <v>306</v>
      </c>
      <c r="AT517" s="49" t="s">
        <v>2291</v>
      </c>
      <c r="AV517" s="49" t="s">
        <v>309</v>
      </c>
      <c r="AW517" s="49" t="s">
        <v>310</v>
      </c>
      <c r="AX517" s="49" t="s">
        <v>311</v>
      </c>
      <c r="AY517" s="48"/>
      <c r="AZ517" s="48" t="n">
        <v>46226</v>
      </c>
      <c r="BC517" s="49" t="s">
        <v>303</v>
      </c>
      <c r="BD517" s="48" t="n">
        <v>46246</v>
      </c>
      <c r="BE517" s="49" t="s">
        <v>2292</v>
      </c>
      <c r="BF517" s="49" t="s">
        <v>303</v>
      </c>
      <c r="BG517" s="48"/>
      <c r="BI517" s="48" t="n">
        <v>46246</v>
      </c>
      <c r="BJ517" s="48" t="n">
        <v>46239</v>
      </c>
      <c r="BK517" s="49" t="s">
        <v>312</v>
      </c>
      <c r="BL517" s="49" t="s">
        <v>313</v>
      </c>
      <c r="BM517" s="49" t="s">
        <v>310</v>
      </c>
      <c r="BN517" s="48"/>
      <c r="BO517" s="48"/>
      <c r="BP517" s="48"/>
      <c r="BQ517" s="49" t="s">
        <v>2033</v>
      </c>
      <c r="BR517" s="48" t="n">
        <v>46233</v>
      </c>
      <c r="BS517" s="49" t="s">
        <v>2293</v>
      </c>
      <c r="BT517" s="49" t="s">
        <v>312</v>
      </c>
      <c r="BU517" s="49" t="s">
        <v>312</v>
      </c>
      <c r="BV517" s="49" t="s">
        <v>303</v>
      </c>
      <c r="BX517" s="0" t="n">
        <v>1</v>
      </c>
      <c r="CC517" s="49" t="s">
        <v>315</v>
      </c>
      <c r="CD517" s="49" t="s">
        <v>303</v>
      </c>
      <c r="CF517" s="49" t="s">
        <v>303</v>
      </c>
      <c r="CG517" s="49" t="s">
        <v>316</v>
      </c>
      <c r="CH517" s="49" t="s">
        <v>317</v>
      </c>
      <c r="CI517" s="49" t="s">
        <v>318</v>
      </c>
      <c r="CM517" s="49" t="s">
        <v>59</v>
      </c>
      <c r="CV517" s="49" t="s">
        <v>303</v>
      </c>
      <c r="DB517" s="49" t="s">
        <v>319</v>
      </c>
      <c r="DD517" s="48" t="n">
        <v>46219</v>
      </c>
      <c r="DF517" s="49" t="s">
        <v>310</v>
      </c>
      <c r="DG517" s="49" t="s">
        <v>320</v>
      </c>
      <c r="DH517" s="49" t="s">
        <v>58</v>
      </c>
      <c r="DI517" s="49" t="s">
        <v>298</v>
      </c>
      <c r="DJ517" s="49" t="s">
        <v>367</v>
      </c>
      <c r="DK517" s="49" t="s">
        <v>322</v>
      </c>
      <c r="DL517" s="49" t="s">
        <v>323</v>
      </c>
      <c r="DM517" s="49" t="s">
        <v>303</v>
      </c>
      <c r="DN517" s="49" t="s">
        <v>297</v>
      </c>
      <c r="DO517" s="48"/>
      <c r="DP517" s="49" t="s">
        <v>312</v>
      </c>
      <c r="DQ517" s="48"/>
      <c r="DR517" s="49" t="s">
        <v>312</v>
      </c>
      <c r="DS517" s="49" t="s">
        <v>303</v>
      </c>
      <c r="DT517" s="49" t="s">
        <v>303</v>
      </c>
      <c r="DW517" s="49" t="s">
        <v>303</v>
      </c>
      <c r="EA517" s="49" t="s">
        <v>324</v>
      </c>
      <c r="EB517" s="49" t="s">
        <v>303</v>
      </c>
      <c r="EH517" s="49" t="s">
        <v>310</v>
      </c>
      <c r="EJ517" s="49" t="s">
        <v>303</v>
      </c>
      <c r="EK517" s="49" t="s">
        <v>2294</v>
      </c>
      <c r="EM517" s="49" t="s">
        <v>303</v>
      </c>
      <c r="EN517" s="49" t="s">
        <v>374</v>
      </c>
      <c r="EP517" s="49" t="s">
        <v>298</v>
      </c>
      <c r="EQ517" s="0" t="n">
        <v>1</v>
      </c>
      <c r="ER517" s="49" t="s">
        <v>328</v>
      </c>
      <c r="ES517" s="49" t="s">
        <v>342</v>
      </c>
      <c r="ET517" s="49" t="s">
        <v>310</v>
      </c>
      <c r="EU517" s="49" t="s">
        <v>310</v>
      </c>
      <c r="EV517" s="49" t="s">
        <v>310</v>
      </c>
      <c r="EX517" s="49" t="s">
        <v>303</v>
      </c>
      <c r="EY517" s="49" t="s">
        <v>303</v>
      </c>
      <c r="FC517" s="49" t="s">
        <v>330</v>
      </c>
      <c r="FD517" s="49" t="s">
        <v>310</v>
      </c>
      <c r="FE517" s="49" t="s">
        <v>310</v>
      </c>
      <c r="FF517" s="49" t="s">
        <v>58</v>
      </c>
      <c r="FG517" s="49" t="s">
        <v>375</v>
      </c>
      <c r="FH517" s="49" t="s">
        <v>310</v>
      </c>
      <c r="FI517" s="49" t="s">
        <v>332</v>
      </c>
      <c r="FJ517" s="49" t="s">
        <v>303</v>
      </c>
      <c r="FL517" s="49" t="s">
        <v>325</v>
      </c>
      <c r="FM517" s="49" t="s">
        <v>2283</v>
      </c>
      <c r="FP517" s="49" t="s">
        <v>303</v>
      </c>
      <c r="FR517" s="49" t="s">
        <v>303</v>
      </c>
      <c r="FT517" s="49" t="s">
        <v>325</v>
      </c>
      <c r="FU517" s="49" t="s">
        <v>325</v>
      </c>
      <c r="FW517" s="49" t="s">
        <v>333</v>
      </c>
    </row>
    <row r="518" customFormat="false" ht="15" hidden="false" customHeight="false" outlineLevel="0" collapsed="false">
      <c r="A518" s="0" t="n">
        <v>100872519</v>
      </c>
      <c r="B518" s="0" t="s">
        <v>295</v>
      </c>
      <c r="C518" s="0" t="s">
        <v>58</v>
      </c>
      <c r="D518" s="0" t="s">
        <v>59</v>
      </c>
      <c r="E518" s="0" t="s">
        <v>297</v>
      </c>
      <c r="G518" s="0" t="n">
        <v>1</v>
      </c>
      <c r="H518" s="0" t="s">
        <v>298</v>
      </c>
      <c r="I518" s="48" t="n">
        <v>46234</v>
      </c>
      <c r="J518" s="0" t="n">
        <v>1</v>
      </c>
      <c r="K518" s="49" t="s">
        <v>2283</v>
      </c>
      <c r="L518" s="49" t="s">
        <v>1035</v>
      </c>
      <c r="M518" s="48"/>
      <c r="O518" s="49" t="s">
        <v>1045</v>
      </c>
      <c r="P518" s="48"/>
      <c r="Q518" s="48" t="n">
        <v>46234</v>
      </c>
      <c r="R518" s="48" t="n">
        <v>46240</v>
      </c>
      <c r="T518" s="49" t="s">
        <v>302</v>
      </c>
      <c r="U518" s="49" t="s">
        <v>303</v>
      </c>
      <c r="Y518" s="49" t="s">
        <v>312</v>
      </c>
      <c r="AD518" s="49" t="s">
        <v>305</v>
      </c>
      <c r="AE518" s="48" t="n">
        <v>46219</v>
      </c>
      <c r="AF518" s="49" t="s">
        <v>306</v>
      </c>
      <c r="AG518" s="49" t="s">
        <v>307</v>
      </c>
      <c r="AK518" s="49" t="s">
        <v>1047</v>
      </c>
      <c r="AL518" s="49" t="s">
        <v>297</v>
      </c>
      <c r="AO518" s="49" t="s">
        <v>303</v>
      </c>
      <c r="AP518" s="48"/>
      <c r="AR518" s="49" t="s">
        <v>303</v>
      </c>
      <c r="AS518" s="49" t="s">
        <v>306</v>
      </c>
      <c r="AT518" s="49" t="s">
        <v>2295</v>
      </c>
      <c r="AV518" s="49" t="s">
        <v>309</v>
      </c>
      <c r="AW518" s="49" t="s">
        <v>310</v>
      </c>
      <c r="AX518" s="49" t="s">
        <v>311</v>
      </c>
      <c r="AY518" s="48"/>
      <c r="AZ518" s="48" t="n">
        <v>46226</v>
      </c>
      <c r="BC518" s="49" t="s">
        <v>303</v>
      </c>
      <c r="BD518" s="48" t="n">
        <v>46258</v>
      </c>
      <c r="BE518" s="49" t="s">
        <v>2296</v>
      </c>
      <c r="BF518" s="49" t="s">
        <v>303</v>
      </c>
      <c r="BG518" s="48"/>
      <c r="BI518" s="48" t="n">
        <v>46258</v>
      </c>
      <c r="BJ518" s="48" t="n">
        <v>46239</v>
      </c>
      <c r="BK518" s="49" t="s">
        <v>313</v>
      </c>
      <c r="BL518" s="49" t="s">
        <v>313</v>
      </c>
      <c r="BM518" s="49" t="s">
        <v>310</v>
      </c>
      <c r="BN518" s="48"/>
      <c r="BO518" s="48"/>
      <c r="BP518" s="48"/>
      <c r="BQ518" s="49" t="s">
        <v>1684</v>
      </c>
      <c r="BR518" s="48" t="n">
        <v>46233</v>
      </c>
      <c r="BS518" s="49" t="s">
        <v>2297</v>
      </c>
      <c r="BT518" s="49" t="s">
        <v>312</v>
      </c>
      <c r="BU518" s="49" t="s">
        <v>312</v>
      </c>
      <c r="BV518" s="49" t="s">
        <v>303</v>
      </c>
      <c r="BX518" s="0" t="n">
        <v>1</v>
      </c>
      <c r="CC518" s="49" t="s">
        <v>315</v>
      </c>
      <c r="CD518" s="49" t="s">
        <v>303</v>
      </c>
      <c r="CF518" s="49" t="s">
        <v>303</v>
      </c>
      <c r="CG518" s="49" t="s">
        <v>316</v>
      </c>
      <c r="CH518" s="49" t="s">
        <v>317</v>
      </c>
      <c r="CI518" s="49" t="s">
        <v>318</v>
      </c>
      <c r="CM518" s="49" t="s">
        <v>59</v>
      </c>
      <c r="CV518" s="49" t="s">
        <v>303</v>
      </c>
      <c r="DB518" s="49" t="s">
        <v>319</v>
      </c>
      <c r="DD518" s="48" t="n">
        <v>46219</v>
      </c>
      <c r="DF518" s="49" t="s">
        <v>310</v>
      </c>
      <c r="DG518" s="49" t="s">
        <v>320</v>
      </c>
      <c r="DH518" s="49" t="s">
        <v>58</v>
      </c>
      <c r="DI518" s="49" t="s">
        <v>298</v>
      </c>
      <c r="DJ518" s="49" t="s">
        <v>367</v>
      </c>
      <c r="DK518" s="49" t="s">
        <v>322</v>
      </c>
      <c r="DL518" s="49" t="s">
        <v>323</v>
      </c>
      <c r="DM518" s="49" t="s">
        <v>303</v>
      </c>
      <c r="DN518" s="49" t="s">
        <v>297</v>
      </c>
      <c r="DO518" s="48"/>
      <c r="DP518" s="49" t="s">
        <v>312</v>
      </c>
      <c r="DQ518" s="48"/>
      <c r="DR518" s="49" t="s">
        <v>312</v>
      </c>
      <c r="DS518" s="49" t="s">
        <v>303</v>
      </c>
      <c r="DT518" s="49" t="s">
        <v>303</v>
      </c>
      <c r="DW518" s="49" t="s">
        <v>303</v>
      </c>
      <c r="EA518" s="49" t="s">
        <v>324</v>
      </c>
      <c r="EB518" s="49" t="s">
        <v>303</v>
      </c>
      <c r="EF518" s="49" t="s">
        <v>2298</v>
      </c>
      <c r="EH518" s="49" t="s">
        <v>310</v>
      </c>
      <c r="EJ518" s="49" t="s">
        <v>303</v>
      </c>
      <c r="EK518" s="49" t="s">
        <v>2299</v>
      </c>
      <c r="EM518" s="49" t="s">
        <v>303</v>
      </c>
      <c r="EN518" s="49" t="s">
        <v>374</v>
      </c>
      <c r="EP518" s="49" t="s">
        <v>298</v>
      </c>
      <c r="EQ518" s="0" t="n">
        <v>1</v>
      </c>
      <c r="ER518" s="49" t="s">
        <v>328</v>
      </c>
      <c r="ES518" s="49" t="s">
        <v>342</v>
      </c>
      <c r="ET518" s="49" t="s">
        <v>310</v>
      </c>
      <c r="EU518" s="49" t="s">
        <v>310</v>
      </c>
      <c r="EV518" s="49" t="s">
        <v>310</v>
      </c>
      <c r="EX518" s="49" t="s">
        <v>303</v>
      </c>
      <c r="EY518" s="49" t="s">
        <v>303</v>
      </c>
      <c r="FC518" s="49" t="s">
        <v>330</v>
      </c>
      <c r="FD518" s="49" t="s">
        <v>310</v>
      </c>
      <c r="FE518" s="49" t="s">
        <v>310</v>
      </c>
      <c r="FF518" s="49" t="s">
        <v>58</v>
      </c>
      <c r="FG518" s="49" t="s">
        <v>375</v>
      </c>
      <c r="FH518" s="49" t="s">
        <v>310</v>
      </c>
      <c r="FI518" s="49" t="s">
        <v>332</v>
      </c>
      <c r="FJ518" s="49" t="s">
        <v>303</v>
      </c>
      <c r="FL518" s="49" t="s">
        <v>325</v>
      </c>
      <c r="FM518" s="49" t="s">
        <v>2283</v>
      </c>
      <c r="FP518" s="49" t="s">
        <v>303</v>
      </c>
      <c r="FR518" s="49" t="s">
        <v>303</v>
      </c>
      <c r="FT518" s="49" t="s">
        <v>325</v>
      </c>
      <c r="FU518" s="49" t="s">
        <v>325</v>
      </c>
      <c r="FW518" s="49" t="s">
        <v>333</v>
      </c>
    </row>
    <row r="519" customFormat="false" ht="15" hidden="false" customHeight="false" outlineLevel="0" collapsed="false">
      <c r="A519" s="0" t="n">
        <v>100871605</v>
      </c>
      <c r="B519" s="0" t="s">
        <v>295</v>
      </c>
      <c r="C519" s="0" t="s">
        <v>70</v>
      </c>
      <c r="D519" s="0" t="s">
        <v>468</v>
      </c>
      <c r="E519" s="0" t="s">
        <v>297</v>
      </c>
      <c r="G519" s="0" t="n">
        <v>1</v>
      </c>
      <c r="H519" s="0" t="s">
        <v>298</v>
      </c>
      <c r="I519" s="48" t="n">
        <v>46232</v>
      </c>
      <c r="J519" s="0" t="n">
        <v>1</v>
      </c>
      <c r="K519" s="49" t="s">
        <v>2300</v>
      </c>
      <c r="L519" s="49" t="s">
        <v>1035</v>
      </c>
      <c r="M519" s="48" t="n">
        <v>46232</v>
      </c>
      <c r="N519" s="49" t="s">
        <v>1035</v>
      </c>
      <c r="O519" s="49" t="s">
        <v>1052</v>
      </c>
      <c r="P519" s="48"/>
      <c r="Q519" s="48" t="n">
        <v>46226</v>
      </c>
      <c r="R519" s="48" t="n">
        <v>46233</v>
      </c>
      <c r="T519" s="49" t="s">
        <v>302</v>
      </c>
      <c r="U519" s="49" t="s">
        <v>303</v>
      </c>
      <c r="Y519" s="49" t="s">
        <v>2301</v>
      </c>
      <c r="AD519" s="49" t="s">
        <v>305</v>
      </c>
      <c r="AE519" s="48" t="n">
        <v>46082</v>
      </c>
      <c r="AF519" s="49" t="s">
        <v>306</v>
      </c>
      <c r="AG519" s="49" t="s">
        <v>307</v>
      </c>
      <c r="AK519" s="49" t="s">
        <v>1047</v>
      </c>
      <c r="AL519" s="49" t="s">
        <v>297</v>
      </c>
      <c r="AO519" s="49" t="s">
        <v>303</v>
      </c>
      <c r="AP519" s="48"/>
      <c r="AR519" s="49" t="s">
        <v>303</v>
      </c>
      <c r="AS519" s="49" t="s">
        <v>306</v>
      </c>
      <c r="AT519" s="49" t="s">
        <v>2302</v>
      </c>
      <c r="AV519" s="49" t="s">
        <v>309</v>
      </c>
      <c r="AW519" s="49" t="s">
        <v>310</v>
      </c>
      <c r="AX519" s="49" t="s">
        <v>311</v>
      </c>
      <c r="AY519" s="48"/>
      <c r="AZ519" s="48" t="n">
        <v>46224</v>
      </c>
      <c r="BC519" s="49" t="s">
        <v>303</v>
      </c>
      <c r="BD519" s="48" t="n">
        <v>46253</v>
      </c>
      <c r="BE519" s="49" t="s">
        <v>2303</v>
      </c>
      <c r="BF519" s="49" t="s">
        <v>303</v>
      </c>
      <c r="BG519" s="48"/>
      <c r="BI519" s="48" t="n">
        <v>46253</v>
      </c>
      <c r="BJ519" s="48" t="n">
        <v>46231</v>
      </c>
      <c r="BK519" s="49" t="s">
        <v>312</v>
      </c>
      <c r="BL519" s="49" t="s">
        <v>313</v>
      </c>
      <c r="BM519" s="49" t="s">
        <v>310</v>
      </c>
      <c r="BN519" s="48"/>
      <c r="BO519" s="48"/>
      <c r="BP519" s="48"/>
      <c r="BQ519" s="49" t="s">
        <v>2304</v>
      </c>
      <c r="BR519" s="48" t="n">
        <v>46231</v>
      </c>
      <c r="BS519" s="49" t="s">
        <v>2305</v>
      </c>
      <c r="BT519" s="49" t="s">
        <v>312</v>
      </c>
      <c r="BU519" s="49" t="s">
        <v>313</v>
      </c>
      <c r="BV519" s="49" t="s">
        <v>303</v>
      </c>
      <c r="BX519" s="0" t="n">
        <v>1</v>
      </c>
      <c r="CC519" s="49" t="s">
        <v>315</v>
      </c>
      <c r="CD519" s="49" t="s">
        <v>303</v>
      </c>
      <c r="CF519" s="49" t="s">
        <v>303</v>
      </c>
      <c r="CG519" s="49" t="s">
        <v>316</v>
      </c>
      <c r="CH519" s="49" t="s">
        <v>317</v>
      </c>
      <c r="CI519" s="49" t="s">
        <v>318</v>
      </c>
      <c r="CM519" s="49" t="s">
        <v>468</v>
      </c>
      <c r="CV519" s="49" t="s">
        <v>303</v>
      </c>
      <c r="DB519" s="49" t="s">
        <v>319</v>
      </c>
      <c r="DD519" s="48" t="n">
        <v>46082</v>
      </c>
      <c r="DF519" s="49" t="s">
        <v>310</v>
      </c>
      <c r="DG519" s="49" t="s">
        <v>320</v>
      </c>
      <c r="DH519" s="49" t="s">
        <v>70</v>
      </c>
      <c r="DI519" s="49" t="s">
        <v>298</v>
      </c>
      <c r="DJ519" s="49" t="s">
        <v>321</v>
      </c>
      <c r="DK519" s="49" t="s">
        <v>322</v>
      </c>
      <c r="DL519" s="49" t="s">
        <v>323</v>
      </c>
      <c r="DM519" s="49" t="s">
        <v>303</v>
      </c>
      <c r="DN519" s="49" t="s">
        <v>297</v>
      </c>
      <c r="DO519" s="48"/>
      <c r="DP519" s="49" t="s">
        <v>312</v>
      </c>
      <c r="DQ519" s="48"/>
      <c r="DR519" s="49" t="s">
        <v>312</v>
      </c>
      <c r="DS519" s="49" t="s">
        <v>303</v>
      </c>
      <c r="DT519" s="49" t="s">
        <v>303</v>
      </c>
      <c r="DW519" s="49" t="s">
        <v>303</v>
      </c>
      <c r="EA519" s="49" t="s">
        <v>324</v>
      </c>
      <c r="EB519" s="49" t="s">
        <v>303</v>
      </c>
      <c r="EH519" s="49" t="s">
        <v>310</v>
      </c>
      <c r="EJ519" s="49" t="s">
        <v>303</v>
      </c>
      <c r="EK519" s="49" t="s">
        <v>2306</v>
      </c>
      <c r="EM519" s="49" t="s">
        <v>303</v>
      </c>
      <c r="EN519" s="49" t="s">
        <v>472</v>
      </c>
      <c r="EP519" s="49" t="s">
        <v>298</v>
      </c>
      <c r="EQ519" s="0" t="n">
        <v>1</v>
      </c>
      <c r="ER519" s="49" t="s">
        <v>328</v>
      </c>
      <c r="ES519" s="49" t="s">
        <v>329</v>
      </c>
      <c r="ET519" s="49" t="s">
        <v>310</v>
      </c>
      <c r="EU519" s="49" t="s">
        <v>310</v>
      </c>
      <c r="EV519" s="49" t="s">
        <v>310</v>
      </c>
      <c r="EX519" s="49" t="s">
        <v>303</v>
      </c>
      <c r="EY519" s="49" t="s">
        <v>303</v>
      </c>
      <c r="FC519" s="49" t="s">
        <v>330</v>
      </c>
      <c r="FD519" s="49" t="s">
        <v>310</v>
      </c>
      <c r="FE519" s="49" t="s">
        <v>310</v>
      </c>
      <c r="FF519" s="49" t="s">
        <v>70</v>
      </c>
      <c r="FG519" s="49" t="s">
        <v>473</v>
      </c>
      <c r="FH519" s="49" t="s">
        <v>310</v>
      </c>
      <c r="FI519" s="49" t="s">
        <v>332</v>
      </c>
      <c r="FJ519" s="49" t="s">
        <v>303</v>
      </c>
      <c r="FL519" s="49" t="s">
        <v>325</v>
      </c>
      <c r="FM519" s="49" t="s">
        <v>2304</v>
      </c>
      <c r="FP519" s="49" t="s">
        <v>303</v>
      </c>
      <c r="FR519" s="49" t="s">
        <v>303</v>
      </c>
      <c r="FT519" s="49" t="s">
        <v>325</v>
      </c>
      <c r="FU519" s="49" t="s">
        <v>325</v>
      </c>
      <c r="FW519" s="49" t="s">
        <v>333</v>
      </c>
    </row>
    <row r="520" customFormat="false" ht="15" hidden="false" customHeight="false" outlineLevel="0" collapsed="false">
      <c r="A520" s="0" t="n">
        <v>100871606</v>
      </c>
      <c r="B520" s="0" t="s">
        <v>295</v>
      </c>
      <c r="C520" s="0" t="s">
        <v>70</v>
      </c>
      <c r="D520" s="0" t="s">
        <v>468</v>
      </c>
      <c r="E520" s="0" t="s">
        <v>297</v>
      </c>
      <c r="G520" s="0" t="n">
        <v>1</v>
      </c>
      <c r="H520" s="0" t="s">
        <v>298</v>
      </c>
      <c r="I520" s="48" t="n">
        <v>46232</v>
      </c>
      <c r="J520" s="0" t="n">
        <v>1</v>
      </c>
      <c r="K520" s="49" t="s">
        <v>2300</v>
      </c>
      <c r="L520" s="49" t="s">
        <v>1035</v>
      </c>
      <c r="M520" s="48" t="n">
        <v>46232</v>
      </c>
      <c r="N520" s="49" t="s">
        <v>1035</v>
      </c>
      <c r="O520" s="49" t="s">
        <v>1052</v>
      </c>
      <c r="P520" s="48"/>
      <c r="Q520" s="48" t="n">
        <v>46226</v>
      </c>
      <c r="R520" s="48" t="n">
        <v>46232</v>
      </c>
      <c r="T520" s="49" t="s">
        <v>302</v>
      </c>
      <c r="U520" s="49" t="s">
        <v>303</v>
      </c>
      <c r="Y520" s="49" t="s">
        <v>2307</v>
      </c>
      <c r="AD520" s="49" t="s">
        <v>305</v>
      </c>
      <c r="AE520" s="48" t="n">
        <v>46082</v>
      </c>
      <c r="AF520" s="49" t="s">
        <v>306</v>
      </c>
      <c r="AG520" s="49" t="s">
        <v>307</v>
      </c>
      <c r="AK520" s="49" t="s">
        <v>1047</v>
      </c>
      <c r="AL520" s="49" t="s">
        <v>297</v>
      </c>
      <c r="AO520" s="49" t="s">
        <v>303</v>
      </c>
      <c r="AP520" s="48"/>
      <c r="AR520" s="49" t="s">
        <v>303</v>
      </c>
      <c r="AS520" s="49" t="s">
        <v>306</v>
      </c>
      <c r="AT520" s="49" t="s">
        <v>2308</v>
      </c>
      <c r="AV520" s="49" t="s">
        <v>309</v>
      </c>
      <c r="AW520" s="49" t="s">
        <v>310</v>
      </c>
      <c r="AX520" s="49" t="s">
        <v>311</v>
      </c>
      <c r="AY520" s="48"/>
      <c r="AZ520" s="48" t="n">
        <v>46224</v>
      </c>
      <c r="BC520" s="49" t="s">
        <v>303</v>
      </c>
      <c r="BD520" s="48" t="n">
        <v>46248</v>
      </c>
      <c r="BE520" s="49" t="s">
        <v>2309</v>
      </c>
      <c r="BF520" s="49" t="s">
        <v>303</v>
      </c>
      <c r="BG520" s="48"/>
      <c r="BI520" s="48" t="n">
        <v>46249</v>
      </c>
      <c r="BJ520" s="48" t="n">
        <v>46231</v>
      </c>
      <c r="BK520" s="49" t="s">
        <v>313</v>
      </c>
      <c r="BL520" s="49" t="s">
        <v>313</v>
      </c>
      <c r="BM520" s="49" t="s">
        <v>310</v>
      </c>
      <c r="BN520" s="48"/>
      <c r="BO520" s="48"/>
      <c r="BP520" s="48"/>
      <c r="BQ520" s="49" t="s">
        <v>2304</v>
      </c>
      <c r="BR520" s="48" t="n">
        <v>46231</v>
      </c>
      <c r="BS520" s="49" t="s">
        <v>2305</v>
      </c>
      <c r="BT520" s="49" t="s">
        <v>312</v>
      </c>
      <c r="BU520" s="49" t="s">
        <v>313</v>
      </c>
      <c r="BV520" s="49" t="s">
        <v>303</v>
      </c>
      <c r="BX520" s="0" t="n">
        <v>1</v>
      </c>
      <c r="CC520" s="49" t="s">
        <v>315</v>
      </c>
      <c r="CD520" s="49" t="s">
        <v>303</v>
      </c>
      <c r="CF520" s="49" t="s">
        <v>303</v>
      </c>
      <c r="CG520" s="49" t="s">
        <v>316</v>
      </c>
      <c r="CH520" s="49" t="s">
        <v>317</v>
      </c>
      <c r="CI520" s="49" t="s">
        <v>318</v>
      </c>
      <c r="CM520" s="49" t="s">
        <v>468</v>
      </c>
      <c r="CV520" s="49" t="s">
        <v>303</v>
      </c>
      <c r="DB520" s="49" t="s">
        <v>319</v>
      </c>
      <c r="DD520" s="48" t="n">
        <v>46082</v>
      </c>
      <c r="DF520" s="49" t="s">
        <v>310</v>
      </c>
      <c r="DG520" s="49" t="s">
        <v>320</v>
      </c>
      <c r="DH520" s="49" t="s">
        <v>70</v>
      </c>
      <c r="DI520" s="49" t="s">
        <v>298</v>
      </c>
      <c r="DJ520" s="49" t="s">
        <v>321</v>
      </c>
      <c r="DK520" s="49" t="s">
        <v>322</v>
      </c>
      <c r="DL520" s="49" t="s">
        <v>323</v>
      </c>
      <c r="DM520" s="49" t="s">
        <v>303</v>
      </c>
      <c r="DN520" s="49" t="s">
        <v>297</v>
      </c>
      <c r="DO520" s="48"/>
      <c r="DP520" s="49" t="s">
        <v>312</v>
      </c>
      <c r="DQ520" s="48"/>
      <c r="DR520" s="49" t="s">
        <v>312</v>
      </c>
      <c r="DS520" s="49" t="s">
        <v>303</v>
      </c>
      <c r="DT520" s="49" t="s">
        <v>303</v>
      </c>
      <c r="DW520" s="49" t="s">
        <v>303</v>
      </c>
      <c r="EA520" s="49" t="s">
        <v>324</v>
      </c>
      <c r="EB520" s="49" t="s">
        <v>303</v>
      </c>
      <c r="EF520" s="49" t="s">
        <v>2310</v>
      </c>
      <c r="EH520" s="49" t="s">
        <v>310</v>
      </c>
      <c r="EJ520" s="49" t="s">
        <v>303</v>
      </c>
      <c r="EK520" s="49" t="s">
        <v>2311</v>
      </c>
      <c r="EM520" s="49" t="s">
        <v>303</v>
      </c>
      <c r="EN520" s="49" t="s">
        <v>472</v>
      </c>
      <c r="EP520" s="49" t="s">
        <v>298</v>
      </c>
      <c r="EQ520" s="0" t="n">
        <v>1</v>
      </c>
      <c r="ER520" s="49" t="s">
        <v>328</v>
      </c>
      <c r="ES520" s="49" t="s">
        <v>329</v>
      </c>
      <c r="ET520" s="49" t="s">
        <v>310</v>
      </c>
      <c r="EU520" s="49" t="s">
        <v>310</v>
      </c>
      <c r="EV520" s="49" t="s">
        <v>310</v>
      </c>
      <c r="EX520" s="49" t="s">
        <v>303</v>
      </c>
      <c r="EY520" s="49" t="s">
        <v>303</v>
      </c>
      <c r="FC520" s="49" t="s">
        <v>330</v>
      </c>
      <c r="FD520" s="49" t="s">
        <v>310</v>
      </c>
      <c r="FE520" s="49" t="s">
        <v>310</v>
      </c>
      <c r="FF520" s="49" t="s">
        <v>70</v>
      </c>
      <c r="FG520" s="49" t="s">
        <v>473</v>
      </c>
      <c r="FH520" s="49" t="s">
        <v>310</v>
      </c>
      <c r="FI520" s="49" t="s">
        <v>332</v>
      </c>
      <c r="FJ520" s="49" t="s">
        <v>303</v>
      </c>
      <c r="FL520" s="49" t="s">
        <v>325</v>
      </c>
      <c r="FM520" s="49" t="s">
        <v>2304</v>
      </c>
      <c r="FP520" s="49" t="s">
        <v>303</v>
      </c>
      <c r="FR520" s="49" t="s">
        <v>303</v>
      </c>
      <c r="FT520" s="49" t="s">
        <v>325</v>
      </c>
      <c r="FU520" s="49" t="s">
        <v>325</v>
      </c>
      <c r="FW520" s="49" t="s">
        <v>333</v>
      </c>
    </row>
    <row r="521" customFormat="false" ht="15" hidden="false" customHeight="false" outlineLevel="0" collapsed="false">
      <c r="A521" s="0" t="n">
        <v>100871607</v>
      </c>
      <c r="B521" s="0" t="s">
        <v>295</v>
      </c>
      <c r="C521" s="0" t="s">
        <v>70</v>
      </c>
      <c r="D521" s="0" t="s">
        <v>468</v>
      </c>
      <c r="E521" s="0" t="s">
        <v>297</v>
      </c>
      <c r="G521" s="0" t="n">
        <v>1</v>
      </c>
      <c r="H521" s="0" t="s">
        <v>298</v>
      </c>
      <c r="I521" s="48" t="n">
        <v>46232</v>
      </c>
      <c r="J521" s="0" t="n">
        <v>1</v>
      </c>
      <c r="K521" s="49" t="s">
        <v>2300</v>
      </c>
      <c r="L521" s="49" t="s">
        <v>1035</v>
      </c>
      <c r="M521" s="48" t="n">
        <v>46232</v>
      </c>
      <c r="N521" s="49" t="s">
        <v>1035</v>
      </c>
      <c r="O521" s="49" t="s">
        <v>1052</v>
      </c>
      <c r="P521" s="48"/>
      <c r="Q521" s="48" t="n">
        <v>46226</v>
      </c>
      <c r="R521" s="48" t="n">
        <v>46232</v>
      </c>
      <c r="T521" s="49" t="s">
        <v>302</v>
      </c>
      <c r="U521" s="49" t="s">
        <v>303</v>
      </c>
      <c r="Y521" s="49" t="s">
        <v>2312</v>
      </c>
      <c r="AD521" s="49" t="s">
        <v>305</v>
      </c>
      <c r="AE521" s="48" t="n">
        <v>46082</v>
      </c>
      <c r="AF521" s="49" t="s">
        <v>306</v>
      </c>
      <c r="AG521" s="49" t="s">
        <v>307</v>
      </c>
      <c r="AK521" s="49" t="s">
        <v>1047</v>
      </c>
      <c r="AL521" s="49" t="s">
        <v>297</v>
      </c>
      <c r="AO521" s="49" t="s">
        <v>303</v>
      </c>
      <c r="AP521" s="48"/>
      <c r="AR521" s="49" t="s">
        <v>303</v>
      </c>
      <c r="AS521" s="49" t="s">
        <v>306</v>
      </c>
      <c r="AT521" s="49" t="s">
        <v>2313</v>
      </c>
      <c r="AV521" s="49" t="s">
        <v>309</v>
      </c>
      <c r="AW521" s="49" t="s">
        <v>310</v>
      </c>
      <c r="AX521" s="49" t="s">
        <v>311</v>
      </c>
      <c r="AY521" s="48"/>
      <c r="AZ521" s="48" t="n">
        <v>46224</v>
      </c>
      <c r="BC521" s="49" t="s">
        <v>303</v>
      </c>
      <c r="BD521" s="48" t="n">
        <v>46252</v>
      </c>
      <c r="BE521" s="49" t="s">
        <v>2314</v>
      </c>
      <c r="BF521" s="49" t="s">
        <v>303</v>
      </c>
      <c r="BG521" s="48"/>
      <c r="BI521" s="48" t="n">
        <v>46252</v>
      </c>
      <c r="BJ521" s="48" t="n">
        <v>46231</v>
      </c>
      <c r="BK521" s="49" t="s">
        <v>313</v>
      </c>
      <c r="BL521" s="49" t="s">
        <v>313</v>
      </c>
      <c r="BM521" s="49" t="s">
        <v>310</v>
      </c>
      <c r="BN521" s="48"/>
      <c r="BO521" s="48"/>
      <c r="BP521" s="48"/>
      <c r="BQ521" s="49" t="s">
        <v>2304</v>
      </c>
      <c r="BR521" s="48" t="n">
        <v>46231</v>
      </c>
      <c r="BS521" s="49" t="s">
        <v>2315</v>
      </c>
      <c r="BT521" s="49" t="s">
        <v>312</v>
      </c>
      <c r="BU521" s="49" t="s">
        <v>313</v>
      </c>
      <c r="BV521" s="49" t="s">
        <v>303</v>
      </c>
      <c r="BX521" s="0" t="n">
        <v>1</v>
      </c>
      <c r="CC521" s="49" t="s">
        <v>315</v>
      </c>
      <c r="CD521" s="49" t="s">
        <v>303</v>
      </c>
      <c r="CF521" s="49" t="s">
        <v>303</v>
      </c>
      <c r="CG521" s="49" t="s">
        <v>316</v>
      </c>
      <c r="CH521" s="49" t="s">
        <v>317</v>
      </c>
      <c r="CI521" s="49" t="s">
        <v>318</v>
      </c>
      <c r="CM521" s="49" t="s">
        <v>468</v>
      </c>
      <c r="CV521" s="49" t="s">
        <v>303</v>
      </c>
      <c r="DB521" s="49" t="s">
        <v>319</v>
      </c>
      <c r="DD521" s="48" t="n">
        <v>46082</v>
      </c>
      <c r="DF521" s="49" t="s">
        <v>310</v>
      </c>
      <c r="DG521" s="49" t="s">
        <v>320</v>
      </c>
      <c r="DH521" s="49" t="s">
        <v>70</v>
      </c>
      <c r="DI521" s="49" t="s">
        <v>298</v>
      </c>
      <c r="DJ521" s="49" t="s">
        <v>321</v>
      </c>
      <c r="DK521" s="49" t="s">
        <v>322</v>
      </c>
      <c r="DL521" s="49" t="s">
        <v>323</v>
      </c>
      <c r="DM521" s="49" t="s">
        <v>303</v>
      </c>
      <c r="DN521" s="49" t="s">
        <v>297</v>
      </c>
      <c r="DO521" s="48"/>
      <c r="DP521" s="49" t="s">
        <v>312</v>
      </c>
      <c r="DQ521" s="48"/>
      <c r="DR521" s="49" t="s">
        <v>312</v>
      </c>
      <c r="DS521" s="49" t="s">
        <v>303</v>
      </c>
      <c r="DT521" s="49" t="s">
        <v>303</v>
      </c>
      <c r="DW521" s="49" t="s">
        <v>303</v>
      </c>
      <c r="EA521" s="49" t="s">
        <v>324</v>
      </c>
      <c r="EB521" s="49" t="s">
        <v>303</v>
      </c>
      <c r="EF521" s="49" t="s">
        <v>2310</v>
      </c>
      <c r="EH521" s="49" t="s">
        <v>310</v>
      </c>
      <c r="EJ521" s="49" t="s">
        <v>303</v>
      </c>
      <c r="EK521" s="49" t="s">
        <v>2316</v>
      </c>
      <c r="EM521" s="49" t="s">
        <v>303</v>
      </c>
      <c r="EN521" s="49" t="s">
        <v>472</v>
      </c>
      <c r="EP521" s="49" t="s">
        <v>298</v>
      </c>
      <c r="EQ521" s="0" t="n">
        <v>1</v>
      </c>
      <c r="ER521" s="49" t="s">
        <v>328</v>
      </c>
      <c r="ES521" s="49" t="s">
        <v>329</v>
      </c>
      <c r="ET521" s="49" t="s">
        <v>310</v>
      </c>
      <c r="EU521" s="49" t="s">
        <v>310</v>
      </c>
      <c r="EV521" s="49" t="s">
        <v>310</v>
      </c>
      <c r="EX521" s="49" t="s">
        <v>303</v>
      </c>
      <c r="EY521" s="49" t="s">
        <v>303</v>
      </c>
      <c r="FC521" s="49" t="s">
        <v>330</v>
      </c>
      <c r="FD521" s="49" t="s">
        <v>310</v>
      </c>
      <c r="FE521" s="49" t="s">
        <v>310</v>
      </c>
      <c r="FF521" s="49" t="s">
        <v>70</v>
      </c>
      <c r="FG521" s="49" t="s">
        <v>473</v>
      </c>
      <c r="FH521" s="49" t="s">
        <v>310</v>
      </c>
      <c r="FI521" s="49" t="s">
        <v>332</v>
      </c>
      <c r="FJ521" s="49" t="s">
        <v>303</v>
      </c>
      <c r="FL521" s="49" t="s">
        <v>325</v>
      </c>
      <c r="FM521" s="49" t="s">
        <v>2304</v>
      </c>
      <c r="FP521" s="49" t="s">
        <v>303</v>
      </c>
      <c r="FR521" s="49" t="s">
        <v>303</v>
      </c>
      <c r="FT521" s="49" t="s">
        <v>325</v>
      </c>
      <c r="FU521" s="49" t="s">
        <v>325</v>
      </c>
      <c r="FW521" s="49" t="s">
        <v>333</v>
      </c>
    </row>
    <row r="522" customFormat="false" ht="15" hidden="false" customHeight="false" outlineLevel="0" collapsed="false">
      <c r="A522" s="0" t="n">
        <v>100871854</v>
      </c>
      <c r="B522" s="0" t="s">
        <v>295</v>
      </c>
      <c r="C522" s="0" t="s">
        <v>48</v>
      </c>
      <c r="D522" s="0" t="s">
        <v>49</v>
      </c>
      <c r="E522" s="0" t="s">
        <v>297</v>
      </c>
      <c r="G522" s="0" t="n">
        <v>1</v>
      </c>
      <c r="H522" s="0" t="s">
        <v>298</v>
      </c>
      <c r="I522" s="48" t="n">
        <v>46231</v>
      </c>
      <c r="J522" s="0" t="n">
        <v>1</v>
      </c>
      <c r="K522" s="49" t="s">
        <v>2317</v>
      </c>
      <c r="L522" s="49" t="s">
        <v>1035</v>
      </c>
      <c r="M522" s="48" t="n">
        <v>46246</v>
      </c>
      <c r="N522" s="49" t="s">
        <v>1573</v>
      </c>
      <c r="O522" s="49" t="s">
        <v>1847</v>
      </c>
      <c r="P522" s="48"/>
      <c r="Q522" s="48" t="n">
        <v>46231</v>
      </c>
      <c r="R522" s="48" t="n">
        <v>46239</v>
      </c>
      <c r="T522" s="49" t="s">
        <v>302</v>
      </c>
      <c r="U522" s="49" t="s">
        <v>303</v>
      </c>
      <c r="Y522" s="49" t="s">
        <v>2318</v>
      </c>
      <c r="AD522" s="49" t="s">
        <v>305</v>
      </c>
      <c r="AE522" s="48" t="n">
        <v>46141</v>
      </c>
      <c r="AF522" s="49" t="s">
        <v>306</v>
      </c>
      <c r="AG522" s="49" t="s">
        <v>307</v>
      </c>
      <c r="AK522" s="49" t="s">
        <v>1047</v>
      </c>
      <c r="AL522" s="49" t="s">
        <v>297</v>
      </c>
      <c r="AO522" s="49" t="s">
        <v>303</v>
      </c>
      <c r="AP522" s="48"/>
      <c r="AR522" s="49" t="s">
        <v>303</v>
      </c>
      <c r="AS522" s="49" t="s">
        <v>306</v>
      </c>
      <c r="AT522" s="49" t="s">
        <v>2319</v>
      </c>
      <c r="AV522" s="49" t="s">
        <v>309</v>
      </c>
      <c r="AW522" s="49" t="s">
        <v>310</v>
      </c>
      <c r="AX522" s="49" t="s">
        <v>311</v>
      </c>
      <c r="AY522" s="48"/>
      <c r="AZ522" s="48" t="n">
        <v>46224</v>
      </c>
      <c r="BC522" s="49" t="s">
        <v>303</v>
      </c>
      <c r="BD522" s="48" t="n">
        <v>46246</v>
      </c>
      <c r="BE522" s="49" t="s">
        <v>2320</v>
      </c>
      <c r="BF522" s="49" t="s">
        <v>303</v>
      </c>
      <c r="BG522" s="48"/>
      <c r="BI522" s="48" t="n">
        <v>46246</v>
      </c>
      <c r="BJ522" s="48" t="n">
        <v>46237</v>
      </c>
      <c r="BK522" s="49" t="s">
        <v>312</v>
      </c>
      <c r="BL522" s="49" t="s">
        <v>313</v>
      </c>
      <c r="BM522" s="49" t="s">
        <v>310</v>
      </c>
      <c r="BN522" s="48"/>
      <c r="BO522" s="48"/>
      <c r="BP522" s="48"/>
      <c r="BQ522" s="49" t="s">
        <v>2317</v>
      </c>
      <c r="BR522" s="48" t="n">
        <v>46231</v>
      </c>
      <c r="BS522" s="49" t="s">
        <v>2321</v>
      </c>
      <c r="BT522" s="49" t="s">
        <v>312</v>
      </c>
      <c r="BU522" s="49" t="s">
        <v>312</v>
      </c>
      <c r="BV522" s="49" t="s">
        <v>303</v>
      </c>
      <c r="BX522" s="0" t="n">
        <v>1</v>
      </c>
      <c r="CC522" s="49" t="s">
        <v>315</v>
      </c>
      <c r="CD522" s="49" t="s">
        <v>303</v>
      </c>
      <c r="CF522" s="49" t="s">
        <v>303</v>
      </c>
      <c r="CG522" s="49" t="s">
        <v>316</v>
      </c>
      <c r="CH522" s="49" t="s">
        <v>317</v>
      </c>
      <c r="CI522" s="49" t="s">
        <v>318</v>
      </c>
      <c r="CM522" s="49" t="s">
        <v>49</v>
      </c>
      <c r="CV522" s="49" t="s">
        <v>303</v>
      </c>
      <c r="DB522" s="49" t="s">
        <v>319</v>
      </c>
      <c r="DD522" s="48" t="n">
        <v>46141</v>
      </c>
      <c r="DF522" s="49" t="s">
        <v>310</v>
      </c>
      <c r="DG522" s="49" t="s">
        <v>320</v>
      </c>
      <c r="DH522" s="49" t="s">
        <v>48</v>
      </c>
      <c r="DI522" s="49" t="s">
        <v>298</v>
      </c>
      <c r="DJ522" s="49" t="s">
        <v>339</v>
      </c>
      <c r="DK522" s="49" t="s">
        <v>322</v>
      </c>
      <c r="DL522" s="49" t="s">
        <v>323</v>
      </c>
      <c r="DM522" s="49" t="s">
        <v>303</v>
      </c>
      <c r="DN522" s="49" t="s">
        <v>297</v>
      </c>
      <c r="DO522" s="48"/>
      <c r="DP522" s="49" t="s">
        <v>312</v>
      </c>
      <c r="DQ522" s="48"/>
      <c r="DR522" s="49" t="s">
        <v>312</v>
      </c>
      <c r="DS522" s="49" t="s">
        <v>303</v>
      </c>
      <c r="DT522" s="49" t="s">
        <v>303</v>
      </c>
      <c r="DW522" s="49" t="s">
        <v>303</v>
      </c>
      <c r="EA522" s="49" t="s">
        <v>324</v>
      </c>
      <c r="EB522" s="49" t="s">
        <v>303</v>
      </c>
      <c r="EH522" s="49" t="s">
        <v>310</v>
      </c>
      <c r="EJ522" s="49" t="s">
        <v>303</v>
      </c>
      <c r="EK522" s="49" t="s">
        <v>2322</v>
      </c>
      <c r="EM522" s="49" t="s">
        <v>303</v>
      </c>
      <c r="EN522" s="49" t="s">
        <v>341</v>
      </c>
      <c r="EP522" s="49" t="s">
        <v>298</v>
      </c>
      <c r="EQ522" s="0" t="n">
        <v>1</v>
      </c>
      <c r="ER522" s="49" t="s">
        <v>328</v>
      </c>
      <c r="ES522" s="49" t="s">
        <v>342</v>
      </c>
      <c r="ET522" s="49" t="s">
        <v>310</v>
      </c>
      <c r="EU522" s="49" t="s">
        <v>310</v>
      </c>
      <c r="EV522" s="49" t="s">
        <v>310</v>
      </c>
      <c r="EX522" s="49" t="s">
        <v>303</v>
      </c>
      <c r="EY522" s="49" t="s">
        <v>303</v>
      </c>
      <c r="FC522" s="49" t="s">
        <v>330</v>
      </c>
      <c r="FD522" s="49" t="s">
        <v>310</v>
      </c>
      <c r="FE522" s="49" t="s">
        <v>310</v>
      </c>
      <c r="FF522" s="49" t="s">
        <v>48</v>
      </c>
      <c r="FG522" s="49" t="s">
        <v>343</v>
      </c>
      <c r="FH522" s="49" t="s">
        <v>310</v>
      </c>
      <c r="FI522" s="49" t="s">
        <v>332</v>
      </c>
      <c r="FJ522" s="49" t="s">
        <v>303</v>
      </c>
      <c r="FL522" s="49" t="s">
        <v>325</v>
      </c>
      <c r="FM522" s="49" t="s">
        <v>2317</v>
      </c>
      <c r="FP522" s="49" t="s">
        <v>303</v>
      </c>
      <c r="FR522" s="49" t="s">
        <v>303</v>
      </c>
      <c r="FT522" s="49" t="s">
        <v>325</v>
      </c>
      <c r="FU522" s="49" t="s">
        <v>325</v>
      </c>
      <c r="FW522" s="49" t="s">
        <v>333</v>
      </c>
    </row>
    <row r="523" customFormat="false" ht="15" hidden="false" customHeight="false" outlineLevel="0" collapsed="false">
      <c r="A523" s="0" t="n">
        <v>100871855</v>
      </c>
      <c r="B523" s="0" t="s">
        <v>295</v>
      </c>
      <c r="C523" s="0" t="s">
        <v>50</v>
      </c>
      <c r="D523" s="0" t="s">
        <v>51</v>
      </c>
      <c r="E523" s="0" t="s">
        <v>297</v>
      </c>
      <c r="G523" s="0" t="n">
        <v>1</v>
      </c>
      <c r="H523" s="0" t="s">
        <v>298</v>
      </c>
      <c r="I523" s="48" t="n">
        <v>46231</v>
      </c>
      <c r="J523" s="0" t="n">
        <v>1</v>
      </c>
      <c r="K523" s="49" t="s">
        <v>2317</v>
      </c>
      <c r="L523" s="49" t="s">
        <v>1035</v>
      </c>
      <c r="M523" s="48" t="n">
        <v>46246</v>
      </c>
      <c r="N523" s="49" t="s">
        <v>1573</v>
      </c>
      <c r="O523" s="49" t="s">
        <v>1847</v>
      </c>
      <c r="P523" s="48"/>
      <c r="Q523" s="48" t="n">
        <v>46231</v>
      </c>
      <c r="R523" s="48" t="n">
        <v>46238</v>
      </c>
      <c r="T523" s="49" t="s">
        <v>302</v>
      </c>
      <c r="U523" s="49" t="s">
        <v>303</v>
      </c>
      <c r="Y523" s="49" t="s">
        <v>2323</v>
      </c>
      <c r="AD523" s="49" t="s">
        <v>305</v>
      </c>
      <c r="AE523" s="48" t="n">
        <v>46212</v>
      </c>
      <c r="AF523" s="49" t="s">
        <v>306</v>
      </c>
      <c r="AG523" s="49" t="s">
        <v>307</v>
      </c>
      <c r="AK523" s="49" t="s">
        <v>1047</v>
      </c>
      <c r="AL523" s="49" t="s">
        <v>297</v>
      </c>
      <c r="AO523" s="49" t="s">
        <v>303</v>
      </c>
      <c r="AP523" s="48"/>
      <c r="AR523" s="49" t="s">
        <v>303</v>
      </c>
      <c r="AS523" s="49" t="s">
        <v>306</v>
      </c>
      <c r="AT523" s="49" t="s">
        <v>2324</v>
      </c>
      <c r="AV523" s="49" t="s">
        <v>309</v>
      </c>
      <c r="AW523" s="49" t="s">
        <v>310</v>
      </c>
      <c r="AX523" s="49" t="s">
        <v>311</v>
      </c>
      <c r="AY523" s="48"/>
      <c r="AZ523" s="48" t="n">
        <v>46223</v>
      </c>
      <c r="BC523" s="49" t="s">
        <v>303</v>
      </c>
      <c r="BD523" s="48" t="n">
        <v>46246</v>
      </c>
      <c r="BE523" s="49" t="s">
        <v>2325</v>
      </c>
      <c r="BF523" s="49" t="s">
        <v>303</v>
      </c>
      <c r="BG523" s="48"/>
      <c r="BI523" s="48" t="n">
        <v>46246</v>
      </c>
      <c r="BJ523" s="48" t="n">
        <v>46236</v>
      </c>
      <c r="BK523" s="49" t="s">
        <v>312</v>
      </c>
      <c r="BL523" s="49" t="s">
        <v>313</v>
      </c>
      <c r="BM523" s="49" t="s">
        <v>310</v>
      </c>
      <c r="BN523" s="48"/>
      <c r="BO523" s="48"/>
      <c r="BP523" s="48"/>
      <c r="BQ523" s="49" t="s">
        <v>2317</v>
      </c>
      <c r="BR523" s="48" t="n">
        <v>46230</v>
      </c>
      <c r="BS523" s="49" t="s">
        <v>2326</v>
      </c>
      <c r="BT523" s="49" t="s">
        <v>312</v>
      </c>
      <c r="BU523" s="49" t="s">
        <v>312</v>
      </c>
      <c r="BV523" s="49" t="s">
        <v>303</v>
      </c>
      <c r="BX523" s="0" t="n">
        <v>1</v>
      </c>
      <c r="CC523" s="49" t="s">
        <v>315</v>
      </c>
      <c r="CD523" s="49" t="s">
        <v>303</v>
      </c>
      <c r="CF523" s="49" t="s">
        <v>303</v>
      </c>
      <c r="CG523" s="49" t="s">
        <v>316</v>
      </c>
      <c r="CH523" s="49" t="s">
        <v>317</v>
      </c>
      <c r="CI523" s="49" t="s">
        <v>318</v>
      </c>
      <c r="CM523" s="49" t="s">
        <v>51</v>
      </c>
      <c r="CV523" s="49" t="s">
        <v>303</v>
      </c>
      <c r="DB523" s="49" t="s">
        <v>319</v>
      </c>
      <c r="DD523" s="48" t="n">
        <v>46212</v>
      </c>
      <c r="DF523" s="49" t="s">
        <v>310</v>
      </c>
      <c r="DG523" s="49" t="s">
        <v>320</v>
      </c>
      <c r="DH523" s="49" t="s">
        <v>50</v>
      </c>
      <c r="DI523" s="49" t="s">
        <v>298</v>
      </c>
      <c r="DJ523" s="49" t="s">
        <v>346</v>
      </c>
      <c r="DK523" s="49" t="s">
        <v>322</v>
      </c>
      <c r="DL523" s="49" t="s">
        <v>323</v>
      </c>
      <c r="DM523" s="49" t="s">
        <v>303</v>
      </c>
      <c r="DN523" s="49" t="s">
        <v>297</v>
      </c>
      <c r="DO523" s="48"/>
      <c r="DP523" s="49" t="s">
        <v>312</v>
      </c>
      <c r="DQ523" s="48"/>
      <c r="DR523" s="49" t="s">
        <v>312</v>
      </c>
      <c r="DS523" s="49" t="s">
        <v>303</v>
      </c>
      <c r="DT523" s="49" t="s">
        <v>303</v>
      </c>
      <c r="DW523" s="49" t="s">
        <v>303</v>
      </c>
      <c r="EA523" s="49" t="s">
        <v>324</v>
      </c>
      <c r="EB523" s="49" t="s">
        <v>303</v>
      </c>
      <c r="EH523" s="49" t="s">
        <v>310</v>
      </c>
      <c r="EJ523" s="49" t="s">
        <v>303</v>
      </c>
      <c r="EK523" s="49" t="s">
        <v>2327</v>
      </c>
      <c r="EM523" s="49" t="s">
        <v>303</v>
      </c>
      <c r="EN523" s="49" t="s">
        <v>348</v>
      </c>
      <c r="EP523" s="49" t="s">
        <v>298</v>
      </c>
      <c r="EQ523" s="0" t="n">
        <v>1</v>
      </c>
      <c r="ER523" s="49" t="s">
        <v>328</v>
      </c>
      <c r="ES523" s="49" t="s">
        <v>342</v>
      </c>
      <c r="ET523" s="49" t="s">
        <v>310</v>
      </c>
      <c r="EU523" s="49" t="s">
        <v>310</v>
      </c>
      <c r="EV523" s="49" t="s">
        <v>310</v>
      </c>
      <c r="EX523" s="49" t="s">
        <v>303</v>
      </c>
      <c r="EY523" s="49" t="s">
        <v>303</v>
      </c>
      <c r="FC523" s="49" t="s">
        <v>330</v>
      </c>
      <c r="FD523" s="49" t="s">
        <v>310</v>
      </c>
      <c r="FE523" s="49" t="s">
        <v>310</v>
      </c>
      <c r="FF523" s="49" t="s">
        <v>50</v>
      </c>
      <c r="FG523" s="49" t="s">
        <v>349</v>
      </c>
      <c r="FH523" s="49" t="s">
        <v>310</v>
      </c>
      <c r="FI523" s="49" t="s">
        <v>332</v>
      </c>
      <c r="FJ523" s="49" t="s">
        <v>303</v>
      </c>
      <c r="FL523" s="49" t="s">
        <v>325</v>
      </c>
      <c r="FM523" s="49" t="s">
        <v>2317</v>
      </c>
      <c r="FP523" s="49" t="s">
        <v>303</v>
      </c>
      <c r="FR523" s="49" t="s">
        <v>303</v>
      </c>
      <c r="FT523" s="49" t="s">
        <v>325</v>
      </c>
      <c r="FU523" s="49" t="s">
        <v>325</v>
      </c>
      <c r="FW523" s="49" t="s">
        <v>333</v>
      </c>
    </row>
    <row r="524" customFormat="false" ht="15" hidden="false" customHeight="false" outlineLevel="0" collapsed="false">
      <c r="A524" s="0" t="n">
        <v>100871856</v>
      </c>
      <c r="B524" s="0" t="s">
        <v>295</v>
      </c>
      <c r="C524" s="0" t="s">
        <v>50</v>
      </c>
      <c r="D524" s="0" t="s">
        <v>51</v>
      </c>
      <c r="E524" s="0" t="s">
        <v>297</v>
      </c>
      <c r="G524" s="0" t="n">
        <v>1</v>
      </c>
      <c r="H524" s="0" t="s">
        <v>298</v>
      </c>
      <c r="I524" s="48" t="n">
        <v>46231</v>
      </c>
      <c r="J524" s="0" t="n">
        <v>1</v>
      </c>
      <c r="K524" s="49" t="s">
        <v>2317</v>
      </c>
      <c r="L524" s="49" t="s">
        <v>1035</v>
      </c>
      <c r="M524" s="48" t="n">
        <v>46246</v>
      </c>
      <c r="N524" s="49" t="s">
        <v>2047</v>
      </c>
      <c r="O524" s="49" t="s">
        <v>1847</v>
      </c>
      <c r="P524" s="48"/>
      <c r="Q524" s="48" t="n">
        <v>46231</v>
      </c>
      <c r="R524" s="48" t="n">
        <v>46237</v>
      </c>
      <c r="T524" s="49" t="s">
        <v>302</v>
      </c>
      <c r="U524" s="49" t="s">
        <v>303</v>
      </c>
      <c r="Y524" s="49" t="s">
        <v>2328</v>
      </c>
      <c r="AD524" s="49" t="s">
        <v>305</v>
      </c>
      <c r="AE524" s="48" t="n">
        <v>46212</v>
      </c>
      <c r="AF524" s="49" t="s">
        <v>306</v>
      </c>
      <c r="AG524" s="49" t="s">
        <v>307</v>
      </c>
      <c r="AK524" s="49" t="s">
        <v>1047</v>
      </c>
      <c r="AL524" s="49" t="s">
        <v>297</v>
      </c>
      <c r="AO524" s="49" t="s">
        <v>303</v>
      </c>
      <c r="AP524" s="48"/>
      <c r="AR524" s="49" t="s">
        <v>303</v>
      </c>
      <c r="AS524" s="49" t="s">
        <v>306</v>
      </c>
      <c r="AT524" s="49" t="s">
        <v>2329</v>
      </c>
      <c r="AV524" s="49" t="s">
        <v>309</v>
      </c>
      <c r="AW524" s="49" t="s">
        <v>310</v>
      </c>
      <c r="AX524" s="49" t="s">
        <v>311</v>
      </c>
      <c r="AY524" s="48"/>
      <c r="AZ524" s="48" t="n">
        <v>46223</v>
      </c>
      <c r="BC524" s="49" t="s">
        <v>303</v>
      </c>
      <c r="BD524" s="48" t="n">
        <v>46246</v>
      </c>
      <c r="BE524" s="49" t="s">
        <v>2330</v>
      </c>
      <c r="BF524" s="49" t="s">
        <v>303</v>
      </c>
      <c r="BG524" s="48"/>
      <c r="BI524" s="48" t="n">
        <v>46246</v>
      </c>
      <c r="BJ524" s="48" t="n">
        <v>46236</v>
      </c>
      <c r="BK524" s="49" t="s">
        <v>313</v>
      </c>
      <c r="BL524" s="49" t="s">
        <v>313</v>
      </c>
      <c r="BM524" s="49" t="s">
        <v>310</v>
      </c>
      <c r="BN524" s="48"/>
      <c r="BO524" s="48"/>
      <c r="BP524" s="48"/>
      <c r="BQ524" s="49" t="s">
        <v>2317</v>
      </c>
      <c r="BR524" s="48" t="n">
        <v>46230</v>
      </c>
      <c r="BS524" s="49" t="s">
        <v>2326</v>
      </c>
      <c r="BT524" s="49" t="s">
        <v>312</v>
      </c>
      <c r="BU524" s="49" t="s">
        <v>312</v>
      </c>
      <c r="BV524" s="49" t="s">
        <v>303</v>
      </c>
      <c r="BX524" s="0" t="n">
        <v>1</v>
      </c>
      <c r="CC524" s="49" t="s">
        <v>315</v>
      </c>
      <c r="CD524" s="49" t="s">
        <v>303</v>
      </c>
      <c r="CF524" s="49" t="s">
        <v>303</v>
      </c>
      <c r="CG524" s="49" t="s">
        <v>316</v>
      </c>
      <c r="CH524" s="49" t="s">
        <v>317</v>
      </c>
      <c r="CI524" s="49" t="s">
        <v>318</v>
      </c>
      <c r="CM524" s="49" t="s">
        <v>51</v>
      </c>
      <c r="CV524" s="49" t="s">
        <v>303</v>
      </c>
      <c r="DB524" s="49" t="s">
        <v>319</v>
      </c>
      <c r="DD524" s="48" t="n">
        <v>46212</v>
      </c>
      <c r="DF524" s="49" t="s">
        <v>310</v>
      </c>
      <c r="DG524" s="49" t="s">
        <v>320</v>
      </c>
      <c r="DH524" s="49" t="s">
        <v>50</v>
      </c>
      <c r="DI524" s="49" t="s">
        <v>298</v>
      </c>
      <c r="DJ524" s="49" t="s">
        <v>346</v>
      </c>
      <c r="DK524" s="49" t="s">
        <v>322</v>
      </c>
      <c r="DL524" s="49" t="s">
        <v>323</v>
      </c>
      <c r="DM524" s="49" t="s">
        <v>303</v>
      </c>
      <c r="DN524" s="49" t="s">
        <v>297</v>
      </c>
      <c r="DO524" s="48"/>
      <c r="DP524" s="49" t="s">
        <v>312</v>
      </c>
      <c r="DQ524" s="48"/>
      <c r="DR524" s="49" t="s">
        <v>312</v>
      </c>
      <c r="DS524" s="49" t="s">
        <v>303</v>
      </c>
      <c r="DT524" s="49" t="s">
        <v>303</v>
      </c>
      <c r="DW524" s="49" t="s">
        <v>303</v>
      </c>
      <c r="EA524" s="49" t="s">
        <v>324</v>
      </c>
      <c r="EB524" s="49" t="s">
        <v>303</v>
      </c>
      <c r="EF524" s="49" t="s">
        <v>2331</v>
      </c>
      <c r="EH524" s="49" t="s">
        <v>310</v>
      </c>
      <c r="EJ524" s="49" t="s">
        <v>303</v>
      </c>
      <c r="EK524" s="49" t="s">
        <v>2332</v>
      </c>
      <c r="EM524" s="49" t="s">
        <v>303</v>
      </c>
      <c r="EN524" s="49" t="s">
        <v>348</v>
      </c>
      <c r="EP524" s="49" t="s">
        <v>298</v>
      </c>
      <c r="EQ524" s="0" t="n">
        <v>1</v>
      </c>
      <c r="ER524" s="49" t="s">
        <v>328</v>
      </c>
      <c r="ES524" s="49" t="s">
        <v>342</v>
      </c>
      <c r="ET524" s="49" t="s">
        <v>310</v>
      </c>
      <c r="EU524" s="49" t="s">
        <v>310</v>
      </c>
      <c r="EV524" s="49" t="s">
        <v>310</v>
      </c>
      <c r="EX524" s="49" t="s">
        <v>303</v>
      </c>
      <c r="EY524" s="49" t="s">
        <v>303</v>
      </c>
      <c r="FC524" s="49" t="s">
        <v>330</v>
      </c>
      <c r="FD524" s="49" t="s">
        <v>310</v>
      </c>
      <c r="FE524" s="49" t="s">
        <v>310</v>
      </c>
      <c r="FF524" s="49" t="s">
        <v>50</v>
      </c>
      <c r="FG524" s="49" t="s">
        <v>349</v>
      </c>
      <c r="FH524" s="49" t="s">
        <v>310</v>
      </c>
      <c r="FI524" s="49" t="s">
        <v>332</v>
      </c>
      <c r="FJ524" s="49" t="s">
        <v>303</v>
      </c>
      <c r="FL524" s="49" t="s">
        <v>325</v>
      </c>
      <c r="FM524" s="49" t="s">
        <v>2317</v>
      </c>
      <c r="FP524" s="49" t="s">
        <v>303</v>
      </c>
      <c r="FR524" s="49" t="s">
        <v>303</v>
      </c>
      <c r="FT524" s="49" t="s">
        <v>325</v>
      </c>
      <c r="FU524" s="49" t="s">
        <v>325</v>
      </c>
      <c r="FW524" s="49" t="s">
        <v>333</v>
      </c>
    </row>
    <row r="525" customFormat="false" ht="15" hidden="false" customHeight="false" outlineLevel="0" collapsed="false">
      <c r="A525" s="0" t="n">
        <v>100871599</v>
      </c>
      <c r="B525" s="0" t="s">
        <v>295</v>
      </c>
      <c r="C525" s="0" t="s">
        <v>66</v>
      </c>
      <c r="D525" s="0" t="s">
        <v>296</v>
      </c>
      <c r="E525" s="0" t="s">
        <v>297</v>
      </c>
      <c r="G525" s="0" t="n">
        <v>1</v>
      </c>
      <c r="H525" s="0" t="s">
        <v>298</v>
      </c>
      <c r="I525" s="48" t="n">
        <v>46226</v>
      </c>
      <c r="J525" s="0" t="n">
        <v>1</v>
      </c>
      <c r="K525" s="49" t="s">
        <v>2300</v>
      </c>
      <c r="L525" s="49" t="s">
        <v>1035</v>
      </c>
      <c r="M525" s="48" t="n">
        <v>46226</v>
      </c>
      <c r="N525" s="49" t="s">
        <v>1035</v>
      </c>
      <c r="O525" s="49" t="s">
        <v>1052</v>
      </c>
      <c r="P525" s="48"/>
      <c r="Q525" s="48" t="n">
        <v>46226</v>
      </c>
      <c r="R525" s="48" t="n">
        <v>46233</v>
      </c>
      <c r="T525" s="49" t="s">
        <v>302</v>
      </c>
      <c r="U525" s="49" t="s">
        <v>303</v>
      </c>
      <c r="Y525" s="49" t="s">
        <v>2333</v>
      </c>
      <c r="AD525" s="49" t="s">
        <v>305</v>
      </c>
      <c r="AE525" s="48" t="n">
        <v>46188</v>
      </c>
      <c r="AF525" s="49" t="s">
        <v>306</v>
      </c>
      <c r="AG525" s="49" t="s">
        <v>307</v>
      </c>
      <c r="AK525" s="49" t="s">
        <v>1047</v>
      </c>
      <c r="AL525" s="49" t="s">
        <v>297</v>
      </c>
      <c r="AO525" s="49" t="s">
        <v>303</v>
      </c>
      <c r="AP525" s="48"/>
      <c r="AR525" s="49" t="s">
        <v>303</v>
      </c>
      <c r="AS525" s="49" t="s">
        <v>306</v>
      </c>
      <c r="AT525" s="49" t="s">
        <v>2334</v>
      </c>
      <c r="AV525" s="49" t="s">
        <v>309</v>
      </c>
      <c r="AW525" s="49" t="s">
        <v>310</v>
      </c>
      <c r="AX525" s="49" t="s">
        <v>311</v>
      </c>
      <c r="AY525" s="48"/>
      <c r="AZ525" s="48" t="n">
        <v>46224</v>
      </c>
      <c r="BC525" s="49" t="s">
        <v>303</v>
      </c>
      <c r="BD525" s="48" t="n">
        <v>46253</v>
      </c>
      <c r="BE525" s="49" t="s">
        <v>2335</v>
      </c>
      <c r="BF525" s="49" t="s">
        <v>303</v>
      </c>
      <c r="BG525" s="48"/>
      <c r="BI525" s="48" t="n">
        <v>46253</v>
      </c>
      <c r="BJ525" s="48" t="n">
        <v>46231</v>
      </c>
      <c r="BK525" s="49" t="s">
        <v>312</v>
      </c>
      <c r="BL525" s="49" t="s">
        <v>313</v>
      </c>
      <c r="BM525" s="49" t="s">
        <v>310</v>
      </c>
      <c r="BN525" s="48"/>
      <c r="BO525" s="48"/>
      <c r="BP525" s="48"/>
      <c r="BQ525" s="49" t="s">
        <v>2304</v>
      </c>
      <c r="BR525" s="48" t="n">
        <v>46231</v>
      </c>
      <c r="BS525" s="49" t="s">
        <v>2336</v>
      </c>
      <c r="BT525" s="49" t="s">
        <v>312</v>
      </c>
      <c r="BU525" s="49" t="s">
        <v>313</v>
      </c>
      <c r="BV525" s="49" t="s">
        <v>303</v>
      </c>
      <c r="BX525" s="0" t="n">
        <v>1</v>
      </c>
      <c r="CC525" s="49" t="s">
        <v>315</v>
      </c>
      <c r="CD525" s="49" t="s">
        <v>303</v>
      </c>
      <c r="CF525" s="49" t="s">
        <v>303</v>
      </c>
      <c r="CG525" s="49" t="s">
        <v>316</v>
      </c>
      <c r="CH525" s="49" t="s">
        <v>317</v>
      </c>
      <c r="CI525" s="49" t="s">
        <v>318</v>
      </c>
      <c r="CM525" s="49" t="s">
        <v>296</v>
      </c>
      <c r="CV525" s="49" t="s">
        <v>303</v>
      </c>
      <c r="DB525" s="49" t="s">
        <v>319</v>
      </c>
      <c r="DD525" s="48" t="n">
        <v>46188</v>
      </c>
      <c r="DF525" s="49" t="s">
        <v>310</v>
      </c>
      <c r="DG525" s="49" t="s">
        <v>320</v>
      </c>
      <c r="DH525" s="49" t="s">
        <v>66</v>
      </c>
      <c r="DI525" s="49" t="s">
        <v>298</v>
      </c>
      <c r="DJ525" s="49" t="s">
        <v>321</v>
      </c>
      <c r="DK525" s="49" t="s">
        <v>322</v>
      </c>
      <c r="DL525" s="49" t="s">
        <v>323</v>
      </c>
      <c r="DM525" s="49" t="s">
        <v>303</v>
      </c>
      <c r="DN525" s="49" t="s">
        <v>297</v>
      </c>
      <c r="DO525" s="48"/>
      <c r="DP525" s="49" t="s">
        <v>312</v>
      </c>
      <c r="DQ525" s="48"/>
      <c r="DR525" s="49" t="s">
        <v>312</v>
      </c>
      <c r="DS525" s="49" t="s">
        <v>303</v>
      </c>
      <c r="DT525" s="49" t="s">
        <v>303</v>
      </c>
      <c r="DW525" s="49" t="s">
        <v>303</v>
      </c>
      <c r="EA525" s="49" t="s">
        <v>324</v>
      </c>
      <c r="EB525" s="49" t="s">
        <v>303</v>
      </c>
      <c r="EH525" s="49" t="s">
        <v>310</v>
      </c>
      <c r="EJ525" s="49" t="s">
        <v>303</v>
      </c>
      <c r="EK525" s="49" t="s">
        <v>2337</v>
      </c>
      <c r="EM525" s="49" t="s">
        <v>303</v>
      </c>
      <c r="EN525" s="49" t="s">
        <v>327</v>
      </c>
      <c r="EP525" s="49" t="s">
        <v>298</v>
      </c>
      <c r="EQ525" s="0" t="n">
        <v>1</v>
      </c>
      <c r="ER525" s="49" t="s">
        <v>328</v>
      </c>
      <c r="ES525" s="49" t="s">
        <v>329</v>
      </c>
      <c r="ET525" s="49" t="s">
        <v>310</v>
      </c>
      <c r="EU525" s="49" t="s">
        <v>310</v>
      </c>
      <c r="EV525" s="49" t="s">
        <v>310</v>
      </c>
      <c r="EX525" s="49" t="s">
        <v>303</v>
      </c>
      <c r="EY525" s="49" t="s">
        <v>303</v>
      </c>
      <c r="FC525" s="49" t="s">
        <v>330</v>
      </c>
      <c r="FD525" s="49" t="s">
        <v>310</v>
      </c>
      <c r="FE525" s="49" t="s">
        <v>310</v>
      </c>
      <c r="FF525" s="49" t="s">
        <v>66</v>
      </c>
      <c r="FG525" s="49" t="s">
        <v>331</v>
      </c>
      <c r="FH525" s="49" t="s">
        <v>310</v>
      </c>
      <c r="FI525" s="49" t="s">
        <v>332</v>
      </c>
      <c r="FJ525" s="49" t="s">
        <v>303</v>
      </c>
      <c r="FL525" s="49" t="s">
        <v>325</v>
      </c>
      <c r="FM525" s="49" t="s">
        <v>2300</v>
      </c>
      <c r="FP525" s="49" t="s">
        <v>303</v>
      </c>
      <c r="FR525" s="49" t="s">
        <v>303</v>
      </c>
      <c r="FT525" s="49" t="s">
        <v>325</v>
      </c>
      <c r="FU525" s="49" t="s">
        <v>325</v>
      </c>
      <c r="FW525" s="49" t="s">
        <v>333</v>
      </c>
    </row>
    <row r="526" customFormat="false" ht="15" hidden="false" customHeight="false" outlineLevel="0" collapsed="false">
      <c r="A526" s="0" t="n">
        <v>100871600</v>
      </c>
      <c r="B526" s="0" t="s">
        <v>295</v>
      </c>
      <c r="C526" s="0" t="s">
        <v>66</v>
      </c>
      <c r="D526" s="0" t="s">
        <v>296</v>
      </c>
      <c r="E526" s="0" t="s">
        <v>297</v>
      </c>
      <c r="G526" s="0" t="n">
        <v>1</v>
      </c>
      <c r="H526" s="0" t="s">
        <v>298</v>
      </c>
      <c r="I526" s="48" t="n">
        <v>46226</v>
      </c>
      <c r="J526" s="0" t="n">
        <v>1</v>
      </c>
      <c r="K526" s="49" t="s">
        <v>2300</v>
      </c>
      <c r="L526" s="49" t="s">
        <v>1035</v>
      </c>
      <c r="M526" s="48"/>
      <c r="O526" s="49" t="s">
        <v>1052</v>
      </c>
      <c r="P526" s="48"/>
      <c r="Q526" s="48" t="n">
        <v>46226</v>
      </c>
      <c r="R526" s="48" t="n">
        <v>46232</v>
      </c>
      <c r="T526" s="49" t="s">
        <v>302</v>
      </c>
      <c r="U526" s="49" t="s">
        <v>303</v>
      </c>
      <c r="Y526" s="49" t="s">
        <v>312</v>
      </c>
      <c r="AD526" s="49" t="s">
        <v>305</v>
      </c>
      <c r="AE526" s="48" t="n">
        <v>46188</v>
      </c>
      <c r="AF526" s="49" t="s">
        <v>306</v>
      </c>
      <c r="AG526" s="49" t="s">
        <v>307</v>
      </c>
      <c r="AK526" s="49" t="s">
        <v>1047</v>
      </c>
      <c r="AL526" s="49" t="s">
        <v>297</v>
      </c>
      <c r="AO526" s="49" t="s">
        <v>303</v>
      </c>
      <c r="AP526" s="48"/>
      <c r="AR526" s="49" t="s">
        <v>303</v>
      </c>
      <c r="AS526" s="49" t="s">
        <v>306</v>
      </c>
      <c r="AT526" s="49" t="s">
        <v>2338</v>
      </c>
      <c r="AV526" s="49" t="s">
        <v>309</v>
      </c>
      <c r="AW526" s="49" t="s">
        <v>310</v>
      </c>
      <c r="AX526" s="49" t="s">
        <v>311</v>
      </c>
      <c r="AY526" s="48"/>
      <c r="AZ526" s="48" t="n">
        <v>46224</v>
      </c>
      <c r="BC526" s="49" t="s">
        <v>303</v>
      </c>
      <c r="BD526" s="48" t="n">
        <v>46251</v>
      </c>
      <c r="BE526" s="49" t="s">
        <v>2339</v>
      </c>
      <c r="BF526" s="49" t="s">
        <v>303</v>
      </c>
      <c r="BG526" s="48"/>
      <c r="BI526" s="48" t="n">
        <v>46251</v>
      </c>
      <c r="BJ526" s="48" t="n">
        <v>46231</v>
      </c>
      <c r="BK526" s="49" t="s">
        <v>313</v>
      </c>
      <c r="BL526" s="49" t="s">
        <v>313</v>
      </c>
      <c r="BM526" s="49" t="s">
        <v>310</v>
      </c>
      <c r="BN526" s="48"/>
      <c r="BO526" s="48"/>
      <c r="BP526" s="48"/>
      <c r="BQ526" s="49" t="s">
        <v>2304</v>
      </c>
      <c r="BR526" s="48" t="n">
        <v>46231</v>
      </c>
      <c r="BS526" s="49" t="s">
        <v>2340</v>
      </c>
      <c r="BT526" s="49" t="s">
        <v>312</v>
      </c>
      <c r="BU526" s="49" t="s">
        <v>313</v>
      </c>
      <c r="BV526" s="49" t="s">
        <v>303</v>
      </c>
      <c r="BX526" s="0" t="n">
        <v>1</v>
      </c>
      <c r="CC526" s="49" t="s">
        <v>315</v>
      </c>
      <c r="CD526" s="49" t="s">
        <v>303</v>
      </c>
      <c r="CF526" s="49" t="s">
        <v>303</v>
      </c>
      <c r="CG526" s="49" t="s">
        <v>316</v>
      </c>
      <c r="CH526" s="49" t="s">
        <v>317</v>
      </c>
      <c r="CI526" s="49" t="s">
        <v>318</v>
      </c>
      <c r="CM526" s="49" t="s">
        <v>296</v>
      </c>
      <c r="CV526" s="49" t="s">
        <v>303</v>
      </c>
      <c r="DB526" s="49" t="s">
        <v>319</v>
      </c>
      <c r="DD526" s="48" t="n">
        <v>46188</v>
      </c>
      <c r="DF526" s="49" t="s">
        <v>310</v>
      </c>
      <c r="DG526" s="49" t="s">
        <v>320</v>
      </c>
      <c r="DH526" s="49" t="s">
        <v>66</v>
      </c>
      <c r="DI526" s="49" t="s">
        <v>298</v>
      </c>
      <c r="DJ526" s="49" t="s">
        <v>321</v>
      </c>
      <c r="DK526" s="49" t="s">
        <v>322</v>
      </c>
      <c r="DL526" s="49" t="s">
        <v>323</v>
      </c>
      <c r="DM526" s="49" t="s">
        <v>303</v>
      </c>
      <c r="DN526" s="49" t="s">
        <v>297</v>
      </c>
      <c r="DO526" s="48"/>
      <c r="DP526" s="49" t="s">
        <v>312</v>
      </c>
      <c r="DQ526" s="48"/>
      <c r="DR526" s="49" t="s">
        <v>312</v>
      </c>
      <c r="DS526" s="49" t="s">
        <v>303</v>
      </c>
      <c r="DT526" s="49" t="s">
        <v>303</v>
      </c>
      <c r="DW526" s="49" t="s">
        <v>303</v>
      </c>
      <c r="EA526" s="49" t="s">
        <v>324</v>
      </c>
      <c r="EB526" s="49" t="s">
        <v>303</v>
      </c>
      <c r="EF526" s="49" t="s">
        <v>2341</v>
      </c>
      <c r="EH526" s="49" t="s">
        <v>310</v>
      </c>
      <c r="EJ526" s="49" t="s">
        <v>303</v>
      </c>
      <c r="EK526" s="49" t="s">
        <v>2342</v>
      </c>
      <c r="EM526" s="49" t="s">
        <v>303</v>
      </c>
      <c r="EN526" s="49" t="s">
        <v>327</v>
      </c>
      <c r="EP526" s="49" t="s">
        <v>298</v>
      </c>
      <c r="EQ526" s="0" t="n">
        <v>1</v>
      </c>
      <c r="ER526" s="49" t="s">
        <v>328</v>
      </c>
      <c r="ES526" s="49" t="s">
        <v>329</v>
      </c>
      <c r="ET526" s="49" t="s">
        <v>310</v>
      </c>
      <c r="EU526" s="49" t="s">
        <v>310</v>
      </c>
      <c r="EV526" s="49" t="s">
        <v>310</v>
      </c>
      <c r="EX526" s="49" t="s">
        <v>303</v>
      </c>
      <c r="EY526" s="49" t="s">
        <v>303</v>
      </c>
      <c r="FC526" s="49" t="s">
        <v>330</v>
      </c>
      <c r="FD526" s="49" t="s">
        <v>310</v>
      </c>
      <c r="FE526" s="49" t="s">
        <v>310</v>
      </c>
      <c r="FF526" s="49" t="s">
        <v>66</v>
      </c>
      <c r="FG526" s="49" t="s">
        <v>331</v>
      </c>
      <c r="FH526" s="49" t="s">
        <v>310</v>
      </c>
      <c r="FI526" s="49" t="s">
        <v>332</v>
      </c>
      <c r="FJ526" s="49" t="s">
        <v>303</v>
      </c>
      <c r="FL526" s="49" t="s">
        <v>325</v>
      </c>
      <c r="FM526" s="49" t="s">
        <v>2300</v>
      </c>
      <c r="FP526" s="49" t="s">
        <v>303</v>
      </c>
      <c r="FR526" s="49" t="s">
        <v>303</v>
      </c>
      <c r="FT526" s="49" t="s">
        <v>325</v>
      </c>
      <c r="FU526" s="49" t="s">
        <v>325</v>
      </c>
      <c r="FW526" s="49" t="s">
        <v>333</v>
      </c>
    </row>
    <row r="527" customFormat="false" ht="15" hidden="false" customHeight="false" outlineLevel="0" collapsed="false">
      <c r="A527" s="0" t="n">
        <v>100871601</v>
      </c>
      <c r="B527" s="0" t="s">
        <v>295</v>
      </c>
      <c r="C527" s="0" t="s">
        <v>66</v>
      </c>
      <c r="D527" s="0" t="s">
        <v>296</v>
      </c>
      <c r="E527" s="0" t="s">
        <v>297</v>
      </c>
      <c r="G527" s="0" t="n">
        <v>1</v>
      </c>
      <c r="H527" s="0" t="s">
        <v>298</v>
      </c>
      <c r="I527" s="48" t="n">
        <v>46226</v>
      </c>
      <c r="J527" s="0" t="n">
        <v>1</v>
      </c>
      <c r="K527" s="49" t="s">
        <v>2300</v>
      </c>
      <c r="L527" s="49" t="s">
        <v>1035</v>
      </c>
      <c r="M527" s="48" t="n">
        <v>46243</v>
      </c>
      <c r="N527" s="49" t="s">
        <v>2047</v>
      </c>
      <c r="O527" s="49" t="s">
        <v>1052</v>
      </c>
      <c r="P527" s="48"/>
      <c r="Q527" s="48" t="n">
        <v>46226</v>
      </c>
      <c r="R527" s="48" t="n">
        <v>46232</v>
      </c>
      <c r="T527" s="49" t="s">
        <v>302</v>
      </c>
      <c r="U527" s="49" t="s">
        <v>303</v>
      </c>
      <c r="Y527" s="49" t="s">
        <v>2343</v>
      </c>
      <c r="AD527" s="49" t="s">
        <v>305</v>
      </c>
      <c r="AE527" s="48" t="n">
        <v>46188</v>
      </c>
      <c r="AF527" s="49" t="s">
        <v>306</v>
      </c>
      <c r="AG527" s="49" t="s">
        <v>307</v>
      </c>
      <c r="AK527" s="49" t="s">
        <v>1047</v>
      </c>
      <c r="AL527" s="49" t="s">
        <v>297</v>
      </c>
      <c r="AO527" s="49" t="s">
        <v>303</v>
      </c>
      <c r="AP527" s="48"/>
      <c r="AR527" s="49" t="s">
        <v>303</v>
      </c>
      <c r="AS527" s="49" t="s">
        <v>306</v>
      </c>
      <c r="AT527" s="49" t="s">
        <v>2344</v>
      </c>
      <c r="AV527" s="49" t="s">
        <v>309</v>
      </c>
      <c r="AW527" s="49" t="s">
        <v>310</v>
      </c>
      <c r="AX527" s="49" t="s">
        <v>311</v>
      </c>
      <c r="AY527" s="48"/>
      <c r="AZ527" s="48" t="n">
        <v>46224</v>
      </c>
      <c r="BC527" s="49" t="s">
        <v>303</v>
      </c>
      <c r="BD527" s="48" t="n">
        <v>46246</v>
      </c>
      <c r="BE527" s="49" t="s">
        <v>2345</v>
      </c>
      <c r="BF527" s="49" t="s">
        <v>303</v>
      </c>
      <c r="BG527" s="48"/>
      <c r="BI527" s="48" t="n">
        <v>46246</v>
      </c>
      <c r="BJ527" s="48" t="n">
        <v>46231</v>
      </c>
      <c r="BK527" s="49" t="s">
        <v>313</v>
      </c>
      <c r="BL527" s="49" t="s">
        <v>313</v>
      </c>
      <c r="BM527" s="49" t="s">
        <v>310</v>
      </c>
      <c r="BN527" s="48"/>
      <c r="BO527" s="48"/>
      <c r="BP527" s="48"/>
      <c r="BQ527" s="49" t="s">
        <v>2304</v>
      </c>
      <c r="BR527" s="48" t="n">
        <v>46231</v>
      </c>
      <c r="BS527" s="49" t="s">
        <v>2340</v>
      </c>
      <c r="BT527" s="49" t="s">
        <v>312</v>
      </c>
      <c r="BU527" s="49" t="s">
        <v>313</v>
      </c>
      <c r="BV527" s="49" t="s">
        <v>303</v>
      </c>
      <c r="BX527" s="0" t="n">
        <v>1</v>
      </c>
      <c r="CC527" s="49" t="s">
        <v>315</v>
      </c>
      <c r="CD527" s="49" t="s">
        <v>303</v>
      </c>
      <c r="CF527" s="49" t="s">
        <v>303</v>
      </c>
      <c r="CG527" s="49" t="s">
        <v>316</v>
      </c>
      <c r="CH527" s="49" t="s">
        <v>317</v>
      </c>
      <c r="CI527" s="49" t="s">
        <v>318</v>
      </c>
      <c r="CM527" s="49" t="s">
        <v>296</v>
      </c>
      <c r="CV527" s="49" t="s">
        <v>303</v>
      </c>
      <c r="DB527" s="49" t="s">
        <v>319</v>
      </c>
      <c r="DD527" s="48" t="n">
        <v>46188</v>
      </c>
      <c r="DF527" s="49" t="s">
        <v>310</v>
      </c>
      <c r="DG527" s="49" t="s">
        <v>320</v>
      </c>
      <c r="DH527" s="49" t="s">
        <v>66</v>
      </c>
      <c r="DI527" s="49" t="s">
        <v>298</v>
      </c>
      <c r="DJ527" s="49" t="s">
        <v>321</v>
      </c>
      <c r="DK527" s="49" t="s">
        <v>322</v>
      </c>
      <c r="DL527" s="49" t="s">
        <v>323</v>
      </c>
      <c r="DM527" s="49" t="s">
        <v>303</v>
      </c>
      <c r="DN527" s="49" t="s">
        <v>297</v>
      </c>
      <c r="DO527" s="48"/>
      <c r="DP527" s="49" t="s">
        <v>312</v>
      </c>
      <c r="DQ527" s="48"/>
      <c r="DR527" s="49" t="s">
        <v>312</v>
      </c>
      <c r="DS527" s="49" t="s">
        <v>303</v>
      </c>
      <c r="DT527" s="49" t="s">
        <v>303</v>
      </c>
      <c r="DW527" s="49" t="s">
        <v>303</v>
      </c>
      <c r="EA527" s="49" t="s">
        <v>324</v>
      </c>
      <c r="EB527" s="49" t="s">
        <v>303</v>
      </c>
      <c r="EF527" s="49" t="s">
        <v>2341</v>
      </c>
      <c r="EH527" s="49" t="s">
        <v>310</v>
      </c>
      <c r="EJ527" s="49" t="s">
        <v>303</v>
      </c>
      <c r="EK527" s="49" t="s">
        <v>2346</v>
      </c>
      <c r="EM527" s="49" t="s">
        <v>303</v>
      </c>
      <c r="EN527" s="49" t="s">
        <v>327</v>
      </c>
      <c r="EP527" s="49" t="s">
        <v>298</v>
      </c>
      <c r="EQ527" s="0" t="n">
        <v>1</v>
      </c>
      <c r="ER527" s="49" t="s">
        <v>328</v>
      </c>
      <c r="ES527" s="49" t="s">
        <v>329</v>
      </c>
      <c r="ET527" s="49" t="s">
        <v>310</v>
      </c>
      <c r="EU527" s="49" t="s">
        <v>310</v>
      </c>
      <c r="EV527" s="49" t="s">
        <v>310</v>
      </c>
      <c r="EX527" s="49" t="s">
        <v>303</v>
      </c>
      <c r="EY527" s="49" t="s">
        <v>303</v>
      </c>
      <c r="FC527" s="49" t="s">
        <v>330</v>
      </c>
      <c r="FD527" s="49" t="s">
        <v>310</v>
      </c>
      <c r="FE527" s="49" t="s">
        <v>310</v>
      </c>
      <c r="FF527" s="49" t="s">
        <v>66</v>
      </c>
      <c r="FG527" s="49" t="s">
        <v>331</v>
      </c>
      <c r="FH527" s="49" t="s">
        <v>310</v>
      </c>
      <c r="FI527" s="49" t="s">
        <v>332</v>
      </c>
      <c r="FJ527" s="49" t="s">
        <v>303</v>
      </c>
      <c r="FL527" s="49" t="s">
        <v>325</v>
      </c>
      <c r="FM527" s="49" t="s">
        <v>2046</v>
      </c>
      <c r="FP527" s="49" t="s">
        <v>303</v>
      </c>
      <c r="FR527" s="49" t="s">
        <v>303</v>
      </c>
      <c r="FT527" s="49" t="s">
        <v>325</v>
      </c>
      <c r="FU527" s="49" t="s">
        <v>325</v>
      </c>
      <c r="FW527" s="49" t="s">
        <v>333</v>
      </c>
    </row>
    <row r="528" customFormat="false" ht="15" hidden="false" customHeight="false" outlineLevel="0" collapsed="false">
      <c r="A528" s="0" t="n">
        <v>100871602</v>
      </c>
      <c r="B528" s="0" t="s">
        <v>295</v>
      </c>
      <c r="C528" s="0" t="s">
        <v>68</v>
      </c>
      <c r="D528" s="0" t="s">
        <v>456</v>
      </c>
      <c r="E528" s="0" t="s">
        <v>297</v>
      </c>
      <c r="G528" s="0" t="n">
        <v>1</v>
      </c>
      <c r="H528" s="0" t="s">
        <v>298</v>
      </c>
      <c r="I528" s="48" t="n">
        <v>46226</v>
      </c>
      <c r="J528" s="0" t="n">
        <v>1</v>
      </c>
      <c r="K528" s="49" t="s">
        <v>2300</v>
      </c>
      <c r="L528" s="49" t="s">
        <v>1035</v>
      </c>
      <c r="M528" s="48" t="n">
        <v>46226</v>
      </c>
      <c r="N528" s="49" t="s">
        <v>1035</v>
      </c>
      <c r="O528" s="49" t="s">
        <v>1052</v>
      </c>
      <c r="P528" s="48"/>
      <c r="Q528" s="48" t="n">
        <v>46226</v>
      </c>
      <c r="R528" s="48" t="n">
        <v>46233</v>
      </c>
      <c r="T528" s="49" t="s">
        <v>302</v>
      </c>
      <c r="U528" s="49" t="s">
        <v>303</v>
      </c>
      <c r="Y528" s="49" t="s">
        <v>2347</v>
      </c>
      <c r="AD528" s="49" t="s">
        <v>305</v>
      </c>
      <c r="AE528" s="48" t="n">
        <v>46188</v>
      </c>
      <c r="AF528" s="49" t="s">
        <v>306</v>
      </c>
      <c r="AG528" s="49" t="s">
        <v>307</v>
      </c>
      <c r="AK528" s="49" t="s">
        <v>1047</v>
      </c>
      <c r="AL528" s="49" t="s">
        <v>297</v>
      </c>
      <c r="AO528" s="49" t="s">
        <v>303</v>
      </c>
      <c r="AP528" s="48"/>
      <c r="AR528" s="49" t="s">
        <v>303</v>
      </c>
      <c r="AS528" s="49" t="s">
        <v>306</v>
      </c>
      <c r="AT528" s="49" t="s">
        <v>2348</v>
      </c>
      <c r="AV528" s="49" t="s">
        <v>309</v>
      </c>
      <c r="AW528" s="49" t="s">
        <v>310</v>
      </c>
      <c r="AX528" s="49" t="s">
        <v>311</v>
      </c>
      <c r="AY528" s="48"/>
      <c r="AZ528" s="48" t="n">
        <v>46224</v>
      </c>
      <c r="BC528" s="49" t="s">
        <v>303</v>
      </c>
      <c r="BD528" s="48" t="n">
        <v>46249</v>
      </c>
      <c r="BE528" s="49" t="s">
        <v>2349</v>
      </c>
      <c r="BF528" s="49" t="s">
        <v>303</v>
      </c>
      <c r="BG528" s="48"/>
      <c r="BI528" s="48" t="n">
        <v>46249</v>
      </c>
      <c r="BJ528" s="48" t="n">
        <v>46231</v>
      </c>
      <c r="BK528" s="49" t="s">
        <v>312</v>
      </c>
      <c r="BL528" s="49" t="s">
        <v>313</v>
      </c>
      <c r="BM528" s="49" t="s">
        <v>310</v>
      </c>
      <c r="BN528" s="48"/>
      <c r="BO528" s="48"/>
      <c r="BP528" s="48"/>
      <c r="BQ528" s="49" t="s">
        <v>2304</v>
      </c>
      <c r="BR528" s="48" t="n">
        <v>46231</v>
      </c>
      <c r="BS528" s="49" t="s">
        <v>2350</v>
      </c>
      <c r="BT528" s="49" t="s">
        <v>312</v>
      </c>
      <c r="BU528" s="49" t="s">
        <v>313</v>
      </c>
      <c r="BV528" s="49" t="s">
        <v>303</v>
      </c>
      <c r="BX528" s="0" t="n">
        <v>1</v>
      </c>
      <c r="CC528" s="49" t="s">
        <v>315</v>
      </c>
      <c r="CD528" s="49" t="s">
        <v>303</v>
      </c>
      <c r="CF528" s="49" t="s">
        <v>303</v>
      </c>
      <c r="CG528" s="49" t="s">
        <v>316</v>
      </c>
      <c r="CH528" s="49" t="s">
        <v>317</v>
      </c>
      <c r="CI528" s="49" t="s">
        <v>318</v>
      </c>
      <c r="CM528" s="49" t="s">
        <v>456</v>
      </c>
      <c r="CV528" s="49" t="s">
        <v>303</v>
      </c>
      <c r="DB528" s="49" t="s">
        <v>319</v>
      </c>
      <c r="DD528" s="48" t="n">
        <v>46188</v>
      </c>
      <c r="DF528" s="49" t="s">
        <v>310</v>
      </c>
      <c r="DG528" s="49" t="s">
        <v>320</v>
      </c>
      <c r="DH528" s="49" t="s">
        <v>68</v>
      </c>
      <c r="DI528" s="49" t="s">
        <v>298</v>
      </c>
      <c r="DJ528" s="49" t="s">
        <v>321</v>
      </c>
      <c r="DK528" s="49" t="s">
        <v>322</v>
      </c>
      <c r="DL528" s="49" t="s">
        <v>323</v>
      </c>
      <c r="DM528" s="49" t="s">
        <v>303</v>
      </c>
      <c r="DN528" s="49" t="s">
        <v>297</v>
      </c>
      <c r="DO528" s="48"/>
      <c r="DP528" s="49" t="s">
        <v>312</v>
      </c>
      <c r="DQ528" s="48"/>
      <c r="DR528" s="49" t="s">
        <v>312</v>
      </c>
      <c r="DS528" s="49" t="s">
        <v>303</v>
      </c>
      <c r="DT528" s="49" t="s">
        <v>303</v>
      </c>
      <c r="DW528" s="49" t="s">
        <v>303</v>
      </c>
      <c r="EA528" s="49" t="s">
        <v>324</v>
      </c>
      <c r="EB528" s="49" t="s">
        <v>303</v>
      </c>
      <c r="EH528" s="49" t="s">
        <v>310</v>
      </c>
      <c r="EJ528" s="49" t="s">
        <v>303</v>
      </c>
      <c r="EK528" s="49" t="s">
        <v>2351</v>
      </c>
      <c r="EM528" s="49" t="s">
        <v>303</v>
      </c>
      <c r="EN528" s="49" t="s">
        <v>460</v>
      </c>
      <c r="EP528" s="49" t="s">
        <v>298</v>
      </c>
      <c r="EQ528" s="0" t="n">
        <v>1</v>
      </c>
      <c r="ER528" s="49" t="s">
        <v>328</v>
      </c>
      <c r="ES528" s="49" t="s">
        <v>329</v>
      </c>
      <c r="ET528" s="49" t="s">
        <v>310</v>
      </c>
      <c r="EU528" s="49" t="s">
        <v>310</v>
      </c>
      <c r="EV528" s="49" t="s">
        <v>310</v>
      </c>
      <c r="EX528" s="49" t="s">
        <v>303</v>
      </c>
      <c r="EY528" s="49" t="s">
        <v>303</v>
      </c>
      <c r="FC528" s="49" t="s">
        <v>330</v>
      </c>
      <c r="FD528" s="49" t="s">
        <v>310</v>
      </c>
      <c r="FE528" s="49" t="s">
        <v>310</v>
      </c>
      <c r="FF528" s="49" t="s">
        <v>68</v>
      </c>
      <c r="FG528" s="49" t="s">
        <v>461</v>
      </c>
      <c r="FH528" s="49" t="s">
        <v>310</v>
      </c>
      <c r="FI528" s="49" t="s">
        <v>332</v>
      </c>
      <c r="FJ528" s="49" t="s">
        <v>303</v>
      </c>
      <c r="FL528" s="49" t="s">
        <v>325</v>
      </c>
      <c r="FM528" s="49" t="s">
        <v>2300</v>
      </c>
      <c r="FP528" s="49" t="s">
        <v>303</v>
      </c>
      <c r="FR528" s="49" t="s">
        <v>303</v>
      </c>
      <c r="FT528" s="49" t="s">
        <v>325</v>
      </c>
      <c r="FU528" s="49" t="s">
        <v>325</v>
      </c>
      <c r="FW528" s="49" t="s">
        <v>333</v>
      </c>
    </row>
    <row r="529" customFormat="false" ht="15" hidden="false" customHeight="false" outlineLevel="0" collapsed="false">
      <c r="A529" s="0" t="n">
        <v>100871603</v>
      </c>
      <c r="B529" s="0" t="s">
        <v>295</v>
      </c>
      <c r="C529" s="0" t="s">
        <v>68</v>
      </c>
      <c r="D529" s="0" t="s">
        <v>456</v>
      </c>
      <c r="E529" s="0" t="s">
        <v>297</v>
      </c>
      <c r="G529" s="0" t="n">
        <v>1</v>
      </c>
      <c r="H529" s="0" t="s">
        <v>298</v>
      </c>
      <c r="I529" s="48" t="n">
        <v>46226</v>
      </c>
      <c r="J529" s="0" t="n">
        <v>1</v>
      </c>
      <c r="K529" s="49" t="s">
        <v>2300</v>
      </c>
      <c r="L529" s="49" t="s">
        <v>1035</v>
      </c>
      <c r="M529" s="48"/>
      <c r="O529" s="49" t="s">
        <v>1052</v>
      </c>
      <c r="P529" s="48"/>
      <c r="Q529" s="48" t="n">
        <v>46226</v>
      </c>
      <c r="R529" s="48" t="n">
        <v>46232</v>
      </c>
      <c r="T529" s="49" t="s">
        <v>302</v>
      </c>
      <c r="U529" s="49" t="s">
        <v>303</v>
      </c>
      <c r="Y529" s="49" t="s">
        <v>312</v>
      </c>
      <c r="AD529" s="49" t="s">
        <v>305</v>
      </c>
      <c r="AE529" s="48" t="n">
        <v>46188</v>
      </c>
      <c r="AF529" s="49" t="s">
        <v>306</v>
      </c>
      <c r="AG529" s="49" t="s">
        <v>307</v>
      </c>
      <c r="AK529" s="49" t="s">
        <v>1047</v>
      </c>
      <c r="AL529" s="49" t="s">
        <v>297</v>
      </c>
      <c r="AO529" s="49" t="s">
        <v>303</v>
      </c>
      <c r="AP529" s="48"/>
      <c r="AR529" s="49" t="s">
        <v>303</v>
      </c>
      <c r="AS529" s="49" t="s">
        <v>306</v>
      </c>
      <c r="AT529" s="49" t="s">
        <v>2352</v>
      </c>
      <c r="AV529" s="49" t="s">
        <v>309</v>
      </c>
      <c r="AW529" s="49" t="s">
        <v>310</v>
      </c>
      <c r="AX529" s="49" t="s">
        <v>311</v>
      </c>
      <c r="AY529" s="48"/>
      <c r="AZ529" s="48" t="n">
        <v>46224</v>
      </c>
      <c r="BC529" s="49" t="s">
        <v>303</v>
      </c>
      <c r="BD529" s="48" t="n">
        <v>46251</v>
      </c>
      <c r="BE529" s="49" t="s">
        <v>2353</v>
      </c>
      <c r="BF529" s="49" t="s">
        <v>303</v>
      </c>
      <c r="BG529" s="48"/>
      <c r="BI529" s="48" t="n">
        <v>46251</v>
      </c>
      <c r="BJ529" s="48" t="n">
        <v>46231</v>
      </c>
      <c r="BK529" s="49" t="s">
        <v>313</v>
      </c>
      <c r="BL529" s="49" t="s">
        <v>313</v>
      </c>
      <c r="BM529" s="49" t="s">
        <v>310</v>
      </c>
      <c r="BN529" s="48"/>
      <c r="BO529" s="48"/>
      <c r="BP529" s="48"/>
      <c r="BQ529" s="49" t="s">
        <v>2304</v>
      </c>
      <c r="BR529" s="48" t="n">
        <v>46231</v>
      </c>
      <c r="BS529" s="49" t="s">
        <v>2354</v>
      </c>
      <c r="BT529" s="49" t="s">
        <v>312</v>
      </c>
      <c r="BU529" s="49" t="s">
        <v>313</v>
      </c>
      <c r="BV529" s="49" t="s">
        <v>303</v>
      </c>
      <c r="BX529" s="0" t="n">
        <v>1</v>
      </c>
      <c r="CC529" s="49" t="s">
        <v>315</v>
      </c>
      <c r="CD529" s="49" t="s">
        <v>303</v>
      </c>
      <c r="CF529" s="49" t="s">
        <v>303</v>
      </c>
      <c r="CG529" s="49" t="s">
        <v>316</v>
      </c>
      <c r="CH529" s="49" t="s">
        <v>317</v>
      </c>
      <c r="CI529" s="49" t="s">
        <v>318</v>
      </c>
      <c r="CM529" s="49" t="s">
        <v>456</v>
      </c>
      <c r="CV529" s="49" t="s">
        <v>303</v>
      </c>
      <c r="DB529" s="49" t="s">
        <v>319</v>
      </c>
      <c r="DD529" s="48" t="n">
        <v>46188</v>
      </c>
      <c r="DF529" s="49" t="s">
        <v>310</v>
      </c>
      <c r="DG529" s="49" t="s">
        <v>320</v>
      </c>
      <c r="DH529" s="49" t="s">
        <v>68</v>
      </c>
      <c r="DI529" s="49" t="s">
        <v>298</v>
      </c>
      <c r="DJ529" s="49" t="s">
        <v>321</v>
      </c>
      <c r="DK529" s="49" t="s">
        <v>322</v>
      </c>
      <c r="DL529" s="49" t="s">
        <v>323</v>
      </c>
      <c r="DM529" s="49" t="s">
        <v>303</v>
      </c>
      <c r="DN529" s="49" t="s">
        <v>297</v>
      </c>
      <c r="DO529" s="48"/>
      <c r="DP529" s="49" t="s">
        <v>312</v>
      </c>
      <c r="DQ529" s="48"/>
      <c r="DR529" s="49" t="s">
        <v>312</v>
      </c>
      <c r="DS529" s="49" t="s">
        <v>303</v>
      </c>
      <c r="DT529" s="49" t="s">
        <v>303</v>
      </c>
      <c r="DW529" s="49" t="s">
        <v>303</v>
      </c>
      <c r="EA529" s="49" t="s">
        <v>324</v>
      </c>
      <c r="EB529" s="49" t="s">
        <v>303</v>
      </c>
      <c r="EF529" s="49" t="s">
        <v>2355</v>
      </c>
      <c r="EH529" s="49" t="s">
        <v>310</v>
      </c>
      <c r="EJ529" s="49" t="s">
        <v>303</v>
      </c>
      <c r="EK529" s="49" t="s">
        <v>2356</v>
      </c>
      <c r="EM529" s="49" t="s">
        <v>303</v>
      </c>
      <c r="EN529" s="49" t="s">
        <v>460</v>
      </c>
      <c r="EP529" s="49" t="s">
        <v>298</v>
      </c>
      <c r="EQ529" s="0" t="n">
        <v>1</v>
      </c>
      <c r="ER529" s="49" t="s">
        <v>328</v>
      </c>
      <c r="ES529" s="49" t="s">
        <v>329</v>
      </c>
      <c r="ET529" s="49" t="s">
        <v>310</v>
      </c>
      <c r="EU529" s="49" t="s">
        <v>310</v>
      </c>
      <c r="EV529" s="49" t="s">
        <v>310</v>
      </c>
      <c r="EX529" s="49" t="s">
        <v>303</v>
      </c>
      <c r="EY529" s="49" t="s">
        <v>303</v>
      </c>
      <c r="FC529" s="49" t="s">
        <v>330</v>
      </c>
      <c r="FD529" s="49" t="s">
        <v>310</v>
      </c>
      <c r="FE529" s="49" t="s">
        <v>310</v>
      </c>
      <c r="FF529" s="49" t="s">
        <v>68</v>
      </c>
      <c r="FG529" s="49" t="s">
        <v>461</v>
      </c>
      <c r="FH529" s="49" t="s">
        <v>310</v>
      </c>
      <c r="FI529" s="49" t="s">
        <v>332</v>
      </c>
      <c r="FJ529" s="49" t="s">
        <v>303</v>
      </c>
      <c r="FL529" s="49" t="s">
        <v>325</v>
      </c>
      <c r="FM529" s="49" t="s">
        <v>2300</v>
      </c>
      <c r="FP529" s="49" t="s">
        <v>303</v>
      </c>
      <c r="FR529" s="49" t="s">
        <v>303</v>
      </c>
      <c r="FT529" s="49" t="s">
        <v>325</v>
      </c>
      <c r="FU529" s="49" t="s">
        <v>325</v>
      </c>
      <c r="FW529" s="49" t="s">
        <v>333</v>
      </c>
    </row>
    <row r="530" customFormat="false" ht="15" hidden="false" customHeight="false" outlineLevel="0" collapsed="false">
      <c r="A530" s="0" t="n">
        <v>100871604</v>
      </c>
      <c r="B530" s="0" t="s">
        <v>295</v>
      </c>
      <c r="C530" s="0" t="s">
        <v>68</v>
      </c>
      <c r="D530" s="0" t="s">
        <v>456</v>
      </c>
      <c r="E530" s="0" t="s">
        <v>297</v>
      </c>
      <c r="G530" s="0" t="n">
        <v>1</v>
      </c>
      <c r="H530" s="0" t="s">
        <v>298</v>
      </c>
      <c r="I530" s="48" t="n">
        <v>46226</v>
      </c>
      <c r="J530" s="0" t="n">
        <v>1</v>
      </c>
      <c r="K530" s="49" t="s">
        <v>2300</v>
      </c>
      <c r="L530" s="49" t="s">
        <v>1035</v>
      </c>
      <c r="M530" s="48"/>
      <c r="O530" s="49" t="s">
        <v>1052</v>
      </c>
      <c r="P530" s="48"/>
      <c r="Q530" s="48" t="n">
        <v>46226</v>
      </c>
      <c r="R530" s="48" t="n">
        <v>46232</v>
      </c>
      <c r="T530" s="49" t="s">
        <v>302</v>
      </c>
      <c r="U530" s="49" t="s">
        <v>303</v>
      </c>
      <c r="Y530" s="49" t="s">
        <v>312</v>
      </c>
      <c r="AD530" s="49" t="s">
        <v>305</v>
      </c>
      <c r="AE530" s="48" t="n">
        <v>46188</v>
      </c>
      <c r="AF530" s="49" t="s">
        <v>306</v>
      </c>
      <c r="AG530" s="49" t="s">
        <v>307</v>
      </c>
      <c r="AK530" s="49" t="s">
        <v>1047</v>
      </c>
      <c r="AL530" s="49" t="s">
        <v>297</v>
      </c>
      <c r="AO530" s="49" t="s">
        <v>303</v>
      </c>
      <c r="AP530" s="48"/>
      <c r="AR530" s="49" t="s">
        <v>303</v>
      </c>
      <c r="AS530" s="49" t="s">
        <v>306</v>
      </c>
      <c r="AT530" s="49" t="s">
        <v>2096</v>
      </c>
      <c r="AV530" s="49" t="s">
        <v>309</v>
      </c>
      <c r="AW530" s="49" t="s">
        <v>310</v>
      </c>
      <c r="AX530" s="49" t="s">
        <v>311</v>
      </c>
      <c r="AY530" s="48"/>
      <c r="AZ530" s="48" t="n">
        <v>46224</v>
      </c>
      <c r="BC530" s="49" t="s">
        <v>303</v>
      </c>
      <c r="BD530" s="48" t="n">
        <v>46254</v>
      </c>
      <c r="BE530" s="49" t="s">
        <v>2357</v>
      </c>
      <c r="BF530" s="49" t="s">
        <v>303</v>
      </c>
      <c r="BG530" s="48"/>
      <c r="BI530" s="48" t="n">
        <v>46254</v>
      </c>
      <c r="BJ530" s="48" t="n">
        <v>46231</v>
      </c>
      <c r="BK530" s="49" t="s">
        <v>313</v>
      </c>
      <c r="BL530" s="49" t="s">
        <v>313</v>
      </c>
      <c r="BM530" s="49" t="s">
        <v>310</v>
      </c>
      <c r="BN530" s="48"/>
      <c r="BO530" s="48"/>
      <c r="BP530" s="48"/>
      <c r="BQ530" s="49" t="s">
        <v>2304</v>
      </c>
      <c r="BR530" s="48" t="n">
        <v>46231</v>
      </c>
      <c r="BS530" s="49" t="s">
        <v>2354</v>
      </c>
      <c r="BT530" s="49" t="s">
        <v>312</v>
      </c>
      <c r="BU530" s="49" t="s">
        <v>313</v>
      </c>
      <c r="BV530" s="49" t="s">
        <v>303</v>
      </c>
      <c r="BX530" s="0" t="n">
        <v>1</v>
      </c>
      <c r="CC530" s="49" t="s">
        <v>315</v>
      </c>
      <c r="CD530" s="49" t="s">
        <v>303</v>
      </c>
      <c r="CF530" s="49" t="s">
        <v>303</v>
      </c>
      <c r="CG530" s="49" t="s">
        <v>316</v>
      </c>
      <c r="CH530" s="49" t="s">
        <v>317</v>
      </c>
      <c r="CI530" s="49" t="s">
        <v>318</v>
      </c>
      <c r="CM530" s="49" t="s">
        <v>456</v>
      </c>
      <c r="CV530" s="49" t="s">
        <v>303</v>
      </c>
      <c r="DB530" s="49" t="s">
        <v>319</v>
      </c>
      <c r="DD530" s="48" t="n">
        <v>46188</v>
      </c>
      <c r="DF530" s="49" t="s">
        <v>310</v>
      </c>
      <c r="DG530" s="49" t="s">
        <v>320</v>
      </c>
      <c r="DH530" s="49" t="s">
        <v>68</v>
      </c>
      <c r="DI530" s="49" t="s">
        <v>298</v>
      </c>
      <c r="DJ530" s="49" t="s">
        <v>321</v>
      </c>
      <c r="DK530" s="49" t="s">
        <v>322</v>
      </c>
      <c r="DL530" s="49" t="s">
        <v>323</v>
      </c>
      <c r="DM530" s="49" t="s">
        <v>303</v>
      </c>
      <c r="DN530" s="49" t="s">
        <v>297</v>
      </c>
      <c r="DO530" s="48"/>
      <c r="DP530" s="49" t="s">
        <v>312</v>
      </c>
      <c r="DQ530" s="48"/>
      <c r="DR530" s="49" t="s">
        <v>312</v>
      </c>
      <c r="DS530" s="49" t="s">
        <v>303</v>
      </c>
      <c r="DT530" s="49" t="s">
        <v>303</v>
      </c>
      <c r="DW530" s="49" t="s">
        <v>303</v>
      </c>
      <c r="EA530" s="49" t="s">
        <v>324</v>
      </c>
      <c r="EB530" s="49" t="s">
        <v>303</v>
      </c>
      <c r="EF530" s="49" t="s">
        <v>2355</v>
      </c>
      <c r="EH530" s="49" t="s">
        <v>310</v>
      </c>
      <c r="EJ530" s="49" t="s">
        <v>303</v>
      </c>
      <c r="EK530" s="49" t="s">
        <v>2358</v>
      </c>
      <c r="EM530" s="49" t="s">
        <v>303</v>
      </c>
      <c r="EN530" s="49" t="s">
        <v>460</v>
      </c>
      <c r="EP530" s="49" t="s">
        <v>298</v>
      </c>
      <c r="EQ530" s="0" t="n">
        <v>1</v>
      </c>
      <c r="ER530" s="49" t="s">
        <v>328</v>
      </c>
      <c r="ES530" s="49" t="s">
        <v>329</v>
      </c>
      <c r="ET530" s="49" t="s">
        <v>310</v>
      </c>
      <c r="EU530" s="49" t="s">
        <v>310</v>
      </c>
      <c r="EV530" s="49" t="s">
        <v>310</v>
      </c>
      <c r="EX530" s="49" t="s">
        <v>303</v>
      </c>
      <c r="EY530" s="49" t="s">
        <v>303</v>
      </c>
      <c r="FC530" s="49" t="s">
        <v>330</v>
      </c>
      <c r="FD530" s="49" t="s">
        <v>310</v>
      </c>
      <c r="FE530" s="49" t="s">
        <v>310</v>
      </c>
      <c r="FF530" s="49" t="s">
        <v>68</v>
      </c>
      <c r="FG530" s="49" t="s">
        <v>461</v>
      </c>
      <c r="FH530" s="49" t="s">
        <v>310</v>
      </c>
      <c r="FI530" s="49" t="s">
        <v>332</v>
      </c>
      <c r="FJ530" s="49" t="s">
        <v>303</v>
      </c>
      <c r="FL530" s="49" t="s">
        <v>325</v>
      </c>
      <c r="FM530" s="49" t="s">
        <v>2300</v>
      </c>
      <c r="FP530" s="49" t="s">
        <v>303</v>
      </c>
      <c r="FR530" s="49" t="s">
        <v>303</v>
      </c>
      <c r="FT530" s="49" t="s">
        <v>325</v>
      </c>
      <c r="FU530" s="49" t="s">
        <v>325</v>
      </c>
      <c r="FW530" s="49" t="s">
        <v>333</v>
      </c>
    </row>
    <row r="531" customFormat="false" ht="15" hidden="false" customHeight="false" outlineLevel="0" collapsed="false">
      <c r="A531" s="0" t="n">
        <v>100871608</v>
      </c>
      <c r="B531" s="0" t="s">
        <v>295</v>
      </c>
      <c r="C531" s="0" t="s">
        <v>72</v>
      </c>
      <c r="D531" s="0" t="s">
        <v>480</v>
      </c>
      <c r="E531" s="0" t="s">
        <v>297</v>
      </c>
      <c r="G531" s="0" t="n">
        <v>1</v>
      </c>
      <c r="H531" s="0" t="s">
        <v>298</v>
      </c>
      <c r="I531" s="48" t="n">
        <v>46226</v>
      </c>
      <c r="J531" s="0" t="n">
        <v>1</v>
      </c>
      <c r="K531" s="49" t="s">
        <v>2300</v>
      </c>
      <c r="L531" s="49" t="s">
        <v>1035</v>
      </c>
      <c r="M531" s="48" t="n">
        <v>46226</v>
      </c>
      <c r="N531" s="49" t="s">
        <v>1035</v>
      </c>
      <c r="O531" s="49" t="s">
        <v>1052</v>
      </c>
      <c r="P531" s="48"/>
      <c r="Q531" s="48" t="n">
        <v>46226</v>
      </c>
      <c r="R531" s="48" t="n">
        <v>46233</v>
      </c>
      <c r="T531" s="49" t="s">
        <v>302</v>
      </c>
      <c r="U531" s="49" t="s">
        <v>303</v>
      </c>
      <c r="Y531" s="49" t="s">
        <v>2359</v>
      </c>
      <c r="AD531" s="49" t="s">
        <v>305</v>
      </c>
      <c r="AE531" s="48" t="n">
        <v>46188</v>
      </c>
      <c r="AF531" s="49" t="s">
        <v>306</v>
      </c>
      <c r="AG531" s="49" t="s">
        <v>307</v>
      </c>
      <c r="AK531" s="49" t="s">
        <v>1047</v>
      </c>
      <c r="AL531" s="49" t="s">
        <v>297</v>
      </c>
      <c r="AO531" s="49" t="s">
        <v>303</v>
      </c>
      <c r="AP531" s="48"/>
      <c r="AR531" s="49" t="s">
        <v>303</v>
      </c>
      <c r="AS531" s="49" t="s">
        <v>306</v>
      </c>
      <c r="AT531" s="49" t="s">
        <v>2360</v>
      </c>
      <c r="AV531" s="49" t="s">
        <v>309</v>
      </c>
      <c r="AW531" s="49" t="s">
        <v>310</v>
      </c>
      <c r="AX531" s="49" t="s">
        <v>311</v>
      </c>
      <c r="AY531" s="48"/>
      <c r="AZ531" s="48" t="n">
        <v>46224</v>
      </c>
      <c r="BC531" s="49" t="s">
        <v>303</v>
      </c>
      <c r="BD531" s="48" t="n">
        <v>46253</v>
      </c>
      <c r="BE531" s="49" t="s">
        <v>2361</v>
      </c>
      <c r="BF531" s="49" t="s">
        <v>303</v>
      </c>
      <c r="BG531" s="48"/>
      <c r="BI531" s="48" t="n">
        <v>46253</v>
      </c>
      <c r="BJ531" s="48" t="n">
        <v>46231</v>
      </c>
      <c r="BK531" s="49" t="s">
        <v>312</v>
      </c>
      <c r="BL531" s="49" t="s">
        <v>313</v>
      </c>
      <c r="BM531" s="49" t="s">
        <v>310</v>
      </c>
      <c r="BN531" s="48"/>
      <c r="BO531" s="48"/>
      <c r="BP531" s="48"/>
      <c r="BQ531" s="49" t="s">
        <v>2304</v>
      </c>
      <c r="BR531" s="48" t="n">
        <v>46231</v>
      </c>
      <c r="BS531" s="49" t="s">
        <v>2362</v>
      </c>
      <c r="BT531" s="49" t="s">
        <v>312</v>
      </c>
      <c r="BU531" s="49" t="s">
        <v>313</v>
      </c>
      <c r="BV531" s="49" t="s">
        <v>303</v>
      </c>
      <c r="BX531" s="0" t="n">
        <v>1</v>
      </c>
      <c r="CC531" s="49" t="s">
        <v>315</v>
      </c>
      <c r="CD531" s="49" t="s">
        <v>303</v>
      </c>
      <c r="CF531" s="49" t="s">
        <v>303</v>
      </c>
      <c r="CG531" s="49" t="s">
        <v>316</v>
      </c>
      <c r="CH531" s="49" t="s">
        <v>317</v>
      </c>
      <c r="CI531" s="49" t="s">
        <v>318</v>
      </c>
      <c r="CM531" s="49" t="s">
        <v>480</v>
      </c>
      <c r="CV531" s="49" t="s">
        <v>303</v>
      </c>
      <c r="DB531" s="49" t="s">
        <v>319</v>
      </c>
      <c r="DD531" s="48" t="n">
        <v>46188</v>
      </c>
      <c r="DF531" s="49" t="s">
        <v>310</v>
      </c>
      <c r="DG531" s="49" t="s">
        <v>320</v>
      </c>
      <c r="DH531" s="49" t="s">
        <v>72</v>
      </c>
      <c r="DI531" s="49" t="s">
        <v>298</v>
      </c>
      <c r="DJ531" s="49" t="s">
        <v>321</v>
      </c>
      <c r="DK531" s="49" t="s">
        <v>322</v>
      </c>
      <c r="DL531" s="49" t="s">
        <v>323</v>
      </c>
      <c r="DM531" s="49" t="s">
        <v>303</v>
      </c>
      <c r="DN531" s="49" t="s">
        <v>297</v>
      </c>
      <c r="DO531" s="48"/>
      <c r="DP531" s="49" t="s">
        <v>312</v>
      </c>
      <c r="DQ531" s="48"/>
      <c r="DR531" s="49" t="s">
        <v>312</v>
      </c>
      <c r="DS531" s="49" t="s">
        <v>303</v>
      </c>
      <c r="DT531" s="49" t="s">
        <v>303</v>
      </c>
      <c r="DW531" s="49" t="s">
        <v>303</v>
      </c>
      <c r="EA531" s="49" t="s">
        <v>324</v>
      </c>
      <c r="EB531" s="49" t="s">
        <v>303</v>
      </c>
      <c r="EH531" s="49" t="s">
        <v>310</v>
      </c>
      <c r="EJ531" s="49" t="s">
        <v>303</v>
      </c>
      <c r="EK531" s="49" t="s">
        <v>2363</v>
      </c>
      <c r="EM531" s="49" t="s">
        <v>303</v>
      </c>
      <c r="EN531" s="49" t="s">
        <v>485</v>
      </c>
      <c r="EP531" s="49" t="s">
        <v>298</v>
      </c>
      <c r="EQ531" s="0" t="n">
        <v>1</v>
      </c>
      <c r="ER531" s="49" t="s">
        <v>328</v>
      </c>
      <c r="ES531" s="49" t="s">
        <v>329</v>
      </c>
      <c r="ET531" s="49" t="s">
        <v>310</v>
      </c>
      <c r="EU531" s="49" t="s">
        <v>310</v>
      </c>
      <c r="EV531" s="49" t="s">
        <v>310</v>
      </c>
      <c r="EX531" s="49" t="s">
        <v>303</v>
      </c>
      <c r="EY531" s="49" t="s">
        <v>303</v>
      </c>
      <c r="FC531" s="49" t="s">
        <v>330</v>
      </c>
      <c r="FD531" s="49" t="s">
        <v>310</v>
      </c>
      <c r="FE531" s="49" t="s">
        <v>310</v>
      </c>
      <c r="FF531" s="49" t="s">
        <v>72</v>
      </c>
      <c r="FG531" s="49" t="s">
        <v>486</v>
      </c>
      <c r="FH531" s="49" t="s">
        <v>310</v>
      </c>
      <c r="FI531" s="49" t="s">
        <v>332</v>
      </c>
      <c r="FJ531" s="49" t="s">
        <v>303</v>
      </c>
      <c r="FL531" s="49" t="s">
        <v>325</v>
      </c>
      <c r="FM531" s="49" t="s">
        <v>2300</v>
      </c>
      <c r="FP531" s="49" t="s">
        <v>303</v>
      </c>
      <c r="FR531" s="49" t="s">
        <v>303</v>
      </c>
      <c r="FT531" s="49" t="s">
        <v>325</v>
      </c>
      <c r="FU531" s="49" t="s">
        <v>325</v>
      </c>
      <c r="FW531" s="49" t="s">
        <v>333</v>
      </c>
    </row>
    <row r="532" customFormat="false" ht="15" hidden="false" customHeight="false" outlineLevel="0" collapsed="false">
      <c r="A532" s="0" t="n">
        <v>100871609</v>
      </c>
      <c r="B532" s="0" t="s">
        <v>295</v>
      </c>
      <c r="C532" s="0" t="s">
        <v>72</v>
      </c>
      <c r="D532" s="0" t="s">
        <v>480</v>
      </c>
      <c r="E532" s="0" t="s">
        <v>297</v>
      </c>
      <c r="G532" s="0" t="n">
        <v>1</v>
      </c>
      <c r="H532" s="0" t="s">
        <v>298</v>
      </c>
      <c r="I532" s="48" t="n">
        <v>46226</v>
      </c>
      <c r="J532" s="0" t="n">
        <v>1</v>
      </c>
      <c r="K532" s="49" t="s">
        <v>2300</v>
      </c>
      <c r="L532" s="49" t="s">
        <v>1035</v>
      </c>
      <c r="M532" s="48"/>
      <c r="O532" s="49" t="s">
        <v>1052</v>
      </c>
      <c r="P532" s="48"/>
      <c r="Q532" s="48" t="n">
        <v>46226</v>
      </c>
      <c r="R532" s="48" t="n">
        <v>46232</v>
      </c>
      <c r="T532" s="49" t="s">
        <v>302</v>
      </c>
      <c r="U532" s="49" t="s">
        <v>303</v>
      </c>
      <c r="Y532" s="49" t="s">
        <v>312</v>
      </c>
      <c r="AD532" s="49" t="s">
        <v>305</v>
      </c>
      <c r="AE532" s="48" t="n">
        <v>46188</v>
      </c>
      <c r="AF532" s="49" t="s">
        <v>306</v>
      </c>
      <c r="AG532" s="49" t="s">
        <v>307</v>
      </c>
      <c r="AK532" s="49" t="s">
        <v>1047</v>
      </c>
      <c r="AL532" s="49" t="s">
        <v>297</v>
      </c>
      <c r="AO532" s="49" t="s">
        <v>303</v>
      </c>
      <c r="AP532" s="48"/>
      <c r="AR532" s="49" t="s">
        <v>303</v>
      </c>
      <c r="AS532" s="49" t="s">
        <v>306</v>
      </c>
      <c r="AT532" s="49" t="s">
        <v>2364</v>
      </c>
      <c r="AV532" s="49" t="s">
        <v>309</v>
      </c>
      <c r="AW532" s="49" t="s">
        <v>310</v>
      </c>
      <c r="AX532" s="49" t="s">
        <v>311</v>
      </c>
      <c r="AY532" s="48"/>
      <c r="AZ532" s="48" t="n">
        <v>46224</v>
      </c>
      <c r="BC532" s="49" t="s">
        <v>303</v>
      </c>
      <c r="BD532" s="48" t="n">
        <v>46248</v>
      </c>
      <c r="BE532" s="49" t="s">
        <v>2365</v>
      </c>
      <c r="BF532" s="49" t="s">
        <v>303</v>
      </c>
      <c r="BG532" s="48"/>
      <c r="BI532" s="48" t="n">
        <v>46249</v>
      </c>
      <c r="BJ532" s="48" t="n">
        <v>46231</v>
      </c>
      <c r="BK532" s="49" t="s">
        <v>313</v>
      </c>
      <c r="BL532" s="49" t="s">
        <v>313</v>
      </c>
      <c r="BM532" s="49" t="s">
        <v>310</v>
      </c>
      <c r="BN532" s="48"/>
      <c r="BO532" s="48"/>
      <c r="BP532" s="48"/>
      <c r="BQ532" s="49" t="s">
        <v>2304</v>
      </c>
      <c r="BR532" s="48" t="n">
        <v>46231</v>
      </c>
      <c r="BS532" s="49" t="s">
        <v>2362</v>
      </c>
      <c r="BT532" s="49" t="s">
        <v>312</v>
      </c>
      <c r="BU532" s="49" t="s">
        <v>313</v>
      </c>
      <c r="BV532" s="49" t="s">
        <v>303</v>
      </c>
      <c r="BX532" s="0" t="n">
        <v>1</v>
      </c>
      <c r="CC532" s="49" t="s">
        <v>315</v>
      </c>
      <c r="CD532" s="49" t="s">
        <v>303</v>
      </c>
      <c r="CF532" s="49" t="s">
        <v>303</v>
      </c>
      <c r="CG532" s="49" t="s">
        <v>316</v>
      </c>
      <c r="CH532" s="49" t="s">
        <v>317</v>
      </c>
      <c r="CI532" s="49" t="s">
        <v>318</v>
      </c>
      <c r="CM532" s="49" t="s">
        <v>480</v>
      </c>
      <c r="CV532" s="49" t="s">
        <v>303</v>
      </c>
      <c r="DB532" s="49" t="s">
        <v>319</v>
      </c>
      <c r="DD532" s="48" t="n">
        <v>46188</v>
      </c>
      <c r="DF532" s="49" t="s">
        <v>310</v>
      </c>
      <c r="DG532" s="49" t="s">
        <v>320</v>
      </c>
      <c r="DH532" s="49" t="s">
        <v>72</v>
      </c>
      <c r="DI532" s="49" t="s">
        <v>298</v>
      </c>
      <c r="DJ532" s="49" t="s">
        <v>321</v>
      </c>
      <c r="DK532" s="49" t="s">
        <v>322</v>
      </c>
      <c r="DL532" s="49" t="s">
        <v>323</v>
      </c>
      <c r="DM532" s="49" t="s">
        <v>303</v>
      </c>
      <c r="DN532" s="49" t="s">
        <v>297</v>
      </c>
      <c r="DO532" s="48"/>
      <c r="DP532" s="49" t="s">
        <v>312</v>
      </c>
      <c r="DQ532" s="48"/>
      <c r="DR532" s="49" t="s">
        <v>312</v>
      </c>
      <c r="DS532" s="49" t="s">
        <v>303</v>
      </c>
      <c r="DT532" s="49" t="s">
        <v>303</v>
      </c>
      <c r="DW532" s="49" t="s">
        <v>303</v>
      </c>
      <c r="EA532" s="49" t="s">
        <v>324</v>
      </c>
      <c r="EB532" s="49" t="s">
        <v>303</v>
      </c>
      <c r="EF532" s="49" t="s">
        <v>2366</v>
      </c>
      <c r="EH532" s="49" t="s">
        <v>310</v>
      </c>
      <c r="EJ532" s="49" t="s">
        <v>303</v>
      </c>
      <c r="EK532" s="49" t="s">
        <v>2367</v>
      </c>
      <c r="EM532" s="49" t="s">
        <v>303</v>
      </c>
      <c r="EN532" s="49" t="s">
        <v>485</v>
      </c>
      <c r="EP532" s="49" t="s">
        <v>298</v>
      </c>
      <c r="EQ532" s="0" t="n">
        <v>1</v>
      </c>
      <c r="ER532" s="49" t="s">
        <v>328</v>
      </c>
      <c r="ES532" s="49" t="s">
        <v>329</v>
      </c>
      <c r="ET532" s="49" t="s">
        <v>310</v>
      </c>
      <c r="EU532" s="49" t="s">
        <v>310</v>
      </c>
      <c r="EV532" s="49" t="s">
        <v>310</v>
      </c>
      <c r="EX532" s="49" t="s">
        <v>303</v>
      </c>
      <c r="EY532" s="49" t="s">
        <v>303</v>
      </c>
      <c r="FC532" s="49" t="s">
        <v>330</v>
      </c>
      <c r="FD532" s="49" t="s">
        <v>310</v>
      </c>
      <c r="FE532" s="49" t="s">
        <v>310</v>
      </c>
      <c r="FF532" s="49" t="s">
        <v>72</v>
      </c>
      <c r="FG532" s="49" t="s">
        <v>486</v>
      </c>
      <c r="FH532" s="49" t="s">
        <v>310</v>
      </c>
      <c r="FI532" s="49" t="s">
        <v>332</v>
      </c>
      <c r="FJ532" s="49" t="s">
        <v>303</v>
      </c>
      <c r="FL532" s="49" t="s">
        <v>325</v>
      </c>
      <c r="FM532" s="49" t="s">
        <v>2300</v>
      </c>
      <c r="FP532" s="49" t="s">
        <v>303</v>
      </c>
      <c r="FR532" s="49" t="s">
        <v>303</v>
      </c>
      <c r="FT532" s="49" t="s">
        <v>325</v>
      </c>
      <c r="FU532" s="49" t="s">
        <v>325</v>
      </c>
      <c r="FW532" s="49" t="s">
        <v>333</v>
      </c>
    </row>
    <row r="533" customFormat="false" ht="15" hidden="false" customHeight="false" outlineLevel="0" collapsed="false">
      <c r="A533" s="0" t="n">
        <v>100871610</v>
      </c>
      <c r="B533" s="0" t="s">
        <v>295</v>
      </c>
      <c r="C533" s="0" t="s">
        <v>72</v>
      </c>
      <c r="D533" s="0" t="s">
        <v>480</v>
      </c>
      <c r="E533" s="0" t="s">
        <v>297</v>
      </c>
      <c r="G533" s="0" t="n">
        <v>1</v>
      </c>
      <c r="H533" s="0" t="s">
        <v>298</v>
      </c>
      <c r="I533" s="48" t="n">
        <v>46226</v>
      </c>
      <c r="J533" s="0" t="n">
        <v>1</v>
      </c>
      <c r="K533" s="49" t="s">
        <v>2300</v>
      </c>
      <c r="L533" s="49" t="s">
        <v>1035</v>
      </c>
      <c r="M533" s="48"/>
      <c r="O533" s="49" t="s">
        <v>1052</v>
      </c>
      <c r="P533" s="48"/>
      <c r="Q533" s="48" t="n">
        <v>46226</v>
      </c>
      <c r="R533" s="48" t="n">
        <v>46232</v>
      </c>
      <c r="T533" s="49" t="s">
        <v>302</v>
      </c>
      <c r="U533" s="49" t="s">
        <v>303</v>
      </c>
      <c r="Y533" s="49" t="s">
        <v>312</v>
      </c>
      <c r="AD533" s="49" t="s">
        <v>305</v>
      </c>
      <c r="AE533" s="48" t="n">
        <v>46188</v>
      </c>
      <c r="AF533" s="49" t="s">
        <v>306</v>
      </c>
      <c r="AG533" s="49" t="s">
        <v>307</v>
      </c>
      <c r="AK533" s="49" t="s">
        <v>1047</v>
      </c>
      <c r="AL533" s="49" t="s">
        <v>297</v>
      </c>
      <c r="AO533" s="49" t="s">
        <v>303</v>
      </c>
      <c r="AP533" s="48"/>
      <c r="AR533" s="49" t="s">
        <v>303</v>
      </c>
      <c r="AS533" s="49" t="s">
        <v>306</v>
      </c>
      <c r="AT533" s="49" t="s">
        <v>2368</v>
      </c>
      <c r="AV533" s="49" t="s">
        <v>309</v>
      </c>
      <c r="AW533" s="49" t="s">
        <v>310</v>
      </c>
      <c r="AX533" s="49" t="s">
        <v>311</v>
      </c>
      <c r="AY533" s="48"/>
      <c r="AZ533" s="48" t="n">
        <v>46224</v>
      </c>
      <c r="BC533" s="49" t="s">
        <v>303</v>
      </c>
      <c r="BD533" s="48" t="n">
        <v>46252</v>
      </c>
      <c r="BE533" s="49" t="s">
        <v>2369</v>
      </c>
      <c r="BF533" s="49" t="s">
        <v>303</v>
      </c>
      <c r="BG533" s="48"/>
      <c r="BI533" s="48" t="n">
        <v>46252</v>
      </c>
      <c r="BJ533" s="48" t="n">
        <v>46231</v>
      </c>
      <c r="BK533" s="49" t="s">
        <v>313</v>
      </c>
      <c r="BL533" s="49" t="s">
        <v>313</v>
      </c>
      <c r="BM533" s="49" t="s">
        <v>310</v>
      </c>
      <c r="BN533" s="48"/>
      <c r="BO533" s="48"/>
      <c r="BP533" s="48"/>
      <c r="BQ533" s="49" t="s">
        <v>2304</v>
      </c>
      <c r="BR533" s="48" t="n">
        <v>46231</v>
      </c>
      <c r="BS533" s="49" t="s">
        <v>2370</v>
      </c>
      <c r="BT533" s="49" t="s">
        <v>312</v>
      </c>
      <c r="BU533" s="49" t="s">
        <v>313</v>
      </c>
      <c r="BV533" s="49" t="s">
        <v>303</v>
      </c>
      <c r="BX533" s="0" t="n">
        <v>1</v>
      </c>
      <c r="CC533" s="49" t="s">
        <v>315</v>
      </c>
      <c r="CD533" s="49" t="s">
        <v>303</v>
      </c>
      <c r="CF533" s="49" t="s">
        <v>303</v>
      </c>
      <c r="CG533" s="49" t="s">
        <v>316</v>
      </c>
      <c r="CH533" s="49" t="s">
        <v>317</v>
      </c>
      <c r="CI533" s="49" t="s">
        <v>318</v>
      </c>
      <c r="CM533" s="49" t="s">
        <v>480</v>
      </c>
      <c r="CV533" s="49" t="s">
        <v>303</v>
      </c>
      <c r="DB533" s="49" t="s">
        <v>319</v>
      </c>
      <c r="DD533" s="48" t="n">
        <v>46188</v>
      </c>
      <c r="DF533" s="49" t="s">
        <v>310</v>
      </c>
      <c r="DG533" s="49" t="s">
        <v>320</v>
      </c>
      <c r="DH533" s="49" t="s">
        <v>72</v>
      </c>
      <c r="DI533" s="49" t="s">
        <v>298</v>
      </c>
      <c r="DJ533" s="49" t="s">
        <v>321</v>
      </c>
      <c r="DK533" s="49" t="s">
        <v>322</v>
      </c>
      <c r="DL533" s="49" t="s">
        <v>323</v>
      </c>
      <c r="DM533" s="49" t="s">
        <v>303</v>
      </c>
      <c r="DN533" s="49" t="s">
        <v>297</v>
      </c>
      <c r="DO533" s="48"/>
      <c r="DP533" s="49" t="s">
        <v>312</v>
      </c>
      <c r="DQ533" s="48"/>
      <c r="DR533" s="49" t="s">
        <v>312</v>
      </c>
      <c r="DS533" s="49" t="s">
        <v>303</v>
      </c>
      <c r="DT533" s="49" t="s">
        <v>303</v>
      </c>
      <c r="DW533" s="49" t="s">
        <v>303</v>
      </c>
      <c r="EA533" s="49" t="s">
        <v>324</v>
      </c>
      <c r="EB533" s="49" t="s">
        <v>303</v>
      </c>
      <c r="EF533" s="49" t="s">
        <v>2366</v>
      </c>
      <c r="EH533" s="49" t="s">
        <v>310</v>
      </c>
      <c r="EJ533" s="49" t="s">
        <v>303</v>
      </c>
      <c r="EK533" s="49" t="s">
        <v>2371</v>
      </c>
      <c r="EM533" s="49" t="s">
        <v>303</v>
      </c>
      <c r="EN533" s="49" t="s">
        <v>485</v>
      </c>
      <c r="EP533" s="49" t="s">
        <v>298</v>
      </c>
      <c r="EQ533" s="0" t="n">
        <v>1</v>
      </c>
      <c r="ER533" s="49" t="s">
        <v>328</v>
      </c>
      <c r="ES533" s="49" t="s">
        <v>329</v>
      </c>
      <c r="ET533" s="49" t="s">
        <v>310</v>
      </c>
      <c r="EU533" s="49" t="s">
        <v>310</v>
      </c>
      <c r="EV533" s="49" t="s">
        <v>310</v>
      </c>
      <c r="EX533" s="49" t="s">
        <v>303</v>
      </c>
      <c r="EY533" s="49" t="s">
        <v>303</v>
      </c>
      <c r="FC533" s="49" t="s">
        <v>330</v>
      </c>
      <c r="FD533" s="49" t="s">
        <v>310</v>
      </c>
      <c r="FE533" s="49" t="s">
        <v>310</v>
      </c>
      <c r="FF533" s="49" t="s">
        <v>72</v>
      </c>
      <c r="FG533" s="49" t="s">
        <v>486</v>
      </c>
      <c r="FH533" s="49" t="s">
        <v>310</v>
      </c>
      <c r="FI533" s="49" t="s">
        <v>332</v>
      </c>
      <c r="FJ533" s="49" t="s">
        <v>303</v>
      </c>
      <c r="FL533" s="49" t="s">
        <v>325</v>
      </c>
      <c r="FM533" s="49" t="s">
        <v>2300</v>
      </c>
      <c r="FP533" s="49" t="s">
        <v>303</v>
      </c>
      <c r="FR533" s="49" t="s">
        <v>303</v>
      </c>
      <c r="FT533" s="49" t="s">
        <v>325</v>
      </c>
      <c r="FU533" s="49" t="s">
        <v>325</v>
      </c>
      <c r="FW533" s="49" t="s">
        <v>333</v>
      </c>
    </row>
    <row r="534" customFormat="false" ht="15" hidden="false" customHeight="false" outlineLevel="0" collapsed="false">
      <c r="A534" s="0" t="n">
        <v>100871615</v>
      </c>
      <c r="B534" s="0" t="s">
        <v>295</v>
      </c>
      <c r="C534" s="0" t="s">
        <v>70</v>
      </c>
      <c r="D534" s="0" t="s">
        <v>468</v>
      </c>
      <c r="E534" s="0" t="s">
        <v>297</v>
      </c>
      <c r="G534" s="0" t="n">
        <v>1</v>
      </c>
      <c r="H534" s="0" t="s">
        <v>298</v>
      </c>
      <c r="I534" s="48" t="n">
        <v>46226</v>
      </c>
      <c r="J534" s="0" t="n">
        <v>0</v>
      </c>
      <c r="K534" s="49" t="s">
        <v>2300</v>
      </c>
      <c r="L534" s="49" t="s">
        <v>1035</v>
      </c>
      <c r="M534" s="48" t="n">
        <v>46226</v>
      </c>
      <c r="N534" s="49" t="s">
        <v>1035</v>
      </c>
      <c r="O534" s="49" t="s">
        <v>336</v>
      </c>
      <c r="P534" s="48"/>
      <c r="Q534" s="48" t="n">
        <v>46226</v>
      </c>
      <c r="R534" s="48" t="n">
        <v>46233</v>
      </c>
      <c r="T534" s="49" t="s">
        <v>302</v>
      </c>
      <c r="U534" s="49" t="s">
        <v>303</v>
      </c>
      <c r="Y534" s="49" t="s">
        <v>2372</v>
      </c>
      <c r="AD534" s="49" t="s">
        <v>305</v>
      </c>
      <c r="AE534" s="48" t="n">
        <v>46188</v>
      </c>
      <c r="AF534" s="49" t="s">
        <v>306</v>
      </c>
      <c r="AG534" s="49" t="s">
        <v>307</v>
      </c>
      <c r="AK534" s="49" t="s">
        <v>303</v>
      </c>
      <c r="AL534" s="49" t="s">
        <v>297</v>
      </c>
      <c r="AO534" s="49" t="s">
        <v>303</v>
      </c>
      <c r="AP534" s="48"/>
      <c r="AR534" s="49" t="s">
        <v>303</v>
      </c>
      <c r="AS534" s="49" t="s">
        <v>306</v>
      </c>
      <c r="AT534" s="49" t="s">
        <v>2373</v>
      </c>
      <c r="AV534" s="49" t="s">
        <v>309</v>
      </c>
      <c r="AW534" s="49" t="s">
        <v>310</v>
      </c>
      <c r="AX534" s="49" t="s">
        <v>311</v>
      </c>
      <c r="AY534" s="48"/>
      <c r="AZ534" s="48" t="n">
        <v>46224</v>
      </c>
      <c r="BC534" s="49" t="s">
        <v>303</v>
      </c>
      <c r="BD534" s="48"/>
      <c r="BE534" s="49" t="s">
        <v>312</v>
      </c>
      <c r="BF534" s="49" t="s">
        <v>303</v>
      </c>
      <c r="BG534" s="48"/>
      <c r="BI534" s="48"/>
      <c r="BJ534" s="48" t="n">
        <v>46231</v>
      </c>
      <c r="BK534" s="49" t="s">
        <v>312</v>
      </c>
      <c r="BL534" s="49" t="s">
        <v>313</v>
      </c>
      <c r="BM534" s="49" t="s">
        <v>310</v>
      </c>
      <c r="BN534" s="48"/>
      <c r="BO534" s="48"/>
      <c r="BP534" s="48"/>
      <c r="BR534" s="48" t="n">
        <v>46231</v>
      </c>
      <c r="BS534" s="49" t="s">
        <v>312</v>
      </c>
      <c r="BT534" s="49" t="s">
        <v>312</v>
      </c>
      <c r="BU534" s="49" t="s">
        <v>313</v>
      </c>
      <c r="BV534" s="49" t="s">
        <v>303</v>
      </c>
      <c r="BX534" s="0" t="n">
        <v>0</v>
      </c>
      <c r="CC534" s="49" t="s">
        <v>315</v>
      </c>
      <c r="CD534" s="49" t="s">
        <v>303</v>
      </c>
      <c r="CF534" s="49" t="s">
        <v>303</v>
      </c>
      <c r="CG534" s="49" t="s">
        <v>316</v>
      </c>
      <c r="CH534" s="49" t="s">
        <v>317</v>
      </c>
      <c r="CI534" s="49" t="s">
        <v>318</v>
      </c>
      <c r="CM534" s="49" t="s">
        <v>468</v>
      </c>
      <c r="CV534" s="49" t="s">
        <v>303</v>
      </c>
      <c r="DB534" s="49" t="s">
        <v>319</v>
      </c>
      <c r="DD534" s="48" t="n">
        <v>46188</v>
      </c>
      <c r="DF534" s="49" t="s">
        <v>310</v>
      </c>
      <c r="DG534" s="49" t="s">
        <v>320</v>
      </c>
      <c r="DH534" s="49" t="s">
        <v>70</v>
      </c>
      <c r="DI534" s="49" t="s">
        <v>298</v>
      </c>
      <c r="DJ534" s="49" t="s">
        <v>321</v>
      </c>
      <c r="DK534" s="49" t="s">
        <v>322</v>
      </c>
      <c r="DL534" s="49" t="s">
        <v>323</v>
      </c>
      <c r="DM534" s="49" t="s">
        <v>303</v>
      </c>
      <c r="DN534" s="49" t="s">
        <v>297</v>
      </c>
      <c r="DO534" s="48"/>
      <c r="DP534" s="49" t="s">
        <v>312</v>
      </c>
      <c r="DQ534" s="48"/>
      <c r="DR534" s="49" t="s">
        <v>312</v>
      </c>
      <c r="DS534" s="49" t="s">
        <v>303</v>
      </c>
      <c r="DT534" s="49" t="s">
        <v>303</v>
      </c>
      <c r="DW534" s="49" t="s">
        <v>303</v>
      </c>
      <c r="EA534" s="49" t="s">
        <v>324</v>
      </c>
      <c r="EB534" s="49" t="s">
        <v>303</v>
      </c>
      <c r="EH534" s="49" t="s">
        <v>310</v>
      </c>
      <c r="EJ534" s="49" t="s">
        <v>303</v>
      </c>
      <c r="EK534" s="49" t="s">
        <v>2374</v>
      </c>
      <c r="EM534" s="49" t="s">
        <v>303</v>
      </c>
      <c r="EN534" s="49" t="s">
        <v>472</v>
      </c>
      <c r="EP534" s="49" t="s">
        <v>298</v>
      </c>
      <c r="EQ534" s="0" t="n">
        <v>1</v>
      </c>
      <c r="ER534" s="49" t="s">
        <v>328</v>
      </c>
      <c r="ES534" s="49" t="s">
        <v>329</v>
      </c>
      <c r="ET534" s="49" t="s">
        <v>310</v>
      </c>
      <c r="EU534" s="49" t="s">
        <v>310</v>
      </c>
      <c r="EV534" s="49" t="s">
        <v>310</v>
      </c>
      <c r="EX534" s="49" t="s">
        <v>303</v>
      </c>
      <c r="EY534" s="49" t="s">
        <v>303</v>
      </c>
      <c r="FC534" s="49" t="s">
        <v>330</v>
      </c>
      <c r="FD534" s="49" t="s">
        <v>310</v>
      </c>
      <c r="FE534" s="49" t="s">
        <v>310</v>
      </c>
      <c r="FF534" s="49" t="s">
        <v>70</v>
      </c>
      <c r="FG534" s="49" t="s">
        <v>473</v>
      </c>
      <c r="FH534" s="49" t="s">
        <v>310</v>
      </c>
      <c r="FI534" s="49" t="s">
        <v>332</v>
      </c>
      <c r="FJ534" s="49" t="s">
        <v>303</v>
      </c>
      <c r="FL534" s="49" t="s">
        <v>325</v>
      </c>
      <c r="FM534" s="49" t="s">
        <v>2300</v>
      </c>
      <c r="FP534" s="49" t="s">
        <v>303</v>
      </c>
      <c r="FR534" s="49" t="s">
        <v>303</v>
      </c>
      <c r="FT534" s="49" t="s">
        <v>325</v>
      </c>
      <c r="FU534" s="49" t="s">
        <v>325</v>
      </c>
      <c r="FW534" s="49" t="s">
        <v>333</v>
      </c>
    </row>
    <row r="535" customFormat="false" ht="15" hidden="false" customHeight="false" outlineLevel="0" collapsed="false">
      <c r="A535" s="0" t="n">
        <v>100871616</v>
      </c>
      <c r="B535" s="0" t="s">
        <v>295</v>
      </c>
      <c r="C535" s="0" t="s">
        <v>70</v>
      </c>
      <c r="D535" s="0" t="s">
        <v>468</v>
      </c>
      <c r="E535" s="0" t="s">
        <v>297</v>
      </c>
      <c r="G535" s="0" t="n">
        <v>1</v>
      </c>
      <c r="H535" s="0" t="s">
        <v>298</v>
      </c>
      <c r="I535" s="48" t="n">
        <v>46226</v>
      </c>
      <c r="J535" s="0" t="n">
        <v>0</v>
      </c>
      <c r="K535" s="49" t="s">
        <v>2300</v>
      </c>
      <c r="L535" s="49" t="s">
        <v>1035</v>
      </c>
      <c r="M535" s="48"/>
      <c r="O535" s="49" t="s">
        <v>336</v>
      </c>
      <c r="P535" s="48"/>
      <c r="Q535" s="48" t="n">
        <v>46226</v>
      </c>
      <c r="R535" s="48" t="n">
        <v>46232</v>
      </c>
      <c r="T535" s="49" t="s">
        <v>302</v>
      </c>
      <c r="U535" s="49" t="s">
        <v>303</v>
      </c>
      <c r="Y535" s="49" t="s">
        <v>312</v>
      </c>
      <c r="AD535" s="49" t="s">
        <v>305</v>
      </c>
      <c r="AE535" s="48" t="n">
        <v>46188</v>
      </c>
      <c r="AF535" s="49" t="s">
        <v>306</v>
      </c>
      <c r="AG535" s="49" t="s">
        <v>307</v>
      </c>
      <c r="AK535" s="49" t="s">
        <v>303</v>
      </c>
      <c r="AL535" s="49" t="s">
        <v>297</v>
      </c>
      <c r="AO535" s="49" t="s">
        <v>303</v>
      </c>
      <c r="AP535" s="48"/>
      <c r="AR535" s="49" t="s">
        <v>303</v>
      </c>
      <c r="AS535" s="49" t="s">
        <v>306</v>
      </c>
      <c r="AT535" s="49" t="s">
        <v>2375</v>
      </c>
      <c r="AV535" s="49" t="s">
        <v>309</v>
      </c>
      <c r="AW535" s="49" t="s">
        <v>310</v>
      </c>
      <c r="AX535" s="49" t="s">
        <v>311</v>
      </c>
      <c r="AY535" s="48"/>
      <c r="AZ535" s="48" t="n">
        <v>46224</v>
      </c>
      <c r="BC535" s="49" t="s">
        <v>303</v>
      </c>
      <c r="BD535" s="48"/>
      <c r="BE535" s="49" t="s">
        <v>312</v>
      </c>
      <c r="BF535" s="49" t="s">
        <v>303</v>
      </c>
      <c r="BG535" s="48"/>
      <c r="BI535" s="48"/>
      <c r="BJ535" s="48" t="n">
        <v>46231</v>
      </c>
      <c r="BK535" s="49" t="s">
        <v>313</v>
      </c>
      <c r="BL535" s="49" t="s">
        <v>313</v>
      </c>
      <c r="BM535" s="49" t="s">
        <v>310</v>
      </c>
      <c r="BN535" s="48"/>
      <c r="BO535" s="48"/>
      <c r="BP535" s="48"/>
      <c r="BR535" s="48" t="n">
        <v>46231</v>
      </c>
      <c r="BS535" s="49" t="s">
        <v>312</v>
      </c>
      <c r="BT535" s="49" t="s">
        <v>312</v>
      </c>
      <c r="BU535" s="49" t="s">
        <v>313</v>
      </c>
      <c r="BV535" s="49" t="s">
        <v>303</v>
      </c>
      <c r="BX535" s="0" t="n">
        <v>0</v>
      </c>
      <c r="CC535" s="49" t="s">
        <v>315</v>
      </c>
      <c r="CD535" s="49" t="s">
        <v>303</v>
      </c>
      <c r="CF535" s="49" t="s">
        <v>303</v>
      </c>
      <c r="CG535" s="49" t="s">
        <v>316</v>
      </c>
      <c r="CH535" s="49" t="s">
        <v>317</v>
      </c>
      <c r="CI535" s="49" t="s">
        <v>318</v>
      </c>
      <c r="CM535" s="49" t="s">
        <v>468</v>
      </c>
      <c r="CV535" s="49" t="s">
        <v>303</v>
      </c>
      <c r="DB535" s="49" t="s">
        <v>319</v>
      </c>
      <c r="DD535" s="48" t="n">
        <v>46188</v>
      </c>
      <c r="DF535" s="49" t="s">
        <v>310</v>
      </c>
      <c r="DG535" s="49" t="s">
        <v>320</v>
      </c>
      <c r="DH535" s="49" t="s">
        <v>70</v>
      </c>
      <c r="DI535" s="49" t="s">
        <v>298</v>
      </c>
      <c r="DJ535" s="49" t="s">
        <v>321</v>
      </c>
      <c r="DK535" s="49" t="s">
        <v>322</v>
      </c>
      <c r="DL535" s="49" t="s">
        <v>323</v>
      </c>
      <c r="DM535" s="49" t="s">
        <v>303</v>
      </c>
      <c r="DN535" s="49" t="s">
        <v>297</v>
      </c>
      <c r="DO535" s="48"/>
      <c r="DP535" s="49" t="s">
        <v>312</v>
      </c>
      <c r="DQ535" s="48"/>
      <c r="DR535" s="49" t="s">
        <v>312</v>
      </c>
      <c r="DS535" s="49" t="s">
        <v>303</v>
      </c>
      <c r="DT535" s="49" t="s">
        <v>303</v>
      </c>
      <c r="DW535" s="49" t="s">
        <v>303</v>
      </c>
      <c r="EA535" s="49" t="s">
        <v>324</v>
      </c>
      <c r="EB535" s="49" t="s">
        <v>303</v>
      </c>
      <c r="EF535" s="49" t="s">
        <v>2376</v>
      </c>
      <c r="EH535" s="49" t="s">
        <v>310</v>
      </c>
      <c r="EJ535" s="49" t="s">
        <v>303</v>
      </c>
      <c r="EK535" s="49" t="s">
        <v>2377</v>
      </c>
      <c r="EM535" s="49" t="s">
        <v>303</v>
      </c>
      <c r="EN535" s="49" t="s">
        <v>472</v>
      </c>
      <c r="EP535" s="49" t="s">
        <v>298</v>
      </c>
      <c r="EQ535" s="0" t="n">
        <v>1</v>
      </c>
      <c r="ER535" s="49" t="s">
        <v>328</v>
      </c>
      <c r="ES535" s="49" t="s">
        <v>329</v>
      </c>
      <c r="ET535" s="49" t="s">
        <v>310</v>
      </c>
      <c r="EU535" s="49" t="s">
        <v>310</v>
      </c>
      <c r="EV535" s="49" t="s">
        <v>310</v>
      </c>
      <c r="EX535" s="49" t="s">
        <v>303</v>
      </c>
      <c r="EY535" s="49" t="s">
        <v>303</v>
      </c>
      <c r="FC535" s="49" t="s">
        <v>330</v>
      </c>
      <c r="FD535" s="49" t="s">
        <v>310</v>
      </c>
      <c r="FE535" s="49" t="s">
        <v>310</v>
      </c>
      <c r="FF535" s="49" t="s">
        <v>70</v>
      </c>
      <c r="FG535" s="49" t="s">
        <v>473</v>
      </c>
      <c r="FH535" s="49" t="s">
        <v>310</v>
      </c>
      <c r="FI535" s="49" t="s">
        <v>332</v>
      </c>
      <c r="FJ535" s="49" t="s">
        <v>303</v>
      </c>
      <c r="FL535" s="49" t="s">
        <v>325</v>
      </c>
      <c r="FM535" s="49" t="s">
        <v>2300</v>
      </c>
      <c r="FP535" s="49" t="s">
        <v>303</v>
      </c>
      <c r="FR535" s="49" t="s">
        <v>303</v>
      </c>
      <c r="FT535" s="49" t="s">
        <v>325</v>
      </c>
      <c r="FU535" s="49" t="s">
        <v>325</v>
      </c>
      <c r="FW535" s="49" t="s">
        <v>333</v>
      </c>
    </row>
    <row r="536" customFormat="false" ht="15" hidden="false" customHeight="false" outlineLevel="0" collapsed="false">
      <c r="A536" s="0" t="n">
        <v>100871617</v>
      </c>
      <c r="B536" s="0" t="s">
        <v>295</v>
      </c>
      <c r="C536" s="0" t="s">
        <v>70</v>
      </c>
      <c r="D536" s="0" t="s">
        <v>468</v>
      </c>
      <c r="E536" s="0" t="s">
        <v>297</v>
      </c>
      <c r="G536" s="0" t="n">
        <v>1</v>
      </c>
      <c r="H536" s="0" t="s">
        <v>298</v>
      </c>
      <c r="I536" s="48" t="n">
        <v>46226</v>
      </c>
      <c r="J536" s="0" t="n">
        <v>0</v>
      </c>
      <c r="K536" s="49" t="s">
        <v>2300</v>
      </c>
      <c r="L536" s="49" t="s">
        <v>1035</v>
      </c>
      <c r="M536" s="48"/>
      <c r="O536" s="49" t="s">
        <v>336</v>
      </c>
      <c r="P536" s="48"/>
      <c r="Q536" s="48" t="n">
        <v>46226</v>
      </c>
      <c r="R536" s="48" t="n">
        <v>46232</v>
      </c>
      <c r="T536" s="49" t="s">
        <v>302</v>
      </c>
      <c r="U536" s="49" t="s">
        <v>303</v>
      </c>
      <c r="Y536" s="49" t="s">
        <v>312</v>
      </c>
      <c r="AD536" s="49" t="s">
        <v>305</v>
      </c>
      <c r="AE536" s="48" t="n">
        <v>46188</v>
      </c>
      <c r="AF536" s="49" t="s">
        <v>306</v>
      </c>
      <c r="AG536" s="49" t="s">
        <v>307</v>
      </c>
      <c r="AK536" s="49" t="s">
        <v>303</v>
      </c>
      <c r="AL536" s="49" t="s">
        <v>297</v>
      </c>
      <c r="AO536" s="49" t="s">
        <v>303</v>
      </c>
      <c r="AP536" s="48"/>
      <c r="AR536" s="49" t="s">
        <v>303</v>
      </c>
      <c r="AS536" s="49" t="s">
        <v>306</v>
      </c>
      <c r="AT536" s="49" t="s">
        <v>2378</v>
      </c>
      <c r="AV536" s="49" t="s">
        <v>309</v>
      </c>
      <c r="AW536" s="49" t="s">
        <v>310</v>
      </c>
      <c r="AX536" s="49" t="s">
        <v>311</v>
      </c>
      <c r="AY536" s="48"/>
      <c r="AZ536" s="48" t="n">
        <v>46224</v>
      </c>
      <c r="BC536" s="49" t="s">
        <v>303</v>
      </c>
      <c r="BD536" s="48"/>
      <c r="BE536" s="49" t="s">
        <v>312</v>
      </c>
      <c r="BF536" s="49" t="s">
        <v>303</v>
      </c>
      <c r="BG536" s="48"/>
      <c r="BI536" s="48"/>
      <c r="BJ536" s="48" t="n">
        <v>46231</v>
      </c>
      <c r="BK536" s="49" t="s">
        <v>313</v>
      </c>
      <c r="BL536" s="49" t="s">
        <v>313</v>
      </c>
      <c r="BM536" s="49" t="s">
        <v>310</v>
      </c>
      <c r="BN536" s="48"/>
      <c r="BO536" s="48"/>
      <c r="BP536" s="48"/>
      <c r="BR536" s="48" t="n">
        <v>46231</v>
      </c>
      <c r="BS536" s="49" t="s">
        <v>312</v>
      </c>
      <c r="BT536" s="49" t="s">
        <v>312</v>
      </c>
      <c r="BU536" s="49" t="s">
        <v>313</v>
      </c>
      <c r="BV536" s="49" t="s">
        <v>303</v>
      </c>
      <c r="BX536" s="0" t="n">
        <v>0</v>
      </c>
      <c r="CC536" s="49" t="s">
        <v>315</v>
      </c>
      <c r="CD536" s="49" t="s">
        <v>303</v>
      </c>
      <c r="CF536" s="49" t="s">
        <v>303</v>
      </c>
      <c r="CG536" s="49" t="s">
        <v>316</v>
      </c>
      <c r="CH536" s="49" t="s">
        <v>317</v>
      </c>
      <c r="CI536" s="49" t="s">
        <v>318</v>
      </c>
      <c r="CM536" s="49" t="s">
        <v>468</v>
      </c>
      <c r="CV536" s="49" t="s">
        <v>303</v>
      </c>
      <c r="DB536" s="49" t="s">
        <v>319</v>
      </c>
      <c r="DD536" s="48" t="n">
        <v>46188</v>
      </c>
      <c r="DF536" s="49" t="s">
        <v>310</v>
      </c>
      <c r="DG536" s="49" t="s">
        <v>320</v>
      </c>
      <c r="DH536" s="49" t="s">
        <v>70</v>
      </c>
      <c r="DI536" s="49" t="s">
        <v>298</v>
      </c>
      <c r="DJ536" s="49" t="s">
        <v>321</v>
      </c>
      <c r="DK536" s="49" t="s">
        <v>322</v>
      </c>
      <c r="DL536" s="49" t="s">
        <v>323</v>
      </c>
      <c r="DM536" s="49" t="s">
        <v>303</v>
      </c>
      <c r="DN536" s="49" t="s">
        <v>297</v>
      </c>
      <c r="DO536" s="48"/>
      <c r="DP536" s="49" t="s">
        <v>312</v>
      </c>
      <c r="DQ536" s="48"/>
      <c r="DR536" s="49" t="s">
        <v>312</v>
      </c>
      <c r="DS536" s="49" t="s">
        <v>303</v>
      </c>
      <c r="DT536" s="49" t="s">
        <v>303</v>
      </c>
      <c r="DW536" s="49" t="s">
        <v>303</v>
      </c>
      <c r="EA536" s="49" t="s">
        <v>324</v>
      </c>
      <c r="EB536" s="49" t="s">
        <v>303</v>
      </c>
      <c r="EF536" s="49" t="s">
        <v>2376</v>
      </c>
      <c r="EH536" s="49" t="s">
        <v>310</v>
      </c>
      <c r="EJ536" s="49" t="s">
        <v>303</v>
      </c>
      <c r="EK536" s="49" t="s">
        <v>2379</v>
      </c>
      <c r="EM536" s="49" t="s">
        <v>303</v>
      </c>
      <c r="EN536" s="49" t="s">
        <v>472</v>
      </c>
      <c r="EP536" s="49" t="s">
        <v>298</v>
      </c>
      <c r="EQ536" s="0" t="n">
        <v>1</v>
      </c>
      <c r="ER536" s="49" t="s">
        <v>328</v>
      </c>
      <c r="ES536" s="49" t="s">
        <v>329</v>
      </c>
      <c r="ET536" s="49" t="s">
        <v>310</v>
      </c>
      <c r="EU536" s="49" t="s">
        <v>310</v>
      </c>
      <c r="EV536" s="49" t="s">
        <v>310</v>
      </c>
      <c r="EX536" s="49" t="s">
        <v>303</v>
      </c>
      <c r="EY536" s="49" t="s">
        <v>303</v>
      </c>
      <c r="FC536" s="49" t="s">
        <v>330</v>
      </c>
      <c r="FD536" s="49" t="s">
        <v>310</v>
      </c>
      <c r="FE536" s="49" t="s">
        <v>310</v>
      </c>
      <c r="FF536" s="49" t="s">
        <v>70</v>
      </c>
      <c r="FG536" s="49" t="s">
        <v>473</v>
      </c>
      <c r="FH536" s="49" t="s">
        <v>310</v>
      </c>
      <c r="FI536" s="49" t="s">
        <v>332</v>
      </c>
      <c r="FJ536" s="49" t="s">
        <v>303</v>
      </c>
      <c r="FL536" s="49" t="s">
        <v>325</v>
      </c>
      <c r="FM536" s="49" t="s">
        <v>2300</v>
      </c>
      <c r="FP536" s="49" t="s">
        <v>303</v>
      </c>
      <c r="FR536" s="49" t="s">
        <v>303</v>
      </c>
      <c r="FT536" s="49" t="s">
        <v>325</v>
      </c>
      <c r="FU536" s="49" t="s">
        <v>325</v>
      </c>
      <c r="FW536" s="49" t="s">
        <v>333</v>
      </c>
    </row>
    <row r="537" customFormat="false" ht="15" hidden="false" customHeight="false" outlineLevel="0" collapsed="false">
      <c r="A537" s="0" t="n">
        <v>100871244</v>
      </c>
      <c r="B537" s="0" t="s">
        <v>295</v>
      </c>
      <c r="C537" s="0" t="s">
        <v>53</v>
      </c>
      <c r="D537" s="0" t="s">
        <v>54</v>
      </c>
      <c r="E537" s="0" t="s">
        <v>297</v>
      </c>
      <c r="G537" s="0" t="n">
        <v>1</v>
      </c>
      <c r="H537" s="0" t="s">
        <v>298</v>
      </c>
      <c r="I537" s="48" t="n">
        <v>46225</v>
      </c>
      <c r="J537" s="0" t="n">
        <v>1</v>
      </c>
      <c r="K537" s="49" t="s">
        <v>2380</v>
      </c>
      <c r="L537" s="49" t="s">
        <v>1035</v>
      </c>
      <c r="M537" s="48" t="n">
        <v>46225</v>
      </c>
      <c r="N537" s="49" t="s">
        <v>1035</v>
      </c>
      <c r="O537" s="49" t="s">
        <v>1052</v>
      </c>
      <c r="P537" s="48"/>
      <c r="Q537" s="48" t="n">
        <v>46225</v>
      </c>
      <c r="R537" s="48" t="n">
        <v>46232</v>
      </c>
      <c r="T537" s="49" t="s">
        <v>302</v>
      </c>
      <c r="U537" s="49" t="s">
        <v>303</v>
      </c>
      <c r="Y537" s="49" t="s">
        <v>2381</v>
      </c>
      <c r="AD537" s="49" t="s">
        <v>305</v>
      </c>
      <c r="AE537" s="48" t="n">
        <v>46205</v>
      </c>
      <c r="AF537" s="49" t="s">
        <v>306</v>
      </c>
      <c r="AG537" s="49" t="s">
        <v>307</v>
      </c>
      <c r="AK537" s="49" t="s">
        <v>1047</v>
      </c>
      <c r="AL537" s="49" t="s">
        <v>297</v>
      </c>
      <c r="AO537" s="49" t="s">
        <v>303</v>
      </c>
      <c r="AP537" s="48"/>
      <c r="AR537" s="49" t="s">
        <v>303</v>
      </c>
      <c r="AS537" s="49" t="s">
        <v>306</v>
      </c>
      <c r="AT537" s="49" t="s">
        <v>2382</v>
      </c>
      <c r="AV537" s="49" t="s">
        <v>309</v>
      </c>
      <c r="AW537" s="49" t="s">
        <v>310</v>
      </c>
      <c r="AX537" s="49" t="s">
        <v>311</v>
      </c>
      <c r="AY537" s="48"/>
      <c r="AZ537" s="48" t="n">
        <v>46217</v>
      </c>
      <c r="BC537" s="49" t="s">
        <v>303</v>
      </c>
      <c r="BD537" s="48" t="n">
        <v>46240</v>
      </c>
      <c r="BE537" s="49" t="s">
        <v>2383</v>
      </c>
      <c r="BF537" s="49" t="s">
        <v>303</v>
      </c>
      <c r="BG537" s="48"/>
      <c r="BI537" s="48" t="n">
        <v>46240</v>
      </c>
      <c r="BJ537" s="48" t="n">
        <v>46230</v>
      </c>
      <c r="BK537" s="49" t="s">
        <v>312</v>
      </c>
      <c r="BL537" s="49" t="s">
        <v>313</v>
      </c>
      <c r="BM537" s="49" t="s">
        <v>310</v>
      </c>
      <c r="BN537" s="48"/>
      <c r="BO537" s="48"/>
      <c r="BP537" s="48"/>
      <c r="BQ537" s="49" t="s">
        <v>2384</v>
      </c>
      <c r="BR537" s="48" t="n">
        <v>46224</v>
      </c>
      <c r="BS537" s="49" t="s">
        <v>2385</v>
      </c>
      <c r="BT537" s="49" t="s">
        <v>312</v>
      </c>
      <c r="BU537" s="49" t="s">
        <v>312</v>
      </c>
      <c r="BV537" s="49" t="s">
        <v>303</v>
      </c>
      <c r="BX537" s="0" t="n">
        <v>1</v>
      </c>
      <c r="CC537" s="49" t="s">
        <v>315</v>
      </c>
      <c r="CD537" s="49" t="s">
        <v>303</v>
      </c>
      <c r="CF537" s="49" t="s">
        <v>303</v>
      </c>
      <c r="CG537" s="49" t="s">
        <v>316</v>
      </c>
      <c r="CH537" s="49" t="s">
        <v>317</v>
      </c>
      <c r="CI537" s="49" t="s">
        <v>318</v>
      </c>
      <c r="CM537" s="49" t="s">
        <v>54</v>
      </c>
      <c r="CV537" s="49" t="s">
        <v>303</v>
      </c>
      <c r="DB537" s="49" t="s">
        <v>319</v>
      </c>
      <c r="DD537" s="48" t="n">
        <v>46205</v>
      </c>
      <c r="DF537" s="49" t="s">
        <v>310</v>
      </c>
      <c r="DG537" s="49" t="s">
        <v>320</v>
      </c>
      <c r="DH537" s="49" t="s">
        <v>53</v>
      </c>
      <c r="DI537" s="49" t="s">
        <v>298</v>
      </c>
      <c r="DJ537" s="49" t="s">
        <v>355</v>
      </c>
      <c r="DK537" s="49" t="s">
        <v>322</v>
      </c>
      <c r="DL537" s="49" t="s">
        <v>323</v>
      </c>
      <c r="DM537" s="49" t="s">
        <v>303</v>
      </c>
      <c r="DN537" s="49" t="s">
        <v>297</v>
      </c>
      <c r="DO537" s="48"/>
      <c r="DP537" s="49" t="s">
        <v>312</v>
      </c>
      <c r="DQ537" s="48"/>
      <c r="DR537" s="49" t="s">
        <v>312</v>
      </c>
      <c r="DS537" s="49" t="s">
        <v>303</v>
      </c>
      <c r="DT537" s="49" t="s">
        <v>303</v>
      </c>
      <c r="DW537" s="49" t="s">
        <v>303</v>
      </c>
      <c r="EA537" s="49" t="s">
        <v>324</v>
      </c>
      <c r="EB537" s="49" t="s">
        <v>303</v>
      </c>
      <c r="EH537" s="49" t="s">
        <v>310</v>
      </c>
      <c r="EJ537" s="49" t="s">
        <v>303</v>
      </c>
      <c r="EK537" s="49" t="s">
        <v>2386</v>
      </c>
      <c r="EM537" s="49" t="s">
        <v>303</v>
      </c>
      <c r="EN537" s="49" t="s">
        <v>357</v>
      </c>
      <c r="EP537" s="49" t="s">
        <v>298</v>
      </c>
      <c r="EQ537" s="0" t="n">
        <v>1</v>
      </c>
      <c r="ER537" s="49" t="s">
        <v>328</v>
      </c>
      <c r="ES537" s="49" t="s">
        <v>358</v>
      </c>
      <c r="ET537" s="49" t="s">
        <v>310</v>
      </c>
      <c r="EU537" s="49" t="s">
        <v>310</v>
      </c>
      <c r="EV537" s="49" t="s">
        <v>310</v>
      </c>
      <c r="EX537" s="49" t="s">
        <v>303</v>
      </c>
      <c r="EY537" s="49" t="s">
        <v>303</v>
      </c>
      <c r="FC537" s="49" t="s">
        <v>330</v>
      </c>
      <c r="FD537" s="49" t="s">
        <v>310</v>
      </c>
      <c r="FE537" s="49" t="s">
        <v>310</v>
      </c>
      <c r="FF537" s="49" t="s">
        <v>53</v>
      </c>
      <c r="FG537" s="49" t="s">
        <v>359</v>
      </c>
      <c r="FH537" s="49" t="s">
        <v>310</v>
      </c>
      <c r="FI537" s="49" t="s">
        <v>332</v>
      </c>
      <c r="FJ537" s="49" t="s">
        <v>303</v>
      </c>
      <c r="FL537" s="49" t="s">
        <v>325</v>
      </c>
      <c r="FM537" s="49" t="s">
        <v>2380</v>
      </c>
      <c r="FP537" s="49" t="s">
        <v>303</v>
      </c>
      <c r="FR537" s="49" t="s">
        <v>303</v>
      </c>
      <c r="FT537" s="49" t="s">
        <v>325</v>
      </c>
      <c r="FU537" s="49" t="s">
        <v>325</v>
      </c>
      <c r="FW537" s="49" t="s">
        <v>333</v>
      </c>
    </row>
    <row r="538" customFormat="false" ht="15" hidden="false" customHeight="false" outlineLevel="0" collapsed="false">
      <c r="A538" s="0" t="n">
        <v>100871245</v>
      </c>
      <c r="B538" s="0" t="s">
        <v>295</v>
      </c>
      <c r="C538" s="0" t="s">
        <v>53</v>
      </c>
      <c r="D538" s="0" t="s">
        <v>54</v>
      </c>
      <c r="E538" s="0" t="s">
        <v>297</v>
      </c>
      <c r="G538" s="0" t="n">
        <v>1</v>
      </c>
      <c r="H538" s="0" t="s">
        <v>298</v>
      </c>
      <c r="I538" s="48" t="n">
        <v>46225</v>
      </c>
      <c r="J538" s="0" t="n">
        <v>1</v>
      </c>
      <c r="K538" s="49" t="s">
        <v>2380</v>
      </c>
      <c r="L538" s="49" t="s">
        <v>1035</v>
      </c>
      <c r="M538" s="48"/>
      <c r="O538" s="49" t="s">
        <v>1052</v>
      </c>
      <c r="P538" s="48"/>
      <c r="Q538" s="48" t="n">
        <v>46225</v>
      </c>
      <c r="R538" s="48" t="n">
        <v>46231</v>
      </c>
      <c r="T538" s="49" t="s">
        <v>302</v>
      </c>
      <c r="U538" s="49" t="s">
        <v>303</v>
      </c>
      <c r="Y538" s="49" t="s">
        <v>312</v>
      </c>
      <c r="AD538" s="49" t="s">
        <v>305</v>
      </c>
      <c r="AE538" s="48" t="n">
        <v>46205</v>
      </c>
      <c r="AF538" s="49" t="s">
        <v>306</v>
      </c>
      <c r="AG538" s="49" t="s">
        <v>307</v>
      </c>
      <c r="AK538" s="49" t="s">
        <v>1047</v>
      </c>
      <c r="AL538" s="49" t="s">
        <v>297</v>
      </c>
      <c r="AO538" s="49" t="s">
        <v>303</v>
      </c>
      <c r="AP538" s="48"/>
      <c r="AR538" s="49" t="s">
        <v>303</v>
      </c>
      <c r="AS538" s="49" t="s">
        <v>306</v>
      </c>
      <c r="AT538" s="49" t="s">
        <v>2387</v>
      </c>
      <c r="AV538" s="49" t="s">
        <v>309</v>
      </c>
      <c r="AW538" s="49" t="s">
        <v>310</v>
      </c>
      <c r="AX538" s="49" t="s">
        <v>311</v>
      </c>
      <c r="AY538" s="48"/>
      <c r="AZ538" s="48" t="n">
        <v>46217</v>
      </c>
      <c r="BC538" s="49" t="s">
        <v>303</v>
      </c>
      <c r="BD538" s="48" t="n">
        <v>46240</v>
      </c>
      <c r="BE538" s="49" t="s">
        <v>2388</v>
      </c>
      <c r="BF538" s="49" t="s">
        <v>303</v>
      </c>
      <c r="BG538" s="48"/>
      <c r="BI538" s="48" t="n">
        <v>46240</v>
      </c>
      <c r="BJ538" s="48" t="n">
        <v>46230</v>
      </c>
      <c r="BK538" s="49" t="s">
        <v>313</v>
      </c>
      <c r="BL538" s="49" t="s">
        <v>313</v>
      </c>
      <c r="BM538" s="49" t="s">
        <v>310</v>
      </c>
      <c r="BN538" s="48"/>
      <c r="BO538" s="48"/>
      <c r="BP538" s="48"/>
      <c r="BQ538" s="49" t="s">
        <v>2384</v>
      </c>
      <c r="BR538" s="48" t="n">
        <v>46224</v>
      </c>
      <c r="BS538" s="49" t="s">
        <v>2389</v>
      </c>
      <c r="BT538" s="49" t="s">
        <v>312</v>
      </c>
      <c r="BU538" s="49" t="s">
        <v>312</v>
      </c>
      <c r="BV538" s="49" t="s">
        <v>303</v>
      </c>
      <c r="BX538" s="0" t="n">
        <v>1</v>
      </c>
      <c r="CC538" s="49" t="s">
        <v>315</v>
      </c>
      <c r="CD538" s="49" t="s">
        <v>303</v>
      </c>
      <c r="CF538" s="49" t="s">
        <v>303</v>
      </c>
      <c r="CG538" s="49" t="s">
        <v>316</v>
      </c>
      <c r="CH538" s="49" t="s">
        <v>317</v>
      </c>
      <c r="CI538" s="49" t="s">
        <v>318</v>
      </c>
      <c r="CM538" s="49" t="s">
        <v>54</v>
      </c>
      <c r="CV538" s="49" t="s">
        <v>303</v>
      </c>
      <c r="DB538" s="49" t="s">
        <v>319</v>
      </c>
      <c r="DD538" s="48" t="n">
        <v>46205</v>
      </c>
      <c r="DF538" s="49" t="s">
        <v>310</v>
      </c>
      <c r="DG538" s="49" t="s">
        <v>320</v>
      </c>
      <c r="DH538" s="49" t="s">
        <v>53</v>
      </c>
      <c r="DI538" s="49" t="s">
        <v>298</v>
      </c>
      <c r="DJ538" s="49" t="s">
        <v>355</v>
      </c>
      <c r="DK538" s="49" t="s">
        <v>322</v>
      </c>
      <c r="DL538" s="49" t="s">
        <v>323</v>
      </c>
      <c r="DM538" s="49" t="s">
        <v>303</v>
      </c>
      <c r="DN538" s="49" t="s">
        <v>297</v>
      </c>
      <c r="DO538" s="48"/>
      <c r="DP538" s="49" t="s">
        <v>312</v>
      </c>
      <c r="DQ538" s="48"/>
      <c r="DR538" s="49" t="s">
        <v>312</v>
      </c>
      <c r="DS538" s="49" t="s">
        <v>303</v>
      </c>
      <c r="DT538" s="49" t="s">
        <v>303</v>
      </c>
      <c r="DW538" s="49" t="s">
        <v>303</v>
      </c>
      <c r="EA538" s="49" t="s">
        <v>324</v>
      </c>
      <c r="EB538" s="49" t="s">
        <v>303</v>
      </c>
      <c r="EF538" s="49" t="s">
        <v>2390</v>
      </c>
      <c r="EH538" s="49" t="s">
        <v>310</v>
      </c>
      <c r="EJ538" s="49" t="s">
        <v>303</v>
      </c>
      <c r="EK538" s="49" t="s">
        <v>2391</v>
      </c>
      <c r="EM538" s="49" t="s">
        <v>303</v>
      </c>
      <c r="EN538" s="49" t="s">
        <v>357</v>
      </c>
      <c r="EP538" s="49" t="s">
        <v>298</v>
      </c>
      <c r="EQ538" s="0" t="n">
        <v>1</v>
      </c>
      <c r="ER538" s="49" t="s">
        <v>328</v>
      </c>
      <c r="ES538" s="49" t="s">
        <v>358</v>
      </c>
      <c r="ET538" s="49" t="s">
        <v>310</v>
      </c>
      <c r="EU538" s="49" t="s">
        <v>310</v>
      </c>
      <c r="EV538" s="49" t="s">
        <v>310</v>
      </c>
      <c r="EX538" s="49" t="s">
        <v>303</v>
      </c>
      <c r="EY538" s="49" t="s">
        <v>303</v>
      </c>
      <c r="FC538" s="49" t="s">
        <v>330</v>
      </c>
      <c r="FD538" s="49" t="s">
        <v>310</v>
      </c>
      <c r="FE538" s="49" t="s">
        <v>310</v>
      </c>
      <c r="FF538" s="49" t="s">
        <v>53</v>
      </c>
      <c r="FG538" s="49" t="s">
        <v>359</v>
      </c>
      <c r="FH538" s="49" t="s">
        <v>310</v>
      </c>
      <c r="FI538" s="49" t="s">
        <v>332</v>
      </c>
      <c r="FJ538" s="49" t="s">
        <v>303</v>
      </c>
      <c r="FL538" s="49" t="s">
        <v>325</v>
      </c>
      <c r="FM538" s="49" t="s">
        <v>2380</v>
      </c>
      <c r="FP538" s="49" t="s">
        <v>303</v>
      </c>
      <c r="FR538" s="49" t="s">
        <v>303</v>
      </c>
      <c r="FT538" s="49" t="s">
        <v>325</v>
      </c>
      <c r="FU538" s="49" t="s">
        <v>325</v>
      </c>
      <c r="FW538" s="49" t="s">
        <v>333</v>
      </c>
    </row>
    <row r="539" customFormat="false" ht="15" hidden="false" customHeight="false" outlineLevel="0" collapsed="false">
      <c r="A539" s="0" t="n">
        <v>100871246</v>
      </c>
      <c r="B539" s="0" t="s">
        <v>295</v>
      </c>
      <c r="C539" s="0" t="s">
        <v>53</v>
      </c>
      <c r="D539" s="0" t="s">
        <v>54</v>
      </c>
      <c r="E539" s="0" t="s">
        <v>297</v>
      </c>
      <c r="G539" s="0" t="n">
        <v>1</v>
      </c>
      <c r="H539" s="0" t="s">
        <v>298</v>
      </c>
      <c r="I539" s="48" t="n">
        <v>46225</v>
      </c>
      <c r="J539" s="0" t="n">
        <v>1</v>
      </c>
      <c r="K539" s="49" t="s">
        <v>2380</v>
      </c>
      <c r="L539" s="49" t="s">
        <v>1035</v>
      </c>
      <c r="M539" s="48"/>
      <c r="O539" s="49" t="s">
        <v>1052</v>
      </c>
      <c r="P539" s="48"/>
      <c r="Q539" s="48" t="n">
        <v>46225</v>
      </c>
      <c r="R539" s="48" t="n">
        <v>46231</v>
      </c>
      <c r="T539" s="49" t="s">
        <v>302</v>
      </c>
      <c r="U539" s="49" t="s">
        <v>303</v>
      </c>
      <c r="Y539" s="49" t="s">
        <v>312</v>
      </c>
      <c r="AD539" s="49" t="s">
        <v>305</v>
      </c>
      <c r="AE539" s="48" t="n">
        <v>46205</v>
      </c>
      <c r="AF539" s="49" t="s">
        <v>306</v>
      </c>
      <c r="AG539" s="49" t="s">
        <v>307</v>
      </c>
      <c r="AK539" s="49" t="s">
        <v>1047</v>
      </c>
      <c r="AL539" s="49" t="s">
        <v>297</v>
      </c>
      <c r="AO539" s="49" t="s">
        <v>303</v>
      </c>
      <c r="AP539" s="48"/>
      <c r="AR539" s="49" t="s">
        <v>303</v>
      </c>
      <c r="AS539" s="49" t="s">
        <v>306</v>
      </c>
      <c r="AT539" s="49" t="s">
        <v>2392</v>
      </c>
      <c r="AV539" s="49" t="s">
        <v>309</v>
      </c>
      <c r="AW539" s="49" t="s">
        <v>310</v>
      </c>
      <c r="AX539" s="49" t="s">
        <v>311</v>
      </c>
      <c r="AY539" s="48"/>
      <c r="AZ539" s="48" t="n">
        <v>46217</v>
      </c>
      <c r="BC539" s="49" t="s">
        <v>303</v>
      </c>
      <c r="BD539" s="48" t="n">
        <v>46240</v>
      </c>
      <c r="BE539" s="49" t="s">
        <v>2393</v>
      </c>
      <c r="BF539" s="49" t="s">
        <v>303</v>
      </c>
      <c r="BG539" s="48"/>
      <c r="BI539" s="48" t="n">
        <v>46240</v>
      </c>
      <c r="BJ539" s="48" t="n">
        <v>46230</v>
      </c>
      <c r="BK539" s="49" t="s">
        <v>313</v>
      </c>
      <c r="BL539" s="49" t="s">
        <v>313</v>
      </c>
      <c r="BM539" s="49" t="s">
        <v>310</v>
      </c>
      <c r="BN539" s="48"/>
      <c r="BO539" s="48"/>
      <c r="BP539" s="48"/>
      <c r="BQ539" s="49" t="s">
        <v>2384</v>
      </c>
      <c r="BR539" s="48" t="n">
        <v>46224</v>
      </c>
      <c r="BS539" s="49" t="s">
        <v>2394</v>
      </c>
      <c r="BT539" s="49" t="s">
        <v>312</v>
      </c>
      <c r="BU539" s="49" t="s">
        <v>312</v>
      </c>
      <c r="BV539" s="49" t="s">
        <v>303</v>
      </c>
      <c r="BX539" s="0" t="n">
        <v>1</v>
      </c>
      <c r="CC539" s="49" t="s">
        <v>315</v>
      </c>
      <c r="CD539" s="49" t="s">
        <v>303</v>
      </c>
      <c r="CF539" s="49" t="s">
        <v>303</v>
      </c>
      <c r="CG539" s="49" t="s">
        <v>316</v>
      </c>
      <c r="CH539" s="49" t="s">
        <v>317</v>
      </c>
      <c r="CI539" s="49" t="s">
        <v>318</v>
      </c>
      <c r="CM539" s="49" t="s">
        <v>54</v>
      </c>
      <c r="CV539" s="49" t="s">
        <v>303</v>
      </c>
      <c r="DB539" s="49" t="s">
        <v>319</v>
      </c>
      <c r="DD539" s="48" t="n">
        <v>46205</v>
      </c>
      <c r="DF539" s="49" t="s">
        <v>310</v>
      </c>
      <c r="DG539" s="49" t="s">
        <v>320</v>
      </c>
      <c r="DH539" s="49" t="s">
        <v>53</v>
      </c>
      <c r="DI539" s="49" t="s">
        <v>298</v>
      </c>
      <c r="DJ539" s="49" t="s">
        <v>355</v>
      </c>
      <c r="DK539" s="49" t="s">
        <v>322</v>
      </c>
      <c r="DL539" s="49" t="s">
        <v>323</v>
      </c>
      <c r="DM539" s="49" t="s">
        <v>303</v>
      </c>
      <c r="DN539" s="49" t="s">
        <v>297</v>
      </c>
      <c r="DO539" s="48"/>
      <c r="DP539" s="49" t="s">
        <v>312</v>
      </c>
      <c r="DQ539" s="48"/>
      <c r="DR539" s="49" t="s">
        <v>312</v>
      </c>
      <c r="DS539" s="49" t="s">
        <v>303</v>
      </c>
      <c r="DT539" s="49" t="s">
        <v>303</v>
      </c>
      <c r="DW539" s="49" t="s">
        <v>303</v>
      </c>
      <c r="EA539" s="49" t="s">
        <v>324</v>
      </c>
      <c r="EB539" s="49" t="s">
        <v>303</v>
      </c>
      <c r="EF539" s="49" t="s">
        <v>2390</v>
      </c>
      <c r="EH539" s="49" t="s">
        <v>310</v>
      </c>
      <c r="EJ539" s="49" t="s">
        <v>303</v>
      </c>
      <c r="EK539" s="49" t="s">
        <v>2395</v>
      </c>
      <c r="EM539" s="49" t="s">
        <v>303</v>
      </c>
      <c r="EN539" s="49" t="s">
        <v>357</v>
      </c>
      <c r="EP539" s="49" t="s">
        <v>298</v>
      </c>
      <c r="EQ539" s="0" t="n">
        <v>1</v>
      </c>
      <c r="ER539" s="49" t="s">
        <v>328</v>
      </c>
      <c r="ES539" s="49" t="s">
        <v>358</v>
      </c>
      <c r="ET539" s="49" t="s">
        <v>310</v>
      </c>
      <c r="EU539" s="49" t="s">
        <v>310</v>
      </c>
      <c r="EV539" s="49" t="s">
        <v>310</v>
      </c>
      <c r="EX539" s="49" t="s">
        <v>303</v>
      </c>
      <c r="EY539" s="49" t="s">
        <v>303</v>
      </c>
      <c r="FC539" s="49" t="s">
        <v>330</v>
      </c>
      <c r="FD539" s="49" t="s">
        <v>310</v>
      </c>
      <c r="FE539" s="49" t="s">
        <v>310</v>
      </c>
      <c r="FF539" s="49" t="s">
        <v>53</v>
      </c>
      <c r="FG539" s="49" t="s">
        <v>359</v>
      </c>
      <c r="FH539" s="49" t="s">
        <v>310</v>
      </c>
      <c r="FI539" s="49" t="s">
        <v>332</v>
      </c>
      <c r="FJ539" s="49" t="s">
        <v>303</v>
      </c>
      <c r="FL539" s="49" t="s">
        <v>325</v>
      </c>
      <c r="FM539" s="49" t="s">
        <v>2380</v>
      </c>
      <c r="FP539" s="49" t="s">
        <v>303</v>
      </c>
      <c r="FR539" s="49" t="s">
        <v>303</v>
      </c>
      <c r="FT539" s="49" t="s">
        <v>325</v>
      </c>
      <c r="FU539" s="49" t="s">
        <v>325</v>
      </c>
      <c r="FW539" s="49" t="s">
        <v>333</v>
      </c>
    </row>
    <row r="540" customFormat="false" ht="15" hidden="false" customHeight="false" outlineLevel="0" collapsed="false">
      <c r="A540" s="0" t="n">
        <v>100870914</v>
      </c>
      <c r="B540" s="0" t="s">
        <v>295</v>
      </c>
      <c r="C540" s="0" t="s">
        <v>61</v>
      </c>
      <c r="D540" s="0" t="s">
        <v>62</v>
      </c>
      <c r="E540" s="0" t="s">
        <v>297</v>
      </c>
      <c r="G540" s="0" t="n">
        <v>1</v>
      </c>
      <c r="H540" s="0" t="s">
        <v>298</v>
      </c>
      <c r="I540" s="48" t="n">
        <v>46224</v>
      </c>
      <c r="J540" s="0" t="n">
        <v>1</v>
      </c>
      <c r="K540" s="49" t="s">
        <v>2396</v>
      </c>
      <c r="L540" s="49" t="s">
        <v>1035</v>
      </c>
      <c r="M540" s="48" t="n">
        <v>46244</v>
      </c>
      <c r="N540" s="49" t="s">
        <v>1630</v>
      </c>
      <c r="O540" s="49" t="s">
        <v>1052</v>
      </c>
      <c r="P540" s="48"/>
      <c r="Q540" s="48" t="n">
        <v>46230</v>
      </c>
      <c r="R540" s="48" t="n">
        <v>46244</v>
      </c>
      <c r="T540" s="49" t="s">
        <v>302</v>
      </c>
      <c r="U540" s="49" t="s">
        <v>303</v>
      </c>
      <c r="Y540" s="49" t="s">
        <v>2397</v>
      </c>
      <c r="AD540" s="49" t="s">
        <v>305</v>
      </c>
      <c r="AE540" s="48" t="n">
        <v>46219</v>
      </c>
      <c r="AF540" s="49" t="s">
        <v>306</v>
      </c>
      <c r="AG540" s="49" t="s">
        <v>307</v>
      </c>
      <c r="AK540" s="49" t="s">
        <v>1047</v>
      </c>
      <c r="AL540" s="49" t="s">
        <v>297</v>
      </c>
      <c r="AO540" s="49" t="s">
        <v>303</v>
      </c>
      <c r="AP540" s="48"/>
      <c r="AR540" s="49" t="s">
        <v>303</v>
      </c>
      <c r="AS540" s="49" t="s">
        <v>306</v>
      </c>
      <c r="AT540" s="49" t="s">
        <v>2398</v>
      </c>
      <c r="AV540" s="49" t="s">
        <v>309</v>
      </c>
      <c r="AW540" s="49" t="s">
        <v>310</v>
      </c>
      <c r="AX540" s="49" t="s">
        <v>311</v>
      </c>
      <c r="AY540" s="48"/>
      <c r="AZ540" s="48" t="n">
        <v>46233</v>
      </c>
      <c r="BC540" s="49" t="s">
        <v>303</v>
      </c>
      <c r="BD540" s="48" t="n">
        <v>46252</v>
      </c>
      <c r="BE540" s="49" t="s">
        <v>2399</v>
      </c>
      <c r="BF540" s="49" t="s">
        <v>303</v>
      </c>
      <c r="BG540" s="48"/>
      <c r="BI540" s="48" t="n">
        <v>46252</v>
      </c>
      <c r="BJ540" s="48" t="n">
        <v>46240</v>
      </c>
      <c r="BK540" s="49" t="s">
        <v>312</v>
      </c>
      <c r="BL540" s="49" t="s">
        <v>313</v>
      </c>
      <c r="BM540" s="49" t="s">
        <v>310</v>
      </c>
      <c r="BN540" s="48"/>
      <c r="BO540" s="48"/>
      <c r="BP540" s="48"/>
      <c r="BQ540" s="49" t="s">
        <v>2384</v>
      </c>
      <c r="BR540" s="48" t="n">
        <v>46240</v>
      </c>
      <c r="BS540" s="49" t="s">
        <v>2400</v>
      </c>
      <c r="BT540" s="49" t="s">
        <v>312</v>
      </c>
      <c r="BU540" s="49" t="s">
        <v>313</v>
      </c>
      <c r="BV540" s="49" t="s">
        <v>303</v>
      </c>
      <c r="BX540" s="0" t="n">
        <v>1</v>
      </c>
      <c r="CC540" s="49" t="s">
        <v>315</v>
      </c>
      <c r="CD540" s="49" t="s">
        <v>303</v>
      </c>
      <c r="CF540" s="49" t="s">
        <v>303</v>
      </c>
      <c r="CG540" s="49" t="s">
        <v>316</v>
      </c>
      <c r="CH540" s="49" t="s">
        <v>317</v>
      </c>
      <c r="CI540" s="49" t="s">
        <v>318</v>
      </c>
      <c r="CM540" s="49" t="s">
        <v>62</v>
      </c>
      <c r="CV540" s="49" t="s">
        <v>303</v>
      </c>
      <c r="DB540" s="49" t="s">
        <v>319</v>
      </c>
      <c r="DD540" s="48" t="n">
        <v>46219</v>
      </c>
      <c r="DF540" s="49" t="s">
        <v>310</v>
      </c>
      <c r="DG540" s="49" t="s">
        <v>320</v>
      </c>
      <c r="DH540" s="49" t="s">
        <v>61</v>
      </c>
      <c r="DI540" s="49" t="s">
        <v>298</v>
      </c>
      <c r="DJ540" s="49" t="s">
        <v>381</v>
      </c>
      <c r="DK540" s="49" t="s">
        <v>322</v>
      </c>
      <c r="DL540" s="49" t="s">
        <v>323</v>
      </c>
      <c r="DM540" s="49" t="s">
        <v>303</v>
      </c>
      <c r="DN540" s="49" t="s">
        <v>297</v>
      </c>
      <c r="DO540" s="48"/>
      <c r="DP540" s="49" t="s">
        <v>312</v>
      </c>
      <c r="DQ540" s="48"/>
      <c r="DR540" s="49" t="s">
        <v>312</v>
      </c>
      <c r="DS540" s="49" t="s">
        <v>303</v>
      </c>
      <c r="DT540" s="49" t="s">
        <v>303</v>
      </c>
      <c r="DW540" s="49" t="s">
        <v>303</v>
      </c>
      <c r="EA540" s="49" t="s">
        <v>324</v>
      </c>
      <c r="EB540" s="49" t="s">
        <v>303</v>
      </c>
      <c r="EH540" s="49" t="s">
        <v>310</v>
      </c>
      <c r="EJ540" s="49" t="s">
        <v>303</v>
      </c>
      <c r="EK540" s="49" t="s">
        <v>2401</v>
      </c>
      <c r="EM540" s="49" t="s">
        <v>303</v>
      </c>
      <c r="EN540" s="49" t="s">
        <v>383</v>
      </c>
      <c r="EP540" s="49" t="s">
        <v>298</v>
      </c>
      <c r="EQ540" s="0" t="n">
        <v>1</v>
      </c>
      <c r="ER540" s="49" t="s">
        <v>328</v>
      </c>
      <c r="ES540" s="49" t="s">
        <v>384</v>
      </c>
      <c r="ET540" s="49" t="s">
        <v>310</v>
      </c>
      <c r="EU540" s="49" t="s">
        <v>310</v>
      </c>
      <c r="EV540" s="49" t="s">
        <v>310</v>
      </c>
      <c r="EX540" s="49" t="s">
        <v>303</v>
      </c>
      <c r="EY540" s="49" t="s">
        <v>303</v>
      </c>
      <c r="FC540" s="49" t="s">
        <v>330</v>
      </c>
      <c r="FD540" s="49" t="s">
        <v>310</v>
      </c>
      <c r="FE540" s="49" t="s">
        <v>310</v>
      </c>
      <c r="FF540" s="49" t="s">
        <v>61</v>
      </c>
      <c r="FG540" s="49" t="s">
        <v>385</v>
      </c>
      <c r="FH540" s="49" t="s">
        <v>310</v>
      </c>
      <c r="FI540" s="49" t="s">
        <v>332</v>
      </c>
      <c r="FJ540" s="49" t="s">
        <v>303</v>
      </c>
      <c r="FL540" s="49" t="s">
        <v>325</v>
      </c>
      <c r="FM540" s="49" t="s">
        <v>2402</v>
      </c>
      <c r="FP540" s="49" t="s">
        <v>303</v>
      </c>
      <c r="FR540" s="49" t="s">
        <v>303</v>
      </c>
      <c r="FT540" s="49" t="s">
        <v>325</v>
      </c>
      <c r="FU540" s="49" t="s">
        <v>325</v>
      </c>
      <c r="FW540" s="49" t="s">
        <v>333</v>
      </c>
    </row>
    <row r="541" customFormat="false" ht="15" hidden="false" customHeight="false" outlineLevel="0" collapsed="false">
      <c r="A541" s="0" t="n">
        <v>100870915</v>
      </c>
      <c r="B541" s="0" t="s">
        <v>295</v>
      </c>
      <c r="C541" s="0" t="s">
        <v>61</v>
      </c>
      <c r="D541" s="0" t="s">
        <v>62</v>
      </c>
      <c r="E541" s="0" t="s">
        <v>297</v>
      </c>
      <c r="G541" s="0" t="n">
        <v>1</v>
      </c>
      <c r="H541" s="0" t="s">
        <v>298</v>
      </c>
      <c r="I541" s="48" t="n">
        <v>46224</v>
      </c>
      <c r="J541" s="0" t="n">
        <v>1</v>
      </c>
      <c r="K541" s="49" t="s">
        <v>2396</v>
      </c>
      <c r="L541" s="49" t="s">
        <v>1035</v>
      </c>
      <c r="M541" s="48" t="n">
        <v>46237</v>
      </c>
      <c r="N541" s="49" t="s">
        <v>1630</v>
      </c>
      <c r="O541" s="49" t="s">
        <v>1052</v>
      </c>
      <c r="P541" s="48"/>
      <c r="Q541" s="48" t="n">
        <v>46230</v>
      </c>
      <c r="R541" s="48" t="n">
        <v>46244</v>
      </c>
      <c r="T541" s="49" t="s">
        <v>302</v>
      </c>
      <c r="U541" s="49" t="s">
        <v>303</v>
      </c>
      <c r="Y541" s="49" t="s">
        <v>2403</v>
      </c>
      <c r="AD541" s="49" t="s">
        <v>305</v>
      </c>
      <c r="AE541" s="48" t="n">
        <v>46219</v>
      </c>
      <c r="AF541" s="49" t="s">
        <v>306</v>
      </c>
      <c r="AG541" s="49" t="s">
        <v>307</v>
      </c>
      <c r="AK541" s="49" t="s">
        <v>1047</v>
      </c>
      <c r="AL541" s="49" t="s">
        <v>297</v>
      </c>
      <c r="AO541" s="49" t="s">
        <v>303</v>
      </c>
      <c r="AP541" s="48"/>
      <c r="AR541" s="49" t="s">
        <v>303</v>
      </c>
      <c r="AS541" s="49" t="s">
        <v>306</v>
      </c>
      <c r="AT541" s="49" t="s">
        <v>2404</v>
      </c>
      <c r="AV541" s="49" t="s">
        <v>305</v>
      </c>
      <c r="AW541" s="49" t="s">
        <v>310</v>
      </c>
      <c r="AX541" s="49" t="s">
        <v>311</v>
      </c>
      <c r="AY541" s="48"/>
      <c r="AZ541" s="48" t="n">
        <v>46234</v>
      </c>
      <c r="BC541" s="49" t="s">
        <v>303</v>
      </c>
      <c r="BD541" s="48" t="n">
        <v>46239</v>
      </c>
      <c r="BE541" s="49" t="s">
        <v>2405</v>
      </c>
      <c r="BF541" s="49" t="s">
        <v>303</v>
      </c>
      <c r="BG541" s="48"/>
      <c r="BI541" s="48" t="n">
        <v>46239</v>
      </c>
      <c r="BJ541" s="48" t="n">
        <v>46243</v>
      </c>
      <c r="BK541" s="49" t="s">
        <v>313</v>
      </c>
      <c r="BL541" s="49" t="s">
        <v>313</v>
      </c>
      <c r="BM541" s="49" t="s">
        <v>310</v>
      </c>
      <c r="BN541" s="48"/>
      <c r="BO541" s="48"/>
      <c r="BP541" s="48"/>
      <c r="BQ541" s="49" t="s">
        <v>2384</v>
      </c>
      <c r="BR541" s="48" t="n">
        <v>46243</v>
      </c>
      <c r="BS541" s="49" t="s">
        <v>2406</v>
      </c>
      <c r="BT541" s="49" t="s">
        <v>312</v>
      </c>
      <c r="BU541" s="49" t="s">
        <v>313</v>
      </c>
      <c r="BV541" s="49" t="s">
        <v>303</v>
      </c>
      <c r="BX541" s="0" t="n">
        <v>1</v>
      </c>
      <c r="CC541" s="49" t="s">
        <v>315</v>
      </c>
      <c r="CD541" s="49" t="s">
        <v>303</v>
      </c>
      <c r="CF541" s="49" t="s">
        <v>303</v>
      </c>
      <c r="CG541" s="49" t="s">
        <v>316</v>
      </c>
      <c r="CH541" s="49" t="s">
        <v>317</v>
      </c>
      <c r="CI541" s="49" t="s">
        <v>318</v>
      </c>
      <c r="CM541" s="49" t="s">
        <v>62</v>
      </c>
      <c r="CV541" s="49" t="s">
        <v>303</v>
      </c>
      <c r="DB541" s="49" t="s">
        <v>319</v>
      </c>
      <c r="DD541" s="48" t="n">
        <v>46219</v>
      </c>
      <c r="DF541" s="49" t="s">
        <v>310</v>
      </c>
      <c r="DG541" s="49" t="s">
        <v>320</v>
      </c>
      <c r="DH541" s="49" t="s">
        <v>61</v>
      </c>
      <c r="DI541" s="49" t="s">
        <v>298</v>
      </c>
      <c r="DJ541" s="49" t="s">
        <v>381</v>
      </c>
      <c r="DK541" s="49" t="s">
        <v>322</v>
      </c>
      <c r="DL541" s="49" t="s">
        <v>323</v>
      </c>
      <c r="DM541" s="49" t="s">
        <v>303</v>
      </c>
      <c r="DN541" s="49" t="s">
        <v>297</v>
      </c>
      <c r="DO541" s="48"/>
      <c r="DP541" s="49" t="s">
        <v>312</v>
      </c>
      <c r="DQ541" s="48"/>
      <c r="DR541" s="49" t="s">
        <v>312</v>
      </c>
      <c r="DS541" s="49" t="s">
        <v>303</v>
      </c>
      <c r="DT541" s="49" t="s">
        <v>303</v>
      </c>
      <c r="DW541" s="49" t="s">
        <v>303</v>
      </c>
      <c r="EA541" s="49" t="s">
        <v>324</v>
      </c>
      <c r="EB541" s="49" t="s">
        <v>303</v>
      </c>
      <c r="EF541" s="49" t="s">
        <v>2407</v>
      </c>
      <c r="EH541" s="49" t="s">
        <v>310</v>
      </c>
      <c r="EJ541" s="49" t="s">
        <v>303</v>
      </c>
      <c r="EK541" s="49" t="s">
        <v>2408</v>
      </c>
      <c r="EM541" s="49" t="s">
        <v>303</v>
      </c>
      <c r="EN541" s="49" t="s">
        <v>383</v>
      </c>
      <c r="EP541" s="49" t="s">
        <v>298</v>
      </c>
      <c r="EQ541" s="0" t="n">
        <v>1</v>
      </c>
      <c r="ER541" s="49" t="s">
        <v>328</v>
      </c>
      <c r="ES541" s="49" t="s">
        <v>384</v>
      </c>
      <c r="ET541" s="49" t="s">
        <v>310</v>
      </c>
      <c r="EU541" s="49" t="s">
        <v>310</v>
      </c>
      <c r="EV541" s="49" t="s">
        <v>310</v>
      </c>
      <c r="EX541" s="49" t="s">
        <v>303</v>
      </c>
      <c r="EY541" s="49" t="s">
        <v>303</v>
      </c>
      <c r="FC541" s="49" t="s">
        <v>330</v>
      </c>
      <c r="FD541" s="49" t="s">
        <v>310</v>
      </c>
      <c r="FE541" s="49" t="s">
        <v>310</v>
      </c>
      <c r="FF541" s="49" t="s">
        <v>61</v>
      </c>
      <c r="FG541" s="49" t="s">
        <v>385</v>
      </c>
      <c r="FH541" s="49" t="s">
        <v>310</v>
      </c>
      <c r="FI541" s="49" t="s">
        <v>332</v>
      </c>
      <c r="FJ541" s="49" t="s">
        <v>303</v>
      </c>
      <c r="FL541" s="49" t="s">
        <v>325</v>
      </c>
      <c r="FM541" s="49" t="s">
        <v>2402</v>
      </c>
      <c r="FP541" s="49" t="s">
        <v>303</v>
      </c>
      <c r="FR541" s="49" t="s">
        <v>303</v>
      </c>
      <c r="FT541" s="49" t="s">
        <v>325</v>
      </c>
      <c r="FU541" s="49" t="s">
        <v>325</v>
      </c>
      <c r="FW541" s="49" t="s">
        <v>333</v>
      </c>
    </row>
    <row r="542" customFormat="false" ht="15" hidden="false" customHeight="false" outlineLevel="0" collapsed="false">
      <c r="A542" s="0" t="n">
        <v>100870916</v>
      </c>
      <c r="B542" s="0" t="s">
        <v>295</v>
      </c>
      <c r="C542" s="0" t="s">
        <v>61</v>
      </c>
      <c r="D542" s="0" t="s">
        <v>62</v>
      </c>
      <c r="E542" s="0" t="s">
        <v>297</v>
      </c>
      <c r="G542" s="0" t="n">
        <v>1</v>
      </c>
      <c r="H542" s="0" t="s">
        <v>298</v>
      </c>
      <c r="I542" s="48" t="n">
        <v>46224</v>
      </c>
      <c r="J542" s="0" t="n">
        <v>1</v>
      </c>
      <c r="K542" s="49" t="s">
        <v>2396</v>
      </c>
      <c r="L542" s="49" t="s">
        <v>1035</v>
      </c>
      <c r="M542" s="48" t="n">
        <v>46244</v>
      </c>
      <c r="N542" s="49" t="s">
        <v>1630</v>
      </c>
      <c r="O542" s="49" t="s">
        <v>1052</v>
      </c>
      <c r="P542" s="48"/>
      <c r="Q542" s="48" t="n">
        <v>46230</v>
      </c>
      <c r="R542" s="48" t="n">
        <v>46244</v>
      </c>
      <c r="T542" s="49" t="s">
        <v>302</v>
      </c>
      <c r="U542" s="49" t="s">
        <v>303</v>
      </c>
      <c r="Y542" s="49" t="s">
        <v>2409</v>
      </c>
      <c r="AD542" s="49" t="s">
        <v>305</v>
      </c>
      <c r="AE542" s="48" t="n">
        <v>46219</v>
      </c>
      <c r="AF542" s="49" t="s">
        <v>306</v>
      </c>
      <c r="AG542" s="49" t="s">
        <v>307</v>
      </c>
      <c r="AK542" s="49" t="s">
        <v>1047</v>
      </c>
      <c r="AL542" s="49" t="s">
        <v>297</v>
      </c>
      <c r="AO542" s="49" t="s">
        <v>303</v>
      </c>
      <c r="AP542" s="48"/>
      <c r="AR542" s="49" t="s">
        <v>303</v>
      </c>
      <c r="AS542" s="49" t="s">
        <v>306</v>
      </c>
      <c r="AT542" s="49" t="s">
        <v>2410</v>
      </c>
      <c r="AV542" s="49" t="s">
        <v>309</v>
      </c>
      <c r="AW542" s="49" t="s">
        <v>310</v>
      </c>
      <c r="AX542" s="49" t="s">
        <v>311</v>
      </c>
      <c r="AY542" s="48"/>
      <c r="AZ542" s="48" t="n">
        <v>46234</v>
      </c>
      <c r="BC542" s="49" t="s">
        <v>303</v>
      </c>
      <c r="BD542" s="48" t="n">
        <v>46254</v>
      </c>
      <c r="BE542" s="49" t="s">
        <v>2411</v>
      </c>
      <c r="BF542" s="49" t="s">
        <v>303</v>
      </c>
      <c r="BG542" s="48"/>
      <c r="BI542" s="48" t="n">
        <v>46254</v>
      </c>
      <c r="BJ542" s="48" t="n">
        <v>46243</v>
      </c>
      <c r="BK542" s="49" t="s">
        <v>313</v>
      </c>
      <c r="BL542" s="49" t="s">
        <v>313</v>
      </c>
      <c r="BM542" s="49" t="s">
        <v>310</v>
      </c>
      <c r="BN542" s="48"/>
      <c r="BO542" s="48"/>
      <c r="BP542" s="48"/>
      <c r="BQ542" s="49" t="s">
        <v>2384</v>
      </c>
      <c r="BR542" s="48" t="n">
        <v>46243</v>
      </c>
      <c r="BS542" s="49" t="s">
        <v>2412</v>
      </c>
      <c r="BT542" s="49" t="s">
        <v>312</v>
      </c>
      <c r="BU542" s="49" t="s">
        <v>313</v>
      </c>
      <c r="BV542" s="49" t="s">
        <v>303</v>
      </c>
      <c r="BX542" s="0" t="n">
        <v>1</v>
      </c>
      <c r="CC542" s="49" t="s">
        <v>315</v>
      </c>
      <c r="CD542" s="49" t="s">
        <v>303</v>
      </c>
      <c r="CF542" s="49" t="s">
        <v>303</v>
      </c>
      <c r="CG542" s="49" t="s">
        <v>316</v>
      </c>
      <c r="CH542" s="49" t="s">
        <v>317</v>
      </c>
      <c r="CI542" s="49" t="s">
        <v>318</v>
      </c>
      <c r="CM542" s="49" t="s">
        <v>62</v>
      </c>
      <c r="CV542" s="49" t="s">
        <v>303</v>
      </c>
      <c r="DB542" s="49" t="s">
        <v>319</v>
      </c>
      <c r="DD542" s="48" t="n">
        <v>46219</v>
      </c>
      <c r="DF542" s="49" t="s">
        <v>310</v>
      </c>
      <c r="DG542" s="49" t="s">
        <v>320</v>
      </c>
      <c r="DH542" s="49" t="s">
        <v>61</v>
      </c>
      <c r="DI542" s="49" t="s">
        <v>298</v>
      </c>
      <c r="DJ542" s="49" t="s">
        <v>381</v>
      </c>
      <c r="DK542" s="49" t="s">
        <v>322</v>
      </c>
      <c r="DL542" s="49" t="s">
        <v>323</v>
      </c>
      <c r="DM542" s="49" t="s">
        <v>303</v>
      </c>
      <c r="DN542" s="49" t="s">
        <v>297</v>
      </c>
      <c r="DO542" s="48"/>
      <c r="DP542" s="49" t="s">
        <v>312</v>
      </c>
      <c r="DQ542" s="48"/>
      <c r="DR542" s="49" t="s">
        <v>312</v>
      </c>
      <c r="DS542" s="49" t="s">
        <v>303</v>
      </c>
      <c r="DT542" s="49" t="s">
        <v>303</v>
      </c>
      <c r="DW542" s="49" t="s">
        <v>303</v>
      </c>
      <c r="EA542" s="49" t="s">
        <v>324</v>
      </c>
      <c r="EB542" s="49" t="s">
        <v>303</v>
      </c>
      <c r="EF542" s="49" t="s">
        <v>2407</v>
      </c>
      <c r="EH542" s="49" t="s">
        <v>310</v>
      </c>
      <c r="EJ542" s="49" t="s">
        <v>303</v>
      </c>
      <c r="EK542" s="49" t="s">
        <v>2413</v>
      </c>
      <c r="EM542" s="49" t="s">
        <v>303</v>
      </c>
      <c r="EN542" s="49" t="s">
        <v>383</v>
      </c>
      <c r="EP542" s="49" t="s">
        <v>298</v>
      </c>
      <c r="EQ542" s="0" t="n">
        <v>1</v>
      </c>
      <c r="ER542" s="49" t="s">
        <v>328</v>
      </c>
      <c r="ES542" s="49" t="s">
        <v>384</v>
      </c>
      <c r="ET542" s="49" t="s">
        <v>310</v>
      </c>
      <c r="EU542" s="49" t="s">
        <v>310</v>
      </c>
      <c r="EV542" s="49" t="s">
        <v>310</v>
      </c>
      <c r="EX542" s="49" t="s">
        <v>303</v>
      </c>
      <c r="EY542" s="49" t="s">
        <v>303</v>
      </c>
      <c r="FC542" s="49" t="s">
        <v>330</v>
      </c>
      <c r="FD542" s="49" t="s">
        <v>310</v>
      </c>
      <c r="FE542" s="49" t="s">
        <v>310</v>
      </c>
      <c r="FF542" s="49" t="s">
        <v>61</v>
      </c>
      <c r="FG542" s="49" t="s">
        <v>385</v>
      </c>
      <c r="FH542" s="49" t="s">
        <v>310</v>
      </c>
      <c r="FI542" s="49" t="s">
        <v>332</v>
      </c>
      <c r="FJ542" s="49" t="s">
        <v>303</v>
      </c>
      <c r="FL542" s="49" t="s">
        <v>325</v>
      </c>
      <c r="FM542" s="49" t="s">
        <v>2402</v>
      </c>
      <c r="FP542" s="49" t="s">
        <v>303</v>
      </c>
      <c r="FR542" s="49" t="s">
        <v>303</v>
      </c>
      <c r="FT542" s="49" t="s">
        <v>325</v>
      </c>
      <c r="FU542" s="49" t="s">
        <v>325</v>
      </c>
      <c r="FW542" s="49" t="s">
        <v>333</v>
      </c>
    </row>
    <row r="543" customFormat="false" ht="15" hidden="false" customHeight="false" outlineLevel="0" collapsed="false">
      <c r="A543" s="0" t="n">
        <v>100870801</v>
      </c>
      <c r="B543" s="0" t="s">
        <v>295</v>
      </c>
      <c r="C543" s="0" t="s">
        <v>64</v>
      </c>
      <c r="D543" s="0" t="s">
        <v>65</v>
      </c>
      <c r="E543" s="0" t="s">
        <v>297</v>
      </c>
      <c r="G543" s="0" t="n">
        <v>1</v>
      </c>
      <c r="H543" s="0" t="s">
        <v>298</v>
      </c>
      <c r="I543" s="48" t="n">
        <v>46223</v>
      </c>
      <c r="J543" s="0" t="n">
        <v>1</v>
      </c>
      <c r="K543" s="49" t="s">
        <v>2414</v>
      </c>
      <c r="L543" s="49" t="s">
        <v>1035</v>
      </c>
      <c r="M543" s="48" t="n">
        <v>46224</v>
      </c>
      <c r="N543" s="49" t="s">
        <v>1204</v>
      </c>
      <c r="O543" s="49" t="s">
        <v>1045</v>
      </c>
      <c r="P543" s="48"/>
      <c r="Q543" s="48" t="n">
        <v>46223</v>
      </c>
      <c r="R543" s="48" t="n">
        <v>46230</v>
      </c>
      <c r="T543" s="49" t="s">
        <v>302</v>
      </c>
      <c r="U543" s="49" t="s">
        <v>303</v>
      </c>
      <c r="Y543" s="49" t="s">
        <v>2415</v>
      </c>
      <c r="AD543" s="49" t="s">
        <v>305</v>
      </c>
      <c r="AE543" s="48" t="n">
        <v>46181</v>
      </c>
      <c r="AF543" s="49" t="s">
        <v>306</v>
      </c>
      <c r="AG543" s="49" t="s">
        <v>307</v>
      </c>
      <c r="AK543" s="49" t="s">
        <v>1047</v>
      </c>
      <c r="AL543" s="49" t="s">
        <v>297</v>
      </c>
      <c r="AO543" s="49" t="s">
        <v>303</v>
      </c>
      <c r="AP543" s="48"/>
      <c r="AR543" s="49" t="s">
        <v>303</v>
      </c>
      <c r="AS543" s="49" t="s">
        <v>306</v>
      </c>
      <c r="AT543" s="49" t="s">
        <v>2416</v>
      </c>
      <c r="AV543" s="49" t="s">
        <v>309</v>
      </c>
      <c r="AW543" s="49" t="s">
        <v>310</v>
      </c>
      <c r="AX543" s="49" t="s">
        <v>311</v>
      </c>
      <c r="AY543" s="48"/>
      <c r="AZ543" s="48" t="n">
        <v>46219</v>
      </c>
      <c r="BC543" s="49" t="s">
        <v>303</v>
      </c>
      <c r="BD543" s="48" t="n">
        <v>46224</v>
      </c>
      <c r="BE543" s="49" t="s">
        <v>2417</v>
      </c>
      <c r="BF543" s="49" t="s">
        <v>303</v>
      </c>
      <c r="BG543" s="48"/>
      <c r="BI543" s="48" t="n">
        <v>46224</v>
      </c>
      <c r="BJ543" s="48" t="n">
        <v>46226</v>
      </c>
      <c r="BK543" s="49" t="s">
        <v>312</v>
      </c>
      <c r="BL543" s="49" t="s">
        <v>313</v>
      </c>
      <c r="BM543" s="49" t="s">
        <v>310</v>
      </c>
      <c r="BN543" s="48"/>
      <c r="BO543" s="48"/>
      <c r="BP543" s="48"/>
      <c r="BQ543" s="49" t="s">
        <v>2396</v>
      </c>
      <c r="BR543" s="48" t="n">
        <v>46226</v>
      </c>
      <c r="BS543" s="49" t="s">
        <v>2418</v>
      </c>
      <c r="BT543" s="49" t="s">
        <v>312</v>
      </c>
      <c r="BU543" s="49" t="s">
        <v>313</v>
      </c>
      <c r="BV543" s="49" t="s">
        <v>303</v>
      </c>
      <c r="BX543" s="0" t="n">
        <v>1</v>
      </c>
      <c r="CC543" s="49" t="s">
        <v>315</v>
      </c>
      <c r="CD543" s="49" t="s">
        <v>303</v>
      </c>
      <c r="CF543" s="49" t="s">
        <v>303</v>
      </c>
      <c r="CG543" s="49" t="s">
        <v>316</v>
      </c>
      <c r="CH543" s="49" t="s">
        <v>317</v>
      </c>
      <c r="CI543" s="49" t="s">
        <v>318</v>
      </c>
      <c r="CM543" s="49" t="s">
        <v>65</v>
      </c>
      <c r="CV543" s="49" t="s">
        <v>303</v>
      </c>
      <c r="DB543" s="49" t="s">
        <v>319</v>
      </c>
      <c r="DD543" s="48" t="n">
        <v>46181</v>
      </c>
      <c r="DF543" s="49" t="s">
        <v>310</v>
      </c>
      <c r="DG543" s="49" t="s">
        <v>320</v>
      </c>
      <c r="DH543" s="49" t="s">
        <v>64</v>
      </c>
      <c r="DI543" s="49" t="s">
        <v>298</v>
      </c>
      <c r="DJ543" s="49" t="s">
        <v>394</v>
      </c>
      <c r="DK543" s="49" t="s">
        <v>322</v>
      </c>
      <c r="DL543" s="49" t="s">
        <v>323</v>
      </c>
      <c r="DM543" s="49" t="s">
        <v>303</v>
      </c>
      <c r="DN543" s="49" t="s">
        <v>297</v>
      </c>
      <c r="DO543" s="48"/>
      <c r="DP543" s="49" t="s">
        <v>312</v>
      </c>
      <c r="DQ543" s="48"/>
      <c r="DR543" s="49" t="s">
        <v>312</v>
      </c>
      <c r="DS543" s="49" t="s">
        <v>303</v>
      </c>
      <c r="DT543" s="49" t="s">
        <v>303</v>
      </c>
      <c r="DW543" s="49" t="s">
        <v>303</v>
      </c>
      <c r="EA543" s="49" t="s">
        <v>324</v>
      </c>
      <c r="EB543" s="49" t="s">
        <v>303</v>
      </c>
      <c r="EH543" s="49" t="s">
        <v>310</v>
      </c>
      <c r="EJ543" s="49" t="s">
        <v>303</v>
      </c>
      <c r="EK543" s="49" t="s">
        <v>2419</v>
      </c>
      <c r="EM543" s="49" t="s">
        <v>303</v>
      </c>
      <c r="EN543" s="49" t="s">
        <v>396</v>
      </c>
      <c r="EP543" s="49" t="s">
        <v>298</v>
      </c>
      <c r="EQ543" s="0" t="n">
        <v>1</v>
      </c>
      <c r="ER543" s="49" t="s">
        <v>328</v>
      </c>
      <c r="ES543" s="49" t="s">
        <v>329</v>
      </c>
      <c r="ET543" s="49" t="s">
        <v>310</v>
      </c>
      <c r="EU543" s="49" t="s">
        <v>310</v>
      </c>
      <c r="EV543" s="49" t="s">
        <v>310</v>
      </c>
      <c r="EX543" s="49" t="s">
        <v>303</v>
      </c>
      <c r="EY543" s="49" t="s">
        <v>303</v>
      </c>
      <c r="FC543" s="49" t="s">
        <v>330</v>
      </c>
      <c r="FD543" s="49" t="s">
        <v>310</v>
      </c>
      <c r="FE543" s="49" t="s">
        <v>310</v>
      </c>
      <c r="FF543" s="49" t="s">
        <v>64</v>
      </c>
      <c r="FG543" s="49" t="s">
        <v>397</v>
      </c>
      <c r="FH543" s="49" t="s">
        <v>310</v>
      </c>
      <c r="FI543" s="49" t="s">
        <v>332</v>
      </c>
      <c r="FJ543" s="49" t="s">
        <v>303</v>
      </c>
      <c r="FL543" s="49" t="s">
        <v>325</v>
      </c>
      <c r="FM543" s="49" t="s">
        <v>2414</v>
      </c>
      <c r="FP543" s="49" t="s">
        <v>303</v>
      </c>
      <c r="FR543" s="49" t="s">
        <v>303</v>
      </c>
      <c r="FT543" s="49" t="s">
        <v>325</v>
      </c>
      <c r="FU543" s="49" t="s">
        <v>325</v>
      </c>
      <c r="FW543" s="49" t="s">
        <v>333</v>
      </c>
    </row>
    <row r="544" customFormat="false" ht="15" hidden="false" customHeight="false" outlineLevel="0" collapsed="false">
      <c r="A544" s="0" t="n">
        <v>100870802</v>
      </c>
      <c r="B544" s="0" t="s">
        <v>295</v>
      </c>
      <c r="C544" s="0" t="s">
        <v>64</v>
      </c>
      <c r="D544" s="0" t="s">
        <v>65</v>
      </c>
      <c r="E544" s="0" t="s">
        <v>297</v>
      </c>
      <c r="G544" s="0" t="n">
        <v>1</v>
      </c>
      <c r="H544" s="0" t="s">
        <v>298</v>
      </c>
      <c r="I544" s="48" t="n">
        <v>46223</v>
      </c>
      <c r="J544" s="0" t="n">
        <v>1</v>
      </c>
      <c r="K544" s="49" t="s">
        <v>2414</v>
      </c>
      <c r="L544" s="49" t="s">
        <v>1035</v>
      </c>
      <c r="M544" s="48" t="n">
        <v>46224</v>
      </c>
      <c r="N544" s="49" t="s">
        <v>1204</v>
      </c>
      <c r="O544" s="49" t="s">
        <v>1045</v>
      </c>
      <c r="P544" s="48"/>
      <c r="Q544" s="48" t="n">
        <v>46223</v>
      </c>
      <c r="R544" s="48" t="n">
        <v>46229</v>
      </c>
      <c r="T544" s="49" t="s">
        <v>302</v>
      </c>
      <c r="U544" s="49" t="s">
        <v>303</v>
      </c>
      <c r="Y544" s="49" t="s">
        <v>2420</v>
      </c>
      <c r="AD544" s="49" t="s">
        <v>305</v>
      </c>
      <c r="AE544" s="48" t="n">
        <v>46181</v>
      </c>
      <c r="AF544" s="49" t="s">
        <v>306</v>
      </c>
      <c r="AG544" s="49" t="s">
        <v>307</v>
      </c>
      <c r="AK544" s="49" t="s">
        <v>1047</v>
      </c>
      <c r="AL544" s="49" t="s">
        <v>297</v>
      </c>
      <c r="AO544" s="49" t="s">
        <v>303</v>
      </c>
      <c r="AP544" s="48"/>
      <c r="AR544" s="49" t="s">
        <v>303</v>
      </c>
      <c r="AS544" s="49" t="s">
        <v>306</v>
      </c>
      <c r="AT544" s="49" t="s">
        <v>2421</v>
      </c>
      <c r="AV544" s="49" t="s">
        <v>309</v>
      </c>
      <c r="AW544" s="49" t="s">
        <v>310</v>
      </c>
      <c r="AX544" s="49" t="s">
        <v>311</v>
      </c>
      <c r="AY544" s="48"/>
      <c r="AZ544" s="48" t="n">
        <v>46219</v>
      </c>
      <c r="BC544" s="49" t="s">
        <v>303</v>
      </c>
      <c r="BD544" s="48" t="n">
        <v>46224</v>
      </c>
      <c r="BE544" s="49" t="s">
        <v>2422</v>
      </c>
      <c r="BF544" s="49" t="s">
        <v>303</v>
      </c>
      <c r="BG544" s="48"/>
      <c r="BI544" s="48" t="n">
        <v>46224</v>
      </c>
      <c r="BJ544" s="48" t="n">
        <v>46226</v>
      </c>
      <c r="BK544" s="49" t="s">
        <v>313</v>
      </c>
      <c r="BL544" s="49" t="s">
        <v>313</v>
      </c>
      <c r="BM544" s="49" t="s">
        <v>310</v>
      </c>
      <c r="BN544" s="48"/>
      <c r="BO544" s="48"/>
      <c r="BP544" s="48"/>
      <c r="BQ544" s="49" t="s">
        <v>2396</v>
      </c>
      <c r="BR544" s="48" t="n">
        <v>46226</v>
      </c>
      <c r="BS544" s="49" t="s">
        <v>2423</v>
      </c>
      <c r="BT544" s="49" t="s">
        <v>312</v>
      </c>
      <c r="BU544" s="49" t="s">
        <v>313</v>
      </c>
      <c r="BV544" s="49" t="s">
        <v>303</v>
      </c>
      <c r="BX544" s="0" t="n">
        <v>1</v>
      </c>
      <c r="CC544" s="49" t="s">
        <v>315</v>
      </c>
      <c r="CD544" s="49" t="s">
        <v>303</v>
      </c>
      <c r="CF544" s="49" t="s">
        <v>303</v>
      </c>
      <c r="CG544" s="49" t="s">
        <v>316</v>
      </c>
      <c r="CH544" s="49" t="s">
        <v>317</v>
      </c>
      <c r="CI544" s="49" t="s">
        <v>318</v>
      </c>
      <c r="CM544" s="49" t="s">
        <v>65</v>
      </c>
      <c r="CV544" s="49" t="s">
        <v>303</v>
      </c>
      <c r="DB544" s="49" t="s">
        <v>319</v>
      </c>
      <c r="DD544" s="48" t="n">
        <v>46181</v>
      </c>
      <c r="DF544" s="49" t="s">
        <v>310</v>
      </c>
      <c r="DG544" s="49" t="s">
        <v>320</v>
      </c>
      <c r="DH544" s="49" t="s">
        <v>64</v>
      </c>
      <c r="DI544" s="49" t="s">
        <v>298</v>
      </c>
      <c r="DJ544" s="49" t="s">
        <v>394</v>
      </c>
      <c r="DK544" s="49" t="s">
        <v>322</v>
      </c>
      <c r="DL544" s="49" t="s">
        <v>323</v>
      </c>
      <c r="DM544" s="49" t="s">
        <v>303</v>
      </c>
      <c r="DN544" s="49" t="s">
        <v>297</v>
      </c>
      <c r="DO544" s="48"/>
      <c r="DP544" s="49" t="s">
        <v>312</v>
      </c>
      <c r="DQ544" s="48"/>
      <c r="DR544" s="49" t="s">
        <v>312</v>
      </c>
      <c r="DS544" s="49" t="s">
        <v>303</v>
      </c>
      <c r="DT544" s="49" t="s">
        <v>303</v>
      </c>
      <c r="DW544" s="49" t="s">
        <v>303</v>
      </c>
      <c r="EA544" s="49" t="s">
        <v>324</v>
      </c>
      <c r="EB544" s="49" t="s">
        <v>303</v>
      </c>
      <c r="EF544" s="49" t="s">
        <v>2424</v>
      </c>
      <c r="EH544" s="49" t="s">
        <v>310</v>
      </c>
      <c r="EJ544" s="49" t="s">
        <v>303</v>
      </c>
      <c r="EK544" s="49" t="s">
        <v>2425</v>
      </c>
      <c r="EM544" s="49" t="s">
        <v>303</v>
      </c>
      <c r="EN544" s="49" t="s">
        <v>396</v>
      </c>
      <c r="EP544" s="49" t="s">
        <v>298</v>
      </c>
      <c r="EQ544" s="0" t="n">
        <v>1</v>
      </c>
      <c r="ER544" s="49" t="s">
        <v>328</v>
      </c>
      <c r="ES544" s="49" t="s">
        <v>329</v>
      </c>
      <c r="ET544" s="49" t="s">
        <v>310</v>
      </c>
      <c r="EU544" s="49" t="s">
        <v>310</v>
      </c>
      <c r="EV544" s="49" t="s">
        <v>310</v>
      </c>
      <c r="EX544" s="49" t="s">
        <v>303</v>
      </c>
      <c r="EY544" s="49" t="s">
        <v>303</v>
      </c>
      <c r="FC544" s="49" t="s">
        <v>330</v>
      </c>
      <c r="FD544" s="49" t="s">
        <v>310</v>
      </c>
      <c r="FE544" s="49" t="s">
        <v>310</v>
      </c>
      <c r="FF544" s="49" t="s">
        <v>64</v>
      </c>
      <c r="FG544" s="49" t="s">
        <v>397</v>
      </c>
      <c r="FH544" s="49" t="s">
        <v>310</v>
      </c>
      <c r="FI544" s="49" t="s">
        <v>332</v>
      </c>
      <c r="FJ544" s="49" t="s">
        <v>303</v>
      </c>
      <c r="FL544" s="49" t="s">
        <v>325</v>
      </c>
      <c r="FM544" s="49" t="s">
        <v>2414</v>
      </c>
      <c r="FP544" s="49" t="s">
        <v>303</v>
      </c>
      <c r="FR544" s="49" t="s">
        <v>303</v>
      </c>
      <c r="FT544" s="49" t="s">
        <v>325</v>
      </c>
      <c r="FU544" s="49" t="s">
        <v>325</v>
      </c>
      <c r="FW544" s="49" t="s">
        <v>333</v>
      </c>
    </row>
    <row r="545" customFormat="false" ht="15" hidden="false" customHeight="false" outlineLevel="0" collapsed="false">
      <c r="A545" s="0" t="n">
        <v>100870803</v>
      </c>
      <c r="B545" s="0" t="s">
        <v>295</v>
      </c>
      <c r="C545" s="0" t="s">
        <v>64</v>
      </c>
      <c r="D545" s="0" t="s">
        <v>65</v>
      </c>
      <c r="E545" s="0" t="s">
        <v>297</v>
      </c>
      <c r="G545" s="0" t="n">
        <v>1</v>
      </c>
      <c r="H545" s="0" t="s">
        <v>298</v>
      </c>
      <c r="I545" s="48" t="n">
        <v>46223</v>
      </c>
      <c r="J545" s="0" t="n">
        <v>1</v>
      </c>
      <c r="K545" s="49" t="s">
        <v>2414</v>
      </c>
      <c r="L545" s="49" t="s">
        <v>1035</v>
      </c>
      <c r="M545" s="48" t="n">
        <v>46224</v>
      </c>
      <c r="N545" s="49" t="s">
        <v>1204</v>
      </c>
      <c r="O545" s="49" t="s">
        <v>1045</v>
      </c>
      <c r="P545" s="48"/>
      <c r="Q545" s="48" t="n">
        <v>46223</v>
      </c>
      <c r="R545" s="48" t="n">
        <v>46229</v>
      </c>
      <c r="T545" s="49" t="s">
        <v>302</v>
      </c>
      <c r="U545" s="49" t="s">
        <v>303</v>
      </c>
      <c r="Y545" s="49" t="s">
        <v>2426</v>
      </c>
      <c r="AD545" s="49" t="s">
        <v>305</v>
      </c>
      <c r="AE545" s="48" t="n">
        <v>46181</v>
      </c>
      <c r="AF545" s="49" t="s">
        <v>306</v>
      </c>
      <c r="AG545" s="49" t="s">
        <v>307</v>
      </c>
      <c r="AK545" s="49" t="s">
        <v>1047</v>
      </c>
      <c r="AL545" s="49" t="s">
        <v>297</v>
      </c>
      <c r="AO545" s="49" t="s">
        <v>303</v>
      </c>
      <c r="AP545" s="48"/>
      <c r="AR545" s="49" t="s">
        <v>303</v>
      </c>
      <c r="AS545" s="49" t="s">
        <v>306</v>
      </c>
      <c r="AT545" s="49" t="s">
        <v>2427</v>
      </c>
      <c r="AV545" s="49" t="s">
        <v>309</v>
      </c>
      <c r="AW545" s="49" t="s">
        <v>310</v>
      </c>
      <c r="AX545" s="49" t="s">
        <v>311</v>
      </c>
      <c r="AY545" s="48"/>
      <c r="AZ545" s="48" t="n">
        <v>46219</v>
      </c>
      <c r="BC545" s="49" t="s">
        <v>303</v>
      </c>
      <c r="BD545" s="48" t="n">
        <v>46224</v>
      </c>
      <c r="BE545" s="49" t="s">
        <v>2422</v>
      </c>
      <c r="BF545" s="49" t="s">
        <v>303</v>
      </c>
      <c r="BG545" s="48"/>
      <c r="BI545" s="48" t="n">
        <v>46224</v>
      </c>
      <c r="BJ545" s="48" t="n">
        <v>46226</v>
      </c>
      <c r="BK545" s="49" t="s">
        <v>313</v>
      </c>
      <c r="BL545" s="49" t="s">
        <v>313</v>
      </c>
      <c r="BM545" s="49" t="s">
        <v>310</v>
      </c>
      <c r="BN545" s="48"/>
      <c r="BO545" s="48"/>
      <c r="BP545" s="48"/>
      <c r="BQ545" s="49" t="s">
        <v>2396</v>
      </c>
      <c r="BR545" s="48" t="n">
        <v>46226</v>
      </c>
      <c r="BS545" s="49" t="s">
        <v>2428</v>
      </c>
      <c r="BT545" s="49" t="s">
        <v>312</v>
      </c>
      <c r="BU545" s="49" t="s">
        <v>313</v>
      </c>
      <c r="BV545" s="49" t="s">
        <v>303</v>
      </c>
      <c r="BX545" s="0" t="n">
        <v>1</v>
      </c>
      <c r="CC545" s="49" t="s">
        <v>315</v>
      </c>
      <c r="CD545" s="49" t="s">
        <v>303</v>
      </c>
      <c r="CF545" s="49" t="s">
        <v>303</v>
      </c>
      <c r="CG545" s="49" t="s">
        <v>316</v>
      </c>
      <c r="CH545" s="49" t="s">
        <v>317</v>
      </c>
      <c r="CI545" s="49" t="s">
        <v>318</v>
      </c>
      <c r="CM545" s="49" t="s">
        <v>65</v>
      </c>
      <c r="CV545" s="49" t="s">
        <v>303</v>
      </c>
      <c r="DB545" s="49" t="s">
        <v>319</v>
      </c>
      <c r="DD545" s="48" t="n">
        <v>46181</v>
      </c>
      <c r="DF545" s="49" t="s">
        <v>310</v>
      </c>
      <c r="DG545" s="49" t="s">
        <v>320</v>
      </c>
      <c r="DH545" s="49" t="s">
        <v>64</v>
      </c>
      <c r="DI545" s="49" t="s">
        <v>298</v>
      </c>
      <c r="DJ545" s="49" t="s">
        <v>394</v>
      </c>
      <c r="DK545" s="49" t="s">
        <v>322</v>
      </c>
      <c r="DL545" s="49" t="s">
        <v>323</v>
      </c>
      <c r="DM545" s="49" t="s">
        <v>303</v>
      </c>
      <c r="DN545" s="49" t="s">
        <v>297</v>
      </c>
      <c r="DO545" s="48"/>
      <c r="DP545" s="49" t="s">
        <v>312</v>
      </c>
      <c r="DQ545" s="48"/>
      <c r="DR545" s="49" t="s">
        <v>312</v>
      </c>
      <c r="DS545" s="49" t="s">
        <v>303</v>
      </c>
      <c r="DT545" s="49" t="s">
        <v>303</v>
      </c>
      <c r="DW545" s="49" t="s">
        <v>303</v>
      </c>
      <c r="EA545" s="49" t="s">
        <v>324</v>
      </c>
      <c r="EB545" s="49" t="s">
        <v>303</v>
      </c>
      <c r="EF545" s="49" t="s">
        <v>2424</v>
      </c>
      <c r="EH545" s="49" t="s">
        <v>310</v>
      </c>
      <c r="EJ545" s="49" t="s">
        <v>303</v>
      </c>
      <c r="EK545" s="49" t="s">
        <v>2429</v>
      </c>
      <c r="EM545" s="49" t="s">
        <v>303</v>
      </c>
      <c r="EN545" s="49" t="s">
        <v>396</v>
      </c>
      <c r="EP545" s="49" t="s">
        <v>298</v>
      </c>
      <c r="EQ545" s="0" t="n">
        <v>1</v>
      </c>
      <c r="ER545" s="49" t="s">
        <v>328</v>
      </c>
      <c r="ES545" s="49" t="s">
        <v>329</v>
      </c>
      <c r="ET545" s="49" t="s">
        <v>310</v>
      </c>
      <c r="EU545" s="49" t="s">
        <v>310</v>
      </c>
      <c r="EV545" s="49" t="s">
        <v>310</v>
      </c>
      <c r="EX545" s="49" t="s">
        <v>303</v>
      </c>
      <c r="EY545" s="49" t="s">
        <v>303</v>
      </c>
      <c r="FC545" s="49" t="s">
        <v>330</v>
      </c>
      <c r="FD545" s="49" t="s">
        <v>310</v>
      </c>
      <c r="FE545" s="49" t="s">
        <v>310</v>
      </c>
      <c r="FF545" s="49" t="s">
        <v>64</v>
      </c>
      <c r="FG545" s="49" t="s">
        <v>397</v>
      </c>
      <c r="FH545" s="49" t="s">
        <v>310</v>
      </c>
      <c r="FI545" s="49" t="s">
        <v>332</v>
      </c>
      <c r="FJ545" s="49" t="s">
        <v>303</v>
      </c>
      <c r="FL545" s="49" t="s">
        <v>325</v>
      </c>
      <c r="FM545" s="49" t="s">
        <v>2414</v>
      </c>
      <c r="FP545" s="49" t="s">
        <v>303</v>
      </c>
      <c r="FR545" s="49" t="s">
        <v>303</v>
      </c>
      <c r="FT545" s="49" t="s">
        <v>325</v>
      </c>
      <c r="FU545" s="49" t="s">
        <v>325</v>
      </c>
      <c r="FW545" s="49" t="s">
        <v>333</v>
      </c>
    </row>
    <row r="546" customFormat="false" ht="15" hidden="false" customHeight="false" outlineLevel="0" collapsed="false">
      <c r="A546" s="0" t="n">
        <v>100870804</v>
      </c>
      <c r="B546" s="0" t="s">
        <v>295</v>
      </c>
      <c r="C546" s="0" t="s">
        <v>64</v>
      </c>
      <c r="D546" s="0" t="s">
        <v>65</v>
      </c>
      <c r="E546" s="0" t="s">
        <v>297</v>
      </c>
      <c r="G546" s="0" t="n">
        <v>1</v>
      </c>
      <c r="H546" s="0" t="s">
        <v>298</v>
      </c>
      <c r="I546" s="48" t="n">
        <v>46223</v>
      </c>
      <c r="J546" s="0" t="n">
        <v>1</v>
      </c>
      <c r="K546" s="49" t="s">
        <v>2414</v>
      </c>
      <c r="L546" s="49" t="s">
        <v>1035</v>
      </c>
      <c r="M546" s="48" t="n">
        <v>46224</v>
      </c>
      <c r="N546" s="49" t="s">
        <v>1204</v>
      </c>
      <c r="O546" s="49" t="s">
        <v>1045</v>
      </c>
      <c r="P546" s="48"/>
      <c r="Q546" s="48" t="n">
        <v>46223</v>
      </c>
      <c r="R546" s="48" t="n">
        <v>46229</v>
      </c>
      <c r="T546" s="49" t="s">
        <v>302</v>
      </c>
      <c r="U546" s="49" t="s">
        <v>303</v>
      </c>
      <c r="Y546" s="49" t="s">
        <v>2430</v>
      </c>
      <c r="AD546" s="49" t="s">
        <v>305</v>
      </c>
      <c r="AE546" s="48" t="n">
        <v>46181</v>
      </c>
      <c r="AF546" s="49" t="s">
        <v>306</v>
      </c>
      <c r="AG546" s="49" t="s">
        <v>307</v>
      </c>
      <c r="AK546" s="49" t="s">
        <v>1047</v>
      </c>
      <c r="AL546" s="49" t="s">
        <v>297</v>
      </c>
      <c r="AO546" s="49" t="s">
        <v>303</v>
      </c>
      <c r="AP546" s="48"/>
      <c r="AR546" s="49" t="s">
        <v>303</v>
      </c>
      <c r="AS546" s="49" t="s">
        <v>306</v>
      </c>
      <c r="AT546" s="49" t="s">
        <v>2431</v>
      </c>
      <c r="AV546" s="49" t="s">
        <v>309</v>
      </c>
      <c r="AW546" s="49" t="s">
        <v>310</v>
      </c>
      <c r="AX546" s="49" t="s">
        <v>311</v>
      </c>
      <c r="AY546" s="48"/>
      <c r="AZ546" s="48" t="n">
        <v>46219</v>
      </c>
      <c r="BC546" s="49" t="s">
        <v>303</v>
      </c>
      <c r="BD546" s="48" t="n">
        <v>46224</v>
      </c>
      <c r="BE546" s="49" t="s">
        <v>2422</v>
      </c>
      <c r="BF546" s="49" t="s">
        <v>303</v>
      </c>
      <c r="BG546" s="48"/>
      <c r="BI546" s="48" t="n">
        <v>46224</v>
      </c>
      <c r="BJ546" s="48" t="n">
        <v>46226</v>
      </c>
      <c r="BK546" s="49" t="s">
        <v>313</v>
      </c>
      <c r="BL546" s="49" t="s">
        <v>313</v>
      </c>
      <c r="BM546" s="49" t="s">
        <v>310</v>
      </c>
      <c r="BN546" s="48"/>
      <c r="BO546" s="48"/>
      <c r="BP546" s="48"/>
      <c r="BQ546" s="49" t="s">
        <v>2396</v>
      </c>
      <c r="BR546" s="48" t="n">
        <v>46226</v>
      </c>
      <c r="BS546" s="49" t="s">
        <v>2432</v>
      </c>
      <c r="BT546" s="49" t="s">
        <v>312</v>
      </c>
      <c r="BU546" s="49" t="s">
        <v>313</v>
      </c>
      <c r="BV546" s="49" t="s">
        <v>303</v>
      </c>
      <c r="BX546" s="0" t="n">
        <v>1</v>
      </c>
      <c r="CC546" s="49" t="s">
        <v>315</v>
      </c>
      <c r="CD546" s="49" t="s">
        <v>303</v>
      </c>
      <c r="CF546" s="49" t="s">
        <v>303</v>
      </c>
      <c r="CG546" s="49" t="s">
        <v>316</v>
      </c>
      <c r="CH546" s="49" t="s">
        <v>317</v>
      </c>
      <c r="CI546" s="49" t="s">
        <v>318</v>
      </c>
      <c r="CM546" s="49" t="s">
        <v>65</v>
      </c>
      <c r="CV546" s="49" t="s">
        <v>303</v>
      </c>
      <c r="DB546" s="49" t="s">
        <v>319</v>
      </c>
      <c r="DD546" s="48" t="n">
        <v>46181</v>
      </c>
      <c r="DF546" s="49" t="s">
        <v>310</v>
      </c>
      <c r="DG546" s="49" t="s">
        <v>320</v>
      </c>
      <c r="DH546" s="49" t="s">
        <v>64</v>
      </c>
      <c r="DI546" s="49" t="s">
        <v>298</v>
      </c>
      <c r="DJ546" s="49" t="s">
        <v>394</v>
      </c>
      <c r="DK546" s="49" t="s">
        <v>322</v>
      </c>
      <c r="DL546" s="49" t="s">
        <v>323</v>
      </c>
      <c r="DM546" s="49" t="s">
        <v>303</v>
      </c>
      <c r="DN546" s="49" t="s">
        <v>297</v>
      </c>
      <c r="DO546" s="48"/>
      <c r="DP546" s="49" t="s">
        <v>312</v>
      </c>
      <c r="DQ546" s="48"/>
      <c r="DR546" s="49" t="s">
        <v>312</v>
      </c>
      <c r="DS546" s="49" t="s">
        <v>303</v>
      </c>
      <c r="DT546" s="49" t="s">
        <v>303</v>
      </c>
      <c r="DW546" s="49" t="s">
        <v>303</v>
      </c>
      <c r="EA546" s="49" t="s">
        <v>324</v>
      </c>
      <c r="EB546" s="49" t="s">
        <v>303</v>
      </c>
      <c r="EF546" s="49" t="s">
        <v>2424</v>
      </c>
      <c r="EH546" s="49" t="s">
        <v>310</v>
      </c>
      <c r="EJ546" s="49" t="s">
        <v>303</v>
      </c>
      <c r="EK546" s="49" t="s">
        <v>2433</v>
      </c>
      <c r="EM546" s="49" t="s">
        <v>303</v>
      </c>
      <c r="EN546" s="49" t="s">
        <v>396</v>
      </c>
      <c r="EP546" s="49" t="s">
        <v>298</v>
      </c>
      <c r="EQ546" s="0" t="n">
        <v>1</v>
      </c>
      <c r="ER546" s="49" t="s">
        <v>328</v>
      </c>
      <c r="ES546" s="49" t="s">
        <v>329</v>
      </c>
      <c r="ET546" s="49" t="s">
        <v>310</v>
      </c>
      <c r="EU546" s="49" t="s">
        <v>310</v>
      </c>
      <c r="EV546" s="49" t="s">
        <v>310</v>
      </c>
      <c r="EX546" s="49" t="s">
        <v>303</v>
      </c>
      <c r="EY546" s="49" t="s">
        <v>303</v>
      </c>
      <c r="FC546" s="49" t="s">
        <v>330</v>
      </c>
      <c r="FD546" s="49" t="s">
        <v>310</v>
      </c>
      <c r="FE546" s="49" t="s">
        <v>310</v>
      </c>
      <c r="FF546" s="49" t="s">
        <v>64</v>
      </c>
      <c r="FG546" s="49" t="s">
        <v>397</v>
      </c>
      <c r="FH546" s="49" t="s">
        <v>310</v>
      </c>
      <c r="FI546" s="49" t="s">
        <v>332</v>
      </c>
      <c r="FJ546" s="49" t="s">
        <v>303</v>
      </c>
      <c r="FL546" s="49" t="s">
        <v>325</v>
      </c>
      <c r="FM546" s="49" t="s">
        <v>2414</v>
      </c>
      <c r="FP546" s="49" t="s">
        <v>303</v>
      </c>
      <c r="FR546" s="49" t="s">
        <v>303</v>
      </c>
      <c r="FT546" s="49" t="s">
        <v>325</v>
      </c>
      <c r="FU546" s="49" t="s">
        <v>325</v>
      </c>
      <c r="FW546" s="49" t="s">
        <v>333</v>
      </c>
    </row>
    <row r="547" customFormat="false" ht="15" hidden="false" customHeight="false" outlineLevel="0" collapsed="false">
      <c r="A547" s="0" t="n">
        <v>100870805</v>
      </c>
      <c r="B547" s="0" t="s">
        <v>295</v>
      </c>
      <c r="C547" s="0" t="s">
        <v>64</v>
      </c>
      <c r="D547" s="0" t="s">
        <v>65</v>
      </c>
      <c r="E547" s="0" t="s">
        <v>297</v>
      </c>
      <c r="G547" s="0" t="n">
        <v>1</v>
      </c>
      <c r="H547" s="0" t="s">
        <v>298</v>
      </c>
      <c r="I547" s="48" t="n">
        <v>46223</v>
      </c>
      <c r="J547" s="0" t="n">
        <v>1</v>
      </c>
      <c r="K547" s="49" t="s">
        <v>2414</v>
      </c>
      <c r="L547" s="49" t="s">
        <v>1035</v>
      </c>
      <c r="M547" s="48" t="n">
        <v>46224</v>
      </c>
      <c r="N547" s="49" t="s">
        <v>1204</v>
      </c>
      <c r="O547" s="49" t="s">
        <v>1045</v>
      </c>
      <c r="P547" s="48"/>
      <c r="Q547" s="48" t="n">
        <v>46223</v>
      </c>
      <c r="R547" s="48" t="n">
        <v>46229</v>
      </c>
      <c r="T547" s="49" t="s">
        <v>302</v>
      </c>
      <c r="U547" s="49" t="s">
        <v>303</v>
      </c>
      <c r="Y547" s="49" t="s">
        <v>2434</v>
      </c>
      <c r="AD547" s="49" t="s">
        <v>305</v>
      </c>
      <c r="AE547" s="48" t="n">
        <v>46181</v>
      </c>
      <c r="AF547" s="49" t="s">
        <v>306</v>
      </c>
      <c r="AG547" s="49" t="s">
        <v>307</v>
      </c>
      <c r="AK547" s="49" t="s">
        <v>1047</v>
      </c>
      <c r="AL547" s="49" t="s">
        <v>297</v>
      </c>
      <c r="AO547" s="49" t="s">
        <v>303</v>
      </c>
      <c r="AP547" s="48"/>
      <c r="AR547" s="49" t="s">
        <v>303</v>
      </c>
      <c r="AS547" s="49" t="s">
        <v>306</v>
      </c>
      <c r="AT547" s="49" t="s">
        <v>2435</v>
      </c>
      <c r="AV547" s="49" t="s">
        <v>309</v>
      </c>
      <c r="AW547" s="49" t="s">
        <v>310</v>
      </c>
      <c r="AX547" s="49" t="s">
        <v>311</v>
      </c>
      <c r="AY547" s="48"/>
      <c r="AZ547" s="48" t="n">
        <v>46219</v>
      </c>
      <c r="BC547" s="49" t="s">
        <v>303</v>
      </c>
      <c r="BD547" s="48" t="n">
        <v>46224</v>
      </c>
      <c r="BE547" s="49" t="s">
        <v>2436</v>
      </c>
      <c r="BF547" s="49" t="s">
        <v>303</v>
      </c>
      <c r="BG547" s="48"/>
      <c r="BI547" s="48" t="n">
        <v>46224</v>
      </c>
      <c r="BJ547" s="48" t="n">
        <v>46226</v>
      </c>
      <c r="BK547" s="49" t="s">
        <v>313</v>
      </c>
      <c r="BL547" s="49" t="s">
        <v>313</v>
      </c>
      <c r="BM547" s="49" t="s">
        <v>310</v>
      </c>
      <c r="BN547" s="48"/>
      <c r="BO547" s="48"/>
      <c r="BP547" s="48"/>
      <c r="BQ547" s="49" t="s">
        <v>2396</v>
      </c>
      <c r="BR547" s="48" t="n">
        <v>46226</v>
      </c>
      <c r="BS547" s="49" t="s">
        <v>2437</v>
      </c>
      <c r="BT547" s="49" t="s">
        <v>312</v>
      </c>
      <c r="BU547" s="49" t="s">
        <v>313</v>
      </c>
      <c r="BV547" s="49" t="s">
        <v>303</v>
      </c>
      <c r="BX547" s="0" t="n">
        <v>1</v>
      </c>
      <c r="CC547" s="49" t="s">
        <v>315</v>
      </c>
      <c r="CD547" s="49" t="s">
        <v>303</v>
      </c>
      <c r="CF547" s="49" t="s">
        <v>303</v>
      </c>
      <c r="CG547" s="49" t="s">
        <v>316</v>
      </c>
      <c r="CH547" s="49" t="s">
        <v>317</v>
      </c>
      <c r="CI547" s="49" t="s">
        <v>318</v>
      </c>
      <c r="CM547" s="49" t="s">
        <v>65</v>
      </c>
      <c r="CV547" s="49" t="s">
        <v>303</v>
      </c>
      <c r="DB547" s="49" t="s">
        <v>319</v>
      </c>
      <c r="DD547" s="48" t="n">
        <v>46181</v>
      </c>
      <c r="DF547" s="49" t="s">
        <v>310</v>
      </c>
      <c r="DG547" s="49" t="s">
        <v>320</v>
      </c>
      <c r="DH547" s="49" t="s">
        <v>64</v>
      </c>
      <c r="DI547" s="49" t="s">
        <v>298</v>
      </c>
      <c r="DJ547" s="49" t="s">
        <v>394</v>
      </c>
      <c r="DK547" s="49" t="s">
        <v>322</v>
      </c>
      <c r="DL547" s="49" t="s">
        <v>323</v>
      </c>
      <c r="DM547" s="49" t="s">
        <v>303</v>
      </c>
      <c r="DN547" s="49" t="s">
        <v>297</v>
      </c>
      <c r="DO547" s="48"/>
      <c r="DP547" s="49" t="s">
        <v>312</v>
      </c>
      <c r="DQ547" s="48"/>
      <c r="DR547" s="49" t="s">
        <v>312</v>
      </c>
      <c r="DS547" s="49" t="s">
        <v>303</v>
      </c>
      <c r="DT547" s="49" t="s">
        <v>303</v>
      </c>
      <c r="DW547" s="49" t="s">
        <v>303</v>
      </c>
      <c r="EA547" s="49" t="s">
        <v>324</v>
      </c>
      <c r="EB547" s="49" t="s">
        <v>303</v>
      </c>
      <c r="EF547" s="49" t="s">
        <v>2424</v>
      </c>
      <c r="EH547" s="49" t="s">
        <v>310</v>
      </c>
      <c r="EJ547" s="49" t="s">
        <v>303</v>
      </c>
      <c r="EK547" s="49" t="s">
        <v>2438</v>
      </c>
      <c r="EM547" s="49" t="s">
        <v>303</v>
      </c>
      <c r="EN547" s="49" t="s">
        <v>396</v>
      </c>
      <c r="EP547" s="49" t="s">
        <v>298</v>
      </c>
      <c r="EQ547" s="0" t="n">
        <v>1</v>
      </c>
      <c r="ER547" s="49" t="s">
        <v>328</v>
      </c>
      <c r="ES547" s="49" t="s">
        <v>329</v>
      </c>
      <c r="ET547" s="49" t="s">
        <v>310</v>
      </c>
      <c r="EU547" s="49" t="s">
        <v>310</v>
      </c>
      <c r="EV547" s="49" t="s">
        <v>310</v>
      </c>
      <c r="EX547" s="49" t="s">
        <v>303</v>
      </c>
      <c r="EY547" s="49" t="s">
        <v>303</v>
      </c>
      <c r="FC547" s="49" t="s">
        <v>330</v>
      </c>
      <c r="FD547" s="49" t="s">
        <v>310</v>
      </c>
      <c r="FE547" s="49" t="s">
        <v>310</v>
      </c>
      <c r="FF547" s="49" t="s">
        <v>64</v>
      </c>
      <c r="FG547" s="49" t="s">
        <v>397</v>
      </c>
      <c r="FH547" s="49" t="s">
        <v>310</v>
      </c>
      <c r="FI547" s="49" t="s">
        <v>332</v>
      </c>
      <c r="FJ547" s="49" t="s">
        <v>303</v>
      </c>
      <c r="FL547" s="49" t="s">
        <v>325</v>
      </c>
      <c r="FM547" s="49" t="s">
        <v>2414</v>
      </c>
      <c r="FP547" s="49" t="s">
        <v>303</v>
      </c>
      <c r="FR547" s="49" t="s">
        <v>303</v>
      </c>
      <c r="FT547" s="49" t="s">
        <v>325</v>
      </c>
      <c r="FU547" s="49" t="s">
        <v>325</v>
      </c>
      <c r="FW547" s="49" t="s">
        <v>333</v>
      </c>
    </row>
    <row r="548" customFormat="false" ht="15" hidden="false" customHeight="false" outlineLevel="0" collapsed="false">
      <c r="A548" s="0" t="n">
        <v>100870806</v>
      </c>
      <c r="B548" s="0" t="s">
        <v>295</v>
      </c>
      <c r="C548" s="0" t="s">
        <v>64</v>
      </c>
      <c r="D548" s="0" t="s">
        <v>65</v>
      </c>
      <c r="E548" s="0" t="s">
        <v>297</v>
      </c>
      <c r="G548" s="0" t="n">
        <v>1</v>
      </c>
      <c r="H548" s="0" t="s">
        <v>298</v>
      </c>
      <c r="I548" s="48" t="n">
        <v>46223</v>
      </c>
      <c r="J548" s="0" t="n">
        <v>1</v>
      </c>
      <c r="K548" s="49" t="s">
        <v>2414</v>
      </c>
      <c r="L548" s="49" t="s">
        <v>1035</v>
      </c>
      <c r="M548" s="48" t="n">
        <v>46224</v>
      </c>
      <c r="N548" s="49" t="s">
        <v>1204</v>
      </c>
      <c r="O548" s="49" t="s">
        <v>1045</v>
      </c>
      <c r="P548" s="48"/>
      <c r="Q548" s="48" t="n">
        <v>46223</v>
      </c>
      <c r="R548" s="48" t="n">
        <v>46229</v>
      </c>
      <c r="T548" s="49" t="s">
        <v>302</v>
      </c>
      <c r="U548" s="49" t="s">
        <v>303</v>
      </c>
      <c r="Y548" s="49" t="s">
        <v>2439</v>
      </c>
      <c r="AD548" s="49" t="s">
        <v>305</v>
      </c>
      <c r="AE548" s="48" t="n">
        <v>46181</v>
      </c>
      <c r="AF548" s="49" t="s">
        <v>306</v>
      </c>
      <c r="AG548" s="49" t="s">
        <v>307</v>
      </c>
      <c r="AK548" s="49" t="s">
        <v>1047</v>
      </c>
      <c r="AL548" s="49" t="s">
        <v>297</v>
      </c>
      <c r="AO548" s="49" t="s">
        <v>303</v>
      </c>
      <c r="AP548" s="48"/>
      <c r="AR548" s="49" t="s">
        <v>303</v>
      </c>
      <c r="AS548" s="49" t="s">
        <v>306</v>
      </c>
      <c r="AT548" s="49" t="s">
        <v>2440</v>
      </c>
      <c r="AV548" s="49" t="s">
        <v>309</v>
      </c>
      <c r="AW548" s="49" t="s">
        <v>310</v>
      </c>
      <c r="AX548" s="49" t="s">
        <v>311</v>
      </c>
      <c r="AY548" s="48"/>
      <c r="AZ548" s="48" t="n">
        <v>46219</v>
      </c>
      <c r="BC548" s="49" t="s">
        <v>303</v>
      </c>
      <c r="BD548" s="48" t="n">
        <v>46224</v>
      </c>
      <c r="BE548" s="49" t="s">
        <v>2436</v>
      </c>
      <c r="BF548" s="49" t="s">
        <v>303</v>
      </c>
      <c r="BG548" s="48"/>
      <c r="BI548" s="48" t="n">
        <v>46224</v>
      </c>
      <c r="BJ548" s="48" t="n">
        <v>46226</v>
      </c>
      <c r="BK548" s="49" t="s">
        <v>313</v>
      </c>
      <c r="BL548" s="49" t="s">
        <v>313</v>
      </c>
      <c r="BM548" s="49" t="s">
        <v>310</v>
      </c>
      <c r="BN548" s="48"/>
      <c r="BO548" s="48"/>
      <c r="BP548" s="48"/>
      <c r="BQ548" s="49" t="s">
        <v>2396</v>
      </c>
      <c r="BR548" s="48" t="n">
        <v>46226</v>
      </c>
      <c r="BS548" s="49" t="s">
        <v>2441</v>
      </c>
      <c r="BT548" s="49" t="s">
        <v>312</v>
      </c>
      <c r="BU548" s="49" t="s">
        <v>313</v>
      </c>
      <c r="BV548" s="49" t="s">
        <v>303</v>
      </c>
      <c r="BX548" s="0" t="n">
        <v>1</v>
      </c>
      <c r="CC548" s="49" t="s">
        <v>315</v>
      </c>
      <c r="CD548" s="49" t="s">
        <v>303</v>
      </c>
      <c r="CF548" s="49" t="s">
        <v>303</v>
      </c>
      <c r="CG548" s="49" t="s">
        <v>316</v>
      </c>
      <c r="CH548" s="49" t="s">
        <v>317</v>
      </c>
      <c r="CI548" s="49" t="s">
        <v>318</v>
      </c>
      <c r="CM548" s="49" t="s">
        <v>65</v>
      </c>
      <c r="CV548" s="49" t="s">
        <v>303</v>
      </c>
      <c r="DB548" s="49" t="s">
        <v>319</v>
      </c>
      <c r="DD548" s="48" t="n">
        <v>46181</v>
      </c>
      <c r="DF548" s="49" t="s">
        <v>310</v>
      </c>
      <c r="DG548" s="49" t="s">
        <v>320</v>
      </c>
      <c r="DH548" s="49" t="s">
        <v>64</v>
      </c>
      <c r="DI548" s="49" t="s">
        <v>298</v>
      </c>
      <c r="DJ548" s="49" t="s">
        <v>394</v>
      </c>
      <c r="DK548" s="49" t="s">
        <v>322</v>
      </c>
      <c r="DL548" s="49" t="s">
        <v>323</v>
      </c>
      <c r="DM548" s="49" t="s">
        <v>303</v>
      </c>
      <c r="DN548" s="49" t="s">
        <v>297</v>
      </c>
      <c r="DO548" s="48"/>
      <c r="DP548" s="49" t="s">
        <v>312</v>
      </c>
      <c r="DQ548" s="48"/>
      <c r="DR548" s="49" t="s">
        <v>312</v>
      </c>
      <c r="DS548" s="49" t="s">
        <v>303</v>
      </c>
      <c r="DT548" s="49" t="s">
        <v>303</v>
      </c>
      <c r="DW548" s="49" t="s">
        <v>303</v>
      </c>
      <c r="EA548" s="49" t="s">
        <v>324</v>
      </c>
      <c r="EB548" s="49" t="s">
        <v>303</v>
      </c>
      <c r="EF548" s="49" t="s">
        <v>2424</v>
      </c>
      <c r="EH548" s="49" t="s">
        <v>310</v>
      </c>
      <c r="EJ548" s="49" t="s">
        <v>303</v>
      </c>
      <c r="EK548" s="49" t="s">
        <v>2442</v>
      </c>
      <c r="EM548" s="49" t="s">
        <v>303</v>
      </c>
      <c r="EN548" s="49" t="s">
        <v>396</v>
      </c>
      <c r="EP548" s="49" t="s">
        <v>298</v>
      </c>
      <c r="EQ548" s="0" t="n">
        <v>1</v>
      </c>
      <c r="ER548" s="49" t="s">
        <v>328</v>
      </c>
      <c r="ES548" s="49" t="s">
        <v>329</v>
      </c>
      <c r="ET548" s="49" t="s">
        <v>310</v>
      </c>
      <c r="EU548" s="49" t="s">
        <v>310</v>
      </c>
      <c r="EV548" s="49" t="s">
        <v>310</v>
      </c>
      <c r="EX548" s="49" t="s">
        <v>303</v>
      </c>
      <c r="EY548" s="49" t="s">
        <v>303</v>
      </c>
      <c r="FC548" s="49" t="s">
        <v>330</v>
      </c>
      <c r="FD548" s="49" t="s">
        <v>310</v>
      </c>
      <c r="FE548" s="49" t="s">
        <v>310</v>
      </c>
      <c r="FF548" s="49" t="s">
        <v>64</v>
      </c>
      <c r="FG548" s="49" t="s">
        <v>397</v>
      </c>
      <c r="FH548" s="49" t="s">
        <v>310</v>
      </c>
      <c r="FI548" s="49" t="s">
        <v>332</v>
      </c>
      <c r="FJ548" s="49" t="s">
        <v>303</v>
      </c>
      <c r="FL548" s="49" t="s">
        <v>325</v>
      </c>
      <c r="FM548" s="49" t="s">
        <v>2414</v>
      </c>
      <c r="FP548" s="49" t="s">
        <v>303</v>
      </c>
      <c r="FR548" s="49" t="s">
        <v>303</v>
      </c>
      <c r="FT548" s="49" t="s">
        <v>325</v>
      </c>
      <c r="FU548" s="49" t="s">
        <v>325</v>
      </c>
      <c r="FW548" s="49" t="s">
        <v>333</v>
      </c>
    </row>
    <row r="549" customFormat="false" ht="15" hidden="false" customHeight="false" outlineLevel="0" collapsed="false">
      <c r="A549" s="0" t="n">
        <v>100870807</v>
      </c>
      <c r="B549" s="0" t="s">
        <v>295</v>
      </c>
      <c r="C549" s="0" t="s">
        <v>64</v>
      </c>
      <c r="D549" s="0" t="s">
        <v>65</v>
      </c>
      <c r="E549" s="0" t="s">
        <v>297</v>
      </c>
      <c r="G549" s="0" t="n">
        <v>1</v>
      </c>
      <c r="H549" s="0" t="s">
        <v>298</v>
      </c>
      <c r="I549" s="48" t="n">
        <v>46223</v>
      </c>
      <c r="J549" s="0" t="n">
        <v>1</v>
      </c>
      <c r="K549" s="49" t="s">
        <v>2414</v>
      </c>
      <c r="L549" s="49" t="s">
        <v>1035</v>
      </c>
      <c r="M549" s="48" t="n">
        <v>46224</v>
      </c>
      <c r="N549" s="49" t="s">
        <v>1204</v>
      </c>
      <c r="O549" s="49" t="s">
        <v>1045</v>
      </c>
      <c r="P549" s="48"/>
      <c r="Q549" s="48" t="n">
        <v>46223</v>
      </c>
      <c r="R549" s="48" t="n">
        <v>46229</v>
      </c>
      <c r="T549" s="49" t="s">
        <v>302</v>
      </c>
      <c r="U549" s="49" t="s">
        <v>303</v>
      </c>
      <c r="Y549" s="49" t="s">
        <v>2443</v>
      </c>
      <c r="AD549" s="49" t="s">
        <v>305</v>
      </c>
      <c r="AE549" s="48" t="n">
        <v>46181</v>
      </c>
      <c r="AF549" s="49" t="s">
        <v>306</v>
      </c>
      <c r="AG549" s="49" t="s">
        <v>307</v>
      </c>
      <c r="AK549" s="49" t="s">
        <v>1047</v>
      </c>
      <c r="AL549" s="49" t="s">
        <v>297</v>
      </c>
      <c r="AO549" s="49" t="s">
        <v>303</v>
      </c>
      <c r="AP549" s="48"/>
      <c r="AR549" s="49" t="s">
        <v>303</v>
      </c>
      <c r="AS549" s="49" t="s">
        <v>306</v>
      </c>
      <c r="AT549" s="49" t="s">
        <v>2444</v>
      </c>
      <c r="AV549" s="49" t="s">
        <v>309</v>
      </c>
      <c r="AW549" s="49" t="s">
        <v>310</v>
      </c>
      <c r="AX549" s="49" t="s">
        <v>311</v>
      </c>
      <c r="AY549" s="48"/>
      <c r="AZ549" s="48" t="n">
        <v>46219</v>
      </c>
      <c r="BC549" s="49" t="s">
        <v>303</v>
      </c>
      <c r="BD549" s="48" t="n">
        <v>46224</v>
      </c>
      <c r="BE549" s="49" t="s">
        <v>2445</v>
      </c>
      <c r="BF549" s="49" t="s">
        <v>303</v>
      </c>
      <c r="BG549" s="48"/>
      <c r="BI549" s="48" t="n">
        <v>46224</v>
      </c>
      <c r="BJ549" s="48" t="n">
        <v>46226</v>
      </c>
      <c r="BK549" s="49" t="s">
        <v>313</v>
      </c>
      <c r="BL549" s="49" t="s">
        <v>313</v>
      </c>
      <c r="BM549" s="49" t="s">
        <v>310</v>
      </c>
      <c r="BN549" s="48"/>
      <c r="BO549" s="48"/>
      <c r="BP549" s="48"/>
      <c r="BQ549" s="49" t="s">
        <v>2396</v>
      </c>
      <c r="BR549" s="48" t="n">
        <v>46226</v>
      </c>
      <c r="BS549" s="49" t="s">
        <v>2446</v>
      </c>
      <c r="BT549" s="49" t="s">
        <v>312</v>
      </c>
      <c r="BU549" s="49" t="s">
        <v>313</v>
      </c>
      <c r="BV549" s="49" t="s">
        <v>303</v>
      </c>
      <c r="BX549" s="0" t="n">
        <v>1</v>
      </c>
      <c r="CC549" s="49" t="s">
        <v>315</v>
      </c>
      <c r="CD549" s="49" t="s">
        <v>303</v>
      </c>
      <c r="CF549" s="49" t="s">
        <v>303</v>
      </c>
      <c r="CG549" s="49" t="s">
        <v>316</v>
      </c>
      <c r="CH549" s="49" t="s">
        <v>317</v>
      </c>
      <c r="CI549" s="49" t="s">
        <v>318</v>
      </c>
      <c r="CM549" s="49" t="s">
        <v>65</v>
      </c>
      <c r="CV549" s="49" t="s">
        <v>303</v>
      </c>
      <c r="DB549" s="49" t="s">
        <v>319</v>
      </c>
      <c r="DD549" s="48" t="n">
        <v>46181</v>
      </c>
      <c r="DF549" s="49" t="s">
        <v>310</v>
      </c>
      <c r="DG549" s="49" t="s">
        <v>320</v>
      </c>
      <c r="DH549" s="49" t="s">
        <v>64</v>
      </c>
      <c r="DI549" s="49" t="s">
        <v>298</v>
      </c>
      <c r="DJ549" s="49" t="s">
        <v>394</v>
      </c>
      <c r="DK549" s="49" t="s">
        <v>322</v>
      </c>
      <c r="DL549" s="49" t="s">
        <v>323</v>
      </c>
      <c r="DM549" s="49" t="s">
        <v>303</v>
      </c>
      <c r="DN549" s="49" t="s">
        <v>297</v>
      </c>
      <c r="DO549" s="48"/>
      <c r="DP549" s="49" t="s">
        <v>312</v>
      </c>
      <c r="DQ549" s="48"/>
      <c r="DR549" s="49" t="s">
        <v>312</v>
      </c>
      <c r="DS549" s="49" t="s">
        <v>303</v>
      </c>
      <c r="DT549" s="49" t="s">
        <v>303</v>
      </c>
      <c r="DW549" s="49" t="s">
        <v>303</v>
      </c>
      <c r="EA549" s="49" t="s">
        <v>324</v>
      </c>
      <c r="EB549" s="49" t="s">
        <v>303</v>
      </c>
      <c r="EF549" s="49" t="s">
        <v>2424</v>
      </c>
      <c r="EH549" s="49" t="s">
        <v>310</v>
      </c>
      <c r="EJ549" s="49" t="s">
        <v>303</v>
      </c>
      <c r="EK549" s="49" t="s">
        <v>2447</v>
      </c>
      <c r="EM549" s="49" t="s">
        <v>303</v>
      </c>
      <c r="EN549" s="49" t="s">
        <v>396</v>
      </c>
      <c r="EP549" s="49" t="s">
        <v>298</v>
      </c>
      <c r="EQ549" s="0" t="n">
        <v>1</v>
      </c>
      <c r="ER549" s="49" t="s">
        <v>328</v>
      </c>
      <c r="ES549" s="49" t="s">
        <v>329</v>
      </c>
      <c r="ET549" s="49" t="s">
        <v>310</v>
      </c>
      <c r="EU549" s="49" t="s">
        <v>310</v>
      </c>
      <c r="EV549" s="49" t="s">
        <v>310</v>
      </c>
      <c r="EX549" s="49" t="s">
        <v>303</v>
      </c>
      <c r="EY549" s="49" t="s">
        <v>303</v>
      </c>
      <c r="FC549" s="49" t="s">
        <v>330</v>
      </c>
      <c r="FD549" s="49" t="s">
        <v>310</v>
      </c>
      <c r="FE549" s="49" t="s">
        <v>310</v>
      </c>
      <c r="FF549" s="49" t="s">
        <v>64</v>
      </c>
      <c r="FG549" s="49" t="s">
        <v>397</v>
      </c>
      <c r="FH549" s="49" t="s">
        <v>310</v>
      </c>
      <c r="FI549" s="49" t="s">
        <v>332</v>
      </c>
      <c r="FJ549" s="49" t="s">
        <v>303</v>
      </c>
      <c r="FL549" s="49" t="s">
        <v>325</v>
      </c>
      <c r="FM549" s="49" t="s">
        <v>2414</v>
      </c>
      <c r="FP549" s="49" t="s">
        <v>303</v>
      </c>
      <c r="FR549" s="49" t="s">
        <v>303</v>
      </c>
      <c r="FT549" s="49" t="s">
        <v>325</v>
      </c>
      <c r="FU549" s="49" t="s">
        <v>325</v>
      </c>
      <c r="FW549" s="49" t="s">
        <v>333</v>
      </c>
    </row>
    <row r="550" customFormat="false" ht="15" hidden="false" customHeight="false" outlineLevel="0" collapsed="false">
      <c r="A550" s="0" t="n">
        <v>100870808</v>
      </c>
      <c r="B550" s="0" t="s">
        <v>295</v>
      </c>
      <c r="C550" s="0" t="s">
        <v>64</v>
      </c>
      <c r="D550" s="0" t="s">
        <v>65</v>
      </c>
      <c r="E550" s="0" t="s">
        <v>297</v>
      </c>
      <c r="G550" s="0" t="n">
        <v>1</v>
      </c>
      <c r="H550" s="0" t="s">
        <v>298</v>
      </c>
      <c r="I550" s="48" t="n">
        <v>46223</v>
      </c>
      <c r="J550" s="0" t="n">
        <v>1</v>
      </c>
      <c r="K550" s="49" t="s">
        <v>2414</v>
      </c>
      <c r="L550" s="49" t="s">
        <v>1035</v>
      </c>
      <c r="M550" s="48" t="n">
        <v>46224</v>
      </c>
      <c r="N550" s="49" t="s">
        <v>1204</v>
      </c>
      <c r="O550" s="49" t="s">
        <v>1045</v>
      </c>
      <c r="P550" s="48"/>
      <c r="Q550" s="48" t="n">
        <v>46223</v>
      </c>
      <c r="R550" s="48" t="n">
        <v>46229</v>
      </c>
      <c r="T550" s="49" t="s">
        <v>302</v>
      </c>
      <c r="U550" s="49" t="s">
        <v>303</v>
      </c>
      <c r="Y550" s="49" t="s">
        <v>2448</v>
      </c>
      <c r="AD550" s="49" t="s">
        <v>305</v>
      </c>
      <c r="AE550" s="48" t="n">
        <v>46181</v>
      </c>
      <c r="AF550" s="49" t="s">
        <v>306</v>
      </c>
      <c r="AG550" s="49" t="s">
        <v>307</v>
      </c>
      <c r="AK550" s="49" t="s">
        <v>1047</v>
      </c>
      <c r="AL550" s="49" t="s">
        <v>297</v>
      </c>
      <c r="AO550" s="49" t="s">
        <v>303</v>
      </c>
      <c r="AP550" s="48"/>
      <c r="AR550" s="49" t="s">
        <v>303</v>
      </c>
      <c r="AS550" s="49" t="s">
        <v>306</v>
      </c>
      <c r="AT550" s="49" t="s">
        <v>2449</v>
      </c>
      <c r="AV550" s="49" t="s">
        <v>309</v>
      </c>
      <c r="AW550" s="49" t="s">
        <v>310</v>
      </c>
      <c r="AX550" s="49" t="s">
        <v>311</v>
      </c>
      <c r="AY550" s="48"/>
      <c r="AZ550" s="48" t="n">
        <v>46219</v>
      </c>
      <c r="BC550" s="49" t="s">
        <v>303</v>
      </c>
      <c r="BD550" s="48" t="n">
        <v>46224</v>
      </c>
      <c r="BE550" s="49" t="s">
        <v>2445</v>
      </c>
      <c r="BF550" s="49" t="s">
        <v>303</v>
      </c>
      <c r="BG550" s="48"/>
      <c r="BI550" s="48" t="n">
        <v>46224</v>
      </c>
      <c r="BJ550" s="48" t="n">
        <v>46226</v>
      </c>
      <c r="BK550" s="49" t="s">
        <v>313</v>
      </c>
      <c r="BL550" s="49" t="s">
        <v>313</v>
      </c>
      <c r="BM550" s="49" t="s">
        <v>310</v>
      </c>
      <c r="BN550" s="48"/>
      <c r="BO550" s="48"/>
      <c r="BP550" s="48"/>
      <c r="BQ550" s="49" t="s">
        <v>2396</v>
      </c>
      <c r="BR550" s="48" t="n">
        <v>46226</v>
      </c>
      <c r="BS550" s="49" t="s">
        <v>2450</v>
      </c>
      <c r="BT550" s="49" t="s">
        <v>312</v>
      </c>
      <c r="BU550" s="49" t="s">
        <v>313</v>
      </c>
      <c r="BV550" s="49" t="s">
        <v>303</v>
      </c>
      <c r="BX550" s="0" t="n">
        <v>1</v>
      </c>
      <c r="CC550" s="49" t="s">
        <v>315</v>
      </c>
      <c r="CD550" s="49" t="s">
        <v>303</v>
      </c>
      <c r="CF550" s="49" t="s">
        <v>303</v>
      </c>
      <c r="CG550" s="49" t="s">
        <v>316</v>
      </c>
      <c r="CH550" s="49" t="s">
        <v>317</v>
      </c>
      <c r="CI550" s="49" t="s">
        <v>318</v>
      </c>
      <c r="CM550" s="49" t="s">
        <v>65</v>
      </c>
      <c r="CV550" s="49" t="s">
        <v>303</v>
      </c>
      <c r="DB550" s="49" t="s">
        <v>319</v>
      </c>
      <c r="DD550" s="48" t="n">
        <v>46181</v>
      </c>
      <c r="DF550" s="49" t="s">
        <v>310</v>
      </c>
      <c r="DG550" s="49" t="s">
        <v>320</v>
      </c>
      <c r="DH550" s="49" t="s">
        <v>64</v>
      </c>
      <c r="DI550" s="49" t="s">
        <v>298</v>
      </c>
      <c r="DJ550" s="49" t="s">
        <v>394</v>
      </c>
      <c r="DK550" s="49" t="s">
        <v>322</v>
      </c>
      <c r="DL550" s="49" t="s">
        <v>323</v>
      </c>
      <c r="DM550" s="49" t="s">
        <v>303</v>
      </c>
      <c r="DN550" s="49" t="s">
        <v>297</v>
      </c>
      <c r="DO550" s="48"/>
      <c r="DP550" s="49" t="s">
        <v>312</v>
      </c>
      <c r="DQ550" s="48"/>
      <c r="DR550" s="49" t="s">
        <v>312</v>
      </c>
      <c r="DS550" s="49" t="s">
        <v>303</v>
      </c>
      <c r="DT550" s="49" t="s">
        <v>303</v>
      </c>
      <c r="DW550" s="49" t="s">
        <v>303</v>
      </c>
      <c r="EA550" s="49" t="s">
        <v>324</v>
      </c>
      <c r="EB550" s="49" t="s">
        <v>303</v>
      </c>
      <c r="EF550" s="49" t="s">
        <v>2424</v>
      </c>
      <c r="EH550" s="49" t="s">
        <v>310</v>
      </c>
      <c r="EJ550" s="49" t="s">
        <v>303</v>
      </c>
      <c r="EK550" s="49" t="s">
        <v>2451</v>
      </c>
      <c r="EM550" s="49" t="s">
        <v>303</v>
      </c>
      <c r="EN550" s="49" t="s">
        <v>396</v>
      </c>
      <c r="EP550" s="49" t="s">
        <v>298</v>
      </c>
      <c r="EQ550" s="0" t="n">
        <v>1</v>
      </c>
      <c r="ER550" s="49" t="s">
        <v>328</v>
      </c>
      <c r="ES550" s="49" t="s">
        <v>329</v>
      </c>
      <c r="ET550" s="49" t="s">
        <v>310</v>
      </c>
      <c r="EU550" s="49" t="s">
        <v>310</v>
      </c>
      <c r="EV550" s="49" t="s">
        <v>310</v>
      </c>
      <c r="EX550" s="49" t="s">
        <v>303</v>
      </c>
      <c r="EY550" s="49" t="s">
        <v>303</v>
      </c>
      <c r="FC550" s="49" t="s">
        <v>330</v>
      </c>
      <c r="FD550" s="49" t="s">
        <v>310</v>
      </c>
      <c r="FE550" s="49" t="s">
        <v>310</v>
      </c>
      <c r="FF550" s="49" t="s">
        <v>64</v>
      </c>
      <c r="FG550" s="49" t="s">
        <v>397</v>
      </c>
      <c r="FH550" s="49" t="s">
        <v>310</v>
      </c>
      <c r="FI550" s="49" t="s">
        <v>332</v>
      </c>
      <c r="FJ550" s="49" t="s">
        <v>303</v>
      </c>
      <c r="FL550" s="49" t="s">
        <v>325</v>
      </c>
      <c r="FM550" s="49" t="s">
        <v>2414</v>
      </c>
      <c r="FP550" s="49" t="s">
        <v>303</v>
      </c>
      <c r="FR550" s="49" t="s">
        <v>303</v>
      </c>
      <c r="FT550" s="49" t="s">
        <v>325</v>
      </c>
      <c r="FU550" s="49" t="s">
        <v>325</v>
      </c>
      <c r="FW550" s="49" t="s">
        <v>333</v>
      </c>
    </row>
    <row r="551" customFormat="false" ht="15" hidden="false" customHeight="false" outlineLevel="0" collapsed="false">
      <c r="A551" s="0" t="n">
        <v>100870809</v>
      </c>
      <c r="B551" s="0" t="s">
        <v>295</v>
      </c>
      <c r="C551" s="0" t="s">
        <v>64</v>
      </c>
      <c r="D551" s="0" t="s">
        <v>65</v>
      </c>
      <c r="E551" s="0" t="s">
        <v>297</v>
      </c>
      <c r="G551" s="0" t="n">
        <v>1</v>
      </c>
      <c r="H551" s="0" t="s">
        <v>298</v>
      </c>
      <c r="I551" s="48" t="n">
        <v>46223</v>
      </c>
      <c r="J551" s="0" t="n">
        <v>1</v>
      </c>
      <c r="K551" s="49" t="s">
        <v>2414</v>
      </c>
      <c r="L551" s="49" t="s">
        <v>1035</v>
      </c>
      <c r="M551" s="48" t="n">
        <v>46232</v>
      </c>
      <c r="N551" s="49" t="s">
        <v>1204</v>
      </c>
      <c r="O551" s="49" t="s">
        <v>1045</v>
      </c>
      <c r="P551" s="48"/>
      <c r="Q551" s="48" t="n">
        <v>46223</v>
      </c>
      <c r="R551" s="48" t="n">
        <v>46229</v>
      </c>
      <c r="T551" s="49" t="s">
        <v>302</v>
      </c>
      <c r="U551" s="49" t="s">
        <v>303</v>
      </c>
      <c r="Y551" s="49" t="s">
        <v>2452</v>
      </c>
      <c r="AD551" s="49" t="s">
        <v>305</v>
      </c>
      <c r="AE551" s="48" t="n">
        <v>46181</v>
      </c>
      <c r="AF551" s="49" t="s">
        <v>306</v>
      </c>
      <c r="AG551" s="49" t="s">
        <v>307</v>
      </c>
      <c r="AK551" s="49" t="s">
        <v>1047</v>
      </c>
      <c r="AL551" s="49" t="s">
        <v>297</v>
      </c>
      <c r="AO551" s="49" t="s">
        <v>303</v>
      </c>
      <c r="AP551" s="48"/>
      <c r="AR551" s="49" t="s">
        <v>303</v>
      </c>
      <c r="AS551" s="49" t="s">
        <v>306</v>
      </c>
      <c r="AT551" s="49" t="s">
        <v>2453</v>
      </c>
      <c r="AV551" s="49" t="s">
        <v>309</v>
      </c>
      <c r="AW551" s="49" t="s">
        <v>310</v>
      </c>
      <c r="AX551" s="49" t="s">
        <v>311</v>
      </c>
      <c r="AY551" s="48"/>
      <c r="AZ551" s="48" t="n">
        <v>46219</v>
      </c>
      <c r="BC551" s="49" t="s">
        <v>303</v>
      </c>
      <c r="BD551" s="48" t="n">
        <v>46232</v>
      </c>
      <c r="BE551" s="49" t="s">
        <v>2454</v>
      </c>
      <c r="BF551" s="49" t="s">
        <v>303</v>
      </c>
      <c r="BG551" s="48"/>
      <c r="BI551" s="48" t="n">
        <v>46232</v>
      </c>
      <c r="BJ551" s="48" t="n">
        <v>46226</v>
      </c>
      <c r="BK551" s="49" t="s">
        <v>313</v>
      </c>
      <c r="BL551" s="49" t="s">
        <v>313</v>
      </c>
      <c r="BM551" s="49" t="s">
        <v>310</v>
      </c>
      <c r="BN551" s="48"/>
      <c r="BO551" s="48"/>
      <c r="BP551" s="48"/>
      <c r="BQ551" s="49" t="s">
        <v>2304</v>
      </c>
      <c r="BR551" s="48" t="n">
        <v>46226</v>
      </c>
      <c r="BS551" s="49" t="s">
        <v>2455</v>
      </c>
      <c r="BT551" s="49" t="s">
        <v>312</v>
      </c>
      <c r="BU551" s="49" t="s">
        <v>313</v>
      </c>
      <c r="BV551" s="49" t="s">
        <v>303</v>
      </c>
      <c r="BX551" s="0" t="n">
        <v>1</v>
      </c>
      <c r="CC551" s="49" t="s">
        <v>315</v>
      </c>
      <c r="CD551" s="49" t="s">
        <v>303</v>
      </c>
      <c r="CF551" s="49" t="s">
        <v>303</v>
      </c>
      <c r="CG551" s="49" t="s">
        <v>316</v>
      </c>
      <c r="CH551" s="49" t="s">
        <v>317</v>
      </c>
      <c r="CI551" s="49" t="s">
        <v>318</v>
      </c>
      <c r="CM551" s="49" t="s">
        <v>65</v>
      </c>
      <c r="CV551" s="49" t="s">
        <v>303</v>
      </c>
      <c r="DB551" s="49" t="s">
        <v>319</v>
      </c>
      <c r="DD551" s="48" t="n">
        <v>46181</v>
      </c>
      <c r="DF551" s="49" t="s">
        <v>310</v>
      </c>
      <c r="DG551" s="49" t="s">
        <v>320</v>
      </c>
      <c r="DH551" s="49" t="s">
        <v>64</v>
      </c>
      <c r="DI551" s="49" t="s">
        <v>298</v>
      </c>
      <c r="DJ551" s="49" t="s">
        <v>394</v>
      </c>
      <c r="DK551" s="49" t="s">
        <v>322</v>
      </c>
      <c r="DL551" s="49" t="s">
        <v>323</v>
      </c>
      <c r="DM551" s="49" t="s">
        <v>303</v>
      </c>
      <c r="DN551" s="49" t="s">
        <v>297</v>
      </c>
      <c r="DO551" s="48"/>
      <c r="DP551" s="49" t="s">
        <v>312</v>
      </c>
      <c r="DQ551" s="48"/>
      <c r="DR551" s="49" t="s">
        <v>312</v>
      </c>
      <c r="DS551" s="49" t="s">
        <v>303</v>
      </c>
      <c r="DT551" s="49" t="s">
        <v>303</v>
      </c>
      <c r="DW551" s="49" t="s">
        <v>303</v>
      </c>
      <c r="EA551" s="49" t="s">
        <v>324</v>
      </c>
      <c r="EB551" s="49" t="s">
        <v>303</v>
      </c>
      <c r="EF551" s="49" t="s">
        <v>2424</v>
      </c>
      <c r="EH551" s="49" t="s">
        <v>310</v>
      </c>
      <c r="EJ551" s="49" t="s">
        <v>303</v>
      </c>
      <c r="EK551" s="49" t="s">
        <v>2456</v>
      </c>
      <c r="EM551" s="49" t="s">
        <v>303</v>
      </c>
      <c r="EN551" s="49" t="s">
        <v>396</v>
      </c>
      <c r="EP551" s="49" t="s">
        <v>298</v>
      </c>
      <c r="EQ551" s="0" t="n">
        <v>1</v>
      </c>
      <c r="ER551" s="49" t="s">
        <v>328</v>
      </c>
      <c r="ES551" s="49" t="s">
        <v>329</v>
      </c>
      <c r="ET551" s="49" t="s">
        <v>310</v>
      </c>
      <c r="EU551" s="49" t="s">
        <v>310</v>
      </c>
      <c r="EV551" s="49" t="s">
        <v>310</v>
      </c>
      <c r="EX551" s="49" t="s">
        <v>303</v>
      </c>
      <c r="EY551" s="49" t="s">
        <v>303</v>
      </c>
      <c r="FC551" s="49" t="s">
        <v>330</v>
      </c>
      <c r="FD551" s="49" t="s">
        <v>310</v>
      </c>
      <c r="FE551" s="49" t="s">
        <v>310</v>
      </c>
      <c r="FF551" s="49" t="s">
        <v>64</v>
      </c>
      <c r="FG551" s="49" t="s">
        <v>397</v>
      </c>
      <c r="FH551" s="49" t="s">
        <v>310</v>
      </c>
      <c r="FI551" s="49" t="s">
        <v>332</v>
      </c>
      <c r="FJ551" s="49" t="s">
        <v>303</v>
      </c>
      <c r="FL551" s="49" t="s">
        <v>325</v>
      </c>
      <c r="FM551" s="49" t="s">
        <v>2414</v>
      </c>
      <c r="FP551" s="49" t="s">
        <v>303</v>
      </c>
      <c r="FR551" s="49" t="s">
        <v>303</v>
      </c>
      <c r="FT551" s="49" t="s">
        <v>325</v>
      </c>
      <c r="FU551" s="49" t="s">
        <v>325</v>
      </c>
      <c r="FW551" s="49" t="s">
        <v>333</v>
      </c>
    </row>
    <row r="552" customFormat="false" ht="15" hidden="false" customHeight="false" outlineLevel="0" collapsed="false">
      <c r="A552" s="0" t="n">
        <v>100870810</v>
      </c>
      <c r="B552" s="0" t="s">
        <v>295</v>
      </c>
      <c r="C552" s="0" t="s">
        <v>64</v>
      </c>
      <c r="D552" s="0" t="s">
        <v>65</v>
      </c>
      <c r="E552" s="0" t="s">
        <v>297</v>
      </c>
      <c r="G552" s="0" t="n">
        <v>1</v>
      </c>
      <c r="H552" s="0" t="s">
        <v>298</v>
      </c>
      <c r="I552" s="48" t="n">
        <v>46223</v>
      </c>
      <c r="J552" s="0" t="n">
        <v>1</v>
      </c>
      <c r="K552" s="49" t="s">
        <v>2414</v>
      </c>
      <c r="L552" s="49" t="s">
        <v>1035</v>
      </c>
      <c r="M552" s="48" t="n">
        <v>46232</v>
      </c>
      <c r="N552" s="49" t="s">
        <v>1204</v>
      </c>
      <c r="O552" s="49" t="s">
        <v>1045</v>
      </c>
      <c r="P552" s="48"/>
      <c r="Q552" s="48" t="n">
        <v>46223</v>
      </c>
      <c r="R552" s="48" t="n">
        <v>46229</v>
      </c>
      <c r="T552" s="49" t="s">
        <v>302</v>
      </c>
      <c r="U552" s="49" t="s">
        <v>303</v>
      </c>
      <c r="Y552" s="49" t="s">
        <v>737</v>
      </c>
      <c r="AD552" s="49" t="s">
        <v>305</v>
      </c>
      <c r="AE552" s="48" t="n">
        <v>46181</v>
      </c>
      <c r="AF552" s="49" t="s">
        <v>306</v>
      </c>
      <c r="AG552" s="49" t="s">
        <v>307</v>
      </c>
      <c r="AK552" s="49" t="s">
        <v>1047</v>
      </c>
      <c r="AL552" s="49" t="s">
        <v>297</v>
      </c>
      <c r="AO552" s="49" t="s">
        <v>303</v>
      </c>
      <c r="AP552" s="48"/>
      <c r="AR552" s="49" t="s">
        <v>303</v>
      </c>
      <c r="AS552" s="49" t="s">
        <v>306</v>
      </c>
      <c r="AT552" s="49" t="s">
        <v>2457</v>
      </c>
      <c r="AV552" s="49" t="s">
        <v>309</v>
      </c>
      <c r="AW552" s="49" t="s">
        <v>310</v>
      </c>
      <c r="AX552" s="49" t="s">
        <v>311</v>
      </c>
      <c r="AY552" s="48"/>
      <c r="AZ552" s="48" t="n">
        <v>46219</v>
      </c>
      <c r="BC552" s="49" t="s">
        <v>303</v>
      </c>
      <c r="BD552" s="48" t="n">
        <v>46232</v>
      </c>
      <c r="BE552" s="49" t="s">
        <v>2458</v>
      </c>
      <c r="BF552" s="49" t="s">
        <v>303</v>
      </c>
      <c r="BG552" s="48"/>
      <c r="BI552" s="48" t="n">
        <v>46232</v>
      </c>
      <c r="BJ552" s="48" t="n">
        <v>46226</v>
      </c>
      <c r="BK552" s="49" t="s">
        <v>313</v>
      </c>
      <c r="BL552" s="49" t="s">
        <v>313</v>
      </c>
      <c r="BM552" s="49" t="s">
        <v>310</v>
      </c>
      <c r="BN552" s="48"/>
      <c r="BO552" s="48"/>
      <c r="BP552" s="48"/>
      <c r="BQ552" s="49" t="s">
        <v>2304</v>
      </c>
      <c r="BR552" s="48" t="n">
        <v>46226</v>
      </c>
      <c r="BS552" s="49" t="s">
        <v>2459</v>
      </c>
      <c r="BT552" s="49" t="s">
        <v>312</v>
      </c>
      <c r="BU552" s="49" t="s">
        <v>313</v>
      </c>
      <c r="BV552" s="49" t="s">
        <v>303</v>
      </c>
      <c r="BX552" s="0" t="n">
        <v>1</v>
      </c>
      <c r="CC552" s="49" t="s">
        <v>315</v>
      </c>
      <c r="CD552" s="49" t="s">
        <v>303</v>
      </c>
      <c r="CF552" s="49" t="s">
        <v>303</v>
      </c>
      <c r="CG552" s="49" t="s">
        <v>316</v>
      </c>
      <c r="CH552" s="49" t="s">
        <v>317</v>
      </c>
      <c r="CI552" s="49" t="s">
        <v>318</v>
      </c>
      <c r="CM552" s="49" t="s">
        <v>65</v>
      </c>
      <c r="CV552" s="49" t="s">
        <v>303</v>
      </c>
      <c r="DB552" s="49" t="s">
        <v>319</v>
      </c>
      <c r="DD552" s="48" t="n">
        <v>46181</v>
      </c>
      <c r="DF552" s="49" t="s">
        <v>310</v>
      </c>
      <c r="DG552" s="49" t="s">
        <v>320</v>
      </c>
      <c r="DH552" s="49" t="s">
        <v>64</v>
      </c>
      <c r="DI552" s="49" t="s">
        <v>298</v>
      </c>
      <c r="DJ552" s="49" t="s">
        <v>394</v>
      </c>
      <c r="DK552" s="49" t="s">
        <v>322</v>
      </c>
      <c r="DL552" s="49" t="s">
        <v>323</v>
      </c>
      <c r="DM552" s="49" t="s">
        <v>303</v>
      </c>
      <c r="DN552" s="49" t="s">
        <v>297</v>
      </c>
      <c r="DO552" s="48"/>
      <c r="DP552" s="49" t="s">
        <v>312</v>
      </c>
      <c r="DQ552" s="48"/>
      <c r="DR552" s="49" t="s">
        <v>312</v>
      </c>
      <c r="DS552" s="49" t="s">
        <v>303</v>
      </c>
      <c r="DT552" s="49" t="s">
        <v>303</v>
      </c>
      <c r="DW552" s="49" t="s">
        <v>303</v>
      </c>
      <c r="EA552" s="49" t="s">
        <v>324</v>
      </c>
      <c r="EB552" s="49" t="s">
        <v>303</v>
      </c>
      <c r="EF552" s="49" t="s">
        <v>2424</v>
      </c>
      <c r="EH552" s="49" t="s">
        <v>310</v>
      </c>
      <c r="EJ552" s="49" t="s">
        <v>303</v>
      </c>
      <c r="EK552" s="49" t="s">
        <v>2460</v>
      </c>
      <c r="EM552" s="49" t="s">
        <v>303</v>
      </c>
      <c r="EN552" s="49" t="s">
        <v>396</v>
      </c>
      <c r="EP552" s="49" t="s">
        <v>298</v>
      </c>
      <c r="EQ552" s="0" t="n">
        <v>1</v>
      </c>
      <c r="ER552" s="49" t="s">
        <v>328</v>
      </c>
      <c r="ES552" s="49" t="s">
        <v>329</v>
      </c>
      <c r="ET552" s="49" t="s">
        <v>310</v>
      </c>
      <c r="EU552" s="49" t="s">
        <v>310</v>
      </c>
      <c r="EV552" s="49" t="s">
        <v>310</v>
      </c>
      <c r="EX552" s="49" t="s">
        <v>303</v>
      </c>
      <c r="EY552" s="49" t="s">
        <v>303</v>
      </c>
      <c r="FC552" s="49" t="s">
        <v>330</v>
      </c>
      <c r="FD552" s="49" t="s">
        <v>310</v>
      </c>
      <c r="FE552" s="49" t="s">
        <v>310</v>
      </c>
      <c r="FF552" s="49" t="s">
        <v>64</v>
      </c>
      <c r="FG552" s="49" t="s">
        <v>397</v>
      </c>
      <c r="FH552" s="49" t="s">
        <v>310</v>
      </c>
      <c r="FI552" s="49" t="s">
        <v>332</v>
      </c>
      <c r="FJ552" s="49" t="s">
        <v>303</v>
      </c>
      <c r="FL552" s="49" t="s">
        <v>325</v>
      </c>
      <c r="FM552" s="49" t="s">
        <v>2414</v>
      </c>
      <c r="FP552" s="49" t="s">
        <v>303</v>
      </c>
      <c r="FR552" s="49" t="s">
        <v>303</v>
      </c>
      <c r="FT552" s="49" t="s">
        <v>325</v>
      </c>
      <c r="FU552" s="49" t="s">
        <v>325</v>
      </c>
      <c r="FW552" s="49" t="s">
        <v>333</v>
      </c>
    </row>
    <row r="553" customFormat="false" ht="15" hidden="false" customHeight="false" outlineLevel="0" collapsed="false">
      <c r="A553" s="0" t="n">
        <v>100870811</v>
      </c>
      <c r="B553" s="0" t="s">
        <v>295</v>
      </c>
      <c r="C553" s="0" t="s">
        <v>64</v>
      </c>
      <c r="D553" s="0" t="s">
        <v>65</v>
      </c>
      <c r="E553" s="0" t="s">
        <v>297</v>
      </c>
      <c r="G553" s="0" t="n">
        <v>1</v>
      </c>
      <c r="H553" s="0" t="s">
        <v>298</v>
      </c>
      <c r="I553" s="48" t="n">
        <v>46223</v>
      </c>
      <c r="J553" s="0" t="n">
        <v>1</v>
      </c>
      <c r="K553" s="49" t="s">
        <v>2414</v>
      </c>
      <c r="L553" s="49" t="s">
        <v>1035</v>
      </c>
      <c r="M553" s="48" t="n">
        <v>46232</v>
      </c>
      <c r="N553" s="49" t="s">
        <v>1204</v>
      </c>
      <c r="O553" s="49" t="s">
        <v>1045</v>
      </c>
      <c r="P553" s="48"/>
      <c r="Q553" s="48" t="n">
        <v>46223</v>
      </c>
      <c r="R553" s="48" t="n">
        <v>46229</v>
      </c>
      <c r="T553" s="49" t="s">
        <v>302</v>
      </c>
      <c r="U553" s="49" t="s">
        <v>303</v>
      </c>
      <c r="Y553" s="49" t="s">
        <v>2461</v>
      </c>
      <c r="AD553" s="49" t="s">
        <v>305</v>
      </c>
      <c r="AE553" s="48" t="n">
        <v>46181</v>
      </c>
      <c r="AF553" s="49" t="s">
        <v>306</v>
      </c>
      <c r="AG553" s="49" t="s">
        <v>307</v>
      </c>
      <c r="AK553" s="49" t="s">
        <v>1047</v>
      </c>
      <c r="AL553" s="49" t="s">
        <v>297</v>
      </c>
      <c r="AO553" s="49" t="s">
        <v>303</v>
      </c>
      <c r="AP553" s="48"/>
      <c r="AR553" s="49" t="s">
        <v>303</v>
      </c>
      <c r="AS553" s="49" t="s">
        <v>306</v>
      </c>
      <c r="AT553" s="49" t="s">
        <v>2462</v>
      </c>
      <c r="AV553" s="49" t="s">
        <v>309</v>
      </c>
      <c r="AW553" s="49" t="s">
        <v>310</v>
      </c>
      <c r="AX553" s="49" t="s">
        <v>311</v>
      </c>
      <c r="AY553" s="48"/>
      <c r="AZ553" s="48" t="n">
        <v>46219</v>
      </c>
      <c r="BC553" s="49" t="s">
        <v>303</v>
      </c>
      <c r="BD553" s="48" t="n">
        <v>46232</v>
      </c>
      <c r="BE553" s="49" t="s">
        <v>2463</v>
      </c>
      <c r="BF553" s="49" t="s">
        <v>303</v>
      </c>
      <c r="BG553" s="48"/>
      <c r="BI553" s="48" t="n">
        <v>46232</v>
      </c>
      <c r="BJ553" s="48" t="n">
        <v>46226</v>
      </c>
      <c r="BK553" s="49" t="s">
        <v>313</v>
      </c>
      <c r="BL553" s="49" t="s">
        <v>313</v>
      </c>
      <c r="BM553" s="49" t="s">
        <v>310</v>
      </c>
      <c r="BN553" s="48"/>
      <c r="BO553" s="48"/>
      <c r="BP553" s="48"/>
      <c r="BQ553" s="49" t="s">
        <v>2304</v>
      </c>
      <c r="BR553" s="48" t="n">
        <v>46226</v>
      </c>
      <c r="BS553" s="49" t="s">
        <v>2464</v>
      </c>
      <c r="BT553" s="49" t="s">
        <v>312</v>
      </c>
      <c r="BU553" s="49" t="s">
        <v>313</v>
      </c>
      <c r="BV553" s="49" t="s">
        <v>303</v>
      </c>
      <c r="BX553" s="0" t="n">
        <v>1</v>
      </c>
      <c r="CC553" s="49" t="s">
        <v>315</v>
      </c>
      <c r="CD553" s="49" t="s">
        <v>303</v>
      </c>
      <c r="CF553" s="49" t="s">
        <v>303</v>
      </c>
      <c r="CG553" s="49" t="s">
        <v>316</v>
      </c>
      <c r="CH553" s="49" t="s">
        <v>317</v>
      </c>
      <c r="CI553" s="49" t="s">
        <v>318</v>
      </c>
      <c r="CM553" s="49" t="s">
        <v>65</v>
      </c>
      <c r="CV553" s="49" t="s">
        <v>303</v>
      </c>
      <c r="DB553" s="49" t="s">
        <v>319</v>
      </c>
      <c r="DD553" s="48" t="n">
        <v>46181</v>
      </c>
      <c r="DF553" s="49" t="s">
        <v>310</v>
      </c>
      <c r="DG553" s="49" t="s">
        <v>320</v>
      </c>
      <c r="DH553" s="49" t="s">
        <v>64</v>
      </c>
      <c r="DI553" s="49" t="s">
        <v>298</v>
      </c>
      <c r="DJ553" s="49" t="s">
        <v>394</v>
      </c>
      <c r="DK553" s="49" t="s">
        <v>322</v>
      </c>
      <c r="DL553" s="49" t="s">
        <v>323</v>
      </c>
      <c r="DM553" s="49" t="s">
        <v>303</v>
      </c>
      <c r="DN553" s="49" t="s">
        <v>297</v>
      </c>
      <c r="DO553" s="48"/>
      <c r="DP553" s="49" t="s">
        <v>312</v>
      </c>
      <c r="DQ553" s="48"/>
      <c r="DR553" s="49" t="s">
        <v>312</v>
      </c>
      <c r="DS553" s="49" t="s">
        <v>303</v>
      </c>
      <c r="DT553" s="49" t="s">
        <v>303</v>
      </c>
      <c r="DW553" s="49" t="s">
        <v>303</v>
      </c>
      <c r="EA553" s="49" t="s">
        <v>324</v>
      </c>
      <c r="EB553" s="49" t="s">
        <v>303</v>
      </c>
      <c r="EF553" s="49" t="s">
        <v>2424</v>
      </c>
      <c r="EH553" s="49" t="s">
        <v>310</v>
      </c>
      <c r="EJ553" s="49" t="s">
        <v>303</v>
      </c>
      <c r="EK553" s="49" t="s">
        <v>2465</v>
      </c>
      <c r="EM553" s="49" t="s">
        <v>303</v>
      </c>
      <c r="EN553" s="49" t="s">
        <v>396</v>
      </c>
      <c r="EP553" s="49" t="s">
        <v>298</v>
      </c>
      <c r="EQ553" s="0" t="n">
        <v>1</v>
      </c>
      <c r="ER553" s="49" t="s">
        <v>328</v>
      </c>
      <c r="ES553" s="49" t="s">
        <v>329</v>
      </c>
      <c r="ET553" s="49" t="s">
        <v>310</v>
      </c>
      <c r="EU553" s="49" t="s">
        <v>310</v>
      </c>
      <c r="EV553" s="49" t="s">
        <v>310</v>
      </c>
      <c r="EX553" s="49" t="s">
        <v>303</v>
      </c>
      <c r="EY553" s="49" t="s">
        <v>303</v>
      </c>
      <c r="FC553" s="49" t="s">
        <v>330</v>
      </c>
      <c r="FD553" s="49" t="s">
        <v>310</v>
      </c>
      <c r="FE553" s="49" t="s">
        <v>310</v>
      </c>
      <c r="FF553" s="49" t="s">
        <v>64</v>
      </c>
      <c r="FG553" s="49" t="s">
        <v>397</v>
      </c>
      <c r="FH553" s="49" t="s">
        <v>310</v>
      </c>
      <c r="FI553" s="49" t="s">
        <v>332</v>
      </c>
      <c r="FJ553" s="49" t="s">
        <v>303</v>
      </c>
      <c r="FL553" s="49" t="s">
        <v>325</v>
      </c>
      <c r="FM553" s="49" t="s">
        <v>2414</v>
      </c>
      <c r="FP553" s="49" t="s">
        <v>303</v>
      </c>
      <c r="FR553" s="49" t="s">
        <v>303</v>
      </c>
      <c r="FT553" s="49" t="s">
        <v>325</v>
      </c>
      <c r="FU553" s="49" t="s">
        <v>325</v>
      </c>
      <c r="FW553" s="49" t="s">
        <v>333</v>
      </c>
    </row>
    <row r="554" customFormat="false" ht="15" hidden="false" customHeight="false" outlineLevel="0" collapsed="false">
      <c r="A554" s="0" t="n">
        <v>100870812</v>
      </c>
      <c r="B554" s="0" t="s">
        <v>295</v>
      </c>
      <c r="C554" s="0" t="s">
        <v>64</v>
      </c>
      <c r="D554" s="0" t="s">
        <v>65</v>
      </c>
      <c r="E554" s="0" t="s">
        <v>297</v>
      </c>
      <c r="G554" s="0" t="n">
        <v>1</v>
      </c>
      <c r="H554" s="0" t="s">
        <v>298</v>
      </c>
      <c r="I554" s="48" t="n">
        <v>46223</v>
      </c>
      <c r="J554" s="0" t="n">
        <v>1</v>
      </c>
      <c r="K554" s="49" t="s">
        <v>2414</v>
      </c>
      <c r="L554" s="49" t="s">
        <v>1035</v>
      </c>
      <c r="M554" s="48" t="n">
        <v>46232</v>
      </c>
      <c r="N554" s="49" t="s">
        <v>1204</v>
      </c>
      <c r="O554" s="49" t="s">
        <v>1045</v>
      </c>
      <c r="P554" s="48"/>
      <c r="Q554" s="48" t="n">
        <v>46223</v>
      </c>
      <c r="R554" s="48" t="n">
        <v>46229</v>
      </c>
      <c r="T554" s="49" t="s">
        <v>302</v>
      </c>
      <c r="U554" s="49" t="s">
        <v>303</v>
      </c>
      <c r="Y554" s="49" t="s">
        <v>2466</v>
      </c>
      <c r="AD554" s="49" t="s">
        <v>305</v>
      </c>
      <c r="AE554" s="48" t="n">
        <v>46181</v>
      </c>
      <c r="AF554" s="49" t="s">
        <v>306</v>
      </c>
      <c r="AG554" s="49" t="s">
        <v>307</v>
      </c>
      <c r="AK554" s="49" t="s">
        <v>1047</v>
      </c>
      <c r="AL554" s="49" t="s">
        <v>297</v>
      </c>
      <c r="AO554" s="49" t="s">
        <v>303</v>
      </c>
      <c r="AP554" s="48"/>
      <c r="AR554" s="49" t="s">
        <v>303</v>
      </c>
      <c r="AS554" s="49" t="s">
        <v>306</v>
      </c>
      <c r="AT554" s="49" t="s">
        <v>2467</v>
      </c>
      <c r="AV554" s="49" t="s">
        <v>309</v>
      </c>
      <c r="AW554" s="49" t="s">
        <v>310</v>
      </c>
      <c r="AX554" s="49" t="s">
        <v>311</v>
      </c>
      <c r="AY554" s="48"/>
      <c r="AZ554" s="48" t="n">
        <v>46219</v>
      </c>
      <c r="BC554" s="49" t="s">
        <v>303</v>
      </c>
      <c r="BD554" s="48" t="n">
        <v>46232</v>
      </c>
      <c r="BE554" s="49" t="s">
        <v>1785</v>
      </c>
      <c r="BF554" s="49" t="s">
        <v>303</v>
      </c>
      <c r="BG554" s="48"/>
      <c r="BI554" s="48" t="n">
        <v>46232</v>
      </c>
      <c r="BJ554" s="48" t="n">
        <v>46226</v>
      </c>
      <c r="BK554" s="49" t="s">
        <v>313</v>
      </c>
      <c r="BL554" s="49" t="s">
        <v>313</v>
      </c>
      <c r="BM554" s="49" t="s">
        <v>310</v>
      </c>
      <c r="BN554" s="48"/>
      <c r="BO554" s="48"/>
      <c r="BP554" s="48"/>
      <c r="BQ554" s="49" t="s">
        <v>2304</v>
      </c>
      <c r="BR554" s="48" t="n">
        <v>46226</v>
      </c>
      <c r="BS554" s="49" t="s">
        <v>2468</v>
      </c>
      <c r="BT554" s="49" t="s">
        <v>312</v>
      </c>
      <c r="BU554" s="49" t="s">
        <v>313</v>
      </c>
      <c r="BV554" s="49" t="s">
        <v>303</v>
      </c>
      <c r="BX554" s="0" t="n">
        <v>1</v>
      </c>
      <c r="CC554" s="49" t="s">
        <v>315</v>
      </c>
      <c r="CD554" s="49" t="s">
        <v>303</v>
      </c>
      <c r="CF554" s="49" t="s">
        <v>303</v>
      </c>
      <c r="CG554" s="49" t="s">
        <v>316</v>
      </c>
      <c r="CH554" s="49" t="s">
        <v>317</v>
      </c>
      <c r="CI554" s="49" t="s">
        <v>318</v>
      </c>
      <c r="CM554" s="49" t="s">
        <v>65</v>
      </c>
      <c r="CV554" s="49" t="s">
        <v>303</v>
      </c>
      <c r="DB554" s="49" t="s">
        <v>319</v>
      </c>
      <c r="DD554" s="48" t="n">
        <v>46181</v>
      </c>
      <c r="DF554" s="49" t="s">
        <v>310</v>
      </c>
      <c r="DG554" s="49" t="s">
        <v>320</v>
      </c>
      <c r="DH554" s="49" t="s">
        <v>64</v>
      </c>
      <c r="DI554" s="49" t="s">
        <v>298</v>
      </c>
      <c r="DJ554" s="49" t="s">
        <v>394</v>
      </c>
      <c r="DK554" s="49" t="s">
        <v>322</v>
      </c>
      <c r="DL554" s="49" t="s">
        <v>323</v>
      </c>
      <c r="DM554" s="49" t="s">
        <v>303</v>
      </c>
      <c r="DN554" s="49" t="s">
        <v>297</v>
      </c>
      <c r="DO554" s="48"/>
      <c r="DP554" s="49" t="s">
        <v>312</v>
      </c>
      <c r="DQ554" s="48"/>
      <c r="DR554" s="49" t="s">
        <v>312</v>
      </c>
      <c r="DS554" s="49" t="s">
        <v>303</v>
      </c>
      <c r="DT554" s="49" t="s">
        <v>303</v>
      </c>
      <c r="DW554" s="49" t="s">
        <v>303</v>
      </c>
      <c r="EA554" s="49" t="s">
        <v>324</v>
      </c>
      <c r="EB554" s="49" t="s">
        <v>303</v>
      </c>
      <c r="EF554" s="49" t="s">
        <v>2424</v>
      </c>
      <c r="EH554" s="49" t="s">
        <v>310</v>
      </c>
      <c r="EJ554" s="49" t="s">
        <v>303</v>
      </c>
      <c r="EK554" s="49" t="s">
        <v>2469</v>
      </c>
      <c r="EM554" s="49" t="s">
        <v>303</v>
      </c>
      <c r="EN554" s="49" t="s">
        <v>396</v>
      </c>
      <c r="EP554" s="49" t="s">
        <v>298</v>
      </c>
      <c r="EQ554" s="0" t="n">
        <v>1</v>
      </c>
      <c r="ER554" s="49" t="s">
        <v>328</v>
      </c>
      <c r="ES554" s="49" t="s">
        <v>329</v>
      </c>
      <c r="ET554" s="49" t="s">
        <v>310</v>
      </c>
      <c r="EU554" s="49" t="s">
        <v>310</v>
      </c>
      <c r="EV554" s="49" t="s">
        <v>310</v>
      </c>
      <c r="EX554" s="49" t="s">
        <v>303</v>
      </c>
      <c r="EY554" s="49" t="s">
        <v>303</v>
      </c>
      <c r="FC554" s="49" t="s">
        <v>330</v>
      </c>
      <c r="FD554" s="49" t="s">
        <v>310</v>
      </c>
      <c r="FE554" s="49" t="s">
        <v>310</v>
      </c>
      <c r="FF554" s="49" t="s">
        <v>64</v>
      </c>
      <c r="FG554" s="49" t="s">
        <v>397</v>
      </c>
      <c r="FH554" s="49" t="s">
        <v>310</v>
      </c>
      <c r="FI554" s="49" t="s">
        <v>332</v>
      </c>
      <c r="FJ554" s="49" t="s">
        <v>303</v>
      </c>
      <c r="FL554" s="49" t="s">
        <v>325</v>
      </c>
      <c r="FM554" s="49" t="s">
        <v>2414</v>
      </c>
      <c r="FP554" s="49" t="s">
        <v>303</v>
      </c>
      <c r="FR554" s="49" t="s">
        <v>303</v>
      </c>
      <c r="FT554" s="49" t="s">
        <v>325</v>
      </c>
      <c r="FU554" s="49" t="s">
        <v>325</v>
      </c>
      <c r="FW554" s="49" t="s">
        <v>333</v>
      </c>
    </row>
    <row r="555" customFormat="false" ht="15" hidden="false" customHeight="false" outlineLevel="0" collapsed="false">
      <c r="A555" s="0" t="n">
        <v>100870813</v>
      </c>
      <c r="B555" s="0" t="s">
        <v>295</v>
      </c>
      <c r="C555" s="0" t="s">
        <v>64</v>
      </c>
      <c r="D555" s="0" t="s">
        <v>65</v>
      </c>
      <c r="E555" s="0" t="s">
        <v>297</v>
      </c>
      <c r="G555" s="0" t="n">
        <v>1</v>
      </c>
      <c r="H555" s="0" t="s">
        <v>298</v>
      </c>
      <c r="I555" s="48" t="n">
        <v>46223</v>
      </c>
      <c r="J555" s="0" t="n">
        <v>1</v>
      </c>
      <c r="K555" s="49" t="s">
        <v>2414</v>
      </c>
      <c r="L555" s="49" t="s">
        <v>1035</v>
      </c>
      <c r="M555" s="48" t="n">
        <v>46232</v>
      </c>
      <c r="N555" s="49" t="s">
        <v>1204</v>
      </c>
      <c r="O555" s="49" t="s">
        <v>1045</v>
      </c>
      <c r="P555" s="48"/>
      <c r="Q555" s="48" t="n">
        <v>46223</v>
      </c>
      <c r="R555" s="48" t="n">
        <v>46229</v>
      </c>
      <c r="T555" s="49" t="s">
        <v>302</v>
      </c>
      <c r="U555" s="49" t="s">
        <v>303</v>
      </c>
      <c r="Y555" s="49" t="s">
        <v>2470</v>
      </c>
      <c r="AD555" s="49" t="s">
        <v>305</v>
      </c>
      <c r="AE555" s="48" t="n">
        <v>46181</v>
      </c>
      <c r="AF555" s="49" t="s">
        <v>306</v>
      </c>
      <c r="AG555" s="49" t="s">
        <v>307</v>
      </c>
      <c r="AK555" s="49" t="s">
        <v>1047</v>
      </c>
      <c r="AL555" s="49" t="s">
        <v>297</v>
      </c>
      <c r="AO555" s="49" t="s">
        <v>303</v>
      </c>
      <c r="AP555" s="48"/>
      <c r="AR555" s="49" t="s">
        <v>303</v>
      </c>
      <c r="AS555" s="49" t="s">
        <v>306</v>
      </c>
      <c r="AT555" s="49" t="s">
        <v>2471</v>
      </c>
      <c r="AV555" s="49" t="s">
        <v>309</v>
      </c>
      <c r="AW555" s="49" t="s">
        <v>310</v>
      </c>
      <c r="AX555" s="49" t="s">
        <v>311</v>
      </c>
      <c r="AY555" s="48"/>
      <c r="AZ555" s="48" t="n">
        <v>46219</v>
      </c>
      <c r="BC555" s="49" t="s">
        <v>303</v>
      </c>
      <c r="BD555" s="48" t="n">
        <v>46232</v>
      </c>
      <c r="BE555" s="49" t="s">
        <v>2472</v>
      </c>
      <c r="BF555" s="49" t="s">
        <v>303</v>
      </c>
      <c r="BG555" s="48"/>
      <c r="BI555" s="48" t="n">
        <v>46232</v>
      </c>
      <c r="BJ555" s="48" t="n">
        <v>46226</v>
      </c>
      <c r="BK555" s="49" t="s">
        <v>313</v>
      </c>
      <c r="BL555" s="49" t="s">
        <v>313</v>
      </c>
      <c r="BM555" s="49" t="s">
        <v>310</v>
      </c>
      <c r="BN555" s="48"/>
      <c r="BO555" s="48"/>
      <c r="BP555" s="48"/>
      <c r="BQ555" s="49" t="s">
        <v>2304</v>
      </c>
      <c r="BR555" s="48" t="n">
        <v>46226</v>
      </c>
      <c r="BS555" s="49" t="s">
        <v>2473</v>
      </c>
      <c r="BT555" s="49" t="s">
        <v>312</v>
      </c>
      <c r="BU555" s="49" t="s">
        <v>313</v>
      </c>
      <c r="BV555" s="49" t="s">
        <v>303</v>
      </c>
      <c r="BX555" s="0" t="n">
        <v>1</v>
      </c>
      <c r="CC555" s="49" t="s">
        <v>315</v>
      </c>
      <c r="CD555" s="49" t="s">
        <v>303</v>
      </c>
      <c r="CF555" s="49" t="s">
        <v>303</v>
      </c>
      <c r="CG555" s="49" t="s">
        <v>316</v>
      </c>
      <c r="CH555" s="49" t="s">
        <v>317</v>
      </c>
      <c r="CI555" s="49" t="s">
        <v>318</v>
      </c>
      <c r="CM555" s="49" t="s">
        <v>65</v>
      </c>
      <c r="CV555" s="49" t="s">
        <v>303</v>
      </c>
      <c r="DB555" s="49" t="s">
        <v>319</v>
      </c>
      <c r="DD555" s="48" t="n">
        <v>46181</v>
      </c>
      <c r="DF555" s="49" t="s">
        <v>310</v>
      </c>
      <c r="DG555" s="49" t="s">
        <v>320</v>
      </c>
      <c r="DH555" s="49" t="s">
        <v>64</v>
      </c>
      <c r="DI555" s="49" t="s">
        <v>298</v>
      </c>
      <c r="DJ555" s="49" t="s">
        <v>394</v>
      </c>
      <c r="DK555" s="49" t="s">
        <v>322</v>
      </c>
      <c r="DL555" s="49" t="s">
        <v>323</v>
      </c>
      <c r="DM555" s="49" t="s">
        <v>303</v>
      </c>
      <c r="DN555" s="49" t="s">
        <v>297</v>
      </c>
      <c r="DO555" s="48"/>
      <c r="DP555" s="49" t="s">
        <v>312</v>
      </c>
      <c r="DQ555" s="48"/>
      <c r="DR555" s="49" t="s">
        <v>312</v>
      </c>
      <c r="DS555" s="49" t="s">
        <v>303</v>
      </c>
      <c r="DT555" s="49" t="s">
        <v>303</v>
      </c>
      <c r="DW555" s="49" t="s">
        <v>303</v>
      </c>
      <c r="EA555" s="49" t="s">
        <v>324</v>
      </c>
      <c r="EB555" s="49" t="s">
        <v>303</v>
      </c>
      <c r="EF555" s="49" t="s">
        <v>2424</v>
      </c>
      <c r="EH555" s="49" t="s">
        <v>310</v>
      </c>
      <c r="EJ555" s="49" t="s">
        <v>303</v>
      </c>
      <c r="EK555" s="49" t="s">
        <v>2474</v>
      </c>
      <c r="EM555" s="49" t="s">
        <v>303</v>
      </c>
      <c r="EN555" s="49" t="s">
        <v>396</v>
      </c>
      <c r="EP555" s="49" t="s">
        <v>298</v>
      </c>
      <c r="EQ555" s="0" t="n">
        <v>1</v>
      </c>
      <c r="ER555" s="49" t="s">
        <v>328</v>
      </c>
      <c r="ES555" s="49" t="s">
        <v>329</v>
      </c>
      <c r="ET555" s="49" t="s">
        <v>310</v>
      </c>
      <c r="EU555" s="49" t="s">
        <v>310</v>
      </c>
      <c r="EV555" s="49" t="s">
        <v>310</v>
      </c>
      <c r="EX555" s="49" t="s">
        <v>303</v>
      </c>
      <c r="EY555" s="49" t="s">
        <v>303</v>
      </c>
      <c r="FC555" s="49" t="s">
        <v>330</v>
      </c>
      <c r="FD555" s="49" t="s">
        <v>310</v>
      </c>
      <c r="FE555" s="49" t="s">
        <v>310</v>
      </c>
      <c r="FF555" s="49" t="s">
        <v>64</v>
      </c>
      <c r="FG555" s="49" t="s">
        <v>397</v>
      </c>
      <c r="FH555" s="49" t="s">
        <v>310</v>
      </c>
      <c r="FI555" s="49" t="s">
        <v>332</v>
      </c>
      <c r="FJ555" s="49" t="s">
        <v>303</v>
      </c>
      <c r="FL555" s="49" t="s">
        <v>325</v>
      </c>
      <c r="FM555" s="49" t="s">
        <v>2414</v>
      </c>
      <c r="FP555" s="49" t="s">
        <v>303</v>
      </c>
      <c r="FR555" s="49" t="s">
        <v>303</v>
      </c>
      <c r="FT555" s="49" t="s">
        <v>325</v>
      </c>
      <c r="FU555" s="49" t="s">
        <v>325</v>
      </c>
      <c r="FW555" s="49" t="s">
        <v>333</v>
      </c>
    </row>
    <row r="556" customFormat="false" ht="15" hidden="false" customHeight="false" outlineLevel="0" collapsed="false">
      <c r="A556" s="0" t="n">
        <v>100870814</v>
      </c>
      <c r="B556" s="0" t="s">
        <v>295</v>
      </c>
      <c r="C556" s="0" t="s">
        <v>64</v>
      </c>
      <c r="D556" s="0" t="s">
        <v>65</v>
      </c>
      <c r="E556" s="0" t="s">
        <v>297</v>
      </c>
      <c r="G556" s="0" t="n">
        <v>1</v>
      </c>
      <c r="H556" s="0" t="s">
        <v>298</v>
      </c>
      <c r="I556" s="48" t="n">
        <v>46223</v>
      </c>
      <c r="J556" s="0" t="n">
        <v>1</v>
      </c>
      <c r="K556" s="49" t="s">
        <v>2414</v>
      </c>
      <c r="L556" s="49" t="s">
        <v>1035</v>
      </c>
      <c r="M556" s="48" t="n">
        <v>46232</v>
      </c>
      <c r="N556" s="49" t="s">
        <v>1204</v>
      </c>
      <c r="O556" s="49" t="s">
        <v>1045</v>
      </c>
      <c r="P556" s="48"/>
      <c r="Q556" s="48" t="n">
        <v>46223</v>
      </c>
      <c r="R556" s="48" t="n">
        <v>46229</v>
      </c>
      <c r="T556" s="49" t="s">
        <v>302</v>
      </c>
      <c r="U556" s="49" t="s">
        <v>303</v>
      </c>
      <c r="Y556" s="49" t="s">
        <v>2475</v>
      </c>
      <c r="AD556" s="49" t="s">
        <v>305</v>
      </c>
      <c r="AE556" s="48" t="n">
        <v>46181</v>
      </c>
      <c r="AF556" s="49" t="s">
        <v>306</v>
      </c>
      <c r="AG556" s="49" t="s">
        <v>307</v>
      </c>
      <c r="AK556" s="49" t="s">
        <v>1047</v>
      </c>
      <c r="AL556" s="49" t="s">
        <v>297</v>
      </c>
      <c r="AO556" s="49" t="s">
        <v>303</v>
      </c>
      <c r="AP556" s="48"/>
      <c r="AR556" s="49" t="s">
        <v>303</v>
      </c>
      <c r="AS556" s="49" t="s">
        <v>306</v>
      </c>
      <c r="AT556" s="49" t="s">
        <v>2476</v>
      </c>
      <c r="AV556" s="49" t="s">
        <v>309</v>
      </c>
      <c r="AW556" s="49" t="s">
        <v>310</v>
      </c>
      <c r="AX556" s="49" t="s">
        <v>311</v>
      </c>
      <c r="AY556" s="48"/>
      <c r="AZ556" s="48" t="n">
        <v>46219</v>
      </c>
      <c r="BC556" s="49" t="s">
        <v>303</v>
      </c>
      <c r="BD556" s="48" t="n">
        <v>46232</v>
      </c>
      <c r="BE556" s="49" t="s">
        <v>2477</v>
      </c>
      <c r="BF556" s="49" t="s">
        <v>303</v>
      </c>
      <c r="BG556" s="48"/>
      <c r="BI556" s="48" t="n">
        <v>46232</v>
      </c>
      <c r="BJ556" s="48" t="n">
        <v>46226</v>
      </c>
      <c r="BK556" s="49" t="s">
        <v>313</v>
      </c>
      <c r="BL556" s="49" t="s">
        <v>313</v>
      </c>
      <c r="BM556" s="49" t="s">
        <v>310</v>
      </c>
      <c r="BN556" s="48"/>
      <c r="BO556" s="48"/>
      <c r="BP556" s="48"/>
      <c r="BQ556" s="49" t="s">
        <v>2304</v>
      </c>
      <c r="BR556" s="48" t="n">
        <v>46226</v>
      </c>
      <c r="BS556" s="49" t="s">
        <v>2478</v>
      </c>
      <c r="BT556" s="49" t="s">
        <v>312</v>
      </c>
      <c r="BU556" s="49" t="s">
        <v>313</v>
      </c>
      <c r="BV556" s="49" t="s">
        <v>303</v>
      </c>
      <c r="BX556" s="0" t="n">
        <v>1</v>
      </c>
      <c r="CC556" s="49" t="s">
        <v>315</v>
      </c>
      <c r="CD556" s="49" t="s">
        <v>303</v>
      </c>
      <c r="CF556" s="49" t="s">
        <v>303</v>
      </c>
      <c r="CG556" s="49" t="s">
        <v>316</v>
      </c>
      <c r="CH556" s="49" t="s">
        <v>317</v>
      </c>
      <c r="CI556" s="49" t="s">
        <v>318</v>
      </c>
      <c r="CM556" s="49" t="s">
        <v>65</v>
      </c>
      <c r="CV556" s="49" t="s">
        <v>303</v>
      </c>
      <c r="DB556" s="49" t="s">
        <v>319</v>
      </c>
      <c r="DD556" s="48" t="n">
        <v>46181</v>
      </c>
      <c r="DF556" s="49" t="s">
        <v>310</v>
      </c>
      <c r="DG556" s="49" t="s">
        <v>320</v>
      </c>
      <c r="DH556" s="49" t="s">
        <v>64</v>
      </c>
      <c r="DI556" s="49" t="s">
        <v>298</v>
      </c>
      <c r="DJ556" s="49" t="s">
        <v>394</v>
      </c>
      <c r="DK556" s="49" t="s">
        <v>322</v>
      </c>
      <c r="DL556" s="49" t="s">
        <v>323</v>
      </c>
      <c r="DM556" s="49" t="s">
        <v>303</v>
      </c>
      <c r="DN556" s="49" t="s">
        <v>297</v>
      </c>
      <c r="DO556" s="48"/>
      <c r="DP556" s="49" t="s">
        <v>312</v>
      </c>
      <c r="DQ556" s="48"/>
      <c r="DR556" s="49" t="s">
        <v>312</v>
      </c>
      <c r="DS556" s="49" t="s">
        <v>303</v>
      </c>
      <c r="DT556" s="49" t="s">
        <v>303</v>
      </c>
      <c r="DW556" s="49" t="s">
        <v>303</v>
      </c>
      <c r="EA556" s="49" t="s">
        <v>324</v>
      </c>
      <c r="EB556" s="49" t="s">
        <v>303</v>
      </c>
      <c r="EF556" s="49" t="s">
        <v>2424</v>
      </c>
      <c r="EH556" s="49" t="s">
        <v>310</v>
      </c>
      <c r="EJ556" s="49" t="s">
        <v>303</v>
      </c>
      <c r="EK556" s="49" t="s">
        <v>2479</v>
      </c>
      <c r="EM556" s="49" t="s">
        <v>303</v>
      </c>
      <c r="EN556" s="49" t="s">
        <v>396</v>
      </c>
      <c r="EP556" s="49" t="s">
        <v>298</v>
      </c>
      <c r="EQ556" s="0" t="n">
        <v>1</v>
      </c>
      <c r="ER556" s="49" t="s">
        <v>328</v>
      </c>
      <c r="ES556" s="49" t="s">
        <v>329</v>
      </c>
      <c r="ET556" s="49" t="s">
        <v>310</v>
      </c>
      <c r="EU556" s="49" t="s">
        <v>310</v>
      </c>
      <c r="EV556" s="49" t="s">
        <v>310</v>
      </c>
      <c r="EX556" s="49" t="s">
        <v>303</v>
      </c>
      <c r="EY556" s="49" t="s">
        <v>303</v>
      </c>
      <c r="FC556" s="49" t="s">
        <v>330</v>
      </c>
      <c r="FD556" s="49" t="s">
        <v>310</v>
      </c>
      <c r="FE556" s="49" t="s">
        <v>310</v>
      </c>
      <c r="FF556" s="49" t="s">
        <v>64</v>
      </c>
      <c r="FG556" s="49" t="s">
        <v>397</v>
      </c>
      <c r="FH556" s="49" t="s">
        <v>310</v>
      </c>
      <c r="FI556" s="49" t="s">
        <v>332</v>
      </c>
      <c r="FJ556" s="49" t="s">
        <v>303</v>
      </c>
      <c r="FL556" s="49" t="s">
        <v>325</v>
      </c>
      <c r="FM556" s="49" t="s">
        <v>2414</v>
      </c>
      <c r="FP556" s="49" t="s">
        <v>303</v>
      </c>
      <c r="FR556" s="49" t="s">
        <v>303</v>
      </c>
      <c r="FT556" s="49" t="s">
        <v>325</v>
      </c>
      <c r="FU556" s="49" t="s">
        <v>325</v>
      </c>
      <c r="FW556" s="49" t="s">
        <v>333</v>
      </c>
    </row>
    <row r="557" customFormat="false" ht="15" hidden="false" customHeight="false" outlineLevel="0" collapsed="false">
      <c r="A557" s="0" t="n">
        <v>100870815</v>
      </c>
      <c r="B557" s="0" t="s">
        <v>295</v>
      </c>
      <c r="C557" s="0" t="s">
        <v>64</v>
      </c>
      <c r="D557" s="0" t="s">
        <v>65</v>
      </c>
      <c r="E557" s="0" t="s">
        <v>297</v>
      </c>
      <c r="G557" s="0" t="n">
        <v>1</v>
      </c>
      <c r="H557" s="0" t="s">
        <v>298</v>
      </c>
      <c r="I557" s="48" t="n">
        <v>46223</v>
      </c>
      <c r="J557" s="0" t="n">
        <v>1</v>
      </c>
      <c r="K557" s="49" t="s">
        <v>2414</v>
      </c>
      <c r="L557" s="49" t="s">
        <v>1035</v>
      </c>
      <c r="M557" s="48" t="n">
        <v>46232</v>
      </c>
      <c r="N557" s="49" t="s">
        <v>1204</v>
      </c>
      <c r="O557" s="49" t="s">
        <v>1045</v>
      </c>
      <c r="P557" s="48"/>
      <c r="Q557" s="48" t="n">
        <v>46223</v>
      </c>
      <c r="R557" s="48" t="n">
        <v>46229</v>
      </c>
      <c r="T557" s="49" t="s">
        <v>302</v>
      </c>
      <c r="U557" s="49" t="s">
        <v>303</v>
      </c>
      <c r="Y557" s="49" t="s">
        <v>2480</v>
      </c>
      <c r="AD557" s="49" t="s">
        <v>305</v>
      </c>
      <c r="AE557" s="48" t="n">
        <v>46181</v>
      </c>
      <c r="AF557" s="49" t="s">
        <v>306</v>
      </c>
      <c r="AG557" s="49" t="s">
        <v>307</v>
      </c>
      <c r="AK557" s="49" t="s">
        <v>1047</v>
      </c>
      <c r="AL557" s="49" t="s">
        <v>297</v>
      </c>
      <c r="AO557" s="49" t="s">
        <v>303</v>
      </c>
      <c r="AP557" s="48"/>
      <c r="AR557" s="49" t="s">
        <v>303</v>
      </c>
      <c r="AS557" s="49" t="s">
        <v>306</v>
      </c>
      <c r="AT557" s="49" t="s">
        <v>2481</v>
      </c>
      <c r="AV557" s="49" t="s">
        <v>309</v>
      </c>
      <c r="AW557" s="49" t="s">
        <v>310</v>
      </c>
      <c r="AX557" s="49" t="s">
        <v>311</v>
      </c>
      <c r="AY557" s="48"/>
      <c r="AZ557" s="48" t="n">
        <v>46219</v>
      </c>
      <c r="BC557" s="49" t="s">
        <v>303</v>
      </c>
      <c r="BD557" s="48" t="n">
        <v>46233</v>
      </c>
      <c r="BE557" s="49" t="s">
        <v>2482</v>
      </c>
      <c r="BF557" s="49" t="s">
        <v>303</v>
      </c>
      <c r="BG557" s="48"/>
      <c r="BI557" s="48" t="n">
        <v>46233</v>
      </c>
      <c r="BJ557" s="48" t="n">
        <v>46226</v>
      </c>
      <c r="BK557" s="49" t="s">
        <v>313</v>
      </c>
      <c r="BL557" s="49" t="s">
        <v>313</v>
      </c>
      <c r="BM557" s="49" t="s">
        <v>310</v>
      </c>
      <c r="BN557" s="48"/>
      <c r="BO557" s="48"/>
      <c r="BP557" s="48"/>
      <c r="BQ557" s="49" t="s">
        <v>2304</v>
      </c>
      <c r="BR557" s="48" t="n">
        <v>46226</v>
      </c>
      <c r="BS557" s="49" t="s">
        <v>2483</v>
      </c>
      <c r="BT557" s="49" t="s">
        <v>312</v>
      </c>
      <c r="BU557" s="49" t="s">
        <v>313</v>
      </c>
      <c r="BV557" s="49" t="s">
        <v>303</v>
      </c>
      <c r="BX557" s="0" t="n">
        <v>1</v>
      </c>
      <c r="CC557" s="49" t="s">
        <v>315</v>
      </c>
      <c r="CD557" s="49" t="s">
        <v>303</v>
      </c>
      <c r="CF557" s="49" t="s">
        <v>303</v>
      </c>
      <c r="CG557" s="49" t="s">
        <v>316</v>
      </c>
      <c r="CH557" s="49" t="s">
        <v>317</v>
      </c>
      <c r="CI557" s="49" t="s">
        <v>318</v>
      </c>
      <c r="CM557" s="49" t="s">
        <v>65</v>
      </c>
      <c r="CV557" s="49" t="s">
        <v>303</v>
      </c>
      <c r="DB557" s="49" t="s">
        <v>319</v>
      </c>
      <c r="DD557" s="48" t="n">
        <v>46181</v>
      </c>
      <c r="DF557" s="49" t="s">
        <v>310</v>
      </c>
      <c r="DG557" s="49" t="s">
        <v>320</v>
      </c>
      <c r="DH557" s="49" t="s">
        <v>64</v>
      </c>
      <c r="DI557" s="49" t="s">
        <v>298</v>
      </c>
      <c r="DJ557" s="49" t="s">
        <v>394</v>
      </c>
      <c r="DK557" s="49" t="s">
        <v>322</v>
      </c>
      <c r="DL557" s="49" t="s">
        <v>323</v>
      </c>
      <c r="DM557" s="49" t="s">
        <v>303</v>
      </c>
      <c r="DN557" s="49" t="s">
        <v>297</v>
      </c>
      <c r="DO557" s="48"/>
      <c r="DP557" s="49" t="s">
        <v>312</v>
      </c>
      <c r="DQ557" s="48"/>
      <c r="DR557" s="49" t="s">
        <v>312</v>
      </c>
      <c r="DS557" s="49" t="s">
        <v>303</v>
      </c>
      <c r="DT557" s="49" t="s">
        <v>303</v>
      </c>
      <c r="DW557" s="49" t="s">
        <v>303</v>
      </c>
      <c r="EA557" s="49" t="s">
        <v>324</v>
      </c>
      <c r="EB557" s="49" t="s">
        <v>303</v>
      </c>
      <c r="EF557" s="49" t="s">
        <v>2424</v>
      </c>
      <c r="EH557" s="49" t="s">
        <v>310</v>
      </c>
      <c r="EJ557" s="49" t="s">
        <v>303</v>
      </c>
      <c r="EK557" s="49" t="s">
        <v>2484</v>
      </c>
      <c r="EM557" s="49" t="s">
        <v>303</v>
      </c>
      <c r="EN557" s="49" t="s">
        <v>396</v>
      </c>
      <c r="EP557" s="49" t="s">
        <v>298</v>
      </c>
      <c r="EQ557" s="0" t="n">
        <v>1</v>
      </c>
      <c r="ER557" s="49" t="s">
        <v>328</v>
      </c>
      <c r="ES557" s="49" t="s">
        <v>329</v>
      </c>
      <c r="ET557" s="49" t="s">
        <v>310</v>
      </c>
      <c r="EU557" s="49" t="s">
        <v>310</v>
      </c>
      <c r="EV557" s="49" t="s">
        <v>310</v>
      </c>
      <c r="EX557" s="49" t="s">
        <v>303</v>
      </c>
      <c r="EY557" s="49" t="s">
        <v>303</v>
      </c>
      <c r="FC557" s="49" t="s">
        <v>330</v>
      </c>
      <c r="FD557" s="49" t="s">
        <v>310</v>
      </c>
      <c r="FE557" s="49" t="s">
        <v>310</v>
      </c>
      <c r="FF557" s="49" t="s">
        <v>64</v>
      </c>
      <c r="FG557" s="49" t="s">
        <v>397</v>
      </c>
      <c r="FH557" s="49" t="s">
        <v>310</v>
      </c>
      <c r="FI557" s="49" t="s">
        <v>332</v>
      </c>
      <c r="FJ557" s="49" t="s">
        <v>303</v>
      </c>
      <c r="FL557" s="49" t="s">
        <v>325</v>
      </c>
      <c r="FM557" s="49" t="s">
        <v>2414</v>
      </c>
      <c r="FP557" s="49" t="s">
        <v>303</v>
      </c>
      <c r="FR557" s="49" t="s">
        <v>303</v>
      </c>
      <c r="FT557" s="49" t="s">
        <v>325</v>
      </c>
      <c r="FU557" s="49" t="s">
        <v>325</v>
      </c>
      <c r="FW557" s="49" t="s">
        <v>333</v>
      </c>
    </row>
    <row r="558" customFormat="false" ht="15" hidden="false" customHeight="false" outlineLevel="0" collapsed="false">
      <c r="A558" s="0" t="n">
        <v>100870816</v>
      </c>
      <c r="B558" s="0" t="s">
        <v>295</v>
      </c>
      <c r="C558" s="0" t="s">
        <v>64</v>
      </c>
      <c r="D558" s="0" t="s">
        <v>65</v>
      </c>
      <c r="E558" s="0" t="s">
        <v>297</v>
      </c>
      <c r="G558" s="0" t="n">
        <v>1</v>
      </c>
      <c r="H558" s="0" t="s">
        <v>298</v>
      </c>
      <c r="I558" s="48" t="n">
        <v>46223</v>
      </c>
      <c r="J558" s="0" t="n">
        <v>1</v>
      </c>
      <c r="K558" s="49" t="s">
        <v>2414</v>
      </c>
      <c r="L558" s="49" t="s">
        <v>1035</v>
      </c>
      <c r="M558" s="48" t="n">
        <v>46232</v>
      </c>
      <c r="N558" s="49" t="s">
        <v>1204</v>
      </c>
      <c r="O558" s="49" t="s">
        <v>1045</v>
      </c>
      <c r="P558" s="48"/>
      <c r="Q558" s="48" t="n">
        <v>46223</v>
      </c>
      <c r="R558" s="48" t="n">
        <v>46229</v>
      </c>
      <c r="T558" s="49" t="s">
        <v>302</v>
      </c>
      <c r="U558" s="49" t="s">
        <v>303</v>
      </c>
      <c r="Y558" s="49" t="s">
        <v>2485</v>
      </c>
      <c r="AD558" s="49" t="s">
        <v>305</v>
      </c>
      <c r="AE558" s="48" t="n">
        <v>46181</v>
      </c>
      <c r="AF558" s="49" t="s">
        <v>306</v>
      </c>
      <c r="AG558" s="49" t="s">
        <v>307</v>
      </c>
      <c r="AK558" s="49" t="s">
        <v>1047</v>
      </c>
      <c r="AL558" s="49" t="s">
        <v>297</v>
      </c>
      <c r="AO558" s="49" t="s">
        <v>303</v>
      </c>
      <c r="AP558" s="48"/>
      <c r="AR558" s="49" t="s">
        <v>303</v>
      </c>
      <c r="AS558" s="49" t="s">
        <v>306</v>
      </c>
      <c r="AT558" s="49" t="s">
        <v>2486</v>
      </c>
      <c r="AV558" s="49" t="s">
        <v>309</v>
      </c>
      <c r="AW558" s="49" t="s">
        <v>310</v>
      </c>
      <c r="AX558" s="49" t="s">
        <v>311</v>
      </c>
      <c r="AY558" s="48"/>
      <c r="AZ558" s="48" t="n">
        <v>46219</v>
      </c>
      <c r="BC558" s="49" t="s">
        <v>303</v>
      </c>
      <c r="BD558" s="48" t="n">
        <v>46233</v>
      </c>
      <c r="BE558" s="49" t="s">
        <v>2487</v>
      </c>
      <c r="BF558" s="49" t="s">
        <v>303</v>
      </c>
      <c r="BG558" s="48"/>
      <c r="BI558" s="48" t="n">
        <v>46233</v>
      </c>
      <c r="BJ558" s="48" t="n">
        <v>46226</v>
      </c>
      <c r="BK558" s="49" t="s">
        <v>313</v>
      </c>
      <c r="BL558" s="49" t="s">
        <v>313</v>
      </c>
      <c r="BM558" s="49" t="s">
        <v>310</v>
      </c>
      <c r="BN558" s="48"/>
      <c r="BO558" s="48"/>
      <c r="BP558" s="48"/>
      <c r="BQ558" s="49" t="s">
        <v>2304</v>
      </c>
      <c r="BR558" s="48" t="n">
        <v>46226</v>
      </c>
      <c r="BS558" s="49" t="s">
        <v>2488</v>
      </c>
      <c r="BT558" s="49" t="s">
        <v>312</v>
      </c>
      <c r="BU558" s="49" t="s">
        <v>313</v>
      </c>
      <c r="BV558" s="49" t="s">
        <v>303</v>
      </c>
      <c r="BX558" s="0" t="n">
        <v>1</v>
      </c>
      <c r="CC558" s="49" t="s">
        <v>315</v>
      </c>
      <c r="CD558" s="49" t="s">
        <v>303</v>
      </c>
      <c r="CF558" s="49" t="s">
        <v>303</v>
      </c>
      <c r="CG558" s="49" t="s">
        <v>316</v>
      </c>
      <c r="CH558" s="49" t="s">
        <v>317</v>
      </c>
      <c r="CI558" s="49" t="s">
        <v>318</v>
      </c>
      <c r="CM558" s="49" t="s">
        <v>65</v>
      </c>
      <c r="CV558" s="49" t="s">
        <v>303</v>
      </c>
      <c r="DB558" s="49" t="s">
        <v>319</v>
      </c>
      <c r="DD558" s="48" t="n">
        <v>46181</v>
      </c>
      <c r="DF558" s="49" t="s">
        <v>310</v>
      </c>
      <c r="DG558" s="49" t="s">
        <v>320</v>
      </c>
      <c r="DH558" s="49" t="s">
        <v>64</v>
      </c>
      <c r="DI558" s="49" t="s">
        <v>298</v>
      </c>
      <c r="DJ558" s="49" t="s">
        <v>394</v>
      </c>
      <c r="DK558" s="49" t="s">
        <v>322</v>
      </c>
      <c r="DL558" s="49" t="s">
        <v>323</v>
      </c>
      <c r="DM558" s="49" t="s">
        <v>303</v>
      </c>
      <c r="DN558" s="49" t="s">
        <v>297</v>
      </c>
      <c r="DO558" s="48"/>
      <c r="DP558" s="49" t="s">
        <v>312</v>
      </c>
      <c r="DQ558" s="48"/>
      <c r="DR558" s="49" t="s">
        <v>312</v>
      </c>
      <c r="DS558" s="49" t="s">
        <v>303</v>
      </c>
      <c r="DT558" s="49" t="s">
        <v>303</v>
      </c>
      <c r="DW558" s="49" t="s">
        <v>303</v>
      </c>
      <c r="EA558" s="49" t="s">
        <v>324</v>
      </c>
      <c r="EB558" s="49" t="s">
        <v>303</v>
      </c>
      <c r="EF558" s="49" t="s">
        <v>2424</v>
      </c>
      <c r="EH558" s="49" t="s">
        <v>310</v>
      </c>
      <c r="EJ558" s="49" t="s">
        <v>303</v>
      </c>
      <c r="EK558" s="49" t="s">
        <v>2489</v>
      </c>
      <c r="EM558" s="49" t="s">
        <v>303</v>
      </c>
      <c r="EN558" s="49" t="s">
        <v>396</v>
      </c>
      <c r="EP558" s="49" t="s">
        <v>298</v>
      </c>
      <c r="EQ558" s="0" t="n">
        <v>1</v>
      </c>
      <c r="ER558" s="49" t="s">
        <v>328</v>
      </c>
      <c r="ES558" s="49" t="s">
        <v>329</v>
      </c>
      <c r="ET558" s="49" t="s">
        <v>310</v>
      </c>
      <c r="EU558" s="49" t="s">
        <v>310</v>
      </c>
      <c r="EV558" s="49" t="s">
        <v>310</v>
      </c>
      <c r="EX558" s="49" t="s">
        <v>303</v>
      </c>
      <c r="EY558" s="49" t="s">
        <v>303</v>
      </c>
      <c r="FC558" s="49" t="s">
        <v>330</v>
      </c>
      <c r="FD558" s="49" t="s">
        <v>310</v>
      </c>
      <c r="FE558" s="49" t="s">
        <v>310</v>
      </c>
      <c r="FF558" s="49" t="s">
        <v>64</v>
      </c>
      <c r="FG558" s="49" t="s">
        <v>397</v>
      </c>
      <c r="FH558" s="49" t="s">
        <v>310</v>
      </c>
      <c r="FI558" s="49" t="s">
        <v>332</v>
      </c>
      <c r="FJ558" s="49" t="s">
        <v>303</v>
      </c>
      <c r="FL558" s="49" t="s">
        <v>325</v>
      </c>
      <c r="FM558" s="49" t="s">
        <v>2414</v>
      </c>
      <c r="FP558" s="49" t="s">
        <v>303</v>
      </c>
      <c r="FR558" s="49" t="s">
        <v>303</v>
      </c>
      <c r="FT558" s="49" t="s">
        <v>325</v>
      </c>
      <c r="FU558" s="49" t="s">
        <v>325</v>
      </c>
      <c r="FW558" s="49" t="s">
        <v>333</v>
      </c>
    </row>
    <row r="559" customFormat="false" ht="15" hidden="false" customHeight="false" outlineLevel="0" collapsed="false">
      <c r="A559" s="0" t="n">
        <v>100870817</v>
      </c>
      <c r="B559" s="0" t="s">
        <v>295</v>
      </c>
      <c r="C559" s="0" t="s">
        <v>64</v>
      </c>
      <c r="D559" s="0" t="s">
        <v>65</v>
      </c>
      <c r="E559" s="0" t="s">
        <v>297</v>
      </c>
      <c r="G559" s="0" t="n">
        <v>1</v>
      </c>
      <c r="H559" s="0" t="s">
        <v>298</v>
      </c>
      <c r="I559" s="48" t="n">
        <v>46223</v>
      </c>
      <c r="J559" s="0" t="n">
        <v>1</v>
      </c>
      <c r="K559" s="49" t="s">
        <v>2414</v>
      </c>
      <c r="L559" s="49" t="s">
        <v>1035</v>
      </c>
      <c r="M559" s="48" t="n">
        <v>46232</v>
      </c>
      <c r="N559" s="49" t="s">
        <v>1204</v>
      </c>
      <c r="O559" s="49" t="s">
        <v>1045</v>
      </c>
      <c r="P559" s="48"/>
      <c r="Q559" s="48" t="n">
        <v>46223</v>
      </c>
      <c r="R559" s="48" t="n">
        <v>46229</v>
      </c>
      <c r="T559" s="49" t="s">
        <v>302</v>
      </c>
      <c r="U559" s="49" t="s">
        <v>303</v>
      </c>
      <c r="Y559" s="49" t="s">
        <v>2490</v>
      </c>
      <c r="AD559" s="49" t="s">
        <v>305</v>
      </c>
      <c r="AE559" s="48" t="n">
        <v>46181</v>
      </c>
      <c r="AF559" s="49" t="s">
        <v>306</v>
      </c>
      <c r="AG559" s="49" t="s">
        <v>307</v>
      </c>
      <c r="AK559" s="49" t="s">
        <v>1047</v>
      </c>
      <c r="AL559" s="49" t="s">
        <v>297</v>
      </c>
      <c r="AO559" s="49" t="s">
        <v>303</v>
      </c>
      <c r="AP559" s="48"/>
      <c r="AR559" s="49" t="s">
        <v>303</v>
      </c>
      <c r="AS559" s="49" t="s">
        <v>306</v>
      </c>
      <c r="AT559" s="49" t="s">
        <v>2491</v>
      </c>
      <c r="AV559" s="49" t="s">
        <v>309</v>
      </c>
      <c r="AW559" s="49" t="s">
        <v>310</v>
      </c>
      <c r="AX559" s="49" t="s">
        <v>311</v>
      </c>
      <c r="AY559" s="48"/>
      <c r="AZ559" s="48" t="n">
        <v>46219</v>
      </c>
      <c r="BC559" s="49" t="s">
        <v>303</v>
      </c>
      <c r="BD559" s="48" t="n">
        <v>46233</v>
      </c>
      <c r="BE559" s="49" t="s">
        <v>2492</v>
      </c>
      <c r="BF559" s="49" t="s">
        <v>303</v>
      </c>
      <c r="BG559" s="48"/>
      <c r="BI559" s="48" t="n">
        <v>46233</v>
      </c>
      <c r="BJ559" s="48" t="n">
        <v>46226</v>
      </c>
      <c r="BK559" s="49" t="s">
        <v>313</v>
      </c>
      <c r="BL559" s="49" t="s">
        <v>313</v>
      </c>
      <c r="BM559" s="49" t="s">
        <v>310</v>
      </c>
      <c r="BN559" s="48"/>
      <c r="BO559" s="48"/>
      <c r="BP559" s="48"/>
      <c r="BQ559" s="49" t="s">
        <v>2304</v>
      </c>
      <c r="BR559" s="48" t="n">
        <v>46226</v>
      </c>
      <c r="BS559" s="49" t="s">
        <v>2493</v>
      </c>
      <c r="BT559" s="49" t="s">
        <v>312</v>
      </c>
      <c r="BU559" s="49" t="s">
        <v>313</v>
      </c>
      <c r="BV559" s="49" t="s">
        <v>303</v>
      </c>
      <c r="BX559" s="0" t="n">
        <v>1</v>
      </c>
      <c r="CC559" s="49" t="s">
        <v>315</v>
      </c>
      <c r="CD559" s="49" t="s">
        <v>303</v>
      </c>
      <c r="CF559" s="49" t="s">
        <v>303</v>
      </c>
      <c r="CG559" s="49" t="s">
        <v>316</v>
      </c>
      <c r="CH559" s="49" t="s">
        <v>317</v>
      </c>
      <c r="CI559" s="49" t="s">
        <v>318</v>
      </c>
      <c r="CM559" s="49" t="s">
        <v>65</v>
      </c>
      <c r="CV559" s="49" t="s">
        <v>303</v>
      </c>
      <c r="DB559" s="49" t="s">
        <v>319</v>
      </c>
      <c r="DD559" s="48" t="n">
        <v>46181</v>
      </c>
      <c r="DF559" s="49" t="s">
        <v>310</v>
      </c>
      <c r="DG559" s="49" t="s">
        <v>320</v>
      </c>
      <c r="DH559" s="49" t="s">
        <v>64</v>
      </c>
      <c r="DI559" s="49" t="s">
        <v>298</v>
      </c>
      <c r="DJ559" s="49" t="s">
        <v>394</v>
      </c>
      <c r="DK559" s="49" t="s">
        <v>322</v>
      </c>
      <c r="DL559" s="49" t="s">
        <v>323</v>
      </c>
      <c r="DM559" s="49" t="s">
        <v>303</v>
      </c>
      <c r="DN559" s="49" t="s">
        <v>297</v>
      </c>
      <c r="DO559" s="48"/>
      <c r="DP559" s="49" t="s">
        <v>312</v>
      </c>
      <c r="DQ559" s="48"/>
      <c r="DR559" s="49" t="s">
        <v>312</v>
      </c>
      <c r="DS559" s="49" t="s">
        <v>303</v>
      </c>
      <c r="DT559" s="49" t="s">
        <v>303</v>
      </c>
      <c r="DW559" s="49" t="s">
        <v>303</v>
      </c>
      <c r="EA559" s="49" t="s">
        <v>324</v>
      </c>
      <c r="EB559" s="49" t="s">
        <v>303</v>
      </c>
      <c r="EF559" s="49" t="s">
        <v>2424</v>
      </c>
      <c r="EH559" s="49" t="s">
        <v>310</v>
      </c>
      <c r="EJ559" s="49" t="s">
        <v>303</v>
      </c>
      <c r="EK559" s="49" t="s">
        <v>2494</v>
      </c>
      <c r="EM559" s="49" t="s">
        <v>303</v>
      </c>
      <c r="EN559" s="49" t="s">
        <v>396</v>
      </c>
      <c r="EP559" s="49" t="s">
        <v>298</v>
      </c>
      <c r="EQ559" s="0" t="n">
        <v>1</v>
      </c>
      <c r="ER559" s="49" t="s">
        <v>328</v>
      </c>
      <c r="ES559" s="49" t="s">
        <v>329</v>
      </c>
      <c r="ET559" s="49" t="s">
        <v>310</v>
      </c>
      <c r="EU559" s="49" t="s">
        <v>310</v>
      </c>
      <c r="EV559" s="49" t="s">
        <v>310</v>
      </c>
      <c r="EX559" s="49" t="s">
        <v>303</v>
      </c>
      <c r="EY559" s="49" t="s">
        <v>303</v>
      </c>
      <c r="FC559" s="49" t="s">
        <v>330</v>
      </c>
      <c r="FD559" s="49" t="s">
        <v>310</v>
      </c>
      <c r="FE559" s="49" t="s">
        <v>310</v>
      </c>
      <c r="FF559" s="49" t="s">
        <v>64</v>
      </c>
      <c r="FG559" s="49" t="s">
        <v>397</v>
      </c>
      <c r="FH559" s="49" t="s">
        <v>310</v>
      </c>
      <c r="FI559" s="49" t="s">
        <v>332</v>
      </c>
      <c r="FJ559" s="49" t="s">
        <v>303</v>
      </c>
      <c r="FL559" s="49" t="s">
        <v>325</v>
      </c>
      <c r="FM559" s="49" t="s">
        <v>2414</v>
      </c>
      <c r="FP559" s="49" t="s">
        <v>303</v>
      </c>
      <c r="FR559" s="49" t="s">
        <v>303</v>
      </c>
      <c r="FT559" s="49" t="s">
        <v>325</v>
      </c>
      <c r="FU559" s="49" t="s">
        <v>325</v>
      </c>
      <c r="FW559" s="49" t="s">
        <v>333</v>
      </c>
    </row>
    <row r="560" customFormat="false" ht="15" hidden="false" customHeight="false" outlineLevel="0" collapsed="false">
      <c r="A560" s="0" t="n">
        <v>100870818</v>
      </c>
      <c r="B560" s="0" t="s">
        <v>295</v>
      </c>
      <c r="C560" s="0" t="s">
        <v>64</v>
      </c>
      <c r="D560" s="0" t="s">
        <v>65</v>
      </c>
      <c r="E560" s="0" t="s">
        <v>297</v>
      </c>
      <c r="G560" s="0" t="n">
        <v>1</v>
      </c>
      <c r="H560" s="0" t="s">
        <v>298</v>
      </c>
      <c r="I560" s="48" t="n">
        <v>46223</v>
      </c>
      <c r="J560" s="0" t="n">
        <v>1</v>
      </c>
      <c r="K560" s="49" t="s">
        <v>2414</v>
      </c>
      <c r="L560" s="49" t="s">
        <v>1035</v>
      </c>
      <c r="M560" s="48" t="n">
        <v>46232</v>
      </c>
      <c r="N560" s="49" t="s">
        <v>1204</v>
      </c>
      <c r="O560" s="49" t="s">
        <v>1045</v>
      </c>
      <c r="P560" s="48"/>
      <c r="Q560" s="48" t="n">
        <v>46223</v>
      </c>
      <c r="R560" s="48" t="n">
        <v>46229</v>
      </c>
      <c r="T560" s="49" t="s">
        <v>302</v>
      </c>
      <c r="U560" s="49" t="s">
        <v>303</v>
      </c>
      <c r="Y560" s="49" t="s">
        <v>2495</v>
      </c>
      <c r="AD560" s="49" t="s">
        <v>305</v>
      </c>
      <c r="AE560" s="48" t="n">
        <v>46181</v>
      </c>
      <c r="AF560" s="49" t="s">
        <v>306</v>
      </c>
      <c r="AG560" s="49" t="s">
        <v>307</v>
      </c>
      <c r="AK560" s="49" t="s">
        <v>1047</v>
      </c>
      <c r="AL560" s="49" t="s">
        <v>297</v>
      </c>
      <c r="AO560" s="49" t="s">
        <v>303</v>
      </c>
      <c r="AP560" s="48"/>
      <c r="AR560" s="49" t="s">
        <v>303</v>
      </c>
      <c r="AS560" s="49" t="s">
        <v>306</v>
      </c>
      <c r="AT560" s="49" t="s">
        <v>2496</v>
      </c>
      <c r="AV560" s="49" t="s">
        <v>309</v>
      </c>
      <c r="AW560" s="49" t="s">
        <v>310</v>
      </c>
      <c r="AX560" s="49" t="s">
        <v>311</v>
      </c>
      <c r="AY560" s="48"/>
      <c r="AZ560" s="48" t="n">
        <v>46219</v>
      </c>
      <c r="BC560" s="49" t="s">
        <v>303</v>
      </c>
      <c r="BD560" s="48" t="n">
        <v>46233</v>
      </c>
      <c r="BE560" s="49" t="s">
        <v>2497</v>
      </c>
      <c r="BF560" s="49" t="s">
        <v>303</v>
      </c>
      <c r="BG560" s="48"/>
      <c r="BI560" s="48" t="n">
        <v>46233</v>
      </c>
      <c r="BJ560" s="48" t="n">
        <v>46226</v>
      </c>
      <c r="BK560" s="49" t="s">
        <v>313</v>
      </c>
      <c r="BL560" s="49" t="s">
        <v>313</v>
      </c>
      <c r="BM560" s="49" t="s">
        <v>310</v>
      </c>
      <c r="BN560" s="48"/>
      <c r="BO560" s="48"/>
      <c r="BP560" s="48"/>
      <c r="BQ560" s="49" t="s">
        <v>2304</v>
      </c>
      <c r="BR560" s="48" t="n">
        <v>46226</v>
      </c>
      <c r="BS560" s="49" t="s">
        <v>2498</v>
      </c>
      <c r="BT560" s="49" t="s">
        <v>312</v>
      </c>
      <c r="BU560" s="49" t="s">
        <v>313</v>
      </c>
      <c r="BV560" s="49" t="s">
        <v>303</v>
      </c>
      <c r="BX560" s="0" t="n">
        <v>1</v>
      </c>
      <c r="CC560" s="49" t="s">
        <v>315</v>
      </c>
      <c r="CD560" s="49" t="s">
        <v>303</v>
      </c>
      <c r="CF560" s="49" t="s">
        <v>303</v>
      </c>
      <c r="CG560" s="49" t="s">
        <v>316</v>
      </c>
      <c r="CH560" s="49" t="s">
        <v>317</v>
      </c>
      <c r="CI560" s="49" t="s">
        <v>318</v>
      </c>
      <c r="CM560" s="49" t="s">
        <v>65</v>
      </c>
      <c r="CV560" s="49" t="s">
        <v>303</v>
      </c>
      <c r="DB560" s="49" t="s">
        <v>319</v>
      </c>
      <c r="DD560" s="48" t="n">
        <v>46181</v>
      </c>
      <c r="DF560" s="49" t="s">
        <v>310</v>
      </c>
      <c r="DG560" s="49" t="s">
        <v>320</v>
      </c>
      <c r="DH560" s="49" t="s">
        <v>64</v>
      </c>
      <c r="DI560" s="49" t="s">
        <v>298</v>
      </c>
      <c r="DJ560" s="49" t="s">
        <v>394</v>
      </c>
      <c r="DK560" s="49" t="s">
        <v>322</v>
      </c>
      <c r="DL560" s="49" t="s">
        <v>323</v>
      </c>
      <c r="DM560" s="49" t="s">
        <v>303</v>
      </c>
      <c r="DN560" s="49" t="s">
        <v>297</v>
      </c>
      <c r="DO560" s="48"/>
      <c r="DP560" s="49" t="s">
        <v>312</v>
      </c>
      <c r="DQ560" s="48"/>
      <c r="DR560" s="49" t="s">
        <v>312</v>
      </c>
      <c r="DS560" s="49" t="s">
        <v>303</v>
      </c>
      <c r="DT560" s="49" t="s">
        <v>303</v>
      </c>
      <c r="DW560" s="49" t="s">
        <v>303</v>
      </c>
      <c r="EA560" s="49" t="s">
        <v>324</v>
      </c>
      <c r="EB560" s="49" t="s">
        <v>303</v>
      </c>
      <c r="EF560" s="49" t="s">
        <v>2424</v>
      </c>
      <c r="EH560" s="49" t="s">
        <v>310</v>
      </c>
      <c r="EJ560" s="49" t="s">
        <v>303</v>
      </c>
      <c r="EK560" s="49" t="s">
        <v>2499</v>
      </c>
      <c r="EM560" s="49" t="s">
        <v>303</v>
      </c>
      <c r="EN560" s="49" t="s">
        <v>396</v>
      </c>
      <c r="EP560" s="49" t="s">
        <v>298</v>
      </c>
      <c r="EQ560" s="0" t="n">
        <v>1</v>
      </c>
      <c r="ER560" s="49" t="s">
        <v>328</v>
      </c>
      <c r="ES560" s="49" t="s">
        <v>329</v>
      </c>
      <c r="ET560" s="49" t="s">
        <v>310</v>
      </c>
      <c r="EU560" s="49" t="s">
        <v>310</v>
      </c>
      <c r="EV560" s="49" t="s">
        <v>310</v>
      </c>
      <c r="EX560" s="49" t="s">
        <v>303</v>
      </c>
      <c r="EY560" s="49" t="s">
        <v>303</v>
      </c>
      <c r="FC560" s="49" t="s">
        <v>330</v>
      </c>
      <c r="FD560" s="49" t="s">
        <v>310</v>
      </c>
      <c r="FE560" s="49" t="s">
        <v>310</v>
      </c>
      <c r="FF560" s="49" t="s">
        <v>64</v>
      </c>
      <c r="FG560" s="49" t="s">
        <v>397</v>
      </c>
      <c r="FH560" s="49" t="s">
        <v>310</v>
      </c>
      <c r="FI560" s="49" t="s">
        <v>332</v>
      </c>
      <c r="FJ560" s="49" t="s">
        <v>303</v>
      </c>
      <c r="FL560" s="49" t="s">
        <v>325</v>
      </c>
      <c r="FM560" s="49" t="s">
        <v>2414</v>
      </c>
      <c r="FP560" s="49" t="s">
        <v>303</v>
      </c>
      <c r="FR560" s="49" t="s">
        <v>303</v>
      </c>
      <c r="FT560" s="49" t="s">
        <v>325</v>
      </c>
      <c r="FU560" s="49" t="s">
        <v>325</v>
      </c>
      <c r="FW560" s="49" t="s">
        <v>333</v>
      </c>
    </row>
    <row r="561" customFormat="false" ht="15" hidden="false" customHeight="false" outlineLevel="0" collapsed="false">
      <c r="A561" s="0" t="n">
        <v>100870819</v>
      </c>
      <c r="B561" s="0" t="s">
        <v>295</v>
      </c>
      <c r="C561" s="0" t="s">
        <v>64</v>
      </c>
      <c r="D561" s="0" t="s">
        <v>65</v>
      </c>
      <c r="E561" s="0" t="s">
        <v>297</v>
      </c>
      <c r="G561" s="0" t="n">
        <v>1</v>
      </c>
      <c r="H561" s="0" t="s">
        <v>298</v>
      </c>
      <c r="I561" s="48" t="n">
        <v>46223</v>
      </c>
      <c r="J561" s="0" t="n">
        <v>1</v>
      </c>
      <c r="K561" s="49" t="s">
        <v>2414</v>
      </c>
      <c r="L561" s="49" t="s">
        <v>1035</v>
      </c>
      <c r="M561" s="48" t="n">
        <v>46232</v>
      </c>
      <c r="N561" s="49" t="s">
        <v>1204</v>
      </c>
      <c r="O561" s="49" t="s">
        <v>1045</v>
      </c>
      <c r="P561" s="48"/>
      <c r="Q561" s="48" t="n">
        <v>46223</v>
      </c>
      <c r="R561" s="48" t="n">
        <v>46229</v>
      </c>
      <c r="T561" s="49" t="s">
        <v>302</v>
      </c>
      <c r="U561" s="49" t="s">
        <v>303</v>
      </c>
      <c r="Y561" s="49" t="s">
        <v>2500</v>
      </c>
      <c r="AD561" s="49" t="s">
        <v>305</v>
      </c>
      <c r="AE561" s="48" t="n">
        <v>46181</v>
      </c>
      <c r="AF561" s="49" t="s">
        <v>306</v>
      </c>
      <c r="AG561" s="49" t="s">
        <v>307</v>
      </c>
      <c r="AK561" s="49" t="s">
        <v>1047</v>
      </c>
      <c r="AL561" s="49" t="s">
        <v>297</v>
      </c>
      <c r="AO561" s="49" t="s">
        <v>303</v>
      </c>
      <c r="AP561" s="48"/>
      <c r="AR561" s="49" t="s">
        <v>303</v>
      </c>
      <c r="AS561" s="49" t="s">
        <v>306</v>
      </c>
      <c r="AT561" s="49" t="s">
        <v>2501</v>
      </c>
      <c r="AV561" s="49" t="s">
        <v>309</v>
      </c>
      <c r="AW561" s="49" t="s">
        <v>310</v>
      </c>
      <c r="AX561" s="49" t="s">
        <v>311</v>
      </c>
      <c r="AY561" s="48"/>
      <c r="AZ561" s="48" t="n">
        <v>46219</v>
      </c>
      <c r="BC561" s="49" t="s">
        <v>303</v>
      </c>
      <c r="BD561" s="48" t="n">
        <v>46233</v>
      </c>
      <c r="BE561" s="49" t="s">
        <v>2502</v>
      </c>
      <c r="BF561" s="49" t="s">
        <v>303</v>
      </c>
      <c r="BG561" s="48"/>
      <c r="BI561" s="48" t="n">
        <v>46233</v>
      </c>
      <c r="BJ561" s="48" t="n">
        <v>46226</v>
      </c>
      <c r="BK561" s="49" t="s">
        <v>313</v>
      </c>
      <c r="BL561" s="49" t="s">
        <v>313</v>
      </c>
      <c r="BM561" s="49" t="s">
        <v>310</v>
      </c>
      <c r="BN561" s="48"/>
      <c r="BO561" s="48"/>
      <c r="BP561" s="48"/>
      <c r="BQ561" s="49" t="s">
        <v>2304</v>
      </c>
      <c r="BR561" s="48" t="n">
        <v>46226</v>
      </c>
      <c r="BS561" s="49" t="s">
        <v>2503</v>
      </c>
      <c r="BT561" s="49" t="s">
        <v>312</v>
      </c>
      <c r="BU561" s="49" t="s">
        <v>313</v>
      </c>
      <c r="BV561" s="49" t="s">
        <v>303</v>
      </c>
      <c r="BX561" s="0" t="n">
        <v>1</v>
      </c>
      <c r="CC561" s="49" t="s">
        <v>315</v>
      </c>
      <c r="CD561" s="49" t="s">
        <v>303</v>
      </c>
      <c r="CF561" s="49" t="s">
        <v>303</v>
      </c>
      <c r="CG561" s="49" t="s">
        <v>316</v>
      </c>
      <c r="CH561" s="49" t="s">
        <v>317</v>
      </c>
      <c r="CI561" s="49" t="s">
        <v>318</v>
      </c>
      <c r="CM561" s="49" t="s">
        <v>65</v>
      </c>
      <c r="CV561" s="49" t="s">
        <v>303</v>
      </c>
      <c r="DB561" s="49" t="s">
        <v>319</v>
      </c>
      <c r="DD561" s="48" t="n">
        <v>46181</v>
      </c>
      <c r="DF561" s="49" t="s">
        <v>310</v>
      </c>
      <c r="DG561" s="49" t="s">
        <v>320</v>
      </c>
      <c r="DH561" s="49" t="s">
        <v>64</v>
      </c>
      <c r="DI561" s="49" t="s">
        <v>298</v>
      </c>
      <c r="DJ561" s="49" t="s">
        <v>394</v>
      </c>
      <c r="DK561" s="49" t="s">
        <v>322</v>
      </c>
      <c r="DL561" s="49" t="s">
        <v>323</v>
      </c>
      <c r="DM561" s="49" t="s">
        <v>303</v>
      </c>
      <c r="DN561" s="49" t="s">
        <v>297</v>
      </c>
      <c r="DO561" s="48"/>
      <c r="DP561" s="49" t="s">
        <v>312</v>
      </c>
      <c r="DQ561" s="48"/>
      <c r="DR561" s="49" t="s">
        <v>312</v>
      </c>
      <c r="DS561" s="49" t="s">
        <v>303</v>
      </c>
      <c r="DT561" s="49" t="s">
        <v>303</v>
      </c>
      <c r="DW561" s="49" t="s">
        <v>303</v>
      </c>
      <c r="EA561" s="49" t="s">
        <v>324</v>
      </c>
      <c r="EB561" s="49" t="s">
        <v>303</v>
      </c>
      <c r="EF561" s="49" t="s">
        <v>2424</v>
      </c>
      <c r="EH561" s="49" t="s">
        <v>310</v>
      </c>
      <c r="EJ561" s="49" t="s">
        <v>303</v>
      </c>
      <c r="EK561" s="49" t="s">
        <v>2504</v>
      </c>
      <c r="EM561" s="49" t="s">
        <v>303</v>
      </c>
      <c r="EN561" s="49" t="s">
        <v>396</v>
      </c>
      <c r="EP561" s="49" t="s">
        <v>298</v>
      </c>
      <c r="EQ561" s="0" t="n">
        <v>1</v>
      </c>
      <c r="ER561" s="49" t="s">
        <v>328</v>
      </c>
      <c r="ES561" s="49" t="s">
        <v>329</v>
      </c>
      <c r="ET561" s="49" t="s">
        <v>310</v>
      </c>
      <c r="EU561" s="49" t="s">
        <v>310</v>
      </c>
      <c r="EV561" s="49" t="s">
        <v>310</v>
      </c>
      <c r="EX561" s="49" t="s">
        <v>303</v>
      </c>
      <c r="EY561" s="49" t="s">
        <v>303</v>
      </c>
      <c r="FC561" s="49" t="s">
        <v>330</v>
      </c>
      <c r="FD561" s="49" t="s">
        <v>310</v>
      </c>
      <c r="FE561" s="49" t="s">
        <v>310</v>
      </c>
      <c r="FF561" s="49" t="s">
        <v>64</v>
      </c>
      <c r="FG561" s="49" t="s">
        <v>397</v>
      </c>
      <c r="FH561" s="49" t="s">
        <v>310</v>
      </c>
      <c r="FI561" s="49" t="s">
        <v>332</v>
      </c>
      <c r="FJ561" s="49" t="s">
        <v>303</v>
      </c>
      <c r="FL561" s="49" t="s">
        <v>325</v>
      </c>
      <c r="FM561" s="49" t="s">
        <v>2414</v>
      </c>
      <c r="FP561" s="49" t="s">
        <v>303</v>
      </c>
      <c r="FR561" s="49" t="s">
        <v>303</v>
      </c>
      <c r="FT561" s="49" t="s">
        <v>325</v>
      </c>
      <c r="FU561" s="49" t="s">
        <v>325</v>
      </c>
      <c r="FW561" s="49" t="s">
        <v>333</v>
      </c>
    </row>
    <row r="562" customFormat="false" ht="15" hidden="false" customHeight="false" outlineLevel="0" collapsed="false">
      <c r="A562" s="0" t="n">
        <v>100870820</v>
      </c>
      <c r="B562" s="0" t="s">
        <v>295</v>
      </c>
      <c r="C562" s="0" t="s">
        <v>64</v>
      </c>
      <c r="D562" s="0" t="s">
        <v>65</v>
      </c>
      <c r="E562" s="0" t="s">
        <v>297</v>
      </c>
      <c r="G562" s="0" t="n">
        <v>1</v>
      </c>
      <c r="H562" s="0" t="s">
        <v>298</v>
      </c>
      <c r="I562" s="48" t="n">
        <v>46223</v>
      </c>
      <c r="J562" s="0" t="n">
        <v>1</v>
      </c>
      <c r="K562" s="49" t="s">
        <v>2414</v>
      </c>
      <c r="L562" s="49" t="s">
        <v>1035</v>
      </c>
      <c r="M562" s="48" t="n">
        <v>46232</v>
      </c>
      <c r="N562" s="49" t="s">
        <v>1204</v>
      </c>
      <c r="O562" s="49" t="s">
        <v>1045</v>
      </c>
      <c r="P562" s="48"/>
      <c r="Q562" s="48" t="n">
        <v>46223</v>
      </c>
      <c r="R562" s="48" t="n">
        <v>46229</v>
      </c>
      <c r="T562" s="49" t="s">
        <v>302</v>
      </c>
      <c r="U562" s="49" t="s">
        <v>303</v>
      </c>
      <c r="Y562" s="49" t="s">
        <v>2505</v>
      </c>
      <c r="AD562" s="49" t="s">
        <v>305</v>
      </c>
      <c r="AE562" s="48" t="n">
        <v>46181</v>
      </c>
      <c r="AF562" s="49" t="s">
        <v>306</v>
      </c>
      <c r="AG562" s="49" t="s">
        <v>307</v>
      </c>
      <c r="AK562" s="49" t="s">
        <v>1047</v>
      </c>
      <c r="AL562" s="49" t="s">
        <v>297</v>
      </c>
      <c r="AO562" s="49" t="s">
        <v>303</v>
      </c>
      <c r="AP562" s="48"/>
      <c r="AR562" s="49" t="s">
        <v>303</v>
      </c>
      <c r="AS562" s="49" t="s">
        <v>306</v>
      </c>
      <c r="AT562" s="49" t="s">
        <v>2506</v>
      </c>
      <c r="AV562" s="49" t="s">
        <v>309</v>
      </c>
      <c r="AW562" s="49" t="s">
        <v>310</v>
      </c>
      <c r="AX562" s="49" t="s">
        <v>311</v>
      </c>
      <c r="AY562" s="48"/>
      <c r="AZ562" s="48" t="n">
        <v>46219</v>
      </c>
      <c r="BC562" s="49" t="s">
        <v>303</v>
      </c>
      <c r="BD562" s="48" t="n">
        <v>46233</v>
      </c>
      <c r="BE562" s="49" t="s">
        <v>2507</v>
      </c>
      <c r="BF562" s="49" t="s">
        <v>303</v>
      </c>
      <c r="BG562" s="48"/>
      <c r="BI562" s="48" t="n">
        <v>46233</v>
      </c>
      <c r="BJ562" s="48" t="n">
        <v>46226</v>
      </c>
      <c r="BK562" s="49" t="s">
        <v>313</v>
      </c>
      <c r="BL562" s="49" t="s">
        <v>313</v>
      </c>
      <c r="BM562" s="49" t="s">
        <v>310</v>
      </c>
      <c r="BN562" s="48"/>
      <c r="BO562" s="48"/>
      <c r="BP562" s="48"/>
      <c r="BQ562" s="49" t="s">
        <v>2304</v>
      </c>
      <c r="BR562" s="48" t="n">
        <v>46226</v>
      </c>
      <c r="BS562" s="49" t="s">
        <v>2508</v>
      </c>
      <c r="BT562" s="49" t="s">
        <v>312</v>
      </c>
      <c r="BU562" s="49" t="s">
        <v>313</v>
      </c>
      <c r="BV562" s="49" t="s">
        <v>303</v>
      </c>
      <c r="BX562" s="0" t="n">
        <v>1</v>
      </c>
      <c r="CC562" s="49" t="s">
        <v>315</v>
      </c>
      <c r="CD562" s="49" t="s">
        <v>303</v>
      </c>
      <c r="CF562" s="49" t="s">
        <v>303</v>
      </c>
      <c r="CG562" s="49" t="s">
        <v>316</v>
      </c>
      <c r="CH562" s="49" t="s">
        <v>317</v>
      </c>
      <c r="CI562" s="49" t="s">
        <v>318</v>
      </c>
      <c r="CM562" s="49" t="s">
        <v>65</v>
      </c>
      <c r="CV562" s="49" t="s">
        <v>303</v>
      </c>
      <c r="DB562" s="49" t="s">
        <v>319</v>
      </c>
      <c r="DD562" s="48" t="n">
        <v>46181</v>
      </c>
      <c r="DF562" s="49" t="s">
        <v>310</v>
      </c>
      <c r="DG562" s="49" t="s">
        <v>320</v>
      </c>
      <c r="DH562" s="49" t="s">
        <v>64</v>
      </c>
      <c r="DI562" s="49" t="s">
        <v>298</v>
      </c>
      <c r="DJ562" s="49" t="s">
        <v>394</v>
      </c>
      <c r="DK562" s="49" t="s">
        <v>322</v>
      </c>
      <c r="DL562" s="49" t="s">
        <v>323</v>
      </c>
      <c r="DM562" s="49" t="s">
        <v>303</v>
      </c>
      <c r="DN562" s="49" t="s">
        <v>297</v>
      </c>
      <c r="DO562" s="48"/>
      <c r="DP562" s="49" t="s">
        <v>312</v>
      </c>
      <c r="DQ562" s="48"/>
      <c r="DR562" s="49" t="s">
        <v>312</v>
      </c>
      <c r="DS562" s="49" t="s">
        <v>303</v>
      </c>
      <c r="DT562" s="49" t="s">
        <v>303</v>
      </c>
      <c r="DW562" s="49" t="s">
        <v>303</v>
      </c>
      <c r="EA562" s="49" t="s">
        <v>324</v>
      </c>
      <c r="EB562" s="49" t="s">
        <v>303</v>
      </c>
      <c r="EF562" s="49" t="s">
        <v>2424</v>
      </c>
      <c r="EH562" s="49" t="s">
        <v>310</v>
      </c>
      <c r="EJ562" s="49" t="s">
        <v>303</v>
      </c>
      <c r="EK562" s="49" t="s">
        <v>2509</v>
      </c>
      <c r="EM562" s="49" t="s">
        <v>303</v>
      </c>
      <c r="EN562" s="49" t="s">
        <v>396</v>
      </c>
      <c r="EP562" s="49" t="s">
        <v>298</v>
      </c>
      <c r="EQ562" s="0" t="n">
        <v>1</v>
      </c>
      <c r="ER562" s="49" t="s">
        <v>328</v>
      </c>
      <c r="ES562" s="49" t="s">
        <v>329</v>
      </c>
      <c r="ET562" s="49" t="s">
        <v>310</v>
      </c>
      <c r="EU562" s="49" t="s">
        <v>310</v>
      </c>
      <c r="EV562" s="49" t="s">
        <v>310</v>
      </c>
      <c r="EX562" s="49" t="s">
        <v>303</v>
      </c>
      <c r="EY562" s="49" t="s">
        <v>303</v>
      </c>
      <c r="FC562" s="49" t="s">
        <v>330</v>
      </c>
      <c r="FD562" s="49" t="s">
        <v>310</v>
      </c>
      <c r="FE562" s="49" t="s">
        <v>310</v>
      </c>
      <c r="FF562" s="49" t="s">
        <v>64</v>
      </c>
      <c r="FG562" s="49" t="s">
        <v>397</v>
      </c>
      <c r="FH562" s="49" t="s">
        <v>310</v>
      </c>
      <c r="FI562" s="49" t="s">
        <v>332</v>
      </c>
      <c r="FJ562" s="49" t="s">
        <v>303</v>
      </c>
      <c r="FL562" s="49" t="s">
        <v>325</v>
      </c>
      <c r="FM562" s="49" t="s">
        <v>2414</v>
      </c>
      <c r="FP562" s="49" t="s">
        <v>303</v>
      </c>
      <c r="FR562" s="49" t="s">
        <v>303</v>
      </c>
      <c r="FT562" s="49" t="s">
        <v>325</v>
      </c>
      <c r="FU562" s="49" t="s">
        <v>325</v>
      </c>
      <c r="FW562" s="49" t="s">
        <v>333</v>
      </c>
    </row>
    <row r="563" customFormat="false" ht="15" hidden="false" customHeight="false" outlineLevel="0" collapsed="false">
      <c r="A563" s="0" t="n">
        <v>100870821</v>
      </c>
      <c r="B563" s="0" t="s">
        <v>295</v>
      </c>
      <c r="C563" s="0" t="s">
        <v>64</v>
      </c>
      <c r="D563" s="0" t="s">
        <v>65</v>
      </c>
      <c r="E563" s="0" t="s">
        <v>297</v>
      </c>
      <c r="G563" s="0" t="n">
        <v>1</v>
      </c>
      <c r="H563" s="0" t="s">
        <v>298</v>
      </c>
      <c r="I563" s="48" t="n">
        <v>46223</v>
      </c>
      <c r="J563" s="0" t="n">
        <v>1</v>
      </c>
      <c r="K563" s="49" t="s">
        <v>2414</v>
      </c>
      <c r="L563" s="49" t="s">
        <v>1035</v>
      </c>
      <c r="M563" s="48" t="n">
        <v>46233</v>
      </c>
      <c r="N563" s="49" t="s">
        <v>1204</v>
      </c>
      <c r="O563" s="49" t="s">
        <v>1045</v>
      </c>
      <c r="P563" s="48"/>
      <c r="Q563" s="48" t="n">
        <v>46223</v>
      </c>
      <c r="R563" s="48" t="n">
        <v>46229</v>
      </c>
      <c r="T563" s="49" t="s">
        <v>302</v>
      </c>
      <c r="U563" s="49" t="s">
        <v>303</v>
      </c>
      <c r="Y563" s="49" t="s">
        <v>2510</v>
      </c>
      <c r="AD563" s="49" t="s">
        <v>305</v>
      </c>
      <c r="AE563" s="48" t="n">
        <v>46181</v>
      </c>
      <c r="AF563" s="49" t="s">
        <v>306</v>
      </c>
      <c r="AG563" s="49" t="s">
        <v>307</v>
      </c>
      <c r="AK563" s="49" t="s">
        <v>1047</v>
      </c>
      <c r="AL563" s="49" t="s">
        <v>297</v>
      </c>
      <c r="AO563" s="49" t="s">
        <v>303</v>
      </c>
      <c r="AP563" s="48"/>
      <c r="AR563" s="49" t="s">
        <v>303</v>
      </c>
      <c r="AS563" s="49" t="s">
        <v>306</v>
      </c>
      <c r="AT563" s="49" t="s">
        <v>2511</v>
      </c>
      <c r="AV563" s="49" t="s">
        <v>309</v>
      </c>
      <c r="AW563" s="49" t="s">
        <v>310</v>
      </c>
      <c r="AX563" s="49" t="s">
        <v>311</v>
      </c>
      <c r="AY563" s="48"/>
      <c r="AZ563" s="48" t="n">
        <v>46219</v>
      </c>
      <c r="BC563" s="49" t="s">
        <v>303</v>
      </c>
      <c r="BD563" s="48" t="n">
        <v>46233</v>
      </c>
      <c r="BE563" s="49" t="s">
        <v>2512</v>
      </c>
      <c r="BF563" s="49" t="s">
        <v>303</v>
      </c>
      <c r="BG563" s="48"/>
      <c r="BI563" s="48" t="n">
        <v>46233</v>
      </c>
      <c r="BJ563" s="48" t="n">
        <v>46226</v>
      </c>
      <c r="BK563" s="49" t="s">
        <v>313</v>
      </c>
      <c r="BL563" s="49" t="s">
        <v>313</v>
      </c>
      <c r="BM563" s="49" t="s">
        <v>310</v>
      </c>
      <c r="BN563" s="48"/>
      <c r="BO563" s="48"/>
      <c r="BP563" s="48"/>
      <c r="BQ563" s="49" t="s">
        <v>2513</v>
      </c>
      <c r="BR563" s="48" t="n">
        <v>46226</v>
      </c>
      <c r="BS563" s="49" t="s">
        <v>2514</v>
      </c>
      <c r="BT563" s="49" t="s">
        <v>312</v>
      </c>
      <c r="BU563" s="49" t="s">
        <v>313</v>
      </c>
      <c r="BV563" s="49" t="s">
        <v>303</v>
      </c>
      <c r="BX563" s="0" t="n">
        <v>1</v>
      </c>
      <c r="CC563" s="49" t="s">
        <v>315</v>
      </c>
      <c r="CD563" s="49" t="s">
        <v>303</v>
      </c>
      <c r="CF563" s="49" t="s">
        <v>303</v>
      </c>
      <c r="CG563" s="49" t="s">
        <v>316</v>
      </c>
      <c r="CH563" s="49" t="s">
        <v>317</v>
      </c>
      <c r="CI563" s="49" t="s">
        <v>318</v>
      </c>
      <c r="CM563" s="49" t="s">
        <v>65</v>
      </c>
      <c r="CV563" s="49" t="s">
        <v>303</v>
      </c>
      <c r="DB563" s="49" t="s">
        <v>319</v>
      </c>
      <c r="DD563" s="48" t="n">
        <v>46181</v>
      </c>
      <c r="DF563" s="49" t="s">
        <v>310</v>
      </c>
      <c r="DG563" s="49" t="s">
        <v>320</v>
      </c>
      <c r="DH563" s="49" t="s">
        <v>64</v>
      </c>
      <c r="DI563" s="49" t="s">
        <v>298</v>
      </c>
      <c r="DJ563" s="49" t="s">
        <v>394</v>
      </c>
      <c r="DK563" s="49" t="s">
        <v>322</v>
      </c>
      <c r="DL563" s="49" t="s">
        <v>323</v>
      </c>
      <c r="DM563" s="49" t="s">
        <v>303</v>
      </c>
      <c r="DN563" s="49" t="s">
        <v>297</v>
      </c>
      <c r="DO563" s="48"/>
      <c r="DP563" s="49" t="s">
        <v>312</v>
      </c>
      <c r="DQ563" s="48"/>
      <c r="DR563" s="49" t="s">
        <v>312</v>
      </c>
      <c r="DS563" s="49" t="s">
        <v>303</v>
      </c>
      <c r="DT563" s="49" t="s">
        <v>303</v>
      </c>
      <c r="DW563" s="49" t="s">
        <v>303</v>
      </c>
      <c r="EA563" s="49" t="s">
        <v>324</v>
      </c>
      <c r="EB563" s="49" t="s">
        <v>303</v>
      </c>
      <c r="EF563" s="49" t="s">
        <v>2424</v>
      </c>
      <c r="EH563" s="49" t="s">
        <v>310</v>
      </c>
      <c r="EJ563" s="49" t="s">
        <v>303</v>
      </c>
      <c r="EK563" s="49" t="s">
        <v>2515</v>
      </c>
      <c r="EM563" s="49" t="s">
        <v>303</v>
      </c>
      <c r="EN563" s="49" t="s">
        <v>396</v>
      </c>
      <c r="EP563" s="49" t="s">
        <v>298</v>
      </c>
      <c r="EQ563" s="0" t="n">
        <v>1</v>
      </c>
      <c r="ER563" s="49" t="s">
        <v>328</v>
      </c>
      <c r="ES563" s="49" t="s">
        <v>329</v>
      </c>
      <c r="ET563" s="49" t="s">
        <v>310</v>
      </c>
      <c r="EU563" s="49" t="s">
        <v>310</v>
      </c>
      <c r="EV563" s="49" t="s">
        <v>310</v>
      </c>
      <c r="EX563" s="49" t="s">
        <v>303</v>
      </c>
      <c r="EY563" s="49" t="s">
        <v>303</v>
      </c>
      <c r="FC563" s="49" t="s">
        <v>330</v>
      </c>
      <c r="FD563" s="49" t="s">
        <v>310</v>
      </c>
      <c r="FE563" s="49" t="s">
        <v>310</v>
      </c>
      <c r="FF563" s="49" t="s">
        <v>64</v>
      </c>
      <c r="FG563" s="49" t="s">
        <v>397</v>
      </c>
      <c r="FH563" s="49" t="s">
        <v>310</v>
      </c>
      <c r="FI563" s="49" t="s">
        <v>332</v>
      </c>
      <c r="FJ563" s="49" t="s">
        <v>303</v>
      </c>
      <c r="FL563" s="49" t="s">
        <v>325</v>
      </c>
      <c r="FM563" s="49" t="s">
        <v>2414</v>
      </c>
      <c r="FP563" s="49" t="s">
        <v>303</v>
      </c>
      <c r="FR563" s="49" t="s">
        <v>303</v>
      </c>
      <c r="FT563" s="49" t="s">
        <v>325</v>
      </c>
      <c r="FU563" s="49" t="s">
        <v>325</v>
      </c>
      <c r="FW563" s="49" t="s">
        <v>333</v>
      </c>
    </row>
    <row r="564" customFormat="false" ht="15" hidden="false" customHeight="false" outlineLevel="0" collapsed="false">
      <c r="A564" s="0" t="n">
        <v>100870822</v>
      </c>
      <c r="B564" s="0" t="s">
        <v>295</v>
      </c>
      <c r="C564" s="0" t="s">
        <v>64</v>
      </c>
      <c r="D564" s="0" t="s">
        <v>65</v>
      </c>
      <c r="E564" s="0" t="s">
        <v>297</v>
      </c>
      <c r="G564" s="0" t="n">
        <v>1</v>
      </c>
      <c r="H564" s="0" t="s">
        <v>298</v>
      </c>
      <c r="I564" s="48" t="n">
        <v>46223</v>
      </c>
      <c r="J564" s="0" t="n">
        <v>1</v>
      </c>
      <c r="K564" s="49" t="s">
        <v>2414</v>
      </c>
      <c r="L564" s="49" t="s">
        <v>1035</v>
      </c>
      <c r="M564" s="48" t="n">
        <v>46233</v>
      </c>
      <c r="N564" s="49" t="s">
        <v>1204</v>
      </c>
      <c r="O564" s="49" t="s">
        <v>1045</v>
      </c>
      <c r="P564" s="48"/>
      <c r="Q564" s="48" t="n">
        <v>46223</v>
      </c>
      <c r="R564" s="48" t="n">
        <v>46229</v>
      </c>
      <c r="T564" s="49" t="s">
        <v>302</v>
      </c>
      <c r="U564" s="49" t="s">
        <v>303</v>
      </c>
      <c r="Y564" s="49" t="s">
        <v>2516</v>
      </c>
      <c r="AD564" s="49" t="s">
        <v>305</v>
      </c>
      <c r="AE564" s="48" t="n">
        <v>46181</v>
      </c>
      <c r="AF564" s="49" t="s">
        <v>306</v>
      </c>
      <c r="AG564" s="49" t="s">
        <v>307</v>
      </c>
      <c r="AK564" s="49" t="s">
        <v>1047</v>
      </c>
      <c r="AL564" s="49" t="s">
        <v>297</v>
      </c>
      <c r="AO564" s="49" t="s">
        <v>303</v>
      </c>
      <c r="AP564" s="48"/>
      <c r="AR564" s="49" t="s">
        <v>303</v>
      </c>
      <c r="AS564" s="49" t="s">
        <v>306</v>
      </c>
      <c r="AT564" s="49" t="s">
        <v>2517</v>
      </c>
      <c r="AV564" s="49" t="s">
        <v>309</v>
      </c>
      <c r="AW564" s="49" t="s">
        <v>310</v>
      </c>
      <c r="AX564" s="49" t="s">
        <v>311</v>
      </c>
      <c r="AY564" s="48"/>
      <c r="AZ564" s="48" t="n">
        <v>46219</v>
      </c>
      <c r="BC564" s="49" t="s">
        <v>303</v>
      </c>
      <c r="BD564" s="48" t="n">
        <v>46233</v>
      </c>
      <c r="BE564" s="49" t="s">
        <v>2518</v>
      </c>
      <c r="BF564" s="49" t="s">
        <v>303</v>
      </c>
      <c r="BG564" s="48"/>
      <c r="BI564" s="48" t="n">
        <v>46233</v>
      </c>
      <c r="BJ564" s="48" t="n">
        <v>46226</v>
      </c>
      <c r="BK564" s="49" t="s">
        <v>313</v>
      </c>
      <c r="BL564" s="49" t="s">
        <v>313</v>
      </c>
      <c r="BM564" s="49" t="s">
        <v>310</v>
      </c>
      <c r="BN564" s="48"/>
      <c r="BO564" s="48"/>
      <c r="BP564" s="48"/>
      <c r="BQ564" s="49" t="s">
        <v>2513</v>
      </c>
      <c r="BR564" s="48" t="n">
        <v>46226</v>
      </c>
      <c r="BS564" s="49" t="s">
        <v>2514</v>
      </c>
      <c r="BT564" s="49" t="s">
        <v>312</v>
      </c>
      <c r="BU564" s="49" t="s">
        <v>313</v>
      </c>
      <c r="BV564" s="49" t="s">
        <v>303</v>
      </c>
      <c r="BX564" s="0" t="n">
        <v>1</v>
      </c>
      <c r="CC564" s="49" t="s">
        <v>315</v>
      </c>
      <c r="CD564" s="49" t="s">
        <v>303</v>
      </c>
      <c r="CF564" s="49" t="s">
        <v>303</v>
      </c>
      <c r="CG564" s="49" t="s">
        <v>316</v>
      </c>
      <c r="CH564" s="49" t="s">
        <v>317</v>
      </c>
      <c r="CI564" s="49" t="s">
        <v>318</v>
      </c>
      <c r="CM564" s="49" t="s">
        <v>65</v>
      </c>
      <c r="CV564" s="49" t="s">
        <v>303</v>
      </c>
      <c r="DB564" s="49" t="s">
        <v>319</v>
      </c>
      <c r="DD564" s="48" t="n">
        <v>46181</v>
      </c>
      <c r="DF564" s="49" t="s">
        <v>310</v>
      </c>
      <c r="DG564" s="49" t="s">
        <v>320</v>
      </c>
      <c r="DH564" s="49" t="s">
        <v>64</v>
      </c>
      <c r="DI564" s="49" t="s">
        <v>298</v>
      </c>
      <c r="DJ564" s="49" t="s">
        <v>394</v>
      </c>
      <c r="DK564" s="49" t="s">
        <v>322</v>
      </c>
      <c r="DL564" s="49" t="s">
        <v>323</v>
      </c>
      <c r="DM564" s="49" t="s">
        <v>303</v>
      </c>
      <c r="DN564" s="49" t="s">
        <v>297</v>
      </c>
      <c r="DO564" s="48"/>
      <c r="DP564" s="49" t="s">
        <v>312</v>
      </c>
      <c r="DQ564" s="48"/>
      <c r="DR564" s="49" t="s">
        <v>312</v>
      </c>
      <c r="DS564" s="49" t="s">
        <v>303</v>
      </c>
      <c r="DT564" s="49" t="s">
        <v>303</v>
      </c>
      <c r="DW564" s="49" t="s">
        <v>303</v>
      </c>
      <c r="EA564" s="49" t="s">
        <v>324</v>
      </c>
      <c r="EB564" s="49" t="s">
        <v>303</v>
      </c>
      <c r="EF564" s="49" t="s">
        <v>2424</v>
      </c>
      <c r="EH564" s="49" t="s">
        <v>310</v>
      </c>
      <c r="EJ564" s="49" t="s">
        <v>303</v>
      </c>
      <c r="EK564" s="49" t="s">
        <v>2519</v>
      </c>
      <c r="EM564" s="49" t="s">
        <v>303</v>
      </c>
      <c r="EN564" s="49" t="s">
        <v>396</v>
      </c>
      <c r="EP564" s="49" t="s">
        <v>298</v>
      </c>
      <c r="EQ564" s="0" t="n">
        <v>1</v>
      </c>
      <c r="ER564" s="49" t="s">
        <v>328</v>
      </c>
      <c r="ES564" s="49" t="s">
        <v>329</v>
      </c>
      <c r="ET564" s="49" t="s">
        <v>310</v>
      </c>
      <c r="EU564" s="49" t="s">
        <v>310</v>
      </c>
      <c r="EV564" s="49" t="s">
        <v>310</v>
      </c>
      <c r="EX564" s="49" t="s">
        <v>303</v>
      </c>
      <c r="EY564" s="49" t="s">
        <v>303</v>
      </c>
      <c r="FC564" s="49" t="s">
        <v>330</v>
      </c>
      <c r="FD564" s="49" t="s">
        <v>310</v>
      </c>
      <c r="FE564" s="49" t="s">
        <v>310</v>
      </c>
      <c r="FF564" s="49" t="s">
        <v>64</v>
      </c>
      <c r="FG564" s="49" t="s">
        <v>397</v>
      </c>
      <c r="FH564" s="49" t="s">
        <v>310</v>
      </c>
      <c r="FI564" s="49" t="s">
        <v>332</v>
      </c>
      <c r="FJ564" s="49" t="s">
        <v>303</v>
      </c>
      <c r="FL564" s="49" t="s">
        <v>325</v>
      </c>
      <c r="FM564" s="49" t="s">
        <v>2414</v>
      </c>
      <c r="FP564" s="49" t="s">
        <v>303</v>
      </c>
      <c r="FR564" s="49" t="s">
        <v>303</v>
      </c>
      <c r="FT564" s="49" t="s">
        <v>325</v>
      </c>
      <c r="FU564" s="49" t="s">
        <v>325</v>
      </c>
      <c r="FW564" s="49" t="s">
        <v>333</v>
      </c>
    </row>
    <row r="565" customFormat="false" ht="15" hidden="false" customHeight="false" outlineLevel="0" collapsed="false">
      <c r="A565" s="0" t="n">
        <v>100870823</v>
      </c>
      <c r="B565" s="0" t="s">
        <v>295</v>
      </c>
      <c r="C565" s="0" t="s">
        <v>64</v>
      </c>
      <c r="D565" s="0" t="s">
        <v>65</v>
      </c>
      <c r="E565" s="0" t="s">
        <v>297</v>
      </c>
      <c r="G565" s="0" t="n">
        <v>1</v>
      </c>
      <c r="H565" s="0" t="s">
        <v>298</v>
      </c>
      <c r="I565" s="48" t="n">
        <v>46223</v>
      </c>
      <c r="J565" s="0" t="n">
        <v>1</v>
      </c>
      <c r="K565" s="49" t="s">
        <v>2414</v>
      </c>
      <c r="L565" s="49" t="s">
        <v>1035</v>
      </c>
      <c r="M565" s="48" t="n">
        <v>46233</v>
      </c>
      <c r="N565" s="49" t="s">
        <v>1204</v>
      </c>
      <c r="O565" s="49" t="s">
        <v>1045</v>
      </c>
      <c r="P565" s="48"/>
      <c r="Q565" s="48" t="n">
        <v>46223</v>
      </c>
      <c r="R565" s="48" t="n">
        <v>46229</v>
      </c>
      <c r="T565" s="49" t="s">
        <v>302</v>
      </c>
      <c r="U565" s="49" t="s">
        <v>303</v>
      </c>
      <c r="Y565" s="49" t="s">
        <v>2520</v>
      </c>
      <c r="AD565" s="49" t="s">
        <v>305</v>
      </c>
      <c r="AE565" s="48" t="n">
        <v>46181</v>
      </c>
      <c r="AF565" s="49" t="s">
        <v>306</v>
      </c>
      <c r="AG565" s="49" t="s">
        <v>307</v>
      </c>
      <c r="AK565" s="49" t="s">
        <v>1047</v>
      </c>
      <c r="AL565" s="49" t="s">
        <v>297</v>
      </c>
      <c r="AO565" s="49" t="s">
        <v>303</v>
      </c>
      <c r="AP565" s="48"/>
      <c r="AR565" s="49" t="s">
        <v>303</v>
      </c>
      <c r="AS565" s="49" t="s">
        <v>306</v>
      </c>
      <c r="AT565" s="49" t="s">
        <v>2521</v>
      </c>
      <c r="AV565" s="49" t="s">
        <v>309</v>
      </c>
      <c r="AW565" s="49" t="s">
        <v>310</v>
      </c>
      <c r="AX565" s="49" t="s">
        <v>311</v>
      </c>
      <c r="AY565" s="48"/>
      <c r="AZ565" s="48" t="n">
        <v>46219</v>
      </c>
      <c r="BC565" s="49" t="s">
        <v>303</v>
      </c>
      <c r="BD565" s="48" t="n">
        <v>46233</v>
      </c>
      <c r="BE565" s="49" t="s">
        <v>2522</v>
      </c>
      <c r="BF565" s="49" t="s">
        <v>303</v>
      </c>
      <c r="BG565" s="48"/>
      <c r="BI565" s="48" t="n">
        <v>46233</v>
      </c>
      <c r="BJ565" s="48" t="n">
        <v>46226</v>
      </c>
      <c r="BK565" s="49" t="s">
        <v>313</v>
      </c>
      <c r="BL565" s="49" t="s">
        <v>313</v>
      </c>
      <c r="BM565" s="49" t="s">
        <v>310</v>
      </c>
      <c r="BN565" s="48"/>
      <c r="BO565" s="48"/>
      <c r="BP565" s="48"/>
      <c r="BQ565" s="49" t="s">
        <v>2513</v>
      </c>
      <c r="BR565" s="48" t="n">
        <v>46226</v>
      </c>
      <c r="BS565" s="49" t="s">
        <v>2514</v>
      </c>
      <c r="BT565" s="49" t="s">
        <v>312</v>
      </c>
      <c r="BU565" s="49" t="s">
        <v>313</v>
      </c>
      <c r="BV565" s="49" t="s">
        <v>303</v>
      </c>
      <c r="BX565" s="0" t="n">
        <v>1</v>
      </c>
      <c r="CC565" s="49" t="s">
        <v>315</v>
      </c>
      <c r="CD565" s="49" t="s">
        <v>303</v>
      </c>
      <c r="CF565" s="49" t="s">
        <v>303</v>
      </c>
      <c r="CG565" s="49" t="s">
        <v>316</v>
      </c>
      <c r="CH565" s="49" t="s">
        <v>317</v>
      </c>
      <c r="CI565" s="49" t="s">
        <v>318</v>
      </c>
      <c r="CM565" s="49" t="s">
        <v>65</v>
      </c>
      <c r="CV565" s="49" t="s">
        <v>303</v>
      </c>
      <c r="DB565" s="49" t="s">
        <v>319</v>
      </c>
      <c r="DD565" s="48" t="n">
        <v>46181</v>
      </c>
      <c r="DF565" s="49" t="s">
        <v>310</v>
      </c>
      <c r="DG565" s="49" t="s">
        <v>320</v>
      </c>
      <c r="DH565" s="49" t="s">
        <v>64</v>
      </c>
      <c r="DI565" s="49" t="s">
        <v>298</v>
      </c>
      <c r="DJ565" s="49" t="s">
        <v>394</v>
      </c>
      <c r="DK565" s="49" t="s">
        <v>322</v>
      </c>
      <c r="DL565" s="49" t="s">
        <v>323</v>
      </c>
      <c r="DM565" s="49" t="s">
        <v>303</v>
      </c>
      <c r="DN565" s="49" t="s">
        <v>297</v>
      </c>
      <c r="DO565" s="48"/>
      <c r="DP565" s="49" t="s">
        <v>312</v>
      </c>
      <c r="DQ565" s="48"/>
      <c r="DR565" s="49" t="s">
        <v>312</v>
      </c>
      <c r="DS565" s="49" t="s">
        <v>303</v>
      </c>
      <c r="DT565" s="49" t="s">
        <v>303</v>
      </c>
      <c r="DW565" s="49" t="s">
        <v>303</v>
      </c>
      <c r="EA565" s="49" t="s">
        <v>324</v>
      </c>
      <c r="EB565" s="49" t="s">
        <v>303</v>
      </c>
      <c r="EF565" s="49" t="s">
        <v>2424</v>
      </c>
      <c r="EH565" s="49" t="s">
        <v>310</v>
      </c>
      <c r="EJ565" s="49" t="s">
        <v>303</v>
      </c>
      <c r="EK565" s="49" t="s">
        <v>2523</v>
      </c>
      <c r="EM565" s="49" t="s">
        <v>303</v>
      </c>
      <c r="EN565" s="49" t="s">
        <v>396</v>
      </c>
      <c r="EP565" s="49" t="s">
        <v>298</v>
      </c>
      <c r="EQ565" s="0" t="n">
        <v>1</v>
      </c>
      <c r="ER565" s="49" t="s">
        <v>328</v>
      </c>
      <c r="ES565" s="49" t="s">
        <v>329</v>
      </c>
      <c r="ET565" s="49" t="s">
        <v>310</v>
      </c>
      <c r="EU565" s="49" t="s">
        <v>310</v>
      </c>
      <c r="EV565" s="49" t="s">
        <v>310</v>
      </c>
      <c r="EX565" s="49" t="s">
        <v>303</v>
      </c>
      <c r="EY565" s="49" t="s">
        <v>303</v>
      </c>
      <c r="FC565" s="49" t="s">
        <v>330</v>
      </c>
      <c r="FD565" s="49" t="s">
        <v>310</v>
      </c>
      <c r="FE565" s="49" t="s">
        <v>310</v>
      </c>
      <c r="FF565" s="49" t="s">
        <v>64</v>
      </c>
      <c r="FG565" s="49" t="s">
        <v>397</v>
      </c>
      <c r="FH565" s="49" t="s">
        <v>310</v>
      </c>
      <c r="FI565" s="49" t="s">
        <v>332</v>
      </c>
      <c r="FJ565" s="49" t="s">
        <v>303</v>
      </c>
      <c r="FL565" s="49" t="s">
        <v>325</v>
      </c>
      <c r="FM565" s="49" t="s">
        <v>2414</v>
      </c>
      <c r="FP565" s="49" t="s">
        <v>303</v>
      </c>
      <c r="FR565" s="49" t="s">
        <v>303</v>
      </c>
      <c r="FT565" s="49" t="s">
        <v>325</v>
      </c>
      <c r="FU565" s="49" t="s">
        <v>325</v>
      </c>
      <c r="FW565" s="49" t="s">
        <v>333</v>
      </c>
    </row>
    <row r="566" customFormat="false" ht="15" hidden="false" customHeight="false" outlineLevel="0" collapsed="false">
      <c r="A566" s="0" t="n">
        <v>100870824</v>
      </c>
      <c r="B566" s="0" t="s">
        <v>295</v>
      </c>
      <c r="C566" s="0" t="s">
        <v>64</v>
      </c>
      <c r="D566" s="0" t="s">
        <v>65</v>
      </c>
      <c r="E566" s="0" t="s">
        <v>297</v>
      </c>
      <c r="G566" s="0" t="n">
        <v>1</v>
      </c>
      <c r="H566" s="0" t="s">
        <v>298</v>
      </c>
      <c r="I566" s="48" t="n">
        <v>46223</v>
      </c>
      <c r="J566" s="0" t="n">
        <v>1</v>
      </c>
      <c r="K566" s="49" t="s">
        <v>2414</v>
      </c>
      <c r="L566" s="49" t="s">
        <v>1035</v>
      </c>
      <c r="M566" s="48" t="n">
        <v>46233</v>
      </c>
      <c r="N566" s="49" t="s">
        <v>1204</v>
      </c>
      <c r="O566" s="49" t="s">
        <v>1045</v>
      </c>
      <c r="P566" s="48"/>
      <c r="Q566" s="48" t="n">
        <v>46223</v>
      </c>
      <c r="R566" s="48" t="n">
        <v>46229</v>
      </c>
      <c r="T566" s="49" t="s">
        <v>302</v>
      </c>
      <c r="U566" s="49" t="s">
        <v>303</v>
      </c>
      <c r="Y566" s="49" t="s">
        <v>2524</v>
      </c>
      <c r="AD566" s="49" t="s">
        <v>305</v>
      </c>
      <c r="AE566" s="48" t="n">
        <v>46181</v>
      </c>
      <c r="AF566" s="49" t="s">
        <v>306</v>
      </c>
      <c r="AG566" s="49" t="s">
        <v>307</v>
      </c>
      <c r="AK566" s="49" t="s">
        <v>1047</v>
      </c>
      <c r="AL566" s="49" t="s">
        <v>297</v>
      </c>
      <c r="AO566" s="49" t="s">
        <v>303</v>
      </c>
      <c r="AP566" s="48"/>
      <c r="AR566" s="49" t="s">
        <v>303</v>
      </c>
      <c r="AS566" s="49" t="s">
        <v>306</v>
      </c>
      <c r="AT566" s="49" t="s">
        <v>2525</v>
      </c>
      <c r="AV566" s="49" t="s">
        <v>309</v>
      </c>
      <c r="AW566" s="49" t="s">
        <v>310</v>
      </c>
      <c r="AX566" s="49" t="s">
        <v>311</v>
      </c>
      <c r="AY566" s="48"/>
      <c r="AZ566" s="48" t="n">
        <v>46219</v>
      </c>
      <c r="BC566" s="49" t="s">
        <v>303</v>
      </c>
      <c r="BD566" s="48" t="n">
        <v>46233</v>
      </c>
      <c r="BE566" s="49" t="s">
        <v>2526</v>
      </c>
      <c r="BF566" s="49" t="s">
        <v>303</v>
      </c>
      <c r="BG566" s="48"/>
      <c r="BI566" s="48" t="n">
        <v>46233</v>
      </c>
      <c r="BJ566" s="48" t="n">
        <v>46226</v>
      </c>
      <c r="BK566" s="49" t="s">
        <v>313</v>
      </c>
      <c r="BL566" s="49" t="s">
        <v>313</v>
      </c>
      <c r="BM566" s="49" t="s">
        <v>310</v>
      </c>
      <c r="BN566" s="48"/>
      <c r="BO566" s="48"/>
      <c r="BP566" s="48"/>
      <c r="BQ566" s="49" t="s">
        <v>2513</v>
      </c>
      <c r="BR566" s="48" t="n">
        <v>46226</v>
      </c>
      <c r="BS566" s="49" t="s">
        <v>2527</v>
      </c>
      <c r="BT566" s="49" t="s">
        <v>312</v>
      </c>
      <c r="BU566" s="49" t="s">
        <v>313</v>
      </c>
      <c r="BV566" s="49" t="s">
        <v>303</v>
      </c>
      <c r="BX566" s="0" t="n">
        <v>1</v>
      </c>
      <c r="CC566" s="49" t="s">
        <v>315</v>
      </c>
      <c r="CD566" s="49" t="s">
        <v>303</v>
      </c>
      <c r="CF566" s="49" t="s">
        <v>303</v>
      </c>
      <c r="CG566" s="49" t="s">
        <v>316</v>
      </c>
      <c r="CH566" s="49" t="s">
        <v>317</v>
      </c>
      <c r="CI566" s="49" t="s">
        <v>318</v>
      </c>
      <c r="CM566" s="49" t="s">
        <v>65</v>
      </c>
      <c r="CV566" s="49" t="s">
        <v>303</v>
      </c>
      <c r="DB566" s="49" t="s">
        <v>319</v>
      </c>
      <c r="DD566" s="48" t="n">
        <v>46181</v>
      </c>
      <c r="DF566" s="49" t="s">
        <v>310</v>
      </c>
      <c r="DG566" s="49" t="s">
        <v>320</v>
      </c>
      <c r="DH566" s="49" t="s">
        <v>64</v>
      </c>
      <c r="DI566" s="49" t="s">
        <v>298</v>
      </c>
      <c r="DJ566" s="49" t="s">
        <v>394</v>
      </c>
      <c r="DK566" s="49" t="s">
        <v>322</v>
      </c>
      <c r="DL566" s="49" t="s">
        <v>323</v>
      </c>
      <c r="DM566" s="49" t="s">
        <v>303</v>
      </c>
      <c r="DN566" s="49" t="s">
        <v>297</v>
      </c>
      <c r="DO566" s="48"/>
      <c r="DP566" s="49" t="s">
        <v>312</v>
      </c>
      <c r="DQ566" s="48"/>
      <c r="DR566" s="49" t="s">
        <v>312</v>
      </c>
      <c r="DS566" s="49" t="s">
        <v>303</v>
      </c>
      <c r="DT566" s="49" t="s">
        <v>303</v>
      </c>
      <c r="DW566" s="49" t="s">
        <v>303</v>
      </c>
      <c r="EA566" s="49" t="s">
        <v>324</v>
      </c>
      <c r="EB566" s="49" t="s">
        <v>303</v>
      </c>
      <c r="EF566" s="49" t="s">
        <v>2424</v>
      </c>
      <c r="EH566" s="49" t="s">
        <v>310</v>
      </c>
      <c r="EJ566" s="49" t="s">
        <v>303</v>
      </c>
      <c r="EK566" s="49" t="s">
        <v>2528</v>
      </c>
      <c r="EM566" s="49" t="s">
        <v>303</v>
      </c>
      <c r="EN566" s="49" t="s">
        <v>396</v>
      </c>
      <c r="EP566" s="49" t="s">
        <v>298</v>
      </c>
      <c r="EQ566" s="0" t="n">
        <v>1</v>
      </c>
      <c r="ER566" s="49" t="s">
        <v>328</v>
      </c>
      <c r="ES566" s="49" t="s">
        <v>329</v>
      </c>
      <c r="ET566" s="49" t="s">
        <v>310</v>
      </c>
      <c r="EU566" s="49" t="s">
        <v>310</v>
      </c>
      <c r="EV566" s="49" t="s">
        <v>310</v>
      </c>
      <c r="EX566" s="49" t="s">
        <v>303</v>
      </c>
      <c r="EY566" s="49" t="s">
        <v>303</v>
      </c>
      <c r="FC566" s="49" t="s">
        <v>330</v>
      </c>
      <c r="FD566" s="49" t="s">
        <v>310</v>
      </c>
      <c r="FE566" s="49" t="s">
        <v>310</v>
      </c>
      <c r="FF566" s="49" t="s">
        <v>64</v>
      </c>
      <c r="FG566" s="49" t="s">
        <v>397</v>
      </c>
      <c r="FH566" s="49" t="s">
        <v>310</v>
      </c>
      <c r="FI566" s="49" t="s">
        <v>332</v>
      </c>
      <c r="FJ566" s="49" t="s">
        <v>303</v>
      </c>
      <c r="FL566" s="49" t="s">
        <v>325</v>
      </c>
      <c r="FM566" s="49" t="s">
        <v>2414</v>
      </c>
      <c r="FP566" s="49" t="s">
        <v>303</v>
      </c>
      <c r="FR566" s="49" t="s">
        <v>303</v>
      </c>
      <c r="FT566" s="49" t="s">
        <v>325</v>
      </c>
      <c r="FU566" s="49" t="s">
        <v>325</v>
      </c>
      <c r="FW566" s="49" t="s">
        <v>333</v>
      </c>
    </row>
    <row r="567" customFormat="false" ht="15" hidden="false" customHeight="false" outlineLevel="0" collapsed="false">
      <c r="A567" s="0" t="n">
        <v>100869317</v>
      </c>
      <c r="B567" s="0" t="s">
        <v>295</v>
      </c>
      <c r="C567" s="0" t="s">
        <v>64</v>
      </c>
      <c r="D567" s="0" t="s">
        <v>65</v>
      </c>
      <c r="E567" s="0" t="s">
        <v>297</v>
      </c>
      <c r="G567" s="0" t="n">
        <v>1</v>
      </c>
      <c r="H567" s="0" t="s">
        <v>298</v>
      </c>
      <c r="I567" s="48" t="n">
        <v>46210</v>
      </c>
      <c r="J567" s="0" t="n">
        <v>1</v>
      </c>
      <c r="K567" s="49" t="s">
        <v>2529</v>
      </c>
      <c r="L567" s="49" t="s">
        <v>1035</v>
      </c>
      <c r="M567" s="48" t="n">
        <v>46223</v>
      </c>
      <c r="N567" s="49" t="s">
        <v>1204</v>
      </c>
      <c r="O567" s="49" t="s">
        <v>1045</v>
      </c>
      <c r="P567" s="48"/>
      <c r="Q567" s="48" t="n">
        <v>46210</v>
      </c>
      <c r="R567" s="48" t="n">
        <v>46217</v>
      </c>
      <c r="T567" s="49" t="s">
        <v>302</v>
      </c>
      <c r="U567" s="49" t="s">
        <v>303</v>
      </c>
      <c r="Y567" s="49" t="s">
        <v>2530</v>
      </c>
      <c r="AD567" s="49" t="s">
        <v>305</v>
      </c>
      <c r="AE567" s="48" t="n">
        <v>46177</v>
      </c>
      <c r="AF567" s="49" t="s">
        <v>306</v>
      </c>
      <c r="AG567" s="49" t="s">
        <v>307</v>
      </c>
      <c r="AK567" s="49" t="s">
        <v>1047</v>
      </c>
      <c r="AL567" s="49" t="s">
        <v>297</v>
      </c>
      <c r="AO567" s="49" t="s">
        <v>303</v>
      </c>
      <c r="AP567" s="48"/>
      <c r="AR567" s="49" t="s">
        <v>303</v>
      </c>
      <c r="AS567" s="49" t="s">
        <v>306</v>
      </c>
      <c r="AT567" s="49" t="s">
        <v>2531</v>
      </c>
      <c r="AV567" s="49" t="s">
        <v>309</v>
      </c>
      <c r="AW567" s="49" t="s">
        <v>310</v>
      </c>
      <c r="AX567" s="49" t="s">
        <v>311</v>
      </c>
      <c r="AY567" s="48"/>
      <c r="AZ567" s="48" t="n">
        <v>46206</v>
      </c>
      <c r="BC567" s="49" t="s">
        <v>303</v>
      </c>
      <c r="BD567" s="48" t="n">
        <v>46223</v>
      </c>
      <c r="BE567" s="49" t="s">
        <v>2532</v>
      </c>
      <c r="BF567" s="49" t="s">
        <v>303</v>
      </c>
      <c r="BG567" s="48"/>
      <c r="BI567" s="48" t="n">
        <v>46223</v>
      </c>
      <c r="BJ567" s="48" t="n">
        <v>46215</v>
      </c>
      <c r="BK567" s="49" t="s">
        <v>312</v>
      </c>
      <c r="BL567" s="49" t="s">
        <v>313</v>
      </c>
      <c r="BM567" s="49" t="s">
        <v>310</v>
      </c>
      <c r="BN567" s="48"/>
      <c r="BO567" s="48"/>
      <c r="BP567" s="48"/>
      <c r="BQ567" s="49" t="s">
        <v>2533</v>
      </c>
      <c r="BR567" s="48" t="n">
        <v>46215</v>
      </c>
      <c r="BS567" s="49" t="s">
        <v>2534</v>
      </c>
      <c r="BT567" s="49" t="s">
        <v>312</v>
      </c>
      <c r="BU567" s="49" t="s">
        <v>313</v>
      </c>
      <c r="BV567" s="49" t="s">
        <v>303</v>
      </c>
      <c r="BX567" s="0" t="n">
        <v>1</v>
      </c>
      <c r="CC567" s="49" t="s">
        <v>315</v>
      </c>
      <c r="CD567" s="49" t="s">
        <v>303</v>
      </c>
      <c r="CF567" s="49" t="s">
        <v>303</v>
      </c>
      <c r="CG567" s="49" t="s">
        <v>316</v>
      </c>
      <c r="CH567" s="49" t="s">
        <v>317</v>
      </c>
      <c r="CI567" s="49" t="s">
        <v>318</v>
      </c>
      <c r="CM567" s="49" t="s">
        <v>65</v>
      </c>
      <c r="CV567" s="49" t="s">
        <v>303</v>
      </c>
      <c r="DB567" s="49" t="s">
        <v>319</v>
      </c>
      <c r="DD567" s="48" t="n">
        <v>46177</v>
      </c>
      <c r="DF567" s="49" t="s">
        <v>310</v>
      </c>
      <c r="DG567" s="49" t="s">
        <v>320</v>
      </c>
      <c r="DH567" s="49" t="s">
        <v>64</v>
      </c>
      <c r="DI567" s="49" t="s">
        <v>298</v>
      </c>
      <c r="DJ567" s="49" t="s">
        <v>394</v>
      </c>
      <c r="DK567" s="49" t="s">
        <v>322</v>
      </c>
      <c r="DL567" s="49" t="s">
        <v>323</v>
      </c>
      <c r="DM567" s="49" t="s">
        <v>303</v>
      </c>
      <c r="DN567" s="49" t="s">
        <v>297</v>
      </c>
      <c r="DO567" s="48"/>
      <c r="DP567" s="49" t="s">
        <v>312</v>
      </c>
      <c r="DQ567" s="48"/>
      <c r="DR567" s="49" t="s">
        <v>312</v>
      </c>
      <c r="DS567" s="49" t="s">
        <v>303</v>
      </c>
      <c r="DT567" s="49" t="s">
        <v>303</v>
      </c>
      <c r="DW567" s="49" t="s">
        <v>303</v>
      </c>
      <c r="EA567" s="49" t="s">
        <v>324</v>
      </c>
      <c r="EB567" s="49" t="s">
        <v>303</v>
      </c>
      <c r="EH567" s="49" t="s">
        <v>310</v>
      </c>
      <c r="EJ567" s="49" t="s">
        <v>303</v>
      </c>
      <c r="EK567" s="49" t="s">
        <v>2535</v>
      </c>
      <c r="EM567" s="49" t="s">
        <v>303</v>
      </c>
      <c r="EN567" s="49" t="s">
        <v>396</v>
      </c>
      <c r="EP567" s="49" t="s">
        <v>298</v>
      </c>
      <c r="EQ567" s="0" t="n">
        <v>1</v>
      </c>
      <c r="ER567" s="49" t="s">
        <v>328</v>
      </c>
      <c r="ES567" s="49" t="s">
        <v>329</v>
      </c>
      <c r="ET567" s="49" t="s">
        <v>310</v>
      </c>
      <c r="EU567" s="49" t="s">
        <v>310</v>
      </c>
      <c r="EV567" s="49" t="s">
        <v>310</v>
      </c>
      <c r="EX567" s="49" t="s">
        <v>303</v>
      </c>
      <c r="EY567" s="49" t="s">
        <v>303</v>
      </c>
      <c r="FC567" s="49" t="s">
        <v>330</v>
      </c>
      <c r="FD567" s="49" t="s">
        <v>310</v>
      </c>
      <c r="FE567" s="49" t="s">
        <v>310</v>
      </c>
      <c r="FF567" s="49" t="s">
        <v>64</v>
      </c>
      <c r="FG567" s="49" t="s">
        <v>397</v>
      </c>
      <c r="FH567" s="49" t="s">
        <v>310</v>
      </c>
      <c r="FI567" s="49" t="s">
        <v>332</v>
      </c>
      <c r="FJ567" s="49" t="s">
        <v>303</v>
      </c>
      <c r="FL567" s="49" t="s">
        <v>325</v>
      </c>
      <c r="FM567" s="49" t="s">
        <v>2529</v>
      </c>
      <c r="FP567" s="49" t="s">
        <v>303</v>
      </c>
      <c r="FR567" s="49" t="s">
        <v>303</v>
      </c>
      <c r="FT567" s="49" t="s">
        <v>325</v>
      </c>
      <c r="FU567" s="49" t="s">
        <v>325</v>
      </c>
      <c r="FW567" s="49" t="s">
        <v>333</v>
      </c>
    </row>
    <row r="568" customFormat="false" ht="15" hidden="false" customHeight="false" outlineLevel="0" collapsed="false">
      <c r="A568" s="0" t="n">
        <v>100869318</v>
      </c>
      <c r="B568" s="0" t="s">
        <v>295</v>
      </c>
      <c r="C568" s="0" t="s">
        <v>64</v>
      </c>
      <c r="D568" s="0" t="s">
        <v>65</v>
      </c>
      <c r="E568" s="0" t="s">
        <v>297</v>
      </c>
      <c r="G568" s="0" t="n">
        <v>1</v>
      </c>
      <c r="H568" s="0" t="s">
        <v>298</v>
      </c>
      <c r="I568" s="48" t="n">
        <v>46210</v>
      </c>
      <c r="J568" s="0" t="n">
        <v>1</v>
      </c>
      <c r="K568" s="49" t="s">
        <v>2529</v>
      </c>
      <c r="L568" s="49" t="s">
        <v>1035</v>
      </c>
      <c r="M568" s="48" t="n">
        <v>46223</v>
      </c>
      <c r="N568" s="49" t="s">
        <v>1204</v>
      </c>
      <c r="O568" s="49" t="s">
        <v>1045</v>
      </c>
      <c r="P568" s="48"/>
      <c r="Q568" s="48" t="n">
        <v>46210</v>
      </c>
      <c r="R568" s="48" t="n">
        <v>46216</v>
      </c>
      <c r="T568" s="49" t="s">
        <v>302</v>
      </c>
      <c r="U568" s="49" t="s">
        <v>303</v>
      </c>
      <c r="Y568" s="49" t="s">
        <v>2536</v>
      </c>
      <c r="AD568" s="49" t="s">
        <v>305</v>
      </c>
      <c r="AE568" s="48" t="n">
        <v>46177</v>
      </c>
      <c r="AF568" s="49" t="s">
        <v>306</v>
      </c>
      <c r="AG568" s="49" t="s">
        <v>307</v>
      </c>
      <c r="AK568" s="49" t="s">
        <v>1047</v>
      </c>
      <c r="AL568" s="49" t="s">
        <v>297</v>
      </c>
      <c r="AO568" s="49" t="s">
        <v>303</v>
      </c>
      <c r="AP568" s="48"/>
      <c r="AR568" s="49" t="s">
        <v>303</v>
      </c>
      <c r="AS568" s="49" t="s">
        <v>306</v>
      </c>
      <c r="AT568" s="49" t="s">
        <v>2537</v>
      </c>
      <c r="AV568" s="49" t="s">
        <v>309</v>
      </c>
      <c r="AW568" s="49" t="s">
        <v>310</v>
      </c>
      <c r="AX568" s="49" t="s">
        <v>311</v>
      </c>
      <c r="AY568" s="48"/>
      <c r="AZ568" s="48" t="n">
        <v>46206</v>
      </c>
      <c r="BC568" s="49" t="s">
        <v>303</v>
      </c>
      <c r="BD568" s="48" t="n">
        <v>46223</v>
      </c>
      <c r="BE568" s="49" t="s">
        <v>2532</v>
      </c>
      <c r="BF568" s="49" t="s">
        <v>303</v>
      </c>
      <c r="BG568" s="48"/>
      <c r="BI568" s="48" t="n">
        <v>46223</v>
      </c>
      <c r="BJ568" s="48" t="n">
        <v>46215</v>
      </c>
      <c r="BK568" s="49" t="s">
        <v>313</v>
      </c>
      <c r="BL568" s="49" t="s">
        <v>313</v>
      </c>
      <c r="BM568" s="49" t="s">
        <v>310</v>
      </c>
      <c r="BN568" s="48"/>
      <c r="BO568" s="48"/>
      <c r="BP568" s="48"/>
      <c r="BQ568" s="49" t="s">
        <v>2533</v>
      </c>
      <c r="BR568" s="48" t="n">
        <v>46215</v>
      </c>
      <c r="BS568" s="49" t="s">
        <v>2534</v>
      </c>
      <c r="BT568" s="49" t="s">
        <v>312</v>
      </c>
      <c r="BU568" s="49" t="s">
        <v>313</v>
      </c>
      <c r="BV568" s="49" t="s">
        <v>303</v>
      </c>
      <c r="BX568" s="0" t="n">
        <v>1</v>
      </c>
      <c r="CC568" s="49" t="s">
        <v>315</v>
      </c>
      <c r="CD568" s="49" t="s">
        <v>303</v>
      </c>
      <c r="CF568" s="49" t="s">
        <v>303</v>
      </c>
      <c r="CG568" s="49" t="s">
        <v>316</v>
      </c>
      <c r="CH568" s="49" t="s">
        <v>317</v>
      </c>
      <c r="CI568" s="49" t="s">
        <v>318</v>
      </c>
      <c r="CM568" s="49" t="s">
        <v>65</v>
      </c>
      <c r="CV568" s="49" t="s">
        <v>303</v>
      </c>
      <c r="DB568" s="49" t="s">
        <v>319</v>
      </c>
      <c r="DD568" s="48" t="n">
        <v>46177</v>
      </c>
      <c r="DF568" s="49" t="s">
        <v>310</v>
      </c>
      <c r="DG568" s="49" t="s">
        <v>320</v>
      </c>
      <c r="DH568" s="49" t="s">
        <v>64</v>
      </c>
      <c r="DI568" s="49" t="s">
        <v>298</v>
      </c>
      <c r="DJ568" s="49" t="s">
        <v>394</v>
      </c>
      <c r="DK568" s="49" t="s">
        <v>322</v>
      </c>
      <c r="DL568" s="49" t="s">
        <v>323</v>
      </c>
      <c r="DM568" s="49" t="s">
        <v>303</v>
      </c>
      <c r="DN568" s="49" t="s">
        <v>297</v>
      </c>
      <c r="DO568" s="48"/>
      <c r="DP568" s="49" t="s">
        <v>312</v>
      </c>
      <c r="DQ568" s="48"/>
      <c r="DR568" s="49" t="s">
        <v>312</v>
      </c>
      <c r="DS568" s="49" t="s">
        <v>303</v>
      </c>
      <c r="DT568" s="49" t="s">
        <v>303</v>
      </c>
      <c r="DW568" s="49" t="s">
        <v>303</v>
      </c>
      <c r="EA568" s="49" t="s">
        <v>324</v>
      </c>
      <c r="EB568" s="49" t="s">
        <v>303</v>
      </c>
      <c r="EF568" s="49" t="s">
        <v>2538</v>
      </c>
      <c r="EH568" s="49" t="s">
        <v>310</v>
      </c>
      <c r="EJ568" s="49" t="s">
        <v>303</v>
      </c>
      <c r="EK568" s="49" t="s">
        <v>2539</v>
      </c>
      <c r="EM568" s="49" t="s">
        <v>303</v>
      </c>
      <c r="EN568" s="49" t="s">
        <v>396</v>
      </c>
      <c r="EP568" s="49" t="s">
        <v>298</v>
      </c>
      <c r="EQ568" s="0" t="n">
        <v>1</v>
      </c>
      <c r="ER568" s="49" t="s">
        <v>328</v>
      </c>
      <c r="ES568" s="49" t="s">
        <v>329</v>
      </c>
      <c r="ET568" s="49" t="s">
        <v>310</v>
      </c>
      <c r="EU568" s="49" t="s">
        <v>310</v>
      </c>
      <c r="EV568" s="49" t="s">
        <v>310</v>
      </c>
      <c r="EX568" s="49" t="s">
        <v>303</v>
      </c>
      <c r="EY568" s="49" t="s">
        <v>303</v>
      </c>
      <c r="FC568" s="49" t="s">
        <v>330</v>
      </c>
      <c r="FD568" s="49" t="s">
        <v>310</v>
      </c>
      <c r="FE568" s="49" t="s">
        <v>310</v>
      </c>
      <c r="FF568" s="49" t="s">
        <v>64</v>
      </c>
      <c r="FG568" s="49" t="s">
        <v>397</v>
      </c>
      <c r="FH568" s="49" t="s">
        <v>310</v>
      </c>
      <c r="FI568" s="49" t="s">
        <v>332</v>
      </c>
      <c r="FJ568" s="49" t="s">
        <v>303</v>
      </c>
      <c r="FL568" s="49" t="s">
        <v>325</v>
      </c>
      <c r="FM568" s="49" t="s">
        <v>2529</v>
      </c>
      <c r="FP568" s="49" t="s">
        <v>303</v>
      </c>
      <c r="FR568" s="49" t="s">
        <v>303</v>
      </c>
      <c r="FT568" s="49" t="s">
        <v>325</v>
      </c>
      <c r="FU568" s="49" t="s">
        <v>325</v>
      </c>
      <c r="FW568" s="49" t="s">
        <v>333</v>
      </c>
    </row>
    <row r="569" customFormat="false" ht="15" hidden="false" customHeight="false" outlineLevel="0" collapsed="false">
      <c r="A569" s="0" t="n">
        <v>100867115</v>
      </c>
      <c r="B569" s="0" t="s">
        <v>295</v>
      </c>
      <c r="C569" s="0" t="s">
        <v>75</v>
      </c>
      <c r="D569" s="0" t="s">
        <v>492</v>
      </c>
      <c r="E569" s="0" t="s">
        <v>297</v>
      </c>
      <c r="G569" s="0" t="n">
        <v>1</v>
      </c>
      <c r="H569" s="0" t="s">
        <v>298</v>
      </c>
      <c r="I569" s="48" t="n">
        <v>46190</v>
      </c>
      <c r="J569" s="0" t="n">
        <v>1</v>
      </c>
      <c r="K569" s="49" t="s">
        <v>2540</v>
      </c>
      <c r="L569" s="49" t="s">
        <v>1035</v>
      </c>
      <c r="M569" s="48" t="n">
        <v>46244</v>
      </c>
      <c r="N569" s="49" t="s">
        <v>2082</v>
      </c>
      <c r="O569" s="49" t="s">
        <v>1052</v>
      </c>
      <c r="P569" s="48"/>
      <c r="Q569" s="48" t="n">
        <v>46190</v>
      </c>
      <c r="R569" s="48" t="n">
        <v>46197</v>
      </c>
      <c r="T569" s="49" t="s">
        <v>302</v>
      </c>
      <c r="U569" s="49" t="s">
        <v>303</v>
      </c>
      <c r="Y569" s="49" t="s">
        <v>2541</v>
      </c>
      <c r="AD569" s="49" t="s">
        <v>305</v>
      </c>
      <c r="AE569" s="48" t="n">
        <v>46178</v>
      </c>
      <c r="AF569" s="49" t="s">
        <v>306</v>
      </c>
      <c r="AG569" s="49" t="s">
        <v>307</v>
      </c>
      <c r="AK569" s="49" t="s">
        <v>1047</v>
      </c>
      <c r="AL569" s="49" t="s">
        <v>297</v>
      </c>
      <c r="AO569" s="49" t="s">
        <v>303</v>
      </c>
      <c r="AP569" s="48"/>
      <c r="AR569" s="49" t="s">
        <v>303</v>
      </c>
      <c r="AS569" s="49" t="s">
        <v>306</v>
      </c>
      <c r="AT569" s="49" t="s">
        <v>2542</v>
      </c>
      <c r="AV569" s="49" t="s">
        <v>309</v>
      </c>
      <c r="AW569" s="49" t="s">
        <v>310</v>
      </c>
      <c r="AX569" s="49" t="s">
        <v>311</v>
      </c>
      <c r="AY569" s="48"/>
      <c r="AZ569" s="48" t="n">
        <v>46188</v>
      </c>
      <c r="BC569" s="49" t="s">
        <v>303</v>
      </c>
      <c r="BD569" s="48" t="n">
        <v>46244</v>
      </c>
      <c r="BE569" s="49" t="s">
        <v>2543</v>
      </c>
      <c r="BF569" s="49" t="s">
        <v>303</v>
      </c>
      <c r="BG569" s="48"/>
      <c r="BI569" s="48" t="n">
        <v>46244</v>
      </c>
      <c r="BJ569" s="48" t="n">
        <v>46195</v>
      </c>
      <c r="BK569" s="49" t="s">
        <v>312</v>
      </c>
      <c r="BL569" s="49" t="s">
        <v>313</v>
      </c>
      <c r="BM569" s="49" t="s">
        <v>310</v>
      </c>
      <c r="BN569" s="48"/>
      <c r="BO569" s="48"/>
      <c r="BP569" s="48"/>
      <c r="BQ569" s="49" t="s">
        <v>2544</v>
      </c>
      <c r="BR569" s="48" t="n">
        <v>46195</v>
      </c>
      <c r="BS569" s="49" t="s">
        <v>2545</v>
      </c>
      <c r="BT569" s="49" t="s">
        <v>312</v>
      </c>
      <c r="BU569" s="49" t="s">
        <v>313</v>
      </c>
      <c r="BV569" s="49" t="s">
        <v>303</v>
      </c>
      <c r="BX569" s="0" t="n">
        <v>1</v>
      </c>
      <c r="CC569" s="49" t="s">
        <v>315</v>
      </c>
      <c r="CD569" s="49" t="s">
        <v>303</v>
      </c>
      <c r="CF569" s="49" t="s">
        <v>303</v>
      </c>
      <c r="CG569" s="49" t="s">
        <v>316</v>
      </c>
      <c r="CH569" s="49" t="s">
        <v>317</v>
      </c>
      <c r="CI569" s="49" t="s">
        <v>318</v>
      </c>
      <c r="CM569" s="49" t="s">
        <v>492</v>
      </c>
      <c r="CV569" s="49" t="s">
        <v>303</v>
      </c>
      <c r="DB569" s="49" t="s">
        <v>319</v>
      </c>
      <c r="DD569" s="48" t="n">
        <v>46178</v>
      </c>
      <c r="DF569" s="49" t="s">
        <v>310</v>
      </c>
      <c r="DG569" s="49" t="s">
        <v>320</v>
      </c>
      <c r="DH569" s="49" t="s">
        <v>75</v>
      </c>
      <c r="DI569" s="49" t="s">
        <v>298</v>
      </c>
      <c r="DJ569" s="49" t="s">
        <v>495</v>
      </c>
      <c r="DK569" s="49" t="s">
        <v>322</v>
      </c>
      <c r="DL569" s="49" t="s">
        <v>323</v>
      </c>
      <c r="DM569" s="49" t="s">
        <v>303</v>
      </c>
      <c r="DN569" s="49" t="s">
        <v>297</v>
      </c>
      <c r="DO569" s="48"/>
      <c r="DP569" s="49" t="s">
        <v>312</v>
      </c>
      <c r="DQ569" s="48"/>
      <c r="DR569" s="49" t="s">
        <v>312</v>
      </c>
      <c r="DS569" s="49" t="s">
        <v>303</v>
      </c>
      <c r="DT569" s="49" t="s">
        <v>303</v>
      </c>
      <c r="DW569" s="49" t="s">
        <v>303</v>
      </c>
      <c r="EA569" s="49" t="s">
        <v>324</v>
      </c>
      <c r="EB569" s="49" t="s">
        <v>303</v>
      </c>
      <c r="EH569" s="49" t="s">
        <v>310</v>
      </c>
      <c r="EJ569" s="49" t="s">
        <v>303</v>
      </c>
      <c r="EK569" s="49" t="s">
        <v>2546</v>
      </c>
      <c r="EM569" s="49" t="s">
        <v>303</v>
      </c>
      <c r="EN569" s="49" t="s">
        <v>497</v>
      </c>
      <c r="EP569" s="49" t="s">
        <v>298</v>
      </c>
      <c r="EQ569" s="0" t="n">
        <v>1</v>
      </c>
      <c r="ER569" s="49" t="s">
        <v>328</v>
      </c>
      <c r="ES569" s="49" t="s">
        <v>329</v>
      </c>
      <c r="ET569" s="49" t="s">
        <v>310</v>
      </c>
      <c r="EU569" s="49" t="s">
        <v>310</v>
      </c>
      <c r="EV569" s="49" t="s">
        <v>310</v>
      </c>
      <c r="EX569" s="49" t="s">
        <v>303</v>
      </c>
      <c r="EY569" s="49" t="s">
        <v>303</v>
      </c>
      <c r="FC569" s="49" t="s">
        <v>330</v>
      </c>
      <c r="FD569" s="49" t="s">
        <v>310</v>
      </c>
      <c r="FE569" s="49" t="s">
        <v>310</v>
      </c>
      <c r="FF569" s="49" t="s">
        <v>75</v>
      </c>
      <c r="FG569" s="49" t="s">
        <v>498</v>
      </c>
      <c r="FH569" s="49" t="s">
        <v>310</v>
      </c>
      <c r="FI569" s="49" t="s">
        <v>332</v>
      </c>
      <c r="FJ569" s="49" t="s">
        <v>303</v>
      </c>
      <c r="FL569" s="49" t="s">
        <v>325</v>
      </c>
      <c r="FM569" s="49" t="s">
        <v>2015</v>
      </c>
      <c r="FP569" s="49" t="s">
        <v>303</v>
      </c>
      <c r="FR569" s="49" t="s">
        <v>303</v>
      </c>
      <c r="FT569" s="49" t="s">
        <v>325</v>
      </c>
      <c r="FU569" s="49" t="s">
        <v>325</v>
      </c>
      <c r="FW569" s="49" t="s">
        <v>333</v>
      </c>
      <c r="FX569" s="49" t="s">
        <v>499</v>
      </c>
    </row>
    <row r="570" customFormat="false" ht="15" hidden="false" customHeight="false" outlineLevel="0" collapsed="false">
      <c r="A570" s="0" t="n">
        <v>100867154</v>
      </c>
      <c r="B570" s="0" t="s">
        <v>295</v>
      </c>
      <c r="C570" s="0" t="s">
        <v>77</v>
      </c>
      <c r="D570" s="0" t="s">
        <v>500</v>
      </c>
      <c r="E570" s="0" t="s">
        <v>297</v>
      </c>
      <c r="G570" s="0" t="n">
        <v>1</v>
      </c>
      <c r="H570" s="0" t="s">
        <v>298</v>
      </c>
      <c r="I570" s="48" t="n">
        <v>46190</v>
      </c>
      <c r="J570" s="0" t="n">
        <v>1</v>
      </c>
      <c r="K570" s="49" t="s">
        <v>2540</v>
      </c>
      <c r="L570" s="49" t="s">
        <v>1035</v>
      </c>
      <c r="M570" s="48" t="n">
        <v>46241</v>
      </c>
      <c r="N570" s="49" t="s">
        <v>2082</v>
      </c>
      <c r="O570" s="49" t="s">
        <v>1052</v>
      </c>
      <c r="P570" s="48"/>
      <c r="Q570" s="48" t="n">
        <v>46190</v>
      </c>
      <c r="R570" s="48" t="n">
        <v>46197</v>
      </c>
      <c r="T570" s="49" t="s">
        <v>302</v>
      </c>
      <c r="U570" s="49" t="s">
        <v>303</v>
      </c>
      <c r="Y570" s="49" t="s">
        <v>2547</v>
      </c>
      <c r="AD570" s="49" t="s">
        <v>305</v>
      </c>
      <c r="AE570" s="48" t="n">
        <v>46178</v>
      </c>
      <c r="AF570" s="49" t="s">
        <v>306</v>
      </c>
      <c r="AG570" s="49" t="s">
        <v>307</v>
      </c>
      <c r="AK570" s="49" t="s">
        <v>1047</v>
      </c>
      <c r="AL570" s="49" t="s">
        <v>297</v>
      </c>
      <c r="AO570" s="49" t="s">
        <v>303</v>
      </c>
      <c r="AP570" s="48"/>
      <c r="AR570" s="49" t="s">
        <v>303</v>
      </c>
      <c r="AS570" s="49" t="s">
        <v>306</v>
      </c>
      <c r="AT570" s="49" t="s">
        <v>2548</v>
      </c>
      <c r="AV570" s="49" t="s">
        <v>309</v>
      </c>
      <c r="AW570" s="49" t="s">
        <v>310</v>
      </c>
      <c r="AX570" s="49" t="s">
        <v>311</v>
      </c>
      <c r="AY570" s="48"/>
      <c r="AZ570" s="48" t="n">
        <v>46188</v>
      </c>
      <c r="BC570" s="49" t="s">
        <v>303</v>
      </c>
      <c r="BD570" s="48" t="n">
        <v>46243</v>
      </c>
      <c r="BE570" s="49" t="s">
        <v>2549</v>
      </c>
      <c r="BF570" s="49" t="s">
        <v>303</v>
      </c>
      <c r="BG570" s="48"/>
      <c r="BI570" s="48" t="n">
        <v>46243</v>
      </c>
      <c r="BJ570" s="48" t="n">
        <v>46195</v>
      </c>
      <c r="BK570" s="49" t="s">
        <v>312</v>
      </c>
      <c r="BL570" s="49" t="s">
        <v>313</v>
      </c>
      <c r="BM570" s="49" t="s">
        <v>310</v>
      </c>
      <c r="BN570" s="48"/>
      <c r="BO570" s="48"/>
      <c r="BP570" s="48"/>
      <c r="BQ570" s="49" t="s">
        <v>2544</v>
      </c>
      <c r="BR570" s="48" t="n">
        <v>46195</v>
      </c>
      <c r="BS570" s="49" t="s">
        <v>2550</v>
      </c>
      <c r="BT570" s="49" t="s">
        <v>312</v>
      </c>
      <c r="BU570" s="49" t="s">
        <v>313</v>
      </c>
      <c r="BV570" s="49" t="s">
        <v>303</v>
      </c>
      <c r="BX570" s="0" t="n">
        <v>1</v>
      </c>
      <c r="CC570" s="49" t="s">
        <v>315</v>
      </c>
      <c r="CD570" s="49" t="s">
        <v>303</v>
      </c>
      <c r="CF570" s="49" t="s">
        <v>303</v>
      </c>
      <c r="CG570" s="49" t="s">
        <v>316</v>
      </c>
      <c r="CH570" s="49" t="s">
        <v>317</v>
      </c>
      <c r="CI570" s="49" t="s">
        <v>318</v>
      </c>
      <c r="CM570" s="49" t="s">
        <v>500</v>
      </c>
      <c r="CV570" s="49" t="s">
        <v>303</v>
      </c>
      <c r="DB570" s="49" t="s">
        <v>319</v>
      </c>
      <c r="DD570" s="48" t="n">
        <v>46178</v>
      </c>
      <c r="DF570" s="49" t="s">
        <v>310</v>
      </c>
      <c r="DG570" s="49" t="s">
        <v>320</v>
      </c>
      <c r="DH570" s="49" t="s">
        <v>77</v>
      </c>
      <c r="DI570" s="49" t="s">
        <v>298</v>
      </c>
      <c r="DJ570" s="49" t="s">
        <v>495</v>
      </c>
      <c r="DK570" s="49" t="s">
        <v>322</v>
      </c>
      <c r="DL570" s="49" t="s">
        <v>323</v>
      </c>
      <c r="DM570" s="49" t="s">
        <v>303</v>
      </c>
      <c r="DN570" s="49" t="s">
        <v>297</v>
      </c>
      <c r="DO570" s="48"/>
      <c r="DP570" s="49" t="s">
        <v>312</v>
      </c>
      <c r="DQ570" s="48"/>
      <c r="DR570" s="49" t="s">
        <v>312</v>
      </c>
      <c r="DS570" s="49" t="s">
        <v>303</v>
      </c>
      <c r="DT570" s="49" t="s">
        <v>303</v>
      </c>
      <c r="DW570" s="49" t="s">
        <v>303</v>
      </c>
      <c r="EA570" s="49" t="s">
        <v>324</v>
      </c>
      <c r="EB570" s="49" t="s">
        <v>303</v>
      </c>
      <c r="EH570" s="49" t="s">
        <v>310</v>
      </c>
      <c r="EJ570" s="49" t="s">
        <v>303</v>
      </c>
      <c r="EK570" s="49" t="s">
        <v>2551</v>
      </c>
      <c r="EM570" s="49" t="s">
        <v>303</v>
      </c>
      <c r="EN570" s="49" t="s">
        <v>504</v>
      </c>
      <c r="EP570" s="49" t="s">
        <v>298</v>
      </c>
      <c r="EQ570" s="0" t="n">
        <v>1</v>
      </c>
      <c r="ER570" s="49" t="s">
        <v>328</v>
      </c>
      <c r="ES570" s="49" t="s">
        <v>329</v>
      </c>
      <c r="ET570" s="49" t="s">
        <v>310</v>
      </c>
      <c r="EU570" s="49" t="s">
        <v>310</v>
      </c>
      <c r="EV570" s="49" t="s">
        <v>310</v>
      </c>
      <c r="EX570" s="49" t="s">
        <v>303</v>
      </c>
      <c r="EY570" s="49" t="s">
        <v>303</v>
      </c>
      <c r="FC570" s="49" t="s">
        <v>330</v>
      </c>
      <c r="FD570" s="49" t="s">
        <v>310</v>
      </c>
      <c r="FE570" s="49" t="s">
        <v>310</v>
      </c>
      <c r="FF570" s="49" t="s">
        <v>77</v>
      </c>
      <c r="FG570" s="49" t="s">
        <v>505</v>
      </c>
      <c r="FH570" s="49" t="s">
        <v>310</v>
      </c>
      <c r="FI570" s="49" t="s">
        <v>332</v>
      </c>
      <c r="FJ570" s="49" t="s">
        <v>303</v>
      </c>
      <c r="FL570" s="49" t="s">
        <v>325</v>
      </c>
      <c r="FM570" s="49" t="s">
        <v>2100</v>
      </c>
      <c r="FP570" s="49" t="s">
        <v>303</v>
      </c>
      <c r="FR570" s="49" t="s">
        <v>303</v>
      </c>
      <c r="FT570" s="49" t="s">
        <v>325</v>
      </c>
      <c r="FU570" s="49" t="s">
        <v>325</v>
      </c>
      <c r="FW570" s="49" t="s">
        <v>333</v>
      </c>
      <c r="FX570" s="49" t="s">
        <v>499</v>
      </c>
    </row>
    <row r="571" customFormat="false" ht="15" hidden="false" customHeight="false" outlineLevel="0" collapsed="false">
      <c r="A571" s="0" t="n">
        <v>100867155</v>
      </c>
      <c r="B571" s="0" t="s">
        <v>295</v>
      </c>
      <c r="C571" s="0" t="s">
        <v>79</v>
      </c>
      <c r="D571" s="0" t="s">
        <v>506</v>
      </c>
      <c r="E571" s="0" t="s">
        <v>297</v>
      </c>
      <c r="G571" s="0" t="n">
        <v>1</v>
      </c>
      <c r="H571" s="0" t="s">
        <v>298</v>
      </c>
      <c r="I571" s="48" t="n">
        <v>46190</v>
      </c>
      <c r="J571" s="0" t="n">
        <v>1</v>
      </c>
      <c r="K571" s="49" t="s">
        <v>2540</v>
      </c>
      <c r="L571" s="49" t="s">
        <v>1035</v>
      </c>
      <c r="M571" s="48" t="n">
        <v>46258</v>
      </c>
      <c r="N571" s="49" t="s">
        <v>2082</v>
      </c>
      <c r="O571" s="49" t="s">
        <v>1052</v>
      </c>
      <c r="P571" s="48"/>
      <c r="Q571" s="48" t="n">
        <v>46190</v>
      </c>
      <c r="R571" s="48" t="n">
        <v>46197</v>
      </c>
      <c r="T571" s="49" t="s">
        <v>302</v>
      </c>
      <c r="U571" s="49" t="s">
        <v>303</v>
      </c>
      <c r="Y571" s="49" t="s">
        <v>2552</v>
      </c>
      <c r="AD571" s="49" t="s">
        <v>305</v>
      </c>
      <c r="AE571" s="48" t="n">
        <v>46178</v>
      </c>
      <c r="AF571" s="49" t="s">
        <v>306</v>
      </c>
      <c r="AG571" s="49" t="s">
        <v>307</v>
      </c>
      <c r="AK571" s="49" t="s">
        <v>1047</v>
      </c>
      <c r="AL571" s="49" t="s">
        <v>297</v>
      </c>
      <c r="AO571" s="49" t="s">
        <v>303</v>
      </c>
      <c r="AP571" s="48"/>
      <c r="AR571" s="49" t="s">
        <v>303</v>
      </c>
      <c r="AS571" s="49" t="s">
        <v>306</v>
      </c>
      <c r="AT571" s="49" t="s">
        <v>2553</v>
      </c>
      <c r="AV571" s="49" t="s">
        <v>309</v>
      </c>
      <c r="AW571" s="49" t="s">
        <v>310</v>
      </c>
      <c r="AX571" s="49" t="s">
        <v>311</v>
      </c>
      <c r="AY571" s="48"/>
      <c r="AZ571" s="48" t="n">
        <v>46188</v>
      </c>
      <c r="BC571" s="49" t="s">
        <v>303</v>
      </c>
      <c r="BD571" s="48" t="n">
        <v>46259</v>
      </c>
      <c r="BE571" s="49" t="s">
        <v>2554</v>
      </c>
      <c r="BF571" s="49" t="s">
        <v>303</v>
      </c>
      <c r="BG571" s="48"/>
      <c r="BI571" s="48" t="n">
        <v>46259</v>
      </c>
      <c r="BJ571" s="48" t="n">
        <v>46195</v>
      </c>
      <c r="BK571" s="49" t="s">
        <v>312</v>
      </c>
      <c r="BL571" s="49" t="s">
        <v>313</v>
      </c>
      <c r="BM571" s="49" t="s">
        <v>310</v>
      </c>
      <c r="BN571" s="48"/>
      <c r="BO571" s="48"/>
      <c r="BP571" s="48"/>
      <c r="BQ571" s="49" t="s">
        <v>2544</v>
      </c>
      <c r="BR571" s="48" t="n">
        <v>46195</v>
      </c>
      <c r="BS571" s="49" t="s">
        <v>2555</v>
      </c>
      <c r="BT571" s="49" t="s">
        <v>312</v>
      </c>
      <c r="BU571" s="49" t="s">
        <v>313</v>
      </c>
      <c r="BV571" s="49" t="s">
        <v>303</v>
      </c>
      <c r="BX571" s="0" t="n">
        <v>1</v>
      </c>
      <c r="CC571" s="49" t="s">
        <v>315</v>
      </c>
      <c r="CD571" s="49" t="s">
        <v>303</v>
      </c>
      <c r="CF571" s="49" t="s">
        <v>303</v>
      </c>
      <c r="CG571" s="49" t="s">
        <v>316</v>
      </c>
      <c r="CH571" s="49" t="s">
        <v>317</v>
      </c>
      <c r="CI571" s="49" t="s">
        <v>318</v>
      </c>
      <c r="CM571" s="49" t="s">
        <v>506</v>
      </c>
      <c r="CV571" s="49" t="s">
        <v>303</v>
      </c>
      <c r="DB571" s="49" t="s">
        <v>319</v>
      </c>
      <c r="DD571" s="48" t="n">
        <v>46178</v>
      </c>
      <c r="DF571" s="49" t="s">
        <v>310</v>
      </c>
      <c r="DG571" s="49" t="s">
        <v>320</v>
      </c>
      <c r="DH571" s="49" t="s">
        <v>79</v>
      </c>
      <c r="DI571" s="49" t="s">
        <v>298</v>
      </c>
      <c r="DJ571" s="49" t="s">
        <v>495</v>
      </c>
      <c r="DK571" s="49" t="s">
        <v>322</v>
      </c>
      <c r="DL571" s="49" t="s">
        <v>323</v>
      </c>
      <c r="DM571" s="49" t="s">
        <v>303</v>
      </c>
      <c r="DN571" s="49" t="s">
        <v>297</v>
      </c>
      <c r="DO571" s="48"/>
      <c r="DP571" s="49" t="s">
        <v>312</v>
      </c>
      <c r="DQ571" s="48"/>
      <c r="DR571" s="49" t="s">
        <v>312</v>
      </c>
      <c r="DS571" s="49" t="s">
        <v>303</v>
      </c>
      <c r="DT571" s="49" t="s">
        <v>303</v>
      </c>
      <c r="DW571" s="49" t="s">
        <v>303</v>
      </c>
      <c r="EA571" s="49" t="s">
        <v>324</v>
      </c>
      <c r="EB571" s="49" t="s">
        <v>303</v>
      </c>
      <c r="EH571" s="49" t="s">
        <v>310</v>
      </c>
      <c r="EJ571" s="49" t="s">
        <v>303</v>
      </c>
      <c r="EK571" s="49" t="s">
        <v>2556</v>
      </c>
      <c r="EM571" s="49" t="s">
        <v>303</v>
      </c>
      <c r="EN571" s="49" t="s">
        <v>510</v>
      </c>
      <c r="EP571" s="49" t="s">
        <v>298</v>
      </c>
      <c r="EQ571" s="0" t="n">
        <v>1</v>
      </c>
      <c r="ER571" s="49" t="s">
        <v>328</v>
      </c>
      <c r="ES571" s="49" t="s">
        <v>329</v>
      </c>
      <c r="ET571" s="49" t="s">
        <v>310</v>
      </c>
      <c r="EU571" s="49" t="s">
        <v>310</v>
      </c>
      <c r="EV571" s="49" t="s">
        <v>310</v>
      </c>
      <c r="EX571" s="49" t="s">
        <v>303</v>
      </c>
      <c r="EY571" s="49" t="s">
        <v>303</v>
      </c>
      <c r="FC571" s="49" t="s">
        <v>330</v>
      </c>
      <c r="FD571" s="49" t="s">
        <v>310</v>
      </c>
      <c r="FE571" s="49" t="s">
        <v>310</v>
      </c>
      <c r="FF571" s="49" t="s">
        <v>79</v>
      </c>
      <c r="FG571" s="49" t="s">
        <v>511</v>
      </c>
      <c r="FH571" s="49" t="s">
        <v>310</v>
      </c>
      <c r="FI571" s="49" t="s">
        <v>332</v>
      </c>
      <c r="FJ571" s="49" t="s">
        <v>303</v>
      </c>
      <c r="FL571" s="49" t="s">
        <v>325</v>
      </c>
      <c r="FM571" s="49" t="s">
        <v>1834</v>
      </c>
      <c r="FP571" s="49" t="s">
        <v>303</v>
      </c>
      <c r="FR571" s="49" t="s">
        <v>303</v>
      </c>
      <c r="FT571" s="49" t="s">
        <v>325</v>
      </c>
      <c r="FU571" s="49" t="s">
        <v>325</v>
      </c>
      <c r="FW571" s="49" t="s">
        <v>333</v>
      </c>
      <c r="FX571" s="49" t="s">
        <v>499</v>
      </c>
    </row>
    <row r="572" customFormat="false" ht="15" hidden="false" customHeight="false" outlineLevel="0" collapsed="false">
      <c r="A572" s="0" t="n">
        <v>100866605</v>
      </c>
      <c r="B572" s="0" t="s">
        <v>295</v>
      </c>
      <c r="C572" s="0" t="s">
        <v>53</v>
      </c>
      <c r="D572" s="0" t="s">
        <v>54</v>
      </c>
      <c r="E572" s="0" t="s">
        <v>297</v>
      </c>
      <c r="G572" s="0" t="n">
        <v>1</v>
      </c>
      <c r="H572" s="0" t="s">
        <v>298</v>
      </c>
      <c r="I572" s="48" t="n">
        <v>46188</v>
      </c>
      <c r="J572" s="0" t="n">
        <v>1</v>
      </c>
      <c r="K572" s="49" t="s">
        <v>2557</v>
      </c>
      <c r="L572" s="49" t="s">
        <v>300</v>
      </c>
      <c r="M572" s="48" t="n">
        <v>46222</v>
      </c>
      <c r="N572" s="49" t="s">
        <v>1035</v>
      </c>
      <c r="O572" s="49" t="s">
        <v>1052</v>
      </c>
      <c r="P572" s="48"/>
      <c r="Q572" s="48" t="n">
        <v>46185</v>
      </c>
      <c r="R572" s="48" t="n">
        <v>46192</v>
      </c>
      <c r="T572" s="49" t="s">
        <v>302</v>
      </c>
      <c r="U572" s="49" t="s">
        <v>303</v>
      </c>
      <c r="Y572" s="49" t="s">
        <v>2558</v>
      </c>
      <c r="AD572" s="49" t="s">
        <v>305</v>
      </c>
      <c r="AE572" s="48" t="n">
        <v>46161</v>
      </c>
      <c r="AF572" s="49" t="s">
        <v>306</v>
      </c>
      <c r="AG572" s="49" t="s">
        <v>307</v>
      </c>
      <c r="AK572" s="49" t="s">
        <v>1047</v>
      </c>
      <c r="AL572" s="49" t="s">
        <v>297</v>
      </c>
      <c r="AO572" s="49" t="s">
        <v>303</v>
      </c>
      <c r="AP572" s="48"/>
      <c r="AR572" s="49" t="s">
        <v>303</v>
      </c>
      <c r="AS572" s="49" t="s">
        <v>306</v>
      </c>
      <c r="AT572" s="49" t="s">
        <v>2559</v>
      </c>
      <c r="AV572" s="49" t="s">
        <v>309</v>
      </c>
      <c r="AW572" s="49" t="s">
        <v>310</v>
      </c>
      <c r="AX572" s="49" t="s">
        <v>311</v>
      </c>
      <c r="AY572" s="48"/>
      <c r="AZ572" s="48" t="n">
        <v>46183</v>
      </c>
      <c r="BC572" s="49" t="s">
        <v>303</v>
      </c>
      <c r="BD572" s="48" t="n">
        <v>46222</v>
      </c>
      <c r="BE572" s="49" t="s">
        <v>1222</v>
      </c>
      <c r="BF572" s="49" t="s">
        <v>303</v>
      </c>
      <c r="BG572" s="48"/>
      <c r="BI572" s="48" t="n">
        <v>46222</v>
      </c>
      <c r="BJ572" s="48" t="n">
        <v>46190</v>
      </c>
      <c r="BK572" s="49" t="s">
        <v>312</v>
      </c>
      <c r="BL572" s="49" t="s">
        <v>313</v>
      </c>
      <c r="BM572" s="49" t="s">
        <v>310</v>
      </c>
      <c r="BN572" s="48"/>
      <c r="BO572" s="48"/>
      <c r="BP572" s="48"/>
      <c r="BQ572" s="49" t="s">
        <v>2557</v>
      </c>
      <c r="BR572" s="48" t="n">
        <v>46190</v>
      </c>
      <c r="BS572" s="49" t="s">
        <v>2560</v>
      </c>
      <c r="BT572" s="49" t="s">
        <v>312</v>
      </c>
      <c r="BU572" s="49" t="s">
        <v>313</v>
      </c>
      <c r="BV572" s="49" t="s">
        <v>303</v>
      </c>
      <c r="BX572" s="0" t="n">
        <v>1</v>
      </c>
      <c r="CC572" s="49" t="s">
        <v>315</v>
      </c>
      <c r="CD572" s="49" t="s">
        <v>303</v>
      </c>
      <c r="CF572" s="49" t="s">
        <v>303</v>
      </c>
      <c r="CG572" s="49" t="s">
        <v>316</v>
      </c>
      <c r="CH572" s="49" t="s">
        <v>317</v>
      </c>
      <c r="CI572" s="49" t="s">
        <v>318</v>
      </c>
      <c r="CM572" s="49" t="s">
        <v>54</v>
      </c>
      <c r="CV572" s="49" t="s">
        <v>303</v>
      </c>
      <c r="DB572" s="49" t="s">
        <v>319</v>
      </c>
      <c r="DD572" s="48" t="n">
        <v>46161</v>
      </c>
      <c r="DF572" s="49" t="s">
        <v>310</v>
      </c>
      <c r="DG572" s="49" t="s">
        <v>320</v>
      </c>
      <c r="DH572" s="49" t="s">
        <v>53</v>
      </c>
      <c r="DI572" s="49" t="s">
        <v>298</v>
      </c>
      <c r="DJ572" s="49" t="s">
        <v>355</v>
      </c>
      <c r="DK572" s="49" t="s">
        <v>322</v>
      </c>
      <c r="DL572" s="49" t="s">
        <v>323</v>
      </c>
      <c r="DM572" s="49" t="s">
        <v>303</v>
      </c>
      <c r="DN572" s="49" t="s">
        <v>297</v>
      </c>
      <c r="DO572" s="48"/>
      <c r="DP572" s="49" t="s">
        <v>312</v>
      </c>
      <c r="DQ572" s="48"/>
      <c r="DR572" s="49" t="s">
        <v>312</v>
      </c>
      <c r="DS572" s="49" t="s">
        <v>303</v>
      </c>
      <c r="DT572" s="49" t="s">
        <v>303</v>
      </c>
      <c r="DW572" s="49" t="s">
        <v>303</v>
      </c>
      <c r="EA572" s="49" t="s">
        <v>324</v>
      </c>
      <c r="EB572" s="49" t="s">
        <v>303</v>
      </c>
      <c r="EH572" s="49" t="s">
        <v>310</v>
      </c>
      <c r="EJ572" s="49" t="s">
        <v>303</v>
      </c>
      <c r="EK572" s="49" t="s">
        <v>2561</v>
      </c>
      <c r="EM572" s="49" t="s">
        <v>303</v>
      </c>
      <c r="EN572" s="49" t="s">
        <v>357</v>
      </c>
      <c r="EP572" s="49" t="s">
        <v>298</v>
      </c>
      <c r="EQ572" s="0" t="n">
        <v>1</v>
      </c>
      <c r="ER572" s="49" t="s">
        <v>328</v>
      </c>
      <c r="ES572" s="49" t="s">
        <v>358</v>
      </c>
      <c r="ET572" s="49" t="s">
        <v>310</v>
      </c>
      <c r="EU572" s="49" t="s">
        <v>310</v>
      </c>
      <c r="EV572" s="49" t="s">
        <v>310</v>
      </c>
      <c r="EX572" s="49" t="s">
        <v>303</v>
      </c>
      <c r="EY572" s="49" t="s">
        <v>303</v>
      </c>
      <c r="FC572" s="49" t="s">
        <v>330</v>
      </c>
      <c r="FD572" s="49" t="s">
        <v>310</v>
      </c>
      <c r="FE572" s="49" t="s">
        <v>310</v>
      </c>
      <c r="FF572" s="49" t="s">
        <v>53</v>
      </c>
      <c r="FG572" s="49" t="s">
        <v>359</v>
      </c>
      <c r="FH572" s="49" t="s">
        <v>310</v>
      </c>
      <c r="FI572" s="49" t="s">
        <v>332</v>
      </c>
      <c r="FJ572" s="49" t="s">
        <v>303</v>
      </c>
      <c r="FL572" s="49" t="s">
        <v>325</v>
      </c>
      <c r="FM572" s="49" t="s">
        <v>2562</v>
      </c>
      <c r="FP572" s="49" t="s">
        <v>303</v>
      </c>
      <c r="FR572" s="49" t="s">
        <v>303</v>
      </c>
      <c r="FT572" s="49" t="s">
        <v>325</v>
      </c>
      <c r="FU572" s="49" t="s">
        <v>325</v>
      </c>
      <c r="FW572" s="49" t="s">
        <v>333</v>
      </c>
    </row>
    <row r="573" customFormat="false" ht="15" hidden="false" customHeight="false" outlineLevel="0" collapsed="false">
      <c r="A573" s="0" t="n">
        <v>100866606</v>
      </c>
      <c r="B573" s="0" t="s">
        <v>295</v>
      </c>
      <c r="C573" s="0" t="s">
        <v>53</v>
      </c>
      <c r="D573" s="0" t="s">
        <v>54</v>
      </c>
      <c r="E573" s="0" t="s">
        <v>297</v>
      </c>
      <c r="G573" s="0" t="n">
        <v>1</v>
      </c>
      <c r="H573" s="0" t="s">
        <v>298</v>
      </c>
      <c r="I573" s="48" t="n">
        <v>46188</v>
      </c>
      <c r="J573" s="0" t="n">
        <v>1</v>
      </c>
      <c r="K573" s="49" t="s">
        <v>2557</v>
      </c>
      <c r="L573" s="49" t="s">
        <v>300</v>
      </c>
      <c r="M573" s="48"/>
      <c r="O573" s="49" t="s">
        <v>1052</v>
      </c>
      <c r="P573" s="48"/>
      <c r="Q573" s="48" t="n">
        <v>46185</v>
      </c>
      <c r="R573" s="48" t="n">
        <v>46191</v>
      </c>
      <c r="T573" s="49" t="s">
        <v>302</v>
      </c>
      <c r="U573" s="49" t="s">
        <v>303</v>
      </c>
      <c r="Y573" s="49" t="s">
        <v>312</v>
      </c>
      <c r="AD573" s="49" t="s">
        <v>305</v>
      </c>
      <c r="AE573" s="48" t="n">
        <v>46161</v>
      </c>
      <c r="AF573" s="49" t="s">
        <v>306</v>
      </c>
      <c r="AG573" s="49" t="s">
        <v>307</v>
      </c>
      <c r="AK573" s="49" t="s">
        <v>1047</v>
      </c>
      <c r="AL573" s="49" t="s">
        <v>297</v>
      </c>
      <c r="AO573" s="49" t="s">
        <v>303</v>
      </c>
      <c r="AP573" s="48"/>
      <c r="AR573" s="49" t="s">
        <v>303</v>
      </c>
      <c r="AS573" s="49" t="s">
        <v>306</v>
      </c>
      <c r="AT573" s="49" t="s">
        <v>2563</v>
      </c>
      <c r="AV573" s="49" t="s">
        <v>309</v>
      </c>
      <c r="AW573" s="49" t="s">
        <v>310</v>
      </c>
      <c r="AX573" s="49" t="s">
        <v>311</v>
      </c>
      <c r="AY573" s="48"/>
      <c r="AZ573" s="48" t="n">
        <v>46177</v>
      </c>
      <c r="BC573" s="49" t="s">
        <v>303</v>
      </c>
      <c r="BD573" s="48" t="n">
        <v>46223</v>
      </c>
      <c r="BE573" s="49" t="s">
        <v>2564</v>
      </c>
      <c r="BF573" s="49" t="s">
        <v>303</v>
      </c>
      <c r="BG573" s="48"/>
      <c r="BI573" s="48" t="n">
        <v>46223</v>
      </c>
      <c r="BJ573" s="48" t="n">
        <v>46190</v>
      </c>
      <c r="BK573" s="49" t="s">
        <v>313</v>
      </c>
      <c r="BL573" s="49" t="s">
        <v>313</v>
      </c>
      <c r="BM573" s="49" t="s">
        <v>310</v>
      </c>
      <c r="BN573" s="48"/>
      <c r="BO573" s="48"/>
      <c r="BP573" s="48"/>
      <c r="BQ573" s="49" t="s">
        <v>2557</v>
      </c>
      <c r="BR573" s="48" t="n">
        <v>46184</v>
      </c>
      <c r="BS573" s="49" t="s">
        <v>2565</v>
      </c>
      <c r="BT573" s="49" t="s">
        <v>312</v>
      </c>
      <c r="BU573" s="49" t="s">
        <v>312</v>
      </c>
      <c r="BV573" s="49" t="s">
        <v>303</v>
      </c>
      <c r="BX573" s="0" t="n">
        <v>1</v>
      </c>
      <c r="CC573" s="49" t="s">
        <v>315</v>
      </c>
      <c r="CD573" s="49" t="s">
        <v>303</v>
      </c>
      <c r="CF573" s="49" t="s">
        <v>303</v>
      </c>
      <c r="CG573" s="49" t="s">
        <v>316</v>
      </c>
      <c r="CH573" s="49" t="s">
        <v>317</v>
      </c>
      <c r="CI573" s="49" t="s">
        <v>318</v>
      </c>
      <c r="CM573" s="49" t="s">
        <v>54</v>
      </c>
      <c r="CV573" s="49" t="s">
        <v>303</v>
      </c>
      <c r="DB573" s="49" t="s">
        <v>319</v>
      </c>
      <c r="DD573" s="48" t="n">
        <v>46161</v>
      </c>
      <c r="DF573" s="49" t="s">
        <v>310</v>
      </c>
      <c r="DG573" s="49" t="s">
        <v>320</v>
      </c>
      <c r="DH573" s="49" t="s">
        <v>53</v>
      </c>
      <c r="DI573" s="49" t="s">
        <v>298</v>
      </c>
      <c r="DJ573" s="49" t="s">
        <v>355</v>
      </c>
      <c r="DK573" s="49" t="s">
        <v>322</v>
      </c>
      <c r="DL573" s="49" t="s">
        <v>323</v>
      </c>
      <c r="DM573" s="49" t="s">
        <v>303</v>
      </c>
      <c r="DN573" s="49" t="s">
        <v>297</v>
      </c>
      <c r="DO573" s="48"/>
      <c r="DP573" s="49" t="s">
        <v>312</v>
      </c>
      <c r="DQ573" s="48"/>
      <c r="DR573" s="49" t="s">
        <v>312</v>
      </c>
      <c r="DS573" s="49" t="s">
        <v>303</v>
      </c>
      <c r="DT573" s="49" t="s">
        <v>303</v>
      </c>
      <c r="DW573" s="49" t="s">
        <v>303</v>
      </c>
      <c r="EA573" s="49" t="s">
        <v>324</v>
      </c>
      <c r="EB573" s="49" t="s">
        <v>303</v>
      </c>
      <c r="EF573" s="49" t="s">
        <v>2566</v>
      </c>
      <c r="EH573" s="49" t="s">
        <v>310</v>
      </c>
      <c r="EJ573" s="49" t="s">
        <v>303</v>
      </c>
      <c r="EK573" s="49" t="s">
        <v>2567</v>
      </c>
      <c r="EM573" s="49" t="s">
        <v>303</v>
      </c>
      <c r="EN573" s="49" t="s">
        <v>357</v>
      </c>
      <c r="EP573" s="49" t="s">
        <v>298</v>
      </c>
      <c r="EQ573" s="0" t="n">
        <v>1</v>
      </c>
      <c r="ER573" s="49" t="s">
        <v>328</v>
      </c>
      <c r="ES573" s="49" t="s">
        <v>358</v>
      </c>
      <c r="ET573" s="49" t="s">
        <v>310</v>
      </c>
      <c r="EU573" s="49" t="s">
        <v>310</v>
      </c>
      <c r="EV573" s="49" t="s">
        <v>310</v>
      </c>
      <c r="EX573" s="49" t="s">
        <v>303</v>
      </c>
      <c r="EY573" s="49" t="s">
        <v>303</v>
      </c>
      <c r="FC573" s="49" t="s">
        <v>330</v>
      </c>
      <c r="FD573" s="49" t="s">
        <v>310</v>
      </c>
      <c r="FE573" s="49" t="s">
        <v>310</v>
      </c>
      <c r="FF573" s="49" t="s">
        <v>53</v>
      </c>
      <c r="FG573" s="49" t="s">
        <v>359</v>
      </c>
      <c r="FH573" s="49" t="s">
        <v>310</v>
      </c>
      <c r="FI573" s="49" t="s">
        <v>332</v>
      </c>
      <c r="FJ573" s="49" t="s">
        <v>303</v>
      </c>
      <c r="FL573" s="49" t="s">
        <v>325</v>
      </c>
      <c r="FM573" s="49" t="s">
        <v>2557</v>
      </c>
      <c r="FP573" s="49" t="s">
        <v>303</v>
      </c>
      <c r="FR573" s="49" t="s">
        <v>303</v>
      </c>
      <c r="FT573" s="49" t="s">
        <v>325</v>
      </c>
      <c r="FU573" s="49" t="s">
        <v>325</v>
      </c>
      <c r="FW573" s="49" t="s">
        <v>333</v>
      </c>
    </row>
    <row r="574" customFormat="false" ht="15" hidden="false" customHeight="false" outlineLevel="0" collapsed="false">
      <c r="A574" s="0" t="n">
        <v>100866548</v>
      </c>
      <c r="B574" s="0" t="s">
        <v>295</v>
      </c>
      <c r="C574" s="0" t="s">
        <v>64</v>
      </c>
      <c r="D574" s="0" t="s">
        <v>65</v>
      </c>
      <c r="E574" s="0" t="s">
        <v>297</v>
      </c>
      <c r="G574" s="0" t="n">
        <v>1</v>
      </c>
      <c r="H574" s="0" t="s">
        <v>298</v>
      </c>
      <c r="I574" s="48" t="n">
        <v>46187</v>
      </c>
      <c r="J574" s="0" t="n">
        <v>1</v>
      </c>
      <c r="K574" s="49" t="s">
        <v>2568</v>
      </c>
      <c r="L574" s="49" t="s">
        <v>1035</v>
      </c>
      <c r="M574" s="48" t="n">
        <v>46187</v>
      </c>
      <c r="N574" s="49" t="s">
        <v>1204</v>
      </c>
      <c r="O574" s="49" t="s">
        <v>1045</v>
      </c>
      <c r="P574" s="48"/>
      <c r="Q574" s="48" t="n">
        <v>46187</v>
      </c>
      <c r="R574" s="48" t="n">
        <v>46194</v>
      </c>
      <c r="T574" s="49" t="s">
        <v>302</v>
      </c>
      <c r="U574" s="49" t="s">
        <v>303</v>
      </c>
      <c r="Y574" s="49" t="s">
        <v>2569</v>
      </c>
      <c r="AD574" s="49" t="s">
        <v>305</v>
      </c>
      <c r="AE574" s="48" t="n">
        <v>46169</v>
      </c>
      <c r="AF574" s="49" t="s">
        <v>306</v>
      </c>
      <c r="AG574" s="49" t="s">
        <v>307</v>
      </c>
      <c r="AK574" s="49" t="s">
        <v>1047</v>
      </c>
      <c r="AL574" s="49" t="s">
        <v>297</v>
      </c>
      <c r="AO574" s="49" t="s">
        <v>303</v>
      </c>
      <c r="AP574" s="48"/>
      <c r="AR574" s="49" t="s">
        <v>303</v>
      </c>
      <c r="AS574" s="49" t="s">
        <v>306</v>
      </c>
      <c r="AT574" s="49" t="s">
        <v>2570</v>
      </c>
      <c r="AV574" s="49" t="s">
        <v>309</v>
      </c>
      <c r="AW574" s="49" t="s">
        <v>310</v>
      </c>
      <c r="AX574" s="49" t="s">
        <v>311</v>
      </c>
      <c r="AY574" s="48"/>
      <c r="AZ574" s="48" t="n">
        <v>46184</v>
      </c>
      <c r="BC574" s="49" t="s">
        <v>303</v>
      </c>
      <c r="BD574" s="48" t="n">
        <v>46188</v>
      </c>
      <c r="BE574" s="49" t="s">
        <v>2571</v>
      </c>
      <c r="BF574" s="49" t="s">
        <v>303</v>
      </c>
      <c r="BG574" s="48"/>
      <c r="BI574" s="48" t="n">
        <v>46188</v>
      </c>
      <c r="BJ574" s="48" t="n">
        <v>46191</v>
      </c>
      <c r="BK574" s="49" t="s">
        <v>312</v>
      </c>
      <c r="BL574" s="49" t="s">
        <v>313</v>
      </c>
      <c r="BM574" s="49" t="s">
        <v>310</v>
      </c>
      <c r="BN574" s="48"/>
      <c r="BO574" s="48"/>
      <c r="BP574" s="48"/>
      <c r="BQ574" s="49" t="s">
        <v>2568</v>
      </c>
      <c r="BR574" s="48" t="n">
        <v>46191</v>
      </c>
      <c r="BS574" s="49" t="s">
        <v>2572</v>
      </c>
      <c r="BT574" s="49" t="s">
        <v>312</v>
      </c>
      <c r="BU574" s="49" t="s">
        <v>313</v>
      </c>
      <c r="BV574" s="49" t="s">
        <v>303</v>
      </c>
      <c r="BX574" s="0" t="n">
        <v>1</v>
      </c>
      <c r="CC574" s="49" t="s">
        <v>315</v>
      </c>
      <c r="CD574" s="49" t="s">
        <v>303</v>
      </c>
      <c r="CF574" s="49" t="s">
        <v>303</v>
      </c>
      <c r="CG574" s="49" t="s">
        <v>316</v>
      </c>
      <c r="CH574" s="49" t="s">
        <v>317</v>
      </c>
      <c r="CI574" s="49" t="s">
        <v>318</v>
      </c>
      <c r="CM574" s="49" t="s">
        <v>65</v>
      </c>
      <c r="CV574" s="49" t="s">
        <v>303</v>
      </c>
      <c r="DB574" s="49" t="s">
        <v>319</v>
      </c>
      <c r="DD574" s="48" t="n">
        <v>46169</v>
      </c>
      <c r="DF574" s="49" t="s">
        <v>310</v>
      </c>
      <c r="DG574" s="49" t="s">
        <v>320</v>
      </c>
      <c r="DH574" s="49" t="s">
        <v>64</v>
      </c>
      <c r="DI574" s="49" t="s">
        <v>298</v>
      </c>
      <c r="DJ574" s="49" t="s">
        <v>394</v>
      </c>
      <c r="DK574" s="49" t="s">
        <v>322</v>
      </c>
      <c r="DL574" s="49" t="s">
        <v>323</v>
      </c>
      <c r="DM574" s="49" t="s">
        <v>303</v>
      </c>
      <c r="DN574" s="49" t="s">
        <v>297</v>
      </c>
      <c r="DO574" s="48"/>
      <c r="DP574" s="49" t="s">
        <v>312</v>
      </c>
      <c r="DQ574" s="48"/>
      <c r="DR574" s="49" t="s">
        <v>312</v>
      </c>
      <c r="DS574" s="49" t="s">
        <v>303</v>
      </c>
      <c r="DT574" s="49" t="s">
        <v>303</v>
      </c>
      <c r="DW574" s="49" t="s">
        <v>303</v>
      </c>
      <c r="EA574" s="49" t="s">
        <v>324</v>
      </c>
      <c r="EB574" s="49" t="s">
        <v>303</v>
      </c>
      <c r="EH574" s="49" t="s">
        <v>310</v>
      </c>
      <c r="EJ574" s="49" t="s">
        <v>303</v>
      </c>
      <c r="EK574" s="49" t="s">
        <v>2573</v>
      </c>
      <c r="EM574" s="49" t="s">
        <v>303</v>
      </c>
      <c r="EN574" s="49" t="s">
        <v>396</v>
      </c>
      <c r="EP574" s="49" t="s">
        <v>298</v>
      </c>
      <c r="EQ574" s="0" t="n">
        <v>1</v>
      </c>
      <c r="ER574" s="49" t="s">
        <v>328</v>
      </c>
      <c r="ES574" s="49" t="s">
        <v>329</v>
      </c>
      <c r="ET574" s="49" t="s">
        <v>310</v>
      </c>
      <c r="EU574" s="49" t="s">
        <v>310</v>
      </c>
      <c r="EV574" s="49" t="s">
        <v>310</v>
      </c>
      <c r="EX574" s="49" t="s">
        <v>303</v>
      </c>
      <c r="EY574" s="49" t="s">
        <v>303</v>
      </c>
      <c r="FC574" s="49" t="s">
        <v>330</v>
      </c>
      <c r="FD574" s="49" t="s">
        <v>310</v>
      </c>
      <c r="FE574" s="49" t="s">
        <v>310</v>
      </c>
      <c r="FF574" s="49" t="s">
        <v>64</v>
      </c>
      <c r="FG574" s="49" t="s">
        <v>397</v>
      </c>
      <c r="FH574" s="49" t="s">
        <v>310</v>
      </c>
      <c r="FI574" s="49" t="s">
        <v>332</v>
      </c>
      <c r="FJ574" s="49" t="s">
        <v>303</v>
      </c>
      <c r="FL574" s="49" t="s">
        <v>325</v>
      </c>
      <c r="FM574" s="49" t="s">
        <v>2568</v>
      </c>
      <c r="FP574" s="49" t="s">
        <v>303</v>
      </c>
      <c r="FR574" s="49" t="s">
        <v>303</v>
      </c>
      <c r="FT574" s="49" t="s">
        <v>325</v>
      </c>
      <c r="FU574" s="49" t="s">
        <v>325</v>
      </c>
      <c r="FW574" s="49" t="s">
        <v>333</v>
      </c>
    </row>
    <row r="575" customFormat="false" ht="15" hidden="false" customHeight="false" outlineLevel="0" collapsed="false">
      <c r="A575" s="0" t="n">
        <v>100866549</v>
      </c>
      <c r="B575" s="0" t="s">
        <v>295</v>
      </c>
      <c r="C575" s="0" t="s">
        <v>64</v>
      </c>
      <c r="D575" s="0" t="s">
        <v>65</v>
      </c>
      <c r="E575" s="0" t="s">
        <v>297</v>
      </c>
      <c r="G575" s="0" t="n">
        <v>1</v>
      </c>
      <c r="H575" s="0" t="s">
        <v>298</v>
      </c>
      <c r="I575" s="48" t="n">
        <v>46187</v>
      </c>
      <c r="J575" s="0" t="n">
        <v>1</v>
      </c>
      <c r="K575" s="49" t="s">
        <v>2568</v>
      </c>
      <c r="L575" s="49" t="s">
        <v>1035</v>
      </c>
      <c r="M575" s="48" t="n">
        <v>46187</v>
      </c>
      <c r="N575" s="49" t="s">
        <v>1204</v>
      </c>
      <c r="O575" s="49" t="s">
        <v>1045</v>
      </c>
      <c r="P575" s="48"/>
      <c r="Q575" s="48" t="n">
        <v>46187</v>
      </c>
      <c r="R575" s="48" t="n">
        <v>46193</v>
      </c>
      <c r="T575" s="49" t="s">
        <v>302</v>
      </c>
      <c r="U575" s="49" t="s">
        <v>303</v>
      </c>
      <c r="Y575" s="49" t="s">
        <v>2574</v>
      </c>
      <c r="AD575" s="49" t="s">
        <v>305</v>
      </c>
      <c r="AE575" s="48" t="n">
        <v>46169</v>
      </c>
      <c r="AF575" s="49" t="s">
        <v>306</v>
      </c>
      <c r="AG575" s="49" t="s">
        <v>307</v>
      </c>
      <c r="AK575" s="49" t="s">
        <v>1047</v>
      </c>
      <c r="AL575" s="49" t="s">
        <v>297</v>
      </c>
      <c r="AO575" s="49" t="s">
        <v>303</v>
      </c>
      <c r="AP575" s="48"/>
      <c r="AR575" s="49" t="s">
        <v>303</v>
      </c>
      <c r="AS575" s="49" t="s">
        <v>306</v>
      </c>
      <c r="AT575" s="49" t="s">
        <v>2575</v>
      </c>
      <c r="AV575" s="49" t="s">
        <v>309</v>
      </c>
      <c r="AW575" s="49" t="s">
        <v>310</v>
      </c>
      <c r="AX575" s="49" t="s">
        <v>311</v>
      </c>
      <c r="AY575" s="48"/>
      <c r="AZ575" s="48" t="n">
        <v>46184</v>
      </c>
      <c r="BC575" s="49" t="s">
        <v>303</v>
      </c>
      <c r="BD575" s="48" t="n">
        <v>46188</v>
      </c>
      <c r="BE575" s="49" t="s">
        <v>2576</v>
      </c>
      <c r="BF575" s="49" t="s">
        <v>303</v>
      </c>
      <c r="BG575" s="48"/>
      <c r="BI575" s="48" t="n">
        <v>46188</v>
      </c>
      <c r="BJ575" s="48" t="n">
        <v>46191</v>
      </c>
      <c r="BK575" s="49" t="s">
        <v>313</v>
      </c>
      <c r="BL575" s="49" t="s">
        <v>313</v>
      </c>
      <c r="BM575" s="49" t="s">
        <v>310</v>
      </c>
      <c r="BN575" s="48"/>
      <c r="BO575" s="48"/>
      <c r="BP575" s="48"/>
      <c r="BQ575" s="49" t="s">
        <v>2568</v>
      </c>
      <c r="BR575" s="48" t="n">
        <v>46191</v>
      </c>
      <c r="BS575" s="49" t="s">
        <v>2577</v>
      </c>
      <c r="BT575" s="49" t="s">
        <v>312</v>
      </c>
      <c r="BU575" s="49" t="s">
        <v>313</v>
      </c>
      <c r="BV575" s="49" t="s">
        <v>303</v>
      </c>
      <c r="BX575" s="0" t="n">
        <v>1</v>
      </c>
      <c r="CC575" s="49" t="s">
        <v>315</v>
      </c>
      <c r="CD575" s="49" t="s">
        <v>303</v>
      </c>
      <c r="CF575" s="49" t="s">
        <v>303</v>
      </c>
      <c r="CG575" s="49" t="s">
        <v>316</v>
      </c>
      <c r="CH575" s="49" t="s">
        <v>317</v>
      </c>
      <c r="CI575" s="49" t="s">
        <v>318</v>
      </c>
      <c r="CM575" s="49" t="s">
        <v>65</v>
      </c>
      <c r="CV575" s="49" t="s">
        <v>303</v>
      </c>
      <c r="DB575" s="49" t="s">
        <v>319</v>
      </c>
      <c r="DD575" s="48" t="n">
        <v>46169</v>
      </c>
      <c r="DF575" s="49" t="s">
        <v>310</v>
      </c>
      <c r="DG575" s="49" t="s">
        <v>320</v>
      </c>
      <c r="DH575" s="49" t="s">
        <v>64</v>
      </c>
      <c r="DI575" s="49" t="s">
        <v>298</v>
      </c>
      <c r="DJ575" s="49" t="s">
        <v>394</v>
      </c>
      <c r="DK575" s="49" t="s">
        <v>322</v>
      </c>
      <c r="DL575" s="49" t="s">
        <v>323</v>
      </c>
      <c r="DM575" s="49" t="s">
        <v>303</v>
      </c>
      <c r="DN575" s="49" t="s">
        <v>297</v>
      </c>
      <c r="DO575" s="48"/>
      <c r="DP575" s="49" t="s">
        <v>312</v>
      </c>
      <c r="DQ575" s="48"/>
      <c r="DR575" s="49" t="s">
        <v>312</v>
      </c>
      <c r="DS575" s="49" t="s">
        <v>303</v>
      </c>
      <c r="DT575" s="49" t="s">
        <v>303</v>
      </c>
      <c r="DW575" s="49" t="s">
        <v>303</v>
      </c>
      <c r="EA575" s="49" t="s">
        <v>324</v>
      </c>
      <c r="EB575" s="49" t="s">
        <v>303</v>
      </c>
      <c r="EF575" s="49" t="s">
        <v>2578</v>
      </c>
      <c r="EH575" s="49" t="s">
        <v>310</v>
      </c>
      <c r="EJ575" s="49" t="s">
        <v>303</v>
      </c>
      <c r="EK575" s="49" t="s">
        <v>2579</v>
      </c>
      <c r="EM575" s="49" t="s">
        <v>303</v>
      </c>
      <c r="EN575" s="49" t="s">
        <v>396</v>
      </c>
      <c r="EP575" s="49" t="s">
        <v>298</v>
      </c>
      <c r="EQ575" s="0" t="n">
        <v>1</v>
      </c>
      <c r="ER575" s="49" t="s">
        <v>328</v>
      </c>
      <c r="ES575" s="49" t="s">
        <v>329</v>
      </c>
      <c r="ET575" s="49" t="s">
        <v>310</v>
      </c>
      <c r="EU575" s="49" t="s">
        <v>310</v>
      </c>
      <c r="EV575" s="49" t="s">
        <v>310</v>
      </c>
      <c r="EX575" s="49" t="s">
        <v>303</v>
      </c>
      <c r="EY575" s="49" t="s">
        <v>303</v>
      </c>
      <c r="FC575" s="49" t="s">
        <v>330</v>
      </c>
      <c r="FD575" s="49" t="s">
        <v>310</v>
      </c>
      <c r="FE575" s="49" t="s">
        <v>310</v>
      </c>
      <c r="FF575" s="49" t="s">
        <v>64</v>
      </c>
      <c r="FG575" s="49" t="s">
        <v>397</v>
      </c>
      <c r="FH575" s="49" t="s">
        <v>310</v>
      </c>
      <c r="FI575" s="49" t="s">
        <v>332</v>
      </c>
      <c r="FJ575" s="49" t="s">
        <v>303</v>
      </c>
      <c r="FL575" s="49" t="s">
        <v>325</v>
      </c>
      <c r="FM575" s="49" t="s">
        <v>2568</v>
      </c>
      <c r="FP575" s="49" t="s">
        <v>303</v>
      </c>
      <c r="FR575" s="49" t="s">
        <v>303</v>
      </c>
      <c r="FT575" s="49" t="s">
        <v>325</v>
      </c>
      <c r="FU575" s="49" t="s">
        <v>325</v>
      </c>
      <c r="FW575" s="49" t="s">
        <v>333</v>
      </c>
    </row>
    <row r="576" customFormat="false" ht="15" hidden="false" customHeight="false" outlineLevel="0" collapsed="false">
      <c r="A576" s="0" t="n">
        <v>100865789</v>
      </c>
      <c r="B576" s="0" t="s">
        <v>295</v>
      </c>
      <c r="C576" s="0" t="s">
        <v>56</v>
      </c>
      <c r="D576" s="0" t="s">
        <v>57</v>
      </c>
      <c r="E576" s="0" t="s">
        <v>297</v>
      </c>
      <c r="G576" s="0" t="n">
        <v>1</v>
      </c>
      <c r="H576" s="0" t="s">
        <v>298</v>
      </c>
      <c r="I576" s="48" t="n">
        <v>46182</v>
      </c>
      <c r="J576" s="0" t="n">
        <v>1</v>
      </c>
      <c r="K576" s="49" t="s">
        <v>2580</v>
      </c>
      <c r="L576" s="49" t="s">
        <v>1035</v>
      </c>
      <c r="M576" s="48" t="n">
        <v>46225</v>
      </c>
      <c r="N576" s="49" t="s">
        <v>2082</v>
      </c>
      <c r="O576" s="49" t="s">
        <v>1052</v>
      </c>
      <c r="P576" s="48"/>
      <c r="Q576" s="48" t="n">
        <v>46182</v>
      </c>
      <c r="R576" s="48" t="n">
        <v>46189</v>
      </c>
      <c r="T576" s="49" t="s">
        <v>302</v>
      </c>
      <c r="U576" s="49" t="s">
        <v>303</v>
      </c>
      <c r="Y576" s="49" t="s">
        <v>2581</v>
      </c>
      <c r="AD576" s="49" t="s">
        <v>305</v>
      </c>
      <c r="AE576" s="48" t="n">
        <v>46171</v>
      </c>
      <c r="AF576" s="49" t="s">
        <v>306</v>
      </c>
      <c r="AG576" s="49" t="s">
        <v>307</v>
      </c>
      <c r="AK576" s="49" t="s">
        <v>1047</v>
      </c>
      <c r="AL576" s="49" t="s">
        <v>297</v>
      </c>
      <c r="AO576" s="49" t="s">
        <v>303</v>
      </c>
      <c r="AP576" s="48"/>
      <c r="AR576" s="49" t="s">
        <v>303</v>
      </c>
      <c r="AS576" s="49" t="s">
        <v>306</v>
      </c>
      <c r="AT576" s="49" t="s">
        <v>2582</v>
      </c>
      <c r="AV576" s="49" t="s">
        <v>309</v>
      </c>
      <c r="AW576" s="49" t="s">
        <v>310</v>
      </c>
      <c r="AX576" s="49" t="s">
        <v>311</v>
      </c>
      <c r="AY576" s="48"/>
      <c r="AZ576" s="48" t="n">
        <v>46174</v>
      </c>
      <c r="BC576" s="49" t="s">
        <v>303</v>
      </c>
      <c r="BD576" s="48" t="n">
        <v>46230</v>
      </c>
      <c r="BE576" s="49" t="s">
        <v>2583</v>
      </c>
      <c r="BF576" s="49" t="s">
        <v>303</v>
      </c>
      <c r="BG576" s="48"/>
      <c r="BI576" s="48" t="n">
        <v>46230</v>
      </c>
      <c r="BJ576" s="48" t="n">
        <v>46187</v>
      </c>
      <c r="BK576" s="49" t="s">
        <v>312</v>
      </c>
      <c r="BL576" s="49" t="s">
        <v>313</v>
      </c>
      <c r="BM576" s="49" t="s">
        <v>310</v>
      </c>
      <c r="BN576" s="48"/>
      <c r="BO576" s="48"/>
      <c r="BP576" s="48"/>
      <c r="BQ576" s="49" t="s">
        <v>2580</v>
      </c>
      <c r="BR576" s="48" t="n">
        <v>46181</v>
      </c>
      <c r="BS576" s="49" t="s">
        <v>2584</v>
      </c>
      <c r="BT576" s="49" t="s">
        <v>312</v>
      </c>
      <c r="BU576" s="49" t="s">
        <v>312</v>
      </c>
      <c r="BV576" s="49" t="s">
        <v>303</v>
      </c>
      <c r="BX576" s="0" t="n">
        <v>1</v>
      </c>
      <c r="CC576" s="49" t="s">
        <v>315</v>
      </c>
      <c r="CD576" s="49" t="s">
        <v>303</v>
      </c>
      <c r="CF576" s="49" t="s">
        <v>303</v>
      </c>
      <c r="CG576" s="49" t="s">
        <v>316</v>
      </c>
      <c r="CH576" s="49" t="s">
        <v>317</v>
      </c>
      <c r="CI576" s="49" t="s">
        <v>318</v>
      </c>
      <c r="CM576" s="49" t="s">
        <v>57</v>
      </c>
      <c r="CV576" s="49" t="s">
        <v>303</v>
      </c>
      <c r="DB576" s="49" t="s">
        <v>319</v>
      </c>
      <c r="DD576" s="48" t="n">
        <v>46171</v>
      </c>
      <c r="DF576" s="49" t="s">
        <v>310</v>
      </c>
      <c r="DG576" s="49" t="s">
        <v>320</v>
      </c>
      <c r="DH576" s="49" t="s">
        <v>56</v>
      </c>
      <c r="DI576" s="49" t="s">
        <v>298</v>
      </c>
      <c r="DJ576" s="49" t="s">
        <v>367</v>
      </c>
      <c r="DK576" s="49" t="s">
        <v>322</v>
      </c>
      <c r="DL576" s="49" t="s">
        <v>323</v>
      </c>
      <c r="DM576" s="49" t="s">
        <v>303</v>
      </c>
      <c r="DN576" s="49" t="s">
        <v>297</v>
      </c>
      <c r="DO576" s="48"/>
      <c r="DP576" s="49" t="s">
        <v>312</v>
      </c>
      <c r="DQ576" s="48"/>
      <c r="DR576" s="49" t="s">
        <v>312</v>
      </c>
      <c r="DS576" s="49" t="s">
        <v>303</v>
      </c>
      <c r="DT576" s="49" t="s">
        <v>303</v>
      </c>
      <c r="DW576" s="49" t="s">
        <v>303</v>
      </c>
      <c r="EA576" s="49" t="s">
        <v>324</v>
      </c>
      <c r="EB576" s="49" t="s">
        <v>303</v>
      </c>
      <c r="EH576" s="49" t="s">
        <v>310</v>
      </c>
      <c r="EJ576" s="49" t="s">
        <v>303</v>
      </c>
      <c r="EK576" s="49" t="s">
        <v>2585</v>
      </c>
      <c r="EM576" s="49" t="s">
        <v>303</v>
      </c>
      <c r="EN576" s="49" t="s">
        <v>369</v>
      </c>
      <c r="EP576" s="49" t="s">
        <v>298</v>
      </c>
      <c r="EQ576" s="0" t="n">
        <v>1</v>
      </c>
      <c r="ER576" s="49" t="s">
        <v>328</v>
      </c>
      <c r="ES576" s="49" t="s">
        <v>342</v>
      </c>
      <c r="ET576" s="49" t="s">
        <v>310</v>
      </c>
      <c r="EU576" s="49" t="s">
        <v>310</v>
      </c>
      <c r="EV576" s="49" t="s">
        <v>310</v>
      </c>
      <c r="EX576" s="49" t="s">
        <v>303</v>
      </c>
      <c r="EY576" s="49" t="s">
        <v>303</v>
      </c>
      <c r="FC576" s="49" t="s">
        <v>330</v>
      </c>
      <c r="FD576" s="49" t="s">
        <v>310</v>
      </c>
      <c r="FE576" s="49" t="s">
        <v>310</v>
      </c>
      <c r="FF576" s="49" t="s">
        <v>56</v>
      </c>
      <c r="FG576" s="49" t="s">
        <v>370</v>
      </c>
      <c r="FH576" s="49" t="s">
        <v>310</v>
      </c>
      <c r="FI576" s="49" t="s">
        <v>332</v>
      </c>
      <c r="FJ576" s="49" t="s">
        <v>303</v>
      </c>
      <c r="FL576" s="49" t="s">
        <v>325</v>
      </c>
      <c r="FM576" s="49" t="s">
        <v>2414</v>
      </c>
      <c r="FP576" s="49" t="s">
        <v>303</v>
      </c>
      <c r="FR576" s="49" t="s">
        <v>303</v>
      </c>
      <c r="FT576" s="49" t="s">
        <v>325</v>
      </c>
      <c r="FU576" s="49" t="s">
        <v>325</v>
      </c>
      <c r="FW576" s="49" t="s">
        <v>333</v>
      </c>
    </row>
    <row r="577" customFormat="false" ht="15" hidden="false" customHeight="false" outlineLevel="0" collapsed="false">
      <c r="A577" s="0" t="n">
        <v>100865797</v>
      </c>
      <c r="B577" s="0" t="s">
        <v>295</v>
      </c>
      <c r="C577" s="0" t="s">
        <v>58</v>
      </c>
      <c r="D577" s="0" t="s">
        <v>59</v>
      </c>
      <c r="E577" s="0" t="s">
        <v>297</v>
      </c>
      <c r="G577" s="0" t="n">
        <v>1</v>
      </c>
      <c r="H577" s="0" t="s">
        <v>298</v>
      </c>
      <c r="I577" s="48" t="n">
        <v>46182</v>
      </c>
      <c r="J577" s="0" t="n">
        <v>1</v>
      </c>
      <c r="K577" s="49" t="s">
        <v>2580</v>
      </c>
      <c r="L577" s="49" t="s">
        <v>1035</v>
      </c>
      <c r="M577" s="48" t="n">
        <v>46182</v>
      </c>
      <c r="N577" s="49" t="s">
        <v>1035</v>
      </c>
      <c r="O577" s="49" t="s">
        <v>1052</v>
      </c>
      <c r="P577" s="48"/>
      <c r="Q577" s="48" t="n">
        <v>46182</v>
      </c>
      <c r="R577" s="48" t="n">
        <v>46189</v>
      </c>
      <c r="T577" s="49" t="s">
        <v>302</v>
      </c>
      <c r="U577" s="49" t="s">
        <v>303</v>
      </c>
      <c r="Y577" s="49" t="s">
        <v>2586</v>
      </c>
      <c r="AD577" s="49" t="s">
        <v>305</v>
      </c>
      <c r="AE577" s="48" t="n">
        <v>46171</v>
      </c>
      <c r="AF577" s="49" t="s">
        <v>306</v>
      </c>
      <c r="AG577" s="49" t="s">
        <v>307</v>
      </c>
      <c r="AK577" s="49" t="s">
        <v>1047</v>
      </c>
      <c r="AL577" s="49" t="s">
        <v>297</v>
      </c>
      <c r="AO577" s="49" t="s">
        <v>303</v>
      </c>
      <c r="AP577" s="48"/>
      <c r="AR577" s="49" t="s">
        <v>303</v>
      </c>
      <c r="AS577" s="49" t="s">
        <v>306</v>
      </c>
      <c r="AT577" s="49" t="s">
        <v>2587</v>
      </c>
      <c r="AV577" s="49" t="s">
        <v>309</v>
      </c>
      <c r="AW577" s="49" t="s">
        <v>310</v>
      </c>
      <c r="AX577" s="49" t="s">
        <v>311</v>
      </c>
      <c r="AY577" s="48"/>
      <c r="AZ577" s="48" t="n">
        <v>46174</v>
      </c>
      <c r="BC577" s="49" t="s">
        <v>303</v>
      </c>
      <c r="BD577" s="48" t="n">
        <v>46219</v>
      </c>
      <c r="BE577" s="49" t="s">
        <v>2588</v>
      </c>
      <c r="BF577" s="49" t="s">
        <v>303</v>
      </c>
      <c r="BG577" s="48"/>
      <c r="BI577" s="48" t="n">
        <v>46219</v>
      </c>
      <c r="BJ577" s="48" t="n">
        <v>46187</v>
      </c>
      <c r="BK577" s="49" t="s">
        <v>312</v>
      </c>
      <c r="BL577" s="49" t="s">
        <v>313</v>
      </c>
      <c r="BM577" s="49" t="s">
        <v>310</v>
      </c>
      <c r="BN577" s="48"/>
      <c r="BO577" s="48"/>
      <c r="BP577" s="48"/>
      <c r="BQ577" s="49" t="s">
        <v>2580</v>
      </c>
      <c r="BR577" s="48" t="n">
        <v>46181</v>
      </c>
      <c r="BS577" s="49" t="s">
        <v>2589</v>
      </c>
      <c r="BT577" s="49" t="s">
        <v>312</v>
      </c>
      <c r="BU577" s="49" t="s">
        <v>312</v>
      </c>
      <c r="BV577" s="49" t="s">
        <v>303</v>
      </c>
      <c r="BX577" s="0" t="n">
        <v>1</v>
      </c>
      <c r="CC577" s="49" t="s">
        <v>315</v>
      </c>
      <c r="CD577" s="49" t="s">
        <v>303</v>
      </c>
      <c r="CF577" s="49" t="s">
        <v>303</v>
      </c>
      <c r="CG577" s="49" t="s">
        <v>316</v>
      </c>
      <c r="CH577" s="49" t="s">
        <v>317</v>
      </c>
      <c r="CI577" s="49" t="s">
        <v>318</v>
      </c>
      <c r="CM577" s="49" t="s">
        <v>59</v>
      </c>
      <c r="CV577" s="49" t="s">
        <v>303</v>
      </c>
      <c r="DB577" s="49" t="s">
        <v>319</v>
      </c>
      <c r="DD577" s="48" t="n">
        <v>46171</v>
      </c>
      <c r="DF577" s="49" t="s">
        <v>310</v>
      </c>
      <c r="DG577" s="49" t="s">
        <v>320</v>
      </c>
      <c r="DH577" s="49" t="s">
        <v>58</v>
      </c>
      <c r="DI577" s="49" t="s">
        <v>298</v>
      </c>
      <c r="DJ577" s="49" t="s">
        <v>367</v>
      </c>
      <c r="DK577" s="49" t="s">
        <v>322</v>
      </c>
      <c r="DL577" s="49" t="s">
        <v>323</v>
      </c>
      <c r="DM577" s="49" t="s">
        <v>303</v>
      </c>
      <c r="DN577" s="49" t="s">
        <v>297</v>
      </c>
      <c r="DO577" s="48"/>
      <c r="DP577" s="49" t="s">
        <v>312</v>
      </c>
      <c r="DQ577" s="48"/>
      <c r="DR577" s="49" t="s">
        <v>312</v>
      </c>
      <c r="DS577" s="49" t="s">
        <v>303</v>
      </c>
      <c r="DT577" s="49" t="s">
        <v>303</v>
      </c>
      <c r="DW577" s="49" t="s">
        <v>303</v>
      </c>
      <c r="EA577" s="49" t="s">
        <v>324</v>
      </c>
      <c r="EB577" s="49" t="s">
        <v>303</v>
      </c>
      <c r="EH577" s="49" t="s">
        <v>310</v>
      </c>
      <c r="EJ577" s="49" t="s">
        <v>303</v>
      </c>
      <c r="EK577" s="49" t="s">
        <v>2590</v>
      </c>
      <c r="EM577" s="49" t="s">
        <v>303</v>
      </c>
      <c r="EN577" s="49" t="s">
        <v>374</v>
      </c>
      <c r="EP577" s="49" t="s">
        <v>298</v>
      </c>
      <c r="EQ577" s="0" t="n">
        <v>1</v>
      </c>
      <c r="ER577" s="49" t="s">
        <v>328</v>
      </c>
      <c r="ES577" s="49" t="s">
        <v>342</v>
      </c>
      <c r="ET577" s="49" t="s">
        <v>310</v>
      </c>
      <c r="EU577" s="49" t="s">
        <v>310</v>
      </c>
      <c r="EV577" s="49" t="s">
        <v>310</v>
      </c>
      <c r="EX577" s="49" t="s">
        <v>303</v>
      </c>
      <c r="EY577" s="49" t="s">
        <v>303</v>
      </c>
      <c r="FC577" s="49" t="s">
        <v>330</v>
      </c>
      <c r="FD577" s="49" t="s">
        <v>310</v>
      </c>
      <c r="FE577" s="49" t="s">
        <v>310</v>
      </c>
      <c r="FF577" s="49" t="s">
        <v>58</v>
      </c>
      <c r="FG577" s="49" t="s">
        <v>375</v>
      </c>
      <c r="FH577" s="49" t="s">
        <v>310</v>
      </c>
      <c r="FI577" s="49" t="s">
        <v>332</v>
      </c>
      <c r="FJ577" s="49" t="s">
        <v>303</v>
      </c>
      <c r="FL577" s="49" t="s">
        <v>325</v>
      </c>
      <c r="FM577" s="49" t="s">
        <v>2580</v>
      </c>
      <c r="FP577" s="49" t="s">
        <v>303</v>
      </c>
      <c r="FR577" s="49" t="s">
        <v>303</v>
      </c>
      <c r="FT577" s="49" t="s">
        <v>325</v>
      </c>
      <c r="FU577" s="49" t="s">
        <v>325</v>
      </c>
      <c r="FW577" s="49" t="s">
        <v>333</v>
      </c>
    </row>
    <row r="578" customFormat="false" ht="15" hidden="false" customHeight="false" outlineLevel="0" collapsed="false">
      <c r="A578" s="0" t="n">
        <v>100865798</v>
      </c>
      <c r="B578" s="0" t="s">
        <v>295</v>
      </c>
      <c r="C578" s="0" t="s">
        <v>58</v>
      </c>
      <c r="D578" s="0" t="s">
        <v>59</v>
      </c>
      <c r="E578" s="0" t="s">
        <v>297</v>
      </c>
      <c r="G578" s="0" t="n">
        <v>1</v>
      </c>
      <c r="H578" s="0" t="s">
        <v>298</v>
      </c>
      <c r="I578" s="48" t="n">
        <v>46182</v>
      </c>
      <c r="J578" s="0" t="n">
        <v>1</v>
      </c>
      <c r="K578" s="49" t="s">
        <v>2580</v>
      </c>
      <c r="L578" s="49" t="s">
        <v>1035</v>
      </c>
      <c r="M578" s="48"/>
      <c r="O578" s="49" t="s">
        <v>1052</v>
      </c>
      <c r="P578" s="48"/>
      <c r="Q578" s="48" t="n">
        <v>46182</v>
      </c>
      <c r="R578" s="48" t="n">
        <v>46188</v>
      </c>
      <c r="T578" s="49" t="s">
        <v>302</v>
      </c>
      <c r="U578" s="49" t="s">
        <v>303</v>
      </c>
      <c r="Y578" s="49" t="s">
        <v>312</v>
      </c>
      <c r="AD578" s="49" t="s">
        <v>305</v>
      </c>
      <c r="AE578" s="48" t="n">
        <v>46171</v>
      </c>
      <c r="AF578" s="49" t="s">
        <v>306</v>
      </c>
      <c r="AG578" s="49" t="s">
        <v>307</v>
      </c>
      <c r="AK578" s="49" t="s">
        <v>1047</v>
      </c>
      <c r="AL578" s="49" t="s">
        <v>297</v>
      </c>
      <c r="AO578" s="49" t="s">
        <v>303</v>
      </c>
      <c r="AP578" s="48"/>
      <c r="AR578" s="49" t="s">
        <v>303</v>
      </c>
      <c r="AS578" s="49" t="s">
        <v>306</v>
      </c>
      <c r="AT578" s="49" t="s">
        <v>2591</v>
      </c>
      <c r="AV578" s="49" t="s">
        <v>309</v>
      </c>
      <c r="AW578" s="49" t="s">
        <v>310</v>
      </c>
      <c r="AX578" s="49" t="s">
        <v>311</v>
      </c>
      <c r="AY578" s="48"/>
      <c r="AZ578" s="48" t="n">
        <v>46174</v>
      </c>
      <c r="BC578" s="49" t="s">
        <v>303</v>
      </c>
      <c r="BD578" s="48" t="n">
        <v>46247</v>
      </c>
      <c r="BE578" s="49" t="s">
        <v>2592</v>
      </c>
      <c r="BF578" s="49" t="s">
        <v>303</v>
      </c>
      <c r="BG578" s="48"/>
      <c r="BI578" s="48" t="n">
        <v>46247</v>
      </c>
      <c r="BJ578" s="48" t="n">
        <v>46187</v>
      </c>
      <c r="BK578" s="49" t="s">
        <v>313</v>
      </c>
      <c r="BL578" s="49" t="s">
        <v>313</v>
      </c>
      <c r="BM578" s="49" t="s">
        <v>310</v>
      </c>
      <c r="BN578" s="48"/>
      <c r="BO578" s="48"/>
      <c r="BP578" s="48"/>
      <c r="BQ578" s="49" t="s">
        <v>2580</v>
      </c>
      <c r="BR578" s="48" t="n">
        <v>46181</v>
      </c>
      <c r="BS578" s="49" t="s">
        <v>2589</v>
      </c>
      <c r="BT578" s="49" t="s">
        <v>312</v>
      </c>
      <c r="BU578" s="49" t="s">
        <v>312</v>
      </c>
      <c r="BV578" s="49" t="s">
        <v>303</v>
      </c>
      <c r="BX578" s="0" t="n">
        <v>1</v>
      </c>
      <c r="CC578" s="49" t="s">
        <v>315</v>
      </c>
      <c r="CD578" s="49" t="s">
        <v>303</v>
      </c>
      <c r="CF578" s="49" t="s">
        <v>303</v>
      </c>
      <c r="CG578" s="49" t="s">
        <v>316</v>
      </c>
      <c r="CH578" s="49" t="s">
        <v>317</v>
      </c>
      <c r="CI578" s="49" t="s">
        <v>318</v>
      </c>
      <c r="CM578" s="49" t="s">
        <v>59</v>
      </c>
      <c r="CV578" s="49" t="s">
        <v>303</v>
      </c>
      <c r="DB578" s="49" t="s">
        <v>319</v>
      </c>
      <c r="DD578" s="48" t="n">
        <v>46171</v>
      </c>
      <c r="DF578" s="49" t="s">
        <v>310</v>
      </c>
      <c r="DG578" s="49" t="s">
        <v>320</v>
      </c>
      <c r="DH578" s="49" t="s">
        <v>58</v>
      </c>
      <c r="DI578" s="49" t="s">
        <v>298</v>
      </c>
      <c r="DJ578" s="49" t="s">
        <v>367</v>
      </c>
      <c r="DK578" s="49" t="s">
        <v>322</v>
      </c>
      <c r="DL578" s="49" t="s">
        <v>323</v>
      </c>
      <c r="DM578" s="49" t="s">
        <v>303</v>
      </c>
      <c r="DN578" s="49" t="s">
        <v>297</v>
      </c>
      <c r="DO578" s="48"/>
      <c r="DP578" s="49" t="s">
        <v>312</v>
      </c>
      <c r="DQ578" s="48"/>
      <c r="DR578" s="49" t="s">
        <v>312</v>
      </c>
      <c r="DS578" s="49" t="s">
        <v>303</v>
      </c>
      <c r="DT578" s="49" t="s">
        <v>303</v>
      </c>
      <c r="DW578" s="49" t="s">
        <v>303</v>
      </c>
      <c r="EA578" s="49" t="s">
        <v>324</v>
      </c>
      <c r="EB578" s="49" t="s">
        <v>303</v>
      </c>
      <c r="EF578" s="49" t="s">
        <v>2593</v>
      </c>
      <c r="EH578" s="49" t="s">
        <v>310</v>
      </c>
      <c r="EJ578" s="49" t="s">
        <v>303</v>
      </c>
      <c r="EK578" s="49" t="s">
        <v>2594</v>
      </c>
      <c r="EM578" s="49" t="s">
        <v>303</v>
      </c>
      <c r="EN578" s="49" t="s">
        <v>374</v>
      </c>
      <c r="EP578" s="49" t="s">
        <v>298</v>
      </c>
      <c r="EQ578" s="0" t="n">
        <v>1</v>
      </c>
      <c r="ER578" s="49" t="s">
        <v>328</v>
      </c>
      <c r="ES578" s="49" t="s">
        <v>342</v>
      </c>
      <c r="ET578" s="49" t="s">
        <v>310</v>
      </c>
      <c r="EU578" s="49" t="s">
        <v>310</v>
      </c>
      <c r="EV578" s="49" t="s">
        <v>310</v>
      </c>
      <c r="EX578" s="49" t="s">
        <v>303</v>
      </c>
      <c r="EY578" s="49" t="s">
        <v>303</v>
      </c>
      <c r="FC578" s="49" t="s">
        <v>330</v>
      </c>
      <c r="FD578" s="49" t="s">
        <v>310</v>
      </c>
      <c r="FE578" s="49" t="s">
        <v>310</v>
      </c>
      <c r="FF578" s="49" t="s">
        <v>58</v>
      </c>
      <c r="FG578" s="49" t="s">
        <v>375</v>
      </c>
      <c r="FH578" s="49" t="s">
        <v>310</v>
      </c>
      <c r="FI578" s="49" t="s">
        <v>332</v>
      </c>
      <c r="FJ578" s="49" t="s">
        <v>303</v>
      </c>
      <c r="FL578" s="49" t="s">
        <v>325</v>
      </c>
      <c r="FM578" s="49" t="s">
        <v>2580</v>
      </c>
      <c r="FP578" s="49" t="s">
        <v>303</v>
      </c>
      <c r="FR578" s="49" t="s">
        <v>303</v>
      </c>
      <c r="FT578" s="49" t="s">
        <v>325</v>
      </c>
      <c r="FU578" s="49" t="s">
        <v>325</v>
      </c>
      <c r="FW578" s="49" t="s">
        <v>333</v>
      </c>
    </row>
    <row r="579" customFormat="false" ht="15" hidden="false" customHeight="false" outlineLevel="0" collapsed="false">
      <c r="A579" s="0" t="n">
        <v>100865866</v>
      </c>
      <c r="B579" s="0" t="s">
        <v>295</v>
      </c>
      <c r="C579" s="0" t="s">
        <v>61</v>
      </c>
      <c r="D579" s="0" t="s">
        <v>62</v>
      </c>
      <c r="E579" s="0" t="s">
        <v>297</v>
      </c>
      <c r="G579" s="0" t="n">
        <v>1</v>
      </c>
      <c r="H579" s="0" t="s">
        <v>298</v>
      </c>
      <c r="I579" s="48" t="n">
        <v>46182</v>
      </c>
      <c r="J579" s="0" t="n">
        <v>1</v>
      </c>
      <c r="K579" s="49" t="s">
        <v>2580</v>
      </c>
      <c r="L579" s="49" t="s">
        <v>1035</v>
      </c>
      <c r="M579" s="48" t="n">
        <v>46182</v>
      </c>
      <c r="N579" s="49" t="s">
        <v>1035</v>
      </c>
      <c r="O579" s="49" t="s">
        <v>1045</v>
      </c>
      <c r="P579" s="48"/>
      <c r="Q579" s="48" t="n">
        <v>46182</v>
      </c>
      <c r="R579" s="48" t="n">
        <v>46189</v>
      </c>
      <c r="T579" s="49" t="s">
        <v>302</v>
      </c>
      <c r="U579" s="49" t="s">
        <v>303</v>
      </c>
      <c r="Y579" s="49" t="s">
        <v>2595</v>
      </c>
      <c r="AD579" s="49" t="s">
        <v>305</v>
      </c>
      <c r="AE579" s="48" t="n">
        <v>46171</v>
      </c>
      <c r="AF579" s="49" t="s">
        <v>306</v>
      </c>
      <c r="AG579" s="49" t="s">
        <v>307</v>
      </c>
      <c r="AK579" s="49" t="s">
        <v>1047</v>
      </c>
      <c r="AL579" s="49" t="s">
        <v>297</v>
      </c>
      <c r="AO579" s="49" t="s">
        <v>303</v>
      </c>
      <c r="AP579" s="48"/>
      <c r="AR579" s="49" t="s">
        <v>303</v>
      </c>
      <c r="AS579" s="49" t="s">
        <v>306</v>
      </c>
      <c r="AT579" s="49" t="s">
        <v>2596</v>
      </c>
      <c r="AW579" s="49" t="s">
        <v>310</v>
      </c>
      <c r="AX579" s="49" t="s">
        <v>311</v>
      </c>
      <c r="AY579" s="48"/>
      <c r="AZ579" s="48" t="n">
        <v>46178</v>
      </c>
      <c r="BC579" s="49" t="s">
        <v>303</v>
      </c>
      <c r="BD579" s="48" t="n">
        <v>46194</v>
      </c>
      <c r="BE579" s="49" t="s">
        <v>2597</v>
      </c>
      <c r="BF579" s="49" t="s">
        <v>303</v>
      </c>
      <c r="BG579" s="48"/>
      <c r="BI579" s="48" t="n">
        <v>46194</v>
      </c>
      <c r="BJ579" s="48" t="n">
        <v>46187</v>
      </c>
      <c r="BK579" s="49" t="s">
        <v>312</v>
      </c>
      <c r="BL579" s="49" t="s">
        <v>313</v>
      </c>
      <c r="BM579" s="49" t="s">
        <v>310</v>
      </c>
      <c r="BN579" s="48"/>
      <c r="BO579" s="48"/>
      <c r="BP579" s="48"/>
      <c r="BQ579" s="49" t="s">
        <v>2598</v>
      </c>
      <c r="BR579" s="48" t="n">
        <v>46187</v>
      </c>
      <c r="BS579" s="49" t="s">
        <v>2599</v>
      </c>
      <c r="BT579" s="49" t="s">
        <v>312</v>
      </c>
      <c r="BU579" s="49" t="s">
        <v>313</v>
      </c>
      <c r="BV579" s="49" t="s">
        <v>303</v>
      </c>
      <c r="BX579" s="0" t="n">
        <v>1</v>
      </c>
      <c r="CC579" s="49" t="s">
        <v>315</v>
      </c>
      <c r="CD579" s="49" t="s">
        <v>303</v>
      </c>
      <c r="CF579" s="49" t="s">
        <v>303</v>
      </c>
      <c r="CG579" s="49" t="s">
        <v>316</v>
      </c>
      <c r="CH579" s="49" t="s">
        <v>317</v>
      </c>
      <c r="CI579" s="49" t="s">
        <v>318</v>
      </c>
      <c r="CM579" s="49" t="s">
        <v>62</v>
      </c>
      <c r="CV579" s="49" t="s">
        <v>303</v>
      </c>
      <c r="DB579" s="49" t="s">
        <v>319</v>
      </c>
      <c r="DD579" s="48" t="n">
        <v>46171</v>
      </c>
      <c r="DF579" s="49" t="s">
        <v>310</v>
      </c>
      <c r="DG579" s="49" t="s">
        <v>320</v>
      </c>
      <c r="DH579" s="49" t="s">
        <v>61</v>
      </c>
      <c r="DI579" s="49" t="s">
        <v>298</v>
      </c>
      <c r="DJ579" s="49" t="s">
        <v>381</v>
      </c>
      <c r="DK579" s="49" t="s">
        <v>322</v>
      </c>
      <c r="DL579" s="49" t="s">
        <v>323</v>
      </c>
      <c r="DM579" s="49" t="s">
        <v>303</v>
      </c>
      <c r="DN579" s="49" t="s">
        <v>297</v>
      </c>
      <c r="DO579" s="48"/>
      <c r="DP579" s="49" t="s">
        <v>312</v>
      </c>
      <c r="DQ579" s="48"/>
      <c r="DR579" s="49" t="s">
        <v>312</v>
      </c>
      <c r="DS579" s="49" t="s">
        <v>303</v>
      </c>
      <c r="DT579" s="49" t="s">
        <v>303</v>
      </c>
      <c r="DW579" s="49" t="s">
        <v>303</v>
      </c>
      <c r="EA579" s="49" t="s">
        <v>324</v>
      </c>
      <c r="EB579" s="49" t="s">
        <v>303</v>
      </c>
      <c r="EH579" s="49" t="s">
        <v>310</v>
      </c>
      <c r="EJ579" s="49" t="s">
        <v>303</v>
      </c>
      <c r="EK579" s="49" t="s">
        <v>2600</v>
      </c>
      <c r="EM579" s="49" t="s">
        <v>303</v>
      </c>
      <c r="EN579" s="49" t="s">
        <v>383</v>
      </c>
      <c r="EP579" s="49" t="s">
        <v>298</v>
      </c>
      <c r="EQ579" s="0" t="n">
        <v>1</v>
      </c>
      <c r="ER579" s="49" t="s">
        <v>328</v>
      </c>
      <c r="ES579" s="49" t="s">
        <v>384</v>
      </c>
      <c r="ET579" s="49" t="s">
        <v>310</v>
      </c>
      <c r="EU579" s="49" t="s">
        <v>310</v>
      </c>
      <c r="EV579" s="49" t="s">
        <v>310</v>
      </c>
      <c r="EX579" s="49" t="s">
        <v>303</v>
      </c>
      <c r="EY579" s="49" t="s">
        <v>303</v>
      </c>
      <c r="FC579" s="49" t="s">
        <v>330</v>
      </c>
      <c r="FD579" s="49" t="s">
        <v>310</v>
      </c>
      <c r="FE579" s="49" t="s">
        <v>310</v>
      </c>
      <c r="FF579" s="49" t="s">
        <v>61</v>
      </c>
      <c r="FG579" s="49" t="s">
        <v>385</v>
      </c>
      <c r="FH579" s="49" t="s">
        <v>310</v>
      </c>
      <c r="FI579" s="49" t="s">
        <v>332</v>
      </c>
      <c r="FJ579" s="49" t="s">
        <v>303</v>
      </c>
      <c r="FL579" s="49" t="s">
        <v>325</v>
      </c>
      <c r="FM579" s="49" t="s">
        <v>2580</v>
      </c>
      <c r="FP579" s="49" t="s">
        <v>303</v>
      </c>
      <c r="FR579" s="49" t="s">
        <v>303</v>
      </c>
      <c r="FT579" s="49" t="s">
        <v>325</v>
      </c>
      <c r="FU579" s="49" t="s">
        <v>325</v>
      </c>
      <c r="FW579" s="49" t="s">
        <v>333</v>
      </c>
    </row>
    <row r="580" customFormat="false" ht="15" hidden="false" customHeight="false" outlineLevel="0" collapsed="false">
      <c r="A580" s="0" t="n">
        <v>100865867</v>
      </c>
      <c r="B580" s="0" t="s">
        <v>295</v>
      </c>
      <c r="C580" s="0" t="s">
        <v>61</v>
      </c>
      <c r="D580" s="0" t="s">
        <v>62</v>
      </c>
      <c r="E580" s="0" t="s">
        <v>297</v>
      </c>
      <c r="G580" s="0" t="n">
        <v>1</v>
      </c>
      <c r="H580" s="0" t="s">
        <v>298</v>
      </c>
      <c r="I580" s="48" t="n">
        <v>46182</v>
      </c>
      <c r="J580" s="0" t="n">
        <v>1</v>
      </c>
      <c r="K580" s="49" t="s">
        <v>2580</v>
      </c>
      <c r="L580" s="49" t="s">
        <v>1035</v>
      </c>
      <c r="M580" s="48"/>
      <c r="O580" s="49" t="s">
        <v>1045</v>
      </c>
      <c r="P580" s="48"/>
      <c r="Q580" s="48" t="n">
        <v>46182</v>
      </c>
      <c r="R580" s="48" t="n">
        <v>46188</v>
      </c>
      <c r="T580" s="49" t="s">
        <v>302</v>
      </c>
      <c r="U580" s="49" t="s">
        <v>303</v>
      </c>
      <c r="Y580" s="49" t="s">
        <v>312</v>
      </c>
      <c r="AD580" s="49" t="s">
        <v>305</v>
      </c>
      <c r="AE580" s="48" t="n">
        <v>46171</v>
      </c>
      <c r="AF580" s="49" t="s">
        <v>306</v>
      </c>
      <c r="AG580" s="49" t="s">
        <v>307</v>
      </c>
      <c r="AK580" s="49" t="s">
        <v>1047</v>
      </c>
      <c r="AL580" s="49" t="s">
        <v>297</v>
      </c>
      <c r="AO580" s="49" t="s">
        <v>303</v>
      </c>
      <c r="AP580" s="48"/>
      <c r="AR580" s="49" t="s">
        <v>303</v>
      </c>
      <c r="AS580" s="49" t="s">
        <v>306</v>
      </c>
      <c r="AT580" s="49" t="s">
        <v>2601</v>
      </c>
      <c r="AW580" s="49" t="s">
        <v>310</v>
      </c>
      <c r="AX580" s="49" t="s">
        <v>311</v>
      </c>
      <c r="AY580" s="48"/>
      <c r="AZ580" s="48" t="n">
        <v>46178</v>
      </c>
      <c r="BC580" s="49" t="s">
        <v>303</v>
      </c>
      <c r="BD580" s="48" t="n">
        <v>46198</v>
      </c>
      <c r="BE580" s="49" t="s">
        <v>2602</v>
      </c>
      <c r="BF580" s="49" t="s">
        <v>303</v>
      </c>
      <c r="BG580" s="48"/>
      <c r="BI580" s="48" t="n">
        <v>46198</v>
      </c>
      <c r="BJ580" s="48" t="n">
        <v>46187</v>
      </c>
      <c r="BK580" s="49" t="s">
        <v>313</v>
      </c>
      <c r="BL580" s="49" t="s">
        <v>313</v>
      </c>
      <c r="BM580" s="49" t="s">
        <v>310</v>
      </c>
      <c r="BN580" s="48"/>
      <c r="BO580" s="48"/>
      <c r="BP580" s="48"/>
      <c r="BQ580" s="49" t="s">
        <v>2598</v>
      </c>
      <c r="BR580" s="48" t="n">
        <v>46187</v>
      </c>
      <c r="BS580" s="49" t="s">
        <v>2603</v>
      </c>
      <c r="BT580" s="49" t="s">
        <v>312</v>
      </c>
      <c r="BU580" s="49" t="s">
        <v>313</v>
      </c>
      <c r="BV580" s="49" t="s">
        <v>303</v>
      </c>
      <c r="BX580" s="0" t="n">
        <v>1</v>
      </c>
      <c r="CC580" s="49" t="s">
        <v>315</v>
      </c>
      <c r="CD580" s="49" t="s">
        <v>303</v>
      </c>
      <c r="CF580" s="49" t="s">
        <v>303</v>
      </c>
      <c r="CG580" s="49" t="s">
        <v>316</v>
      </c>
      <c r="CH580" s="49" t="s">
        <v>317</v>
      </c>
      <c r="CI580" s="49" t="s">
        <v>318</v>
      </c>
      <c r="CM580" s="49" t="s">
        <v>62</v>
      </c>
      <c r="CV580" s="49" t="s">
        <v>303</v>
      </c>
      <c r="DB580" s="49" t="s">
        <v>319</v>
      </c>
      <c r="DD580" s="48" t="n">
        <v>46171</v>
      </c>
      <c r="DF580" s="49" t="s">
        <v>310</v>
      </c>
      <c r="DG580" s="49" t="s">
        <v>320</v>
      </c>
      <c r="DH580" s="49" t="s">
        <v>61</v>
      </c>
      <c r="DI580" s="49" t="s">
        <v>298</v>
      </c>
      <c r="DJ580" s="49" t="s">
        <v>381</v>
      </c>
      <c r="DK580" s="49" t="s">
        <v>322</v>
      </c>
      <c r="DL580" s="49" t="s">
        <v>323</v>
      </c>
      <c r="DM580" s="49" t="s">
        <v>303</v>
      </c>
      <c r="DN580" s="49" t="s">
        <v>297</v>
      </c>
      <c r="DO580" s="48"/>
      <c r="DP580" s="49" t="s">
        <v>312</v>
      </c>
      <c r="DQ580" s="48"/>
      <c r="DR580" s="49" t="s">
        <v>312</v>
      </c>
      <c r="DS580" s="49" t="s">
        <v>303</v>
      </c>
      <c r="DT580" s="49" t="s">
        <v>303</v>
      </c>
      <c r="DW580" s="49" t="s">
        <v>303</v>
      </c>
      <c r="EA580" s="49" t="s">
        <v>324</v>
      </c>
      <c r="EB580" s="49" t="s">
        <v>303</v>
      </c>
      <c r="EF580" s="49" t="s">
        <v>2604</v>
      </c>
      <c r="EH580" s="49" t="s">
        <v>310</v>
      </c>
      <c r="EJ580" s="49" t="s">
        <v>303</v>
      </c>
      <c r="EK580" s="49" t="s">
        <v>2605</v>
      </c>
      <c r="EM580" s="49" t="s">
        <v>303</v>
      </c>
      <c r="EN580" s="49" t="s">
        <v>383</v>
      </c>
      <c r="EP580" s="49" t="s">
        <v>298</v>
      </c>
      <c r="EQ580" s="0" t="n">
        <v>1</v>
      </c>
      <c r="ER580" s="49" t="s">
        <v>328</v>
      </c>
      <c r="ES580" s="49" t="s">
        <v>384</v>
      </c>
      <c r="ET580" s="49" t="s">
        <v>310</v>
      </c>
      <c r="EU580" s="49" t="s">
        <v>310</v>
      </c>
      <c r="EV580" s="49" t="s">
        <v>310</v>
      </c>
      <c r="EX580" s="49" t="s">
        <v>303</v>
      </c>
      <c r="EY580" s="49" t="s">
        <v>303</v>
      </c>
      <c r="FC580" s="49" t="s">
        <v>330</v>
      </c>
      <c r="FD580" s="49" t="s">
        <v>310</v>
      </c>
      <c r="FE580" s="49" t="s">
        <v>310</v>
      </c>
      <c r="FF580" s="49" t="s">
        <v>61</v>
      </c>
      <c r="FG580" s="49" t="s">
        <v>385</v>
      </c>
      <c r="FH580" s="49" t="s">
        <v>310</v>
      </c>
      <c r="FI580" s="49" t="s">
        <v>332</v>
      </c>
      <c r="FJ580" s="49" t="s">
        <v>303</v>
      </c>
      <c r="FL580" s="49" t="s">
        <v>325</v>
      </c>
      <c r="FM580" s="49" t="s">
        <v>2580</v>
      </c>
      <c r="FP580" s="49" t="s">
        <v>303</v>
      </c>
      <c r="FR580" s="49" t="s">
        <v>303</v>
      </c>
      <c r="FT580" s="49" t="s">
        <v>325</v>
      </c>
      <c r="FU580" s="49" t="s">
        <v>325</v>
      </c>
      <c r="FW580" s="49" t="s">
        <v>333</v>
      </c>
    </row>
    <row r="581" customFormat="false" ht="15" hidden="false" customHeight="false" outlineLevel="0" collapsed="false">
      <c r="A581" s="0" t="n">
        <v>100865868</v>
      </c>
      <c r="B581" s="0" t="s">
        <v>295</v>
      </c>
      <c r="C581" s="0" t="s">
        <v>61</v>
      </c>
      <c r="D581" s="0" t="s">
        <v>62</v>
      </c>
      <c r="E581" s="0" t="s">
        <v>297</v>
      </c>
      <c r="G581" s="0" t="n">
        <v>1</v>
      </c>
      <c r="H581" s="0" t="s">
        <v>298</v>
      </c>
      <c r="I581" s="48" t="n">
        <v>46182</v>
      </c>
      <c r="J581" s="0" t="n">
        <v>1</v>
      </c>
      <c r="K581" s="49" t="s">
        <v>2580</v>
      </c>
      <c r="L581" s="49" t="s">
        <v>1035</v>
      </c>
      <c r="M581" s="48" t="n">
        <v>46237</v>
      </c>
      <c r="N581" s="49" t="s">
        <v>1630</v>
      </c>
      <c r="O581" s="49" t="s">
        <v>1052</v>
      </c>
      <c r="P581" s="48"/>
      <c r="Q581" s="48" t="n">
        <v>46183</v>
      </c>
      <c r="R581" s="48" t="n">
        <v>46239</v>
      </c>
      <c r="T581" s="49" t="s">
        <v>302</v>
      </c>
      <c r="U581" s="49" t="s">
        <v>303</v>
      </c>
      <c r="Y581" s="49" t="s">
        <v>2606</v>
      </c>
      <c r="AD581" s="49" t="s">
        <v>305</v>
      </c>
      <c r="AE581" s="48" t="n">
        <v>46171</v>
      </c>
      <c r="AF581" s="49" t="s">
        <v>306</v>
      </c>
      <c r="AG581" s="49" t="s">
        <v>307</v>
      </c>
      <c r="AK581" s="49" t="s">
        <v>1047</v>
      </c>
      <c r="AL581" s="49" t="s">
        <v>297</v>
      </c>
      <c r="AO581" s="49" t="s">
        <v>303</v>
      </c>
      <c r="AP581" s="48"/>
      <c r="AR581" s="49" t="s">
        <v>303</v>
      </c>
      <c r="AS581" s="49" t="s">
        <v>306</v>
      </c>
      <c r="AT581" s="49" t="s">
        <v>2607</v>
      </c>
      <c r="AW581" s="49" t="s">
        <v>310</v>
      </c>
      <c r="AX581" s="49" t="s">
        <v>311</v>
      </c>
      <c r="AY581" s="48"/>
      <c r="AZ581" s="48" t="n">
        <v>46231</v>
      </c>
      <c r="BC581" s="49" t="s">
        <v>303</v>
      </c>
      <c r="BD581" s="48" t="n">
        <v>46238</v>
      </c>
      <c r="BE581" s="49" t="s">
        <v>2608</v>
      </c>
      <c r="BF581" s="49" t="s">
        <v>303</v>
      </c>
      <c r="BG581" s="48"/>
      <c r="BI581" s="48" t="n">
        <v>46239</v>
      </c>
      <c r="BJ581" s="48" t="n">
        <v>46238</v>
      </c>
      <c r="BK581" s="49" t="s">
        <v>313</v>
      </c>
      <c r="BL581" s="49" t="s">
        <v>313</v>
      </c>
      <c r="BM581" s="49" t="s">
        <v>310</v>
      </c>
      <c r="BN581" s="48"/>
      <c r="BO581" s="48"/>
      <c r="BP581" s="48"/>
      <c r="BQ581" s="49" t="s">
        <v>2598</v>
      </c>
      <c r="BR581" s="48" t="n">
        <v>46238</v>
      </c>
      <c r="BS581" s="49" t="s">
        <v>2599</v>
      </c>
      <c r="BT581" s="49" t="s">
        <v>312</v>
      </c>
      <c r="BU581" s="49" t="s">
        <v>313</v>
      </c>
      <c r="BV581" s="49" t="s">
        <v>303</v>
      </c>
      <c r="BX581" s="0" t="n">
        <v>1</v>
      </c>
      <c r="CC581" s="49" t="s">
        <v>315</v>
      </c>
      <c r="CD581" s="49" t="s">
        <v>303</v>
      </c>
      <c r="CF581" s="49" t="s">
        <v>303</v>
      </c>
      <c r="CG581" s="49" t="s">
        <v>316</v>
      </c>
      <c r="CH581" s="49" t="s">
        <v>317</v>
      </c>
      <c r="CI581" s="49" t="s">
        <v>318</v>
      </c>
      <c r="CM581" s="49" t="s">
        <v>62</v>
      </c>
      <c r="CV581" s="49" t="s">
        <v>303</v>
      </c>
      <c r="DB581" s="49" t="s">
        <v>319</v>
      </c>
      <c r="DD581" s="48" t="n">
        <v>46171</v>
      </c>
      <c r="DF581" s="49" t="s">
        <v>310</v>
      </c>
      <c r="DG581" s="49" t="s">
        <v>320</v>
      </c>
      <c r="DH581" s="49" t="s">
        <v>61</v>
      </c>
      <c r="DI581" s="49" t="s">
        <v>298</v>
      </c>
      <c r="DJ581" s="49" t="s">
        <v>381</v>
      </c>
      <c r="DK581" s="49" t="s">
        <v>322</v>
      </c>
      <c r="DL581" s="49" t="s">
        <v>323</v>
      </c>
      <c r="DM581" s="49" t="s">
        <v>303</v>
      </c>
      <c r="DN581" s="49" t="s">
        <v>297</v>
      </c>
      <c r="DO581" s="48"/>
      <c r="DP581" s="49" t="s">
        <v>312</v>
      </c>
      <c r="DQ581" s="48"/>
      <c r="DR581" s="49" t="s">
        <v>312</v>
      </c>
      <c r="DS581" s="49" t="s">
        <v>303</v>
      </c>
      <c r="DT581" s="49" t="s">
        <v>303</v>
      </c>
      <c r="DW581" s="49" t="s">
        <v>303</v>
      </c>
      <c r="EA581" s="49" t="s">
        <v>324</v>
      </c>
      <c r="EB581" s="49" t="s">
        <v>303</v>
      </c>
      <c r="EF581" s="49" t="s">
        <v>2604</v>
      </c>
      <c r="EH581" s="49" t="s">
        <v>310</v>
      </c>
      <c r="EJ581" s="49" t="s">
        <v>303</v>
      </c>
      <c r="EK581" s="49" t="s">
        <v>2609</v>
      </c>
      <c r="EM581" s="49" t="s">
        <v>303</v>
      </c>
      <c r="EN581" s="49" t="s">
        <v>383</v>
      </c>
      <c r="EP581" s="49" t="s">
        <v>298</v>
      </c>
      <c r="EQ581" s="0" t="n">
        <v>1</v>
      </c>
      <c r="ER581" s="49" t="s">
        <v>328</v>
      </c>
      <c r="ES581" s="49" t="s">
        <v>384</v>
      </c>
      <c r="ET581" s="49" t="s">
        <v>310</v>
      </c>
      <c r="EU581" s="49" t="s">
        <v>310</v>
      </c>
      <c r="EV581" s="49" t="s">
        <v>310</v>
      </c>
      <c r="EX581" s="49" t="s">
        <v>303</v>
      </c>
      <c r="EY581" s="49" t="s">
        <v>303</v>
      </c>
      <c r="FC581" s="49" t="s">
        <v>330</v>
      </c>
      <c r="FD581" s="49" t="s">
        <v>310</v>
      </c>
      <c r="FE581" s="49" t="s">
        <v>310</v>
      </c>
      <c r="FF581" s="49" t="s">
        <v>61</v>
      </c>
      <c r="FG581" s="49" t="s">
        <v>385</v>
      </c>
      <c r="FH581" s="49" t="s">
        <v>310</v>
      </c>
      <c r="FI581" s="49" t="s">
        <v>332</v>
      </c>
      <c r="FJ581" s="49" t="s">
        <v>303</v>
      </c>
      <c r="FL581" s="49" t="s">
        <v>325</v>
      </c>
      <c r="FM581" s="49" t="s">
        <v>2402</v>
      </c>
      <c r="FP581" s="49" t="s">
        <v>303</v>
      </c>
      <c r="FR581" s="49" t="s">
        <v>303</v>
      </c>
      <c r="FT581" s="49" t="s">
        <v>325</v>
      </c>
      <c r="FU581" s="49" t="s">
        <v>325</v>
      </c>
      <c r="FW581" s="49" t="s">
        <v>333</v>
      </c>
    </row>
    <row r="582" customFormat="false" ht="15" hidden="false" customHeight="false" outlineLevel="0" collapsed="false">
      <c r="A582" s="0" t="n">
        <v>100865485</v>
      </c>
      <c r="B582" s="0" t="s">
        <v>295</v>
      </c>
      <c r="C582" s="0" t="s">
        <v>64</v>
      </c>
      <c r="D582" s="0" t="s">
        <v>65</v>
      </c>
      <c r="E582" s="0" t="s">
        <v>297</v>
      </c>
      <c r="G582" s="0" t="n">
        <v>1</v>
      </c>
      <c r="H582" s="0" t="s">
        <v>298</v>
      </c>
      <c r="I582" s="48" t="n">
        <v>46180</v>
      </c>
      <c r="J582" s="0" t="n">
        <v>1</v>
      </c>
      <c r="K582" s="49" t="s">
        <v>2610</v>
      </c>
      <c r="L582" s="49" t="s">
        <v>2611</v>
      </c>
      <c r="M582" s="48" t="n">
        <v>46182</v>
      </c>
      <c r="N582" s="49" t="s">
        <v>1204</v>
      </c>
      <c r="O582" s="49" t="s">
        <v>1045</v>
      </c>
      <c r="P582" s="48"/>
      <c r="Q582" s="48" t="n">
        <v>46180</v>
      </c>
      <c r="R582" s="48" t="n">
        <v>46194</v>
      </c>
      <c r="T582" s="49" t="s">
        <v>302</v>
      </c>
      <c r="U582" s="49" t="s">
        <v>303</v>
      </c>
      <c r="Y582" s="49" t="s">
        <v>2612</v>
      </c>
      <c r="AD582" s="49" t="s">
        <v>305</v>
      </c>
      <c r="AE582" s="48" t="n">
        <v>46169</v>
      </c>
      <c r="AF582" s="49" t="s">
        <v>306</v>
      </c>
      <c r="AG582" s="49" t="s">
        <v>307</v>
      </c>
      <c r="AK582" s="49" t="s">
        <v>1047</v>
      </c>
      <c r="AL582" s="49" t="s">
        <v>297</v>
      </c>
      <c r="AO582" s="49" t="s">
        <v>303</v>
      </c>
      <c r="AP582" s="48"/>
      <c r="AR582" s="49" t="s">
        <v>303</v>
      </c>
      <c r="AS582" s="49" t="s">
        <v>306</v>
      </c>
      <c r="AT582" s="49" t="s">
        <v>2613</v>
      </c>
      <c r="AV582" s="49" t="s">
        <v>309</v>
      </c>
      <c r="AW582" s="49" t="s">
        <v>310</v>
      </c>
      <c r="AX582" s="49" t="s">
        <v>311</v>
      </c>
      <c r="AY582" s="48"/>
      <c r="AZ582" s="48" t="n">
        <v>46184</v>
      </c>
      <c r="BC582" s="49" t="s">
        <v>303</v>
      </c>
      <c r="BD582" s="48" t="n">
        <v>46182</v>
      </c>
      <c r="BE582" s="49" t="s">
        <v>2614</v>
      </c>
      <c r="BF582" s="49" t="s">
        <v>303</v>
      </c>
      <c r="BG582" s="48"/>
      <c r="BI582" s="48" t="n">
        <v>46182</v>
      </c>
      <c r="BJ582" s="48" t="n">
        <v>46191</v>
      </c>
      <c r="BK582" s="49" t="s">
        <v>312</v>
      </c>
      <c r="BL582" s="49" t="s">
        <v>313</v>
      </c>
      <c r="BM582" s="49" t="s">
        <v>310</v>
      </c>
      <c r="BN582" s="48"/>
      <c r="BO582" s="48"/>
      <c r="BP582" s="48"/>
      <c r="BQ582" s="49" t="s">
        <v>2610</v>
      </c>
      <c r="BR582" s="48" t="n">
        <v>46191</v>
      </c>
      <c r="BS582" s="49" t="s">
        <v>2615</v>
      </c>
      <c r="BT582" s="49" t="s">
        <v>312</v>
      </c>
      <c r="BU582" s="49" t="s">
        <v>313</v>
      </c>
      <c r="BV582" s="49" t="s">
        <v>303</v>
      </c>
      <c r="BX582" s="0" t="n">
        <v>1</v>
      </c>
      <c r="CC582" s="49" t="s">
        <v>315</v>
      </c>
      <c r="CD582" s="49" t="s">
        <v>303</v>
      </c>
      <c r="CF582" s="49" t="s">
        <v>303</v>
      </c>
      <c r="CG582" s="49" t="s">
        <v>316</v>
      </c>
      <c r="CH582" s="49" t="s">
        <v>317</v>
      </c>
      <c r="CI582" s="49" t="s">
        <v>318</v>
      </c>
      <c r="CM582" s="49" t="s">
        <v>65</v>
      </c>
      <c r="CV582" s="49" t="s">
        <v>303</v>
      </c>
      <c r="DB582" s="49" t="s">
        <v>319</v>
      </c>
      <c r="DD582" s="48" t="n">
        <v>46169</v>
      </c>
      <c r="DF582" s="49" t="s">
        <v>310</v>
      </c>
      <c r="DG582" s="49" t="s">
        <v>320</v>
      </c>
      <c r="DH582" s="49" t="s">
        <v>64</v>
      </c>
      <c r="DI582" s="49" t="s">
        <v>298</v>
      </c>
      <c r="DJ582" s="49" t="s">
        <v>394</v>
      </c>
      <c r="DK582" s="49" t="s">
        <v>322</v>
      </c>
      <c r="DL582" s="49" t="s">
        <v>323</v>
      </c>
      <c r="DM582" s="49" t="s">
        <v>303</v>
      </c>
      <c r="DN582" s="49" t="s">
        <v>297</v>
      </c>
      <c r="DO582" s="48"/>
      <c r="DP582" s="49" t="s">
        <v>312</v>
      </c>
      <c r="DQ582" s="48"/>
      <c r="DR582" s="49" t="s">
        <v>312</v>
      </c>
      <c r="DS582" s="49" t="s">
        <v>303</v>
      </c>
      <c r="DT582" s="49" t="s">
        <v>303</v>
      </c>
      <c r="DW582" s="49" t="s">
        <v>303</v>
      </c>
      <c r="EA582" s="49" t="s">
        <v>324</v>
      </c>
      <c r="EB582" s="49" t="s">
        <v>303</v>
      </c>
      <c r="EH582" s="49" t="s">
        <v>310</v>
      </c>
      <c r="EJ582" s="49" t="s">
        <v>303</v>
      </c>
      <c r="EK582" s="49" t="s">
        <v>2616</v>
      </c>
      <c r="EM582" s="49" t="s">
        <v>303</v>
      </c>
      <c r="EN582" s="49" t="s">
        <v>396</v>
      </c>
      <c r="EP582" s="49" t="s">
        <v>298</v>
      </c>
      <c r="EQ582" s="0" t="n">
        <v>1</v>
      </c>
      <c r="ER582" s="49" t="s">
        <v>328</v>
      </c>
      <c r="ES582" s="49" t="s">
        <v>329</v>
      </c>
      <c r="ET582" s="49" t="s">
        <v>310</v>
      </c>
      <c r="EU582" s="49" t="s">
        <v>310</v>
      </c>
      <c r="EV582" s="49" t="s">
        <v>310</v>
      </c>
      <c r="EX582" s="49" t="s">
        <v>303</v>
      </c>
      <c r="EY582" s="49" t="s">
        <v>303</v>
      </c>
      <c r="FC582" s="49" t="s">
        <v>330</v>
      </c>
      <c r="FD582" s="49" t="s">
        <v>310</v>
      </c>
      <c r="FE582" s="49" t="s">
        <v>310</v>
      </c>
      <c r="FF582" s="49" t="s">
        <v>64</v>
      </c>
      <c r="FG582" s="49" t="s">
        <v>397</v>
      </c>
      <c r="FH582" s="49" t="s">
        <v>310</v>
      </c>
      <c r="FI582" s="49" t="s">
        <v>332</v>
      </c>
      <c r="FJ582" s="49" t="s">
        <v>303</v>
      </c>
      <c r="FL582" s="49" t="s">
        <v>325</v>
      </c>
      <c r="FM582" s="49" t="s">
        <v>2610</v>
      </c>
      <c r="FP582" s="49" t="s">
        <v>303</v>
      </c>
      <c r="FR582" s="49" t="s">
        <v>303</v>
      </c>
      <c r="FT582" s="49" t="s">
        <v>325</v>
      </c>
      <c r="FU582" s="49" t="s">
        <v>325</v>
      </c>
      <c r="FW582" s="49" t="s">
        <v>333</v>
      </c>
    </row>
    <row r="583" customFormat="false" ht="15" hidden="false" customHeight="false" outlineLevel="0" collapsed="false">
      <c r="A583" s="0" t="n">
        <v>100865486</v>
      </c>
      <c r="B583" s="0" t="s">
        <v>295</v>
      </c>
      <c r="C583" s="0" t="s">
        <v>64</v>
      </c>
      <c r="D583" s="0" t="s">
        <v>65</v>
      </c>
      <c r="E583" s="0" t="s">
        <v>297</v>
      </c>
      <c r="G583" s="0" t="n">
        <v>1</v>
      </c>
      <c r="H583" s="0" t="s">
        <v>298</v>
      </c>
      <c r="I583" s="48" t="n">
        <v>46180</v>
      </c>
      <c r="J583" s="0" t="n">
        <v>1</v>
      </c>
      <c r="K583" s="49" t="s">
        <v>2610</v>
      </c>
      <c r="L583" s="49" t="s">
        <v>2611</v>
      </c>
      <c r="M583" s="48" t="n">
        <v>46182</v>
      </c>
      <c r="N583" s="49" t="s">
        <v>1204</v>
      </c>
      <c r="O583" s="49" t="s">
        <v>1045</v>
      </c>
      <c r="P583" s="48"/>
      <c r="Q583" s="48" t="n">
        <v>46180</v>
      </c>
      <c r="R583" s="48" t="n">
        <v>46193</v>
      </c>
      <c r="T583" s="49" t="s">
        <v>302</v>
      </c>
      <c r="U583" s="49" t="s">
        <v>303</v>
      </c>
      <c r="Y583" s="49" t="s">
        <v>1459</v>
      </c>
      <c r="AD583" s="49" t="s">
        <v>305</v>
      </c>
      <c r="AE583" s="48" t="n">
        <v>46169</v>
      </c>
      <c r="AF583" s="49" t="s">
        <v>306</v>
      </c>
      <c r="AG583" s="49" t="s">
        <v>307</v>
      </c>
      <c r="AK583" s="49" t="s">
        <v>1047</v>
      </c>
      <c r="AL583" s="49" t="s">
        <v>297</v>
      </c>
      <c r="AO583" s="49" t="s">
        <v>303</v>
      </c>
      <c r="AP583" s="48"/>
      <c r="AR583" s="49" t="s">
        <v>303</v>
      </c>
      <c r="AS583" s="49" t="s">
        <v>306</v>
      </c>
      <c r="AT583" s="49" t="s">
        <v>2617</v>
      </c>
      <c r="AV583" s="49" t="s">
        <v>309</v>
      </c>
      <c r="AW583" s="49" t="s">
        <v>310</v>
      </c>
      <c r="AX583" s="49" t="s">
        <v>311</v>
      </c>
      <c r="AY583" s="48"/>
      <c r="AZ583" s="48" t="n">
        <v>46184</v>
      </c>
      <c r="BC583" s="49" t="s">
        <v>303</v>
      </c>
      <c r="BD583" s="48" t="n">
        <v>46182</v>
      </c>
      <c r="BE583" s="49" t="s">
        <v>2618</v>
      </c>
      <c r="BF583" s="49" t="s">
        <v>303</v>
      </c>
      <c r="BG583" s="48"/>
      <c r="BI583" s="48" t="n">
        <v>46182</v>
      </c>
      <c r="BJ583" s="48" t="n">
        <v>46191</v>
      </c>
      <c r="BK583" s="49" t="s">
        <v>313</v>
      </c>
      <c r="BL583" s="49" t="s">
        <v>313</v>
      </c>
      <c r="BM583" s="49" t="s">
        <v>310</v>
      </c>
      <c r="BN583" s="48"/>
      <c r="BO583" s="48"/>
      <c r="BP583" s="48"/>
      <c r="BQ583" s="49" t="s">
        <v>2610</v>
      </c>
      <c r="BR583" s="48" t="n">
        <v>46191</v>
      </c>
      <c r="BS583" s="49" t="s">
        <v>2619</v>
      </c>
      <c r="BT583" s="49" t="s">
        <v>312</v>
      </c>
      <c r="BU583" s="49" t="s">
        <v>313</v>
      </c>
      <c r="BV583" s="49" t="s">
        <v>303</v>
      </c>
      <c r="BX583" s="0" t="n">
        <v>1</v>
      </c>
      <c r="CC583" s="49" t="s">
        <v>315</v>
      </c>
      <c r="CD583" s="49" t="s">
        <v>303</v>
      </c>
      <c r="CF583" s="49" t="s">
        <v>303</v>
      </c>
      <c r="CG583" s="49" t="s">
        <v>316</v>
      </c>
      <c r="CH583" s="49" t="s">
        <v>317</v>
      </c>
      <c r="CI583" s="49" t="s">
        <v>318</v>
      </c>
      <c r="CM583" s="49" t="s">
        <v>65</v>
      </c>
      <c r="CV583" s="49" t="s">
        <v>303</v>
      </c>
      <c r="DB583" s="49" t="s">
        <v>319</v>
      </c>
      <c r="DD583" s="48" t="n">
        <v>46169</v>
      </c>
      <c r="DF583" s="49" t="s">
        <v>310</v>
      </c>
      <c r="DG583" s="49" t="s">
        <v>320</v>
      </c>
      <c r="DH583" s="49" t="s">
        <v>64</v>
      </c>
      <c r="DI583" s="49" t="s">
        <v>298</v>
      </c>
      <c r="DJ583" s="49" t="s">
        <v>394</v>
      </c>
      <c r="DK583" s="49" t="s">
        <v>322</v>
      </c>
      <c r="DL583" s="49" t="s">
        <v>323</v>
      </c>
      <c r="DM583" s="49" t="s">
        <v>303</v>
      </c>
      <c r="DN583" s="49" t="s">
        <v>297</v>
      </c>
      <c r="DO583" s="48"/>
      <c r="DP583" s="49" t="s">
        <v>312</v>
      </c>
      <c r="DQ583" s="48"/>
      <c r="DR583" s="49" t="s">
        <v>312</v>
      </c>
      <c r="DS583" s="49" t="s">
        <v>303</v>
      </c>
      <c r="DT583" s="49" t="s">
        <v>303</v>
      </c>
      <c r="DW583" s="49" t="s">
        <v>303</v>
      </c>
      <c r="EA583" s="49" t="s">
        <v>324</v>
      </c>
      <c r="EB583" s="49" t="s">
        <v>303</v>
      </c>
      <c r="EF583" s="49" t="s">
        <v>2620</v>
      </c>
      <c r="EH583" s="49" t="s">
        <v>310</v>
      </c>
      <c r="EJ583" s="49" t="s">
        <v>303</v>
      </c>
      <c r="EK583" s="49" t="s">
        <v>2621</v>
      </c>
      <c r="EM583" s="49" t="s">
        <v>303</v>
      </c>
      <c r="EN583" s="49" t="s">
        <v>396</v>
      </c>
      <c r="EP583" s="49" t="s">
        <v>298</v>
      </c>
      <c r="EQ583" s="0" t="n">
        <v>1</v>
      </c>
      <c r="ER583" s="49" t="s">
        <v>328</v>
      </c>
      <c r="ES583" s="49" t="s">
        <v>329</v>
      </c>
      <c r="ET583" s="49" t="s">
        <v>310</v>
      </c>
      <c r="EU583" s="49" t="s">
        <v>310</v>
      </c>
      <c r="EV583" s="49" t="s">
        <v>310</v>
      </c>
      <c r="EX583" s="49" t="s">
        <v>303</v>
      </c>
      <c r="EY583" s="49" t="s">
        <v>303</v>
      </c>
      <c r="FC583" s="49" t="s">
        <v>330</v>
      </c>
      <c r="FD583" s="49" t="s">
        <v>310</v>
      </c>
      <c r="FE583" s="49" t="s">
        <v>310</v>
      </c>
      <c r="FF583" s="49" t="s">
        <v>64</v>
      </c>
      <c r="FG583" s="49" t="s">
        <v>397</v>
      </c>
      <c r="FH583" s="49" t="s">
        <v>310</v>
      </c>
      <c r="FI583" s="49" t="s">
        <v>332</v>
      </c>
      <c r="FJ583" s="49" t="s">
        <v>303</v>
      </c>
      <c r="FL583" s="49" t="s">
        <v>325</v>
      </c>
      <c r="FM583" s="49" t="s">
        <v>2610</v>
      </c>
      <c r="FP583" s="49" t="s">
        <v>303</v>
      </c>
      <c r="FR583" s="49" t="s">
        <v>303</v>
      </c>
      <c r="FT583" s="49" t="s">
        <v>325</v>
      </c>
      <c r="FU583" s="49" t="s">
        <v>325</v>
      </c>
      <c r="FW583" s="49" t="s">
        <v>333</v>
      </c>
    </row>
    <row r="584" customFormat="false" ht="15" hidden="false" customHeight="false" outlineLevel="0" collapsed="false">
      <c r="A584" s="0" t="n">
        <v>100865487</v>
      </c>
      <c r="B584" s="0" t="s">
        <v>295</v>
      </c>
      <c r="C584" s="0" t="s">
        <v>64</v>
      </c>
      <c r="D584" s="0" t="s">
        <v>65</v>
      </c>
      <c r="E584" s="0" t="s">
        <v>297</v>
      </c>
      <c r="G584" s="0" t="n">
        <v>1</v>
      </c>
      <c r="H584" s="0" t="s">
        <v>298</v>
      </c>
      <c r="I584" s="48" t="n">
        <v>46180</v>
      </c>
      <c r="J584" s="0" t="n">
        <v>1</v>
      </c>
      <c r="K584" s="49" t="s">
        <v>2610</v>
      </c>
      <c r="L584" s="49" t="s">
        <v>2611</v>
      </c>
      <c r="M584" s="48" t="n">
        <v>46182</v>
      </c>
      <c r="N584" s="49" t="s">
        <v>1204</v>
      </c>
      <c r="O584" s="49" t="s">
        <v>1045</v>
      </c>
      <c r="P584" s="48"/>
      <c r="Q584" s="48" t="n">
        <v>46180</v>
      </c>
      <c r="R584" s="48" t="n">
        <v>46193</v>
      </c>
      <c r="T584" s="49" t="s">
        <v>302</v>
      </c>
      <c r="U584" s="49" t="s">
        <v>303</v>
      </c>
      <c r="Y584" s="49" t="s">
        <v>2622</v>
      </c>
      <c r="AD584" s="49" t="s">
        <v>305</v>
      </c>
      <c r="AE584" s="48" t="n">
        <v>46169</v>
      </c>
      <c r="AF584" s="49" t="s">
        <v>306</v>
      </c>
      <c r="AG584" s="49" t="s">
        <v>307</v>
      </c>
      <c r="AK584" s="49" t="s">
        <v>1047</v>
      </c>
      <c r="AL584" s="49" t="s">
        <v>297</v>
      </c>
      <c r="AO584" s="49" t="s">
        <v>303</v>
      </c>
      <c r="AP584" s="48"/>
      <c r="AR584" s="49" t="s">
        <v>303</v>
      </c>
      <c r="AS584" s="49" t="s">
        <v>306</v>
      </c>
      <c r="AT584" s="49" t="s">
        <v>2623</v>
      </c>
      <c r="AV584" s="49" t="s">
        <v>309</v>
      </c>
      <c r="AW584" s="49" t="s">
        <v>310</v>
      </c>
      <c r="AX584" s="49" t="s">
        <v>311</v>
      </c>
      <c r="AY584" s="48"/>
      <c r="AZ584" s="48" t="n">
        <v>46184</v>
      </c>
      <c r="BC584" s="49" t="s">
        <v>303</v>
      </c>
      <c r="BD584" s="48" t="n">
        <v>46182</v>
      </c>
      <c r="BE584" s="49" t="s">
        <v>2624</v>
      </c>
      <c r="BF584" s="49" t="s">
        <v>303</v>
      </c>
      <c r="BG584" s="48"/>
      <c r="BI584" s="48" t="n">
        <v>46182</v>
      </c>
      <c r="BJ584" s="48" t="n">
        <v>46191</v>
      </c>
      <c r="BK584" s="49" t="s">
        <v>313</v>
      </c>
      <c r="BL584" s="49" t="s">
        <v>313</v>
      </c>
      <c r="BM584" s="49" t="s">
        <v>310</v>
      </c>
      <c r="BN584" s="48"/>
      <c r="BO584" s="48"/>
      <c r="BP584" s="48"/>
      <c r="BQ584" s="49" t="s">
        <v>2610</v>
      </c>
      <c r="BR584" s="48" t="n">
        <v>46191</v>
      </c>
      <c r="BS584" s="49" t="s">
        <v>2619</v>
      </c>
      <c r="BT584" s="49" t="s">
        <v>312</v>
      </c>
      <c r="BU584" s="49" t="s">
        <v>313</v>
      </c>
      <c r="BV584" s="49" t="s">
        <v>303</v>
      </c>
      <c r="BX584" s="0" t="n">
        <v>1</v>
      </c>
      <c r="CC584" s="49" t="s">
        <v>315</v>
      </c>
      <c r="CD584" s="49" t="s">
        <v>303</v>
      </c>
      <c r="CF584" s="49" t="s">
        <v>303</v>
      </c>
      <c r="CG584" s="49" t="s">
        <v>316</v>
      </c>
      <c r="CH584" s="49" t="s">
        <v>317</v>
      </c>
      <c r="CI584" s="49" t="s">
        <v>318</v>
      </c>
      <c r="CM584" s="49" t="s">
        <v>65</v>
      </c>
      <c r="CV584" s="49" t="s">
        <v>303</v>
      </c>
      <c r="DB584" s="49" t="s">
        <v>319</v>
      </c>
      <c r="DD584" s="48" t="n">
        <v>46169</v>
      </c>
      <c r="DF584" s="49" t="s">
        <v>310</v>
      </c>
      <c r="DG584" s="49" t="s">
        <v>320</v>
      </c>
      <c r="DH584" s="49" t="s">
        <v>64</v>
      </c>
      <c r="DI584" s="49" t="s">
        <v>298</v>
      </c>
      <c r="DJ584" s="49" t="s">
        <v>394</v>
      </c>
      <c r="DK584" s="49" t="s">
        <v>322</v>
      </c>
      <c r="DL584" s="49" t="s">
        <v>323</v>
      </c>
      <c r="DM584" s="49" t="s">
        <v>303</v>
      </c>
      <c r="DN584" s="49" t="s">
        <v>297</v>
      </c>
      <c r="DO584" s="48"/>
      <c r="DP584" s="49" t="s">
        <v>312</v>
      </c>
      <c r="DQ584" s="48"/>
      <c r="DR584" s="49" t="s">
        <v>312</v>
      </c>
      <c r="DS584" s="49" t="s">
        <v>303</v>
      </c>
      <c r="DT584" s="49" t="s">
        <v>303</v>
      </c>
      <c r="DW584" s="49" t="s">
        <v>303</v>
      </c>
      <c r="EA584" s="49" t="s">
        <v>324</v>
      </c>
      <c r="EB584" s="49" t="s">
        <v>303</v>
      </c>
      <c r="EF584" s="49" t="s">
        <v>2620</v>
      </c>
      <c r="EH584" s="49" t="s">
        <v>310</v>
      </c>
      <c r="EJ584" s="49" t="s">
        <v>303</v>
      </c>
      <c r="EK584" s="49" t="s">
        <v>2625</v>
      </c>
      <c r="EM584" s="49" t="s">
        <v>303</v>
      </c>
      <c r="EN584" s="49" t="s">
        <v>396</v>
      </c>
      <c r="EP584" s="49" t="s">
        <v>298</v>
      </c>
      <c r="EQ584" s="0" t="n">
        <v>1</v>
      </c>
      <c r="ER584" s="49" t="s">
        <v>328</v>
      </c>
      <c r="ES584" s="49" t="s">
        <v>329</v>
      </c>
      <c r="ET584" s="49" t="s">
        <v>310</v>
      </c>
      <c r="EU584" s="49" t="s">
        <v>310</v>
      </c>
      <c r="EV584" s="49" t="s">
        <v>310</v>
      </c>
      <c r="EX584" s="49" t="s">
        <v>303</v>
      </c>
      <c r="EY584" s="49" t="s">
        <v>303</v>
      </c>
      <c r="FC584" s="49" t="s">
        <v>330</v>
      </c>
      <c r="FD584" s="49" t="s">
        <v>310</v>
      </c>
      <c r="FE584" s="49" t="s">
        <v>310</v>
      </c>
      <c r="FF584" s="49" t="s">
        <v>64</v>
      </c>
      <c r="FG584" s="49" t="s">
        <v>397</v>
      </c>
      <c r="FH584" s="49" t="s">
        <v>310</v>
      </c>
      <c r="FI584" s="49" t="s">
        <v>332</v>
      </c>
      <c r="FJ584" s="49" t="s">
        <v>303</v>
      </c>
      <c r="FL584" s="49" t="s">
        <v>325</v>
      </c>
      <c r="FM584" s="49" t="s">
        <v>2610</v>
      </c>
      <c r="FP584" s="49" t="s">
        <v>303</v>
      </c>
      <c r="FR584" s="49" t="s">
        <v>303</v>
      </c>
      <c r="FT584" s="49" t="s">
        <v>325</v>
      </c>
      <c r="FU584" s="49" t="s">
        <v>325</v>
      </c>
      <c r="FW584" s="49" t="s">
        <v>333</v>
      </c>
    </row>
    <row r="585" customFormat="false" ht="15" hidden="false" customHeight="false" outlineLevel="0" collapsed="false">
      <c r="A585" s="0" t="n">
        <v>100865488</v>
      </c>
      <c r="B585" s="0" t="s">
        <v>295</v>
      </c>
      <c r="C585" s="0" t="s">
        <v>64</v>
      </c>
      <c r="D585" s="0" t="s">
        <v>65</v>
      </c>
      <c r="E585" s="0" t="s">
        <v>297</v>
      </c>
      <c r="G585" s="0" t="n">
        <v>1</v>
      </c>
      <c r="H585" s="0" t="s">
        <v>298</v>
      </c>
      <c r="I585" s="48" t="n">
        <v>46180</v>
      </c>
      <c r="J585" s="0" t="n">
        <v>1</v>
      </c>
      <c r="K585" s="49" t="s">
        <v>2610</v>
      </c>
      <c r="L585" s="49" t="s">
        <v>2611</v>
      </c>
      <c r="M585" s="48" t="n">
        <v>46182</v>
      </c>
      <c r="N585" s="49" t="s">
        <v>1204</v>
      </c>
      <c r="O585" s="49" t="s">
        <v>1045</v>
      </c>
      <c r="P585" s="48"/>
      <c r="Q585" s="48" t="n">
        <v>46180</v>
      </c>
      <c r="R585" s="48" t="n">
        <v>46193</v>
      </c>
      <c r="T585" s="49" t="s">
        <v>302</v>
      </c>
      <c r="U585" s="49" t="s">
        <v>303</v>
      </c>
      <c r="Y585" s="49" t="s">
        <v>2626</v>
      </c>
      <c r="AD585" s="49" t="s">
        <v>305</v>
      </c>
      <c r="AE585" s="48" t="n">
        <v>46169</v>
      </c>
      <c r="AF585" s="49" t="s">
        <v>306</v>
      </c>
      <c r="AG585" s="49" t="s">
        <v>307</v>
      </c>
      <c r="AK585" s="49" t="s">
        <v>1047</v>
      </c>
      <c r="AL585" s="49" t="s">
        <v>297</v>
      </c>
      <c r="AO585" s="49" t="s">
        <v>303</v>
      </c>
      <c r="AP585" s="48"/>
      <c r="AR585" s="49" t="s">
        <v>303</v>
      </c>
      <c r="AS585" s="49" t="s">
        <v>306</v>
      </c>
      <c r="AT585" s="49" t="s">
        <v>2627</v>
      </c>
      <c r="AV585" s="49" t="s">
        <v>309</v>
      </c>
      <c r="AW585" s="49" t="s">
        <v>310</v>
      </c>
      <c r="AX585" s="49" t="s">
        <v>311</v>
      </c>
      <c r="AY585" s="48"/>
      <c r="AZ585" s="48" t="n">
        <v>46184</v>
      </c>
      <c r="BC585" s="49" t="s">
        <v>303</v>
      </c>
      <c r="BD585" s="48" t="n">
        <v>46182</v>
      </c>
      <c r="BE585" s="49" t="s">
        <v>2628</v>
      </c>
      <c r="BF585" s="49" t="s">
        <v>303</v>
      </c>
      <c r="BG585" s="48"/>
      <c r="BI585" s="48" t="n">
        <v>46182</v>
      </c>
      <c r="BJ585" s="48" t="n">
        <v>46191</v>
      </c>
      <c r="BK585" s="49" t="s">
        <v>313</v>
      </c>
      <c r="BL585" s="49" t="s">
        <v>313</v>
      </c>
      <c r="BM585" s="49" t="s">
        <v>310</v>
      </c>
      <c r="BN585" s="48"/>
      <c r="BO585" s="48"/>
      <c r="BP585" s="48"/>
      <c r="BQ585" s="49" t="s">
        <v>2610</v>
      </c>
      <c r="BR585" s="48" t="n">
        <v>46191</v>
      </c>
      <c r="BS585" s="49" t="s">
        <v>2619</v>
      </c>
      <c r="BT585" s="49" t="s">
        <v>312</v>
      </c>
      <c r="BU585" s="49" t="s">
        <v>313</v>
      </c>
      <c r="BV585" s="49" t="s">
        <v>303</v>
      </c>
      <c r="BX585" s="0" t="n">
        <v>1</v>
      </c>
      <c r="CC585" s="49" t="s">
        <v>315</v>
      </c>
      <c r="CD585" s="49" t="s">
        <v>303</v>
      </c>
      <c r="CF585" s="49" t="s">
        <v>303</v>
      </c>
      <c r="CG585" s="49" t="s">
        <v>316</v>
      </c>
      <c r="CH585" s="49" t="s">
        <v>317</v>
      </c>
      <c r="CI585" s="49" t="s">
        <v>318</v>
      </c>
      <c r="CM585" s="49" t="s">
        <v>65</v>
      </c>
      <c r="CV585" s="49" t="s">
        <v>303</v>
      </c>
      <c r="DB585" s="49" t="s">
        <v>319</v>
      </c>
      <c r="DD585" s="48" t="n">
        <v>46169</v>
      </c>
      <c r="DF585" s="49" t="s">
        <v>310</v>
      </c>
      <c r="DG585" s="49" t="s">
        <v>320</v>
      </c>
      <c r="DH585" s="49" t="s">
        <v>64</v>
      </c>
      <c r="DI585" s="49" t="s">
        <v>298</v>
      </c>
      <c r="DJ585" s="49" t="s">
        <v>394</v>
      </c>
      <c r="DK585" s="49" t="s">
        <v>322</v>
      </c>
      <c r="DL585" s="49" t="s">
        <v>323</v>
      </c>
      <c r="DM585" s="49" t="s">
        <v>303</v>
      </c>
      <c r="DN585" s="49" t="s">
        <v>297</v>
      </c>
      <c r="DO585" s="48"/>
      <c r="DP585" s="49" t="s">
        <v>312</v>
      </c>
      <c r="DQ585" s="48"/>
      <c r="DR585" s="49" t="s">
        <v>312</v>
      </c>
      <c r="DS585" s="49" t="s">
        <v>303</v>
      </c>
      <c r="DT585" s="49" t="s">
        <v>303</v>
      </c>
      <c r="DW585" s="49" t="s">
        <v>303</v>
      </c>
      <c r="EA585" s="49" t="s">
        <v>324</v>
      </c>
      <c r="EB585" s="49" t="s">
        <v>303</v>
      </c>
      <c r="EF585" s="49" t="s">
        <v>2620</v>
      </c>
      <c r="EH585" s="49" t="s">
        <v>310</v>
      </c>
      <c r="EJ585" s="49" t="s">
        <v>303</v>
      </c>
      <c r="EK585" s="49" t="s">
        <v>2629</v>
      </c>
      <c r="EM585" s="49" t="s">
        <v>303</v>
      </c>
      <c r="EN585" s="49" t="s">
        <v>396</v>
      </c>
      <c r="EP585" s="49" t="s">
        <v>298</v>
      </c>
      <c r="EQ585" s="0" t="n">
        <v>1</v>
      </c>
      <c r="ER585" s="49" t="s">
        <v>328</v>
      </c>
      <c r="ES585" s="49" t="s">
        <v>329</v>
      </c>
      <c r="ET585" s="49" t="s">
        <v>310</v>
      </c>
      <c r="EU585" s="49" t="s">
        <v>310</v>
      </c>
      <c r="EV585" s="49" t="s">
        <v>310</v>
      </c>
      <c r="EX585" s="49" t="s">
        <v>303</v>
      </c>
      <c r="EY585" s="49" t="s">
        <v>303</v>
      </c>
      <c r="FC585" s="49" t="s">
        <v>330</v>
      </c>
      <c r="FD585" s="49" t="s">
        <v>310</v>
      </c>
      <c r="FE585" s="49" t="s">
        <v>310</v>
      </c>
      <c r="FF585" s="49" t="s">
        <v>64</v>
      </c>
      <c r="FG585" s="49" t="s">
        <v>397</v>
      </c>
      <c r="FH585" s="49" t="s">
        <v>310</v>
      </c>
      <c r="FI585" s="49" t="s">
        <v>332</v>
      </c>
      <c r="FJ585" s="49" t="s">
        <v>303</v>
      </c>
      <c r="FL585" s="49" t="s">
        <v>325</v>
      </c>
      <c r="FM585" s="49" t="s">
        <v>2610</v>
      </c>
      <c r="FP585" s="49" t="s">
        <v>303</v>
      </c>
      <c r="FR585" s="49" t="s">
        <v>303</v>
      </c>
      <c r="FT585" s="49" t="s">
        <v>325</v>
      </c>
      <c r="FU585" s="49" t="s">
        <v>325</v>
      </c>
      <c r="FW585" s="49" t="s">
        <v>333</v>
      </c>
    </row>
    <row r="586" customFormat="false" ht="15" hidden="false" customHeight="false" outlineLevel="0" collapsed="false">
      <c r="A586" s="0" t="n">
        <v>100865489</v>
      </c>
      <c r="B586" s="0" t="s">
        <v>295</v>
      </c>
      <c r="C586" s="0" t="s">
        <v>64</v>
      </c>
      <c r="D586" s="0" t="s">
        <v>65</v>
      </c>
      <c r="E586" s="0" t="s">
        <v>297</v>
      </c>
      <c r="G586" s="0" t="n">
        <v>1</v>
      </c>
      <c r="H586" s="0" t="s">
        <v>298</v>
      </c>
      <c r="I586" s="48" t="n">
        <v>46180</v>
      </c>
      <c r="J586" s="0" t="n">
        <v>1</v>
      </c>
      <c r="K586" s="49" t="s">
        <v>2610</v>
      </c>
      <c r="L586" s="49" t="s">
        <v>2611</v>
      </c>
      <c r="M586" s="48" t="n">
        <v>46182</v>
      </c>
      <c r="N586" s="49" t="s">
        <v>1204</v>
      </c>
      <c r="O586" s="49" t="s">
        <v>1045</v>
      </c>
      <c r="P586" s="48"/>
      <c r="Q586" s="48" t="n">
        <v>46180</v>
      </c>
      <c r="R586" s="48" t="n">
        <v>46193</v>
      </c>
      <c r="T586" s="49" t="s">
        <v>302</v>
      </c>
      <c r="U586" s="49" t="s">
        <v>303</v>
      </c>
      <c r="Y586" s="49" t="s">
        <v>2630</v>
      </c>
      <c r="AD586" s="49" t="s">
        <v>305</v>
      </c>
      <c r="AE586" s="48" t="n">
        <v>46169</v>
      </c>
      <c r="AF586" s="49" t="s">
        <v>306</v>
      </c>
      <c r="AG586" s="49" t="s">
        <v>307</v>
      </c>
      <c r="AK586" s="49" t="s">
        <v>1047</v>
      </c>
      <c r="AL586" s="49" t="s">
        <v>297</v>
      </c>
      <c r="AO586" s="49" t="s">
        <v>303</v>
      </c>
      <c r="AP586" s="48"/>
      <c r="AR586" s="49" t="s">
        <v>303</v>
      </c>
      <c r="AS586" s="49" t="s">
        <v>306</v>
      </c>
      <c r="AT586" s="49" t="s">
        <v>2631</v>
      </c>
      <c r="AV586" s="49" t="s">
        <v>309</v>
      </c>
      <c r="AW586" s="49" t="s">
        <v>310</v>
      </c>
      <c r="AX586" s="49" t="s">
        <v>311</v>
      </c>
      <c r="AY586" s="48"/>
      <c r="AZ586" s="48" t="n">
        <v>46184</v>
      </c>
      <c r="BC586" s="49" t="s">
        <v>303</v>
      </c>
      <c r="BD586" s="48" t="n">
        <v>46182</v>
      </c>
      <c r="BE586" s="49" t="s">
        <v>2628</v>
      </c>
      <c r="BF586" s="49" t="s">
        <v>303</v>
      </c>
      <c r="BG586" s="48"/>
      <c r="BI586" s="48" t="n">
        <v>46182</v>
      </c>
      <c r="BJ586" s="48" t="n">
        <v>46191</v>
      </c>
      <c r="BK586" s="49" t="s">
        <v>313</v>
      </c>
      <c r="BL586" s="49" t="s">
        <v>313</v>
      </c>
      <c r="BM586" s="49" t="s">
        <v>310</v>
      </c>
      <c r="BN586" s="48"/>
      <c r="BO586" s="48"/>
      <c r="BP586" s="48"/>
      <c r="BQ586" s="49" t="s">
        <v>2610</v>
      </c>
      <c r="BR586" s="48" t="n">
        <v>46191</v>
      </c>
      <c r="BS586" s="49" t="s">
        <v>2619</v>
      </c>
      <c r="BT586" s="49" t="s">
        <v>312</v>
      </c>
      <c r="BU586" s="49" t="s">
        <v>313</v>
      </c>
      <c r="BV586" s="49" t="s">
        <v>303</v>
      </c>
      <c r="BX586" s="0" t="n">
        <v>1</v>
      </c>
      <c r="CC586" s="49" t="s">
        <v>315</v>
      </c>
      <c r="CD586" s="49" t="s">
        <v>303</v>
      </c>
      <c r="CF586" s="49" t="s">
        <v>303</v>
      </c>
      <c r="CG586" s="49" t="s">
        <v>316</v>
      </c>
      <c r="CH586" s="49" t="s">
        <v>317</v>
      </c>
      <c r="CI586" s="49" t="s">
        <v>318</v>
      </c>
      <c r="CM586" s="49" t="s">
        <v>65</v>
      </c>
      <c r="CV586" s="49" t="s">
        <v>303</v>
      </c>
      <c r="DB586" s="49" t="s">
        <v>319</v>
      </c>
      <c r="DD586" s="48" t="n">
        <v>46169</v>
      </c>
      <c r="DF586" s="49" t="s">
        <v>310</v>
      </c>
      <c r="DG586" s="49" t="s">
        <v>320</v>
      </c>
      <c r="DH586" s="49" t="s">
        <v>64</v>
      </c>
      <c r="DI586" s="49" t="s">
        <v>298</v>
      </c>
      <c r="DJ586" s="49" t="s">
        <v>394</v>
      </c>
      <c r="DK586" s="49" t="s">
        <v>322</v>
      </c>
      <c r="DL586" s="49" t="s">
        <v>323</v>
      </c>
      <c r="DM586" s="49" t="s">
        <v>303</v>
      </c>
      <c r="DN586" s="49" t="s">
        <v>297</v>
      </c>
      <c r="DO586" s="48"/>
      <c r="DP586" s="49" t="s">
        <v>312</v>
      </c>
      <c r="DQ586" s="48"/>
      <c r="DR586" s="49" t="s">
        <v>312</v>
      </c>
      <c r="DS586" s="49" t="s">
        <v>303</v>
      </c>
      <c r="DT586" s="49" t="s">
        <v>303</v>
      </c>
      <c r="DW586" s="49" t="s">
        <v>303</v>
      </c>
      <c r="EA586" s="49" t="s">
        <v>324</v>
      </c>
      <c r="EB586" s="49" t="s">
        <v>303</v>
      </c>
      <c r="EF586" s="49" t="s">
        <v>2620</v>
      </c>
      <c r="EH586" s="49" t="s">
        <v>310</v>
      </c>
      <c r="EJ586" s="49" t="s">
        <v>303</v>
      </c>
      <c r="EK586" s="49" t="s">
        <v>2632</v>
      </c>
      <c r="EM586" s="49" t="s">
        <v>303</v>
      </c>
      <c r="EN586" s="49" t="s">
        <v>396</v>
      </c>
      <c r="EP586" s="49" t="s">
        <v>298</v>
      </c>
      <c r="EQ586" s="0" t="n">
        <v>1</v>
      </c>
      <c r="ER586" s="49" t="s">
        <v>328</v>
      </c>
      <c r="ES586" s="49" t="s">
        <v>329</v>
      </c>
      <c r="ET586" s="49" t="s">
        <v>310</v>
      </c>
      <c r="EU586" s="49" t="s">
        <v>310</v>
      </c>
      <c r="EV586" s="49" t="s">
        <v>310</v>
      </c>
      <c r="EX586" s="49" t="s">
        <v>303</v>
      </c>
      <c r="EY586" s="49" t="s">
        <v>303</v>
      </c>
      <c r="FC586" s="49" t="s">
        <v>330</v>
      </c>
      <c r="FD586" s="49" t="s">
        <v>310</v>
      </c>
      <c r="FE586" s="49" t="s">
        <v>310</v>
      </c>
      <c r="FF586" s="49" t="s">
        <v>64</v>
      </c>
      <c r="FG586" s="49" t="s">
        <v>397</v>
      </c>
      <c r="FH586" s="49" t="s">
        <v>310</v>
      </c>
      <c r="FI586" s="49" t="s">
        <v>332</v>
      </c>
      <c r="FJ586" s="49" t="s">
        <v>303</v>
      </c>
      <c r="FL586" s="49" t="s">
        <v>325</v>
      </c>
      <c r="FM586" s="49" t="s">
        <v>2610</v>
      </c>
      <c r="FP586" s="49" t="s">
        <v>303</v>
      </c>
      <c r="FR586" s="49" t="s">
        <v>303</v>
      </c>
      <c r="FT586" s="49" t="s">
        <v>325</v>
      </c>
      <c r="FU586" s="49" t="s">
        <v>325</v>
      </c>
      <c r="FW586" s="49" t="s">
        <v>333</v>
      </c>
    </row>
    <row r="587" customFormat="false" ht="15" hidden="false" customHeight="false" outlineLevel="0" collapsed="false">
      <c r="A587" s="0" t="n">
        <v>100865481</v>
      </c>
      <c r="B587" s="0" t="s">
        <v>295</v>
      </c>
      <c r="C587" s="0" t="s">
        <v>64</v>
      </c>
      <c r="D587" s="0" t="s">
        <v>65</v>
      </c>
      <c r="E587" s="0" t="s">
        <v>297</v>
      </c>
      <c r="G587" s="0" t="n">
        <v>1</v>
      </c>
      <c r="H587" s="0" t="s">
        <v>298</v>
      </c>
      <c r="I587" s="48" t="n">
        <v>46179</v>
      </c>
      <c r="J587" s="0" t="n">
        <v>1</v>
      </c>
      <c r="K587" s="49" t="s">
        <v>2633</v>
      </c>
      <c r="L587" s="49" t="s">
        <v>2611</v>
      </c>
      <c r="M587" s="48" t="n">
        <v>46181</v>
      </c>
      <c r="N587" s="49" t="s">
        <v>1204</v>
      </c>
      <c r="O587" s="49" t="s">
        <v>1045</v>
      </c>
      <c r="P587" s="48"/>
      <c r="Q587" s="48" t="n">
        <v>46179</v>
      </c>
      <c r="R587" s="48" t="n">
        <v>46193</v>
      </c>
      <c r="T587" s="49" t="s">
        <v>302</v>
      </c>
      <c r="U587" s="49" t="s">
        <v>303</v>
      </c>
      <c r="Y587" s="49" t="s">
        <v>2634</v>
      </c>
      <c r="AD587" s="49" t="s">
        <v>305</v>
      </c>
      <c r="AE587" s="48" t="n">
        <v>46169</v>
      </c>
      <c r="AF587" s="49" t="s">
        <v>306</v>
      </c>
      <c r="AG587" s="49" t="s">
        <v>307</v>
      </c>
      <c r="AK587" s="49" t="s">
        <v>1047</v>
      </c>
      <c r="AL587" s="49" t="s">
        <v>297</v>
      </c>
      <c r="AO587" s="49" t="s">
        <v>303</v>
      </c>
      <c r="AP587" s="48"/>
      <c r="AR587" s="49" t="s">
        <v>303</v>
      </c>
      <c r="AS587" s="49" t="s">
        <v>306</v>
      </c>
      <c r="AT587" s="49" t="s">
        <v>2635</v>
      </c>
      <c r="AV587" s="49" t="s">
        <v>309</v>
      </c>
      <c r="AW587" s="49" t="s">
        <v>310</v>
      </c>
      <c r="AX587" s="49" t="s">
        <v>311</v>
      </c>
      <c r="AY587" s="48"/>
      <c r="AZ587" s="48" t="n">
        <v>46184</v>
      </c>
      <c r="BC587" s="49" t="s">
        <v>303</v>
      </c>
      <c r="BD587" s="48" t="n">
        <v>46182</v>
      </c>
      <c r="BE587" s="49" t="s">
        <v>2636</v>
      </c>
      <c r="BF587" s="49" t="s">
        <v>303</v>
      </c>
      <c r="BG587" s="48"/>
      <c r="BI587" s="48" t="n">
        <v>46182</v>
      </c>
      <c r="BJ587" s="48" t="n">
        <v>46191</v>
      </c>
      <c r="BK587" s="49" t="s">
        <v>312</v>
      </c>
      <c r="BL587" s="49" t="s">
        <v>313</v>
      </c>
      <c r="BM587" s="49" t="s">
        <v>310</v>
      </c>
      <c r="BN587" s="48"/>
      <c r="BO587" s="48"/>
      <c r="BP587" s="48"/>
      <c r="BQ587" s="49" t="s">
        <v>2633</v>
      </c>
      <c r="BR587" s="48" t="n">
        <v>46191</v>
      </c>
      <c r="BS587" s="49" t="s">
        <v>2637</v>
      </c>
      <c r="BT587" s="49" t="s">
        <v>312</v>
      </c>
      <c r="BU587" s="49" t="s">
        <v>313</v>
      </c>
      <c r="BV587" s="49" t="s">
        <v>303</v>
      </c>
      <c r="BX587" s="0" t="n">
        <v>1</v>
      </c>
      <c r="CC587" s="49" t="s">
        <v>315</v>
      </c>
      <c r="CD587" s="49" t="s">
        <v>303</v>
      </c>
      <c r="CF587" s="49" t="s">
        <v>303</v>
      </c>
      <c r="CG587" s="49" t="s">
        <v>316</v>
      </c>
      <c r="CH587" s="49" t="s">
        <v>317</v>
      </c>
      <c r="CI587" s="49" t="s">
        <v>318</v>
      </c>
      <c r="CM587" s="49" t="s">
        <v>65</v>
      </c>
      <c r="CV587" s="49" t="s">
        <v>303</v>
      </c>
      <c r="DB587" s="49" t="s">
        <v>319</v>
      </c>
      <c r="DD587" s="48" t="n">
        <v>46169</v>
      </c>
      <c r="DF587" s="49" t="s">
        <v>310</v>
      </c>
      <c r="DG587" s="49" t="s">
        <v>320</v>
      </c>
      <c r="DH587" s="49" t="s">
        <v>64</v>
      </c>
      <c r="DI587" s="49" t="s">
        <v>298</v>
      </c>
      <c r="DJ587" s="49" t="s">
        <v>394</v>
      </c>
      <c r="DK587" s="49" t="s">
        <v>322</v>
      </c>
      <c r="DL587" s="49" t="s">
        <v>323</v>
      </c>
      <c r="DM587" s="49" t="s">
        <v>303</v>
      </c>
      <c r="DN587" s="49" t="s">
        <v>297</v>
      </c>
      <c r="DO587" s="48"/>
      <c r="DP587" s="49" t="s">
        <v>312</v>
      </c>
      <c r="DQ587" s="48"/>
      <c r="DR587" s="49" t="s">
        <v>312</v>
      </c>
      <c r="DS587" s="49" t="s">
        <v>303</v>
      </c>
      <c r="DT587" s="49" t="s">
        <v>303</v>
      </c>
      <c r="DW587" s="49" t="s">
        <v>303</v>
      </c>
      <c r="EA587" s="49" t="s">
        <v>324</v>
      </c>
      <c r="EB587" s="49" t="s">
        <v>303</v>
      </c>
      <c r="EH587" s="49" t="s">
        <v>310</v>
      </c>
      <c r="EJ587" s="49" t="s">
        <v>303</v>
      </c>
      <c r="EK587" s="49" t="s">
        <v>2638</v>
      </c>
      <c r="EM587" s="49" t="s">
        <v>303</v>
      </c>
      <c r="EN587" s="49" t="s">
        <v>396</v>
      </c>
      <c r="EP587" s="49" t="s">
        <v>298</v>
      </c>
      <c r="EQ587" s="0" t="n">
        <v>1</v>
      </c>
      <c r="ER587" s="49" t="s">
        <v>328</v>
      </c>
      <c r="ES587" s="49" t="s">
        <v>329</v>
      </c>
      <c r="ET587" s="49" t="s">
        <v>310</v>
      </c>
      <c r="EU587" s="49" t="s">
        <v>310</v>
      </c>
      <c r="EV587" s="49" t="s">
        <v>310</v>
      </c>
      <c r="EX587" s="49" t="s">
        <v>303</v>
      </c>
      <c r="EY587" s="49" t="s">
        <v>303</v>
      </c>
      <c r="FC587" s="49" t="s">
        <v>330</v>
      </c>
      <c r="FD587" s="49" t="s">
        <v>310</v>
      </c>
      <c r="FE587" s="49" t="s">
        <v>310</v>
      </c>
      <c r="FF587" s="49" t="s">
        <v>64</v>
      </c>
      <c r="FG587" s="49" t="s">
        <v>397</v>
      </c>
      <c r="FH587" s="49" t="s">
        <v>310</v>
      </c>
      <c r="FI587" s="49" t="s">
        <v>332</v>
      </c>
      <c r="FJ587" s="49" t="s">
        <v>303</v>
      </c>
      <c r="FL587" s="49" t="s">
        <v>325</v>
      </c>
      <c r="FM587" s="49" t="s">
        <v>2633</v>
      </c>
      <c r="FP587" s="49" t="s">
        <v>303</v>
      </c>
      <c r="FR587" s="49" t="s">
        <v>303</v>
      </c>
      <c r="FT587" s="49" t="s">
        <v>325</v>
      </c>
      <c r="FU587" s="49" t="s">
        <v>325</v>
      </c>
      <c r="FW587" s="49" t="s">
        <v>333</v>
      </c>
    </row>
    <row r="588" customFormat="false" ht="15" hidden="false" customHeight="false" outlineLevel="0" collapsed="false">
      <c r="A588" s="0" t="n">
        <v>100865482</v>
      </c>
      <c r="B588" s="0" t="s">
        <v>295</v>
      </c>
      <c r="C588" s="0" t="s">
        <v>64</v>
      </c>
      <c r="D588" s="0" t="s">
        <v>65</v>
      </c>
      <c r="E588" s="0" t="s">
        <v>297</v>
      </c>
      <c r="G588" s="0" t="n">
        <v>1</v>
      </c>
      <c r="H588" s="0" t="s">
        <v>298</v>
      </c>
      <c r="I588" s="48" t="n">
        <v>46179</v>
      </c>
      <c r="J588" s="0" t="n">
        <v>1</v>
      </c>
      <c r="K588" s="49" t="s">
        <v>2633</v>
      </c>
      <c r="L588" s="49" t="s">
        <v>2611</v>
      </c>
      <c r="M588" s="48" t="n">
        <v>46181</v>
      </c>
      <c r="N588" s="49" t="s">
        <v>1204</v>
      </c>
      <c r="O588" s="49" t="s">
        <v>1045</v>
      </c>
      <c r="P588" s="48"/>
      <c r="Q588" s="48" t="n">
        <v>46179</v>
      </c>
      <c r="R588" s="48" t="n">
        <v>46192</v>
      </c>
      <c r="T588" s="49" t="s">
        <v>302</v>
      </c>
      <c r="U588" s="49" t="s">
        <v>303</v>
      </c>
      <c r="Y588" s="49" t="s">
        <v>2639</v>
      </c>
      <c r="AD588" s="49" t="s">
        <v>305</v>
      </c>
      <c r="AE588" s="48" t="n">
        <v>46169</v>
      </c>
      <c r="AF588" s="49" t="s">
        <v>306</v>
      </c>
      <c r="AG588" s="49" t="s">
        <v>307</v>
      </c>
      <c r="AK588" s="49" t="s">
        <v>1047</v>
      </c>
      <c r="AL588" s="49" t="s">
        <v>297</v>
      </c>
      <c r="AO588" s="49" t="s">
        <v>303</v>
      </c>
      <c r="AP588" s="48"/>
      <c r="AR588" s="49" t="s">
        <v>303</v>
      </c>
      <c r="AS588" s="49" t="s">
        <v>306</v>
      </c>
      <c r="AT588" s="49" t="s">
        <v>2640</v>
      </c>
      <c r="AV588" s="49" t="s">
        <v>309</v>
      </c>
      <c r="AW588" s="49" t="s">
        <v>310</v>
      </c>
      <c r="AX588" s="49" t="s">
        <v>311</v>
      </c>
      <c r="AY588" s="48"/>
      <c r="AZ588" s="48" t="n">
        <v>46184</v>
      </c>
      <c r="BC588" s="49" t="s">
        <v>303</v>
      </c>
      <c r="BD588" s="48" t="n">
        <v>46182</v>
      </c>
      <c r="BE588" s="49" t="s">
        <v>2636</v>
      </c>
      <c r="BF588" s="49" t="s">
        <v>303</v>
      </c>
      <c r="BG588" s="48"/>
      <c r="BI588" s="48" t="n">
        <v>46182</v>
      </c>
      <c r="BJ588" s="48" t="n">
        <v>46191</v>
      </c>
      <c r="BK588" s="49" t="s">
        <v>313</v>
      </c>
      <c r="BL588" s="49" t="s">
        <v>313</v>
      </c>
      <c r="BM588" s="49" t="s">
        <v>310</v>
      </c>
      <c r="BN588" s="48"/>
      <c r="BO588" s="48"/>
      <c r="BP588" s="48"/>
      <c r="BQ588" s="49" t="s">
        <v>2633</v>
      </c>
      <c r="BR588" s="48" t="n">
        <v>46191</v>
      </c>
      <c r="BS588" s="49" t="s">
        <v>2637</v>
      </c>
      <c r="BT588" s="49" t="s">
        <v>312</v>
      </c>
      <c r="BU588" s="49" t="s">
        <v>313</v>
      </c>
      <c r="BV588" s="49" t="s">
        <v>303</v>
      </c>
      <c r="BX588" s="0" t="n">
        <v>1</v>
      </c>
      <c r="CC588" s="49" t="s">
        <v>315</v>
      </c>
      <c r="CD588" s="49" t="s">
        <v>303</v>
      </c>
      <c r="CF588" s="49" t="s">
        <v>303</v>
      </c>
      <c r="CG588" s="49" t="s">
        <v>316</v>
      </c>
      <c r="CH588" s="49" t="s">
        <v>317</v>
      </c>
      <c r="CI588" s="49" t="s">
        <v>318</v>
      </c>
      <c r="CM588" s="49" t="s">
        <v>65</v>
      </c>
      <c r="CV588" s="49" t="s">
        <v>303</v>
      </c>
      <c r="DB588" s="49" t="s">
        <v>319</v>
      </c>
      <c r="DD588" s="48" t="n">
        <v>46169</v>
      </c>
      <c r="DF588" s="49" t="s">
        <v>310</v>
      </c>
      <c r="DG588" s="49" t="s">
        <v>320</v>
      </c>
      <c r="DH588" s="49" t="s">
        <v>64</v>
      </c>
      <c r="DI588" s="49" t="s">
        <v>298</v>
      </c>
      <c r="DJ588" s="49" t="s">
        <v>394</v>
      </c>
      <c r="DK588" s="49" t="s">
        <v>322</v>
      </c>
      <c r="DL588" s="49" t="s">
        <v>323</v>
      </c>
      <c r="DM588" s="49" t="s">
        <v>303</v>
      </c>
      <c r="DN588" s="49" t="s">
        <v>297</v>
      </c>
      <c r="DO588" s="48"/>
      <c r="DP588" s="49" t="s">
        <v>312</v>
      </c>
      <c r="DQ588" s="48"/>
      <c r="DR588" s="49" t="s">
        <v>312</v>
      </c>
      <c r="DS588" s="49" t="s">
        <v>303</v>
      </c>
      <c r="DT588" s="49" t="s">
        <v>303</v>
      </c>
      <c r="DW588" s="49" t="s">
        <v>303</v>
      </c>
      <c r="EA588" s="49" t="s">
        <v>324</v>
      </c>
      <c r="EB588" s="49" t="s">
        <v>303</v>
      </c>
      <c r="EF588" s="49" t="s">
        <v>2641</v>
      </c>
      <c r="EH588" s="49" t="s">
        <v>310</v>
      </c>
      <c r="EJ588" s="49" t="s">
        <v>303</v>
      </c>
      <c r="EK588" s="49" t="s">
        <v>2642</v>
      </c>
      <c r="EM588" s="49" t="s">
        <v>303</v>
      </c>
      <c r="EN588" s="49" t="s">
        <v>396</v>
      </c>
      <c r="EP588" s="49" t="s">
        <v>298</v>
      </c>
      <c r="EQ588" s="0" t="n">
        <v>1</v>
      </c>
      <c r="ER588" s="49" t="s">
        <v>328</v>
      </c>
      <c r="ES588" s="49" t="s">
        <v>329</v>
      </c>
      <c r="ET588" s="49" t="s">
        <v>310</v>
      </c>
      <c r="EU588" s="49" t="s">
        <v>310</v>
      </c>
      <c r="EV588" s="49" t="s">
        <v>310</v>
      </c>
      <c r="EX588" s="49" t="s">
        <v>303</v>
      </c>
      <c r="EY588" s="49" t="s">
        <v>303</v>
      </c>
      <c r="FC588" s="49" t="s">
        <v>330</v>
      </c>
      <c r="FD588" s="49" t="s">
        <v>310</v>
      </c>
      <c r="FE588" s="49" t="s">
        <v>310</v>
      </c>
      <c r="FF588" s="49" t="s">
        <v>64</v>
      </c>
      <c r="FG588" s="49" t="s">
        <v>397</v>
      </c>
      <c r="FH588" s="49" t="s">
        <v>310</v>
      </c>
      <c r="FI588" s="49" t="s">
        <v>332</v>
      </c>
      <c r="FJ588" s="49" t="s">
        <v>303</v>
      </c>
      <c r="FL588" s="49" t="s">
        <v>325</v>
      </c>
      <c r="FM588" s="49" t="s">
        <v>2633</v>
      </c>
      <c r="FP588" s="49" t="s">
        <v>303</v>
      </c>
      <c r="FR588" s="49" t="s">
        <v>303</v>
      </c>
      <c r="FT588" s="49" t="s">
        <v>325</v>
      </c>
      <c r="FU588" s="49" t="s">
        <v>325</v>
      </c>
      <c r="FW588" s="49" t="s">
        <v>333</v>
      </c>
    </row>
    <row r="589" customFormat="false" ht="15" hidden="false" customHeight="false" outlineLevel="0" collapsed="false">
      <c r="A589" s="0" t="n">
        <v>100865460</v>
      </c>
      <c r="B589" s="0" t="s">
        <v>295</v>
      </c>
      <c r="C589" s="0" t="s">
        <v>68</v>
      </c>
      <c r="D589" s="0" t="s">
        <v>456</v>
      </c>
      <c r="E589" s="0" t="s">
        <v>297</v>
      </c>
      <c r="G589" s="0" t="n">
        <v>1</v>
      </c>
      <c r="H589" s="0" t="s">
        <v>298</v>
      </c>
      <c r="I589" s="48" t="n">
        <v>46178</v>
      </c>
      <c r="J589" s="0" t="n">
        <v>1</v>
      </c>
      <c r="K589" s="49" t="s">
        <v>2643</v>
      </c>
      <c r="L589" s="49" t="s">
        <v>1035</v>
      </c>
      <c r="M589" s="48" t="n">
        <v>46178</v>
      </c>
      <c r="N589" s="49" t="s">
        <v>1035</v>
      </c>
      <c r="O589" s="49" t="s">
        <v>1052</v>
      </c>
      <c r="P589" s="48"/>
      <c r="Q589" s="48" t="n">
        <v>46178</v>
      </c>
      <c r="R589" s="48" t="n">
        <v>46185</v>
      </c>
      <c r="T589" s="49" t="s">
        <v>302</v>
      </c>
      <c r="U589" s="49" t="s">
        <v>303</v>
      </c>
      <c r="Y589" s="49" t="s">
        <v>2644</v>
      </c>
      <c r="AD589" s="49" t="s">
        <v>305</v>
      </c>
      <c r="AE589" s="48" t="n">
        <v>46171</v>
      </c>
      <c r="AF589" s="49" t="s">
        <v>306</v>
      </c>
      <c r="AG589" s="49" t="s">
        <v>307</v>
      </c>
      <c r="AK589" s="49" t="s">
        <v>1047</v>
      </c>
      <c r="AL589" s="49" t="s">
        <v>297</v>
      </c>
      <c r="AO589" s="49" t="s">
        <v>303</v>
      </c>
      <c r="AP589" s="48"/>
      <c r="AR589" s="49" t="s">
        <v>303</v>
      </c>
      <c r="AS589" s="49" t="s">
        <v>306</v>
      </c>
      <c r="AT589" s="49" t="s">
        <v>2645</v>
      </c>
      <c r="AV589" s="49" t="s">
        <v>309</v>
      </c>
      <c r="AW589" s="49" t="s">
        <v>310</v>
      </c>
      <c r="AX589" s="49" t="s">
        <v>311</v>
      </c>
      <c r="AY589" s="48"/>
      <c r="AZ589" s="48" t="n">
        <v>46176</v>
      </c>
      <c r="BC589" s="49" t="s">
        <v>303</v>
      </c>
      <c r="BD589" s="48" t="n">
        <v>46238</v>
      </c>
      <c r="BE589" s="49" t="s">
        <v>2646</v>
      </c>
      <c r="BF589" s="49" t="s">
        <v>303</v>
      </c>
      <c r="BG589" s="48"/>
      <c r="BI589" s="48" t="n">
        <v>46239</v>
      </c>
      <c r="BJ589" s="48" t="n">
        <v>46183</v>
      </c>
      <c r="BK589" s="49" t="s">
        <v>312</v>
      </c>
      <c r="BL589" s="49" t="s">
        <v>313</v>
      </c>
      <c r="BM589" s="49" t="s">
        <v>310</v>
      </c>
      <c r="BN589" s="48"/>
      <c r="BO589" s="48"/>
      <c r="BP589" s="48"/>
      <c r="BQ589" s="49" t="s">
        <v>2580</v>
      </c>
      <c r="BR589" s="48" t="n">
        <v>46183</v>
      </c>
      <c r="BS589" s="49" t="s">
        <v>2647</v>
      </c>
      <c r="BT589" s="49" t="s">
        <v>312</v>
      </c>
      <c r="BU589" s="49" t="s">
        <v>313</v>
      </c>
      <c r="BV589" s="49" t="s">
        <v>303</v>
      </c>
      <c r="BX589" s="0" t="n">
        <v>1</v>
      </c>
      <c r="CC589" s="49" t="s">
        <v>315</v>
      </c>
      <c r="CD589" s="49" t="s">
        <v>303</v>
      </c>
      <c r="CF589" s="49" t="s">
        <v>303</v>
      </c>
      <c r="CG589" s="49" t="s">
        <v>316</v>
      </c>
      <c r="CH589" s="49" t="s">
        <v>317</v>
      </c>
      <c r="CI589" s="49" t="s">
        <v>318</v>
      </c>
      <c r="CM589" s="49" t="s">
        <v>456</v>
      </c>
      <c r="CV589" s="49" t="s">
        <v>303</v>
      </c>
      <c r="DB589" s="49" t="s">
        <v>319</v>
      </c>
      <c r="DD589" s="48" t="n">
        <v>46171</v>
      </c>
      <c r="DF589" s="49" t="s">
        <v>310</v>
      </c>
      <c r="DG589" s="49" t="s">
        <v>320</v>
      </c>
      <c r="DH589" s="49" t="s">
        <v>68</v>
      </c>
      <c r="DI589" s="49" t="s">
        <v>298</v>
      </c>
      <c r="DJ589" s="49" t="s">
        <v>321</v>
      </c>
      <c r="DK589" s="49" t="s">
        <v>322</v>
      </c>
      <c r="DL589" s="49" t="s">
        <v>323</v>
      </c>
      <c r="DM589" s="49" t="s">
        <v>303</v>
      </c>
      <c r="DN589" s="49" t="s">
        <v>297</v>
      </c>
      <c r="DO589" s="48"/>
      <c r="DP589" s="49" t="s">
        <v>312</v>
      </c>
      <c r="DQ589" s="48"/>
      <c r="DR589" s="49" t="s">
        <v>312</v>
      </c>
      <c r="DS589" s="49" t="s">
        <v>303</v>
      </c>
      <c r="DT589" s="49" t="s">
        <v>303</v>
      </c>
      <c r="DW589" s="49" t="s">
        <v>303</v>
      </c>
      <c r="EA589" s="49" t="s">
        <v>324</v>
      </c>
      <c r="EB589" s="49" t="s">
        <v>303</v>
      </c>
      <c r="EH589" s="49" t="s">
        <v>310</v>
      </c>
      <c r="EJ589" s="49" t="s">
        <v>303</v>
      </c>
      <c r="EK589" s="49" t="s">
        <v>2648</v>
      </c>
      <c r="EM589" s="49" t="s">
        <v>303</v>
      </c>
      <c r="EN589" s="49" t="s">
        <v>460</v>
      </c>
      <c r="EP589" s="49" t="s">
        <v>298</v>
      </c>
      <c r="EQ589" s="0" t="n">
        <v>1</v>
      </c>
      <c r="ER589" s="49" t="s">
        <v>328</v>
      </c>
      <c r="ES589" s="49" t="s">
        <v>329</v>
      </c>
      <c r="ET589" s="49" t="s">
        <v>310</v>
      </c>
      <c r="EU589" s="49" t="s">
        <v>310</v>
      </c>
      <c r="EV589" s="49" t="s">
        <v>310</v>
      </c>
      <c r="EX589" s="49" t="s">
        <v>303</v>
      </c>
      <c r="EY589" s="49" t="s">
        <v>303</v>
      </c>
      <c r="FC589" s="49" t="s">
        <v>330</v>
      </c>
      <c r="FD589" s="49" t="s">
        <v>310</v>
      </c>
      <c r="FE589" s="49" t="s">
        <v>310</v>
      </c>
      <c r="FF589" s="49" t="s">
        <v>68</v>
      </c>
      <c r="FG589" s="49" t="s">
        <v>461</v>
      </c>
      <c r="FH589" s="49" t="s">
        <v>310</v>
      </c>
      <c r="FI589" s="49" t="s">
        <v>332</v>
      </c>
      <c r="FJ589" s="49" t="s">
        <v>303</v>
      </c>
      <c r="FL589" s="49" t="s">
        <v>325</v>
      </c>
      <c r="FM589" s="49" t="s">
        <v>2643</v>
      </c>
      <c r="FP589" s="49" t="s">
        <v>303</v>
      </c>
      <c r="FR589" s="49" t="s">
        <v>303</v>
      </c>
      <c r="FT589" s="49" t="s">
        <v>325</v>
      </c>
      <c r="FU589" s="49" t="s">
        <v>325</v>
      </c>
      <c r="FW589" s="49" t="s">
        <v>333</v>
      </c>
    </row>
    <row r="590" customFormat="false" ht="15" hidden="false" customHeight="false" outlineLevel="0" collapsed="false">
      <c r="A590" s="0" t="n">
        <v>100865461</v>
      </c>
      <c r="B590" s="0" t="s">
        <v>295</v>
      </c>
      <c r="C590" s="0" t="s">
        <v>68</v>
      </c>
      <c r="D590" s="0" t="s">
        <v>456</v>
      </c>
      <c r="E590" s="0" t="s">
        <v>297</v>
      </c>
      <c r="G590" s="0" t="n">
        <v>1</v>
      </c>
      <c r="H590" s="0" t="s">
        <v>298</v>
      </c>
      <c r="I590" s="48" t="n">
        <v>46178</v>
      </c>
      <c r="J590" s="0" t="n">
        <v>1</v>
      </c>
      <c r="K590" s="49" t="s">
        <v>2643</v>
      </c>
      <c r="L590" s="49" t="s">
        <v>1035</v>
      </c>
      <c r="M590" s="48" t="n">
        <v>46181</v>
      </c>
      <c r="N590" s="49" t="s">
        <v>1630</v>
      </c>
      <c r="O590" s="49" t="s">
        <v>1052</v>
      </c>
      <c r="P590" s="48"/>
      <c r="Q590" s="48" t="n">
        <v>46178</v>
      </c>
      <c r="R590" s="48" t="n">
        <v>46185</v>
      </c>
      <c r="T590" s="49" t="s">
        <v>302</v>
      </c>
      <c r="U590" s="49" t="s">
        <v>303</v>
      </c>
      <c r="Y590" s="49" t="s">
        <v>2649</v>
      </c>
      <c r="AD590" s="49" t="s">
        <v>305</v>
      </c>
      <c r="AE590" s="48" t="n">
        <v>46171</v>
      </c>
      <c r="AF590" s="49" t="s">
        <v>306</v>
      </c>
      <c r="AG590" s="49" t="s">
        <v>307</v>
      </c>
      <c r="AK590" s="49" t="s">
        <v>1047</v>
      </c>
      <c r="AL590" s="49" t="s">
        <v>297</v>
      </c>
      <c r="AO590" s="49" t="s">
        <v>303</v>
      </c>
      <c r="AP590" s="48"/>
      <c r="AR590" s="49" t="s">
        <v>303</v>
      </c>
      <c r="AS590" s="49" t="s">
        <v>306</v>
      </c>
      <c r="AT590" s="49" t="s">
        <v>2650</v>
      </c>
      <c r="AV590" s="49" t="s">
        <v>309</v>
      </c>
      <c r="AW590" s="49" t="s">
        <v>310</v>
      </c>
      <c r="AX590" s="49" t="s">
        <v>311</v>
      </c>
      <c r="AY590" s="48"/>
      <c r="AZ590" s="48" t="n">
        <v>46178</v>
      </c>
      <c r="BC590" s="49" t="s">
        <v>303</v>
      </c>
      <c r="BD590" s="48" t="n">
        <v>46235</v>
      </c>
      <c r="BE590" s="49" t="s">
        <v>2651</v>
      </c>
      <c r="BF590" s="49" t="s">
        <v>303</v>
      </c>
      <c r="BG590" s="48"/>
      <c r="BI590" s="48" t="n">
        <v>46235</v>
      </c>
      <c r="BJ590" s="48" t="n">
        <v>46184</v>
      </c>
      <c r="BK590" s="49" t="s">
        <v>313</v>
      </c>
      <c r="BL590" s="49" t="s">
        <v>313</v>
      </c>
      <c r="BM590" s="49" t="s">
        <v>310</v>
      </c>
      <c r="BN590" s="48"/>
      <c r="BO590" s="48"/>
      <c r="BP590" s="48"/>
      <c r="BQ590" s="49" t="s">
        <v>2580</v>
      </c>
      <c r="BR590" s="48" t="n">
        <v>46184</v>
      </c>
      <c r="BS590" s="49" t="s">
        <v>2647</v>
      </c>
      <c r="BT590" s="49" t="s">
        <v>312</v>
      </c>
      <c r="BU590" s="49" t="s">
        <v>313</v>
      </c>
      <c r="BV590" s="49" t="s">
        <v>303</v>
      </c>
      <c r="BX590" s="0" t="n">
        <v>1</v>
      </c>
      <c r="CC590" s="49" t="s">
        <v>315</v>
      </c>
      <c r="CD590" s="49" t="s">
        <v>303</v>
      </c>
      <c r="CF590" s="49" t="s">
        <v>303</v>
      </c>
      <c r="CG590" s="49" t="s">
        <v>316</v>
      </c>
      <c r="CH590" s="49" t="s">
        <v>317</v>
      </c>
      <c r="CI590" s="49" t="s">
        <v>318</v>
      </c>
      <c r="CM590" s="49" t="s">
        <v>456</v>
      </c>
      <c r="CV590" s="49" t="s">
        <v>303</v>
      </c>
      <c r="DB590" s="49" t="s">
        <v>319</v>
      </c>
      <c r="DD590" s="48" t="n">
        <v>46171</v>
      </c>
      <c r="DF590" s="49" t="s">
        <v>310</v>
      </c>
      <c r="DG590" s="49" t="s">
        <v>320</v>
      </c>
      <c r="DH590" s="49" t="s">
        <v>68</v>
      </c>
      <c r="DI590" s="49" t="s">
        <v>298</v>
      </c>
      <c r="DJ590" s="49" t="s">
        <v>321</v>
      </c>
      <c r="DK590" s="49" t="s">
        <v>322</v>
      </c>
      <c r="DL590" s="49" t="s">
        <v>323</v>
      </c>
      <c r="DM590" s="49" t="s">
        <v>303</v>
      </c>
      <c r="DN590" s="49" t="s">
        <v>297</v>
      </c>
      <c r="DO590" s="48"/>
      <c r="DP590" s="49" t="s">
        <v>312</v>
      </c>
      <c r="DQ590" s="48"/>
      <c r="DR590" s="49" t="s">
        <v>312</v>
      </c>
      <c r="DS590" s="49" t="s">
        <v>303</v>
      </c>
      <c r="DT590" s="49" t="s">
        <v>303</v>
      </c>
      <c r="DW590" s="49" t="s">
        <v>303</v>
      </c>
      <c r="EA590" s="49" t="s">
        <v>324</v>
      </c>
      <c r="EB590" s="49" t="s">
        <v>303</v>
      </c>
      <c r="EF590" s="49" t="s">
        <v>2652</v>
      </c>
      <c r="EH590" s="49" t="s">
        <v>310</v>
      </c>
      <c r="EJ590" s="49" t="s">
        <v>303</v>
      </c>
      <c r="EK590" s="49" t="s">
        <v>2653</v>
      </c>
      <c r="EM590" s="49" t="s">
        <v>303</v>
      </c>
      <c r="EN590" s="49" t="s">
        <v>460</v>
      </c>
      <c r="EP590" s="49" t="s">
        <v>298</v>
      </c>
      <c r="EQ590" s="0" t="n">
        <v>1</v>
      </c>
      <c r="ER590" s="49" t="s">
        <v>328</v>
      </c>
      <c r="ES590" s="49" t="s">
        <v>329</v>
      </c>
      <c r="ET590" s="49" t="s">
        <v>310</v>
      </c>
      <c r="EU590" s="49" t="s">
        <v>310</v>
      </c>
      <c r="EV590" s="49" t="s">
        <v>310</v>
      </c>
      <c r="EX590" s="49" t="s">
        <v>303</v>
      </c>
      <c r="EY590" s="49" t="s">
        <v>303</v>
      </c>
      <c r="FC590" s="49" t="s">
        <v>330</v>
      </c>
      <c r="FD590" s="49" t="s">
        <v>310</v>
      </c>
      <c r="FE590" s="49" t="s">
        <v>310</v>
      </c>
      <c r="FF590" s="49" t="s">
        <v>68</v>
      </c>
      <c r="FG590" s="49" t="s">
        <v>461</v>
      </c>
      <c r="FH590" s="49" t="s">
        <v>310</v>
      </c>
      <c r="FI590" s="49" t="s">
        <v>332</v>
      </c>
      <c r="FJ590" s="49" t="s">
        <v>303</v>
      </c>
      <c r="FL590" s="49" t="s">
        <v>325</v>
      </c>
      <c r="FM590" s="49" t="s">
        <v>2654</v>
      </c>
      <c r="FP590" s="49" t="s">
        <v>303</v>
      </c>
      <c r="FR590" s="49" t="s">
        <v>303</v>
      </c>
      <c r="FT590" s="49" t="s">
        <v>325</v>
      </c>
      <c r="FU590" s="49" t="s">
        <v>325</v>
      </c>
      <c r="FW590" s="49" t="s">
        <v>333</v>
      </c>
    </row>
    <row r="591" customFormat="false" ht="15" hidden="false" customHeight="false" outlineLevel="0" collapsed="false">
      <c r="A591" s="0" t="n">
        <v>100865463</v>
      </c>
      <c r="B591" s="0" t="s">
        <v>295</v>
      </c>
      <c r="C591" s="0" t="s">
        <v>68</v>
      </c>
      <c r="D591" s="0" t="s">
        <v>456</v>
      </c>
      <c r="E591" s="0" t="s">
        <v>297</v>
      </c>
      <c r="G591" s="0" t="n">
        <v>1</v>
      </c>
      <c r="H591" s="0" t="s">
        <v>298</v>
      </c>
      <c r="I591" s="48" t="n">
        <v>46178</v>
      </c>
      <c r="J591" s="0" t="n">
        <v>1</v>
      </c>
      <c r="K591" s="49" t="s">
        <v>2643</v>
      </c>
      <c r="L591" s="49" t="s">
        <v>1035</v>
      </c>
      <c r="M591" s="48" t="n">
        <v>46181</v>
      </c>
      <c r="N591" s="49" t="s">
        <v>1630</v>
      </c>
      <c r="O591" s="49" t="s">
        <v>1052</v>
      </c>
      <c r="P591" s="48"/>
      <c r="Q591" s="48" t="n">
        <v>46178</v>
      </c>
      <c r="R591" s="48" t="n">
        <v>46185</v>
      </c>
      <c r="T591" s="49" t="s">
        <v>302</v>
      </c>
      <c r="U591" s="49" t="s">
        <v>303</v>
      </c>
      <c r="Y591" s="49" t="s">
        <v>2655</v>
      </c>
      <c r="AD591" s="49" t="s">
        <v>305</v>
      </c>
      <c r="AE591" s="48" t="n">
        <v>46171</v>
      </c>
      <c r="AF591" s="49" t="s">
        <v>306</v>
      </c>
      <c r="AG591" s="49" t="s">
        <v>307</v>
      </c>
      <c r="AK591" s="49" t="s">
        <v>1047</v>
      </c>
      <c r="AL591" s="49" t="s">
        <v>297</v>
      </c>
      <c r="AO591" s="49" t="s">
        <v>303</v>
      </c>
      <c r="AP591" s="48"/>
      <c r="AR591" s="49" t="s">
        <v>303</v>
      </c>
      <c r="AS591" s="49" t="s">
        <v>306</v>
      </c>
      <c r="AT591" s="49" t="s">
        <v>2656</v>
      </c>
      <c r="AV591" s="49" t="s">
        <v>309</v>
      </c>
      <c r="AW591" s="49" t="s">
        <v>310</v>
      </c>
      <c r="AX591" s="49" t="s">
        <v>311</v>
      </c>
      <c r="AY591" s="48"/>
      <c r="AZ591" s="48" t="n">
        <v>46178</v>
      </c>
      <c r="BC591" s="49" t="s">
        <v>303</v>
      </c>
      <c r="BD591" s="48" t="n">
        <v>46231</v>
      </c>
      <c r="BE591" s="49" t="s">
        <v>2657</v>
      </c>
      <c r="BF591" s="49" t="s">
        <v>303</v>
      </c>
      <c r="BG591" s="48"/>
      <c r="BI591" s="48" t="n">
        <v>46231</v>
      </c>
      <c r="BJ591" s="48" t="n">
        <v>46184</v>
      </c>
      <c r="BK591" s="49" t="s">
        <v>313</v>
      </c>
      <c r="BL591" s="49" t="s">
        <v>313</v>
      </c>
      <c r="BM591" s="49" t="s">
        <v>310</v>
      </c>
      <c r="BN591" s="48"/>
      <c r="BO591" s="48"/>
      <c r="BP591" s="48"/>
      <c r="BQ591" s="49" t="s">
        <v>2580</v>
      </c>
      <c r="BR591" s="48" t="n">
        <v>46184</v>
      </c>
      <c r="BS591" s="49" t="s">
        <v>2658</v>
      </c>
      <c r="BT591" s="49" t="s">
        <v>312</v>
      </c>
      <c r="BU591" s="49" t="s">
        <v>313</v>
      </c>
      <c r="BV591" s="49" t="s">
        <v>303</v>
      </c>
      <c r="BX591" s="0" t="n">
        <v>1</v>
      </c>
      <c r="CC591" s="49" t="s">
        <v>315</v>
      </c>
      <c r="CD591" s="49" t="s">
        <v>303</v>
      </c>
      <c r="CF591" s="49" t="s">
        <v>303</v>
      </c>
      <c r="CG591" s="49" t="s">
        <v>316</v>
      </c>
      <c r="CH591" s="49" t="s">
        <v>317</v>
      </c>
      <c r="CI591" s="49" t="s">
        <v>318</v>
      </c>
      <c r="CM591" s="49" t="s">
        <v>456</v>
      </c>
      <c r="CV591" s="49" t="s">
        <v>303</v>
      </c>
      <c r="DB591" s="49" t="s">
        <v>319</v>
      </c>
      <c r="DD591" s="48" t="n">
        <v>46171</v>
      </c>
      <c r="DF591" s="49" t="s">
        <v>310</v>
      </c>
      <c r="DG591" s="49" t="s">
        <v>320</v>
      </c>
      <c r="DH591" s="49" t="s">
        <v>68</v>
      </c>
      <c r="DI591" s="49" t="s">
        <v>298</v>
      </c>
      <c r="DJ591" s="49" t="s">
        <v>321</v>
      </c>
      <c r="DK591" s="49" t="s">
        <v>322</v>
      </c>
      <c r="DL591" s="49" t="s">
        <v>323</v>
      </c>
      <c r="DM591" s="49" t="s">
        <v>303</v>
      </c>
      <c r="DN591" s="49" t="s">
        <v>297</v>
      </c>
      <c r="DO591" s="48"/>
      <c r="DP591" s="49" t="s">
        <v>312</v>
      </c>
      <c r="DQ591" s="48"/>
      <c r="DR591" s="49" t="s">
        <v>312</v>
      </c>
      <c r="DS591" s="49" t="s">
        <v>303</v>
      </c>
      <c r="DT591" s="49" t="s">
        <v>303</v>
      </c>
      <c r="DW591" s="49" t="s">
        <v>303</v>
      </c>
      <c r="EA591" s="49" t="s">
        <v>324</v>
      </c>
      <c r="EB591" s="49" t="s">
        <v>303</v>
      </c>
      <c r="EF591" s="49" t="s">
        <v>2652</v>
      </c>
      <c r="EH591" s="49" t="s">
        <v>310</v>
      </c>
      <c r="EJ591" s="49" t="s">
        <v>303</v>
      </c>
      <c r="EK591" s="49" t="s">
        <v>2659</v>
      </c>
      <c r="EM591" s="49" t="s">
        <v>303</v>
      </c>
      <c r="EN591" s="49" t="s">
        <v>460</v>
      </c>
      <c r="EP591" s="49" t="s">
        <v>298</v>
      </c>
      <c r="EQ591" s="0" t="n">
        <v>1</v>
      </c>
      <c r="ER591" s="49" t="s">
        <v>328</v>
      </c>
      <c r="ES591" s="49" t="s">
        <v>329</v>
      </c>
      <c r="ET591" s="49" t="s">
        <v>310</v>
      </c>
      <c r="EU591" s="49" t="s">
        <v>310</v>
      </c>
      <c r="EV591" s="49" t="s">
        <v>310</v>
      </c>
      <c r="EX591" s="49" t="s">
        <v>303</v>
      </c>
      <c r="EY591" s="49" t="s">
        <v>303</v>
      </c>
      <c r="FC591" s="49" t="s">
        <v>330</v>
      </c>
      <c r="FD591" s="49" t="s">
        <v>310</v>
      </c>
      <c r="FE591" s="49" t="s">
        <v>310</v>
      </c>
      <c r="FF591" s="49" t="s">
        <v>68</v>
      </c>
      <c r="FG591" s="49" t="s">
        <v>461</v>
      </c>
      <c r="FH591" s="49" t="s">
        <v>310</v>
      </c>
      <c r="FI591" s="49" t="s">
        <v>332</v>
      </c>
      <c r="FJ591" s="49" t="s">
        <v>303</v>
      </c>
      <c r="FL591" s="49" t="s">
        <v>325</v>
      </c>
      <c r="FM591" s="49" t="s">
        <v>2654</v>
      </c>
      <c r="FP591" s="49" t="s">
        <v>303</v>
      </c>
      <c r="FR591" s="49" t="s">
        <v>303</v>
      </c>
      <c r="FT591" s="49" t="s">
        <v>325</v>
      </c>
      <c r="FU591" s="49" t="s">
        <v>325</v>
      </c>
      <c r="FW591" s="49" t="s">
        <v>333</v>
      </c>
    </row>
    <row r="592" customFormat="false" ht="15" hidden="false" customHeight="false" outlineLevel="0" collapsed="false">
      <c r="A592" s="0" t="n">
        <v>100865325</v>
      </c>
      <c r="B592" s="0" t="s">
        <v>295</v>
      </c>
      <c r="C592" s="0" t="s">
        <v>68</v>
      </c>
      <c r="D592" s="0" t="s">
        <v>456</v>
      </c>
      <c r="E592" s="0" t="s">
        <v>297</v>
      </c>
      <c r="G592" s="0" t="n">
        <v>1</v>
      </c>
      <c r="H592" s="0" t="s">
        <v>298</v>
      </c>
      <c r="I592" s="48" t="n">
        <v>46177</v>
      </c>
      <c r="J592" s="0" t="n">
        <v>1</v>
      </c>
      <c r="K592" s="49" t="s">
        <v>2660</v>
      </c>
      <c r="L592" s="49" t="s">
        <v>2611</v>
      </c>
      <c r="M592" s="48" t="n">
        <v>46177</v>
      </c>
      <c r="N592" s="49" t="s">
        <v>2611</v>
      </c>
      <c r="O592" s="49" t="s">
        <v>1052</v>
      </c>
      <c r="P592" s="48"/>
      <c r="Q592" s="48" t="n">
        <v>46177</v>
      </c>
      <c r="R592" s="48" t="n">
        <v>46191</v>
      </c>
      <c r="T592" s="49" t="s">
        <v>302</v>
      </c>
      <c r="U592" s="49" t="s">
        <v>303</v>
      </c>
      <c r="Y592" s="49" t="s">
        <v>2661</v>
      </c>
      <c r="AD592" s="49" t="s">
        <v>305</v>
      </c>
      <c r="AE592" s="48" t="n">
        <v>46171</v>
      </c>
      <c r="AF592" s="49" t="s">
        <v>306</v>
      </c>
      <c r="AG592" s="49" t="s">
        <v>307</v>
      </c>
      <c r="AK592" s="49" t="s">
        <v>1047</v>
      </c>
      <c r="AL592" s="49" t="s">
        <v>297</v>
      </c>
      <c r="AO592" s="49" t="s">
        <v>303</v>
      </c>
      <c r="AP592" s="48"/>
      <c r="AR592" s="49" t="s">
        <v>303</v>
      </c>
      <c r="AS592" s="49" t="s">
        <v>306</v>
      </c>
      <c r="AT592" s="49" t="s">
        <v>2662</v>
      </c>
      <c r="AV592" s="49" t="s">
        <v>309</v>
      </c>
      <c r="AW592" s="49" t="s">
        <v>310</v>
      </c>
      <c r="AX592" s="49" t="s">
        <v>311</v>
      </c>
      <c r="AY592" s="48"/>
      <c r="AZ592" s="48" t="n">
        <v>46182</v>
      </c>
      <c r="BC592" s="49" t="s">
        <v>303</v>
      </c>
      <c r="BD592" s="48" t="n">
        <v>46209</v>
      </c>
      <c r="BE592" s="49" t="s">
        <v>2663</v>
      </c>
      <c r="BF592" s="49" t="s">
        <v>303</v>
      </c>
      <c r="BG592" s="48"/>
      <c r="BI592" s="48" t="n">
        <v>46209</v>
      </c>
      <c r="BJ592" s="48" t="n">
        <v>46189</v>
      </c>
      <c r="BK592" s="49" t="s">
        <v>312</v>
      </c>
      <c r="BL592" s="49" t="s">
        <v>313</v>
      </c>
      <c r="BM592" s="49" t="s">
        <v>310</v>
      </c>
      <c r="BN592" s="48"/>
      <c r="BO592" s="48"/>
      <c r="BP592" s="48"/>
      <c r="BQ592" s="49" t="s">
        <v>2660</v>
      </c>
      <c r="BR592" s="48" t="n">
        <v>46189</v>
      </c>
      <c r="BS592" s="49" t="s">
        <v>2664</v>
      </c>
      <c r="BT592" s="49" t="s">
        <v>312</v>
      </c>
      <c r="BU592" s="49" t="s">
        <v>313</v>
      </c>
      <c r="BV592" s="49" t="s">
        <v>303</v>
      </c>
      <c r="BX592" s="0" t="n">
        <v>1</v>
      </c>
      <c r="CC592" s="49" t="s">
        <v>315</v>
      </c>
      <c r="CD592" s="49" t="s">
        <v>303</v>
      </c>
      <c r="CF592" s="49" t="s">
        <v>303</v>
      </c>
      <c r="CG592" s="49" t="s">
        <v>316</v>
      </c>
      <c r="CH592" s="49" t="s">
        <v>317</v>
      </c>
      <c r="CI592" s="49" t="s">
        <v>318</v>
      </c>
      <c r="CM592" s="49" t="s">
        <v>456</v>
      </c>
      <c r="CV592" s="49" t="s">
        <v>303</v>
      </c>
      <c r="DB592" s="49" t="s">
        <v>319</v>
      </c>
      <c r="DD592" s="48" t="n">
        <v>46171</v>
      </c>
      <c r="DF592" s="49" t="s">
        <v>310</v>
      </c>
      <c r="DG592" s="49" t="s">
        <v>320</v>
      </c>
      <c r="DH592" s="49" t="s">
        <v>68</v>
      </c>
      <c r="DI592" s="49" t="s">
        <v>298</v>
      </c>
      <c r="DJ592" s="49" t="s">
        <v>321</v>
      </c>
      <c r="DK592" s="49" t="s">
        <v>322</v>
      </c>
      <c r="DL592" s="49" t="s">
        <v>323</v>
      </c>
      <c r="DM592" s="49" t="s">
        <v>303</v>
      </c>
      <c r="DN592" s="49" t="s">
        <v>297</v>
      </c>
      <c r="DO592" s="48"/>
      <c r="DP592" s="49" t="s">
        <v>312</v>
      </c>
      <c r="DQ592" s="48"/>
      <c r="DR592" s="49" t="s">
        <v>312</v>
      </c>
      <c r="DS592" s="49" t="s">
        <v>303</v>
      </c>
      <c r="DT592" s="49" t="s">
        <v>303</v>
      </c>
      <c r="DW592" s="49" t="s">
        <v>303</v>
      </c>
      <c r="EA592" s="49" t="s">
        <v>324</v>
      </c>
      <c r="EB592" s="49" t="s">
        <v>303</v>
      </c>
      <c r="EH592" s="49" t="s">
        <v>310</v>
      </c>
      <c r="EJ592" s="49" t="s">
        <v>303</v>
      </c>
      <c r="EK592" s="49" t="s">
        <v>2665</v>
      </c>
      <c r="EM592" s="49" t="s">
        <v>303</v>
      </c>
      <c r="EN592" s="49" t="s">
        <v>460</v>
      </c>
      <c r="EP592" s="49" t="s">
        <v>298</v>
      </c>
      <c r="EQ592" s="0" t="n">
        <v>1</v>
      </c>
      <c r="ER592" s="49" t="s">
        <v>328</v>
      </c>
      <c r="ES592" s="49" t="s">
        <v>329</v>
      </c>
      <c r="ET592" s="49" t="s">
        <v>310</v>
      </c>
      <c r="EU592" s="49" t="s">
        <v>310</v>
      </c>
      <c r="EV592" s="49" t="s">
        <v>310</v>
      </c>
      <c r="EX592" s="49" t="s">
        <v>303</v>
      </c>
      <c r="EY592" s="49" t="s">
        <v>303</v>
      </c>
      <c r="FC592" s="49" t="s">
        <v>330</v>
      </c>
      <c r="FD592" s="49" t="s">
        <v>310</v>
      </c>
      <c r="FE592" s="49" t="s">
        <v>310</v>
      </c>
      <c r="FF592" s="49" t="s">
        <v>68</v>
      </c>
      <c r="FG592" s="49" t="s">
        <v>461</v>
      </c>
      <c r="FH592" s="49" t="s">
        <v>310</v>
      </c>
      <c r="FI592" s="49" t="s">
        <v>332</v>
      </c>
      <c r="FJ592" s="49" t="s">
        <v>303</v>
      </c>
      <c r="FL592" s="49" t="s">
        <v>325</v>
      </c>
      <c r="FM592" s="49" t="s">
        <v>2660</v>
      </c>
      <c r="FP592" s="49" t="s">
        <v>303</v>
      </c>
      <c r="FR592" s="49" t="s">
        <v>303</v>
      </c>
      <c r="FT592" s="49" t="s">
        <v>325</v>
      </c>
      <c r="FU592" s="49" t="s">
        <v>325</v>
      </c>
      <c r="FW592" s="49" t="s">
        <v>333</v>
      </c>
    </row>
    <row r="593" customFormat="false" ht="15" hidden="false" customHeight="false" outlineLevel="0" collapsed="false">
      <c r="A593" s="0" t="n">
        <v>100865326</v>
      </c>
      <c r="B593" s="0" t="s">
        <v>295</v>
      </c>
      <c r="C593" s="0" t="s">
        <v>64</v>
      </c>
      <c r="D593" s="0" t="s">
        <v>65</v>
      </c>
      <c r="E593" s="0" t="s">
        <v>297</v>
      </c>
      <c r="G593" s="0" t="n">
        <v>1</v>
      </c>
      <c r="H593" s="0" t="s">
        <v>298</v>
      </c>
      <c r="I593" s="48" t="n">
        <v>46177</v>
      </c>
      <c r="J593" s="0" t="n">
        <v>1</v>
      </c>
      <c r="K593" s="49" t="s">
        <v>2660</v>
      </c>
      <c r="L593" s="49" t="s">
        <v>2611</v>
      </c>
      <c r="M593" s="48" t="n">
        <v>46181</v>
      </c>
      <c r="N593" s="49" t="s">
        <v>1204</v>
      </c>
      <c r="O593" s="49" t="s">
        <v>1045</v>
      </c>
      <c r="P593" s="48"/>
      <c r="Q593" s="48" t="n">
        <v>46177</v>
      </c>
      <c r="R593" s="48" t="n">
        <v>46191</v>
      </c>
      <c r="T593" s="49" t="s">
        <v>302</v>
      </c>
      <c r="U593" s="49" t="s">
        <v>303</v>
      </c>
      <c r="Y593" s="49" t="s">
        <v>2666</v>
      </c>
      <c r="AD593" s="49" t="s">
        <v>305</v>
      </c>
      <c r="AE593" s="48" t="n">
        <v>46163</v>
      </c>
      <c r="AF593" s="49" t="s">
        <v>306</v>
      </c>
      <c r="AG593" s="49" t="s">
        <v>307</v>
      </c>
      <c r="AK593" s="49" t="s">
        <v>1047</v>
      </c>
      <c r="AL593" s="49" t="s">
        <v>297</v>
      </c>
      <c r="AO593" s="49" t="s">
        <v>303</v>
      </c>
      <c r="AP593" s="48"/>
      <c r="AR593" s="49" t="s">
        <v>303</v>
      </c>
      <c r="AS593" s="49" t="s">
        <v>306</v>
      </c>
      <c r="AT593" s="49" t="s">
        <v>2667</v>
      </c>
      <c r="AV593" s="49" t="s">
        <v>309</v>
      </c>
      <c r="AW593" s="49" t="s">
        <v>310</v>
      </c>
      <c r="AX593" s="49" t="s">
        <v>311</v>
      </c>
      <c r="AY593" s="48"/>
      <c r="AZ593" s="48" t="n">
        <v>46182</v>
      </c>
      <c r="BC593" s="49" t="s">
        <v>303</v>
      </c>
      <c r="BD593" s="48" t="n">
        <v>46182</v>
      </c>
      <c r="BE593" s="49" t="s">
        <v>2668</v>
      </c>
      <c r="BF593" s="49" t="s">
        <v>303</v>
      </c>
      <c r="BG593" s="48"/>
      <c r="BI593" s="48" t="n">
        <v>46182</v>
      </c>
      <c r="BJ593" s="48" t="n">
        <v>46189</v>
      </c>
      <c r="BK593" s="49" t="s">
        <v>312</v>
      </c>
      <c r="BL593" s="49" t="s">
        <v>313</v>
      </c>
      <c r="BM593" s="49" t="s">
        <v>310</v>
      </c>
      <c r="BN593" s="48"/>
      <c r="BO593" s="48"/>
      <c r="BP593" s="48"/>
      <c r="BQ593" s="49" t="s">
        <v>2660</v>
      </c>
      <c r="BR593" s="48" t="n">
        <v>46189</v>
      </c>
      <c r="BS593" s="49" t="s">
        <v>2669</v>
      </c>
      <c r="BT593" s="49" t="s">
        <v>312</v>
      </c>
      <c r="BU593" s="49" t="s">
        <v>313</v>
      </c>
      <c r="BV593" s="49" t="s">
        <v>303</v>
      </c>
      <c r="BX593" s="0" t="n">
        <v>1</v>
      </c>
      <c r="CC593" s="49" t="s">
        <v>315</v>
      </c>
      <c r="CD593" s="49" t="s">
        <v>303</v>
      </c>
      <c r="CF593" s="49" t="s">
        <v>303</v>
      </c>
      <c r="CG593" s="49" t="s">
        <v>316</v>
      </c>
      <c r="CH593" s="49" t="s">
        <v>317</v>
      </c>
      <c r="CI593" s="49" t="s">
        <v>318</v>
      </c>
      <c r="CM593" s="49" t="s">
        <v>65</v>
      </c>
      <c r="CV593" s="49" t="s">
        <v>303</v>
      </c>
      <c r="DB593" s="49" t="s">
        <v>319</v>
      </c>
      <c r="DD593" s="48" t="n">
        <v>46163</v>
      </c>
      <c r="DF593" s="49" t="s">
        <v>310</v>
      </c>
      <c r="DG593" s="49" t="s">
        <v>320</v>
      </c>
      <c r="DH593" s="49" t="s">
        <v>64</v>
      </c>
      <c r="DI593" s="49" t="s">
        <v>298</v>
      </c>
      <c r="DJ593" s="49" t="s">
        <v>394</v>
      </c>
      <c r="DK593" s="49" t="s">
        <v>322</v>
      </c>
      <c r="DL593" s="49" t="s">
        <v>323</v>
      </c>
      <c r="DM593" s="49" t="s">
        <v>303</v>
      </c>
      <c r="DN593" s="49" t="s">
        <v>297</v>
      </c>
      <c r="DO593" s="48"/>
      <c r="DP593" s="49" t="s">
        <v>312</v>
      </c>
      <c r="DQ593" s="48"/>
      <c r="DR593" s="49" t="s">
        <v>312</v>
      </c>
      <c r="DS593" s="49" t="s">
        <v>303</v>
      </c>
      <c r="DT593" s="49" t="s">
        <v>303</v>
      </c>
      <c r="DW593" s="49" t="s">
        <v>303</v>
      </c>
      <c r="EA593" s="49" t="s">
        <v>324</v>
      </c>
      <c r="EB593" s="49" t="s">
        <v>303</v>
      </c>
      <c r="EH593" s="49" t="s">
        <v>310</v>
      </c>
      <c r="EJ593" s="49" t="s">
        <v>303</v>
      </c>
      <c r="EK593" s="49" t="s">
        <v>2670</v>
      </c>
      <c r="EM593" s="49" t="s">
        <v>303</v>
      </c>
      <c r="EN593" s="49" t="s">
        <v>396</v>
      </c>
      <c r="EP593" s="49" t="s">
        <v>298</v>
      </c>
      <c r="EQ593" s="0" t="n">
        <v>1</v>
      </c>
      <c r="ER593" s="49" t="s">
        <v>328</v>
      </c>
      <c r="ES593" s="49" t="s">
        <v>329</v>
      </c>
      <c r="ET593" s="49" t="s">
        <v>310</v>
      </c>
      <c r="EU593" s="49" t="s">
        <v>310</v>
      </c>
      <c r="EV593" s="49" t="s">
        <v>310</v>
      </c>
      <c r="EX593" s="49" t="s">
        <v>303</v>
      </c>
      <c r="EY593" s="49" t="s">
        <v>303</v>
      </c>
      <c r="FC593" s="49" t="s">
        <v>330</v>
      </c>
      <c r="FD593" s="49" t="s">
        <v>310</v>
      </c>
      <c r="FE593" s="49" t="s">
        <v>310</v>
      </c>
      <c r="FF593" s="49" t="s">
        <v>64</v>
      </c>
      <c r="FG593" s="49" t="s">
        <v>397</v>
      </c>
      <c r="FH593" s="49" t="s">
        <v>310</v>
      </c>
      <c r="FI593" s="49" t="s">
        <v>332</v>
      </c>
      <c r="FJ593" s="49" t="s">
        <v>303</v>
      </c>
      <c r="FL593" s="49" t="s">
        <v>325</v>
      </c>
      <c r="FM593" s="49" t="s">
        <v>2660</v>
      </c>
      <c r="FP593" s="49" t="s">
        <v>303</v>
      </c>
      <c r="FR593" s="49" t="s">
        <v>303</v>
      </c>
      <c r="FT593" s="49" t="s">
        <v>325</v>
      </c>
      <c r="FU593" s="49" t="s">
        <v>325</v>
      </c>
      <c r="FW593" s="49" t="s">
        <v>333</v>
      </c>
    </row>
    <row r="594" customFormat="false" ht="15" hidden="false" customHeight="false" outlineLevel="0" collapsed="false">
      <c r="A594" s="0" t="n">
        <v>100865327</v>
      </c>
      <c r="B594" s="0" t="s">
        <v>295</v>
      </c>
      <c r="C594" s="0" t="s">
        <v>64</v>
      </c>
      <c r="D594" s="0" t="s">
        <v>65</v>
      </c>
      <c r="E594" s="0" t="s">
        <v>297</v>
      </c>
      <c r="G594" s="0" t="n">
        <v>1</v>
      </c>
      <c r="H594" s="0" t="s">
        <v>298</v>
      </c>
      <c r="I594" s="48" t="n">
        <v>46177</v>
      </c>
      <c r="J594" s="0" t="n">
        <v>1</v>
      </c>
      <c r="K594" s="49" t="s">
        <v>2660</v>
      </c>
      <c r="L594" s="49" t="s">
        <v>2611</v>
      </c>
      <c r="M594" s="48" t="n">
        <v>46181</v>
      </c>
      <c r="N594" s="49" t="s">
        <v>1204</v>
      </c>
      <c r="O594" s="49" t="s">
        <v>1045</v>
      </c>
      <c r="P594" s="48"/>
      <c r="Q594" s="48" t="n">
        <v>46177</v>
      </c>
      <c r="R594" s="48" t="n">
        <v>46190</v>
      </c>
      <c r="T594" s="49" t="s">
        <v>302</v>
      </c>
      <c r="U594" s="49" t="s">
        <v>303</v>
      </c>
      <c r="Y594" s="49" t="s">
        <v>2671</v>
      </c>
      <c r="AD594" s="49" t="s">
        <v>305</v>
      </c>
      <c r="AE594" s="48" t="n">
        <v>46163</v>
      </c>
      <c r="AF594" s="49" t="s">
        <v>306</v>
      </c>
      <c r="AG594" s="49" t="s">
        <v>307</v>
      </c>
      <c r="AK594" s="49" t="s">
        <v>1047</v>
      </c>
      <c r="AL594" s="49" t="s">
        <v>297</v>
      </c>
      <c r="AO594" s="49" t="s">
        <v>303</v>
      </c>
      <c r="AP594" s="48"/>
      <c r="AR594" s="49" t="s">
        <v>303</v>
      </c>
      <c r="AS594" s="49" t="s">
        <v>306</v>
      </c>
      <c r="AT594" s="49" t="s">
        <v>2672</v>
      </c>
      <c r="AV594" s="49" t="s">
        <v>309</v>
      </c>
      <c r="AW594" s="49" t="s">
        <v>310</v>
      </c>
      <c r="AX594" s="49" t="s">
        <v>311</v>
      </c>
      <c r="AY594" s="48"/>
      <c r="AZ594" s="48" t="n">
        <v>46182</v>
      </c>
      <c r="BC594" s="49" t="s">
        <v>303</v>
      </c>
      <c r="BD594" s="48" t="n">
        <v>46182</v>
      </c>
      <c r="BE594" s="49" t="s">
        <v>2668</v>
      </c>
      <c r="BF594" s="49" t="s">
        <v>303</v>
      </c>
      <c r="BG594" s="48"/>
      <c r="BI594" s="48" t="n">
        <v>46182</v>
      </c>
      <c r="BJ594" s="48" t="n">
        <v>46189</v>
      </c>
      <c r="BK594" s="49" t="s">
        <v>313</v>
      </c>
      <c r="BL594" s="49" t="s">
        <v>313</v>
      </c>
      <c r="BM594" s="49" t="s">
        <v>310</v>
      </c>
      <c r="BN594" s="48"/>
      <c r="BO594" s="48"/>
      <c r="BP594" s="48"/>
      <c r="BQ594" s="49" t="s">
        <v>2660</v>
      </c>
      <c r="BR594" s="48" t="n">
        <v>46189</v>
      </c>
      <c r="BS594" s="49" t="s">
        <v>2669</v>
      </c>
      <c r="BT594" s="49" t="s">
        <v>312</v>
      </c>
      <c r="BU594" s="49" t="s">
        <v>313</v>
      </c>
      <c r="BV594" s="49" t="s">
        <v>303</v>
      </c>
      <c r="BX594" s="0" t="n">
        <v>1</v>
      </c>
      <c r="CC594" s="49" t="s">
        <v>315</v>
      </c>
      <c r="CD594" s="49" t="s">
        <v>303</v>
      </c>
      <c r="CF594" s="49" t="s">
        <v>303</v>
      </c>
      <c r="CG594" s="49" t="s">
        <v>316</v>
      </c>
      <c r="CH594" s="49" t="s">
        <v>317</v>
      </c>
      <c r="CI594" s="49" t="s">
        <v>318</v>
      </c>
      <c r="CM594" s="49" t="s">
        <v>65</v>
      </c>
      <c r="CV594" s="49" t="s">
        <v>303</v>
      </c>
      <c r="DB594" s="49" t="s">
        <v>319</v>
      </c>
      <c r="DD594" s="48" t="n">
        <v>46163</v>
      </c>
      <c r="DF594" s="49" t="s">
        <v>310</v>
      </c>
      <c r="DG594" s="49" t="s">
        <v>320</v>
      </c>
      <c r="DH594" s="49" t="s">
        <v>64</v>
      </c>
      <c r="DI594" s="49" t="s">
        <v>298</v>
      </c>
      <c r="DJ594" s="49" t="s">
        <v>394</v>
      </c>
      <c r="DK594" s="49" t="s">
        <v>322</v>
      </c>
      <c r="DL594" s="49" t="s">
        <v>323</v>
      </c>
      <c r="DM594" s="49" t="s">
        <v>303</v>
      </c>
      <c r="DN594" s="49" t="s">
        <v>297</v>
      </c>
      <c r="DO594" s="48"/>
      <c r="DP594" s="49" t="s">
        <v>312</v>
      </c>
      <c r="DQ594" s="48"/>
      <c r="DR594" s="49" t="s">
        <v>312</v>
      </c>
      <c r="DS594" s="49" t="s">
        <v>303</v>
      </c>
      <c r="DT594" s="49" t="s">
        <v>303</v>
      </c>
      <c r="DW594" s="49" t="s">
        <v>303</v>
      </c>
      <c r="EA594" s="49" t="s">
        <v>324</v>
      </c>
      <c r="EB594" s="49" t="s">
        <v>303</v>
      </c>
      <c r="EF594" s="49" t="s">
        <v>2673</v>
      </c>
      <c r="EH594" s="49" t="s">
        <v>310</v>
      </c>
      <c r="EJ594" s="49" t="s">
        <v>303</v>
      </c>
      <c r="EK594" s="49" t="s">
        <v>2674</v>
      </c>
      <c r="EM594" s="49" t="s">
        <v>303</v>
      </c>
      <c r="EN594" s="49" t="s">
        <v>396</v>
      </c>
      <c r="EP594" s="49" t="s">
        <v>298</v>
      </c>
      <c r="EQ594" s="0" t="n">
        <v>1</v>
      </c>
      <c r="ER594" s="49" t="s">
        <v>328</v>
      </c>
      <c r="ES594" s="49" t="s">
        <v>329</v>
      </c>
      <c r="ET594" s="49" t="s">
        <v>310</v>
      </c>
      <c r="EU594" s="49" t="s">
        <v>310</v>
      </c>
      <c r="EV594" s="49" t="s">
        <v>310</v>
      </c>
      <c r="EX594" s="49" t="s">
        <v>303</v>
      </c>
      <c r="EY594" s="49" t="s">
        <v>303</v>
      </c>
      <c r="FC594" s="49" t="s">
        <v>330</v>
      </c>
      <c r="FD594" s="49" t="s">
        <v>310</v>
      </c>
      <c r="FE594" s="49" t="s">
        <v>310</v>
      </c>
      <c r="FF594" s="49" t="s">
        <v>64</v>
      </c>
      <c r="FG594" s="49" t="s">
        <v>397</v>
      </c>
      <c r="FH594" s="49" t="s">
        <v>310</v>
      </c>
      <c r="FI594" s="49" t="s">
        <v>332</v>
      </c>
      <c r="FJ594" s="49" t="s">
        <v>303</v>
      </c>
      <c r="FL594" s="49" t="s">
        <v>325</v>
      </c>
      <c r="FM594" s="49" t="s">
        <v>2660</v>
      </c>
      <c r="FP594" s="49" t="s">
        <v>303</v>
      </c>
      <c r="FR594" s="49" t="s">
        <v>303</v>
      </c>
      <c r="FT594" s="49" t="s">
        <v>325</v>
      </c>
      <c r="FU594" s="49" t="s">
        <v>325</v>
      </c>
      <c r="FW594" s="49" t="s">
        <v>333</v>
      </c>
    </row>
    <row r="595" customFormat="false" ht="15" hidden="false" customHeight="false" outlineLevel="0" collapsed="false">
      <c r="A595" s="0" t="n">
        <v>100865001</v>
      </c>
      <c r="B595" s="0" t="s">
        <v>295</v>
      </c>
      <c r="C595" s="0" t="s">
        <v>64</v>
      </c>
      <c r="D595" s="0" t="s">
        <v>65</v>
      </c>
      <c r="E595" s="0" t="s">
        <v>297</v>
      </c>
      <c r="G595" s="0" t="n">
        <v>1</v>
      </c>
      <c r="H595" s="0" t="s">
        <v>298</v>
      </c>
      <c r="I595" s="48" t="n">
        <v>46176</v>
      </c>
      <c r="J595" s="0" t="n">
        <v>1</v>
      </c>
      <c r="K595" s="49" t="s">
        <v>2675</v>
      </c>
      <c r="L595" s="49" t="s">
        <v>300</v>
      </c>
      <c r="M595" s="48" t="n">
        <v>46190</v>
      </c>
      <c r="N595" s="49" t="s">
        <v>1204</v>
      </c>
      <c r="O595" s="49" t="s">
        <v>1045</v>
      </c>
      <c r="P595" s="48"/>
      <c r="Q595" s="48" t="n">
        <v>46176</v>
      </c>
      <c r="R595" s="48" t="n">
        <v>46183</v>
      </c>
      <c r="T595" s="49" t="s">
        <v>302</v>
      </c>
      <c r="U595" s="49" t="s">
        <v>303</v>
      </c>
      <c r="Y595" s="49" t="s">
        <v>2345</v>
      </c>
      <c r="AD595" s="49" t="s">
        <v>305</v>
      </c>
      <c r="AE595" s="48" t="n">
        <v>46498</v>
      </c>
      <c r="AF595" s="49" t="s">
        <v>306</v>
      </c>
      <c r="AG595" s="49" t="s">
        <v>307</v>
      </c>
      <c r="AK595" s="49" t="s">
        <v>1047</v>
      </c>
      <c r="AL595" s="49" t="s">
        <v>297</v>
      </c>
      <c r="AO595" s="49" t="s">
        <v>303</v>
      </c>
      <c r="AP595" s="48"/>
      <c r="AR595" s="49" t="s">
        <v>303</v>
      </c>
      <c r="AS595" s="49" t="s">
        <v>306</v>
      </c>
      <c r="AT595" s="49" t="s">
        <v>2676</v>
      </c>
      <c r="AV595" s="49" t="s">
        <v>309</v>
      </c>
      <c r="AW595" s="49" t="s">
        <v>310</v>
      </c>
      <c r="AX595" s="49" t="s">
        <v>311</v>
      </c>
      <c r="AY595" s="48"/>
      <c r="AZ595" s="48" t="n">
        <v>46174</v>
      </c>
      <c r="BC595" s="49" t="s">
        <v>303</v>
      </c>
      <c r="BD595" s="48" t="n">
        <v>46191</v>
      </c>
      <c r="BE595" s="49" t="s">
        <v>2677</v>
      </c>
      <c r="BF595" s="49" t="s">
        <v>303</v>
      </c>
      <c r="BG595" s="48"/>
      <c r="BI595" s="48" t="n">
        <v>46191</v>
      </c>
      <c r="BJ595" s="48" t="n">
        <v>46181</v>
      </c>
      <c r="BK595" s="49" t="s">
        <v>312</v>
      </c>
      <c r="BL595" s="49" t="s">
        <v>313</v>
      </c>
      <c r="BM595" s="49" t="s">
        <v>310</v>
      </c>
      <c r="BN595" s="48"/>
      <c r="BO595" s="48"/>
      <c r="BP595" s="48"/>
      <c r="BQ595" s="49" t="s">
        <v>2675</v>
      </c>
      <c r="BR595" s="48" t="n">
        <v>46181</v>
      </c>
      <c r="BS595" s="49" t="s">
        <v>2678</v>
      </c>
      <c r="BT595" s="49" t="s">
        <v>312</v>
      </c>
      <c r="BU595" s="49" t="s">
        <v>313</v>
      </c>
      <c r="BV595" s="49" t="s">
        <v>303</v>
      </c>
      <c r="BX595" s="0" t="n">
        <v>1</v>
      </c>
      <c r="CC595" s="49" t="s">
        <v>315</v>
      </c>
      <c r="CD595" s="49" t="s">
        <v>303</v>
      </c>
      <c r="CF595" s="49" t="s">
        <v>303</v>
      </c>
      <c r="CG595" s="49" t="s">
        <v>316</v>
      </c>
      <c r="CH595" s="49" t="s">
        <v>317</v>
      </c>
      <c r="CI595" s="49" t="s">
        <v>318</v>
      </c>
      <c r="CM595" s="49" t="s">
        <v>65</v>
      </c>
      <c r="CV595" s="49" t="s">
        <v>303</v>
      </c>
      <c r="DB595" s="49" t="s">
        <v>319</v>
      </c>
      <c r="DD595" s="48" t="n">
        <v>46498</v>
      </c>
      <c r="DF595" s="49" t="s">
        <v>310</v>
      </c>
      <c r="DG595" s="49" t="s">
        <v>320</v>
      </c>
      <c r="DH595" s="49" t="s">
        <v>64</v>
      </c>
      <c r="DI595" s="49" t="s">
        <v>298</v>
      </c>
      <c r="DJ595" s="49" t="s">
        <v>394</v>
      </c>
      <c r="DK595" s="49" t="s">
        <v>322</v>
      </c>
      <c r="DL595" s="49" t="s">
        <v>323</v>
      </c>
      <c r="DM595" s="49" t="s">
        <v>303</v>
      </c>
      <c r="DN595" s="49" t="s">
        <v>297</v>
      </c>
      <c r="DO595" s="48"/>
      <c r="DP595" s="49" t="s">
        <v>312</v>
      </c>
      <c r="DQ595" s="48"/>
      <c r="DR595" s="49" t="s">
        <v>312</v>
      </c>
      <c r="DS595" s="49" t="s">
        <v>303</v>
      </c>
      <c r="DT595" s="49" t="s">
        <v>303</v>
      </c>
      <c r="DW595" s="49" t="s">
        <v>303</v>
      </c>
      <c r="EA595" s="49" t="s">
        <v>324</v>
      </c>
      <c r="EB595" s="49" t="s">
        <v>303</v>
      </c>
      <c r="EH595" s="49" t="s">
        <v>310</v>
      </c>
      <c r="EJ595" s="49" t="s">
        <v>303</v>
      </c>
      <c r="EK595" s="49" t="s">
        <v>2679</v>
      </c>
      <c r="EM595" s="49" t="s">
        <v>303</v>
      </c>
      <c r="EN595" s="49" t="s">
        <v>396</v>
      </c>
      <c r="EP595" s="49" t="s">
        <v>298</v>
      </c>
      <c r="EQ595" s="0" t="n">
        <v>1</v>
      </c>
      <c r="ER595" s="49" t="s">
        <v>328</v>
      </c>
      <c r="ES595" s="49" t="s">
        <v>329</v>
      </c>
      <c r="ET595" s="49" t="s">
        <v>310</v>
      </c>
      <c r="EU595" s="49" t="s">
        <v>310</v>
      </c>
      <c r="EV595" s="49" t="s">
        <v>310</v>
      </c>
      <c r="EX595" s="49" t="s">
        <v>303</v>
      </c>
      <c r="EY595" s="49" t="s">
        <v>303</v>
      </c>
      <c r="FC595" s="49" t="s">
        <v>330</v>
      </c>
      <c r="FD595" s="49" t="s">
        <v>310</v>
      </c>
      <c r="FE595" s="49" t="s">
        <v>310</v>
      </c>
      <c r="FF595" s="49" t="s">
        <v>64</v>
      </c>
      <c r="FG595" s="49" t="s">
        <v>397</v>
      </c>
      <c r="FH595" s="49" t="s">
        <v>310</v>
      </c>
      <c r="FI595" s="49" t="s">
        <v>332</v>
      </c>
      <c r="FJ595" s="49" t="s">
        <v>303</v>
      </c>
      <c r="FL595" s="49" t="s">
        <v>325</v>
      </c>
      <c r="FM595" s="49" t="s">
        <v>2675</v>
      </c>
      <c r="FP595" s="49" t="s">
        <v>303</v>
      </c>
      <c r="FR595" s="49" t="s">
        <v>303</v>
      </c>
      <c r="FT595" s="49" t="s">
        <v>325</v>
      </c>
      <c r="FU595" s="49" t="s">
        <v>325</v>
      </c>
      <c r="FW595" s="49" t="s">
        <v>333</v>
      </c>
    </row>
    <row r="596" customFormat="false" ht="15" hidden="false" customHeight="false" outlineLevel="0" collapsed="false">
      <c r="A596" s="0" t="n">
        <v>100865002</v>
      </c>
      <c r="B596" s="0" t="s">
        <v>295</v>
      </c>
      <c r="C596" s="0" t="s">
        <v>64</v>
      </c>
      <c r="D596" s="0" t="s">
        <v>65</v>
      </c>
      <c r="E596" s="0" t="s">
        <v>297</v>
      </c>
      <c r="G596" s="0" t="n">
        <v>1</v>
      </c>
      <c r="H596" s="0" t="s">
        <v>298</v>
      </c>
      <c r="I596" s="48" t="n">
        <v>46176</v>
      </c>
      <c r="J596" s="0" t="n">
        <v>1</v>
      </c>
      <c r="K596" s="49" t="s">
        <v>2675</v>
      </c>
      <c r="L596" s="49" t="s">
        <v>300</v>
      </c>
      <c r="M596" s="48" t="n">
        <v>46190</v>
      </c>
      <c r="N596" s="49" t="s">
        <v>1204</v>
      </c>
      <c r="O596" s="49" t="s">
        <v>1045</v>
      </c>
      <c r="P596" s="48"/>
      <c r="Q596" s="48" t="n">
        <v>46176</v>
      </c>
      <c r="R596" s="48" t="n">
        <v>46182</v>
      </c>
      <c r="T596" s="49" t="s">
        <v>302</v>
      </c>
      <c r="U596" s="49" t="s">
        <v>303</v>
      </c>
      <c r="Y596" s="49" t="s">
        <v>2680</v>
      </c>
      <c r="AD596" s="49" t="s">
        <v>305</v>
      </c>
      <c r="AE596" s="48" t="n">
        <v>46498</v>
      </c>
      <c r="AF596" s="49" t="s">
        <v>306</v>
      </c>
      <c r="AG596" s="49" t="s">
        <v>307</v>
      </c>
      <c r="AK596" s="49" t="s">
        <v>1047</v>
      </c>
      <c r="AL596" s="49" t="s">
        <v>297</v>
      </c>
      <c r="AO596" s="49" t="s">
        <v>303</v>
      </c>
      <c r="AP596" s="48"/>
      <c r="AR596" s="49" t="s">
        <v>303</v>
      </c>
      <c r="AS596" s="49" t="s">
        <v>306</v>
      </c>
      <c r="AT596" s="49" t="s">
        <v>2681</v>
      </c>
      <c r="AV596" s="49" t="s">
        <v>309</v>
      </c>
      <c r="AW596" s="49" t="s">
        <v>310</v>
      </c>
      <c r="AX596" s="49" t="s">
        <v>311</v>
      </c>
      <c r="AY596" s="48"/>
      <c r="AZ596" s="48" t="n">
        <v>46174</v>
      </c>
      <c r="BC596" s="49" t="s">
        <v>303</v>
      </c>
      <c r="BD596" s="48" t="n">
        <v>46191</v>
      </c>
      <c r="BE596" s="49" t="s">
        <v>2682</v>
      </c>
      <c r="BF596" s="49" t="s">
        <v>303</v>
      </c>
      <c r="BG596" s="48"/>
      <c r="BI596" s="48" t="n">
        <v>46191</v>
      </c>
      <c r="BJ596" s="48" t="n">
        <v>46181</v>
      </c>
      <c r="BK596" s="49" t="s">
        <v>313</v>
      </c>
      <c r="BL596" s="49" t="s">
        <v>313</v>
      </c>
      <c r="BM596" s="49" t="s">
        <v>310</v>
      </c>
      <c r="BN596" s="48"/>
      <c r="BO596" s="48"/>
      <c r="BP596" s="48"/>
      <c r="BQ596" s="49" t="s">
        <v>2675</v>
      </c>
      <c r="BR596" s="48" t="n">
        <v>46181</v>
      </c>
      <c r="BS596" s="49" t="s">
        <v>2683</v>
      </c>
      <c r="BT596" s="49" t="s">
        <v>312</v>
      </c>
      <c r="BU596" s="49" t="s">
        <v>313</v>
      </c>
      <c r="BV596" s="49" t="s">
        <v>303</v>
      </c>
      <c r="BX596" s="0" t="n">
        <v>1</v>
      </c>
      <c r="CC596" s="49" t="s">
        <v>315</v>
      </c>
      <c r="CD596" s="49" t="s">
        <v>303</v>
      </c>
      <c r="CF596" s="49" t="s">
        <v>303</v>
      </c>
      <c r="CG596" s="49" t="s">
        <v>316</v>
      </c>
      <c r="CH596" s="49" t="s">
        <v>317</v>
      </c>
      <c r="CI596" s="49" t="s">
        <v>318</v>
      </c>
      <c r="CM596" s="49" t="s">
        <v>65</v>
      </c>
      <c r="CV596" s="49" t="s">
        <v>303</v>
      </c>
      <c r="DB596" s="49" t="s">
        <v>319</v>
      </c>
      <c r="DD596" s="48" t="n">
        <v>46498</v>
      </c>
      <c r="DF596" s="49" t="s">
        <v>310</v>
      </c>
      <c r="DG596" s="49" t="s">
        <v>320</v>
      </c>
      <c r="DH596" s="49" t="s">
        <v>64</v>
      </c>
      <c r="DI596" s="49" t="s">
        <v>298</v>
      </c>
      <c r="DJ596" s="49" t="s">
        <v>394</v>
      </c>
      <c r="DK596" s="49" t="s">
        <v>322</v>
      </c>
      <c r="DL596" s="49" t="s">
        <v>323</v>
      </c>
      <c r="DM596" s="49" t="s">
        <v>303</v>
      </c>
      <c r="DN596" s="49" t="s">
        <v>297</v>
      </c>
      <c r="DO596" s="48"/>
      <c r="DP596" s="49" t="s">
        <v>312</v>
      </c>
      <c r="DQ596" s="48"/>
      <c r="DR596" s="49" t="s">
        <v>312</v>
      </c>
      <c r="DS596" s="49" t="s">
        <v>303</v>
      </c>
      <c r="DT596" s="49" t="s">
        <v>303</v>
      </c>
      <c r="DW596" s="49" t="s">
        <v>303</v>
      </c>
      <c r="EA596" s="49" t="s">
        <v>324</v>
      </c>
      <c r="EB596" s="49" t="s">
        <v>303</v>
      </c>
      <c r="EF596" s="49" t="s">
        <v>2684</v>
      </c>
      <c r="EH596" s="49" t="s">
        <v>310</v>
      </c>
      <c r="EJ596" s="49" t="s">
        <v>303</v>
      </c>
      <c r="EK596" s="49" t="s">
        <v>2685</v>
      </c>
      <c r="EM596" s="49" t="s">
        <v>303</v>
      </c>
      <c r="EN596" s="49" t="s">
        <v>396</v>
      </c>
      <c r="EP596" s="49" t="s">
        <v>298</v>
      </c>
      <c r="EQ596" s="0" t="n">
        <v>1</v>
      </c>
      <c r="ER596" s="49" t="s">
        <v>328</v>
      </c>
      <c r="ES596" s="49" t="s">
        <v>329</v>
      </c>
      <c r="ET596" s="49" t="s">
        <v>310</v>
      </c>
      <c r="EU596" s="49" t="s">
        <v>310</v>
      </c>
      <c r="EV596" s="49" t="s">
        <v>310</v>
      </c>
      <c r="EX596" s="49" t="s">
        <v>303</v>
      </c>
      <c r="EY596" s="49" t="s">
        <v>303</v>
      </c>
      <c r="FC596" s="49" t="s">
        <v>330</v>
      </c>
      <c r="FD596" s="49" t="s">
        <v>310</v>
      </c>
      <c r="FE596" s="49" t="s">
        <v>310</v>
      </c>
      <c r="FF596" s="49" t="s">
        <v>64</v>
      </c>
      <c r="FG596" s="49" t="s">
        <v>397</v>
      </c>
      <c r="FH596" s="49" t="s">
        <v>310</v>
      </c>
      <c r="FI596" s="49" t="s">
        <v>332</v>
      </c>
      <c r="FJ596" s="49" t="s">
        <v>303</v>
      </c>
      <c r="FL596" s="49" t="s">
        <v>325</v>
      </c>
      <c r="FM596" s="49" t="s">
        <v>2675</v>
      </c>
      <c r="FP596" s="49" t="s">
        <v>303</v>
      </c>
      <c r="FR596" s="49" t="s">
        <v>303</v>
      </c>
      <c r="FT596" s="49" t="s">
        <v>325</v>
      </c>
      <c r="FU596" s="49" t="s">
        <v>325</v>
      </c>
      <c r="FW596" s="49" t="s">
        <v>333</v>
      </c>
    </row>
    <row r="597" customFormat="false" ht="15" hidden="false" customHeight="false" outlineLevel="0" collapsed="false">
      <c r="A597" s="0" t="n">
        <v>100865003</v>
      </c>
      <c r="B597" s="0" t="s">
        <v>295</v>
      </c>
      <c r="C597" s="0" t="s">
        <v>64</v>
      </c>
      <c r="D597" s="0" t="s">
        <v>65</v>
      </c>
      <c r="E597" s="0" t="s">
        <v>297</v>
      </c>
      <c r="G597" s="0" t="n">
        <v>1</v>
      </c>
      <c r="H597" s="0" t="s">
        <v>298</v>
      </c>
      <c r="I597" s="48" t="n">
        <v>46176</v>
      </c>
      <c r="J597" s="0" t="n">
        <v>1</v>
      </c>
      <c r="K597" s="49" t="s">
        <v>2675</v>
      </c>
      <c r="L597" s="49" t="s">
        <v>300</v>
      </c>
      <c r="M597" s="48" t="n">
        <v>46190</v>
      </c>
      <c r="N597" s="49" t="s">
        <v>1204</v>
      </c>
      <c r="O597" s="49" t="s">
        <v>1045</v>
      </c>
      <c r="P597" s="48"/>
      <c r="Q597" s="48" t="n">
        <v>46176</v>
      </c>
      <c r="R597" s="48" t="n">
        <v>46182</v>
      </c>
      <c r="T597" s="49" t="s">
        <v>302</v>
      </c>
      <c r="U597" s="49" t="s">
        <v>303</v>
      </c>
      <c r="Y597" s="49" t="s">
        <v>2686</v>
      </c>
      <c r="AD597" s="49" t="s">
        <v>305</v>
      </c>
      <c r="AE597" s="48" t="n">
        <v>46498</v>
      </c>
      <c r="AF597" s="49" t="s">
        <v>306</v>
      </c>
      <c r="AG597" s="49" t="s">
        <v>307</v>
      </c>
      <c r="AK597" s="49" t="s">
        <v>1047</v>
      </c>
      <c r="AL597" s="49" t="s">
        <v>297</v>
      </c>
      <c r="AO597" s="49" t="s">
        <v>303</v>
      </c>
      <c r="AP597" s="48"/>
      <c r="AR597" s="49" t="s">
        <v>303</v>
      </c>
      <c r="AS597" s="49" t="s">
        <v>306</v>
      </c>
      <c r="AT597" s="49" t="s">
        <v>2687</v>
      </c>
      <c r="AV597" s="49" t="s">
        <v>309</v>
      </c>
      <c r="AW597" s="49" t="s">
        <v>310</v>
      </c>
      <c r="AX597" s="49" t="s">
        <v>311</v>
      </c>
      <c r="AY597" s="48"/>
      <c r="AZ597" s="48" t="n">
        <v>46174</v>
      </c>
      <c r="BC597" s="49" t="s">
        <v>303</v>
      </c>
      <c r="BD597" s="48" t="n">
        <v>46191</v>
      </c>
      <c r="BE597" s="49" t="s">
        <v>2682</v>
      </c>
      <c r="BF597" s="49" t="s">
        <v>303</v>
      </c>
      <c r="BG597" s="48"/>
      <c r="BI597" s="48" t="n">
        <v>46191</v>
      </c>
      <c r="BJ597" s="48" t="n">
        <v>46181</v>
      </c>
      <c r="BK597" s="49" t="s">
        <v>313</v>
      </c>
      <c r="BL597" s="49" t="s">
        <v>313</v>
      </c>
      <c r="BM597" s="49" t="s">
        <v>310</v>
      </c>
      <c r="BN597" s="48"/>
      <c r="BO597" s="48"/>
      <c r="BP597" s="48"/>
      <c r="BQ597" s="49" t="s">
        <v>2675</v>
      </c>
      <c r="BR597" s="48" t="n">
        <v>46181</v>
      </c>
      <c r="BS597" s="49" t="s">
        <v>2683</v>
      </c>
      <c r="BT597" s="49" t="s">
        <v>312</v>
      </c>
      <c r="BU597" s="49" t="s">
        <v>313</v>
      </c>
      <c r="BV597" s="49" t="s">
        <v>303</v>
      </c>
      <c r="BX597" s="0" t="n">
        <v>1</v>
      </c>
      <c r="CC597" s="49" t="s">
        <v>315</v>
      </c>
      <c r="CD597" s="49" t="s">
        <v>303</v>
      </c>
      <c r="CF597" s="49" t="s">
        <v>303</v>
      </c>
      <c r="CG597" s="49" t="s">
        <v>316</v>
      </c>
      <c r="CH597" s="49" t="s">
        <v>317</v>
      </c>
      <c r="CI597" s="49" t="s">
        <v>318</v>
      </c>
      <c r="CM597" s="49" t="s">
        <v>65</v>
      </c>
      <c r="CV597" s="49" t="s">
        <v>303</v>
      </c>
      <c r="DB597" s="49" t="s">
        <v>319</v>
      </c>
      <c r="DD597" s="48" t="n">
        <v>46498</v>
      </c>
      <c r="DF597" s="49" t="s">
        <v>310</v>
      </c>
      <c r="DG597" s="49" t="s">
        <v>320</v>
      </c>
      <c r="DH597" s="49" t="s">
        <v>64</v>
      </c>
      <c r="DI597" s="49" t="s">
        <v>298</v>
      </c>
      <c r="DJ597" s="49" t="s">
        <v>394</v>
      </c>
      <c r="DK597" s="49" t="s">
        <v>322</v>
      </c>
      <c r="DL597" s="49" t="s">
        <v>323</v>
      </c>
      <c r="DM597" s="49" t="s">
        <v>303</v>
      </c>
      <c r="DN597" s="49" t="s">
        <v>297</v>
      </c>
      <c r="DO597" s="48"/>
      <c r="DP597" s="49" t="s">
        <v>312</v>
      </c>
      <c r="DQ597" s="48"/>
      <c r="DR597" s="49" t="s">
        <v>312</v>
      </c>
      <c r="DS597" s="49" t="s">
        <v>303</v>
      </c>
      <c r="DT597" s="49" t="s">
        <v>303</v>
      </c>
      <c r="DW597" s="49" t="s">
        <v>303</v>
      </c>
      <c r="EA597" s="49" t="s">
        <v>324</v>
      </c>
      <c r="EB597" s="49" t="s">
        <v>303</v>
      </c>
      <c r="EF597" s="49" t="s">
        <v>2684</v>
      </c>
      <c r="EH597" s="49" t="s">
        <v>310</v>
      </c>
      <c r="EJ597" s="49" t="s">
        <v>303</v>
      </c>
      <c r="EK597" s="49" t="s">
        <v>2688</v>
      </c>
      <c r="EM597" s="49" t="s">
        <v>303</v>
      </c>
      <c r="EN597" s="49" t="s">
        <v>396</v>
      </c>
      <c r="EP597" s="49" t="s">
        <v>298</v>
      </c>
      <c r="EQ597" s="0" t="n">
        <v>1</v>
      </c>
      <c r="ER597" s="49" t="s">
        <v>328</v>
      </c>
      <c r="ES597" s="49" t="s">
        <v>329</v>
      </c>
      <c r="ET597" s="49" t="s">
        <v>310</v>
      </c>
      <c r="EU597" s="49" t="s">
        <v>310</v>
      </c>
      <c r="EV597" s="49" t="s">
        <v>310</v>
      </c>
      <c r="EX597" s="49" t="s">
        <v>303</v>
      </c>
      <c r="EY597" s="49" t="s">
        <v>303</v>
      </c>
      <c r="FC597" s="49" t="s">
        <v>330</v>
      </c>
      <c r="FD597" s="49" t="s">
        <v>310</v>
      </c>
      <c r="FE597" s="49" t="s">
        <v>310</v>
      </c>
      <c r="FF597" s="49" t="s">
        <v>64</v>
      </c>
      <c r="FG597" s="49" t="s">
        <v>397</v>
      </c>
      <c r="FH597" s="49" t="s">
        <v>310</v>
      </c>
      <c r="FI597" s="49" t="s">
        <v>332</v>
      </c>
      <c r="FJ597" s="49" t="s">
        <v>303</v>
      </c>
      <c r="FL597" s="49" t="s">
        <v>325</v>
      </c>
      <c r="FM597" s="49" t="s">
        <v>2675</v>
      </c>
      <c r="FP597" s="49" t="s">
        <v>303</v>
      </c>
      <c r="FR597" s="49" t="s">
        <v>303</v>
      </c>
      <c r="FT597" s="49" t="s">
        <v>325</v>
      </c>
      <c r="FU597" s="49" t="s">
        <v>325</v>
      </c>
      <c r="FW597" s="49" t="s">
        <v>333</v>
      </c>
    </row>
    <row r="598" customFormat="false" ht="15" hidden="false" customHeight="false" outlineLevel="0" collapsed="false">
      <c r="A598" s="0" t="n">
        <v>100865004</v>
      </c>
      <c r="B598" s="0" t="s">
        <v>295</v>
      </c>
      <c r="C598" s="0" t="s">
        <v>64</v>
      </c>
      <c r="D598" s="0" t="s">
        <v>65</v>
      </c>
      <c r="E598" s="0" t="s">
        <v>297</v>
      </c>
      <c r="G598" s="0" t="n">
        <v>1</v>
      </c>
      <c r="H598" s="0" t="s">
        <v>298</v>
      </c>
      <c r="I598" s="48" t="n">
        <v>46176</v>
      </c>
      <c r="J598" s="0" t="n">
        <v>1</v>
      </c>
      <c r="K598" s="49" t="s">
        <v>2675</v>
      </c>
      <c r="L598" s="49" t="s">
        <v>300</v>
      </c>
      <c r="M598" s="48" t="n">
        <v>46190</v>
      </c>
      <c r="N598" s="49" t="s">
        <v>1204</v>
      </c>
      <c r="O598" s="49" t="s">
        <v>1045</v>
      </c>
      <c r="P598" s="48"/>
      <c r="Q598" s="48" t="n">
        <v>46176</v>
      </c>
      <c r="R598" s="48" t="n">
        <v>46182</v>
      </c>
      <c r="T598" s="49" t="s">
        <v>302</v>
      </c>
      <c r="U598" s="49" t="s">
        <v>303</v>
      </c>
      <c r="Y598" s="49" t="s">
        <v>2689</v>
      </c>
      <c r="AD598" s="49" t="s">
        <v>305</v>
      </c>
      <c r="AE598" s="48" t="n">
        <v>46498</v>
      </c>
      <c r="AF598" s="49" t="s">
        <v>306</v>
      </c>
      <c r="AG598" s="49" t="s">
        <v>307</v>
      </c>
      <c r="AK598" s="49" t="s">
        <v>1047</v>
      </c>
      <c r="AL598" s="49" t="s">
        <v>297</v>
      </c>
      <c r="AO598" s="49" t="s">
        <v>303</v>
      </c>
      <c r="AP598" s="48"/>
      <c r="AR598" s="49" t="s">
        <v>303</v>
      </c>
      <c r="AS598" s="49" t="s">
        <v>306</v>
      </c>
      <c r="AT598" s="49" t="s">
        <v>2690</v>
      </c>
      <c r="AV598" s="49" t="s">
        <v>309</v>
      </c>
      <c r="AW598" s="49" t="s">
        <v>310</v>
      </c>
      <c r="AX598" s="49" t="s">
        <v>311</v>
      </c>
      <c r="AY598" s="48"/>
      <c r="AZ598" s="48" t="n">
        <v>46174</v>
      </c>
      <c r="BC598" s="49" t="s">
        <v>303</v>
      </c>
      <c r="BD598" s="48" t="n">
        <v>46191</v>
      </c>
      <c r="BE598" s="49" t="s">
        <v>2682</v>
      </c>
      <c r="BF598" s="49" t="s">
        <v>303</v>
      </c>
      <c r="BG598" s="48"/>
      <c r="BI598" s="48" t="n">
        <v>46191</v>
      </c>
      <c r="BJ598" s="48" t="n">
        <v>46181</v>
      </c>
      <c r="BK598" s="49" t="s">
        <v>313</v>
      </c>
      <c r="BL598" s="49" t="s">
        <v>313</v>
      </c>
      <c r="BM598" s="49" t="s">
        <v>310</v>
      </c>
      <c r="BN598" s="48"/>
      <c r="BO598" s="48"/>
      <c r="BP598" s="48"/>
      <c r="BQ598" s="49" t="s">
        <v>2675</v>
      </c>
      <c r="BR598" s="48" t="n">
        <v>46181</v>
      </c>
      <c r="BS598" s="49" t="s">
        <v>2683</v>
      </c>
      <c r="BT598" s="49" t="s">
        <v>312</v>
      </c>
      <c r="BU598" s="49" t="s">
        <v>313</v>
      </c>
      <c r="BV598" s="49" t="s">
        <v>303</v>
      </c>
      <c r="BX598" s="0" t="n">
        <v>1</v>
      </c>
      <c r="CC598" s="49" t="s">
        <v>315</v>
      </c>
      <c r="CD598" s="49" t="s">
        <v>303</v>
      </c>
      <c r="CF598" s="49" t="s">
        <v>303</v>
      </c>
      <c r="CG598" s="49" t="s">
        <v>316</v>
      </c>
      <c r="CH598" s="49" t="s">
        <v>317</v>
      </c>
      <c r="CI598" s="49" t="s">
        <v>318</v>
      </c>
      <c r="CM598" s="49" t="s">
        <v>65</v>
      </c>
      <c r="CV598" s="49" t="s">
        <v>303</v>
      </c>
      <c r="DB598" s="49" t="s">
        <v>319</v>
      </c>
      <c r="DD598" s="48" t="n">
        <v>46498</v>
      </c>
      <c r="DF598" s="49" t="s">
        <v>310</v>
      </c>
      <c r="DG598" s="49" t="s">
        <v>320</v>
      </c>
      <c r="DH598" s="49" t="s">
        <v>64</v>
      </c>
      <c r="DI598" s="49" t="s">
        <v>298</v>
      </c>
      <c r="DJ598" s="49" t="s">
        <v>394</v>
      </c>
      <c r="DK598" s="49" t="s">
        <v>322</v>
      </c>
      <c r="DL598" s="49" t="s">
        <v>323</v>
      </c>
      <c r="DM598" s="49" t="s">
        <v>303</v>
      </c>
      <c r="DN598" s="49" t="s">
        <v>297</v>
      </c>
      <c r="DO598" s="48"/>
      <c r="DP598" s="49" t="s">
        <v>312</v>
      </c>
      <c r="DQ598" s="48"/>
      <c r="DR598" s="49" t="s">
        <v>312</v>
      </c>
      <c r="DS598" s="49" t="s">
        <v>303</v>
      </c>
      <c r="DT598" s="49" t="s">
        <v>303</v>
      </c>
      <c r="DW598" s="49" t="s">
        <v>303</v>
      </c>
      <c r="EA598" s="49" t="s">
        <v>324</v>
      </c>
      <c r="EB598" s="49" t="s">
        <v>303</v>
      </c>
      <c r="EF598" s="49" t="s">
        <v>2684</v>
      </c>
      <c r="EH598" s="49" t="s">
        <v>310</v>
      </c>
      <c r="EJ598" s="49" t="s">
        <v>303</v>
      </c>
      <c r="EK598" s="49" t="s">
        <v>2691</v>
      </c>
      <c r="EM598" s="49" t="s">
        <v>303</v>
      </c>
      <c r="EN598" s="49" t="s">
        <v>396</v>
      </c>
      <c r="EP598" s="49" t="s">
        <v>298</v>
      </c>
      <c r="EQ598" s="0" t="n">
        <v>1</v>
      </c>
      <c r="ER598" s="49" t="s">
        <v>328</v>
      </c>
      <c r="ES598" s="49" t="s">
        <v>329</v>
      </c>
      <c r="ET598" s="49" t="s">
        <v>310</v>
      </c>
      <c r="EU598" s="49" t="s">
        <v>310</v>
      </c>
      <c r="EV598" s="49" t="s">
        <v>310</v>
      </c>
      <c r="EX598" s="49" t="s">
        <v>303</v>
      </c>
      <c r="EY598" s="49" t="s">
        <v>303</v>
      </c>
      <c r="FC598" s="49" t="s">
        <v>330</v>
      </c>
      <c r="FD598" s="49" t="s">
        <v>310</v>
      </c>
      <c r="FE598" s="49" t="s">
        <v>310</v>
      </c>
      <c r="FF598" s="49" t="s">
        <v>64</v>
      </c>
      <c r="FG598" s="49" t="s">
        <v>397</v>
      </c>
      <c r="FH598" s="49" t="s">
        <v>310</v>
      </c>
      <c r="FI598" s="49" t="s">
        <v>332</v>
      </c>
      <c r="FJ598" s="49" t="s">
        <v>303</v>
      </c>
      <c r="FL598" s="49" t="s">
        <v>325</v>
      </c>
      <c r="FM598" s="49" t="s">
        <v>2675</v>
      </c>
      <c r="FP598" s="49" t="s">
        <v>303</v>
      </c>
      <c r="FR598" s="49" t="s">
        <v>303</v>
      </c>
      <c r="FT598" s="49" t="s">
        <v>325</v>
      </c>
      <c r="FU598" s="49" t="s">
        <v>325</v>
      </c>
      <c r="FW598" s="49" t="s">
        <v>333</v>
      </c>
    </row>
    <row r="599" customFormat="false" ht="15" hidden="false" customHeight="false" outlineLevel="0" collapsed="false">
      <c r="A599" s="0" t="n">
        <v>100865005</v>
      </c>
      <c r="B599" s="0" t="s">
        <v>295</v>
      </c>
      <c r="C599" s="0" t="s">
        <v>64</v>
      </c>
      <c r="D599" s="0" t="s">
        <v>65</v>
      </c>
      <c r="E599" s="0" t="s">
        <v>297</v>
      </c>
      <c r="G599" s="0" t="n">
        <v>1</v>
      </c>
      <c r="H599" s="0" t="s">
        <v>298</v>
      </c>
      <c r="I599" s="48" t="n">
        <v>46176</v>
      </c>
      <c r="J599" s="0" t="n">
        <v>1</v>
      </c>
      <c r="K599" s="49" t="s">
        <v>2675</v>
      </c>
      <c r="L599" s="49" t="s">
        <v>300</v>
      </c>
      <c r="M599" s="48" t="n">
        <v>46190</v>
      </c>
      <c r="N599" s="49" t="s">
        <v>1204</v>
      </c>
      <c r="O599" s="49" t="s">
        <v>1045</v>
      </c>
      <c r="P599" s="48"/>
      <c r="Q599" s="48" t="n">
        <v>46176</v>
      </c>
      <c r="R599" s="48" t="n">
        <v>46182</v>
      </c>
      <c r="T599" s="49" t="s">
        <v>302</v>
      </c>
      <c r="U599" s="49" t="s">
        <v>303</v>
      </c>
      <c r="Y599" s="49" t="s">
        <v>2692</v>
      </c>
      <c r="AD599" s="49" t="s">
        <v>305</v>
      </c>
      <c r="AE599" s="48" t="n">
        <v>46498</v>
      </c>
      <c r="AF599" s="49" t="s">
        <v>306</v>
      </c>
      <c r="AG599" s="49" t="s">
        <v>307</v>
      </c>
      <c r="AK599" s="49" t="s">
        <v>1047</v>
      </c>
      <c r="AL599" s="49" t="s">
        <v>297</v>
      </c>
      <c r="AO599" s="49" t="s">
        <v>303</v>
      </c>
      <c r="AP599" s="48"/>
      <c r="AR599" s="49" t="s">
        <v>303</v>
      </c>
      <c r="AS599" s="49" t="s">
        <v>306</v>
      </c>
      <c r="AT599" s="49" t="s">
        <v>2693</v>
      </c>
      <c r="AV599" s="49" t="s">
        <v>309</v>
      </c>
      <c r="AW599" s="49" t="s">
        <v>310</v>
      </c>
      <c r="AX599" s="49" t="s">
        <v>311</v>
      </c>
      <c r="AY599" s="48"/>
      <c r="AZ599" s="48" t="n">
        <v>46174</v>
      </c>
      <c r="BC599" s="49" t="s">
        <v>303</v>
      </c>
      <c r="BD599" s="48" t="n">
        <v>46191</v>
      </c>
      <c r="BE599" s="49" t="s">
        <v>2694</v>
      </c>
      <c r="BF599" s="49" t="s">
        <v>303</v>
      </c>
      <c r="BG599" s="48"/>
      <c r="BI599" s="48" t="n">
        <v>46191</v>
      </c>
      <c r="BJ599" s="48" t="n">
        <v>46181</v>
      </c>
      <c r="BK599" s="49" t="s">
        <v>313</v>
      </c>
      <c r="BL599" s="49" t="s">
        <v>313</v>
      </c>
      <c r="BM599" s="49" t="s">
        <v>310</v>
      </c>
      <c r="BN599" s="48"/>
      <c r="BO599" s="48"/>
      <c r="BP599" s="48"/>
      <c r="BQ599" s="49" t="s">
        <v>2675</v>
      </c>
      <c r="BR599" s="48" t="n">
        <v>46181</v>
      </c>
      <c r="BS599" s="49" t="s">
        <v>2695</v>
      </c>
      <c r="BT599" s="49" t="s">
        <v>312</v>
      </c>
      <c r="BU599" s="49" t="s">
        <v>313</v>
      </c>
      <c r="BV599" s="49" t="s">
        <v>303</v>
      </c>
      <c r="BX599" s="0" t="n">
        <v>1</v>
      </c>
      <c r="CC599" s="49" t="s">
        <v>315</v>
      </c>
      <c r="CD599" s="49" t="s">
        <v>303</v>
      </c>
      <c r="CF599" s="49" t="s">
        <v>303</v>
      </c>
      <c r="CG599" s="49" t="s">
        <v>316</v>
      </c>
      <c r="CH599" s="49" t="s">
        <v>317</v>
      </c>
      <c r="CI599" s="49" t="s">
        <v>318</v>
      </c>
      <c r="CM599" s="49" t="s">
        <v>65</v>
      </c>
      <c r="CV599" s="49" t="s">
        <v>303</v>
      </c>
      <c r="DB599" s="49" t="s">
        <v>319</v>
      </c>
      <c r="DD599" s="48" t="n">
        <v>46498</v>
      </c>
      <c r="DF599" s="49" t="s">
        <v>310</v>
      </c>
      <c r="DG599" s="49" t="s">
        <v>320</v>
      </c>
      <c r="DH599" s="49" t="s">
        <v>64</v>
      </c>
      <c r="DI599" s="49" t="s">
        <v>298</v>
      </c>
      <c r="DJ599" s="49" t="s">
        <v>394</v>
      </c>
      <c r="DK599" s="49" t="s">
        <v>322</v>
      </c>
      <c r="DL599" s="49" t="s">
        <v>323</v>
      </c>
      <c r="DM599" s="49" t="s">
        <v>303</v>
      </c>
      <c r="DN599" s="49" t="s">
        <v>297</v>
      </c>
      <c r="DO599" s="48"/>
      <c r="DP599" s="49" t="s">
        <v>312</v>
      </c>
      <c r="DQ599" s="48"/>
      <c r="DR599" s="49" t="s">
        <v>312</v>
      </c>
      <c r="DS599" s="49" t="s">
        <v>303</v>
      </c>
      <c r="DT599" s="49" t="s">
        <v>303</v>
      </c>
      <c r="DW599" s="49" t="s">
        <v>303</v>
      </c>
      <c r="EA599" s="49" t="s">
        <v>324</v>
      </c>
      <c r="EB599" s="49" t="s">
        <v>303</v>
      </c>
      <c r="EF599" s="49" t="s">
        <v>2684</v>
      </c>
      <c r="EH599" s="49" t="s">
        <v>310</v>
      </c>
      <c r="EJ599" s="49" t="s">
        <v>303</v>
      </c>
      <c r="EK599" s="49" t="s">
        <v>2696</v>
      </c>
      <c r="EM599" s="49" t="s">
        <v>303</v>
      </c>
      <c r="EN599" s="49" t="s">
        <v>396</v>
      </c>
      <c r="EP599" s="49" t="s">
        <v>298</v>
      </c>
      <c r="EQ599" s="0" t="n">
        <v>1</v>
      </c>
      <c r="ER599" s="49" t="s">
        <v>328</v>
      </c>
      <c r="ES599" s="49" t="s">
        <v>329</v>
      </c>
      <c r="ET599" s="49" t="s">
        <v>310</v>
      </c>
      <c r="EU599" s="49" t="s">
        <v>310</v>
      </c>
      <c r="EV599" s="49" t="s">
        <v>310</v>
      </c>
      <c r="EX599" s="49" t="s">
        <v>303</v>
      </c>
      <c r="EY599" s="49" t="s">
        <v>303</v>
      </c>
      <c r="FC599" s="49" t="s">
        <v>330</v>
      </c>
      <c r="FD599" s="49" t="s">
        <v>310</v>
      </c>
      <c r="FE599" s="49" t="s">
        <v>310</v>
      </c>
      <c r="FF599" s="49" t="s">
        <v>64</v>
      </c>
      <c r="FG599" s="49" t="s">
        <v>397</v>
      </c>
      <c r="FH599" s="49" t="s">
        <v>310</v>
      </c>
      <c r="FI599" s="49" t="s">
        <v>332</v>
      </c>
      <c r="FJ599" s="49" t="s">
        <v>303</v>
      </c>
      <c r="FL599" s="49" t="s">
        <v>325</v>
      </c>
      <c r="FM599" s="49" t="s">
        <v>2675</v>
      </c>
      <c r="FP599" s="49" t="s">
        <v>303</v>
      </c>
      <c r="FR599" s="49" t="s">
        <v>303</v>
      </c>
      <c r="FT599" s="49" t="s">
        <v>325</v>
      </c>
      <c r="FU599" s="49" t="s">
        <v>325</v>
      </c>
      <c r="FW599" s="49" t="s">
        <v>333</v>
      </c>
    </row>
    <row r="600" customFormat="false" ht="15" hidden="false" customHeight="false" outlineLevel="0" collapsed="false">
      <c r="A600" s="0" t="n">
        <v>100865006</v>
      </c>
      <c r="B600" s="0" t="s">
        <v>295</v>
      </c>
      <c r="C600" s="0" t="s">
        <v>64</v>
      </c>
      <c r="D600" s="0" t="s">
        <v>65</v>
      </c>
      <c r="E600" s="0" t="s">
        <v>297</v>
      </c>
      <c r="G600" s="0" t="n">
        <v>1</v>
      </c>
      <c r="H600" s="0" t="s">
        <v>298</v>
      </c>
      <c r="I600" s="48" t="n">
        <v>46176</v>
      </c>
      <c r="J600" s="0" t="n">
        <v>1</v>
      </c>
      <c r="K600" s="49" t="s">
        <v>2675</v>
      </c>
      <c r="L600" s="49" t="s">
        <v>300</v>
      </c>
      <c r="M600" s="48" t="n">
        <v>46190</v>
      </c>
      <c r="N600" s="49" t="s">
        <v>1204</v>
      </c>
      <c r="O600" s="49" t="s">
        <v>1045</v>
      </c>
      <c r="P600" s="48"/>
      <c r="Q600" s="48" t="n">
        <v>46176</v>
      </c>
      <c r="R600" s="48" t="n">
        <v>46182</v>
      </c>
      <c r="T600" s="49" t="s">
        <v>302</v>
      </c>
      <c r="U600" s="49" t="s">
        <v>303</v>
      </c>
      <c r="Y600" s="49" t="s">
        <v>2697</v>
      </c>
      <c r="AD600" s="49" t="s">
        <v>305</v>
      </c>
      <c r="AE600" s="48" t="n">
        <v>46498</v>
      </c>
      <c r="AF600" s="49" t="s">
        <v>306</v>
      </c>
      <c r="AG600" s="49" t="s">
        <v>307</v>
      </c>
      <c r="AK600" s="49" t="s">
        <v>1047</v>
      </c>
      <c r="AL600" s="49" t="s">
        <v>297</v>
      </c>
      <c r="AO600" s="49" t="s">
        <v>303</v>
      </c>
      <c r="AP600" s="48"/>
      <c r="AR600" s="49" t="s">
        <v>303</v>
      </c>
      <c r="AS600" s="49" t="s">
        <v>306</v>
      </c>
      <c r="AT600" s="49" t="s">
        <v>2698</v>
      </c>
      <c r="AV600" s="49" t="s">
        <v>309</v>
      </c>
      <c r="AW600" s="49" t="s">
        <v>310</v>
      </c>
      <c r="AX600" s="49" t="s">
        <v>311</v>
      </c>
      <c r="AY600" s="48"/>
      <c r="AZ600" s="48" t="n">
        <v>46174</v>
      </c>
      <c r="BC600" s="49" t="s">
        <v>303</v>
      </c>
      <c r="BD600" s="48" t="n">
        <v>46191</v>
      </c>
      <c r="BE600" s="49" t="s">
        <v>2694</v>
      </c>
      <c r="BF600" s="49" t="s">
        <v>303</v>
      </c>
      <c r="BG600" s="48"/>
      <c r="BI600" s="48" t="n">
        <v>46191</v>
      </c>
      <c r="BJ600" s="48" t="n">
        <v>46181</v>
      </c>
      <c r="BK600" s="49" t="s">
        <v>313</v>
      </c>
      <c r="BL600" s="49" t="s">
        <v>313</v>
      </c>
      <c r="BM600" s="49" t="s">
        <v>310</v>
      </c>
      <c r="BN600" s="48"/>
      <c r="BO600" s="48"/>
      <c r="BP600" s="48"/>
      <c r="BQ600" s="49" t="s">
        <v>2675</v>
      </c>
      <c r="BR600" s="48" t="n">
        <v>46181</v>
      </c>
      <c r="BS600" s="49" t="s">
        <v>2695</v>
      </c>
      <c r="BT600" s="49" t="s">
        <v>312</v>
      </c>
      <c r="BU600" s="49" t="s">
        <v>313</v>
      </c>
      <c r="BV600" s="49" t="s">
        <v>303</v>
      </c>
      <c r="BX600" s="0" t="n">
        <v>1</v>
      </c>
      <c r="CC600" s="49" t="s">
        <v>315</v>
      </c>
      <c r="CD600" s="49" t="s">
        <v>303</v>
      </c>
      <c r="CF600" s="49" t="s">
        <v>303</v>
      </c>
      <c r="CG600" s="49" t="s">
        <v>316</v>
      </c>
      <c r="CH600" s="49" t="s">
        <v>317</v>
      </c>
      <c r="CI600" s="49" t="s">
        <v>318</v>
      </c>
      <c r="CM600" s="49" t="s">
        <v>65</v>
      </c>
      <c r="CV600" s="49" t="s">
        <v>303</v>
      </c>
      <c r="DB600" s="49" t="s">
        <v>319</v>
      </c>
      <c r="DD600" s="48" t="n">
        <v>46498</v>
      </c>
      <c r="DF600" s="49" t="s">
        <v>310</v>
      </c>
      <c r="DG600" s="49" t="s">
        <v>320</v>
      </c>
      <c r="DH600" s="49" t="s">
        <v>64</v>
      </c>
      <c r="DI600" s="49" t="s">
        <v>298</v>
      </c>
      <c r="DJ600" s="49" t="s">
        <v>394</v>
      </c>
      <c r="DK600" s="49" t="s">
        <v>322</v>
      </c>
      <c r="DL600" s="49" t="s">
        <v>323</v>
      </c>
      <c r="DM600" s="49" t="s">
        <v>303</v>
      </c>
      <c r="DN600" s="49" t="s">
        <v>297</v>
      </c>
      <c r="DO600" s="48"/>
      <c r="DP600" s="49" t="s">
        <v>312</v>
      </c>
      <c r="DQ600" s="48"/>
      <c r="DR600" s="49" t="s">
        <v>312</v>
      </c>
      <c r="DS600" s="49" t="s">
        <v>303</v>
      </c>
      <c r="DT600" s="49" t="s">
        <v>303</v>
      </c>
      <c r="DW600" s="49" t="s">
        <v>303</v>
      </c>
      <c r="EA600" s="49" t="s">
        <v>324</v>
      </c>
      <c r="EB600" s="49" t="s">
        <v>303</v>
      </c>
      <c r="EF600" s="49" t="s">
        <v>2684</v>
      </c>
      <c r="EH600" s="49" t="s">
        <v>310</v>
      </c>
      <c r="EJ600" s="49" t="s">
        <v>303</v>
      </c>
      <c r="EK600" s="49" t="s">
        <v>2699</v>
      </c>
      <c r="EM600" s="49" t="s">
        <v>303</v>
      </c>
      <c r="EN600" s="49" t="s">
        <v>396</v>
      </c>
      <c r="EP600" s="49" t="s">
        <v>298</v>
      </c>
      <c r="EQ600" s="0" t="n">
        <v>1</v>
      </c>
      <c r="ER600" s="49" t="s">
        <v>328</v>
      </c>
      <c r="ES600" s="49" t="s">
        <v>329</v>
      </c>
      <c r="ET600" s="49" t="s">
        <v>310</v>
      </c>
      <c r="EU600" s="49" t="s">
        <v>310</v>
      </c>
      <c r="EV600" s="49" t="s">
        <v>310</v>
      </c>
      <c r="EX600" s="49" t="s">
        <v>303</v>
      </c>
      <c r="EY600" s="49" t="s">
        <v>303</v>
      </c>
      <c r="FC600" s="49" t="s">
        <v>330</v>
      </c>
      <c r="FD600" s="49" t="s">
        <v>310</v>
      </c>
      <c r="FE600" s="49" t="s">
        <v>310</v>
      </c>
      <c r="FF600" s="49" t="s">
        <v>64</v>
      </c>
      <c r="FG600" s="49" t="s">
        <v>397</v>
      </c>
      <c r="FH600" s="49" t="s">
        <v>310</v>
      </c>
      <c r="FI600" s="49" t="s">
        <v>332</v>
      </c>
      <c r="FJ600" s="49" t="s">
        <v>303</v>
      </c>
      <c r="FL600" s="49" t="s">
        <v>325</v>
      </c>
      <c r="FM600" s="49" t="s">
        <v>2675</v>
      </c>
      <c r="FP600" s="49" t="s">
        <v>303</v>
      </c>
      <c r="FR600" s="49" t="s">
        <v>303</v>
      </c>
      <c r="FT600" s="49" t="s">
        <v>325</v>
      </c>
      <c r="FU600" s="49" t="s">
        <v>325</v>
      </c>
      <c r="FW600" s="49" t="s">
        <v>333</v>
      </c>
    </row>
    <row r="601" customFormat="false" ht="15" hidden="false" customHeight="false" outlineLevel="0" collapsed="false">
      <c r="A601" s="0" t="n">
        <v>100865007</v>
      </c>
      <c r="B601" s="0" t="s">
        <v>295</v>
      </c>
      <c r="C601" s="0" t="s">
        <v>64</v>
      </c>
      <c r="D601" s="0" t="s">
        <v>65</v>
      </c>
      <c r="E601" s="0" t="s">
        <v>297</v>
      </c>
      <c r="G601" s="0" t="n">
        <v>1</v>
      </c>
      <c r="H601" s="0" t="s">
        <v>298</v>
      </c>
      <c r="I601" s="48" t="n">
        <v>46176</v>
      </c>
      <c r="J601" s="0" t="n">
        <v>1</v>
      </c>
      <c r="K601" s="49" t="s">
        <v>2675</v>
      </c>
      <c r="L601" s="49" t="s">
        <v>300</v>
      </c>
      <c r="M601" s="48" t="n">
        <v>46190</v>
      </c>
      <c r="N601" s="49" t="s">
        <v>1204</v>
      </c>
      <c r="O601" s="49" t="s">
        <v>1045</v>
      </c>
      <c r="P601" s="48"/>
      <c r="Q601" s="48" t="n">
        <v>46176</v>
      </c>
      <c r="R601" s="48" t="n">
        <v>46182</v>
      </c>
      <c r="T601" s="49" t="s">
        <v>302</v>
      </c>
      <c r="U601" s="49" t="s">
        <v>303</v>
      </c>
      <c r="Y601" s="49" t="s">
        <v>2700</v>
      </c>
      <c r="AD601" s="49" t="s">
        <v>305</v>
      </c>
      <c r="AE601" s="48" t="n">
        <v>46498</v>
      </c>
      <c r="AF601" s="49" t="s">
        <v>306</v>
      </c>
      <c r="AG601" s="49" t="s">
        <v>307</v>
      </c>
      <c r="AK601" s="49" t="s">
        <v>1047</v>
      </c>
      <c r="AL601" s="49" t="s">
        <v>297</v>
      </c>
      <c r="AO601" s="49" t="s">
        <v>303</v>
      </c>
      <c r="AP601" s="48"/>
      <c r="AR601" s="49" t="s">
        <v>303</v>
      </c>
      <c r="AS601" s="49" t="s">
        <v>306</v>
      </c>
      <c r="AT601" s="49" t="s">
        <v>2701</v>
      </c>
      <c r="AV601" s="49" t="s">
        <v>309</v>
      </c>
      <c r="AW601" s="49" t="s">
        <v>310</v>
      </c>
      <c r="AX601" s="49" t="s">
        <v>311</v>
      </c>
      <c r="AY601" s="48"/>
      <c r="AZ601" s="48" t="n">
        <v>46174</v>
      </c>
      <c r="BC601" s="49" t="s">
        <v>303</v>
      </c>
      <c r="BD601" s="48" t="n">
        <v>46191</v>
      </c>
      <c r="BE601" s="49" t="s">
        <v>2694</v>
      </c>
      <c r="BF601" s="49" t="s">
        <v>303</v>
      </c>
      <c r="BG601" s="48"/>
      <c r="BI601" s="48" t="n">
        <v>46191</v>
      </c>
      <c r="BJ601" s="48" t="n">
        <v>46181</v>
      </c>
      <c r="BK601" s="49" t="s">
        <v>313</v>
      </c>
      <c r="BL601" s="49" t="s">
        <v>313</v>
      </c>
      <c r="BM601" s="49" t="s">
        <v>310</v>
      </c>
      <c r="BN601" s="48"/>
      <c r="BO601" s="48"/>
      <c r="BP601" s="48"/>
      <c r="BQ601" s="49" t="s">
        <v>2675</v>
      </c>
      <c r="BR601" s="48" t="n">
        <v>46181</v>
      </c>
      <c r="BS601" s="49" t="s">
        <v>2695</v>
      </c>
      <c r="BT601" s="49" t="s">
        <v>312</v>
      </c>
      <c r="BU601" s="49" t="s">
        <v>313</v>
      </c>
      <c r="BV601" s="49" t="s">
        <v>303</v>
      </c>
      <c r="BX601" s="0" t="n">
        <v>1</v>
      </c>
      <c r="CC601" s="49" t="s">
        <v>315</v>
      </c>
      <c r="CD601" s="49" t="s">
        <v>303</v>
      </c>
      <c r="CF601" s="49" t="s">
        <v>303</v>
      </c>
      <c r="CG601" s="49" t="s">
        <v>316</v>
      </c>
      <c r="CH601" s="49" t="s">
        <v>317</v>
      </c>
      <c r="CI601" s="49" t="s">
        <v>318</v>
      </c>
      <c r="CM601" s="49" t="s">
        <v>65</v>
      </c>
      <c r="CV601" s="49" t="s">
        <v>303</v>
      </c>
      <c r="DB601" s="49" t="s">
        <v>319</v>
      </c>
      <c r="DD601" s="48" t="n">
        <v>46498</v>
      </c>
      <c r="DF601" s="49" t="s">
        <v>310</v>
      </c>
      <c r="DG601" s="49" t="s">
        <v>320</v>
      </c>
      <c r="DH601" s="49" t="s">
        <v>64</v>
      </c>
      <c r="DI601" s="49" t="s">
        <v>298</v>
      </c>
      <c r="DJ601" s="49" t="s">
        <v>394</v>
      </c>
      <c r="DK601" s="49" t="s">
        <v>322</v>
      </c>
      <c r="DL601" s="49" t="s">
        <v>323</v>
      </c>
      <c r="DM601" s="49" t="s">
        <v>303</v>
      </c>
      <c r="DN601" s="49" t="s">
        <v>297</v>
      </c>
      <c r="DO601" s="48"/>
      <c r="DP601" s="49" t="s">
        <v>312</v>
      </c>
      <c r="DQ601" s="48"/>
      <c r="DR601" s="49" t="s">
        <v>312</v>
      </c>
      <c r="DS601" s="49" t="s">
        <v>303</v>
      </c>
      <c r="DT601" s="49" t="s">
        <v>303</v>
      </c>
      <c r="DW601" s="49" t="s">
        <v>303</v>
      </c>
      <c r="EA601" s="49" t="s">
        <v>324</v>
      </c>
      <c r="EB601" s="49" t="s">
        <v>303</v>
      </c>
      <c r="EF601" s="49" t="s">
        <v>2684</v>
      </c>
      <c r="EH601" s="49" t="s">
        <v>310</v>
      </c>
      <c r="EJ601" s="49" t="s">
        <v>303</v>
      </c>
      <c r="EK601" s="49" t="s">
        <v>2702</v>
      </c>
      <c r="EM601" s="49" t="s">
        <v>303</v>
      </c>
      <c r="EN601" s="49" t="s">
        <v>396</v>
      </c>
      <c r="EP601" s="49" t="s">
        <v>298</v>
      </c>
      <c r="EQ601" s="0" t="n">
        <v>1</v>
      </c>
      <c r="ER601" s="49" t="s">
        <v>328</v>
      </c>
      <c r="ES601" s="49" t="s">
        <v>329</v>
      </c>
      <c r="ET601" s="49" t="s">
        <v>310</v>
      </c>
      <c r="EU601" s="49" t="s">
        <v>310</v>
      </c>
      <c r="EV601" s="49" t="s">
        <v>310</v>
      </c>
      <c r="EX601" s="49" t="s">
        <v>303</v>
      </c>
      <c r="EY601" s="49" t="s">
        <v>303</v>
      </c>
      <c r="FC601" s="49" t="s">
        <v>330</v>
      </c>
      <c r="FD601" s="49" t="s">
        <v>310</v>
      </c>
      <c r="FE601" s="49" t="s">
        <v>310</v>
      </c>
      <c r="FF601" s="49" t="s">
        <v>64</v>
      </c>
      <c r="FG601" s="49" t="s">
        <v>397</v>
      </c>
      <c r="FH601" s="49" t="s">
        <v>310</v>
      </c>
      <c r="FI601" s="49" t="s">
        <v>332</v>
      </c>
      <c r="FJ601" s="49" t="s">
        <v>303</v>
      </c>
      <c r="FL601" s="49" t="s">
        <v>325</v>
      </c>
      <c r="FM601" s="49" t="s">
        <v>2675</v>
      </c>
      <c r="FP601" s="49" t="s">
        <v>303</v>
      </c>
      <c r="FR601" s="49" t="s">
        <v>303</v>
      </c>
      <c r="FT601" s="49" t="s">
        <v>325</v>
      </c>
      <c r="FU601" s="49" t="s">
        <v>325</v>
      </c>
      <c r="FW601" s="49" t="s">
        <v>333</v>
      </c>
    </row>
    <row r="602" customFormat="false" ht="15" hidden="false" customHeight="false" outlineLevel="0" collapsed="false">
      <c r="A602" s="0" t="n">
        <v>100865008</v>
      </c>
      <c r="B602" s="0" t="s">
        <v>295</v>
      </c>
      <c r="C602" s="0" t="s">
        <v>64</v>
      </c>
      <c r="D602" s="0" t="s">
        <v>65</v>
      </c>
      <c r="E602" s="0" t="s">
        <v>297</v>
      </c>
      <c r="G602" s="0" t="n">
        <v>1</v>
      </c>
      <c r="H602" s="0" t="s">
        <v>298</v>
      </c>
      <c r="I602" s="48" t="n">
        <v>46176</v>
      </c>
      <c r="J602" s="0" t="n">
        <v>1</v>
      </c>
      <c r="K602" s="49" t="s">
        <v>2675</v>
      </c>
      <c r="L602" s="49" t="s">
        <v>300</v>
      </c>
      <c r="M602" s="48" t="n">
        <v>46190</v>
      </c>
      <c r="N602" s="49" t="s">
        <v>1204</v>
      </c>
      <c r="O602" s="49" t="s">
        <v>1045</v>
      </c>
      <c r="P602" s="48"/>
      <c r="Q602" s="48" t="n">
        <v>46176</v>
      </c>
      <c r="R602" s="48" t="n">
        <v>46182</v>
      </c>
      <c r="T602" s="49" t="s">
        <v>302</v>
      </c>
      <c r="U602" s="49" t="s">
        <v>303</v>
      </c>
      <c r="Y602" s="49" t="s">
        <v>2703</v>
      </c>
      <c r="AD602" s="49" t="s">
        <v>305</v>
      </c>
      <c r="AE602" s="48" t="n">
        <v>46498</v>
      </c>
      <c r="AF602" s="49" t="s">
        <v>306</v>
      </c>
      <c r="AG602" s="49" t="s">
        <v>307</v>
      </c>
      <c r="AK602" s="49" t="s">
        <v>1047</v>
      </c>
      <c r="AL602" s="49" t="s">
        <v>297</v>
      </c>
      <c r="AO602" s="49" t="s">
        <v>303</v>
      </c>
      <c r="AP602" s="48"/>
      <c r="AR602" s="49" t="s">
        <v>303</v>
      </c>
      <c r="AS602" s="49" t="s">
        <v>306</v>
      </c>
      <c r="AT602" s="49" t="s">
        <v>2704</v>
      </c>
      <c r="AV602" s="49" t="s">
        <v>309</v>
      </c>
      <c r="AW602" s="49" t="s">
        <v>310</v>
      </c>
      <c r="AX602" s="49" t="s">
        <v>311</v>
      </c>
      <c r="AY602" s="48"/>
      <c r="AZ602" s="48" t="n">
        <v>46174</v>
      </c>
      <c r="BC602" s="49" t="s">
        <v>303</v>
      </c>
      <c r="BD602" s="48" t="n">
        <v>46191</v>
      </c>
      <c r="BE602" s="49" t="s">
        <v>2705</v>
      </c>
      <c r="BF602" s="49" t="s">
        <v>303</v>
      </c>
      <c r="BG602" s="48"/>
      <c r="BI602" s="48" t="n">
        <v>46191</v>
      </c>
      <c r="BJ602" s="48" t="n">
        <v>46181</v>
      </c>
      <c r="BK602" s="49" t="s">
        <v>313</v>
      </c>
      <c r="BL602" s="49" t="s">
        <v>313</v>
      </c>
      <c r="BM602" s="49" t="s">
        <v>310</v>
      </c>
      <c r="BN602" s="48"/>
      <c r="BO602" s="48"/>
      <c r="BP602" s="48"/>
      <c r="BQ602" s="49" t="s">
        <v>2675</v>
      </c>
      <c r="BR602" s="48" t="n">
        <v>46181</v>
      </c>
      <c r="BS602" s="49" t="s">
        <v>2706</v>
      </c>
      <c r="BT602" s="49" t="s">
        <v>312</v>
      </c>
      <c r="BU602" s="49" t="s">
        <v>313</v>
      </c>
      <c r="BV602" s="49" t="s">
        <v>303</v>
      </c>
      <c r="BX602" s="0" t="n">
        <v>1</v>
      </c>
      <c r="CC602" s="49" t="s">
        <v>315</v>
      </c>
      <c r="CD602" s="49" t="s">
        <v>303</v>
      </c>
      <c r="CF602" s="49" t="s">
        <v>303</v>
      </c>
      <c r="CG602" s="49" t="s">
        <v>316</v>
      </c>
      <c r="CH602" s="49" t="s">
        <v>317</v>
      </c>
      <c r="CI602" s="49" t="s">
        <v>318</v>
      </c>
      <c r="CM602" s="49" t="s">
        <v>65</v>
      </c>
      <c r="CV602" s="49" t="s">
        <v>303</v>
      </c>
      <c r="DB602" s="49" t="s">
        <v>319</v>
      </c>
      <c r="DD602" s="48" t="n">
        <v>46498</v>
      </c>
      <c r="DF602" s="49" t="s">
        <v>310</v>
      </c>
      <c r="DG602" s="49" t="s">
        <v>320</v>
      </c>
      <c r="DH602" s="49" t="s">
        <v>64</v>
      </c>
      <c r="DI602" s="49" t="s">
        <v>298</v>
      </c>
      <c r="DJ602" s="49" t="s">
        <v>394</v>
      </c>
      <c r="DK602" s="49" t="s">
        <v>322</v>
      </c>
      <c r="DL602" s="49" t="s">
        <v>323</v>
      </c>
      <c r="DM602" s="49" t="s">
        <v>303</v>
      </c>
      <c r="DN602" s="49" t="s">
        <v>297</v>
      </c>
      <c r="DO602" s="48"/>
      <c r="DP602" s="49" t="s">
        <v>312</v>
      </c>
      <c r="DQ602" s="48"/>
      <c r="DR602" s="49" t="s">
        <v>312</v>
      </c>
      <c r="DS602" s="49" t="s">
        <v>303</v>
      </c>
      <c r="DT602" s="49" t="s">
        <v>303</v>
      </c>
      <c r="DW602" s="49" t="s">
        <v>303</v>
      </c>
      <c r="EA602" s="49" t="s">
        <v>324</v>
      </c>
      <c r="EB602" s="49" t="s">
        <v>303</v>
      </c>
      <c r="EF602" s="49" t="s">
        <v>2684</v>
      </c>
      <c r="EH602" s="49" t="s">
        <v>310</v>
      </c>
      <c r="EJ602" s="49" t="s">
        <v>303</v>
      </c>
      <c r="EK602" s="49" t="s">
        <v>2707</v>
      </c>
      <c r="EM602" s="49" t="s">
        <v>303</v>
      </c>
      <c r="EN602" s="49" t="s">
        <v>396</v>
      </c>
      <c r="EP602" s="49" t="s">
        <v>298</v>
      </c>
      <c r="EQ602" s="0" t="n">
        <v>1</v>
      </c>
      <c r="ER602" s="49" t="s">
        <v>328</v>
      </c>
      <c r="ES602" s="49" t="s">
        <v>329</v>
      </c>
      <c r="ET602" s="49" t="s">
        <v>310</v>
      </c>
      <c r="EU602" s="49" t="s">
        <v>310</v>
      </c>
      <c r="EV602" s="49" t="s">
        <v>310</v>
      </c>
      <c r="EX602" s="49" t="s">
        <v>303</v>
      </c>
      <c r="EY602" s="49" t="s">
        <v>303</v>
      </c>
      <c r="FC602" s="49" t="s">
        <v>330</v>
      </c>
      <c r="FD602" s="49" t="s">
        <v>310</v>
      </c>
      <c r="FE602" s="49" t="s">
        <v>310</v>
      </c>
      <c r="FF602" s="49" t="s">
        <v>64</v>
      </c>
      <c r="FG602" s="49" t="s">
        <v>397</v>
      </c>
      <c r="FH602" s="49" t="s">
        <v>310</v>
      </c>
      <c r="FI602" s="49" t="s">
        <v>332</v>
      </c>
      <c r="FJ602" s="49" t="s">
        <v>303</v>
      </c>
      <c r="FL602" s="49" t="s">
        <v>325</v>
      </c>
      <c r="FM602" s="49" t="s">
        <v>2675</v>
      </c>
      <c r="FP602" s="49" t="s">
        <v>303</v>
      </c>
      <c r="FR602" s="49" t="s">
        <v>303</v>
      </c>
      <c r="FT602" s="49" t="s">
        <v>325</v>
      </c>
      <c r="FU602" s="49" t="s">
        <v>325</v>
      </c>
      <c r="FW602" s="49" t="s">
        <v>333</v>
      </c>
    </row>
    <row r="603" customFormat="false" ht="15" hidden="false" customHeight="false" outlineLevel="0" collapsed="false">
      <c r="A603" s="0" t="n">
        <v>100865009</v>
      </c>
      <c r="B603" s="0" t="s">
        <v>295</v>
      </c>
      <c r="C603" s="0" t="s">
        <v>64</v>
      </c>
      <c r="D603" s="0" t="s">
        <v>65</v>
      </c>
      <c r="E603" s="0" t="s">
        <v>297</v>
      </c>
      <c r="G603" s="0" t="n">
        <v>1</v>
      </c>
      <c r="H603" s="0" t="s">
        <v>298</v>
      </c>
      <c r="I603" s="48" t="n">
        <v>46176</v>
      </c>
      <c r="J603" s="0" t="n">
        <v>1</v>
      </c>
      <c r="K603" s="49" t="s">
        <v>2675</v>
      </c>
      <c r="L603" s="49" t="s">
        <v>300</v>
      </c>
      <c r="M603" s="48" t="n">
        <v>46190</v>
      </c>
      <c r="N603" s="49" t="s">
        <v>1204</v>
      </c>
      <c r="O603" s="49" t="s">
        <v>1045</v>
      </c>
      <c r="P603" s="48"/>
      <c r="Q603" s="48" t="n">
        <v>46176</v>
      </c>
      <c r="R603" s="48" t="n">
        <v>46182</v>
      </c>
      <c r="T603" s="49" t="s">
        <v>302</v>
      </c>
      <c r="U603" s="49" t="s">
        <v>303</v>
      </c>
      <c r="Y603" s="49" t="s">
        <v>2708</v>
      </c>
      <c r="AD603" s="49" t="s">
        <v>305</v>
      </c>
      <c r="AE603" s="48" t="n">
        <v>46498</v>
      </c>
      <c r="AF603" s="49" t="s">
        <v>306</v>
      </c>
      <c r="AG603" s="49" t="s">
        <v>307</v>
      </c>
      <c r="AK603" s="49" t="s">
        <v>1047</v>
      </c>
      <c r="AL603" s="49" t="s">
        <v>297</v>
      </c>
      <c r="AO603" s="49" t="s">
        <v>303</v>
      </c>
      <c r="AP603" s="48"/>
      <c r="AR603" s="49" t="s">
        <v>303</v>
      </c>
      <c r="AS603" s="49" t="s">
        <v>306</v>
      </c>
      <c r="AT603" s="49" t="s">
        <v>2709</v>
      </c>
      <c r="AV603" s="49" t="s">
        <v>309</v>
      </c>
      <c r="AW603" s="49" t="s">
        <v>310</v>
      </c>
      <c r="AX603" s="49" t="s">
        <v>311</v>
      </c>
      <c r="AY603" s="48"/>
      <c r="AZ603" s="48" t="n">
        <v>46174</v>
      </c>
      <c r="BC603" s="49" t="s">
        <v>303</v>
      </c>
      <c r="BD603" s="48" t="n">
        <v>46191</v>
      </c>
      <c r="BE603" s="49" t="s">
        <v>2705</v>
      </c>
      <c r="BF603" s="49" t="s">
        <v>303</v>
      </c>
      <c r="BG603" s="48"/>
      <c r="BI603" s="48" t="n">
        <v>46191</v>
      </c>
      <c r="BJ603" s="48" t="n">
        <v>46181</v>
      </c>
      <c r="BK603" s="49" t="s">
        <v>313</v>
      </c>
      <c r="BL603" s="49" t="s">
        <v>313</v>
      </c>
      <c r="BM603" s="49" t="s">
        <v>310</v>
      </c>
      <c r="BN603" s="48"/>
      <c r="BO603" s="48"/>
      <c r="BP603" s="48"/>
      <c r="BQ603" s="49" t="s">
        <v>2675</v>
      </c>
      <c r="BR603" s="48" t="n">
        <v>46181</v>
      </c>
      <c r="BS603" s="49" t="s">
        <v>2706</v>
      </c>
      <c r="BT603" s="49" t="s">
        <v>312</v>
      </c>
      <c r="BU603" s="49" t="s">
        <v>313</v>
      </c>
      <c r="BV603" s="49" t="s">
        <v>303</v>
      </c>
      <c r="BX603" s="0" t="n">
        <v>1</v>
      </c>
      <c r="CC603" s="49" t="s">
        <v>315</v>
      </c>
      <c r="CD603" s="49" t="s">
        <v>303</v>
      </c>
      <c r="CF603" s="49" t="s">
        <v>303</v>
      </c>
      <c r="CG603" s="49" t="s">
        <v>316</v>
      </c>
      <c r="CH603" s="49" t="s">
        <v>317</v>
      </c>
      <c r="CI603" s="49" t="s">
        <v>318</v>
      </c>
      <c r="CM603" s="49" t="s">
        <v>65</v>
      </c>
      <c r="CV603" s="49" t="s">
        <v>303</v>
      </c>
      <c r="DB603" s="49" t="s">
        <v>319</v>
      </c>
      <c r="DD603" s="48" t="n">
        <v>46498</v>
      </c>
      <c r="DF603" s="49" t="s">
        <v>310</v>
      </c>
      <c r="DG603" s="49" t="s">
        <v>320</v>
      </c>
      <c r="DH603" s="49" t="s">
        <v>64</v>
      </c>
      <c r="DI603" s="49" t="s">
        <v>298</v>
      </c>
      <c r="DJ603" s="49" t="s">
        <v>394</v>
      </c>
      <c r="DK603" s="49" t="s">
        <v>322</v>
      </c>
      <c r="DL603" s="49" t="s">
        <v>323</v>
      </c>
      <c r="DM603" s="49" t="s">
        <v>303</v>
      </c>
      <c r="DN603" s="49" t="s">
        <v>297</v>
      </c>
      <c r="DO603" s="48"/>
      <c r="DP603" s="49" t="s">
        <v>312</v>
      </c>
      <c r="DQ603" s="48"/>
      <c r="DR603" s="49" t="s">
        <v>312</v>
      </c>
      <c r="DS603" s="49" t="s">
        <v>303</v>
      </c>
      <c r="DT603" s="49" t="s">
        <v>303</v>
      </c>
      <c r="DW603" s="49" t="s">
        <v>303</v>
      </c>
      <c r="EA603" s="49" t="s">
        <v>324</v>
      </c>
      <c r="EB603" s="49" t="s">
        <v>303</v>
      </c>
      <c r="EF603" s="49" t="s">
        <v>2684</v>
      </c>
      <c r="EH603" s="49" t="s">
        <v>310</v>
      </c>
      <c r="EJ603" s="49" t="s">
        <v>303</v>
      </c>
      <c r="EK603" s="49" t="s">
        <v>2710</v>
      </c>
      <c r="EM603" s="49" t="s">
        <v>303</v>
      </c>
      <c r="EN603" s="49" t="s">
        <v>396</v>
      </c>
      <c r="EP603" s="49" t="s">
        <v>298</v>
      </c>
      <c r="EQ603" s="0" t="n">
        <v>1</v>
      </c>
      <c r="ER603" s="49" t="s">
        <v>328</v>
      </c>
      <c r="ES603" s="49" t="s">
        <v>329</v>
      </c>
      <c r="ET603" s="49" t="s">
        <v>310</v>
      </c>
      <c r="EU603" s="49" t="s">
        <v>310</v>
      </c>
      <c r="EV603" s="49" t="s">
        <v>310</v>
      </c>
      <c r="EX603" s="49" t="s">
        <v>303</v>
      </c>
      <c r="EY603" s="49" t="s">
        <v>303</v>
      </c>
      <c r="FC603" s="49" t="s">
        <v>330</v>
      </c>
      <c r="FD603" s="49" t="s">
        <v>310</v>
      </c>
      <c r="FE603" s="49" t="s">
        <v>310</v>
      </c>
      <c r="FF603" s="49" t="s">
        <v>64</v>
      </c>
      <c r="FG603" s="49" t="s">
        <v>397</v>
      </c>
      <c r="FH603" s="49" t="s">
        <v>310</v>
      </c>
      <c r="FI603" s="49" t="s">
        <v>332</v>
      </c>
      <c r="FJ603" s="49" t="s">
        <v>303</v>
      </c>
      <c r="FL603" s="49" t="s">
        <v>325</v>
      </c>
      <c r="FM603" s="49" t="s">
        <v>2675</v>
      </c>
      <c r="FP603" s="49" t="s">
        <v>303</v>
      </c>
      <c r="FR603" s="49" t="s">
        <v>303</v>
      </c>
      <c r="FT603" s="49" t="s">
        <v>325</v>
      </c>
      <c r="FU603" s="49" t="s">
        <v>325</v>
      </c>
      <c r="FW603" s="49" t="s">
        <v>333</v>
      </c>
    </row>
    <row r="604" customFormat="false" ht="15" hidden="false" customHeight="false" outlineLevel="0" collapsed="false">
      <c r="A604" s="0" t="n">
        <v>100865010</v>
      </c>
      <c r="B604" s="0" t="s">
        <v>295</v>
      </c>
      <c r="C604" s="0" t="s">
        <v>64</v>
      </c>
      <c r="D604" s="0" t="s">
        <v>65</v>
      </c>
      <c r="E604" s="0" t="s">
        <v>297</v>
      </c>
      <c r="G604" s="0" t="n">
        <v>1</v>
      </c>
      <c r="H604" s="0" t="s">
        <v>298</v>
      </c>
      <c r="I604" s="48" t="n">
        <v>46176</v>
      </c>
      <c r="J604" s="0" t="n">
        <v>1</v>
      </c>
      <c r="K604" s="49" t="s">
        <v>2675</v>
      </c>
      <c r="L604" s="49" t="s">
        <v>300</v>
      </c>
      <c r="M604" s="48" t="n">
        <v>46190</v>
      </c>
      <c r="N604" s="49" t="s">
        <v>1204</v>
      </c>
      <c r="O604" s="49" t="s">
        <v>1045</v>
      </c>
      <c r="P604" s="48"/>
      <c r="Q604" s="48" t="n">
        <v>46176</v>
      </c>
      <c r="R604" s="48" t="n">
        <v>46182</v>
      </c>
      <c r="T604" s="49" t="s">
        <v>302</v>
      </c>
      <c r="U604" s="49" t="s">
        <v>303</v>
      </c>
      <c r="Y604" s="49" t="s">
        <v>2711</v>
      </c>
      <c r="AD604" s="49" t="s">
        <v>305</v>
      </c>
      <c r="AE604" s="48" t="n">
        <v>46498</v>
      </c>
      <c r="AF604" s="49" t="s">
        <v>306</v>
      </c>
      <c r="AG604" s="49" t="s">
        <v>307</v>
      </c>
      <c r="AK604" s="49" t="s">
        <v>1047</v>
      </c>
      <c r="AL604" s="49" t="s">
        <v>297</v>
      </c>
      <c r="AO604" s="49" t="s">
        <v>303</v>
      </c>
      <c r="AP604" s="48"/>
      <c r="AR604" s="49" t="s">
        <v>303</v>
      </c>
      <c r="AS604" s="49" t="s">
        <v>306</v>
      </c>
      <c r="AT604" s="49" t="s">
        <v>2712</v>
      </c>
      <c r="AV604" s="49" t="s">
        <v>309</v>
      </c>
      <c r="AW604" s="49" t="s">
        <v>310</v>
      </c>
      <c r="AX604" s="49" t="s">
        <v>311</v>
      </c>
      <c r="AY604" s="48"/>
      <c r="AZ604" s="48" t="n">
        <v>46174</v>
      </c>
      <c r="BC604" s="49" t="s">
        <v>303</v>
      </c>
      <c r="BD604" s="48" t="n">
        <v>46191</v>
      </c>
      <c r="BE604" s="49" t="s">
        <v>2705</v>
      </c>
      <c r="BF604" s="49" t="s">
        <v>303</v>
      </c>
      <c r="BG604" s="48"/>
      <c r="BI604" s="48" t="n">
        <v>46191</v>
      </c>
      <c r="BJ604" s="48" t="n">
        <v>46181</v>
      </c>
      <c r="BK604" s="49" t="s">
        <v>313</v>
      </c>
      <c r="BL604" s="49" t="s">
        <v>313</v>
      </c>
      <c r="BM604" s="49" t="s">
        <v>310</v>
      </c>
      <c r="BN604" s="48"/>
      <c r="BO604" s="48"/>
      <c r="BP604" s="48"/>
      <c r="BQ604" s="49" t="s">
        <v>2675</v>
      </c>
      <c r="BR604" s="48" t="n">
        <v>46181</v>
      </c>
      <c r="BS604" s="49" t="s">
        <v>2706</v>
      </c>
      <c r="BT604" s="49" t="s">
        <v>312</v>
      </c>
      <c r="BU604" s="49" t="s">
        <v>313</v>
      </c>
      <c r="BV604" s="49" t="s">
        <v>303</v>
      </c>
      <c r="BX604" s="0" t="n">
        <v>1</v>
      </c>
      <c r="CC604" s="49" t="s">
        <v>315</v>
      </c>
      <c r="CD604" s="49" t="s">
        <v>303</v>
      </c>
      <c r="CF604" s="49" t="s">
        <v>303</v>
      </c>
      <c r="CG604" s="49" t="s">
        <v>316</v>
      </c>
      <c r="CH604" s="49" t="s">
        <v>317</v>
      </c>
      <c r="CI604" s="49" t="s">
        <v>318</v>
      </c>
      <c r="CM604" s="49" t="s">
        <v>65</v>
      </c>
      <c r="CV604" s="49" t="s">
        <v>303</v>
      </c>
      <c r="DB604" s="49" t="s">
        <v>319</v>
      </c>
      <c r="DD604" s="48" t="n">
        <v>46498</v>
      </c>
      <c r="DF604" s="49" t="s">
        <v>310</v>
      </c>
      <c r="DG604" s="49" t="s">
        <v>320</v>
      </c>
      <c r="DH604" s="49" t="s">
        <v>64</v>
      </c>
      <c r="DI604" s="49" t="s">
        <v>298</v>
      </c>
      <c r="DJ604" s="49" t="s">
        <v>394</v>
      </c>
      <c r="DK604" s="49" t="s">
        <v>322</v>
      </c>
      <c r="DL604" s="49" t="s">
        <v>323</v>
      </c>
      <c r="DM604" s="49" t="s">
        <v>303</v>
      </c>
      <c r="DN604" s="49" t="s">
        <v>297</v>
      </c>
      <c r="DO604" s="48"/>
      <c r="DP604" s="49" t="s">
        <v>312</v>
      </c>
      <c r="DQ604" s="48"/>
      <c r="DR604" s="49" t="s">
        <v>312</v>
      </c>
      <c r="DS604" s="49" t="s">
        <v>303</v>
      </c>
      <c r="DT604" s="49" t="s">
        <v>303</v>
      </c>
      <c r="DW604" s="49" t="s">
        <v>303</v>
      </c>
      <c r="EA604" s="49" t="s">
        <v>324</v>
      </c>
      <c r="EB604" s="49" t="s">
        <v>303</v>
      </c>
      <c r="EF604" s="49" t="s">
        <v>2684</v>
      </c>
      <c r="EH604" s="49" t="s">
        <v>310</v>
      </c>
      <c r="EJ604" s="49" t="s">
        <v>303</v>
      </c>
      <c r="EK604" s="49" t="s">
        <v>2713</v>
      </c>
      <c r="EM604" s="49" t="s">
        <v>303</v>
      </c>
      <c r="EN604" s="49" t="s">
        <v>396</v>
      </c>
      <c r="EP604" s="49" t="s">
        <v>298</v>
      </c>
      <c r="EQ604" s="0" t="n">
        <v>1</v>
      </c>
      <c r="ER604" s="49" t="s">
        <v>328</v>
      </c>
      <c r="ES604" s="49" t="s">
        <v>329</v>
      </c>
      <c r="ET604" s="49" t="s">
        <v>310</v>
      </c>
      <c r="EU604" s="49" t="s">
        <v>310</v>
      </c>
      <c r="EV604" s="49" t="s">
        <v>310</v>
      </c>
      <c r="EX604" s="49" t="s">
        <v>303</v>
      </c>
      <c r="EY604" s="49" t="s">
        <v>303</v>
      </c>
      <c r="FC604" s="49" t="s">
        <v>330</v>
      </c>
      <c r="FD604" s="49" t="s">
        <v>310</v>
      </c>
      <c r="FE604" s="49" t="s">
        <v>310</v>
      </c>
      <c r="FF604" s="49" t="s">
        <v>64</v>
      </c>
      <c r="FG604" s="49" t="s">
        <v>397</v>
      </c>
      <c r="FH604" s="49" t="s">
        <v>310</v>
      </c>
      <c r="FI604" s="49" t="s">
        <v>332</v>
      </c>
      <c r="FJ604" s="49" t="s">
        <v>303</v>
      </c>
      <c r="FL604" s="49" t="s">
        <v>325</v>
      </c>
      <c r="FM604" s="49" t="s">
        <v>2675</v>
      </c>
      <c r="FP604" s="49" t="s">
        <v>303</v>
      </c>
      <c r="FR604" s="49" t="s">
        <v>303</v>
      </c>
      <c r="FT604" s="49" t="s">
        <v>325</v>
      </c>
      <c r="FU604" s="49" t="s">
        <v>325</v>
      </c>
      <c r="FW604" s="49" t="s">
        <v>333</v>
      </c>
    </row>
    <row r="605" customFormat="false" ht="15" hidden="false" customHeight="false" outlineLevel="0" collapsed="false">
      <c r="A605" s="0" t="n">
        <v>100865011</v>
      </c>
      <c r="B605" s="0" t="s">
        <v>295</v>
      </c>
      <c r="C605" s="0" t="s">
        <v>64</v>
      </c>
      <c r="D605" s="0" t="s">
        <v>65</v>
      </c>
      <c r="E605" s="0" t="s">
        <v>297</v>
      </c>
      <c r="G605" s="0" t="n">
        <v>1</v>
      </c>
      <c r="H605" s="0" t="s">
        <v>298</v>
      </c>
      <c r="I605" s="48" t="n">
        <v>46176</v>
      </c>
      <c r="J605" s="0" t="n">
        <v>1</v>
      </c>
      <c r="K605" s="49" t="s">
        <v>2675</v>
      </c>
      <c r="L605" s="49" t="s">
        <v>300</v>
      </c>
      <c r="M605" s="48" t="n">
        <v>46190</v>
      </c>
      <c r="N605" s="49" t="s">
        <v>1204</v>
      </c>
      <c r="O605" s="49" t="s">
        <v>1045</v>
      </c>
      <c r="P605" s="48"/>
      <c r="Q605" s="48" t="n">
        <v>46176</v>
      </c>
      <c r="R605" s="48" t="n">
        <v>46182</v>
      </c>
      <c r="T605" s="49" t="s">
        <v>302</v>
      </c>
      <c r="U605" s="49" t="s">
        <v>303</v>
      </c>
      <c r="Y605" s="49" t="s">
        <v>2714</v>
      </c>
      <c r="AD605" s="49" t="s">
        <v>305</v>
      </c>
      <c r="AE605" s="48" t="n">
        <v>46498</v>
      </c>
      <c r="AF605" s="49" t="s">
        <v>306</v>
      </c>
      <c r="AG605" s="49" t="s">
        <v>307</v>
      </c>
      <c r="AK605" s="49" t="s">
        <v>1047</v>
      </c>
      <c r="AL605" s="49" t="s">
        <v>297</v>
      </c>
      <c r="AO605" s="49" t="s">
        <v>303</v>
      </c>
      <c r="AP605" s="48"/>
      <c r="AR605" s="49" t="s">
        <v>303</v>
      </c>
      <c r="AS605" s="49" t="s">
        <v>306</v>
      </c>
      <c r="AT605" s="49" t="s">
        <v>2715</v>
      </c>
      <c r="AV605" s="49" t="s">
        <v>309</v>
      </c>
      <c r="AW605" s="49" t="s">
        <v>310</v>
      </c>
      <c r="AX605" s="49" t="s">
        <v>311</v>
      </c>
      <c r="AY605" s="48"/>
      <c r="AZ605" s="48" t="n">
        <v>46174</v>
      </c>
      <c r="BC605" s="49" t="s">
        <v>303</v>
      </c>
      <c r="BD605" s="48" t="n">
        <v>46191</v>
      </c>
      <c r="BE605" s="49" t="s">
        <v>2705</v>
      </c>
      <c r="BF605" s="49" t="s">
        <v>303</v>
      </c>
      <c r="BG605" s="48"/>
      <c r="BI605" s="48" t="n">
        <v>46191</v>
      </c>
      <c r="BJ605" s="48" t="n">
        <v>46181</v>
      </c>
      <c r="BK605" s="49" t="s">
        <v>313</v>
      </c>
      <c r="BL605" s="49" t="s">
        <v>313</v>
      </c>
      <c r="BM605" s="49" t="s">
        <v>310</v>
      </c>
      <c r="BN605" s="48"/>
      <c r="BO605" s="48"/>
      <c r="BP605" s="48"/>
      <c r="BQ605" s="49" t="s">
        <v>2675</v>
      </c>
      <c r="BR605" s="48" t="n">
        <v>46181</v>
      </c>
      <c r="BS605" s="49" t="s">
        <v>2706</v>
      </c>
      <c r="BT605" s="49" t="s">
        <v>312</v>
      </c>
      <c r="BU605" s="49" t="s">
        <v>313</v>
      </c>
      <c r="BV605" s="49" t="s">
        <v>303</v>
      </c>
      <c r="BX605" s="0" t="n">
        <v>1</v>
      </c>
      <c r="CC605" s="49" t="s">
        <v>315</v>
      </c>
      <c r="CD605" s="49" t="s">
        <v>303</v>
      </c>
      <c r="CF605" s="49" t="s">
        <v>303</v>
      </c>
      <c r="CG605" s="49" t="s">
        <v>316</v>
      </c>
      <c r="CH605" s="49" t="s">
        <v>317</v>
      </c>
      <c r="CI605" s="49" t="s">
        <v>318</v>
      </c>
      <c r="CM605" s="49" t="s">
        <v>65</v>
      </c>
      <c r="CV605" s="49" t="s">
        <v>303</v>
      </c>
      <c r="DB605" s="49" t="s">
        <v>319</v>
      </c>
      <c r="DD605" s="48" t="n">
        <v>46498</v>
      </c>
      <c r="DF605" s="49" t="s">
        <v>310</v>
      </c>
      <c r="DG605" s="49" t="s">
        <v>320</v>
      </c>
      <c r="DH605" s="49" t="s">
        <v>64</v>
      </c>
      <c r="DI605" s="49" t="s">
        <v>298</v>
      </c>
      <c r="DJ605" s="49" t="s">
        <v>394</v>
      </c>
      <c r="DK605" s="49" t="s">
        <v>322</v>
      </c>
      <c r="DL605" s="49" t="s">
        <v>323</v>
      </c>
      <c r="DM605" s="49" t="s">
        <v>303</v>
      </c>
      <c r="DN605" s="49" t="s">
        <v>297</v>
      </c>
      <c r="DO605" s="48"/>
      <c r="DP605" s="49" t="s">
        <v>312</v>
      </c>
      <c r="DQ605" s="48"/>
      <c r="DR605" s="49" t="s">
        <v>312</v>
      </c>
      <c r="DS605" s="49" t="s">
        <v>303</v>
      </c>
      <c r="DT605" s="49" t="s">
        <v>303</v>
      </c>
      <c r="DW605" s="49" t="s">
        <v>303</v>
      </c>
      <c r="EA605" s="49" t="s">
        <v>324</v>
      </c>
      <c r="EB605" s="49" t="s">
        <v>303</v>
      </c>
      <c r="EF605" s="49" t="s">
        <v>2684</v>
      </c>
      <c r="EH605" s="49" t="s">
        <v>310</v>
      </c>
      <c r="EJ605" s="49" t="s">
        <v>303</v>
      </c>
      <c r="EK605" s="49" t="s">
        <v>2716</v>
      </c>
      <c r="EM605" s="49" t="s">
        <v>303</v>
      </c>
      <c r="EN605" s="49" t="s">
        <v>396</v>
      </c>
      <c r="EP605" s="49" t="s">
        <v>298</v>
      </c>
      <c r="EQ605" s="0" t="n">
        <v>1</v>
      </c>
      <c r="ER605" s="49" t="s">
        <v>328</v>
      </c>
      <c r="ES605" s="49" t="s">
        <v>329</v>
      </c>
      <c r="ET605" s="49" t="s">
        <v>310</v>
      </c>
      <c r="EU605" s="49" t="s">
        <v>310</v>
      </c>
      <c r="EV605" s="49" t="s">
        <v>310</v>
      </c>
      <c r="EX605" s="49" t="s">
        <v>303</v>
      </c>
      <c r="EY605" s="49" t="s">
        <v>303</v>
      </c>
      <c r="FC605" s="49" t="s">
        <v>330</v>
      </c>
      <c r="FD605" s="49" t="s">
        <v>310</v>
      </c>
      <c r="FE605" s="49" t="s">
        <v>310</v>
      </c>
      <c r="FF605" s="49" t="s">
        <v>64</v>
      </c>
      <c r="FG605" s="49" t="s">
        <v>397</v>
      </c>
      <c r="FH605" s="49" t="s">
        <v>310</v>
      </c>
      <c r="FI605" s="49" t="s">
        <v>332</v>
      </c>
      <c r="FJ605" s="49" t="s">
        <v>303</v>
      </c>
      <c r="FL605" s="49" t="s">
        <v>325</v>
      </c>
      <c r="FM605" s="49" t="s">
        <v>2675</v>
      </c>
      <c r="FP605" s="49" t="s">
        <v>303</v>
      </c>
      <c r="FR605" s="49" t="s">
        <v>303</v>
      </c>
      <c r="FT605" s="49" t="s">
        <v>325</v>
      </c>
      <c r="FU605" s="49" t="s">
        <v>325</v>
      </c>
      <c r="FW605" s="49" t="s">
        <v>333</v>
      </c>
    </row>
    <row r="606" customFormat="false" ht="15" hidden="false" customHeight="false" outlineLevel="0" collapsed="false">
      <c r="A606" s="0" t="n">
        <v>100865012</v>
      </c>
      <c r="B606" s="0" t="s">
        <v>295</v>
      </c>
      <c r="C606" s="0" t="s">
        <v>64</v>
      </c>
      <c r="D606" s="0" t="s">
        <v>65</v>
      </c>
      <c r="E606" s="0" t="s">
        <v>297</v>
      </c>
      <c r="G606" s="0" t="n">
        <v>1</v>
      </c>
      <c r="H606" s="0" t="s">
        <v>298</v>
      </c>
      <c r="I606" s="48" t="n">
        <v>46176</v>
      </c>
      <c r="J606" s="0" t="n">
        <v>1</v>
      </c>
      <c r="K606" s="49" t="s">
        <v>2675</v>
      </c>
      <c r="L606" s="49" t="s">
        <v>300</v>
      </c>
      <c r="M606" s="48" t="n">
        <v>46191</v>
      </c>
      <c r="N606" s="49" t="s">
        <v>1204</v>
      </c>
      <c r="O606" s="49" t="s">
        <v>1045</v>
      </c>
      <c r="P606" s="48"/>
      <c r="Q606" s="48" t="n">
        <v>46176</v>
      </c>
      <c r="R606" s="48" t="n">
        <v>46182</v>
      </c>
      <c r="T606" s="49" t="s">
        <v>302</v>
      </c>
      <c r="U606" s="49" t="s">
        <v>303</v>
      </c>
      <c r="Y606" s="49" t="s">
        <v>2717</v>
      </c>
      <c r="AD606" s="49" t="s">
        <v>305</v>
      </c>
      <c r="AE606" s="48" t="n">
        <v>46498</v>
      </c>
      <c r="AF606" s="49" t="s">
        <v>306</v>
      </c>
      <c r="AG606" s="49" t="s">
        <v>307</v>
      </c>
      <c r="AK606" s="49" t="s">
        <v>1047</v>
      </c>
      <c r="AL606" s="49" t="s">
        <v>297</v>
      </c>
      <c r="AO606" s="49" t="s">
        <v>303</v>
      </c>
      <c r="AP606" s="48"/>
      <c r="AR606" s="49" t="s">
        <v>303</v>
      </c>
      <c r="AS606" s="49" t="s">
        <v>306</v>
      </c>
      <c r="AT606" s="49" t="s">
        <v>2718</v>
      </c>
      <c r="AV606" s="49" t="s">
        <v>309</v>
      </c>
      <c r="AW606" s="49" t="s">
        <v>310</v>
      </c>
      <c r="AX606" s="49" t="s">
        <v>311</v>
      </c>
      <c r="AY606" s="48"/>
      <c r="AZ606" s="48" t="n">
        <v>46174</v>
      </c>
      <c r="BC606" s="49" t="s">
        <v>303</v>
      </c>
      <c r="BD606" s="48" t="n">
        <v>46191</v>
      </c>
      <c r="BE606" s="49" t="s">
        <v>2719</v>
      </c>
      <c r="BF606" s="49" t="s">
        <v>303</v>
      </c>
      <c r="BG606" s="48"/>
      <c r="BI606" s="48" t="n">
        <v>46191</v>
      </c>
      <c r="BJ606" s="48" t="n">
        <v>46181</v>
      </c>
      <c r="BK606" s="49" t="s">
        <v>313</v>
      </c>
      <c r="BL606" s="49" t="s">
        <v>313</v>
      </c>
      <c r="BM606" s="49" t="s">
        <v>310</v>
      </c>
      <c r="BN606" s="48"/>
      <c r="BO606" s="48"/>
      <c r="BP606" s="48"/>
      <c r="BQ606" s="49" t="s">
        <v>2675</v>
      </c>
      <c r="BR606" s="48" t="n">
        <v>46181</v>
      </c>
      <c r="BS606" s="49" t="s">
        <v>2720</v>
      </c>
      <c r="BT606" s="49" t="s">
        <v>312</v>
      </c>
      <c r="BU606" s="49" t="s">
        <v>313</v>
      </c>
      <c r="BV606" s="49" t="s">
        <v>303</v>
      </c>
      <c r="BX606" s="0" t="n">
        <v>1</v>
      </c>
      <c r="CC606" s="49" t="s">
        <v>315</v>
      </c>
      <c r="CD606" s="49" t="s">
        <v>303</v>
      </c>
      <c r="CF606" s="49" t="s">
        <v>303</v>
      </c>
      <c r="CG606" s="49" t="s">
        <v>316</v>
      </c>
      <c r="CH606" s="49" t="s">
        <v>317</v>
      </c>
      <c r="CI606" s="49" t="s">
        <v>318</v>
      </c>
      <c r="CM606" s="49" t="s">
        <v>65</v>
      </c>
      <c r="CV606" s="49" t="s">
        <v>303</v>
      </c>
      <c r="DB606" s="49" t="s">
        <v>319</v>
      </c>
      <c r="DD606" s="48" t="n">
        <v>46498</v>
      </c>
      <c r="DF606" s="49" t="s">
        <v>310</v>
      </c>
      <c r="DG606" s="49" t="s">
        <v>320</v>
      </c>
      <c r="DH606" s="49" t="s">
        <v>64</v>
      </c>
      <c r="DI606" s="49" t="s">
        <v>298</v>
      </c>
      <c r="DJ606" s="49" t="s">
        <v>394</v>
      </c>
      <c r="DK606" s="49" t="s">
        <v>322</v>
      </c>
      <c r="DL606" s="49" t="s">
        <v>323</v>
      </c>
      <c r="DM606" s="49" t="s">
        <v>303</v>
      </c>
      <c r="DN606" s="49" t="s">
        <v>297</v>
      </c>
      <c r="DO606" s="48"/>
      <c r="DP606" s="49" t="s">
        <v>312</v>
      </c>
      <c r="DQ606" s="48"/>
      <c r="DR606" s="49" t="s">
        <v>312</v>
      </c>
      <c r="DS606" s="49" t="s">
        <v>303</v>
      </c>
      <c r="DT606" s="49" t="s">
        <v>303</v>
      </c>
      <c r="DW606" s="49" t="s">
        <v>303</v>
      </c>
      <c r="EA606" s="49" t="s">
        <v>324</v>
      </c>
      <c r="EB606" s="49" t="s">
        <v>303</v>
      </c>
      <c r="EF606" s="49" t="s">
        <v>2684</v>
      </c>
      <c r="EH606" s="49" t="s">
        <v>310</v>
      </c>
      <c r="EJ606" s="49" t="s">
        <v>303</v>
      </c>
      <c r="EK606" s="49" t="s">
        <v>2721</v>
      </c>
      <c r="EM606" s="49" t="s">
        <v>303</v>
      </c>
      <c r="EN606" s="49" t="s">
        <v>396</v>
      </c>
      <c r="EP606" s="49" t="s">
        <v>298</v>
      </c>
      <c r="EQ606" s="0" t="n">
        <v>1</v>
      </c>
      <c r="ER606" s="49" t="s">
        <v>328</v>
      </c>
      <c r="ES606" s="49" t="s">
        <v>329</v>
      </c>
      <c r="ET606" s="49" t="s">
        <v>310</v>
      </c>
      <c r="EU606" s="49" t="s">
        <v>310</v>
      </c>
      <c r="EV606" s="49" t="s">
        <v>310</v>
      </c>
      <c r="EX606" s="49" t="s">
        <v>303</v>
      </c>
      <c r="EY606" s="49" t="s">
        <v>303</v>
      </c>
      <c r="FC606" s="49" t="s">
        <v>330</v>
      </c>
      <c r="FD606" s="49" t="s">
        <v>310</v>
      </c>
      <c r="FE606" s="49" t="s">
        <v>310</v>
      </c>
      <c r="FF606" s="49" t="s">
        <v>64</v>
      </c>
      <c r="FG606" s="49" t="s">
        <v>397</v>
      </c>
      <c r="FH606" s="49" t="s">
        <v>310</v>
      </c>
      <c r="FI606" s="49" t="s">
        <v>332</v>
      </c>
      <c r="FJ606" s="49" t="s">
        <v>303</v>
      </c>
      <c r="FL606" s="49" t="s">
        <v>325</v>
      </c>
      <c r="FM606" s="49" t="s">
        <v>2675</v>
      </c>
      <c r="FP606" s="49" t="s">
        <v>303</v>
      </c>
      <c r="FR606" s="49" t="s">
        <v>303</v>
      </c>
      <c r="FT606" s="49" t="s">
        <v>325</v>
      </c>
      <c r="FU606" s="49" t="s">
        <v>325</v>
      </c>
      <c r="FW606" s="49" t="s">
        <v>333</v>
      </c>
    </row>
    <row r="607" customFormat="false" ht="15" hidden="false" customHeight="false" outlineLevel="0" collapsed="false">
      <c r="A607" s="0" t="n">
        <v>100865013</v>
      </c>
      <c r="B607" s="0" t="s">
        <v>295</v>
      </c>
      <c r="C607" s="0" t="s">
        <v>64</v>
      </c>
      <c r="D607" s="0" t="s">
        <v>65</v>
      </c>
      <c r="E607" s="0" t="s">
        <v>297</v>
      </c>
      <c r="G607" s="0" t="n">
        <v>1</v>
      </c>
      <c r="H607" s="0" t="s">
        <v>298</v>
      </c>
      <c r="I607" s="48" t="n">
        <v>46176</v>
      </c>
      <c r="J607" s="0" t="n">
        <v>1</v>
      </c>
      <c r="K607" s="49" t="s">
        <v>2675</v>
      </c>
      <c r="L607" s="49" t="s">
        <v>300</v>
      </c>
      <c r="M607" s="48" t="n">
        <v>46191</v>
      </c>
      <c r="N607" s="49" t="s">
        <v>1204</v>
      </c>
      <c r="O607" s="49" t="s">
        <v>1045</v>
      </c>
      <c r="P607" s="48"/>
      <c r="Q607" s="48" t="n">
        <v>46176</v>
      </c>
      <c r="R607" s="48" t="n">
        <v>46182</v>
      </c>
      <c r="T607" s="49" t="s">
        <v>302</v>
      </c>
      <c r="U607" s="49" t="s">
        <v>303</v>
      </c>
      <c r="Y607" s="49" t="s">
        <v>2722</v>
      </c>
      <c r="AD607" s="49" t="s">
        <v>305</v>
      </c>
      <c r="AE607" s="48" t="n">
        <v>46498</v>
      </c>
      <c r="AF607" s="49" t="s">
        <v>306</v>
      </c>
      <c r="AG607" s="49" t="s">
        <v>307</v>
      </c>
      <c r="AK607" s="49" t="s">
        <v>1047</v>
      </c>
      <c r="AL607" s="49" t="s">
        <v>297</v>
      </c>
      <c r="AO607" s="49" t="s">
        <v>303</v>
      </c>
      <c r="AP607" s="48"/>
      <c r="AR607" s="49" t="s">
        <v>303</v>
      </c>
      <c r="AS607" s="49" t="s">
        <v>306</v>
      </c>
      <c r="AT607" s="49" t="s">
        <v>2723</v>
      </c>
      <c r="AV607" s="49" t="s">
        <v>309</v>
      </c>
      <c r="AW607" s="49" t="s">
        <v>310</v>
      </c>
      <c r="AX607" s="49" t="s">
        <v>311</v>
      </c>
      <c r="AY607" s="48"/>
      <c r="AZ607" s="48" t="n">
        <v>46174</v>
      </c>
      <c r="BC607" s="49" t="s">
        <v>303</v>
      </c>
      <c r="BD607" s="48" t="n">
        <v>46191</v>
      </c>
      <c r="BE607" s="49" t="s">
        <v>2724</v>
      </c>
      <c r="BF607" s="49" t="s">
        <v>303</v>
      </c>
      <c r="BG607" s="48"/>
      <c r="BI607" s="48" t="n">
        <v>46191</v>
      </c>
      <c r="BJ607" s="48" t="n">
        <v>46181</v>
      </c>
      <c r="BK607" s="49" t="s">
        <v>313</v>
      </c>
      <c r="BL607" s="49" t="s">
        <v>313</v>
      </c>
      <c r="BM607" s="49" t="s">
        <v>310</v>
      </c>
      <c r="BN607" s="48"/>
      <c r="BO607" s="48"/>
      <c r="BP607" s="48"/>
      <c r="BQ607" s="49" t="s">
        <v>2675</v>
      </c>
      <c r="BR607" s="48" t="n">
        <v>46181</v>
      </c>
      <c r="BS607" s="49" t="s">
        <v>2720</v>
      </c>
      <c r="BT607" s="49" t="s">
        <v>312</v>
      </c>
      <c r="BU607" s="49" t="s">
        <v>313</v>
      </c>
      <c r="BV607" s="49" t="s">
        <v>303</v>
      </c>
      <c r="BX607" s="0" t="n">
        <v>1</v>
      </c>
      <c r="CC607" s="49" t="s">
        <v>315</v>
      </c>
      <c r="CD607" s="49" t="s">
        <v>303</v>
      </c>
      <c r="CF607" s="49" t="s">
        <v>303</v>
      </c>
      <c r="CG607" s="49" t="s">
        <v>316</v>
      </c>
      <c r="CH607" s="49" t="s">
        <v>317</v>
      </c>
      <c r="CI607" s="49" t="s">
        <v>318</v>
      </c>
      <c r="CM607" s="49" t="s">
        <v>65</v>
      </c>
      <c r="CV607" s="49" t="s">
        <v>303</v>
      </c>
      <c r="DB607" s="49" t="s">
        <v>319</v>
      </c>
      <c r="DD607" s="48" t="n">
        <v>46498</v>
      </c>
      <c r="DF607" s="49" t="s">
        <v>310</v>
      </c>
      <c r="DG607" s="49" t="s">
        <v>320</v>
      </c>
      <c r="DH607" s="49" t="s">
        <v>64</v>
      </c>
      <c r="DI607" s="49" t="s">
        <v>298</v>
      </c>
      <c r="DJ607" s="49" t="s">
        <v>394</v>
      </c>
      <c r="DK607" s="49" t="s">
        <v>322</v>
      </c>
      <c r="DL607" s="49" t="s">
        <v>323</v>
      </c>
      <c r="DM607" s="49" t="s">
        <v>303</v>
      </c>
      <c r="DN607" s="49" t="s">
        <v>297</v>
      </c>
      <c r="DO607" s="48"/>
      <c r="DP607" s="49" t="s">
        <v>312</v>
      </c>
      <c r="DQ607" s="48"/>
      <c r="DR607" s="49" t="s">
        <v>312</v>
      </c>
      <c r="DS607" s="49" t="s">
        <v>303</v>
      </c>
      <c r="DT607" s="49" t="s">
        <v>303</v>
      </c>
      <c r="DW607" s="49" t="s">
        <v>303</v>
      </c>
      <c r="EA607" s="49" t="s">
        <v>324</v>
      </c>
      <c r="EB607" s="49" t="s">
        <v>303</v>
      </c>
      <c r="EF607" s="49" t="s">
        <v>2684</v>
      </c>
      <c r="EH607" s="49" t="s">
        <v>310</v>
      </c>
      <c r="EJ607" s="49" t="s">
        <v>303</v>
      </c>
      <c r="EK607" s="49" t="s">
        <v>2725</v>
      </c>
      <c r="EM607" s="49" t="s">
        <v>303</v>
      </c>
      <c r="EN607" s="49" t="s">
        <v>396</v>
      </c>
      <c r="EP607" s="49" t="s">
        <v>298</v>
      </c>
      <c r="EQ607" s="0" t="n">
        <v>1</v>
      </c>
      <c r="ER607" s="49" t="s">
        <v>328</v>
      </c>
      <c r="ES607" s="49" t="s">
        <v>329</v>
      </c>
      <c r="ET607" s="49" t="s">
        <v>310</v>
      </c>
      <c r="EU607" s="49" t="s">
        <v>310</v>
      </c>
      <c r="EV607" s="49" t="s">
        <v>310</v>
      </c>
      <c r="EX607" s="49" t="s">
        <v>303</v>
      </c>
      <c r="EY607" s="49" t="s">
        <v>303</v>
      </c>
      <c r="FC607" s="49" t="s">
        <v>330</v>
      </c>
      <c r="FD607" s="49" t="s">
        <v>310</v>
      </c>
      <c r="FE607" s="49" t="s">
        <v>310</v>
      </c>
      <c r="FF607" s="49" t="s">
        <v>64</v>
      </c>
      <c r="FG607" s="49" t="s">
        <v>397</v>
      </c>
      <c r="FH607" s="49" t="s">
        <v>310</v>
      </c>
      <c r="FI607" s="49" t="s">
        <v>332</v>
      </c>
      <c r="FJ607" s="49" t="s">
        <v>303</v>
      </c>
      <c r="FL607" s="49" t="s">
        <v>325</v>
      </c>
      <c r="FM607" s="49" t="s">
        <v>2675</v>
      </c>
      <c r="FP607" s="49" t="s">
        <v>303</v>
      </c>
      <c r="FR607" s="49" t="s">
        <v>303</v>
      </c>
      <c r="FT607" s="49" t="s">
        <v>325</v>
      </c>
      <c r="FU607" s="49" t="s">
        <v>325</v>
      </c>
      <c r="FW607" s="49" t="s">
        <v>333</v>
      </c>
    </row>
    <row r="608" customFormat="false" ht="15" hidden="false" customHeight="false" outlineLevel="0" collapsed="false">
      <c r="A608" s="0" t="n">
        <v>100865014</v>
      </c>
      <c r="B608" s="0" t="s">
        <v>295</v>
      </c>
      <c r="C608" s="0" t="s">
        <v>64</v>
      </c>
      <c r="D608" s="0" t="s">
        <v>65</v>
      </c>
      <c r="E608" s="0" t="s">
        <v>297</v>
      </c>
      <c r="G608" s="0" t="n">
        <v>1</v>
      </c>
      <c r="H608" s="0" t="s">
        <v>298</v>
      </c>
      <c r="I608" s="48" t="n">
        <v>46176</v>
      </c>
      <c r="J608" s="0" t="n">
        <v>1</v>
      </c>
      <c r="K608" s="49" t="s">
        <v>2675</v>
      </c>
      <c r="L608" s="49" t="s">
        <v>300</v>
      </c>
      <c r="M608" s="48" t="n">
        <v>46191</v>
      </c>
      <c r="N608" s="49" t="s">
        <v>1204</v>
      </c>
      <c r="O608" s="49" t="s">
        <v>1045</v>
      </c>
      <c r="P608" s="48"/>
      <c r="Q608" s="48" t="n">
        <v>46176</v>
      </c>
      <c r="R608" s="48" t="n">
        <v>46182</v>
      </c>
      <c r="T608" s="49" t="s">
        <v>302</v>
      </c>
      <c r="U608" s="49" t="s">
        <v>303</v>
      </c>
      <c r="Y608" s="49" t="s">
        <v>2726</v>
      </c>
      <c r="AD608" s="49" t="s">
        <v>305</v>
      </c>
      <c r="AE608" s="48" t="n">
        <v>46498</v>
      </c>
      <c r="AF608" s="49" t="s">
        <v>306</v>
      </c>
      <c r="AG608" s="49" t="s">
        <v>307</v>
      </c>
      <c r="AK608" s="49" t="s">
        <v>1047</v>
      </c>
      <c r="AL608" s="49" t="s">
        <v>297</v>
      </c>
      <c r="AO608" s="49" t="s">
        <v>303</v>
      </c>
      <c r="AP608" s="48"/>
      <c r="AR608" s="49" t="s">
        <v>303</v>
      </c>
      <c r="AS608" s="49" t="s">
        <v>306</v>
      </c>
      <c r="AT608" s="49" t="s">
        <v>2727</v>
      </c>
      <c r="AV608" s="49" t="s">
        <v>309</v>
      </c>
      <c r="AW608" s="49" t="s">
        <v>310</v>
      </c>
      <c r="AX608" s="49" t="s">
        <v>311</v>
      </c>
      <c r="AY608" s="48"/>
      <c r="AZ608" s="48" t="n">
        <v>46174</v>
      </c>
      <c r="BC608" s="49" t="s">
        <v>303</v>
      </c>
      <c r="BD608" s="48" t="n">
        <v>46191</v>
      </c>
      <c r="BE608" s="49" t="s">
        <v>2724</v>
      </c>
      <c r="BF608" s="49" t="s">
        <v>303</v>
      </c>
      <c r="BG608" s="48"/>
      <c r="BI608" s="48" t="n">
        <v>46191</v>
      </c>
      <c r="BJ608" s="48" t="n">
        <v>46181</v>
      </c>
      <c r="BK608" s="49" t="s">
        <v>313</v>
      </c>
      <c r="BL608" s="49" t="s">
        <v>313</v>
      </c>
      <c r="BM608" s="49" t="s">
        <v>310</v>
      </c>
      <c r="BN608" s="48"/>
      <c r="BO608" s="48"/>
      <c r="BP608" s="48"/>
      <c r="BQ608" s="49" t="s">
        <v>2675</v>
      </c>
      <c r="BR608" s="48" t="n">
        <v>46181</v>
      </c>
      <c r="BS608" s="49" t="s">
        <v>2720</v>
      </c>
      <c r="BT608" s="49" t="s">
        <v>312</v>
      </c>
      <c r="BU608" s="49" t="s">
        <v>313</v>
      </c>
      <c r="BV608" s="49" t="s">
        <v>303</v>
      </c>
      <c r="BX608" s="0" t="n">
        <v>1</v>
      </c>
      <c r="CC608" s="49" t="s">
        <v>315</v>
      </c>
      <c r="CD608" s="49" t="s">
        <v>303</v>
      </c>
      <c r="CF608" s="49" t="s">
        <v>303</v>
      </c>
      <c r="CG608" s="49" t="s">
        <v>316</v>
      </c>
      <c r="CH608" s="49" t="s">
        <v>317</v>
      </c>
      <c r="CI608" s="49" t="s">
        <v>318</v>
      </c>
      <c r="CM608" s="49" t="s">
        <v>65</v>
      </c>
      <c r="CV608" s="49" t="s">
        <v>303</v>
      </c>
      <c r="DB608" s="49" t="s">
        <v>319</v>
      </c>
      <c r="DD608" s="48" t="n">
        <v>46498</v>
      </c>
      <c r="DF608" s="49" t="s">
        <v>310</v>
      </c>
      <c r="DG608" s="49" t="s">
        <v>320</v>
      </c>
      <c r="DH608" s="49" t="s">
        <v>64</v>
      </c>
      <c r="DI608" s="49" t="s">
        <v>298</v>
      </c>
      <c r="DJ608" s="49" t="s">
        <v>394</v>
      </c>
      <c r="DK608" s="49" t="s">
        <v>322</v>
      </c>
      <c r="DL608" s="49" t="s">
        <v>323</v>
      </c>
      <c r="DM608" s="49" t="s">
        <v>303</v>
      </c>
      <c r="DN608" s="49" t="s">
        <v>297</v>
      </c>
      <c r="DO608" s="48"/>
      <c r="DP608" s="49" t="s">
        <v>312</v>
      </c>
      <c r="DQ608" s="48"/>
      <c r="DR608" s="49" t="s">
        <v>312</v>
      </c>
      <c r="DS608" s="49" t="s">
        <v>303</v>
      </c>
      <c r="DT608" s="49" t="s">
        <v>303</v>
      </c>
      <c r="DW608" s="49" t="s">
        <v>303</v>
      </c>
      <c r="EA608" s="49" t="s">
        <v>324</v>
      </c>
      <c r="EB608" s="49" t="s">
        <v>303</v>
      </c>
      <c r="EF608" s="49" t="s">
        <v>2684</v>
      </c>
      <c r="EH608" s="49" t="s">
        <v>310</v>
      </c>
      <c r="EJ608" s="49" t="s">
        <v>303</v>
      </c>
      <c r="EK608" s="49" t="s">
        <v>2728</v>
      </c>
      <c r="EM608" s="49" t="s">
        <v>303</v>
      </c>
      <c r="EN608" s="49" t="s">
        <v>396</v>
      </c>
      <c r="EP608" s="49" t="s">
        <v>298</v>
      </c>
      <c r="EQ608" s="0" t="n">
        <v>1</v>
      </c>
      <c r="ER608" s="49" t="s">
        <v>328</v>
      </c>
      <c r="ES608" s="49" t="s">
        <v>329</v>
      </c>
      <c r="ET608" s="49" t="s">
        <v>310</v>
      </c>
      <c r="EU608" s="49" t="s">
        <v>310</v>
      </c>
      <c r="EV608" s="49" t="s">
        <v>310</v>
      </c>
      <c r="EX608" s="49" t="s">
        <v>303</v>
      </c>
      <c r="EY608" s="49" t="s">
        <v>303</v>
      </c>
      <c r="FC608" s="49" t="s">
        <v>330</v>
      </c>
      <c r="FD608" s="49" t="s">
        <v>310</v>
      </c>
      <c r="FE608" s="49" t="s">
        <v>310</v>
      </c>
      <c r="FF608" s="49" t="s">
        <v>64</v>
      </c>
      <c r="FG608" s="49" t="s">
        <v>397</v>
      </c>
      <c r="FH608" s="49" t="s">
        <v>310</v>
      </c>
      <c r="FI608" s="49" t="s">
        <v>332</v>
      </c>
      <c r="FJ608" s="49" t="s">
        <v>303</v>
      </c>
      <c r="FL608" s="49" t="s">
        <v>325</v>
      </c>
      <c r="FM608" s="49" t="s">
        <v>2675</v>
      </c>
      <c r="FP608" s="49" t="s">
        <v>303</v>
      </c>
      <c r="FR608" s="49" t="s">
        <v>303</v>
      </c>
      <c r="FT608" s="49" t="s">
        <v>325</v>
      </c>
      <c r="FU608" s="49" t="s">
        <v>325</v>
      </c>
      <c r="FW608" s="49" t="s">
        <v>333</v>
      </c>
    </row>
    <row r="609" customFormat="false" ht="15" hidden="false" customHeight="false" outlineLevel="0" collapsed="false">
      <c r="A609" s="0" t="n">
        <v>100865015</v>
      </c>
      <c r="B609" s="0" t="s">
        <v>295</v>
      </c>
      <c r="C609" s="0" t="s">
        <v>64</v>
      </c>
      <c r="D609" s="0" t="s">
        <v>65</v>
      </c>
      <c r="E609" s="0" t="s">
        <v>297</v>
      </c>
      <c r="G609" s="0" t="n">
        <v>1</v>
      </c>
      <c r="H609" s="0" t="s">
        <v>298</v>
      </c>
      <c r="I609" s="48" t="n">
        <v>46176</v>
      </c>
      <c r="J609" s="0" t="n">
        <v>1</v>
      </c>
      <c r="K609" s="49" t="s">
        <v>2675</v>
      </c>
      <c r="L609" s="49" t="s">
        <v>300</v>
      </c>
      <c r="M609" s="48" t="n">
        <v>46191</v>
      </c>
      <c r="N609" s="49" t="s">
        <v>1204</v>
      </c>
      <c r="O609" s="49" t="s">
        <v>1045</v>
      </c>
      <c r="P609" s="48"/>
      <c r="Q609" s="48" t="n">
        <v>46176</v>
      </c>
      <c r="R609" s="48" t="n">
        <v>46182</v>
      </c>
      <c r="T609" s="49" t="s">
        <v>302</v>
      </c>
      <c r="U609" s="49" t="s">
        <v>303</v>
      </c>
      <c r="Y609" s="49" t="s">
        <v>2729</v>
      </c>
      <c r="AD609" s="49" t="s">
        <v>305</v>
      </c>
      <c r="AE609" s="48" t="n">
        <v>46498</v>
      </c>
      <c r="AF609" s="49" t="s">
        <v>306</v>
      </c>
      <c r="AG609" s="49" t="s">
        <v>307</v>
      </c>
      <c r="AK609" s="49" t="s">
        <v>1047</v>
      </c>
      <c r="AL609" s="49" t="s">
        <v>297</v>
      </c>
      <c r="AO609" s="49" t="s">
        <v>303</v>
      </c>
      <c r="AP609" s="48"/>
      <c r="AR609" s="49" t="s">
        <v>303</v>
      </c>
      <c r="AS609" s="49" t="s">
        <v>306</v>
      </c>
      <c r="AT609" s="49" t="s">
        <v>2730</v>
      </c>
      <c r="AV609" s="49" t="s">
        <v>309</v>
      </c>
      <c r="AW609" s="49" t="s">
        <v>310</v>
      </c>
      <c r="AX609" s="49" t="s">
        <v>311</v>
      </c>
      <c r="AY609" s="48"/>
      <c r="AZ609" s="48" t="n">
        <v>46174</v>
      </c>
      <c r="BC609" s="49" t="s">
        <v>303</v>
      </c>
      <c r="BD609" s="48" t="n">
        <v>46191</v>
      </c>
      <c r="BE609" s="49" t="s">
        <v>2724</v>
      </c>
      <c r="BF609" s="49" t="s">
        <v>303</v>
      </c>
      <c r="BG609" s="48"/>
      <c r="BI609" s="48" t="n">
        <v>46191</v>
      </c>
      <c r="BJ609" s="48" t="n">
        <v>46181</v>
      </c>
      <c r="BK609" s="49" t="s">
        <v>313</v>
      </c>
      <c r="BL609" s="49" t="s">
        <v>313</v>
      </c>
      <c r="BM609" s="49" t="s">
        <v>310</v>
      </c>
      <c r="BN609" s="48"/>
      <c r="BO609" s="48"/>
      <c r="BP609" s="48"/>
      <c r="BQ609" s="49" t="s">
        <v>2675</v>
      </c>
      <c r="BR609" s="48" t="n">
        <v>46181</v>
      </c>
      <c r="BS609" s="49" t="s">
        <v>2731</v>
      </c>
      <c r="BT609" s="49" t="s">
        <v>312</v>
      </c>
      <c r="BU609" s="49" t="s">
        <v>313</v>
      </c>
      <c r="BV609" s="49" t="s">
        <v>303</v>
      </c>
      <c r="BX609" s="0" t="n">
        <v>1</v>
      </c>
      <c r="CC609" s="49" t="s">
        <v>315</v>
      </c>
      <c r="CD609" s="49" t="s">
        <v>303</v>
      </c>
      <c r="CF609" s="49" t="s">
        <v>303</v>
      </c>
      <c r="CG609" s="49" t="s">
        <v>316</v>
      </c>
      <c r="CH609" s="49" t="s">
        <v>317</v>
      </c>
      <c r="CI609" s="49" t="s">
        <v>318</v>
      </c>
      <c r="CM609" s="49" t="s">
        <v>65</v>
      </c>
      <c r="CV609" s="49" t="s">
        <v>303</v>
      </c>
      <c r="DB609" s="49" t="s">
        <v>319</v>
      </c>
      <c r="DD609" s="48" t="n">
        <v>46498</v>
      </c>
      <c r="DF609" s="49" t="s">
        <v>310</v>
      </c>
      <c r="DG609" s="49" t="s">
        <v>320</v>
      </c>
      <c r="DH609" s="49" t="s">
        <v>64</v>
      </c>
      <c r="DI609" s="49" t="s">
        <v>298</v>
      </c>
      <c r="DJ609" s="49" t="s">
        <v>394</v>
      </c>
      <c r="DK609" s="49" t="s">
        <v>322</v>
      </c>
      <c r="DL609" s="49" t="s">
        <v>323</v>
      </c>
      <c r="DM609" s="49" t="s">
        <v>303</v>
      </c>
      <c r="DN609" s="49" t="s">
        <v>297</v>
      </c>
      <c r="DO609" s="48"/>
      <c r="DP609" s="49" t="s">
        <v>312</v>
      </c>
      <c r="DQ609" s="48"/>
      <c r="DR609" s="49" t="s">
        <v>312</v>
      </c>
      <c r="DS609" s="49" t="s">
        <v>303</v>
      </c>
      <c r="DT609" s="49" t="s">
        <v>303</v>
      </c>
      <c r="DW609" s="49" t="s">
        <v>303</v>
      </c>
      <c r="EA609" s="49" t="s">
        <v>324</v>
      </c>
      <c r="EB609" s="49" t="s">
        <v>303</v>
      </c>
      <c r="EF609" s="49" t="s">
        <v>2684</v>
      </c>
      <c r="EH609" s="49" t="s">
        <v>310</v>
      </c>
      <c r="EJ609" s="49" t="s">
        <v>303</v>
      </c>
      <c r="EK609" s="49" t="s">
        <v>2732</v>
      </c>
      <c r="EM609" s="49" t="s">
        <v>303</v>
      </c>
      <c r="EN609" s="49" t="s">
        <v>396</v>
      </c>
      <c r="EP609" s="49" t="s">
        <v>298</v>
      </c>
      <c r="EQ609" s="0" t="n">
        <v>1</v>
      </c>
      <c r="ER609" s="49" t="s">
        <v>328</v>
      </c>
      <c r="ES609" s="49" t="s">
        <v>329</v>
      </c>
      <c r="ET609" s="49" t="s">
        <v>310</v>
      </c>
      <c r="EU609" s="49" t="s">
        <v>310</v>
      </c>
      <c r="EV609" s="49" t="s">
        <v>310</v>
      </c>
      <c r="EX609" s="49" t="s">
        <v>303</v>
      </c>
      <c r="EY609" s="49" t="s">
        <v>303</v>
      </c>
      <c r="FC609" s="49" t="s">
        <v>330</v>
      </c>
      <c r="FD609" s="49" t="s">
        <v>310</v>
      </c>
      <c r="FE609" s="49" t="s">
        <v>310</v>
      </c>
      <c r="FF609" s="49" t="s">
        <v>64</v>
      </c>
      <c r="FG609" s="49" t="s">
        <v>397</v>
      </c>
      <c r="FH609" s="49" t="s">
        <v>310</v>
      </c>
      <c r="FI609" s="49" t="s">
        <v>332</v>
      </c>
      <c r="FJ609" s="49" t="s">
        <v>303</v>
      </c>
      <c r="FL609" s="49" t="s">
        <v>325</v>
      </c>
      <c r="FM609" s="49" t="s">
        <v>2675</v>
      </c>
      <c r="FP609" s="49" t="s">
        <v>303</v>
      </c>
      <c r="FR609" s="49" t="s">
        <v>303</v>
      </c>
      <c r="FT609" s="49" t="s">
        <v>325</v>
      </c>
      <c r="FU609" s="49" t="s">
        <v>325</v>
      </c>
      <c r="FW609" s="49" t="s">
        <v>333</v>
      </c>
    </row>
    <row r="610" customFormat="false" ht="15" hidden="false" customHeight="false" outlineLevel="0" collapsed="false">
      <c r="A610" s="0" t="n">
        <v>100865016</v>
      </c>
      <c r="B610" s="0" t="s">
        <v>295</v>
      </c>
      <c r="C610" s="0" t="s">
        <v>64</v>
      </c>
      <c r="D610" s="0" t="s">
        <v>65</v>
      </c>
      <c r="E610" s="0" t="s">
        <v>297</v>
      </c>
      <c r="G610" s="0" t="n">
        <v>1</v>
      </c>
      <c r="H610" s="0" t="s">
        <v>298</v>
      </c>
      <c r="I610" s="48" t="n">
        <v>46176</v>
      </c>
      <c r="J610" s="0" t="n">
        <v>1</v>
      </c>
      <c r="K610" s="49" t="s">
        <v>2675</v>
      </c>
      <c r="L610" s="49" t="s">
        <v>300</v>
      </c>
      <c r="M610" s="48" t="n">
        <v>46191</v>
      </c>
      <c r="N610" s="49" t="s">
        <v>1204</v>
      </c>
      <c r="O610" s="49" t="s">
        <v>1045</v>
      </c>
      <c r="P610" s="48"/>
      <c r="Q610" s="48" t="n">
        <v>46176</v>
      </c>
      <c r="R610" s="48" t="n">
        <v>46182</v>
      </c>
      <c r="T610" s="49" t="s">
        <v>302</v>
      </c>
      <c r="U610" s="49" t="s">
        <v>303</v>
      </c>
      <c r="Y610" s="49" t="s">
        <v>2733</v>
      </c>
      <c r="AD610" s="49" t="s">
        <v>305</v>
      </c>
      <c r="AE610" s="48" t="n">
        <v>46498</v>
      </c>
      <c r="AF610" s="49" t="s">
        <v>306</v>
      </c>
      <c r="AG610" s="49" t="s">
        <v>307</v>
      </c>
      <c r="AK610" s="49" t="s">
        <v>1047</v>
      </c>
      <c r="AL610" s="49" t="s">
        <v>297</v>
      </c>
      <c r="AO610" s="49" t="s">
        <v>303</v>
      </c>
      <c r="AP610" s="48"/>
      <c r="AR610" s="49" t="s">
        <v>303</v>
      </c>
      <c r="AS610" s="49" t="s">
        <v>306</v>
      </c>
      <c r="AT610" s="49" t="s">
        <v>2734</v>
      </c>
      <c r="AV610" s="49" t="s">
        <v>309</v>
      </c>
      <c r="AW610" s="49" t="s">
        <v>310</v>
      </c>
      <c r="AX610" s="49" t="s">
        <v>311</v>
      </c>
      <c r="AY610" s="48"/>
      <c r="AZ610" s="48" t="n">
        <v>46174</v>
      </c>
      <c r="BC610" s="49" t="s">
        <v>303</v>
      </c>
      <c r="BD610" s="48" t="n">
        <v>46191</v>
      </c>
      <c r="BE610" s="49" t="s">
        <v>2735</v>
      </c>
      <c r="BF610" s="49" t="s">
        <v>303</v>
      </c>
      <c r="BG610" s="48"/>
      <c r="BI610" s="48" t="n">
        <v>46191</v>
      </c>
      <c r="BJ610" s="48" t="n">
        <v>46181</v>
      </c>
      <c r="BK610" s="49" t="s">
        <v>313</v>
      </c>
      <c r="BL610" s="49" t="s">
        <v>313</v>
      </c>
      <c r="BM610" s="49" t="s">
        <v>310</v>
      </c>
      <c r="BN610" s="48"/>
      <c r="BO610" s="48"/>
      <c r="BP610" s="48"/>
      <c r="BQ610" s="49" t="s">
        <v>2675</v>
      </c>
      <c r="BR610" s="48" t="n">
        <v>46181</v>
      </c>
      <c r="BS610" s="49" t="s">
        <v>2731</v>
      </c>
      <c r="BT610" s="49" t="s">
        <v>312</v>
      </c>
      <c r="BU610" s="49" t="s">
        <v>313</v>
      </c>
      <c r="BV610" s="49" t="s">
        <v>303</v>
      </c>
      <c r="BX610" s="0" t="n">
        <v>1</v>
      </c>
      <c r="CC610" s="49" t="s">
        <v>315</v>
      </c>
      <c r="CD610" s="49" t="s">
        <v>303</v>
      </c>
      <c r="CF610" s="49" t="s">
        <v>303</v>
      </c>
      <c r="CG610" s="49" t="s">
        <v>316</v>
      </c>
      <c r="CH610" s="49" t="s">
        <v>317</v>
      </c>
      <c r="CI610" s="49" t="s">
        <v>318</v>
      </c>
      <c r="CM610" s="49" t="s">
        <v>65</v>
      </c>
      <c r="CV610" s="49" t="s">
        <v>303</v>
      </c>
      <c r="DB610" s="49" t="s">
        <v>319</v>
      </c>
      <c r="DD610" s="48" t="n">
        <v>46498</v>
      </c>
      <c r="DF610" s="49" t="s">
        <v>310</v>
      </c>
      <c r="DG610" s="49" t="s">
        <v>320</v>
      </c>
      <c r="DH610" s="49" t="s">
        <v>64</v>
      </c>
      <c r="DI610" s="49" t="s">
        <v>298</v>
      </c>
      <c r="DJ610" s="49" t="s">
        <v>394</v>
      </c>
      <c r="DK610" s="49" t="s">
        <v>322</v>
      </c>
      <c r="DL610" s="49" t="s">
        <v>323</v>
      </c>
      <c r="DM610" s="49" t="s">
        <v>303</v>
      </c>
      <c r="DN610" s="49" t="s">
        <v>297</v>
      </c>
      <c r="DO610" s="48"/>
      <c r="DP610" s="49" t="s">
        <v>312</v>
      </c>
      <c r="DQ610" s="48"/>
      <c r="DR610" s="49" t="s">
        <v>312</v>
      </c>
      <c r="DS610" s="49" t="s">
        <v>303</v>
      </c>
      <c r="DT610" s="49" t="s">
        <v>303</v>
      </c>
      <c r="DW610" s="49" t="s">
        <v>303</v>
      </c>
      <c r="EA610" s="49" t="s">
        <v>324</v>
      </c>
      <c r="EB610" s="49" t="s">
        <v>303</v>
      </c>
      <c r="EF610" s="49" t="s">
        <v>2684</v>
      </c>
      <c r="EH610" s="49" t="s">
        <v>310</v>
      </c>
      <c r="EJ610" s="49" t="s">
        <v>303</v>
      </c>
      <c r="EK610" s="49" t="s">
        <v>2736</v>
      </c>
      <c r="EM610" s="49" t="s">
        <v>303</v>
      </c>
      <c r="EN610" s="49" t="s">
        <v>396</v>
      </c>
      <c r="EP610" s="49" t="s">
        <v>298</v>
      </c>
      <c r="EQ610" s="0" t="n">
        <v>1</v>
      </c>
      <c r="ER610" s="49" t="s">
        <v>328</v>
      </c>
      <c r="ES610" s="49" t="s">
        <v>329</v>
      </c>
      <c r="ET610" s="49" t="s">
        <v>310</v>
      </c>
      <c r="EU610" s="49" t="s">
        <v>310</v>
      </c>
      <c r="EV610" s="49" t="s">
        <v>310</v>
      </c>
      <c r="EX610" s="49" t="s">
        <v>303</v>
      </c>
      <c r="EY610" s="49" t="s">
        <v>303</v>
      </c>
      <c r="FC610" s="49" t="s">
        <v>330</v>
      </c>
      <c r="FD610" s="49" t="s">
        <v>310</v>
      </c>
      <c r="FE610" s="49" t="s">
        <v>310</v>
      </c>
      <c r="FF610" s="49" t="s">
        <v>64</v>
      </c>
      <c r="FG610" s="49" t="s">
        <v>397</v>
      </c>
      <c r="FH610" s="49" t="s">
        <v>310</v>
      </c>
      <c r="FI610" s="49" t="s">
        <v>332</v>
      </c>
      <c r="FJ610" s="49" t="s">
        <v>303</v>
      </c>
      <c r="FL610" s="49" t="s">
        <v>325</v>
      </c>
      <c r="FM610" s="49" t="s">
        <v>2675</v>
      </c>
      <c r="FP610" s="49" t="s">
        <v>303</v>
      </c>
      <c r="FR610" s="49" t="s">
        <v>303</v>
      </c>
      <c r="FT610" s="49" t="s">
        <v>325</v>
      </c>
      <c r="FU610" s="49" t="s">
        <v>325</v>
      </c>
      <c r="FW610" s="49" t="s">
        <v>333</v>
      </c>
    </row>
    <row r="611" customFormat="false" ht="15" hidden="false" customHeight="false" outlineLevel="0" collapsed="false">
      <c r="A611" s="0" t="n">
        <v>100865017</v>
      </c>
      <c r="B611" s="0" t="s">
        <v>295</v>
      </c>
      <c r="C611" s="0" t="s">
        <v>64</v>
      </c>
      <c r="D611" s="0" t="s">
        <v>65</v>
      </c>
      <c r="E611" s="0" t="s">
        <v>297</v>
      </c>
      <c r="G611" s="0" t="n">
        <v>1</v>
      </c>
      <c r="H611" s="0" t="s">
        <v>298</v>
      </c>
      <c r="I611" s="48" t="n">
        <v>46176</v>
      </c>
      <c r="J611" s="0" t="n">
        <v>1</v>
      </c>
      <c r="K611" s="49" t="s">
        <v>2675</v>
      </c>
      <c r="L611" s="49" t="s">
        <v>300</v>
      </c>
      <c r="M611" s="48" t="n">
        <v>46191</v>
      </c>
      <c r="N611" s="49" t="s">
        <v>1204</v>
      </c>
      <c r="O611" s="49" t="s">
        <v>1045</v>
      </c>
      <c r="P611" s="48"/>
      <c r="Q611" s="48" t="n">
        <v>46176</v>
      </c>
      <c r="R611" s="48" t="n">
        <v>46182</v>
      </c>
      <c r="T611" s="49" t="s">
        <v>302</v>
      </c>
      <c r="U611" s="49" t="s">
        <v>303</v>
      </c>
      <c r="Y611" s="49" t="s">
        <v>2737</v>
      </c>
      <c r="AD611" s="49" t="s">
        <v>305</v>
      </c>
      <c r="AE611" s="48" t="n">
        <v>46498</v>
      </c>
      <c r="AF611" s="49" t="s">
        <v>306</v>
      </c>
      <c r="AG611" s="49" t="s">
        <v>307</v>
      </c>
      <c r="AK611" s="49" t="s">
        <v>1047</v>
      </c>
      <c r="AL611" s="49" t="s">
        <v>297</v>
      </c>
      <c r="AO611" s="49" t="s">
        <v>303</v>
      </c>
      <c r="AP611" s="48"/>
      <c r="AR611" s="49" t="s">
        <v>303</v>
      </c>
      <c r="AS611" s="49" t="s">
        <v>306</v>
      </c>
      <c r="AT611" s="49" t="s">
        <v>2738</v>
      </c>
      <c r="AV611" s="49" t="s">
        <v>309</v>
      </c>
      <c r="AW611" s="49" t="s">
        <v>310</v>
      </c>
      <c r="AX611" s="49" t="s">
        <v>311</v>
      </c>
      <c r="AY611" s="48"/>
      <c r="AZ611" s="48" t="n">
        <v>46174</v>
      </c>
      <c r="BC611" s="49" t="s">
        <v>303</v>
      </c>
      <c r="BD611" s="48" t="n">
        <v>46191</v>
      </c>
      <c r="BE611" s="49" t="s">
        <v>2735</v>
      </c>
      <c r="BF611" s="49" t="s">
        <v>303</v>
      </c>
      <c r="BG611" s="48"/>
      <c r="BI611" s="48" t="n">
        <v>46191</v>
      </c>
      <c r="BJ611" s="48" t="n">
        <v>46181</v>
      </c>
      <c r="BK611" s="49" t="s">
        <v>313</v>
      </c>
      <c r="BL611" s="49" t="s">
        <v>313</v>
      </c>
      <c r="BM611" s="49" t="s">
        <v>310</v>
      </c>
      <c r="BN611" s="48"/>
      <c r="BO611" s="48"/>
      <c r="BP611" s="48"/>
      <c r="BQ611" s="49" t="s">
        <v>2675</v>
      </c>
      <c r="BR611" s="48" t="n">
        <v>46181</v>
      </c>
      <c r="BS611" s="49" t="s">
        <v>2731</v>
      </c>
      <c r="BT611" s="49" t="s">
        <v>312</v>
      </c>
      <c r="BU611" s="49" t="s">
        <v>313</v>
      </c>
      <c r="BV611" s="49" t="s">
        <v>303</v>
      </c>
      <c r="BX611" s="0" t="n">
        <v>1</v>
      </c>
      <c r="CC611" s="49" t="s">
        <v>315</v>
      </c>
      <c r="CD611" s="49" t="s">
        <v>303</v>
      </c>
      <c r="CF611" s="49" t="s">
        <v>303</v>
      </c>
      <c r="CG611" s="49" t="s">
        <v>316</v>
      </c>
      <c r="CH611" s="49" t="s">
        <v>317</v>
      </c>
      <c r="CI611" s="49" t="s">
        <v>318</v>
      </c>
      <c r="CM611" s="49" t="s">
        <v>65</v>
      </c>
      <c r="CV611" s="49" t="s">
        <v>303</v>
      </c>
      <c r="DB611" s="49" t="s">
        <v>319</v>
      </c>
      <c r="DD611" s="48" t="n">
        <v>46498</v>
      </c>
      <c r="DF611" s="49" t="s">
        <v>310</v>
      </c>
      <c r="DG611" s="49" t="s">
        <v>320</v>
      </c>
      <c r="DH611" s="49" t="s">
        <v>64</v>
      </c>
      <c r="DI611" s="49" t="s">
        <v>298</v>
      </c>
      <c r="DJ611" s="49" t="s">
        <v>394</v>
      </c>
      <c r="DK611" s="49" t="s">
        <v>322</v>
      </c>
      <c r="DL611" s="49" t="s">
        <v>323</v>
      </c>
      <c r="DM611" s="49" t="s">
        <v>303</v>
      </c>
      <c r="DN611" s="49" t="s">
        <v>297</v>
      </c>
      <c r="DO611" s="48"/>
      <c r="DP611" s="49" t="s">
        <v>312</v>
      </c>
      <c r="DQ611" s="48"/>
      <c r="DR611" s="49" t="s">
        <v>312</v>
      </c>
      <c r="DS611" s="49" t="s">
        <v>303</v>
      </c>
      <c r="DT611" s="49" t="s">
        <v>303</v>
      </c>
      <c r="DW611" s="49" t="s">
        <v>303</v>
      </c>
      <c r="EA611" s="49" t="s">
        <v>324</v>
      </c>
      <c r="EB611" s="49" t="s">
        <v>303</v>
      </c>
      <c r="EF611" s="49" t="s">
        <v>2684</v>
      </c>
      <c r="EH611" s="49" t="s">
        <v>310</v>
      </c>
      <c r="EJ611" s="49" t="s">
        <v>303</v>
      </c>
      <c r="EK611" s="49" t="s">
        <v>2739</v>
      </c>
      <c r="EM611" s="49" t="s">
        <v>303</v>
      </c>
      <c r="EN611" s="49" t="s">
        <v>396</v>
      </c>
      <c r="EP611" s="49" t="s">
        <v>298</v>
      </c>
      <c r="EQ611" s="0" t="n">
        <v>1</v>
      </c>
      <c r="ER611" s="49" t="s">
        <v>328</v>
      </c>
      <c r="ES611" s="49" t="s">
        <v>329</v>
      </c>
      <c r="ET611" s="49" t="s">
        <v>310</v>
      </c>
      <c r="EU611" s="49" t="s">
        <v>310</v>
      </c>
      <c r="EV611" s="49" t="s">
        <v>310</v>
      </c>
      <c r="EX611" s="49" t="s">
        <v>303</v>
      </c>
      <c r="EY611" s="49" t="s">
        <v>303</v>
      </c>
      <c r="FC611" s="49" t="s">
        <v>330</v>
      </c>
      <c r="FD611" s="49" t="s">
        <v>310</v>
      </c>
      <c r="FE611" s="49" t="s">
        <v>310</v>
      </c>
      <c r="FF611" s="49" t="s">
        <v>64</v>
      </c>
      <c r="FG611" s="49" t="s">
        <v>397</v>
      </c>
      <c r="FH611" s="49" t="s">
        <v>310</v>
      </c>
      <c r="FI611" s="49" t="s">
        <v>332</v>
      </c>
      <c r="FJ611" s="49" t="s">
        <v>303</v>
      </c>
      <c r="FL611" s="49" t="s">
        <v>325</v>
      </c>
      <c r="FM611" s="49" t="s">
        <v>2675</v>
      </c>
      <c r="FP611" s="49" t="s">
        <v>303</v>
      </c>
      <c r="FR611" s="49" t="s">
        <v>303</v>
      </c>
      <c r="FT611" s="49" t="s">
        <v>325</v>
      </c>
      <c r="FU611" s="49" t="s">
        <v>325</v>
      </c>
      <c r="FW611" s="49" t="s">
        <v>333</v>
      </c>
    </row>
    <row r="612" customFormat="false" ht="15" hidden="false" customHeight="false" outlineLevel="0" collapsed="false">
      <c r="A612" s="0" t="n">
        <v>100865018</v>
      </c>
      <c r="B612" s="0" t="s">
        <v>295</v>
      </c>
      <c r="C612" s="0" t="s">
        <v>64</v>
      </c>
      <c r="D612" s="0" t="s">
        <v>65</v>
      </c>
      <c r="E612" s="0" t="s">
        <v>297</v>
      </c>
      <c r="G612" s="0" t="n">
        <v>1</v>
      </c>
      <c r="H612" s="0" t="s">
        <v>298</v>
      </c>
      <c r="I612" s="48" t="n">
        <v>46176</v>
      </c>
      <c r="J612" s="0" t="n">
        <v>1</v>
      </c>
      <c r="K612" s="49" t="s">
        <v>2675</v>
      </c>
      <c r="L612" s="49" t="s">
        <v>300</v>
      </c>
      <c r="M612" s="48" t="n">
        <v>46191</v>
      </c>
      <c r="N612" s="49" t="s">
        <v>1204</v>
      </c>
      <c r="O612" s="49" t="s">
        <v>1045</v>
      </c>
      <c r="P612" s="48"/>
      <c r="Q612" s="48" t="n">
        <v>46176</v>
      </c>
      <c r="R612" s="48" t="n">
        <v>46182</v>
      </c>
      <c r="T612" s="49" t="s">
        <v>302</v>
      </c>
      <c r="U612" s="49" t="s">
        <v>303</v>
      </c>
      <c r="Y612" s="49" t="s">
        <v>2740</v>
      </c>
      <c r="AD612" s="49" t="s">
        <v>305</v>
      </c>
      <c r="AE612" s="48" t="n">
        <v>46498</v>
      </c>
      <c r="AF612" s="49" t="s">
        <v>306</v>
      </c>
      <c r="AG612" s="49" t="s">
        <v>307</v>
      </c>
      <c r="AK612" s="49" t="s">
        <v>1047</v>
      </c>
      <c r="AL612" s="49" t="s">
        <v>297</v>
      </c>
      <c r="AO612" s="49" t="s">
        <v>303</v>
      </c>
      <c r="AP612" s="48"/>
      <c r="AR612" s="49" t="s">
        <v>303</v>
      </c>
      <c r="AS612" s="49" t="s">
        <v>306</v>
      </c>
      <c r="AT612" s="49" t="s">
        <v>2741</v>
      </c>
      <c r="AV612" s="49" t="s">
        <v>309</v>
      </c>
      <c r="AW612" s="49" t="s">
        <v>310</v>
      </c>
      <c r="AX612" s="49" t="s">
        <v>311</v>
      </c>
      <c r="AY612" s="48"/>
      <c r="AZ612" s="48" t="n">
        <v>46174</v>
      </c>
      <c r="BC612" s="49" t="s">
        <v>303</v>
      </c>
      <c r="BD612" s="48" t="n">
        <v>46191</v>
      </c>
      <c r="BE612" s="49" t="s">
        <v>2735</v>
      </c>
      <c r="BF612" s="49" t="s">
        <v>303</v>
      </c>
      <c r="BG612" s="48"/>
      <c r="BI612" s="48" t="n">
        <v>46191</v>
      </c>
      <c r="BJ612" s="48" t="n">
        <v>46181</v>
      </c>
      <c r="BK612" s="49" t="s">
        <v>313</v>
      </c>
      <c r="BL612" s="49" t="s">
        <v>313</v>
      </c>
      <c r="BM612" s="49" t="s">
        <v>310</v>
      </c>
      <c r="BN612" s="48"/>
      <c r="BO612" s="48"/>
      <c r="BP612" s="48"/>
      <c r="BQ612" s="49" t="s">
        <v>2675</v>
      </c>
      <c r="BR612" s="48" t="n">
        <v>46181</v>
      </c>
      <c r="BS612" s="49" t="s">
        <v>2731</v>
      </c>
      <c r="BT612" s="49" t="s">
        <v>312</v>
      </c>
      <c r="BU612" s="49" t="s">
        <v>313</v>
      </c>
      <c r="BV612" s="49" t="s">
        <v>303</v>
      </c>
      <c r="BX612" s="0" t="n">
        <v>1</v>
      </c>
      <c r="CC612" s="49" t="s">
        <v>315</v>
      </c>
      <c r="CD612" s="49" t="s">
        <v>303</v>
      </c>
      <c r="CF612" s="49" t="s">
        <v>303</v>
      </c>
      <c r="CG612" s="49" t="s">
        <v>316</v>
      </c>
      <c r="CH612" s="49" t="s">
        <v>317</v>
      </c>
      <c r="CI612" s="49" t="s">
        <v>318</v>
      </c>
      <c r="CM612" s="49" t="s">
        <v>65</v>
      </c>
      <c r="CV612" s="49" t="s">
        <v>303</v>
      </c>
      <c r="DB612" s="49" t="s">
        <v>319</v>
      </c>
      <c r="DD612" s="48" t="n">
        <v>46498</v>
      </c>
      <c r="DF612" s="49" t="s">
        <v>310</v>
      </c>
      <c r="DG612" s="49" t="s">
        <v>320</v>
      </c>
      <c r="DH612" s="49" t="s">
        <v>64</v>
      </c>
      <c r="DI612" s="49" t="s">
        <v>298</v>
      </c>
      <c r="DJ612" s="49" t="s">
        <v>394</v>
      </c>
      <c r="DK612" s="49" t="s">
        <v>322</v>
      </c>
      <c r="DL612" s="49" t="s">
        <v>323</v>
      </c>
      <c r="DM612" s="49" t="s">
        <v>303</v>
      </c>
      <c r="DN612" s="49" t="s">
        <v>297</v>
      </c>
      <c r="DO612" s="48"/>
      <c r="DP612" s="49" t="s">
        <v>312</v>
      </c>
      <c r="DQ612" s="48"/>
      <c r="DR612" s="49" t="s">
        <v>312</v>
      </c>
      <c r="DS612" s="49" t="s">
        <v>303</v>
      </c>
      <c r="DT612" s="49" t="s">
        <v>303</v>
      </c>
      <c r="DW612" s="49" t="s">
        <v>303</v>
      </c>
      <c r="EA612" s="49" t="s">
        <v>324</v>
      </c>
      <c r="EB612" s="49" t="s">
        <v>303</v>
      </c>
      <c r="EF612" s="49" t="s">
        <v>2684</v>
      </c>
      <c r="EH612" s="49" t="s">
        <v>310</v>
      </c>
      <c r="EJ612" s="49" t="s">
        <v>303</v>
      </c>
      <c r="EK612" s="49" t="s">
        <v>2742</v>
      </c>
      <c r="EM612" s="49" t="s">
        <v>303</v>
      </c>
      <c r="EN612" s="49" t="s">
        <v>396</v>
      </c>
      <c r="EP612" s="49" t="s">
        <v>298</v>
      </c>
      <c r="EQ612" s="0" t="n">
        <v>1</v>
      </c>
      <c r="ER612" s="49" t="s">
        <v>328</v>
      </c>
      <c r="ES612" s="49" t="s">
        <v>329</v>
      </c>
      <c r="ET612" s="49" t="s">
        <v>310</v>
      </c>
      <c r="EU612" s="49" t="s">
        <v>310</v>
      </c>
      <c r="EV612" s="49" t="s">
        <v>310</v>
      </c>
      <c r="EX612" s="49" t="s">
        <v>303</v>
      </c>
      <c r="EY612" s="49" t="s">
        <v>303</v>
      </c>
      <c r="FC612" s="49" t="s">
        <v>330</v>
      </c>
      <c r="FD612" s="49" t="s">
        <v>310</v>
      </c>
      <c r="FE612" s="49" t="s">
        <v>310</v>
      </c>
      <c r="FF612" s="49" t="s">
        <v>64</v>
      </c>
      <c r="FG612" s="49" t="s">
        <v>397</v>
      </c>
      <c r="FH612" s="49" t="s">
        <v>310</v>
      </c>
      <c r="FI612" s="49" t="s">
        <v>332</v>
      </c>
      <c r="FJ612" s="49" t="s">
        <v>303</v>
      </c>
      <c r="FL612" s="49" t="s">
        <v>325</v>
      </c>
      <c r="FM612" s="49" t="s">
        <v>2675</v>
      </c>
      <c r="FP612" s="49" t="s">
        <v>303</v>
      </c>
      <c r="FR612" s="49" t="s">
        <v>303</v>
      </c>
      <c r="FT612" s="49" t="s">
        <v>325</v>
      </c>
      <c r="FU612" s="49" t="s">
        <v>325</v>
      </c>
      <c r="FW612" s="49" t="s">
        <v>333</v>
      </c>
    </row>
    <row r="613" customFormat="false" ht="15" hidden="false" customHeight="false" outlineLevel="0" collapsed="false">
      <c r="A613" s="0" t="n">
        <v>100865019</v>
      </c>
      <c r="B613" s="0" t="s">
        <v>295</v>
      </c>
      <c r="C613" s="0" t="s">
        <v>64</v>
      </c>
      <c r="D613" s="0" t="s">
        <v>65</v>
      </c>
      <c r="E613" s="0" t="s">
        <v>297</v>
      </c>
      <c r="G613" s="0" t="n">
        <v>1</v>
      </c>
      <c r="H613" s="0" t="s">
        <v>298</v>
      </c>
      <c r="I613" s="48" t="n">
        <v>46176</v>
      </c>
      <c r="J613" s="0" t="n">
        <v>1</v>
      </c>
      <c r="K613" s="49" t="s">
        <v>2675</v>
      </c>
      <c r="L613" s="49" t="s">
        <v>300</v>
      </c>
      <c r="M613" s="48" t="n">
        <v>46191</v>
      </c>
      <c r="N613" s="49" t="s">
        <v>1204</v>
      </c>
      <c r="O613" s="49" t="s">
        <v>1045</v>
      </c>
      <c r="P613" s="48"/>
      <c r="Q613" s="48" t="n">
        <v>46176</v>
      </c>
      <c r="R613" s="48" t="n">
        <v>46182</v>
      </c>
      <c r="T613" s="49" t="s">
        <v>302</v>
      </c>
      <c r="U613" s="49" t="s">
        <v>303</v>
      </c>
      <c r="Y613" s="49" t="s">
        <v>2743</v>
      </c>
      <c r="AD613" s="49" t="s">
        <v>305</v>
      </c>
      <c r="AE613" s="48" t="n">
        <v>46498</v>
      </c>
      <c r="AF613" s="49" t="s">
        <v>306</v>
      </c>
      <c r="AG613" s="49" t="s">
        <v>307</v>
      </c>
      <c r="AK613" s="49" t="s">
        <v>1047</v>
      </c>
      <c r="AL613" s="49" t="s">
        <v>297</v>
      </c>
      <c r="AO613" s="49" t="s">
        <v>303</v>
      </c>
      <c r="AP613" s="48"/>
      <c r="AR613" s="49" t="s">
        <v>303</v>
      </c>
      <c r="AS613" s="49" t="s">
        <v>306</v>
      </c>
      <c r="AT613" s="49" t="s">
        <v>2744</v>
      </c>
      <c r="AV613" s="49" t="s">
        <v>309</v>
      </c>
      <c r="AW613" s="49" t="s">
        <v>310</v>
      </c>
      <c r="AX613" s="49" t="s">
        <v>311</v>
      </c>
      <c r="AY613" s="48"/>
      <c r="AZ613" s="48" t="n">
        <v>46174</v>
      </c>
      <c r="BC613" s="49" t="s">
        <v>303</v>
      </c>
      <c r="BD613" s="48" t="n">
        <v>46191</v>
      </c>
      <c r="BE613" s="49" t="s">
        <v>2745</v>
      </c>
      <c r="BF613" s="49" t="s">
        <v>303</v>
      </c>
      <c r="BG613" s="48"/>
      <c r="BI613" s="48" t="n">
        <v>46191</v>
      </c>
      <c r="BJ613" s="48" t="n">
        <v>46181</v>
      </c>
      <c r="BK613" s="49" t="s">
        <v>313</v>
      </c>
      <c r="BL613" s="49" t="s">
        <v>313</v>
      </c>
      <c r="BM613" s="49" t="s">
        <v>310</v>
      </c>
      <c r="BN613" s="48"/>
      <c r="BO613" s="48"/>
      <c r="BP613" s="48"/>
      <c r="BQ613" s="49" t="s">
        <v>2675</v>
      </c>
      <c r="BR613" s="48" t="n">
        <v>46181</v>
      </c>
      <c r="BS613" s="49" t="s">
        <v>2746</v>
      </c>
      <c r="BT613" s="49" t="s">
        <v>312</v>
      </c>
      <c r="BU613" s="49" t="s">
        <v>313</v>
      </c>
      <c r="BV613" s="49" t="s">
        <v>303</v>
      </c>
      <c r="BX613" s="0" t="n">
        <v>1</v>
      </c>
      <c r="CC613" s="49" t="s">
        <v>315</v>
      </c>
      <c r="CD613" s="49" t="s">
        <v>303</v>
      </c>
      <c r="CF613" s="49" t="s">
        <v>303</v>
      </c>
      <c r="CG613" s="49" t="s">
        <v>316</v>
      </c>
      <c r="CH613" s="49" t="s">
        <v>317</v>
      </c>
      <c r="CI613" s="49" t="s">
        <v>318</v>
      </c>
      <c r="CM613" s="49" t="s">
        <v>65</v>
      </c>
      <c r="CV613" s="49" t="s">
        <v>303</v>
      </c>
      <c r="DB613" s="49" t="s">
        <v>319</v>
      </c>
      <c r="DD613" s="48" t="n">
        <v>46498</v>
      </c>
      <c r="DF613" s="49" t="s">
        <v>310</v>
      </c>
      <c r="DG613" s="49" t="s">
        <v>320</v>
      </c>
      <c r="DH613" s="49" t="s">
        <v>64</v>
      </c>
      <c r="DI613" s="49" t="s">
        <v>298</v>
      </c>
      <c r="DJ613" s="49" t="s">
        <v>394</v>
      </c>
      <c r="DK613" s="49" t="s">
        <v>322</v>
      </c>
      <c r="DL613" s="49" t="s">
        <v>323</v>
      </c>
      <c r="DM613" s="49" t="s">
        <v>303</v>
      </c>
      <c r="DN613" s="49" t="s">
        <v>297</v>
      </c>
      <c r="DO613" s="48"/>
      <c r="DP613" s="49" t="s">
        <v>312</v>
      </c>
      <c r="DQ613" s="48"/>
      <c r="DR613" s="49" t="s">
        <v>312</v>
      </c>
      <c r="DS613" s="49" t="s">
        <v>303</v>
      </c>
      <c r="DT613" s="49" t="s">
        <v>303</v>
      </c>
      <c r="DW613" s="49" t="s">
        <v>303</v>
      </c>
      <c r="EA613" s="49" t="s">
        <v>324</v>
      </c>
      <c r="EB613" s="49" t="s">
        <v>303</v>
      </c>
      <c r="EF613" s="49" t="s">
        <v>2684</v>
      </c>
      <c r="EH613" s="49" t="s">
        <v>310</v>
      </c>
      <c r="EJ613" s="49" t="s">
        <v>303</v>
      </c>
      <c r="EK613" s="49" t="s">
        <v>2747</v>
      </c>
      <c r="EM613" s="49" t="s">
        <v>303</v>
      </c>
      <c r="EN613" s="49" t="s">
        <v>396</v>
      </c>
      <c r="EP613" s="49" t="s">
        <v>298</v>
      </c>
      <c r="EQ613" s="0" t="n">
        <v>1</v>
      </c>
      <c r="ER613" s="49" t="s">
        <v>328</v>
      </c>
      <c r="ES613" s="49" t="s">
        <v>329</v>
      </c>
      <c r="ET613" s="49" t="s">
        <v>310</v>
      </c>
      <c r="EU613" s="49" t="s">
        <v>310</v>
      </c>
      <c r="EV613" s="49" t="s">
        <v>310</v>
      </c>
      <c r="EX613" s="49" t="s">
        <v>303</v>
      </c>
      <c r="EY613" s="49" t="s">
        <v>303</v>
      </c>
      <c r="FC613" s="49" t="s">
        <v>330</v>
      </c>
      <c r="FD613" s="49" t="s">
        <v>310</v>
      </c>
      <c r="FE613" s="49" t="s">
        <v>310</v>
      </c>
      <c r="FF613" s="49" t="s">
        <v>64</v>
      </c>
      <c r="FG613" s="49" t="s">
        <v>397</v>
      </c>
      <c r="FH613" s="49" t="s">
        <v>310</v>
      </c>
      <c r="FI613" s="49" t="s">
        <v>332</v>
      </c>
      <c r="FJ613" s="49" t="s">
        <v>303</v>
      </c>
      <c r="FL613" s="49" t="s">
        <v>325</v>
      </c>
      <c r="FM613" s="49" t="s">
        <v>2675</v>
      </c>
      <c r="FP613" s="49" t="s">
        <v>303</v>
      </c>
      <c r="FR613" s="49" t="s">
        <v>303</v>
      </c>
      <c r="FT613" s="49" t="s">
        <v>325</v>
      </c>
      <c r="FU613" s="49" t="s">
        <v>325</v>
      </c>
      <c r="FW613" s="49" t="s">
        <v>333</v>
      </c>
    </row>
    <row r="614" customFormat="false" ht="15" hidden="false" customHeight="false" outlineLevel="0" collapsed="false">
      <c r="A614" s="0" t="n">
        <v>100865020</v>
      </c>
      <c r="B614" s="0" t="s">
        <v>295</v>
      </c>
      <c r="C614" s="0" t="s">
        <v>64</v>
      </c>
      <c r="D614" s="0" t="s">
        <v>65</v>
      </c>
      <c r="E614" s="0" t="s">
        <v>297</v>
      </c>
      <c r="G614" s="0" t="n">
        <v>1</v>
      </c>
      <c r="H614" s="0" t="s">
        <v>298</v>
      </c>
      <c r="I614" s="48" t="n">
        <v>46176</v>
      </c>
      <c r="J614" s="0" t="n">
        <v>1</v>
      </c>
      <c r="K614" s="49" t="s">
        <v>2675</v>
      </c>
      <c r="L614" s="49" t="s">
        <v>300</v>
      </c>
      <c r="M614" s="48" t="n">
        <v>46191</v>
      </c>
      <c r="N614" s="49" t="s">
        <v>1204</v>
      </c>
      <c r="O614" s="49" t="s">
        <v>1045</v>
      </c>
      <c r="P614" s="48"/>
      <c r="Q614" s="48" t="n">
        <v>46176</v>
      </c>
      <c r="R614" s="48" t="n">
        <v>46182</v>
      </c>
      <c r="T614" s="49" t="s">
        <v>302</v>
      </c>
      <c r="U614" s="49" t="s">
        <v>303</v>
      </c>
      <c r="Y614" s="49" t="s">
        <v>2748</v>
      </c>
      <c r="AD614" s="49" t="s">
        <v>305</v>
      </c>
      <c r="AE614" s="48" t="n">
        <v>46498</v>
      </c>
      <c r="AF614" s="49" t="s">
        <v>306</v>
      </c>
      <c r="AG614" s="49" t="s">
        <v>307</v>
      </c>
      <c r="AK614" s="49" t="s">
        <v>1047</v>
      </c>
      <c r="AL614" s="49" t="s">
        <v>297</v>
      </c>
      <c r="AO614" s="49" t="s">
        <v>303</v>
      </c>
      <c r="AP614" s="48"/>
      <c r="AR614" s="49" t="s">
        <v>303</v>
      </c>
      <c r="AS614" s="49" t="s">
        <v>306</v>
      </c>
      <c r="AT614" s="49" t="s">
        <v>2749</v>
      </c>
      <c r="AV614" s="49" t="s">
        <v>309</v>
      </c>
      <c r="AW614" s="49" t="s">
        <v>310</v>
      </c>
      <c r="AX614" s="49" t="s">
        <v>311</v>
      </c>
      <c r="AY614" s="48"/>
      <c r="AZ614" s="48" t="n">
        <v>46174</v>
      </c>
      <c r="BC614" s="49" t="s">
        <v>303</v>
      </c>
      <c r="BD614" s="48" t="n">
        <v>46191</v>
      </c>
      <c r="BE614" s="49" t="s">
        <v>2745</v>
      </c>
      <c r="BF614" s="49" t="s">
        <v>303</v>
      </c>
      <c r="BG614" s="48"/>
      <c r="BI614" s="48" t="n">
        <v>46191</v>
      </c>
      <c r="BJ614" s="48" t="n">
        <v>46181</v>
      </c>
      <c r="BK614" s="49" t="s">
        <v>313</v>
      </c>
      <c r="BL614" s="49" t="s">
        <v>313</v>
      </c>
      <c r="BM614" s="49" t="s">
        <v>310</v>
      </c>
      <c r="BN614" s="48"/>
      <c r="BO614" s="48"/>
      <c r="BP614" s="48"/>
      <c r="BQ614" s="49" t="s">
        <v>2675</v>
      </c>
      <c r="BR614" s="48" t="n">
        <v>46181</v>
      </c>
      <c r="BS614" s="49" t="s">
        <v>2746</v>
      </c>
      <c r="BT614" s="49" t="s">
        <v>312</v>
      </c>
      <c r="BU614" s="49" t="s">
        <v>313</v>
      </c>
      <c r="BV614" s="49" t="s">
        <v>303</v>
      </c>
      <c r="BX614" s="0" t="n">
        <v>1</v>
      </c>
      <c r="CC614" s="49" t="s">
        <v>315</v>
      </c>
      <c r="CD614" s="49" t="s">
        <v>303</v>
      </c>
      <c r="CF614" s="49" t="s">
        <v>303</v>
      </c>
      <c r="CG614" s="49" t="s">
        <v>316</v>
      </c>
      <c r="CH614" s="49" t="s">
        <v>317</v>
      </c>
      <c r="CI614" s="49" t="s">
        <v>318</v>
      </c>
      <c r="CM614" s="49" t="s">
        <v>65</v>
      </c>
      <c r="CV614" s="49" t="s">
        <v>303</v>
      </c>
      <c r="DB614" s="49" t="s">
        <v>319</v>
      </c>
      <c r="DD614" s="48" t="n">
        <v>46498</v>
      </c>
      <c r="DF614" s="49" t="s">
        <v>310</v>
      </c>
      <c r="DG614" s="49" t="s">
        <v>320</v>
      </c>
      <c r="DH614" s="49" t="s">
        <v>64</v>
      </c>
      <c r="DI614" s="49" t="s">
        <v>298</v>
      </c>
      <c r="DJ614" s="49" t="s">
        <v>394</v>
      </c>
      <c r="DK614" s="49" t="s">
        <v>322</v>
      </c>
      <c r="DL614" s="49" t="s">
        <v>323</v>
      </c>
      <c r="DM614" s="49" t="s">
        <v>303</v>
      </c>
      <c r="DN614" s="49" t="s">
        <v>297</v>
      </c>
      <c r="DO614" s="48"/>
      <c r="DP614" s="49" t="s">
        <v>312</v>
      </c>
      <c r="DQ614" s="48"/>
      <c r="DR614" s="49" t="s">
        <v>312</v>
      </c>
      <c r="DS614" s="49" t="s">
        <v>303</v>
      </c>
      <c r="DT614" s="49" t="s">
        <v>303</v>
      </c>
      <c r="DW614" s="49" t="s">
        <v>303</v>
      </c>
      <c r="EA614" s="49" t="s">
        <v>324</v>
      </c>
      <c r="EB614" s="49" t="s">
        <v>303</v>
      </c>
      <c r="EF614" s="49" t="s">
        <v>2684</v>
      </c>
      <c r="EH614" s="49" t="s">
        <v>310</v>
      </c>
      <c r="EJ614" s="49" t="s">
        <v>303</v>
      </c>
      <c r="EK614" s="49" t="s">
        <v>2750</v>
      </c>
      <c r="EM614" s="49" t="s">
        <v>303</v>
      </c>
      <c r="EN614" s="49" t="s">
        <v>396</v>
      </c>
      <c r="EP614" s="49" t="s">
        <v>298</v>
      </c>
      <c r="EQ614" s="0" t="n">
        <v>1</v>
      </c>
      <c r="ER614" s="49" t="s">
        <v>328</v>
      </c>
      <c r="ES614" s="49" t="s">
        <v>329</v>
      </c>
      <c r="ET614" s="49" t="s">
        <v>310</v>
      </c>
      <c r="EU614" s="49" t="s">
        <v>310</v>
      </c>
      <c r="EV614" s="49" t="s">
        <v>310</v>
      </c>
      <c r="EX614" s="49" t="s">
        <v>303</v>
      </c>
      <c r="EY614" s="49" t="s">
        <v>303</v>
      </c>
      <c r="FC614" s="49" t="s">
        <v>330</v>
      </c>
      <c r="FD614" s="49" t="s">
        <v>310</v>
      </c>
      <c r="FE614" s="49" t="s">
        <v>310</v>
      </c>
      <c r="FF614" s="49" t="s">
        <v>64</v>
      </c>
      <c r="FG614" s="49" t="s">
        <v>397</v>
      </c>
      <c r="FH614" s="49" t="s">
        <v>310</v>
      </c>
      <c r="FI614" s="49" t="s">
        <v>332</v>
      </c>
      <c r="FJ614" s="49" t="s">
        <v>303</v>
      </c>
      <c r="FL614" s="49" t="s">
        <v>325</v>
      </c>
      <c r="FM614" s="49" t="s">
        <v>2675</v>
      </c>
      <c r="FP614" s="49" t="s">
        <v>303</v>
      </c>
      <c r="FR614" s="49" t="s">
        <v>303</v>
      </c>
      <c r="FT614" s="49" t="s">
        <v>325</v>
      </c>
      <c r="FU614" s="49" t="s">
        <v>325</v>
      </c>
      <c r="FW614" s="49" t="s">
        <v>333</v>
      </c>
    </row>
    <row r="615" customFormat="false" ht="15" hidden="false" customHeight="false" outlineLevel="0" collapsed="false">
      <c r="A615" s="0" t="n">
        <v>100865021</v>
      </c>
      <c r="B615" s="0" t="s">
        <v>295</v>
      </c>
      <c r="C615" s="0" t="s">
        <v>64</v>
      </c>
      <c r="D615" s="0" t="s">
        <v>65</v>
      </c>
      <c r="E615" s="0" t="s">
        <v>297</v>
      </c>
      <c r="G615" s="0" t="n">
        <v>1</v>
      </c>
      <c r="H615" s="0" t="s">
        <v>298</v>
      </c>
      <c r="I615" s="48" t="n">
        <v>46176</v>
      </c>
      <c r="J615" s="0" t="n">
        <v>1</v>
      </c>
      <c r="K615" s="49" t="s">
        <v>2675</v>
      </c>
      <c r="L615" s="49" t="s">
        <v>300</v>
      </c>
      <c r="M615" s="48" t="n">
        <v>46191</v>
      </c>
      <c r="N615" s="49" t="s">
        <v>1204</v>
      </c>
      <c r="O615" s="49" t="s">
        <v>1045</v>
      </c>
      <c r="P615" s="48"/>
      <c r="Q615" s="48" t="n">
        <v>46176</v>
      </c>
      <c r="R615" s="48" t="n">
        <v>46182</v>
      </c>
      <c r="T615" s="49" t="s">
        <v>302</v>
      </c>
      <c r="U615" s="49" t="s">
        <v>303</v>
      </c>
      <c r="Y615" s="49" t="s">
        <v>2751</v>
      </c>
      <c r="AD615" s="49" t="s">
        <v>305</v>
      </c>
      <c r="AE615" s="48" t="n">
        <v>46498</v>
      </c>
      <c r="AF615" s="49" t="s">
        <v>306</v>
      </c>
      <c r="AG615" s="49" t="s">
        <v>307</v>
      </c>
      <c r="AK615" s="49" t="s">
        <v>1047</v>
      </c>
      <c r="AL615" s="49" t="s">
        <v>297</v>
      </c>
      <c r="AO615" s="49" t="s">
        <v>303</v>
      </c>
      <c r="AP615" s="48"/>
      <c r="AR615" s="49" t="s">
        <v>303</v>
      </c>
      <c r="AS615" s="49" t="s">
        <v>306</v>
      </c>
      <c r="AT615" s="49" t="s">
        <v>2752</v>
      </c>
      <c r="AV615" s="49" t="s">
        <v>309</v>
      </c>
      <c r="AW615" s="49" t="s">
        <v>310</v>
      </c>
      <c r="AX615" s="49" t="s">
        <v>311</v>
      </c>
      <c r="AY615" s="48"/>
      <c r="AZ615" s="48" t="n">
        <v>46174</v>
      </c>
      <c r="BC615" s="49" t="s">
        <v>303</v>
      </c>
      <c r="BD615" s="48" t="n">
        <v>46191</v>
      </c>
      <c r="BE615" s="49" t="s">
        <v>2753</v>
      </c>
      <c r="BF615" s="49" t="s">
        <v>303</v>
      </c>
      <c r="BG615" s="48"/>
      <c r="BI615" s="48" t="n">
        <v>46191</v>
      </c>
      <c r="BJ615" s="48" t="n">
        <v>46181</v>
      </c>
      <c r="BK615" s="49" t="s">
        <v>313</v>
      </c>
      <c r="BL615" s="49" t="s">
        <v>313</v>
      </c>
      <c r="BM615" s="49" t="s">
        <v>310</v>
      </c>
      <c r="BN615" s="48"/>
      <c r="BO615" s="48"/>
      <c r="BP615" s="48"/>
      <c r="BQ615" s="49" t="s">
        <v>2675</v>
      </c>
      <c r="BR615" s="48" t="n">
        <v>46181</v>
      </c>
      <c r="BS615" s="49" t="s">
        <v>2746</v>
      </c>
      <c r="BT615" s="49" t="s">
        <v>312</v>
      </c>
      <c r="BU615" s="49" t="s">
        <v>313</v>
      </c>
      <c r="BV615" s="49" t="s">
        <v>303</v>
      </c>
      <c r="BX615" s="0" t="n">
        <v>1</v>
      </c>
      <c r="CC615" s="49" t="s">
        <v>315</v>
      </c>
      <c r="CD615" s="49" t="s">
        <v>303</v>
      </c>
      <c r="CF615" s="49" t="s">
        <v>303</v>
      </c>
      <c r="CG615" s="49" t="s">
        <v>316</v>
      </c>
      <c r="CH615" s="49" t="s">
        <v>317</v>
      </c>
      <c r="CI615" s="49" t="s">
        <v>318</v>
      </c>
      <c r="CM615" s="49" t="s">
        <v>65</v>
      </c>
      <c r="CV615" s="49" t="s">
        <v>303</v>
      </c>
      <c r="DB615" s="49" t="s">
        <v>319</v>
      </c>
      <c r="DD615" s="48" t="n">
        <v>46498</v>
      </c>
      <c r="DF615" s="49" t="s">
        <v>310</v>
      </c>
      <c r="DG615" s="49" t="s">
        <v>320</v>
      </c>
      <c r="DH615" s="49" t="s">
        <v>64</v>
      </c>
      <c r="DI615" s="49" t="s">
        <v>298</v>
      </c>
      <c r="DJ615" s="49" t="s">
        <v>394</v>
      </c>
      <c r="DK615" s="49" t="s">
        <v>322</v>
      </c>
      <c r="DL615" s="49" t="s">
        <v>323</v>
      </c>
      <c r="DM615" s="49" t="s">
        <v>303</v>
      </c>
      <c r="DN615" s="49" t="s">
        <v>297</v>
      </c>
      <c r="DO615" s="48"/>
      <c r="DP615" s="49" t="s">
        <v>312</v>
      </c>
      <c r="DQ615" s="48"/>
      <c r="DR615" s="49" t="s">
        <v>312</v>
      </c>
      <c r="DS615" s="49" t="s">
        <v>303</v>
      </c>
      <c r="DT615" s="49" t="s">
        <v>303</v>
      </c>
      <c r="DW615" s="49" t="s">
        <v>303</v>
      </c>
      <c r="EA615" s="49" t="s">
        <v>324</v>
      </c>
      <c r="EB615" s="49" t="s">
        <v>303</v>
      </c>
      <c r="EF615" s="49" t="s">
        <v>2684</v>
      </c>
      <c r="EH615" s="49" t="s">
        <v>310</v>
      </c>
      <c r="EJ615" s="49" t="s">
        <v>303</v>
      </c>
      <c r="EK615" s="49" t="s">
        <v>2754</v>
      </c>
      <c r="EM615" s="49" t="s">
        <v>303</v>
      </c>
      <c r="EN615" s="49" t="s">
        <v>396</v>
      </c>
      <c r="EP615" s="49" t="s">
        <v>298</v>
      </c>
      <c r="EQ615" s="0" t="n">
        <v>1</v>
      </c>
      <c r="ER615" s="49" t="s">
        <v>328</v>
      </c>
      <c r="ES615" s="49" t="s">
        <v>329</v>
      </c>
      <c r="ET615" s="49" t="s">
        <v>310</v>
      </c>
      <c r="EU615" s="49" t="s">
        <v>310</v>
      </c>
      <c r="EV615" s="49" t="s">
        <v>310</v>
      </c>
      <c r="EX615" s="49" t="s">
        <v>303</v>
      </c>
      <c r="EY615" s="49" t="s">
        <v>303</v>
      </c>
      <c r="FC615" s="49" t="s">
        <v>330</v>
      </c>
      <c r="FD615" s="49" t="s">
        <v>310</v>
      </c>
      <c r="FE615" s="49" t="s">
        <v>310</v>
      </c>
      <c r="FF615" s="49" t="s">
        <v>64</v>
      </c>
      <c r="FG615" s="49" t="s">
        <v>397</v>
      </c>
      <c r="FH615" s="49" t="s">
        <v>310</v>
      </c>
      <c r="FI615" s="49" t="s">
        <v>332</v>
      </c>
      <c r="FJ615" s="49" t="s">
        <v>303</v>
      </c>
      <c r="FL615" s="49" t="s">
        <v>325</v>
      </c>
      <c r="FM615" s="49" t="s">
        <v>2675</v>
      </c>
      <c r="FP615" s="49" t="s">
        <v>303</v>
      </c>
      <c r="FR615" s="49" t="s">
        <v>303</v>
      </c>
      <c r="FT615" s="49" t="s">
        <v>325</v>
      </c>
      <c r="FU615" s="49" t="s">
        <v>325</v>
      </c>
      <c r="FW615" s="49" t="s">
        <v>333</v>
      </c>
    </row>
    <row r="616" customFormat="false" ht="15" hidden="false" customHeight="false" outlineLevel="0" collapsed="false">
      <c r="A616" s="0" t="n">
        <v>100865022</v>
      </c>
      <c r="B616" s="0" t="s">
        <v>295</v>
      </c>
      <c r="C616" s="0" t="s">
        <v>64</v>
      </c>
      <c r="D616" s="0" t="s">
        <v>65</v>
      </c>
      <c r="E616" s="0" t="s">
        <v>297</v>
      </c>
      <c r="G616" s="0" t="n">
        <v>1</v>
      </c>
      <c r="H616" s="0" t="s">
        <v>298</v>
      </c>
      <c r="I616" s="48" t="n">
        <v>46176</v>
      </c>
      <c r="J616" s="0" t="n">
        <v>1</v>
      </c>
      <c r="K616" s="49" t="s">
        <v>2675</v>
      </c>
      <c r="L616" s="49" t="s">
        <v>300</v>
      </c>
      <c r="M616" s="48" t="n">
        <v>46191</v>
      </c>
      <c r="N616" s="49" t="s">
        <v>1204</v>
      </c>
      <c r="O616" s="49" t="s">
        <v>1045</v>
      </c>
      <c r="P616" s="48"/>
      <c r="Q616" s="48" t="n">
        <v>46176</v>
      </c>
      <c r="R616" s="48" t="n">
        <v>46182</v>
      </c>
      <c r="T616" s="49" t="s">
        <v>302</v>
      </c>
      <c r="U616" s="49" t="s">
        <v>303</v>
      </c>
      <c r="Y616" s="49" t="s">
        <v>2755</v>
      </c>
      <c r="AD616" s="49" t="s">
        <v>305</v>
      </c>
      <c r="AE616" s="48" t="n">
        <v>46498</v>
      </c>
      <c r="AF616" s="49" t="s">
        <v>306</v>
      </c>
      <c r="AG616" s="49" t="s">
        <v>307</v>
      </c>
      <c r="AK616" s="49" t="s">
        <v>1047</v>
      </c>
      <c r="AL616" s="49" t="s">
        <v>297</v>
      </c>
      <c r="AO616" s="49" t="s">
        <v>303</v>
      </c>
      <c r="AP616" s="48"/>
      <c r="AR616" s="49" t="s">
        <v>303</v>
      </c>
      <c r="AS616" s="49" t="s">
        <v>306</v>
      </c>
      <c r="AT616" s="49" t="s">
        <v>2756</v>
      </c>
      <c r="AV616" s="49" t="s">
        <v>309</v>
      </c>
      <c r="AW616" s="49" t="s">
        <v>310</v>
      </c>
      <c r="AX616" s="49" t="s">
        <v>311</v>
      </c>
      <c r="AY616" s="48"/>
      <c r="AZ616" s="48" t="n">
        <v>46174</v>
      </c>
      <c r="BC616" s="49" t="s">
        <v>303</v>
      </c>
      <c r="BD616" s="48" t="n">
        <v>46191</v>
      </c>
      <c r="BE616" s="49" t="s">
        <v>2753</v>
      </c>
      <c r="BF616" s="49" t="s">
        <v>303</v>
      </c>
      <c r="BG616" s="48"/>
      <c r="BI616" s="48" t="n">
        <v>46191</v>
      </c>
      <c r="BJ616" s="48" t="n">
        <v>46181</v>
      </c>
      <c r="BK616" s="49" t="s">
        <v>313</v>
      </c>
      <c r="BL616" s="49" t="s">
        <v>313</v>
      </c>
      <c r="BM616" s="49" t="s">
        <v>310</v>
      </c>
      <c r="BN616" s="48"/>
      <c r="BO616" s="48"/>
      <c r="BP616" s="48"/>
      <c r="BQ616" s="49" t="s">
        <v>2675</v>
      </c>
      <c r="BR616" s="48" t="n">
        <v>46181</v>
      </c>
      <c r="BS616" s="49" t="s">
        <v>2746</v>
      </c>
      <c r="BT616" s="49" t="s">
        <v>312</v>
      </c>
      <c r="BU616" s="49" t="s">
        <v>313</v>
      </c>
      <c r="BV616" s="49" t="s">
        <v>303</v>
      </c>
      <c r="BX616" s="0" t="n">
        <v>1</v>
      </c>
      <c r="CC616" s="49" t="s">
        <v>315</v>
      </c>
      <c r="CD616" s="49" t="s">
        <v>303</v>
      </c>
      <c r="CF616" s="49" t="s">
        <v>303</v>
      </c>
      <c r="CG616" s="49" t="s">
        <v>316</v>
      </c>
      <c r="CH616" s="49" t="s">
        <v>317</v>
      </c>
      <c r="CI616" s="49" t="s">
        <v>318</v>
      </c>
      <c r="CM616" s="49" t="s">
        <v>65</v>
      </c>
      <c r="CV616" s="49" t="s">
        <v>303</v>
      </c>
      <c r="DB616" s="49" t="s">
        <v>319</v>
      </c>
      <c r="DD616" s="48" t="n">
        <v>46498</v>
      </c>
      <c r="DF616" s="49" t="s">
        <v>310</v>
      </c>
      <c r="DG616" s="49" t="s">
        <v>320</v>
      </c>
      <c r="DH616" s="49" t="s">
        <v>64</v>
      </c>
      <c r="DI616" s="49" t="s">
        <v>298</v>
      </c>
      <c r="DJ616" s="49" t="s">
        <v>394</v>
      </c>
      <c r="DK616" s="49" t="s">
        <v>322</v>
      </c>
      <c r="DL616" s="49" t="s">
        <v>323</v>
      </c>
      <c r="DM616" s="49" t="s">
        <v>303</v>
      </c>
      <c r="DN616" s="49" t="s">
        <v>297</v>
      </c>
      <c r="DO616" s="48"/>
      <c r="DP616" s="49" t="s">
        <v>312</v>
      </c>
      <c r="DQ616" s="48"/>
      <c r="DR616" s="49" t="s">
        <v>312</v>
      </c>
      <c r="DS616" s="49" t="s">
        <v>303</v>
      </c>
      <c r="DT616" s="49" t="s">
        <v>303</v>
      </c>
      <c r="DW616" s="49" t="s">
        <v>303</v>
      </c>
      <c r="EA616" s="49" t="s">
        <v>324</v>
      </c>
      <c r="EB616" s="49" t="s">
        <v>303</v>
      </c>
      <c r="EF616" s="49" t="s">
        <v>2684</v>
      </c>
      <c r="EH616" s="49" t="s">
        <v>310</v>
      </c>
      <c r="EJ616" s="49" t="s">
        <v>303</v>
      </c>
      <c r="EK616" s="49" t="s">
        <v>2757</v>
      </c>
      <c r="EM616" s="49" t="s">
        <v>303</v>
      </c>
      <c r="EN616" s="49" t="s">
        <v>396</v>
      </c>
      <c r="EP616" s="49" t="s">
        <v>298</v>
      </c>
      <c r="EQ616" s="0" t="n">
        <v>1</v>
      </c>
      <c r="ER616" s="49" t="s">
        <v>328</v>
      </c>
      <c r="ES616" s="49" t="s">
        <v>329</v>
      </c>
      <c r="ET616" s="49" t="s">
        <v>310</v>
      </c>
      <c r="EU616" s="49" t="s">
        <v>310</v>
      </c>
      <c r="EV616" s="49" t="s">
        <v>310</v>
      </c>
      <c r="EX616" s="49" t="s">
        <v>303</v>
      </c>
      <c r="EY616" s="49" t="s">
        <v>303</v>
      </c>
      <c r="FC616" s="49" t="s">
        <v>330</v>
      </c>
      <c r="FD616" s="49" t="s">
        <v>310</v>
      </c>
      <c r="FE616" s="49" t="s">
        <v>310</v>
      </c>
      <c r="FF616" s="49" t="s">
        <v>64</v>
      </c>
      <c r="FG616" s="49" t="s">
        <v>397</v>
      </c>
      <c r="FH616" s="49" t="s">
        <v>310</v>
      </c>
      <c r="FI616" s="49" t="s">
        <v>332</v>
      </c>
      <c r="FJ616" s="49" t="s">
        <v>303</v>
      </c>
      <c r="FL616" s="49" t="s">
        <v>325</v>
      </c>
      <c r="FM616" s="49" t="s">
        <v>2675</v>
      </c>
      <c r="FP616" s="49" t="s">
        <v>303</v>
      </c>
      <c r="FR616" s="49" t="s">
        <v>303</v>
      </c>
      <c r="FT616" s="49" t="s">
        <v>325</v>
      </c>
      <c r="FU616" s="49" t="s">
        <v>325</v>
      </c>
      <c r="FW616" s="49" t="s">
        <v>333</v>
      </c>
    </row>
    <row r="617" customFormat="false" ht="15" hidden="false" customHeight="false" outlineLevel="0" collapsed="false">
      <c r="A617" s="0" t="n">
        <v>100865023</v>
      </c>
      <c r="B617" s="0" t="s">
        <v>295</v>
      </c>
      <c r="C617" s="0" t="s">
        <v>64</v>
      </c>
      <c r="D617" s="0" t="s">
        <v>65</v>
      </c>
      <c r="E617" s="0" t="s">
        <v>297</v>
      </c>
      <c r="G617" s="0" t="n">
        <v>1</v>
      </c>
      <c r="H617" s="0" t="s">
        <v>298</v>
      </c>
      <c r="I617" s="48" t="n">
        <v>46176</v>
      </c>
      <c r="J617" s="0" t="n">
        <v>1</v>
      </c>
      <c r="K617" s="49" t="s">
        <v>2675</v>
      </c>
      <c r="L617" s="49" t="s">
        <v>300</v>
      </c>
      <c r="M617" s="48" t="n">
        <v>46191</v>
      </c>
      <c r="N617" s="49" t="s">
        <v>1204</v>
      </c>
      <c r="O617" s="49" t="s">
        <v>1045</v>
      </c>
      <c r="P617" s="48"/>
      <c r="Q617" s="48" t="n">
        <v>46176</v>
      </c>
      <c r="R617" s="48" t="n">
        <v>46182</v>
      </c>
      <c r="T617" s="49" t="s">
        <v>302</v>
      </c>
      <c r="U617" s="49" t="s">
        <v>303</v>
      </c>
      <c r="Y617" s="49" t="s">
        <v>2758</v>
      </c>
      <c r="AD617" s="49" t="s">
        <v>305</v>
      </c>
      <c r="AE617" s="48" t="n">
        <v>46498</v>
      </c>
      <c r="AF617" s="49" t="s">
        <v>306</v>
      </c>
      <c r="AG617" s="49" t="s">
        <v>307</v>
      </c>
      <c r="AK617" s="49" t="s">
        <v>1047</v>
      </c>
      <c r="AL617" s="49" t="s">
        <v>297</v>
      </c>
      <c r="AO617" s="49" t="s">
        <v>303</v>
      </c>
      <c r="AP617" s="48"/>
      <c r="AR617" s="49" t="s">
        <v>303</v>
      </c>
      <c r="AS617" s="49" t="s">
        <v>306</v>
      </c>
      <c r="AT617" s="49" t="s">
        <v>2759</v>
      </c>
      <c r="AV617" s="49" t="s">
        <v>309</v>
      </c>
      <c r="AW617" s="49" t="s">
        <v>310</v>
      </c>
      <c r="AX617" s="49" t="s">
        <v>311</v>
      </c>
      <c r="AY617" s="48"/>
      <c r="AZ617" s="48" t="n">
        <v>46174</v>
      </c>
      <c r="BC617" s="49" t="s">
        <v>303</v>
      </c>
      <c r="BD617" s="48" t="n">
        <v>46191</v>
      </c>
      <c r="BE617" s="49" t="s">
        <v>2753</v>
      </c>
      <c r="BF617" s="49" t="s">
        <v>303</v>
      </c>
      <c r="BG617" s="48"/>
      <c r="BI617" s="48" t="n">
        <v>46191</v>
      </c>
      <c r="BJ617" s="48" t="n">
        <v>46181</v>
      </c>
      <c r="BK617" s="49" t="s">
        <v>313</v>
      </c>
      <c r="BL617" s="49" t="s">
        <v>313</v>
      </c>
      <c r="BM617" s="49" t="s">
        <v>310</v>
      </c>
      <c r="BN617" s="48"/>
      <c r="BO617" s="48"/>
      <c r="BP617" s="48"/>
      <c r="BQ617" s="49" t="s">
        <v>2675</v>
      </c>
      <c r="BR617" s="48" t="n">
        <v>46181</v>
      </c>
      <c r="BS617" s="49" t="s">
        <v>2760</v>
      </c>
      <c r="BT617" s="49" t="s">
        <v>312</v>
      </c>
      <c r="BU617" s="49" t="s">
        <v>313</v>
      </c>
      <c r="BV617" s="49" t="s">
        <v>303</v>
      </c>
      <c r="BX617" s="0" t="n">
        <v>1</v>
      </c>
      <c r="CC617" s="49" t="s">
        <v>315</v>
      </c>
      <c r="CD617" s="49" t="s">
        <v>303</v>
      </c>
      <c r="CF617" s="49" t="s">
        <v>303</v>
      </c>
      <c r="CG617" s="49" t="s">
        <v>316</v>
      </c>
      <c r="CH617" s="49" t="s">
        <v>317</v>
      </c>
      <c r="CI617" s="49" t="s">
        <v>318</v>
      </c>
      <c r="CM617" s="49" t="s">
        <v>65</v>
      </c>
      <c r="CV617" s="49" t="s">
        <v>303</v>
      </c>
      <c r="DB617" s="49" t="s">
        <v>319</v>
      </c>
      <c r="DD617" s="48" t="n">
        <v>46498</v>
      </c>
      <c r="DF617" s="49" t="s">
        <v>310</v>
      </c>
      <c r="DG617" s="49" t="s">
        <v>320</v>
      </c>
      <c r="DH617" s="49" t="s">
        <v>64</v>
      </c>
      <c r="DI617" s="49" t="s">
        <v>298</v>
      </c>
      <c r="DJ617" s="49" t="s">
        <v>394</v>
      </c>
      <c r="DK617" s="49" t="s">
        <v>322</v>
      </c>
      <c r="DL617" s="49" t="s">
        <v>323</v>
      </c>
      <c r="DM617" s="49" t="s">
        <v>303</v>
      </c>
      <c r="DN617" s="49" t="s">
        <v>297</v>
      </c>
      <c r="DO617" s="48"/>
      <c r="DP617" s="49" t="s">
        <v>312</v>
      </c>
      <c r="DQ617" s="48"/>
      <c r="DR617" s="49" t="s">
        <v>312</v>
      </c>
      <c r="DS617" s="49" t="s">
        <v>303</v>
      </c>
      <c r="DT617" s="49" t="s">
        <v>303</v>
      </c>
      <c r="DW617" s="49" t="s">
        <v>303</v>
      </c>
      <c r="EA617" s="49" t="s">
        <v>324</v>
      </c>
      <c r="EB617" s="49" t="s">
        <v>303</v>
      </c>
      <c r="EF617" s="49" t="s">
        <v>2684</v>
      </c>
      <c r="EH617" s="49" t="s">
        <v>310</v>
      </c>
      <c r="EJ617" s="49" t="s">
        <v>303</v>
      </c>
      <c r="EK617" s="49" t="s">
        <v>2761</v>
      </c>
      <c r="EM617" s="49" t="s">
        <v>303</v>
      </c>
      <c r="EN617" s="49" t="s">
        <v>396</v>
      </c>
      <c r="EP617" s="49" t="s">
        <v>298</v>
      </c>
      <c r="EQ617" s="0" t="n">
        <v>1</v>
      </c>
      <c r="ER617" s="49" t="s">
        <v>328</v>
      </c>
      <c r="ES617" s="49" t="s">
        <v>329</v>
      </c>
      <c r="ET617" s="49" t="s">
        <v>310</v>
      </c>
      <c r="EU617" s="49" t="s">
        <v>310</v>
      </c>
      <c r="EV617" s="49" t="s">
        <v>310</v>
      </c>
      <c r="EX617" s="49" t="s">
        <v>303</v>
      </c>
      <c r="EY617" s="49" t="s">
        <v>303</v>
      </c>
      <c r="FC617" s="49" t="s">
        <v>330</v>
      </c>
      <c r="FD617" s="49" t="s">
        <v>310</v>
      </c>
      <c r="FE617" s="49" t="s">
        <v>310</v>
      </c>
      <c r="FF617" s="49" t="s">
        <v>64</v>
      </c>
      <c r="FG617" s="49" t="s">
        <v>397</v>
      </c>
      <c r="FH617" s="49" t="s">
        <v>310</v>
      </c>
      <c r="FI617" s="49" t="s">
        <v>332</v>
      </c>
      <c r="FJ617" s="49" t="s">
        <v>303</v>
      </c>
      <c r="FL617" s="49" t="s">
        <v>325</v>
      </c>
      <c r="FM617" s="49" t="s">
        <v>2675</v>
      </c>
      <c r="FP617" s="49" t="s">
        <v>303</v>
      </c>
      <c r="FR617" s="49" t="s">
        <v>303</v>
      </c>
      <c r="FT617" s="49" t="s">
        <v>325</v>
      </c>
      <c r="FU617" s="49" t="s">
        <v>325</v>
      </c>
      <c r="FW617" s="49" t="s">
        <v>333</v>
      </c>
    </row>
    <row r="618" customFormat="false" ht="15" hidden="false" customHeight="false" outlineLevel="0" collapsed="false">
      <c r="A618" s="0" t="n">
        <v>100865024</v>
      </c>
      <c r="B618" s="0" t="s">
        <v>295</v>
      </c>
      <c r="C618" s="0" t="s">
        <v>64</v>
      </c>
      <c r="D618" s="0" t="s">
        <v>65</v>
      </c>
      <c r="E618" s="0" t="s">
        <v>297</v>
      </c>
      <c r="G618" s="0" t="n">
        <v>1</v>
      </c>
      <c r="H618" s="0" t="s">
        <v>298</v>
      </c>
      <c r="I618" s="48" t="n">
        <v>46176</v>
      </c>
      <c r="J618" s="0" t="n">
        <v>1</v>
      </c>
      <c r="K618" s="49" t="s">
        <v>2675</v>
      </c>
      <c r="L618" s="49" t="s">
        <v>300</v>
      </c>
      <c r="M618" s="48" t="n">
        <v>46191</v>
      </c>
      <c r="N618" s="49" t="s">
        <v>1204</v>
      </c>
      <c r="O618" s="49" t="s">
        <v>1045</v>
      </c>
      <c r="P618" s="48"/>
      <c r="Q618" s="48" t="n">
        <v>46176</v>
      </c>
      <c r="R618" s="48" t="n">
        <v>46182</v>
      </c>
      <c r="T618" s="49" t="s">
        <v>302</v>
      </c>
      <c r="U618" s="49" t="s">
        <v>303</v>
      </c>
      <c r="Y618" s="49" t="s">
        <v>2762</v>
      </c>
      <c r="AD618" s="49" t="s">
        <v>305</v>
      </c>
      <c r="AE618" s="48" t="n">
        <v>46498</v>
      </c>
      <c r="AF618" s="49" t="s">
        <v>306</v>
      </c>
      <c r="AG618" s="49" t="s">
        <v>307</v>
      </c>
      <c r="AK618" s="49" t="s">
        <v>1047</v>
      </c>
      <c r="AL618" s="49" t="s">
        <v>297</v>
      </c>
      <c r="AO618" s="49" t="s">
        <v>303</v>
      </c>
      <c r="AP618" s="48"/>
      <c r="AR618" s="49" t="s">
        <v>303</v>
      </c>
      <c r="AS618" s="49" t="s">
        <v>306</v>
      </c>
      <c r="AT618" s="49" t="s">
        <v>2763</v>
      </c>
      <c r="AV618" s="49" t="s">
        <v>309</v>
      </c>
      <c r="AW618" s="49" t="s">
        <v>310</v>
      </c>
      <c r="AX618" s="49" t="s">
        <v>311</v>
      </c>
      <c r="AY618" s="48"/>
      <c r="AZ618" s="48" t="n">
        <v>46174</v>
      </c>
      <c r="BC618" s="49" t="s">
        <v>303</v>
      </c>
      <c r="BD618" s="48" t="n">
        <v>46191</v>
      </c>
      <c r="BE618" s="49" t="s">
        <v>2764</v>
      </c>
      <c r="BF618" s="49" t="s">
        <v>303</v>
      </c>
      <c r="BG618" s="48"/>
      <c r="BI618" s="48" t="n">
        <v>46191</v>
      </c>
      <c r="BJ618" s="48" t="n">
        <v>46181</v>
      </c>
      <c r="BK618" s="49" t="s">
        <v>313</v>
      </c>
      <c r="BL618" s="49" t="s">
        <v>313</v>
      </c>
      <c r="BM618" s="49" t="s">
        <v>310</v>
      </c>
      <c r="BN618" s="48"/>
      <c r="BO618" s="48"/>
      <c r="BP618" s="48"/>
      <c r="BQ618" s="49" t="s">
        <v>2675</v>
      </c>
      <c r="BR618" s="48" t="n">
        <v>46181</v>
      </c>
      <c r="BS618" s="49" t="s">
        <v>2760</v>
      </c>
      <c r="BT618" s="49" t="s">
        <v>312</v>
      </c>
      <c r="BU618" s="49" t="s">
        <v>313</v>
      </c>
      <c r="BV618" s="49" t="s">
        <v>303</v>
      </c>
      <c r="BX618" s="0" t="n">
        <v>1</v>
      </c>
      <c r="CC618" s="49" t="s">
        <v>315</v>
      </c>
      <c r="CD618" s="49" t="s">
        <v>303</v>
      </c>
      <c r="CF618" s="49" t="s">
        <v>303</v>
      </c>
      <c r="CG618" s="49" t="s">
        <v>316</v>
      </c>
      <c r="CH618" s="49" t="s">
        <v>317</v>
      </c>
      <c r="CI618" s="49" t="s">
        <v>318</v>
      </c>
      <c r="CM618" s="49" t="s">
        <v>65</v>
      </c>
      <c r="CV618" s="49" t="s">
        <v>303</v>
      </c>
      <c r="DB618" s="49" t="s">
        <v>319</v>
      </c>
      <c r="DD618" s="48" t="n">
        <v>46498</v>
      </c>
      <c r="DF618" s="49" t="s">
        <v>310</v>
      </c>
      <c r="DG618" s="49" t="s">
        <v>320</v>
      </c>
      <c r="DH618" s="49" t="s">
        <v>64</v>
      </c>
      <c r="DI618" s="49" t="s">
        <v>298</v>
      </c>
      <c r="DJ618" s="49" t="s">
        <v>394</v>
      </c>
      <c r="DK618" s="49" t="s">
        <v>322</v>
      </c>
      <c r="DL618" s="49" t="s">
        <v>323</v>
      </c>
      <c r="DM618" s="49" t="s">
        <v>303</v>
      </c>
      <c r="DN618" s="49" t="s">
        <v>297</v>
      </c>
      <c r="DO618" s="48"/>
      <c r="DP618" s="49" t="s">
        <v>312</v>
      </c>
      <c r="DQ618" s="48"/>
      <c r="DR618" s="49" t="s">
        <v>312</v>
      </c>
      <c r="DS618" s="49" t="s">
        <v>303</v>
      </c>
      <c r="DT618" s="49" t="s">
        <v>303</v>
      </c>
      <c r="DW618" s="49" t="s">
        <v>303</v>
      </c>
      <c r="EA618" s="49" t="s">
        <v>324</v>
      </c>
      <c r="EB618" s="49" t="s">
        <v>303</v>
      </c>
      <c r="EF618" s="49" t="s">
        <v>2684</v>
      </c>
      <c r="EH618" s="49" t="s">
        <v>310</v>
      </c>
      <c r="EJ618" s="49" t="s">
        <v>303</v>
      </c>
      <c r="EK618" s="49" t="s">
        <v>2765</v>
      </c>
      <c r="EM618" s="49" t="s">
        <v>303</v>
      </c>
      <c r="EN618" s="49" t="s">
        <v>396</v>
      </c>
      <c r="EP618" s="49" t="s">
        <v>298</v>
      </c>
      <c r="EQ618" s="0" t="n">
        <v>1</v>
      </c>
      <c r="ER618" s="49" t="s">
        <v>328</v>
      </c>
      <c r="ES618" s="49" t="s">
        <v>329</v>
      </c>
      <c r="ET618" s="49" t="s">
        <v>310</v>
      </c>
      <c r="EU618" s="49" t="s">
        <v>310</v>
      </c>
      <c r="EV618" s="49" t="s">
        <v>310</v>
      </c>
      <c r="EX618" s="49" t="s">
        <v>303</v>
      </c>
      <c r="EY618" s="49" t="s">
        <v>303</v>
      </c>
      <c r="FC618" s="49" t="s">
        <v>330</v>
      </c>
      <c r="FD618" s="49" t="s">
        <v>310</v>
      </c>
      <c r="FE618" s="49" t="s">
        <v>310</v>
      </c>
      <c r="FF618" s="49" t="s">
        <v>64</v>
      </c>
      <c r="FG618" s="49" t="s">
        <v>397</v>
      </c>
      <c r="FH618" s="49" t="s">
        <v>310</v>
      </c>
      <c r="FI618" s="49" t="s">
        <v>332</v>
      </c>
      <c r="FJ618" s="49" t="s">
        <v>303</v>
      </c>
      <c r="FL618" s="49" t="s">
        <v>325</v>
      </c>
      <c r="FM618" s="49" t="s">
        <v>2675</v>
      </c>
      <c r="FP618" s="49" t="s">
        <v>303</v>
      </c>
      <c r="FR618" s="49" t="s">
        <v>303</v>
      </c>
      <c r="FT618" s="49" t="s">
        <v>325</v>
      </c>
      <c r="FU618" s="49" t="s">
        <v>325</v>
      </c>
      <c r="FW618" s="49" t="s">
        <v>333</v>
      </c>
    </row>
    <row r="619" customFormat="false" ht="15" hidden="false" customHeight="false" outlineLevel="0" collapsed="false">
      <c r="A619" s="0" t="n">
        <v>100865026</v>
      </c>
      <c r="B619" s="0" t="s">
        <v>295</v>
      </c>
      <c r="C619" s="0" t="s">
        <v>66</v>
      </c>
      <c r="D619" s="0" t="s">
        <v>296</v>
      </c>
      <c r="E619" s="0" t="s">
        <v>297</v>
      </c>
      <c r="G619" s="0" t="n">
        <v>1</v>
      </c>
      <c r="H619" s="0" t="s">
        <v>298</v>
      </c>
      <c r="I619" s="48" t="n">
        <v>46176</v>
      </c>
      <c r="J619" s="0" t="n">
        <v>1</v>
      </c>
      <c r="K619" s="49" t="s">
        <v>2675</v>
      </c>
      <c r="L619" s="49" t="s">
        <v>300</v>
      </c>
      <c r="M619" s="48" t="n">
        <v>46176</v>
      </c>
      <c r="N619" s="49" t="s">
        <v>300</v>
      </c>
      <c r="O619" s="49" t="s">
        <v>1052</v>
      </c>
      <c r="P619" s="48"/>
      <c r="Q619" s="48" t="n">
        <v>46176</v>
      </c>
      <c r="R619" s="48" t="n">
        <v>46183</v>
      </c>
      <c r="T619" s="49" t="s">
        <v>302</v>
      </c>
      <c r="U619" s="49" t="s">
        <v>303</v>
      </c>
      <c r="Y619" s="49" t="s">
        <v>2766</v>
      </c>
      <c r="AD619" s="49" t="s">
        <v>305</v>
      </c>
      <c r="AE619" s="48" t="n">
        <v>46171</v>
      </c>
      <c r="AF619" s="49" t="s">
        <v>306</v>
      </c>
      <c r="AG619" s="49" t="s">
        <v>307</v>
      </c>
      <c r="AK619" s="49" t="s">
        <v>1047</v>
      </c>
      <c r="AL619" s="49" t="s">
        <v>297</v>
      </c>
      <c r="AO619" s="49" t="s">
        <v>303</v>
      </c>
      <c r="AP619" s="48"/>
      <c r="AR619" s="49" t="s">
        <v>303</v>
      </c>
      <c r="AS619" s="49" t="s">
        <v>306</v>
      </c>
      <c r="AT619" s="49" t="s">
        <v>2767</v>
      </c>
      <c r="AV619" s="49" t="s">
        <v>309</v>
      </c>
      <c r="AW619" s="49" t="s">
        <v>310</v>
      </c>
      <c r="AX619" s="49" t="s">
        <v>311</v>
      </c>
      <c r="AY619" s="48"/>
      <c r="AZ619" s="48" t="n">
        <v>46174</v>
      </c>
      <c r="BC619" s="49" t="s">
        <v>303</v>
      </c>
      <c r="BD619" s="48" t="n">
        <v>46240</v>
      </c>
      <c r="BE619" s="49" t="s">
        <v>2768</v>
      </c>
      <c r="BF619" s="49" t="s">
        <v>303</v>
      </c>
      <c r="BG619" s="48"/>
      <c r="BI619" s="48" t="n">
        <v>46240</v>
      </c>
      <c r="BJ619" s="48" t="n">
        <v>46181</v>
      </c>
      <c r="BK619" s="49" t="s">
        <v>312</v>
      </c>
      <c r="BL619" s="49" t="s">
        <v>313</v>
      </c>
      <c r="BM619" s="49" t="s">
        <v>310</v>
      </c>
      <c r="BN619" s="48"/>
      <c r="BO619" s="48"/>
      <c r="BP619" s="48"/>
      <c r="BQ619" s="49" t="s">
        <v>2675</v>
      </c>
      <c r="BR619" s="48" t="n">
        <v>46181</v>
      </c>
      <c r="BS619" s="49" t="s">
        <v>2760</v>
      </c>
      <c r="BT619" s="49" t="s">
        <v>312</v>
      </c>
      <c r="BU619" s="49" t="s">
        <v>313</v>
      </c>
      <c r="BV619" s="49" t="s">
        <v>303</v>
      </c>
      <c r="BX619" s="0" t="n">
        <v>1</v>
      </c>
      <c r="CC619" s="49" t="s">
        <v>315</v>
      </c>
      <c r="CD619" s="49" t="s">
        <v>303</v>
      </c>
      <c r="CF619" s="49" t="s">
        <v>303</v>
      </c>
      <c r="CG619" s="49" t="s">
        <v>316</v>
      </c>
      <c r="CH619" s="49" t="s">
        <v>317</v>
      </c>
      <c r="CI619" s="49" t="s">
        <v>318</v>
      </c>
      <c r="CM619" s="49" t="s">
        <v>296</v>
      </c>
      <c r="CV619" s="49" t="s">
        <v>303</v>
      </c>
      <c r="DB619" s="49" t="s">
        <v>319</v>
      </c>
      <c r="DD619" s="48" t="n">
        <v>46171</v>
      </c>
      <c r="DF619" s="49" t="s">
        <v>310</v>
      </c>
      <c r="DG619" s="49" t="s">
        <v>320</v>
      </c>
      <c r="DH619" s="49" t="s">
        <v>66</v>
      </c>
      <c r="DI619" s="49" t="s">
        <v>298</v>
      </c>
      <c r="DJ619" s="49" t="s">
        <v>321</v>
      </c>
      <c r="DK619" s="49" t="s">
        <v>322</v>
      </c>
      <c r="DL619" s="49" t="s">
        <v>323</v>
      </c>
      <c r="DM619" s="49" t="s">
        <v>303</v>
      </c>
      <c r="DN619" s="49" t="s">
        <v>297</v>
      </c>
      <c r="DO619" s="48"/>
      <c r="DP619" s="49" t="s">
        <v>312</v>
      </c>
      <c r="DQ619" s="48"/>
      <c r="DR619" s="49" t="s">
        <v>312</v>
      </c>
      <c r="DS619" s="49" t="s">
        <v>303</v>
      </c>
      <c r="DT619" s="49" t="s">
        <v>303</v>
      </c>
      <c r="DW619" s="49" t="s">
        <v>303</v>
      </c>
      <c r="EA619" s="49" t="s">
        <v>324</v>
      </c>
      <c r="EB619" s="49" t="s">
        <v>303</v>
      </c>
      <c r="EH619" s="49" t="s">
        <v>310</v>
      </c>
      <c r="EJ619" s="49" t="s">
        <v>303</v>
      </c>
      <c r="EK619" s="49" t="s">
        <v>2769</v>
      </c>
      <c r="EM619" s="49" t="s">
        <v>303</v>
      </c>
      <c r="EN619" s="49" t="s">
        <v>327</v>
      </c>
      <c r="EP619" s="49" t="s">
        <v>298</v>
      </c>
      <c r="EQ619" s="0" t="n">
        <v>1</v>
      </c>
      <c r="ER619" s="49" t="s">
        <v>328</v>
      </c>
      <c r="ES619" s="49" t="s">
        <v>329</v>
      </c>
      <c r="ET619" s="49" t="s">
        <v>310</v>
      </c>
      <c r="EU619" s="49" t="s">
        <v>310</v>
      </c>
      <c r="EV619" s="49" t="s">
        <v>310</v>
      </c>
      <c r="EX619" s="49" t="s">
        <v>303</v>
      </c>
      <c r="EY619" s="49" t="s">
        <v>303</v>
      </c>
      <c r="FC619" s="49" t="s">
        <v>330</v>
      </c>
      <c r="FD619" s="49" t="s">
        <v>310</v>
      </c>
      <c r="FE619" s="49" t="s">
        <v>310</v>
      </c>
      <c r="FF619" s="49" t="s">
        <v>66</v>
      </c>
      <c r="FG619" s="49" t="s">
        <v>331</v>
      </c>
      <c r="FH619" s="49" t="s">
        <v>310</v>
      </c>
      <c r="FI619" s="49" t="s">
        <v>332</v>
      </c>
      <c r="FJ619" s="49" t="s">
        <v>303</v>
      </c>
      <c r="FL619" s="49" t="s">
        <v>325</v>
      </c>
      <c r="FM619" s="49" t="s">
        <v>2675</v>
      </c>
      <c r="FP619" s="49" t="s">
        <v>303</v>
      </c>
      <c r="FR619" s="49" t="s">
        <v>303</v>
      </c>
      <c r="FT619" s="49" t="s">
        <v>325</v>
      </c>
      <c r="FU619" s="49" t="s">
        <v>325</v>
      </c>
      <c r="FW619" s="49" t="s">
        <v>333</v>
      </c>
    </row>
    <row r="620" customFormat="false" ht="15" hidden="false" customHeight="false" outlineLevel="0" collapsed="false">
      <c r="A620" s="0" t="n">
        <v>100865027</v>
      </c>
      <c r="B620" s="0" t="s">
        <v>295</v>
      </c>
      <c r="C620" s="0" t="s">
        <v>66</v>
      </c>
      <c r="D620" s="0" t="s">
        <v>296</v>
      </c>
      <c r="E620" s="0" t="s">
        <v>297</v>
      </c>
      <c r="G620" s="0" t="n">
        <v>1</v>
      </c>
      <c r="H620" s="0" t="s">
        <v>298</v>
      </c>
      <c r="I620" s="48" t="n">
        <v>46176</v>
      </c>
      <c r="J620" s="0" t="n">
        <v>1</v>
      </c>
      <c r="K620" s="49" t="s">
        <v>2675</v>
      </c>
      <c r="L620" s="49" t="s">
        <v>300</v>
      </c>
      <c r="M620" s="48"/>
      <c r="O620" s="49" t="s">
        <v>1052</v>
      </c>
      <c r="P620" s="48"/>
      <c r="Q620" s="48" t="n">
        <v>46176</v>
      </c>
      <c r="R620" s="48" t="n">
        <v>46182</v>
      </c>
      <c r="T620" s="49" t="s">
        <v>302</v>
      </c>
      <c r="U620" s="49" t="s">
        <v>303</v>
      </c>
      <c r="Y620" s="49" t="s">
        <v>312</v>
      </c>
      <c r="AD620" s="49" t="s">
        <v>305</v>
      </c>
      <c r="AE620" s="48" t="n">
        <v>46171</v>
      </c>
      <c r="AF620" s="49" t="s">
        <v>306</v>
      </c>
      <c r="AG620" s="49" t="s">
        <v>307</v>
      </c>
      <c r="AK620" s="49" t="s">
        <v>1047</v>
      </c>
      <c r="AL620" s="49" t="s">
        <v>297</v>
      </c>
      <c r="AO620" s="49" t="s">
        <v>303</v>
      </c>
      <c r="AP620" s="48"/>
      <c r="AR620" s="49" t="s">
        <v>303</v>
      </c>
      <c r="AS620" s="49" t="s">
        <v>306</v>
      </c>
      <c r="AT620" s="49" t="s">
        <v>2770</v>
      </c>
      <c r="AV620" s="49" t="s">
        <v>309</v>
      </c>
      <c r="AW620" s="49" t="s">
        <v>310</v>
      </c>
      <c r="AX620" s="49" t="s">
        <v>311</v>
      </c>
      <c r="AY620" s="48"/>
      <c r="AZ620" s="48" t="n">
        <v>46174</v>
      </c>
      <c r="BC620" s="49" t="s">
        <v>303</v>
      </c>
      <c r="BD620" s="48" t="n">
        <v>46232</v>
      </c>
      <c r="BE620" s="49" t="s">
        <v>2771</v>
      </c>
      <c r="BF620" s="49" t="s">
        <v>303</v>
      </c>
      <c r="BG620" s="48"/>
      <c r="BI620" s="48" t="n">
        <v>46233</v>
      </c>
      <c r="BJ620" s="48" t="n">
        <v>46181</v>
      </c>
      <c r="BK620" s="49" t="s">
        <v>313</v>
      </c>
      <c r="BL620" s="49" t="s">
        <v>313</v>
      </c>
      <c r="BM620" s="49" t="s">
        <v>310</v>
      </c>
      <c r="BN620" s="48"/>
      <c r="BO620" s="48"/>
      <c r="BP620" s="48"/>
      <c r="BQ620" s="49" t="s">
        <v>2675</v>
      </c>
      <c r="BR620" s="48" t="n">
        <v>46181</v>
      </c>
      <c r="BS620" s="49" t="s">
        <v>2772</v>
      </c>
      <c r="BT620" s="49" t="s">
        <v>312</v>
      </c>
      <c r="BU620" s="49" t="s">
        <v>313</v>
      </c>
      <c r="BV620" s="49" t="s">
        <v>303</v>
      </c>
      <c r="BX620" s="0" t="n">
        <v>1</v>
      </c>
      <c r="CC620" s="49" t="s">
        <v>315</v>
      </c>
      <c r="CD620" s="49" t="s">
        <v>303</v>
      </c>
      <c r="CF620" s="49" t="s">
        <v>303</v>
      </c>
      <c r="CG620" s="49" t="s">
        <v>316</v>
      </c>
      <c r="CH620" s="49" t="s">
        <v>317</v>
      </c>
      <c r="CI620" s="49" t="s">
        <v>318</v>
      </c>
      <c r="CM620" s="49" t="s">
        <v>296</v>
      </c>
      <c r="CV620" s="49" t="s">
        <v>303</v>
      </c>
      <c r="DB620" s="49" t="s">
        <v>319</v>
      </c>
      <c r="DD620" s="48" t="n">
        <v>46171</v>
      </c>
      <c r="DF620" s="49" t="s">
        <v>310</v>
      </c>
      <c r="DG620" s="49" t="s">
        <v>320</v>
      </c>
      <c r="DH620" s="49" t="s">
        <v>66</v>
      </c>
      <c r="DI620" s="49" t="s">
        <v>298</v>
      </c>
      <c r="DJ620" s="49" t="s">
        <v>321</v>
      </c>
      <c r="DK620" s="49" t="s">
        <v>322</v>
      </c>
      <c r="DL620" s="49" t="s">
        <v>323</v>
      </c>
      <c r="DM620" s="49" t="s">
        <v>303</v>
      </c>
      <c r="DN620" s="49" t="s">
        <v>297</v>
      </c>
      <c r="DO620" s="48"/>
      <c r="DP620" s="49" t="s">
        <v>312</v>
      </c>
      <c r="DQ620" s="48"/>
      <c r="DR620" s="49" t="s">
        <v>312</v>
      </c>
      <c r="DS620" s="49" t="s">
        <v>303</v>
      </c>
      <c r="DT620" s="49" t="s">
        <v>303</v>
      </c>
      <c r="DW620" s="49" t="s">
        <v>303</v>
      </c>
      <c r="EA620" s="49" t="s">
        <v>324</v>
      </c>
      <c r="EB620" s="49" t="s">
        <v>303</v>
      </c>
      <c r="EF620" s="49" t="s">
        <v>2773</v>
      </c>
      <c r="EH620" s="49" t="s">
        <v>310</v>
      </c>
      <c r="EJ620" s="49" t="s">
        <v>303</v>
      </c>
      <c r="EK620" s="49" t="s">
        <v>2774</v>
      </c>
      <c r="EM620" s="49" t="s">
        <v>303</v>
      </c>
      <c r="EN620" s="49" t="s">
        <v>327</v>
      </c>
      <c r="EP620" s="49" t="s">
        <v>298</v>
      </c>
      <c r="EQ620" s="0" t="n">
        <v>1</v>
      </c>
      <c r="ER620" s="49" t="s">
        <v>328</v>
      </c>
      <c r="ES620" s="49" t="s">
        <v>329</v>
      </c>
      <c r="ET620" s="49" t="s">
        <v>310</v>
      </c>
      <c r="EU620" s="49" t="s">
        <v>310</v>
      </c>
      <c r="EV620" s="49" t="s">
        <v>310</v>
      </c>
      <c r="EX620" s="49" t="s">
        <v>303</v>
      </c>
      <c r="EY620" s="49" t="s">
        <v>303</v>
      </c>
      <c r="FC620" s="49" t="s">
        <v>330</v>
      </c>
      <c r="FD620" s="49" t="s">
        <v>310</v>
      </c>
      <c r="FE620" s="49" t="s">
        <v>310</v>
      </c>
      <c r="FF620" s="49" t="s">
        <v>66</v>
      </c>
      <c r="FG620" s="49" t="s">
        <v>331</v>
      </c>
      <c r="FH620" s="49" t="s">
        <v>310</v>
      </c>
      <c r="FI620" s="49" t="s">
        <v>332</v>
      </c>
      <c r="FJ620" s="49" t="s">
        <v>303</v>
      </c>
      <c r="FL620" s="49" t="s">
        <v>325</v>
      </c>
      <c r="FM620" s="49" t="s">
        <v>2675</v>
      </c>
      <c r="FP620" s="49" t="s">
        <v>303</v>
      </c>
      <c r="FR620" s="49" t="s">
        <v>303</v>
      </c>
      <c r="FT620" s="49" t="s">
        <v>325</v>
      </c>
      <c r="FU620" s="49" t="s">
        <v>325</v>
      </c>
      <c r="FW620" s="49" t="s">
        <v>333</v>
      </c>
    </row>
    <row r="621" customFormat="false" ht="15" hidden="false" customHeight="false" outlineLevel="0" collapsed="false">
      <c r="A621" s="0" t="n">
        <v>100865028</v>
      </c>
      <c r="B621" s="0" t="s">
        <v>295</v>
      </c>
      <c r="C621" s="0" t="s">
        <v>66</v>
      </c>
      <c r="D621" s="0" t="s">
        <v>296</v>
      </c>
      <c r="E621" s="0" t="s">
        <v>297</v>
      </c>
      <c r="G621" s="0" t="n">
        <v>1</v>
      </c>
      <c r="H621" s="0" t="s">
        <v>298</v>
      </c>
      <c r="I621" s="48" t="n">
        <v>46176</v>
      </c>
      <c r="J621" s="0" t="n">
        <v>1</v>
      </c>
      <c r="K621" s="49" t="s">
        <v>2675</v>
      </c>
      <c r="L621" s="49" t="s">
        <v>300</v>
      </c>
      <c r="M621" s="48"/>
      <c r="O621" s="49" t="s">
        <v>1052</v>
      </c>
      <c r="P621" s="48"/>
      <c r="Q621" s="48" t="n">
        <v>46176</v>
      </c>
      <c r="R621" s="48" t="n">
        <v>46182</v>
      </c>
      <c r="T621" s="49" t="s">
        <v>302</v>
      </c>
      <c r="U621" s="49" t="s">
        <v>303</v>
      </c>
      <c r="Y621" s="49" t="s">
        <v>312</v>
      </c>
      <c r="AD621" s="49" t="s">
        <v>305</v>
      </c>
      <c r="AE621" s="48" t="n">
        <v>46171</v>
      </c>
      <c r="AF621" s="49" t="s">
        <v>306</v>
      </c>
      <c r="AG621" s="49" t="s">
        <v>307</v>
      </c>
      <c r="AK621" s="49" t="s">
        <v>1047</v>
      </c>
      <c r="AL621" s="49" t="s">
        <v>297</v>
      </c>
      <c r="AO621" s="49" t="s">
        <v>303</v>
      </c>
      <c r="AP621" s="48"/>
      <c r="AR621" s="49" t="s">
        <v>303</v>
      </c>
      <c r="AS621" s="49" t="s">
        <v>306</v>
      </c>
      <c r="AT621" s="49" t="s">
        <v>2775</v>
      </c>
      <c r="AV621" s="49" t="s">
        <v>309</v>
      </c>
      <c r="AW621" s="49" t="s">
        <v>310</v>
      </c>
      <c r="AX621" s="49" t="s">
        <v>311</v>
      </c>
      <c r="AY621" s="48"/>
      <c r="AZ621" s="48" t="n">
        <v>46174</v>
      </c>
      <c r="BC621" s="49" t="s">
        <v>303</v>
      </c>
      <c r="BD621" s="48" t="n">
        <v>46231</v>
      </c>
      <c r="BE621" s="49" t="s">
        <v>2776</v>
      </c>
      <c r="BF621" s="49" t="s">
        <v>303</v>
      </c>
      <c r="BG621" s="48"/>
      <c r="BI621" s="48" t="n">
        <v>46231</v>
      </c>
      <c r="BJ621" s="48" t="n">
        <v>46181</v>
      </c>
      <c r="BK621" s="49" t="s">
        <v>313</v>
      </c>
      <c r="BL621" s="49" t="s">
        <v>313</v>
      </c>
      <c r="BM621" s="49" t="s">
        <v>310</v>
      </c>
      <c r="BN621" s="48"/>
      <c r="BO621" s="48"/>
      <c r="BP621" s="48"/>
      <c r="BQ621" s="49" t="s">
        <v>2675</v>
      </c>
      <c r="BR621" s="48" t="n">
        <v>46181</v>
      </c>
      <c r="BS621" s="49" t="s">
        <v>2772</v>
      </c>
      <c r="BT621" s="49" t="s">
        <v>312</v>
      </c>
      <c r="BU621" s="49" t="s">
        <v>313</v>
      </c>
      <c r="BV621" s="49" t="s">
        <v>303</v>
      </c>
      <c r="BX621" s="0" t="n">
        <v>1</v>
      </c>
      <c r="CC621" s="49" t="s">
        <v>315</v>
      </c>
      <c r="CD621" s="49" t="s">
        <v>303</v>
      </c>
      <c r="CF621" s="49" t="s">
        <v>303</v>
      </c>
      <c r="CG621" s="49" t="s">
        <v>316</v>
      </c>
      <c r="CH621" s="49" t="s">
        <v>317</v>
      </c>
      <c r="CI621" s="49" t="s">
        <v>318</v>
      </c>
      <c r="CM621" s="49" t="s">
        <v>296</v>
      </c>
      <c r="CV621" s="49" t="s">
        <v>303</v>
      </c>
      <c r="DB621" s="49" t="s">
        <v>319</v>
      </c>
      <c r="DD621" s="48" t="n">
        <v>46171</v>
      </c>
      <c r="DF621" s="49" t="s">
        <v>310</v>
      </c>
      <c r="DG621" s="49" t="s">
        <v>320</v>
      </c>
      <c r="DH621" s="49" t="s">
        <v>66</v>
      </c>
      <c r="DI621" s="49" t="s">
        <v>298</v>
      </c>
      <c r="DJ621" s="49" t="s">
        <v>321</v>
      </c>
      <c r="DK621" s="49" t="s">
        <v>322</v>
      </c>
      <c r="DL621" s="49" t="s">
        <v>323</v>
      </c>
      <c r="DM621" s="49" t="s">
        <v>303</v>
      </c>
      <c r="DN621" s="49" t="s">
        <v>297</v>
      </c>
      <c r="DO621" s="48"/>
      <c r="DP621" s="49" t="s">
        <v>312</v>
      </c>
      <c r="DQ621" s="48"/>
      <c r="DR621" s="49" t="s">
        <v>312</v>
      </c>
      <c r="DS621" s="49" t="s">
        <v>303</v>
      </c>
      <c r="DT621" s="49" t="s">
        <v>303</v>
      </c>
      <c r="DW621" s="49" t="s">
        <v>303</v>
      </c>
      <c r="EA621" s="49" t="s">
        <v>324</v>
      </c>
      <c r="EB621" s="49" t="s">
        <v>303</v>
      </c>
      <c r="EF621" s="49" t="s">
        <v>2773</v>
      </c>
      <c r="EH621" s="49" t="s">
        <v>310</v>
      </c>
      <c r="EJ621" s="49" t="s">
        <v>303</v>
      </c>
      <c r="EK621" s="49" t="s">
        <v>2777</v>
      </c>
      <c r="EM621" s="49" t="s">
        <v>303</v>
      </c>
      <c r="EN621" s="49" t="s">
        <v>327</v>
      </c>
      <c r="EP621" s="49" t="s">
        <v>298</v>
      </c>
      <c r="EQ621" s="0" t="n">
        <v>1</v>
      </c>
      <c r="ER621" s="49" t="s">
        <v>328</v>
      </c>
      <c r="ES621" s="49" t="s">
        <v>329</v>
      </c>
      <c r="ET621" s="49" t="s">
        <v>310</v>
      </c>
      <c r="EU621" s="49" t="s">
        <v>310</v>
      </c>
      <c r="EV621" s="49" t="s">
        <v>310</v>
      </c>
      <c r="EX621" s="49" t="s">
        <v>303</v>
      </c>
      <c r="EY621" s="49" t="s">
        <v>303</v>
      </c>
      <c r="FC621" s="49" t="s">
        <v>330</v>
      </c>
      <c r="FD621" s="49" t="s">
        <v>310</v>
      </c>
      <c r="FE621" s="49" t="s">
        <v>310</v>
      </c>
      <c r="FF621" s="49" t="s">
        <v>66</v>
      </c>
      <c r="FG621" s="49" t="s">
        <v>331</v>
      </c>
      <c r="FH621" s="49" t="s">
        <v>310</v>
      </c>
      <c r="FI621" s="49" t="s">
        <v>332</v>
      </c>
      <c r="FJ621" s="49" t="s">
        <v>303</v>
      </c>
      <c r="FL621" s="49" t="s">
        <v>325</v>
      </c>
      <c r="FM621" s="49" t="s">
        <v>2675</v>
      </c>
      <c r="FP621" s="49" t="s">
        <v>303</v>
      </c>
      <c r="FR621" s="49" t="s">
        <v>303</v>
      </c>
      <c r="FT621" s="49" t="s">
        <v>325</v>
      </c>
      <c r="FU621" s="49" t="s">
        <v>325</v>
      </c>
      <c r="FW621" s="49" t="s">
        <v>333</v>
      </c>
    </row>
    <row r="622" customFormat="false" ht="15" hidden="false" customHeight="false" outlineLevel="0" collapsed="false">
      <c r="A622" s="0" t="n">
        <v>100865030</v>
      </c>
      <c r="B622" s="0" t="s">
        <v>295</v>
      </c>
      <c r="C622" s="0" t="s">
        <v>70</v>
      </c>
      <c r="D622" s="0" t="s">
        <v>468</v>
      </c>
      <c r="E622" s="0" t="s">
        <v>297</v>
      </c>
      <c r="G622" s="0" t="n">
        <v>1</v>
      </c>
      <c r="H622" s="0" t="s">
        <v>298</v>
      </c>
      <c r="I622" s="48" t="n">
        <v>46176</v>
      </c>
      <c r="J622" s="0" t="n">
        <v>1</v>
      </c>
      <c r="K622" s="49" t="s">
        <v>2675</v>
      </c>
      <c r="L622" s="49" t="s">
        <v>300</v>
      </c>
      <c r="M622" s="48" t="n">
        <v>46176</v>
      </c>
      <c r="N622" s="49" t="s">
        <v>300</v>
      </c>
      <c r="O622" s="49" t="s">
        <v>1052</v>
      </c>
      <c r="P622" s="48"/>
      <c r="Q622" s="48" t="n">
        <v>46176</v>
      </c>
      <c r="R622" s="48" t="n">
        <v>46183</v>
      </c>
      <c r="T622" s="49" t="s">
        <v>302</v>
      </c>
      <c r="U622" s="49" t="s">
        <v>303</v>
      </c>
      <c r="Y622" s="49" t="s">
        <v>2778</v>
      </c>
      <c r="AD622" s="49" t="s">
        <v>305</v>
      </c>
      <c r="AE622" s="48" t="n">
        <v>46171</v>
      </c>
      <c r="AF622" s="49" t="s">
        <v>306</v>
      </c>
      <c r="AG622" s="49" t="s">
        <v>307</v>
      </c>
      <c r="AK622" s="49" t="s">
        <v>1047</v>
      </c>
      <c r="AL622" s="49" t="s">
        <v>297</v>
      </c>
      <c r="AO622" s="49" t="s">
        <v>303</v>
      </c>
      <c r="AP622" s="48"/>
      <c r="AR622" s="49" t="s">
        <v>303</v>
      </c>
      <c r="AS622" s="49" t="s">
        <v>306</v>
      </c>
      <c r="AT622" s="49" t="s">
        <v>2779</v>
      </c>
      <c r="AV622" s="49" t="s">
        <v>309</v>
      </c>
      <c r="AW622" s="49" t="s">
        <v>310</v>
      </c>
      <c r="AX622" s="49" t="s">
        <v>311</v>
      </c>
      <c r="AY622" s="48"/>
      <c r="AZ622" s="48" t="n">
        <v>46174</v>
      </c>
      <c r="BC622" s="49" t="s">
        <v>303</v>
      </c>
      <c r="BD622" s="48" t="n">
        <v>46231</v>
      </c>
      <c r="BE622" s="49" t="s">
        <v>2780</v>
      </c>
      <c r="BF622" s="49" t="s">
        <v>303</v>
      </c>
      <c r="BG622" s="48"/>
      <c r="BI622" s="48" t="n">
        <v>46231</v>
      </c>
      <c r="BJ622" s="48" t="n">
        <v>46181</v>
      </c>
      <c r="BK622" s="49" t="s">
        <v>312</v>
      </c>
      <c r="BL622" s="49" t="s">
        <v>313</v>
      </c>
      <c r="BM622" s="49" t="s">
        <v>310</v>
      </c>
      <c r="BN622" s="48"/>
      <c r="BO622" s="48"/>
      <c r="BP622" s="48"/>
      <c r="BQ622" s="49" t="s">
        <v>2675</v>
      </c>
      <c r="BR622" s="48" t="n">
        <v>46181</v>
      </c>
      <c r="BS622" s="49" t="s">
        <v>2772</v>
      </c>
      <c r="BT622" s="49" t="s">
        <v>312</v>
      </c>
      <c r="BU622" s="49" t="s">
        <v>313</v>
      </c>
      <c r="BV622" s="49" t="s">
        <v>303</v>
      </c>
      <c r="BX622" s="0" t="n">
        <v>1</v>
      </c>
      <c r="CC622" s="49" t="s">
        <v>315</v>
      </c>
      <c r="CD622" s="49" t="s">
        <v>303</v>
      </c>
      <c r="CF622" s="49" t="s">
        <v>303</v>
      </c>
      <c r="CG622" s="49" t="s">
        <v>316</v>
      </c>
      <c r="CH622" s="49" t="s">
        <v>317</v>
      </c>
      <c r="CI622" s="49" t="s">
        <v>318</v>
      </c>
      <c r="CM622" s="49" t="s">
        <v>468</v>
      </c>
      <c r="CV622" s="49" t="s">
        <v>303</v>
      </c>
      <c r="DB622" s="49" t="s">
        <v>319</v>
      </c>
      <c r="DD622" s="48" t="n">
        <v>46171</v>
      </c>
      <c r="DF622" s="49" t="s">
        <v>310</v>
      </c>
      <c r="DG622" s="49" t="s">
        <v>320</v>
      </c>
      <c r="DH622" s="49" t="s">
        <v>70</v>
      </c>
      <c r="DI622" s="49" t="s">
        <v>298</v>
      </c>
      <c r="DJ622" s="49" t="s">
        <v>321</v>
      </c>
      <c r="DK622" s="49" t="s">
        <v>322</v>
      </c>
      <c r="DL622" s="49" t="s">
        <v>323</v>
      </c>
      <c r="DM622" s="49" t="s">
        <v>303</v>
      </c>
      <c r="DN622" s="49" t="s">
        <v>297</v>
      </c>
      <c r="DO622" s="48"/>
      <c r="DP622" s="49" t="s">
        <v>312</v>
      </c>
      <c r="DQ622" s="48"/>
      <c r="DR622" s="49" t="s">
        <v>312</v>
      </c>
      <c r="DS622" s="49" t="s">
        <v>303</v>
      </c>
      <c r="DT622" s="49" t="s">
        <v>303</v>
      </c>
      <c r="DW622" s="49" t="s">
        <v>303</v>
      </c>
      <c r="EA622" s="49" t="s">
        <v>324</v>
      </c>
      <c r="EB622" s="49" t="s">
        <v>303</v>
      </c>
      <c r="EH622" s="49" t="s">
        <v>310</v>
      </c>
      <c r="EJ622" s="49" t="s">
        <v>303</v>
      </c>
      <c r="EK622" s="49" t="s">
        <v>2781</v>
      </c>
      <c r="EM622" s="49" t="s">
        <v>303</v>
      </c>
      <c r="EN622" s="49" t="s">
        <v>472</v>
      </c>
      <c r="EP622" s="49" t="s">
        <v>298</v>
      </c>
      <c r="EQ622" s="0" t="n">
        <v>1</v>
      </c>
      <c r="ER622" s="49" t="s">
        <v>328</v>
      </c>
      <c r="ES622" s="49" t="s">
        <v>329</v>
      </c>
      <c r="ET622" s="49" t="s">
        <v>310</v>
      </c>
      <c r="EU622" s="49" t="s">
        <v>310</v>
      </c>
      <c r="EV622" s="49" t="s">
        <v>310</v>
      </c>
      <c r="EX622" s="49" t="s">
        <v>303</v>
      </c>
      <c r="EY622" s="49" t="s">
        <v>303</v>
      </c>
      <c r="FC622" s="49" t="s">
        <v>330</v>
      </c>
      <c r="FD622" s="49" t="s">
        <v>310</v>
      </c>
      <c r="FE622" s="49" t="s">
        <v>310</v>
      </c>
      <c r="FF622" s="49" t="s">
        <v>70</v>
      </c>
      <c r="FG622" s="49" t="s">
        <v>473</v>
      </c>
      <c r="FH622" s="49" t="s">
        <v>310</v>
      </c>
      <c r="FI622" s="49" t="s">
        <v>332</v>
      </c>
      <c r="FJ622" s="49" t="s">
        <v>303</v>
      </c>
      <c r="FL622" s="49" t="s">
        <v>325</v>
      </c>
      <c r="FM622" s="49" t="s">
        <v>2675</v>
      </c>
      <c r="FP622" s="49" t="s">
        <v>303</v>
      </c>
      <c r="FR622" s="49" t="s">
        <v>303</v>
      </c>
      <c r="FT622" s="49" t="s">
        <v>325</v>
      </c>
      <c r="FU622" s="49" t="s">
        <v>325</v>
      </c>
      <c r="FW622" s="49" t="s">
        <v>333</v>
      </c>
    </row>
    <row r="623" customFormat="false" ht="15" hidden="false" customHeight="false" outlineLevel="0" collapsed="false">
      <c r="A623" s="0" t="n">
        <v>100865031</v>
      </c>
      <c r="B623" s="0" t="s">
        <v>295</v>
      </c>
      <c r="C623" s="0" t="s">
        <v>70</v>
      </c>
      <c r="D623" s="0" t="s">
        <v>468</v>
      </c>
      <c r="E623" s="0" t="s">
        <v>297</v>
      </c>
      <c r="G623" s="0" t="n">
        <v>1</v>
      </c>
      <c r="H623" s="0" t="s">
        <v>298</v>
      </c>
      <c r="I623" s="48" t="n">
        <v>46176</v>
      </c>
      <c r="J623" s="0" t="n">
        <v>1</v>
      </c>
      <c r="K623" s="49" t="s">
        <v>2675</v>
      </c>
      <c r="L623" s="49" t="s">
        <v>300</v>
      </c>
      <c r="M623" s="48"/>
      <c r="O623" s="49" t="s">
        <v>1052</v>
      </c>
      <c r="P623" s="48"/>
      <c r="Q623" s="48" t="n">
        <v>46176</v>
      </c>
      <c r="R623" s="48" t="n">
        <v>46182</v>
      </c>
      <c r="T623" s="49" t="s">
        <v>302</v>
      </c>
      <c r="U623" s="49" t="s">
        <v>303</v>
      </c>
      <c r="Y623" s="49" t="s">
        <v>312</v>
      </c>
      <c r="AD623" s="49" t="s">
        <v>305</v>
      </c>
      <c r="AE623" s="48" t="n">
        <v>46171</v>
      </c>
      <c r="AF623" s="49" t="s">
        <v>306</v>
      </c>
      <c r="AG623" s="49" t="s">
        <v>307</v>
      </c>
      <c r="AK623" s="49" t="s">
        <v>1047</v>
      </c>
      <c r="AL623" s="49" t="s">
        <v>297</v>
      </c>
      <c r="AO623" s="49" t="s">
        <v>303</v>
      </c>
      <c r="AP623" s="48"/>
      <c r="AR623" s="49" t="s">
        <v>303</v>
      </c>
      <c r="AS623" s="49" t="s">
        <v>306</v>
      </c>
      <c r="AT623" s="49" t="s">
        <v>2782</v>
      </c>
      <c r="AV623" s="49" t="s">
        <v>309</v>
      </c>
      <c r="AW623" s="49" t="s">
        <v>310</v>
      </c>
      <c r="AX623" s="49" t="s">
        <v>311</v>
      </c>
      <c r="AY623" s="48"/>
      <c r="AZ623" s="48" t="n">
        <v>46174</v>
      </c>
      <c r="BC623" s="49" t="s">
        <v>303</v>
      </c>
      <c r="BD623" s="48" t="n">
        <v>46235</v>
      </c>
      <c r="BE623" s="49" t="s">
        <v>2783</v>
      </c>
      <c r="BF623" s="49" t="s">
        <v>303</v>
      </c>
      <c r="BG623" s="48"/>
      <c r="BI623" s="48" t="n">
        <v>46235</v>
      </c>
      <c r="BJ623" s="48" t="n">
        <v>46181</v>
      </c>
      <c r="BK623" s="49" t="s">
        <v>313</v>
      </c>
      <c r="BL623" s="49" t="s">
        <v>313</v>
      </c>
      <c r="BM623" s="49" t="s">
        <v>310</v>
      </c>
      <c r="BN623" s="48"/>
      <c r="BO623" s="48"/>
      <c r="BP623" s="48"/>
      <c r="BQ623" s="49" t="s">
        <v>2675</v>
      </c>
      <c r="BR623" s="48" t="n">
        <v>46181</v>
      </c>
      <c r="BS623" s="49" t="s">
        <v>2784</v>
      </c>
      <c r="BT623" s="49" t="s">
        <v>312</v>
      </c>
      <c r="BU623" s="49" t="s">
        <v>313</v>
      </c>
      <c r="BV623" s="49" t="s">
        <v>303</v>
      </c>
      <c r="BX623" s="0" t="n">
        <v>1</v>
      </c>
      <c r="CC623" s="49" t="s">
        <v>315</v>
      </c>
      <c r="CD623" s="49" t="s">
        <v>303</v>
      </c>
      <c r="CF623" s="49" t="s">
        <v>303</v>
      </c>
      <c r="CG623" s="49" t="s">
        <v>316</v>
      </c>
      <c r="CH623" s="49" t="s">
        <v>317</v>
      </c>
      <c r="CI623" s="49" t="s">
        <v>318</v>
      </c>
      <c r="CM623" s="49" t="s">
        <v>468</v>
      </c>
      <c r="CV623" s="49" t="s">
        <v>303</v>
      </c>
      <c r="DB623" s="49" t="s">
        <v>319</v>
      </c>
      <c r="DD623" s="48" t="n">
        <v>46171</v>
      </c>
      <c r="DF623" s="49" t="s">
        <v>310</v>
      </c>
      <c r="DG623" s="49" t="s">
        <v>320</v>
      </c>
      <c r="DH623" s="49" t="s">
        <v>70</v>
      </c>
      <c r="DI623" s="49" t="s">
        <v>298</v>
      </c>
      <c r="DJ623" s="49" t="s">
        <v>321</v>
      </c>
      <c r="DK623" s="49" t="s">
        <v>322</v>
      </c>
      <c r="DL623" s="49" t="s">
        <v>323</v>
      </c>
      <c r="DM623" s="49" t="s">
        <v>303</v>
      </c>
      <c r="DN623" s="49" t="s">
        <v>297</v>
      </c>
      <c r="DO623" s="48"/>
      <c r="DP623" s="49" t="s">
        <v>312</v>
      </c>
      <c r="DQ623" s="48"/>
      <c r="DR623" s="49" t="s">
        <v>312</v>
      </c>
      <c r="DS623" s="49" t="s">
        <v>303</v>
      </c>
      <c r="DT623" s="49" t="s">
        <v>303</v>
      </c>
      <c r="DW623" s="49" t="s">
        <v>303</v>
      </c>
      <c r="EA623" s="49" t="s">
        <v>324</v>
      </c>
      <c r="EB623" s="49" t="s">
        <v>303</v>
      </c>
      <c r="EF623" s="49" t="s">
        <v>2785</v>
      </c>
      <c r="EH623" s="49" t="s">
        <v>310</v>
      </c>
      <c r="EJ623" s="49" t="s">
        <v>303</v>
      </c>
      <c r="EK623" s="49" t="s">
        <v>2786</v>
      </c>
      <c r="EM623" s="49" t="s">
        <v>303</v>
      </c>
      <c r="EN623" s="49" t="s">
        <v>472</v>
      </c>
      <c r="EP623" s="49" t="s">
        <v>298</v>
      </c>
      <c r="EQ623" s="0" t="n">
        <v>1</v>
      </c>
      <c r="ER623" s="49" t="s">
        <v>328</v>
      </c>
      <c r="ES623" s="49" t="s">
        <v>329</v>
      </c>
      <c r="ET623" s="49" t="s">
        <v>310</v>
      </c>
      <c r="EU623" s="49" t="s">
        <v>310</v>
      </c>
      <c r="EV623" s="49" t="s">
        <v>310</v>
      </c>
      <c r="EX623" s="49" t="s">
        <v>303</v>
      </c>
      <c r="EY623" s="49" t="s">
        <v>303</v>
      </c>
      <c r="FC623" s="49" t="s">
        <v>330</v>
      </c>
      <c r="FD623" s="49" t="s">
        <v>310</v>
      </c>
      <c r="FE623" s="49" t="s">
        <v>310</v>
      </c>
      <c r="FF623" s="49" t="s">
        <v>70</v>
      </c>
      <c r="FG623" s="49" t="s">
        <v>473</v>
      </c>
      <c r="FH623" s="49" t="s">
        <v>310</v>
      </c>
      <c r="FI623" s="49" t="s">
        <v>332</v>
      </c>
      <c r="FJ623" s="49" t="s">
        <v>303</v>
      </c>
      <c r="FL623" s="49" t="s">
        <v>325</v>
      </c>
      <c r="FM623" s="49" t="s">
        <v>2675</v>
      </c>
      <c r="FP623" s="49" t="s">
        <v>303</v>
      </c>
      <c r="FR623" s="49" t="s">
        <v>303</v>
      </c>
      <c r="FT623" s="49" t="s">
        <v>325</v>
      </c>
      <c r="FU623" s="49" t="s">
        <v>325</v>
      </c>
      <c r="FW623" s="49" t="s">
        <v>333</v>
      </c>
    </row>
    <row r="624" customFormat="false" ht="15" hidden="false" customHeight="false" outlineLevel="0" collapsed="false">
      <c r="A624" s="0" t="n">
        <v>100865032</v>
      </c>
      <c r="B624" s="0" t="s">
        <v>295</v>
      </c>
      <c r="C624" s="0" t="s">
        <v>70</v>
      </c>
      <c r="D624" s="0" t="s">
        <v>468</v>
      </c>
      <c r="E624" s="0" t="s">
        <v>297</v>
      </c>
      <c r="G624" s="0" t="n">
        <v>1</v>
      </c>
      <c r="H624" s="0" t="s">
        <v>298</v>
      </c>
      <c r="I624" s="48" t="n">
        <v>46176</v>
      </c>
      <c r="J624" s="0" t="n">
        <v>1</v>
      </c>
      <c r="K624" s="49" t="s">
        <v>2675</v>
      </c>
      <c r="L624" s="49" t="s">
        <v>300</v>
      </c>
      <c r="M624" s="48"/>
      <c r="O624" s="49" t="s">
        <v>1052</v>
      </c>
      <c r="P624" s="48"/>
      <c r="Q624" s="48" t="n">
        <v>46176</v>
      </c>
      <c r="R624" s="48" t="n">
        <v>46182</v>
      </c>
      <c r="T624" s="49" t="s">
        <v>302</v>
      </c>
      <c r="U624" s="49" t="s">
        <v>303</v>
      </c>
      <c r="Y624" s="49" t="s">
        <v>312</v>
      </c>
      <c r="AD624" s="49" t="s">
        <v>305</v>
      </c>
      <c r="AE624" s="48" t="n">
        <v>46171</v>
      </c>
      <c r="AF624" s="49" t="s">
        <v>306</v>
      </c>
      <c r="AG624" s="49" t="s">
        <v>307</v>
      </c>
      <c r="AK624" s="49" t="s">
        <v>1047</v>
      </c>
      <c r="AL624" s="49" t="s">
        <v>297</v>
      </c>
      <c r="AO624" s="49" t="s">
        <v>303</v>
      </c>
      <c r="AP624" s="48"/>
      <c r="AR624" s="49" t="s">
        <v>303</v>
      </c>
      <c r="AS624" s="49" t="s">
        <v>306</v>
      </c>
      <c r="AT624" s="49" t="s">
        <v>2787</v>
      </c>
      <c r="AV624" s="49" t="s">
        <v>309</v>
      </c>
      <c r="AW624" s="49" t="s">
        <v>310</v>
      </c>
      <c r="AX624" s="49" t="s">
        <v>311</v>
      </c>
      <c r="AY624" s="48"/>
      <c r="AZ624" s="48" t="n">
        <v>46174</v>
      </c>
      <c r="BC624" s="49" t="s">
        <v>303</v>
      </c>
      <c r="BD624" s="48" t="n">
        <v>46238</v>
      </c>
      <c r="BE624" s="49" t="s">
        <v>2788</v>
      </c>
      <c r="BF624" s="49" t="s">
        <v>303</v>
      </c>
      <c r="BG624" s="48"/>
      <c r="BI624" s="48" t="n">
        <v>46239</v>
      </c>
      <c r="BJ624" s="48" t="n">
        <v>46181</v>
      </c>
      <c r="BK624" s="49" t="s">
        <v>313</v>
      </c>
      <c r="BL624" s="49" t="s">
        <v>313</v>
      </c>
      <c r="BM624" s="49" t="s">
        <v>310</v>
      </c>
      <c r="BN624" s="48"/>
      <c r="BO624" s="48"/>
      <c r="BP624" s="48"/>
      <c r="BQ624" s="49" t="s">
        <v>2675</v>
      </c>
      <c r="BR624" s="48" t="n">
        <v>46181</v>
      </c>
      <c r="BS624" s="49" t="s">
        <v>2784</v>
      </c>
      <c r="BT624" s="49" t="s">
        <v>312</v>
      </c>
      <c r="BU624" s="49" t="s">
        <v>313</v>
      </c>
      <c r="BV624" s="49" t="s">
        <v>303</v>
      </c>
      <c r="BX624" s="0" t="n">
        <v>1</v>
      </c>
      <c r="CC624" s="49" t="s">
        <v>315</v>
      </c>
      <c r="CD624" s="49" t="s">
        <v>303</v>
      </c>
      <c r="CF624" s="49" t="s">
        <v>303</v>
      </c>
      <c r="CG624" s="49" t="s">
        <v>316</v>
      </c>
      <c r="CH624" s="49" t="s">
        <v>317</v>
      </c>
      <c r="CI624" s="49" t="s">
        <v>318</v>
      </c>
      <c r="CM624" s="49" t="s">
        <v>468</v>
      </c>
      <c r="CV624" s="49" t="s">
        <v>303</v>
      </c>
      <c r="DB624" s="49" t="s">
        <v>319</v>
      </c>
      <c r="DD624" s="48" t="n">
        <v>46171</v>
      </c>
      <c r="DF624" s="49" t="s">
        <v>310</v>
      </c>
      <c r="DG624" s="49" t="s">
        <v>320</v>
      </c>
      <c r="DH624" s="49" t="s">
        <v>70</v>
      </c>
      <c r="DI624" s="49" t="s">
        <v>298</v>
      </c>
      <c r="DJ624" s="49" t="s">
        <v>321</v>
      </c>
      <c r="DK624" s="49" t="s">
        <v>322</v>
      </c>
      <c r="DL624" s="49" t="s">
        <v>323</v>
      </c>
      <c r="DM624" s="49" t="s">
        <v>303</v>
      </c>
      <c r="DN624" s="49" t="s">
        <v>297</v>
      </c>
      <c r="DO624" s="48"/>
      <c r="DP624" s="49" t="s">
        <v>312</v>
      </c>
      <c r="DQ624" s="48"/>
      <c r="DR624" s="49" t="s">
        <v>312</v>
      </c>
      <c r="DS624" s="49" t="s">
        <v>303</v>
      </c>
      <c r="DT624" s="49" t="s">
        <v>303</v>
      </c>
      <c r="DW624" s="49" t="s">
        <v>303</v>
      </c>
      <c r="EA624" s="49" t="s">
        <v>324</v>
      </c>
      <c r="EB624" s="49" t="s">
        <v>303</v>
      </c>
      <c r="EF624" s="49" t="s">
        <v>2785</v>
      </c>
      <c r="EH624" s="49" t="s">
        <v>310</v>
      </c>
      <c r="EJ624" s="49" t="s">
        <v>303</v>
      </c>
      <c r="EK624" s="49" t="s">
        <v>2789</v>
      </c>
      <c r="EM624" s="49" t="s">
        <v>303</v>
      </c>
      <c r="EN624" s="49" t="s">
        <v>472</v>
      </c>
      <c r="EP624" s="49" t="s">
        <v>298</v>
      </c>
      <c r="EQ624" s="0" t="n">
        <v>1</v>
      </c>
      <c r="ER624" s="49" t="s">
        <v>328</v>
      </c>
      <c r="ES624" s="49" t="s">
        <v>329</v>
      </c>
      <c r="ET624" s="49" t="s">
        <v>310</v>
      </c>
      <c r="EU624" s="49" t="s">
        <v>310</v>
      </c>
      <c r="EV624" s="49" t="s">
        <v>310</v>
      </c>
      <c r="EX624" s="49" t="s">
        <v>303</v>
      </c>
      <c r="EY624" s="49" t="s">
        <v>303</v>
      </c>
      <c r="FC624" s="49" t="s">
        <v>330</v>
      </c>
      <c r="FD624" s="49" t="s">
        <v>310</v>
      </c>
      <c r="FE624" s="49" t="s">
        <v>310</v>
      </c>
      <c r="FF624" s="49" t="s">
        <v>70</v>
      </c>
      <c r="FG624" s="49" t="s">
        <v>473</v>
      </c>
      <c r="FH624" s="49" t="s">
        <v>310</v>
      </c>
      <c r="FI624" s="49" t="s">
        <v>332</v>
      </c>
      <c r="FJ624" s="49" t="s">
        <v>303</v>
      </c>
      <c r="FL624" s="49" t="s">
        <v>325</v>
      </c>
      <c r="FM624" s="49" t="s">
        <v>2675</v>
      </c>
      <c r="FP624" s="49" t="s">
        <v>303</v>
      </c>
      <c r="FR624" s="49" t="s">
        <v>303</v>
      </c>
      <c r="FT624" s="49" t="s">
        <v>325</v>
      </c>
      <c r="FU624" s="49" t="s">
        <v>325</v>
      </c>
      <c r="FW624" s="49" t="s">
        <v>333</v>
      </c>
    </row>
    <row r="625" customFormat="false" ht="15" hidden="false" customHeight="false" outlineLevel="0" collapsed="false">
      <c r="A625" s="0" t="n">
        <v>100865033</v>
      </c>
      <c r="B625" s="0" t="s">
        <v>295</v>
      </c>
      <c r="C625" s="0" t="s">
        <v>72</v>
      </c>
      <c r="D625" s="0" t="s">
        <v>480</v>
      </c>
      <c r="E625" s="0" t="s">
        <v>297</v>
      </c>
      <c r="G625" s="0" t="n">
        <v>1</v>
      </c>
      <c r="H625" s="0" t="s">
        <v>298</v>
      </c>
      <c r="I625" s="48" t="n">
        <v>46176</v>
      </c>
      <c r="J625" s="0" t="n">
        <v>1</v>
      </c>
      <c r="K625" s="49" t="s">
        <v>2675</v>
      </c>
      <c r="L625" s="49" t="s">
        <v>300</v>
      </c>
      <c r="M625" s="48" t="n">
        <v>46176</v>
      </c>
      <c r="N625" s="49" t="s">
        <v>300</v>
      </c>
      <c r="O625" s="49" t="s">
        <v>1052</v>
      </c>
      <c r="P625" s="48"/>
      <c r="Q625" s="48" t="n">
        <v>46176</v>
      </c>
      <c r="R625" s="48" t="n">
        <v>46183</v>
      </c>
      <c r="T625" s="49" t="s">
        <v>302</v>
      </c>
      <c r="U625" s="49" t="s">
        <v>303</v>
      </c>
      <c r="Y625" s="49" t="s">
        <v>2790</v>
      </c>
      <c r="AD625" s="49" t="s">
        <v>305</v>
      </c>
      <c r="AE625" s="48" t="n">
        <v>46171</v>
      </c>
      <c r="AF625" s="49" t="s">
        <v>306</v>
      </c>
      <c r="AG625" s="49" t="s">
        <v>307</v>
      </c>
      <c r="AK625" s="49" t="s">
        <v>1047</v>
      </c>
      <c r="AL625" s="49" t="s">
        <v>297</v>
      </c>
      <c r="AO625" s="49" t="s">
        <v>303</v>
      </c>
      <c r="AP625" s="48"/>
      <c r="AR625" s="49" t="s">
        <v>303</v>
      </c>
      <c r="AS625" s="49" t="s">
        <v>306</v>
      </c>
      <c r="AT625" s="49" t="s">
        <v>2791</v>
      </c>
      <c r="AV625" s="49" t="s">
        <v>309</v>
      </c>
      <c r="AW625" s="49" t="s">
        <v>310</v>
      </c>
      <c r="AX625" s="49" t="s">
        <v>311</v>
      </c>
      <c r="AY625" s="48"/>
      <c r="AZ625" s="48" t="n">
        <v>46174</v>
      </c>
      <c r="BC625" s="49" t="s">
        <v>303</v>
      </c>
      <c r="BD625" s="48" t="n">
        <v>46239</v>
      </c>
      <c r="BE625" s="49" t="s">
        <v>2792</v>
      </c>
      <c r="BF625" s="49" t="s">
        <v>303</v>
      </c>
      <c r="BG625" s="48"/>
      <c r="BI625" s="48" t="n">
        <v>46239</v>
      </c>
      <c r="BJ625" s="48" t="n">
        <v>46181</v>
      </c>
      <c r="BK625" s="49" t="s">
        <v>312</v>
      </c>
      <c r="BL625" s="49" t="s">
        <v>313</v>
      </c>
      <c r="BM625" s="49" t="s">
        <v>310</v>
      </c>
      <c r="BN625" s="48"/>
      <c r="BO625" s="48"/>
      <c r="BP625" s="48"/>
      <c r="BQ625" s="49" t="s">
        <v>2675</v>
      </c>
      <c r="BR625" s="48" t="n">
        <v>46181</v>
      </c>
      <c r="BS625" s="49" t="s">
        <v>2793</v>
      </c>
      <c r="BT625" s="49" t="s">
        <v>312</v>
      </c>
      <c r="BU625" s="49" t="s">
        <v>313</v>
      </c>
      <c r="BV625" s="49" t="s">
        <v>303</v>
      </c>
      <c r="BX625" s="0" t="n">
        <v>1</v>
      </c>
      <c r="CC625" s="49" t="s">
        <v>315</v>
      </c>
      <c r="CD625" s="49" t="s">
        <v>303</v>
      </c>
      <c r="CF625" s="49" t="s">
        <v>303</v>
      </c>
      <c r="CG625" s="49" t="s">
        <v>316</v>
      </c>
      <c r="CH625" s="49" t="s">
        <v>317</v>
      </c>
      <c r="CI625" s="49" t="s">
        <v>318</v>
      </c>
      <c r="CM625" s="49" t="s">
        <v>480</v>
      </c>
      <c r="CV625" s="49" t="s">
        <v>303</v>
      </c>
      <c r="DB625" s="49" t="s">
        <v>319</v>
      </c>
      <c r="DD625" s="48" t="n">
        <v>46171</v>
      </c>
      <c r="DF625" s="49" t="s">
        <v>310</v>
      </c>
      <c r="DG625" s="49" t="s">
        <v>320</v>
      </c>
      <c r="DH625" s="49" t="s">
        <v>72</v>
      </c>
      <c r="DI625" s="49" t="s">
        <v>298</v>
      </c>
      <c r="DJ625" s="49" t="s">
        <v>321</v>
      </c>
      <c r="DK625" s="49" t="s">
        <v>322</v>
      </c>
      <c r="DL625" s="49" t="s">
        <v>323</v>
      </c>
      <c r="DM625" s="49" t="s">
        <v>303</v>
      </c>
      <c r="DN625" s="49" t="s">
        <v>297</v>
      </c>
      <c r="DO625" s="48"/>
      <c r="DP625" s="49" t="s">
        <v>312</v>
      </c>
      <c r="DQ625" s="48"/>
      <c r="DR625" s="49" t="s">
        <v>312</v>
      </c>
      <c r="DS625" s="49" t="s">
        <v>303</v>
      </c>
      <c r="DT625" s="49" t="s">
        <v>303</v>
      </c>
      <c r="DW625" s="49" t="s">
        <v>303</v>
      </c>
      <c r="EA625" s="49" t="s">
        <v>324</v>
      </c>
      <c r="EB625" s="49" t="s">
        <v>303</v>
      </c>
      <c r="EH625" s="49" t="s">
        <v>310</v>
      </c>
      <c r="EJ625" s="49" t="s">
        <v>303</v>
      </c>
      <c r="EK625" s="49" t="s">
        <v>2794</v>
      </c>
      <c r="EM625" s="49" t="s">
        <v>303</v>
      </c>
      <c r="EN625" s="49" t="s">
        <v>485</v>
      </c>
      <c r="EP625" s="49" t="s">
        <v>298</v>
      </c>
      <c r="EQ625" s="0" t="n">
        <v>1</v>
      </c>
      <c r="ER625" s="49" t="s">
        <v>328</v>
      </c>
      <c r="ES625" s="49" t="s">
        <v>329</v>
      </c>
      <c r="ET625" s="49" t="s">
        <v>310</v>
      </c>
      <c r="EU625" s="49" t="s">
        <v>310</v>
      </c>
      <c r="EV625" s="49" t="s">
        <v>310</v>
      </c>
      <c r="EX625" s="49" t="s">
        <v>303</v>
      </c>
      <c r="EY625" s="49" t="s">
        <v>303</v>
      </c>
      <c r="FC625" s="49" t="s">
        <v>330</v>
      </c>
      <c r="FD625" s="49" t="s">
        <v>310</v>
      </c>
      <c r="FE625" s="49" t="s">
        <v>310</v>
      </c>
      <c r="FF625" s="49" t="s">
        <v>72</v>
      </c>
      <c r="FG625" s="49" t="s">
        <v>486</v>
      </c>
      <c r="FH625" s="49" t="s">
        <v>310</v>
      </c>
      <c r="FI625" s="49" t="s">
        <v>332</v>
      </c>
      <c r="FJ625" s="49" t="s">
        <v>303</v>
      </c>
      <c r="FL625" s="49" t="s">
        <v>325</v>
      </c>
      <c r="FM625" s="49" t="s">
        <v>2675</v>
      </c>
      <c r="FP625" s="49" t="s">
        <v>303</v>
      </c>
      <c r="FR625" s="49" t="s">
        <v>303</v>
      </c>
      <c r="FT625" s="49" t="s">
        <v>325</v>
      </c>
      <c r="FU625" s="49" t="s">
        <v>325</v>
      </c>
      <c r="FW625" s="49" t="s">
        <v>333</v>
      </c>
    </row>
    <row r="626" customFormat="false" ht="15" hidden="false" customHeight="false" outlineLevel="0" collapsed="false">
      <c r="A626" s="0" t="n">
        <v>100865034</v>
      </c>
      <c r="B626" s="0" t="s">
        <v>295</v>
      </c>
      <c r="C626" s="0" t="s">
        <v>72</v>
      </c>
      <c r="D626" s="0" t="s">
        <v>480</v>
      </c>
      <c r="E626" s="0" t="s">
        <v>297</v>
      </c>
      <c r="G626" s="0" t="n">
        <v>1</v>
      </c>
      <c r="H626" s="0" t="s">
        <v>298</v>
      </c>
      <c r="I626" s="48" t="n">
        <v>46176</v>
      </c>
      <c r="J626" s="0" t="n">
        <v>1</v>
      </c>
      <c r="K626" s="49" t="s">
        <v>2675</v>
      </c>
      <c r="L626" s="49" t="s">
        <v>300</v>
      </c>
      <c r="M626" s="48"/>
      <c r="O626" s="49" t="s">
        <v>1052</v>
      </c>
      <c r="P626" s="48"/>
      <c r="Q626" s="48" t="n">
        <v>46176</v>
      </c>
      <c r="R626" s="48" t="n">
        <v>46182</v>
      </c>
      <c r="T626" s="49" t="s">
        <v>302</v>
      </c>
      <c r="U626" s="49" t="s">
        <v>303</v>
      </c>
      <c r="Y626" s="49" t="s">
        <v>312</v>
      </c>
      <c r="AD626" s="49" t="s">
        <v>305</v>
      </c>
      <c r="AE626" s="48" t="n">
        <v>46171</v>
      </c>
      <c r="AF626" s="49" t="s">
        <v>306</v>
      </c>
      <c r="AG626" s="49" t="s">
        <v>307</v>
      </c>
      <c r="AK626" s="49" t="s">
        <v>1047</v>
      </c>
      <c r="AL626" s="49" t="s">
        <v>297</v>
      </c>
      <c r="AO626" s="49" t="s">
        <v>303</v>
      </c>
      <c r="AP626" s="48"/>
      <c r="AR626" s="49" t="s">
        <v>303</v>
      </c>
      <c r="AS626" s="49" t="s">
        <v>306</v>
      </c>
      <c r="AT626" s="49" t="s">
        <v>2795</v>
      </c>
      <c r="AV626" s="49" t="s">
        <v>309</v>
      </c>
      <c r="AW626" s="49" t="s">
        <v>310</v>
      </c>
      <c r="AX626" s="49" t="s">
        <v>311</v>
      </c>
      <c r="AY626" s="48"/>
      <c r="AZ626" s="48" t="n">
        <v>46174</v>
      </c>
      <c r="BC626" s="49" t="s">
        <v>303</v>
      </c>
      <c r="BD626" s="48" t="n">
        <v>46234</v>
      </c>
      <c r="BE626" s="49" t="s">
        <v>2796</v>
      </c>
      <c r="BF626" s="49" t="s">
        <v>303</v>
      </c>
      <c r="BG626" s="48"/>
      <c r="BI626" s="48" t="n">
        <v>46235</v>
      </c>
      <c r="BJ626" s="48" t="n">
        <v>46181</v>
      </c>
      <c r="BK626" s="49" t="s">
        <v>313</v>
      </c>
      <c r="BL626" s="49" t="s">
        <v>313</v>
      </c>
      <c r="BM626" s="49" t="s">
        <v>310</v>
      </c>
      <c r="BN626" s="48"/>
      <c r="BO626" s="48"/>
      <c r="BP626" s="48"/>
      <c r="BQ626" s="49" t="s">
        <v>2675</v>
      </c>
      <c r="BR626" s="48" t="n">
        <v>46181</v>
      </c>
      <c r="BS626" s="49" t="s">
        <v>2793</v>
      </c>
      <c r="BT626" s="49" t="s">
        <v>312</v>
      </c>
      <c r="BU626" s="49" t="s">
        <v>313</v>
      </c>
      <c r="BV626" s="49" t="s">
        <v>303</v>
      </c>
      <c r="BX626" s="0" t="n">
        <v>1</v>
      </c>
      <c r="CC626" s="49" t="s">
        <v>315</v>
      </c>
      <c r="CD626" s="49" t="s">
        <v>303</v>
      </c>
      <c r="CF626" s="49" t="s">
        <v>303</v>
      </c>
      <c r="CG626" s="49" t="s">
        <v>316</v>
      </c>
      <c r="CH626" s="49" t="s">
        <v>317</v>
      </c>
      <c r="CI626" s="49" t="s">
        <v>318</v>
      </c>
      <c r="CM626" s="49" t="s">
        <v>480</v>
      </c>
      <c r="CV626" s="49" t="s">
        <v>303</v>
      </c>
      <c r="DB626" s="49" t="s">
        <v>319</v>
      </c>
      <c r="DD626" s="48" t="n">
        <v>46171</v>
      </c>
      <c r="DF626" s="49" t="s">
        <v>310</v>
      </c>
      <c r="DG626" s="49" t="s">
        <v>320</v>
      </c>
      <c r="DH626" s="49" t="s">
        <v>72</v>
      </c>
      <c r="DI626" s="49" t="s">
        <v>298</v>
      </c>
      <c r="DJ626" s="49" t="s">
        <v>321</v>
      </c>
      <c r="DK626" s="49" t="s">
        <v>322</v>
      </c>
      <c r="DL626" s="49" t="s">
        <v>323</v>
      </c>
      <c r="DM626" s="49" t="s">
        <v>303</v>
      </c>
      <c r="DN626" s="49" t="s">
        <v>297</v>
      </c>
      <c r="DO626" s="48"/>
      <c r="DP626" s="49" t="s">
        <v>312</v>
      </c>
      <c r="DQ626" s="48"/>
      <c r="DR626" s="49" t="s">
        <v>312</v>
      </c>
      <c r="DS626" s="49" t="s">
        <v>303</v>
      </c>
      <c r="DT626" s="49" t="s">
        <v>303</v>
      </c>
      <c r="DW626" s="49" t="s">
        <v>303</v>
      </c>
      <c r="EA626" s="49" t="s">
        <v>324</v>
      </c>
      <c r="EB626" s="49" t="s">
        <v>303</v>
      </c>
      <c r="EF626" s="49" t="s">
        <v>2797</v>
      </c>
      <c r="EH626" s="49" t="s">
        <v>310</v>
      </c>
      <c r="EJ626" s="49" t="s">
        <v>303</v>
      </c>
      <c r="EK626" s="49" t="s">
        <v>2798</v>
      </c>
      <c r="EM626" s="49" t="s">
        <v>303</v>
      </c>
      <c r="EN626" s="49" t="s">
        <v>485</v>
      </c>
      <c r="EP626" s="49" t="s">
        <v>298</v>
      </c>
      <c r="EQ626" s="0" t="n">
        <v>1</v>
      </c>
      <c r="ER626" s="49" t="s">
        <v>328</v>
      </c>
      <c r="ES626" s="49" t="s">
        <v>329</v>
      </c>
      <c r="ET626" s="49" t="s">
        <v>310</v>
      </c>
      <c r="EU626" s="49" t="s">
        <v>310</v>
      </c>
      <c r="EV626" s="49" t="s">
        <v>310</v>
      </c>
      <c r="EX626" s="49" t="s">
        <v>303</v>
      </c>
      <c r="EY626" s="49" t="s">
        <v>303</v>
      </c>
      <c r="FC626" s="49" t="s">
        <v>330</v>
      </c>
      <c r="FD626" s="49" t="s">
        <v>310</v>
      </c>
      <c r="FE626" s="49" t="s">
        <v>310</v>
      </c>
      <c r="FF626" s="49" t="s">
        <v>72</v>
      </c>
      <c r="FG626" s="49" t="s">
        <v>486</v>
      </c>
      <c r="FH626" s="49" t="s">
        <v>310</v>
      </c>
      <c r="FI626" s="49" t="s">
        <v>332</v>
      </c>
      <c r="FJ626" s="49" t="s">
        <v>303</v>
      </c>
      <c r="FL626" s="49" t="s">
        <v>325</v>
      </c>
      <c r="FM626" s="49" t="s">
        <v>2675</v>
      </c>
      <c r="FP626" s="49" t="s">
        <v>303</v>
      </c>
      <c r="FR626" s="49" t="s">
        <v>303</v>
      </c>
      <c r="FT626" s="49" t="s">
        <v>325</v>
      </c>
      <c r="FU626" s="49" t="s">
        <v>325</v>
      </c>
      <c r="FW626" s="49" t="s">
        <v>333</v>
      </c>
    </row>
    <row r="627" customFormat="false" ht="15" hidden="false" customHeight="false" outlineLevel="0" collapsed="false">
      <c r="A627" s="0" t="n">
        <v>100865035</v>
      </c>
      <c r="B627" s="0" t="s">
        <v>295</v>
      </c>
      <c r="C627" s="0" t="s">
        <v>72</v>
      </c>
      <c r="D627" s="0" t="s">
        <v>480</v>
      </c>
      <c r="E627" s="0" t="s">
        <v>297</v>
      </c>
      <c r="G627" s="0" t="n">
        <v>1</v>
      </c>
      <c r="H627" s="0" t="s">
        <v>298</v>
      </c>
      <c r="I627" s="48" t="n">
        <v>46176</v>
      </c>
      <c r="J627" s="0" t="n">
        <v>1</v>
      </c>
      <c r="K627" s="49" t="s">
        <v>2675</v>
      </c>
      <c r="L627" s="49" t="s">
        <v>300</v>
      </c>
      <c r="M627" s="48"/>
      <c r="O627" s="49" t="s">
        <v>1052</v>
      </c>
      <c r="P627" s="48"/>
      <c r="Q627" s="48" t="n">
        <v>46176</v>
      </c>
      <c r="R627" s="48" t="n">
        <v>46182</v>
      </c>
      <c r="T627" s="49" t="s">
        <v>302</v>
      </c>
      <c r="U627" s="49" t="s">
        <v>303</v>
      </c>
      <c r="Y627" s="49" t="s">
        <v>312</v>
      </c>
      <c r="AD627" s="49" t="s">
        <v>305</v>
      </c>
      <c r="AE627" s="48" t="n">
        <v>46171</v>
      </c>
      <c r="AF627" s="49" t="s">
        <v>306</v>
      </c>
      <c r="AG627" s="49" t="s">
        <v>307</v>
      </c>
      <c r="AK627" s="49" t="s">
        <v>1047</v>
      </c>
      <c r="AL627" s="49" t="s">
        <v>297</v>
      </c>
      <c r="AO627" s="49" t="s">
        <v>303</v>
      </c>
      <c r="AP627" s="48"/>
      <c r="AR627" s="49" t="s">
        <v>303</v>
      </c>
      <c r="AS627" s="49" t="s">
        <v>306</v>
      </c>
      <c r="AT627" s="49" t="s">
        <v>2799</v>
      </c>
      <c r="AV627" s="49" t="s">
        <v>309</v>
      </c>
      <c r="AW627" s="49" t="s">
        <v>310</v>
      </c>
      <c r="AX627" s="49" t="s">
        <v>311</v>
      </c>
      <c r="AY627" s="48"/>
      <c r="AZ627" s="48" t="n">
        <v>46174</v>
      </c>
      <c r="BC627" s="49" t="s">
        <v>303</v>
      </c>
      <c r="BD627" s="48" t="n">
        <v>46227</v>
      </c>
      <c r="BE627" s="49" t="s">
        <v>2800</v>
      </c>
      <c r="BF627" s="49" t="s">
        <v>303</v>
      </c>
      <c r="BG627" s="48"/>
      <c r="BI627" s="48" t="n">
        <v>46231</v>
      </c>
      <c r="BJ627" s="48" t="n">
        <v>46181</v>
      </c>
      <c r="BK627" s="49" t="s">
        <v>313</v>
      </c>
      <c r="BL627" s="49" t="s">
        <v>313</v>
      </c>
      <c r="BM627" s="49" t="s">
        <v>310</v>
      </c>
      <c r="BN627" s="48"/>
      <c r="BO627" s="48"/>
      <c r="BP627" s="48"/>
      <c r="BQ627" s="49" t="s">
        <v>2675</v>
      </c>
      <c r="BR627" s="48" t="n">
        <v>46181</v>
      </c>
      <c r="BS627" s="49" t="s">
        <v>2793</v>
      </c>
      <c r="BT627" s="49" t="s">
        <v>312</v>
      </c>
      <c r="BU627" s="49" t="s">
        <v>313</v>
      </c>
      <c r="BV627" s="49" t="s">
        <v>303</v>
      </c>
      <c r="BX627" s="0" t="n">
        <v>1</v>
      </c>
      <c r="CC627" s="49" t="s">
        <v>315</v>
      </c>
      <c r="CD627" s="49" t="s">
        <v>303</v>
      </c>
      <c r="CF627" s="49" t="s">
        <v>303</v>
      </c>
      <c r="CG627" s="49" t="s">
        <v>316</v>
      </c>
      <c r="CH627" s="49" t="s">
        <v>317</v>
      </c>
      <c r="CI627" s="49" t="s">
        <v>318</v>
      </c>
      <c r="CM627" s="49" t="s">
        <v>480</v>
      </c>
      <c r="CV627" s="49" t="s">
        <v>303</v>
      </c>
      <c r="DB627" s="49" t="s">
        <v>319</v>
      </c>
      <c r="DD627" s="48" t="n">
        <v>46171</v>
      </c>
      <c r="DF627" s="49" t="s">
        <v>310</v>
      </c>
      <c r="DG627" s="49" t="s">
        <v>320</v>
      </c>
      <c r="DH627" s="49" t="s">
        <v>72</v>
      </c>
      <c r="DI627" s="49" t="s">
        <v>298</v>
      </c>
      <c r="DJ627" s="49" t="s">
        <v>321</v>
      </c>
      <c r="DK627" s="49" t="s">
        <v>322</v>
      </c>
      <c r="DL627" s="49" t="s">
        <v>323</v>
      </c>
      <c r="DM627" s="49" t="s">
        <v>303</v>
      </c>
      <c r="DN627" s="49" t="s">
        <v>297</v>
      </c>
      <c r="DO627" s="48"/>
      <c r="DP627" s="49" t="s">
        <v>312</v>
      </c>
      <c r="DQ627" s="48"/>
      <c r="DR627" s="49" t="s">
        <v>312</v>
      </c>
      <c r="DS627" s="49" t="s">
        <v>303</v>
      </c>
      <c r="DT627" s="49" t="s">
        <v>303</v>
      </c>
      <c r="DW627" s="49" t="s">
        <v>303</v>
      </c>
      <c r="EA627" s="49" t="s">
        <v>324</v>
      </c>
      <c r="EB627" s="49" t="s">
        <v>303</v>
      </c>
      <c r="EF627" s="49" t="s">
        <v>2797</v>
      </c>
      <c r="EH627" s="49" t="s">
        <v>310</v>
      </c>
      <c r="EJ627" s="49" t="s">
        <v>303</v>
      </c>
      <c r="EK627" s="49" t="s">
        <v>2801</v>
      </c>
      <c r="EM627" s="49" t="s">
        <v>303</v>
      </c>
      <c r="EN627" s="49" t="s">
        <v>485</v>
      </c>
      <c r="EP627" s="49" t="s">
        <v>298</v>
      </c>
      <c r="EQ627" s="0" t="n">
        <v>1</v>
      </c>
      <c r="ER627" s="49" t="s">
        <v>328</v>
      </c>
      <c r="ES627" s="49" t="s">
        <v>329</v>
      </c>
      <c r="ET627" s="49" t="s">
        <v>310</v>
      </c>
      <c r="EU627" s="49" t="s">
        <v>310</v>
      </c>
      <c r="EV627" s="49" t="s">
        <v>310</v>
      </c>
      <c r="EX627" s="49" t="s">
        <v>303</v>
      </c>
      <c r="EY627" s="49" t="s">
        <v>303</v>
      </c>
      <c r="FC627" s="49" t="s">
        <v>330</v>
      </c>
      <c r="FD627" s="49" t="s">
        <v>310</v>
      </c>
      <c r="FE627" s="49" t="s">
        <v>310</v>
      </c>
      <c r="FF627" s="49" t="s">
        <v>72</v>
      </c>
      <c r="FG627" s="49" t="s">
        <v>486</v>
      </c>
      <c r="FH627" s="49" t="s">
        <v>310</v>
      </c>
      <c r="FI627" s="49" t="s">
        <v>332</v>
      </c>
      <c r="FJ627" s="49" t="s">
        <v>303</v>
      </c>
      <c r="FL627" s="49" t="s">
        <v>325</v>
      </c>
      <c r="FM627" s="49" t="s">
        <v>2675</v>
      </c>
      <c r="FP627" s="49" t="s">
        <v>303</v>
      </c>
      <c r="FR627" s="49" t="s">
        <v>303</v>
      </c>
      <c r="FT627" s="49" t="s">
        <v>325</v>
      </c>
      <c r="FU627" s="49" t="s">
        <v>325</v>
      </c>
      <c r="FW627" s="49" t="s">
        <v>333</v>
      </c>
    </row>
    <row r="628" customFormat="false" ht="15" hidden="false" customHeight="false" outlineLevel="0" collapsed="false">
      <c r="A628" s="0" t="n">
        <v>100864894</v>
      </c>
      <c r="B628" s="0" t="s">
        <v>295</v>
      </c>
      <c r="C628" s="0" t="s">
        <v>53</v>
      </c>
      <c r="D628" s="0" t="s">
        <v>54</v>
      </c>
      <c r="E628" s="0" t="s">
        <v>297</v>
      </c>
      <c r="G628" s="0" t="n">
        <v>1</v>
      </c>
      <c r="H628" s="0" t="s">
        <v>298</v>
      </c>
      <c r="I628" s="48" t="n">
        <v>46174</v>
      </c>
      <c r="J628" s="0" t="n">
        <v>1</v>
      </c>
      <c r="K628" s="49" t="s">
        <v>2802</v>
      </c>
      <c r="L628" s="49" t="s">
        <v>300</v>
      </c>
      <c r="M628" s="48" t="n">
        <v>46174</v>
      </c>
      <c r="N628" s="49" t="s">
        <v>300</v>
      </c>
      <c r="O628" s="49" t="s">
        <v>2803</v>
      </c>
      <c r="P628" s="48"/>
      <c r="Q628" s="48" t="n">
        <v>46174</v>
      </c>
      <c r="R628" s="48" t="n">
        <v>46181</v>
      </c>
      <c r="T628" s="49" t="s">
        <v>302</v>
      </c>
      <c r="U628" s="49" t="s">
        <v>303</v>
      </c>
      <c r="Y628" s="49" t="s">
        <v>2804</v>
      </c>
      <c r="AD628" s="49" t="s">
        <v>305</v>
      </c>
      <c r="AE628" s="48" t="n">
        <v>46161</v>
      </c>
      <c r="AF628" s="49" t="s">
        <v>306</v>
      </c>
      <c r="AG628" s="49" t="s">
        <v>307</v>
      </c>
      <c r="AK628" s="49" t="s">
        <v>1047</v>
      </c>
      <c r="AL628" s="49" t="s">
        <v>297</v>
      </c>
      <c r="AO628" s="49" t="s">
        <v>303</v>
      </c>
      <c r="AP628" s="48"/>
      <c r="AR628" s="49" t="s">
        <v>303</v>
      </c>
      <c r="AS628" s="49" t="s">
        <v>306</v>
      </c>
      <c r="AT628" s="49" t="s">
        <v>2805</v>
      </c>
      <c r="AV628" s="49" t="s">
        <v>309</v>
      </c>
      <c r="AW628" s="49" t="s">
        <v>310</v>
      </c>
      <c r="AX628" s="49" t="s">
        <v>311</v>
      </c>
      <c r="AY628" s="48"/>
      <c r="AZ628" s="48" t="n">
        <v>46163</v>
      </c>
      <c r="BC628" s="49" t="s">
        <v>303</v>
      </c>
      <c r="BD628" s="48" t="n">
        <v>46175</v>
      </c>
      <c r="BE628" s="49" t="s">
        <v>2806</v>
      </c>
      <c r="BF628" s="49" t="s">
        <v>303</v>
      </c>
      <c r="BG628" s="48"/>
      <c r="BI628" s="48" t="n">
        <v>46175</v>
      </c>
      <c r="BJ628" s="48" t="n">
        <v>46177</v>
      </c>
      <c r="BK628" s="49" t="s">
        <v>312</v>
      </c>
      <c r="BL628" s="49" t="s">
        <v>313</v>
      </c>
      <c r="BM628" s="49" t="s">
        <v>310</v>
      </c>
      <c r="BN628" s="48"/>
      <c r="BO628" s="48"/>
      <c r="BP628" s="48"/>
      <c r="BQ628" s="49" t="s">
        <v>2802</v>
      </c>
      <c r="BR628" s="48" t="n">
        <v>46171</v>
      </c>
      <c r="BS628" s="49" t="s">
        <v>2807</v>
      </c>
      <c r="BT628" s="49" t="s">
        <v>312</v>
      </c>
      <c r="BU628" s="49" t="s">
        <v>312</v>
      </c>
      <c r="BV628" s="49" t="s">
        <v>303</v>
      </c>
      <c r="BX628" s="0" t="n">
        <v>1</v>
      </c>
      <c r="CC628" s="49" t="s">
        <v>315</v>
      </c>
      <c r="CD628" s="49" t="s">
        <v>303</v>
      </c>
      <c r="CF628" s="49" t="s">
        <v>303</v>
      </c>
      <c r="CG628" s="49" t="s">
        <v>316</v>
      </c>
      <c r="CH628" s="49" t="s">
        <v>317</v>
      </c>
      <c r="CI628" s="49" t="s">
        <v>318</v>
      </c>
      <c r="CM628" s="49" t="s">
        <v>54</v>
      </c>
      <c r="CV628" s="49" t="s">
        <v>303</v>
      </c>
      <c r="DB628" s="49" t="s">
        <v>319</v>
      </c>
      <c r="DD628" s="48" t="n">
        <v>46161</v>
      </c>
      <c r="DF628" s="49" t="s">
        <v>310</v>
      </c>
      <c r="DG628" s="49" t="s">
        <v>320</v>
      </c>
      <c r="DH628" s="49" t="s">
        <v>53</v>
      </c>
      <c r="DI628" s="49" t="s">
        <v>298</v>
      </c>
      <c r="DJ628" s="49" t="s">
        <v>355</v>
      </c>
      <c r="DK628" s="49" t="s">
        <v>322</v>
      </c>
      <c r="DL628" s="49" t="s">
        <v>323</v>
      </c>
      <c r="DM628" s="49" t="s">
        <v>303</v>
      </c>
      <c r="DN628" s="49" t="s">
        <v>297</v>
      </c>
      <c r="DO628" s="48"/>
      <c r="DP628" s="49" t="s">
        <v>312</v>
      </c>
      <c r="DQ628" s="48"/>
      <c r="DR628" s="49" t="s">
        <v>312</v>
      </c>
      <c r="DS628" s="49" t="s">
        <v>303</v>
      </c>
      <c r="DT628" s="49" t="s">
        <v>303</v>
      </c>
      <c r="DW628" s="49" t="s">
        <v>303</v>
      </c>
      <c r="EA628" s="49" t="s">
        <v>324</v>
      </c>
      <c r="EB628" s="49" t="s">
        <v>303</v>
      </c>
      <c r="EH628" s="49" t="s">
        <v>310</v>
      </c>
      <c r="EJ628" s="49" t="s">
        <v>303</v>
      </c>
      <c r="EK628" s="49" t="s">
        <v>2808</v>
      </c>
      <c r="EM628" s="49" t="s">
        <v>303</v>
      </c>
      <c r="EN628" s="49" t="s">
        <v>357</v>
      </c>
      <c r="EP628" s="49" t="s">
        <v>298</v>
      </c>
      <c r="EQ628" s="0" t="n">
        <v>1</v>
      </c>
      <c r="ER628" s="49" t="s">
        <v>328</v>
      </c>
      <c r="ES628" s="49" t="s">
        <v>358</v>
      </c>
      <c r="ET628" s="49" t="s">
        <v>310</v>
      </c>
      <c r="EU628" s="49" t="s">
        <v>310</v>
      </c>
      <c r="EV628" s="49" t="s">
        <v>310</v>
      </c>
      <c r="EX628" s="49" t="s">
        <v>303</v>
      </c>
      <c r="EY628" s="49" t="s">
        <v>303</v>
      </c>
      <c r="FC628" s="49" t="s">
        <v>330</v>
      </c>
      <c r="FD628" s="49" t="s">
        <v>310</v>
      </c>
      <c r="FE628" s="49" t="s">
        <v>310</v>
      </c>
      <c r="FF628" s="49" t="s">
        <v>53</v>
      </c>
      <c r="FG628" s="49" t="s">
        <v>359</v>
      </c>
      <c r="FH628" s="49" t="s">
        <v>310</v>
      </c>
      <c r="FI628" s="49" t="s">
        <v>332</v>
      </c>
      <c r="FJ628" s="49" t="s">
        <v>303</v>
      </c>
      <c r="FL628" s="49" t="s">
        <v>325</v>
      </c>
      <c r="FM628" s="49" t="s">
        <v>2802</v>
      </c>
      <c r="FP628" s="49" t="s">
        <v>303</v>
      </c>
      <c r="FR628" s="49" t="s">
        <v>303</v>
      </c>
      <c r="FT628" s="49" t="s">
        <v>325</v>
      </c>
      <c r="FU628" s="49" t="s">
        <v>325</v>
      </c>
      <c r="FW628" s="49" t="s">
        <v>333</v>
      </c>
    </row>
    <row r="629" customFormat="false" ht="15" hidden="false" customHeight="false" outlineLevel="0" collapsed="false">
      <c r="A629" s="0" t="n">
        <v>100864269</v>
      </c>
      <c r="B629" s="0" t="s">
        <v>295</v>
      </c>
      <c r="C629" s="0" t="s">
        <v>50</v>
      </c>
      <c r="D629" s="0" t="s">
        <v>51</v>
      </c>
      <c r="E629" s="0" t="s">
        <v>297</v>
      </c>
      <c r="G629" s="0" t="n">
        <v>1</v>
      </c>
      <c r="H629" s="0" t="s">
        <v>298</v>
      </c>
      <c r="I629" s="48" t="n">
        <v>46171</v>
      </c>
      <c r="J629" s="0" t="n">
        <v>1</v>
      </c>
      <c r="K629" s="49" t="s">
        <v>2809</v>
      </c>
      <c r="L629" s="49" t="s">
        <v>2810</v>
      </c>
      <c r="M629" s="48" t="n">
        <v>46194</v>
      </c>
      <c r="N629" s="49" t="s">
        <v>2047</v>
      </c>
      <c r="O629" s="49" t="s">
        <v>1847</v>
      </c>
      <c r="P629" s="48"/>
      <c r="Q629" s="48" t="n">
        <v>46171</v>
      </c>
      <c r="R629" s="48" t="n">
        <v>46178</v>
      </c>
      <c r="T629" s="49" t="s">
        <v>302</v>
      </c>
      <c r="U629" s="49" t="s">
        <v>303</v>
      </c>
      <c r="Y629" s="49" t="s">
        <v>2811</v>
      </c>
      <c r="AD629" s="49" t="s">
        <v>305</v>
      </c>
      <c r="AE629" s="48" t="n">
        <v>46163</v>
      </c>
      <c r="AF629" s="49" t="s">
        <v>306</v>
      </c>
      <c r="AG629" s="49" t="s">
        <v>307</v>
      </c>
      <c r="AK629" s="49" t="s">
        <v>1047</v>
      </c>
      <c r="AL629" s="49" t="s">
        <v>297</v>
      </c>
      <c r="AO629" s="49" t="s">
        <v>303</v>
      </c>
      <c r="AP629" s="48"/>
      <c r="AR629" s="49" t="s">
        <v>303</v>
      </c>
      <c r="AS629" s="49" t="s">
        <v>306</v>
      </c>
      <c r="AT629" s="49" t="s">
        <v>2812</v>
      </c>
      <c r="AV629" s="49" t="s">
        <v>309</v>
      </c>
      <c r="AW629" s="49" t="s">
        <v>310</v>
      </c>
      <c r="AX629" s="49" t="s">
        <v>311</v>
      </c>
      <c r="AY629" s="48"/>
      <c r="AZ629" s="48" t="n">
        <v>46162</v>
      </c>
      <c r="BC629" s="49" t="s">
        <v>303</v>
      </c>
      <c r="BD629" s="48" t="n">
        <v>46240</v>
      </c>
      <c r="BE629" s="49" t="s">
        <v>2813</v>
      </c>
      <c r="BF629" s="49" t="s">
        <v>303</v>
      </c>
      <c r="BG629" s="48"/>
      <c r="BI629" s="48" t="n">
        <v>46240</v>
      </c>
      <c r="BJ629" s="48" t="n">
        <v>46176</v>
      </c>
      <c r="BK629" s="49" t="s">
        <v>312</v>
      </c>
      <c r="BL629" s="49" t="s">
        <v>313</v>
      </c>
      <c r="BM629" s="49" t="s">
        <v>310</v>
      </c>
      <c r="BN629" s="48"/>
      <c r="BO629" s="48"/>
      <c r="BP629" s="48"/>
      <c r="BQ629" s="49" t="s">
        <v>2809</v>
      </c>
      <c r="BR629" s="48" t="n">
        <v>46170</v>
      </c>
      <c r="BS629" s="49" t="s">
        <v>2814</v>
      </c>
      <c r="BT629" s="49" t="s">
        <v>312</v>
      </c>
      <c r="BU629" s="49" t="s">
        <v>312</v>
      </c>
      <c r="BV629" s="49" t="s">
        <v>303</v>
      </c>
      <c r="BX629" s="0" t="n">
        <v>1</v>
      </c>
      <c r="CC629" s="49" t="s">
        <v>315</v>
      </c>
      <c r="CD629" s="49" t="s">
        <v>303</v>
      </c>
      <c r="CF629" s="49" t="s">
        <v>303</v>
      </c>
      <c r="CG629" s="49" t="s">
        <v>316</v>
      </c>
      <c r="CH629" s="49" t="s">
        <v>317</v>
      </c>
      <c r="CI629" s="49" t="s">
        <v>318</v>
      </c>
      <c r="CM629" s="49" t="s">
        <v>51</v>
      </c>
      <c r="CV629" s="49" t="s">
        <v>303</v>
      </c>
      <c r="DB629" s="49" t="s">
        <v>319</v>
      </c>
      <c r="DD629" s="48" t="n">
        <v>46163</v>
      </c>
      <c r="DF629" s="49" t="s">
        <v>310</v>
      </c>
      <c r="DG629" s="49" t="s">
        <v>320</v>
      </c>
      <c r="DH629" s="49" t="s">
        <v>50</v>
      </c>
      <c r="DI629" s="49" t="s">
        <v>298</v>
      </c>
      <c r="DJ629" s="49" t="s">
        <v>346</v>
      </c>
      <c r="DK629" s="49" t="s">
        <v>322</v>
      </c>
      <c r="DL629" s="49" t="s">
        <v>323</v>
      </c>
      <c r="DM629" s="49" t="s">
        <v>303</v>
      </c>
      <c r="DN629" s="49" t="s">
        <v>297</v>
      </c>
      <c r="DO629" s="48"/>
      <c r="DP629" s="49" t="s">
        <v>312</v>
      </c>
      <c r="DQ629" s="48"/>
      <c r="DR629" s="49" t="s">
        <v>312</v>
      </c>
      <c r="DS629" s="49" t="s">
        <v>303</v>
      </c>
      <c r="DT629" s="49" t="s">
        <v>303</v>
      </c>
      <c r="DW629" s="49" t="s">
        <v>303</v>
      </c>
      <c r="EA629" s="49" t="s">
        <v>324</v>
      </c>
      <c r="EB629" s="49" t="s">
        <v>303</v>
      </c>
      <c r="EH629" s="49" t="s">
        <v>310</v>
      </c>
      <c r="EJ629" s="49" t="s">
        <v>303</v>
      </c>
      <c r="EK629" s="49" t="s">
        <v>2815</v>
      </c>
      <c r="EM629" s="49" t="s">
        <v>303</v>
      </c>
      <c r="EN629" s="49" t="s">
        <v>348</v>
      </c>
      <c r="EP629" s="49" t="s">
        <v>298</v>
      </c>
      <c r="EQ629" s="0" t="n">
        <v>1</v>
      </c>
      <c r="ER629" s="49" t="s">
        <v>328</v>
      </c>
      <c r="ES629" s="49" t="s">
        <v>342</v>
      </c>
      <c r="ET629" s="49" t="s">
        <v>310</v>
      </c>
      <c r="EU629" s="49" t="s">
        <v>310</v>
      </c>
      <c r="EV629" s="49" t="s">
        <v>310</v>
      </c>
      <c r="EX629" s="49" t="s">
        <v>303</v>
      </c>
      <c r="EY629" s="49" t="s">
        <v>303</v>
      </c>
      <c r="FC629" s="49" t="s">
        <v>330</v>
      </c>
      <c r="FD629" s="49" t="s">
        <v>310</v>
      </c>
      <c r="FE629" s="49" t="s">
        <v>310</v>
      </c>
      <c r="FF629" s="49" t="s">
        <v>50</v>
      </c>
      <c r="FG629" s="49" t="s">
        <v>349</v>
      </c>
      <c r="FH629" s="49" t="s">
        <v>310</v>
      </c>
      <c r="FI629" s="49" t="s">
        <v>332</v>
      </c>
      <c r="FJ629" s="49" t="s">
        <v>303</v>
      </c>
      <c r="FL629" s="49" t="s">
        <v>325</v>
      </c>
      <c r="FM629" s="49" t="s">
        <v>2809</v>
      </c>
      <c r="FP629" s="49" t="s">
        <v>303</v>
      </c>
      <c r="FR629" s="49" t="s">
        <v>303</v>
      </c>
      <c r="FT629" s="49" t="s">
        <v>325</v>
      </c>
      <c r="FU629" s="49" t="s">
        <v>325</v>
      </c>
      <c r="FW629" s="49" t="s">
        <v>333</v>
      </c>
    </row>
    <row r="630" customFormat="false" ht="15" hidden="false" customHeight="false" outlineLevel="0" collapsed="false">
      <c r="A630" s="0" t="n">
        <v>100864270</v>
      </c>
      <c r="B630" s="0" t="s">
        <v>295</v>
      </c>
      <c r="C630" s="0" t="s">
        <v>50</v>
      </c>
      <c r="D630" s="0" t="s">
        <v>51</v>
      </c>
      <c r="E630" s="0" t="s">
        <v>297</v>
      </c>
      <c r="G630" s="0" t="n">
        <v>1</v>
      </c>
      <c r="H630" s="0" t="s">
        <v>298</v>
      </c>
      <c r="I630" s="48" t="n">
        <v>46171</v>
      </c>
      <c r="J630" s="0" t="n">
        <v>1</v>
      </c>
      <c r="K630" s="49" t="s">
        <v>2809</v>
      </c>
      <c r="L630" s="49" t="s">
        <v>2810</v>
      </c>
      <c r="M630" s="48" t="n">
        <v>46187</v>
      </c>
      <c r="N630" s="49" t="s">
        <v>2047</v>
      </c>
      <c r="O630" s="49" t="s">
        <v>1052</v>
      </c>
      <c r="P630" s="48"/>
      <c r="Q630" s="48" t="n">
        <v>46171</v>
      </c>
      <c r="R630" s="48" t="n">
        <v>46177</v>
      </c>
      <c r="T630" s="49" t="s">
        <v>302</v>
      </c>
      <c r="U630" s="49" t="s">
        <v>303</v>
      </c>
      <c r="Y630" s="49" t="s">
        <v>2816</v>
      </c>
      <c r="AD630" s="49" t="s">
        <v>305</v>
      </c>
      <c r="AE630" s="48" t="n">
        <v>46163</v>
      </c>
      <c r="AF630" s="49" t="s">
        <v>306</v>
      </c>
      <c r="AG630" s="49" t="s">
        <v>307</v>
      </c>
      <c r="AK630" s="49" t="s">
        <v>1047</v>
      </c>
      <c r="AL630" s="49" t="s">
        <v>297</v>
      </c>
      <c r="AO630" s="49" t="s">
        <v>303</v>
      </c>
      <c r="AP630" s="48"/>
      <c r="AR630" s="49" t="s">
        <v>303</v>
      </c>
      <c r="AS630" s="49" t="s">
        <v>306</v>
      </c>
      <c r="AT630" s="49" t="s">
        <v>2817</v>
      </c>
      <c r="AV630" s="49" t="s">
        <v>309</v>
      </c>
      <c r="AW630" s="49" t="s">
        <v>310</v>
      </c>
      <c r="AX630" s="49" t="s">
        <v>311</v>
      </c>
      <c r="AY630" s="48"/>
      <c r="AZ630" s="48" t="n">
        <v>46162</v>
      </c>
      <c r="BC630" s="49" t="s">
        <v>303</v>
      </c>
      <c r="BD630" s="48" t="n">
        <v>46215</v>
      </c>
      <c r="BE630" s="49" t="s">
        <v>2818</v>
      </c>
      <c r="BF630" s="49" t="s">
        <v>303</v>
      </c>
      <c r="BG630" s="48"/>
      <c r="BI630" s="48" t="n">
        <v>46215</v>
      </c>
      <c r="BJ630" s="48" t="n">
        <v>46176</v>
      </c>
      <c r="BK630" s="49" t="s">
        <v>313</v>
      </c>
      <c r="BL630" s="49" t="s">
        <v>313</v>
      </c>
      <c r="BM630" s="49" t="s">
        <v>310</v>
      </c>
      <c r="BN630" s="48"/>
      <c r="BO630" s="48"/>
      <c r="BP630" s="48"/>
      <c r="BQ630" s="49" t="s">
        <v>2809</v>
      </c>
      <c r="BR630" s="48" t="n">
        <v>46170</v>
      </c>
      <c r="BS630" s="49" t="s">
        <v>2819</v>
      </c>
      <c r="BT630" s="49" t="s">
        <v>312</v>
      </c>
      <c r="BU630" s="49" t="s">
        <v>312</v>
      </c>
      <c r="BV630" s="49" t="s">
        <v>303</v>
      </c>
      <c r="BX630" s="0" t="n">
        <v>1</v>
      </c>
      <c r="CC630" s="49" t="s">
        <v>315</v>
      </c>
      <c r="CD630" s="49" t="s">
        <v>303</v>
      </c>
      <c r="CF630" s="49" t="s">
        <v>303</v>
      </c>
      <c r="CG630" s="49" t="s">
        <v>316</v>
      </c>
      <c r="CH630" s="49" t="s">
        <v>317</v>
      </c>
      <c r="CI630" s="49" t="s">
        <v>318</v>
      </c>
      <c r="CM630" s="49" t="s">
        <v>51</v>
      </c>
      <c r="CV630" s="49" t="s">
        <v>303</v>
      </c>
      <c r="DB630" s="49" t="s">
        <v>319</v>
      </c>
      <c r="DD630" s="48" t="n">
        <v>46163</v>
      </c>
      <c r="DF630" s="49" t="s">
        <v>310</v>
      </c>
      <c r="DG630" s="49" t="s">
        <v>320</v>
      </c>
      <c r="DH630" s="49" t="s">
        <v>50</v>
      </c>
      <c r="DI630" s="49" t="s">
        <v>298</v>
      </c>
      <c r="DJ630" s="49" t="s">
        <v>346</v>
      </c>
      <c r="DK630" s="49" t="s">
        <v>322</v>
      </c>
      <c r="DL630" s="49" t="s">
        <v>323</v>
      </c>
      <c r="DM630" s="49" t="s">
        <v>303</v>
      </c>
      <c r="DN630" s="49" t="s">
        <v>297</v>
      </c>
      <c r="DO630" s="48"/>
      <c r="DP630" s="49" t="s">
        <v>312</v>
      </c>
      <c r="DQ630" s="48"/>
      <c r="DR630" s="49" t="s">
        <v>312</v>
      </c>
      <c r="DS630" s="49" t="s">
        <v>303</v>
      </c>
      <c r="DT630" s="49" t="s">
        <v>303</v>
      </c>
      <c r="DW630" s="49" t="s">
        <v>303</v>
      </c>
      <c r="EA630" s="49" t="s">
        <v>324</v>
      </c>
      <c r="EB630" s="49" t="s">
        <v>303</v>
      </c>
      <c r="EF630" s="49" t="s">
        <v>2820</v>
      </c>
      <c r="EH630" s="49" t="s">
        <v>310</v>
      </c>
      <c r="EJ630" s="49" t="s">
        <v>303</v>
      </c>
      <c r="EK630" s="49" t="s">
        <v>2821</v>
      </c>
      <c r="EM630" s="49" t="s">
        <v>303</v>
      </c>
      <c r="EN630" s="49" t="s">
        <v>348</v>
      </c>
      <c r="EP630" s="49" t="s">
        <v>298</v>
      </c>
      <c r="EQ630" s="0" t="n">
        <v>1</v>
      </c>
      <c r="ER630" s="49" t="s">
        <v>328</v>
      </c>
      <c r="ES630" s="49" t="s">
        <v>342</v>
      </c>
      <c r="ET630" s="49" t="s">
        <v>310</v>
      </c>
      <c r="EU630" s="49" t="s">
        <v>310</v>
      </c>
      <c r="EV630" s="49" t="s">
        <v>310</v>
      </c>
      <c r="EX630" s="49" t="s">
        <v>303</v>
      </c>
      <c r="EY630" s="49" t="s">
        <v>303</v>
      </c>
      <c r="FC630" s="49" t="s">
        <v>330</v>
      </c>
      <c r="FD630" s="49" t="s">
        <v>310</v>
      </c>
      <c r="FE630" s="49" t="s">
        <v>310</v>
      </c>
      <c r="FF630" s="49" t="s">
        <v>50</v>
      </c>
      <c r="FG630" s="49" t="s">
        <v>349</v>
      </c>
      <c r="FH630" s="49" t="s">
        <v>310</v>
      </c>
      <c r="FI630" s="49" t="s">
        <v>332</v>
      </c>
      <c r="FJ630" s="49" t="s">
        <v>303</v>
      </c>
      <c r="FL630" s="49" t="s">
        <v>325</v>
      </c>
      <c r="FM630" s="49" t="s">
        <v>2809</v>
      </c>
      <c r="FP630" s="49" t="s">
        <v>303</v>
      </c>
      <c r="FR630" s="49" t="s">
        <v>303</v>
      </c>
      <c r="FT630" s="49" t="s">
        <v>325</v>
      </c>
      <c r="FU630" s="49" t="s">
        <v>325</v>
      </c>
      <c r="FW630" s="49" t="s">
        <v>333</v>
      </c>
    </row>
    <row r="631" customFormat="false" ht="15" hidden="false" customHeight="false" outlineLevel="0" collapsed="false">
      <c r="A631" s="0" t="n">
        <v>100864131</v>
      </c>
      <c r="B631" s="0" t="s">
        <v>295</v>
      </c>
      <c r="C631" s="0" t="s">
        <v>75</v>
      </c>
      <c r="D631" s="0" t="s">
        <v>492</v>
      </c>
      <c r="E631" s="0" t="s">
        <v>297</v>
      </c>
      <c r="G631" s="0" t="n">
        <v>1</v>
      </c>
      <c r="H631" s="0" t="s">
        <v>298</v>
      </c>
      <c r="I631" s="48" t="n">
        <v>46170</v>
      </c>
      <c r="J631" s="0" t="n">
        <v>1</v>
      </c>
      <c r="K631" s="49" t="s">
        <v>2822</v>
      </c>
      <c r="L631" s="49" t="s">
        <v>2810</v>
      </c>
      <c r="M631" s="48" t="n">
        <v>46227</v>
      </c>
      <c r="N631" s="49" t="s">
        <v>2082</v>
      </c>
      <c r="O631" s="49" t="s">
        <v>1052</v>
      </c>
      <c r="P631" s="48"/>
      <c r="Q631" s="48" t="n">
        <v>46171</v>
      </c>
      <c r="R631" s="48" t="n">
        <v>46185</v>
      </c>
      <c r="T631" s="49" t="s">
        <v>302</v>
      </c>
      <c r="U631" s="49" t="s">
        <v>303</v>
      </c>
      <c r="Y631" s="49" t="s">
        <v>2823</v>
      </c>
      <c r="AD631" s="49" t="s">
        <v>305</v>
      </c>
      <c r="AE631" s="48" t="n">
        <v>46171</v>
      </c>
      <c r="AF631" s="49" t="s">
        <v>306</v>
      </c>
      <c r="AG631" s="49" t="s">
        <v>307</v>
      </c>
      <c r="AK631" s="49" t="s">
        <v>1047</v>
      </c>
      <c r="AL631" s="49" t="s">
        <v>297</v>
      </c>
      <c r="AO631" s="49" t="s">
        <v>303</v>
      </c>
      <c r="AP631" s="48"/>
      <c r="AR631" s="49" t="s">
        <v>303</v>
      </c>
      <c r="AS631" s="49" t="s">
        <v>306</v>
      </c>
      <c r="AT631" s="49" t="s">
        <v>2824</v>
      </c>
      <c r="AV631" s="49" t="s">
        <v>309</v>
      </c>
      <c r="AW631" s="49" t="s">
        <v>310</v>
      </c>
      <c r="AX631" s="49" t="s">
        <v>311</v>
      </c>
      <c r="AY631" s="48"/>
      <c r="AZ631" s="48" t="n">
        <v>46176</v>
      </c>
      <c r="BC631" s="49" t="s">
        <v>303</v>
      </c>
      <c r="BD631" s="48" t="n">
        <v>46230</v>
      </c>
      <c r="BE631" s="49" t="s">
        <v>2825</v>
      </c>
      <c r="BF631" s="49" t="s">
        <v>303</v>
      </c>
      <c r="BG631" s="48"/>
      <c r="BI631" s="48" t="n">
        <v>46230</v>
      </c>
      <c r="BJ631" s="48" t="n">
        <v>46183</v>
      </c>
      <c r="BK631" s="49" t="s">
        <v>312</v>
      </c>
      <c r="BL631" s="49" t="s">
        <v>313</v>
      </c>
      <c r="BM631" s="49" t="s">
        <v>310</v>
      </c>
      <c r="BN631" s="48"/>
      <c r="BO631" s="48"/>
      <c r="BP631" s="48"/>
      <c r="BQ631" s="49" t="s">
        <v>2822</v>
      </c>
      <c r="BR631" s="48" t="n">
        <v>46183</v>
      </c>
      <c r="BS631" s="49" t="s">
        <v>2826</v>
      </c>
      <c r="BT631" s="49" t="s">
        <v>312</v>
      </c>
      <c r="BU631" s="49" t="s">
        <v>313</v>
      </c>
      <c r="BV631" s="49" t="s">
        <v>303</v>
      </c>
      <c r="BX631" s="0" t="n">
        <v>1</v>
      </c>
      <c r="CC631" s="49" t="s">
        <v>315</v>
      </c>
      <c r="CD631" s="49" t="s">
        <v>303</v>
      </c>
      <c r="CF631" s="49" t="s">
        <v>303</v>
      </c>
      <c r="CG631" s="49" t="s">
        <v>316</v>
      </c>
      <c r="CH631" s="49" t="s">
        <v>317</v>
      </c>
      <c r="CI631" s="49" t="s">
        <v>318</v>
      </c>
      <c r="CM631" s="49" t="s">
        <v>492</v>
      </c>
      <c r="CV631" s="49" t="s">
        <v>303</v>
      </c>
      <c r="DB631" s="49" t="s">
        <v>319</v>
      </c>
      <c r="DD631" s="48" t="n">
        <v>46171</v>
      </c>
      <c r="DF631" s="49" t="s">
        <v>310</v>
      </c>
      <c r="DG631" s="49" t="s">
        <v>320</v>
      </c>
      <c r="DH631" s="49" t="s">
        <v>75</v>
      </c>
      <c r="DI631" s="49" t="s">
        <v>298</v>
      </c>
      <c r="DJ631" s="49" t="s">
        <v>495</v>
      </c>
      <c r="DK631" s="49" t="s">
        <v>322</v>
      </c>
      <c r="DL631" s="49" t="s">
        <v>323</v>
      </c>
      <c r="DM631" s="49" t="s">
        <v>303</v>
      </c>
      <c r="DN631" s="49" t="s">
        <v>297</v>
      </c>
      <c r="DO631" s="48"/>
      <c r="DP631" s="49" t="s">
        <v>312</v>
      </c>
      <c r="DQ631" s="48"/>
      <c r="DR631" s="49" t="s">
        <v>312</v>
      </c>
      <c r="DS631" s="49" t="s">
        <v>303</v>
      </c>
      <c r="DT631" s="49" t="s">
        <v>303</v>
      </c>
      <c r="DW631" s="49" t="s">
        <v>303</v>
      </c>
      <c r="EA631" s="49" t="s">
        <v>324</v>
      </c>
      <c r="EB631" s="49" t="s">
        <v>303</v>
      </c>
      <c r="EH631" s="49" t="s">
        <v>310</v>
      </c>
      <c r="EJ631" s="49" t="s">
        <v>303</v>
      </c>
      <c r="EK631" s="49" t="s">
        <v>2827</v>
      </c>
      <c r="EM631" s="49" t="s">
        <v>303</v>
      </c>
      <c r="EN631" s="49" t="s">
        <v>497</v>
      </c>
      <c r="EP631" s="49" t="s">
        <v>298</v>
      </c>
      <c r="EQ631" s="0" t="n">
        <v>1</v>
      </c>
      <c r="ER631" s="49" t="s">
        <v>328</v>
      </c>
      <c r="ES631" s="49" t="s">
        <v>329</v>
      </c>
      <c r="ET631" s="49" t="s">
        <v>310</v>
      </c>
      <c r="EU631" s="49" t="s">
        <v>310</v>
      </c>
      <c r="EV631" s="49" t="s">
        <v>310</v>
      </c>
      <c r="EX631" s="49" t="s">
        <v>303</v>
      </c>
      <c r="EY631" s="49" t="s">
        <v>303</v>
      </c>
      <c r="FC631" s="49" t="s">
        <v>330</v>
      </c>
      <c r="FD631" s="49" t="s">
        <v>310</v>
      </c>
      <c r="FE631" s="49" t="s">
        <v>310</v>
      </c>
      <c r="FF631" s="49" t="s">
        <v>75</v>
      </c>
      <c r="FG631" s="49" t="s">
        <v>498</v>
      </c>
      <c r="FH631" s="49" t="s">
        <v>310</v>
      </c>
      <c r="FI631" s="49" t="s">
        <v>332</v>
      </c>
      <c r="FJ631" s="49" t="s">
        <v>303</v>
      </c>
      <c r="FL631" s="49" t="s">
        <v>325</v>
      </c>
      <c r="FM631" s="49" t="s">
        <v>2828</v>
      </c>
      <c r="FP631" s="49" t="s">
        <v>303</v>
      </c>
      <c r="FR631" s="49" t="s">
        <v>303</v>
      </c>
      <c r="FT631" s="49" t="s">
        <v>325</v>
      </c>
      <c r="FU631" s="49" t="s">
        <v>325</v>
      </c>
      <c r="FW631" s="49" t="s">
        <v>333</v>
      </c>
      <c r="FX631" s="49" t="s">
        <v>499</v>
      </c>
    </row>
    <row r="632" customFormat="false" ht="15" hidden="false" customHeight="false" outlineLevel="0" collapsed="false">
      <c r="A632" s="0" t="n">
        <v>100864132</v>
      </c>
      <c r="B632" s="0" t="s">
        <v>295</v>
      </c>
      <c r="C632" s="0" t="s">
        <v>77</v>
      </c>
      <c r="D632" s="0" t="s">
        <v>500</v>
      </c>
      <c r="E632" s="0" t="s">
        <v>297</v>
      </c>
      <c r="G632" s="0" t="n">
        <v>1</v>
      </c>
      <c r="H632" s="0" t="s">
        <v>298</v>
      </c>
      <c r="I632" s="48" t="n">
        <v>46170</v>
      </c>
      <c r="J632" s="0" t="n">
        <v>1</v>
      </c>
      <c r="K632" s="49" t="s">
        <v>2822</v>
      </c>
      <c r="L632" s="49" t="s">
        <v>2810</v>
      </c>
      <c r="M632" s="48" t="n">
        <v>46260</v>
      </c>
      <c r="N632" s="49" t="s">
        <v>2082</v>
      </c>
      <c r="O632" s="49" t="s">
        <v>1052</v>
      </c>
      <c r="P632" s="48"/>
      <c r="Q632" s="48" t="n">
        <v>46171</v>
      </c>
      <c r="R632" s="48" t="n">
        <v>46185</v>
      </c>
      <c r="T632" s="49" t="s">
        <v>302</v>
      </c>
      <c r="U632" s="49" t="s">
        <v>303</v>
      </c>
      <c r="Y632" s="49" t="s">
        <v>2829</v>
      </c>
      <c r="AD632" s="49" t="s">
        <v>305</v>
      </c>
      <c r="AE632" s="48" t="n">
        <v>46171</v>
      </c>
      <c r="AF632" s="49" t="s">
        <v>306</v>
      </c>
      <c r="AG632" s="49" t="s">
        <v>307</v>
      </c>
      <c r="AK632" s="49" t="s">
        <v>1047</v>
      </c>
      <c r="AL632" s="49" t="s">
        <v>297</v>
      </c>
      <c r="AO632" s="49" t="s">
        <v>303</v>
      </c>
      <c r="AP632" s="48"/>
      <c r="AR632" s="49" t="s">
        <v>303</v>
      </c>
      <c r="AS632" s="49" t="s">
        <v>306</v>
      </c>
      <c r="AT632" s="49" t="s">
        <v>2830</v>
      </c>
      <c r="AV632" s="49" t="s">
        <v>309</v>
      </c>
      <c r="AW632" s="49" t="s">
        <v>310</v>
      </c>
      <c r="AX632" s="49" t="s">
        <v>311</v>
      </c>
      <c r="AY632" s="48"/>
      <c r="AZ632" s="48" t="n">
        <v>46176</v>
      </c>
      <c r="BC632" s="49" t="s">
        <v>303</v>
      </c>
      <c r="BD632" s="48" t="n">
        <v>46261</v>
      </c>
      <c r="BE632" s="49" t="s">
        <v>2831</v>
      </c>
      <c r="BF632" s="49" t="s">
        <v>303</v>
      </c>
      <c r="BG632" s="48"/>
      <c r="BI632" s="48" t="n">
        <v>46261</v>
      </c>
      <c r="BJ632" s="48" t="n">
        <v>46183</v>
      </c>
      <c r="BK632" s="49" t="s">
        <v>312</v>
      </c>
      <c r="BL632" s="49" t="s">
        <v>313</v>
      </c>
      <c r="BM632" s="49" t="s">
        <v>310</v>
      </c>
      <c r="BN632" s="48"/>
      <c r="BO632" s="48"/>
      <c r="BP632" s="48"/>
      <c r="BQ632" s="49" t="s">
        <v>2822</v>
      </c>
      <c r="BR632" s="48" t="n">
        <v>46183</v>
      </c>
      <c r="BS632" s="49" t="s">
        <v>2832</v>
      </c>
      <c r="BT632" s="49" t="s">
        <v>312</v>
      </c>
      <c r="BU632" s="49" t="s">
        <v>313</v>
      </c>
      <c r="BV632" s="49" t="s">
        <v>303</v>
      </c>
      <c r="BX632" s="0" t="n">
        <v>1</v>
      </c>
      <c r="CC632" s="49" t="s">
        <v>315</v>
      </c>
      <c r="CD632" s="49" t="s">
        <v>303</v>
      </c>
      <c r="CF632" s="49" t="s">
        <v>303</v>
      </c>
      <c r="CG632" s="49" t="s">
        <v>316</v>
      </c>
      <c r="CH632" s="49" t="s">
        <v>317</v>
      </c>
      <c r="CI632" s="49" t="s">
        <v>318</v>
      </c>
      <c r="CM632" s="49" t="s">
        <v>500</v>
      </c>
      <c r="CV632" s="49" t="s">
        <v>303</v>
      </c>
      <c r="DB632" s="49" t="s">
        <v>319</v>
      </c>
      <c r="DD632" s="48" t="n">
        <v>46171</v>
      </c>
      <c r="DF632" s="49" t="s">
        <v>310</v>
      </c>
      <c r="DG632" s="49" t="s">
        <v>320</v>
      </c>
      <c r="DH632" s="49" t="s">
        <v>77</v>
      </c>
      <c r="DI632" s="49" t="s">
        <v>298</v>
      </c>
      <c r="DJ632" s="49" t="s">
        <v>495</v>
      </c>
      <c r="DK632" s="49" t="s">
        <v>322</v>
      </c>
      <c r="DL632" s="49" t="s">
        <v>323</v>
      </c>
      <c r="DM632" s="49" t="s">
        <v>303</v>
      </c>
      <c r="DN632" s="49" t="s">
        <v>297</v>
      </c>
      <c r="DO632" s="48"/>
      <c r="DP632" s="49" t="s">
        <v>312</v>
      </c>
      <c r="DQ632" s="48"/>
      <c r="DR632" s="49" t="s">
        <v>312</v>
      </c>
      <c r="DS632" s="49" t="s">
        <v>303</v>
      </c>
      <c r="DT632" s="49" t="s">
        <v>303</v>
      </c>
      <c r="DW632" s="49" t="s">
        <v>303</v>
      </c>
      <c r="EA632" s="49" t="s">
        <v>324</v>
      </c>
      <c r="EB632" s="49" t="s">
        <v>303</v>
      </c>
      <c r="EH632" s="49" t="s">
        <v>310</v>
      </c>
      <c r="EJ632" s="49" t="s">
        <v>303</v>
      </c>
      <c r="EK632" s="49" t="s">
        <v>2833</v>
      </c>
      <c r="EM632" s="49" t="s">
        <v>303</v>
      </c>
      <c r="EN632" s="49" t="s">
        <v>504</v>
      </c>
      <c r="EP632" s="49" t="s">
        <v>298</v>
      </c>
      <c r="EQ632" s="0" t="n">
        <v>1</v>
      </c>
      <c r="ER632" s="49" t="s">
        <v>328</v>
      </c>
      <c r="ES632" s="49" t="s">
        <v>329</v>
      </c>
      <c r="ET632" s="49" t="s">
        <v>310</v>
      </c>
      <c r="EU632" s="49" t="s">
        <v>310</v>
      </c>
      <c r="EV632" s="49" t="s">
        <v>310</v>
      </c>
      <c r="EX632" s="49" t="s">
        <v>303</v>
      </c>
      <c r="EY632" s="49" t="s">
        <v>303</v>
      </c>
      <c r="FC632" s="49" t="s">
        <v>330</v>
      </c>
      <c r="FD632" s="49" t="s">
        <v>310</v>
      </c>
      <c r="FE632" s="49" t="s">
        <v>310</v>
      </c>
      <c r="FF632" s="49" t="s">
        <v>77</v>
      </c>
      <c r="FG632" s="49" t="s">
        <v>505</v>
      </c>
      <c r="FH632" s="49" t="s">
        <v>310</v>
      </c>
      <c r="FI632" s="49" t="s">
        <v>332</v>
      </c>
      <c r="FJ632" s="49" t="s">
        <v>303</v>
      </c>
      <c r="FL632" s="49" t="s">
        <v>325</v>
      </c>
      <c r="FM632" s="49" t="s">
        <v>2086</v>
      </c>
      <c r="FP632" s="49" t="s">
        <v>303</v>
      </c>
      <c r="FR632" s="49" t="s">
        <v>303</v>
      </c>
      <c r="FT632" s="49" t="s">
        <v>325</v>
      </c>
      <c r="FU632" s="49" t="s">
        <v>325</v>
      </c>
      <c r="FW632" s="49" t="s">
        <v>333</v>
      </c>
      <c r="FX632" s="49" t="s">
        <v>499</v>
      </c>
    </row>
    <row r="633" customFormat="false" ht="15" hidden="false" customHeight="false" outlineLevel="0" collapsed="false">
      <c r="A633" s="0" t="n">
        <v>100864144</v>
      </c>
      <c r="B633" s="0" t="s">
        <v>295</v>
      </c>
      <c r="C633" s="0" t="s">
        <v>79</v>
      </c>
      <c r="D633" s="0" t="s">
        <v>506</v>
      </c>
      <c r="E633" s="0" t="s">
        <v>297</v>
      </c>
      <c r="G633" s="0" t="n">
        <v>1</v>
      </c>
      <c r="H633" s="0" t="s">
        <v>298</v>
      </c>
      <c r="I633" s="48" t="n">
        <v>46170</v>
      </c>
      <c r="J633" s="0" t="n">
        <v>1</v>
      </c>
      <c r="K633" s="49" t="s">
        <v>2822</v>
      </c>
      <c r="L633" s="49" t="s">
        <v>2810</v>
      </c>
      <c r="M633" s="48" t="n">
        <v>46239</v>
      </c>
      <c r="N633" s="49" t="s">
        <v>2082</v>
      </c>
      <c r="O633" s="49" t="s">
        <v>1052</v>
      </c>
      <c r="P633" s="48"/>
      <c r="Q633" s="48" t="n">
        <v>46171</v>
      </c>
      <c r="R633" s="48" t="n">
        <v>46185</v>
      </c>
      <c r="T633" s="49" t="s">
        <v>302</v>
      </c>
      <c r="U633" s="49" t="s">
        <v>303</v>
      </c>
      <c r="Y633" s="49" t="s">
        <v>2834</v>
      </c>
      <c r="AD633" s="49" t="s">
        <v>305</v>
      </c>
      <c r="AE633" s="48" t="n">
        <v>46171</v>
      </c>
      <c r="AF633" s="49" t="s">
        <v>306</v>
      </c>
      <c r="AG633" s="49" t="s">
        <v>307</v>
      </c>
      <c r="AK633" s="49" t="s">
        <v>1047</v>
      </c>
      <c r="AL633" s="49" t="s">
        <v>297</v>
      </c>
      <c r="AO633" s="49" t="s">
        <v>303</v>
      </c>
      <c r="AP633" s="48"/>
      <c r="AR633" s="49" t="s">
        <v>303</v>
      </c>
      <c r="AS633" s="49" t="s">
        <v>306</v>
      </c>
      <c r="AT633" s="49" t="s">
        <v>2835</v>
      </c>
      <c r="AV633" s="49" t="s">
        <v>309</v>
      </c>
      <c r="AW633" s="49" t="s">
        <v>310</v>
      </c>
      <c r="AX633" s="49" t="s">
        <v>311</v>
      </c>
      <c r="AY633" s="48"/>
      <c r="AZ633" s="48" t="n">
        <v>46176</v>
      </c>
      <c r="BC633" s="49" t="s">
        <v>303</v>
      </c>
      <c r="BD633" s="48" t="n">
        <v>46240</v>
      </c>
      <c r="BE633" s="49" t="s">
        <v>2836</v>
      </c>
      <c r="BF633" s="49" t="s">
        <v>303</v>
      </c>
      <c r="BG633" s="48"/>
      <c r="BI633" s="48" t="n">
        <v>46240</v>
      </c>
      <c r="BJ633" s="48" t="n">
        <v>46183</v>
      </c>
      <c r="BK633" s="49" t="s">
        <v>312</v>
      </c>
      <c r="BL633" s="49" t="s">
        <v>313</v>
      </c>
      <c r="BM633" s="49" t="s">
        <v>310</v>
      </c>
      <c r="BN633" s="48"/>
      <c r="BO633" s="48"/>
      <c r="BP633" s="48"/>
      <c r="BQ633" s="49" t="s">
        <v>2822</v>
      </c>
      <c r="BR633" s="48" t="n">
        <v>46183</v>
      </c>
      <c r="BS633" s="49" t="s">
        <v>2837</v>
      </c>
      <c r="BT633" s="49" t="s">
        <v>312</v>
      </c>
      <c r="BU633" s="49" t="s">
        <v>313</v>
      </c>
      <c r="BV633" s="49" t="s">
        <v>303</v>
      </c>
      <c r="BX633" s="0" t="n">
        <v>1</v>
      </c>
      <c r="CC633" s="49" t="s">
        <v>315</v>
      </c>
      <c r="CD633" s="49" t="s">
        <v>303</v>
      </c>
      <c r="CF633" s="49" t="s">
        <v>303</v>
      </c>
      <c r="CG633" s="49" t="s">
        <v>316</v>
      </c>
      <c r="CH633" s="49" t="s">
        <v>317</v>
      </c>
      <c r="CI633" s="49" t="s">
        <v>318</v>
      </c>
      <c r="CM633" s="49" t="s">
        <v>506</v>
      </c>
      <c r="CV633" s="49" t="s">
        <v>303</v>
      </c>
      <c r="DB633" s="49" t="s">
        <v>319</v>
      </c>
      <c r="DD633" s="48" t="n">
        <v>46171</v>
      </c>
      <c r="DF633" s="49" t="s">
        <v>310</v>
      </c>
      <c r="DG633" s="49" t="s">
        <v>320</v>
      </c>
      <c r="DH633" s="49" t="s">
        <v>79</v>
      </c>
      <c r="DI633" s="49" t="s">
        <v>298</v>
      </c>
      <c r="DJ633" s="49" t="s">
        <v>495</v>
      </c>
      <c r="DK633" s="49" t="s">
        <v>322</v>
      </c>
      <c r="DL633" s="49" t="s">
        <v>323</v>
      </c>
      <c r="DM633" s="49" t="s">
        <v>303</v>
      </c>
      <c r="DN633" s="49" t="s">
        <v>297</v>
      </c>
      <c r="DO633" s="48"/>
      <c r="DP633" s="49" t="s">
        <v>312</v>
      </c>
      <c r="DQ633" s="48"/>
      <c r="DR633" s="49" t="s">
        <v>312</v>
      </c>
      <c r="DS633" s="49" t="s">
        <v>303</v>
      </c>
      <c r="DT633" s="49" t="s">
        <v>303</v>
      </c>
      <c r="DW633" s="49" t="s">
        <v>303</v>
      </c>
      <c r="EA633" s="49" t="s">
        <v>324</v>
      </c>
      <c r="EB633" s="49" t="s">
        <v>303</v>
      </c>
      <c r="EH633" s="49" t="s">
        <v>310</v>
      </c>
      <c r="EJ633" s="49" t="s">
        <v>303</v>
      </c>
      <c r="EK633" s="49" t="s">
        <v>2838</v>
      </c>
      <c r="EM633" s="49" t="s">
        <v>303</v>
      </c>
      <c r="EN633" s="49" t="s">
        <v>510</v>
      </c>
      <c r="EP633" s="49" t="s">
        <v>298</v>
      </c>
      <c r="EQ633" s="0" t="n">
        <v>1</v>
      </c>
      <c r="ER633" s="49" t="s">
        <v>328</v>
      </c>
      <c r="ES633" s="49" t="s">
        <v>329</v>
      </c>
      <c r="ET633" s="49" t="s">
        <v>310</v>
      </c>
      <c r="EU633" s="49" t="s">
        <v>310</v>
      </c>
      <c r="EV633" s="49" t="s">
        <v>310</v>
      </c>
      <c r="EX633" s="49" t="s">
        <v>303</v>
      </c>
      <c r="EY633" s="49" t="s">
        <v>303</v>
      </c>
      <c r="FC633" s="49" t="s">
        <v>330</v>
      </c>
      <c r="FD633" s="49" t="s">
        <v>310</v>
      </c>
      <c r="FE633" s="49" t="s">
        <v>310</v>
      </c>
      <c r="FF633" s="49" t="s">
        <v>79</v>
      </c>
      <c r="FG633" s="49" t="s">
        <v>511</v>
      </c>
      <c r="FH633" s="49" t="s">
        <v>310</v>
      </c>
      <c r="FI633" s="49" t="s">
        <v>332</v>
      </c>
      <c r="FJ633" s="49" t="s">
        <v>303</v>
      </c>
      <c r="FL633" s="49" t="s">
        <v>325</v>
      </c>
      <c r="FM633" s="49" t="s">
        <v>2839</v>
      </c>
      <c r="FP633" s="49" t="s">
        <v>303</v>
      </c>
      <c r="FR633" s="49" t="s">
        <v>303</v>
      </c>
      <c r="FT633" s="49" t="s">
        <v>325</v>
      </c>
      <c r="FU633" s="49" t="s">
        <v>325</v>
      </c>
      <c r="FW633" s="49" t="s">
        <v>333</v>
      </c>
      <c r="FX633" s="49" t="s">
        <v>499</v>
      </c>
    </row>
    <row r="634" customFormat="false" ht="15" hidden="false" customHeight="false" outlineLevel="0" collapsed="false">
      <c r="A634" s="0" t="n">
        <v>100864155</v>
      </c>
      <c r="B634" s="0" t="s">
        <v>295</v>
      </c>
      <c r="C634" s="0" t="s">
        <v>53</v>
      </c>
      <c r="D634" s="0" t="s">
        <v>54</v>
      </c>
      <c r="E634" s="0" t="s">
        <v>297</v>
      </c>
      <c r="G634" s="0" t="n">
        <v>1</v>
      </c>
      <c r="H634" s="0" t="s">
        <v>298</v>
      </c>
      <c r="I634" s="48" t="n">
        <v>46170</v>
      </c>
      <c r="J634" s="0" t="n">
        <v>1</v>
      </c>
      <c r="K634" s="49" t="s">
        <v>2822</v>
      </c>
      <c r="L634" s="49" t="s">
        <v>2810</v>
      </c>
      <c r="M634" s="48" t="n">
        <v>46170</v>
      </c>
      <c r="N634" s="49" t="s">
        <v>2810</v>
      </c>
      <c r="O634" s="49" t="s">
        <v>1052</v>
      </c>
      <c r="P634" s="48"/>
      <c r="Q634" s="48" t="n">
        <v>46170</v>
      </c>
      <c r="R634" s="48" t="n">
        <v>46177</v>
      </c>
      <c r="T634" s="49" t="s">
        <v>302</v>
      </c>
      <c r="U634" s="49" t="s">
        <v>303</v>
      </c>
      <c r="Y634" s="49" t="s">
        <v>2840</v>
      </c>
      <c r="AD634" s="49" t="s">
        <v>305</v>
      </c>
      <c r="AE634" s="48" t="n">
        <v>46156</v>
      </c>
      <c r="AF634" s="49" t="s">
        <v>306</v>
      </c>
      <c r="AG634" s="49" t="s">
        <v>307</v>
      </c>
      <c r="AK634" s="49" t="s">
        <v>1047</v>
      </c>
      <c r="AL634" s="49" t="s">
        <v>297</v>
      </c>
      <c r="AO634" s="49" t="s">
        <v>303</v>
      </c>
      <c r="AP634" s="48"/>
      <c r="AR634" s="49" t="s">
        <v>303</v>
      </c>
      <c r="AS634" s="49" t="s">
        <v>306</v>
      </c>
      <c r="AT634" s="49" t="s">
        <v>2841</v>
      </c>
      <c r="AV634" s="49" t="s">
        <v>309</v>
      </c>
      <c r="AW634" s="49" t="s">
        <v>310</v>
      </c>
      <c r="AX634" s="49" t="s">
        <v>311</v>
      </c>
      <c r="AY634" s="48"/>
      <c r="AZ634" s="48" t="n">
        <v>46161</v>
      </c>
      <c r="BC634" s="49" t="s">
        <v>303</v>
      </c>
      <c r="BD634" s="48" t="n">
        <v>46179</v>
      </c>
      <c r="BE634" s="49" t="s">
        <v>2842</v>
      </c>
      <c r="BF634" s="49" t="s">
        <v>303</v>
      </c>
      <c r="BG634" s="48"/>
      <c r="BI634" s="48" t="n">
        <v>46179</v>
      </c>
      <c r="BJ634" s="48" t="n">
        <v>46175</v>
      </c>
      <c r="BK634" s="49" t="s">
        <v>312</v>
      </c>
      <c r="BL634" s="49" t="s">
        <v>313</v>
      </c>
      <c r="BM634" s="49" t="s">
        <v>310</v>
      </c>
      <c r="BN634" s="48"/>
      <c r="BO634" s="48"/>
      <c r="BP634" s="48"/>
      <c r="BQ634" s="49" t="s">
        <v>2822</v>
      </c>
      <c r="BR634" s="48" t="n">
        <v>46169</v>
      </c>
      <c r="BS634" s="49" t="s">
        <v>2843</v>
      </c>
      <c r="BT634" s="49" t="s">
        <v>312</v>
      </c>
      <c r="BU634" s="49" t="s">
        <v>312</v>
      </c>
      <c r="BV634" s="49" t="s">
        <v>303</v>
      </c>
      <c r="BX634" s="0" t="n">
        <v>1</v>
      </c>
      <c r="CC634" s="49" t="s">
        <v>315</v>
      </c>
      <c r="CD634" s="49" t="s">
        <v>303</v>
      </c>
      <c r="CF634" s="49" t="s">
        <v>303</v>
      </c>
      <c r="CG634" s="49" t="s">
        <v>316</v>
      </c>
      <c r="CH634" s="49" t="s">
        <v>317</v>
      </c>
      <c r="CI634" s="49" t="s">
        <v>318</v>
      </c>
      <c r="CM634" s="49" t="s">
        <v>54</v>
      </c>
      <c r="CV634" s="49" t="s">
        <v>303</v>
      </c>
      <c r="DB634" s="49" t="s">
        <v>319</v>
      </c>
      <c r="DD634" s="48" t="n">
        <v>46156</v>
      </c>
      <c r="DF634" s="49" t="s">
        <v>310</v>
      </c>
      <c r="DG634" s="49" t="s">
        <v>320</v>
      </c>
      <c r="DH634" s="49" t="s">
        <v>53</v>
      </c>
      <c r="DI634" s="49" t="s">
        <v>298</v>
      </c>
      <c r="DJ634" s="49" t="s">
        <v>355</v>
      </c>
      <c r="DK634" s="49" t="s">
        <v>322</v>
      </c>
      <c r="DL634" s="49" t="s">
        <v>323</v>
      </c>
      <c r="DM634" s="49" t="s">
        <v>303</v>
      </c>
      <c r="DN634" s="49" t="s">
        <v>297</v>
      </c>
      <c r="DO634" s="48"/>
      <c r="DP634" s="49" t="s">
        <v>312</v>
      </c>
      <c r="DQ634" s="48"/>
      <c r="DR634" s="49" t="s">
        <v>312</v>
      </c>
      <c r="DS634" s="49" t="s">
        <v>303</v>
      </c>
      <c r="DT634" s="49" t="s">
        <v>303</v>
      </c>
      <c r="DW634" s="49" t="s">
        <v>303</v>
      </c>
      <c r="EA634" s="49" t="s">
        <v>324</v>
      </c>
      <c r="EB634" s="49" t="s">
        <v>303</v>
      </c>
      <c r="EH634" s="49" t="s">
        <v>310</v>
      </c>
      <c r="EJ634" s="49" t="s">
        <v>303</v>
      </c>
      <c r="EK634" s="49" t="s">
        <v>2844</v>
      </c>
      <c r="EM634" s="49" t="s">
        <v>303</v>
      </c>
      <c r="EN634" s="49" t="s">
        <v>357</v>
      </c>
      <c r="EP634" s="49" t="s">
        <v>298</v>
      </c>
      <c r="EQ634" s="0" t="n">
        <v>1</v>
      </c>
      <c r="ER634" s="49" t="s">
        <v>328</v>
      </c>
      <c r="ES634" s="49" t="s">
        <v>358</v>
      </c>
      <c r="ET634" s="49" t="s">
        <v>310</v>
      </c>
      <c r="EU634" s="49" t="s">
        <v>310</v>
      </c>
      <c r="EV634" s="49" t="s">
        <v>310</v>
      </c>
      <c r="EX634" s="49" t="s">
        <v>303</v>
      </c>
      <c r="EY634" s="49" t="s">
        <v>303</v>
      </c>
      <c r="FC634" s="49" t="s">
        <v>330</v>
      </c>
      <c r="FD634" s="49" t="s">
        <v>310</v>
      </c>
      <c r="FE634" s="49" t="s">
        <v>310</v>
      </c>
      <c r="FF634" s="49" t="s">
        <v>53</v>
      </c>
      <c r="FG634" s="49" t="s">
        <v>359</v>
      </c>
      <c r="FH634" s="49" t="s">
        <v>310</v>
      </c>
      <c r="FI634" s="49" t="s">
        <v>332</v>
      </c>
      <c r="FJ634" s="49" t="s">
        <v>303</v>
      </c>
      <c r="FL634" s="49" t="s">
        <v>325</v>
      </c>
      <c r="FM634" s="49" t="s">
        <v>2822</v>
      </c>
      <c r="FP634" s="49" t="s">
        <v>303</v>
      </c>
      <c r="FR634" s="49" t="s">
        <v>303</v>
      </c>
      <c r="FT634" s="49" t="s">
        <v>325</v>
      </c>
      <c r="FU634" s="49" t="s">
        <v>325</v>
      </c>
      <c r="FW634" s="49" t="s">
        <v>333</v>
      </c>
    </row>
    <row r="635" customFormat="false" ht="15" hidden="false" customHeight="false" outlineLevel="0" collapsed="false">
      <c r="A635" s="0" t="n">
        <v>100864156</v>
      </c>
      <c r="B635" s="0" t="s">
        <v>295</v>
      </c>
      <c r="C635" s="0" t="s">
        <v>53</v>
      </c>
      <c r="D635" s="0" t="s">
        <v>54</v>
      </c>
      <c r="E635" s="0" t="s">
        <v>297</v>
      </c>
      <c r="G635" s="0" t="n">
        <v>1</v>
      </c>
      <c r="H635" s="0" t="s">
        <v>298</v>
      </c>
      <c r="I635" s="48" t="n">
        <v>46170</v>
      </c>
      <c r="J635" s="0" t="n">
        <v>1</v>
      </c>
      <c r="K635" s="49" t="s">
        <v>2822</v>
      </c>
      <c r="L635" s="49" t="s">
        <v>2810</v>
      </c>
      <c r="M635" s="48"/>
      <c r="O635" s="49" t="s">
        <v>1052</v>
      </c>
      <c r="P635" s="48"/>
      <c r="Q635" s="48" t="n">
        <v>46170</v>
      </c>
      <c r="R635" s="48" t="n">
        <v>46176</v>
      </c>
      <c r="T635" s="49" t="s">
        <v>302</v>
      </c>
      <c r="U635" s="49" t="s">
        <v>303</v>
      </c>
      <c r="Y635" s="49" t="s">
        <v>312</v>
      </c>
      <c r="AD635" s="49" t="s">
        <v>305</v>
      </c>
      <c r="AE635" s="48" t="n">
        <v>46156</v>
      </c>
      <c r="AF635" s="49" t="s">
        <v>306</v>
      </c>
      <c r="AG635" s="49" t="s">
        <v>307</v>
      </c>
      <c r="AK635" s="49" t="s">
        <v>1047</v>
      </c>
      <c r="AL635" s="49" t="s">
        <v>297</v>
      </c>
      <c r="AO635" s="49" t="s">
        <v>303</v>
      </c>
      <c r="AP635" s="48"/>
      <c r="AR635" s="49" t="s">
        <v>303</v>
      </c>
      <c r="AS635" s="49" t="s">
        <v>306</v>
      </c>
      <c r="AT635" s="49" t="s">
        <v>2845</v>
      </c>
      <c r="AV635" s="49" t="s">
        <v>309</v>
      </c>
      <c r="AW635" s="49" t="s">
        <v>310</v>
      </c>
      <c r="AX635" s="49" t="s">
        <v>311</v>
      </c>
      <c r="AY635" s="48"/>
      <c r="AZ635" s="48" t="n">
        <v>46161</v>
      </c>
      <c r="BC635" s="49" t="s">
        <v>303</v>
      </c>
      <c r="BD635" s="48" t="n">
        <v>46177</v>
      </c>
      <c r="BE635" s="49" t="s">
        <v>2846</v>
      </c>
      <c r="BF635" s="49" t="s">
        <v>303</v>
      </c>
      <c r="BG635" s="48"/>
      <c r="BI635" s="48" t="n">
        <v>46177</v>
      </c>
      <c r="BJ635" s="48" t="n">
        <v>46175</v>
      </c>
      <c r="BK635" s="49" t="s">
        <v>313</v>
      </c>
      <c r="BL635" s="49" t="s">
        <v>313</v>
      </c>
      <c r="BM635" s="49" t="s">
        <v>310</v>
      </c>
      <c r="BN635" s="48"/>
      <c r="BO635" s="48"/>
      <c r="BP635" s="48"/>
      <c r="BQ635" s="49" t="s">
        <v>2822</v>
      </c>
      <c r="BR635" s="48" t="n">
        <v>46169</v>
      </c>
      <c r="BS635" s="49" t="s">
        <v>2847</v>
      </c>
      <c r="BT635" s="49" t="s">
        <v>312</v>
      </c>
      <c r="BU635" s="49" t="s">
        <v>312</v>
      </c>
      <c r="BV635" s="49" t="s">
        <v>303</v>
      </c>
      <c r="BX635" s="0" t="n">
        <v>1</v>
      </c>
      <c r="CC635" s="49" t="s">
        <v>315</v>
      </c>
      <c r="CD635" s="49" t="s">
        <v>303</v>
      </c>
      <c r="CF635" s="49" t="s">
        <v>303</v>
      </c>
      <c r="CG635" s="49" t="s">
        <v>316</v>
      </c>
      <c r="CH635" s="49" t="s">
        <v>317</v>
      </c>
      <c r="CI635" s="49" t="s">
        <v>318</v>
      </c>
      <c r="CM635" s="49" t="s">
        <v>54</v>
      </c>
      <c r="CV635" s="49" t="s">
        <v>303</v>
      </c>
      <c r="DB635" s="49" t="s">
        <v>319</v>
      </c>
      <c r="DD635" s="48" t="n">
        <v>46156</v>
      </c>
      <c r="DF635" s="49" t="s">
        <v>310</v>
      </c>
      <c r="DG635" s="49" t="s">
        <v>320</v>
      </c>
      <c r="DH635" s="49" t="s">
        <v>53</v>
      </c>
      <c r="DI635" s="49" t="s">
        <v>298</v>
      </c>
      <c r="DJ635" s="49" t="s">
        <v>355</v>
      </c>
      <c r="DK635" s="49" t="s">
        <v>322</v>
      </c>
      <c r="DL635" s="49" t="s">
        <v>323</v>
      </c>
      <c r="DM635" s="49" t="s">
        <v>303</v>
      </c>
      <c r="DN635" s="49" t="s">
        <v>297</v>
      </c>
      <c r="DO635" s="48"/>
      <c r="DP635" s="49" t="s">
        <v>312</v>
      </c>
      <c r="DQ635" s="48"/>
      <c r="DR635" s="49" t="s">
        <v>312</v>
      </c>
      <c r="DS635" s="49" t="s">
        <v>303</v>
      </c>
      <c r="DT635" s="49" t="s">
        <v>303</v>
      </c>
      <c r="DW635" s="49" t="s">
        <v>303</v>
      </c>
      <c r="EA635" s="49" t="s">
        <v>324</v>
      </c>
      <c r="EB635" s="49" t="s">
        <v>303</v>
      </c>
      <c r="EF635" s="49" t="s">
        <v>2848</v>
      </c>
      <c r="EH635" s="49" t="s">
        <v>310</v>
      </c>
      <c r="EJ635" s="49" t="s">
        <v>303</v>
      </c>
      <c r="EK635" s="49" t="s">
        <v>2849</v>
      </c>
      <c r="EM635" s="49" t="s">
        <v>303</v>
      </c>
      <c r="EN635" s="49" t="s">
        <v>357</v>
      </c>
      <c r="EP635" s="49" t="s">
        <v>298</v>
      </c>
      <c r="EQ635" s="0" t="n">
        <v>1</v>
      </c>
      <c r="ER635" s="49" t="s">
        <v>328</v>
      </c>
      <c r="ES635" s="49" t="s">
        <v>358</v>
      </c>
      <c r="ET635" s="49" t="s">
        <v>310</v>
      </c>
      <c r="EU635" s="49" t="s">
        <v>310</v>
      </c>
      <c r="EV635" s="49" t="s">
        <v>310</v>
      </c>
      <c r="EX635" s="49" t="s">
        <v>303</v>
      </c>
      <c r="EY635" s="49" t="s">
        <v>303</v>
      </c>
      <c r="FC635" s="49" t="s">
        <v>330</v>
      </c>
      <c r="FD635" s="49" t="s">
        <v>310</v>
      </c>
      <c r="FE635" s="49" t="s">
        <v>310</v>
      </c>
      <c r="FF635" s="49" t="s">
        <v>53</v>
      </c>
      <c r="FG635" s="49" t="s">
        <v>359</v>
      </c>
      <c r="FH635" s="49" t="s">
        <v>310</v>
      </c>
      <c r="FI635" s="49" t="s">
        <v>332</v>
      </c>
      <c r="FJ635" s="49" t="s">
        <v>303</v>
      </c>
      <c r="FL635" s="49" t="s">
        <v>325</v>
      </c>
      <c r="FM635" s="49" t="s">
        <v>2822</v>
      </c>
      <c r="FP635" s="49" t="s">
        <v>303</v>
      </c>
      <c r="FR635" s="49" t="s">
        <v>303</v>
      </c>
      <c r="FT635" s="49" t="s">
        <v>325</v>
      </c>
      <c r="FU635" s="49" t="s">
        <v>325</v>
      </c>
      <c r="FW635" s="49" t="s">
        <v>333</v>
      </c>
    </row>
    <row r="636" customFormat="false" ht="15" hidden="false" customHeight="false" outlineLevel="0" collapsed="false">
      <c r="A636" s="0" t="n">
        <v>100864157</v>
      </c>
      <c r="B636" s="0" t="s">
        <v>295</v>
      </c>
      <c r="C636" s="0" t="s">
        <v>53</v>
      </c>
      <c r="D636" s="0" t="s">
        <v>54</v>
      </c>
      <c r="E636" s="0" t="s">
        <v>297</v>
      </c>
      <c r="G636" s="0" t="n">
        <v>1</v>
      </c>
      <c r="H636" s="0" t="s">
        <v>298</v>
      </c>
      <c r="I636" s="48" t="n">
        <v>46170</v>
      </c>
      <c r="J636" s="0" t="n">
        <v>1</v>
      </c>
      <c r="K636" s="49" t="s">
        <v>2822</v>
      </c>
      <c r="L636" s="49" t="s">
        <v>2810</v>
      </c>
      <c r="M636" s="48"/>
      <c r="O636" s="49" t="s">
        <v>1052</v>
      </c>
      <c r="P636" s="48"/>
      <c r="Q636" s="48" t="n">
        <v>46170</v>
      </c>
      <c r="R636" s="48" t="n">
        <v>46176</v>
      </c>
      <c r="T636" s="49" t="s">
        <v>302</v>
      </c>
      <c r="U636" s="49" t="s">
        <v>303</v>
      </c>
      <c r="Y636" s="49" t="s">
        <v>312</v>
      </c>
      <c r="AD636" s="49" t="s">
        <v>305</v>
      </c>
      <c r="AE636" s="48" t="n">
        <v>46156</v>
      </c>
      <c r="AF636" s="49" t="s">
        <v>306</v>
      </c>
      <c r="AG636" s="49" t="s">
        <v>307</v>
      </c>
      <c r="AK636" s="49" t="s">
        <v>1047</v>
      </c>
      <c r="AL636" s="49" t="s">
        <v>297</v>
      </c>
      <c r="AO636" s="49" t="s">
        <v>303</v>
      </c>
      <c r="AP636" s="48"/>
      <c r="AR636" s="49" t="s">
        <v>303</v>
      </c>
      <c r="AS636" s="49" t="s">
        <v>306</v>
      </c>
      <c r="AT636" s="49" t="s">
        <v>2850</v>
      </c>
      <c r="AV636" s="49" t="s">
        <v>309</v>
      </c>
      <c r="AW636" s="49" t="s">
        <v>310</v>
      </c>
      <c r="AX636" s="49" t="s">
        <v>311</v>
      </c>
      <c r="AY636" s="48"/>
      <c r="AZ636" s="48" t="n">
        <v>46161</v>
      </c>
      <c r="BC636" s="49" t="s">
        <v>303</v>
      </c>
      <c r="BD636" s="48" t="n">
        <v>46215</v>
      </c>
      <c r="BE636" s="49" t="s">
        <v>2851</v>
      </c>
      <c r="BF636" s="49" t="s">
        <v>303</v>
      </c>
      <c r="BG636" s="48"/>
      <c r="BI636" s="48" t="n">
        <v>46215</v>
      </c>
      <c r="BJ636" s="48" t="n">
        <v>46175</v>
      </c>
      <c r="BK636" s="49" t="s">
        <v>313</v>
      </c>
      <c r="BL636" s="49" t="s">
        <v>313</v>
      </c>
      <c r="BM636" s="49" t="s">
        <v>310</v>
      </c>
      <c r="BN636" s="48"/>
      <c r="BO636" s="48"/>
      <c r="BP636" s="48"/>
      <c r="BQ636" s="49" t="s">
        <v>2822</v>
      </c>
      <c r="BR636" s="48" t="n">
        <v>46169</v>
      </c>
      <c r="BS636" s="49" t="s">
        <v>2847</v>
      </c>
      <c r="BT636" s="49" t="s">
        <v>312</v>
      </c>
      <c r="BU636" s="49" t="s">
        <v>312</v>
      </c>
      <c r="BV636" s="49" t="s">
        <v>303</v>
      </c>
      <c r="BX636" s="0" t="n">
        <v>1</v>
      </c>
      <c r="CC636" s="49" t="s">
        <v>315</v>
      </c>
      <c r="CD636" s="49" t="s">
        <v>303</v>
      </c>
      <c r="CF636" s="49" t="s">
        <v>303</v>
      </c>
      <c r="CG636" s="49" t="s">
        <v>316</v>
      </c>
      <c r="CH636" s="49" t="s">
        <v>317</v>
      </c>
      <c r="CI636" s="49" t="s">
        <v>318</v>
      </c>
      <c r="CM636" s="49" t="s">
        <v>54</v>
      </c>
      <c r="CV636" s="49" t="s">
        <v>303</v>
      </c>
      <c r="DB636" s="49" t="s">
        <v>319</v>
      </c>
      <c r="DD636" s="48" t="n">
        <v>46156</v>
      </c>
      <c r="DF636" s="49" t="s">
        <v>310</v>
      </c>
      <c r="DG636" s="49" t="s">
        <v>320</v>
      </c>
      <c r="DH636" s="49" t="s">
        <v>53</v>
      </c>
      <c r="DI636" s="49" t="s">
        <v>298</v>
      </c>
      <c r="DJ636" s="49" t="s">
        <v>355</v>
      </c>
      <c r="DK636" s="49" t="s">
        <v>322</v>
      </c>
      <c r="DL636" s="49" t="s">
        <v>323</v>
      </c>
      <c r="DM636" s="49" t="s">
        <v>303</v>
      </c>
      <c r="DN636" s="49" t="s">
        <v>297</v>
      </c>
      <c r="DO636" s="48"/>
      <c r="DP636" s="49" t="s">
        <v>312</v>
      </c>
      <c r="DQ636" s="48"/>
      <c r="DR636" s="49" t="s">
        <v>312</v>
      </c>
      <c r="DS636" s="49" t="s">
        <v>303</v>
      </c>
      <c r="DT636" s="49" t="s">
        <v>303</v>
      </c>
      <c r="DW636" s="49" t="s">
        <v>303</v>
      </c>
      <c r="EA636" s="49" t="s">
        <v>324</v>
      </c>
      <c r="EB636" s="49" t="s">
        <v>303</v>
      </c>
      <c r="EF636" s="49" t="s">
        <v>2848</v>
      </c>
      <c r="EH636" s="49" t="s">
        <v>310</v>
      </c>
      <c r="EJ636" s="49" t="s">
        <v>303</v>
      </c>
      <c r="EK636" s="49" t="s">
        <v>2852</v>
      </c>
      <c r="EM636" s="49" t="s">
        <v>303</v>
      </c>
      <c r="EN636" s="49" t="s">
        <v>357</v>
      </c>
      <c r="EP636" s="49" t="s">
        <v>298</v>
      </c>
      <c r="EQ636" s="0" t="n">
        <v>1</v>
      </c>
      <c r="ER636" s="49" t="s">
        <v>328</v>
      </c>
      <c r="ES636" s="49" t="s">
        <v>358</v>
      </c>
      <c r="ET636" s="49" t="s">
        <v>310</v>
      </c>
      <c r="EU636" s="49" t="s">
        <v>310</v>
      </c>
      <c r="EV636" s="49" t="s">
        <v>310</v>
      </c>
      <c r="EX636" s="49" t="s">
        <v>303</v>
      </c>
      <c r="EY636" s="49" t="s">
        <v>303</v>
      </c>
      <c r="FC636" s="49" t="s">
        <v>330</v>
      </c>
      <c r="FD636" s="49" t="s">
        <v>310</v>
      </c>
      <c r="FE636" s="49" t="s">
        <v>310</v>
      </c>
      <c r="FF636" s="49" t="s">
        <v>53</v>
      </c>
      <c r="FG636" s="49" t="s">
        <v>359</v>
      </c>
      <c r="FH636" s="49" t="s">
        <v>310</v>
      </c>
      <c r="FI636" s="49" t="s">
        <v>332</v>
      </c>
      <c r="FJ636" s="49" t="s">
        <v>303</v>
      </c>
      <c r="FL636" s="49" t="s">
        <v>325</v>
      </c>
      <c r="FM636" s="49" t="s">
        <v>2822</v>
      </c>
      <c r="FP636" s="49" t="s">
        <v>303</v>
      </c>
      <c r="FR636" s="49" t="s">
        <v>303</v>
      </c>
      <c r="FT636" s="49" t="s">
        <v>325</v>
      </c>
      <c r="FU636" s="49" t="s">
        <v>325</v>
      </c>
      <c r="FW636" s="49" t="s">
        <v>333</v>
      </c>
    </row>
    <row r="637" customFormat="false" ht="15" hidden="false" customHeight="false" outlineLevel="0" collapsed="false">
      <c r="A637" s="0" t="n">
        <v>100864260</v>
      </c>
      <c r="B637" s="0" t="s">
        <v>295</v>
      </c>
      <c r="C637" s="0" t="s">
        <v>48</v>
      </c>
      <c r="D637" s="0" t="s">
        <v>49</v>
      </c>
      <c r="E637" s="0" t="s">
        <v>297</v>
      </c>
      <c r="G637" s="0" t="n">
        <v>1</v>
      </c>
      <c r="H637" s="0" t="s">
        <v>298</v>
      </c>
      <c r="I637" s="48" t="n">
        <v>46170</v>
      </c>
      <c r="J637" s="0" t="n">
        <v>1</v>
      </c>
      <c r="K637" s="49" t="s">
        <v>2822</v>
      </c>
      <c r="L637" s="49" t="s">
        <v>2810</v>
      </c>
      <c r="M637" s="48" t="n">
        <v>46188</v>
      </c>
      <c r="N637" s="49" t="s">
        <v>2047</v>
      </c>
      <c r="O637" s="49" t="s">
        <v>1847</v>
      </c>
      <c r="P637" s="48"/>
      <c r="Q637" s="48" t="n">
        <v>46170</v>
      </c>
      <c r="R637" s="48" t="n">
        <v>46177</v>
      </c>
      <c r="T637" s="49" t="s">
        <v>302</v>
      </c>
      <c r="U637" s="49" t="s">
        <v>303</v>
      </c>
      <c r="Y637" s="49" t="s">
        <v>2853</v>
      </c>
      <c r="AD637" s="49" t="s">
        <v>305</v>
      </c>
      <c r="AE637" s="48" t="n">
        <v>46163</v>
      </c>
      <c r="AF637" s="49" t="s">
        <v>306</v>
      </c>
      <c r="AG637" s="49" t="s">
        <v>307</v>
      </c>
      <c r="AK637" s="49" t="s">
        <v>1047</v>
      </c>
      <c r="AL637" s="49" t="s">
        <v>297</v>
      </c>
      <c r="AO637" s="49" t="s">
        <v>303</v>
      </c>
      <c r="AP637" s="48"/>
      <c r="AR637" s="49" t="s">
        <v>303</v>
      </c>
      <c r="AS637" s="49" t="s">
        <v>306</v>
      </c>
      <c r="AT637" s="49" t="s">
        <v>2854</v>
      </c>
      <c r="AV637" s="49" t="s">
        <v>309</v>
      </c>
      <c r="AW637" s="49" t="s">
        <v>310</v>
      </c>
      <c r="AX637" s="49" t="s">
        <v>311</v>
      </c>
      <c r="AY637" s="48"/>
      <c r="AZ637" s="48" t="n">
        <v>46161</v>
      </c>
      <c r="BC637" s="49" t="s">
        <v>303</v>
      </c>
      <c r="BD637" s="48" t="n">
        <v>46188</v>
      </c>
      <c r="BE637" s="49" t="s">
        <v>2855</v>
      </c>
      <c r="BF637" s="49" t="s">
        <v>303</v>
      </c>
      <c r="BG637" s="48"/>
      <c r="BI637" s="48" t="n">
        <v>46188</v>
      </c>
      <c r="BJ637" s="48" t="n">
        <v>46175</v>
      </c>
      <c r="BK637" s="49" t="s">
        <v>312</v>
      </c>
      <c r="BL637" s="49" t="s">
        <v>313</v>
      </c>
      <c r="BM637" s="49" t="s">
        <v>310</v>
      </c>
      <c r="BN637" s="48"/>
      <c r="BO637" s="48"/>
      <c r="BP637" s="48"/>
      <c r="BQ637" s="49" t="s">
        <v>2822</v>
      </c>
      <c r="BR637" s="48" t="n">
        <v>46169</v>
      </c>
      <c r="BS637" s="49" t="s">
        <v>2856</v>
      </c>
      <c r="BT637" s="49" t="s">
        <v>312</v>
      </c>
      <c r="BU637" s="49" t="s">
        <v>312</v>
      </c>
      <c r="BV637" s="49" t="s">
        <v>303</v>
      </c>
      <c r="BX637" s="0" t="n">
        <v>1</v>
      </c>
      <c r="CC637" s="49" t="s">
        <v>315</v>
      </c>
      <c r="CD637" s="49" t="s">
        <v>303</v>
      </c>
      <c r="CF637" s="49" t="s">
        <v>303</v>
      </c>
      <c r="CG637" s="49" t="s">
        <v>316</v>
      </c>
      <c r="CH637" s="49" t="s">
        <v>317</v>
      </c>
      <c r="CI637" s="49" t="s">
        <v>318</v>
      </c>
      <c r="CM637" s="49" t="s">
        <v>49</v>
      </c>
      <c r="CV637" s="49" t="s">
        <v>303</v>
      </c>
      <c r="DB637" s="49" t="s">
        <v>319</v>
      </c>
      <c r="DD637" s="48" t="n">
        <v>46163</v>
      </c>
      <c r="DF637" s="49" t="s">
        <v>310</v>
      </c>
      <c r="DG637" s="49" t="s">
        <v>320</v>
      </c>
      <c r="DH637" s="49" t="s">
        <v>48</v>
      </c>
      <c r="DI637" s="49" t="s">
        <v>298</v>
      </c>
      <c r="DJ637" s="49" t="s">
        <v>339</v>
      </c>
      <c r="DK637" s="49" t="s">
        <v>322</v>
      </c>
      <c r="DL637" s="49" t="s">
        <v>323</v>
      </c>
      <c r="DM637" s="49" t="s">
        <v>303</v>
      </c>
      <c r="DN637" s="49" t="s">
        <v>297</v>
      </c>
      <c r="DO637" s="48"/>
      <c r="DP637" s="49" t="s">
        <v>312</v>
      </c>
      <c r="DQ637" s="48"/>
      <c r="DR637" s="49" t="s">
        <v>312</v>
      </c>
      <c r="DS637" s="49" t="s">
        <v>303</v>
      </c>
      <c r="DT637" s="49" t="s">
        <v>303</v>
      </c>
      <c r="DW637" s="49" t="s">
        <v>303</v>
      </c>
      <c r="EA637" s="49" t="s">
        <v>324</v>
      </c>
      <c r="EB637" s="49" t="s">
        <v>303</v>
      </c>
      <c r="EH637" s="49" t="s">
        <v>310</v>
      </c>
      <c r="EJ637" s="49" t="s">
        <v>303</v>
      </c>
      <c r="EK637" s="49" t="s">
        <v>2857</v>
      </c>
      <c r="EM637" s="49" t="s">
        <v>303</v>
      </c>
      <c r="EN637" s="49" t="s">
        <v>341</v>
      </c>
      <c r="EP637" s="49" t="s">
        <v>298</v>
      </c>
      <c r="EQ637" s="0" t="n">
        <v>1</v>
      </c>
      <c r="ER637" s="49" t="s">
        <v>328</v>
      </c>
      <c r="ES637" s="49" t="s">
        <v>342</v>
      </c>
      <c r="ET637" s="49" t="s">
        <v>310</v>
      </c>
      <c r="EU637" s="49" t="s">
        <v>310</v>
      </c>
      <c r="EV637" s="49" t="s">
        <v>310</v>
      </c>
      <c r="EX637" s="49" t="s">
        <v>303</v>
      </c>
      <c r="EY637" s="49" t="s">
        <v>303</v>
      </c>
      <c r="FC637" s="49" t="s">
        <v>330</v>
      </c>
      <c r="FD637" s="49" t="s">
        <v>310</v>
      </c>
      <c r="FE637" s="49" t="s">
        <v>310</v>
      </c>
      <c r="FF637" s="49" t="s">
        <v>48</v>
      </c>
      <c r="FG637" s="49" t="s">
        <v>343</v>
      </c>
      <c r="FH637" s="49" t="s">
        <v>310</v>
      </c>
      <c r="FI637" s="49" t="s">
        <v>332</v>
      </c>
      <c r="FJ637" s="49" t="s">
        <v>303</v>
      </c>
      <c r="FL637" s="49" t="s">
        <v>325</v>
      </c>
      <c r="FM637" s="49" t="s">
        <v>2822</v>
      </c>
      <c r="FP637" s="49" t="s">
        <v>303</v>
      </c>
      <c r="FR637" s="49" t="s">
        <v>303</v>
      </c>
      <c r="FT637" s="49" t="s">
        <v>325</v>
      </c>
      <c r="FU637" s="49" t="s">
        <v>325</v>
      </c>
      <c r="FW637" s="49" t="s">
        <v>333</v>
      </c>
    </row>
    <row r="638" customFormat="false" ht="15" hidden="false" customHeight="false" outlineLevel="0" collapsed="false">
      <c r="A638" s="0" t="n">
        <v>100863682</v>
      </c>
      <c r="B638" s="0" t="s">
        <v>295</v>
      </c>
      <c r="C638" s="0" t="s">
        <v>64</v>
      </c>
      <c r="D638" s="0" t="s">
        <v>65</v>
      </c>
      <c r="E638" s="0" t="s">
        <v>297</v>
      </c>
      <c r="G638" s="0" t="n">
        <v>1</v>
      </c>
      <c r="H638" s="0" t="s">
        <v>298</v>
      </c>
      <c r="I638" s="48" t="n">
        <v>46165</v>
      </c>
      <c r="J638" s="0" t="n">
        <v>1</v>
      </c>
      <c r="K638" s="49" t="s">
        <v>2858</v>
      </c>
      <c r="L638" s="49" t="s">
        <v>1830</v>
      </c>
      <c r="M638" s="48" t="n">
        <v>46174</v>
      </c>
      <c r="N638" s="49" t="s">
        <v>1204</v>
      </c>
      <c r="O638" s="49" t="s">
        <v>2803</v>
      </c>
      <c r="P638" s="48"/>
      <c r="Q638" s="48" t="n">
        <v>46165</v>
      </c>
      <c r="R638" s="48" t="n">
        <v>46172</v>
      </c>
      <c r="T638" s="49" t="s">
        <v>302</v>
      </c>
      <c r="U638" s="49" t="s">
        <v>303</v>
      </c>
      <c r="Y638" s="49" t="s">
        <v>2859</v>
      </c>
      <c r="AD638" s="49" t="s">
        <v>305</v>
      </c>
      <c r="AE638" s="48" t="n">
        <v>46147</v>
      </c>
      <c r="AF638" s="49" t="s">
        <v>306</v>
      </c>
      <c r="AG638" s="49" t="s">
        <v>307</v>
      </c>
      <c r="AK638" s="49" t="s">
        <v>1047</v>
      </c>
      <c r="AL638" s="49" t="s">
        <v>297</v>
      </c>
      <c r="AO638" s="49" t="s">
        <v>303</v>
      </c>
      <c r="AP638" s="48"/>
      <c r="AR638" s="49" t="s">
        <v>303</v>
      </c>
      <c r="AS638" s="49" t="s">
        <v>306</v>
      </c>
      <c r="AT638" s="49" t="s">
        <v>2628</v>
      </c>
      <c r="AV638" s="49" t="s">
        <v>309</v>
      </c>
      <c r="AW638" s="49" t="s">
        <v>310</v>
      </c>
      <c r="AX638" s="49" t="s">
        <v>311</v>
      </c>
      <c r="AY638" s="48"/>
      <c r="AZ638" s="48" t="n">
        <v>46162</v>
      </c>
      <c r="BC638" s="49" t="s">
        <v>303</v>
      </c>
      <c r="BD638" s="48" t="n">
        <v>46168</v>
      </c>
      <c r="BE638" s="49" t="s">
        <v>2860</v>
      </c>
      <c r="BF638" s="49" t="s">
        <v>303</v>
      </c>
      <c r="BG638" s="48"/>
      <c r="BI638" s="48" t="n">
        <v>46168</v>
      </c>
      <c r="BJ638" s="48" t="n">
        <v>46170</v>
      </c>
      <c r="BK638" s="49" t="s">
        <v>312</v>
      </c>
      <c r="BL638" s="49" t="s">
        <v>313</v>
      </c>
      <c r="BM638" s="49" t="s">
        <v>310</v>
      </c>
      <c r="BN638" s="48"/>
      <c r="BO638" s="48"/>
      <c r="BP638" s="48"/>
      <c r="BQ638" s="49" t="s">
        <v>2861</v>
      </c>
      <c r="BR638" s="48" t="n">
        <v>46170</v>
      </c>
      <c r="BS638" s="49" t="s">
        <v>2862</v>
      </c>
      <c r="BT638" s="49" t="s">
        <v>312</v>
      </c>
      <c r="BU638" s="49" t="s">
        <v>313</v>
      </c>
      <c r="BV638" s="49" t="s">
        <v>303</v>
      </c>
      <c r="BX638" s="0" t="n">
        <v>1</v>
      </c>
      <c r="CC638" s="49" t="s">
        <v>315</v>
      </c>
      <c r="CD638" s="49" t="s">
        <v>303</v>
      </c>
      <c r="CF638" s="49" t="s">
        <v>303</v>
      </c>
      <c r="CG638" s="49" t="s">
        <v>316</v>
      </c>
      <c r="CH638" s="49" t="s">
        <v>317</v>
      </c>
      <c r="CI638" s="49" t="s">
        <v>318</v>
      </c>
      <c r="CM638" s="49" t="s">
        <v>65</v>
      </c>
      <c r="CV638" s="49" t="s">
        <v>303</v>
      </c>
      <c r="DB638" s="49" t="s">
        <v>319</v>
      </c>
      <c r="DD638" s="48" t="n">
        <v>46147</v>
      </c>
      <c r="DF638" s="49" t="s">
        <v>310</v>
      </c>
      <c r="DG638" s="49" t="s">
        <v>320</v>
      </c>
      <c r="DH638" s="49" t="s">
        <v>64</v>
      </c>
      <c r="DI638" s="49" t="s">
        <v>298</v>
      </c>
      <c r="DJ638" s="49" t="s">
        <v>394</v>
      </c>
      <c r="DK638" s="49" t="s">
        <v>322</v>
      </c>
      <c r="DL638" s="49" t="s">
        <v>323</v>
      </c>
      <c r="DM638" s="49" t="s">
        <v>303</v>
      </c>
      <c r="DN638" s="49" t="s">
        <v>297</v>
      </c>
      <c r="DO638" s="48"/>
      <c r="DP638" s="49" t="s">
        <v>312</v>
      </c>
      <c r="DQ638" s="48"/>
      <c r="DR638" s="49" t="s">
        <v>312</v>
      </c>
      <c r="DS638" s="49" t="s">
        <v>303</v>
      </c>
      <c r="DT638" s="49" t="s">
        <v>303</v>
      </c>
      <c r="DW638" s="49" t="s">
        <v>303</v>
      </c>
      <c r="EA638" s="49" t="s">
        <v>324</v>
      </c>
      <c r="EB638" s="49" t="s">
        <v>303</v>
      </c>
      <c r="EH638" s="49" t="s">
        <v>310</v>
      </c>
      <c r="EJ638" s="49" t="s">
        <v>303</v>
      </c>
      <c r="EK638" s="49" t="s">
        <v>2863</v>
      </c>
      <c r="EM638" s="49" t="s">
        <v>303</v>
      </c>
      <c r="EN638" s="49" t="s">
        <v>396</v>
      </c>
      <c r="EP638" s="49" t="s">
        <v>298</v>
      </c>
      <c r="EQ638" s="0" t="n">
        <v>1</v>
      </c>
      <c r="ER638" s="49" t="s">
        <v>328</v>
      </c>
      <c r="ES638" s="49" t="s">
        <v>329</v>
      </c>
      <c r="ET638" s="49" t="s">
        <v>310</v>
      </c>
      <c r="EU638" s="49" t="s">
        <v>310</v>
      </c>
      <c r="EV638" s="49" t="s">
        <v>310</v>
      </c>
      <c r="EX638" s="49" t="s">
        <v>303</v>
      </c>
      <c r="EY638" s="49" t="s">
        <v>303</v>
      </c>
      <c r="FC638" s="49" t="s">
        <v>330</v>
      </c>
      <c r="FD638" s="49" t="s">
        <v>310</v>
      </c>
      <c r="FE638" s="49" t="s">
        <v>310</v>
      </c>
      <c r="FF638" s="49" t="s">
        <v>64</v>
      </c>
      <c r="FG638" s="49" t="s">
        <v>397</v>
      </c>
      <c r="FH638" s="49" t="s">
        <v>310</v>
      </c>
      <c r="FI638" s="49" t="s">
        <v>332</v>
      </c>
      <c r="FJ638" s="49" t="s">
        <v>303</v>
      </c>
      <c r="FL638" s="49" t="s">
        <v>325</v>
      </c>
      <c r="FM638" s="49" t="s">
        <v>2858</v>
      </c>
      <c r="FP638" s="49" t="s">
        <v>303</v>
      </c>
      <c r="FR638" s="49" t="s">
        <v>303</v>
      </c>
      <c r="FT638" s="49" t="s">
        <v>325</v>
      </c>
      <c r="FU638" s="49" t="s">
        <v>325</v>
      </c>
      <c r="FW638" s="49" t="s">
        <v>333</v>
      </c>
    </row>
    <row r="639" customFormat="false" ht="15" hidden="false" customHeight="false" outlineLevel="0" collapsed="false">
      <c r="A639" s="0" t="n">
        <v>100863685</v>
      </c>
      <c r="B639" s="0" t="s">
        <v>295</v>
      </c>
      <c r="C639" s="0" t="s">
        <v>64</v>
      </c>
      <c r="D639" s="0" t="s">
        <v>65</v>
      </c>
      <c r="E639" s="0" t="s">
        <v>297</v>
      </c>
      <c r="G639" s="0" t="n">
        <v>1</v>
      </c>
      <c r="H639" s="0" t="s">
        <v>298</v>
      </c>
      <c r="I639" s="48" t="n">
        <v>46165</v>
      </c>
      <c r="J639" s="0" t="n">
        <v>1</v>
      </c>
      <c r="K639" s="49" t="s">
        <v>2858</v>
      </c>
      <c r="L639" s="49" t="s">
        <v>1830</v>
      </c>
      <c r="M639" s="48" t="n">
        <v>46171</v>
      </c>
      <c r="N639" s="49" t="s">
        <v>2864</v>
      </c>
      <c r="O639" s="49" t="s">
        <v>1052</v>
      </c>
      <c r="P639" s="48"/>
      <c r="Q639" s="48" t="n">
        <v>46165</v>
      </c>
      <c r="R639" s="48" t="n">
        <v>46171</v>
      </c>
      <c r="T639" s="49" t="s">
        <v>302</v>
      </c>
      <c r="U639" s="49" t="s">
        <v>303</v>
      </c>
      <c r="Y639" s="49" t="s">
        <v>2865</v>
      </c>
      <c r="AD639" s="49" t="s">
        <v>305</v>
      </c>
      <c r="AE639" s="48" t="n">
        <v>46147</v>
      </c>
      <c r="AF639" s="49" t="s">
        <v>306</v>
      </c>
      <c r="AG639" s="49" t="s">
        <v>307</v>
      </c>
      <c r="AK639" s="49" t="s">
        <v>1047</v>
      </c>
      <c r="AL639" s="49" t="s">
        <v>297</v>
      </c>
      <c r="AO639" s="49" t="s">
        <v>303</v>
      </c>
      <c r="AP639" s="48"/>
      <c r="AR639" s="49" t="s">
        <v>303</v>
      </c>
      <c r="AS639" s="49" t="s">
        <v>306</v>
      </c>
      <c r="AT639" s="49" t="s">
        <v>2866</v>
      </c>
      <c r="AV639" s="49" t="s">
        <v>309</v>
      </c>
      <c r="AW639" s="49" t="s">
        <v>310</v>
      </c>
      <c r="AX639" s="49" t="s">
        <v>311</v>
      </c>
      <c r="AY639" s="48"/>
      <c r="AZ639" s="48" t="n">
        <v>46162</v>
      </c>
      <c r="BC639" s="49" t="s">
        <v>303</v>
      </c>
      <c r="BD639" s="48" t="n">
        <v>46177</v>
      </c>
      <c r="BE639" s="49" t="s">
        <v>2867</v>
      </c>
      <c r="BF639" s="49" t="s">
        <v>303</v>
      </c>
      <c r="BG639" s="48"/>
      <c r="BI639" s="48" t="n">
        <v>46177</v>
      </c>
      <c r="BJ639" s="48" t="n">
        <v>46170</v>
      </c>
      <c r="BK639" s="49" t="s">
        <v>313</v>
      </c>
      <c r="BL639" s="49" t="s">
        <v>313</v>
      </c>
      <c r="BM639" s="49" t="s">
        <v>310</v>
      </c>
      <c r="BN639" s="48"/>
      <c r="BO639" s="48"/>
      <c r="BP639" s="48"/>
      <c r="BQ639" s="49" t="s">
        <v>2809</v>
      </c>
      <c r="BR639" s="48" t="n">
        <v>46170</v>
      </c>
      <c r="BS639" s="49" t="s">
        <v>2868</v>
      </c>
      <c r="BT639" s="49" t="s">
        <v>312</v>
      </c>
      <c r="BU639" s="49" t="s">
        <v>313</v>
      </c>
      <c r="BV639" s="49" t="s">
        <v>303</v>
      </c>
      <c r="BX639" s="0" t="n">
        <v>1</v>
      </c>
      <c r="CC639" s="49" t="s">
        <v>315</v>
      </c>
      <c r="CD639" s="49" t="s">
        <v>303</v>
      </c>
      <c r="CF639" s="49" t="s">
        <v>303</v>
      </c>
      <c r="CG639" s="49" t="s">
        <v>316</v>
      </c>
      <c r="CH639" s="49" t="s">
        <v>317</v>
      </c>
      <c r="CI639" s="49" t="s">
        <v>318</v>
      </c>
      <c r="CM639" s="49" t="s">
        <v>65</v>
      </c>
      <c r="CV639" s="49" t="s">
        <v>303</v>
      </c>
      <c r="DB639" s="49" t="s">
        <v>319</v>
      </c>
      <c r="DD639" s="48" t="n">
        <v>46147</v>
      </c>
      <c r="DF639" s="49" t="s">
        <v>310</v>
      </c>
      <c r="DG639" s="49" t="s">
        <v>320</v>
      </c>
      <c r="DH639" s="49" t="s">
        <v>64</v>
      </c>
      <c r="DI639" s="49" t="s">
        <v>298</v>
      </c>
      <c r="DJ639" s="49" t="s">
        <v>394</v>
      </c>
      <c r="DK639" s="49" t="s">
        <v>322</v>
      </c>
      <c r="DL639" s="49" t="s">
        <v>323</v>
      </c>
      <c r="DM639" s="49" t="s">
        <v>303</v>
      </c>
      <c r="DN639" s="49" t="s">
        <v>297</v>
      </c>
      <c r="DO639" s="48"/>
      <c r="DP639" s="49" t="s">
        <v>312</v>
      </c>
      <c r="DQ639" s="48"/>
      <c r="DR639" s="49" t="s">
        <v>312</v>
      </c>
      <c r="DS639" s="49" t="s">
        <v>303</v>
      </c>
      <c r="DT639" s="49" t="s">
        <v>303</v>
      </c>
      <c r="DW639" s="49" t="s">
        <v>303</v>
      </c>
      <c r="EA639" s="49" t="s">
        <v>324</v>
      </c>
      <c r="EB639" s="49" t="s">
        <v>303</v>
      </c>
      <c r="EF639" s="49" t="s">
        <v>2869</v>
      </c>
      <c r="EH639" s="49" t="s">
        <v>310</v>
      </c>
      <c r="EJ639" s="49" t="s">
        <v>303</v>
      </c>
      <c r="EK639" s="49" t="s">
        <v>2870</v>
      </c>
      <c r="EM639" s="49" t="s">
        <v>303</v>
      </c>
      <c r="EN639" s="49" t="s">
        <v>396</v>
      </c>
      <c r="EP639" s="49" t="s">
        <v>298</v>
      </c>
      <c r="EQ639" s="0" t="n">
        <v>1</v>
      </c>
      <c r="ER639" s="49" t="s">
        <v>328</v>
      </c>
      <c r="ES639" s="49" t="s">
        <v>329</v>
      </c>
      <c r="ET639" s="49" t="s">
        <v>310</v>
      </c>
      <c r="EU639" s="49" t="s">
        <v>310</v>
      </c>
      <c r="EV639" s="49" t="s">
        <v>310</v>
      </c>
      <c r="EX639" s="49" t="s">
        <v>303</v>
      </c>
      <c r="EY639" s="49" t="s">
        <v>303</v>
      </c>
      <c r="FC639" s="49" t="s">
        <v>330</v>
      </c>
      <c r="FD639" s="49" t="s">
        <v>310</v>
      </c>
      <c r="FE639" s="49" t="s">
        <v>310</v>
      </c>
      <c r="FF639" s="49" t="s">
        <v>64</v>
      </c>
      <c r="FG639" s="49" t="s">
        <v>397</v>
      </c>
      <c r="FH639" s="49" t="s">
        <v>310</v>
      </c>
      <c r="FI639" s="49" t="s">
        <v>332</v>
      </c>
      <c r="FJ639" s="49" t="s">
        <v>303</v>
      </c>
      <c r="FL639" s="49" t="s">
        <v>325</v>
      </c>
      <c r="FM639" s="49" t="s">
        <v>2858</v>
      </c>
      <c r="FP639" s="49" t="s">
        <v>303</v>
      </c>
      <c r="FR639" s="49" t="s">
        <v>303</v>
      </c>
      <c r="FT639" s="49" t="s">
        <v>325</v>
      </c>
      <c r="FU639" s="49" t="s">
        <v>325</v>
      </c>
      <c r="FW639" s="49" t="s">
        <v>333</v>
      </c>
    </row>
    <row r="640" customFormat="false" ht="15" hidden="false" customHeight="false" outlineLevel="0" collapsed="false">
      <c r="A640" s="0" t="n">
        <v>100863686</v>
      </c>
      <c r="B640" s="0" t="s">
        <v>295</v>
      </c>
      <c r="C640" s="0" t="s">
        <v>64</v>
      </c>
      <c r="D640" s="0" t="s">
        <v>65</v>
      </c>
      <c r="E640" s="0" t="s">
        <v>297</v>
      </c>
      <c r="G640" s="0" t="n">
        <v>1</v>
      </c>
      <c r="H640" s="0" t="s">
        <v>298</v>
      </c>
      <c r="I640" s="48" t="n">
        <v>46165</v>
      </c>
      <c r="J640" s="0" t="n">
        <v>1</v>
      </c>
      <c r="K640" s="49" t="s">
        <v>2858</v>
      </c>
      <c r="L640" s="49" t="s">
        <v>1830</v>
      </c>
      <c r="M640" s="48" t="n">
        <v>46171</v>
      </c>
      <c r="N640" s="49" t="s">
        <v>2864</v>
      </c>
      <c r="O640" s="49" t="s">
        <v>1052</v>
      </c>
      <c r="P640" s="48"/>
      <c r="Q640" s="48" t="n">
        <v>46165</v>
      </c>
      <c r="R640" s="48" t="n">
        <v>46171</v>
      </c>
      <c r="T640" s="49" t="s">
        <v>302</v>
      </c>
      <c r="U640" s="49" t="s">
        <v>303</v>
      </c>
      <c r="Y640" s="49" t="s">
        <v>2871</v>
      </c>
      <c r="AD640" s="49" t="s">
        <v>305</v>
      </c>
      <c r="AE640" s="48" t="n">
        <v>46147</v>
      </c>
      <c r="AF640" s="49" t="s">
        <v>306</v>
      </c>
      <c r="AG640" s="49" t="s">
        <v>307</v>
      </c>
      <c r="AK640" s="49" t="s">
        <v>1047</v>
      </c>
      <c r="AL640" s="49" t="s">
        <v>297</v>
      </c>
      <c r="AO640" s="49" t="s">
        <v>303</v>
      </c>
      <c r="AP640" s="48"/>
      <c r="AR640" s="49" t="s">
        <v>303</v>
      </c>
      <c r="AS640" s="49" t="s">
        <v>306</v>
      </c>
      <c r="AT640" s="49" t="s">
        <v>2872</v>
      </c>
      <c r="AV640" s="49" t="s">
        <v>309</v>
      </c>
      <c r="AW640" s="49" t="s">
        <v>310</v>
      </c>
      <c r="AX640" s="49" t="s">
        <v>311</v>
      </c>
      <c r="AY640" s="48"/>
      <c r="AZ640" s="48" t="n">
        <v>46162</v>
      </c>
      <c r="BC640" s="49" t="s">
        <v>303</v>
      </c>
      <c r="BD640" s="48" t="n">
        <v>46177</v>
      </c>
      <c r="BE640" s="49" t="s">
        <v>2867</v>
      </c>
      <c r="BF640" s="49" t="s">
        <v>303</v>
      </c>
      <c r="BG640" s="48"/>
      <c r="BI640" s="48" t="n">
        <v>46177</v>
      </c>
      <c r="BJ640" s="48" t="n">
        <v>46170</v>
      </c>
      <c r="BK640" s="49" t="s">
        <v>313</v>
      </c>
      <c r="BL640" s="49" t="s">
        <v>313</v>
      </c>
      <c r="BM640" s="49" t="s">
        <v>310</v>
      </c>
      <c r="BN640" s="48"/>
      <c r="BO640" s="48"/>
      <c r="BP640" s="48"/>
      <c r="BQ640" s="49" t="s">
        <v>2809</v>
      </c>
      <c r="BR640" s="48" t="n">
        <v>46170</v>
      </c>
      <c r="BS640" s="49" t="s">
        <v>2873</v>
      </c>
      <c r="BT640" s="49" t="s">
        <v>312</v>
      </c>
      <c r="BU640" s="49" t="s">
        <v>313</v>
      </c>
      <c r="BV640" s="49" t="s">
        <v>303</v>
      </c>
      <c r="BX640" s="0" t="n">
        <v>1</v>
      </c>
      <c r="CC640" s="49" t="s">
        <v>315</v>
      </c>
      <c r="CD640" s="49" t="s">
        <v>303</v>
      </c>
      <c r="CF640" s="49" t="s">
        <v>303</v>
      </c>
      <c r="CG640" s="49" t="s">
        <v>316</v>
      </c>
      <c r="CH640" s="49" t="s">
        <v>317</v>
      </c>
      <c r="CI640" s="49" t="s">
        <v>318</v>
      </c>
      <c r="CM640" s="49" t="s">
        <v>65</v>
      </c>
      <c r="CV640" s="49" t="s">
        <v>303</v>
      </c>
      <c r="DB640" s="49" t="s">
        <v>319</v>
      </c>
      <c r="DD640" s="48" t="n">
        <v>46147</v>
      </c>
      <c r="DF640" s="49" t="s">
        <v>310</v>
      </c>
      <c r="DG640" s="49" t="s">
        <v>320</v>
      </c>
      <c r="DH640" s="49" t="s">
        <v>64</v>
      </c>
      <c r="DI640" s="49" t="s">
        <v>298</v>
      </c>
      <c r="DJ640" s="49" t="s">
        <v>394</v>
      </c>
      <c r="DK640" s="49" t="s">
        <v>322</v>
      </c>
      <c r="DL640" s="49" t="s">
        <v>323</v>
      </c>
      <c r="DM640" s="49" t="s">
        <v>303</v>
      </c>
      <c r="DN640" s="49" t="s">
        <v>297</v>
      </c>
      <c r="DO640" s="48"/>
      <c r="DP640" s="49" t="s">
        <v>312</v>
      </c>
      <c r="DQ640" s="48"/>
      <c r="DR640" s="49" t="s">
        <v>312</v>
      </c>
      <c r="DS640" s="49" t="s">
        <v>303</v>
      </c>
      <c r="DT640" s="49" t="s">
        <v>303</v>
      </c>
      <c r="DW640" s="49" t="s">
        <v>303</v>
      </c>
      <c r="EA640" s="49" t="s">
        <v>324</v>
      </c>
      <c r="EB640" s="49" t="s">
        <v>303</v>
      </c>
      <c r="EF640" s="49" t="s">
        <v>2869</v>
      </c>
      <c r="EH640" s="49" t="s">
        <v>310</v>
      </c>
      <c r="EJ640" s="49" t="s">
        <v>303</v>
      </c>
      <c r="EK640" s="49" t="s">
        <v>2874</v>
      </c>
      <c r="EM640" s="49" t="s">
        <v>303</v>
      </c>
      <c r="EN640" s="49" t="s">
        <v>396</v>
      </c>
      <c r="EP640" s="49" t="s">
        <v>298</v>
      </c>
      <c r="EQ640" s="0" t="n">
        <v>1</v>
      </c>
      <c r="ER640" s="49" t="s">
        <v>328</v>
      </c>
      <c r="ES640" s="49" t="s">
        <v>329</v>
      </c>
      <c r="ET640" s="49" t="s">
        <v>310</v>
      </c>
      <c r="EU640" s="49" t="s">
        <v>310</v>
      </c>
      <c r="EV640" s="49" t="s">
        <v>310</v>
      </c>
      <c r="EX640" s="49" t="s">
        <v>303</v>
      </c>
      <c r="EY640" s="49" t="s">
        <v>303</v>
      </c>
      <c r="FC640" s="49" t="s">
        <v>330</v>
      </c>
      <c r="FD640" s="49" t="s">
        <v>310</v>
      </c>
      <c r="FE640" s="49" t="s">
        <v>310</v>
      </c>
      <c r="FF640" s="49" t="s">
        <v>64</v>
      </c>
      <c r="FG640" s="49" t="s">
        <v>397</v>
      </c>
      <c r="FH640" s="49" t="s">
        <v>310</v>
      </c>
      <c r="FI640" s="49" t="s">
        <v>332</v>
      </c>
      <c r="FJ640" s="49" t="s">
        <v>303</v>
      </c>
      <c r="FL640" s="49" t="s">
        <v>325</v>
      </c>
      <c r="FM640" s="49" t="s">
        <v>2858</v>
      </c>
      <c r="FP640" s="49" t="s">
        <v>303</v>
      </c>
      <c r="FR640" s="49" t="s">
        <v>303</v>
      </c>
      <c r="FT640" s="49" t="s">
        <v>325</v>
      </c>
      <c r="FU640" s="49" t="s">
        <v>325</v>
      </c>
      <c r="FW640" s="49" t="s">
        <v>333</v>
      </c>
    </row>
    <row r="641" customFormat="false" ht="15" hidden="false" customHeight="false" outlineLevel="0" collapsed="false">
      <c r="A641" s="0" t="n">
        <v>100863687</v>
      </c>
      <c r="B641" s="0" t="s">
        <v>295</v>
      </c>
      <c r="C641" s="0" t="s">
        <v>64</v>
      </c>
      <c r="D641" s="0" t="s">
        <v>65</v>
      </c>
      <c r="E641" s="0" t="s">
        <v>297</v>
      </c>
      <c r="G641" s="0" t="n">
        <v>1</v>
      </c>
      <c r="H641" s="0" t="s">
        <v>298</v>
      </c>
      <c r="I641" s="48" t="n">
        <v>46165</v>
      </c>
      <c r="J641" s="0" t="n">
        <v>1</v>
      </c>
      <c r="K641" s="49" t="s">
        <v>2858</v>
      </c>
      <c r="L641" s="49" t="s">
        <v>1830</v>
      </c>
      <c r="M641" s="48" t="n">
        <v>46171</v>
      </c>
      <c r="N641" s="49" t="s">
        <v>1204</v>
      </c>
      <c r="O641" s="49" t="s">
        <v>1052</v>
      </c>
      <c r="P641" s="48"/>
      <c r="Q641" s="48" t="n">
        <v>46165</v>
      </c>
      <c r="R641" s="48" t="n">
        <v>46171</v>
      </c>
      <c r="T641" s="49" t="s">
        <v>302</v>
      </c>
      <c r="U641" s="49" t="s">
        <v>303</v>
      </c>
      <c r="Y641" s="49" t="s">
        <v>2875</v>
      </c>
      <c r="AD641" s="49" t="s">
        <v>305</v>
      </c>
      <c r="AE641" s="48" t="n">
        <v>46147</v>
      </c>
      <c r="AF641" s="49" t="s">
        <v>306</v>
      </c>
      <c r="AG641" s="49" t="s">
        <v>307</v>
      </c>
      <c r="AK641" s="49" t="s">
        <v>1047</v>
      </c>
      <c r="AL641" s="49" t="s">
        <v>297</v>
      </c>
      <c r="AO641" s="49" t="s">
        <v>303</v>
      </c>
      <c r="AP641" s="48"/>
      <c r="AR641" s="49" t="s">
        <v>303</v>
      </c>
      <c r="AS641" s="49" t="s">
        <v>306</v>
      </c>
      <c r="AT641" s="49" t="s">
        <v>2876</v>
      </c>
      <c r="AV641" s="49" t="s">
        <v>309</v>
      </c>
      <c r="AW641" s="49" t="s">
        <v>310</v>
      </c>
      <c r="AX641" s="49" t="s">
        <v>311</v>
      </c>
      <c r="AY641" s="48"/>
      <c r="AZ641" s="48" t="n">
        <v>46162</v>
      </c>
      <c r="BC641" s="49" t="s">
        <v>303</v>
      </c>
      <c r="BD641" s="48" t="n">
        <v>46181</v>
      </c>
      <c r="BE641" s="49" t="s">
        <v>2877</v>
      </c>
      <c r="BF641" s="49" t="s">
        <v>303</v>
      </c>
      <c r="BG641" s="48"/>
      <c r="BI641" s="48" t="n">
        <v>46181</v>
      </c>
      <c r="BJ641" s="48" t="n">
        <v>46170</v>
      </c>
      <c r="BK641" s="49" t="s">
        <v>313</v>
      </c>
      <c r="BL641" s="49" t="s">
        <v>313</v>
      </c>
      <c r="BM641" s="49" t="s">
        <v>310</v>
      </c>
      <c r="BN641" s="48"/>
      <c r="BO641" s="48"/>
      <c r="BP641" s="48"/>
      <c r="BQ641" s="49" t="s">
        <v>2809</v>
      </c>
      <c r="BR641" s="48" t="n">
        <v>46170</v>
      </c>
      <c r="BS641" s="49" t="s">
        <v>2878</v>
      </c>
      <c r="BT641" s="49" t="s">
        <v>312</v>
      </c>
      <c r="BU641" s="49" t="s">
        <v>313</v>
      </c>
      <c r="BV641" s="49" t="s">
        <v>303</v>
      </c>
      <c r="BX641" s="0" t="n">
        <v>1</v>
      </c>
      <c r="CC641" s="49" t="s">
        <v>315</v>
      </c>
      <c r="CD641" s="49" t="s">
        <v>303</v>
      </c>
      <c r="CF641" s="49" t="s">
        <v>303</v>
      </c>
      <c r="CG641" s="49" t="s">
        <v>316</v>
      </c>
      <c r="CH641" s="49" t="s">
        <v>317</v>
      </c>
      <c r="CI641" s="49" t="s">
        <v>318</v>
      </c>
      <c r="CM641" s="49" t="s">
        <v>65</v>
      </c>
      <c r="CV641" s="49" t="s">
        <v>303</v>
      </c>
      <c r="DB641" s="49" t="s">
        <v>319</v>
      </c>
      <c r="DD641" s="48" t="n">
        <v>46147</v>
      </c>
      <c r="DF641" s="49" t="s">
        <v>310</v>
      </c>
      <c r="DG641" s="49" t="s">
        <v>320</v>
      </c>
      <c r="DH641" s="49" t="s">
        <v>64</v>
      </c>
      <c r="DI641" s="49" t="s">
        <v>298</v>
      </c>
      <c r="DJ641" s="49" t="s">
        <v>394</v>
      </c>
      <c r="DK641" s="49" t="s">
        <v>322</v>
      </c>
      <c r="DL641" s="49" t="s">
        <v>323</v>
      </c>
      <c r="DM641" s="49" t="s">
        <v>303</v>
      </c>
      <c r="DN641" s="49" t="s">
        <v>297</v>
      </c>
      <c r="DO641" s="48"/>
      <c r="DP641" s="49" t="s">
        <v>312</v>
      </c>
      <c r="DQ641" s="48"/>
      <c r="DR641" s="49" t="s">
        <v>312</v>
      </c>
      <c r="DS641" s="49" t="s">
        <v>303</v>
      </c>
      <c r="DT641" s="49" t="s">
        <v>303</v>
      </c>
      <c r="DW641" s="49" t="s">
        <v>303</v>
      </c>
      <c r="EA641" s="49" t="s">
        <v>324</v>
      </c>
      <c r="EB641" s="49" t="s">
        <v>303</v>
      </c>
      <c r="EF641" s="49" t="s">
        <v>2869</v>
      </c>
      <c r="EH641" s="49" t="s">
        <v>310</v>
      </c>
      <c r="EJ641" s="49" t="s">
        <v>303</v>
      </c>
      <c r="EK641" s="49" t="s">
        <v>2879</v>
      </c>
      <c r="EM641" s="49" t="s">
        <v>303</v>
      </c>
      <c r="EN641" s="49" t="s">
        <v>396</v>
      </c>
      <c r="EP641" s="49" t="s">
        <v>298</v>
      </c>
      <c r="EQ641" s="0" t="n">
        <v>1</v>
      </c>
      <c r="ER641" s="49" t="s">
        <v>328</v>
      </c>
      <c r="ES641" s="49" t="s">
        <v>329</v>
      </c>
      <c r="ET641" s="49" t="s">
        <v>310</v>
      </c>
      <c r="EU641" s="49" t="s">
        <v>310</v>
      </c>
      <c r="EV641" s="49" t="s">
        <v>310</v>
      </c>
      <c r="EX641" s="49" t="s">
        <v>303</v>
      </c>
      <c r="EY641" s="49" t="s">
        <v>303</v>
      </c>
      <c r="FC641" s="49" t="s">
        <v>330</v>
      </c>
      <c r="FD641" s="49" t="s">
        <v>310</v>
      </c>
      <c r="FE641" s="49" t="s">
        <v>310</v>
      </c>
      <c r="FF641" s="49" t="s">
        <v>64</v>
      </c>
      <c r="FG641" s="49" t="s">
        <v>397</v>
      </c>
      <c r="FH641" s="49" t="s">
        <v>310</v>
      </c>
      <c r="FI641" s="49" t="s">
        <v>332</v>
      </c>
      <c r="FJ641" s="49" t="s">
        <v>303</v>
      </c>
      <c r="FL641" s="49" t="s">
        <v>325</v>
      </c>
      <c r="FM641" s="49" t="s">
        <v>2858</v>
      </c>
      <c r="FP641" s="49" t="s">
        <v>303</v>
      </c>
      <c r="FR641" s="49" t="s">
        <v>303</v>
      </c>
      <c r="FT641" s="49" t="s">
        <v>325</v>
      </c>
      <c r="FU641" s="49" t="s">
        <v>325</v>
      </c>
      <c r="FW641" s="49" t="s">
        <v>333</v>
      </c>
    </row>
    <row r="642" customFormat="false" ht="15" hidden="false" customHeight="false" outlineLevel="0" collapsed="false">
      <c r="A642" s="0" t="n">
        <v>100863692</v>
      </c>
      <c r="B642" s="0" t="s">
        <v>295</v>
      </c>
      <c r="C642" s="0" t="s">
        <v>64</v>
      </c>
      <c r="D642" s="0" t="s">
        <v>65</v>
      </c>
      <c r="E642" s="0" t="s">
        <v>297</v>
      </c>
      <c r="G642" s="0" t="n">
        <v>1</v>
      </c>
      <c r="H642" s="0" t="s">
        <v>298</v>
      </c>
      <c r="I642" s="48" t="n">
        <v>46165</v>
      </c>
      <c r="J642" s="0" t="n">
        <v>1</v>
      </c>
      <c r="K642" s="49" t="s">
        <v>2858</v>
      </c>
      <c r="L642" s="49" t="s">
        <v>1830</v>
      </c>
      <c r="M642" s="48" t="n">
        <v>46171</v>
      </c>
      <c r="N642" s="49" t="s">
        <v>1204</v>
      </c>
      <c r="O642" s="49" t="s">
        <v>1052</v>
      </c>
      <c r="P642" s="48"/>
      <c r="Q642" s="48" t="n">
        <v>46165</v>
      </c>
      <c r="R642" s="48" t="n">
        <v>46171</v>
      </c>
      <c r="T642" s="49" t="s">
        <v>302</v>
      </c>
      <c r="U642" s="49" t="s">
        <v>303</v>
      </c>
      <c r="Y642" s="49" t="s">
        <v>2880</v>
      </c>
      <c r="AD642" s="49" t="s">
        <v>305</v>
      </c>
      <c r="AE642" s="48" t="n">
        <v>46147</v>
      </c>
      <c r="AF642" s="49" t="s">
        <v>306</v>
      </c>
      <c r="AG642" s="49" t="s">
        <v>307</v>
      </c>
      <c r="AK642" s="49" t="s">
        <v>1047</v>
      </c>
      <c r="AL642" s="49" t="s">
        <v>297</v>
      </c>
      <c r="AO642" s="49" t="s">
        <v>303</v>
      </c>
      <c r="AP642" s="48"/>
      <c r="AR642" s="49" t="s">
        <v>303</v>
      </c>
      <c r="AS642" s="49" t="s">
        <v>306</v>
      </c>
      <c r="AT642" s="49" t="s">
        <v>2881</v>
      </c>
      <c r="AV642" s="49" t="s">
        <v>309</v>
      </c>
      <c r="AW642" s="49" t="s">
        <v>310</v>
      </c>
      <c r="AX642" s="49" t="s">
        <v>311</v>
      </c>
      <c r="AY642" s="48"/>
      <c r="AZ642" s="48" t="n">
        <v>46162</v>
      </c>
      <c r="BC642" s="49" t="s">
        <v>303</v>
      </c>
      <c r="BD642" s="48" t="n">
        <v>46181</v>
      </c>
      <c r="BE642" s="49" t="s">
        <v>2882</v>
      </c>
      <c r="BF642" s="49" t="s">
        <v>303</v>
      </c>
      <c r="BG642" s="48"/>
      <c r="BI642" s="48" t="n">
        <v>46181</v>
      </c>
      <c r="BJ642" s="48" t="n">
        <v>46170</v>
      </c>
      <c r="BK642" s="49" t="s">
        <v>313</v>
      </c>
      <c r="BL642" s="49" t="s">
        <v>313</v>
      </c>
      <c r="BM642" s="49" t="s">
        <v>310</v>
      </c>
      <c r="BN642" s="48"/>
      <c r="BO642" s="48"/>
      <c r="BP642" s="48"/>
      <c r="BQ642" s="49" t="s">
        <v>2809</v>
      </c>
      <c r="BR642" s="48" t="n">
        <v>46170</v>
      </c>
      <c r="BS642" s="49" t="s">
        <v>2883</v>
      </c>
      <c r="BT642" s="49" t="s">
        <v>312</v>
      </c>
      <c r="BU642" s="49" t="s">
        <v>313</v>
      </c>
      <c r="BV642" s="49" t="s">
        <v>303</v>
      </c>
      <c r="BX642" s="0" t="n">
        <v>1</v>
      </c>
      <c r="CC642" s="49" t="s">
        <v>315</v>
      </c>
      <c r="CD642" s="49" t="s">
        <v>303</v>
      </c>
      <c r="CF642" s="49" t="s">
        <v>303</v>
      </c>
      <c r="CG642" s="49" t="s">
        <v>316</v>
      </c>
      <c r="CH642" s="49" t="s">
        <v>317</v>
      </c>
      <c r="CI642" s="49" t="s">
        <v>318</v>
      </c>
      <c r="CM642" s="49" t="s">
        <v>65</v>
      </c>
      <c r="CV642" s="49" t="s">
        <v>303</v>
      </c>
      <c r="DB642" s="49" t="s">
        <v>319</v>
      </c>
      <c r="DD642" s="48" t="n">
        <v>46147</v>
      </c>
      <c r="DF642" s="49" t="s">
        <v>310</v>
      </c>
      <c r="DG642" s="49" t="s">
        <v>320</v>
      </c>
      <c r="DH642" s="49" t="s">
        <v>64</v>
      </c>
      <c r="DI642" s="49" t="s">
        <v>298</v>
      </c>
      <c r="DJ642" s="49" t="s">
        <v>394</v>
      </c>
      <c r="DK642" s="49" t="s">
        <v>322</v>
      </c>
      <c r="DL642" s="49" t="s">
        <v>323</v>
      </c>
      <c r="DM642" s="49" t="s">
        <v>303</v>
      </c>
      <c r="DN642" s="49" t="s">
        <v>297</v>
      </c>
      <c r="DO642" s="48"/>
      <c r="DP642" s="49" t="s">
        <v>312</v>
      </c>
      <c r="DQ642" s="48"/>
      <c r="DR642" s="49" t="s">
        <v>312</v>
      </c>
      <c r="DS642" s="49" t="s">
        <v>303</v>
      </c>
      <c r="DT642" s="49" t="s">
        <v>303</v>
      </c>
      <c r="DW642" s="49" t="s">
        <v>303</v>
      </c>
      <c r="EA642" s="49" t="s">
        <v>324</v>
      </c>
      <c r="EB642" s="49" t="s">
        <v>303</v>
      </c>
      <c r="EF642" s="49" t="s">
        <v>2869</v>
      </c>
      <c r="EH642" s="49" t="s">
        <v>310</v>
      </c>
      <c r="EJ642" s="49" t="s">
        <v>303</v>
      </c>
      <c r="EK642" s="49" t="s">
        <v>2884</v>
      </c>
      <c r="EM642" s="49" t="s">
        <v>303</v>
      </c>
      <c r="EN642" s="49" t="s">
        <v>396</v>
      </c>
      <c r="EP642" s="49" t="s">
        <v>298</v>
      </c>
      <c r="EQ642" s="0" t="n">
        <v>1</v>
      </c>
      <c r="ER642" s="49" t="s">
        <v>328</v>
      </c>
      <c r="ES642" s="49" t="s">
        <v>329</v>
      </c>
      <c r="ET642" s="49" t="s">
        <v>310</v>
      </c>
      <c r="EU642" s="49" t="s">
        <v>310</v>
      </c>
      <c r="EV642" s="49" t="s">
        <v>310</v>
      </c>
      <c r="EX642" s="49" t="s">
        <v>303</v>
      </c>
      <c r="EY642" s="49" t="s">
        <v>303</v>
      </c>
      <c r="FC642" s="49" t="s">
        <v>330</v>
      </c>
      <c r="FD642" s="49" t="s">
        <v>310</v>
      </c>
      <c r="FE642" s="49" t="s">
        <v>310</v>
      </c>
      <c r="FF642" s="49" t="s">
        <v>64</v>
      </c>
      <c r="FG642" s="49" t="s">
        <v>397</v>
      </c>
      <c r="FH642" s="49" t="s">
        <v>310</v>
      </c>
      <c r="FI642" s="49" t="s">
        <v>332</v>
      </c>
      <c r="FJ642" s="49" t="s">
        <v>303</v>
      </c>
      <c r="FL642" s="49" t="s">
        <v>325</v>
      </c>
      <c r="FM642" s="49" t="s">
        <v>2858</v>
      </c>
      <c r="FP642" s="49" t="s">
        <v>303</v>
      </c>
      <c r="FR642" s="49" t="s">
        <v>303</v>
      </c>
      <c r="FT642" s="49" t="s">
        <v>325</v>
      </c>
      <c r="FU642" s="49" t="s">
        <v>325</v>
      </c>
      <c r="FW642" s="49" t="s">
        <v>333</v>
      </c>
    </row>
    <row r="643" customFormat="false" ht="15" hidden="false" customHeight="false" outlineLevel="0" collapsed="false">
      <c r="A643" s="0" t="n">
        <v>100863693</v>
      </c>
      <c r="B643" s="0" t="s">
        <v>295</v>
      </c>
      <c r="C643" s="0" t="s">
        <v>64</v>
      </c>
      <c r="D643" s="0" t="s">
        <v>65</v>
      </c>
      <c r="E643" s="0" t="s">
        <v>297</v>
      </c>
      <c r="G643" s="0" t="n">
        <v>1</v>
      </c>
      <c r="H643" s="0" t="s">
        <v>298</v>
      </c>
      <c r="I643" s="48" t="n">
        <v>46165</v>
      </c>
      <c r="J643" s="0" t="n">
        <v>1</v>
      </c>
      <c r="K643" s="49" t="s">
        <v>2858</v>
      </c>
      <c r="L643" s="49" t="s">
        <v>1830</v>
      </c>
      <c r="M643" s="48" t="n">
        <v>46172</v>
      </c>
      <c r="N643" s="49" t="s">
        <v>1204</v>
      </c>
      <c r="O643" s="49" t="s">
        <v>1052</v>
      </c>
      <c r="P643" s="48"/>
      <c r="Q643" s="48" t="n">
        <v>46165</v>
      </c>
      <c r="R643" s="48" t="n">
        <v>46171</v>
      </c>
      <c r="T643" s="49" t="s">
        <v>302</v>
      </c>
      <c r="U643" s="49" t="s">
        <v>303</v>
      </c>
      <c r="Y643" s="49" t="s">
        <v>2885</v>
      </c>
      <c r="AD643" s="49" t="s">
        <v>305</v>
      </c>
      <c r="AE643" s="48" t="n">
        <v>46147</v>
      </c>
      <c r="AF643" s="49" t="s">
        <v>306</v>
      </c>
      <c r="AG643" s="49" t="s">
        <v>307</v>
      </c>
      <c r="AK643" s="49" t="s">
        <v>1047</v>
      </c>
      <c r="AL643" s="49" t="s">
        <v>297</v>
      </c>
      <c r="AO643" s="49" t="s">
        <v>303</v>
      </c>
      <c r="AP643" s="48"/>
      <c r="AR643" s="49" t="s">
        <v>303</v>
      </c>
      <c r="AS643" s="49" t="s">
        <v>306</v>
      </c>
      <c r="AT643" s="49" t="s">
        <v>2886</v>
      </c>
      <c r="AV643" s="49" t="s">
        <v>309</v>
      </c>
      <c r="AW643" s="49" t="s">
        <v>310</v>
      </c>
      <c r="AX643" s="49" t="s">
        <v>311</v>
      </c>
      <c r="AY643" s="48"/>
      <c r="AZ643" s="48" t="n">
        <v>46162</v>
      </c>
      <c r="BC643" s="49" t="s">
        <v>303</v>
      </c>
      <c r="BD643" s="48" t="n">
        <v>46182</v>
      </c>
      <c r="BE643" s="49" t="s">
        <v>2887</v>
      </c>
      <c r="BF643" s="49" t="s">
        <v>303</v>
      </c>
      <c r="BG643" s="48"/>
      <c r="BI643" s="48" t="n">
        <v>46182</v>
      </c>
      <c r="BJ643" s="48" t="n">
        <v>46170</v>
      </c>
      <c r="BK643" s="49" t="s">
        <v>313</v>
      </c>
      <c r="BL643" s="49" t="s">
        <v>313</v>
      </c>
      <c r="BM643" s="49" t="s">
        <v>310</v>
      </c>
      <c r="BN643" s="48"/>
      <c r="BO643" s="48"/>
      <c r="BP643" s="48"/>
      <c r="BQ643" s="49" t="s">
        <v>2888</v>
      </c>
      <c r="BR643" s="48" t="n">
        <v>46170</v>
      </c>
      <c r="BS643" s="49" t="s">
        <v>2889</v>
      </c>
      <c r="BT643" s="49" t="s">
        <v>312</v>
      </c>
      <c r="BU643" s="49" t="s">
        <v>313</v>
      </c>
      <c r="BV643" s="49" t="s">
        <v>303</v>
      </c>
      <c r="BX643" s="0" t="n">
        <v>1</v>
      </c>
      <c r="CC643" s="49" t="s">
        <v>315</v>
      </c>
      <c r="CD643" s="49" t="s">
        <v>303</v>
      </c>
      <c r="CF643" s="49" t="s">
        <v>303</v>
      </c>
      <c r="CG643" s="49" t="s">
        <v>316</v>
      </c>
      <c r="CH643" s="49" t="s">
        <v>317</v>
      </c>
      <c r="CI643" s="49" t="s">
        <v>318</v>
      </c>
      <c r="CM643" s="49" t="s">
        <v>65</v>
      </c>
      <c r="CV643" s="49" t="s">
        <v>303</v>
      </c>
      <c r="DB643" s="49" t="s">
        <v>319</v>
      </c>
      <c r="DD643" s="48" t="n">
        <v>46147</v>
      </c>
      <c r="DF643" s="49" t="s">
        <v>310</v>
      </c>
      <c r="DG643" s="49" t="s">
        <v>320</v>
      </c>
      <c r="DH643" s="49" t="s">
        <v>64</v>
      </c>
      <c r="DI643" s="49" t="s">
        <v>298</v>
      </c>
      <c r="DJ643" s="49" t="s">
        <v>394</v>
      </c>
      <c r="DK643" s="49" t="s">
        <v>322</v>
      </c>
      <c r="DL643" s="49" t="s">
        <v>323</v>
      </c>
      <c r="DM643" s="49" t="s">
        <v>303</v>
      </c>
      <c r="DN643" s="49" t="s">
        <v>297</v>
      </c>
      <c r="DO643" s="48"/>
      <c r="DP643" s="49" t="s">
        <v>312</v>
      </c>
      <c r="DQ643" s="48"/>
      <c r="DR643" s="49" t="s">
        <v>312</v>
      </c>
      <c r="DS643" s="49" t="s">
        <v>303</v>
      </c>
      <c r="DT643" s="49" t="s">
        <v>303</v>
      </c>
      <c r="DW643" s="49" t="s">
        <v>303</v>
      </c>
      <c r="EA643" s="49" t="s">
        <v>324</v>
      </c>
      <c r="EB643" s="49" t="s">
        <v>303</v>
      </c>
      <c r="EF643" s="49" t="s">
        <v>2869</v>
      </c>
      <c r="EH643" s="49" t="s">
        <v>310</v>
      </c>
      <c r="EJ643" s="49" t="s">
        <v>303</v>
      </c>
      <c r="EK643" s="49" t="s">
        <v>2890</v>
      </c>
      <c r="EM643" s="49" t="s">
        <v>303</v>
      </c>
      <c r="EN643" s="49" t="s">
        <v>396</v>
      </c>
      <c r="EP643" s="49" t="s">
        <v>298</v>
      </c>
      <c r="EQ643" s="0" t="n">
        <v>1</v>
      </c>
      <c r="ER643" s="49" t="s">
        <v>328</v>
      </c>
      <c r="ES643" s="49" t="s">
        <v>329</v>
      </c>
      <c r="ET643" s="49" t="s">
        <v>310</v>
      </c>
      <c r="EU643" s="49" t="s">
        <v>310</v>
      </c>
      <c r="EV643" s="49" t="s">
        <v>310</v>
      </c>
      <c r="EX643" s="49" t="s">
        <v>303</v>
      </c>
      <c r="EY643" s="49" t="s">
        <v>303</v>
      </c>
      <c r="FC643" s="49" t="s">
        <v>330</v>
      </c>
      <c r="FD643" s="49" t="s">
        <v>310</v>
      </c>
      <c r="FE643" s="49" t="s">
        <v>310</v>
      </c>
      <c r="FF643" s="49" t="s">
        <v>64</v>
      </c>
      <c r="FG643" s="49" t="s">
        <v>397</v>
      </c>
      <c r="FH643" s="49" t="s">
        <v>310</v>
      </c>
      <c r="FI643" s="49" t="s">
        <v>332</v>
      </c>
      <c r="FJ643" s="49" t="s">
        <v>303</v>
      </c>
      <c r="FL643" s="49" t="s">
        <v>325</v>
      </c>
      <c r="FM643" s="49" t="s">
        <v>2858</v>
      </c>
      <c r="FP643" s="49" t="s">
        <v>303</v>
      </c>
      <c r="FR643" s="49" t="s">
        <v>303</v>
      </c>
      <c r="FT643" s="49" t="s">
        <v>325</v>
      </c>
      <c r="FU643" s="49" t="s">
        <v>325</v>
      </c>
      <c r="FW643" s="49" t="s">
        <v>333</v>
      </c>
    </row>
    <row r="644" customFormat="false" ht="15" hidden="false" customHeight="false" outlineLevel="0" collapsed="false">
      <c r="A644" s="0" t="n">
        <v>100863694</v>
      </c>
      <c r="B644" s="0" t="s">
        <v>295</v>
      </c>
      <c r="C644" s="0" t="s">
        <v>64</v>
      </c>
      <c r="D644" s="0" t="s">
        <v>65</v>
      </c>
      <c r="E644" s="0" t="s">
        <v>297</v>
      </c>
      <c r="G644" s="0" t="n">
        <v>1</v>
      </c>
      <c r="H644" s="0" t="s">
        <v>298</v>
      </c>
      <c r="I644" s="48" t="n">
        <v>46165</v>
      </c>
      <c r="J644" s="0" t="n">
        <v>1</v>
      </c>
      <c r="K644" s="49" t="s">
        <v>2858</v>
      </c>
      <c r="L644" s="49" t="s">
        <v>1830</v>
      </c>
      <c r="M644" s="48" t="n">
        <v>46172</v>
      </c>
      <c r="N644" s="49" t="s">
        <v>1204</v>
      </c>
      <c r="O644" s="49" t="s">
        <v>1052</v>
      </c>
      <c r="P644" s="48"/>
      <c r="Q644" s="48" t="n">
        <v>46165</v>
      </c>
      <c r="R644" s="48" t="n">
        <v>46171</v>
      </c>
      <c r="T644" s="49" t="s">
        <v>302</v>
      </c>
      <c r="U644" s="49" t="s">
        <v>303</v>
      </c>
      <c r="Y644" s="49" t="s">
        <v>2891</v>
      </c>
      <c r="AD644" s="49" t="s">
        <v>305</v>
      </c>
      <c r="AE644" s="48" t="n">
        <v>46147</v>
      </c>
      <c r="AF644" s="49" t="s">
        <v>306</v>
      </c>
      <c r="AG644" s="49" t="s">
        <v>307</v>
      </c>
      <c r="AK644" s="49" t="s">
        <v>1047</v>
      </c>
      <c r="AL644" s="49" t="s">
        <v>297</v>
      </c>
      <c r="AO644" s="49" t="s">
        <v>303</v>
      </c>
      <c r="AP644" s="48"/>
      <c r="AR644" s="49" t="s">
        <v>303</v>
      </c>
      <c r="AS644" s="49" t="s">
        <v>306</v>
      </c>
      <c r="AT644" s="49" t="s">
        <v>2892</v>
      </c>
      <c r="AV644" s="49" t="s">
        <v>309</v>
      </c>
      <c r="AW644" s="49" t="s">
        <v>310</v>
      </c>
      <c r="AX644" s="49" t="s">
        <v>311</v>
      </c>
      <c r="AY644" s="48"/>
      <c r="AZ644" s="48" t="n">
        <v>46162</v>
      </c>
      <c r="BC644" s="49" t="s">
        <v>303</v>
      </c>
      <c r="BD644" s="48" t="n">
        <v>46182</v>
      </c>
      <c r="BE644" s="49" t="s">
        <v>2893</v>
      </c>
      <c r="BF644" s="49" t="s">
        <v>303</v>
      </c>
      <c r="BG644" s="48"/>
      <c r="BI644" s="48" t="n">
        <v>46182</v>
      </c>
      <c r="BJ644" s="48" t="n">
        <v>46170</v>
      </c>
      <c r="BK644" s="49" t="s">
        <v>313</v>
      </c>
      <c r="BL644" s="49" t="s">
        <v>313</v>
      </c>
      <c r="BM644" s="49" t="s">
        <v>310</v>
      </c>
      <c r="BN644" s="48"/>
      <c r="BO644" s="48"/>
      <c r="BP644" s="48"/>
      <c r="BQ644" s="49" t="s">
        <v>2888</v>
      </c>
      <c r="BR644" s="48" t="n">
        <v>46170</v>
      </c>
      <c r="BS644" s="49" t="s">
        <v>2894</v>
      </c>
      <c r="BT644" s="49" t="s">
        <v>312</v>
      </c>
      <c r="BU644" s="49" t="s">
        <v>313</v>
      </c>
      <c r="BV644" s="49" t="s">
        <v>303</v>
      </c>
      <c r="BX644" s="0" t="n">
        <v>1</v>
      </c>
      <c r="CC644" s="49" t="s">
        <v>315</v>
      </c>
      <c r="CD644" s="49" t="s">
        <v>303</v>
      </c>
      <c r="CF644" s="49" t="s">
        <v>303</v>
      </c>
      <c r="CG644" s="49" t="s">
        <v>316</v>
      </c>
      <c r="CH644" s="49" t="s">
        <v>317</v>
      </c>
      <c r="CI644" s="49" t="s">
        <v>318</v>
      </c>
      <c r="CM644" s="49" t="s">
        <v>65</v>
      </c>
      <c r="CV644" s="49" t="s">
        <v>303</v>
      </c>
      <c r="DB644" s="49" t="s">
        <v>319</v>
      </c>
      <c r="DD644" s="48" t="n">
        <v>46147</v>
      </c>
      <c r="DF644" s="49" t="s">
        <v>310</v>
      </c>
      <c r="DG644" s="49" t="s">
        <v>320</v>
      </c>
      <c r="DH644" s="49" t="s">
        <v>64</v>
      </c>
      <c r="DI644" s="49" t="s">
        <v>298</v>
      </c>
      <c r="DJ644" s="49" t="s">
        <v>394</v>
      </c>
      <c r="DK644" s="49" t="s">
        <v>322</v>
      </c>
      <c r="DL644" s="49" t="s">
        <v>323</v>
      </c>
      <c r="DM644" s="49" t="s">
        <v>303</v>
      </c>
      <c r="DN644" s="49" t="s">
        <v>297</v>
      </c>
      <c r="DO644" s="48"/>
      <c r="DP644" s="49" t="s">
        <v>312</v>
      </c>
      <c r="DQ644" s="48"/>
      <c r="DR644" s="49" t="s">
        <v>312</v>
      </c>
      <c r="DS644" s="49" t="s">
        <v>303</v>
      </c>
      <c r="DT644" s="49" t="s">
        <v>303</v>
      </c>
      <c r="DW644" s="49" t="s">
        <v>303</v>
      </c>
      <c r="EA644" s="49" t="s">
        <v>324</v>
      </c>
      <c r="EB644" s="49" t="s">
        <v>303</v>
      </c>
      <c r="EF644" s="49" t="s">
        <v>2869</v>
      </c>
      <c r="EH644" s="49" t="s">
        <v>310</v>
      </c>
      <c r="EJ644" s="49" t="s">
        <v>303</v>
      </c>
      <c r="EK644" s="49" t="s">
        <v>2895</v>
      </c>
      <c r="EM644" s="49" t="s">
        <v>303</v>
      </c>
      <c r="EN644" s="49" t="s">
        <v>396</v>
      </c>
      <c r="EP644" s="49" t="s">
        <v>298</v>
      </c>
      <c r="EQ644" s="0" t="n">
        <v>1</v>
      </c>
      <c r="ER644" s="49" t="s">
        <v>328</v>
      </c>
      <c r="ES644" s="49" t="s">
        <v>329</v>
      </c>
      <c r="ET644" s="49" t="s">
        <v>310</v>
      </c>
      <c r="EU644" s="49" t="s">
        <v>310</v>
      </c>
      <c r="EV644" s="49" t="s">
        <v>310</v>
      </c>
      <c r="EX644" s="49" t="s">
        <v>303</v>
      </c>
      <c r="EY644" s="49" t="s">
        <v>303</v>
      </c>
      <c r="FC644" s="49" t="s">
        <v>330</v>
      </c>
      <c r="FD644" s="49" t="s">
        <v>310</v>
      </c>
      <c r="FE644" s="49" t="s">
        <v>310</v>
      </c>
      <c r="FF644" s="49" t="s">
        <v>64</v>
      </c>
      <c r="FG644" s="49" t="s">
        <v>397</v>
      </c>
      <c r="FH644" s="49" t="s">
        <v>310</v>
      </c>
      <c r="FI644" s="49" t="s">
        <v>332</v>
      </c>
      <c r="FJ644" s="49" t="s">
        <v>303</v>
      </c>
      <c r="FL644" s="49" t="s">
        <v>325</v>
      </c>
      <c r="FM644" s="49" t="s">
        <v>2858</v>
      </c>
      <c r="FP644" s="49" t="s">
        <v>303</v>
      </c>
      <c r="FR644" s="49" t="s">
        <v>303</v>
      </c>
      <c r="FT644" s="49" t="s">
        <v>325</v>
      </c>
      <c r="FU644" s="49" t="s">
        <v>325</v>
      </c>
      <c r="FW644" s="49" t="s">
        <v>333</v>
      </c>
    </row>
    <row r="645" customFormat="false" ht="15" hidden="false" customHeight="false" outlineLevel="0" collapsed="false">
      <c r="A645" s="0" t="n">
        <v>100863695</v>
      </c>
      <c r="B645" s="0" t="s">
        <v>295</v>
      </c>
      <c r="C645" s="0" t="s">
        <v>64</v>
      </c>
      <c r="D645" s="0" t="s">
        <v>65</v>
      </c>
      <c r="E645" s="0" t="s">
        <v>297</v>
      </c>
      <c r="G645" s="0" t="n">
        <v>1</v>
      </c>
      <c r="H645" s="0" t="s">
        <v>298</v>
      </c>
      <c r="I645" s="48" t="n">
        <v>46165</v>
      </c>
      <c r="J645" s="0" t="n">
        <v>1</v>
      </c>
      <c r="K645" s="49" t="s">
        <v>2858</v>
      </c>
      <c r="L645" s="49" t="s">
        <v>1830</v>
      </c>
      <c r="M645" s="48" t="n">
        <v>46172</v>
      </c>
      <c r="N645" s="49" t="s">
        <v>1204</v>
      </c>
      <c r="O645" s="49" t="s">
        <v>1052</v>
      </c>
      <c r="P645" s="48"/>
      <c r="Q645" s="48" t="n">
        <v>46165</v>
      </c>
      <c r="R645" s="48" t="n">
        <v>46171</v>
      </c>
      <c r="T645" s="49" t="s">
        <v>302</v>
      </c>
      <c r="U645" s="49" t="s">
        <v>303</v>
      </c>
      <c r="Y645" s="49" t="s">
        <v>2896</v>
      </c>
      <c r="AD645" s="49" t="s">
        <v>305</v>
      </c>
      <c r="AE645" s="48" t="n">
        <v>46147</v>
      </c>
      <c r="AF645" s="49" t="s">
        <v>306</v>
      </c>
      <c r="AG645" s="49" t="s">
        <v>307</v>
      </c>
      <c r="AK645" s="49" t="s">
        <v>1047</v>
      </c>
      <c r="AL645" s="49" t="s">
        <v>297</v>
      </c>
      <c r="AO645" s="49" t="s">
        <v>303</v>
      </c>
      <c r="AP645" s="48"/>
      <c r="AR645" s="49" t="s">
        <v>303</v>
      </c>
      <c r="AS645" s="49" t="s">
        <v>306</v>
      </c>
      <c r="AT645" s="49" t="s">
        <v>2897</v>
      </c>
      <c r="AV645" s="49" t="s">
        <v>309</v>
      </c>
      <c r="AW645" s="49" t="s">
        <v>310</v>
      </c>
      <c r="AX645" s="49" t="s">
        <v>311</v>
      </c>
      <c r="AY645" s="48"/>
      <c r="AZ645" s="48" t="n">
        <v>46162</v>
      </c>
      <c r="BC645" s="49" t="s">
        <v>303</v>
      </c>
      <c r="BD645" s="48" t="n">
        <v>46182</v>
      </c>
      <c r="BE645" s="49" t="s">
        <v>2898</v>
      </c>
      <c r="BF645" s="49" t="s">
        <v>303</v>
      </c>
      <c r="BG645" s="48"/>
      <c r="BI645" s="48" t="n">
        <v>46182</v>
      </c>
      <c r="BJ645" s="48" t="n">
        <v>46170</v>
      </c>
      <c r="BK645" s="49" t="s">
        <v>313</v>
      </c>
      <c r="BL645" s="49" t="s">
        <v>313</v>
      </c>
      <c r="BM645" s="49" t="s">
        <v>310</v>
      </c>
      <c r="BN645" s="48"/>
      <c r="BO645" s="48"/>
      <c r="BP645" s="48"/>
      <c r="BQ645" s="49" t="s">
        <v>2888</v>
      </c>
      <c r="BR645" s="48" t="n">
        <v>46170</v>
      </c>
      <c r="BS645" s="49" t="s">
        <v>2899</v>
      </c>
      <c r="BT645" s="49" t="s">
        <v>312</v>
      </c>
      <c r="BU645" s="49" t="s">
        <v>313</v>
      </c>
      <c r="BV645" s="49" t="s">
        <v>303</v>
      </c>
      <c r="BX645" s="0" t="n">
        <v>1</v>
      </c>
      <c r="CC645" s="49" t="s">
        <v>315</v>
      </c>
      <c r="CD645" s="49" t="s">
        <v>303</v>
      </c>
      <c r="CF645" s="49" t="s">
        <v>303</v>
      </c>
      <c r="CG645" s="49" t="s">
        <v>316</v>
      </c>
      <c r="CH645" s="49" t="s">
        <v>317</v>
      </c>
      <c r="CI645" s="49" t="s">
        <v>318</v>
      </c>
      <c r="CM645" s="49" t="s">
        <v>65</v>
      </c>
      <c r="CV645" s="49" t="s">
        <v>303</v>
      </c>
      <c r="DB645" s="49" t="s">
        <v>319</v>
      </c>
      <c r="DD645" s="48" t="n">
        <v>46147</v>
      </c>
      <c r="DF645" s="49" t="s">
        <v>310</v>
      </c>
      <c r="DG645" s="49" t="s">
        <v>320</v>
      </c>
      <c r="DH645" s="49" t="s">
        <v>64</v>
      </c>
      <c r="DI645" s="49" t="s">
        <v>298</v>
      </c>
      <c r="DJ645" s="49" t="s">
        <v>394</v>
      </c>
      <c r="DK645" s="49" t="s">
        <v>322</v>
      </c>
      <c r="DL645" s="49" t="s">
        <v>323</v>
      </c>
      <c r="DM645" s="49" t="s">
        <v>303</v>
      </c>
      <c r="DN645" s="49" t="s">
        <v>297</v>
      </c>
      <c r="DO645" s="48"/>
      <c r="DP645" s="49" t="s">
        <v>312</v>
      </c>
      <c r="DQ645" s="48"/>
      <c r="DR645" s="49" t="s">
        <v>312</v>
      </c>
      <c r="DS645" s="49" t="s">
        <v>303</v>
      </c>
      <c r="DT645" s="49" t="s">
        <v>303</v>
      </c>
      <c r="DW645" s="49" t="s">
        <v>303</v>
      </c>
      <c r="EA645" s="49" t="s">
        <v>324</v>
      </c>
      <c r="EB645" s="49" t="s">
        <v>303</v>
      </c>
      <c r="EF645" s="49" t="s">
        <v>2869</v>
      </c>
      <c r="EH645" s="49" t="s">
        <v>310</v>
      </c>
      <c r="EJ645" s="49" t="s">
        <v>303</v>
      </c>
      <c r="EK645" s="49" t="s">
        <v>2900</v>
      </c>
      <c r="EM645" s="49" t="s">
        <v>303</v>
      </c>
      <c r="EN645" s="49" t="s">
        <v>396</v>
      </c>
      <c r="EP645" s="49" t="s">
        <v>298</v>
      </c>
      <c r="EQ645" s="0" t="n">
        <v>1</v>
      </c>
      <c r="ER645" s="49" t="s">
        <v>328</v>
      </c>
      <c r="ES645" s="49" t="s">
        <v>329</v>
      </c>
      <c r="ET645" s="49" t="s">
        <v>310</v>
      </c>
      <c r="EU645" s="49" t="s">
        <v>310</v>
      </c>
      <c r="EV645" s="49" t="s">
        <v>310</v>
      </c>
      <c r="EX645" s="49" t="s">
        <v>303</v>
      </c>
      <c r="EY645" s="49" t="s">
        <v>303</v>
      </c>
      <c r="FC645" s="49" t="s">
        <v>330</v>
      </c>
      <c r="FD645" s="49" t="s">
        <v>310</v>
      </c>
      <c r="FE645" s="49" t="s">
        <v>310</v>
      </c>
      <c r="FF645" s="49" t="s">
        <v>64</v>
      </c>
      <c r="FG645" s="49" t="s">
        <v>397</v>
      </c>
      <c r="FH645" s="49" t="s">
        <v>310</v>
      </c>
      <c r="FI645" s="49" t="s">
        <v>332</v>
      </c>
      <c r="FJ645" s="49" t="s">
        <v>303</v>
      </c>
      <c r="FL645" s="49" t="s">
        <v>325</v>
      </c>
      <c r="FM645" s="49" t="s">
        <v>2858</v>
      </c>
      <c r="FP645" s="49" t="s">
        <v>303</v>
      </c>
      <c r="FR645" s="49" t="s">
        <v>303</v>
      </c>
      <c r="FT645" s="49" t="s">
        <v>325</v>
      </c>
      <c r="FU645" s="49" t="s">
        <v>325</v>
      </c>
      <c r="FW645" s="49" t="s">
        <v>333</v>
      </c>
    </row>
    <row r="646" customFormat="false" ht="15" hidden="false" customHeight="false" outlineLevel="0" collapsed="false">
      <c r="A646" s="0" t="n">
        <v>100863696</v>
      </c>
      <c r="B646" s="0" t="s">
        <v>295</v>
      </c>
      <c r="C646" s="0" t="s">
        <v>64</v>
      </c>
      <c r="D646" s="0" t="s">
        <v>65</v>
      </c>
      <c r="E646" s="0" t="s">
        <v>297</v>
      </c>
      <c r="G646" s="0" t="n">
        <v>1</v>
      </c>
      <c r="H646" s="0" t="s">
        <v>298</v>
      </c>
      <c r="I646" s="48" t="n">
        <v>46165</v>
      </c>
      <c r="J646" s="0" t="n">
        <v>1</v>
      </c>
      <c r="K646" s="49" t="s">
        <v>2858</v>
      </c>
      <c r="L646" s="49" t="s">
        <v>1830</v>
      </c>
      <c r="M646" s="48" t="n">
        <v>46172</v>
      </c>
      <c r="N646" s="49" t="s">
        <v>1204</v>
      </c>
      <c r="O646" s="49" t="s">
        <v>1052</v>
      </c>
      <c r="P646" s="48"/>
      <c r="Q646" s="48" t="n">
        <v>46165</v>
      </c>
      <c r="R646" s="48" t="n">
        <v>46171</v>
      </c>
      <c r="T646" s="49" t="s">
        <v>302</v>
      </c>
      <c r="U646" s="49" t="s">
        <v>303</v>
      </c>
      <c r="Y646" s="49" t="s">
        <v>2901</v>
      </c>
      <c r="AD646" s="49" t="s">
        <v>305</v>
      </c>
      <c r="AE646" s="48" t="n">
        <v>46147</v>
      </c>
      <c r="AF646" s="49" t="s">
        <v>306</v>
      </c>
      <c r="AG646" s="49" t="s">
        <v>307</v>
      </c>
      <c r="AK646" s="49" t="s">
        <v>1047</v>
      </c>
      <c r="AL646" s="49" t="s">
        <v>297</v>
      </c>
      <c r="AO646" s="49" t="s">
        <v>303</v>
      </c>
      <c r="AP646" s="48"/>
      <c r="AR646" s="49" t="s">
        <v>303</v>
      </c>
      <c r="AS646" s="49" t="s">
        <v>306</v>
      </c>
      <c r="AT646" s="49" t="s">
        <v>2902</v>
      </c>
      <c r="AV646" s="49" t="s">
        <v>309</v>
      </c>
      <c r="AW646" s="49" t="s">
        <v>310</v>
      </c>
      <c r="AX646" s="49" t="s">
        <v>311</v>
      </c>
      <c r="AY646" s="48"/>
      <c r="AZ646" s="48" t="n">
        <v>46162</v>
      </c>
      <c r="BC646" s="49" t="s">
        <v>303</v>
      </c>
      <c r="BD646" s="48" t="n">
        <v>46182</v>
      </c>
      <c r="BE646" s="49" t="s">
        <v>2903</v>
      </c>
      <c r="BF646" s="49" t="s">
        <v>303</v>
      </c>
      <c r="BG646" s="48"/>
      <c r="BI646" s="48" t="n">
        <v>46182</v>
      </c>
      <c r="BJ646" s="48" t="n">
        <v>46170</v>
      </c>
      <c r="BK646" s="49" t="s">
        <v>313</v>
      </c>
      <c r="BL646" s="49" t="s">
        <v>313</v>
      </c>
      <c r="BM646" s="49" t="s">
        <v>310</v>
      </c>
      <c r="BN646" s="48"/>
      <c r="BO646" s="48"/>
      <c r="BP646" s="48"/>
      <c r="BQ646" s="49" t="s">
        <v>2888</v>
      </c>
      <c r="BR646" s="48" t="n">
        <v>46170</v>
      </c>
      <c r="BS646" s="49" t="s">
        <v>2904</v>
      </c>
      <c r="BT646" s="49" t="s">
        <v>312</v>
      </c>
      <c r="BU646" s="49" t="s">
        <v>313</v>
      </c>
      <c r="BV646" s="49" t="s">
        <v>303</v>
      </c>
      <c r="BX646" s="0" t="n">
        <v>1</v>
      </c>
      <c r="CC646" s="49" t="s">
        <v>315</v>
      </c>
      <c r="CD646" s="49" t="s">
        <v>303</v>
      </c>
      <c r="CF646" s="49" t="s">
        <v>303</v>
      </c>
      <c r="CG646" s="49" t="s">
        <v>316</v>
      </c>
      <c r="CH646" s="49" t="s">
        <v>317</v>
      </c>
      <c r="CI646" s="49" t="s">
        <v>318</v>
      </c>
      <c r="CM646" s="49" t="s">
        <v>65</v>
      </c>
      <c r="CV646" s="49" t="s">
        <v>303</v>
      </c>
      <c r="DB646" s="49" t="s">
        <v>319</v>
      </c>
      <c r="DD646" s="48" t="n">
        <v>46147</v>
      </c>
      <c r="DF646" s="49" t="s">
        <v>310</v>
      </c>
      <c r="DG646" s="49" t="s">
        <v>320</v>
      </c>
      <c r="DH646" s="49" t="s">
        <v>64</v>
      </c>
      <c r="DI646" s="49" t="s">
        <v>298</v>
      </c>
      <c r="DJ646" s="49" t="s">
        <v>394</v>
      </c>
      <c r="DK646" s="49" t="s">
        <v>322</v>
      </c>
      <c r="DL646" s="49" t="s">
        <v>323</v>
      </c>
      <c r="DM646" s="49" t="s">
        <v>303</v>
      </c>
      <c r="DN646" s="49" t="s">
        <v>297</v>
      </c>
      <c r="DO646" s="48"/>
      <c r="DP646" s="49" t="s">
        <v>312</v>
      </c>
      <c r="DQ646" s="48"/>
      <c r="DR646" s="49" t="s">
        <v>312</v>
      </c>
      <c r="DS646" s="49" t="s">
        <v>303</v>
      </c>
      <c r="DT646" s="49" t="s">
        <v>303</v>
      </c>
      <c r="DW646" s="49" t="s">
        <v>303</v>
      </c>
      <c r="EA646" s="49" t="s">
        <v>324</v>
      </c>
      <c r="EB646" s="49" t="s">
        <v>303</v>
      </c>
      <c r="EF646" s="49" t="s">
        <v>2869</v>
      </c>
      <c r="EH646" s="49" t="s">
        <v>310</v>
      </c>
      <c r="EJ646" s="49" t="s">
        <v>303</v>
      </c>
      <c r="EK646" s="49" t="s">
        <v>2905</v>
      </c>
      <c r="EM646" s="49" t="s">
        <v>303</v>
      </c>
      <c r="EN646" s="49" t="s">
        <v>396</v>
      </c>
      <c r="EP646" s="49" t="s">
        <v>298</v>
      </c>
      <c r="EQ646" s="0" t="n">
        <v>1</v>
      </c>
      <c r="ER646" s="49" t="s">
        <v>328</v>
      </c>
      <c r="ES646" s="49" t="s">
        <v>329</v>
      </c>
      <c r="ET646" s="49" t="s">
        <v>310</v>
      </c>
      <c r="EU646" s="49" t="s">
        <v>310</v>
      </c>
      <c r="EV646" s="49" t="s">
        <v>310</v>
      </c>
      <c r="EX646" s="49" t="s">
        <v>303</v>
      </c>
      <c r="EY646" s="49" t="s">
        <v>303</v>
      </c>
      <c r="FC646" s="49" t="s">
        <v>330</v>
      </c>
      <c r="FD646" s="49" t="s">
        <v>310</v>
      </c>
      <c r="FE646" s="49" t="s">
        <v>310</v>
      </c>
      <c r="FF646" s="49" t="s">
        <v>64</v>
      </c>
      <c r="FG646" s="49" t="s">
        <v>397</v>
      </c>
      <c r="FH646" s="49" t="s">
        <v>310</v>
      </c>
      <c r="FI646" s="49" t="s">
        <v>332</v>
      </c>
      <c r="FJ646" s="49" t="s">
        <v>303</v>
      </c>
      <c r="FL646" s="49" t="s">
        <v>325</v>
      </c>
      <c r="FM646" s="49" t="s">
        <v>2858</v>
      </c>
      <c r="FP646" s="49" t="s">
        <v>303</v>
      </c>
      <c r="FR646" s="49" t="s">
        <v>303</v>
      </c>
      <c r="FT646" s="49" t="s">
        <v>325</v>
      </c>
      <c r="FU646" s="49" t="s">
        <v>325</v>
      </c>
      <c r="FW646" s="49" t="s">
        <v>333</v>
      </c>
    </row>
    <row r="647" customFormat="false" ht="15" hidden="false" customHeight="false" outlineLevel="0" collapsed="false">
      <c r="A647" s="0" t="n">
        <v>100863698</v>
      </c>
      <c r="B647" s="0" t="s">
        <v>295</v>
      </c>
      <c r="C647" s="0" t="s">
        <v>64</v>
      </c>
      <c r="D647" s="0" t="s">
        <v>65</v>
      </c>
      <c r="E647" s="0" t="s">
        <v>297</v>
      </c>
      <c r="G647" s="0" t="n">
        <v>1</v>
      </c>
      <c r="H647" s="0" t="s">
        <v>298</v>
      </c>
      <c r="I647" s="48" t="n">
        <v>46165</v>
      </c>
      <c r="J647" s="0" t="n">
        <v>1</v>
      </c>
      <c r="K647" s="49" t="s">
        <v>2858</v>
      </c>
      <c r="L647" s="49" t="s">
        <v>1830</v>
      </c>
      <c r="M647" s="48" t="n">
        <v>46173</v>
      </c>
      <c r="N647" s="49" t="s">
        <v>1204</v>
      </c>
      <c r="O647" s="49" t="s">
        <v>1052</v>
      </c>
      <c r="P647" s="48"/>
      <c r="Q647" s="48" t="n">
        <v>46165</v>
      </c>
      <c r="R647" s="48" t="n">
        <v>46172</v>
      </c>
      <c r="T647" s="49" t="s">
        <v>302</v>
      </c>
      <c r="U647" s="49" t="s">
        <v>303</v>
      </c>
      <c r="Y647" s="49" t="s">
        <v>2906</v>
      </c>
      <c r="AD647" s="49" t="s">
        <v>305</v>
      </c>
      <c r="AE647" s="48" t="n">
        <v>46155</v>
      </c>
      <c r="AF647" s="49" t="s">
        <v>306</v>
      </c>
      <c r="AG647" s="49" t="s">
        <v>307</v>
      </c>
      <c r="AK647" s="49" t="s">
        <v>1047</v>
      </c>
      <c r="AL647" s="49" t="s">
        <v>297</v>
      </c>
      <c r="AO647" s="49" t="s">
        <v>303</v>
      </c>
      <c r="AP647" s="48"/>
      <c r="AR647" s="49" t="s">
        <v>303</v>
      </c>
      <c r="AS647" s="49" t="s">
        <v>306</v>
      </c>
      <c r="AT647" s="49" t="s">
        <v>2907</v>
      </c>
      <c r="AV647" s="49" t="s">
        <v>309</v>
      </c>
      <c r="AW647" s="49" t="s">
        <v>310</v>
      </c>
      <c r="AX647" s="49" t="s">
        <v>311</v>
      </c>
      <c r="AY647" s="48"/>
      <c r="AZ647" s="48" t="n">
        <v>46162</v>
      </c>
      <c r="BC647" s="49" t="s">
        <v>303</v>
      </c>
      <c r="BD647" s="48" t="n">
        <v>46182</v>
      </c>
      <c r="BE647" s="49" t="s">
        <v>2908</v>
      </c>
      <c r="BF647" s="49" t="s">
        <v>303</v>
      </c>
      <c r="BG647" s="48"/>
      <c r="BI647" s="48" t="n">
        <v>46182</v>
      </c>
      <c r="BJ647" s="48" t="n">
        <v>46170</v>
      </c>
      <c r="BK647" s="49" t="s">
        <v>312</v>
      </c>
      <c r="BL647" s="49" t="s">
        <v>313</v>
      </c>
      <c r="BM647" s="49" t="s">
        <v>310</v>
      </c>
      <c r="BN647" s="48"/>
      <c r="BO647" s="48"/>
      <c r="BP647" s="48"/>
      <c r="BQ647" s="49" t="s">
        <v>2909</v>
      </c>
      <c r="BR647" s="48" t="n">
        <v>46170</v>
      </c>
      <c r="BS647" s="49" t="s">
        <v>2910</v>
      </c>
      <c r="BT647" s="49" t="s">
        <v>312</v>
      </c>
      <c r="BU647" s="49" t="s">
        <v>313</v>
      </c>
      <c r="BV647" s="49" t="s">
        <v>303</v>
      </c>
      <c r="BX647" s="0" t="n">
        <v>1</v>
      </c>
      <c r="CC647" s="49" t="s">
        <v>315</v>
      </c>
      <c r="CD647" s="49" t="s">
        <v>303</v>
      </c>
      <c r="CF647" s="49" t="s">
        <v>303</v>
      </c>
      <c r="CG647" s="49" t="s">
        <v>316</v>
      </c>
      <c r="CH647" s="49" t="s">
        <v>317</v>
      </c>
      <c r="CI647" s="49" t="s">
        <v>318</v>
      </c>
      <c r="CM647" s="49" t="s">
        <v>65</v>
      </c>
      <c r="CV647" s="49" t="s">
        <v>303</v>
      </c>
      <c r="DB647" s="49" t="s">
        <v>319</v>
      </c>
      <c r="DD647" s="48" t="n">
        <v>46155</v>
      </c>
      <c r="DF647" s="49" t="s">
        <v>310</v>
      </c>
      <c r="DG647" s="49" t="s">
        <v>320</v>
      </c>
      <c r="DH647" s="49" t="s">
        <v>64</v>
      </c>
      <c r="DI647" s="49" t="s">
        <v>298</v>
      </c>
      <c r="DJ647" s="49" t="s">
        <v>394</v>
      </c>
      <c r="DK647" s="49" t="s">
        <v>322</v>
      </c>
      <c r="DL647" s="49" t="s">
        <v>323</v>
      </c>
      <c r="DM647" s="49" t="s">
        <v>303</v>
      </c>
      <c r="DN647" s="49" t="s">
        <v>297</v>
      </c>
      <c r="DO647" s="48"/>
      <c r="DP647" s="49" t="s">
        <v>312</v>
      </c>
      <c r="DQ647" s="48"/>
      <c r="DR647" s="49" t="s">
        <v>312</v>
      </c>
      <c r="DS647" s="49" t="s">
        <v>303</v>
      </c>
      <c r="DT647" s="49" t="s">
        <v>303</v>
      </c>
      <c r="DW647" s="49" t="s">
        <v>303</v>
      </c>
      <c r="EA647" s="49" t="s">
        <v>324</v>
      </c>
      <c r="EB647" s="49" t="s">
        <v>303</v>
      </c>
      <c r="EH647" s="49" t="s">
        <v>310</v>
      </c>
      <c r="EJ647" s="49" t="s">
        <v>303</v>
      </c>
      <c r="EK647" s="49" t="s">
        <v>2911</v>
      </c>
      <c r="EM647" s="49" t="s">
        <v>303</v>
      </c>
      <c r="EN647" s="49" t="s">
        <v>396</v>
      </c>
      <c r="EP647" s="49" t="s">
        <v>298</v>
      </c>
      <c r="EQ647" s="0" t="n">
        <v>1</v>
      </c>
      <c r="ER647" s="49" t="s">
        <v>328</v>
      </c>
      <c r="ES647" s="49" t="s">
        <v>329</v>
      </c>
      <c r="ET647" s="49" t="s">
        <v>310</v>
      </c>
      <c r="EU647" s="49" t="s">
        <v>310</v>
      </c>
      <c r="EV647" s="49" t="s">
        <v>310</v>
      </c>
      <c r="EX647" s="49" t="s">
        <v>303</v>
      </c>
      <c r="EY647" s="49" t="s">
        <v>303</v>
      </c>
      <c r="FC647" s="49" t="s">
        <v>330</v>
      </c>
      <c r="FD647" s="49" t="s">
        <v>310</v>
      </c>
      <c r="FE647" s="49" t="s">
        <v>310</v>
      </c>
      <c r="FF647" s="49" t="s">
        <v>64</v>
      </c>
      <c r="FG647" s="49" t="s">
        <v>397</v>
      </c>
      <c r="FH647" s="49" t="s">
        <v>310</v>
      </c>
      <c r="FI647" s="49" t="s">
        <v>332</v>
      </c>
      <c r="FJ647" s="49" t="s">
        <v>303</v>
      </c>
      <c r="FL647" s="49" t="s">
        <v>325</v>
      </c>
      <c r="FM647" s="49" t="s">
        <v>2858</v>
      </c>
      <c r="FP647" s="49" t="s">
        <v>303</v>
      </c>
      <c r="FR647" s="49" t="s">
        <v>303</v>
      </c>
      <c r="FT647" s="49" t="s">
        <v>325</v>
      </c>
      <c r="FU647" s="49" t="s">
        <v>325</v>
      </c>
      <c r="FW647" s="49" t="s">
        <v>333</v>
      </c>
    </row>
    <row r="648" customFormat="false" ht="15" hidden="false" customHeight="false" outlineLevel="0" collapsed="false">
      <c r="A648" s="0" t="n">
        <v>100863699</v>
      </c>
      <c r="B648" s="0" t="s">
        <v>295</v>
      </c>
      <c r="C648" s="0" t="s">
        <v>64</v>
      </c>
      <c r="D648" s="0" t="s">
        <v>65</v>
      </c>
      <c r="E648" s="0" t="s">
        <v>297</v>
      </c>
      <c r="G648" s="0" t="n">
        <v>1</v>
      </c>
      <c r="H648" s="0" t="s">
        <v>298</v>
      </c>
      <c r="I648" s="48" t="n">
        <v>46165</v>
      </c>
      <c r="J648" s="0" t="n">
        <v>1</v>
      </c>
      <c r="K648" s="49" t="s">
        <v>2858</v>
      </c>
      <c r="L648" s="49" t="s">
        <v>1830</v>
      </c>
      <c r="M648" s="48" t="n">
        <v>46173</v>
      </c>
      <c r="N648" s="49" t="s">
        <v>1204</v>
      </c>
      <c r="O648" s="49" t="s">
        <v>1052</v>
      </c>
      <c r="P648" s="48"/>
      <c r="Q648" s="48" t="n">
        <v>46165</v>
      </c>
      <c r="R648" s="48" t="n">
        <v>46171</v>
      </c>
      <c r="T648" s="49" t="s">
        <v>302</v>
      </c>
      <c r="U648" s="49" t="s">
        <v>303</v>
      </c>
      <c r="Y648" s="49" t="s">
        <v>2912</v>
      </c>
      <c r="AD648" s="49" t="s">
        <v>305</v>
      </c>
      <c r="AE648" s="48" t="n">
        <v>46155</v>
      </c>
      <c r="AF648" s="49" t="s">
        <v>306</v>
      </c>
      <c r="AG648" s="49" t="s">
        <v>307</v>
      </c>
      <c r="AK648" s="49" t="s">
        <v>1047</v>
      </c>
      <c r="AL648" s="49" t="s">
        <v>297</v>
      </c>
      <c r="AO648" s="49" t="s">
        <v>303</v>
      </c>
      <c r="AP648" s="48"/>
      <c r="AR648" s="49" t="s">
        <v>303</v>
      </c>
      <c r="AS648" s="49" t="s">
        <v>306</v>
      </c>
      <c r="AT648" s="49" t="s">
        <v>2913</v>
      </c>
      <c r="AV648" s="49" t="s">
        <v>309</v>
      </c>
      <c r="AW648" s="49" t="s">
        <v>310</v>
      </c>
      <c r="AX648" s="49" t="s">
        <v>311</v>
      </c>
      <c r="AY648" s="48"/>
      <c r="AZ648" s="48" t="n">
        <v>46162</v>
      </c>
      <c r="BC648" s="49" t="s">
        <v>303</v>
      </c>
      <c r="BD648" s="48" t="n">
        <v>46182</v>
      </c>
      <c r="BE648" s="49" t="s">
        <v>2914</v>
      </c>
      <c r="BF648" s="49" t="s">
        <v>303</v>
      </c>
      <c r="BG648" s="48"/>
      <c r="BI648" s="48" t="n">
        <v>46182</v>
      </c>
      <c r="BJ648" s="48" t="n">
        <v>46170</v>
      </c>
      <c r="BK648" s="49" t="s">
        <v>313</v>
      </c>
      <c r="BL648" s="49" t="s">
        <v>313</v>
      </c>
      <c r="BM648" s="49" t="s">
        <v>310</v>
      </c>
      <c r="BN648" s="48"/>
      <c r="BO648" s="48"/>
      <c r="BP648" s="48"/>
      <c r="BQ648" s="49" t="s">
        <v>2909</v>
      </c>
      <c r="BR648" s="48" t="n">
        <v>46170</v>
      </c>
      <c r="BS648" s="49" t="s">
        <v>2915</v>
      </c>
      <c r="BT648" s="49" t="s">
        <v>312</v>
      </c>
      <c r="BU648" s="49" t="s">
        <v>313</v>
      </c>
      <c r="BV648" s="49" t="s">
        <v>303</v>
      </c>
      <c r="BX648" s="0" t="n">
        <v>1</v>
      </c>
      <c r="CC648" s="49" t="s">
        <v>315</v>
      </c>
      <c r="CD648" s="49" t="s">
        <v>303</v>
      </c>
      <c r="CF648" s="49" t="s">
        <v>303</v>
      </c>
      <c r="CG648" s="49" t="s">
        <v>316</v>
      </c>
      <c r="CH648" s="49" t="s">
        <v>317</v>
      </c>
      <c r="CI648" s="49" t="s">
        <v>318</v>
      </c>
      <c r="CM648" s="49" t="s">
        <v>65</v>
      </c>
      <c r="CV648" s="49" t="s">
        <v>303</v>
      </c>
      <c r="DB648" s="49" t="s">
        <v>319</v>
      </c>
      <c r="DD648" s="48" t="n">
        <v>46155</v>
      </c>
      <c r="DF648" s="49" t="s">
        <v>310</v>
      </c>
      <c r="DG648" s="49" t="s">
        <v>320</v>
      </c>
      <c r="DH648" s="49" t="s">
        <v>64</v>
      </c>
      <c r="DI648" s="49" t="s">
        <v>298</v>
      </c>
      <c r="DJ648" s="49" t="s">
        <v>394</v>
      </c>
      <c r="DK648" s="49" t="s">
        <v>322</v>
      </c>
      <c r="DL648" s="49" t="s">
        <v>323</v>
      </c>
      <c r="DM648" s="49" t="s">
        <v>303</v>
      </c>
      <c r="DN648" s="49" t="s">
        <v>297</v>
      </c>
      <c r="DO648" s="48"/>
      <c r="DP648" s="49" t="s">
        <v>312</v>
      </c>
      <c r="DQ648" s="48"/>
      <c r="DR648" s="49" t="s">
        <v>312</v>
      </c>
      <c r="DS648" s="49" t="s">
        <v>303</v>
      </c>
      <c r="DT648" s="49" t="s">
        <v>303</v>
      </c>
      <c r="DW648" s="49" t="s">
        <v>303</v>
      </c>
      <c r="EA648" s="49" t="s">
        <v>324</v>
      </c>
      <c r="EB648" s="49" t="s">
        <v>303</v>
      </c>
      <c r="EF648" s="49" t="s">
        <v>2916</v>
      </c>
      <c r="EH648" s="49" t="s">
        <v>310</v>
      </c>
      <c r="EJ648" s="49" t="s">
        <v>303</v>
      </c>
      <c r="EK648" s="49" t="s">
        <v>2917</v>
      </c>
      <c r="EM648" s="49" t="s">
        <v>303</v>
      </c>
      <c r="EN648" s="49" t="s">
        <v>396</v>
      </c>
      <c r="EP648" s="49" t="s">
        <v>298</v>
      </c>
      <c r="EQ648" s="0" t="n">
        <v>1</v>
      </c>
      <c r="ER648" s="49" t="s">
        <v>328</v>
      </c>
      <c r="ES648" s="49" t="s">
        <v>329</v>
      </c>
      <c r="ET648" s="49" t="s">
        <v>310</v>
      </c>
      <c r="EU648" s="49" t="s">
        <v>310</v>
      </c>
      <c r="EV648" s="49" t="s">
        <v>310</v>
      </c>
      <c r="EX648" s="49" t="s">
        <v>303</v>
      </c>
      <c r="EY648" s="49" t="s">
        <v>303</v>
      </c>
      <c r="FC648" s="49" t="s">
        <v>330</v>
      </c>
      <c r="FD648" s="49" t="s">
        <v>310</v>
      </c>
      <c r="FE648" s="49" t="s">
        <v>310</v>
      </c>
      <c r="FF648" s="49" t="s">
        <v>64</v>
      </c>
      <c r="FG648" s="49" t="s">
        <v>397</v>
      </c>
      <c r="FH648" s="49" t="s">
        <v>310</v>
      </c>
      <c r="FI648" s="49" t="s">
        <v>332</v>
      </c>
      <c r="FJ648" s="49" t="s">
        <v>303</v>
      </c>
      <c r="FL648" s="49" t="s">
        <v>325</v>
      </c>
      <c r="FM648" s="49" t="s">
        <v>2858</v>
      </c>
      <c r="FP648" s="49" t="s">
        <v>303</v>
      </c>
      <c r="FR648" s="49" t="s">
        <v>303</v>
      </c>
      <c r="FT648" s="49" t="s">
        <v>325</v>
      </c>
      <c r="FU648" s="49" t="s">
        <v>325</v>
      </c>
      <c r="FW648" s="49" t="s">
        <v>333</v>
      </c>
    </row>
    <row r="649" customFormat="false" ht="15" hidden="false" customHeight="false" outlineLevel="0" collapsed="false">
      <c r="A649" s="0" t="n">
        <v>100863700</v>
      </c>
      <c r="B649" s="0" t="s">
        <v>295</v>
      </c>
      <c r="C649" s="0" t="s">
        <v>64</v>
      </c>
      <c r="D649" s="0" t="s">
        <v>65</v>
      </c>
      <c r="E649" s="0" t="s">
        <v>297</v>
      </c>
      <c r="G649" s="0" t="n">
        <v>1</v>
      </c>
      <c r="H649" s="0" t="s">
        <v>298</v>
      </c>
      <c r="I649" s="48" t="n">
        <v>46165</v>
      </c>
      <c r="J649" s="0" t="n">
        <v>1</v>
      </c>
      <c r="K649" s="49" t="s">
        <v>2858</v>
      </c>
      <c r="L649" s="49" t="s">
        <v>1830</v>
      </c>
      <c r="M649" s="48" t="n">
        <v>46173</v>
      </c>
      <c r="N649" s="49" t="s">
        <v>1204</v>
      </c>
      <c r="O649" s="49" t="s">
        <v>1052</v>
      </c>
      <c r="P649" s="48"/>
      <c r="Q649" s="48" t="n">
        <v>46165</v>
      </c>
      <c r="R649" s="48" t="n">
        <v>46171</v>
      </c>
      <c r="T649" s="49" t="s">
        <v>302</v>
      </c>
      <c r="U649" s="49" t="s">
        <v>303</v>
      </c>
      <c r="Y649" s="49" t="s">
        <v>2918</v>
      </c>
      <c r="AD649" s="49" t="s">
        <v>305</v>
      </c>
      <c r="AE649" s="48" t="n">
        <v>46155</v>
      </c>
      <c r="AF649" s="49" t="s">
        <v>306</v>
      </c>
      <c r="AG649" s="49" t="s">
        <v>307</v>
      </c>
      <c r="AK649" s="49" t="s">
        <v>1047</v>
      </c>
      <c r="AL649" s="49" t="s">
        <v>297</v>
      </c>
      <c r="AO649" s="49" t="s">
        <v>303</v>
      </c>
      <c r="AP649" s="48"/>
      <c r="AR649" s="49" t="s">
        <v>303</v>
      </c>
      <c r="AS649" s="49" t="s">
        <v>306</v>
      </c>
      <c r="AT649" s="49" t="s">
        <v>2919</v>
      </c>
      <c r="AV649" s="49" t="s">
        <v>309</v>
      </c>
      <c r="AW649" s="49" t="s">
        <v>310</v>
      </c>
      <c r="AX649" s="49" t="s">
        <v>311</v>
      </c>
      <c r="AY649" s="48"/>
      <c r="AZ649" s="48" t="n">
        <v>46162</v>
      </c>
      <c r="BC649" s="49" t="s">
        <v>303</v>
      </c>
      <c r="BD649" s="48" t="n">
        <v>46187</v>
      </c>
      <c r="BE649" s="49" t="s">
        <v>2920</v>
      </c>
      <c r="BF649" s="49" t="s">
        <v>303</v>
      </c>
      <c r="BG649" s="48"/>
      <c r="BI649" s="48" t="n">
        <v>46187</v>
      </c>
      <c r="BJ649" s="48" t="n">
        <v>46170</v>
      </c>
      <c r="BK649" s="49" t="s">
        <v>313</v>
      </c>
      <c r="BL649" s="49" t="s">
        <v>313</v>
      </c>
      <c r="BM649" s="49" t="s">
        <v>310</v>
      </c>
      <c r="BN649" s="48"/>
      <c r="BO649" s="48"/>
      <c r="BP649" s="48"/>
      <c r="BQ649" s="49" t="s">
        <v>2909</v>
      </c>
      <c r="BR649" s="48" t="n">
        <v>46170</v>
      </c>
      <c r="BS649" s="49" t="s">
        <v>2921</v>
      </c>
      <c r="BT649" s="49" t="s">
        <v>312</v>
      </c>
      <c r="BU649" s="49" t="s">
        <v>313</v>
      </c>
      <c r="BV649" s="49" t="s">
        <v>303</v>
      </c>
      <c r="BX649" s="0" t="n">
        <v>1</v>
      </c>
      <c r="CC649" s="49" t="s">
        <v>315</v>
      </c>
      <c r="CD649" s="49" t="s">
        <v>303</v>
      </c>
      <c r="CF649" s="49" t="s">
        <v>303</v>
      </c>
      <c r="CG649" s="49" t="s">
        <v>316</v>
      </c>
      <c r="CH649" s="49" t="s">
        <v>317</v>
      </c>
      <c r="CI649" s="49" t="s">
        <v>318</v>
      </c>
      <c r="CM649" s="49" t="s">
        <v>65</v>
      </c>
      <c r="CV649" s="49" t="s">
        <v>303</v>
      </c>
      <c r="DB649" s="49" t="s">
        <v>319</v>
      </c>
      <c r="DD649" s="48" t="n">
        <v>46155</v>
      </c>
      <c r="DF649" s="49" t="s">
        <v>310</v>
      </c>
      <c r="DG649" s="49" t="s">
        <v>320</v>
      </c>
      <c r="DH649" s="49" t="s">
        <v>64</v>
      </c>
      <c r="DI649" s="49" t="s">
        <v>298</v>
      </c>
      <c r="DJ649" s="49" t="s">
        <v>394</v>
      </c>
      <c r="DK649" s="49" t="s">
        <v>322</v>
      </c>
      <c r="DL649" s="49" t="s">
        <v>323</v>
      </c>
      <c r="DM649" s="49" t="s">
        <v>303</v>
      </c>
      <c r="DN649" s="49" t="s">
        <v>297</v>
      </c>
      <c r="DO649" s="48"/>
      <c r="DP649" s="49" t="s">
        <v>312</v>
      </c>
      <c r="DQ649" s="48"/>
      <c r="DR649" s="49" t="s">
        <v>312</v>
      </c>
      <c r="DS649" s="49" t="s">
        <v>303</v>
      </c>
      <c r="DT649" s="49" t="s">
        <v>303</v>
      </c>
      <c r="DW649" s="49" t="s">
        <v>303</v>
      </c>
      <c r="EA649" s="49" t="s">
        <v>324</v>
      </c>
      <c r="EB649" s="49" t="s">
        <v>303</v>
      </c>
      <c r="EF649" s="49" t="s">
        <v>2916</v>
      </c>
      <c r="EH649" s="49" t="s">
        <v>310</v>
      </c>
      <c r="EJ649" s="49" t="s">
        <v>303</v>
      </c>
      <c r="EK649" s="49" t="s">
        <v>2922</v>
      </c>
      <c r="EM649" s="49" t="s">
        <v>303</v>
      </c>
      <c r="EN649" s="49" t="s">
        <v>396</v>
      </c>
      <c r="EP649" s="49" t="s">
        <v>298</v>
      </c>
      <c r="EQ649" s="0" t="n">
        <v>1</v>
      </c>
      <c r="ER649" s="49" t="s">
        <v>328</v>
      </c>
      <c r="ES649" s="49" t="s">
        <v>329</v>
      </c>
      <c r="ET649" s="49" t="s">
        <v>310</v>
      </c>
      <c r="EU649" s="49" t="s">
        <v>310</v>
      </c>
      <c r="EV649" s="49" t="s">
        <v>310</v>
      </c>
      <c r="EX649" s="49" t="s">
        <v>303</v>
      </c>
      <c r="EY649" s="49" t="s">
        <v>303</v>
      </c>
      <c r="FC649" s="49" t="s">
        <v>330</v>
      </c>
      <c r="FD649" s="49" t="s">
        <v>310</v>
      </c>
      <c r="FE649" s="49" t="s">
        <v>310</v>
      </c>
      <c r="FF649" s="49" t="s">
        <v>64</v>
      </c>
      <c r="FG649" s="49" t="s">
        <v>397</v>
      </c>
      <c r="FH649" s="49" t="s">
        <v>310</v>
      </c>
      <c r="FI649" s="49" t="s">
        <v>332</v>
      </c>
      <c r="FJ649" s="49" t="s">
        <v>303</v>
      </c>
      <c r="FL649" s="49" t="s">
        <v>325</v>
      </c>
      <c r="FM649" s="49" t="s">
        <v>2858</v>
      </c>
      <c r="FP649" s="49" t="s">
        <v>303</v>
      </c>
      <c r="FR649" s="49" t="s">
        <v>303</v>
      </c>
      <c r="FT649" s="49" t="s">
        <v>325</v>
      </c>
      <c r="FU649" s="49" t="s">
        <v>325</v>
      </c>
      <c r="FW649" s="49" t="s">
        <v>333</v>
      </c>
    </row>
    <row r="650" customFormat="false" ht="15" hidden="false" customHeight="false" outlineLevel="0" collapsed="false">
      <c r="A650" s="0" t="n">
        <v>100863701</v>
      </c>
      <c r="B650" s="0" t="s">
        <v>295</v>
      </c>
      <c r="C650" s="0" t="s">
        <v>64</v>
      </c>
      <c r="D650" s="0" t="s">
        <v>65</v>
      </c>
      <c r="E650" s="0" t="s">
        <v>297</v>
      </c>
      <c r="G650" s="0" t="n">
        <v>1</v>
      </c>
      <c r="H650" s="0" t="s">
        <v>298</v>
      </c>
      <c r="I650" s="48" t="n">
        <v>46165</v>
      </c>
      <c r="J650" s="0" t="n">
        <v>1</v>
      </c>
      <c r="K650" s="49" t="s">
        <v>2858</v>
      </c>
      <c r="L650" s="49" t="s">
        <v>1830</v>
      </c>
      <c r="M650" s="48" t="n">
        <v>46173</v>
      </c>
      <c r="N650" s="49" t="s">
        <v>1204</v>
      </c>
      <c r="O650" s="49" t="s">
        <v>1052</v>
      </c>
      <c r="P650" s="48"/>
      <c r="Q650" s="48" t="n">
        <v>46165</v>
      </c>
      <c r="R650" s="48" t="n">
        <v>46171</v>
      </c>
      <c r="T650" s="49" t="s">
        <v>302</v>
      </c>
      <c r="U650" s="49" t="s">
        <v>303</v>
      </c>
      <c r="Y650" s="49" t="s">
        <v>2923</v>
      </c>
      <c r="AD650" s="49" t="s">
        <v>305</v>
      </c>
      <c r="AE650" s="48" t="n">
        <v>46155</v>
      </c>
      <c r="AF650" s="49" t="s">
        <v>306</v>
      </c>
      <c r="AG650" s="49" t="s">
        <v>307</v>
      </c>
      <c r="AK650" s="49" t="s">
        <v>1047</v>
      </c>
      <c r="AL650" s="49" t="s">
        <v>297</v>
      </c>
      <c r="AO650" s="49" t="s">
        <v>303</v>
      </c>
      <c r="AP650" s="48"/>
      <c r="AR650" s="49" t="s">
        <v>303</v>
      </c>
      <c r="AS650" s="49" t="s">
        <v>306</v>
      </c>
      <c r="AT650" s="49" t="s">
        <v>2924</v>
      </c>
      <c r="AV650" s="49" t="s">
        <v>309</v>
      </c>
      <c r="AW650" s="49" t="s">
        <v>310</v>
      </c>
      <c r="AX650" s="49" t="s">
        <v>311</v>
      </c>
      <c r="AY650" s="48"/>
      <c r="AZ650" s="48" t="n">
        <v>46162</v>
      </c>
      <c r="BC650" s="49" t="s">
        <v>303</v>
      </c>
      <c r="BD650" s="48" t="n">
        <v>46187</v>
      </c>
      <c r="BE650" s="49" t="s">
        <v>2925</v>
      </c>
      <c r="BF650" s="49" t="s">
        <v>303</v>
      </c>
      <c r="BG650" s="48"/>
      <c r="BI650" s="48" t="n">
        <v>46187</v>
      </c>
      <c r="BJ650" s="48" t="n">
        <v>46170</v>
      </c>
      <c r="BK650" s="49" t="s">
        <v>313</v>
      </c>
      <c r="BL650" s="49" t="s">
        <v>313</v>
      </c>
      <c r="BM650" s="49" t="s">
        <v>310</v>
      </c>
      <c r="BN650" s="48"/>
      <c r="BO650" s="48"/>
      <c r="BP650" s="48"/>
      <c r="BQ650" s="49" t="s">
        <v>2909</v>
      </c>
      <c r="BR650" s="48" t="n">
        <v>46170</v>
      </c>
      <c r="BS650" s="49" t="s">
        <v>2926</v>
      </c>
      <c r="BT650" s="49" t="s">
        <v>312</v>
      </c>
      <c r="BU650" s="49" t="s">
        <v>313</v>
      </c>
      <c r="BV650" s="49" t="s">
        <v>303</v>
      </c>
      <c r="BX650" s="0" t="n">
        <v>1</v>
      </c>
      <c r="CC650" s="49" t="s">
        <v>315</v>
      </c>
      <c r="CD650" s="49" t="s">
        <v>303</v>
      </c>
      <c r="CF650" s="49" t="s">
        <v>303</v>
      </c>
      <c r="CG650" s="49" t="s">
        <v>316</v>
      </c>
      <c r="CH650" s="49" t="s">
        <v>317</v>
      </c>
      <c r="CI650" s="49" t="s">
        <v>318</v>
      </c>
      <c r="CM650" s="49" t="s">
        <v>65</v>
      </c>
      <c r="CV650" s="49" t="s">
        <v>303</v>
      </c>
      <c r="DB650" s="49" t="s">
        <v>319</v>
      </c>
      <c r="DD650" s="48" t="n">
        <v>46155</v>
      </c>
      <c r="DF650" s="49" t="s">
        <v>310</v>
      </c>
      <c r="DG650" s="49" t="s">
        <v>320</v>
      </c>
      <c r="DH650" s="49" t="s">
        <v>64</v>
      </c>
      <c r="DI650" s="49" t="s">
        <v>298</v>
      </c>
      <c r="DJ650" s="49" t="s">
        <v>394</v>
      </c>
      <c r="DK650" s="49" t="s">
        <v>322</v>
      </c>
      <c r="DL650" s="49" t="s">
        <v>323</v>
      </c>
      <c r="DM650" s="49" t="s">
        <v>303</v>
      </c>
      <c r="DN650" s="49" t="s">
        <v>297</v>
      </c>
      <c r="DO650" s="48"/>
      <c r="DP650" s="49" t="s">
        <v>312</v>
      </c>
      <c r="DQ650" s="48"/>
      <c r="DR650" s="49" t="s">
        <v>312</v>
      </c>
      <c r="DS650" s="49" t="s">
        <v>303</v>
      </c>
      <c r="DT650" s="49" t="s">
        <v>303</v>
      </c>
      <c r="DW650" s="49" t="s">
        <v>303</v>
      </c>
      <c r="EA650" s="49" t="s">
        <v>324</v>
      </c>
      <c r="EB650" s="49" t="s">
        <v>303</v>
      </c>
      <c r="EF650" s="49" t="s">
        <v>2916</v>
      </c>
      <c r="EH650" s="49" t="s">
        <v>310</v>
      </c>
      <c r="EJ650" s="49" t="s">
        <v>303</v>
      </c>
      <c r="EK650" s="49" t="s">
        <v>2927</v>
      </c>
      <c r="EM650" s="49" t="s">
        <v>303</v>
      </c>
      <c r="EN650" s="49" t="s">
        <v>396</v>
      </c>
      <c r="EP650" s="49" t="s">
        <v>298</v>
      </c>
      <c r="EQ650" s="0" t="n">
        <v>1</v>
      </c>
      <c r="ER650" s="49" t="s">
        <v>328</v>
      </c>
      <c r="ES650" s="49" t="s">
        <v>329</v>
      </c>
      <c r="ET650" s="49" t="s">
        <v>310</v>
      </c>
      <c r="EU650" s="49" t="s">
        <v>310</v>
      </c>
      <c r="EV650" s="49" t="s">
        <v>310</v>
      </c>
      <c r="EX650" s="49" t="s">
        <v>303</v>
      </c>
      <c r="EY650" s="49" t="s">
        <v>303</v>
      </c>
      <c r="FC650" s="49" t="s">
        <v>330</v>
      </c>
      <c r="FD650" s="49" t="s">
        <v>310</v>
      </c>
      <c r="FE650" s="49" t="s">
        <v>310</v>
      </c>
      <c r="FF650" s="49" t="s">
        <v>64</v>
      </c>
      <c r="FG650" s="49" t="s">
        <v>397</v>
      </c>
      <c r="FH650" s="49" t="s">
        <v>310</v>
      </c>
      <c r="FI650" s="49" t="s">
        <v>332</v>
      </c>
      <c r="FJ650" s="49" t="s">
        <v>303</v>
      </c>
      <c r="FL650" s="49" t="s">
        <v>325</v>
      </c>
      <c r="FM650" s="49" t="s">
        <v>2858</v>
      </c>
      <c r="FP650" s="49" t="s">
        <v>303</v>
      </c>
      <c r="FR650" s="49" t="s">
        <v>303</v>
      </c>
      <c r="FT650" s="49" t="s">
        <v>325</v>
      </c>
      <c r="FU650" s="49" t="s">
        <v>325</v>
      </c>
      <c r="FW650" s="49" t="s">
        <v>333</v>
      </c>
    </row>
    <row r="651" customFormat="false" ht="15" hidden="false" customHeight="false" outlineLevel="0" collapsed="false">
      <c r="A651" s="0" t="n">
        <v>100863702</v>
      </c>
      <c r="B651" s="0" t="s">
        <v>295</v>
      </c>
      <c r="C651" s="0" t="s">
        <v>64</v>
      </c>
      <c r="D651" s="0" t="s">
        <v>65</v>
      </c>
      <c r="E651" s="0" t="s">
        <v>297</v>
      </c>
      <c r="G651" s="0" t="n">
        <v>1</v>
      </c>
      <c r="H651" s="0" t="s">
        <v>298</v>
      </c>
      <c r="I651" s="48" t="n">
        <v>46165</v>
      </c>
      <c r="J651" s="0" t="n">
        <v>1</v>
      </c>
      <c r="K651" s="49" t="s">
        <v>2858</v>
      </c>
      <c r="L651" s="49" t="s">
        <v>1830</v>
      </c>
      <c r="M651" s="48" t="n">
        <v>46173</v>
      </c>
      <c r="N651" s="49" t="s">
        <v>1204</v>
      </c>
      <c r="O651" s="49" t="s">
        <v>1052</v>
      </c>
      <c r="P651" s="48"/>
      <c r="Q651" s="48" t="n">
        <v>46165</v>
      </c>
      <c r="R651" s="48" t="n">
        <v>46171</v>
      </c>
      <c r="T651" s="49" t="s">
        <v>302</v>
      </c>
      <c r="U651" s="49" t="s">
        <v>303</v>
      </c>
      <c r="Y651" s="49" t="s">
        <v>2928</v>
      </c>
      <c r="AD651" s="49" t="s">
        <v>305</v>
      </c>
      <c r="AE651" s="48" t="n">
        <v>46155</v>
      </c>
      <c r="AF651" s="49" t="s">
        <v>306</v>
      </c>
      <c r="AG651" s="49" t="s">
        <v>307</v>
      </c>
      <c r="AK651" s="49" t="s">
        <v>1047</v>
      </c>
      <c r="AL651" s="49" t="s">
        <v>297</v>
      </c>
      <c r="AO651" s="49" t="s">
        <v>303</v>
      </c>
      <c r="AP651" s="48"/>
      <c r="AR651" s="49" t="s">
        <v>303</v>
      </c>
      <c r="AS651" s="49" t="s">
        <v>306</v>
      </c>
      <c r="AT651" s="49" t="s">
        <v>2929</v>
      </c>
      <c r="AV651" s="49" t="s">
        <v>309</v>
      </c>
      <c r="AW651" s="49" t="s">
        <v>310</v>
      </c>
      <c r="AX651" s="49" t="s">
        <v>311</v>
      </c>
      <c r="AY651" s="48"/>
      <c r="AZ651" s="48" t="n">
        <v>46162</v>
      </c>
      <c r="BC651" s="49" t="s">
        <v>303</v>
      </c>
      <c r="BD651" s="48" t="n">
        <v>46182</v>
      </c>
      <c r="BE651" s="49" t="s">
        <v>2930</v>
      </c>
      <c r="BF651" s="49" t="s">
        <v>303</v>
      </c>
      <c r="BG651" s="48"/>
      <c r="BI651" s="48" t="n">
        <v>46182</v>
      </c>
      <c r="BJ651" s="48" t="n">
        <v>46170</v>
      </c>
      <c r="BK651" s="49" t="s">
        <v>313</v>
      </c>
      <c r="BL651" s="49" t="s">
        <v>313</v>
      </c>
      <c r="BM651" s="49" t="s">
        <v>310</v>
      </c>
      <c r="BN651" s="48"/>
      <c r="BO651" s="48"/>
      <c r="BP651" s="48"/>
      <c r="BQ651" s="49" t="s">
        <v>2909</v>
      </c>
      <c r="BR651" s="48" t="n">
        <v>46170</v>
      </c>
      <c r="BS651" s="49" t="s">
        <v>2931</v>
      </c>
      <c r="BT651" s="49" t="s">
        <v>312</v>
      </c>
      <c r="BU651" s="49" t="s">
        <v>313</v>
      </c>
      <c r="BV651" s="49" t="s">
        <v>303</v>
      </c>
      <c r="BX651" s="0" t="n">
        <v>1</v>
      </c>
      <c r="CC651" s="49" t="s">
        <v>315</v>
      </c>
      <c r="CD651" s="49" t="s">
        <v>303</v>
      </c>
      <c r="CF651" s="49" t="s">
        <v>303</v>
      </c>
      <c r="CG651" s="49" t="s">
        <v>316</v>
      </c>
      <c r="CH651" s="49" t="s">
        <v>317</v>
      </c>
      <c r="CI651" s="49" t="s">
        <v>318</v>
      </c>
      <c r="CM651" s="49" t="s">
        <v>65</v>
      </c>
      <c r="CV651" s="49" t="s">
        <v>303</v>
      </c>
      <c r="DB651" s="49" t="s">
        <v>319</v>
      </c>
      <c r="DD651" s="48" t="n">
        <v>46155</v>
      </c>
      <c r="DF651" s="49" t="s">
        <v>310</v>
      </c>
      <c r="DG651" s="49" t="s">
        <v>320</v>
      </c>
      <c r="DH651" s="49" t="s">
        <v>64</v>
      </c>
      <c r="DI651" s="49" t="s">
        <v>298</v>
      </c>
      <c r="DJ651" s="49" t="s">
        <v>394</v>
      </c>
      <c r="DK651" s="49" t="s">
        <v>322</v>
      </c>
      <c r="DL651" s="49" t="s">
        <v>323</v>
      </c>
      <c r="DM651" s="49" t="s">
        <v>303</v>
      </c>
      <c r="DN651" s="49" t="s">
        <v>297</v>
      </c>
      <c r="DO651" s="48"/>
      <c r="DP651" s="49" t="s">
        <v>312</v>
      </c>
      <c r="DQ651" s="48"/>
      <c r="DR651" s="49" t="s">
        <v>312</v>
      </c>
      <c r="DS651" s="49" t="s">
        <v>303</v>
      </c>
      <c r="DT651" s="49" t="s">
        <v>303</v>
      </c>
      <c r="DW651" s="49" t="s">
        <v>303</v>
      </c>
      <c r="EA651" s="49" t="s">
        <v>324</v>
      </c>
      <c r="EB651" s="49" t="s">
        <v>303</v>
      </c>
      <c r="EF651" s="49" t="s">
        <v>2916</v>
      </c>
      <c r="EH651" s="49" t="s">
        <v>310</v>
      </c>
      <c r="EJ651" s="49" t="s">
        <v>303</v>
      </c>
      <c r="EK651" s="49" t="s">
        <v>2932</v>
      </c>
      <c r="EM651" s="49" t="s">
        <v>303</v>
      </c>
      <c r="EN651" s="49" t="s">
        <v>396</v>
      </c>
      <c r="EP651" s="49" t="s">
        <v>298</v>
      </c>
      <c r="EQ651" s="0" t="n">
        <v>1</v>
      </c>
      <c r="ER651" s="49" t="s">
        <v>328</v>
      </c>
      <c r="ES651" s="49" t="s">
        <v>329</v>
      </c>
      <c r="ET651" s="49" t="s">
        <v>310</v>
      </c>
      <c r="EU651" s="49" t="s">
        <v>310</v>
      </c>
      <c r="EV651" s="49" t="s">
        <v>310</v>
      </c>
      <c r="EX651" s="49" t="s">
        <v>303</v>
      </c>
      <c r="EY651" s="49" t="s">
        <v>303</v>
      </c>
      <c r="FC651" s="49" t="s">
        <v>330</v>
      </c>
      <c r="FD651" s="49" t="s">
        <v>310</v>
      </c>
      <c r="FE651" s="49" t="s">
        <v>310</v>
      </c>
      <c r="FF651" s="49" t="s">
        <v>64</v>
      </c>
      <c r="FG651" s="49" t="s">
        <v>397</v>
      </c>
      <c r="FH651" s="49" t="s">
        <v>310</v>
      </c>
      <c r="FI651" s="49" t="s">
        <v>332</v>
      </c>
      <c r="FJ651" s="49" t="s">
        <v>303</v>
      </c>
      <c r="FL651" s="49" t="s">
        <v>325</v>
      </c>
      <c r="FM651" s="49" t="s">
        <v>2858</v>
      </c>
      <c r="FP651" s="49" t="s">
        <v>303</v>
      </c>
      <c r="FR651" s="49" t="s">
        <v>303</v>
      </c>
      <c r="FT651" s="49" t="s">
        <v>325</v>
      </c>
      <c r="FU651" s="49" t="s">
        <v>325</v>
      </c>
      <c r="FW651" s="49" t="s">
        <v>333</v>
      </c>
    </row>
    <row r="652" customFormat="false" ht="15" hidden="false" customHeight="false" outlineLevel="0" collapsed="false">
      <c r="A652" s="0" t="n">
        <v>100863703</v>
      </c>
      <c r="B652" s="0" t="s">
        <v>295</v>
      </c>
      <c r="C652" s="0" t="s">
        <v>64</v>
      </c>
      <c r="D652" s="0" t="s">
        <v>65</v>
      </c>
      <c r="E652" s="0" t="s">
        <v>297</v>
      </c>
      <c r="G652" s="0" t="n">
        <v>1</v>
      </c>
      <c r="H652" s="0" t="s">
        <v>298</v>
      </c>
      <c r="I652" s="48" t="n">
        <v>46165</v>
      </c>
      <c r="J652" s="0" t="n">
        <v>1</v>
      </c>
      <c r="K652" s="49" t="s">
        <v>2858</v>
      </c>
      <c r="L652" s="49" t="s">
        <v>1830</v>
      </c>
      <c r="M652" s="48" t="n">
        <v>46173</v>
      </c>
      <c r="N652" s="49" t="s">
        <v>1204</v>
      </c>
      <c r="O652" s="49" t="s">
        <v>1052</v>
      </c>
      <c r="P652" s="48"/>
      <c r="Q652" s="48" t="n">
        <v>46165</v>
      </c>
      <c r="R652" s="48" t="n">
        <v>46171</v>
      </c>
      <c r="T652" s="49" t="s">
        <v>302</v>
      </c>
      <c r="U652" s="49" t="s">
        <v>303</v>
      </c>
      <c r="Y652" s="49" t="s">
        <v>2933</v>
      </c>
      <c r="AD652" s="49" t="s">
        <v>305</v>
      </c>
      <c r="AE652" s="48" t="n">
        <v>46155</v>
      </c>
      <c r="AF652" s="49" t="s">
        <v>306</v>
      </c>
      <c r="AG652" s="49" t="s">
        <v>307</v>
      </c>
      <c r="AK652" s="49" t="s">
        <v>1047</v>
      </c>
      <c r="AL652" s="49" t="s">
        <v>297</v>
      </c>
      <c r="AO652" s="49" t="s">
        <v>303</v>
      </c>
      <c r="AP652" s="48"/>
      <c r="AR652" s="49" t="s">
        <v>303</v>
      </c>
      <c r="AS652" s="49" t="s">
        <v>306</v>
      </c>
      <c r="AT652" s="49" t="s">
        <v>2934</v>
      </c>
      <c r="AV652" s="49" t="s">
        <v>309</v>
      </c>
      <c r="AW652" s="49" t="s">
        <v>310</v>
      </c>
      <c r="AX652" s="49" t="s">
        <v>311</v>
      </c>
      <c r="AY652" s="48"/>
      <c r="AZ652" s="48" t="n">
        <v>46162</v>
      </c>
      <c r="BC652" s="49" t="s">
        <v>303</v>
      </c>
      <c r="BD652" s="48" t="n">
        <v>46182</v>
      </c>
      <c r="BE652" s="49" t="s">
        <v>2930</v>
      </c>
      <c r="BF652" s="49" t="s">
        <v>303</v>
      </c>
      <c r="BG652" s="48"/>
      <c r="BI652" s="48" t="n">
        <v>46182</v>
      </c>
      <c r="BJ652" s="48" t="n">
        <v>46170</v>
      </c>
      <c r="BK652" s="49" t="s">
        <v>313</v>
      </c>
      <c r="BL652" s="49" t="s">
        <v>313</v>
      </c>
      <c r="BM652" s="49" t="s">
        <v>310</v>
      </c>
      <c r="BN652" s="48"/>
      <c r="BO652" s="48"/>
      <c r="BP652" s="48"/>
      <c r="BQ652" s="49" t="s">
        <v>2909</v>
      </c>
      <c r="BR652" s="48" t="n">
        <v>46170</v>
      </c>
      <c r="BS652" s="49" t="s">
        <v>2935</v>
      </c>
      <c r="BT652" s="49" t="s">
        <v>312</v>
      </c>
      <c r="BU652" s="49" t="s">
        <v>313</v>
      </c>
      <c r="BV652" s="49" t="s">
        <v>303</v>
      </c>
      <c r="BX652" s="0" t="n">
        <v>1</v>
      </c>
      <c r="CC652" s="49" t="s">
        <v>315</v>
      </c>
      <c r="CD652" s="49" t="s">
        <v>303</v>
      </c>
      <c r="CF652" s="49" t="s">
        <v>303</v>
      </c>
      <c r="CG652" s="49" t="s">
        <v>316</v>
      </c>
      <c r="CH652" s="49" t="s">
        <v>317</v>
      </c>
      <c r="CI652" s="49" t="s">
        <v>318</v>
      </c>
      <c r="CM652" s="49" t="s">
        <v>65</v>
      </c>
      <c r="CV652" s="49" t="s">
        <v>303</v>
      </c>
      <c r="DB652" s="49" t="s">
        <v>319</v>
      </c>
      <c r="DD652" s="48" t="n">
        <v>46155</v>
      </c>
      <c r="DF652" s="49" t="s">
        <v>310</v>
      </c>
      <c r="DG652" s="49" t="s">
        <v>320</v>
      </c>
      <c r="DH652" s="49" t="s">
        <v>64</v>
      </c>
      <c r="DI652" s="49" t="s">
        <v>298</v>
      </c>
      <c r="DJ652" s="49" t="s">
        <v>394</v>
      </c>
      <c r="DK652" s="49" t="s">
        <v>322</v>
      </c>
      <c r="DL652" s="49" t="s">
        <v>323</v>
      </c>
      <c r="DM652" s="49" t="s">
        <v>303</v>
      </c>
      <c r="DN652" s="49" t="s">
        <v>297</v>
      </c>
      <c r="DO652" s="48"/>
      <c r="DP652" s="49" t="s">
        <v>312</v>
      </c>
      <c r="DQ652" s="48"/>
      <c r="DR652" s="49" t="s">
        <v>312</v>
      </c>
      <c r="DS652" s="49" t="s">
        <v>303</v>
      </c>
      <c r="DT652" s="49" t="s">
        <v>303</v>
      </c>
      <c r="DW652" s="49" t="s">
        <v>303</v>
      </c>
      <c r="EA652" s="49" t="s">
        <v>324</v>
      </c>
      <c r="EB652" s="49" t="s">
        <v>303</v>
      </c>
      <c r="EF652" s="49" t="s">
        <v>2916</v>
      </c>
      <c r="EH652" s="49" t="s">
        <v>310</v>
      </c>
      <c r="EJ652" s="49" t="s">
        <v>303</v>
      </c>
      <c r="EK652" s="49" t="s">
        <v>2936</v>
      </c>
      <c r="EM652" s="49" t="s">
        <v>303</v>
      </c>
      <c r="EN652" s="49" t="s">
        <v>396</v>
      </c>
      <c r="EP652" s="49" t="s">
        <v>298</v>
      </c>
      <c r="EQ652" s="0" t="n">
        <v>1</v>
      </c>
      <c r="ER652" s="49" t="s">
        <v>328</v>
      </c>
      <c r="ES652" s="49" t="s">
        <v>329</v>
      </c>
      <c r="ET652" s="49" t="s">
        <v>310</v>
      </c>
      <c r="EU652" s="49" t="s">
        <v>310</v>
      </c>
      <c r="EV652" s="49" t="s">
        <v>310</v>
      </c>
      <c r="EX652" s="49" t="s">
        <v>303</v>
      </c>
      <c r="EY652" s="49" t="s">
        <v>303</v>
      </c>
      <c r="FC652" s="49" t="s">
        <v>330</v>
      </c>
      <c r="FD652" s="49" t="s">
        <v>310</v>
      </c>
      <c r="FE652" s="49" t="s">
        <v>310</v>
      </c>
      <c r="FF652" s="49" t="s">
        <v>64</v>
      </c>
      <c r="FG652" s="49" t="s">
        <v>397</v>
      </c>
      <c r="FH652" s="49" t="s">
        <v>310</v>
      </c>
      <c r="FI652" s="49" t="s">
        <v>332</v>
      </c>
      <c r="FJ652" s="49" t="s">
        <v>303</v>
      </c>
      <c r="FL652" s="49" t="s">
        <v>325</v>
      </c>
      <c r="FM652" s="49" t="s">
        <v>2858</v>
      </c>
      <c r="FP652" s="49" t="s">
        <v>303</v>
      </c>
      <c r="FR652" s="49" t="s">
        <v>303</v>
      </c>
      <c r="FT652" s="49" t="s">
        <v>325</v>
      </c>
      <c r="FU652" s="49" t="s">
        <v>325</v>
      </c>
      <c r="FW652" s="49" t="s">
        <v>333</v>
      </c>
    </row>
    <row r="653" customFormat="false" ht="15" hidden="false" customHeight="false" outlineLevel="0" collapsed="false">
      <c r="A653" s="0" t="n">
        <v>100863704</v>
      </c>
      <c r="B653" s="0" t="s">
        <v>295</v>
      </c>
      <c r="C653" s="0" t="s">
        <v>64</v>
      </c>
      <c r="D653" s="0" t="s">
        <v>65</v>
      </c>
      <c r="E653" s="0" t="s">
        <v>297</v>
      </c>
      <c r="G653" s="0" t="n">
        <v>1</v>
      </c>
      <c r="H653" s="0" t="s">
        <v>298</v>
      </c>
      <c r="I653" s="48" t="n">
        <v>46165</v>
      </c>
      <c r="J653" s="0" t="n">
        <v>1</v>
      </c>
      <c r="K653" s="49" t="s">
        <v>2858</v>
      </c>
      <c r="L653" s="49" t="s">
        <v>1830</v>
      </c>
      <c r="M653" s="48" t="n">
        <v>46173</v>
      </c>
      <c r="N653" s="49" t="s">
        <v>1204</v>
      </c>
      <c r="O653" s="49" t="s">
        <v>1052</v>
      </c>
      <c r="P653" s="48"/>
      <c r="Q653" s="48" t="n">
        <v>46165</v>
      </c>
      <c r="R653" s="48" t="n">
        <v>46171</v>
      </c>
      <c r="T653" s="49" t="s">
        <v>302</v>
      </c>
      <c r="U653" s="49" t="s">
        <v>303</v>
      </c>
      <c r="Y653" s="49" t="s">
        <v>2937</v>
      </c>
      <c r="AD653" s="49" t="s">
        <v>305</v>
      </c>
      <c r="AE653" s="48" t="n">
        <v>46155</v>
      </c>
      <c r="AF653" s="49" t="s">
        <v>306</v>
      </c>
      <c r="AG653" s="49" t="s">
        <v>307</v>
      </c>
      <c r="AK653" s="49" t="s">
        <v>1047</v>
      </c>
      <c r="AL653" s="49" t="s">
        <v>297</v>
      </c>
      <c r="AO653" s="49" t="s">
        <v>303</v>
      </c>
      <c r="AP653" s="48"/>
      <c r="AR653" s="49" t="s">
        <v>303</v>
      </c>
      <c r="AS653" s="49" t="s">
        <v>306</v>
      </c>
      <c r="AT653" s="49" t="s">
        <v>2938</v>
      </c>
      <c r="AV653" s="49" t="s">
        <v>309</v>
      </c>
      <c r="AW653" s="49" t="s">
        <v>310</v>
      </c>
      <c r="AX653" s="49" t="s">
        <v>311</v>
      </c>
      <c r="AY653" s="48"/>
      <c r="AZ653" s="48" t="n">
        <v>46162</v>
      </c>
      <c r="BC653" s="49" t="s">
        <v>303</v>
      </c>
      <c r="BD653" s="48" t="n">
        <v>46189</v>
      </c>
      <c r="BE653" s="49" t="s">
        <v>2939</v>
      </c>
      <c r="BF653" s="49" t="s">
        <v>303</v>
      </c>
      <c r="BG653" s="48"/>
      <c r="BI653" s="48" t="n">
        <v>46189</v>
      </c>
      <c r="BJ653" s="48" t="n">
        <v>46170</v>
      </c>
      <c r="BK653" s="49" t="s">
        <v>313</v>
      </c>
      <c r="BL653" s="49" t="s">
        <v>313</v>
      </c>
      <c r="BM653" s="49" t="s">
        <v>310</v>
      </c>
      <c r="BN653" s="48"/>
      <c r="BO653" s="48"/>
      <c r="BP653" s="48"/>
      <c r="BQ653" s="49" t="s">
        <v>2909</v>
      </c>
      <c r="BR653" s="48" t="n">
        <v>46170</v>
      </c>
      <c r="BS653" s="49" t="s">
        <v>2940</v>
      </c>
      <c r="BT653" s="49" t="s">
        <v>312</v>
      </c>
      <c r="BU653" s="49" t="s">
        <v>313</v>
      </c>
      <c r="BV653" s="49" t="s">
        <v>303</v>
      </c>
      <c r="BX653" s="0" t="n">
        <v>1</v>
      </c>
      <c r="CC653" s="49" t="s">
        <v>315</v>
      </c>
      <c r="CD653" s="49" t="s">
        <v>303</v>
      </c>
      <c r="CF653" s="49" t="s">
        <v>303</v>
      </c>
      <c r="CG653" s="49" t="s">
        <v>316</v>
      </c>
      <c r="CH653" s="49" t="s">
        <v>317</v>
      </c>
      <c r="CI653" s="49" t="s">
        <v>318</v>
      </c>
      <c r="CM653" s="49" t="s">
        <v>65</v>
      </c>
      <c r="CV653" s="49" t="s">
        <v>303</v>
      </c>
      <c r="DB653" s="49" t="s">
        <v>319</v>
      </c>
      <c r="DD653" s="48" t="n">
        <v>46155</v>
      </c>
      <c r="DF653" s="49" t="s">
        <v>310</v>
      </c>
      <c r="DG653" s="49" t="s">
        <v>320</v>
      </c>
      <c r="DH653" s="49" t="s">
        <v>64</v>
      </c>
      <c r="DI653" s="49" t="s">
        <v>298</v>
      </c>
      <c r="DJ653" s="49" t="s">
        <v>394</v>
      </c>
      <c r="DK653" s="49" t="s">
        <v>322</v>
      </c>
      <c r="DL653" s="49" t="s">
        <v>323</v>
      </c>
      <c r="DM653" s="49" t="s">
        <v>303</v>
      </c>
      <c r="DN653" s="49" t="s">
        <v>297</v>
      </c>
      <c r="DO653" s="48"/>
      <c r="DP653" s="49" t="s">
        <v>312</v>
      </c>
      <c r="DQ653" s="48"/>
      <c r="DR653" s="49" t="s">
        <v>312</v>
      </c>
      <c r="DS653" s="49" t="s">
        <v>303</v>
      </c>
      <c r="DT653" s="49" t="s">
        <v>303</v>
      </c>
      <c r="DW653" s="49" t="s">
        <v>303</v>
      </c>
      <c r="EA653" s="49" t="s">
        <v>324</v>
      </c>
      <c r="EB653" s="49" t="s">
        <v>303</v>
      </c>
      <c r="EF653" s="49" t="s">
        <v>2916</v>
      </c>
      <c r="EH653" s="49" t="s">
        <v>310</v>
      </c>
      <c r="EJ653" s="49" t="s">
        <v>303</v>
      </c>
      <c r="EK653" s="49" t="s">
        <v>2941</v>
      </c>
      <c r="EM653" s="49" t="s">
        <v>303</v>
      </c>
      <c r="EN653" s="49" t="s">
        <v>396</v>
      </c>
      <c r="EP653" s="49" t="s">
        <v>298</v>
      </c>
      <c r="EQ653" s="0" t="n">
        <v>1</v>
      </c>
      <c r="ER653" s="49" t="s">
        <v>328</v>
      </c>
      <c r="ES653" s="49" t="s">
        <v>329</v>
      </c>
      <c r="ET653" s="49" t="s">
        <v>310</v>
      </c>
      <c r="EU653" s="49" t="s">
        <v>310</v>
      </c>
      <c r="EV653" s="49" t="s">
        <v>310</v>
      </c>
      <c r="EX653" s="49" t="s">
        <v>303</v>
      </c>
      <c r="EY653" s="49" t="s">
        <v>303</v>
      </c>
      <c r="FC653" s="49" t="s">
        <v>330</v>
      </c>
      <c r="FD653" s="49" t="s">
        <v>310</v>
      </c>
      <c r="FE653" s="49" t="s">
        <v>310</v>
      </c>
      <c r="FF653" s="49" t="s">
        <v>64</v>
      </c>
      <c r="FG653" s="49" t="s">
        <v>397</v>
      </c>
      <c r="FH653" s="49" t="s">
        <v>310</v>
      </c>
      <c r="FI653" s="49" t="s">
        <v>332</v>
      </c>
      <c r="FJ653" s="49" t="s">
        <v>303</v>
      </c>
      <c r="FL653" s="49" t="s">
        <v>325</v>
      </c>
      <c r="FM653" s="49" t="s">
        <v>2858</v>
      </c>
      <c r="FP653" s="49" t="s">
        <v>303</v>
      </c>
      <c r="FR653" s="49" t="s">
        <v>303</v>
      </c>
      <c r="FT653" s="49" t="s">
        <v>325</v>
      </c>
      <c r="FU653" s="49" t="s">
        <v>325</v>
      </c>
      <c r="FW653" s="49" t="s">
        <v>333</v>
      </c>
    </row>
    <row r="654" customFormat="false" ht="15" hidden="false" customHeight="false" outlineLevel="0" collapsed="false">
      <c r="A654" s="0" t="n">
        <v>100863705</v>
      </c>
      <c r="B654" s="0" t="s">
        <v>295</v>
      </c>
      <c r="C654" s="0" t="s">
        <v>64</v>
      </c>
      <c r="D654" s="0" t="s">
        <v>65</v>
      </c>
      <c r="E654" s="0" t="s">
        <v>297</v>
      </c>
      <c r="G654" s="0" t="n">
        <v>1</v>
      </c>
      <c r="H654" s="0" t="s">
        <v>298</v>
      </c>
      <c r="I654" s="48" t="n">
        <v>46165</v>
      </c>
      <c r="J654" s="0" t="n">
        <v>1</v>
      </c>
      <c r="K654" s="49" t="s">
        <v>2858</v>
      </c>
      <c r="L654" s="49" t="s">
        <v>1830</v>
      </c>
      <c r="M654" s="48" t="n">
        <v>46173</v>
      </c>
      <c r="N654" s="49" t="s">
        <v>1204</v>
      </c>
      <c r="O654" s="49" t="s">
        <v>1052</v>
      </c>
      <c r="P654" s="48"/>
      <c r="Q654" s="48" t="n">
        <v>46165</v>
      </c>
      <c r="R654" s="48" t="n">
        <v>46171</v>
      </c>
      <c r="T654" s="49" t="s">
        <v>302</v>
      </c>
      <c r="U654" s="49" t="s">
        <v>303</v>
      </c>
      <c r="Y654" s="49" t="s">
        <v>2942</v>
      </c>
      <c r="AD654" s="49" t="s">
        <v>305</v>
      </c>
      <c r="AE654" s="48" t="n">
        <v>46155</v>
      </c>
      <c r="AF654" s="49" t="s">
        <v>306</v>
      </c>
      <c r="AG654" s="49" t="s">
        <v>307</v>
      </c>
      <c r="AK654" s="49" t="s">
        <v>1047</v>
      </c>
      <c r="AL654" s="49" t="s">
        <v>297</v>
      </c>
      <c r="AO654" s="49" t="s">
        <v>303</v>
      </c>
      <c r="AP654" s="48"/>
      <c r="AR654" s="49" t="s">
        <v>303</v>
      </c>
      <c r="AS654" s="49" t="s">
        <v>306</v>
      </c>
      <c r="AT654" s="49" t="s">
        <v>2943</v>
      </c>
      <c r="AV654" s="49" t="s">
        <v>309</v>
      </c>
      <c r="AW654" s="49" t="s">
        <v>310</v>
      </c>
      <c r="AX654" s="49" t="s">
        <v>311</v>
      </c>
      <c r="AY654" s="48"/>
      <c r="AZ654" s="48" t="n">
        <v>46162</v>
      </c>
      <c r="BC654" s="49" t="s">
        <v>303</v>
      </c>
      <c r="BD654" s="48" t="n">
        <v>46189</v>
      </c>
      <c r="BE654" s="49" t="s">
        <v>2944</v>
      </c>
      <c r="BF654" s="49" t="s">
        <v>303</v>
      </c>
      <c r="BG654" s="48"/>
      <c r="BI654" s="48" t="n">
        <v>46189</v>
      </c>
      <c r="BJ654" s="48" t="n">
        <v>46170</v>
      </c>
      <c r="BK654" s="49" t="s">
        <v>313</v>
      </c>
      <c r="BL654" s="49" t="s">
        <v>313</v>
      </c>
      <c r="BM654" s="49" t="s">
        <v>310</v>
      </c>
      <c r="BN654" s="48"/>
      <c r="BO654" s="48"/>
      <c r="BP654" s="48"/>
      <c r="BQ654" s="49" t="s">
        <v>2909</v>
      </c>
      <c r="BR654" s="48" t="n">
        <v>46170</v>
      </c>
      <c r="BS654" s="49" t="s">
        <v>2945</v>
      </c>
      <c r="BT654" s="49" t="s">
        <v>312</v>
      </c>
      <c r="BU654" s="49" t="s">
        <v>313</v>
      </c>
      <c r="BV654" s="49" t="s">
        <v>303</v>
      </c>
      <c r="BX654" s="0" t="n">
        <v>1</v>
      </c>
      <c r="CC654" s="49" t="s">
        <v>315</v>
      </c>
      <c r="CD654" s="49" t="s">
        <v>303</v>
      </c>
      <c r="CF654" s="49" t="s">
        <v>303</v>
      </c>
      <c r="CG654" s="49" t="s">
        <v>316</v>
      </c>
      <c r="CH654" s="49" t="s">
        <v>317</v>
      </c>
      <c r="CI654" s="49" t="s">
        <v>318</v>
      </c>
      <c r="CM654" s="49" t="s">
        <v>65</v>
      </c>
      <c r="CV654" s="49" t="s">
        <v>303</v>
      </c>
      <c r="DB654" s="49" t="s">
        <v>319</v>
      </c>
      <c r="DD654" s="48" t="n">
        <v>46155</v>
      </c>
      <c r="DF654" s="49" t="s">
        <v>310</v>
      </c>
      <c r="DG654" s="49" t="s">
        <v>320</v>
      </c>
      <c r="DH654" s="49" t="s">
        <v>64</v>
      </c>
      <c r="DI654" s="49" t="s">
        <v>298</v>
      </c>
      <c r="DJ654" s="49" t="s">
        <v>394</v>
      </c>
      <c r="DK654" s="49" t="s">
        <v>322</v>
      </c>
      <c r="DL654" s="49" t="s">
        <v>323</v>
      </c>
      <c r="DM654" s="49" t="s">
        <v>303</v>
      </c>
      <c r="DN654" s="49" t="s">
        <v>297</v>
      </c>
      <c r="DO654" s="48"/>
      <c r="DP654" s="49" t="s">
        <v>312</v>
      </c>
      <c r="DQ654" s="48"/>
      <c r="DR654" s="49" t="s">
        <v>312</v>
      </c>
      <c r="DS654" s="49" t="s">
        <v>303</v>
      </c>
      <c r="DT654" s="49" t="s">
        <v>303</v>
      </c>
      <c r="DW654" s="49" t="s">
        <v>303</v>
      </c>
      <c r="EA654" s="49" t="s">
        <v>324</v>
      </c>
      <c r="EB654" s="49" t="s">
        <v>303</v>
      </c>
      <c r="EF654" s="49" t="s">
        <v>2916</v>
      </c>
      <c r="EH654" s="49" t="s">
        <v>310</v>
      </c>
      <c r="EJ654" s="49" t="s">
        <v>303</v>
      </c>
      <c r="EK654" s="49" t="s">
        <v>2946</v>
      </c>
      <c r="EM654" s="49" t="s">
        <v>303</v>
      </c>
      <c r="EN654" s="49" t="s">
        <v>396</v>
      </c>
      <c r="EP654" s="49" t="s">
        <v>298</v>
      </c>
      <c r="EQ654" s="0" t="n">
        <v>1</v>
      </c>
      <c r="ER654" s="49" t="s">
        <v>328</v>
      </c>
      <c r="ES654" s="49" t="s">
        <v>329</v>
      </c>
      <c r="ET654" s="49" t="s">
        <v>310</v>
      </c>
      <c r="EU654" s="49" t="s">
        <v>310</v>
      </c>
      <c r="EV654" s="49" t="s">
        <v>310</v>
      </c>
      <c r="EX654" s="49" t="s">
        <v>303</v>
      </c>
      <c r="EY654" s="49" t="s">
        <v>303</v>
      </c>
      <c r="FC654" s="49" t="s">
        <v>330</v>
      </c>
      <c r="FD654" s="49" t="s">
        <v>310</v>
      </c>
      <c r="FE654" s="49" t="s">
        <v>310</v>
      </c>
      <c r="FF654" s="49" t="s">
        <v>64</v>
      </c>
      <c r="FG654" s="49" t="s">
        <v>397</v>
      </c>
      <c r="FH654" s="49" t="s">
        <v>310</v>
      </c>
      <c r="FI654" s="49" t="s">
        <v>332</v>
      </c>
      <c r="FJ654" s="49" t="s">
        <v>303</v>
      </c>
      <c r="FL654" s="49" t="s">
        <v>325</v>
      </c>
      <c r="FM654" s="49" t="s">
        <v>2858</v>
      </c>
      <c r="FP654" s="49" t="s">
        <v>303</v>
      </c>
      <c r="FR654" s="49" t="s">
        <v>303</v>
      </c>
      <c r="FT654" s="49" t="s">
        <v>325</v>
      </c>
      <c r="FU654" s="49" t="s">
        <v>325</v>
      </c>
      <c r="FW654" s="49" t="s">
        <v>333</v>
      </c>
    </row>
    <row r="655" customFormat="false" ht="15" hidden="false" customHeight="false" outlineLevel="0" collapsed="false">
      <c r="A655" s="0" t="n">
        <v>100863709</v>
      </c>
      <c r="B655" s="0" t="s">
        <v>295</v>
      </c>
      <c r="C655" s="0" t="s">
        <v>66</v>
      </c>
      <c r="D655" s="0" t="s">
        <v>296</v>
      </c>
      <c r="E655" s="0" t="s">
        <v>297</v>
      </c>
      <c r="G655" s="0" t="n">
        <v>1</v>
      </c>
      <c r="H655" s="0" t="s">
        <v>298</v>
      </c>
      <c r="I655" s="48" t="n">
        <v>46165</v>
      </c>
      <c r="J655" s="0" t="n">
        <v>1</v>
      </c>
      <c r="K655" s="49" t="s">
        <v>2858</v>
      </c>
      <c r="L655" s="49" t="s">
        <v>1035</v>
      </c>
      <c r="M655" s="48" t="n">
        <v>46179</v>
      </c>
      <c r="N655" s="49" t="s">
        <v>2947</v>
      </c>
      <c r="O655" s="49" t="s">
        <v>1052</v>
      </c>
      <c r="P655" s="48"/>
      <c r="Q655" s="48" t="n">
        <v>46165</v>
      </c>
      <c r="R655" s="48" t="n">
        <v>46172</v>
      </c>
      <c r="T655" s="49" t="s">
        <v>302</v>
      </c>
      <c r="U655" s="49" t="s">
        <v>303</v>
      </c>
      <c r="Y655" s="49" t="s">
        <v>2948</v>
      </c>
      <c r="AD655" s="49" t="s">
        <v>305</v>
      </c>
      <c r="AE655" s="48" t="n">
        <v>46154</v>
      </c>
      <c r="AF655" s="49" t="s">
        <v>306</v>
      </c>
      <c r="AG655" s="49" t="s">
        <v>307</v>
      </c>
      <c r="AK655" s="49" t="s">
        <v>1047</v>
      </c>
      <c r="AL655" s="49" t="s">
        <v>297</v>
      </c>
      <c r="AO655" s="49" t="s">
        <v>303</v>
      </c>
      <c r="AP655" s="48"/>
      <c r="AR655" s="49" t="s">
        <v>303</v>
      </c>
      <c r="AS655" s="49" t="s">
        <v>306</v>
      </c>
      <c r="AT655" s="49" t="s">
        <v>2949</v>
      </c>
      <c r="AV655" s="49" t="s">
        <v>309</v>
      </c>
      <c r="AW655" s="49" t="s">
        <v>310</v>
      </c>
      <c r="AX655" s="49" t="s">
        <v>311</v>
      </c>
      <c r="AY655" s="48"/>
      <c r="AZ655" s="48" t="n">
        <v>46162</v>
      </c>
      <c r="BC655" s="49" t="s">
        <v>303</v>
      </c>
      <c r="BD655" s="48" t="n">
        <v>46184</v>
      </c>
      <c r="BE655" s="49" t="s">
        <v>2950</v>
      </c>
      <c r="BF655" s="49" t="s">
        <v>303</v>
      </c>
      <c r="BG655" s="48"/>
      <c r="BI655" s="48" t="n">
        <v>46184</v>
      </c>
      <c r="BJ655" s="48" t="n">
        <v>46170</v>
      </c>
      <c r="BK655" s="49" t="s">
        <v>312</v>
      </c>
      <c r="BL655" s="49" t="s">
        <v>313</v>
      </c>
      <c r="BM655" s="49" t="s">
        <v>310</v>
      </c>
      <c r="BN655" s="48"/>
      <c r="BO655" s="48"/>
      <c r="BP655" s="48"/>
      <c r="BQ655" s="49" t="s">
        <v>2951</v>
      </c>
      <c r="BR655" s="48" t="n">
        <v>46170</v>
      </c>
      <c r="BS655" s="49" t="s">
        <v>2952</v>
      </c>
      <c r="BT655" s="49" t="s">
        <v>312</v>
      </c>
      <c r="BU655" s="49" t="s">
        <v>313</v>
      </c>
      <c r="BV655" s="49" t="s">
        <v>303</v>
      </c>
      <c r="BX655" s="0" t="n">
        <v>1</v>
      </c>
      <c r="CC655" s="49" t="s">
        <v>315</v>
      </c>
      <c r="CD655" s="49" t="s">
        <v>303</v>
      </c>
      <c r="CF655" s="49" t="s">
        <v>303</v>
      </c>
      <c r="CG655" s="49" t="s">
        <v>316</v>
      </c>
      <c r="CH655" s="49" t="s">
        <v>317</v>
      </c>
      <c r="CI655" s="49" t="s">
        <v>318</v>
      </c>
      <c r="CM655" s="49" t="s">
        <v>296</v>
      </c>
      <c r="CV655" s="49" t="s">
        <v>303</v>
      </c>
      <c r="DB655" s="49" t="s">
        <v>319</v>
      </c>
      <c r="DD655" s="48" t="n">
        <v>46154</v>
      </c>
      <c r="DF655" s="49" t="s">
        <v>310</v>
      </c>
      <c r="DG655" s="49" t="s">
        <v>320</v>
      </c>
      <c r="DH655" s="49" t="s">
        <v>66</v>
      </c>
      <c r="DI655" s="49" t="s">
        <v>298</v>
      </c>
      <c r="DJ655" s="49" t="s">
        <v>321</v>
      </c>
      <c r="DK655" s="49" t="s">
        <v>322</v>
      </c>
      <c r="DL655" s="49" t="s">
        <v>323</v>
      </c>
      <c r="DM655" s="49" t="s">
        <v>303</v>
      </c>
      <c r="DN655" s="49" t="s">
        <v>297</v>
      </c>
      <c r="DO655" s="48"/>
      <c r="DP655" s="49" t="s">
        <v>312</v>
      </c>
      <c r="DQ655" s="48"/>
      <c r="DR655" s="49" t="s">
        <v>312</v>
      </c>
      <c r="DS655" s="49" t="s">
        <v>303</v>
      </c>
      <c r="DT655" s="49" t="s">
        <v>303</v>
      </c>
      <c r="DW655" s="49" t="s">
        <v>303</v>
      </c>
      <c r="EA655" s="49" t="s">
        <v>324</v>
      </c>
      <c r="EB655" s="49" t="s">
        <v>303</v>
      </c>
      <c r="EH655" s="49" t="s">
        <v>310</v>
      </c>
      <c r="EJ655" s="49" t="s">
        <v>303</v>
      </c>
      <c r="EK655" s="49" t="s">
        <v>2953</v>
      </c>
      <c r="EM655" s="49" t="s">
        <v>303</v>
      </c>
      <c r="EN655" s="49" t="s">
        <v>327</v>
      </c>
      <c r="EP655" s="49" t="s">
        <v>298</v>
      </c>
      <c r="EQ655" s="0" t="n">
        <v>1</v>
      </c>
      <c r="ER655" s="49" t="s">
        <v>328</v>
      </c>
      <c r="ES655" s="49" t="s">
        <v>329</v>
      </c>
      <c r="ET655" s="49" t="s">
        <v>310</v>
      </c>
      <c r="EU655" s="49" t="s">
        <v>310</v>
      </c>
      <c r="EV655" s="49" t="s">
        <v>310</v>
      </c>
      <c r="EX655" s="49" t="s">
        <v>303</v>
      </c>
      <c r="EY655" s="49" t="s">
        <v>303</v>
      </c>
      <c r="FC655" s="49" t="s">
        <v>330</v>
      </c>
      <c r="FD655" s="49" t="s">
        <v>310</v>
      </c>
      <c r="FE655" s="49" t="s">
        <v>310</v>
      </c>
      <c r="FF655" s="49" t="s">
        <v>66</v>
      </c>
      <c r="FG655" s="49" t="s">
        <v>331</v>
      </c>
      <c r="FH655" s="49" t="s">
        <v>310</v>
      </c>
      <c r="FI655" s="49" t="s">
        <v>332</v>
      </c>
      <c r="FJ655" s="49" t="s">
        <v>303</v>
      </c>
      <c r="FL655" s="49" t="s">
        <v>325</v>
      </c>
      <c r="FM655" s="49" t="s">
        <v>2633</v>
      </c>
      <c r="FP655" s="49" t="s">
        <v>303</v>
      </c>
      <c r="FR655" s="49" t="s">
        <v>303</v>
      </c>
      <c r="FT655" s="49" t="s">
        <v>325</v>
      </c>
      <c r="FU655" s="49" t="s">
        <v>325</v>
      </c>
      <c r="FW655" s="49" t="s">
        <v>333</v>
      </c>
    </row>
    <row r="656" customFormat="false" ht="15" hidden="false" customHeight="false" outlineLevel="0" collapsed="false">
      <c r="A656" s="0" t="n">
        <v>100863710</v>
      </c>
      <c r="B656" s="0" t="s">
        <v>295</v>
      </c>
      <c r="C656" s="0" t="s">
        <v>66</v>
      </c>
      <c r="D656" s="0" t="s">
        <v>296</v>
      </c>
      <c r="E656" s="0" t="s">
        <v>297</v>
      </c>
      <c r="G656" s="0" t="n">
        <v>1</v>
      </c>
      <c r="H656" s="0" t="s">
        <v>298</v>
      </c>
      <c r="I656" s="48" t="n">
        <v>46165</v>
      </c>
      <c r="J656" s="0" t="n">
        <v>1</v>
      </c>
      <c r="K656" s="49" t="s">
        <v>2858</v>
      </c>
      <c r="L656" s="49" t="s">
        <v>1035</v>
      </c>
      <c r="M656" s="48"/>
      <c r="O656" s="49" t="s">
        <v>1052</v>
      </c>
      <c r="P656" s="48"/>
      <c r="Q656" s="48" t="n">
        <v>46165</v>
      </c>
      <c r="R656" s="48" t="n">
        <v>46171</v>
      </c>
      <c r="T656" s="49" t="s">
        <v>302</v>
      </c>
      <c r="U656" s="49" t="s">
        <v>303</v>
      </c>
      <c r="Y656" s="49" t="s">
        <v>312</v>
      </c>
      <c r="AD656" s="49" t="s">
        <v>305</v>
      </c>
      <c r="AE656" s="48" t="n">
        <v>46154</v>
      </c>
      <c r="AF656" s="49" t="s">
        <v>306</v>
      </c>
      <c r="AG656" s="49" t="s">
        <v>307</v>
      </c>
      <c r="AK656" s="49" t="s">
        <v>1047</v>
      </c>
      <c r="AL656" s="49" t="s">
        <v>297</v>
      </c>
      <c r="AO656" s="49" t="s">
        <v>303</v>
      </c>
      <c r="AP656" s="48"/>
      <c r="AR656" s="49" t="s">
        <v>303</v>
      </c>
      <c r="AS656" s="49" t="s">
        <v>306</v>
      </c>
      <c r="AT656" s="49" t="s">
        <v>2954</v>
      </c>
      <c r="AV656" s="49" t="s">
        <v>309</v>
      </c>
      <c r="AW656" s="49" t="s">
        <v>310</v>
      </c>
      <c r="AX656" s="49" t="s">
        <v>311</v>
      </c>
      <c r="AY656" s="48"/>
      <c r="AZ656" s="48" t="n">
        <v>46162</v>
      </c>
      <c r="BC656" s="49" t="s">
        <v>303</v>
      </c>
      <c r="BD656" s="48" t="n">
        <v>46209</v>
      </c>
      <c r="BE656" s="49" t="s">
        <v>1078</v>
      </c>
      <c r="BF656" s="49" t="s">
        <v>303</v>
      </c>
      <c r="BG656" s="48"/>
      <c r="BI656" s="48" t="n">
        <v>46209</v>
      </c>
      <c r="BJ656" s="48" t="n">
        <v>46170</v>
      </c>
      <c r="BK656" s="49" t="s">
        <v>313</v>
      </c>
      <c r="BL656" s="49" t="s">
        <v>313</v>
      </c>
      <c r="BM656" s="49" t="s">
        <v>310</v>
      </c>
      <c r="BN656" s="48"/>
      <c r="BO656" s="48"/>
      <c r="BP656" s="48"/>
      <c r="BQ656" s="49" t="s">
        <v>2580</v>
      </c>
      <c r="BR656" s="48" t="n">
        <v>46170</v>
      </c>
      <c r="BS656" s="49" t="s">
        <v>2955</v>
      </c>
      <c r="BT656" s="49" t="s">
        <v>312</v>
      </c>
      <c r="BU656" s="49" t="s">
        <v>313</v>
      </c>
      <c r="BV656" s="49" t="s">
        <v>303</v>
      </c>
      <c r="BX656" s="0" t="n">
        <v>1</v>
      </c>
      <c r="CC656" s="49" t="s">
        <v>315</v>
      </c>
      <c r="CD656" s="49" t="s">
        <v>303</v>
      </c>
      <c r="CF656" s="49" t="s">
        <v>303</v>
      </c>
      <c r="CG656" s="49" t="s">
        <v>316</v>
      </c>
      <c r="CH656" s="49" t="s">
        <v>317</v>
      </c>
      <c r="CI656" s="49" t="s">
        <v>318</v>
      </c>
      <c r="CM656" s="49" t="s">
        <v>296</v>
      </c>
      <c r="CV656" s="49" t="s">
        <v>303</v>
      </c>
      <c r="DB656" s="49" t="s">
        <v>319</v>
      </c>
      <c r="DD656" s="48" t="n">
        <v>46154</v>
      </c>
      <c r="DF656" s="49" t="s">
        <v>310</v>
      </c>
      <c r="DG656" s="49" t="s">
        <v>320</v>
      </c>
      <c r="DH656" s="49" t="s">
        <v>66</v>
      </c>
      <c r="DI656" s="49" t="s">
        <v>298</v>
      </c>
      <c r="DJ656" s="49" t="s">
        <v>321</v>
      </c>
      <c r="DK656" s="49" t="s">
        <v>322</v>
      </c>
      <c r="DL656" s="49" t="s">
        <v>323</v>
      </c>
      <c r="DM656" s="49" t="s">
        <v>303</v>
      </c>
      <c r="DN656" s="49" t="s">
        <v>297</v>
      </c>
      <c r="DO656" s="48"/>
      <c r="DP656" s="49" t="s">
        <v>312</v>
      </c>
      <c r="DQ656" s="48"/>
      <c r="DR656" s="49" t="s">
        <v>312</v>
      </c>
      <c r="DS656" s="49" t="s">
        <v>303</v>
      </c>
      <c r="DT656" s="49" t="s">
        <v>303</v>
      </c>
      <c r="DW656" s="49" t="s">
        <v>303</v>
      </c>
      <c r="EA656" s="49" t="s">
        <v>324</v>
      </c>
      <c r="EB656" s="49" t="s">
        <v>303</v>
      </c>
      <c r="EF656" s="49" t="s">
        <v>2956</v>
      </c>
      <c r="EH656" s="49" t="s">
        <v>310</v>
      </c>
      <c r="EJ656" s="49" t="s">
        <v>303</v>
      </c>
      <c r="EK656" s="49" t="s">
        <v>2957</v>
      </c>
      <c r="EM656" s="49" t="s">
        <v>303</v>
      </c>
      <c r="EN656" s="49" t="s">
        <v>327</v>
      </c>
      <c r="EP656" s="49" t="s">
        <v>298</v>
      </c>
      <c r="EQ656" s="0" t="n">
        <v>1</v>
      </c>
      <c r="ER656" s="49" t="s">
        <v>328</v>
      </c>
      <c r="ES656" s="49" t="s">
        <v>329</v>
      </c>
      <c r="ET656" s="49" t="s">
        <v>310</v>
      </c>
      <c r="EU656" s="49" t="s">
        <v>310</v>
      </c>
      <c r="EV656" s="49" t="s">
        <v>310</v>
      </c>
      <c r="EX656" s="49" t="s">
        <v>303</v>
      </c>
      <c r="EY656" s="49" t="s">
        <v>303</v>
      </c>
      <c r="FC656" s="49" t="s">
        <v>330</v>
      </c>
      <c r="FD656" s="49" t="s">
        <v>310</v>
      </c>
      <c r="FE656" s="49" t="s">
        <v>310</v>
      </c>
      <c r="FF656" s="49" t="s">
        <v>66</v>
      </c>
      <c r="FG656" s="49" t="s">
        <v>331</v>
      </c>
      <c r="FH656" s="49" t="s">
        <v>310</v>
      </c>
      <c r="FI656" s="49" t="s">
        <v>332</v>
      </c>
      <c r="FJ656" s="49" t="s">
        <v>303</v>
      </c>
      <c r="FL656" s="49" t="s">
        <v>325</v>
      </c>
      <c r="FM656" s="49" t="s">
        <v>2858</v>
      </c>
      <c r="FP656" s="49" t="s">
        <v>303</v>
      </c>
      <c r="FR656" s="49" t="s">
        <v>303</v>
      </c>
      <c r="FT656" s="49" t="s">
        <v>325</v>
      </c>
      <c r="FU656" s="49" t="s">
        <v>325</v>
      </c>
      <c r="FW656" s="49" t="s">
        <v>333</v>
      </c>
    </row>
    <row r="657" customFormat="false" ht="15" hidden="false" customHeight="false" outlineLevel="0" collapsed="false">
      <c r="A657" s="0" t="n">
        <v>100863711</v>
      </c>
      <c r="B657" s="0" t="s">
        <v>295</v>
      </c>
      <c r="C657" s="0" t="s">
        <v>66</v>
      </c>
      <c r="D657" s="0" t="s">
        <v>296</v>
      </c>
      <c r="E657" s="0" t="s">
        <v>297</v>
      </c>
      <c r="G657" s="0" t="n">
        <v>1</v>
      </c>
      <c r="H657" s="0" t="s">
        <v>298</v>
      </c>
      <c r="I657" s="48" t="n">
        <v>46165</v>
      </c>
      <c r="J657" s="0" t="n">
        <v>1</v>
      </c>
      <c r="K657" s="49" t="s">
        <v>2858</v>
      </c>
      <c r="L657" s="49" t="s">
        <v>1035</v>
      </c>
      <c r="M657" s="48" t="n">
        <v>46188</v>
      </c>
      <c r="N657" s="49" t="s">
        <v>2047</v>
      </c>
      <c r="O657" s="49" t="s">
        <v>1045</v>
      </c>
      <c r="P657" s="48"/>
      <c r="Q657" s="48" t="n">
        <v>46165</v>
      </c>
      <c r="R657" s="48" t="n">
        <v>46172</v>
      </c>
      <c r="T657" s="49" t="s">
        <v>302</v>
      </c>
      <c r="U657" s="49" t="s">
        <v>303</v>
      </c>
      <c r="Y657" s="49" t="s">
        <v>2958</v>
      </c>
      <c r="AD657" s="49" t="s">
        <v>305</v>
      </c>
      <c r="AE657" s="48" t="n">
        <v>46162</v>
      </c>
      <c r="AF657" s="49" t="s">
        <v>306</v>
      </c>
      <c r="AG657" s="49" t="s">
        <v>307</v>
      </c>
      <c r="AK657" s="49" t="s">
        <v>1047</v>
      </c>
      <c r="AL657" s="49" t="s">
        <v>297</v>
      </c>
      <c r="AO657" s="49" t="s">
        <v>303</v>
      </c>
      <c r="AP657" s="48"/>
      <c r="AR657" s="49" t="s">
        <v>303</v>
      </c>
      <c r="AS657" s="49" t="s">
        <v>306</v>
      </c>
      <c r="AT657" s="49" t="s">
        <v>2959</v>
      </c>
      <c r="AV657" s="49" t="s">
        <v>309</v>
      </c>
      <c r="AW657" s="49" t="s">
        <v>310</v>
      </c>
      <c r="AX657" s="49" t="s">
        <v>311</v>
      </c>
      <c r="AY657" s="48"/>
      <c r="AZ657" s="48" t="n">
        <v>46163</v>
      </c>
      <c r="BC657" s="49" t="s">
        <v>303</v>
      </c>
      <c r="BD657" s="48" t="n">
        <v>46197</v>
      </c>
      <c r="BE657" s="49" t="s">
        <v>2960</v>
      </c>
      <c r="BF657" s="49" t="s">
        <v>303</v>
      </c>
      <c r="BG657" s="48"/>
      <c r="BI657" s="48" t="n">
        <v>46197</v>
      </c>
      <c r="BJ657" s="48" t="n">
        <v>46181</v>
      </c>
      <c r="BK657" s="49" t="s">
        <v>312</v>
      </c>
      <c r="BL657" s="49" t="s">
        <v>2961</v>
      </c>
      <c r="BM657" s="49" t="s">
        <v>310</v>
      </c>
      <c r="BN657" s="48"/>
      <c r="BO657" s="48"/>
      <c r="BP657" s="48"/>
      <c r="BQ657" s="49" t="s">
        <v>2610</v>
      </c>
      <c r="BR657" s="48" t="n">
        <v>46171</v>
      </c>
      <c r="BS657" s="49" t="s">
        <v>2962</v>
      </c>
      <c r="BT657" s="49" t="s">
        <v>312</v>
      </c>
      <c r="BU657" s="49" t="s">
        <v>312</v>
      </c>
      <c r="BV657" s="49" t="s">
        <v>303</v>
      </c>
      <c r="BX657" s="0" t="n">
        <v>1</v>
      </c>
      <c r="CC657" s="49" t="s">
        <v>315</v>
      </c>
      <c r="CD657" s="49" t="s">
        <v>303</v>
      </c>
      <c r="CF657" s="49" t="s">
        <v>303</v>
      </c>
      <c r="CG657" s="49" t="s">
        <v>316</v>
      </c>
      <c r="CH657" s="49" t="s">
        <v>317</v>
      </c>
      <c r="CI657" s="49" t="s">
        <v>318</v>
      </c>
      <c r="CM657" s="49" t="s">
        <v>296</v>
      </c>
      <c r="CV657" s="49" t="s">
        <v>303</v>
      </c>
      <c r="DB657" s="49" t="s">
        <v>319</v>
      </c>
      <c r="DD657" s="48" t="n">
        <v>46162</v>
      </c>
      <c r="DF657" s="49" t="s">
        <v>310</v>
      </c>
      <c r="DG657" s="49" t="s">
        <v>320</v>
      </c>
      <c r="DH657" s="49" t="s">
        <v>66</v>
      </c>
      <c r="DI657" s="49" t="s">
        <v>298</v>
      </c>
      <c r="DJ657" s="49" t="s">
        <v>321</v>
      </c>
      <c r="DK657" s="49" t="s">
        <v>322</v>
      </c>
      <c r="DL657" s="49" t="s">
        <v>323</v>
      </c>
      <c r="DM657" s="49" t="s">
        <v>303</v>
      </c>
      <c r="DN657" s="49" t="s">
        <v>297</v>
      </c>
      <c r="DO657" s="48"/>
      <c r="DP657" s="49" t="s">
        <v>312</v>
      </c>
      <c r="DQ657" s="48"/>
      <c r="DR657" s="49" t="s">
        <v>312</v>
      </c>
      <c r="DS657" s="49" t="s">
        <v>303</v>
      </c>
      <c r="DT657" s="49" t="s">
        <v>303</v>
      </c>
      <c r="DW657" s="49" t="s">
        <v>303</v>
      </c>
      <c r="EA657" s="49" t="s">
        <v>324</v>
      </c>
      <c r="EB657" s="49" t="s">
        <v>303</v>
      </c>
      <c r="EH657" s="49" t="s">
        <v>310</v>
      </c>
      <c r="EJ657" s="49" t="s">
        <v>303</v>
      </c>
      <c r="EK657" s="49" t="s">
        <v>2963</v>
      </c>
      <c r="EM657" s="49" t="s">
        <v>303</v>
      </c>
      <c r="EN657" s="49" t="s">
        <v>327</v>
      </c>
      <c r="EP657" s="49" t="s">
        <v>298</v>
      </c>
      <c r="EQ657" s="0" t="n">
        <v>1</v>
      </c>
      <c r="ER657" s="49" t="s">
        <v>328</v>
      </c>
      <c r="ES657" s="49" t="s">
        <v>329</v>
      </c>
      <c r="ET657" s="49" t="s">
        <v>310</v>
      </c>
      <c r="EU657" s="49" t="s">
        <v>310</v>
      </c>
      <c r="EV657" s="49" t="s">
        <v>310</v>
      </c>
      <c r="EX657" s="49" t="s">
        <v>303</v>
      </c>
      <c r="EY657" s="49" t="s">
        <v>303</v>
      </c>
      <c r="FC657" s="49" t="s">
        <v>330</v>
      </c>
      <c r="FD657" s="49" t="s">
        <v>310</v>
      </c>
      <c r="FE657" s="49" t="s">
        <v>310</v>
      </c>
      <c r="FF657" s="49" t="s">
        <v>66</v>
      </c>
      <c r="FG657" s="49" t="s">
        <v>331</v>
      </c>
      <c r="FH657" s="49" t="s">
        <v>310</v>
      </c>
      <c r="FI657" s="49" t="s">
        <v>332</v>
      </c>
      <c r="FJ657" s="49" t="s">
        <v>303</v>
      </c>
      <c r="FK657" s="49" t="s">
        <v>310</v>
      </c>
      <c r="FL657" s="49" t="s">
        <v>325</v>
      </c>
      <c r="FM657" s="49" t="s">
        <v>2557</v>
      </c>
      <c r="FP657" s="49" t="s">
        <v>303</v>
      </c>
      <c r="FR657" s="49" t="s">
        <v>303</v>
      </c>
      <c r="FT657" s="49" t="s">
        <v>325</v>
      </c>
      <c r="FU657" s="49" t="s">
        <v>325</v>
      </c>
      <c r="FW657" s="49" t="s">
        <v>333</v>
      </c>
    </row>
    <row r="658" customFormat="false" ht="15" hidden="false" customHeight="false" outlineLevel="0" collapsed="false">
      <c r="A658" s="0" t="n">
        <v>100863713</v>
      </c>
      <c r="B658" s="0" t="s">
        <v>295</v>
      </c>
      <c r="C658" s="0" t="s">
        <v>68</v>
      </c>
      <c r="D658" s="0" t="s">
        <v>456</v>
      </c>
      <c r="E658" s="0" t="s">
        <v>297</v>
      </c>
      <c r="G658" s="0" t="n">
        <v>1</v>
      </c>
      <c r="H658" s="0" t="s">
        <v>298</v>
      </c>
      <c r="I658" s="48" t="n">
        <v>46165</v>
      </c>
      <c r="J658" s="0" t="n">
        <v>1</v>
      </c>
      <c r="K658" s="49" t="s">
        <v>2858</v>
      </c>
      <c r="L658" s="49" t="s">
        <v>1035</v>
      </c>
      <c r="M658" s="48" t="n">
        <v>46181</v>
      </c>
      <c r="N658" s="49" t="s">
        <v>1630</v>
      </c>
      <c r="O658" s="49" t="s">
        <v>1045</v>
      </c>
      <c r="P658" s="48"/>
      <c r="Q658" s="48" t="n">
        <v>46165</v>
      </c>
      <c r="R658" s="48" t="n">
        <v>46184</v>
      </c>
      <c r="T658" s="49" t="s">
        <v>302</v>
      </c>
      <c r="U658" s="49" t="s">
        <v>303</v>
      </c>
      <c r="Y658" s="49" t="s">
        <v>2964</v>
      </c>
      <c r="AD658" s="49" t="s">
        <v>305</v>
      </c>
      <c r="AE658" s="48" t="n">
        <v>46154</v>
      </c>
      <c r="AF658" s="49" t="s">
        <v>306</v>
      </c>
      <c r="AG658" s="49" t="s">
        <v>307</v>
      </c>
      <c r="AK658" s="49" t="s">
        <v>1047</v>
      </c>
      <c r="AL658" s="49" t="s">
        <v>297</v>
      </c>
      <c r="AO658" s="49" t="s">
        <v>303</v>
      </c>
      <c r="AP658" s="48"/>
      <c r="AR658" s="49" t="s">
        <v>303</v>
      </c>
      <c r="AS658" s="49" t="s">
        <v>306</v>
      </c>
      <c r="AT658" s="49" t="s">
        <v>2965</v>
      </c>
      <c r="AV658" s="49" t="s">
        <v>309</v>
      </c>
      <c r="AW658" s="49" t="s">
        <v>310</v>
      </c>
      <c r="AX658" s="49" t="s">
        <v>311</v>
      </c>
      <c r="AY658" s="48"/>
      <c r="AZ658" s="48" t="n">
        <v>46176</v>
      </c>
      <c r="BC658" s="49" t="s">
        <v>303</v>
      </c>
      <c r="BD658" s="48" t="n">
        <v>46189</v>
      </c>
      <c r="BE658" s="49" t="s">
        <v>2966</v>
      </c>
      <c r="BF658" s="49" t="s">
        <v>303</v>
      </c>
      <c r="BG658" s="48"/>
      <c r="BI658" s="48" t="n">
        <v>46189</v>
      </c>
      <c r="BJ658" s="48" t="n">
        <v>46183</v>
      </c>
      <c r="BK658" s="49" t="s">
        <v>313</v>
      </c>
      <c r="BL658" s="49" t="s">
        <v>313</v>
      </c>
      <c r="BM658" s="49" t="s">
        <v>310</v>
      </c>
      <c r="BN658" s="48"/>
      <c r="BO658" s="48"/>
      <c r="BP658" s="48"/>
      <c r="BQ658" s="49" t="s">
        <v>2580</v>
      </c>
      <c r="BR658" s="48" t="n">
        <v>46183</v>
      </c>
      <c r="BS658" s="49" t="s">
        <v>2967</v>
      </c>
      <c r="BT658" s="49" t="s">
        <v>312</v>
      </c>
      <c r="BU658" s="49" t="s">
        <v>313</v>
      </c>
      <c r="BV658" s="49" t="s">
        <v>303</v>
      </c>
      <c r="BX658" s="0" t="n">
        <v>1</v>
      </c>
      <c r="CC658" s="49" t="s">
        <v>315</v>
      </c>
      <c r="CD658" s="49" t="s">
        <v>303</v>
      </c>
      <c r="CF658" s="49" t="s">
        <v>303</v>
      </c>
      <c r="CG658" s="49" t="s">
        <v>316</v>
      </c>
      <c r="CH658" s="49" t="s">
        <v>317</v>
      </c>
      <c r="CI658" s="49" t="s">
        <v>318</v>
      </c>
      <c r="CM658" s="49" t="s">
        <v>456</v>
      </c>
      <c r="CV658" s="49" t="s">
        <v>303</v>
      </c>
      <c r="DB658" s="49" t="s">
        <v>319</v>
      </c>
      <c r="DD658" s="48" t="n">
        <v>46154</v>
      </c>
      <c r="DF658" s="49" t="s">
        <v>310</v>
      </c>
      <c r="DG658" s="49" t="s">
        <v>320</v>
      </c>
      <c r="DH658" s="49" t="s">
        <v>68</v>
      </c>
      <c r="DI658" s="49" t="s">
        <v>298</v>
      </c>
      <c r="DJ658" s="49" t="s">
        <v>321</v>
      </c>
      <c r="DK658" s="49" t="s">
        <v>322</v>
      </c>
      <c r="DL658" s="49" t="s">
        <v>323</v>
      </c>
      <c r="DM658" s="49" t="s">
        <v>303</v>
      </c>
      <c r="DN658" s="49" t="s">
        <v>297</v>
      </c>
      <c r="DO658" s="48"/>
      <c r="DP658" s="49" t="s">
        <v>312</v>
      </c>
      <c r="DQ658" s="48"/>
      <c r="DR658" s="49" t="s">
        <v>312</v>
      </c>
      <c r="DS658" s="49" t="s">
        <v>303</v>
      </c>
      <c r="DT658" s="49" t="s">
        <v>303</v>
      </c>
      <c r="DW658" s="49" t="s">
        <v>303</v>
      </c>
      <c r="EA658" s="49" t="s">
        <v>324</v>
      </c>
      <c r="EB658" s="49" t="s">
        <v>303</v>
      </c>
      <c r="EF658" s="49" t="s">
        <v>2968</v>
      </c>
      <c r="EH658" s="49" t="s">
        <v>310</v>
      </c>
      <c r="EJ658" s="49" t="s">
        <v>303</v>
      </c>
      <c r="EK658" s="49" t="s">
        <v>2969</v>
      </c>
      <c r="EM658" s="49" t="s">
        <v>303</v>
      </c>
      <c r="EN658" s="49" t="s">
        <v>460</v>
      </c>
      <c r="EP658" s="49" t="s">
        <v>298</v>
      </c>
      <c r="EQ658" s="0" t="n">
        <v>1</v>
      </c>
      <c r="ER658" s="49" t="s">
        <v>328</v>
      </c>
      <c r="ES658" s="49" t="s">
        <v>329</v>
      </c>
      <c r="ET658" s="49" t="s">
        <v>310</v>
      </c>
      <c r="EU658" s="49" t="s">
        <v>310</v>
      </c>
      <c r="EV658" s="49" t="s">
        <v>310</v>
      </c>
      <c r="EX658" s="49" t="s">
        <v>303</v>
      </c>
      <c r="EY658" s="49" t="s">
        <v>303</v>
      </c>
      <c r="FC658" s="49" t="s">
        <v>330</v>
      </c>
      <c r="FD658" s="49" t="s">
        <v>310</v>
      </c>
      <c r="FE658" s="49" t="s">
        <v>310</v>
      </c>
      <c r="FF658" s="49" t="s">
        <v>68</v>
      </c>
      <c r="FG658" s="49" t="s">
        <v>461</v>
      </c>
      <c r="FH658" s="49" t="s">
        <v>310</v>
      </c>
      <c r="FI658" s="49" t="s">
        <v>332</v>
      </c>
      <c r="FJ658" s="49" t="s">
        <v>303</v>
      </c>
      <c r="FL658" s="49" t="s">
        <v>325</v>
      </c>
      <c r="FM658" s="49" t="s">
        <v>2654</v>
      </c>
      <c r="FP658" s="49" t="s">
        <v>303</v>
      </c>
      <c r="FR658" s="49" t="s">
        <v>303</v>
      </c>
      <c r="FT658" s="49" t="s">
        <v>325</v>
      </c>
      <c r="FU658" s="49" t="s">
        <v>325</v>
      </c>
      <c r="FW658" s="49" t="s">
        <v>333</v>
      </c>
    </row>
    <row r="659" customFormat="false" ht="15" hidden="false" customHeight="false" outlineLevel="0" collapsed="false">
      <c r="A659" s="0" t="n">
        <v>100863714</v>
      </c>
      <c r="B659" s="0" t="s">
        <v>295</v>
      </c>
      <c r="C659" s="0" t="s">
        <v>68</v>
      </c>
      <c r="D659" s="0" t="s">
        <v>456</v>
      </c>
      <c r="E659" s="0" t="s">
        <v>297</v>
      </c>
      <c r="G659" s="0" t="n">
        <v>1</v>
      </c>
      <c r="H659" s="0" t="s">
        <v>298</v>
      </c>
      <c r="I659" s="48" t="n">
        <v>46165</v>
      </c>
      <c r="J659" s="0" t="n">
        <v>1</v>
      </c>
      <c r="K659" s="49" t="s">
        <v>2858</v>
      </c>
      <c r="L659" s="49" t="s">
        <v>1035</v>
      </c>
      <c r="M659" s="48" t="n">
        <v>46181</v>
      </c>
      <c r="N659" s="49" t="s">
        <v>1630</v>
      </c>
      <c r="O659" s="49" t="s">
        <v>1045</v>
      </c>
      <c r="P659" s="48"/>
      <c r="Q659" s="48" t="n">
        <v>46177</v>
      </c>
      <c r="R659" s="48" t="n">
        <v>46184</v>
      </c>
      <c r="T659" s="49" t="s">
        <v>302</v>
      </c>
      <c r="U659" s="49" t="s">
        <v>303</v>
      </c>
      <c r="Y659" s="49" t="s">
        <v>2970</v>
      </c>
      <c r="AD659" s="49" t="s">
        <v>305</v>
      </c>
      <c r="AE659" s="48" t="n">
        <v>46162</v>
      </c>
      <c r="AF659" s="49" t="s">
        <v>306</v>
      </c>
      <c r="AG659" s="49" t="s">
        <v>307</v>
      </c>
      <c r="AK659" s="49" t="s">
        <v>1047</v>
      </c>
      <c r="AL659" s="49" t="s">
        <v>297</v>
      </c>
      <c r="AO659" s="49" t="s">
        <v>303</v>
      </c>
      <c r="AP659" s="48"/>
      <c r="AR659" s="49" t="s">
        <v>303</v>
      </c>
      <c r="AS659" s="49" t="s">
        <v>306</v>
      </c>
      <c r="AT659" s="49" t="s">
        <v>2971</v>
      </c>
      <c r="AV659" s="49" t="s">
        <v>309</v>
      </c>
      <c r="AW659" s="49" t="s">
        <v>310</v>
      </c>
      <c r="AX659" s="49" t="s">
        <v>311</v>
      </c>
      <c r="AY659" s="48"/>
      <c r="AZ659" s="48" t="n">
        <v>46175</v>
      </c>
      <c r="BC659" s="49" t="s">
        <v>303</v>
      </c>
      <c r="BD659" s="48" t="n">
        <v>46184</v>
      </c>
      <c r="BE659" s="49" t="s">
        <v>2972</v>
      </c>
      <c r="BF659" s="49" t="s">
        <v>303</v>
      </c>
      <c r="BG659" s="48"/>
      <c r="BI659" s="48" t="n">
        <v>46184</v>
      </c>
      <c r="BJ659" s="48" t="n">
        <v>46182</v>
      </c>
      <c r="BK659" s="49" t="s">
        <v>312</v>
      </c>
      <c r="BL659" s="49" t="s">
        <v>313</v>
      </c>
      <c r="BM659" s="49" t="s">
        <v>310</v>
      </c>
      <c r="BN659" s="48"/>
      <c r="BO659" s="48"/>
      <c r="BP659" s="48"/>
      <c r="BQ659" s="49" t="s">
        <v>2660</v>
      </c>
      <c r="BR659" s="48" t="n">
        <v>46182</v>
      </c>
      <c r="BS659" s="49" t="s">
        <v>2973</v>
      </c>
      <c r="BT659" s="49" t="s">
        <v>312</v>
      </c>
      <c r="BU659" s="49" t="s">
        <v>313</v>
      </c>
      <c r="BV659" s="49" t="s">
        <v>303</v>
      </c>
      <c r="BX659" s="0" t="n">
        <v>1</v>
      </c>
      <c r="CC659" s="49" t="s">
        <v>315</v>
      </c>
      <c r="CD659" s="49" t="s">
        <v>303</v>
      </c>
      <c r="CF659" s="49" t="s">
        <v>303</v>
      </c>
      <c r="CG659" s="49" t="s">
        <v>316</v>
      </c>
      <c r="CH659" s="49" t="s">
        <v>317</v>
      </c>
      <c r="CI659" s="49" t="s">
        <v>318</v>
      </c>
      <c r="CM659" s="49" t="s">
        <v>456</v>
      </c>
      <c r="CV659" s="49" t="s">
        <v>303</v>
      </c>
      <c r="DB659" s="49" t="s">
        <v>319</v>
      </c>
      <c r="DD659" s="48" t="n">
        <v>46162</v>
      </c>
      <c r="DF659" s="49" t="s">
        <v>310</v>
      </c>
      <c r="DG659" s="49" t="s">
        <v>320</v>
      </c>
      <c r="DH659" s="49" t="s">
        <v>68</v>
      </c>
      <c r="DI659" s="49" t="s">
        <v>298</v>
      </c>
      <c r="DJ659" s="49" t="s">
        <v>321</v>
      </c>
      <c r="DK659" s="49" t="s">
        <v>322</v>
      </c>
      <c r="DL659" s="49" t="s">
        <v>323</v>
      </c>
      <c r="DM659" s="49" t="s">
        <v>303</v>
      </c>
      <c r="DN659" s="49" t="s">
        <v>297</v>
      </c>
      <c r="DO659" s="48"/>
      <c r="DP659" s="49" t="s">
        <v>312</v>
      </c>
      <c r="DQ659" s="48"/>
      <c r="DR659" s="49" t="s">
        <v>312</v>
      </c>
      <c r="DS659" s="49" t="s">
        <v>303</v>
      </c>
      <c r="DT659" s="49" t="s">
        <v>303</v>
      </c>
      <c r="DW659" s="49" t="s">
        <v>303</v>
      </c>
      <c r="EA659" s="49" t="s">
        <v>324</v>
      </c>
      <c r="EB659" s="49" t="s">
        <v>303</v>
      </c>
      <c r="EH659" s="49" t="s">
        <v>310</v>
      </c>
      <c r="EJ659" s="49" t="s">
        <v>303</v>
      </c>
      <c r="EK659" s="49" t="s">
        <v>2974</v>
      </c>
      <c r="EM659" s="49" t="s">
        <v>303</v>
      </c>
      <c r="EN659" s="49" t="s">
        <v>460</v>
      </c>
      <c r="EP659" s="49" t="s">
        <v>298</v>
      </c>
      <c r="EQ659" s="0" t="n">
        <v>1</v>
      </c>
      <c r="ER659" s="49" t="s">
        <v>328</v>
      </c>
      <c r="ES659" s="49" t="s">
        <v>329</v>
      </c>
      <c r="ET659" s="49" t="s">
        <v>310</v>
      </c>
      <c r="EU659" s="49" t="s">
        <v>310</v>
      </c>
      <c r="EV659" s="49" t="s">
        <v>310</v>
      </c>
      <c r="EX659" s="49" t="s">
        <v>303</v>
      </c>
      <c r="EY659" s="49" t="s">
        <v>303</v>
      </c>
      <c r="FC659" s="49" t="s">
        <v>330</v>
      </c>
      <c r="FD659" s="49" t="s">
        <v>310</v>
      </c>
      <c r="FE659" s="49" t="s">
        <v>310</v>
      </c>
      <c r="FF659" s="49" t="s">
        <v>68</v>
      </c>
      <c r="FG659" s="49" t="s">
        <v>461</v>
      </c>
      <c r="FH659" s="49" t="s">
        <v>310</v>
      </c>
      <c r="FI659" s="49" t="s">
        <v>332</v>
      </c>
      <c r="FJ659" s="49" t="s">
        <v>303</v>
      </c>
      <c r="FL659" s="49" t="s">
        <v>325</v>
      </c>
      <c r="FM659" s="49" t="s">
        <v>2654</v>
      </c>
      <c r="FP659" s="49" t="s">
        <v>303</v>
      </c>
      <c r="FR659" s="49" t="s">
        <v>303</v>
      </c>
      <c r="FT659" s="49" t="s">
        <v>325</v>
      </c>
      <c r="FU659" s="49" t="s">
        <v>325</v>
      </c>
      <c r="FW659" s="49" t="s">
        <v>333</v>
      </c>
    </row>
    <row r="660" customFormat="false" ht="15" hidden="false" customHeight="false" outlineLevel="0" collapsed="false">
      <c r="A660" s="0" t="n">
        <v>100863715</v>
      </c>
      <c r="B660" s="0" t="s">
        <v>295</v>
      </c>
      <c r="C660" s="0" t="s">
        <v>70</v>
      </c>
      <c r="D660" s="0" t="s">
        <v>468</v>
      </c>
      <c r="E660" s="0" t="s">
        <v>297</v>
      </c>
      <c r="G660" s="0" t="n">
        <v>1</v>
      </c>
      <c r="H660" s="0" t="s">
        <v>298</v>
      </c>
      <c r="I660" s="48" t="n">
        <v>46165</v>
      </c>
      <c r="J660" s="0" t="n">
        <v>1</v>
      </c>
      <c r="K660" s="49" t="s">
        <v>2858</v>
      </c>
      <c r="L660" s="49" t="s">
        <v>1035</v>
      </c>
      <c r="M660" s="48" t="n">
        <v>46165</v>
      </c>
      <c r="N660" s="49" t="s">
        <v>1035</v>
      </c>
      <c r="O660" s="49" t="s">
        <v>1052</v>
      </c>
      <c r="P660" s="48"/>
      <c r="Q660" s="48" t="n">
        <v>46165</v>
      </c>
      <c r="R660" s="48" t="n">
        <v>46172</v>
      </c>
      <c r="T660" s="49" t="s">
        <v>302</v>
      </c>
      <c r="U660" s="49" t="s">
        <v>303</v>
      </c>
      <c r="Y660" s="49" t="s">
        <v>2975</v>
      </c>
      <c r="AD660" s="49" t="s">
        <v>305</v>
      </c>
      <c r="AE660" s="48" t="n">
        <v>46154</v>
      </c>
      <c r="AF660" s="49" t="s">
        <v>306</v>
      </c>
      <c r="AG660" s="49" t="s">
        <v>307</v>
      </c>
      <c r="AK660" s="49" t="s">
        <v>1047</v>
      </c>
      <c r="AL660" s="49" t="s">
        <v>297</v>
      </c>
      <c r="AO660" s="49" t="s">
        <v>303</v>
      </c>
      <c r="AP660" s="48"/>
      <c r="AR660" s="49" t="s">
        <v>303</v>
      </c>
      <c r="AS660" s="49" t="s">
        <v>306</v>
      </c>
      <c r="AT660" s="49" t="s">
        <v>2976</v>
      </c>
      <c r="AV660" s="49" t="s">
        <v>309</v>
      </c>
      <c r="AW660" s="49" t="s">
        <v>310</v>
      </c>
      <c r="AX660" s="49" t="s">
        <v>311</v>
      </c>
      <c r="AY660" s="48"/>
      <c r="AZ660" s="48" t="n">
        <v>46162</v>
      </c>
      <c r="BC660" s="49" t="s">
        <v>303</v>
      </c>
      <c r="BD660" s="48" t="n">
        <v>46184</v>
      </c>
      <c r="BE660" s="49" t="s">
        <v>2977</v>
      </c>
      <c r="BF660" s="49" t="s">
        <v>303</v>
      </c>
      <c r="BG660" s="48"/>
      <c r="BI660" s="48" t="n">
        <v>46184</v>
      </c>
      <c r="BJ660" s="48" t="n">
        <v>46170</v>
      </c>
      <c r="BK660" s="49" t="s">
        <v>312</v>
      </c>
      <c r="BL660" s="49" t="s">
        <v>313</v>
      </c>
      <c r="BM660" s="49" t="s">
        <v>310</v>
      </c>
      <c r="BN660" s="48"/>
      <c r="BO660" s="48"/>
      <c r="BP660" s="48"/>
      <c r="BQ660" s="49" t="s">
        <v>2888</v>
      </c>
      <c r="BR660" s="48" t="n">
        <v>46170</v>
      </c>
      <c r="BS660" s="49" t="s">
        <v>2978</v>
      </c>
      <c r="BT660" s="49" t="s">
        <v>312</v>
      </c>
      <c r="BU660" s="49" t="s">
        <v>313</v>
      </c>
      <c r="BV660" s="49" t="s">
        <v>303</v>
      </c>
      <c r="BX660" s="0" t="n">
        <v>1</v>
      </c>
      <c r="CC660" s="49" t="s">
        <v>315</v>
      </c>
      <c r="CD660" s="49" t="s">
        <v>303</v>
      </c>
      <c r="CF660" s="49" t="s">
        <v>303</v>
      </c>
      <c r="CG660" s="49" t="s">
        <v>316</v>
      </c>
      <c r="CH660" s="49" t="s">
        <v>317</v>
      </c>
      <c r="CI660" s="49" t="s">
        <v>318</v>
      </c>
      <c r="CM660" s="49" t="s">
        <v>468</v>
      </c>
      <c r="CV660" s="49" t="s">
        <v>303</v>
      </c>
      <c r="DB660" s="49" t="s">
        <v>319</v>
      </c>
      <c r="DD660" s="48" t="n">
        <v>46154</v>
      </c>
      <c r="DF660" s="49" t="s">
        <v>310</v>
      </c>
      <c r="DG660" s="49" t="s">
        <v>320</v>
      </c>
      <c r="DH660" s="49" t="s">
        <v>70</v>
      </c>
      <c r="DI660" s="49" t="s">
        <v>298</v>
      </c>
      <c r="DJ660" s="49" t="s">
        <v>321</v>
      </c>
      <c r="DK660" s="49" t="s">
        <v>322</v>
      </c>
      <c r="DL660" s="49" t="s">
        <v>323</v>
      </c>
      <c r="DM660" s="49" t="s">
        <v>303</v>
      </c>
      <c r="DN660" s="49" t="s">
        <v>297</v>
      </c>
      <c r="DO660" s="48"/>
      <c r="DP660" s="49" t="s">
        <v>312</v>
      </c>
      <c r="DQ660" s="48"/>
      <c r="DR660" s="49" t="s">
        <v>312</v>
      </c>
      <c r="DS660" s="49" t="s">
        <v>303</v>
      </c>
      <c r="DT660" s="49" t="s">
        <v>303</v>
      </c>
      <c r="DW660" s="49" t="s">
        <v>303</v>
      </c>
      <c r="EA660" s="49" t="s">
        <v>324</v>
      </c>
      <c r="EB660" s="49" t="s">
        <v>303</v>
      </c>
      <c r="EH660" s="49" t="s">
        <v>310</v>
      </c>
      <c r="EJ660" s="49" t="s">
        <v>303</v>
      </c>
      <c r="EK660" s="49" t="s">
        <v>2979</v>
      </c>
      <c r="EM660" s="49" t="s">
        <v>303</v>
      </c>
      <c r="EN660" s="49" t="s">
        <v>472</v>
      </c>
      <c r="EP660" s="49" t="s">
        <v>298</v>
      </c>
      <c r="EQ660" s="0" t="n">
        <v>1</v>
      </c>
      <c r="ER660" s="49" t="s">
        <v>328</v>
      </c>
      <c r="ES660" s="49" t="s">
        <v>329</v>
      </c>
      <c r="ET660" s="49" t="s">
        <v>310</v>
      </c>
      <c r="EU660" s="49" t="s">
        <v>310</v>
      </c>
      <c r="EV660" s="49" t="s">
        <v>310</v>
      </c>
      <c r="EX660" s="49" t="s">
        <v>303</v>
      </c>
      <c r="EY660" s="49" t="s">
        <v>303</v>
      </c>
      <c r="FC660" s="49" t="s">
        <v>330</v>
      </c>
      <c r="FD660" s="49" t="s">
        <v>310</v>
      </c>
      <c r="FE660" s="49" t="s">
        <v>310</v>
      </c>
      <c r="FF660" s="49" t="s">
        <v>70</v>
      </c>
      <c r="FG660" s="49" t="s">
        <v>473</v>
      </c>
      <c r="FH660" s="49" t="s">
        <v>310</v>
      </c>
      <c r="FI660" s="49" t="s">
        <v>332</v>
      </c>
      <c r="FJ660" s="49" t="s">
        <v>303</v>
      </c>
      <c r="FL660" s="49" t="s">
        <v>325</v>
      </c>
      <c r="FM660" s="49" t="s">
        <v>2858</v>
      </c>
      <c r="FP660" s="49" t="s">
        <v>303</v>
      </c>
      <c r="FR660" s="49" t="s">
        <v>303</v>
      </c>
      <c r="FT660" s="49" t="s">
        <v>325</v>
      </c>
      <c r="FU660" s="49" t="s">
        <v>325</v>
      </c>
      <c r="FW660" s="49" t="s">
        <v>333</v>
      </c>
    </row>
    <row r="661" customFormat="false" ht="15" hidden="false" customHeight="false" outlineLevel="0" collapsed="false">
      <c r="A661" s="0" t="n">
        <v>100863716</v>
      </c>
      <c r="B661" s="0" t="s">
        <v>295</v>
      </c>
      <c r="C661" s="0" t="s">
        <v>70</v>
      </c>
      <c r="D661" s="0" t="s">
        <v>468</v>
      </c>
      <c r="E661" s="0" t="s">
        <v>297</v>
      </c>
      <c r="G661" s="0" t="n">
        <v>1</v>
      </c>
      <c r="H661" s="0" t="s">
        <v>298</v>
      </c>
      <c r="I661" s="48" t="n">
        <v>46165</v>
      </c>
      <c r="J661" s="0" t="n">
        <v>1</v>
      </c>
      <c r="K661" s="49" t="s">
        <v>2858</v>
      </c>
      <c r="L661" s="49" t="s">
        <v>1035</v>
      </c>
      <c r="M661" s="48"/>
      <c r="O661" s="49" t="s">
        <v>1052</v>
      </c>
      <c r="P661" s="48"/>
      <c r="Q661" s="48" t="n">
        <v>46165</v>
      </c>
      <c r="R661" s="48" t="n">
        <v>46171</v>
      </c>
      <c r="T661" s="49" t="s">
        <v>302</v>
      </c>
      <c r="U661" s="49" t="s">
        <v>303</v>
      </c>
      <c r="Y661" s="49" t="s">
        <v>312</v>
      </c>
      <c r="AD661" s="49" t="s">
        <v>305</v>
      </c>
      <c r="AE661" s="48" t="n">
        <v>46154</v>
      </c>
      <c r="AF661" s="49" t="s">
        <v>306</v>
      </c>
      <c r="AG661" s="49" t="s">
        <v>307</v>
      </c>
      <c r="AK661" s="49" t="s">
        <v>1047</v>
      </c>
      <c r="AL661" s="49" t="s">
        <v>297</v>
      </c>
      <c r="AO661" s="49" t="s">
        <v>303</v>
      </c>
      <c r="AP661" s="48"/>
      <c r="AR661" s="49" t="s">
        <v>303</v>
      </c>
      <c r="AS661" s="49" t="s">
        <v>306</v>
      </c>
      <c r="AT661" s="49" t="s">
        <v>1628</v>
      </c>
      <c r="AV661" s="49" t="s">
        <v>309</v>
      </c>
      <c r="AW661" s="49" t="s">
        <v>310</v>
      </c>
      <c r="AX661" s="49" t="s">
        <v>311</v>
      </c>
      <c r="AY661" s="48"/>
      <c r="AZ661" s="48" t="n">
        <v>46162</v>
      </c>
      <c r="BC661" s="49" t="s">
        <v>303</v>
      </c>
      <c r="BD661" s="48" t="n">
        <v>46207</v>
      </c>
      <c r="BE661" s="49" t="s">
        <v>2980</v>
      </c>
      <c r="BF661" s="49" t="s">
        <v>303</v>
      </c>
      <c r="BG661" s="48"/>
      <c r="BI661" s="48" t="n">
        <v>46207</v>
      </c>
      <c r="BJ661" s="48" t="n">
        <v>46170</v>
      </c>
      <c r="BK661" s="49" t="s">
        <v>313</v>
      </c>
      <c r="BL661" s="49" t="s">
        <v>313</v>
      </c>
      <c r="BM661" s="49" t="s">
        <v>310</v>
      </c>
      <c r="BN661" s="48"/>
      <c r="BO661" s="48"/>
      <c r="BP661" s="48"/>
      <c r="BQ661" s="49" t="s">
        <v>2580</v>
      </c>
      <c r="BR661" s="48" t="n">
        <v>46170</v>
      </c>
      <c r="BS661" s="49" t="s">
        <v>2955</v>
      </c>
      <c r="BT661" s="49" t="s">
        <v>312</v>
      </c>
      <c r="BU661" s="49" t="s">
        <v>313</v>
      </c>
      <c r="BV661" s="49" t="s">
        <v>303</v>
      </c>
      <c r="BX661" s="0" t="n">
        <v>1</v>
      </c>
      <c r="CC661" s="49" t="s">
        <v>315</v>
      </c>
      <c r="CD661" s="49" t="s">
        <v>303</v>
      </c>
      <c r="CF661" s="49" t="s">
        <v>303</v>
      </c>
      <c r="CG661" s="49" t="s">
        <v>316</v>
      </c>
      <c r="CH661" s="49" t="s">
        <v>317</v>
      </c>
      <c r="CI661" s="49" t="s">
        <v>318</v>
      </c>
      <c r="CM661" s="49" t="s">
        <v>468</v>
      </c>
      <c r="CV661" s="49" t="s">
        <v>303</v>
      </c>
      <c r="DB661" s="49" t="s">
        <v>319</v>
      </c>
      <c r="DD661" s="48" t="n">
        <v>46154</v>
      </c>
      <c r="DF661" s="49" t="s">
        <v>310</v>
      </c>
      <c r="DG661" s="49" t="s">
        <v>320</v>
      </c>
      <c r="DH661" s="49" t="s">
        <v>70</v>
      </c>
      <c r="DI661" s="49" t="s">
        <v>298</v>
      </c>
      <c r="DJ661" s="49" t="s">
        <v>321</v>
      </c>
      <c r="DK661" s="49" t="s">
        <v>322</v>
      </c>
      <c r="DL661" s="49" t="s">
        <v>323</v>
      </c>
      <c r="DM661" s="49" t="s">
        <v>303</v>
      </c>
      <c r="DN661" s="49" t="s">
        <v>297</v>
      </c>
      <c r="DO661" s="48"/>
      <c r="DP661" s="49" t="s">
        <v>312</v>
      </c>
      <c r="DQ661" s="48"/>
      <c r="DR661" s="49" t="s">
        <v>312</v>
      </c>
      <c r="DS661" s="49" t="s">
        <v>303</v>
      </c>
      <c r="DT661" s="49" t="s">
        <v>303</v>
      </c>
      <c r="DW661" s="49" t="s">
        <v>303</v>
      </c>
      <c r="EA661" s="49" t="s">
        <v>324</v>
      </c>
      <c r="EB661" s="49" t="s">
        <v>303</v>
      </c>
      <c r="EF661" s="49" t="s">
        <v>2981</v>
      </c>
      <c r="EH661" s="49" t="s">
        <v>310</v>
      </c>
      <c r="EJ661" s="49" t="s">
        <v>303</v>
      </c>
      <c r="EK661" s="49" t="s">
        <v>2982</v>
      </c>
      <c r="EM661" s="49" t="s">
        <v>303</v>
      </c>
      <c r="EN661" s="49" t="s">
        <v>472</v>
      </c>
      <c r="EP661" s="49" t="s">
        <v>298</v>
      </c>
      <c r="EQ661" s="0" t="n">
        <v>1</v>
      </c>
      <c r="ER661" s="49" t="s">
        <v>328</v>
      </c>
      <c r="ES661" s="49" t="s">
        <v>329</v>
      </c>
      <c r="ET661" s="49" t="s">
        <v>310</v>
      </c>
      <c r="EU661" s="49" t="s">
        <v>310</v>
      </c>
      <c r="EV661" s="49" t="s">
        <v>310</v>
      </c>
      <c r="EX661" s="49" t="s">
        <v>303</v>
      </c>
      <c r="EY661" s="49" t="s">
        <v>303</v>
      </c>
      <c r="FC661" s="49" t="s">
        <v>330</v>
      </c>
      <c r="FD661" s="49" t="s">
        <v>310</v>
      </c>
      <c r="FE661" s="49" t="s">
        <v>310</v>
      </c>
      <c r="FF661" s="49" t="s">
        <v>70</v>
      </c>
      <c r="FG661" s="49" t="s">
        <v>473</v>
      </c>
      <c r="FH661" s="49" t="s">
        <v>310</v>
      </c>
      <c r="FI661" s="49" t="s">
        <v>332</v>
      </c>
      <c r="FJ661" s="49" t="s">
        <v>303</v>
      </c>
      <c r="FL661" s="49" t="s">
        <v>325</v>
      </c>
      <c r="FM661" s="49" t="s">
        <v>2858</v>
      </c>
      <c r="FP661" s="49" t="s">
        <v>303</v>
      </c>
      <c r="FR661" s="49" t="s">
        <v>303</v>
      </c>
      <c r="FT661" s="49" t="s">
        <v>325</v>
      </c>
      <c r="FU661" s="49" t="s">
        <v>325</v>
      </c>
      <c r="FW661" s="49" t="s">
        <v>333</v>
      </c>
    </row>
    <row r="662" customFormat="false" ht="15" hidden="false" customHeight="false" outlineLevel="0" collapsed="false">
      <c r="A662" s="0" t="n">
        <v>100863717</v>
      </c>
      <c r="B662" s="0" t="s">
        <v>295</v>
      </c>
      <c r="C662" s="0" t="s">
        <v>70</v>
      </c>
      <c r="D662" s="0" t="s">
        <v>468</v>
      </c>
      <c r="E662" s="0" t="s">
        <v>297</v>
      </c>
      <c r="G662" s="0" t="n">
        <v>1</v>
      </c>
      <c r="H662" s="0" t="s">
        <v>298</v>
      </c>
      <c r="I662" s="48" t="n">
        <v>46165</v>
      </c>
      <c r="J662" s="0" t="n">
        <v>1</v>
      </c>
      <c r="K662" s="49" t="s">
        <v>2858</v>
      </c>
      <c r="L662" s="49" t="s">
        <v>1035</v>
      </c>
      <c r="M662" s="48" t="n">
        <v>46165</v>
      </c>
      <c r="N662" s="49" t="s">
        <v>1035</v>
      </c>
      <c r="O662" s="49" t="s">
        <v>1045</v>
      </c>
      <c r="P662" s="48"/>
      <c r="Q662" s="48" t="n">
        <v>46165</v>
      </c>
      <c r="R662" s="48" t="n">
        <v>46172</v>
      </c>
      <c r="T662" s="49" t="s">
        <v>302</v>
      </c>
      <c r="U662" s="49" t="s">
        <v>303</v>
      </c>
      <c r="Y662" s="49" t="s">
        <v>2983</v>
      </c>
      <c r="AD662" s="49" t="s">
        <v>305</v>
      </c>
      <c r="AE662" s="48" t="n">
        <v>46162</v>
      </c>
      <c r="AF662" s="49" t="s">
        <v>306</v>
      </c>
      <c r="AG662" s="49" t="s">
        <v>307</v>
      </c>
      <c r="AK662" s="49" t="s">
        <v>1047</v>
      </c>
      <c r="AL662" s="49" t="s">
        <v>297</v>
      </c>
      <c r="AO662" s="49" t="s">
        <v>303</v>
      </c>
      <c r="AP662" s="48"/>
      <c r="AR662" s="49" t="s">
        <v>303</v>
      </c>
      <c r="AS662" s="49" t="s">
        <v>306</v>
      </c>
      <c r="AT662" s="49" t="s">
        <v>2984</v>
      </c>
      <c r="AV662" s="49" t="s">
        <v>309</v>
      </c>
      <c r="AW662" s="49" t="s">
        <v>310</v>
      </c>
      <c r="AX662" s="49" t="s">
        <v>311</v>
      </c>
      <c r="AY662" s="48"/>
      <c r="AZ662" s="48" t="n">
        <v>46162</v>
      </c>
      <c r="BC662" s="49" t="s">
        <v>303</v>
      </c>
      <c r="BD662" s="48" t="n">
        <v>46187</v>
      </c>
      <c r="BE662" s="49" t="s">
        <v>2985</v>
      </c>
      <c r="BF662" s="49" t="s">
        <v>303</v>
      </c>
      <c r="BG662" s="48"/>
      <c r="BI662" s="48" t="n">
        <v>46187</v>
      </c>
      <c r="BJ662" s="48" t="n">
        <v>46170</v>
      </c>
      <c r="BK662" s="49" t="s">
        <v>312</v>
      </c>
      <c r="BL662" s="49" t="s">
        <v>313</v>
      </c>
      <c r="BM662" s="49" t="s">
        <v>310</v>
      </c>
      <c r="BN662" s="48"/>
      <c r="BO662" s="48"/>
      <c r="BP662" s="48"/>
      <c r="BQ662" s="49" t="s">
        <v>2580</v>
      </c>
      <c r="BR662" s="48" t="n">
        <v>46170</v>
      </c>
      <c r="BS662" s="49" t="s">
        <v>2986</v>
      </c>
      <c r="BT662" s="49" t="s">
        <v>312</v>
      </c>
      <c r="BU662" s="49" t="s">
        <v>313</v>
      </c>
      <c r="BV662" s="49" t="s">
        <v>303</v>
      </c>
      <c r="BX662" s="0" t="n">
        <v>1</v>
      </c>
      <c r="CC662" s="49" t="s">
        <v>315</v>
      </c>
      <c r="CD662" s="49" t="s">
        <v>303</v>
      </c>
      <c r="CF662" s="49" t="s">
        <v>303</v>
      </c>
      <c r="CG662" s="49" t="s">
        <v>316</v>
      </c>
      <c r="CH662" s="49" t="s">
        <v>317</v>
      </c>
      <c r="CI662" s="49" t="s">
        <v>318</v>
      </c>
      <c r="CM662" s="49" t="s">
        <v>468</v>
      </c>
      <c r="CV662" s="49" t="s">
        <v>303</v>
      </c>
      <c r="DB662" s="49" t="s">
        <v>319</v>
      </c>
      <c r="DD662" s="48" t="n">
        <v>46162</v>
      </c>
      <c r="DF662" s="49" t="s">
        <v>310</v>
      </c>
      <c r="DG662" s="49" t="s">
        <v>320</v>
      </c>
      <c r="DH662" s="49" t="s">
        <v>70</v>
      </c>
      <c r="DI662" s="49" t="s">
        <v>298</v>
      </c>
      <c r="DJ662" s="49" t="s">
        <v>321</v>
      </c>
      <c r="DK662" s="49" t="s">
        <v>322</v>
      </c>
      <c r="DL662" s="49" t="s">
        <v>323</v>
      </c>
      <c r="DM662" s="49" t="s">
        <v>303</v>
      </c>
      <c r="DN662" s="49" t="s">
        <v>297</v>
      </c>
      <c r="DO662" s="48"/>
      <c r="DP662" s="49" t="s">
        <v>312</v>
      </c>
      <c r="DQ662" s="48"/>
      <c r="DR662" s="49" t="s">
        <v>312</v>
      </c>
      <c r="DS662" s="49" t="s">
        <v>303</v>
      </c>
      <c r="DT662" s="49" t="s">
        <v>303</v>
      </c>
      <c r="DW662" s="49" t="s">
        <v>303</v>
      </c>
      <c r="EA662" s="49" t="s">
        <v>324</v>
      </c>
      <c r="EB662" s="49" t="s">
        <v>303</v>
      </c>
      <c r="EH662" s="49" t="s">
        <v>310</v>
      </c>
      <c r="EJ662" s="49" t="s">
        <v>303</v>
      </c>
      <c r="EK662" s="49" t="s">
        <v>2987</v>
      </c>
      <c r="EM662" s="49" t="s">
        <v>303</v>
      </c>
      <c r="EN662" s="49" t="s">
        <v>472</v>
      </c>
      <c r="EP662" s="49" t="s">
        <v>298</v>
      </c>
      <c r="EQ662" s="0" t="n">
        <v>1</v>
      </c>
      <c r="ER662" s="49" t="s">
        <v>328</v>
      </c>
      <c r="ES662" s="49" t="s">
        <v>329</v>
      </c>
      <c r="ET662" s="49" t="s">
        <v>310</v>
      </c>
      <c r="EU662" s="49" t="s">
        <v>310</v>
      </c>
      <c r="EV662" s="49" t="s">
        <v>310</v>
      </c>
      <c r="EX662" s="49" t="s">
        <v>303</v>
      </c>
      <c r="EY662" s="49" t="s">
        <v>303</v>
      </c>
      <c r="FC662" s="49" t="s">
        <v>330</v>
      </c>
      <c r="FD662" s="49" t="s">
        <v>310</v>
      </c>
      <c r="FE662" s="49" t="s">
        <v>310</v>
      </c>
      <c r="FF662" s="49" t="s">
        <v>70</v>
      </c>
      <c r="FG662" s="49" t="s">
        <v>473</v>
      </c>
      <c r="FH662" s="49" t="s">
        <v>310</v>
      </c>
      <c r="FI662" s="49" t="s">
        <v>332</v>
      </c>
      <c r="FJ662" s="49" t="s">
        <v>303</v>
      </c>
      <c r="FL662" s="49" t="s">
        <v>325</v>
      </c>
      <c r="FM662" s="49" t="s">
        <v>2858</v>
      </c>
      <c r="FP662" s="49" t="s">
        <v>303</v>
      </c>
      <c r="FR662" s="49" t="s">
        <v>303</v>
      </c>
      <c r="FT662" s="49" t="s">
        <v>325</v>
      </c>
      <c r="FU662" s="49" t="s">
        <v>325</v>
      </c>
      <c r="FW662" s="49" t="s">
        <v>333</v>
      </c>
    </row>
    <row r="663" customFormat="false" ht="15" hidden="false" customHeight="false" outlineLevel="0" collapsed="false">
      <c r="A663" s="0" t="n">
        <v>100863718</v>
      </c>
      <c r="B663" s="0" t="s">
        <v>295</v>
      </c>
      <c r="C663" s="0" t="s">
        <v>72</v>
      </c>
      <c r="D663" s="0" t="s">
        <v>480</v>
      </c>
      <c r="E663" s="0" t="s">
        <v>297</v>
      </c>
      <c r="G663" s="0" t="n">
        <v>1</v>
      </c>
      <c r="H663" s="0" t="s">
        <v>298</v>
      </c>
      <c r="I663" s="48" t="n">
        <v>46165</v>
      </c>
      <c r="J663" s="0" t="n">
        <v>1</v>
      </c>
      <c r="K663" s="49" t="s">
        <v>2858</v>
      </c>
      <c r="L663" s="49" t="s">
        <v>1035</v>
      </c>
      <c r="M663" s="48" t="n">
        <v>46165</v>
      </c>
      <c r="N663" s="49" t="s">
        <v>1035</v>
      </c>
      <c r="O663" s="49" t="s">
        <v>1045</v>
      </c>
      <c r="P663" s="48"/>
      <c r="Q663" s="48" t="n">
        <v>46165</v>
      </c>
      <c r="R663" s="48" t="n">
        <v>46172</v>
      </c>
      <c r="T663" s="49" t="s">
        <v>302</v>
      </c>
      <c r="U663" s="49" t="s">
        <v>303</v>
      </c>
      <c r="Y663" s="49" t="s">
        <v>2988</v>
      </c>
      <c r="AD663" s="49" t="s">
        <v>305</v>
      </c>
      <c r="AE663" s="48" t="n">
        <v>46154</v>
      </c>
      <c r="AF663" s="49" t="s">
        <v>306</v>
      </c>
      <c r="AG663" s="49" t="s">
        <v>307</v>
      </c>
      <c r="AK663" s="49" t="s">
        <v>1047</v>
      </c>
      <c r="AL663" s="49" t="s">
        <v>297</v>
      </c>
      <c r="AO663" s="49" t="s">
        <v>303</v>
      </c>
      <c r="AP663" s="48"/>
      <c r="AR663" s="49" t="s">
        <v>303</v>
      </c>
      <c r="AS663" s="49" t="s">
        <v>306</v>
      </c>
      <c r="AT663" s="49" t="s">
        <v>2989</v>
      </c>
      <c r="AV663" s="49" t="s">
        <v>309</v>
      </c>
      <c r="AW663" s="49" t="s">
        <v>310</v>
      </c>
      <c r="AX663" s="49" t="s">
        <v>311</v>
      </c>
      <c r="AY663" s="48"/>
      <c r="AZ663" s="48" t="n">
        <v>46162</v>
      </c>
      <c r="BC663" s="49" t="s">
        <v>303</v>
      </c>
      <c r="BD663" s="48" t="n">
        <v>46197</v>
      </c>
      <c r="BE663" s="49" t="s">
        <v>2783</v>
      </c>
      <c r="BF663" s="49" t="s">
        <v>303</v>
      </c>
      <c r="BG663" s="48"/>
      <c r="BI663" s="48" t="n">
        <v>46197</v>
      </c>
      <c r="BJ663" s="48" t="n">
        <v>46170</v>
      </c>
      <c r="BK663" s="49" t="s">
        <v>312</v>
      </c>
      <c r="BL663" s="49" t="s">
        <v>313</v>
      </c>
      <c r="BM663" s="49" t="s">
        <v>310</v>
      </c>
      <c r="BN663" s="48"/>
      <c r="BO663" s="48"/>
      <c r="BP663" s="48"/>
      <c r="BQ663" s="49" t="s">
        <v>2580</v>
      </c>
      <c r="BR663" s="48" t="n">
        <v>46170</v>
      </c>
      <c r="BS663" s="49" t="s">
        <v>2986</v>
      </c>
      <c r="BT663" s="49" t="s">
        <v>312</v>
      </c>
      <c r="BU663" s="49" t="s">
        <v>313</v>
      </c>
      <c r="BV663" s="49" t="s">
        <v>303</v>
      </c>
      <c r="BX663" s="0" t="n">
        <v>1</v>
      </c>
      <c r="CC663" s="49" t="s">
        <v>315</v>
      </c>
      <c r="CD663" s="49" t="s">
        <v>303</v>
      </c>
      <c r="CF663" s="49" t="s">
        <v>303</v>
      </c>
      <c r="CG663" s="49" t="s">
        <v>316</v>
      </c>
      <c r="CH663" s="49" t="s">
        <v>317</v>
      </c>
      <c r="CI663" s="49" t="s">
        <v>318</v>
      </c>
      <c r="CM663" s="49" t="s">
        <v>480</v>
      </c>
      <c r="CV663" s="49" t="s">
        <v>303</v>
      </c>
      <c r="DB663" s="49" t="s">
        <v>319</v>
      </c>
      <c r="DD663" s="48" t="n">
        <v>46154</v>
      </c>
      <c r="DF663" s="49" t="s">
        <v>310</v>
      </c>
      <c r="DG663" s="49" t="s">
        <v>320</v>
      </c>
      <c r="DH663" s="49" t="s">
        <v>72</v>
      </c>
      <c r="DI663" s="49" t="s">
        <v>298</v>
      </c>
      <c r="DJ663" s="49" t="s">
        <v>321</v>
      </c>
      <c r="DK663" s="49" t="s">
        <v>322</v>
      </c>
      <c r="DL663" s="49" t="s">
        <v>323</v>
      </c>
      <c r="DM663" s="49" t="s">
        <v>303</v>
      </c>
      <c r="DN663" s="49" t="s">
        <v>297</v>
      </c>
      <c r="DO663" s="48"/>
      <c r="DP663" s="49" t="s">
        <v>312</v>
      </c>
      <c r="DQ663" s="48"/>
      <c r="DR663" s="49" t="s">
        <v>312</v>
      </c>
      <c r="DS663" s="49" t="s">
        <v>303</v>
      </c>
      <c r="DT663" s="49" t="s">
        <v>303</v>
      </c>
      <c r="DW663" s="49" t="s">
        <v>303</v>
      </c>
      <c r="EA663" s="49" t="s">
        <v>324</v>
      </c>
      <c r="EB663" s="49" t="s">
        <v>303</v>
      </c>
      <c r="EH663" s="49" t="s">
        <v>310</v>
      </c>
      <c r="EJ663" s="49" t="s">
        <v>303</v>
      </c>
      <c r="EK663" s="49" t="s">
        <v>2990</v>
      </c>
      <c r="EM663" s="49" t="s">
        <v>303</v>
      </c>
      <c r="EN663" s="49" t="s">
        <v>485</v>
      </c>
      <c r="EP663" s="49" t="s">
        <v>298</v>
      </c>
      <c r="EQ663" s="0" t="n">
        <v>1</v>
      </c>
      <c r="ER663" s="49" t="s">
        <v>328</v>
      </c>
      <c r="ES663" s="49" t="s">
        <v>329</v>
      </c>
      <c r="ET663" s="49" t="s">
        <v>310</v>
      </c>
      <c r="EU663" s="49" t="s">
        <v>310</v>
      </c>
      <c r="EV663" s="49" t="s">
        <v>310</v>
      </c>
      <c r="EX663" s="49" t="s">
        <v>303</v>
      </c>
      <c r="EY663" s="49" t="s">
        <v>303</v>
      </c>
      <c r="FC663" s="49" t="s">
        <v>330</v>
      </c>
      <c r="FD663" s="49" t="s">
        <v>310</v>
      </c>
      <c r="FE663" s="49" t="s">
        <v>310</v>
      </c>
      <c r="FF663" s="49" t="s">
        <v>72</v>
      </c>
      <c r="FG663" s="49" t="s">
        <v>486</v>
      </c>
      <c r="FH663" s="49" t="s">
        <v>310</v>
      </c>
      <c r="FI663" s="49" t="s">
        <v>332</v>
      </c>
      <c r="FJ663" s="49" t="s">
        <v>303</v>
      </c>
      <c r="FL663" s="49" t="s">
        <v>325</v>
      </c>
      <c r="FM663" s="49" t="s">
        <v>2858</v>
      </c>
      <c r="FP663" s="49" t="s">
        <v>303</v>
      </c>
      <c r="FR663" s="49" t="s">
        <v>303</v>
      </c>
      <c r="FT663" s="49" t="s">
        <v>325</v>
      </c>
      <c r="FU663" s="49" t="s">
        <v>325</v>
      </c>
      <c r="FW663" s="49" t="s">
        <v>333</v>
      </c>
    </row>
    <row r="664" customFormat="false" ht="15" hidden="false" customHeight="false" outlineLevel="0" collapsed="false">
      <c r="A664" s="0" t="n">
        <v>100863719</v>
      </c>
      <c r="B664" s="0" t="s">
        <v>295</v>
      </c>
      <c r="C664" s="0" t="s">
        <v>72</v>
      </c>
      <c r="D664" s="0" t="s">
        <v>480</v>
      </c>
      <c r="E664" s="0" t="s">
        <v>297</v>
      </c>
      <c r="G664" s="0" t="n">
        <v>1</v>
      </c>
      <c r="H664" s="0" t="s">
        <v>298</v>
      </c>
      <c r="I664" s="48" t="n">
        <v>46165</v>
      </c>
      <c r="J664" s="0" t="n">
        <v>1</v>
      </c>
      <c r="K664" s="49" t="s">
        <v>2858</v>
      </c>
      <c r="L664" s="49" t="s">
        <v>1035</v>
      </c>
      <c r="M664" s="48"/>
      <c r="O664" s="49" t="s">
        <v>1052</v>
      </c>
      <c r="P664" s="48"/>
      <c r="Q664" s="48" t="n">
        <v>46165</v>
      </c>
      <c r="R664" s="48" t="n">
        <v>46171</v>
      </c>
      <c r="T664" s="49" t="s">
        <v>302</v>
      </c>
      <c r="U664" s="49" t="s">
        <v>303</v>
      </c>
      <c r="Y664" s="49" t="s">
        <v>312</v>
      </c>
      <c r="AD664" s="49" t="s">
        <v>305</v>
      </c>
      <c r="AE664" s="48" t="n">
        <v>46154</v>
      </c>
      <c r="AF664" s="49" t="s">
        <v>306</v>
      </c>
      <c r="AG664" s="49" t="s">
        <v>307</v>
      </c>
      <c r="AK664" s="49" t="s">
        <v>1047</v>
      </c>
      <c r="AL664" s="49" t="s">
        <v>297</v>
      </c>
      <c r="AO664" s="49" t="s">
        <v>303</v>
      </c>
      <c r="AP664" s="48"/>
      <c r="AR664" s="49" t="s">
        <v>303</v>
      </c>
      <c r="AS664" s="49" t="s">
        <v>306</v>
      </c>
      <c r="AT664" s="49" t="s">
        <v>2991</v>
      </c>
      <c r="AV664" s="49" t="s">
        <v>309</v>
      </c>
      <c r="AW664" s="49" t="s">
        <v>310</v>
      </c>
      <c r="AX664" s="49" t="s">
        <v>311</v>
      </c>
      <c r="AY664" s="48"/>
      <c r="AZ664" s="48" t="n">
        <v>46162</v>
      </c>
      <c r="BC664" s="49" t="s">
        <v>303</v>
      </c>
      <c r="BD664" s="48" t="n">
        <v>46211</v>
      </c>
      <c r="BE664" s="49" t="s">
        <v>2992</v>
      </c>
      <c r="BF664" s="49" t="s">
        <v>303</v>
      </c>
      <c r="BG664" s="48"/>
      <c r="BI664" s="48" t="n">
        <v>46209</v>
      </c>
      <c r="BJ664" s="48" t="n">
        <v>46170</v>
      </c>
      <c r="BK664" s="49" t="s">
        <v>313</v>
      </c>
      <c r="BL664" s="49" t="s">
        <v>313</v>
      </c>
      <c r="BM664" s="49" t="s">
        <v>310</v>
      </c>
      <c r="BN664" s="48"/>
      <c r="BO664" s="48"/>
      <c r="BP664" s="48"/>
      <c r="BQ664" s="49" t="s">
        <v>2580</v>
      </c>
      <c r="BR664" s="48" t="n">
        <v>46170</v>
      </c>
      <c r="BS664" s="49" t="s">
        <v>2647</v>
      </c>
      <c r="BT664" s="49" t="s">
        <v>312</v>
      </c>
      <c r="BU664" s="49" t="s">
        <v>313</v>
      </c>
      <c r="BV664" s="49" t="s">
        <v>303</v>
      </c>
      <c r="BX664" s="0" t="n">
        <v>1</v>
      </c>
      <c r="CC664" s="49" t="s">
        <v>315</v>
      </c>
      <c r="CD664" s="49" t="s">
        <v>303</v>
      </c>
      <c r="CF664" s="49" t="s">
        <v>303</v>
      </c>
      <c r="CG664" s="49" t="s">
        <v>316</v>
      </c>
      <c r="CH664" s="49" t="s">
        <v>317</v>
      </c>
      <c r="CI664" s="49" t="s">
        <v>318</v>
      </c>
      <c r="CM664" s="49" t="s">
        <v>480</v>
      </c>
      <c r="CV664" s="49" t="s">
        <v>303</v>
      </c>
      <c r="DB664" s="49" t="s">
        <v>319</v>
      </c>
      <c r="DD664" s="48" t="n">
        <v>46154</v>
      </c>
      <c r="DF664" s="49" t="s">
        <v>310</v>
      </c>
      <c r="DG664" s="49" t="s">
        <v>320</v>
      </c>
      <c r="DH664" s="49" t="s">
        <v>72</v>
      </c>
      <c r="DI664" s="49" t="s">
        <v>298</v>
      </c>
      <c r="DJ664" s="49" t="s">
        <v>321</v>
      </c>
      <c r="DK664" s="49" t="s">
        <v>322</v>
      </c>
      <c r="DL664" s="49" t="s">
        <v>323</v>
      </c>
      <c r="DM664" s="49" t="s">
        <v>303</v>
      </c>
      <c r="DN664" s="49" t="s">
        <v>297</v>
      </c>
      <c r="DO664" s="48"/>
      <c r="DP664" s="49" t="s">
        <v>312</v>
      </c>
      <c r="DQ664" s="48"/>
      <c r="DR664" s="49" t="s">
        <v>312</v>
      </c>
      <c r="DS664" s="49" t="s">
        <v>303</v>
      </c>
      <c r="DT664" s="49" t="s">
        <v>303</v>
      </c>
      <c r="DW664" s="49" t="s">
        <v>303</v>
      </c>
      <c r="EA664" s="49" t="s">
        <v>324</v>
      </c>
      <c r="EB664" s="49" t="s">
        <v>303</v>
      </c>
      <c r="EF664" s="49" t="s">
        <v>2993</v>
      </c>
      <c r="EH664" s="49" t="s">
        <v>310</v>
      </c>
      <c r="EJ664" s="49" t="s">
        <v>303</v>
      </c>
      <c r="EK664" s="49" t="s">
        <v>2994</v>
      </c>
      <c r="EM664" s="49" t="s">
        <v>303</v>
      </c>
      <c r="EN664" s="49" t="s">
        <v>485</v>
      </c>
      <c r="EP664" s="49" t="s">
        <v>298</v>
      </c>
      <c r="EQ664" s="0" t="n">
        <v>1</v>
      </c>
      <c r="ER664" s="49" t="s">
        <v>328</v>
      </c>
      <c r="ES664" s="49" t="s">
        <v>329</v>
      </c>
      <c r="ET664" s="49" t="s">
        <v>310</v>
      </c>
      <c r="EU664" s="49" t="s">
        <v>310</v>
      </c>
      <c r="EV664" s="49" t="s">
        <v>310</v>
      </c>
      <c r="EX664" s="49" t="s">
        <v>303</v>
      </c>
      <c r="EY664" s="49" t="s">
        <v>303</v>
      </c>
      <c r="FC664" s="49" t="s">
        <v>330</v>
      </c>
      <c r="FD664" s="49" t="s">
        <v>310</v>
      </c>
      <c r="FE664" s="49" t="s">
        <v>310</v>
      </c>
      <c r="FF664" s="49" t="s">
        <v>72</v>
      </c>
      <c r="FG664" s="49" t="s">
        <v>486</v>
      </c>
      <c r="FH664" s="49" t="s">
        <v>310</v>
      </c>
      <c r="FI664" s="49" t="s">
        <v>332</v>
      </c>
      <c r="FJ664" s="49" t="s">
        <v>303</v>
      </c>
      <c r="FL664" s="49" t="s">
        <v>325</v>
      </c>
      <c r="FM664" s="49" t="s">
        <v>2858</v>
      </c>
      <c r="FP664" s="49" t="s">
        <v>303</v>
      </c>
      <c r="FR664" s="49" t="s">
        <v>303</v>
      </c>
      <c r="FT664" s="49" t="s">
        <v>325</v>
      </c>
      <c r="FU664" s="49" t="s">
        <v>325</v>
      </c>
      <c r="FW664" s="49" t="s">
        <v>333</v>
      </c>
    </row>
    <row r="665" customFormat="false" ht="15" hidden="false" customHeight="false" outlineLevel="0" collapsed="false">
      <c r="A665" s="0" t="n">
        <v>100863720</v>
      </c>
      <c r="B665" s="0" t="s">
        <v>295</v>
      </c>
      <c r="C665" s="0" t="s">
        <v>72</v>
      </c>
      <c r="D665" s="0" t="s">
        <v>480</v>
      </c>
      <c r="E665" s="0" t="s">
        <v>297</v>
      </c>
      <c r="G665" s="0" t="n">
        <v>1</v>
      </c>
      <c r="H665" s="0" t="s">
        <v>298</v>
      </c>
      <c r="I665" s="48" t="n">
        <v>46165</v>
      </c>
      <c r="J665" s="0" t="n">
        <v>1</v>
      </c>
      <c r="K665" s="49" t="s">
        <v>2858</v>
      </c>
      <c r="L665" s="49" t="s">
        <v>1035</v>
      </c>
      <c r="M665" s="48" t="n">
        <v>46179</v>
      </c>
      <c r="N665" s="49" t="s">
        <v>2947</v>
      </c>
      <c r="O665" s="49" t="s">
        <v>1045</v>
      </c>
      <c r="P665" s="48"/>
      <c r="Q665" s="48" t="n">
        <v>46165</v>
      </c>
      <c r="R665" s="48" t="n">
        <v>46172</v>
      </c>
      <c r="T665" s="49" t="s">
        <v>302</v>
      </c>
      <c r="U665" s="49" t="s">
        <v>303</v>
      </c>
      <c r="Y665" s="49" t="s">
        <v>2995</v>
      </c>
      <c r="AD665" s="49" t="s">
        <v>305</v>
      </c>
      <c r="AE665" s="48" t="n">
        <v>46162</v>
      </c>
      <c r="AF665" s="49" t="s">
        <v>306</v>
      </c>
      <c r="AG665" s="49" t="s">
        <v>307</v>
      </c>
      <c r="AK665" s="49" t="s">
        <v>1047</v>
      </c>
      <c r="AL665" s="49" t="s">
        <v>297</v>
      </c>
      <c r="AO665" s="49" t="s">
        <v>303</v>
      </c>
      <c r="AP665" s="48"/>
      <c r="AR665" s="49" t="s">
        <v>303</v>
      </c>
      <c r="AS665" s="49" t="s">
        <v>306</v>
      </c>
      <c r="AT665" s="49" t="s">
        <v>2996</v>
      </c>
      <c r="AV665" s="49" t="s">
        <v>309</v>
      </c>
      <c r="AW665" s="49" t="s">
        <v>310</v>
      </c>
      <c r="AX665" s="49" t="s">
        <v>311</v>
      </c>
      <c r="AY665" s="48"/>
      <c r="AZ665" s="48" t="n">
        <v>46162</v>
      </c>
      <c r="BC665" s="49" t="s">
        <v>303</v>
      </c>
      <c r="BD665" s="48" t="n">
        <v>46184</v>
      </c>
      <c r="BE665" s="49" t="s">
        <v>2997</v>
      </c>
      <c r="BF665" s="49" t="s">
        <v>303</v>
      </c>
      <c r="BG665" s="48"/>
      <c r="BI665" s="48" t="n">
        <v>46184</v>
      </c>
      <c r="BJ665" s="48" t="n">
        <v>46170</v>
      </c>
      <c r="BK665" s="49" t="s">
        <v>312</v>
      </c>
      <c r="BL665" s="49" t="s">
        <v>313</v>
      </c>
      <c r="BM665" s="49" t="s">
        <v>310</v>
      </c>
      <c r="BN665" s="48"/>
      <c r="BO665" s="48"/>
      <c r="BP665" s="48"/>
      <c r="BQ665" s="49" t="s">
        <v>2802</v>
      </c>
      <c r="BR665" s="48" t="n">
        <v>46170</v>
      </c>
      <c r="BS665" s="49" t="s">
        <v>2998</v>
      </c>
      <c r="BT665" s="49" t="s">
        <v>312</v>
      </c>
      <c r="BU665" s="49" t="s">
        <v>313</v>
      </c>
      <c r="BV665" s="49" t="s">
        <v>303</v>
      </c>
      <c r="BX665" s="0" t="n">
        <v>1</v>
      </c>
      <c r="CC665" s="49" t="s">
        <v>315</v>
      </c>
      <c r="CD665" s="49" t="s">
        <v>303</v>
      </c>
      <c r="CF665" s="49" t="s">
        <v>303</v>
      </c>
      <c r="CG665" s="49" t="s">
        <v>316</v>
      </c>
      <c r="CH665" s="49" t="s">
        <v>317</v>
      </c>
      <c r="CI665" s="49" t="s">
        <v>318</v>
      </c>
      <c r="CM665" s="49" t="s">
        <v>480</v>
      </c>
      <c r="CV665" s="49" t="s">
        <v>303</v>
      </c>
      <c r="DB665" s="49" t="s">
        <v>319</v>
      </c>
      <c r="DD665" s="48" t="n">
        <v>46162</v>
      </c>
      <c r="DF665" s="49" t="s">
        <v>310</v>
      </c>
      <c r="DG665" s="49" t="s">
        <v>320</v>
      </c>
      <c r="DH665" s="49" t="s">
        <v>72</v>
      </c>
      <c r="DI665" s="49" t="s">
        <v>298</v>
      </c>
      <c r="DJ665" s="49" t="s">
        <v>321</v>
      </c>
      <c r="DK665" s="49" t="s">
        <v>322</v>
      </c>
      <c r="DL665" s="49" t="s">
        <v>323</v>
      </c>
      <c r="DM665" s="49" t="s">
        <v>303</v>
      </c>
      <c r="DN665" s="49" t="s">
        <v>297</v>
      </c>
      <c r="DO665" s="48"/>
      <c r="DP665" s="49" t="s">
        <v>312</v>
      </c>
      <c r="DQ665" s="48"/>
      <c r="DR665" s="49" t="s">
        <v>312</v>
      </c>
      <c r="DS665" s="49" t="s">
        <v>303</v>
      </c>
      <c r="DT665" s="49" t="s">
        <v>303</v>
      </c>
      <c r="DW665" s="49" t="s">
        <v>303</v>
      </c>
      <c r="EA665" s="49" t="s">
        <v>324</v>
      </c>
      <c r="EB665" s="49" t="s">
        <v>303</v>
      </c>
      <c r="EH665" s="49" t="s">
        <v>310</v>
      </c>
      <c r="EJ665" s="49" t="s">
        <v>303</v>
      </c>
      <c r="EK665" s="49" t="s">
        <v>2999</v>
      </c>
      <c r="EM665" s="49" t="s">
        <v>303</v>
      </c>
      <c r="EN665" s="49" t="s">
        <v>485</v>
      </c>
      <c r="EP665" s="49" t="s">
        <v>298</v>
      </c>
      <c r="EQ665" s="0" t="n">
        <v>1</v>
      </c>
      <c r="ER665" s="49" t="s">
        <v>328</v>
      </c>
      <c r="ES665" s="49" t="s">
        <v>329</v>
      </c>
      <c r="ET665" s="49" t="s">
        <v>310</v>
      </c>
      <c r="EU665" s="49" t="s">
        <v>310</v>
      </c>
      <c r="EV665" s="49" t="s">
        <v>310</v>
      </c>
      <c r="EX665" s="49" t="s">
        <v>303</v>
      </c>
      <c r="EY665" s="49" t="s">
        <v>303</v>
      </c>
      <c r="FC665" s="49" t="s">
        <v>330</v>
      </c>
      <c r="FD665" s="49" t="s">
        <v>310</v>
      </c>
      <c r="FE665" s="49" t="s">
        <v>310</v>
      </c>
      <c r="FF665" s="49" t="s">
        <v>72</v>
      </c>
      <c r="FG665" s="49" t="s">
        <v>486</v>
      </c>
      <c r="FH665" s="49" t="s">
        <v>310</v>
      </c>
      <c r="FI665" s="49" t="s">
        <v>332</v>
      </c>
      <c r="FJ665" s="49" t="s">
        <v>303</v>
      </c>
      <c r="FL665" s="49" t="s">
        <v>325</v>
      </c>
      <c r="FM665" s="49" t="s">
        <v>2633</v>
      </c>
      <c r="FP665" s="49" t="s">
        <v>303</v>
      </c>
      <c r="FR665" s="49" t="s">
        <v>303</v>
      </c>
      <c r="FT665" s="49" t="s">
        <v>325</v>
      </c>
      <c r="FU665" s="49" t="s">
        <v>325</v>
      </c>
      <c r="FW665" s="49" t="s">
        <v>333</v>
      </c>
    </row>
    <row r="666" customFormat="false" ht="15" hidden="false" customHeight="false" outlineLevel="0" collapsed="false">
      <c r="A666" s="0" t="n">
        <v>100863154</v>
      </c>
      <c r="B666" s="0" t="s">
        <v>295</v>
      </c>
      <c r="C666" s="0" t="s">
        <v>58</v>
      </c>
      <c r="D666" s="0" t="s">
        <v>59</v>
      </c>
      <c r="E666" s="0" t="s">
        <v>297</v>
      </c>
      <c r="G666" s="0" t="n">
        <v>1</v>
      </c>
      <c r="H666" s="0" t="s">
        <v>298</v>
      </c>
      <c r="I666" s="48" t="n">
        <v>46163</v>
      </c>
      <c r="J666" s="0" t="n">
        <v>1</v>
      </c>
      <c r="K666" s="49" t="s">
        <v>3000</v>
      </c>
      <c r="L666" s="49" t="s">
        <v>2810</v>
      </c>
      <c r="M666" s="48" t="n">
        <v>46242</v>
      </c>
      <c r="N666" s="49" t="s">
        <v>2047</v>
      </c>
      <c r="O666" s="49" t="s">
        <v>3001</v>
      </c>
      <c r="P666" s="48"/>
      <c r="Q666" s="48" t="n">
        <v>46163</v>
      </c>
      <c r="R666" s="48" t="n">
        <v>46171</v>
      </c>
      <c r="T666" s="49" t="s">
        <v>302</v>
      </c>
      <c r="U666" s="49" t="s">
        <v>303</v>
      </c>
      <c r="Y666" s="49" t="s">
        <v>3002</v>
      </c>
      <c r="AD666" s="49" t="s">
        <v>305</v>
      </c>
      <c r="AE666" s="48" t="n">
        <v>46163</v>
      </c>
      <c r="AF666" s="49" t="s">
        <v>306</v>
      </c>
      <c r="AG666" s="49" t="s">
        <v>307</v>
      </c>
      <c r="AK666" s="49" t="s">
        <v>1047</v>
      </c>
      <c r="AL666" s="49" t="s">
        <v>297</v>
      </c>
      <c r="AO666" s="49" t="s">
        <v>303</v>
      </c>
      <c r="AP666" s="48"/>
      <c r="AR666" s="49" t="s">
        <v>303</v>
      </c>
      <c r="AS666" s="49" t="s">
        <v>306</v>
      </c>
      <c r="AT666" s="49" t="s">
        <v>3003</v>
      </c>
      <c r="AV666" s="49" t="s">
        <v>309</v>
      </c>
      <c r="AW666" s="49" t="s">
        <v>310</v>
      </c>
      <c r="AX666" s="49" t="s">
        <v>311</v>
      </c>
      <c r="AY666" s="48"/>
      <c r="AZ666" s="48" t="n">
        <v>46155</v>
      </c>
      <c r="BC666" s="49" t="s">
        <v>303</v>
      </c>
      <c r="BD666" s="48"/>
      <c r="BE666" s="49" t="s">
        <v>312</v>
      </c>
      <c r="BF666" s="49" t="s">
        <v>303</v>
      </c>
      <c r="BG666" s="48"/>
      <c r="BI666" s="48" t="n">
        <v>46181</v>
      </c>
      <c r="BJ666" s="48" t="n">
        <v>46169</v>
      </c>
      <c r="BK666" s="49" t="s">
        <v>312</v>
      </c>
      <c r="BL666" s="49" t="s">
        <v>313</v>
      </c>
      <c r="BM666" s="49" t="s">
        <v>310</v>
      </c>
      <c r="BN666" s="48"/>
      <c r="BO666" s="48"/>
      <c r="BP666" s="48"/>
      <c r="BQ666" s="49" t="s">
        <v>3000</v>
      </c>
      <c r="BR666" s="48" t="n">
        <v>46162</v>
      </c>
      <c r="BS666" s="49" t="s">
        <v>3004</v>
      </c>
      <c r="BT666" s="49" t="s">
        <v>312</v>
      </c>
      <c r="BU666" s="49" t="s">
        <v>312</v>
      </c>
      <c r="BV666" s="49" t="s">
        <v>303</v>
      </c>
      <c r="BX666" s="0" t="n">
        <v>0</v>
      </c>
      <c r="CC666" s="49" t="s">
        <v>315</v>
      </c>
      <c r="CD666" s="49" t="s">
        <v>303</v>
      </c>
      <c r="CF666" s="49" t="s">
        <v>303</v>
      </c>
      <c r="CG666" s="49" t="s">
        <v>316</v>
      </c>
      <c r="CH666" s="49" t="s">
        <v>317</v>
      </c>
      <c r="CI666" s="49" t="s">
        <v>318</v>
      </c>
      <c r="CM666" s="49" t="s">
        <v>59</v>
      </c>
      <c r="CV666" s="49" t="s">
        <v>303</v>
      </c>
      <c r="DB666" s="49" t="s">
        <v>319</v>
      </c>
      <c r="DD666" s="48" t="n">
        <v>46163</v>
      </c>
      <c r="DF666" s="49" t="s">
        <v>310</v>
      </c>
      <c r="DG666" s="49" t="s">
        <v>320</v>
      </c>
      <c r="DH666" s="49" t="s">
        <v>58</v>
      </c>
      <c r="DI666" s="49" t="s">
        <v>298</v>
      </c>
      <c r="DJ666" s="49" t="s">
        <v>367</v>
      </c>
      <c r="DK666" s="49" t="s">
        <v>322</v>
      </c>
      <c r="DL666" s="49" t="s">
        <v>323</v>
      </c>
      <c r="DM666" s="49" t="s">
        <v>303</v>
      </c>
      <c r="DN666" s="49" t="s">
        <v>297</v>
      </c>
      <c r="DO666" s="48"/>
      <c r="DP666" s="49" t="s">
        <v>312</v>
      </c>
      <c r="DQ666" s="48"/>
      <c r="DR666" s="49" t="s">
        <v>312</v>
      </c>
      <c r="DS666" s="49" t="s">
        <v>303</v>
      </c>
      <c r="DT666" s="49" t="s">
        <v>303</v>
      </c>
      <c r="DW666" s="49" t="s">
        <v>303</v>
      </c>
      <c r="EA666" s="49" t="s">
        <v>324</v>
      </c>
      <c r="EB666" s="49" t="s">
        <v>303</v>
      </c>
      <c r="EH666" s="49" t="s">
        <v>310</v>
      </c>
      <c r="EJ666" s="49" t="s">
        <v>303</v>
      </c>
      <c r="EK666" s="49" t="s">
        <v>3005</v>
      </c>
      <c r="EM666" s="49" t="s">
        <v>303</v>
      </c>
      <c r="EN666" s="49" t="s">
        <v>374</v>
      </c>
      <c r="EP666" s="49" t="s">
        <v>298</v>
      </c>
      <c r="EQ666" s="0" t="n">
        <v>1</v>
      </c>
      <c r="ER666" s="49" t="s">
        <v>328</v>
      </c>
      <c r="ES666" s="49" t="s">
        <v>342</v>
      </c>
      <c r="ET666" s="49" t="s">
        <v>310</v>
      </c>
      <c r="EU666" s="49" t="s">
        <v>310</v>
      </c>
      <c r="EV666" s="49" t="s">
        <v>310</v>
      </c>
      <c r="EX666" s="49" t="s">
        <v>303</v>
      </c>
      <c r="EY666" s="49" t="s">
        <v>303</v>
      </c>
      <c r="FC666" s="49" t="s">
        <v>330</v>
      </c>
      <c r="FD666" s="49" t="s">
        <v>310</v>
      </c>
      <c r="FE666" s="49" t="s">
        <v>310</v>
      </c>
      <c r="FF666" s="49" t="s">
        <v>58</v>
      </c>
      <c r="FG666" s="49" t="s">
        <v>375</v>
      </c>
      <c r="FH666" s="49" t="s">
        <v>310</v>
      </c>
      <c r="FI666" s="49" t="s">
        <v>332</v>
      </c>
      <c r="FJ666" s="49" t="s">
        <v>303</v>
      </c>
      <c r="FL666" s="49" t="s">
        <v>325</v>
      </c>
      <c r="FM666" s="49" t="s">
        <v>2396</v>
      </c>
      <c r="FP666" s="49" t="s">
        <v>303</v>
      </c>
      <c r="FR666" s="49" t="s">
        <v>303</v>
      </c>
      <c r="FT666" s="49" t="s">
        <v>325</v>
      </c>
      <c r="FU666" s="49" t="s">
        <v>325</v>
      </c>
      <c r="FW666" s="49" t="s">
        <v>333</v>
      </c>
    </row>
    <row r="667" customFormat="false" ht="15" hidden="false" customHeight="false" outlineLevel="0" collapsed="false">
      <c r="A667" s="0" t="n">
        <v>100863155</v>
      </c>
      <c r="B667" s="0" t="s">
        <v>295</v>
      </c>
      <c r="C667" s="0" t="s">
        <v>58</v>
      </c>
      <c r="D667" s="0" t="s">
        <v>59</v>
      </c>
      <c r="E667" s="0" t="s">
        <v>297</v>
      </c>
      <c r="G667" s="0" t="n">
        <v>1</v>
      </c>
      <c r="H667" s="0" t="s">
        <v>298</v>
      </c>
      <c r="I667" s="48" t="n">
        <v>46163</v>
      </c>
      <c r="J667" s="0" t="n">
        <v>1</v>
      </c>
      <c r="K667" s="49" t="s">
        <v>3000</v>
      </c>
      <c r="L667" s="49" t="s">
        <v>2810</v>
      </c>
      <c r="M667" s="48"/>
      <c r="O667" s="49" t="s">
        <v>1052</v>
      </c>
      <c r="P667" s="48"/>
      <c r="Q667" s="48" t="n">
        <v>46163</v>
      </c>
      <c r="R667" s="48" t="n">
        <v>46170</v>
      </c>
      <c r="T667" s="49" t="s">
        <v>302</v>
      </c>
      <c r="U667" s="49" t="s">
        <v>303</v>
      </c>
      <c r="Y667" s="49" t="s">
        <v>312</v>
      </c>
      <c r="AD667" s="49" t="s">
        <v>305</v>
      </c>
      <c r="AE667" s="48" t="n">
        <v>46163</v>
      </c>
      <c r="AF667" s="49" t="s">
        <v>306</v>
      </c>
      <c r="AG667" s="49" t="s">
        <v>307</v>
      </c>
      <c r="AK667" s="49" t="s">
        <v>1047</v>
      </c>
      <c r="AL667" s="49" t="s">
        <v>297</v>
      </c>
      <c r="AO667" s="49" t="s">
        <v>303</v>
      </c>
      <c r="AP667" s="48"/>
      <c r="AR667" s="49" t="s">
        <v>303</v>
      </c>
      <c r="AS667" s="49" t="s">
        <v>306</v>
      </c>
      <c r="AT667" s="49" t="s">
        <v>3006</v>
      </c>
      <c r="AV667" s="49" t="s">
        <v>309</v>
      </c>
      <c r="AW667" s="49" t="s">
        <v>310</v>
      </c>
      <c r="AX667" s="49" t="s">
        <v>311</v>
      </c>
      <c r="AY667" s="48"/>
      <c r="AZ667" s="48" t="n">
        <v>46155</v>
      </c>
      <c r="BC667" s="49" t="s">
        <v>303</v>
      </c>
      <c r="BD667" s="48" t="n">
        <v>46216</v>
      </c>
      <c r="BE667" s="49" t="s">
        <v>3007</v>
      </c>
      <c r="BF667" s="49" t="s">
        <v>303</v>
      </c>
      <c r="BG667" s="48"/>
      <c r="BI667" s="48" t="n">
        <v>46216</v>
      </c>
      <c r="BJ667" s="48" t="n">
        <v>46169</v>
      </c>
      <c r="BK667" s="49" t="s">
        <v>313</v>
      </c>
      <c r="BL667" s="49" t="s">
        <v>313</v>
      </c>
      <c r="BM667" s="49" t="s">
        <v>310</v>
      </c>
      <c r="BN667" s="48"/>
      <c r="BO667" s="48"/>
      <c r="BP667" s="48"/>
      <c r="BQ667" s="49" t="s">
        <v>3000</v>
      </c>
      <c r="BR667" s="48" t="n">
        <v>46162</v>
      </c>
      <c r="BS667" s="49" t="s">
        <v>3008</v>
      </c>
      <c r="BT667" s="49" t="s">
        <v>312</v>
      </c>
      <c r="BU667" s="49" t="s">
        <v>312</v>
      </c>
      <c r="BV667" s="49" t="s">
        <v>303</v>
      </c>
      <c r="BX667" s="0" t="n">
        <v>1</v>
      </c>
      <c r="CC667" s="49" t="s">
        <v>315</v>
      </c>
      <c r="CD667" s="49" t="s">
        <v>303</v>
      </c>
      <c r="CF667" s="49" t="s">
        <v>303</v>
      </c>
      <c r="CG667" s="49" t="s">
        <v>316</v>
      </c>
      <c r="CH667" s="49" t="s">
        <v>317</v>
      </c>
      <c r="CI667" s="49" t="s">
        <v>318</v>
      </c>
      <c r="CM667" s="49" t="s">
        <v>59</v>
      </c>
      <c r="CV667" s="49" t="s">
        <v>303</v>
      </c>
      <c r="DB667" s="49" t="s">
        <v>319</v>
      </c>
      <c r="DD667" s="48" t="n">
        <v>46163</v>
      </c>
      <c r="DF667" s="49" t="s">
        <v>310</v>
      </c>
      <c r="DG667" s="49" t="s">
        <v>320</v>
      </c>
      <c r="DH667" s="49" t="s">
        <v>58</v>
      </c>
      <c r="DI667" s="49" t="s">
        <v>298</v>
      </c>
      <c r="DJ667" s="49" t="s">
        <v>367</v>
      </c>
      <c r="DK667" s="49" t="s">
        <v>322</v>
      </c>
      <c r="DL667" s="49" t="s">
        <v>323</v>
      </c>
      <c r="DM667" s="49" t="s">
        <v>303</v>
      </c>
      <c r="DN667" s="49" t="s">
        <v>297</v>
      </c>
      <c r="DO667" s="48"/>
      <c r="DP667" s="49" t="s">
        <v>312</v>
      </c>
      <c r="DQ667" s="48"/>
      <c r="DR667" s="49" t="s">
        <v>312</v>
      </c>
      <c r="DS667" s="49" t="s">
        <v>303</v>
      </c>
      <c r="DT667" s="49" t="s">
        <v>303</v>
      </c>
      <c r="DW667" s="49" t="s">
        <v>303</v>
      </c>
      <c r="EA667" s="49" t="s">
        <v>324</v>
      </c>
      <c r="EB667" s="49" t="s">
        <v>303</v>
      </c>
      <c r="EF667" s="49" t="s">
        <v>3009</v>
      </c>
      <c r="EH667" s="49" t="s">
        <v>310</v>
      </c>
      <c r="EJ667" s="49" t="s">
        <v>303</v>
      </c>
      <c r="EK667" s="49" t="s">
        <v>3010</v>
      </c>
      <c r="EM667" s="49" t="s">
        <v>303</v>
      </c>
      <c r="EN667" s="49" t="s">
        <v>374</v>
      </c>
      <c r="EP667" s="49" t="s">
        <v>298</v>
      </c>
      <c r="EQ667" s="0" t="n">
        <v>1</v>
      </c>
      <c r="ER667" s="49" t="s">
        <v>328</v>
      </c>
      <c r="ES667" s="49" t="s">
        <v>342</v>
      </c>
      <c r="ET667" s="49" t="s">
        <v>310</v>
      </c>
      <c r="EU667" s="49" t="s">
        <v>310</v>
      </c>
      <c r="EV667" s="49" t="s">
        <v>310</v>
      </c>
      <c r="EX667" s="49" t="s">
        <v>303</v>
      </c>
      <c r="EY667" s="49" t="s">
        <v>303</v>
      </c>
      <c r="FC667" s="49" t="s">
        <v>330</v>
      </c>
      <c r="FD667" s="49" t="s">
        <v>310</v>
      </c>
      <c r="FE667" s="49" t="s">
        <v>310</v>
      </c>
      <c r="FF667" s="49" t="s">
        <v>58</v>
      </c>
      <c r="FG667" s="49" t="s">
        <v>375</v>
      </c>
      <c r="FH667" s="49" t="s">
        <v>310</v>
      </c>
      <c r="FI667" s="49" t="s">
        <v>332</v>
      </c>
      <c r="FJ667" s="49" t="s">
        <v>303</v>
      </c>
      <c r="FL667" s="49" t="s">
        <v>325</v>
      </c>
      <c r="FM667" s="49" t="s">
        <v>3000</v>
      </c>
      <c r="FP667" s="49" t="s">
        <v>303</v>
      </c>
      <c r="FR667" s="49" t="s">
        <v>303</v>
      </c>
      <c r="FT667" s="49" t="s">
        <v>325</v>
      </c>
      <c r="FU667" s="49" t="s">
        <v>325</v>
      </c>
      <c r="FW667" s="49" t="s">
        <v>333</v>
      </c>
    </row>
    <row r="668" customFormat="false" ht="15" hidden="false" customHeight="false" outlineLevel="0" collapsed="false">
      <c r="A668" s="0" t="n">
        <v>100863156</v>
      </c>
      <c r="B668" s="0" t="s">
        <v>295</v>
      </c>
      <c r="C668" s="0" t="s">
        <v>56</v>
      </c>
      <c r="D668" s="0" t="s">
        <v>57</v>
      </c>
      <c r="E668" s="0" t="s">
        <v>297</v>
      </c>
      <c r="G668" s="0" t="n">
        <v>1</v>
      </c>
      <c r="H668" s="0" t="s">
        <v>298</v>
      </c>
      <c r="I668" s="48" t="n">
        <v>46163</v>
      </c>
      <c r="J668" s="0" t="n">
        <v>1</v>
      </c>
      <c r="K668" s="49" t="s">
        <v>3000</v>
      </c>
      <c r="L668" s="49" t="s">
        <v>2810</v>
      </c>
      <c r="M668" s="48" t="n">
        <v>46198</v>
      </c>
      <c r="N668" s="49" t="s">
        <v>2047</v>
      </c>
      <c r="O668" s="49" t="s">
        <v>1052</v>
      </c>
      <c r="P668" s="48"/>
      <c r="Q668" s="48" t="n">
        <v>46163</v>
      </c>
      <c r="R668" s="48" t="n">
        <v>46177</v>
      </c>
      <c r="T668" s="49" t="s">
        <v>302</v>
      </c>
      <c r="U668" s="49" t="s">
        <v>303</v>
      </c>
      <c r="Y668" s="49" t="s">
        <v>3011</v>
      </c>
      <c r="AD668" s="49" t="s">
        <v>305</v>
      </c>
      <c r="AE668" s="48" t="n">
        <v>46163</v>
      </c>
      <c r="AF668" s="49" t="s">
        <v>306</v>
      </c>
      <c r="AG668" s="49" t="s">
        <v>307</v>
      </c>
      <c r="AK668" s="49" t="s">
        <v>1047</v>
      </c>
      <c r="AL668" s="49" t="s">
        <v>297</v>
      </c>
      <c r="AO668" s="49" t="s">
        <v>303</v>
      </c>
      <c r="AP668" s="48"/>
      <c r="AR668" s="49" t="s">
        <v>303</v>
      </c>
      <c r="AS668" s="49" t="s">
        <v>306</v>
      </c>
      <c r="AT668" s="49" t="s">
        <v>3012</v>
      </c>
      <c r="AV668" s="49" t="s">
        <v>309</v>
      </c>
      <c r="AW668" s="49" t="s">
        <v>310</v>
      </c>
      <c r="AX668" s="49" t="s">
        <v>311</v>
      </c>
      <c r="AY668" s="48"/>
      <c r="AZ668" s="48" t="n">
        <v>46161</v>
      </c>
      <c r="BC668" s="49" t="s">
        <v>303</v>
      </c>
      <c r="BD668" s="48" t="n">
        <v>46202</v>
      </c>
      <c r="BE668" s="49" t="s">
        <v>3013</v>
      </c>
      <c r="BF668" s="49" t="s">
        <v>303</v>
      </c>
      <c r="BG668" s="48"/>
      <c r="BI668" s="48" t="n">
        <v>46202</v>
      </c>
      <c r="BJ668" s="48" t="n">
        <v>46175</v>
      </c>
      <c r="BK668" s="49" t="s">
        <v>312</v>
      </c>
      <c r="BL668" s="49" t="s">
        <v>313</v>
      </c>
      <c r="BM668" s="49" t="s">
        <v>310</v>
      </c>
      <c r="BN668" s="48"/>
      <c r="BO668" s="48"/>
      <c r="BP668" s="48"/>
      <c r="BQ668" s="49" t="s">
        <v>3000</v>
      </c>
      <c r="BR668" s="48" t="n">
        <v>46169</v>
      </c>
      <c r="BS668" s="49" t="s">
        <v>3014</v>
      </c>
      <c r="BT668" s="49" t="s">
        <v>312</v>
      </c>
      <c r="BU668" s="49" t="s">
        <v>312</v>
      </c>
      <c r="BV668" s="49" t="s">
        <v>303</v>
      </c>
      <c r="BX668" s="0" t="n">
        <v>1</v>
      </c>
      <c r="CC668" s="49" t="s">
        <v>315</v>
      </c>
      <c r="CD668" s="49" t="s">
        <v>303</v>
      </c>
      <c r="CF668" s="49" t="s">
        <v>303</v>
      </c>
      <c r="CG668" s="49" t="s">
        <v>316</v>
      </c>
      <c r="CH668" s="49" t="s">
        <v>317</v>
      </c>
      <c r="CI668" s="49" t="s">
        <v>318</v>
      </c>
      <c r="CM668" s="49" t="s">
        <v>57</v>
      </c>
      <c r="CV668" s="49" t="s">
        <v>303</v>
      </c>
      <c r="DB668" s="49" t="s">
        <v>319</v>
      </c>
      <c r="DD668" s="48" t="n">
        <v>46163</v>
      </c>
      <c r="DF668" s="49" t="s">
        <v>310</v>
      </c>
      <c r="DG668" s="49" t="s">
        <v>320</v>
      </c>
      <c r="DH668" s="49" t="s">
        <v>56</v>
      </c>
      <c r="DI668" s="49" t="s">
        <v>298</v>
      </c>
      <c r="DJ668" s="49" t="s">
        <v>367</v>
      </c>
      <c r="DK668" s="49" t="s">
        <v>322</v>
      </c>
      <c r="DL668" s="49" t="s">
        <v>323</v>
      </c>
      <c r="DM668" s="49" t="s">
        <v>303</v>
      </c>
      <c r="DN668" s="49" t="s">
        <v>297</v>
      </c>
      <c r="DO668" s="48"/>
      <c r="DP668" s="49" t="s">
        <v>312</v>
      </c>
      <c r="DQ668" s="48"/>
      <c r="DR668" s="49" t="s">
        <v>312</v>
      </c>
      <c r="DS668" s="49" t="s">
        <v>303</v>
      </c>
      <c r="DT668" s="49" t="s">
        <v>303</v>
      </c>
      <c r="DW668" s="49" t="s">
        <v>303</v>
      </c>
      <c r="EA668" s="49" t="s">
        <v>324</v>
      </c>
      <c r="EB668" s="49" t="s">
        <v>303</v>
      </c>
      <c r="EH668" s="49" t="s">
        <v>310</v>
      </c>
      <c r="EJ668" s="49" t="s">
        <v>303</v>
      </c>
      <c r="EK668" s="49" t="s">
        <v>3015</v>
      </c>
      <c r="EM668" s="49" t="s">
        <v>303</v>
      </c>
      <c r="EN668" s="49" t="s">
        <v>369</v>
      </c>
      <c r="EP668" s="49" t="s">
        <v>298</v>
      </c>
      <c r="EQ668" s="0" t="n">
        <v>1</v>
      </c>
      <c r="ER668" s="49" t="s">
        <v>328</v>
      </c>
      <c r="ES668" s="49" t="s">
        <v>342</v>
      </c>
      <c r="ET668" s="49" t="s">
        <v>310</v>
      </c>
      <c r="EU668" s="49" t="s">
        <v>310</v>
      </c>
      <c r="EV668" s="49" t="s">
        <v>310</v>
      </c>
      <c r="EX668" s="49" t="s">
        <v>303</v>
      </c>
      <c r="EY668" s="49" t="s">
        <v>303</v>
      </c>
      <c r="FC668" s="49" t="s">
        <v>330</v>
      </c>
      <c r="FD668" s="49" t="s">
        <v>310</v>
      </c>
      <c r="FE668" s="49" t="s">
        <v>310</v>
      </c>
      <c r="FF668" s="49" t="s">
        <v>56</v>
      </c>
      <c r="FG668" s="49" t="s">
        <v>370</v>
      </c>
      <c r="FH668" s="49" t="s">
        <v>310</v>
      </c>
      <c r="FI668" s="49" t="s">
        <v>332</v>
      </c>
      <c r="FJ668" s="49" t="s">
        <v>303</v>
      </c>
      <c r="FL668" s="49" t="s">
        <v>325</v>
      </c>
      <c r="FM668" s="49" t="s">
        <v>3016</v>
      </c>
      <c r="FP668" s="49" t="s">
        <v>303</v>
      </c>
      <c r="FR668" s="49" t="s">
        <v>303</v>
      </c>
      <c r="FT668" s="49" t="s">
        <v>325</v>
      </c>
      <c r="FU668" s="49" t="s">
        <v>325</v>
      </c>
      <c r="FW668" s="49" t="s">
        <v>333</v>
      </c>
    </row>
    <row r="669" customFormat="false" ht="15" hidden="false" customHeight="false" outlineLevel="0" collapsed="false">
      <c r="A669" s="0" t="n">
        <v>100863126</v>
      </c>
      <c r="B669" s="0" t="s">
        <v>295</v>
      </c>
      <c r="C669" s="0" t="s">
        <v>61</v>
      </c>
      <c r="D669" s="0" t="s">
        <v>62</v>
      </c>
      <c r="E669" s="0" t="s">
        <v>297</v>
      </c>
      <c r="G669" s="0" t="n">
        <v>1</v>
      </c>
      <c r="H669" s="0" t="s">
        <v>298</v>
      </c>
      <c r="I669" s="48" t="n">
        <v>46162</v>
      </c>
      <c r="J669" s="0" t="n">
        <v>1</v>
      </c>
      <c r="K669" s="49" t="s">
        <v>3017</v>
      </c>
      <c r="L669" s="49" t="s">
        <v>2810</v>
      </c>
      <c r="M669" s="48" t="n">
        <v>46195</v>
      </c>
      <c r="N669" s="49" t="s">
        <v>1630</v>
      </c>
      <c r="O669" s="49" t="s">
        <v>1052</v>
      </c>
      <c r="P669" s="48"/>
      <c r="Q669" s="48" t="n">
        <v>46163</v>
      </c>
      <c r="R669" s="48" t="n">
        <v>46199</v>
      </c>
      <c r="T669" s="49" t="s">
        <v>302</v>
      </c>
      <c r="U669" s="49" t="s">
        <v>303</v>
      </c>
      <c r="Y669" s="49" t="s">
        <v>3018</v>
      </c>
      <c r="AD669" s="49" t="s">
        <v>305</v>
      </c>
      <c r="AE669" s="48" t="n">
        <v>46163</v>
      </c>
      <c r="AF669" s="49" t="s">
        <v>306</v>
      </c>
      <c r="AG669" s="49" t="s">
        <v>307</v>
      </c>
      <c r="AK669" s="49" t="s">
        <v>1047</v>
      </c>
      <c r="AL669" s="49" t="s">
        <v>297</v>
      </c>
      <c r="AO669" s="49" t="s">
        <v>303</v>
      </c>
      <c r="AP669" s="48"/>
      <c r="AR669" s="49" t="s">
        <v>303</v>
      </c>
      <c r="AS669" s="49" t="s">
        <v>306</v>
      </c>
      <c r="AT669" s="49" t="s">
        <v>3019</v>
      </c>
      <c r="AW669" s="49" t="s">
        <v>310</v>
      </c>
      <c r="AX669" s="49" t="s">
        <v>311</v>
      </c>
      <c r="AY669" s="48"/>
      <c r="AZ669" s="48" t="n">
        <v>46190</v>
      </c>
      <c r="BC669" s="49" t="s">
        <v>303</v>
      </c>
      <c r="BD669" s="48" t="n">
        <v>46230</v>
      </c>
      <c r="BE669" s="49" t="s">
        <v>3020</v>
      </c>
      <c r="BF669" s="49" t="s">
        <v>303</v>
      </c>
      <c r="BG669" s="48"/>
      <c r="BI669" s="48" t="n">
        <v>46230</v>
      </c>
      <c r="BJ669" s="48" t="n">
        <v>46197</v>
      </c>
      <c r="BK669" s="49" t="s">
        <v>312</v>
      </c>
      <c r="BL669" s="49" t="s">
        <v>313</v>
      </c>
      <c r="BM669" s="49" t="s">
        <v>310</v>
      </c>
      <c r="BN669" s="48"/>
      <c r="BO669" s="48"/>
      <c r="BP669" s="48"/>
      <c r="BQ669" s="49" t="s">
        <v>3017</v>
      </c>
      <c r="BR669" s="48" t="n">
        <v>46197</v>
      </c>
      <c r="BS669" s="49" t="s">
        <v>1423</v>
      </c>
      <c r="BT669" s="49" t="s">
        <v>312</v>
      </c>
      <c r="BU669" s="49" t="s">
        <v>313</v>
      </c>
      <c r="BV669" s="49" t="s">
        <v>303</v>
      </c>
      <c r="BX669" s="0" t="n">
        <v>1</v>
      </c>
      <c r="CC669" s="49" t="s">
        <v>315</v>
      </c>
      <c r="CD669" s="49" t="s">
        <v>303</v>
      </c>
      <c r="CF669" s="49" t="s">
        <v>303</v>
      </c>
      <c r="CG669" s="49" t="s">
        <v>316</v>
      </c>
      <c r="CH669" s="49" t="s">
        <v>317</v>
      </c>
      <c r="CI669" s="49" t="s">
        <v>318</v>
      </c>
      <c r="CM669" s="49" t="s">
        <v>62</v>
      </c>
      <c r="CV669" s="49" t="s">
        <v>303</v>
      </c>
      <c r="DB669" s="49" t="s">
        <v>319</v>
      </c>
      <c r="DD669" s="48" t="n">
        <v>46163</v>
      </c>
      <c r="DF669" s="49" t="s">
        <v>310</v>
      </c>
      <c r="DG669" s="49" t="s">
        <v>320</v>
      </c>
      <c r="DH669" s="49" t="s">
        <v>61</v>
      </c>
      <c r="DI669" s="49" t="s">
        <v>298</v>
      </c>
      <c r="DJ669" s="49" t="s">
        <v>381</v>
      </c>
      <c r="DK669" s="49" t="s">
        <v>322</v>
      </c>
      <c r="DL669" s="49" t="s">
        <v>323</v>
      </c>
      <c r="DM669" s="49" t="s">
        <v>303</v>
      </c>
      <c r="DN669" s="49" t="s">
        <v>297</v>
      </c>
      <c r="DO669" s="48"/>
      <c r="DP669" s="49" t="s">
        <v>312</v>
      </c>
      <c r="DQ669" s="48"/>
      <c r="DR669" s="49" t="s">
        <v>312</v>
      </c>
      <c r="DS669" s="49" t="s">
        <v>303</v>
      </c>
      <c r="DT669" s="49" t="s">
        <v>303</v>
      </c>
      <c r="DW669" s="49" t="s">
        <v>303</v>
      </c>
      <c r="EA669" s="49" t="s">
        <v>324</v>
      </c>
      <c r="EB669" s="49" t="s">
        <v>303</v>
      </c>
      <c r="EH669" s="49" t="s">
        <v>310</v>
      </c>
      <c r="EJ669" s="49" t="s">
        <v>303</v>
      </c>
      <c r="EK669" s="49" t="s">
        <v>3021</v>
      </c>
      <c r="EM669" s="49" t="s">
        <v>303</v>
      </c>
      <c r="EN669" s="49" t="s">
        <v>383</v>
      </c>
      <c r="EP669" s="49" t="s">
        <v>298</v>
      </c>
      <c r="EQ669" s="0" t="n">
        <v>1</v>
      </c>
      <c r="ER669" s="49" t="s">
        <v>328</v>
      </c>
      <c r="ES669" s="49" t="s">
        <v>384</v>
      </c>
      <c r="ET669" s="49" t="s">
        <v>310</v>
      </c>
      <c r="EU669" s="49" t="s">
        <v>310</v>
      </c>
      <c r="EV669" s="49" t="s">
        <v>310</v>
      </c>
      <c r="EX669" s="49" t="s">
        <v>303</v>
      </c>
      <c r="EY669" s="49" t="s">
        <v>303</v>
      </c>
      <c r="FC669" s="49" t="s">
        <v>330</v>
      </c>
      <c r="FD669" s="49" t="s">
        <v>310</v>
      </c>
      <c r="FE669" s="49" t="s">
        <v>310</v>
      </c>
      <c r="FF669" s="49" t="s">
        <v>61</v>
      </c>
      <c r="FG669" s="49" t="s">
        <v>385</v>
      </c>
      <c r="FH669" s="49" t="s">
        <v>310</v>
      </c>
      <c r="FI669" s="49" t="s">
        <v>332</v>
      </c>
      <c r="FJ669" s="49" t="s">
        <v>303</v>
      </c>
      <c r="FL669" s="49" t="s">
        <v>325</v>
      </c>
      <c r="FM669" s="49" t="s">
        <v>3022</v>
      </c>
      <c r="FP669" s="49" t="s">
        <v>303</v>
      </c>
      <c r="FR669" s="49" t="s">
        <v>303</v>
      </c>
      <c r="FT669" s="49" t="s">
        <v>325</v>
      </c>
      <c r="FU669" s="49" t="s">
        <v>325</v>
      </c>
      <c r="FW669" s="49" t="s">
        <v>333</v>
      </c>
    </row>
    <row r="670" customFormat="false" ht="15" hidden="false" customHeight="false" outlineLevel="0" collapsed="false">
      <c r="A670" s="0" t="n">
        <v>100863127</v>
      </c>
      <c r="B670" s="0" t="s">
        <v>295</v>
      </c>
      <c r="C670" s="0" t="s">
        <v>61</v>
      </c>
      <c r="D670" s="0" t="s">
        <v>62</v>
      </c>
      <c r="E670" s="0" t="s">
        <v>297</v>
      </c>
      <c r="G670" s="0" t="n">
        <v>1</v>
      </c>
      <c r="H670" s="0" t="s">
        <v>298</v>
      </c>
      <c r="I670" s="48" t="n">
        <v>46162</v>
      </c>
      <c r="J670" s="0" t="n">
        <v>1</v>
      </c>
      <c r="K670" s="49" t="s">
        <v>3017</v>
      </c>
      <c r="L670" s="49" t="s">
        <v>2810</v>
      </c>
      <c r="M670" s="48"/>
      <c r="O670" s="49" t="s">
        <v>1052</v>
      </c>
      <c r="P670" s="48"/>
      <c r="Q670" s="48" t="n">
        <v>46163</v>
      </c>
      <c r="R670" s="48" t="n">
        <v>46170</v>
      </c>
      <c r="T670" s="49" t="s">
        <v>302</v>
      </c>
      <c r="U670" s="49" t="s">
        <v>303</v>
      </c>
      <c r="Y670" s="49" t="s">
        <v>312</v>
      </c>
      <c r="AD670" s="49" t="s">
        <v>305</v>
      </c>
      <c r="AE670" s="48" t="n">
        <v>46163</v>
      </c>
      <c r="AF670" s="49" t="s">
        <v>306</v>
      </c>
      <c r="AG670" s="49" t="s">
        <v>307</v>
      </c>
      <c r="AK670" s="49" t="s">
        <v>1047</v>
      </c>
      <c r="AL670" s="49" t="s">
        <v>297</v>
      </c>
      <c r="AO670" s="49" t="s">
        <v>303</v>
      </c>
      <c r="AP670" s="48"/>
      <c r="AR670" s="49" t="s">
        <v>303</v>
      </c>
      <c r="AS670" s="49" t="s">
        <v>306</v>
      </c>
      <c r="AT670" s="49" t="s">
        <v>3023</v>
      </c>
      <c r="AW670" s="49" t="s">
        <v>310</v>
      </c>
      <c r="AX670" s="49" t="s">
        <v>311</v>
      </c>
      <c r="AY670" s="48"/>
      <c r="AZ670" s="48" t="n">
        <v>46161</v>
      </c>
      <c r="BC670" s="49" t="s">
        <v>303</v>
      </c>
      <c r="BD670" s="48" t="n">
        <v>46181</v>
      </c>
      <c r="BE670" s="49" t="s">
        <v>3024</v>
      </c>
      <c r="BF670" s="49" t="s">
        <v>303</v>
      </c>
      <c r="BG670" s="48"/>
      <c r="BI670" s="48" t="n">
        <v>46181</v>
      </c>
      <c r="BJ670" s="48" t="n">
        <v>46169</v>
      </c>
      <c r="BK670" s="49" t="s">
        <v>313</v>
      </c>
      <c r="BL670" s="49" t="s">
        <v>313</v>
      </c>
      <c r="BM670" s="49" t="s">
        <v>310</v>
      </c>
      <c r="BN670" s="48"/>
      <c r="BO670" s="48"/>
      <c r="BP670" s="48"/>
      <c r="BQ670" s="49" t="s">
        <v>3017</v>
      </c>
      <c r="BR670" s="48" t="n">
        <v>46169</v>
      </c>
      <c r="BS670" s="49" t="s">
        <v>1423</v>
      </c>
      <c r="BT670" s="49" t="s">
        <v>312</v>
      </c>
      <c r="BU670" s="49" t="s">
        <v>313</v>
      </c>
      <c r="BV670" s="49" t="s">
        <v>303</v>
      </c>
      <c r="BX670" s="0" t="n">
        <v>1</v>
      </c>
      <c r="CC670" s="49" t="s">
        <v>315</v>
      </c>
      <c r="CD670" s="49" t="s">
        <v>303</v>
      </c>
      <c r="CF670" s="49" t="s">
        <v>303</v>
      </c>
      <c r="CG670" s="49" t="s">
        <v>316</v>
      </c>
      <c r="CH670" s="49" t="s">
        <v>317</v>
      </c>
      <c r="CI670" s="49" t="s">
        <v>318</v>
      </c>
      <c r="CM670" s="49" t="s">
        <v>62</v>
      </c>
      <c r="CV670" s="49" t="s">
        <v>303</v>
      </c>
      <c r="DB670" s="49" t="s">
        <v>319</v>
      </c>
      <c r="DD670" s="48" t="n">
        <v>46163</v>
      </c>
      <c r="DF670" s="49" t="s">
        <v>310</v>
      </c>
      <c r="DG670" s="49" t="s">
        <v>320</v>
      </c>
      <c r="DH670" s="49" t="s">
        <v>61</v>
      </c>
      <c r="DI670" s="49" t="s">
        <v>298</v>
      </c>
      <c r="DJ670" s="49" t="s">
        <v>381</v>
      </c>
      <c r="DK670" s="49" t="s">
        <v>322</v>
      </c>
      <c r="DL670" s="49" t="s">
        <v>323</v>
      </c>
      <c r="DM670" s="49" t="s">
        <v>303</v>
      </c>
      <c r="DN670" s="49" t="s">
        <v>297</v>
      </c>
      <c r="DO670" s="48"/>
      <c r="DP670" s="49" t="s">
        <v>312</v>
      </c>
      <c r="DQ670" s="48"/>
      <c r="DR670" s="49" t="s">
        <v>312</v>
      </c>
      <c r="DS670" s="49" t="s">
        <v>303</v>
      </c>
      <c r="DT670" s="49" t="s">
        <v>303</v>
      </c>
      <c r="DW670" s="49" t="s">
        <v>303</v>
      </c>
      <c r="EA670" s="49" t="s">
        <v>324</v>
      </c>
      <c r="EB670" s="49" t="s">
        <v>303</v>
      </c>
      <c r="EF670" s="49" t="s">
        <v>3025</v>
      </c>
      <c r="EH670" s="49" t="s">
        <v>310</v>
      </c>
      <c r="EJ670" s="49" t="s">
        <v>303</v>
      </c>
      <c r="EK670" s="49" t="s">
        <v>3026</v>
      </c>
      <c r="EM670" s="49" t="s">
        <v>303</v>
      </c>
      <c r="EN670" s="49" t="s">
        <v>383</v>
      </c>
      <c r="EP670" s="49" t="s">
        <v>298</v>
      </c>
      <c r="EQ670" s="0" t="n">
        <v>1</v>
      </c>
      <c r="ER670" s="49" t="s">
        <v>328</v>
      </c>
      <c r="ES670" s="49" t="s">
        <v>384</v>
      </c>
      <c r="ET670" s="49" t="s">
        <v>310</v>
      </c>
      <c r="EU670" s="49" t="s">
        <v>310</v>
      </c>
      <c r="EV670" s="49" t="s">
        <v>310</v>
      </c>
      <c r="EX670" s="49" t="s">
        <v>303</v>
      </c>
      <c r="EY670" s="49" t="s">
        <v>303</v>
      </c>
      <c r="FC670" s="49" t="s">
        <v>330</v>
      </c>
      <c r="FD670" s="49" t="s">
        <v>310</v>
      </c>
      <c r="FE670" s="49" t="s">
        <v>310</v>
      </c>
      <c r="FF670" s="49" t="s">
        <v>61</v>
      </c>
      <c r="FG670" s="49" t="s">
        <v>385</v>
      </c>
      <c r="FH670" s="49" t="s">
        <v>310</v>
      </c>
      <c r="FI670" s="49" t="s">
        <v>332</v>
      </c>
      <c r="FJ670" s="49" t="s">
        <v>303</v>
      </c>
      <c r="FL670" s="49" t="s">
        <v>325</v>
      </c>
      <c r="FM670" s="49" t="s">
        <v>3017</v>
      </c>
      <c r="FP670" s="49" t="s">
        <v>303</v>
      </c>
      <c r="FR670" s="49" t="s">
        <v>303</v>
      </c>
      <c r="FT670" s="49" t="s">
        <v>325</v>
      </c>
      <c r="FU670" s="49" t="s">
        <v>325</v>
      </c>
      <c r="FW670" s="49" t="s">
        <v>333</v>
      </c>
    </row>
    <row r="671" customFormat="false" ht="15" hidden="false" customHeight="false" outlineLevel="0" collapsed="false">
      <c r="A671" s="0" t="n">
        <v>100863128</v>
      </c>
      <c r="B671" s="0" t="s">
        <v>295</v>
      </c>
      <c r="C671" s="0" t="s">
        <v>61</v>
      </c>
      <c r="D671" s="0" t="s">
        <v>62</v>
      </c>
      <c r="E671" s="0" t="s">
        <v>297</v>
      </c>
      <c r="G671" s="0" t="n">
        <v>1</v>
      </c>
      <c r="H671" s="0" t="s">
        <v>298</v>
      </c>
      <c r="I671" s="48" t="n">
        <v>46162</v>
      </c>
      <c r="J671" s="0" t="n">
        <v>1</v>
      </c>
      <c r="K671" s="49" t="s">
        <v>3017</v>
      </c>
      <c r="L671" s="49" t="s">
        <v>2810</v>
      </c>
      <c r="M671" s="48" t="n">
        <v>46195</v>
      </c>
      <c r="N671" s="49" t="s">
        <v>1630</v>
      </c>
      <c r="O671" s="49" t="s">
        <v>1052</v>
      </c>
      <c r="P671" s="48"/>
      <c r="Q671" s="48" t="n">
        <v>46163</v>
      </c>
      <c r="R671" s="48" t="n">
        <v>46198</v>
      </c>
      <c r="T671" s="49" t="s">
        <v>302</v>
      </c>
      <c r="U671" s="49" t="s">
        <v>303</v>
      </c>
      <c r="Y671" s="49" t="s">
        <v>3027</v>
      </c>
      <c r="AD671" s="49" t="s">
        <v>305</v>
      </c>
      <c r="AE671" s="48" t="n">
        <v>46163</v>
      </c>
      <c r="AF671" s="49" t="s">
        <v>306</v>
      </c>
      <c r="AG671" s="49" t="s">
        <v>307</v>
      </c>
      <c r="AK671" s="49" t="s">
        <v>1047</v>
      </c>
      <c r="AL671" s="49" t="s">
        <v>297</v>
      </c>
      <c r="AO671" s="49" t="s">
        <v>303</v>
      </c>
      <c r="AP671" s="48"/>
      <c r="AR671" s="49" t="s">
        <v>303</v>
      </c>
      <c r="AS671" s="49" t="s">
        <v>306</v>
      </c>
      <c r="AT671" s="49" t="s">
        <v>3028</v>
      </c>
      <c r="AW671" s="49" t="s">
        <v>310</v>
      </c>
      <c r="AX671" s="49" t="s">
        <v>311</v>
      </c>
      <c r="AY671" s="48"/>
      <c r="AZ671" s="48" t="n">
        <v>46190</v>
      </c>
      <c r="BC671" s="49" t="s">
        <v>303</v>
      </c>
      <c r="BD671" s="48" t="n">
        <v>46219</v>
      </c>
      <c r="BE671" s="49" t="s">
        <v>3029</v>
      </c>
      <c r="BF671" s="49" t="s">
        <v>303</v>
      </c>
      <c r="BG671" s="48"/>
      <c r="BI671" s="48" t="n">
        <v>46219</v>
      </c>
      <c r="BJ671" s="48" t="n">
        <v>46197</v>
      </c>
      <c r="BK671" s="49" t="s">
        <v>313</v>
      </c>
      <c r="BL671" s="49" t="s">
        <v>313</v>
      </c>
      <c r="BM671" s="49" t="s">
        <v>310</v>
      </c>
      <c r="BN671" s="48"/>
      <c r="BO671" s="48"/>
      <c r="BP671" s="48"/>
      <c r="BQ671" s="49" t="s">
        <v>3017</v>
      </c>
      <c r="BR671" s="48" t="n">
        <v>46197</v>
      </c>
      <c r="BS671" s="49" t="s">
        <v>3030</v>
      </c>
      <c r="BT671" s="49" t="s">
        <v>312</v>
      </c>
      <c r="BU671" s="49" t="s">
        <v>313</v>
      </c>
      <c r="BV671" s="49" t="s">
        <v>303</v>
      </c>
      <c r="BX671" s="0" t="n">
        <v>1</v>
      </c>
      <c r="CC671" s="49" t="s">
        <v>315</v>
      </c>
      <c r="CD671" s="49" t="s">
        <v>303</v>
      </c>
      <c r="CF671" s="49" t="s">
        <v>303</v>
      </c>
      <c r="CG671" s="49" t="s">
        <v>316</v>
      </c>
      <c r="CH671" s="49" t="s">
        <v>317</v>
      </c>
      <c r="CI671" s="49" t="s">
        <v>318</v>
      </c>
      <c r="CM671" s="49" t="s">
        <v>62</v>
      </c>
      <c r="CV671" s="49" t="s">
        <v>303</v>
      </c>
      <c r="DB671" s="49" t="s">
        <v>319</v>
      </c>
      <c r="DD671" s="48" t="n">
        <v>46163</v>
      </c>
      <c r="DF671" s="49" t="s">
        <v>310</v>
      </c>
      <c r="DG671" s="49" t="s">
        <v>320</v>
      </c>
      <c r="DH671" s="49" t="s">
        <v>61</v>
      </c>
      <c r="DI671" s="49" t="s">
        <v>298</v>
      </c>
      <c r="DJ671" s="49" t="s">
        <v>381</v>
      </c>
      <c r="DK671" s="49" t="s">
        <v>322</v>
      </c>
      <c r="DL671" s="49" t="s">
        <v>323</v>
      </c>
      <c r="DM671" s="49" t="s">
        <v>303</v>
      </c>
      <c r="DN671" s="49" t="s">
        <v>297</v>
      </c>
      <c r="DO671" s="48"/>
      <c r="DP671" s="49" t="s">
        <v>312</v>
      </c>
      <c r="DQ671" s="48"/>
      <c r="DR671" s="49" t="s">
        <v>312</v>
      </c>
      <c r="DS671" s="49" t="s">
        <v>303</v>
      </c>
      <c r="DT671" s="49" t="s">
        <v>303</v>
      </c>
      <c r="DW671" s="49" t="s">
        <v>303</v>
      </c>
      <c r="EA671" s="49" t="s">
        <v>324</v>
      </c>
      <c r="EB671" s="49" t="s">
        <v>303</v>
      </c>
      <c r="EF671" s="49" t="s">
        <v>3025</v>
      </c>
      <c r="EH671" s="49" t="s">
        <v>310</v>
      </c>
      <c r="EJ671" s="49" t="s">
        <v>303</v>
      </c>
      <c r="EK671" s="49" t="s">
        <v>3031</v>
      </c>
      <c r="EM671" s="49" t="s">
        <v>303</v>
      </c>
      <c r="EN671" s="49" t="s">
        <v>383</v>
      </c>
      <c r="EP671" s="49" t="s">
        <v>298</v>
      </c>
      <c r="EQ671" s="0" t="n">
        <v>1</v>
      </c>
      <c r="ER671" s="49" t="s">
        <v>328</v>
      </c>
      <c r="ES671" s="49" t="s">
        <v>384</v>
      </c>
      <c r="ET671" s="49" t="s">
        <v>310</v>
      </c>
      <c r="EU671" s="49" t="s">
        <v>310</v>
      </c>
      <c r="EV671" s="49" t="s">
        <v>310</v>
      </c>
      <c r="EX671" s="49" t="s">
        <v>303</v>
      </c>
      <c r="EY671" s="49" t="s">
        <v>303</v>
      </c>
      <c r="FC671" s="49" t="s">
        <v>330</v>
      </c>
      <c r="FD671" s="49" t="s">
        <v>310</v>
      </c>
      <c r="FE671" s="49" t="s">
        <v>310</v>
      </c>
      <c r="FF671" s="49" t="s">
        <v>61</v>
      </c>
      <c r="FG671" s="49" t="s">
        <v>385</v>
      </c>
      <c r="FH671" s="49" t="s">
        <v>310</v>
      </c>
      <c r="FI671" s="49" t="s">
        <v>332</v>
      </c>
      <c r="FJ671" s="49" t="s">
        <v>303</v>
      </c>
      <c r="FL671" s="49" t="s">
        <v>325</v>
      </c>
      <c r="FM671" s="49" t="s">
        <v>3022</v>
      </c>
      <c r="FP671" s="49" t="s">
        <v>303</v>
      </c>
      <c r="FR671" s="49" t="s">
        <v>303</v>
      </c>
      <c r="FT671" s="49" t="s">
        <v>325</v>
      </c>
      <c r="FU671" s="49" t="s">
        <v>325</v>
      </c>
      <c r="FW671" s="49" t="s">
        <v>333</v>
      </c>
    </row>
    <row r="672" customFormat="false" ht="15" hidden="false" customHeight="false" outlineLevel="0" collapsed="false">
      <c r="A672" s="0" t="n">
        <v>100862965</v>
      </c>
      <c r="B672" s="0" t="s">
        <v>295</v>
      </c>
      <c r="C672" s="0" t="s">
        <v>50</v>
      </c>
      <c r="D672" s="0" t="s">
        <v>51</v>
      </c>
      <c r="E672" s="0" t="s">
        <v>297</v>
      </c>
      <c r="G672" s="0" t="n">
        <v>1</v>
      </c>
      <c r="H672" s="0" t="s">
        <v>298</v>
      </c>
      <c r="I672" s="48" t="n">
        <v>46161</v>
      </c>
      <c r="J672" s="0" t="n">
        <v>1</v>
      </c>
      <c r="K672" s="49" t="s">
        <v>3032</v>
      </c>
      <c r="L672" s="49" t="s">
        <v>2810</v>
      </c>
      <c r="M672" s="48" t="n">
        <v>46168</v>
      </c>
      <c r="N672" s="49" t="s">
        <v>2047</v>
      </c>
      <c r="O672" s="49" t="s">
        <v>3033</v>
      </c>
      <c r="P672" s="48"/>
      <c r="Q672" s="48" t="n">
        <v>46161</v>
      </c>
      <c r="R672" s="48" t="n">
        <v>46168</v>
      </c>
      <c r="T672" s="49" t="s">
        <v>302</v>
      </c>
      <c r="U672" s="49" t="s">
        <v>303</v>
      </c>
      <c r="Y672" s="49" t="s">
        <v>3034</v>
      </c>
      <c r="AD672" s="49" t="s">
        <v>305</v>
      </c>
      <c r="AE672" s="48" t="n">
        <v>46156</v>
      </c>
      <c r="AF672" s="49" t="s">
        <v>306</v>
      </c>
      <c r="AG672" s="49" t="s">
        <v>307</v>
      </c>
      <c r="AK672" s="49" t="s">
        <v>1047</v>
      </c>
      <c r="AL672" s="49" t="s">
        <v>297</v>
      </c>
      <c r="AO672" s="49" t="s">
        <v>303</v>
      </c>
      <c r="AP672" s="48"/>
      <c r="AR672" s="49" t="s">
        <v>303</v>
      </c>
      <c r="AS672" s="49" t="s">
        <v>306</v>
      </c>
      <c r="AT672" s="49" t="s">
        <v>3035</v>
      </c>
      <c r="AV672" s="49" t="s">
        <v>309</v>
      </c>
      <c r="AW672" s="49" t="s">
        <v>310</v>
      </c>
      <c r="AX672" s="49" t="s">
        <v>311</v>
      </c>
      <c r="AY672" s="48"/>
      <c r="AZ672" s="48" t="n">
        <v>46150</v>
      </c>
      <c r="BC672" s="49" t="s">
        <v>303</v>
      </c>
      <c r="BD672" s="48" t="n">
        <v>46224</v>
      </c>
      <c r="BE672" s="49" t="s">
        <v>3036</v>
      </c>
      <c r="BF672" s="49" t="s">
        <v>303</v>
      </c>
      <c r="BG672" s="48"/>
      <c r="BI672" s="48" t="n">
        <v>46168</v>
      </c>
      <c r="BJ672" s="48" t="n">
        <v>46163</v>
      </c>
      <c r="BK672" s="49" t="s">
        <v>312</v>
      </c>
      <c r="BL672" s="49" t="s">
        <v>313</v>
      </c>
      <c r="BM672" s="49" t="s">
        <v>310</v>
      </c>
      <c r="BN672" s="48"/>
      <c r="BO672" s="48"/>
      <c r="BP672" s="48"/>
      <c r="BQ672" s="49" t="s">
        <v>3032</v>
      </c>
      <c r="BR672" s="48" t="n">
        <v>46157</v>
      </c>
      <c r="BS672" s="49" t="s">
        <v>3037</v>
      </c>
      <c r="BT672" s="49" t="s">
        <v>312</v>
      </c>
      <c r="BU672" s="49" t="s">
        <v>312</v>
      </c>
      <c r="BV672" s="49" t="s">
        <v>303</v>
      </c>
      <c r="BX672" s="0" t="n">
        <v>1</v>
      </c>
      <c r="CC672" s="49" t="s">
        <v>315</v>
      </c>
      <c r="CD672" s="49" t="s">
        <v>303</v>
      </c>
      <c r="CF672" s="49" t="s">
        <v>303</v>
      </c>
      <c r="CG672" s="49" t="s">
        <v>316</v>
      </c>
      <c r="CH672" s="49" t="s">
        <v>317</v>
      </c>
      <c r="CI672" s="49" t="s">
        <v>318</v>
      </c>
      <c r="CM672" s="49" t="s">
        <v>51</v>
      </c>
      <c r="CV672" s="49" t="s">
        <v>303</v>
      </c>
      <c r="DB672" s="49" t="s">
        <v>319</v>
      </c>
      <c r="DD672" s="48" t="n">
        <v>46156</v>
      </c>
      <c r="DF672" s="49" t="s">
        <v>310</v>
      </c>
      <c r="DG672" s="49" t="s">
        <v>320</v>
      </c>
      <c r="DH672" s="49" t="s">
        <v>50</v>
      </c>
      <c r="DI672" s="49" t="s">
        <v>298</v>
      </c>
      <c r="DJ672" s="49" t="s">
        <v>346</v>
      </c>
      <c r="DK672" s="49" t="s">
        <v>322</v>
      </c>
      <c r="DL672" s="49" t="s">
        <v>323</v>
      </c>
      <c r="DM672" s="49" t="s">
        <v>303</v>
      </c>
      <c r="DN672" s="49" t="s">
        <v>297</v>
      </c>
      <c r="DO672" s="48"/>
      <c r="DP672" s="49" t="s">
        <v>312</v>
      </c>
      <c r="DQ672" s="48"/>
      <c r="DR672" s="49" t="s">
        <v>312</v>
      </c>
      <c r="DS672" s="49" t="s">
        <v>303</v>
      </c>
      <c r="DT672" s="49" t="s">
        <v>303</v>
      </c>
      <c r="DW672" s="49" t="s">
        <v>303</v>
      </c>
      <c r="EA672" s="49" t="s">
        <v>324</v>
      </c>
      <c r="EB672" s="49" t="s">
        <v>303</v>
      </c>
      <c r="EH672" s="49" t="s">
        <v>310</v>
      </c>
      <c r="EJ672" s="49" t="s">
        <v>303</v>
      </c>
      <c r="EK672" s="49" t="s">
        <v>3038</v>
      </c>
      <c r="EM672" s="49" t="s">
        <v>303</v>
      </c>
      <c r="EN672" s="49" t="s">
        <v>348</v>
      </c>
      <c r="EP672" s="49" t="s">
        <v>298</v>
      </c>
      <c r="EQ672" s="0" t="n">
        <v>1</v>
      </c>
      <c r="ER672" s="49" t="s">
        <v>328</v>
      </c>
      <c r="ES672" s="49" t="s">
        <v>342</v>
      </c>
      <c r="ET672" s="49" t="s">
        <v>310</v>
      </c>
      <c r="EU672" s="49" t="s">
        <v>310</v>
      </c>
      <c r="EV672" s="49" t="s">
        <v>310</v>
      </c>
      <c r="EX672" s="49" t="s">
        <v>303</v>
      </c>
      <c r="EY672" s="49" t="s">
        <v>303</v>
      </c>
      <c r="FC672" s="49" t="s">
        <v>330</v>
      </c>
      <c r="FD672" s="49" t="s">
        <v>310</v>
      </c>
      <c r="FE672" s="49" t="s">
        <v>310</v>
      </c>
      <c r="FF672" s="49" t="s">
        <v>50</v>
      </c>
      <c r="FG672" s="49" t="s">
        <v>349</v>
      </c>
      <c r="FH672" s="49" t="s">
        <v>310</v>
      </c>
      <c r="FI672" s="49" t="s">
        <v>332</v>
      </c>
      <c r="FJ672" s="49" t="s">
        <v>303</v>
      </c>
      <c r="FL672" s="49" t="s">
        <v>325</v>
      </c>
      <c r="FM672" s="49" t="s">
        <v>3032</v>
      </c>
      <c r="FP672" s="49" t="s">
        <v>303</v>
      </c>
      <c r="FR672" s="49" t="s">
        <v>303</v>
      </c>
      <c r="FT672" s="49" t="s">
        <v>325</v>
      </c>
      <c r="FU672" s="49" t="s">
        <v>325</v>
      </c>
      <c r="FW672" s="49" t="s">
        <v>333</v>
      </c>
    </row>
    <row r="673" customFormat="false" ht="15" hidden="false" customHeight="false" outlineLevel="0" collapsed="false">
      <c r="A673" s="0" t="n">
        <v>100862967</v>
      </c>
      <c r="B673" s="0" t="s">
        <v>295</v>
      </c>
      <c r="C673" s="0" t="s">
        <v>50</v>
      </c>
      <c r="D673" s="0" t="s">
        <v>51</v>
      </c>
      <c r="E673" s="0" t="s">
        <v>297</v>
      </c>
      <c r="G673" s="0" t="n">
        <v>1</v>
      </c>
      <c r="H673" s="0" t="s">
        <v>298</v>
      </c>
      <c r="I673" s="48" t="n">
        <v>46161</v>
      </c>
      <c r="J673" s="0" t="n">
        <v>1</v>
      </c>
      <c r="K673" s="49" t="s">
        <v>3032</v>
      </c>
      <c r="L673" s="49" t="s">
        <v>2810</v>
      </c>
      <c r="M673" s="48" t="n">
        <v>46169</v>
      </c>
      <c r="N673" s="49" t="s">
        <v>2047</v>
      </c>
      <c r="O673" s="49" t="s">
        <v>3033</v>
      </c>
      <c r="P673" s="48"/>
      <c r="Q673" s="48" t="n">
        <v>46161</v>
      </c>
      <c r="R673" s="48" t="n">
        <v>46167</v>
      </c>
      <c r="T673" s="49" t="s">
        <v>302</v>
      </c>
      <c r="U673" s="49" t="s">
        <v>303</v>
      </c>
      <c r="Y673" s="49" t="s">
        <v>3039</v>
      </c>
      <c r="AD673" s="49" t="s">
        <v>305</v>
      </c>
      <c r="AE673" s="48" t="n">
        <v>46156</v>
      </c>
      <c r="AF673" s="49" t="s">
        <v>306</v>
      </c>
      <c r="AG673" s="49" t="s">
        <v>307</v>
      </c>
      <c r="AK673" s="49" t="s">
        <v>1047</v>
      </c>
      <c r="AL673" s="49" t="s">
        <v>297</v>
      </c>
      <c r="AO673" s="49" t="s">
        <v>303</v>
      </c>
      <c r="AP673" s="48"/>
      <c r="AR673" s="49" t="s">
        <v>303</v>
      </c>
      <c r="AS673" s="49" t="s">
        <v>306</v>
      </c>
      <c r="AT673" s="49" t="s">
        <v>3040</v>
      </c>
      <c r="AV673" s="49" t="s">
        <v>309</v>
      </c>
      <c r="AW673" s="49" t="s">
        <v>310</v>
      </c>
      <c r="AX673" s="49" t="s">
        <v>311</v>
      </c>
      <c r="AY673" s="48"/>
      <c r="AZ673" s="48" t="n">
        <v>46150</v>
      </c>
      <c r="BC673" s="49" t="s">
        <v>303</v>
      </c>
      <c r="BD673" s="48" t="n">
        <v>46169</v>
      </c>
      <c r="BE673" s="49" t="s">
        <v>3041</v>
      </c>
      <c r="BF673" s="49" t="s">
        <v>303</v>
      </c>
      <c r="BG673" s="48"/>
      <c r="BI673" s="48" t="n">
        <v>46169</v>
      </c>
      <c r="BJ673" s="48" t="n">
        <v>46163</v>
      </c>
      <c r="BK673" s="49" t="s">
        <v>313</v>
      </c>
      <c r="BL673" s="49" t="s">
        <v>313</v>
      </c>
      <c r="BM673" s="49" t="s">
        <v>310</v>
      </c>
      <c r="BN673" s="48"/>
      <c r="BO673" s="48"/>
      <c r="BP673" s="48"/>
      <c r="BQ673" s="49" t="s">
        <v>3032</v>
      </c>
      <c r="BR673" s="48" t="n">
        <v>46157</v>
      </c>
      <c r="BS673" s="49" t="s">
        <v>3037</v>
      </c>
      <c r="BT673" s="49" t="s">
        <v>312</v>
      </c>
      <c r="BU673" s="49" t="s">
        <v>312</v>
      </c>
      <c r="BV673" s="49" t="s">
        <v>303</v>
      </c>
      <c r="BX673" s="0" t="n">
        <v>1</v>
      </c>
      <c r="CC673" s="49" t="s">
        <v>315</v>
      </c>
      <c r="CD673" s="49" t="s">
        <v>303</v>
      </c>
      <c r="CF673" s="49" t="s">
        <v>303</v>
      </c>
      <c r="CG673" s="49" t="s">
        <v>316</v>
      </c>
      <c r="CH673" s="49" t="s">
        <v>317</v>
      </c>
      <c r="CI673" s="49" t="s">
        <v>318</v>
      </c>
      <c r="CM673" s="49" t="s">
        <v>51</v>
      </c>
      <c r="CV673" s="49" t="s">
        <v>303</v>
      </c>
      <c r="DB673" s="49" t="s">
        <v>319</v>
      </c>
      <c r="DD673" s="48" t="n">
        <v>46156</v>
      </c>
      <c r="DF673" s="49" t="s">
        <v>310</v>
      </c>
      <c r="DG673" s="49" t="s">
        <v>320</v>
      </c>
      <c r="DH673" s="49" t="s">
        <v>50</v>
      </c>
      <c r="DI673" s="49" t="s">
        <v>298</v>
      </c>
      <c r="DJ673" s="49" t="s">
        <v>346</v>
      </c>
      <c r="DK673" s="49" t="s">
        <v>322</v>
      </c>
      <c r="DL673" s="49" t="s">
        <v>323</v>
      </c>
      <c r="DM673" s="49" t="s">
        <v>303</v>
      </c>
      <c r="DN673" s="49" t="s">
        <v>297</v>
      </c>
      <c r="DO673" s="48"/>
      <c r="DP673" s="49" t="s">
        <v>312</v>
      </c>
      <c r="DQ673" s="48"/>
      <c r="DR673" s="49" t="s">
        <v>312</v>
      </c>
      <c r="DS673" s="49" t="s">
        <v>303</v>
      </c>
      <c r="DT673" s="49" t="s">
        <v>303</v>
      </c>
      <c r="DW673" s="49" t="s">
        <v>303</v>
      </c>
      <c r="EA673" s="49" t="s">
        <v>324</v>
      </c>
      <c r="EB673" s="49" t="s">
        <v>303</v>
      </c>
      <c r="EF673" s="49" t="s">
        <v>3042</v>
      </c>
      <c r="EH673" s="49" t="s">
        <v>310</v>
      </c>
      <c r="EJ673" s="49" t="s">
        <v>303</v>
      </c>
      <c r="EK673" s="49" t="s">
        <v>3043</v>
      </c>
      <c r="EM673" s="49" t="s">
        <v>303</v>
      </c>
      <c r="EN673" s="49" t="s">
        <v>348</v>
      </c>
      <c r="EP673" s="49" t="s">
        <v>298</v>
      </c>
      <c r="EQ673" s="0" t="n">
        <v>1</v>
      </c>
      <c r="ER673" s="49" t="s">
        <v>328</v>
      </c>
      <c r="ES673" s="49" t="s">
        <v>342</v>
      </c>
      <c r="ET673" s="49" t="s">
        <v>310</v>
      </c>
      <c r="EU673" s="49" t="s">
        <v>310</v>
      </c>
      <c r="EV673" s="49" t="s">
        <v>310</v>
      </c>
      <c r="EX673" s="49" t="s">
        <v>303</v>
      </c>
      <c r="EY673" s="49" t="s">
        <v>303</v>
      </c>
      <c r="FC673" s="49" t="s">
        <v>330</v>
      </c>
      <c r="FD673" s="49" t="s">
        <v>310</v>
      </c>
      <c r="FE673" s="49" t="s">
        <v>310</v>
      </c>
      <c r="FF673" s="49" t="s">
        <v>50</v>
      </c>
      <c r="FG673" s="49" t="s">
        <v>349</v>
      </c>
      <c r="FH673" s="49" t="s">
        <v>310</v>
      </c>
      <c r="FI673" s="49" t="s">
        <v>332</v>
      </c>
      <c r="FJ673" s="49" t="s">
        <v>303</v>
      </c>
      <c r="FL673" s="49" t="s">
        <v>325</v>
      </c>
      <c r="FM673" s="49" t="s">
        <v>3032</v>
      </c>
      <c r="FP673" s="49" t="s">
        <v>303</v>
      </c>
      <c r="FR673" s="49" t="s">
        <v>303</v>
      </c>
      <c r="FT673" s="49" t="s">
        <v>325</v>
      </c>
      <c r="FU673" s="49" t="s">
        <v>325</v>
      </c>
      <c r="FW673" s="49" t="s">
        <v>333</v>
      </c>
    </row>
    <row r="674" customFormat="false" ht="15" hidden="false" customHeight="false" outlineLevel="0" collapsed="false">
      <c r="A674" s="0" t="n">
        <v>100862601</v>
      </c>
      <c r="B674" s="0" t="s">
        <v>295</v>
      </c>
      <c r="C674" s="0" t="s">
        <v>77</v>
      </c>
      <c r="D674" s="0" t="s">
        <v>500</v>
      </c>
      <c r="E674" s="0" t="s">
        <v>297</v>
      </c>
      <c r="G674" s="0" t="n">
        <v>1</v>
      </c>
      <c r="H674" s="0" t="s">
        <v>298</v>
      </c>
      <c r="I674" s="48" t="n">
        <v>46160</v>
      </c>
      <c r="J674" s="0" t="n">
        <v>1</v>
      </c>
      <c r="K674" s="49" t="s">
        <v>3044</v>
      </c>
      <c r="L674" s="49" t="s">
        <v>2810</v>
      </c>
      <c r="M674" s="48" t="n">
        <v>46227</v>
      </c>
      <c r="N674" s="49" t="s">
        <v>2082</v>
      </c>
      <c r="O674" s="49" t="s">
        <v>1052</v>
      </c>
      <c r="P674" s="48"/>
      <c r="Q674" s="48" t="n">
        <v>46160</v>
      </c>
      <c r="R674" s="48" t="n">
        <v>46202</v>
      </c>
      <c r="T674" s="49" t="s">
        <v>302</v>
      </c>
      <c r="U674" s="49" t="s">
        <v>303</v>
      </c>
      <c r="Y674" s="49" t="s">
        <v>1531</v>
      </c>
      <c r="AD674" s="49" t="s">
        <v>305</v>
      </c>
      <c r="AE674" s="48" t="n">
        <v>46150</v>
      </c>
      <c r="AF674" s="49" t="s">
        <v>306</v>
      </c>
      <c r="AG674" s="49" t="s">
        <v>307</v>
      </c>
      <c r="AK674" s="49" t="s">
        <v>1047</v>
      </c>
      <c r="AL674" s="49" t="s">
        <v>297</v>
      </c>
      <c r="AO674" s="49" t="s">
        <v>303</v>
      </c>
      <c r="AP674" s="48"/>
      <c r="AR674" s="49" t="s">
        <v>303</v>
      </c>
      <c r="AS674" s="49" t="s">
        <v>306</v>
      </c>
      <c r="AT674" s="49" t="s">
        <v>3045</v>
      </c>
      <c r="AV674" s="49" t="s">
        <v>309</v>
      </c>
      <c r="AW674" s="49" t="s">
        <v>310</v>
      </c>
      <c r="AX674" s="49" t="s">
        <v>311</v>
      </c>
      <c r="AY674" s="48"/>
      <c r="AZ674" s="48" t="n">
        <v>46192</v>
      </c>
      <c r="BC674" s="49" t="s">
        <v>303</v>
      </c>
      <c r="BD674" s="48" t="n">
        <v>46230</v>
      </c>
      <c r="BE674" s="49" t="s">
        <v>3046</v>
      </c>
      <c r="BF674" s="49" t="s">
        <v>303</v>
      </c>
      <c r="BG674" s="48"/>
      <c r="BI674" s="48" t="n">
        <v>46230</v>
      </c>
      <c r="BJ674" s="48" t="n">
        <v>46227</v>
      </c>
      <c r="BK674" s="49" t="s">
        <v>312</v>
      </c>
      <c r="BL674" s="49" t="s">
        <v>3047</v>
      </c>
      <c r="BM674" s="49" t="s">
        <v>310</v>
      </c>
      <c r="BN674" s="48"/>
      <c r="BO674" s="48"/>
      <c r="BP674" s="48"/>
      <c r="BQ674" s="49" t="s">
        <v>3044</v>
      </c>
      <c r="BR674" s="48" t="n">
        <v>46199</v>
      </c>
      <c r="BS674" s="49" t="s">
        <v>3048</v>
      </c>
      <c r="BT674" s="49" t="s">
        <v>312</v>
      </c>
      <c r="BU674" s="49" t="s">
        <v>312</v>
      </c>
      <c r="BV674" s="49" t="s">
        <v>303</v>
      </c>
      <c r="BX674" s="0" t="n">
        <v>1</v>
      </c>
      <c r="CC674" s="49" t="s">
        <v>315</v>
      </c>
      <c r="CD674" s="49" t="s">
        <v>303</v>
      </c>
      <c r="CF674" s="49" t="s">
        <v>303</v>
      </c>
      <c r="CG674" s="49" t="s">
        <v>316</v>
      </c>
      <c r="CH674" s="49" t="s">
        <v>317</v>
      </c>
      <c r="CI674" s="49" t="s">
        <v>318</v>
      </c>
      <c r="CM674" s="49" t="s">
        <v>500</v>
      </c>
      <c r="CV674" s="49" t="s">
        <v>303</v>
      </c>
      <c r="DB674" s="49" t="s">
        <v>319</v>
      </c>
      <c r="DD674" s="48" t="n">
        <v>46150</v>
      </c>
      <c r="DF674" s="49" t="s">
        <v>310</v>
      </c>
      <c r="DG674" s="49" t="s">
        <v>320</v>
      </c>
      <c r="DH674" s="49" t="s">
        <v>77</v>
      </c>
      <c r="DI674" s="49" t="s">
        <v>298</v>
      </c>
      <c r="DJ674" s="49" t="s">
        <v>495</v>
      </c>
      <c r="DK674" s="49" t="s">
        <v>322</v>
      </c>
      <c r="DL674" s="49" t="s">
        <v>323</v>
      </c>
      <c r="DM674" s="49" t="s">
        <v>303</v>
      </c>
      <c r="DN674" s="49" t="s">
        <v>297</v>
      </c>
      <c r="DO674" s="48"/>
      <c r="DP674" s="49" t="s">
        <v>312</v>
      </c>
      <c r="DQ674" s="48"/>
      <c r="DR674" s="49" t="s">
        <v>312</v>
      </c>
      <c r="DS674" s="49" t="s">
        <v>303</v>
      </c>
      <c r="DT674" s="49" t="s">
        <v>303</v>
      </c>
      <c r="DW674" s="49" t="s">
        <v>303</v>
      </c>
      <c r="EA674" s="49" t="s">
        <v>324</v>
      </c>
      <c r="EB674" s="49" t="s">
        <v>303</v>
      </c>
      <c r="EH674" s="49" t="s">
        <v>310</v>
      </c>
      <c r="EJ674" s="49" t="s">
        <v>303</v>
      </c>
      <c r="EK674" s="49" t="s">
        <v>3049</v>
      </c>
      <c r="EM674" s="49" t="s">
        <v>303</v>
      </c>
      <c r="EN674" s="49" t="s">
        <v>504</v>
      </c>
      <c r="EP674" s="49" t="s">
        <v>298</v>
      </c>
      <c r="EQ674" s="0" t="n">
        <v>1</v>
      </c>
      <c r="ER674" s="49" t="s">
        <v>328</v>
      </c>
      <c r="ES674" s="49" t="s">
        <v>329</v>
      </c>
      <c r="ET674" s="49" t="s">
        <v>310</v>
      </c>
      <c r="EU674" s="49" t="s">
        <v>310</v>
      </c>
      <c r="EV674" s="49" t="s">
        <v>310</v>
      </c>
      <c r="EX674" s="49" t="s">
        <v>303</v>
      </c>
      <c r="EY674" s="49" t="s">
        <v>303</v>
      </c>
      <c r="FC674" s="49" t="s">
        <v>330</v>
      </c>
      <c r="FD674" s="49" t="s">
        <v>310</v>
      </c>
      <c r="FE674" s="49" t="s">
        <v>310</v>
      </c>
      <c r="FF674" s="49" t="s">
        <v>77</v>
      </c>
      <c r="FG674" s="49" t="s">
        <v>505</v>
      </c>
      <c r="FH674" s="49" t="s">
        <v>310</v>
      </c>
      <c r="FI674" s="49" t="s">
        <v>332</v>
      </c>
      <c r="FJ674" s="49" t="s">
        <v>303</v>
      </c>
      <c r="FK674" s="49" t="s">
        <v>310</v>
      </c>
      <c r="FL674" s="49" t="s">
        <v>325</v>
      </c>
      <c r="FM674" s="49" t="s">
        <v>2828</v>
      </c>
      <c r="FP674" s="49" t="s">
        <v>303</v>
      </c>
      <c r="FR674" s="49" t="s">
        <v>303</v>
      </c>
      <c r="FT674" s="49" t="s">
        <v>325</v>
      </c>
      <c r="FU674" s="49" t="s">
        <v>325</v>
      </c>
      <c r="FW674" s="49" t="s">
        <v>333</v>
      </c>
      <c r="FX674" s="49" t="s">
        <v>499</v>
      </c>
    </row>
    <row r="675" customFormat="false" ht="15" hidden="false" customHeight="false" outlineLevel="0" collapsed="false">
      <c r="A675" s="0" t="n">
        <v>100862602</v>
      </c>
      <c r="B675" s="0" t="s">
        <v>295</v>
      </c>
      <c r="C675" s="0" t="s">
        <v>53</v>
      </c>
      <c r="D675" s="0" t="s">
        <v>54</v>
      </c>
      <c r="E675" s="0" t="s">
        <v>297</v>
      </c>
      <c r="G675" s="0" t="n">
        <v>1</v>
      </c>
      <c r="H675" s="0" t="s">
        <v>298</v>
      </c>
      <c r="I675" s="48" t="n">
        <v>46160</v>
      </c>
      <c r="J675" s="0" t="n">
        <v>1</v>
      </c>
      <c r="K675" s="49" t="s">
        <v>3044</v>
      </c>
      <c r="L675" s="49" t="s">
        <v>2810</v>
      </c>
      <c r="M675" s="48" t="n">
        <v>46160</v>
      </c>
      <c r="N675" s="49" t="s">
        <v>2810</v>
      </c>
      <c r="O675" s="49" t="s">
        <v>2803</v>
      </c>
      <c r="P675" s="48"/>
      <c r="Q675" s="48" t="n">
        <v>46160</v>
      </c>
      <c r="R675" s="48" t="n">
        <v>46167</v>
      </c>
      <c r="T675" s="49" t="s">
        <v>302</v>
      </c>
      <c r="U675" s="49" t="s">
        <v>303</v>
      </c>
      <c r="Y675" s="49" t="s">
        <v>3050</v>
      </c>
      <c r="AD675" s="49" t="s">
        <v>305</v>
      </c>
      <c r="AE675" s="48" t="n">
        <v>46149</v>
      </c>
      <c r="AF675" s="49" t="s">
        <v>306</v>
      </c>
      <c r="AG675" s="49" t="s">
        <v>307</v>
      </c>
      <c r="AK675" s="49" t="s">
        <v>1047</v>
      </c>
      <c r="AL675" s="49" t="s">
        <v>297</v>
      </c>
      <c r="AO675" s="49" t="s">
        <v>303</v>
      </c>
      <c r="AP675" s="48"/>
      <c r="AR675" s="49" t="s">
        <v>303</v>
      </c>
      <c r="AS675" s="49" t="s">
        <v>306</v>
      </c>
      <c r="AT675" s="49" t="s">
        <v>3051</v>
      </c>
      <c r="AV675" s="49" t="s">
        <v>309</v>
      </c>
      <c r="AW675" s="49" t="s">
        <v>310</v>
      </c>
      <c r="AX675" s="49" t="s">
        <v>311</v>
      </c>
      <c r="AY675" s="48"/>
      <c r="AZ675" s="48" t="n">
        <v>46150</v>
      </c>
      <c r="BC675" s="49" t="s">
        <v>303</v>
      </c>
      <c r="BD675" s="48" t="n">
        <v>46169</v>
      </c>
      <c r="BE675" s="49" t="s">
        <v>3052</v>
      </c>
      <c r="BF675" s="49" t="s">
        <v>303</v>
      </c>
      <c r="BG675" s="48"/>
      <c r="BI675" s="48" t="n">
        <v>46169</v>
      </c>
      <c r="BJ675" s="48" t="n">
        <v>46163</v>
      </c>
      <c r="BK675" s="49" t="s">
        <v>312</v>
      </c>
      <c r="BL675" s="49" t="s">
        <v>313</v>
      </c>
      <c r="BM675" s="49" t="s">
        <v>310</v>
      </c>
      <c r="BN675" s="48"/>
      <c r="BO675" s="48"/>
      <c r="BP675" s="48"/>
      <c r="BQ675" s="49" t="s">
        <v>3044</v>
      </c>
      <c r="BR675" s="48" t="n">
        <v>46157</v>
      </c>
      <c r="BS675" s="49" t="s">
        <v>3053</v>
      </c>
      <c r="BT675" s="49" t="s">
        <v>312</v>
      </c>
      <c r="BU675" s="49" t="s">
        <v>312</v>
      </c>
      <c r="BV675" s="49" t="s">
        <v>303</v>
      </c>
      <c r="BX675" s="0" t="n">
        <v>1</v>
      </c>
      <c r="CC675" s="49" t="s">
        <v>315</v>
      </c>
      <c r="CD675" s="49" t="s">
        <v>303</v>
      </c>
      <c r="CF675" s="49" t="s">
        <v>303</v>
      </c>
      <c r="CG675" s="49" t="s">
        <v>316</v>
      </c>
      <c r="CH675" s="49" t="s">
        <v>317</v>
      </c>
      <c r="CI675" s="49" t="s">
        <v>318</v>
      </c>
      <c r="CM675" s="49" t="s">
        <v>54</v>
      </c>
      <c r="CV675" s="49" t="s">
        <v>303</v>
      </c>
      <c r="DB675" s="49" t="s">
        <v>319</v>
      </c>
      <c r="DD675" s="48" t="n">
        <v>46149</v>
      </c>
      <c r="DF675" s="49" t="s">
        <v>310</v>
      </c>
      <c r="DG675" s="49" t="s">
        <v>320</v>
      </c>
      <c r="DH675" s="49" t="s">
        <v>53</v>
      </c>
      <c r="DI675" s="49" t="s">
        <v>298</v>
      </c>
      <c r="DJ675" s="49" t="s">
        <v>355</v>
      </c>
      <c r="DK675" s="49" t="s">
        <v>322</v>
      </c>
      <c r="DL675" s="49" t="s">
        <v>323</v>
      </c>
      <c r="DM675" s="49" t="s">
        <v>303</v>
      </c>
      <c r="DN675" s="49" t="s">
        <v>297</v>
      </c>
      <c r="DO675" s="48"/>
      <c r="DP675" s="49" t="s">
        <v>312</v>
      </c>
      <c r="DQ675" s="48"/>
      <c r="DR675" s="49" t="s">
        <v>312</v>
      </c>
      <c r="DS675" s="49" t="s">
        <v>303</v>
      </c>
      <c r="DT675" s="49" t="s">
        <v>303</v>
      </c>
      <c r="DW675" s="49" t="s">
        <v>303</v>
      </c>
      <c r="EA675" s="49" t="s">
        <v>324</v>
      </c>
      <c r="EB675" s="49" t="s">
        <v>303</v>
      </c>
      <c r="EH675" s="49" t="s">
        <v>310</v>
      </c>
      <c r="EJ675" s="49" t="s">
        <v>303</v>
      </c>
      <c r="EK675" s="49" t="s">
        <v>3054</v>
      </c>
      <c r="EM675" s="49" t="s">
        <v>303</v>
      </c>
      <c r="EN675" s="49" t="s">
        <v>357</v>
      </c>
      <c r="EP675" s="49" t="s">
        <v>298</v>
      </c>
      <c r="EQ675" s="0" t="n">
        <v>1</v>
      </c>
      <c r="ER675" s="49" t="s">
        <v>328</v>
      </c>
      <c r="ES675" s="49" t="s">
        <v>358</v>
      </c>
      <c r="ET675" s="49" t="s">
        <v>310</v>
      </c>
      <c r="EU675" s="49" t="s">
        <v>310</v>
      </c>
      <c r="EV675" s="49" t="s">
        <v>310</v>
      </c>
      <c r="EX675" s="49" t="s">
        <v>303</v>
      </c>
      <c r="EY675" s="49" t="s">
        <v>303</v>
      </c>
      <c r="FC675" s="49" t="s">
        <v>330</v>
      </c>
      <c r="FD675" s="49" t="s">
        <v>310</v>
      </c>
      <c r="FE675" s="49" t="s">
        <v>310</v>
      </c>
      <c r="FF675" s="49" t="s">
        <v>53</v>
      </c>
      <c r="FG675" s="49" t="s">
        <v>359</v>
      </c>
      <c r="FH675" s="49" t="s">
        <v>310</v>
      </c>
      <c r="FI675" s="49" t="s">
        <v>332</v>
      </c>
      <c r="FJ675" s="49" t="s">
        <v>303</v>
      </c>
      <c r="FL675" s="49" t="s">
        <v>325</v>
      </c>
      <c r="FM675" s="49" t="s">
        <v>3044</v>
      </c>
      <c r="FP675" s="49" t="s">
        <v>303</v>
      </c>
      <c r="FR675" s="49" t="s">
        <v>303</v>
      </c>
      <c r="FT675" s="49" t="s">
        <v>325</v>
      </c>
      <c r="FU675" s="49" t="s">
        <v>325</v>
      </c>
      <c r="FW675" s="49" t="s">
        <v>333</v>
      </c>
    </row>
    <row r="676" customFormat="false" ht="15" hidden="false" customHeight="false" outlineLevel="0" collapsed="false">
      <c r="A676" s="0" t="n">
        <v>100862603</v>
      </c>
      <c r="B676" s="0" t="s">
        <v>295</v>
      </c>
      <c r="C676" s="0" t="s">
        <v>53</v>
      </c>
      <c r="D676" s="0" t="s">
        <v>54</v>
      </c>
      <c r="E676" s="0" t="s">
        <v>297</v>
      </c>
      <c r="G676" s="0" t="n">
        <v>1</v>
      </c>
      <c r="H676" s="0" t="s">
        <v>298</v>
      </c>
      <c r="I676" s="48" t="n">
        <v>46160</v>
      </c>
      <c r="J676" s="0" t="n">
        <v>1</v>
      </c>
      <c r="K676" s="49" t="s">
        <v>3044</v>
      </c>
      <c r="L676" s="49" t="s">
        <v>2810</v>
      </c>
      <c r="M676" s="48"/>
      <c r="O676" s="49" t="s">
        <v>2803</v>
      </c>
      <c r="P676" s="48"/>
      <c r="Q676" s="48" t="n">
        <v>46160</v>
      </c>
      <c r="R676" s="48" t="n">
        <v>46166</v>
      </c>
      <c r="T676" s="49" t="s">
        <v>302</v>
      </c>
      <c r="U676" s="49" t="s">
        <v>303</v>
      </c>
      <c r="Y676" s="49" t="s">
        <v>312</v>
      </c>
      <c r="AD676" s="49" t="s">
        <v>305</v>
      </c>
      <c r="AE676" s="48" t="n">
        <v>46149</v>
      </c>
      <c r="AF676" s="49" t="s">
        <v>306</v>
      </c>
      <c r="AG676" s="49" t="s">
        <v>307</v>
      </c>
      <c r="AK676" s="49" t="s">
        <v>1047</v>
      </c>
      <c r="AL676" s="49" t="s">
        <v>297</v>
      </c>
      <c r="AO676" s="49" t="s">
        <v>303</v>
      </c>
      <c r="AP676" s="48"/>
      <c r="AR676" s="49" t="s">
        <v>303</v>
      </c>
      <c r="AS676" s="49" t="s">
        <v>306</v>
      </c>
      <c r="AT676" s="49" t="s">
        <v>3055</v>
      </c>
      <c r="AV676" s="49" t="s">
        <v>309</v>
      </c>
      <c r="AW676" s="49" t="s">
        <v>310</v>
      </c>
      <c r="AX676" s="49" t="s">
        <v>311</v>
      </c>
      <c r="AY676" s="48"/>
      <c r="AZ676" s="48" t="n">
        <v>46150</v>
      </c>
      <c r="BC676" s="49" t="s">
        <v>303</v>
      </c>
      <c r="BD676" s="48" t="n">
        <v>46168</v>
      </c>
      <c r="BE676" s="49" t="s">
        <v>3056</v>
      </c>
      <c r="BF676" s="49" t="s">
        <v>303</v>
      </c>
      <c r="BG676" s="48"/>
      <c r="BI676" s="48" t="n">
        <v>46168</v>
      </c>
      <c r="BJ676" s="48" t="n">
        <v>46163</v>
      </c>
      <c r="BK676" s="49" t="s">
        <v>313</v>
      </c>
      <c r="BL676" s="49" t="s">
        <v>313</v>
      </c>
      <c r="BM676" s="49" t="s">
        <v>310</v>
      </c>
      <c r="BN676" s="48"/>
      <c r="BO676" s="48"/>
      <c r="BP676" s="48"/>
      <c r="BQ676" s="49" t="s">
        <v>3044</v>
      </c>
      <c r="BR676" s="48" t="n">
        <v>46157</v>
      </c>
      <c r="BS676" s="49" t="s">
        <v>3053</v>
      </c>
      <c r="BT676" s="49" t="s">
        <v>312</v>
      </c>
      <c r="BU676" s="49" t="s">
        <v>312</v>
      </c>
      <c r="BV676" s="49" t="s">
        <v>303</v>
      </c>
      <c r="BX676" s="0" t="n">
        <v>1</v>
      </c>
      <c r="CC676" s="49" t="s">
        <v>315</v>
      </c>
      <c r="CD676" s="49" t="s">
        <v>303</v>
      </c>
      <c r="CF676" s="49" t="s">
        <v>303</v>
      </c>
      <c r="CG676" s="49" t="s">
        <v>316</v>
      </c>
      <c r="CH676" s="49" t="s">
        <v>317</v>
      </c>
      <c r="CI676" s="49" t="s">
        <v>318</v>
      </c>
      <c r="CM676" s="49" t="s">
        <v>54</v>
      </c>
      <c r="CV676" s="49" t="s">
        <v>303</v>
      </c>
      <c r="DB676" s="49" t="s">
        <v>319</v>
      </c>
      <c r="DD676" s="48" t="n">
        <v>46149</v>
      </c>
      <c r="DF676" s="49" t="s">
        <v>310</v>
      </c>
      <c r="DG676" s="49" t="s">
        <v>320</v>
      </c>
      <c r="DH676" s="49" t="s">
        <v>53</v>
      </c>
      <c r="DI676" s="49" t="s">
        <v>298</v>
      </c>
      <c r="DJ676" s="49" t="s">
        <v>355</v>
      </c>
      <c r="DK676" s="49" t="s">
        <v>322</v>
      </c>
      <c r="DL676" s="49" t="s">
        <v>323</v>
      </c>
      <c r="DM676" s="49" t="s">
        <v>303</v>
      </c>
      <c r="DN676" s="49" t="s">
        <v>297</v>
      </c>
      <c r="DO676" s="48"/>
      <c r="DP676" s="49" t="s">
        <v>312</v>
      </c>
      <c r="DQ676" s="48"/>
      <c r="DR676" s="49" t="s">
        <v>312</v>
      </c>
      <c r="DS676" s="49" t="s">
        <v>303</v>
      </c>
      <c r="DT676" s="49" t="s">
        <v>303</v>
      </c>
      <c r="DW676" s="49" t="s">
        <v>303</v>
      </c>
      <c r="EA676" s="49" t="s">
        <v>324</v>
      </c>
      <c r="EB676" s="49" t="s">
        <v>303</v>
      </c>
      <c r="EF676" s="49" t="s">
        <v>3057</v>
      </c>
      <c r="EH676" s="49" t="s">
        <v>310</v>
      </c>
      <c r="EJ676" s="49" t="s">
        <v>303</v>
      </c>
      <c r="EK676" s="49" t="s">
        <v>3058</v>
      </c>
      <c r="EM676" s="49" t="s">
        <v>303</v>
      </c>
      <c r="EN676" s="49" t="s">
        <v>357</v>
      </c>
      <c r="EP676" s="49" t="s">
        <v>298</v>
      </c>
      <c r="EQ676" s="0" t="n">
        <v>1</v>
      </c>
      <c r="ER676" s="49" t="s">
        <v>328</v>
      </c>
      <c r="ES676" s="49" t="s">
        <v>358</v>
      </c>
      <c r="ET676" s="49" t="s">
        <v>310</v>
      </c>
      <c r="EU676" s="49" t="s">
        <v>310</v>
      </c>
      <c r="EV676" s="49" t="s">
        <v>310</v>
      </c>
      <c r="EX676" s="49" t="s">
        <v>303</v>
      </c>
      <c r="EY676" s="49" t="s">
        <v>303</v>
      </c>
      <c r="FC676" s="49" t="s">
        <v>330</v>
      </c>
      <c r="FD676" s="49" t="s">
        <v>310</v>
      </c>
      <c r="FE676" s="49" t="s">
        <v>310</v>
      </c>
      <c r="FF676" s="49" t="s">
        <v>53</v>
      </c>
      <c r="FG676" s="49" t="s">
        <v>359</v>
      </c>
      <c r="FH676" s="49" t="s">
        <v>310</v>
      </c>
      <c r="FI676" s="49" t="s">
        <v>332</v>
      </c>
      <c r="FJ676" s="49" t="s">
        <v>303</v>
      </c>
      <c r="FL676" s="49" t="s">
        <v>325</v>
      </c>
      <c r="FM676" s="49" t="s">
        <v>3044</v>
      </c>
      <c r="FP676" s="49" t="s">
        <v>303</v>
      </c>
      <c r="FR676" s="49" t="s">
        <v>303</v>
      </c>
      <c r="FT676" s="49" t="s">
        <v>325</v>
      </c>
      <c r="FU676" s="49" t="s">
        <v>325</v>
      </c>
      <c r="FW676" s="49" t="s">
        <v>333</v>
      </c>
    </row>
    <row r="677" customFormat="false" ht="15" hidden="false" customHeight="false" outlineLevel="0" collapsed="false">
      <c r="A677" s="0" t="n">
        <v>100862604</v>
      </c>
      <c r="B677" s="0" t="s">
        <v>295</v>
      </c>
      <c r="C677" s="0" t="s">
        <v>53</v>
      </c>
      <c r="D677" s="0" t="s">
        <v>54</v>
      </c>
      <c r="E677" s="0" t="s">
        <v>297</v>
      </c>
      <c r="G677" s="0" t="n">
        <v>1</v>
      </c>
      <c r="H677" s="0" t="s">
        <v>298</v>
      </c>
      <c r="I677" s="48" t="n">
        <v>46160</v>
      </c>
      <c r="J677" s="0" t="n">
        <v>1</v>
      </c>
      <c r="K677" s="49" t="s">
        <v>3044</v>
      </c>
      <c r="L677" s="49" t="s">
        <v>2810</v>
      </c>
      <c r="M677" s="48"/>
      <c r="O677" s="49" t="s">
        <v>2803</v>
      </c>
      <c r="P677" s="48"/>
      <c r="Q677" s="48" t="n">
        <v>46160</v>
      </c>
      <c r="R677" s="48" t="n">
        <v>46166</v>
      </c>
      <c r="T677" s="49" t="s">
        <v>302</v>
      </c>
      <c r="U677" s="49" t="s">
        <v>303</v>
      </c>
      <c r="Y677" s="49" t="s">
        <v>312</v>
      </c>
      <c r="AD677" s="49" t="s">
        <v>305</v>
      </c>
      <c r="AE677" s="48" t="n">
        <v>46149</v>
      </c>
      <c r="AF677" s="49" t="s">
        <v>306</v>
      </c>
      <c r="AG677" s="49" t="s">
        <v>307</v>
      </c>
      <c r="AK677" s="49" t="s">
        <v>1047</v>
      </c>
      <c r="AL677" s="49" t="s">
        <v>297</v>
      </c>
      <c r="AO677" s="49" t="s">
        <v>303</v>
      </c>
      <c r="AP677" s="48"/>
      <c r="AR677" s="49" t="s">
        <v>303</v>
      </c>
      <c r="AS677" s="49" t="s">
        <v>306</v>
      </c>
      <c r="AT677" s="49" t="s">
        <v>3059</v>
      </c>
      <c r="AV677" s="49" t="s">
        <v>309</v>
      </c>
      <c r="AW677" s="49" t="s">
        <v>310</v>
      </c>
      <c r="AX677" s="49" t="s">
        <v>311</v>
      </c>
      <c r="AY677" s="48"/>
      <c r="AZ677" s="48" t="n">
        <v>46150</v>
      </c>
      <c r="BC677" s="49" t="s">
        <v>303</v>
      </c>
      <c r="BD677" s="48" t="n">
        <v>46163</v>
      </c>
      <c r="BE677" s="49" t="s">
        <v>2252</v>
      </c>
      <c r="BF677" s="49" t="s">
        <v>303</v>
      </c>
      <c r="BG677" s="48"/>
      <c r="BI677" s="48" t="n">
        <v>46163</v>
      </c>
      <c r="BJ677" s="48" t="n">
        <v>46163</v>
      </c>
      <c r="BK677" s="49" t="s">
        <v>313</v>
      </c>
      <c r="BL677" s="49" t="s">
        <v>313</v>
      </c>
      <c r="BM677" s="49" t="s">
        <v>310</v>
      </c>
      <c r="BN677" s="48"/>
      <c r="BO677" s="48"/>
      <c r="BP677" s="48"/>
      <c r="BQ677" s="49" t="s">
        <v>3044</v>
      </c>
      <c r="BR677" s="48" t="n">
        <v>46157</v>
      </c>
      <c r="BS677" s="49" t="s">
        <v>3053</v>
      </c>
      <c r="BT677" s="49" t="s">
        <v>312</v>
      </c>
      <c r="BU677" s="49" t="s">
        <v>312</v>
      </c>
      <c r="BV677" s="49" t="s">
        <v>303</v>
      </c>
      <c r="BX677" s="0" t="n">
        <v>1</v>
      </c>
      <c r="CC677" s="49" t="s">
        <v>315</v>
      </c>
      <c r="CD677" s="49" t="s">
        <v>303</v>
      </c>
      <c r="CF677" s="49" t="s">
        <v>303</v>
      </c>
      <c r="CG677" s="49" t="s">
        <v>316</v>
      </c>
      <c r="CH677" s="49" t="s">
        <v>317</v>
      </c>
      <c r="CI677" s="49" t="s">
        <v>318</v>
      </c>
      <c r="CM677" s="49" t="s">
        <v>54</v>
      </c>
      <c r="CV677" s="49" t="s">
        <v>303</v>
      </c>
      <c r="DB677" s="49" t="s">
        <v>319</v>
      </c>
      <c r="DD677" s="48" t="n">
        <v>46149</v>
      </c>
      <c r="DF677" s="49" t="s">
        <v>310</v>
      </c>
      <c r="DG677" s="49" t="s">
        <v>320</v>
      </c>
      <c r="DH677" s="49" t="s">
        <v>53</v>
      </c>
      <c r="DI677" s="49" t="s">
        <v>298</v>
      </c>
      <c r="DJ677" s="49" t="s">
        <v>355</v>
      </c>
      <c r="DK677" s="49" t="s">
        <v>322</v>
      </c>
      <c r="DL677" s="49" t="s">
        <v>323</v>
      </c>
      <c r="DM677" s="49" t="s">
        <v>303</v>
      </c>
      <c r="DN677" s="49" t="s">
        <v>297</v>
      </c>
      <c r="DO677" s="48"/>
      <c r="DP677" s="49" t="s">
        <v>312</v>
      </c>
      <c r="DQ677" s="48"/>
      <c r="DR677" s="49" t="s">
        <v>312</v>
      </c>
      <c r="DS677" s="49" t="s">
        <v>303</v>
      </c>
      <c r="DT677" s="49" t="s">
        <v>303</v>
      </c>
      <c r="DW677" s="49" t="s">
        <v>303</v>
      </c>
      <c r="EA677" s="49" t="s">
        <v>324</v>
      </c>
      <c r="EB677" s="49" t="s">
        <v>303</v>
      </c>
      <c r="EF677" s="49" t="s">
        <v>3057</v>
      </c>
      <c r="EH677" s="49" t="s">
        <v>310</v>
      </c>
      <c r="EJ677" s="49" t="s">
        <v>303</v>
      </c>
      <c r="EK677" s="49" t="s">
        <v>3060</v>
      </c>
      <c r="EM677" s="49" t="s">
        <v>303</v>
      </c>
      <c r="EN677" s="49" t="s">
        <v>357</v>
      </c>
      <c r="EP677" s="49" t="s">
        <v>298</v>
      </c>
      <c r="EQ677" s="0" t="n">
        <v>1</v>
      </c>
      <c r="ER677" s="49" t="s">
        <v>328</v>
      </c>
      <c r="ES677" s="49" t="s">
        <v>358</v>
      </c>
      <c r="ET677" s="49" t="s">
        <v>310</v>
      </c>
      <c r="EU677" s="49" t="s">
        <v>310</v>
      </c>
      <c r="EV677" s="49" t="s">
        <v>310</v>
      </c>
      <c r="EX677" s="49" t="s">
        <v>303</v>
      </c>
      <c r="EY677" s="49" t="s">
        <v>303</v>
      </c>
      <c r="FC677" s="49" t="s">
        <v>330</v>
      </c>
      <c r="FD677" s="49" t="s">
        <v>310</v>
      </c>
      <c r="FE677" s="49" t="s">
        <v>310</v>
      </c>
      <c r="FF677" s="49" t="s">
        <v>53</v>
      </c>
      <c r="FG677" s="49" t="s">
        <v>359</v>
      </c>
      <c r="FH677" s="49" t="s">
        <v>310</v>
      </c>
      <c r="FI677" s="49" t="s">
        <v>332</v>
      </c>
      <c r="FJ677" s="49" t="s">
        <v>303</v>
      </c>
      <c r="FL677" s="49" t="s">
        <v>325</v>
      </c>
      <c r="FM677" s="49" t="s">
        <v>3044</v>
      </c>
      <c r="FP677" s="49" t="s">
        <v>303</v>
      </c>
      <c r="FR677" s="49" t="s">
        <v>303</v>
      </c>
      <c r="FT677" s="49" t="s">
        <v>325</v>
      </c>
      <c r="FU677" s="49" t="s">
        <v>325</v>
      </c>
      <c r="FW677" s="49" t="s">
        <v>333</v>
      </c>
    </row>
    <row r="678" customFormat="false" ht="15" hidden="false" customHeight="false" outlineLevel="0" collapsed="false">
      <c r="A678" s="0" t="n">
        <v>100862605</v>
      </c>
      <c r="B678" s="0" t="s">
        <v>295</v>
      </c>
      <c r="C678" s="0" t="s">
        <v>48</v>
      </c>
      <c r="D678" s="0" t="s">
        <v>49</v>
      </c>
      <c r="E678" s="0" t="s">
        <v>297</v>
      </c>
      <c r="G678" s="0" t="n">
        <v>1</v>
      </c>
      <c r="H678" s="0" t="s">
        <v>298</v>
      </c>
      <c r="I678" s="48" t="n">
        <v>46160</v>
      </c>
      <c r="J678" s="0" t="n">
        <v>1</v>
      </c>
      <c r="K678" s="49" t="s">
        <v>3044</v>
      </c>
      <c r="L678" s="49" t="s">
        <v>2810</v>
      </c>
      <c r="M678" s="48" t="n">
        <v>46199</v>
      </c>
      <c r="N678" s="49" t="s">
        <v>2082</v>
      </c>
      <c r="O678" s="49" t="s">
        <v>2803</v>
      </c>
      <c r="P678" s="48"/>
      <c r="Q678" s="48" t="n">
        <v>46160</v>
      </c>
      <c r="R678" s="48" t="n">
        <v>46167</v>
      </c>
      <c r="T678" s="49" t="s">
        <v>302</v>
      </c>
      <c r="U678" s="49" t="s">
        <v>303</v>
      </c>
      <c r="Y678" s="49" t="s">
        <v>2524</v>
      </c>
      <c r="AD678" s="49" t="s">
        <v>305</v>
      </c>
      <c r="AE678" s="48" t="n">
        <v>46156</v>
      </c>
      <c r="AF678" s="49" t="s">
        <v>306</v>
      </c>
      <c r="AG678" s="49" t="s">
        <v>307</v>
      </c>
      <c r="AK678" s="49" t="s">
        <v>1047</v>
      </c>
      <c r="AL678" s="49" t="s">
        <v>297</v>
      </c>
      <c r="AO678" s="49" t="s">
        <v>303</v>
      </c>
      <c r="AP678" s="48"/>
      <c r="AR678" s="49" t="s">
        <v>303</v>
      </c>
      <c r="AS678" s="49" t="s">
        <v>306</v>
      </c>
      <c r="AT678" s="49" t="s">
        <v>3061</v>
      </c>
      <c r="AV678" s="49" t="s">
        <v>309</v>
      </c>
      <c r="AW678" s="49" t="s">
        <v>310</v>
      </c>
      <c r="AX678" s="49" t="s">
        <v>311</v>
      </c>
      <c r="AY678" s="48"/>
      <c r="AZ678" s="48" t="n">
        <v>46156</v>
      </c>
      <c r="BC678" s="49" t="s">
        <v>303</v>
      </c>
      <c r="BD678" s="48" t="n">
        <v>46231</v>
      </c>
      <c r="BE678" s="49" t="s">
        <v>3062</v>
      </c>
      <c r="BF678" s="49" t="s">
        <v>303</v>
      </c>
      <c r="BG678" s="48"/>
      <c r="BI678" s="48" t="n">
        <v>46168</v>
      </c>
      <c r="BJ678" s="48" t="n">
        <v>46163</v>
      </c>
      <c r="BK678" s="49" t="s">
        <v>312</v>
      </c>
      <c r="BL678" s="49" t="s">
        <v>313</v>
      </c>
      <c r="BM678" s="49" t="s">
        <v>310</v>
      </c>
      <c r="BN678" s="48"/>
      <c r="BO678" s="48"/>
      <c r="BP678" s="48"/>
      <c r="BQ678" s="49" t="s">
        <v>3044</v>
      </c>
      <c r="BR678" s="48" t="n">
        <v>46163</v>
      </c>
      <c r="BS678" s="49" t="s">
        <v>3063</v>
      </c>
      <c r="BT678" s="49" t="s">
        <v>312</v>
      </c>
      <c r="BU678" s="49" t="s">
        <v>313</v>
      </c>
      <c r="BV678" s="49" t="s">
        <v>303</v>
      </c>
      <c r="BX678" s="0" t="n">
        <v>1</v>
      </c>
      <c r="CC678" s="49" t="s">
        <v>315</v>
      </c>
      <c r="CD678" s="49" t="s">
        <v>303</v>
      </c>
      <c r="CF678" s="49" t="s">
        <v>303</v>
      </c>
      <c r="CG678" s="49" t="s">
        <v>316</v>
      </c>
      <c r="CH678" s="49" t="s">
        <v>317</v>
      </c>
      <c r="CI678" s="49" t="s">
        <v>318</v>
      </c>
      <c r="CM678" s="49" t="s">
        <v>49</v>
      </c>
      <c r="CV678" s="49" t="s">
        <v>303</v>
      </c>
      <c r="DB678" s="49" t="s">
        <v>319</v>
      </c>
      <c r="DD678" s="48" t="n">
        <v>46156</v>
      </c>
      <c r="DF678" s="49" t="s">
        <v>310</v>
      </c>
      <c r="DG678" s="49" t="s">
        <v>320</v>
      </c>
      <c r="DH678" s="49" t="s">
        <v>48</v>
      </c>
      <c r="DI678" s="49" t="s">
        <v>298</v>
      </c>
      <c r="DJ678" s="49" t="s">
        <v>339</v>
      </c>
      <c r="DK678" s="49" t="s">
        <v>322</v>
      </c>
      <c r="DL678" s="49" t="s">
        <v>323</v>
      </c>
      <c r="DM678" s="49" t="s">
        <v>303</v>
      </c>
      <c r="DN678" s="49" t="s">
        <v>297</v>
      </c>
      <c r="DO678" s="48"/>
      <c r="DP678" s="49" t="s">
        <v>312</v>
      </c>
      <c r="DQ678" s="48"/>
      <c r="DR678" s="49" t="s">
        <v>312</v>
      </c>
      <c r="DS678" s="49" t="s">
        <v>303</v>
      </c>
      <c r="DT678" s="49" t="s">
        <v>303</v>
      </c>
      <c r="DW678" s="49" t="s">
        <v>303</v>
      </c>
      <c r="EA678" s="49" t="s">
        <v>324</v>
      </c>
      <c r="EB678" s="49" t="s">
        <v>303</v>
      </c>
      <c r="EH678" s="49" t="s">
        <v>310</v>
      </c>
      <c r="EJ678" s="49" t="s">
        <v>303</v>
      </c>
      <c r="EK678" s="49" t="s">
        <v>3064</v>
      </c>
      <c r="EM678" s="49" t="s">
        <v>303</v>
      </c>
      <c r="EN678" s="49" t="s">
        <v>341</v>
      </c>
      <c r="EP678" s="49" t="s">
        <v>298</v>
      </c>
      <c r="EQ678" s="0" t="n">
        <v>1</v>
      </c>
      <c r="ER678" s="49" t="s">
        <v>328</v>
      </c>
      <c r="ES678" s="49" t="s">
        <v>342</v>
      </c>
      <c r="ET678" s="49" t="s">
        <v>310</v>
      </c>
      <c r="EU678" s="49" t="s">
        <v>310</v>
      </c>
      <c r="EV678" s="49" t="s">
        <v>310</v>
      </c>
      <c r="EX678" s="49" t="s">
        <v>303</v>
      </c>
      <c r="EY678" s="49" t="s">
        <v>303</v>
      </c>
      <c r="FC678" s="49" t="s">
        <v>330</v>
      </c>
      <c r="FD678" s="49" t="s">
        <v>310</v>
      </c>
      <c r="FE678" s="49" t="s">
        <v>310</v>
      </c>
      <c r="FF678" s="49" t="s">
        <v>48</v>
      </c>
      <c r="FG678" s="49" t="s">
        <v>343</v>
      </c>
      <c r="FH678" s="49" t="s">
        <v>310</v>
      </c>
      <c r="FI678" s="49" t="s">
        <v>332</v>
      </c>
      <c r="FJ678" s="49" t="s">
        <v>303</v>
      </c>
      <c r="FL678" s="49" t="s">
        <v>325</v>
      </c>
      <c r="FM678" s="49" t="s">
        <v>3065</v>
      </c>
      <c r="FP678" s="49" t="s">
        <v>303</v>
      </c>
      <c r="FR678" s="49" t="s">
        <v>303</v>
      </c>
      <c r="FT678" s="49" t="s">
        <v>325</v>
      </c>
      <c r="FU678" s="49" t="s">
        <v>325</v>
      </c>
      <c r="FW678" s="49" t="s">
        <v>333</v>
      </c>
    </row>
    <row r="679" customFormat="false" ht="15" hidden="false" customHeight="false" outlineLevel="0" collapsed="false">
      <c r="A679" s="0" t="n">
        <v>100862386</v>
      </c>
      <c r="B679" s="0" t="s">
        <v>295</v>
      </c>
      <c r="C679" s="0" t="s">
        <v>79</v>
      </c>
      <c r="D679" s="0" t="s">
        <v>506</v>
      </c>
      <c r="E679" s="0" t="s">
        <v>297</v>
      </c>
      <c r="G679" s="0" t="n">
        <v>1</v>
      </c>
      <c r="H679" s="0" t="s">
        <v>298</v>
      </c>
      <c r="I679" s="48" t="n">
        <v>46158</v>
      </c>
      <c r="J679" s="0" t="n">
        <v>1</v>
      </c>
      <c r="K679" s="49" t="s">
        <v>3066</v>
      </c>
      <c r="L679" s="49" t="s">
        <v>3067</v>
      </c>
      <c r="M679" s="48" t="n">
        <v>46227</v>
      </c>
      <c r="N679" s="49" t="s">
        <v>2082</v>
      </c>
      <c r="O679" s="49" t="s">
        <v>1052</v>
      </c>
      <c r="P679" s="48"/>
      <c r="Q679" s="48" t="n">
        <v>46158</v>
      </c>
      <c r="R679" s="48" t="n">
        <v>46172</v>
      </c>
      <c r="T679" s="49" t="s">
        <v>302</v>
      </c>
      <c r="U679" s="49" t="s">
        <v>303</v>
      </c>
      <c r="Y679" s="49" t="s">
        <v>3068</v>
      </c>
      <c r="AD679" s="49" t="s">
        <v>305</v>
      </c>
      <c r="AE679" s="48" t="n">
        <v>46158</v>
      </c>
      <c r="AF679" s="49" t="s">
        <v>306</v>
      </c>
      <c r="AG679" s="49" t="s">
        <v>307</v>
      </c>
      <c r="AK679" s="49" t="s">
        <v>1047</v>
      </c>
      <c r="AL679" s="49" t="s">
        <v>297</v>
      </c>
      <c r="AO679" s="49" t="s">
        <v>303</v>
      </c>
      <c r="AP679" s="48"/>
      <c r="AR679" s="49" t="s">
        <v>303</v>
      </c>
      <c r="AS679" s="49" t="s">
        <v>306</v>
      </c>
      <c r="AT679" s="49" t="s">
        <v>3069</v>
      </c>
      <c r="AV679" s="49" t="s">
        <v>309</v>
      </c>
      <c r="AW679" s="49" t="s">
        <v>310</v>
      </c>
      <c r="AX679" s="49" t="s">
        <v>311</v>
      </c>
      <c r="AY679" s="48"/>
      <c r="AZ679" s="48" t="n">
        <v>46163</v>
      </c>
      <c r="BC679" s="49" t="s">
        <v>303</v>
      </c>
      <c r="BD679" s="48" t="n">
        <v>46230</v>
      </c>
      <c r="BE679" s="49" t="s">
        <v>3070</v>
      </c>
      <c r="BF679" s="49" t="s">
        <v>303</v>
      </c>
      <c r="BG679" s="48"/>
      <c r="BI679" s="48" t="n">
        <v>46230</v>
      </c>
      <c r="BJ679" s="48" t="n">
        <v>46227</v>
      </c>
      <c r="BK679" s="49" t="s">
        <v>312</v>
      </c>
      <c r="BL679" s="49" t="s">
        <v>3071</v>
      </c>
      <c r="BM679" s="49" t="s">
        <v>310</v>
      </c>
      <c r="BN679" s="48"/>
      <c r="BO679" s="48"/>
      <c r="BP679" s="48"/>
      <c r="BQ679" s="49" t="s">
        <v>3072</v>
      </c>
      <c r="BR679" s="48" t="n">
        <v>46171</v>
      </c>
      <c r="BS679" s="49" t="s">
        <v>3073</v>
      </c>
      <c r="BT679" s="49" t="s">
        <v>312</v>
      </c>
      <c r="BU679" s="49" t="s">
        <v>312</v>
      </c>
      <c r="BV679" s="49" t="s">
        <v>303</v>
      </c>
      <c r="BX679" s="0" t="n">
        <v>1</v>
      </c>
      <c r="CC679" s="49" t="s">
        <v>315</v>
      </c>
      <c r="CD679" s="49" t="s">
        <v>303</v>
      </c>
      <c r="CF679" s="49" t="s">
        <v>303</v>
      </c>
      <c r="CG679" s="49" t="s">
        <v>316</v>
      </c>
      <c r="CH679" s="49" t="s">
        <v>317</v>
      </c>
      <c r="CI679" s="49" t="s">
        <v>318</v>
      </c>
      <c r="CM679" s="49" t="s">
        <v>506</v>
      </c>
      <c r="CV679" s="49" t="s">
        <v>303</v>
      </c>
      <c r="DB679" s="49" t="s">
        <v>319</v>
      </c>
      <c r="DD679" s="48" t="n">
        <v>46158</v>
      </c>
      <c r="DF679" s="49" t="s">
        <v>310</v>
      </c>
      <c r="DG679" s="49" t="s">
        <v>320</v>
      </c>
      <c r="DH679" s="49" t="s">
        <v>79</v>
      </c>
      <c r="DI679" s="49" t="s">
        <v>298</v>
      </c>
      <c r="DJ679" s="49" t="s">
        <v>495</v>
      </c>
      <c r="DK679" s="49" t="s">
        <v>322</v>
      </c>
      <c r="DL679" s="49" t="s">
        <v>323</v>
      </c>
      <c r="DM679" s="49" t="s">
        <v>303</v>
      </c>
      <c r="DN679" s="49" t="s">
        <v>297</v>
      </c>
      <c r="DO679" s="48"/>
      <c r="DP679" s="49" t="s">
        <v>312</v>
      </c>
      <c r="DQ679" s="48"/>
      <c r="DR679" s="49" t="s">
        <v>312</v>
      </c>
      <c r="DS679" s="49" t="s">
        <v>303</v>
      </c>
      <c r="DT679" s="49" t="s">
        <v>303</v>
      </c>
      <c r="DW679" s="49" t="s">
        <v>303</v>
      </c>
      <c r="EA679" s="49" t="s">
        <v>324</v>
      </c>
      <c r="EB679" s="49" t="s">
        <v>303</v>
      </c>
      <c r="EH679" s="49" t="s">
        <v>310</v>
      </c>
      <c r="EJ679" s="49" t="s">
        <v>303</v>
      </c>
      <c r="EK679" s="49" t="s">
        <v>3074</v>
      </c>
      <c r="EM679" s="49" t="s">
        <v>303</v>
      </c>
      <c r="EN679" s="49" t="s">
        <v>510</v>
      </c>
      <c r="EP679" s="49" t="s">
        <v>298</v>
      </c>
      <c r="EQ679" s="0" t="n">
        <v>1</v>
      </c>
      <c r="ER679" s="49" t="s">
        <v>328</v>
      </c>
      <c r="ES679" s="49" t="s">
        <v>329</v>
      </c>
      <c r="ET679" s="49" t="s">
        <v>310</v>
      </c>
      <c r="EU679" s="49" t="s">
        <v>310</v>
      </c>
      <c r="EV679" s="49" t="s">
        <v>310</v>
      </c>
      <c r="EX679" s="49" t="s">
        <v>303</v>
      </c>
      <c r="EY679" s="49" t="s">
        <v>303</v>
      </c>
      <c r="FC679" s="49" t="s">
        <v>330</v>
      </c>
      <c r="FD679" s="49" t="s">
        <v>310</v>
      </c>
      <c r="FE679" s="49" t="s">
        <v>310</v>
      </c>
      <c r="FF679" s="49" t="s">
        <v>79</v>
      </c>
      <c r="FG679" s="49" t="s">
        <v>511</v>
      </c>
      <c r="FH679" s="49" t="s">
        <v>310</v>
      </c>
      <c r="FI679" s="49" t="s">
        <v>332</v>
      </c>
      <c r="FJ679" s="49" t="s">
        <v>303</v>
      </c>
      <c r="FK679" s="49" t="s">
        <v>310</v>
      </c>
      <c r="FL679" s="49" t="s">
        <v>325</v>
      </c>
      <c r="FM679" s="49" t="s">
        <v>2828</v>
      </c>
      <c r="FP679" s="49" t="s">
        <v>303</v>
      </c>
      <c r="FR679" s="49" t="s">
        <v>303</v>
      </c>
      <c r="FT679" s="49" t="s">
        <v>325</v>
      </c>
      <c r="FU679" s="49" t="s">
        <v>325</v>
      </c>
      <c r="FW679" s="49" t="s">
        <v>333</v>
      </c>
      <c r="FX679" s="49" t="s">
        <v>499</v>
      </c>
    </row>
    <row r="680" customFormat="false" ht="15" hidden="false" customHeight="false" outlineLevel="0" collapsed="false">
      <c r="A680" s="0" t="n">
        <v>100861926</v>
      </c>
      <c r="B680" s="0" t="s">
        <v>295</v>
      </c>
      <c r="C680" s="0" t="s">
        <v>56</v>
      </c>
      <c r="D680" s="0" t="s">
        <v>57</v>
      </c>
      <c r="E680" s="0" t="s">
        <v>297</v>
      </c>
      <c r="G680" s="0" t="n">
        <v>1</v>
      </c>
      <c r="H680" s="0" t="s">
        <v>298</v>
      </c>
      <c r="I680" s="48" t="n">
        <v>46156</v>
      </c>
      <c r="J680" s="0" t="n">
        <v>1</v>
      </c>
      <c r="K680" s="49" t="s">
        <v>3075</v>
      </c>
      <c r="L680" s="49" t="s">
        <v>2810</v>
      </c>
      <c r="M680" s="48" t="n">
        <v>46197</v>
      </c>
      <c r="N680" s="49" t="s">
        <v>2047</v>
      </c>
      <c r="O680" s="49" t="s">
        <v>1052</v>
      </c>
      <c r="P680" s="48"/>
      <c r="Q680" s="48" t="n">
        <v>46156</v>
      </c>
      <c r="R680" s="48" t="n">
        <v>46174</v>
      </c>
      <c r="T680" s="49" t="s">
        <v>302</v>
      </c>
      <c r="U680" s="49" t="s">
        <v>303</v>
      </c>
      <c r="Y680" s="49" t="s">
        <v>3076</v>
      </c>
      <c r="AD680" s="49" t="s">
        <v>305</v>
      </c>
      <c r="AE680" s="48" t="n">
        <v>46128</v>
      </c>
      <c r="AF680" s="49" t="s">
        <v>306</v>
      </c>
      <c r="AG680" s="49" t="s">
        <v>307</v>
      </c>
      <c r="AK680" s="49" t="s">
        <v>1047</v>
      </c>
      <c r="AL680" s="49" t="s">
        <v>297</v>
      </c>
      <c r="AO680" s="49" t="s">
        <v>303</v>
      </c>
      <c r="AP680" s="48"/>
      <c r="AR680" s="49" t="s">
        <v>303</v>
      </c>
      <c r="AS680" s="49" t="s">
        <v>306</v>
      </c>
      <c r="AT680" s="49" t="s">
        <v>3077</v>
      </c>
      <c r="AV680" s="49" t="s">
        <v>309</v>
      </c>
      <c r="AW680" s="49" t="s">
        <v>310</v>
      </c>
      <c r="AX680" s="49" t="s">
        <v>311</v>
      </c>
      <c r="AY680" s="48"/>
      <c r="AZ680" s="48" t="n">
        <v>46156</v>
      </c>
      <c r="BC680" s="49" t="s">
        <v>303</v>
      </c>
      <c r="BD680" s="48" t="n">
        <v>46222</v>
      </c>
      <c r="BE680" s="49" t="s">
        <v>3078</v>
      </c>
      <c r="BF680" s="49" t="s">
        <v>303</v>
      </c>
      <c r="BG680" s="48"/>
      <c r="BI680" s="48" t="n">
        <v>46222</v>
      </c>
      <c r="BJ680" s="48" t="n">
        <v>46170</v>
      </c>
      <c r="BK680" s="49" t="s">
        <v>312</v>
      </c>
      <c r="BL680" s="49" t="s">
        <v>313</v>
      </c>
      <c r="BM680" s="49" t="s">
        <v>310</v>
      </c>
      <c r="BN680" s="48"/>
      <c r="BO680" s="48"/>
      <c r="BP680" s="48"/>
      <c r="BQ680" s="49" t="s">
        <v>3075</v>
      </c>
      <c r="BR680" s="48" t="n">
        <v>46163</v>
      </c>
      <c r="BS680" s="49" t="s">
        <v>3079</v>
      </c>
      <c r="BT680" s="49" t="s">
        <v>312</v>
      </c>
      <c r="BU680" s="49" t="s">
        <v>312</v>
      </c>
      <c r="BV680" s="49" t="s">
        <v>303</v>
      </c>
      <c r="BX680" s="0" t="n">
        <v>1</v>
      </c>
      <c r="CC680" s="49" t="s">
        <v>315</v>
      </c>
      <c r="CD680" s="49" t="s">
        <v>303</v>
      </c>
      <c r="CF680" s="49" t="s">
        <v>303</v>
      </c>
      <c r="CG680" s="49" t="s">
        <v>316</v>
      </c>
      <c r="CH680" s="49" t="s">
        <v>317</v>
      </c>
      <c r="CI680" s="49" t="s">
        <v>318</v>
      </c>
      <c r="CM680" s="49" t="s">
        <v>57</v>
      </c>
      <c r="CV680" s="49" t="s">
        <v>303</v>
      </c>
      <c r="DB680" s="49" t="s">
        <v>319</v>
      </c>
      <c r="DD680" s="48" t="n">
        <v>46128</v>
      </c>
      <c r="DF680" s="49" t="s">
        <v>310</v>
      </c>
      <c r="DG680" s="49" t="s">
        <v>320</v>
      </c>
      <c r="DH680" s="49" t="s">
        <v>56</v>
      </c>
      <c r="DI680" s="49" t="s">
        <v>298</v>
      </c>
      <c r="DJ680" s="49" t="s">
        <v>367</v>
      </c>
      <c r="DK680" s="49" t="s">
        <v>322</v>
      </c>
      <c r="DL680" s="49" t="s">
        <v>323</v>
      </c>
      <c r="DM680" s="49" t="s">
        <v>303</v>
      </c>
      <c r="DN680" s="49" t="s">
        <v>297</v>
      </c>
      <c r="DO680" s="48"/>
      <c r="DP680" s="49" t="s">
        <v>312</v>
      </c>
      <c r="DQ680" s="48"/>
      <c r="DR680" s="49" t="s">
        <v>312</v>
      </c>
      <c r="DS680" s="49" t="s">
        <v>303</v>
      </c>
      <c r="DT680" s="49" t="s">
        <v>303</v>
      </c>
      <c r="DW680" s="49" t="s">
        <v>303</v>
      </c>
      <c r="EA680" s="49" t="s">
        <v>324</v>
      </c>
      <c r="EB680" s="49" t="s">
        <v>303</v>
      </c>
      <c r="EH680" s="49" t="s">
        <v>310</v>
      </c>
      <c r="EJ680" s="49" t="s">
        <v>303</v>
      </c>
      <c r="EK680" s="49" t="s">
        <v>3080</v>
      </c>
      <c r="EM680" s="49" t="s">
        <v>303</v>
      </c>
      <c r="EN680" s="49" t="s">
        <v>369</v>
      </c>
      <c r="EP680" s="49" t="s">
        <v>298</v>
      </c>
      <c r="EQ680" s="0" t="n">
        <v>1</v>
      </c>
      <c r="ER680" s="49" t="s">
        <v>328</v>
      </c>
      <c r="ES680" s="49" t="s">
        <v>342</v>
      </c>
      <c r="ET680" s="49" t="s">
        <v>310</v>
      </c>
      <c r="EU680" s="49" t="s">
        <v>310</v>
      </c>
      <c r="EV680" s="49" t="s">
        <v>310</v>
      </c>
      <c r="EX680" s="49" t="s">
        <v>303</v>
      </c>
      <c r="EY680" s="49" t="s">
        <v>303</v>
      </c>
      <c r="FC680" s="49" t="s">
        <v>330</v>
      </c>
      <c r="FD680" s="49" t="s">
        <v>310</v>
      </c>
      <c r="FE680" s="49" t="s">
        <v>310</v>
      </c>
      <c r="FF680" s="49" t="s">
        <v>56</v>
      </c>
      <c r="FG680" s="49" t="s">
        <v>370</v>
      </c>
      <c r="FH680" s="49" t="s">
        <v>310</v>
      </c>
      <c r="FI680" s="49" t="s">
        <v>332</v>
      </c>
      <c r="FJ680" s="49" t="s">
        <v>303</v>
      </c>
      <c r="FL680" s="49" t="s">
        <v>325</v>
      </c>
      <c r="FM680" s="49" t="s">
        <v>3081</v>
      </c>
      <c r="FP680" s="49" t="s">
        <v>303</v>
      </c>
      <c r="FR680" s="49" t="s">
        <v>303</v>
      </c>
      <c r="FT680" s="49" t="s">
        <v>325</v>
      </c>
      <c r="FU680" s="49" t="s">
        <v>325</v>
      </c>
      <c r="FW680" s="49" t="s">
        <v>333</v>
      </c>
    </row>
    <row r="681" customFormat="false" ht="15" hidden="false" customHeight="false" outlineLevel="0" collapsed="false">
      <c r="A681" s="0" t="n">
        <v>100861927</v>
      </c>
      <c r="B681" s="0" t="s">
        <v>295</v>
      </c>
      <c r="C681" s="0" t="s">
        <v>58</v>
      </c>
      <c r="D681" s="0" t="s">
        <v>59</v>
      </c>
      <c r="E681" s="0" t="s">
        <v>297</v>
      </c>
      <c r="G681" s="0" t="n">
        <v>1</v>
      </c>
      <c r="H681" s="0" t="s">
        <v>298</v>
      </c>
      <c r="I681" s="48" t="n">
        <v>46156</v>
      </c>
      <c r="J681" s="0" t="n">
        <v>1</v>
      </c>
      <c r="K681" s="49" t="s">
        <v>3075</v>
      </c>
      <c r="L681" s="49" t="s">
        <v>2810</v>
      </c>
      <c r="M681" s="48" t="n">
        <v>46165</v>
      </c>
      <c r="N681" s="49" t="s">
        <v>2089</v>
      </c>
      <c r="O681" s="49" t="s">
        <v>2803</v>
      </c>
      <c r="P681" s="48"/>
      <c r="Q681" s="48" t="n">
        <v>46156</v>
      </c>
      <c r="R681" s="48" t="n">
        <v>46163</v>
      </c>
      <c r="T681" s="49" t="s">
        <v>302</v>
      </c>
      <c r="U681" s="49" t="s">
        <v>303</v>
      </c>
      <c r="Y681" s="49" t="s">
        <v>3082</v>
      </c>
      <c r="AD681" s="49" t="s">
        <v>305</v>
      </c>
      <c r="AE681" s="48" t="n">
        <v>46128</v>
      </c>
      <c r="AF681" s="49" t="s">
        <v>306</v>
      </c>
      <c r="AG681" s="49" t="s">
        <v>307</v>
      </c>
      <c r="AK681" s="49" t="s">
        <v>1047</v>
      </c>
      <c r="AL681" s="49" t="s">
        <v>297</v>
      </c>
      <c r="AO681" s="49" t="s">
        <v>303</v>
      </c>
      <c r="AP681" s="48"/>
      <c r="AR681" s="49" t="s">
        <v>303</v>
      </c>
      <c r="AS681" s="49" t="s">
        <v>306</v>
      </c>
      <c r="AT681" s="49" t="s">
        <v>3083</v>
      </c>
      <c r="AV681" s="49" t="s">
        <v>309</v>
      </c>
      <c r="AW681" s="49" t="s">
        <v>310</v>
      </c>
      <c r="AX681" s="49" t="s">
        <v>311</v>
      </c>
      <c r="AY681" s="48"/>
      <c r="AZ681" s="48" t="n">
        <v>46148</v>
      </c>
      <c r="BC681" s="49" t="s">
        <v>303</v>
      </c>
      <c r="BD681" s="48" t="n">
        <v>46165</v>
      </c>
      <c r="BE681" s="49" t="s">
        <v>3084</v>
      </c>
      <c r="BF681" s="49" t="s">
        <v>303</v>
      </c>
      <c r="BG681" s="48"/>
      <c r="BI681" s="48" t="n">
        <v>46165</v>
      </c>
      <c r="BJ681" s="48" t="n">
        <v>46161</v>
      </c>
      <c r="BK681" s="49" t="s">
        <v>312</v>
      </c>
      <c r="BL681" s="49" t="s">
        <v>313</v>
      </c>
      <c r="BM681" s="49" t="s">
        <v>310</v>
      </c>
      <c r="BN681" s="48"/>
      <c r="BO681" s="48"/>
      <c r="BP681" s="48"/>
      <c r="BQ681" s="49" t="s">
        <v>3075</v>
      </c>
      <c r="BR681" s="48" t="n">
        <v>46155</v>
      </c>
      <c r="BS681" s="49" t="s">
        <v>3085</v>
      </c>
      <c r="BT681" s="49" t="s">
        <v>312</v>
      </c>
      <c r="BU681" s="49" t="s">
        <v>312</v>
      </c>
      <c r="BV681" s="49" t="s">
        <v>303</v>
      </c>
      <c r="BX681" s="0" t="n">
        <v>1</v>
      </c>
      <c r="CC681" s="49" t="s">
        <v>315</v>
      </c>
      <c r="CD681" s="49" t="s">
        <v>303</v>
      </c>
      <c r="CF681" s="49" t="s">
        <v>303</v>
      </c>
      <c r="CG681" s="49" t="s">
        <v>316</v>
      </c>
      <c r="CH681" s="49" t="s">
        <v>317</v>
      </c>
      <c r="CI681" s="49" t="s">
        <v>318</v>
      </c>
      <c r="CM681" s="49" t="s">
        <v>59</v>
      </c>
      <c r="CV681" s="49" t="s">
        <v>303</v>
      </c>
      <c r="DB681" s="49" t="s">
        <v>319</v>
      </c>
      <c r="DD681" s="48" t="n">
        <v>46128</v>
      </c>
      <c r="DF681" s="49" t="s">
        <v>310</v>
      </c>
      <c r="DG681" s="49" t="s">
        <v>320</v>
      </c>
      <c r="DH681" s="49" t="s">
        <v>58</v>
      </c>
      <c r="DI681" s="49" t="s">
        <v>298</v>
      </c>
      <c r="DJ681" s="49" t="s">
        <v>367</v>
      </c>
      <c r="DK681" s="49" t="s">
        <v>322</v>
      </c>
      <c r="DL681" s="49" t="s">
        <v>323</v>
      </c>
      <c r="DM681" s="49" t="s">
        <v>303</v>
      </c>
      <c r="DN681" s="49" t="s">
        <v>297</v>
      </c>
      <c r="DO681" s="48"/>
      <c r="DP681" s="49" t="s">
        <v>312</v>
      </c>
      <c r="DQ681" s="48"/>
      <c r="DR681" s="49" t="s">
        <v>312</v>
      </c>
      <c r="DS681" s="49" t="s">
        <v>303</v>
      </c>
      <c r="DT681" s="49" t="s">
        <v>303</v>
      </c>
      <c r="DW681" s="49" t="s">
        <v>303</v>
      </c>
      <c r="EA681" s="49" t="s">
        <v>324</v>
      </c>
      <c r="EB681" s="49" t="s">
        <v>303</v>
      </c>
      <c r="EH681" s="49" t="s">
        <v>310</v>
      </c>
      <c r="EJ681" s="49" t="s">
        <v>303</v>
      </c>
      <c r="EK681" s="49" t="s">
        <v>3086</v>
      </c>
      <c r="EM681" s="49" t="s">
        <v>303</v>
      </c>
      <c r="EN681" s="49" t="s">
        <v>374</v>
      </c>
      <c r="EP681" s="49" t="s">
        <v>298</v>
      </c>
      <c r="EQ681" s="0" t="n">
        <v>1</v>
      </c>
      <c r="ER681" s="49" t="s">
        <v>328</v>
      </c>
      <c r="ES681" s="49" t="s">
        <v>342</v>
      </c>
      <c r="ET681" s="49" t="s">
        <v>310</v>
      </c>
      <c r="EU681" s="49" t="s">
        <v>310</v>
      </c>
      <c r="EV681" s="49" t="s">
        <v>310</v>
      </c>
      <c r="EX681" s="49" t="s">
        <v>303</v>
      </c>
      <c r="EY681" s="49" t="s">
        <v>303</v>
      </c>
      <c r="FC681" s="49" t="s">
        <v>330</v>
      </c>
      <c r="FD681" s="49" t="s">
        <v>310</v>
      </c>
      <c r="FE681" s="49" t="s">
        <v>310</v>
      </c>
      <c r="FF681" s="49" t="s">
        <v>58</v>
      </c>
      <c r="FG681" s="49" t="s">
        <v>375</v>
      </c>
      <c r="FH681" s="49" t="s">
        <v>310</v>
      </c>
      <c r="FI681" s="49" t="s">
        <v>332</v>
      </c>
      <c r="FJ681" s="49" t="s">
        <v>303</v>
      </c>
      <c r="FL681" s="49" t="s">
        <v>325</v>
      </c>
      <c r="FM681" s="49" t="s">
        <v>3075</v>
      </c>
      <c r="FP681" s="49" t="s">
        <v>303</v>
      </c>
      <c r="FR681" s="49" t="s">
        <v>303</v>
      </c>
      <c r="FT681" s="49" t="s">
        <v>325</v>
      </c>
      <c r="FU681" s="49" t="s">
        <v>325</v>
      </c>
      <c r="FW681" s="49" t="s">
        <v>333</v>
      </c>
    </row>
    <row r="682" customFormat="false" ht="15" hidden="false" customHeight="false" outlineLevel="0" collapsed="false">
      <c r="A682" s="0" t="n">
        <v>100861928</v>
      </c>
      <c r="B682" s="0" t="s">
        <v>295</v>
      </c>
      <c r="C682" s="0" t="s">
        <v>58</v>
      </c>
      <c r="D682" s="0" t="s">
        <v>59</v>
      </c>
      <c r="E682" s="0" t="s">
        <v>297</v>
      </c>
      <c r="G682" s="0" t="n">
        <v>1</v>
      </c>
      <c r="H682" s="0" t="s">
        <v>298</v>
      </c>
      <c r="I682" s="48" t="n">
        <v>46156</v>
      </c>
      <c r="J682" s="0" t="n">
        <v>1</v>
      </c>
      <c r="K682" s="49" t="s">
        <v>3075</v>
      </c>
      <c r="L682" s="49" t="s">
        <v>2810</v>
      </c>
      <c r="M682" s="48"/>
      <c r="O682" s="49" t="s">
        <v>2803</v>
      </c>
      <c r="P682" s="48"/>
      <c r="Q682" s="48" t="n">
        <v>46156</v>
      </c>
      <c r="R682" s="48" t="n">
        <v>46162</v>
      </c>
      <c r="T682" s="49" t="s">
        <v>302</v>
      </c>
      <c r="U682" s="49" t="s">
        <v>303</v>
      </c>
      <c r="Y682" s="49" t="s">
        <v>312</v>
      </c>
      <c r="AD682" s="49" t="s">
        <v>305</v>
      </c>
      <c r="AE682" s="48" t="n">
        <v>46128</v>
      </c>
      <c r="AF682" s="49" t="s">
        <v>306</v>
      </c>
      <c r="AG682" s="49" t="s">
        <v>307</v>
      </c>
      <c r="AK682" s="49" t="s">
        <v>1047</v>
      </c>
      <c r="AL682" s="49" t="s">
        <v>297</v>
      </c>
      <c r="AO682" s="49" t="s">
        <v>303</v>
      </c>
      <c r="AP682" s="48"/>
      <c r="AR682" s="49" t="s">
        <v>303</v>
      </c>
      <c r="AS682" s="49" t="s">
        <v>306</v>
      </c>
      <c r="AT682" s="49" t="s">
        <v>3087</v>
      </c>
      <c r="AV682" s="49" t="s">
        <v>309</v>
      </c>
      <c r="AW682" s="49" t="s">
        <v>310</v>
      </c>
      <c r="AX682" s="49" t="s">
        <v>311</v>
      </c>
      <c r="AY682" s="48"/>
      <c r="AZ682" s="48" t="n">
        <v>46148</v>
      </c>
      <c r="BC682" s="49" t="s">
        <v>303</v>
      </c>
      <c r="BD682" s="48" t="n">
        <v>46161</v>
      </c>
      <c r="BE682" s="49" t="s">
        <v>3088</v>
      </c>
      <c r="BF682" s="49" t="s">
        <v>303</v>
      </c>
      <c r="BG682" s="48"/>
      <c r="BI682" s="48" t="n">
        <v>46161</v>
      </c>
      <c r="BJ682" s="48" t="n">
        <v>46161</v>
      </c>
      <c r="BK682" s="49" t="s">
        <v>313</v>
      </c>
      <c r="BL682" s="49" t="s">
        <v>313</v>
      </c>
      <c r="BM682" s="49" t="s">
        <v>310</v>
      </c>
      <c r="BN682" s="48"/>
      <c r="BO682" s="48"/>
      <c r="BP682" s="48"/>
      <c r="BQ682" s="49" t="s">
        <v>3075</v>
      </c>
      <c r="BR682" s="48" t="n">
        <v>46155</v>
      </c>
      <c r="BS682" s="49" t="s">
        <v>3085</v>
      </c>
      <c r="BT682" s="49" t="s">
        <v>312</v>
      </c>
      <c r="BU682" s="49" t="s">
        <v>312</v>
      </c>
      <c r="BV682" s="49" t="s">
        <v>303</v>
      </c>
      <c r="BX682" s="0" t="n">
        <v>1</v>
      </c>
      <c r="CC682" s="49" t="s">
        <v>315</v>
      </c>
      <c r="CD682" s="49" t="s">
        <v>303</v>
      </c>
      <c r="CF682" s="49" t="s">
        <v>303</v>
      </c>
      <c r="CG682" s="49" t="s">
        <v>316</v>
      </c>
      <c r="CH682" s="49" t="s">
        <v>317</v>
      </c>
      <c r="CI682" s="49" t="s">
        <v>318</v>
      </c>
      <c r="CM682" s="49" t="s">
        <v>59</v>
      </c>
      <c r="CV682" s="49" t="s">
        <v>303</v>
      </c>
      <c r="DB682" s="49" t="s">
        <v>319</v>
      </c>
      <c r="DD682" s="48" t="n">
        <v>46128</v>
      </c>
      <c r="DF682" s="49" t="s">
        <v>310</v>
      </c>
      <c r="DG682" s="49" t="s">
        <v>320</v>
      </c>
      <c r="DH682" s="49" t="s">
        <v>58</v>
      </c>
      <c r="DI682" s="49" t="s">
        <v>298</v>
      </c>
      <c r="DJ682" s="49" t="s">
        <v>367</v>
      </c>
      <c r="DK682" s="49" t="s">
        <v>322</v>
      </c>
      <c r="DL682" s="49" t="s">
        <v>323</v>
      </c>
      <c r="DM682" s="49" t="s">
        <v>303</v>
      </c>
      <c r="DN682" s="49" t="s">
        <v>297</v>
      </c>
      <c r="DO682" s="48"/>
      <c r="DP682" s="49" t="s">
        <v>312</v>
      </c>
      <c r="DQ682" s="48"/>
      <c r="DR682" s="49" t="s">
        <v>312</v>
      </c>
      <c r="DS682" s="49" t="s">
        <v>303</v>
      </c>
      <c r="DT682" s="49" t="s">
        <v>303</v>
      </c>
      <c r="DW682" s="49" t="s">
        <v>303</v>
      </c>
      <c r="EA682" s="49" t="s">
        <v>324</v>
      </c>
      <c r="EB682" s="49" t="s">
        <v>303</v>
      </c>
      <c r="EF682" s="49" t="s">
        <v>3089</v>
      </c>
      <c r="EH682" s="49" t="s">
        <v>310</v>
      </c>
      <c r="EJ682" s="49" t="s">
        <v>303</v>
      </c>
      <c r="EK682" s="49" t="s">
        <v>3090</v>
      </c>
      <c r="EM682" s="49" t="s">
        <v>303</v>
      </c>
      <c r="EN682" s="49" t="s">
        <v>374</v>
      </c>
      <c r="EP682" s="49" t="s">
        <v>298</v>
      </c>
      <c r="EQ682" s="0" t="n">
        <v>1</v>
      </c>
      <c r="ER682" s="49" t="s">
        <v>328</v>
      </c>
      <c r="ES682" s="49" t="s">
        <v>342</v>
      </c>
      <c r="ET682" s="49" t="s">
        <v>310</v>
      </c>
      <c r="EU682" s="49" t="s">
        <v>310</v>
      </c>
      <c r="EV682" s="49" t="s">
        <v>310</v>
      </c>
      <c r="EX682" s="49" t="s">
        <v>303</v>
      </c>
      <c r="EY682" s="49" t="s">
        <v>303</v>
      </c>
      <c r="FC682" s="49" t="s">
        <v>330</v>
      </c>
      <c r="FD682" s="49" t="s">
        <v>310</v>
      </c>
      <c r="FE682" s="49" t="s">
        <v>310</v>
      </c>
      <c r="FF682" s="49" t="s">
        <v>58</v>
      </c>
      <c r="FG682" s="49" t="s">
        <v>375</v>
      </c>
      <c r="FH682" s="49" t="s">
        <v>310</v>
      </c>
      <c r="FI682" s="49" t="s">
        <v>332</v>
      </c>
      <c r="FJ682" s="49" t="s">
        <v>303</v>
      </c>
      <c r="FL682" s="49" t="s">
        <v>325</v>
      </c>
      <c r="FM682" s="49" t="s">
        <v>3075</v>
      </c>
      <c r="FP682" s="49" t="s">
        <v>303</v>
      </c>
      <c r="FR682" s="49" t="s">
        <v>303</v>
      </c>
      <c r="FT682" s="49" t="s">
        <v>325</v>
      </c>
      <c r="FU682" s="49" t="s">
        <v>325</v>
      </c>
      <c r="FW682" s="49" t="s">
        <v>333</v>
      </c>
    </row>
    <row r="683" customFormat="false" ht="15" hidden="false" customHeight="false" outlineLevel="0" collapsed="false">
      <c r="A683" s="0" t="n">
        <v>100861961</v>
      </c>
      <c r="B683" s="0" t="s">
        <v>295</v>
      </c>
      <c r="C683" s="0" t="s">
        <v>75</v>
      </c>
      <c r="D683" s="0" t="s">
        <v>492</v>
      </c>
      <c r="E683" s="0" t="s">
        <v>297</v>
      </c>
      <c r="G683" s="0" t="n">
        <v>1</v>
      </c>
      <c r="H683" s="0" t="s">
        <v>298</v>
      </c>
      <c r="I683" s="48" t="n">
        <v>46156</v>
      </c>
      <c r="J683" s="0" t="n">
        <v>1</v>
      </c>
      <c r="K683" s="49" t="s">
        <v>3075</v>
      </c>
      <c r="L683" s="49" t="s">
        <v>2810</v>
      </c>
      <c r="M683" s="48" t="n">
        <v>46258</v>
      </c>
      <c r="N683" s="49" t="s">
        <v>2082</v>
      </c>
      <c r="O683" s="49" t="s">
        <v>1052</v>
      </c>
      <c r="P683" s="48"/>
      <c r="Q683" s="48" t="n">
        <v>46156</v>
      </c>
      <c r="R683" s="48" t="n">
        <v>46174</v>
      </c>
      <c r="T683" s="49" t="s">
        <v>302</v>
      </c>
      <c r="U683" s="49" t="s">
        <v>303</v>
      </c>
      <c r="Y683" s="49" t="s">
        <v>3091</v>
      </c>
      <c r="AD683" s="49" t="s">
        <v>305</v>
      </c>
      <c r="AE683" s="48" t="n">
        <v>46135</v>
      </c>
      <c r="AF683" s="49" t="s">
        <v>306</v>
      </c>
      <c r="AG683" s="49" t="s">
        <v>307</v>
      </c>
      <c r="AK683" s="49" t="s">
        <v>1047</v>
      </c>
      <c r="AL683" s="49" t="s">
        <v>297</v>
      </c>
      <c r="AO683" s="49" t="s">
        <v>303</v>
      </c>
      <c r="AP683" s="48"/>
      <c r="AR683" s="49" t="s">
        <v>303</v>
      </c>
      <c r="AS683" s="49" t="s">
        <v>306</v>
      </c>
      <c r="AT683" s="49" t="s">
        <v>3092</v>
      </c>
      <c r="AV683" s="49" t="s">
        <v>309</v>
      </c>
      <c r="AW683" s="49" t="s">
        <v>310</v>
      </c>
      <c r="AX683" s="49" t="s">
        <v>311</v>
      </c>
      <c r="AY683" s="48"/>
      <c r="AZ683" s="48" t="n">
        <v>46162</v>
      </c>
      <c r="BC683" s="49" t="s">
        <v>303</v>
      </c>
      <c r="BD683" s="48" t="n">
        <v>46260</v>
      </c>
      <c r="BE683" s="49" t="s">
        <v>3093</v>
      </c>
      <c r="BF683" s="49" t="s">
        <v>303</v>
      </c>
      <c r="BG683" s="48"/>
      <c r="BI683" s="48" t="n">
        <v>46261</v>
      </c>
      <c r="BJ683" s="48" t="n">
        <v>46170</v>
      </c>
      <c r="BK683" s="49" t="s">
        <v>312</v>
      </c>
      <c r="BL683" s="49" t="s">
        <v>313</v>
      </c>
      <c r="BM683" s="49" t="s">
        <v>310</v>
      </c>
      <c r="BN683" s="48"/>
      <c r="BO683" s="48"/>
      <c r="BP683" s="48"/>
      <c r="BQ683" s="49" t="s">
        <v>3075</v>
      </c>
      <c r="BR683" s="48" t="n">
        <v>46170</v>
      </c>
      <c r="BS683" s="49" t="s">
        <v>3094</v>
      </c>
      <c r="BT683" s="49" t="s">
        <v>312</v>
      </c>
      <c r="BU683" s="49" t="s">
        <v>313</v>
      </c>
      <c r="BV683" s="49" t="s">
        <v>303</v>
      </c>
      <c r="BX683" s="0" t="n">
        <v>1</v>
      </c>
      <c r="CC683" s="49" t="s">
        <v>315</v>
      </c>
      <c r="CD683" s="49" t="s">
        <v>303</v>
      </c>
      <c r="CF683" s="49" t="s">
        <v>303</v>
      </c>
      <c r="CG683" s="49" t="s">
        <v>316</v>
      </c>
      <c r="CH683" s="49" t="s">
        <v>317</v>
      </c>
      <c r="CI683" s="49" t="s">
        <v>318</v>
      </c>
      <c r="CM683" s="49" t="s">
        <v>492</v>
      </c>
      <c r="CV683" s="49" t="s">
        <v>303</v>
      </c>
      <c r="DB683" s="49" t="s">
        <v>319</v>
      </c>
      <c r="DD683" s="48" t="n">
        <v>46135</v>
      </c>
      <c r="DF683" s="49" t="s">
        <v>310</v>
      </c>
      <c r="DG683" s="49" t="s">
        <v>320</v>
      </c>
      <c r="DH683" s="49" t="s">
        <v>75</v>
      </c>
      <c r="DI683" s="49" t="s">
        <v>298</v>
      </c>
      <c r="DJ683" s="49" t="s">
        <v>495</v>
      </c>
      <c r="DK683" s="49" t="s">
        <v>322</v>
      </c>
      <c r="DL683" s="49" t="s">
        <v>323</v>
      </c>
      <c r="DM683" s="49" t="s">
        <v>303</v>
      </c>
      <c r="DN683" s="49" t="s">
        <v>297</v>
      </c>
      <c r="DO683" s="48"/>
      <c r="DP683" s="49" t="s">
        <v>312</v>
      </c>
      <c r="DQ683" s="48"/>
      <c r="DR683" s="49" t="s">
        <v>312</v>
      </c>
      <c r="DS683" s="49" t="s">
        <v>303</v>
      </c>
      <c r="DT683" s="49" t="s">
        <v>303</v>
      </c>
      <c r="DW683" s="49" t="s">
        <v>303</v>
      </c>
      <c r="EA683" s="49" t="s">
        <v>324</v>
      </c>
      <c r="EB683" s="49" t="s">
        <v>303</v>
      </c>
      <c r="EH683" s="49" t="s">
        <v>310</v>
      </c>
      <c r="EJ683" s="49" t="s">
        <v>303</v>
      </c>
      <c r="EK683" s="49" t="s">
        <v>3095</v>
      </c>
      <c r="EM683" s="49" t="s">
        <v>303</v>
      </c>
      <c r="EN683" s="49" t="s">
        <v>497</v>
      </c>
      <c r="EP683" s="49" t="s">
        <v>298</v>
      </c>
      <c r="EQ683" s="0" t="n">
        <v>1</v>
      </c>
      <c r="ER683" s="49" t="s">
        <v>328</v>
      </c>
      <c r="ES683" s="49" t="s">
        <v>329</v>
      </c>
      <c r="ET683" s="49" t="s">
        <v>310</v>
      </c>
      <c r="EU683" s="49" t="s">
        <v>310</v>
      </c>
      <c r="EV683" s="49" t="s">
        <v>310</v>
      </c>
      <c r="EX683" s="49" t="s">
        <v>303</v>
      </c>
      <c r="EY683" s="49" t="s">
        <v>303</v>
      </c>
      <c r="FC683" s="49" t="s">
        <v>330</v>
      </c>
      <c r="FD683" s="49" t="s">
        <v>310</v>
      </c>
      <c r="FE683" s="49" t="s">
        <v>310</v>
      </c>
      <c r="FF683" s="49" t="s">
        <v>75</v>
      </c>
      <c r="FG683" s="49" t="s">
        <v>498</v>
      </c>
      <c r="FH683" s="49" t="s">
        <v>310</v>
      </c>
      <c r="FI683" s="49" t="s">
        <v>332</v>
      </c>
      <c r="FJ683" s="49" t="s">
        <v>303</v>
      </c>
      <c r="FL683" s="49" t="s">
        <v>325</v>
      </c>
      <c r="FM683" s="49" t="s">
        <v>1834</v>
      </c>
      <c r="FP683" s="49" t="s">
        <v>303</v>
      </c>
      <c r="FR683" s="49" t="s">
        <v>303</v>
      </c>
      <c r="FT683" s="49" t="s">
        <v>325</v>
      </c>
      <c r="FU683" s="49" t="s">
        <v>325</v>
      </c>
      <c r="FW683" s="49" t="s">
        <v>333</v>
      </c>
      <c r="FX683" s="49" t="s">
        <v>499</v>
      </c>
    </row>
    <row r="684" customFormat="false" ht="15" hidden="false" customHeight="false" outlineLevel="0" collapsed="false">
      <c r="A684" s="0" t="n">
        <v>100861120</v>
      </c>
      <c r="B684" s="0" t="s">
        <v>295</v>
      </c>
      <c r="C684" s="0" t="s">
        <v>61</v>
      </c>
      <c r="D684" s="0" t="s">
        <v>62</v>
      </c>
      <c r="E684" s="0" t="s">
        <v>297</v>
      </c>
      <c r="G684" s="0" t="n">
        <v>1</v>
      </c>
      <c r="H684" s="0" t="s">
        <v>298</v>
      </c>
      <c r="I684" s="48" t="n">
        <v>46148</v>
      </c>
      <c r="J684" s="0" t="n">
        <v>1</v>
      </c>
      <c r="K684" s="49" t="s">
        <v>3096</v>
      </c>
      <c r="L684" s="49" t="s">
        <v>2810</v>
      </c>
      <c r="M684" s="48" t="n">
        <v>46296</v>
      </c>
      <c r="N684" s="49" t="s">
        <v>2047</v>
      </c>
      <c r="O684" s="49" t="s">
        <v>3001</v>
      </c>
      <c r="P684" s="48"/>
      <c r="Q684" s="48" t="n">
        <v>46148</v>
      </c>
      <c r="R684" s="48" t="n">
        <v>46244</v>
      </c>
      <c r="T684" s="49" t="s">
        <v>302</v>
      </c>
      <c r="U684" s="49" t="s">
        <v>303</v>
      </c>
      <c r="Y684" s="49" t="s">
        <v>3097</v>
      </c>
      <c r="AD684" s="49" t="s">
        <v>305</v>
      </c>
      <c r="AE684" s="48" t="n">
        <v>46128</v>
      </c>
      <c r="AF684" s="49" t="s">
        <v>306</v>
      </c>
      <c r="AG684" s="49" t="s">
        <v>307</v>
      </c>
      <c r="AK684" s="49" t="s">
        <v>1047</v>
      </c>
      <c r="AL684" s="49" t="s">
        <v>297</v>
      </c>
      <c r="AO684" s="49" t="s">
        <v>303</v>
      </c>
      <c r="AP684" s="48"/>
      <c r="AR684" s="49" t="s">
        <v>303</v>
      </c>
      <c r="AS684" s="49" t="s">
        <v>306</v>
      </c>
      <c r="AT684" s="49" t="s">
        <v>3098</v>
      </c>
      <c r="AV684" s="49" t="s">
        <v>309</v>
      </c>
      <c r="AW684" s="49" t="s">
        <v>310</v>
      </c>
      <c r="AX684" s="49" t="s">
        <v>311</v>
      </c>
      <c r="AY684" s="48"/>
      <c r="AZ684" s="48" t="n">
        <v>46233</v>
      </c>
      <c r="BC684" s="49" t="s">
        <v>303</v>
      </c>
      <c r="BD684" s="48"/>
      <c r="BE684" s="49" t="s">
        <v>312</v>
      </c>
      <c r="BF684" s="49" t="s">
        <v>303</v>
      </c>
      <c r="BG684" s="48"/>
      <c r="BI684" s="48" t="n">
        <v>46244</v>
      </c>
      <c r="BJ684" s="48" t="n">
        <v>46240</v>
      </c>
      <c r="BK684" s="49" t="s">
        <v>312</v>
      </c>
      <c r="BL684" s="49" t="s">
        <v>313</v>
      </c>
      <c r="BM684" s="49" t="s">
        <v>310</v>
      </c>
      <c r="BN684" s="48"/>
      <c r="BO684" s="48"/>
      <c r="BP684" s="48"/>
      <c r="BQ684" s="49" t="s">
        <v>3096</v>
      </c>
      <c r="BR684" s="48" t="n">
        <v>46240</v>
      </c>
      <c r="BS684" s="49" t="s">
        <v>3099</v>
      </c>
      <c r="BT684" s="49" t="s">
        <v>312</v>
      </c>
      <c r="BU684" s="49" t="s">
        <v>313</v>
      </c>
      <c r="BV684" s="49" t="s">
        <v>303</v>
      </c>
      <c r="BX684" s="0" t="n">
        <v>0</v>
      </c>
      <c r="CC684" s="49" t="s">
        <v>315</v>
      </c>
      <c r="CD684" s="49" t="s">
        <v>303</v>
      </c>
      <c r="CF684" s="49" t="s">
        <v>303</v>
      </c>
      <c r="CG684" s="49" t="s">
        <v>316</v>
      </c>
      <c r="CH684" s="49" t="s">
        <v>317</v>
      </c>
      <c r="CI684" s="49" t="s">
        <v>318</v>
      </c>
      <c r="CM684" s="49" t="s">
        <v>62</v>
      </c>
      <c r="CV684" s="49" t="s">
        <v>303</v>
      </c>
      <c r="DB684" s="49" t="s">
        <v>319</v>
      </c>
      <c r="DD684" s="48" t="n">
        <v>46128</v>
      </c>
      <c r="DF684" s="49" t="s">
        <v>310</v>
      </c>
      <c r="DG684" s="49" t="s">
        <v>320</v>
      </c>
      <c r="DH684" s="49" t="s">
        <v>61</v>
      </c>
      <c r="DI684" s="49" t="s">
        <v>298</v>
      </c>
      <c r="DJ684" s="49" t="s">
        <v>381</v>
      </c>
      <c r="DK684" s="49" t="s">
        <v>322</v>
      </c>
      <c r="DL684" s="49" t="s">
        <v>323</v>
      </c>
      <c r="DM684" s="49" t="s">
        <v>303</v>
      </c>
      <c r="DN684" s="49" t="s">
        <v>297</v>
      </c>
      <c r="DO684" s="48"/>
      <c r="DP684" s="49" t="s">
        <v>312</v>
      </c>
      <c r="DQ684" s="48"/>
      <c r="DR684" s="49" t="s">
        <v>312</v>
      </c>
      <c r="DS684" s="49" t="s">
        <v>303</v>
      </c>
      <c r="DT684" s="49" t="s">
        <v>303</v>
      </c>
      <c r="DW684" s="49" t="s">
        <v>303</v>
      </c>
      <c r="EA684" s="49" t="s">
        <v>324</v>
      </c>
      <c r="EB684" s="49" t="s">
        <v>303</v>
      </c>
      <c r="EH684" s="49" t="s">
        <v>310</v>
      </c>
      <c r="EJ684" s="49" t="s">
        <v>303</v>
      </c>
      <c r="EK684" s="49" t="s">
        <v>3100</v>
      </c>
      <c r="EM684" s="49" t="s">
        <v>303</v>
      </c>
      <c r="EN684" s="49" t="s">
        <v>383</v>
      </c>
      <c r="EP684" s="49" t="s">
        <v>298</v>
      </c>
      <c r="EQ684" s="0" t="n">
        <v>1</v>
      </c>
      <c r="ER684" s="49" t="s">
        <v>328</v>
      </c>
      <c r="ES684" s="49" t="s">
        <v>384</v>
      </c>
      <c r="ET684" s="49" t="s">
        <v>310</v>
      </c>
      <c r="EU684" s="49" t="s">
        <v>310</v>
      </c>
      <c r="EV684" s="49" t="s">
        <v>310</v>
      </c>
      <c r="EX684" s="49" t="s">
        <v>303</v>
      </c>
      <c r="EY684" s="49" t="s">
        <v>303</v>
      </c>
      <c r="FC684" s="49" t="s">
        <v>330</v>
      </c>
      <c r="FD684" s="49" t="s">
        <v>310</v>
      </c>
      <c r="FE684" s="49" t="s">
        <v>310</v>
      </c>
      <c r="FF684" s="49" t="s">
        <v>61</v>
      </c>
      <c r="FG684" s="49" t="s">
        <v>385</v>
      </c>
      <c r="FH684" s="49" t="s">
        <v>310</v>
      </c>
      <c r="FI684" s="49" t="s">
        <v>332</v>
      </c>
      <c r="FJ684" s="49" t="s">
        <v>303</v>
      </c>
      <c r="FL684" s="49" t="s">
        <v>325</v>
      </c>
      <c r="FM684" s="49" t="s">
        <v>641</v>
      </c>
      <c r="FP684" s="49" t="s">
        <v>303</v>
      </c>
      <c r="FR684" s="49" t="s">
        <v>303</v>
      </c>
      <c r="FT684" s="49" t="s">
        <v>325</v>
      </c>
      <c r="FU684" s="49" t="s">
        <v>325</v>
      </c>
      <c r="FW684" s="49" t="s">
        <v>333</v>
      </c>
    </row>
    <row r="685" customFormat="false" ht="15" hidden="false" customHeight="false" outlineLevel="0" collapsed="false">
      <c r="A685" s="0" t="n">
        <v>100861122</v>
      </c>
      <c r="B685" s="0" t="s">
        <v>295</v>
      </c>
      <c r="C685" s="0" t="s">
        <v>61</v>
      </c>
      <c r="D685" s="0" t="s">
        <v>62</v>
      </c>
      <c r="E685" s="0" t="s">
        <v>297</v>
      </c>
      <c r="G685" s="0" t="n">
        <v>1</v>
      </c>
      <c r="H685" s="0" t="s">
        <v>298</v>
      </c>
      <c r="I685" s="48" t="n">
        <v>46148</v>
      </c>
      <c r="J685" s="0" t="n">
        <v>1</v>
      </c>
      <c r="K685" s="49" t="s">
        <v>3096</v>
      </c>
      <c r="L685" s="49" t="s">
        <v>2810</v>
      </c>
      <c r="M685" s="48"/>
      <c r="O685" s="49" t="s">
        <v>1052</v>
      </c>
      <c r="P685" s="48"/>
      <c r="Q685" s="48" t="n">
        <v>46148</v>
      </c>
      <c r="R685" s="48" t="n">
        <v>46154</v>
      </c>
      <c r="T685" s="49" t="s">
        <v>302</v>
      </c>
      <c r="U685" s="49" t="s">
        <v>303</v>
      </c>
      <c r="Y685" s="49" t="s">
        <v>312</v>
      </c>
      <c r="AD685" s="49" t="s">
        <v>305</v>
      </c>
      <c r="AE685" s="48" t="n">
        <v>46128</v>
      </c>
      <c r="AF685" s="49" t="s">
        <v>306</v>
      </c>
      <c r="AG685" s="49" t="s">
        <v>307</v>
      </c>
      <c r="AK685" s="49" t="s">
        <v>1047</v>
      </c>
      <c r="AL685" s="49" t="s">
        <v>297</v>
      </c>
      <c r="AO685" s="49" t="s">
        <v>303</v>
      </c>
      <c r="AP685" s="48"/>
      <c r="AR685" s="49" t="s">
        <v>303</v>
      </c>
      <c r="AS685" s="49" t="s">
        <v>306</v>
      </c>
      <c r="AT685" s="49" t="s">
        <v>3101</v>
      </c>
      <c r="AW685" s="49" t="s">
        <v>310</v>
      </c>
      <c r="AX685" s="49" t="s">
        <v>311</v>
      </c>
      <c r="AY685" s="48"/>
      <c r="AZ685" s="48" t="n">
        <v>46143</v>
      </c>
      <c r="BC685" s="49" t="s">
        <v>303</v>
      </c>
      <c r="BD685" s="48" t="n">
        <v>46187</v>
      </c>
      <c r="BE685" s="49" t="s">
        <v>3102</v>
      </c>
      <c r="BF685" s="49" t="s">
        <v>303</v>
      </c>
      <c r="BG685" s="48"/>
      <c r="BI685" s="48" t="n">
        <v>46187</v>
      </c>
      <c r="BJ685" s="48" t="n">
        <v>46153</v>
      </c>
      <c r="BK685" s="49" t="s">
        <v>313</v>
      </c>
      <c r="BL685" s="49" t="s">
        <v>313</v>
      </c>
      <c r="BM685" s="49" t="s">
        <v>310</v>
      </c>
      <c r="BN685" s="48"/>
      <c r="BO685" s="48"/>
      <c r="BP685" s="48"/>
      <c r="BQ685" s="49" t="s">
        <v>3096</v>
      </c>
      <c r="BR685" s="48" t="n">
        <v>46153</v>
      </c>
      <c r="BS685" s="49" t="s">
        <v>3103</v>
      </c>
      <c r="BT685" s="49" t="s">
        <v>312</v>
      </c>
      <c r="BU685" s="49" t="s">
        <v>313</v>
      </c>
      <c r="BV685" s="49" t="s">
        <v>303</v>
      </c>
      <c r="BX685" s="0" t="n">
        <v>1</v>
      </c>
      <c r="CC685" s="49" t="s">
        <v>315</v>
      </c>
      <c r="CD685" s="49" t="s">
        <v>303</v>
      </c>
      <c r="CF685" s="49" t="s">
        <v>303</v>
      </c>
      <c r="CG685" s="49" t="s">
        <v>316</v>
      </c>
      <c r="CH685" s="49" t="s">
        <v>317</v>
      </c>
      <c r="CI685" s="49" t="s">
        <v>318</v>
      </c>
      <c r="CM685" s="49" t="s">
        <v>62</v>
      </c>
      <c r="CV685" s="49" t="s">
        <v>303</v>
      </c>
      <c r="DB685" s="49" t="s">
        <v>319</v>
      </c>
      <c r="DD685" s="48" t="n">
        <v>46128</v>
      </c>
      <c r="DF685" s="49" t="s">
        <v>310</v>
      </c>
      <c r="DG685" s="49" t="s">
        <v>320</v>
      </c>
      <c r="DH685" s="49" t="s">
        <v>61</v>
      </c>
      <c r="DI685" s="49" t="s">
        <v>298</v>
      </c>
      <c r="DJ685" s="49" t="s">
        <v>381</v>
      </c>
      <c r="DK685" s="49" t="s">
        <v>322</v>
      </c>
      <c r="DL685" s="49" t="s">
        <v>323</v>
      </c>
      <c r="DM685" s="49" t="s">
        <v>303</v>
      </c>
      <c r="DN685" s="49" t="s">
        <v>297</v>
      </c>
      <c r="DO685" s="48"/>
      <c r="DP685" s="49" t="s">
        <v>312</v>
      </c>
      <c r="DQ685" s="48"/>
      <c r="DR685" s="49" t="s">
        <v>312</v>
      </c>
      <c r="DS685" s="49" t="s">
        <v>303</v>
      </c>
      <c r="DT685" s="49" t="s">
        <v>303</v>
      </c>
      <c r="DW685" s="49" t="s">
        <v>303</v>
      </c>
      <c r="EA685" s="49" t="s">
        <v>324</v>
      </c>
      <c r="EB685" s="49" t="s">
        <v>303</v>
      </c>
      <c r="EF685" s="49" t="s">
        <v>3104</v>
      </c>
      <c r="EH685" s="49" t="s">
        <v>310</v>
      </c>
      <c r="EJ685" s="49" t="s">
        <v>303</v>
      </c>
      <c r="EK685" s="49" t="s">
        <v>3105</v>
      </c>
      <c r="EM685" s="49" t="s">
        <v>303</v>
      </c>
      <c r="EN685" s="49" t="s">
        <v>383</v>
      </c>
      <c r="EP685" s="49" t="s">
        <v>298</v>
      </c>
      <c r="EQ685" s="0" t="n">
        <v>1</v>
      </c>
      <c r="ER685" s="49" t="s">
        <v>328</v>
      </c>
      <c r="ES685" s="49" t="s">
        <v>384</v>
      </c>
      <c r="ET685" s="49" t="s">
        <v>310</v>
      </c>
      <c r="EU685" s="49" t="s">
        <v>310</v>
      </c>
      <c r="EV685" s="49" t="s">
        <v>310</v>
      </c>
      <c r="EX685" s="49" t="s">
        <v>303</v>
      </c>
      <c r="EY685" s="49" t="s">
        <v>303</v>
      </c>
      <c r="FC685" s="49" t="s">
        <v>330</v>
      </c>
      <c r="FD685" s="49" t="s">
        <v>310</v>
      </c>
      <c r="FE685" s="49" t="s">
        <v>310</v>
      </c>
      <c r="FF685" s="49" t="s">
        <v>61</v>
      </c>
      <c r="FG685" s="49" t="s">
        <v>385</v>
      </c>
      <c r="FH685" s="49" t="s">
        <v>310</v>
      </c>
      <c r="FI685" s="49" t="s">
        <v>332</v>
      </c>
      <c r="FJ685" s="49" t="s">
        <v>303</v>
      </c>
      <c r="FL685" s="49" t="s">
        <v>325</v>
      </c>
      <c r="FM685" s="49" t="s">
        <v>3096</v>
      </c>
      <c r="FP685" s="49" t="s">
        <v>303</v>
      </c>
      <c r="FR685" s="49" t="s">
        <v>303</v>
      </c>
      <c r="FT685" s="49" t="s">
        <v>325</v>
      </c>
      <c r="FU685" s="49" t="s">
        <v>325</v>
      </c>
      <c r="FW685" s="49" t="s">
        <v>333</v>
      </c>
    </row>
    <row r="686" customFormat="false" ht="15" hidden="false" customHeight="false" outlineLevel="0" collapsed="false">
      <c r="A686" s="0" t="n">
        <v>100861124</v>
      </c>
      <c r="B686" s="0" t="s">
        <v>295</v>
      </c>
      <c r="C686" s="0" t="s">
        <v>61</v>
      </c>
      <c r="D686" s="0" t="s">
        <v>62</v>
      </c>
      <c r="E686" s="0" t="s">
        <v>297</v>
      </c>
      <c r="G686" s="0" t="n">
        <v>1</v>
      </c>
      <c r="H686" s="0" t="s">
        <v>298</v>
      </c>
      <c r="I686" s="48" t="n">
        <v>46148</v>
      </c>
      <c r="J686" s="0" t="n">
        <v>1</v>
      </c>
      <c r="K686" s="49" t="s">
        <v>3096</v>
      </c>
      <c r="L686" s="49" t="s">
        <v>2810</v>
      </c>
      <c r="M686" s="48"/>
      <c r="O686" s="49" t="s">
        <v>2803</v>
      </c>
      <c r="P686" s="48"/>
      <c r="Q686" s="48" t="n">
        <v>46148</v>
      </c>
      <c r="R686" s="48" t="n">
        <v>46154</v>
      </c>
      <c r="T686" s="49" t="s">
        <v>302</v>
      </c>
      <c r="U686" s="49" t="s">
        <v>303</v>
      </c>
      <c r="Y686" s="49" t="s">
        <v>312</v>
      </c>
      <c r="AD686" s="49" t="s">
        <v>305</v>
      </c>
      <c r="AE686" s="48" t="n">
        <v>46128</v>
      </c>
      <c r="AF686" s="49" t="s">
        <v>306</v>
      </c>
      <c r="AG686" s="49" t="s">
        <v>307</v>
      </c>
      <c r="AK686" s="49" t="s">
        <v>1047</v>
      </c>
      <c r="AL686" s="49" t="s">
        <v>297</v>
      </c>
      <c r="AO686" s="49" t="s">
        <v>303</v>
      </c>
      <c r="AP686" s="48"/>
      <c r="AR686" s="49" t="s">
        <v>303</v>
      </c>
      <c r="AS686" s="49" t="s">
        <v>306</v>
      </c>
      <c r="AT686" s="49" t="s">
        <v>3106</v>
      </c>
      <c r="AW686" s="49" t="s">
        <v>310</v>
      </c>
      <c r="AX686" s="49" t="s">
        <v>311</v>
      </c>
      <c r="AY686" s="48"/>
      <c r="AZ686" s="48" t="n">
        <v>46143</v>
      </c>
      <c r="BC686" s="49" t="s">
        <v>303</v>
      </c>
      <c r="BD686" s="48" t="n">
        <v>46161</v>
      </c>
      <c r="BE686" s="49" t="s">
        <v>2051</v>
      </c>
      <c r="BF686" s="49" t="s">
        <v>303</v>
      </c>
      <c r="BG686" s="48"/>
      <c r="BI686" s="48" t="n">
        <v>46161</v>
      </c>
      <c r="BJ686" s="48" t="n">
        <v>46153</v>
      </c>
      <c r="BK686" s="49" t="s">
        <v>313</v>
      </c>
      <c r="BL686" s="49" t="s">
        <v>313</v>
      </c>
      <c r="BM686" s="49" t="s">
        <v>310</v>
      </c>
      <c r="BN686" s="48"/>
      <c r="BO686" s="48"/>
      <c r="BP686" s="48"/>
      <c r="BQ686" s="49" t="s">
        <v>3096</v>
      </c>
      <c r="BR686" s="48" t="n">
        <v>46153</v>
      </c>
      <c r="BS686" s="49" t="s">
        <v>3107</v>
      </c>
      <c r="BT686" s="49" t="s">
        <v>312</v>
      </c>
      <c r="BU686" s="49" t="s">
        <v>313</v>
      </c>
      <c r="BV686" s="49" t="s">
        <v>303</v>
      </c>
      <c r="BX686" s="0" t="n">
        <v>1</v>
      </c>
      <c r="CC686" s="49" t="s">
        <v>315</v>
      </c>
      <c r="CD686" s="49" t="s">
        <v>303</v>
      </c>
      <c r="CF686" s="49" t="s">
        <v>303</v>
      </c>
      <c r="CG686" s="49" t="s">
        <v>316</v>
      </c>
      <c r="CH686" s="49" t="s">
        <v>317</v>
      </c>
      <c r="CI686" s="49" t="s">
        <v>318</v>
      </c>
      <c r="CM686" s="49" t="s">
        <v>62</v>
      </c>
      <c r="CV686" s="49" t="s">
        <v>303</v>
      </c>
      <c r="DB686" s="49" t="s">
        <v>319</v>
      </c>
      <c r="DD686" s="48" t="n">
        <v>46128</v>
      </c>
      <c r="DF686" s="49" t="s">
        <v>310</v>
      </c>
      <c r="DG686" s="49" t="s">
        <v>320</v>
      </c>
      <c r="DH686" s="49" t="s">
        <v>61</v>
      </c>
      <c r="DI686" s="49" t="s">
        <v>298</v>
      </c>
      <c r="DJ686" s="49" t="s">
        <v>381</v>
      </c>
      <c r="DK686" s="49" t="s">
        <v>322</v>
      </c>
      <c r="DL686" s="49" t="s">
        <v>323</v>
      </c>
      <c r="DM686" s="49" t="s">
        <v>303</v>
      </c>
      <c r="DN686" s="49" t="s">
        <v>297</v>
      </c>
      <c r="DO686" s="48"/>
      <c r="DP686" s="49" t="s">
        <v>312</v>
      </c>
      <c r="DQ686" s="48"/>
      <c r="DR686" s="49" t="s">
        <v>312</v>
      </c>
      <c r="DS686" s="49" t="s">
        <v>303</v>
      </c>
      <c r="DT686" s="49" t="s">
        <v>303</v>
      </c>
      <c r="DW686" s="49" t="s">
        <v>303</v>
      </c>
      <c r="EA686" s="49" t="s">
        <v>324</v>
      </c>
      <c r="EB686" s="49" t="s">
        <v>303</v>
      </c>
      <c r="EF686" s="49" t="s">
        <v>3104</v>
      </c>
      <c r="EH686" s="49" t="s">
        <v>310</v>
      </c>
      <c r="EJ686" s="49" t="s">
        <v>303</v>
      </c>
      <c r="EK686" s="49" t="s">
        <v>3108</v>
      </c>
      <c r="EM686" s="49" t="s">
        <v>303</v>
      </c>
      <c r="EN686" s="49" t="s">
        <v>383</v>
      </c>
      <c r="EP686" s="49" t="s">
        <v>298</v>
      </c>
      <c r="EQ686" s="0" t="n">
        <v>1</v>
      </c>
      <c r="ER686" s="49" t="s">
        <v>328</v>
      </c>
      <c r="ES686" s="49" t="s">
        <v>384</v>
      </c>
      <c r="ET686" s="49" t="s">
        <v>310</v>
      </c>
      <c r="EU686" s="49" t="s">
        <v>310</v>
      </c>
      <c r="EV686" s="49" t="s">
        <v>310</v>
      </c>
      <c r="EX686" s="49" t="s">
        <v>303</v>
      </c>
      <c r="EY686" s="49" t="s">
        <v>303</v>
      </c>
      <c r="FC686" s="49" t="s">
        <v>330</v>
      </c>
      <c r="FD686" s="49" t="s">
        <v>310</v>
      </c>
      <c r="FE686" s="49" t="s">
        <v>310</v>
      </c>
      <c r="FF686" s="49" t="s">
        <v>61</v>
      </c>
      <c r="FG686" s="49" t="s">
        <v>385</v>
      </c>
      <c r="FH686" s="49" t="s">
        <v>310</v>
      </c>
      <c r="FI686" s="49" t="s">
        <v>332</v>
      </c>
      <c r="FJ686" s="49" t="s">
        <v>303</v>
      </c>
      <c r="FL686" s="49" t="s">
        <v>325</v>
      </c>
      <c r="FM686" s="49" t="s">
        <v>3096</v>
      </c>
      <c r="FP686" s="49" t="s">
        <v>303</v>
      </c>
      <c r="FR686" s="49" t="s">
        <v>303</v>
      </c>
      <c r="FT686" s="49" t="s">
        <v>325</v>
      </c>
      <c r="FU686" s="49" t="s">
        <v>325</v>
      </c>
      <c r="FW686" s="49" t="s">
        <v>333</v>
      </c>
    </row>
    <row r="687" customFormat="false" ht="15" hidden="false" customHeight="false" outlineLevel="0" collapsed="false">
      <c r="A687" s="0" t="n">
        <v>100861160</v>
      </c>
      <c r="B687" s="0" t="s">
        <v>295</v>
      </c>
      <c r="C687" s="0" t="s">
        <v>48</v>
      </c>
      <c r="D687" s="0" t="s">
        <v>49</v>
      </c>
      <c r="E687" s="0" t="s">
        <v>297</v>
      </c>
      <c r="G687" s="0" t="n">
        <v>1</v>
      </c>
      <c r="H687" s="0" t="s">
        <v>298</v>
      </c>
      <c r="I687" s="48" t="n">
        <v>46148</v>
      </c>
      <c r="J687" s="0" t="n">
        <v>1</v>
      </c>
      <c r="K687" s="49" t="s">
        <v>3096</v>
      </c>
      <c r="L687" s="49" t="s">
        <v>2810</v>
      </c>
      <c r="M687" s="48" t="n">
        <v>46196</v>
      </c>
      <c r="N687" s="49" t="s">
        <v>2047</v>
      </c>
      <c r="O687" s="49" t="s">
        <v>2803</v>
      </c>
      <c r="P687" s="48"/>
      <c r="Q687" s="48" t="n">
        <v>46148</v>
      </c>
      <c r="R687" s="48" t="n">
        <v>46155</v>
      </c>
      <c r="T687" s="49" t="s">
        <v>302</v>
      </c>
      <c r="U687" s="49" t="s">
        <v>303</v>
      </c>
      <c r="Y687" s="49" t="s">
        <v>2918</v>
      </c>
      <c r="AD687" s="49" t="s">
        <v>305</v>
      </c>
      <c r="AE687" s="48" t="n">
        <v>46121</v>
      </c>
      <c r="AF687" s="49" t="s">
        <v>306</v>
      </c>
      <c r="AG687" s="49" t="s">
        <v>307</v>
      </c>
      <c r="AK687" s="49" t="s">
        <v>1047</v>
      </c>
      <c r="AL687" s="49" t="s">
        <v>297</v>
      </c>
      <c r="AO687" s="49" t="s">
        <v>303</v>
      </c>
      <c r="AP687" s="48"/>
      <c r="AR687" s="49" t="s">
        <v>303</v>
      </c>
      <c r="AS687" s="49" t="s">
        <v>306</v>
      </c>
      <c r="AT687" s="49" t="s">
        <v>3109</v>
      </c>
      <c r="AV687" s="49" t="s">
        <v>309</v>
      </c>
      <c r="AW687" s="49" t="s">
        <v>310</v>
      </c>
      <c r="AX687" s="49" t="s">
        <v>311</v>
      </c>
      <c r="AY687" s="48"/>
      <c r="AZ687" s="48" t="n">
        <v>46139</v>
      </c>
      <c r="BC687" s="49" t="s">
        <v>303</v>
      </c>
      <c r="BD687" s="48" t="n">
        <v>46197</v>
      </c>
      <c r="BE687" s="49" t="s">
        <v>3110</v>
      </c>
      <c r="BF687" s="49" t="s">
        <v>303</v>
      </c>
      <c r="BG687" s="48"/>
      <c r="BI687" s="48" t="n">
        <v>46161</v>
      </c>
      <c r="BJ687" s="48" t="n">
        <v>46153</v>
      </c>
      <c r="BK687" s="49" t="s">
        <v>312</v>
      </c>
      <c r="BL687" s="49" t="s">
        <v>313</v>
      </c>
      <c r="BM687" s="49" t="s">
        <v>310</v>
      </c>
      <c r="BN687" s="48"/>
      <c r="BO687" s="48"/>
      <c r="BP687" s="48"/>
      <c r="BQ687" s="49" t="s">
        <v>3096</v>
      </c>
      <c r="BR687" s="48" t="n">
        <v>46147</v>
      </c>
      <c r="BS687" s="49" t="s">
        <v>3111</v>
      </c>
      <c r="BT687" s="49" t="s">
        <v>312</v>
      </c>
      <c r="BU687" s="49" t="s">
        <v>312</v>
      </c>
      <c r="BV687" s="49" t="s">
        <v>303</v>
      </c>
      <c r="BX687" s="0" t="n">
        <v>1</v>
      </c>
      <c r="CC687" s="49" t="s">
        <v>315</v>
      </c>
      <c r="CD687" s="49" t="s">
        <v>303</v>
      </c>
      <c r="CF687" s="49" t="s">
        <v>303</v>
      </c>
      <c r="CG687" s="49" t="s">
        <v>316</v>
      </c>
      <c r="CH687" s="49" t="s">
        <v>317</v>
      </c>
      <c r="CI687" s="49" t="s">
        <v>318</v>
      </c>
      <c r="CM687" s="49" t="s">
        <v>49</v>
      </c>
      <c r="CV687" s="49" t="s">
        <v>303</v>
      </c>
      <c r="DB687" s="49" t="s">
        <v>319</v>
      </c>
      <c r="DD687" s="48" t="n">
        <v>46121</v>
      </c>
      <c r="DF687" s="49" t="s">
        <v>310</v>
      </c>
      <c r="DG687" s="49" t="s">
        <v>320</v>
      </c>
      <c r="DH687" s="49" t="s">
        <v>48</v>
      </c>
      <c r="DI687" s="49" t="s">
        <v>298</v>
      </c>
      <c r="DJ687" s="49" t="s">
        <v>339</v>
      </c>
      <c r="DK687" s="49" t="s">
        <v>322</v>
      </c>
      <c r="DL687" s="49" t="s">
        <v>323</v>
      </c>
      <c r="DM687" s="49" t="s">
        <v>303</v>
      </c>
      <c r="DN687" s="49" t="s">
        <v>297</v>
      </c>
      <c r="DO687" s="48"/>
      <c r="DP687" s="49" t="s">
        <v>312</v>
      </c>
      <c r="DQ687" s="48"/>
      <c r="DR687" s="49" t="s">
        <v>312</v>
      </c>
      <c r="DS687" s="49" t="s">
        <v>303</v>
      </c>
      <c r="DT687" s="49" t="s">
        <v>303</v>
      </c>
      <c r="DW687" s="49" t="s">
        <v>303</v>
      </c>
      <c r="EA687" s="49" t="s">
        <v>324</v>
      </c>
      <c r="EB687" s="49" t="s">
        <v>303</v>
      </c>
      <c r="EH687" s="49" t="s">
        <v>310</v>
      </c>
      <c r="EJ687" s="49" t="s">
        <v>303</v>
      </c>
      <c r="EK687" s="49" t="s">
        <v>3112</v>
      </c>
      <c r="EM687" s="49" t="s">
        <v>303</v>
      </c>
      <c r="EN687" s="49" t="s">
        <v>341</v>
      </c>
      <c r="EP687" s="49" t="s">
        <v>298</v>
      </c>
      <c r="EQ687" s="0" t="n">
        <v>1</v>
      </c>
      <c r="ER687" s="49" t="s">
        <v>328</v>
      </c>
      <c r="ES687" s="49" t="s">
        <v>342</v>
      </c>
      <c r="ET687" s="49" t="s">
        <v>310</v>
      </c>
      <c r="EU687" s="49" t="s">
        <v>310</v>
      </c>
      <c r="EV687" s="49" t="s">
        <v>310</v>
      </c>
      <c r="EX687" s="49" t="s">
        <v>303</v>
      </c>
      <c r="EY687" s="49" t="s">
        <v>303</v>
      </c>
      <c r="FC687" s="49" t="s">
        <v>330</v>
      </c>
      <c r="FD687" s="49" t="s">
        <v>310</v>
      </c>
      <c r="FE687" s="49" t="s">
        <v>310</v>
      </c>
      <c r="FF687" s="49" t="s">
        <v>48</v>
      </c>
      <c r="FG687" s="49" t="s">
        <v>343</v>
      </c>
      <c r="FH687" s="49" t="s">
        <v>310</v>
      </c>
      <c r="FI687" s="49" t="s">
        <v>332</v>
      </c>
      <c r="FJ687" s="49" t="s">
        <v>303</v>
      </c>
      <c r="FL687" s="49" t="s">
        <v>325</v>
      </c>
      <c r="FM687" s="49" t="s">
        <v>3113</v>
      </c>
      <c r="FP687" s="49" t="s">
        <v>303</v>
      </c>
      <c r="FR687" s="49" t="s">
        <v>303</v>
      </c>
      <c r="FT687" s="49" t="s">
        <v>325</v>
      </c>
      <c r="FU687" s="49" t="s">
        <v>325</v>
      </c>
      <c r="FW687" s="49" t="s">
        <v>333</v>
      </c>
    </row>
    <row r="688" customFormat="false" ht="15" hidden="false" customHeight="false" outlineLevel="0" collapsed="false">
      <c r="A688" s="0" t="n">
        <v>100861300</v>
      </c>
      <c r="B688" s="0" t="s">
        <v>295</v>
      </c>
      <c r="C688" s="0" t="s">
        <v>50</v>
      </c>
      <c r="D688" s="0" t="s">
        <v>51</v>
      </c>
      <c r="E688" s="0" t="s">
        <v>297</v>
      </c>
      <c r="G688" s="0" t="n">
        <v>1</v>
      </c>
      <c r="H688" s="0" t="s">
        <v>298</v>
      </c>
      <c r="I688" s="48" t="n">
        <v>46148</v>
      </c>
      <c r="J688" s="0" t="n">
        <v>1</v>
      </c>
      <c r="K688" s="49" t="s">
        <v>3096</v>
      </c>
      <c r="L688" s="49" t="s">
        <v>2810</v>
      </c>
      <c r="M688" s="48" t="n">
        <v>46156</v>
      </c>
      <c r="N688" s="49" t="s">
        <v>1573</v>
      </c>
      <c r="O688" s="49" t="s">
        <v>3033</v>
      </c>
      <c r="P688" s="48"/>
      <c r="Q688" s="48" t="n">
        <v>46148</v>
      </c>
      <c r="R688" s="48" t="n">
        <v>46155</v>
      </c>
      <c r="T688" s="49" t="s">
        <v>302</v>
      </c>
      <c r="U688" s="49" t="s">
        <v>303</v>
      </c>
      <c r="Y688" s="49" t="s">
        <v>3114</v>
      </c>
      <c r="AD688" s="49" t="s">
        <v>305</v>
      </c>
      <c r="AE688" s="48" t="n">
        <v>46121</v>
      </c>
      <c r="AF688" s="49" t="s">
        <v>306</v>
      </c>
      <c r="AG688" s="49" t="s">
        <v>307</v>
      </c>
      <c r="AK688" s="49" t="s">
        <v>1047</v>
      </c>
      <c r="AL688" s="49" t="s">
        <v>297</v>
      </c>
      <c r="AO688" s="49" t="s">
        <v>303</v>
      </c>
      <c r="AP688" s="48"/>
      <c r="AR688" s="49" t="s">
        <v>303</v>
      </c>
      <c r="AS688" s="49" t="s">
        <v>306</v>
      </c>
      <c r="AT688" s="49" t="s">
        <v>3115</v>
      </c>
      <c r="AV688" s="49" t="s">
        <v>309</v>
      </c>
      <c r="AW688" s="49" t="s">
        <v>310</v>
      </c>
      <c r="AX688" s="49" t="s">
        <v>311</v>
      </c>
      <c r="AY688" s="48"/>
      <c r="AZ688" s="48" t="n">
        <v>46139</v>
      </c>
      <c r="BC688" s="49" t="s">
        <v>303</v>
      </c>
      <c r="BD688" s="48" t="n">
        <v>46156</v>
      </c>
      <c r="BE688" s="49" t="s">
        <v>3116</v>
      </c>
      <c r="BF688" s="49" t="s">
        <v>303</v>
      </c>
      <c r="BG688" s="48"/>
      <c r="BI688" s="48" t="n">
        <v>46231</v>
      </c>
      <c r="BJ688" s="48" t="n">
        <v>46153</v>
      </c>
      <c r="BK688" s="49" t="s">
        <v>312</v>
      </c>
      <c r="BL688" s="49" t="s">
        <v>313</v>
      </c>
      <c r="BM688" s="49" t="s">
        <v>310</v>
      </c>
      <c r="BN688" s="48"/>
      <c r="BO688" s="48"/>
      <c r="BP688" s="48"/>
      <c r="BQ688" s="49" t="s">
        <v>3096</v>
      </c>
      <c r="BR688" s="48" t="n">
        <v>46147</v>
      </c>
      <c r="BS688" s="49" t="s">
        <v>3117</v>
      </c>
      <c r="BT688" s="49" t="s">
        <v>312</v>
      </c>
      <c r="BU688" s="49" t="s">
        <v>312</v>
      </c>
      <c r="BV688" s="49" t="s">
        <v>303</v>
      </c>
      <c r="BX688" s="0" t="n">
        <v>1</v>
      </c>
      <c r="CC688" s="49" t="s">
        <v>315</v>
      </c>
      <c r="CD688" s="49" t="s">
        <v>303</v>
      </c>
      <c r="CF688" s="49" t="s">
        <v>303</v>
      </c>
      <c r="CG688" s="49" t="s">
        <v>316</v>
      </c>
      <c r="CH688" s="49" t="s">
        <v>317</v>
      </c>
      <c r="CI688" s="49" t="s">
        <v>318</v>
      </c>
      <c r="CM688" s="49" t="s">
        <v>51</v>
      </c>
      <c r="CV688" s="49" t="s">
        <v>303</v>
      </c>
      <c r="DB688" s="49" t="s">
        <v>319</v>
      </c>
      <c r="DD688" s="48" t="n">
        <v>46121</v>
      </c>
      <c r="DF688" s="49" t="s">
        <v>310</v>
      </c>
      <c r="DG688" s="49" t="s">
        <v>320</v>
      </c>
      <c r="DH688" s="49" t="s">
        <v>50</v>
      </c>
      <c r="DI688" s="49" t="s">
        <v>298</v>
      </c>
      <c r="DJ688" s="49" t="s">
        <v>346</v>
      </c>
      <c r="DK688" s="49" t="s">
        <v>322</v>
      </c>
      <c r="DL688" s="49" t="s">
        <v>323</v>
      </c>
      <c r="DM688" s="49" t="s">
        <v>303</v>
      </c>
      <c r="DN688" s="49" t="s">
        <v>297</v>
      </c>
      <c r="DO688" s="48"/>
      <c r="DP688" s="49" t="s">
        <v>312</v>
      </c>
      <c r="DQ688" s="48"/>
      <c r="DR688" s="49" t="s">
        <v>312</v>
      </c>
      <c r="DS688" s="49" t="s">
        <v>303</v>
      </c>
      <c r="DT688" s="49" t="s">
        <v>303</v>
      </c>
      <c r="DW688" s="49" t="s">
        <v>303</v>
      </c>
      <c r="EA688" s="49" t="s">
        <v>324</v>
      </c>
      <c r="EB688" s="49" t="s">
        <v>303</v>
      </c>
      <c r="EH688" s="49" t="s">
        <v>310</v>
      </c>
      <c r="EJ688" s="49" t="s">
        <v>303</v>
      </c>
      <c r="EK688" s="49" t="s">
        <v>3118</v>
      </c>
      <c r="EM688" s="49" t="s">
        <v>303</v>
      </c>
      <c r="EN688" s="49" t="s">
        <v>348</v>
      </c>
      <c r="EP688" s="49" t="s">
        <v>298</v>
      </c>
      <c r="EQ688" s="0" t="n">
        <v>1</v>
      </c>
      <c r="ER688" s="49" t="s">
        <v>328</v>
      </c>
      <c r="ES688" s="49" t="s">
        <v>342</v>
      </c>
      <c r="ET688" s="49" t="s">
        <v>310</v>
      </c>
      <c r="EU688" s="49" t="s">
        <v>310</v>
      </c>
      <c r="EV688" s="49" t="s">
        <v>310</v>
      </c>
      <c r="EX688" s="49" t="s">
        <v>303</v>
      </c>
      <c r="EY688" s="49" t="s">
        <v>303</v>
      </c>
      <c r="FC688" s="49" t="s">
        <v>330</v>
      </c>
      <c r="FD688" s="49" t="s">
        <v>310</v>
      </c>
      <c r="FE688" s="49" t="s">
        <v>310</v>
      </c>
      <c r="FF688" s="49" t="s">
        <v>50</v>
      </c>
      <c r="FG688" s="49" t="s">
        <v>349</v>
      </c>
      <c r="FH688" s="49" t="s">
        <v>310</v>
      </c>
      <c r="FI688" s="49" t="s">
        <v>332</v>
      </c>
      <c r="FJ688" s="49" t="s">
        <v>303</v>
      </c>
      <c r="FL688" s="49" t="s">
        <v>325</v>
      </c>
      <c r="FM688" s="49" t="s">
        <v>3096</v>
      </c>
      <c r="FP688" s="49" t="s">
        <v>303</v>
      </c>
      <c r="FR688" s="49" t="s">
        <v>303</v>
      </c>
      <c r="FT688" s="49" t="s">
        <v>325</v>
      </c>
      <c r="FU688" s="49" t="s">
        <v>325</v>
      </c>
      <c r="FW688" s="49" t="s">
        <v>333</v>
      </c>
    </row>
    <row r="689" customFormat="false" ht="15" hidden="false" customHeight="false" outlineLevel="0" collapsed="false">
      <c r="A689" s="0" t="n">
        <v>100861301</v>
      </c>
      <c r="B689" s="0" t="s">
        <v>295</v>
      </c>
      <c r="C689" s="0" t="s">
        <v>50</v>
      </c>
      <c r="D689" s="0" t="s">
        <v>51</v>
      </c>
      <c r="E689" s="0" t="s">
        <v>297</v>
      </c>
      <c r="G689" s="0" t="n">
        <v>1</v>
      </c>
      <c r="H689" s="0" t="s">
        <v>298</v>
      </c>
      <c r="I689" s="48" t="n">
        <v>46148</v>
      </c>
      <c r="J689" s="0" t="n">
        <v>1</v>
      </c>
      <c r="K689" s="49" t="s">
        <v>3096</v>
      </c>
      <c r="L689" s="49" t="s">
        <v>2810</v>
      </c>
      <c r="M689" s="48" t="n">
        <v>46161</v>
      </c>
      <c r="N689" s="49" t="s">
        <v>2047</v>
      </c>
      <c r="O689" s="49" t="s">
        <v>3033</v>
      </c>
      <c r="P689" s="48"/>
      <c r="Q689" s="48" t="n">
        <v>46148</v>
      </c>
      <c r="R689" s="48" t="n">
        <v>46154</v>
      </c>
      <c r="T689" s="49" t="s">
        <v>302</v>
      </c>
      <c r="U689" s="49" t="s">
        <v>303</v>
      </c>
      <c r="Y689" s="49" t="s">
        <v>3119</v>
      </c>
      <c r="AD689" s="49" t="s">
        <v>305</v>
      </c>
      <c r="AE689" s="48" t="n">
        <v>46121</v>
      </c>
      <c r="AF689" s="49" t="s">
        <v>306</v>
      </c>
      <c r="AG689" s="49" t="s">
        <v>307</v>
      </c>
      <c r="AK689" s="49" t="s">
        <v>1047</v>
      </c>
      <c r="AL689" s="49" t="s">
        <v>297</v>
      </c>
      <c r="AO689" s="49" t="s">
        <v>303</v>
      </c>
      <c r="AP689" s="48"/>
      <c r="AR689" s="49" t="s">
        <v>303</v>
      </c>
      <c r="AS689" s="49" t="s">
        <v>306</v>
      </c>
      <c r="AT689" s="49" t="s">
        <v>3120</v>
      </c>
      <c r="AV689" s="49" t="s">
        <v>309</v>
      </c>
      <c r="AW689" s="49" t="s">
        <v>310</v>
      </c>
      <c r="AX689" s="49" t="s">
        <v>311</v>
      </c>
      <c r="AY689" s="48"/>
      <c r="AZ689" s="48" t="n">
        <v>46139</v>
      </c>
      <c r="BC689" s="49" t="s">
        <v>303</v>
      </c>
      <c r="BD689" s="48" t="n">
        <v>46158</v>
      </c>
      <c r="BE689" s="49" t="s">
        <v>3121</v>
      </c>
      <c r="BF689" s="49" t="s">
        <v>303</v>
      </c>
      <c r="BG689" s="48"/>
      <c r="BI689" s="48" t="n">
        <v>46161</v>
      </c>
      <c r="BJ689" s="48" t="n">
        <v>46153</v>
      </c>
      <c r="BK689" s="49" t="s">
        <v>313</v>
      </c>
      <c r="BL689" s="49" t="s">
        <v>313</v>
      </c>
      <c r="BM689" s="49" t="s">
        <v>310</v>
      </c>
      <c r="BN689" s="48"/>
      <c r="BO689" s="48"/>
      <c r="BP689" s="48"/>
      <c r="BQ689" s="49" t="s">
        <v>3096</v>
      </c>
      <c r="BR689" s="48" t="n">
        <v>46147</v>
      </c>
      <c r="BS689" s="49" t="s">
        <v>3117</v>
      </c>
      <c r="BT689" s="49" t="s">
        <v>312</v>
      </c>
      <c r="BU689" s="49" t="s">
        <v>312</v>
      </c>
      <c r="BV689" s="49" t="s">
        <v>303</v>
      </c>
      <c r="BX689" s="0" t="n">
        <v>1</v>
      </c>
      <c r="CC689" s="49" t="s">
        <v>315</v>
      </c>
      <c r="CD689" s="49" t="s">
        <v>303</v>
      </c>
      <c r="CF689" s="49" t="s">
        <v>303</v>
      </c>
      <c r="CG689" s="49" t="s">
        <v>316</v>
      </c>
      <c r="CH689" s="49" t="s">
        <v>317</v>
      </c>
      <c r="CI689" s="49" t="s">
        <v>318</v>
      </c>
      <c r="CM689" s="49" t="s">
        <v>51</v>
      </c>
      <c r="CV689" s="49" t="s">
        <v>303</v>
      </c>
      <c r="DB689" s="49" t="s">
        <v>319</v>
      </c>
      <c r="DD689" s="48" t="n">
        <v>46121</v>
      </c>
      <c r="DF689" s="49" t="s">
        <v>310</v>
      </c>
      <c r="DG689" s="49" t="s">
        <v>320</v>
      </c>
      <c r="DH689" s="49" t="s">
        <v>50</v>
      </c>
      <c r="DI689" s="49" t="s">
        <v>298</v>
      </c>
      <c r="DJ689" s="49" t="s">
        <v>346</v>
      </c>
      <c r="DK689" s="49" t="s">
        <v>322</v>
      </c>
      <c r="DL689" s="49" t="s">
        <v>323</v>
      </c>
      <c r="DM689" s="49" t="s">
        <v>303</v>
      </c>
      <c r="DN689" s="49" t="s">
        <v>297</v>
      </c>
      <c r="DO689" s="48"/>
      <c r="DP689" s="49" t="s">
        <v>312</v>
      </c>
      <c r="DQ689" s="48"/>
      <c r="DR689" s="49" t="s">
        <v>312</v>
      </c>
      <c r="DS689" s="49" t="s">
        <v>303</v>
      </c>
      <c r="DT689" s="49" t="s">
        <v>303</v>
      </c>
      <c r="DW689" s="49" t="s">
        <v>303</v>
      </c>
      <c r="EA689" s="49" t="s">
        <v>324</v>
      </c>
      <c r="EB689" s="49" t="s">
        <v>303</v>
      </c>
      <c r="EF689" s="49" t="s">
        <v>3122</v>
      </c>
      <c r="EH689" s="49" t="s">
        <v>310</v>
      </c>
      <c r="EJ689" s="49" t="s">
        <v>303</v>
      </c>
      <c r="EK689" s="49" t="s">
        <v>3123</v>
      </c>
      <c r="EM689" s="49" t="s">
        <v>303</v>
      </c>
      <c r="EN689" s="49" t="s">
        <v>348</v>
      </c>
      <c r="EP689" s="49" t="s">
        <v>298</v>
      </c>
      <c r="EQ689" s="0" t="n">
        <v>1</v>
      </c>
      <c r="ER689" s="49" t="s">
        <v>328</v>
      </c>
      <c r="ES689" s="49" t="s">
        <v>342</v>
      </c>
      <c r="ET689" s="49" t="s">
        <v>310</v>
      </c>
      <c r="EU689" s="49" t="s">
        <v>310</v>
      </c>
      <c r="EV689" s="49" t="s">
        <v>310</v>
      </c>
      <c r="EX689" s="49" t="s">
        <v>303</v>
      </c>
      <c r="EY689" s="49" t="s">
        <v>303</v>
      </c>
      <c r="FC689" s="49" t="s">
        <v>330</v>
      </c>
      <c r="FD689" s="49" t="s">
        <v>310</v>
      </c>
      <c r="FE689" s="49" t="s">
        <v>310</v>
      </c>
      <c r="FF689" s="49" t="s">
        <v>50</v>
      </c>
      <c r="FG689" s="49" t="s">
        <v>349</v>
      </c>
      <c r="FH689" s="49" t="s">
        <v>310</v>
      </c>
      <c r="FI689" s="49" t="s">
        <v>332</v>
      </c>
      <c r="FJ689" s="49" t="s">
        <v>303</v>
      </c>
      <c r="FL689" s="49" t="s">
        <v>325</v>
      </c>
      <c r="FM689" s="49" t="s">
        <v>3096</v>
      </c>
      <c r="FP689" s="49" t="s">
        <v>303</v>
      </c>
      <c r="FR689" s="49" t="s">
        <v>303</v>
      </c>
      <c r="FT689" s="49" t="s">
        <v>325</v>
      </c>
      <c r="FU689" s="49" t="s">
        <v>325</v>
      </c>
      <c r="FW689" s="49" t="s">
        <v>333</v>
      </c>
    </row>
    <row r="690" customFormat="false" ht="15" hidden="false" customHeight="false" outlineLevel="0" collapsed="false">
      <c r="A690" s="0" t="n">
        <v>100859014</v>
      </c>
      <c r="B690" s="0" t="s">
        <v>295</v>
      </c>
      <c r="C690" s="0" t="s">
        <v>53</v>
      </c>
      <c r="D690" s="0" t="s">
        <v>54</v>
      </c>
      <c r="E690" s="0" t="s">
        <v>297</v>
      </c>
      <c r="G690" s="0" t="n">
        <v>1</v>
      </c>
      <c r="H690" s="0" t="s">
        <v>298</v>
      </c>
      <c r="I690" s="48" t="n">
        <v>46132</v>
      </c>
      <c r="J690" s="0" t="n">
        <v>1</v>
      </c>
      <c r="K690" s="49" t="s">
        <v>3124</v>
      </c>
      <c r="L690" s="49" t="s">
        <v>2810</v>
      </c>
      <c r="M690" s="48" t="n">
        <v>46146</v>
      </c>
      <c r="N690" s="49" t="s">
        <v>1630</v>
      </c>
      <c r="O690" s="49" t="s">
        <v>1052</v>
      </c>
      <c r="P690" s="48"/>
      <c r="Q690" s="48" t="n">
        <v>46132</v>
      </c>
      <c r="R690" s="48" t="n">
        <v>46153</v>
      </c>
      <c r="T690" s="49" t="s">
        <v>302</v>
      </c>
      <c r="U690" s="49" t="s">
        <v>303</v>
      </c>
      <c r="Y690" s="49" t="s">
        <v>3125</v>
      </c>
      <c r="AD690" s="49" t="s">
        <v>305</v>
      </c>
      <c r="AE690" s="48" t="n">
        <v>46112</v>
      </c>
      <c r="AF690" s="49" t="s">
        <v>306</v>
      </c>
      <c r="AG690" s="49" t="s">
        <v>307</v>
      </c>
      <c r="AK690" s="49" t="s">
        <v>1047</v>
      </c>
      <c r="AL690" s="49" t="s">
        <v>297</v>
      </c>
      <c r="AO690" s="49" t="s">
        <v>303</v>
      </c>
      <c r="AP690" s="48"/>
      <c r="AR690" s="49" t="s">
        <v>303</v>
      </c>
      <c r="AS690" s="49" t="s">
        <v>306</v>
      </c>
      <c r="AT690" s="49" t="s">
        <v>3126</v>
      </c>
      <c r="AV690" s="49" t="s">
        <v>309</v>
      </c>
      <c r="AW690" s="49" t="s">
        <v>310</v>
      </c>
      <c r="AX690" s="49" t="s">
        <v>311</v>
      </c>
      <c r="AY690" s="48"/>
      <c r="AZ690" s="48" t="n">
        <v>46141</v>
      </c>
      <c r="BC690" s="49" t="s">
        <v>303</v>
      </c>
      <c r="BD690" s="48" t="n">
        <v>46153</v>
      </c>
      <c r="BE690" s="49" t="s">
        <v>3127</v>
      </c>
      <c r="BF690" s="49" t="s">
        <v>303</v>
      </c>
      <c r="BG690" s="48"/>
      <c r="BI690" s="48" t="n">
        <v>46153</v>
      </c>
      <c r="BJ690" s="48" t="n">
        <v>46149</v>
      </c>
      <c r="BK690" s="49" t="s">
        <v>312</v>
      </c>
      <c r="BL690" s="49" t="s">
        <v>313</v>
      </c>
      <c r="BM690" s="49" t="s">
        <v>310</v>
      </c>
      <c r="BN690" s="48"/>
      <c r="BO690" s="48"/>
      <c r="BP690" s="48"/>
      <c r="BQ690" s="49" t="s">
        <v>3124</v>
      </c>
      <c r="BR690" s="48" t="n">
        <v>46149</v>
      </c>
      <c r="BS690" s="49" t="s">
        <v>3128</v>
      </c>
      <c r="BT690" s="49" t="s">
        <v>312</v>
      </c>
      <c r="BU690" s="49" t="s">
        <v>313</v>
      </c>
      <c r="BV690" s="49" t="s">
        <v>303</v>
      </c>
      <c r="BX690" s="0" t="n">
        <v>1</v>
      </c>
      <c r="CC690" s="49" t="s">
        <v>315</v>
      </c>
      <c r="CD690" s="49" t="s">
        <v>303</v>
      </c>
      <c r="CF690" s="49" t="s">
        <v>303</v>
      </c>
      <c r="CG690" s="49" t="s">
        <v>316</v>
      </c>
      <c r="CH690" s="49" t="s">
        <v>317</v>
      </c>
      <c r="CI690" s="49" t="s">
        <v>318</v>
      </c>
      <c r="CM690" s="49" t="s">
        <v>54</v>
      </c>
      <c r="CV690" s="49" t="s">
        <v>303</v>
      </c>
      <c r="DB690" s="49" t="s">
        <v>319</v>
      </c>
      <c r="DD690" s="48" t="n">
        <v>46112</v>
      </c>
      <c r="DF690" s="49" t="s">
        <v>310</v>
      </c>
      <c r="DG690" s="49" t="s">
        <v>320</v>
      </c>
      <c r="DH690" s="49" t="s">
        <v>53</v>
      </c>
      <c r="DI690" s="49" t="s">
        <v>298</v>
      </c>
      <c r="DJ690" s="49" t="s">
        <v>355</v>
      </c>
      <c r="DK690" s="49" t="s">
        <v>322</v>
      </c>
      <c r="DL690" s="49" t="s">
        <v>323</v>
      </c>
      <c r="DM690" s="49" t="s">
        <v>303</v>
      </c>
      <c r="DN690" s="49" t="s">
        <v>297</v>
      </c>
      <c r="DO690" s="48"/>
      <c r="DP690" s="49" t="s">
        <v>312</v>
      </c>
      <c r="DQ690" s="48"/>
      <c r="DR690" s="49" t="s">
        <v>312</v>
      </c>
      <c r="DS690" s="49" t="s">
        <v>303</v>
      </c>
      <c r="DT690" s="49" t="s">
        <v>303</v>
      </c>
      <c r="DW690" s="49" t="s">
        <v>303</v>
      </c>
      <c r="EA690" s="49" t="s">
        <v>324</v>
      </c>
      <c r="EB690" s="49" t="s">
        <v>303</v>
      </c>
      <c r="EH690" s="49" t="s">
        <v>310</v>
      </c>
      <c r="EJ690" s="49" t="s">
        <v>303</v>
      </c>
      <c r="EK690" s="49" t="s">
        <v>3129</v>
      </c>
      <c r="EM690" s="49" t="s">
        <v>303</v>
      </c>
      <c r="EN690" s="49" t="s">
        <v>357</v>
      </c>
      <c r="EP690" s="49" t="s">
        <v>298</v>
      </c>
      <c r="EQ690" s="0" t="n">
        <v>1</v>
      </c>
      <c r="ER690" s="49" t="s">
        <v>328</v>
      </c>
      <c r="ES690" s="49" t="s">
        <v>358</v>
      </c>
      <c r="ET690" s="49" t="s">
        <v>310</v>
      </c>
      <c r="EU690" s="49" t="s">
        <v>310</v>
      </c>
      <c r="EV690" s="49" t="s">
        <v>310</v>
      </c>
      <c r="EX690" s="49" t="s">
        <v>303</v>
      </c>
      <c r="EY690" s="49" t="s">
        <v>303</v>
      </c>
      <c r="FC690" s="49" t="s">
        <v>330</v>
      </c>
      <c r="FD690" s="49" t="s">
        <v>310</v>
      </c>
      <c r="FE690" s="49" t="s">
        <v>310</v>
      </c>
      <c r="FF690" s="49" t="s">
        <v>53</v>
      </c>
      <c r="FG690" s="49" t="s">
        <v>359</v>
      </c>
      <c r="FH690" s="49" t="s">
        <v>310</v>
      </c>
      <c r="FI690" s="49" t="s">
        <v>332</v>
      </c>
      <c r="FJ690" s="49" t="s">
        <v>303</v>
      </c>
      <c r="FL690" s="49" t="s">
        <v>325</v>
      </c>
      <c r="FM690" s="49" t="s">
        <v>3130</v>
      </c>
      <c r="FP690" s="49" t="s">
        <v>303</v>
      </c>
      <c r="FR690" s="49" t="s">
        <v>303</v>
      </c>
      <c r="FT690" s="49" t="s">
        <v>325</v>
      </c>
      <c r="FU690" s="49" t="s">
        <v>325</v>
      </c>
      <c r="FW690" s="49" t="s">
        <v>333</v>
      </c>
    </row>
    <row r="691" customFormat="false" ht="15" hidden="false" customHeight="false" outlineLevel="0" collapsed="false">
      <c r="A691" s="0" t="n">
        <v>100859015</v>
      </c>
      <c r="B691" s="0" t="s">
        <v>295</v>
      </c>
      <c r="C691" s="0" t="s">
        <v>53</v>
      </c>
      <c r="D691" s="0" t="s">
        <v>54</v>
      </c>
      <c r="E691" s="0" t="s">
        <v>297</v>
      </c>
      <c r="G691" s="0" t="n">
        <v>1</v>
      </c>
      <c r="H691" s="0" t="s">
        <v>298</v>
      </c>
      <c r="I691" s="48" t="n">
        <v>46132</v>
      </c>
      <c r="J691" s="0" t="n">
        <v>1</v>
      </c>
      <c r="K691" s="49" t="s">
        <v>3124</v>
      </c>
      <c r="L691" s="49" t="s">
        <v>2810</v>
      </c>
      <c r="M691" s="48" t="n">
        <v>46146</v>
      </c>
      <c r="N691" s="49" t="s">
        <v>1630</v>
      </c>
      <c r="O691" s="49" t="s">
        <v>1052</v>
      </c>
      <c r="P691" s="48"/>
      <c r="Q691" s="48" t="n">
        <v>46132</v>
      </c>
      <c r="R691" s="48" t="n">
        <v>46153</v>
      </c>
      <c r="T691" s="49" t="s">
        <v>302</v>
      </c>
      <c r="U691" s="49" t="s">
        <v>303</v>
      </c>
      <c r="Y691" s="49" t="s">
        <v>3131</v>
      </c>
      <c r="AD691" s="49" t="s">
        <v>305</v>
      </c>
      <c r="AE691" s="48" t="n">
        <v>46112</v>
      </c>
      <c r="AF691" s="49" t="s">
        <v>306</v>
      </c>
      <c r="AG691" s="49" t="s">
        <v>307</v>
      </c>
      <c r="AK691" s="49" t="s">
        <v>1047</v>
      </c>
      <c r="AL691" s="49" t="s">
        <v>297</v>
      </c>
      <c r="AO691" s="49" t="s">
        <v>303</v>
      </c>
      <c r="AP691" s="48"/>
      <c r="AR691" s="49" t="s">
        <v>303</v>
      </c>
      <c r="AS691" s="49" t="s">
        <v>306</v>
      </c>
      <c r="AT691" s="49" t="s">
        <v>3132</v>
      </c>
      <c r="AV691" s="49" t="s">
        <v>309</v>
      </c>
      <c r="AW691" s="49" t="s">
        <v>310</v>
      </c>
      <c r="AX691" s="49" t="s">
        <v>311</v>
      </c>
      <c r="AY691" s="48"/>
      <c r="AZ691" s="48" t="n">
        <v>46142</v>
      </c>
      <c r="BC691" s="49" t="s">
        <v>303</v>
      </c>
      <c r="BD691" s="48" t="n">
        <v>46153</v>
      </c>
      <c r="BE691" s="49" t="s">
        <v>3127</v>
      </c>
      <c r="BF691" s="49" t="s">
        <v>303</v>
      </c>
      <c r="BG691" s="48"/>
      <c r="BI691" s="48" t="n">
        <v>46153</v>
      </c>
      <c r="BJ691" s="48" t="n">
        <v>46152</v>
      </c>
      <c r="BK691" s="49" t="s">
        <v>313</v>
      </c>
      <c r="BL691" s="49" t="s">
        <v>313</v>
      </c>
      <c r="BM691" s="49" t="s">
        <v>310</v>
      </c>
      <c r="BN691" s="48"/>
      <c r="BO691" s="48"/>
      <c r="BP691" s="48"/>
      <c r="BQ691" s="49" t="s">
        <v>3124</v>
      </c>
      <c r="BR691" s="48" t="n">
        <v>46152</v>
      </c>
      <c r="BS691" s="49" t="s">
        <v>3133</v>
      </c>
      <c r="BT691" s="49" t="s">
        <v>312</v>
      </c>
      <c r="BU691" s="49" t="s">
        <v>313</v>
      </c>
      <c r="BV691" s="49" t="s">
        <v>303</v>
      </c>
      <c r="BX691" s="0" t="n">
        <v>1</v>
      </c>
      <c r="CC691" s="49" t="s">
        <v>315</v>
      </c>
      <c r="CD691" s="49" t="s">
        <v>303</v>
      </c>
      <c r="CF691" s="49" t="s">
        <v>303</v>
      </c>
      <c r="CG691" s="49" t="s">
        <v>316</v>
      </c>
      <c r="CH691" s="49" t="s">
        <v>317</v>
      </c>
      <c r="CI691" s="49" t="s">
        <v>318</v>
      </c>
      <c r="CM691" s="49" t="s">
        <v>54</v>
      </c>
      <c r="CV691" s="49" t="s">
        <v>303</v>
      </c>
      <c r="DB691" s="49" t="s">
        <v>319</v>
      </c>
      <c r="DD691" s="48" t="n">
        <v>46112</v>
      </c>
      <c r="DF691" s="49" t="s">
        <v>310</v>
      </c>
      <c r="DG691" s="49" t="s">
        <v>320</v>
      </c>
      <c r="DH691" s="49" t="s">
        <v>53</v>
      </c>
      <c r="DI691" s="49" t="s">
        <v>298</v>
      </c>
      <c r="DJ691" s="49" t="s">
        <v>355</v>
      </c>
      <c r="DK691" s="49" t="s">
        <v>322</v>
      </c>
      <c r="DL691" s="49" t="s">
        <v>323</v>
      </c>
      <c r="DM691" s="49" t="s">
        <v>303</v>
      </c>
      <c r="DN691" s="49" t="s">
        <v>297</v>
      </c>
      <c r="DO691" s="48"/>
      <c r="DP691" s="49" t="s">
        <v>312</v>
      </c>
      <c r="DQ691" s="48"/>
      <c r="DR691" s="49" t="s">
        <v>312</v>
      </c>
      <c r="DS691" s="49" t="s">
        <v>303</v>
      </c>
      <c r="DT691" s="49" t="s">
        <v>303</v>
      </c>
      <c r="DW691" s="49" t="s">
        <v>303</v>
      </c>
      <c r="EA691" s="49" t="s">
        <v>324</v>
      </c>
      <c r="EB691" s="49" t="s">
        <v>303</v>
      </c>
      <c r="EF691" s="49" t="s">
        <v>3134</v>
      </c>
      <c r="EH691" s="49" t="s">
        <v>310</v>
      </c>
      <c r="EJ691" s="49" t="s">
        <v>303</v>
      </c>
      <c r="EK691" s="49" t="s">
        <v>3135</v>
      </c>
      <c r="EM691" s="49" t="s">
        <v>303</v>
      </c>
      <c r="EN691" s="49" t="s">
        <v>357</v>
      </c>
      <c r="EP691" s="49" t="s">
        <v>298</v>
      </c>
      <c r="EQ691" s="0" t="n">
        <v>1</v>
      </c>
      <c r="ER691" s="49" t="s">
        <v>328</v>
      </c>
      <c r="ES691" s="49" t="s">
        <v>358</v>
      </c>
      <c r="ET691" s="49" t="s">
        <v>310</v>
      </c>
      <c r="EU691" s="49" t="s">
        <v>310</v>
      </c>
      <c r="EV691" s="49" t="s">
        <v>310</v>
      </c>
      <c r="EX691" s="49" t="s">
        <v>303</v>
      </c>
      <c r="EY691" s="49" t="s">
        <v>303</v>
      </c>
      <c r="FC691" s="49" t="s">
        <v>330</v>
      </c>
      <c r="FD691" s="49" t="s">
        <v>310</v>
      </c>
      <c r="FE691" s="49" t="s">
        <v>310</v>
      </c>
      <c r="FF691" s="49" t="s">
        <v>53</v>
      </c>
      <c r="FG691" s="49" t="s">
        <v>359</v>
      </c>
      <c r="FH691" s="49" t="s">
        <v>310</v>
      </c>
      <c r="FI691" s="49" t="s">
        <v>332</v>
      </c>
      <c r="FJ691" s="49" t="s">
        <v>303</v>
      </c>
      <c r="FL691" s="49" t="s">
        <v>325</v>
      </c>
      <c r="FM691" s="49" t="s">
        <v>3130</v>
      </c>
      <c r="FP691" s="49" t="s">
        <v>303</v>
      </c>
      <c r="FR691" s="49" t="s">
        <v>303</v>
      </c>
      <c r="FT691" s="49" t="s">
        <v>325</v>
      </c>
      <c r="FU691" s="49" t="s">
        <v>325</v>
      </c>
      <c r="FW691" s="49" t="s">
        <v>333</v>
      </c>
    </row>
    <row r="692" customFormat="false" ht="15" hidden="false" customHeight="false" outlineLevel="0" collapsed="false">
      <c r="A692" s="0" t="n">
        <v>100859016</v>
      </c>
      <c r="B692" s="0" t="s">
        <v>295</v>
      </c>
      <c r="C692" s="0" t="s">
        <v>53</v>
      </c>
      <c r="D692" s="0" t="s">
        <v>54</v>
      </c>
      <c r="E692" s="0" t="s">
        <v>297</v>
      </c>
      <c r="G692" s="0" t="n">
        <v>1</v>
      </c>
      <c r="H692" s="0" t="s">
        <v>298</v>
      </c>
      <c r="I692" s="48" t="n">
        <v>46132</v>
      </c>
      <c r="J692" s="0" t="n">
        <v>1</v>
      </c>
      <c r="K692" s="49" t="s">
        <v>3124</v>
      </c>
      <c r="L692" s="49" t="s">
        <v>2810</v>
      </c>
      <c r="M692" s="48" t="n">
        <v>46146</v>
      </c>
      <c r="N692" s="49" t="s">
        <v>1630</v>
      </c>
      <c r="O692" s="49" t="s">
        <v>1052</v>
      </c>
      <c r="P692" s="48"/>
      <c r="Q692" s="48" t="n">
        <v>46132</v>
      </c>
      <c r="R692" s="48" t="n">
        <v>46153</v>
      </c>
      <c r="T692" s="49" t="s">
        <v>302</v>
      </c>
      <c r="U692" s="49" t="s">
        <v>303</v>
      </c>
      <c r="Y692" s="49" t="s">
        <v>3136</v>
      </c>
      <c r="AD692" s="49" t="s">
        <v>305</v>
      </c>
      <c r="AE692" s="48" t="n">
        <v>46112</v>
      </c>
      <c r="AF692" s="49" t="s">
        <v>306</v>
      </c>
      <c r="AG692" s="49" t="s">
        <v>307</v>
      </c>
      <c r="AK692" s="49" t="s">
        <v>1047</v>
      </c>
      <c r="AL692" s="49" t="s">
        <v>297</v>
      </c>
      <c r="AO692" s="49" t="s">
        <v>303</v>
      </c>
      <c r="AP692" s="48"/>
      <c r="AR692" s="49" t="s">
        <v>303</v>
      </c>
      <c r="AS692" s="49" t="s">
        <v>306</v>
      </c>
      <c r="AT692" s="49" t="s">
        <v>3137</v>
      </c>
      <c r="AV692" s="49" t="s">
        <v>309</v>
      </c>
      <c r="AW692" s="49" t="s">
        <v>310</v>
      </c>
      <c r="AX692" s="49" t="s">
        <v>311</v>
      </c>
      <c r="AY692" s="48"/>
      <c r="AZ692" s="48" t="n">
        <v>46142</v>
      </c>
      <c r="BC692" s="49" t="s">
        <v>303</v>
      </c>
      <c r="BD692" s="48" t="n">
        <v>46153</v>
      </c>
      <c r="BE692" s="49" t="s">
        <v>3138</v>
      </c>
      <c r="BF692" s="49" t="s">
        <v>303</v>
      </c>
      <c r="BG692" s="48"/>
      <c r="BI692" s="48" t="n">
        <v>46153</v>
      </c>
      <c r="BJ692" s="48" t="n">
        <v>46152</v>
      </c>
      <c r="BK692" s="49" t="s">
        <v>313</v>
      </c>
      <c r="BL692" s="49" t="s">
        <v>313</v>
      </c>
      <c r="BM692" s="49" t="s">
        <v>310</v>
      </c>
      <c r="BN692" s="48"/>
      <c r="BO692" s="48"/>
      <c r="BP692" s="48"/>
      <c r="BQ692" s="49" t="s">
        <v>3124</v>
      </c>
      <c r="BR692" s="48" t="n">
        <v>46152</v>
      </c>
      <c r="BS692" s="49" t="s">
        <v>3133</v>
      </c>
      <c r="BT692" s="49" t="s">
        <v>312</v>
      </c>
      <c r="BU692" s="49" t="s">
        <v>313</v>
      </c>
      <c r="BV692" s="49" t="s">
        <v>303</v>
      </c>
      <c r="BX692" s="0" t="n">
        <v>1</v>
      </c>
      <c r="CC692" s="49" t="s">
        <v>315</v>
      </c>
      <c r="CD692" s="49" t="s">
        <v>303</v>
      </c>
      <c r="CF692" s="49" t="s">
        <v>303</v>
      </c>
      <c r="CG692" s="49" t="s">
        <v>316</v>
      </c>
      <c r="CH692" s="49" t="s">
        <v>317</v>
      </c>
      <c r="CI692" s="49" t="s">
        <v>318</v>
      </c>
      <c r="CM692" s="49" t="s">
        <v>54</v>
      </c>
      <c r="CV692" s="49" t="s">
        <v>303</v>
      </c>
      <c r="DB692" s="49" t="s">
        <v>319</v>
      </c>
      <c r="DD692" s="48" t="n">
        <v>46112</v>
      </c>
      <c r="DF692" s="49" t="s">
        <v>310</v>
      </c>
      <c r="DG692" s="49" t="s">
        <v>320</v>
      </c>
      <c r="DH692" s="49" t="s">
        <v>53</v>
      </c>
      <c r="DI692" s="49" t="s">
        <v>298</v>
      </c>
      <c r="DJ692" s="49" t="s">
        <v>355</v>
      </c>
      <c r="DK692" s="49" t="s">
        <v>322</v>
      </c>
      <c r="DL692" s="49" t="s">
        <v>323</v>
      </c>
      <c r="DM692" s="49" t="s">
        <v>303</v>
      </c>
      <c r="DN692" s="49" t="s">
        <v>297</v>
      </c>
      <c r="DO692" s="48"/>
      <c r="DP692" s="49" t="s">
        <v>312</v>
      </c>
      <c r="DQ692" s="48"/>
      <c r="DR692" s="49" t="s">
        <v>312</v>
      </c>
      <c r="DS692" s="49" t="s">
        <v>303</v>
      </c>
      <c r="DT692" s="49" t="s">
        <v>303</v>
      </c>
      <c r="DW692" s="49" t="s">
        <v>303</v>
      </c>
      <c r="EA692" s="49" t="s">
        <v>324</v>
      </c>
      <c r="EB692" s="49" t="s">
        <v>303</v>
      </c>
      <c r="EF692" s="49" t="s">
        <v>3134</v>
      </c>
      <c r="EH692" s="49" t="s">
        <v>310</v>
      </c>
      <c r="EJ692" s="49" t="s">
        <v>303</v>
      </c>
      <c r="EK692" s="49" t="s">
        <v>3139</v>
      </c>
      <c r="EM692" s="49" t="s">
        <v>303</v>
      </c>
      <c r="EN692" s="49" t="s">
        <v>357</v>
      </c>
      <c r="EP692" s="49" t="s">
        <v>298</v>
      </c>
      <c r="EQ692" s="0" t="n">
        <v>1</v>
      </c>
      <c r="ER692" s="49" t="s">
        <v>328</v>
      </c>
      <c r="ES692" s="49" t="s">
        <v>358</v>
      </c>
      <c r="ET692" s="49" t="s">
        <v>310</v>
      </c>
      <c r="EU692" s="49" t="s">
        <v>310</v>
      </c>
      <c r="EV692" s="49" t="s">
        <v>310</v>
      </c>
      <c r="EX692" s="49" t="s">
        <v>303</v>
      </c>
      <c r="EY692" s="49" t="s">
        <v>303</v>
      </c>
      <c r="FC692" s="49" t="s">
        <v>330</v>
      </c>
      <c r="FD692" s="49" t="s">
        <v>310</v>
      </c>
      <c r="FE692" s="49" t="s">
        <v>310</v>
      </c>
      <c r="FF692" s="49" t="s">
        <v>53</v>
      </c>
      <c r="FG692" s="49" t="s">
        <v>359</v>
      </c>
      <c r="FH692" s="49" t="s">
        <v>310</v>
      </c>
      <c r="FI692" s="49" t="s">
        <v>332</v>
      </c>
      <c r="FJ692" s="49" t="s">
        <v>303</v>
      </c>
      <c r="FL692" s="49" t="s">
        <v>325</v>
      </c>
      <c r="FM692" s="49" t="s">
        <v>3130</v>
      </c>
      <c r="FP692" s="49" t="s">
        <v>303</v>
      </c>
      <c r="FR692" s="49" t="s">
        <v>303</v>
      </c>
      <c r="FT692" s="49" t="s">
        <v>325</v>
      </c>
      <c r="FU692" s="49" t="s">
        <v>325</v>
      </c>
      <c r="FW692" s="49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2026-10-04T05:53:46Z</dcterms:created>
  <dc:creator>openpyxl</dc:creator>
  <dc:description/>
  <dc:language>en-US</dc:language>
  <cp:lastModifiedBy/>
  <dcterms:modified xsi:type="dcterms:W3CDTF">2026-10-04T05:53:48Z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