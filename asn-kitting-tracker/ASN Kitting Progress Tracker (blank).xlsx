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 Me" sheetId="1" state="visible" r:id="rId1"/>
    <sheet xmlns:r="http://schemas.openxmlformats.org/officeDocument/2006/relationships" name="Dashboard" sheetId="2" state="visible" r:id="rId2"/>
    <sheet xmlns:r="http://schemas.openxmlformats.org/officeDocument/2006/relationships" name="Repeater View" sheetId="3" state="visible" r:id="rId3"/>
    <sheet xmlns:r="http://schemas.openxmlformats.org/officeDocument/2006/relationships" name="Record Kitting" sheetId="4" state="visible" r:id="rId4"/>
    <sheet xmlns:r="http://schemas.openxmlformats.org/officeDocument/2006/relationships" name="Kitting Log" sheetId="5" state="visible" r:id="rId5"/>
    <sheet xmlns:r="http://schemas.openxmlformats.org/officeDocument/2006/relationships" name="Settings" sheetId="6" state="visible" r:id="rId6"/>
    <sheet xmlns:r="http://schemas.openxmlformats.org/officeDocument/2006/relationships" name="COOIS Review" sheetId="7" state="visible" r:id="rId7"/>
    <sheet xmlns:r="http://schemas.openxmlformats.org/officeDocument/2006/relationships" name="ASP" sheetId="8" state="visible" r:id="rId8"/>
    <sheet xmlns:r="http://schemas.openxmlformats.org/officeDocument/2006/relationships" name="COOIS" sheetId="9" state="visible" r:id="rId9"/>
    <sheet xmlns:r="http://schemas.openxmlformats.org/officeDocument/2006/relationships" name="Calc" sheetId="10" state="visible" r:id="rId10"/>
  </sheets>
  <definedNames>
    <definedName name="RptDate">IF(Settings!$C$6="",TODAY(),Settings!$C$6)</definedName>
    <definedName name="ThisMon">RptDate-WEEKDAY(RptDate,2)+1</definedName>
    <definedName name="KitLead">Settings!$C$7</definedName>
    <definedName name="Rv_Key">'COOIS Review'!$A$6:$A$20005</definedName>
    <definedName name="Rv_Mat">'COOIS Review'!$B$6:$B$20005</definedName>
    <definedName name="Rv_Qty">'COOIS Review'!$D$6:$D$20005</definedName>
    <definedName name="Rv_Rel">'COOIS Review'!$E$6:$E$20005</definedName>
    <definedName name="Rv_CLSD">'COOIS Review'!$K$6:$K$20005</definedName>
    <definedName name="Rv_Entry">'COOIS Review'!$N$6:$N$20005</definedName>
    <definedName name="Rv_Review">'COOIS Review'!$P$6:$P$20005</definedName>
    <definedName name="WkHdr">Calc!$Q$1:$ALL$1</definedName>
    <definedName name="WkASPMon">Calc!$Q$2:$ALL$2</definedName>
    <definedName name="WkKitMon">Calc!$Q$3:$ALL$3</definedName>
    <definedName name="WkKitLbl">Calc!$Q$4:$ALL$4</definedName>
    <definedName name="AspWeeks">ASP!$Q$2:$ALL$1000</definedName>
    <definedName name="P_ProjId">Calc!$B$8:$B$1006</definedName>
    <definedName name="P_ProjName">Calc!$C$8:$C$1006</definedName>
    <definedName name="P_Product">Calc!$D$8:$D$1006</definedName>
    <definedName name="P_ProdId">Calc!$F$8:$F$1006</definedName>
    <definedName name="P_Var">Calc!$G$8:$G$1006</definedName>
    <definedName name="P_System">Calc!$K$8:$K$1006</definedName>
    <definedName name="P_Planned">Calc!$L$8:$L$1006</definedName>
    <definedName name="P_WSum">Calc!$P$8:$P$1006</definedName>
    <definedName name="P_DueEnd">Calc!$Q$8:$Q$1006</definedName>
    <definedName name="P_DueBefore">Calc!$R$8:$R$1006</definedName>
    <definedName name="P_Next4">Calc!$S$8:$S$1006</definedName>
    <definedName name="P_RowOK">Calc!$T$8:$T$1006</definedName>
    <definedName name="P_Valid">Calc!$U$8:$U$1006</definedName>
    <definedName name="P_Lines">Calc!$V$8:$V$1006</definedName>
    <definedName name="P_Built">Calc!$W$8:$W$1006</definedName>
    <definedName name="P_Complete">Calc!$X$8:$X$1006</definedName>
    <definedName name="P_Partial">Calc!$Y$8:$Y$1006</definedName>
    <definedName name="P_Remaining">Calc!$Z$8:$Z$1006</definedName>
    <definedName name="P_Pct">Calc!$AA$8:$AA$1006</definedName>
    <definedName name="P_DueThis">Calc!$AB$8:$AB$1006</definedName>
    <definedName name="P_Behind">Calc!$AC$8:$AC$1006</definedName>
    <definedName name="P_Short">Calc!$AD$8:$AD$1006</definedName>
    <definedName name="P_TopDiff">Calc!$AE$8:$AE$1006</definedName>
    <definedName name="P_Status">Calc!$AF$8:$AF$1006</definedName>
    <definedName name="L_Var">Calc!$AH$8:$AH$2007</definedName>
    <definedName name="L_Stage">Calc!$AI$8:$AI$2007</definedName>
    <definedName name="L_Code">Calc!$AK$8:$AK$2007</definedName>
    <definedName name="L_Rec">Calc!$AN$8:$AN$2007</definedName>
    <definedName name="L_Alloc">Calc!$AO$8:$AO$2007</definedName>
    <definedName name="L_Cov">Calc!$AP$8:$AP$2007</definedName>
    <definedName name="L_Short">Calc!$AQ$8:$AQ$2007</definedName>
    <definedName name="L_CovReps">Calc!$AS$8:$AS$2007</definedName>
    <definedName name="L_StartReps">Calc!$AT$8:$AT$2007</definedName>
    <definedName name="L_Avail">Calc!$AW$8:$AW$2007</definedName>
    <definedName name="ProductList">Calc!$BA$8:$BA$200</definedName>
    <definedName name="ProjectList">Calc!$BB$8:$BB$400</definedName>
    <definedName name="VariantAllList">Calc!$BC$8:$BC$600</definedName>
    <definedName name="VariantList">Calc!$BD$8:$BD$400</definedName>
    <definedName name="StageList">Calc!$BE$8:$BE$100</definedName>
    <definedName name="CodeList">Calc!$BF$8:$BF$200</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dd-mmm-yyyy"/>
    <numFmt numFmtId="165" formatCode="dd-mmm-yy"/>
    <numFmt numFmtId="166" formatCode="0.##"/>
  </numFmts>
  <fonts count="25">
    <font>
      <name val="Calibri"/>
      <family val="2"/>
      <color theme="1"/>
      <sz val="11"/>
      <scheme val="minor"/>
    </font>
    <font>
      <name val="Arial"/>
      <b val="1"/>
      <color rgb="0017324D"/>
      <sz val="18"/>
    </font>
    <font>
      <name val="Arial"/>
      <i val="1"/>
      <color rgb="005D6576"/>
      <sz val="10"/>
    </font>
    <font>
      <name val="Arial"/>
      <b val="1"/>
      <color rgb="000E7C7B"/>
      <sz val="12"/>
    </font>
    <font>
      <name val="Arial"/>
      <color rgb="001E2433"/>
      <sz val="10"/>
    </font>
    <font>
      <name val="Arial"/>
      <i val="1"/>
      <color rgb="005D6576"/>
      <sz val="9"/>
    </font>
    <font>
      <name val="Arial"/>
      <b val="1"/>
      <color rgb="00FFFFFF"/>
      <sz val="9"/>
    </font>
    <font>
      <name val="Arial"/>
      <b val="1"/>
      <color rgb="001E2433"/>
      <sz val="10"/>
    </font>
    <font>
      <name val="Arial"/>
      <color rgb="005D6576"/>
      <sz val="9"/>
    </font>
    <font>
      <name val="Arial"/>
      <b val="1"/>
      <color rgb="0017324D"/>
      <sz val="12"/>
    </font>
    <font>
      <name val="Arial"/>
      <b val="1"/>
      <color rgb="00B42318"/>
      <sz val="12"/>
    </font>
    <font>
      <name val="Arial"/>
      <b val="1"/>
      <color rgb="005D6576"/>
      <sz val="11"/>
    </font>
    <font>
      <name val="Arial"/>
      <i val="1"/>
      <color rgb="005D6576"/>
      <sz val="8"/>
    </font>
    <font>
      <name val="Arial"/>
      <b val="1"/>
      <color rgb="00B42318"/>
      <sz val="9"/>
    </font>
    <font>
      <name val="Arial"/>
      <b val="1"/>
      <color rgb="001E2433"/>
      <sz val="11"/>
    </font>
    <font>
      <name val="Arial"/>
      <color rgb="009AA1AE"/>
      <sz val="8"/>
    </font>
    <font>
      <name val="Arial"/>
      <b val="1"/>
      <color rgb="005D6576"/>
      <sz val="8"/>
    </font>
    <font>
      <name val="Arial"/>
      <b val="1"/>
      <color rgb="0017324D"/>
      <sz val="20"/>
    </font>
    <font>
      <name val="Arial"/>
      <b val="1"/>
      <color rgb="00B42318"/>
      <sz val="20"/>
    </font>
    <font>
      <name val="Arial"/>
      <b val="1"/>
      <color rgb="009A5B00"/>
      <sz val="20"/>
    </font>
    <font>
      <name val="Arial"/>
      <b val="1"/>
      <color rgb="001E2433"/>
      <sz val="9"/>
    </font>
    <font>
      <name val="Arial"/>
      <color rgb="001E2433"/>
      <sz val="9"/>
    </font>
    <font>
      <name val="Arial"/>
      <b val="1"/>
      <color rgb="0017324D"/>
      <sz val="9"/>
    </font>
    <font>
      <name val="Arial"/>
      <i val="1"/>
      <color rgb="009A5B00"/>
      <sz val="9"/>
    </font>
    <font>
      <name val="Arial"/>
      <color rgb="005D6576"/>
      <sz val="10"/>
    </font>
  </fonts>
  <fills count="10">
    <fill>
      <patternFill/>
    </fill>
    <fill>
      <patternFill patternType="gray125"/>
    </fill>
    <fill>
      <patternFill patternType="solid">
        <fgColor rgb="00FFF4BF"/>
        <bgColor rgb="00FFF4BF"/>
      </patternFill>
    </fill>
    <fill>
      <patternFill patternType="solid">
        <fgColor rgb="0017324D"/>
        <bgColor rgb="0017324D"/>
      </patternFill>
    </fill>
    <fill>
      <patternFill patternType="solid">
        <fgColor rgb="00E7E9ED"/>
        <bgColor rgb="00E7E9ED"/>
      </patternFill>
    </fill>
    <fill>
      <patternFill patternType="solid">
        <fgColor rgb="002F5AAE"/>
        <bgColor rgb="002F5AAE"/>
      </patternFill>
    </fill>
    <fill>
      <patternFill patternType="solid">
        <fgColor rgb="008A94A6"/>
        <bgColor rgb="008A94A6"/>
      </patternFill>
    </fill>
    <fill>
      <patternFill patternType="solid">
        <fgColor rgb="000E7C7B"/>
        <bgColor rgb="000E7C7B"/>
      </patternFill>
    </fill>
    <fill>
      <patternFill patternType="solid">
        <fgColor rgb="001E7B4F"/>
        <bgColor rgb="001E7B4F"/>
      </patternFill>
    </fill>
    <fill>
      <patternFill patternType="solid">
        <fgColor rgb="00F2F4F7"/>
        <bgColor rgb="00F2F4F7"/>
      </patternFill>
    </fill>
  </fills>
  <borders count="6">
    <border>
      <left/>
      <right/>
      <top/>
      <bottom/>
      <diagonal/>
    </border>
    <border>
      <left style="thin">
        <color rgb="00D5DAE1"/>
      </left>
      <right style="thin">
        <color rgb="00D5DAE1"/>
      </right>
      <top style="thin">
        <color rgb="00D5DAE1"/>
      </top>
      <bottom style="thin">
        <color rgb="00D5DAE1"/>
      </bottom>
    </border>
    <border>
      <left/>
      <right/>
      <top style="thin">
        <color rgb="00D5DAE1"/>
      </top>
      <bottom/>
      <diagonal/>
    </border>
    <border>
      <left/>
      <right style="thin">
        <color rgb="00D5DAE1"/>
      </right>
      <top style="thin">
        <color rgb="00D5DAE1"/>
      </top>
      <bottom/>
      <diagonal/>
    </border>
    <border>
      <left/>
      <right style="thin">
        <color rgb="00D5DAE1"/>
      </right>
      <top style="thin">
        <color rgb="00D5DAE1"/>
      </top>
      <bottom style="thin">
        <color rgb="00D5DAE1"/>
      </bottom>
      <diagonal/>
    </border>
    <border>
      <left/>
      <right/>
      <top style="thin">
        <color rgb="00D5DAE1"/>
      </top>
      <bottom style="thin">
        <color rgb="00D5DAE1"/>
      </bottom>
      <diagonal/>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4" fillId="0" borderId="0" pivotButton="0" quotePrefix="0" xfId="0"/>
    <xf numFmtId="0" fontId="4" fillId="0" borderId="0" applyAlignment="1" pivotButton="0" quotePrefix="0" xfId="0">
      <alignment vertical="top" wrapText="1"/>
    </xf>
    <xf numFmtId="0" fontId="15" fillId="0" borderId="0" pivotButton="0" quotePrefix="0" xfId="0"/>
    <xf numFmtId="0" fontId="7" fillId="0" borderId="0" applyAlignment="1" pivotButton="0" quotePrefix="0" xfId="0">
      <alignment horizontal="right" vertical="center"/>
    </xf>
    <xf numFmtId="0" fontId="14" fillId="2" borderId="1"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22" fillId="0" borderId="0" applyAlignment="1" pivotButton="0" quotePrefix="0" xfId="0">
      <alignment vertical="top" wrapText="1"/>
    </xf>
    <xf numFmtId="0" fontId="8" fillId="0" borderId="0" applyAlignment="1" pivotButton="0" quotePrefix="0" xfId="0">
      <alignment vertical="top" wrapText="1"/>
    </xf>
    <xf numFmtId="0" fontId="16" fillId="9" borderId="0" applyAlignment="1" pivotButton="0" quotePrefix="0" xfId="0">
      <alignment horizontal="center" vertical="center" wrapText="1"/>
    </xf>
    <xf numFmtId="0" fontId="0" fillId="9" borderId="0" pivotButton="0" quotePrefix="0" xfId="0"/>
    <xf numFmtId="0" fontId="17" fillId="9" borderId="0" applyAlignment="1" pivotButton="0" quotePrefix="0" xfId="0">
      <alignment horizontal="center" vertical="center" wrapText="1"/>
    </xf>
    <xf numFmtId="9" fontId="17" fillId="9" borderId="0" applyAlignment="1" pivotButton="0" quotePrefix="0" xfId="0">
      <alignment horizontal="center" vertical="center" wrapText="1"/>
    </xf>
    <xf numFmtId="0" fontId="19" fillId="9" borderId="0" applyAlignment="1" pivotButton="0" quotePrefix="0" xfId="0">
      <alignment horizontal="center" vertical="center" wrapText="1"/>
    </xf>
    <xf numFmtId="0" fontId="18" fillId="9" borderId="0" applyAlignment="1" pivotButton="0" quotePrefix="0" xfId="0">
      <alignment horizontal="center" vertical="center" wrapText="1"/>
    </xf>
    <xf numFmtId="0" fontId="12" fillId="9" borderId="0" applyAlignment="1" pivotButton="0" quotePrefix="0" xfId="0">
      <alignment horizontal="center" vertical="center" wrapText="1"/>
    </xf>
    <xf numFmtId="0" fontId="20" fillId="0" borderId="0" applyAlignment="1" pivotButton="0" quotePrefix="0" xfId="0">
      <alignment horizontal="left" vertical="center" wrapText="1"/>
    </xf>
    <xf numFmtId="0" fontId="21" fillId="0" borderId="0" applyAlignment="1" pivotButton="0" quotePrefix="0" xfId="0">
      <alignment horizontal="left" vertical="center"/>
    </xf>
    <xf numFmtId="0" fontId="6" fillId="3" borderId="1" applyAlignment="1" pivotButton="0" quotePrefix="0" xfId="0">
      <alignment horizontal="center" vertical="center" wrapText="1"/>
    </xf>
    <xf numFmtId="9" fontId="0" fillId="0" borderId="0" pivotButton="0" quotePrefix="0" xfId="0"/>
    <xf numFmtId="0" fontId="7" fillId="0" borderId="0" applyAlignment="1" pivotButton="0" quotePrefix="0" xfId="0">
      <alignment horizontal="left" vertical="center" wrapText="1"/>
    </xf>
    <xf numFmtId="0" fontId="9" fillId="9" borderId="0" applyAlignment="1" pivotButton="0" quotePrefix="0" xfId="0">
      <alignment horizontal="center" vertical="center" wrapText="1"/>
    </xf>
    <xf numFmtId="0" fontId="23" fillId="0" borderId="0" pivotButton="0" quotePrefix="0" xfId="0"/>
    <xf numFmtId="0" fontId="21" fillId="0" borderId="0" applyAlignment="1" pivotButton="0" quotePrefix="0" xfId="0">
      <alignment horizontal="left" vertical="center" wrapText="1"/>
    </xf>
    <xf numFmtId="0" fontId="13" fillId="0" borderId="0" applyAlignment="1" pivotButton="0" quotePrefix="0" xfId="0">
      <alignment vertical="top" wrapText="1"/>
    </xf>
    <xf numFmtId="0" fontId="4" fillId="0" borderId="0" applyAlignment="1" pivotButton="0" quotePrefix="0" xfId="0">
      <alignment horizontal="left" vertical="center" wrapText="1"/>
    </xf>
    <xf numFmtId="165" fontId="0" fillId="2" borderId="1" applyProtection="1" pivotButton="0" quotePrefix="0" xfId="0">
      <protection locked="0" hidden="0"/>
    </xf>
    <xf numFmtId="0" fontId="0" fillId="0" borderId="0" applyAlignment="1" pivotButton="0" quotePrefix="0" xfId="0">
      <alignment vertical="top" wrapText="1"/>
    </xf>
    <xf numFmtId="49" fontId="0" fillId="2" borderId="1" applyProtection="1" pivotButton="0" quotePrefix="0" xfId="0">
      <protection locked="0" hidden="0"/>
    </xf>
    <xf numFmtId="166" fontId="0" fillId="2" borderId="1" applyProtection="1" pivotButton="0" quotePrefix="0" xfId="0">
      <protection locked="0" hidden="0"/>
    </xf>
    <xf numFmtId="1" fontId="0" fillId="2" borderId="1" applyProtection="1" pivotButton="0" quotePrefix="0" xfId="0">
      <protection locked="0" hidden="0"/>
    </xf>
    <xf numFmtId="0" fontId="12" fillId="0" borderId="0" applyAlignment="1" pivotButton="0" quotePrefix="0" xfId="0">
      <alignment vertical="top"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165" fontId="0" fillId="0" borderId="0" pivotButton="0" quotePrefix="0" xfId="0"/>
    <xf numFmtId="0" fontId="5" fillId="0" borderId="0" applyAlignment="1" pivotButton="0" quotePrefix="0" xfId="0">
      <alignment horizontal="left" vertical="center" wrapText="1"/>
    </xf>
    <xf numFmtId="0" fontId="4" fillId="0" borderId="0" applyProtection="1" pivotButton="0" quotePrefix="0" xfId="0">
      <protection locked="0" hidden="0"/>
    </xf>
    <xf numFmtId="165" fontId="4" fillId="0" borderId="0" applyProtection="1" pivotButton="0" quotePrefix="0" xfId="0">
      <protection locked="0" hidden="0"/>
    </xf>
    <xf numFmtId="0" fontId="8" fillId="4" borderId="0" pivotButton="0" quotePrefix="0" xfId="0"/>
    <xf numFmtId="164" fontId="0" fillId="2" borderId="1" applyProtection="1" pivotButton="0" quotePrefix="0" xfId="0">
      <protection locked="0" hidden="0"/>
    </xf>
    <xf numFmtId="0" fontId="5" fillId="0" borderId="0" applyAlignment="1" pivotButton="0" quotePrefix="0" xfId="0">
      <alignment vertical="top" wrapText="1"/>
    </xf>
    <xf numFmtId="0" fontId="9" fillId="0" borderId="0" pivotButton="0" quotePrefix="0" xfId="0"/>
    <xf numFmtId="0" fontId="10" fillId="0" borderId="0" pivotButton="0" quotePrefix="0" xfId="0"/>
    <xf numFmtId="0" fontId="6" fillId="5" borderId="1" applyAlignment="1" pivotButton="0" quotePrefix="0" xfId="0">
      <alignment horizontal="center" vertical="center" wrapText="1"/>
    </xf>
    <xf numFmtId="0" fontId="7" fillId="0" borderId="0" pivotButton="0" quotePrefix="0" xfId="0"/>
    <xf numFmtId="0" fontId="11" fillId="0" borderId="0" pivotButton="0" quotePrefix="0" xfId="0"/>
    <xf numFmtId="0" fontId="6" fillId="6" borderId="1" applyAlignment="1" pivotButton="0" quotePrefix="0" xfId="0">
      <alignment horizontal="center" vertical="center" wrapText="1"/>
    </xf>
  </cellXfs>
  <cellStyles count="1">
    <cellStyle name="Normal" xfId="0" builtinId="0" hidden="0"/>
  </cellStyles>
  <dxfs count="12">
    <dxf>
      <font>
        <b val="1"/>
        <color rgb="00B42318"/>
      </font>
      <fill>
        <patternFill patternType="solid">
          <fgColor rgb="00FBE3E1"/>
          <bgColor rgb="00FBE3E1"/>
        </patternFill>
      </fill>
    </dxf>
    <dxf>
      <font>
        <b val="1"/>
        <color rgb="009A5B00"/>
      </font>
      <fill>
        <patternFill patternType="solid">
          <fgColor rgb="00FCEFD6"/>
          <bgColor rgb="00FCEFD6"/>
        </patternFill>
      </fill>
    </dxf>
    <dxf>
      <font>
        <b val="1"/>
        <color rgb="002F5AAE"/>
      </font>
      <fill>
        <patternFill patternType="solid">
          <fgColor rgb="00E2EAFA"/>
          <bgColor rgb="00E2EAFA"/>
        </patternFill>
      </fill>
    </dxf>
    <dxf>
      <font>
        <b val="1"/>
        <color rgb="001E7B4F"/>
      </font>
      <fill>
        <patternFill patternType="solid">
          <fgColor rgb="00D9F0E3"/>
          <bgColor rgb="00D9F0E3"/>
        </patternFill>
      </fill>
    </dxf>
    <dxf>
      <font>
        <b val="1"/>
        <color rgb="005D6576"/>
      </font>
      <fill>
        <patternFill patternType="solid">
          <fgColor rgb="00E7E9ED"/>
          <bgColor rgb="00E7E9ED"/>
        </patternFill>
      </fill>
    </dxf>
    <dxf>
      <font>
        <b val="1"/>
      </font>
      <fill>
        <patternFill patternType="solid">
          <fgColor rgb="00FCEFD6"/>
          <bgColor rgb="00FCEFD6"/>
        </patternFill>
      </fill>
    </dxf>
    <dxf>
      <font>
        <b val="1"/>
        <color rgb="001E7B4F"/>
      </font>
      <fill>
        <patternFill patternType="solid">
          <fgColor rgb="00FFFFFF"/>
          <bgColor rgb="00FFFFFF"/>
        </patternFill>
      </fill>
    </dxf>
    <dxf>
      <font>
        <b val="1"/>
        <color rgb="00B42318"/>
      </font>
    </dxf>
    <dxf>
      <font>
        <b val="1"/>
        <color rgb="001E7B4F"/>
      </font>
      <fill>
        <patternFill patternType="solid">
          <fgColor rgb="00EEF8F2"/>
          <bgColor rgb="00EEF8F2"/>
        </patternFill>
      </fill>
    </dxf>
    <dxf>
      <fill>
        <patternFill patternType="solid">
          <fgColor rgb="00DDF3E6"/>
          <bgColor rgb="00DDF3E6"/>
        </patternFill>
      </fill>
    </dxf>
    <dxf>
      <font>
        <b val="1"/>
        <color rgb="009A5B00"/>
      </font>
    </dxf>
    <dxf>
      <font>
        <strike val="1"/>
        <color rgb="009AA1AE"/>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 Id="rIdDAmeta" Type="http://schemas.openxmlformats.org/officeDocument/2006/relationships/sheetMetadata" Target="metadata.xml"/></Relationships>
</file>

<file path=xl/tables/table1.xml><?xml version="1.0" encoding="utf-8"?>
<table xmlns="http://schemas.openxmlformats.org/spreadsheetml/2006/main" id="1" name="tblLog" displayName="tblLog" ref="A5:Q6" headerRowCount="1">
  <autoFilter ref="A5:Q6"/>
  <tableColumns count="17">
    <tableColumn id="1" name="Entry ID"/>
    <tableColumn id="2" name="Entry date"/>
    <tableColumn id="3" name="Record type"/>
    <tableColumn id="4" name="Variant ID"/>
    <tableColumn id="5" name="Stage"/>
    <tableColumn id="6" name="Assembly code"/>
    <tableColumn id="7" name="REPs kitted"/>
    <tableColumn id="8" name="REP from"/>
    <tableColumn id="9" name="REP to"/>
    <tableColumn id="10" name="Order"/>
    <tableColumn id="11" name="Order qty"/>
    <tableColumn id="12" name="Void"/>
    <tableColumn id="13" name="Void reason"/>
    <tableColumn id="14" name="Note"/>
    <tableColumn id="15" name="Order key">
      <calculatedColumnFormula>TRIM(tblLog[[#This Row],[Order]]&amp;"")</calculatedColumnFormula>
    </tableColumn>
    <tableColumn id="16" name="Active">
      <calculatedColumnFormula>IF(tblLog[[#This Row],[Entry ID]]="",IF(UPPER(TRIM(tblLog[[#This Row],[Void]]&amp;""))="Y",0,1),IF(COUNTIFS(tblLog[Entry ID],tblLog[[#This Row],[Entry ID]],tblLog[Void],"Y")&gt;0,0,1))</calculatedColumnFormula>
    </tableColumn>
    <tableColumn id="17" name="Check">
      <calculatedColumnFormula>_xlfn.LET(_xlpm.cid,$A6&amp;"",_xlpm.cty,UPPER(TRIM($C6&amp;"")),_xlpm.cv,TRIM($D6&amp;""),_xlpm.cs,TRIM($E6&amp;""),_xlpm.ca,TRIM($F6&amp;""),_xlpm.ck,$O6,_xlpm.cnv,COUNTIF(tblReq[Variant ID],_xlpm.cv),_xlpm.cns,COUNTIFS(tblReq[Variant ID],_xlpm.cv,tblReq[Stage],_xlpm.cs),_xlpm.cna,COUNTIFS(tblReq[Variant ID],_xlpm.cv,tblReq[Stage],_xlpm.cs,tblReq[Assembly code],_xlpm.ca),_xlpm.cnva,COUNTIFS(tblReq[Variant ID],_xlpm.cv,tblReq[Assembly code],_xlpm.ca),_xlpm.cdup,COUNTIFS(tblLog[Order key],_xlpm.ck,tblLog[Record type],"COOIS order",tblLog[Active],1),_xlpm.cri,_xlfn.XMATCH(_xlpm.ck,Rv_Key),_xlpm.crm,IF(ISNUMBER(_xlpm.cri),INDEX(Rv_Mat,_xlpm.cri)&amp;"",""),_xlpm.crq,IF(ISNUMBER(_xlpm.cri),N(INDEX(Rv_Qty,_xlpm.cri)),0),_xlpm.crc,IF(ISNUMBER(_xlpm.cri),INDEX(Rv_CLSD,_xlpm.cri)&amp;"",""),_xlpm.creps,N($G6),_xlpm.cf,$H6,_xlpm.ct,IF(ISNUMBER($I6),$I6,$H6),_xlpm.casp,COUNTIFS(P_Var,_xlpm.cv,P_Valid,1)&gt;0,IF(_xlpm.cid="","",IF($P6=0,"Void",IF(_xlpm.cty="COOIS ORDER",IF(_xlpm.ck="","Order number missing",IF(_xlpm.cdup&gt;1,"Duplicate allocation - fix",IF(ISNA(_xlpm.cri),"Not in current COOIS - review",IF(UPPER(_xlpm.crm)&lt;&gt;UPPER(_xlpm.ca),"Material changed - review",IF(_xlpm.crc="Yes","CLSD - review",IF(ABS(_xlpm.crq-N($K6))&gt;0.000000001,"Qty changed - review",IF(_xlpm.cnva=0,"Assembly not set up for variant","OK"))))))),IF(_xlpm.cty="KITTING PROGRESS",IF(_xlpm.cnv=0,"Assembly setup required",IF(_xlpm.cns=0,"Stage not set up for variant",IF(AND(_xlpm.ca&lt;&gt;"",_xlpm.cna=0),"Assembly not in this stage",IF(NOT(_xlpm.creps&gt;0),"REPs kitted missing",IF(ISNUMBER(_xlpm.cf),IF(_xlpm.ct&lt;_xlpm.cf,"REP range invalid",IF(AND(_xlpm.ca="",ABS(_xlpm.ct-_xlpm.cf+1-_xlpm.creps)&gt;0.000000001),"REP range differs from REPs kitted",IF(_xlpm.casp,"OK","Variant not in current ASP - review"))),IF(_xlpm.casp,"OK","Variant not in current ASP - review")))))),"Record type not recognised")))))</calculatedColumnFormula>
    </tableColumn>
  </tableColumns>
  <tableStyleInfo name="TableStyleLight9" showRowStripes="1"/>
</table>
</file>

<file path=xl/tables/table2.xml><?xml version="1.0" encoding="utf-8"?>
<table xmlns="http://schemas.openxmlformats.org/spreadsheetml/2006/main" id="2" name="tblReq" displayName="tblReq" ref="B17:K57" headerRowCount="1">
  <autoFilter ref="B17:K57"/>
  <tableColumns count="10">
    <tableColumn id="2" name="Project"/>
    <tableColumn id="3" name="Variant ID"/>
    <tableColumn id="4" name="Top code"/>
    <tableColumn id="5" name="Fibre pairs"/>
    <tableColumn id="6" name="Stage"/>
    <tableColumn id="7" name="Assembly code"/>
    <tableColumn id="8" name="Assembly description"/>
    <tableColumn id="9" name="Qty per REP"/>
    <tableColumn id="10" name="Source"/>
    <tableColumn id="11" name="Verified by / date"/>
  </tableColumns>
  <tableStyleInfo name="TableStyleMedium2" showRowStripes="1"/>
</table>
</file>

<file path=xl/tables/table3.xml><?xml version="1.0" encoding="utf-8"?>
<table xmlns="http://schemas.openxmlformats.org/spreadsheetml/2006/main" id="3" name="tblStages" displayName="tblStages" ref="N5:P11" headerRowCount="1">
  <autoFilter ref="N5:P11"/>
  <tableColumns count="3">
    <tableColumn id="14" name="Stage"/>
    <tableColumn id="15" name="Order"/>
    <tableColumn id="16" name="Description"/>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s>
</file>

<file path=xl/worksheets/sheet1.xml><?xml version="1.0" encoding="utf-8"?>
<worksheet xmlns="http://schemas.openxmlformats.org/spreadsheetml/2006/main">
  <sheetPr>
    <tabColor rgb="0017324D"/>
    <outlinePr summaryBelow="1" summaryRight="1"/>
    <pageSetUpPr/>
  </sheetPr>
  <dimension ref="B2:C60"/>
  <sheetViews>
    <sheetView showGridLines="0" workbookViewId="0">
      <selection activeCell="A1" sqref="A1"/>
    </sheetView>
  </sheetViews>
  <sheetFormatPr baseColWidth="8" defaultRowHeight="15"/>
  <cols>
    <col width="2" customWidth="1" min="1" max="1"/>
    <col width="4" customWidth="1" min="2" max="2"/>
    <col width="120" customWidth="1" min="3" max="3"/>
  </cols>
  <sheetData>
    <row r="2">
      <c r="B2" s="1" t="inlineStr">
        <is>
          <t>ASN Kitting Progress Tracker - Read Me</t>
        </is>
      </c>
    </row>
    <row r="3">
      <c r="B3" s="2" t="inlineStr">
        <is>
          <t>For Production Controllers. No macros. Yellow cells and the two Settings tables are inputs; ASP and COOIS are paste areas; everything else calculates.</t>
        </is>
      </c>
    </row>
    <row r="5">
      <c r="B5" s="3" t="inlineStr">
        <is>
          <t>1. Load a new ASP</t>
        </is>
      </c>
    </row>
    <row r="6" ht="15" customHeight="1">
      <c r="B6" s="4" t="inlineStr">
        <is>
          <t>-</t>
        </is>
      </c>
      <c r="C6" s="5" t="inlineStr">
        <is>
          <t>Open the ASP export, select all (Ctrl+A), copy, then click cell A1 on the ASP sheet and paste. Do not insert, delete or move columns.</t>
        </is>
      </c>
    </row>
    <row r="7" ht="30" customHeight="1">
      <c r="B7" s="4" t="inlineStr">
        <is>
          <t>-</t>
        </is>
      </c>
      <c r="C7" s="5" t="inlineStr">
        <is>
          <t>Type the file name and today's date in Settings (ASP file loaded / ASP loaded on). The export's own version and export time show at the top of the Dashboard.</t>
        </is>
      </c>
    </row>
    <row r="8" ht="30" customHeight="1">
      <c r="B8" s="4" t="inlineStr">
        <is>
          <t>-</t>
        </is>
      </c>
      <c r="C8" s="5" t="inlineStr">
        <is>
          <t>New contracts and variants appear in the Dashboard filters automatically. Recorded progress is kept by Variant ID (ASP Friendly_name), so it is never erased by a new ASP.</t>
        </is>
      </c>
    </row>
    <row r="9" ht="30" customHeight="1">
      <c r="B9" s="4" t="inlineStr">
        <is>
          <t>-</t>
        </is>
      </c>
      <c r="C9" s="5" t="inlineStr">
        <is>
          <t>If a variant you have set up or recorded is no longer in the ASP, the Dashboard Data checks list it for review. Its history stays in the Kitting Log.</t>
        </is>
      </c>
    </row>
    <row r="11">
      <c r="B11" s="3" t="inlineStr">
        <is>
          <t>2. Load COOIS (keep the column order)</t>
        </is>
      </c>
    </row>
    <row r="12" ht="30" customHeight="1">
      <c r="B12" s="4" t="inlineStr">
        <is>
          <t>-</t>
        </is>
      </c>
      <c r="C12" s="5" t="inlineStr">
        <is>
          <t>Run COOIS for the assembly codes you need, export to Excel, copy everything and paste at cell A1 of the COOIS sheet. Columns Order to System Status must stay in SAP's order; extra columns to the right are fine.</t>
        </is>
      </c>
    </row>
    <row r="13" ht="30" customHeight="1">
      <c r="B13" s="4" t="inlineStr">
        <is>
          <t>-</t>
        </is>
      </c>
      <c r="C13" s="5" t="inlineStr">
        <is>
          <t>Order numbers and material codes are treated as text identifiers. An order already in an earlier export keeps its allocation; nothing is counted twice.</t>
        </is>
      </c>
    </row>
    <row r="14" ht="30" customHeight="1">
      <c r="B14" s="4" t="inlineStr">
        <is>
          <t>-</t>
        </is>
      </c>
      <c r="C14" s="5" t="inlineStr">
        <is>
          <t>An allocated order that is missing from a new export is flagged 'Not in current COOIS - review'. That does not prove it was cancelled - the new export may cover a different selection.</t>
        </is>
      </c>
    </row>
    <row r="15" ht="30" customHeight="1">
      <c r="B15" s="4" t="inlineStr">
        <is>
          <t>-</t>
        </is>
      </c>
      <c r="C15" s="5" t="inlineStr">
        <is>
          <t>The COOIS Review sheet shows each order's SAP status tokens (PCNF, CNF, DLV, CLSD, TECO are matched as whole words, so PCNF is never read as CNF) beside the tracker's allocation.</t>
        </is>
      </c>
    </row>
    <row r="17">
      <c r="B17" s="3" t="inlineStr">
        <is>
          <t>3. Record what was kitted (daily routine)</t>
        </is>
      </c>
    </row>
    <row r="18" ht="30" customHeight="1">
      <c r="B18" s="4" t="inlineStr">
        <is>
          <t>-</t>
        </is>
      </c>
      <c r="C18" s="5" t="inlineStr">
        <is>
          <t>Record Kitting sheet. Step 1: choose the Variant ID you actually worked on (even if management changed the order), the Stage, and how many repeaters' worth you kitted. Leave Assembly code blank for a whole stage, or choose one code for a partial (line-only) entry.</t>
        </is>
      </c>
    </row>
    <row r="19" ht="30" customHeight="1">
      <c r="B19" s="4" t="inlineStr">
        <is>
          <t>-</t>
        </is>
      </c>
      <c r="C19" s="5" t="inlineStr">
        <is>
          <t>REP from / REP to are optional. Fill them only when you know which repeater numbers the kit is for. Without them the quantity is held at contract level.</t>
        </is>
      </c>
    </row>
    <row r="20" ht="30" customHeight="1">
      <c r="B20" s="4" t="inlineStr">
        <is>
          <t>-</t>
        </is>
      </c>
      <c r="C20" s="5" t="inlineStr">
        <is>
          <t>Step 2 shows, for each assembly line: units for this entry, what is already recorded and allocated, units still needing COOIS orders, orders available and any shortage.</t>
        </is>
      </c>
    </row>
    <row r="21" ht="30" customHeight="1">
      <c r="B21" s="4" t="inlineStr">
        <is>
          <t>-</t>
        </is>
      </c>
      <c r="C21" s="5" t="inlineStr">
        <is>
          <t>Step 3 is the green block. Select it from N19 to the last green row, copy, go to the Kitting Log, click column A on the first empty row of the table and use Paste Special &gt; Values. That is the confirmation. Then clear the Step 1 inputs.</t>
        </is>
      </c>
    </row>
    <row r="22" ht="30" customHeight="1">
      <c r="B22" s="4" t="inlineStr">
        <is>
          <t>-</t>
        </is>
      </c>
      <c r="C22" s="5" t="inlineStr">
        <is>
          <t>Excel without macros cannot press a Confirm button for you or stop you pasting twice. The Check column catches a second paste (Duplicate allocation - fix): void the second entry.</t>
        </is>
      </c>
    </row>
    <row r="24">
      <c r="B24" s="3" t="inlineStr">
        <is>
          <t>4. Shortages and shared assemblies</t>
        </is>
      </c>
    </row>
    <row r="25" ht="30" customHeight="1">
      <c r="B25" s="4" t="inlineStr">
        <is>
          <t>-</t>
        </is>
      </c>
      <c r="C25" s="5" t="inlineStr">
        <is>
          <t>If fewer suitable COOIS orders exist than the quantity needed, the shortfall shows in Step 2 and in 'Units without COOIS order'. The stage is not counted as complete until it is covered.</t>
        </is>
      </c>
    </row>
    <row r="26" ht="30" customHeight="1">
      <c r="B26" s="4" t="inlineStr">
        <is>
          <t>-</t>
        </is>
      </c>
      <c r="C26" s="5" t="inlineStr">
        <is>
          <t>When a later COOIS export contains the missing orders, enter the same variant and stage with REPs kitted = 0. Only the outstanding orders are proposed.</t>
        </is>
      </c>
    </row>
    <row r="27" ht="30" customHeight="1">
      <c r="B27" s="4" t="inlineStr">
        <is>
          <t>-</t>
        </is>
      </c>
      <c r="C27" s="5" t="inlineStr">
        <is>
          <t>Codes used by more than one variant (for example the PSB 91YAF03404AAA) are never assigned to a contract automatically. Unallocated orders show 'Shared code - no contract allocation'.</t>
        </is>
      </c>
    </row>
    <row r="29">
      <c r="B29" s="3" t="inlineStr">
        <is>
          <t>5. Add or change a contract's assembly requirements</t>
        </is>
      </c>
    </row>
    <row r="30" ht="30" customHeight="1">
      <c r="B30" s="4" t="inlineStr">
        <is>
          <t>-</t>
        </is>
      </c>
      <c r="C30" s="5" t="inlineStr">
        <is>
          <t>Settings &gt; requirements table: one row per assembly line with Project, Variant ID (exactly as the ASP Friendly_name), Top code, Fibre pairs, Stage, Assembly code, description and Qty per REP (for ONE repeater).</t>
        </is>
      </c>
    </row>
    <row r="31" ht="30" customHeight="1">
      <c r="B31" s="4" t="inlineStr">
        <is>
          <t>-</t>
        </is>
      </c>
      <c r="C31" s="5" t="inlineStr">
        <is>
          <t>Type the new rows in the first empty row below the table; it grows by itself. The same code can appear in several variants with different quantities.</t>
        </is>
      </c>
    </row>
    <row r="32" ht="30" customHeight="1">
      <c r="B32" s="4" t="inlineStr">
        <is>
          <t>-</t>
        </is>
      </c>
      <c r="C32" s="5" t="inlineStr">
        <is>
          <t>Fill 'Verified by / date' once a line is checked against the official kitting sheet. A variant without rows shows 'Assembly setup required'.</t>
        </is>
      </c>
    </row>
    <row r="33" ht="30" customHeight="1">
      <c r="B33" s="4" t="inlineStr">
        <is>
          <t>-</t>
        </is>
      </c>
      <c r="C33" s="5" t="inlineStr">
        <is>
          <t>New stages (Internal Unit, Housing...) are added in the Kitting stages table with an order number, then their lines in the requirements table.</t>
        </is>
      </c>
    </row>
    <row r="35">
      <c r="B35" s="3" t="inlineStr">
        <is>
          <t>6. Correct an entry</t>
        </is>
      </c>
    </row>
    <row r="36" ht="30" customHeight="1">
      <c r="B36" s="4" t="inlineStr">
        <is>
          <t>-</t>
        </is>
      </c>
      <c r="C36" s="5" t="inlineStr">
        <is>
          <t>Never delete or overwrite log rows. In the Kitting Log type Y in Void on any row of the wrong entry and write a Void reason. The whole entry (progress and its orders) stops counting, stays visible and is struck through.</t>
        </is>
      </c>
    </row>
    <row r="37" ht="15" customHeight="1">
      <c r="B37" s="4" t="inlineStr">
        <is>
          <t>-</t>
        </is>
      </c>
      <c r="C37" s="5" t="inlineStr">
        <is>
          <t>Then record the correct entry through Record Kitting as normal. The released orders become available again.</t>
        </is>
      </c>
    </row>
    <row r="38" ht="15" customHeight="1">
      <c r="B38" s="4" t="inlineStr">
        <is>
          <t>-</t>
        </is>
      </c>
      <c r="C38" s="5" t="inlineStr">
        <is>
          <t>To assign contract-level kitting to known repeater numbers later: void the original entry and re-enter it with REP from / REP to.</t>
        </is>
      </c>
    </row>
    <row r="40">
      <c r="B40" s="3" t="inlineStr">
        <is>
          <t>7. Save, back up and hand over</t>
        </is>
      </c>
    </row>
    <row r="41" ht="15" customHeight="1">
      <c r="B41" s="4" t="inlineStr">
        <is>
          <t>-</t>
        </is>
      </c>
      <c r="C41" s="5" t="inlineStr">
        <is>
          <t>Save as .xlsx (no macros). Keep a dated copy each week, e.g. 'ASN Kitting Tracker 2026-W44.xlsx', in the shared drive.</t>
        </is>
      </c>
    </row>
    <row r="42" ht="30" customHeight="1">
      <c r="B42" s="4" t="inlineStr">
        <is>
          <t>-</t>
        </is>
      </c>
      <c r="C42" s="5" t="inlineStr">
        <is>
          <t>The Kitting Log and Settings are the only records that cannot be re-created from SAP. Everything else is recalculated from the pasted ASP and COOIS.</t>
        </is>
      </c>
    </row>
    <row r="43" ht="15" customHeight="1">
      <c r="B43" s="4" t="inlineStr">
        <is>
          <t>-</t>
        </is>
      </c>
      <c r="C43" s="5" t="inlineStr">
        <is>
          <t>Handover: give the new controller this file and this Read Me. Nothing is hidden: the Calc sheet shows every intermediate number.</t>
        </is>
      </c>
    </row>
    <row r="44" ht="15" customHeight="1">
      <c r="B44" s="4" t="inlineStr">
        <is>
          <t>-</t>
        </is>
      </c>
      <c r="C44" s="5" t="inlineStr">
        <is>
          <t>If the file opens in Protected View, click Enable Editing - formulas do not calculate until then.</t>
        </is>
      </c>
    </row>
    <row r="46">
      <c r="B46" s="3" t="inlineStr">
        <is>
          <t>8. What the terms mean</t>
        </is>
      </c>
    </row>
    <row r="47" ht="15" customHeight="1">
      <c r="B47" s="4" t="inlineStr">
        <is>
          <t>-</t>
        </is>
      </c>
      <c r="C47" s="5" t="inlineStr">
        <is>
          <t>Kitting Progress: what the controller records as physically kitted (repeaters' worth of a stage or line).</t>
        </is>
      </c>
    </row>
    <row r="48" ht="15" customHeight="1">
      <c r="B48" s="4" t="inlineStr">
        <is>
          <t>-</t>
        </is>
      </c>
      <c r="C48" s="5" t="inlineStr">
        <is>
          <t>Status: the result shown in the report - All kitted, On track, Kit due this week, Kit behind, Assembly setup required, review flags.</t>
        </is>
      </c>
    </row>
    <row r="49" ht="30" customHeight="1">
      <c r="B49" s="4" t="inlineStr">
        <is>
          <t>-</t>
        </is>
      </c>
      <c r="C49" s="5" t="inlineStr">
        <is>
          <t>Complete assembly kits: repeaters' worth where every set-up assembly line is recorded AND covered by allocated COOIS orders. It is not a finished repeater.</t>
        </is>
      </c>
    </row>
    <row r="50" ht="30" customHeight="1">
      <c r="B50" s="4" t="inlineStr">
        <is>
          <t>-</t>
        </is>
      </c>
      <c r="C50" s="5" t="inlineStr">
        <is>
          <t>Kitted (Repeater View): recorded against that REP number. Kitted*: covered by contract-level quantity and shown against the earliest open REP positions - not a physical traceability link. Part: some lines started.</t>
        </is>
      </c>
    </row>
    <row r="51" ht="30" customHeight="1">
      <c r="B51" s="4" t="inlineStr">
        <is>
          <t>-</t>
        </is>
      </c>
      <c r="C51" s="5" t="inlineStr">
        <is>
          <t>Kit target week: ASP planned week minus the kit lead (3 weeks). Weeks crossing a year end (including 53-week years) are handled with ISO dates.</t>
        </is>
      </c>
    </row>
    <row r="52" ht="30" customHeight="1">
      <c r="B52" s="4" t="inlineStr">
        <is>
          <t>-</t>
        </is>
      </c>
      <c r="C52" s="5" t="inlineStr">
        <is>
          <t>Kits behind: repeaters whose kit target week is before this week, minus complete kits (contract by contract). Due this week: target this week, not yet complete.</t>
        </is>
      </c>
    </row>
    <row r="53" ht="30" customHeight="1">
      <c r="B53" s="4" t="inlineStr">
        <is>
          <t>-</t>
        </is>
      </c>
      <c r="C53" s="5" t="inlineStr">
        <is>
          <t>CNF: can be recorded before physical picking, so it never counts as kitted. CLSD: shown for review; the cause (e.g. failed build or test) is not confirmed by the status alone.</t>
        </is>
      </c>
    </row>
    <row r="54" ht="15" customHeight="1">
      <c r="B54" s="4" t="inlineStr">
        <is>
          <t>-</t>
        </is>
      </c>
      <c r="C54" s="5" t="inlineStr">
        <is>
          <t>Contract allocation is the controller's entry. The COOIS export does not prove which contract an order belongs to.</t>
        </is>
      </c>
    </row>
    <row r="56">
      <c r="B56" s="3" t="inlineStr">
        <is>
          <t>Sheets</t>
        </is>
      </c>
    </row>
    <row r="57">
      <c r="B57" t="inlineStr">
        <is>
          <t>-</t>
        </is>
      </c>
      <c r="C57" s="5" t="inlineStr">
        <is>
          <t>Dashboard - KPIs, kits due by week, data checks and contract overview for the chosen product / project / variant.</t>
        </is>
      </c>
    </row>
    <row r="58">
      <c r="B58" t="inlineStr">
        <is>
          <t>-</t>
        </is>
      </c>
      <c r="C58" s="5" t="inlineStr">
        <is>
          <t>Repeater View - stage-by-stage progress for every REP of one variant, next kit to issue and kit due week.</t>
        </is>
      </c>
    </row>
    <row r="59">
      <c r="B59" t="inlineStr">
        <is>
          <t>-</t>
        </is>
      </c>
      <c r="C59" s="5" t="inlineStr">
        <is>
          <t>Record Kitting - the entry form (Steps 1-3).  Kitting Log - the permanent record.  Settings - requirements, stages, kit lead, report date.</t>
        </is>
      </c>
    </row>
    <row r="60">
      <c r="B60" t="inlineStr">
        <is>
          <t>-</t>
        </is>
      </c>
      <c r="C60" s="5" t="inlineStr">
        <is>
          <t>COOIS Review - the pasted orders with SAP status tokens and allocation.  ASP / COOIS - paste areas.  Calc - workings, read only.</t>
        </is>
      </c>
    </row>
  </sheetData>
  <sheetProtection selectLockedCells="0" selectUnlockedCells="0" sheet="1" objects="0" insertRows="1" insertHyperlinks="1" autoFilter="0" scenarios="0" formatColumns="0" deleteColumns="1" insertColumns="1" pivotTables="1" deleteRows="1" formatCells="0" formatRows="1" sort="0"/>
  <pageMargins left="0.75" right="0.75" top="1" bottom="1" header="0.5" footer="0.5"/>
</worksheet>
</file>

<file path=xl/worksheets/sheet2.xml><?xml version="1.0" encoding="utf-8"?>
<worksheet xmlns="http://schemas.openxmlformats.org/spreadsheetml/2006/main">
  <sheetPr>
    <tabColor rgb="0017324D"/>
    <outlinePr summaryBelow="1" summaryRight="1"/>
    <pageSetUpPr/>
  </sheetPr>
  <dimension ref="B2:AD399"/>
  <sheetViews>
    <sheetView showGridLines="0" workbookViewId="0">
      <pane ySplit="6" topLeftCell="A7" activePane="bottomLeft" state="frozen"/>
      <selection pane="bottomLeft" activeCell="A1" sqref="A1"/>
    </sheetView>
  </sheetViews>
  <sheetFormatPr baseColWidth="8" defaultRowHeight="15"/>
  <cols>
    <col width="2" customWidth="1" min="1" max="1"/>
    <col width="16" customWidth="1" min="2" max="2"/>
    <col width="17" customWidth="1" min="3" max="3"/>
    <col width="15" customWidth="1" min="4" max="4"/>
    <col width="6" customWidth="1" min="5" max="5"/>
    <col width="7" customWidth="1" min="6" max="6"/>
    <col width="7" customWidth="1" min="7" max="7"/>
    <col width="8" customWidth="1" min="8" max="8"/>
    <col width="9" customWidth="1" min="9" max="9"/>
    <col width="8" customWidth="1" min="10" max="10"/>
    <col width="9" customWidth="1" min="11" max="11"/>
    <col width="9" customWidth="1" min="12" max="12"/>
    <col width="8" customWidth="1" min="13" max="13"/>
    <col width="9" customWidth="1" min="14" max="14"/>
    <col width="9" customWidth="1" min="15" max="15"/>
    <col width="9" customWidth="1" min="16" max="16"/>
    <col width="8" customWidth="1" min="17" max="17"/>
    <col width="10" customWidth="1" min="18" max="18"/>
    <col width="22" customWidth="1" min="19" max="19"/>
    <col width="70" customWidth="1" min="20" max="20"/>
    <col hidden="1" width="13" customWidth="1" min="30" max="30"/>
  </cols>
  <sheetData>
    <row r="2">
      <c r="B2" s="1" t="inlineStr">
        <is>
          <t>Kitting Progress Dashboard</t>
        </is>
      </c>
      <c r="AD2" s="6" cm="1">
        <f t="array" ref="AD2">SUMPRODUCT((UPPER(P_Product)=UPPER($C$5))*(P_RowOK=1)*((($F$5="All")+($F$5=""))+(UPPER(P_ProjName)=UPPER($F$5))&gt;0)*((($I$5="All")+($I$5=""))+(UPPER(P_Var)=UPPER($I$5))&gt;0),IFERROR(--P_Planned,0))</f>
        <v/>
      </c>
    </row>
    <row r="3">
      <c r="B3" s="2">
        <f>"Week "&amp;RIGHT(YEAR(ThisMon+3),2)&amp;" W"&amp;_xlfn.ISOWEEKNUM(ThisMon)&amp;"  |  report date "&amp;TEXT(RptDate,"dd mmm yyyy")&amp;"  |  kit target = ASP week - "&amp;KitLead&amp;" weeks  |  ASP: "&amp;ASP!$B$2&amp;" (export "&amp;IFERROR(TEXT(ASP!$A$2,"dd mmm yyyy"),"?")&amp;")  |  COOIS: "&amp;Settings!$C$10&amp;IF(Settings!$C$11="",""," loaded "&amp;TEXT(Settings!$C$11,"dd mmm yyyy"))</f>
        <v/>
      </c>
      <c r="AD3" s="6" cm="1">
        <f t="array" ref="AD3">SUMPRODUCT((UPPER(P_Product)=UPPER($C$5))*(P_RowOK=1)*((($F$5="All")+($F$5=""))+(UPPER(P_ProjName)=UPPER($F$5))&gt;0)*((($I$5="All")+($I$5=""))+(UPPER(P_Var)=UPPER($I$5))&gt;0)*(P_Lines&gt;0),IFERROR(--P_Planned,0))</f>
        <v/>
      </c>
    </row>
    <row r="4">
      <c r="AD4" s="6" cm="1">
        <f t="array" ref="AD4">SUMPRODUCT((UPPER(P_Product)=UPPER($C$5))*(P_RowOK=1)*((($F$5="All")+($F$5=""))+(UPPER(P_ProjName)=UPPER($F$5))&gt;0)*((($I$5="All")+($I$5=""))+(UPPER(P_Var)=UPPER($I$5))&gt;0)*(P_Lines&gt;0),IFERROR(--P_Complete,0))</f>
        <v/>
      </c>
    </row>
    <row r="5">
      <c r="B5" s="7" t="inlineStr">
        <is>
          <t>Product</t>
        </is>
      </c>
      <c r="C5" s="8" t="inlineStr">
        <is>
          <t>REPEATERS</t>
        </is>
      </c>
      <c r="D5" s="9" t="n"/>
      <c r="E5" s="7" t="inlineStr">
        <is>
          <t>Project</t>
        </is>
      </c>
      <c r="F5" s="8" t="inlineStr">
        <is>
          <t>All</t>
        </is>
      </c>
      <c r="G5" s="9" t="n"/>
      <c r="H5" s="7" t="inlineStr">
        <is>
          <t>Variant</t>
        </is>
      </c>
      <c r="I5" s="8" t="inlineStr">
        <is>
          <t>All</t>
        </is>
      </c>
      <c r="J5" s="10" t="n"/>
      <c r="K5" s="9" t="n"/>
      <c r="T5" s="11" t="inlineStr">
        <is>
          <t>Definitions</t>
        </is>
      </c>
      <c r="AD5" s="6" cm="1">
        <f t="array" ref="AD5">SUMPRODUCT((UPPER(P_Product)=UPPER($C$5))*(P_RowOK=1)*((($F$5="All")+($F$5=""))+(UPPER(P_ProjName)=UPPER($F$5))&gt;0)*((($I$5="All")+($I$5=""))+(UPPER(P_Var)=UPPER($I$5))&gt;0)*(P_Lines&gt;0),IFERROR(--P_Partial,0))</f>
        <v/>
      </c>
    </row>
    <row r="6">
      <c r="T6" s="12" t="inlineStr">
        <is>
          <t>Planned: ASP Planned Qty for the selected product/project/variant. Repeaters and amplifiers are separate products in the ASP and are never added together.</t>
        </is>
      </c>
      <c r="AD6" s="6" cm="1">
        <f t="array" ref="AD6">SUMPRODUCT((UPPER(P_Product)=UPPER($C$5))*(P_RowOK=1)*((($F$5="All")+($F$5=""))+(UPPER(P_ProjName)=UPPER($F$5))&gt;0)*((($I$5="All")+($I$5=""))+(UPPER(P_Var)=UPPER($I$5))&gt;0)*(P_Lines&gt;0),IFERROR(--P_DueThis,0))</f>
        <v/>
      </c>
    </row>
    <row r="7">
      <c r="B7" s="13" t="inlineStr">
        <is>
          <t>PLANNED</t>
        </is>
      </c>
      <c r="C7" s="14" t="n"/>
      <c r="D7" s="13" t="inlineStr">
        <is>
          <t>COMPLETE ASSEMBLY KITS</t>
        </is>
      </c>
      <c r="E7" s="14" t="n"/>
      <c r="F7" s="13" t="inlineStr">
        <is>
          <t>PARTLY KITTED</t>
        </is>
      </c>
      <c r="G7" s="14" t="n"/>
      <c r="H7" s="13" t="inlineStr">
        <is>
          <t>REMAINING TO KIT</t>
        </is>
      </c>
      <c r="I7" s="14" t="n"/>
      <c r="J7" s="13" t="inlineStr">
        <is>
          <t>KITTING PROGRESS</t>
        </is>
      </c>
      <c r="K7" s="14" t="n"/>
      <c r="L7" s="13" t="inlineStr">
        <is>
          <t>KITS DUE THIS WEEK</t>
        </is>
      </c>
      <c r="M7" s="14" t="n"/>
      <c r="N7" s="13" t="inlineStr">
        <is>
          <t>KITS BEHIND</t>
        </is>
      </c>
      <c r="O7" s="14" t="n"/>
      <c r="P7" s="13" t="inlineStr">
        <is>
          <t>COOIS: UNALLOCATED / REVIEW</t>
        </is>
      </c>
      <c r="Q7" s="14" t="n"/>
      <c r="T7" s="12" t="inlineStr">
        <is>
          <t>Complete assembly kits: repeaters' worth for which every set-up assembly line is recorded as kitted AND covered by allocated COOIS orders (the lowest line decides).</t>
        </is>
      </c>
      <c r="AD7" s="6" cm="1">
        <f t="array" ref="AD7">SUMPRODUCT((UPPER(P_Product)=UPPER($C$5))*(P_RowOK=1)*((($F$5="All")+($F$5=""))+(UPPER(P_ProjName)=UPPER($F$5))&gt;0)*((($I$5="All")+($I$5=""))+(UPPER(P_Var)=UPPER($I$5))&gt;0)*(P_Lines&gt;0),IFERROR(--P_Behind,0))</f>
        <v/>
      </c>
    </row>
    <row r="8" ht="34" customHeight="1">
      <c r="B8" s="15">
        <f>IF(AD8=0,AD2,AD3)</f>
        <v/>
      </c>
      <c r="C8" s="14" t="n"/>
      <c r="D8" s="15">
        <f>AD4</f>
        <v/>
      </c>
      <c r="E8" s="14" t="n"/>
      <c r="F8" s="15">
        <f>AD5</f>
        <v/>
      </c>
      <c r="G8" s="14" t="n"/>
      <c r="H8" s="15">
        <f>IF(AD8=0,"n/a",MAX(0,AD3-AD4))</f>
        <v/>
      </c>
      <c r="I8" s="14" t="n"/>
      <c r="J8" s="16">
        <f>IF(OR(AD8=0,AD3=0),"not available",AD4/AD3)</f>
        <v/>
      </c>
      <c r="K8" s="14" t="n"/>
      <c r="L8" s="17">
        <f>AD6</f>
        <v/>
      </c>
      <c r="M8" s="14" t="n"/>
      <c r="N8" s="18">
        <f>AD7</f>
        <v/>
      </c>
      <c r="O8" s="14" t="n"/>
      <c r="P8" s="15">
        <f>AD11&amp;" / "&amp;AD12</f>
        <v/>
      </c>
      <c r="Q8" s="14" t="n"/>
      <c r="T8" s="12" t="inlineStr">
        <is>
          <t>Partly kitted: repeaters with at least one line started but not all lines complete.  Remaining: planned minus complete kits.</t>
        </is>
      </c>
      <c r="AD8" s="6" cm="1">
        <f t="array" ref="AD8">SUMPRODUCT((UPPER(P_Product)=UPPER($C$5))*(P_RowOK=1)*((($F$5="All")+($F$5=""))+(UPPER(P_ProjName)=UPPER($F$5))&gt;0)*((($I$5="All")+($I$5=""))+(UPPER(P_Var)=UPPER($I$5))&gt;0)*(P_Lines&gt;0))</f>
        <v/>
      </c>
    </row>
    <row r="9" ht="26" customHeight="1">
      <c r="B9" s="19">
        <f>IF(AD8=0,"ASP planned qty in scope (no variant set up)","ASP planned qty, set-up variants"&amp;IF(AD2&gt;AD3," ("&amp;AD2&amp;" incl. not set up)",""))</f>
        <v/>
      </c>
      <c r="C9" s="14" t="n"/>
      <c r="D9" s="19">
        <f>"REPs with every set-up line covered"</f>
        <v/>
      </c>
      <c r="E9" s="14" t="n"/>
      <c r="F9" s="19">
        <f>"REPs started, not complete"</f>
        <v/>
      </c>
      <c r="G9" s="14" t="n"/>
      <c r="H9" s="19">
        <f>"planned minus complete kits"</f>
        <v/>
      </c>
      <c r="I9" s="14" t="n"/>
      <c r="J9" s="19">
        <f>"complete kits / planned (set-up variants)"</f>
        <v/>
      </c>
      <c r="K9" s="14" t="n"/>
      <c r="L9" s="19">
        <f>"kit target this week, not yet complete"</f>
        <v/>
      </c>
      <c r="M9" s="14" t="n"/>
      <c r="N9" s="19">
        <f>"kit target before this week, not complete"</f>
        <v/>
      </c>
      <c r="O9" s="14" t="n"/>
      <c r="P9" s="19">
        <f>"orders, all contracts - see COOIS Review"</f>
        <v/>
      </c>
      <c r="Q9" s="14" t="n"/>
      <c r="T9" s="12" t="inlineStr">
        <is>
          <t>Kit target week = ASP planned week minus the kit lead (Settings, 3 weeks). Due this week / behind compare complete kits with the cumulative plan, contract by contract.</t>
        </is>
      </c>
      <c r="AD9" s="6" cm="1">
        <f t="array" ref="AD9">SUMPRODUCT((UPPER(P_Product)=UPPER($C$5))*(P_RowOK=1)*((($F$5="All")+($F$5=""))+(UPPER(P_ProjName)=UPPER($F$5))&gt;0)*((($I$5="All")+($I$5=""))+(UPPER(P_Var)=UPPER($I$5))&gt;0)*(P_Lines=0)*(IFERROR(--P_Planned,0)&gt;0))</f>
        <v/>
      </c>
    </row>
    <row r="10">
      <c r="T10" s="12" t="inlineStr">
        <is>
          <t>A complete assembly kit is not a finished repeater. COOIS CNF is not treated as kitted. Contract allocation is the controller's entry, not a link proven by SAP.</t>
        </is>
      </c>
      <c r="AD10" s="6" cm="1">
        <f t="array" ref="AD10">SUMPRODUCT((UPPER(P_Product)=UPPER($C$5))*(P_RowOK=1)*((($F$5="All")+($F$5=""))+(UPPER(P_ProjName)=UPPER($F$5))&gt;0)*((($I$5="All")+($I$5=""))+(UPPER(P_Var)=UPPER($I$5))&gt;0)*(P_Lines&gt;0),IFERROR(--P_Short,0))</f>
        <v/>
      </c>
    </row>
    <row r="11">
      <c r="B11" s="3" t="inlineStr">
        <is>
          <t>Kits due by kit week (scope above, set-up variants)  -  this week highlighted</t>
        </is>
      </c>
      <c r="AD11" s="6" cm="1">
        <f t="array" ref="AD11">'COOIS Review'!$H$2</f>
        <v/>
      </c>
    </row>
    <row r="12">
      <c r="B12" s="20" t="inlineStr">
        <is>
          <t>Kit week</t>
        </is>
      </c>
      <c r="C12" cm="1">
        <f t="array" ref="C12">_xlfn.LET(_xlpm.smk,(UPPER(P_Product)=UPPER($C$5))*(P_RowOK=1)*((($F$5="All")+($F$5=""))+(UPPER(P_ProjName)=UPPER($F$5))&gt;0)*((($I$5="All")+($I$5=""))+(UPPER(P_Var)=UPPER($I$5))&gt;0)*(P_Lines&gt;0),_xlpm.sw,MMULT(TRANSPOSE(_xlpm.smk),IFERROR(--AspWeeks,0)),_xlpm.swk,TRANSPOSE(WkKitMon),_xlpm.sM,ThisMon+7*_xlfn.SEQUENCE(1,13,-4),_xlpm.sdue,MMULT(_xlpm.sw,--(_xlpm.swk=_xlpm.sM)),_xlpm.scum,MMULT(_xlpm.sw,--(_xlpm.swk&lt;=_xlpm.sM)),_xlfn.VSTACK(RIGHT(YEAR(_xlpm.sM+3),2)&amp;" W"&amp;_xlfn.ISOWEEKNUM(_xlpm.sM),_xlpm.sdue,_xlpm.scum,_xlpm.sM*0+$AD$4,IF(_xlpm.scum-$AD$4&gt;0,_xlpm.scum-$AD$4,0)))</f>
        <v/>
      </c>
      <c r="AD12" s="6" cm="1">
        <f t="array" ref="AD12">'COOIS Review'!$H$3+COUNTIFS(tblLog[Check],"*review*")+COUNTIFS(tblLog[Check],"*fix*")+COUNTIFS(tblLog[Check],"Assembly*")+COUNTIFS(tblLog[Check],"Stage*")+COUNTIFS(tblLog[Check],"REP*")+COUNTIFS(tblLog[Check],"Order number missing")+COUNTIFS(tblLog[Check],"Record type*")</f>
        <v/>
      </c>
    </row>
    <row r="13">
      <c r="B13" s="20" t="inlineStr">
        <is>
          <t>REPs due to kit that week</t>
        </is>
      </c>
    </row>
    <row r="14">
      <c r="B14" s="20" t="inlineStr">
        <is>
          <t>Cumulative due</t>
        </is>
      </c>
    </row>
    <row r="15">
      <c r="B15" s="20" t="inlineStr">
        <is>
          <t>Complete kits to date</t>
        </is>
      </c>
    </row>
    <row r="16">
      <c r="B16" s="20" t="inlineStr">
        <is>
          <t>Short of cumulative due</t>
        </is>
      </c>
    </row>
    <row r="18">
      <c r="B18" s="3" t="inlineStr">
        <is>
          <t>Data checks</t>
        </is>
      </c>
    </row>
    <row r="19">
      <c r="B19" s="21" cm="1">
        <f t="array" ref="B19">IF(AND(ASP!$C$1="Project Id",ASP!$D$1="Project Name",ASP!$E$1="Product",ASP!$G$1="Prod Id",ASP!$H$1="Friendly_name",ASP!$K$1="Nber FP",ASP!$L$1="System Qty",ASP!$M$1="Planned Qty"),"OK  ASP columns as expected ("&amp;COUNTIFS(P_RowOK,1)&amp;" ASP lines, "&amp;COUNTIFS(WkHdr,"?? W*")&amp;" week columns)","CHECK  ASP headers are not in the expected columns - paste the export at ASP!A1")</f>
        <v/>
      </c>
    </row>
    <row r="20">
      <c r="B20" s="21" cm="1">
        <f t="array" ref="B20">IF(SUMPRODUCT(--(COOIS!$A$1:$O$1=({"Order","Order Type","Material Number","Material description","Plant","Batch","Order quantity (GMEIN)","Unit of measure (=GMEIN)","Release date (actual)","Delivered quantity (GMEIN)","Created on","Entered by","Change date","Last changed by","System Status"})))=15,"OK  COOIS columns Order..System Status in the expected order ("&amp;COUNTA(Rv_Key)&amp;" orders)","CHECK  COOIS headings differ from the expected layout - paste the export at COOIS!A1")</f>
        <v/>
      </c>
    </row>
    <row r="21">
      <c r="B21" s="21" cm="1">
        <f t="array" ref="B21">_xlfn.LET(_xlpm.nl,IFERROR(Calc!$BD$8:$BD$400&amp;"",""),_xlpm.nm,(_xlpm.nl&lt;&gt;"")*(_xlpm.nl&lt;&gt;"(none)")*(COUNTIFS(P_Var,_xlpm.nl,P_Valid,1)=0),IF(SUM(_xlpm.nm)=0,"OK  every set-up variant is in the current ASP","REVIEW  set up but not in current ASP (history kept): "&amp;_xlfn.TEXTJOIN(", ",TRUE,IF(_xlpm.nm=1,_xlpm.nl,""))))</f>
        <v/>
      </c>
    </row>
    <row r="22">
      <c r="B22" s="21" cm="1">
        <f t="array" ref="B22">IF(SUMPRODUCT((P_Lines&gt;0)*(COUNTIFS(P_Var,P_Var,P_Valid,1)&gt;1))=0,"OK  no set-up variant appears on more than one ASP line","REVIEW  a set-up variant appears on more than one ASP line - quantities are added together")</f>
        <v/>
      </c>
    </row>
    <row r="23">
      <c r="B23" s="21" cm="1">
        <f t="array" ref="B23">IF(AD12=0,"OK  no Kitting Log or COOIS rows need review",AD12&amp;" rows need review - see Check column in Kitting Log and Review column in COOIS Review")</f>
        <v/>
      </c>
    </row>
    <row r="24">
      <c r="B24" s="21" cm="1">
        <f t="array" ref="B24">IF(AD10=0,"OK  every recorded unit in scope is covered by a COOIS order",AD10&amp;" recorded units in scope have no allocated COOIS order yet (not counted as complete)")</f>
        <v/>
      </c>
    </row>
    <row r="25">
      <c r="B25" s="21" cm="1">
        <f t="array" ref="B25">IF(AD9=0,"OK  every planned line in scope has assembly requirements",AD9&amp;" planned ASP lines in scope have no requirements - Assembly setup required")</f>
        <v/>
      </c>
    </row>
    <row r="27">
      <c r="B27" s="3" t="inlineStr">
        <is>
          <t>Contract overview</t>
        </is>
      </c>
    </row>
    <row r="28">
      <c r="B28" s="22" t="inlineStr">
        <is>
          <t>Project</t>
        </is>
      </c>
      <c r="C28" s="22" t="inlineStr">
        <is>
          <t>Variant ID</t>
        </is>
      </c>
      <c r="D28" s="22" t="inlineStr">
        <is>
          <t>Top code</t>
        </is>
      </c>
      <c r="E28" s="22" t="inlineStr">
        <is>
          <t>FP</t>
        </is>
      </c>
      <c r="F28" s="22" t="inlineStr">
        <is>
          <t>Body</t>
        </is>
      </c>
      <c r="G28" s="22" t="inlineStr">
        <is>
          <t>Temp</t>
        </is>
      </c>
      <c r="H28" s="22" t="inlineStr">
        <is>
          <t>System qty</t>
        </is>
      </c>
      <c r="I28" s="22" t="inlineStr">
        <is>
          <t>Built before plan</t>
        </is>
      </c>
      <c r="J28" s="22" t="inlineStr">
        <is>
          <t>Planned</t>
        </is>
      </c>
      <c r="K28" s="22" t="inlineStr">
        <is>
          <t>Kits due by this week</t>
        </is>
      </c>
      <c r="L28" s="22" t="inlineStr">
        <is>
          <t>Complete kits</t>
        </is>
      </c>
      <c r="M28" s="22" t="inlineStr">
        <is>
          <t>Partly kitted</t>
        </is>
      </c>
      <c r="N28" s="22" t="inlineStr">
        <is>
          <t>Remaining</t>
        </is>
      </c>
      <c r="O28" s="22" t="inlineStr">
        <is>
          <t>Progress</t>
        </is>
      </c>
      <c r="P28" s="22" t="inlineStr">
        <is>
          <t>Due this week</t>
        </is>
      </c>
      <c r="Q28" s="22" t="inlineStr">
        <is>
          <t>Behind</t>
        </is>
      </c>
      <c r="R28" s="22" t="inlineStr">
        <is>
          <t>Units without COOIS order</t>
        </is>
      </c>
      <c r="S28" s="22" t="inlineStr">
        <is>
          <t>Status</t>
        </is>
      </c>
    </row>
    <row r="29">
      <c r="B29" cm="1">
        <f t="array" ref="B29">_xlfn.LET(_xlpm.om,(UPPER(P_Product)=UPPER($C$5))*(P_RowOK=1)*((($F$5="All")+($F$5=""))+(UPPER(P_ProjName)=UPPER($F$5))&gt;0)*((($I$5="All")+($I$5=""))+(UPPER(P_Var)=UPPER($I$5))&gt;0),_xlpm.orows,_xlfn._xlws.FILTER(Calc!$A$8:$AF$1006,_xlpm.om,""),IF(SUM(_xlpm.om)=0,"No ASP lines for this selection",_xlfn.CHOOSECOLS(_xlpm.orows,3,7,6,10,9,8,11,23,12,17,24,25,26,27,28,29,30,32)))</f>
        <v/>
      </c>
      <c r="O29" s="23" t="n"/>
    </row>
    <row r="30">
      <c r="O30" s="23" t="n"/>
    </row>
    <row r="31">
      <c r="O31" s="23" t="n"/>
    </row>
    <row r="32">
      <c r="O32" s="23" t="n"/>
    </row>
    <row r="33">
      <c r="O33" s="23" t="n"/>
    </row>
    <row r="34">
      <c r="O34" s="23" t="n"/>
    </row>
    <row r="35">
      <c r="O35" s="23" t="n"/>
    </row>
    <row r="36">
      <c r="O36" s="23" t="n"/>
    </row>
    <row r="37">
      <c r="O37" s="23" t="n"/>
    </row>
    <row r="38">
      <c r="O38" s="23" t="n"/>
    </row>
    <row r="39">
      <c r="O39" s="23" t="n"/>
    </row>
    <row r="40">
      <c r="O40" s="23" t="n"/>
    </row>
    <row r="41">
      <c r="O41" s="23" t="n"/>
    </row>
    <row r="42">
      <c r="O42" s="23" t="n"/>
    </row>
    <row r="43">
      <c r="O43" s="23" t="n"/>
    </row>
    <row r="44">
      <c r="O44" s="23" t="n"/>
    </row>
    <row r="45">
      <c r="O45" s="23" t="n"/>
    </row>
    <row r="46">
      <c r="O46" s="23" t="n"/>
    </row>
    <row r="47">
      <c r="O47" s="23" t="n"/>
    </row>
    <row r="48">
      <c r="O48" s="23" t="n"/>
    </row>
    <row r="49">
      <c r="O49" s="23" t="n"/>
    </row>
    <row r="50">
      <c r="O50" s="23" t="n"/>
    </row>
    <row r="51">
      <c r="O51" s="23" t="n"/>
    </row>
    <row r="52">
      <c r="O52" s="23" t="n"/>
    </row>
    <row r="53">
      <c r="O53" s="23" t="n"/>
    </row>
    <row r="54">
      <c r="O54" s="23" t="n"/>
    </row>
    <row r="55">
      <c r="O55" s="23" t="n"/>
    </row>
    <row r="56">
      <c r="O56" s="23" t="n"/>
    </row>
    <row r="57">
      <c r="O57" s="23" t="n"/>
    </row>
    <row r="58">
      <c r="O58" s="23" t="n"/>
    </row>
    <row r="59">
      <c r="O59" s="23" t="n"/>
    </row>
    <row r="60">
      <c r="O60" s="23" t="n"/>
    </row>
    <row r="61">
      <c r="O61" s="23" t="n"/>
    </row>
    <row r="62">
      <c r="O62" s="23" t="n"/>
    </row>
    <row r="63">
      <c r="O63" s="23" t="n"/>
    </row>
    <row r="64">
      <c r="O64" s="23" t="n"/>
    </row>
    <row r="65">
      <c r="O65" s="23" t="n"/>
    </row>
    <row r="66">
      <c r="O66" s="23" t="n"/>
    </row>
    <row r="67">
      <c r="O67" s="23" t="n"/>
    </row>
    <row r="68">
      <c r="O68" s="23" t="n"/>
    </row>
    <row r="69">
      <c r="O69" s="23" t="n"/>
    </row>
    <row r="70">
      <c r="O70" s="23" t="n"/>
    </row>
    <row r="71">
      <c r="O71" s="23" t="n"/>
    </row>
    <row r="72">
      <c r="O72" s="23" t="n"/>
    </row>
    <row r="73">
      <c r="O73" s="23" t="n"/>
    </row>
    <row r="74">
      <c r="O74" s="23" t="n"/>
    </row>
    <row r="75">
      <c r="O75" s="23" t="n"/>
    </row>
    <row r="76">
      <c r="O76" s="23" t="n"/>
    </row>
    <row r="77">
      <c r="O77" s="23" t="n"/>
    </row>
    <row r="78">
      <c r="O78" s="23" t="n"/>
    </row>
    <row r="79">
      <c r="O79" s="23" t="n"/>
    </row>
    <row r="80">
      <c r="O80" s="23" t="n"/>
    </row>
    <row r="81">
      <c r="O81" s="23" t="n"/>
    </row>
    <row r="82">
      <c r="O82" s="23" t="n"/>
    </row>
    <row r="83">
      <c r="O83" s="23" t="n"/>
    </row>
    <row r="84">
      <c r="O84" s="23" t="n"/>
    </row>
    <row r="85">
      <c r="O85" s="23" t="n"/>
    </row>
    <row r="86">
      <c r="O86" s="23" t="n"/>
    </row>
    <row r="87">
      <c r="O87" s="23" t="n"/>
    </row>
    <row r="88">
      <c r="O88" s="23" t="n"/>
    </row>
    <row r="89">
      <c r="O89" s="23" t="n"/>
    </row>
    <row r="90">
      <c r="O90" s="23" t="n"/>
    </row>
    <row r="91">
      <c r="O91" s="23" t="n"/>
    </row>
    <row r="92">
      <c r="O92" s="23" t="n"/>
    </row>
    <row r="93">
      <c r="O93" s="23" t="n"/>
    </row>
    <row r="94">
      <c r="O94" s="23" t="n"/>
    </row>
    <row r="95">
      <c r="O95" s="23" t="n"/>
    </row>
    <row r="96">
      <c r="O96" s="23" t="n"/>
    </row>
    <row r="97">
      <c r="O97" s="23" t="n"/>
    </row>
    <row r="98">
      <c r="O98" s="23" t="n"/>
    </row>
    <row r="99">
      <c r="O99" s="23" t="n"/>
    </row>
    <row r="100">
      <c r="O100" s="23" t="n"/>
    </row>
    <row r="101">
      <c r="O101" s="23" t="n"/>
    </row>
    <row r="102">
      <c r="O102" s="23" t="n"/>
    </row>
    <row r="103">
      <c r="O103" s="23" t="n"/>
    </row>
    <row r="104">
      <c r="O104" s="23" t="n"/>
    </row>
    <row r="105">
      <c r="O105" s="23" t="n"/>
    </row>
    <row r="106">
      <c r="O106" s="23" t="n"/>
    </row>
    <row r="107">
      <c r="O107" s="23" t="n"/>
    </row>
    <row r="108">
      <c r="O108" s="23" t="n"/>
    </row>
    <row r="109">
      <c r="O109" s="23" t="n"/>
    </row>
    <row r="110">
      <c r="O110" s="23" t="n"/>
    </row>
    <row r="111">
      <c r="O111" s="23" t="n"/>
    </row>
    <row r="112">
      <c r="O112" s="23" t="n"/>
    </row>
    <row r="113">
      <c r="O113" s="23" t="n"/>
    </row>
    <row r="114">
      <c r="O114" s="23" t="n"/>
    </row>
    <row r="115">
      <c r="O115" s="23" t="n"/>
    </row>
    <row r="116">
      <c r="O116" s="23" t="n"/>
    </row>
    <row r="117">
      <c r="O117" s="23" t="n"/>
    </row>
    <row r="118">
      <c r="O118" s="23" t="n"/>
    </row>
    <row r="119">
      <c r="O119" s="23" t="n"/>
    </row>
    <row r="120">
      <c r="O120" s="23" t="n"/>
    </row>
    <row r="121">
      <c r="O121" s="23" t="n"/>
    </row>
    <row r="122">
      <c r="O122" s="23" t="n"/>
    </row>
    <row r="123">
      <c r="O123" s="23" t="n"/>
    </row>
    <row r="124">
      <c r="O124" s="23" t="n"/>
    </row>
    <row r="125">
      <c r="O125" s="23" t="n"/>
    </row>
    <row r="126">
      <c r="O126" s="23" t="n"/>
    </row>
    <row r="127">
      <c r="O127" s="23" t="n"/>
    </row>
    <row r="128">
      <c r="O128" s="23" t="n"/>
    </row>
    <row r="129">
      <c r="O129" s="23" t="n"/>
    </row>
    <row r="130">
      <c r="O130" s="23" t="n"/>
    </row>
    <row r="131">
      <c r="O131" s="23" t="n"/>
    </row>
    <row r="132">
      <c r="O132" s="23" t="n"/>
    </row>
    <row r="133">
      <c r="O133" s="23" t="n"/>
    </row>
    <row r="134">
      <c r="O134" s="23" t="n"/>
    </row>
    <row r="135">
      <c r="O135" s="23" t="n"/>
    </row>
    <row r="136">
      <c r="O136" s="23" t="n"/>
    </row>
    <row r="137">
      <c r="O137" s="23" t="n"/>
    </row>
    <row r="138">
      <c r="O138" s="23" t="n"/>
    </row>
    <row r="139">
      <c r="O139" s="23" t="n"/>
    </row>
    <row r="140">
      <c r="O140" s="23" t="n"/>
    </row>
    <row r="141">
      <c r="O141" s="23" t="n"/>
    </row>
    <row r="142">
      <c r="O142" s="23" t="n"/>
    </row>
    <row r="143">
      <c r="O143" s="23" t="n"/>
    </row>
    <row r="144">
      <c r="O144" s="23" t="n"/>
    </row>
    <row r="145">
      <c r="O145" s="23" t="n"/>
    </row>
    <row r="146">
      <c r="O146" s="23" t="n"/>
    </row>
    <row r="147">
      <c r="O147" s="23" t="n"/>
    </row>
    <row r="148">
      <c r="O148" s="23" t="n"/>
    </row>
    <row r="149">
      <c r="O149" s="23" t="n"/>
    </row>
    <row r="150">
      <c r="O150" s="23" t="n"/>
    </row>
    <row r="151">
      <c r="O151" s="23" t="n"/>
    </row>
    <row r="152">
      <c r="O152" s="23" t="n"/>
    </row>
    <row r="153">
      <c r="O153" s="23" t="n"/>
    </row>
    <row r="154">
      <c r="O154" s="23" t="n"/>
    </row>
    <row r="155">
      <c r="O155" s="23" t="n"/>
    </row>
    <row r="156">
      <c r="O156" s="23" t="n"/>
    </row>
    <row r="157">
      <c r="O157" s="23" t="n"/>
    </row>
    <row r="158">
      <c r="O158" s="23" t="n"/>
    </row>
    <row r="159">
      <c r="O159" s="23" t="n"/>
    </row>
    <row r="160">
      <c r="O160" s="23" t="n"/>
    </row>
    <row r="161">
      <c r="O161" s="23" t="n"/>
    </row>
    <row r="162">
      <c r="O162" s="23" t="n"/>
    </row>
    <row r="163">
      <c r="O163" s="23" t="n"/>
    </row>
    <row r="164">
      <c r="O164" s="23" t="n"/>
    </row>
    <row r="165">
      <c r="O165" s="23" t="n"/>
    </row>
    <row r="166">
      <c r="O166" s="23" t="n"/>
    </row>
    <row r="167">
      <c r="O167" s="23" t="n"/>
    </row>
    <row r="168">
      <c r="O168" s="23" t="n"/>
    </row>
    <row r="169">
      <c r="O169" s="23" t="n"/>
    </row>
    <row r="170">
      <c r="O170" s="23" t="n"/>
    </row>
    <row r="171">
      <c r="O171" s="23" t="n"/>
    </row>
    <row r="172">
      <c r="O172" s="23" t="n"/>
    </row>
    <row r="173">
      <c r="O173" s="23" t="n"/>
    </row>
    <row r="174">
      <c r="O174" s="23" t="n"/>
    </row>
    <row r="175">
      <c r="O175" s="23" t="n"/>
    </row>
    <row r="176">
      <c r="O176" s="23" t="n"/>
    </row>
    <row r="177">
      <c r="O177" s="23" t="n"/>
    </row>
    <row r="178">
      <c r="O178" s="23" t="n"/>
    </row>
    <row r="179">
      <c r="O179" s="23" t="n"/>
    </row>
    <row r="180">
      <c r="O180" s="23" t="n"/>
    </row>
    <row r="181">
      <c r="O181" s="23" t="n"/>
    </row>
    <row r="182">
      <c r="O182" s="23" t="n"/>
    </row>
    <row r="183">
      <c r="O183" s="23" t="n"/>
    </row>
    <row r="184">
      <c r="O184" s="23" t="n"/>
    </row>
    <row r="185">
      <c r="O185" s="23" t="n"/>
    </row>
    <row r="186">
      <c r="O186" s="23" t="n"/>
    </row>
    <row r="187">
      <c r="O187" s="23" t="n"/>
    </row>
    <row r="188">
      <c r="O188" s="23" t="n"/>
    </row>
    <row r="189">
      <c r="O189" s="23" t="n"/>
    </row>
    <row r="190">
      <c r="O190" s="23" t="n"/>
    </row>
    <row r="191">
      <c r="O191" s="23" t="n"/>
    </row>
    <row r="192">
      <c r="O192" s="23" t="n"/>
    </row>
    <row r="193">
      <c r="O193" s="23" t="n"/>
    </row>
    <row r="194">
      <c r="O194" s="23" t="n"/>
    </row>
    <row r="195">
      <c r="O195" s="23" t="n"/>
    </row>
    <row r="196">
      <c r="O196" s="23" t="n"/>
    </row>
    <row r="197">
      <c r="O197" s="23" t="n"/>
    </row>
    <row r="198">
      <c r="O198" s="23" t="n"/>
    </row>
    <row r="199">
      <c r="O199" s="23" t="n"/>
    </row>
    <row r="200">
      <c r="O200" s="23" t="n"/>
    </row>
    <row r="201">
      <c r="O201" s="23" t="n"/>
    </row>
    <row r="202">
      <c r="O202" s="23" t="n"/>
    </row>
    <row r="203">
      <c r="O203" s="23" t="n"/>
    </row>
    <row r="204">
      <c r="O204" s="23" t="n"/>
    </row>
    <row r="205">
      <c r="O205" s="23" t="n"/>
    </row>
    <row r="206">
      <c r="O206" s="23" t="n"/>
    </row>
    <row r="207">
      <c r="O207" s="23" t="n"/>
    </row>
    <row r="208">
      <c r="O208" s="23" t="n"/>
    </row>
    <row r="209">
      <c r="O209" s="23" t="n"/>
    </row>
    <row r="210">
      <c r="O210" s="23" t="n"/>
    </row>
    <row r="211">
      <c r="O211" s="23" t="n"/>
    </row>
    <row r="212">
      <c r="O212" s="23" t="n"/>
    </row>
    <row r="213">
      <c r="O213" s="23" t="n"/>
    </row>
    <row r="214">
      <c r="O214" s="23" t="n"/>
    </row>
    <row r="215">
      <c r="O215" s="23" t="n"/>
    </row>
    <row r="216">
      <c r="O216" s="23" t="n"/>
    </row>
    <row r="217">
      <c r="O217" s="23" t="n"/>
    </row>
    <row r="218">
      <c r="O218" s="23" t="n"/>
    </row>
    <row r="219">
      <c r="O219" s="23" t="n"/>
    </row>
    <row r="220">
      <c r="O220" s="23" t="n"/>
    </row>
    <row r="221">
      <c r="O221" s="23" t="n"/>
    </row>
    <row r="222">
      <c r="O222" s="23" t="n"/>
    </row>
    <row r="223">
      <c r="O223" s="23" t="n"/>
    </row>
    <row r="224">
      <c r="O224" s="23" t="n"/>
    </row>
    <row r="225">
      <c r="O225" s="23" t="n"/>
    </row>
    <row r="226">
      <c r="O226" s="23" t="n"/>
    </row>
    <row r="227">
      <c r="O227" s="23" t="n"/>
    </row>
    <row r="228">
      <c r="O228" s="23" t="n"/>
    </row>
    <row r="229">
      <c r="O229" s="23" t="n"/>
    </row>
    <row r="230">
      <c r="O230" s="23" t="n"/>
    </row>
    <row r="231">
      <c r="O231" s="23" t="n"/>
    </row>
    <row r="232">
      <c r="O232" s="23" t="n"/>
    </row>
    <row r="233">
      <c r="O233" s="23" t="n"/>
    </row>
    <row r="234">
      <c r="O234" s="23" t="n"/>
    </row>
    <row r="235">
      <c r="O235" s="23" t="n"/>
    </row>
    <row r="236">
      <c r="O236" s="23" t="n"/>
    </row>
    <row r="237">
      <c r="O237" s="23" t="n"/>
    </row>
    <row r="238">
      <c r="O238" s="23" t="n"/>
    </row>
    <row r="239">
      <c r="O239" s="23" t="n"/>
    </row>
    <row r="240">
      <c r="O240" s="23" t="n"/>
    </row>
    <row r="241">
      <c r="O241" s="23" t="n"/>
    </row>
    <row r="242">
      <c r="O242" s="23" t="n"/>
    </row>
    <row r="243">
      <c r="O243" s="23" t="n"/>
    </row>
    <row r="244">
      <c r="O244" s="23" t="n"/>
    </row>
    <row r="245">
      <c r="O245" s="23" t="n"/>
    </row>
    <row r="246">
      <c r="O246" s="23" t="n"/>
    </row>
    <row r="247">
      <c r="O247" s="23" t="n"/>
    </row>
    <row r="248">
      <c r="O248" s="23" t="n"/>
    </row>
    <row r="249">
      <c r="O249" s="23" t="n"/>
    </row>
    <row r="250">
      <c r="O250" s="23" t="n"/>
    </row>
    <row r="251">
      <c r="O251" s="23" t="n"/>
    </row>
    <row r="252">
      <c r="O252" s="23" t="n"/>
    </row>
    <row r="253">
      <c r="O253" s="23" t="n"/>
    </row>
    <row r="254">
      <c r="O254" s="23" t="n"/>
    </row>
    <row r="255">
      <c r="O255" s="23" t="n"/>
    </row>
    <row r="256">
      <c r="O256" s="23" t="n"/>
    </row>
    <row r="257">
      <c r="O257" s="23" t="n"/>
    </row>
    <row r="258">
      <c r="O258" s="23" t="n"/>
    </row>
    <row r="259">
      <c r="O259" s="23" t="n"/>
    </row>
    <row r="260">
      <c r="O260" s="23" t="n"/>
    </row>
    <row r="261">
      <c r="O261" s="23" t="n"/>
    </row>
    <row r="262">
      <c r="O262" s="23" t="n"/>
    </row>
    <row r="263">
      <c r="O263" s="23" t="n"/>
    </row>
    <row r="264">
      <c r="O264" s="23" t="n"/>
    </row>
    <row r="265">
      <c r="O265" s="23" t="n"/>
    </row>
    <row r="266">
      <c r="O266" s="23" t="n"/>
    </row>
    <row r="267">
      <c r="O267" s="23" t="n"/>
    </row>
    <row r="268">
      <c r="O268" s="23" t="n"/>
    </row>
    <row r="269">
      <c r="O269" s="23" t="n"/>
    </row>
    <row r="270">
      <c r="O270" s="23" t="n"/>
    </row>
    <row r="271">
      <c r="O271" s="23" t="n"/>
    </row>
    <row r="272">
      <c r="O272" s="23" t="n"/>
    </row>
    <row r="273">
      <c r="O273" s="23" t="n"/>
    </row>
    <row r="274">
      <c r="O274" s="23" t="n"/>
    </row>
    <row r="275">
      <c r="O275" s="23" t="n"/>
    </row>
    <row r="276">
      <c r="O276" s="23" t="n"/>
    </row>
    <row r="277">
      <c r="O277" s="23" t="n"/>
    </row>
    <row r="278">
      <c r="O278" s="23" t="n"/>
    </row>
    <row r="279">
      <c r="O279" s="23" t="n"/>
    </row>
    <row r="280">
      <c r="O280" s="23" t="n"/>
    </row>
    <row r="281">
      <c r="O281" s="23" t="n"/>
    </row>
    <row r="282">
      <c r="O282" s="23" t="n"/>
    </row>
    <row r="283">
      <c r="O283" s="23" t="n"/>
    </row>
    <row r="284">
      <c r="O284" s="23" t="n"/>
    </row>
    <row r="285">
      <c r="O285" s="23" t="n"/>
    </row>
    <row r="286">
      <c r="O286" s="23" t="n"/>
    </row>
    <row r="287">
      <c r="O287" s="23" t="n"/>
    </row>
    <row r="288">
      <c r="O288" s="23" t="n"/>
    </row>
    <row r="289">
      <c r="O289" s="23" t="n"/>
    </row>
    <row r="290">
      <c r="O290" s="23" t="n"/>
    </row>
    <row r="291">
      <c r="O291" s="23" t="n"/>
    </row>
    <row r="292">
      <c r="O292" s="23" t="n"/>
    </row>
    <row r="293">
      <c r="O293" s="23" t="n"/>
    </row>
    <row r="294">
      <c r="O294" s="23" t="n"/>
    </row>
    <row r="295">
      <c r="O295" s="23" t="n"/>
    </row>
    <row r="296">
      <c r="O296" s="23" t="n"/>
    </row>
    <row r="297">
      <c r="O297" s="23" t="n"/>
    </row>
    <row r="298">
      <c r="O298" s="23" t="n"/>
    </row>
    <row r="299">
      <c r="O299" s="23" t="n"/>
    </row>
    <row r="300">
      <c r="O300" s="23" t="n"/>
    </row>
    <row r="301">
      <c r="O301" s="23" t="n"/>
    </row>
    <row r="302">
      <c r="O302" s="23" t="n"/>
    </row>
    <row r="303">
      <c r="O303" s="23" t="n"/>
    </row>
    <row r="304">
      <c r="O304" s="23" t="n"/>
    </row>
    <row r="305">
      <c r="O305" s="23" t="n"/>
    </row>
    <row r="306">
      <c r="O306" s="23" t="n"/>
    </row>
    <row r="307">
      <c r="O307" s="23" t="n"/>
    </row>
    <row r="308">
      <c r="O308" s="23" t="n"/>
    </row>
    <row r="309">
      <c r="O309" s="23" t="n"/>
    </row>
    <row r="310">
      <c r="O310" s="23" t="n"/>
    </row>
    <row r="311">
      <c r="O311" s="23" t="n"/>
    </row>
    <row r="312">
      <c r="O312" s="23" t="n"/>
    </row>
    <row r="313">
      <c r="O313" s="23" t="n"/>
    </row>
    <row r="314">
      <c r="O314" s="23" t="n"/>
    </row>
    <row r="315">
      <c r="O315" s="23" t="n"/>
    </row>
    <row r="316">
      <c r="O316" s="23" t="n"/>
    </row>
    <row r="317">
      <c r="O317" s="23" t="n"/>
    </row>
    <row r="318">
      <c r="O318" s="23" t="n"/>
    </row>
    <row r="319">
      <c r="O319" s="23" t="n"/>
    </row>
    <row r="320">
      <c r="O320" s="23" t="n"/>
    </row>
    <row r="321">
      <c r="O321" s="23" t="n"/>
    </row>
    <row r="322">
      <c r="O322" s="23" t="n"/>
    </row>
    <row r="323">
      <c r="O323" s="23" t="n"/>
    </row>
    <row r="324">
      <c r="O324" s="23" t="n"/>
    </row>
    <row r="325">
      <c r="O325" s="23" t="n"/>
    </row>
    <row r="326">
      <c r="O326" s="23" t="n"/>
    </row>
    <row r="327">
      <c r="O327" s="23" t="n"/>
    </row>
    <row r="328">
      <c r="O328" s="23" t="n"/>
    </row>
    <row r="329">
      <c r="O329" s="23" t="n"/>
    </row>
    <row r="330">
      <c r="O330" s="23" t="n"/>
    </row>
    <row r="331">
      <c r="O331" s="23" t="n"/>
    </row>
    <row r="332">
      <c r="O332" s="23" t="n"/>
    </row>
    <row r="333">
      <c r="O333" s="23" t="n"/>
    </row>
    <row r="334">
      <c r="O334" s="23" t="n"/>
    </row>
    <row r="335">
      <c r="O335" s="23" t="n"/>
    </row>
    <row r="336">
      <c r="O336" s="23" t="n"/>
    </row>
    <row r="337">
      <c r="O337" s="23" t="n"/>
    </row>
    <row r="338">
      <c r="O338" s="23" t="n"/>
    </row>
    <row r="339">
      <c r="O339" s="23" t="n"/>
    </row>
    <row r="340">
      <c r="O340" s="23" t="n"/>
    </row>
    <row r="341">
      <c r="O341" s="23" t="n"/>
    </row>
    <row r="342">
      <c r="O342" s="23" t="n"/>
    </row>
    <row r="343">
      <c r="O343" s="23" t="n"/>
    </row>
    <row r="344">
      <c r="O344" s="23" t="n"/>
    </row>
    <row r="345">
      <c r="O345" s="23" t="n"/>
    </row>
    <row r="346">
      <c r="O346" s="23" t="n"/>
    </row>
    <row r="347">
      <c r="O347" s="23" t="n"/>
    </row>
    <row r="348">
      <c r="O348" s="23" t="n"/>
    </row>
    <row r="349">
      <c r="O349" s="23" t="n"/>
    </row>
    <row r="350">
      <c r="O350" s="23" t="n"/>
    </row>
    <row r="351">
      <c r="O351" s="23" t="n"/>
    </row>
    <row r="352">
      <c r="O352" s="23" t="n"/>
    </row>
    <row r="353">
      <c r="O353" s="23" t="n"/>
    </row>
    <row r="354">
      <c r="O354" s="23" t="n"/>
    </row>
    <row r="355">
      <c r="O355" s="23" t="n"/>
    </row>
    <row r="356">
      <c r="O356" s="23" t="n"/>
    </row>
    <row r="357">
      <c r="O357" s="23" t="n"/>
    </row>
    <row r="358">
      <c r="O358" s="23" t="n"/>
    </row>
    <row r="359">
      <c r="O359" s="23" t="n"/>
    </row>
    <row r="360">
      <c r="O360" s="23" t="n"/>
    </row>
    <row r="361">
      <c r="O361" s="23" t="n"/>
    </row>
    <row r="362">
      <c r="O362" s="23" t="n"/>
    </row>
    <row r="363">
      <c r="O363" s="23" t="n"/>
    </row>
    <row r="364">
      <c r="O364" s="23" t="n"/>
    </row>
    <row r="365">
      <c r="O365" s="23" t="n"/>
    </row>
    <row r="366">
      <c r="O366" s="23" t="n"/>
    </row>
    <row r="367">
      <c r="O367" s="23" t="n"/>
    </row>
    <row r="368">
      <c r="O368" s="23" t="n"/>
    </row>
    <row r="369">
      <c r="O369" s="23" t="n"/>
    </row>
    <row r="370">
      <c r="O370" s="23" t="n"/>
    </row>
    <row r="371">
      <c r="O371" s="23" t="n"/>
    </row>
    <row r="372">
      <c r="O372" s="23" t="n"/>
    </row>
    <row r="373">
      <c r="O373" s="23" t="n"/>
    </row>
    <row r="374">
      <c r="O374" s="23" t="n"/>
    </row>
    <row r="375">
      <c r="O375" s="23" t="n"/>
    </row>
    <row r="376">
      <c r="O376" s="23" t="n"/>
    </row>
    <row r="377">
      <c r="O377" s="23" t="n"/>
    </row>
    <row r="378">
      <c r="O378" s="23" t="n"/>
    </row>
    <row r="379">
      <c r="O379" s="23" t="n"/>
    </row>
    <row r="380">
      <c r="O380" s="23" t="n"/>
    </row>
    <row r="381">
      <c r="O381" s="23" t="n"/>
    </row>
    <row r="382">
      <c r="O382" s="23" t="n"/>
    </row>
    <row r="383">
      <c r="O383" s="23" t="n"/>
    </row>
    <row r="384">
      <c r="O384" s="23" t="n"/>
    </row>
    <row r="385">
      <c r="O385" s="23" t="n"/>
    </row>
    <row r="386">
      <c r="O386" s="23" t="n"/>
    </row>
    <row r="387">
      <c r="O387" s="23" t="n"/>
    </row>
    <row r="388">
      <c r="O388" s="23" t="n"/>
    </row>
    <row r="389">
      <c r="O389" s="23" t="n"/>
    </row>
    <row r="390">
      <c r="O390" s="23" t="n"/>
    </row>
    <row r="391">
      <c r="O391" s="23" t="n"/>
    </row>
    <row r="392">
      <c r="O392" s="23" t="n"/>
    </row>
    <row r="393">
      <c r="O393" s="23" t="n"/>
    </row>
    <row r="394">
      <c r="O394" s="23" t="n"/>
    </row>
    <row r="395">
      <c r="O395" s="23" t="n"/>
    </row>
    <row r="396">
      <c r="O396" s="23" t="n"/>
    </row>
    <row r="397">
      <c r="O397" s="23" t="n"/>
    </row>
    <row r="398">
      <c r="O398" s="23" t="n"/>
    </row>
    <row r="399">
      <c r="O399" s="23" t="n"/>
    </row>
  </sheetData>
  <sheetProtection selectLockedCells="0" selectUnlockedCells="0" sheet="1" objects="0" insertRows="1" insertHyperlinks="1" autoFilter="0" scenarios="0" formatColumns="0" deleteColumns="1" insertColumns="1" pivotTables="1" deleteRows="1" formatCells="0" formatRows="1" sort="0"/>
  <mergeCells count="27">
    <mergeCell ref="L7:M7"/>
    <mergeCell ref="B7:C7"/>
    <mergeCell ref="N7:O7"/>
    <mergeCell ref="C5:D5"/>
    <mergeCell ref="H9:I9"/>
    <mergeCell ref="F7:G7"/>
    <mergeCell ref="J9:K9"/>
    <mergeCell ref="P9:Q9"/>
    <mergeCell ref="I5:K5"/>
    <mergeCell ref="F5:G5"/>
    <mergeCell ref="P8:Q8"/>
    <mergeCell ref="L8:M8"/>
    <mergeCell ref="B8:C8"/>
    <mergeCell ref="N8:O8"/>
    <mergeCell ref="F8:G8"/>
    <mergeCell ref="D7:E7"/>
    <mergeCell ref="P7:Q7"/>
    <mergeCell ref="H7:I7"/>
    <mergeCell ref="J7:K7"/>
    <mergeCell ref="B9:C9"/>
    <mergeCell ref="D9:E9"/>
    <mergeCell ref="F9:G9"/>
    <mergeCell ref="L9:M9"/>
    <mergeCell ref="D8:E8"/>
    <mergeCell ref="N9:O9"/>
    <mergeCell ref="H8:I8"/>
    <mergeCell ref="J8:K8"/>
  </mergeCells>
  <conditionalFormatting sqref="S29:S400">
    <cfRule type="expression" priority="1" dxfId="0">
      <formula>S29="Kit behind"</formula>
    </cfRule>
    <cfRule type="expression" priority="2" dxfId="1">
      <formula>S29="Kit due this week"</formula>
    </cfRule>
    <cfRule type="expression" priority="3" dxfId="2">
      <formula>S29="On track"</formula>
    </cfRule>
    <cfRule type="expression" priority="4" dxfId="3">
      <formula>S29="All kitted"</formula>
    </cfRule>
    <cfRule type="expression" priority="5" dxfId="4">
      <formula>S29="Assembly setup required"</formula>
    </cfRule>
    <cfRule type="expression" priority="6" dxfId="0">
      <formula>S29="Top code differs - review"</formula>
    </cfRule>
    <cfRule type="expression" priority="7" dxfId="4">
      <formula>S29="No plan quantity"</formula>
    </cfRule>
  </conditionalFormatting>
  <conditionalFormatting sqref="C12:O16">
    <cfRule type="expression" priority="8" dxfId="5">
      <formula>C$12=RIGHT(YEAR(ThisMon+3),2)&amp;" W"&amp;_xlfn.ISOWEEKNUM(ThisMon)</formula>
    </cfRule>
  </conditionalFormatting>
  <conditionalFormatting sqref="B19:B25">
    <cfRule type="expression" priority="9" dxfId="6">
      <formula>ISNUMBER(SEARCH("OK",B19))</formula>
    </cfRule>
    <cfRule type="expression" priority="10" dxfId="7">
      <formula>LEFT(B19,5)="CHECK"</formula>
    </cfRule>
    <cfRule type="expression" priority="11" dxfId="7">
      <formula>LEFT(B19,6)="REVIEW"</formula>
    </cfRule>
    <cfRule type="expression" priority="12" dxfId="7">
      <formula>LEFT(B19,9)="rows need"</formula>
    </cfRule>
    <cfRule type="expression" priority="13" dxfId="7">
      <formula>LEFT(B19,14)="recorded units"</formula>
    </cfRule>
    <cfRule type="expression" priority="14" dxfId="7">
      <formula>LEFT(B19,11)="planned ASP"</formula>
    </cfRule>
  </conditionalFormatting>
  <dataValidations count="3">
    <dataValidation sqref="C5" showDropDown="0" showInputMessage="0" showErrorMessage="0" allowBlank="1" type="list">
      <formula1>ProductList</formula1>
    </dataValidation>
    <dataValidation sqref="F5" showDropDown="0" showInputMessage="0" showErrorMessage="0" allowBlank="1" type="list">
      <formula1>ProjectList</formula1>
    </dataValidation>
    <dataValidation sqref="I5" showDropDown="0" showInputMessage="0" showErrorMessage="0" allowBlank="1" type="list">
      <formula1>VariantAllList</formula1>
    </dataValidation>
  </dataValidations>
  <pageMargins left="0.75" right="0.75" top="1" bottom="1" header="0.5" footer="0.5"/>
</worksheet>
</file>

<file path=xl/worksheets/sheet3.xml><?xml version="1.0" encoding="utf-8"?>
<worksheet xmlns="http://schemas.openxmlformats.org/spreadsheetml/2006/main">
  <sheetPr>
    <tabColor rgb="0017324D"/>
    <outlinePr summaryBelow="1" summaryRight="1"/>
    <pageSetUpPr/>
  </sheetPr>
  <dimension ref="B2:N18"/>
  <sheetViews>
    <sheetView showGridLines="0" workbookViewId="0">
      <pane xSplit="2" ySplit="17" topLeftCell="C18" activePane="bottomRight" state="frozen"/>
      <selection pane="topRight"/>
      <selection pane="bottomLeft"/>
      <selection pane="bottomRight" activeCell="A1" sqref="A1"/>
    </sheetView>
  </sheetViews>
  <sheetFormatPr baseColWidth="8" defaultRowHeight="15"/>
  <cols>
    <col width="2" customWidth="1" min="1" max="1"/>
    <col width="8" customWidth="1" min="2" max="2"/>
    <col width="9" customWidth="1" min="3" max="3"/>
    <col width="9" customWidth="1" min="4" max="4"/>
    <col width="9" customWidth="1" min="5" max="5"/>
    <col width="9" customWidth="1" min="6" max="6"/>
    <col width="13" customWidth="1" min="7" max="7"/>
    <col width="13" customWidth="1" min="8" max="8"/>
    <col width="16" customWidth="1" min="9" max="9"/>
    <col width="13" customWidth="1" min="10" max="10"/>
    <col width="13" customWidth="1" min="11" max="11"/>
    <col width="16" customWidth="1" min="12" max="12"/>
    <col width="13" customWidth="1" min="13" max="13"/>
    <col width="13" customWidth="1" min="14" max="14"/>
  </cols>
  <sheetData>
    <row r="2">
      <c r="B2" s="1" t="inlineStr">
        <is>
          <t>Repeater View</t>
        </is>
      </c>
    </row>
    <row r="3">
      <c r="B3" s="2" t="inlineStr">
        <is>
          <t>Repeater-by-repeater stage progress for one variant. Kitted = recorded against that REP number. Kitted* = covered by a contract-level quantity, shown against the earliest open REP positions; it is NOT a physical traceability link.</t>
        </is>
      </c>
    </row>
    <row r="4">
      <c r="G4" s="13" t="inlineStr">
        <is>
          <t>Project</t>
        </is>
      </c>
      <c r="H4" s="13" t="inlineStr">
        <is>
          <t>Top code (ASP)</t>
        </is>
      </c>
      <c r="I4" s="13" t="inlineStr">
        <is>
          <t>System qty</t>
        </is>
      </c>
      <c r="J4" s="13" t="inlineStr">
        <is>
          <t>Built before plan</t>
        </is>
      </c>
      <c r="K4" s="13" t="inlineStr">
        <is>
          <t>Planned</t>
        </is>
      </c>
      <c r="L4" s="13" t="inlineStr">
        <is>
          <t>Weekly plan total</t>
        </is>
      </c>
      <c r="M4" s="13" t="inlineStr">
        <is>
          <t>Complete kits</t>
        </is>
      </c>
      <c r="N4" s="13" t="inlineStr">
        <is>
          <t>This week</t>
        </is>
      </c>
    </row>
    <row r="5">
      <c r="B5" s="24" t="inlineStr">
        <is>
          <t>Variant</t>
        </is>
      </c>
      <c r="C5" s="8" t="inlineStr">
        <is>
          <t>E2A-R12P-T5-C</t>
        </is>
      </c>
      <c r="D5" s="10" t="n"/>
      <c r="E5" s="9" t="n"/>
      <c r="G5" s="25" cm="1">
        <f t="array" ref="G5">IFERROR(INDEX(P_ProjName,_xlfn.XMATCH(1,(UPPER(P_Var)=UPPER($C$5))*(P_Valid=1))),"not in ASP")</f>
        <v/>
      </c>
      <c r="H5" s="25" cm="1">
        <f t="array" ref="H5">IFERROR(INDEX(P_ProdId,_xlfn.XMATCH(1,(UPPER(P_Var)=UPPER($C$5))*(P_Valid=1))),"")</f>
        <v/>
      </c>
      <c r="I5" s="25" cm="1">
        <f t="array" ref="I5">SUMIFS(P_System,P_Var,$C$5)</f>
        <v/>
      </c>
      <c r="J5" s="25" cm="1">
        <f t="array" ref="J5">SUMIFS(P_System,P_Var,$C$5)-SUMIFS(P_Planned,P_Var,$C$5)</f>
        <v/>
      </c>
      <c r="K5" s="25" cm="1">
        <f t="array" ref="K5">SUMIFS(P_Planned,P_Var,$C$5)</f>
        <v/>
      </c>
      <c r="L5" s="25" cm="1">
        <f t="array" ref="L5">SUMIFS(P_WSum,P_Var,$C$5)</f>
        <v/>
      </c>
      <c r="M5" s="25" cm="1">
        <f t="array" ref="M5">IF(COUNTIF(tblReq[Variant ID],$C$5)=0,"Assembly setup required",_xlfn.MINIFS(L_CovReps,L_Var,$C$5))</f>
        <v/>
      </c>
      <c r="N5" s="25" cm="1">
        <f t="array" ref="N5">RIGHT(YEAR(ThisMon+3),2)&amp;" W"&amp;_xlfn.ISOWEEKNUM(ThisMon)</f>
        <v/>
      </c>
    </row>
    <row r="6">
      <c r="G6" s="26">
        <f>IF(SUMIFS(P_WSum,P_Var,$C$5)&lt;&gt;SUMIFS(P_Planned,P_Var,$C$5),"Note: the weekly plan total differs from Planned Qty in the ASP - REPs beyond the weekly plan show 'Not in weekly plan'.","")</f>
        <v/>
      </c>
    </row>
    <row r="8">
      <c r="B8" s="3" t="inlineStr">
        <is>
          <t>Stage summary (contract level)</t>
        </is>
      </c>
    </row>
    <row r="9">
      <c r="B9" s="20" t="inlineStr">
        <is>
          <t>Stage</t>
        </is>
      </c>
      <c r="E9" cm="1">
        <f t="array" ref="E9">_xlfn.LET(_xlpm.rv,TRIM($C$5&amp;""),_xlpm.rmk,(UPPER(TRIM(P_Var&amp;""))=UPPER(_xlpm.rv))*(_xlpm.rv&lt;&gt;""),_xlpm.rsy,SUMPRODUCT(_xlpm.rmk,IFERROR(--P_System,0)),_xlpm.rpl,SUMPRODUCT(_xlpm.rmk,IFERROR(--P_Planned,0)),_xlpm.rb,_xlpm.rsy-_xlpm.rpl,_xlpm.res,_xlfn.SORTBY(tblStages[Stage],tblStages[Order]),_xlpm.rnst,COUNTIFS(tblReq[Variant ID],_xlpm.rv,tblReq[Stage],_xlpm.res),_xlpm.rstg,TRANSPOSE(_xlfn._xlws.FILTER(_xlpm.res,_xlpm.rnst&gt;0,"")),_xlpm.rS,SUM(--(_xlpm.rnst&gt;0)),_xlpm.rcm,_xlfn.MINIFS(L_CovReps,L_Var,_xlpm.rv,L_Stage,_xlpm.rstg),_xlpm.rsa,_xlfn.MAXIFS(L_StartReps,L_Var,_xlpm.rv,L_Stage,_xlpm.rstg),_xlpm.rsh,SUMIFS(L_Short,L_Var,_xlpm.rv,L_Stage,_xlpm.rstg),_xlpm.rn,_xlfn.SEQUENCE(MAX(_xlpm.rsy,1)),_xlpm.rem,(tblLog[Active]=1)*(UPPER(TRIM(tblLog[Record type]&amp;""))="KITTING PROGRESS")*(UPPER(TRIM(tblLog[Variant ID]&amp;""))=UPPER(_xlpm.rv))*(TRIM(tblLog[Assembly code]&amp;"")="")*ISNUMBER(tblLog[REP from])*(IFERROR(--tblLog[REP from],0)&gt;0),_xlpm.rhe,SUM(_xlpm.rem)&gt;0,_xlpm.ref,_xlfn._xlws.FILTER(tblLog[REP from],_xlpm.rem,0),_xlpm.ret,_xlfn._xlws.FILTER(IF(ISNUMBER(tblLog[REP to]),tblLog[REP to],tblLog[REP from]),_xlpm.rem,0),_xlpm.rstx,_xlfn._xlws.FILTER(UPPER(TRIM(tblLog[Stage]&amp;"")),_xlpm.rem,""),_xlpm.rA,IF(_xlpm.rhe,MMULT((_xlpm.rn&gt;=TRANSPOSE(_xlpm.ref))*(_xlpm.rn&lt;=TRANSPOSE(_xlpm.ret)),--(_xlpm.rstx=UPPER(_xlpm.rstg)))&gt;0,(_xlpm.rn+_xlfn.SEQUENCE(1,_xlpm.rS))&lt;0),_xlpm.rasg,MMULT(TRANSPOSE(_xlpm.rn^0),--_xlpm.rA),_xlpm.rpool,IF(_xlpm.rcm-_xlpm.rasg&gt;0,_xlpm.rcm-_xlpm.rasg,0),IF(_xlpm.rS=0,"Assembly setup required",_xlfn.VSTACK(_xlpm.rstg,_xlpm.rcm,_xlpm.rasg,_xlpm.rpool,_xlpm.rsa-_xlpm.rcm,_xlpm.rsh)))</f>
        <v/>
      </c>
    </row>
    <row r="10">
      <c r="B10" s="27" t="inlineStr">
        <is>
          <t>Complete kits (covered)</t>
        </is>
      </c>
    </row>
    <row r="11">
      <c r="B11" s="27" t="inlineStr">
        <is>
          <t>Recorded against REP numbers</t>
        </is>
      </c>
    </row>
    <row r="12">
      <c r="B12" s="27" t="inlineStr">
        <is>
          <t>Contract level, not assigned to a REP</t>
        </is>
      </c>
    </row>
    <row r="13">
      <c r="B13" s="27" t="inlineStr">
        <is>
          <t>Partly kitted REPs</t>
        </is>
      </c>
    </row>
    <row r="14">
      <c r="B14" s="27" t="inlineStr">
        <is>
          <t>Units without COOIS order</t>
        </is>
      </c>
    </row>
    <row r="16">
      <c r="B16" s="3" t="inlineStr">
        <is>
          <t>Repeater by repeater</t>
        </is>
      </c>
    </row>
    <row r="17">
      <c r="B17" cm="1">
        <f t="array" ref="B17">_xlfn.LET(_xlpm.rv,TRIM($C$5&amp;""),_xlpm.res,_xlfn.SORTBY(tblStages[Stage],tblStages[Order]),_xlpm.rnst,COUNTIFS(tblReq[Variant ID],_xlpm.rv,tblReq[Stage],_xlpm.res),IF(SUM(--(_xlpm.rnst&gt;0))=0,"",_xlfn.HSTACK("REP","ASP week",TRANSPOSE(_xlfn._xlws.FILTER(_xlpm.res,_xlpm.rnst&gt;0,"")),"Next kit to issue","Kit due week","Weeks left","Status")))</f>
        <v/>
      </c>
    </row>
    <row r="18">
      <c r="B18" cm="1">
        <f t="array" ref="B18">_xlfn.LET(_xlpm.rv,TRIM($C$5&amp;""),_xlpm.rmk,(UPPER(TRIM(P_Var&amp;""))=UPPER(_xlpm.rv))*(_xlpm.rv&lt;&gt;""),_xlpm.rsy,SUMPRODUCT(_xlpm.rmk,IFERROR(--P_System,0)),_xlpm.rpl,SUMPRODUCT(_xlpm.rmk,IFERROR(--P_Planned,0)),_xlpm.rb,_xlpm.rsy-_xlpm.rpl,_xlpm.res,_xlfn.SORTBY(tblStages[Stage],tblStages[Order]),_xlpm.rnst,COUNTIFS(tblReq[Variant ID],_xlpm.rv,tblReq[Stage],_xlpm.res),_xlpm.rstg,TRANSPOSE(_xlfn._xlws.FILTER(_xlpm.res,_xlpm.rnst&gt;0,"")),_xlpm.rS,SUM(--(_xlpm.rnst&gt;0)),_xlpm.rcm,_xlfn.MINIFS(L_CovReps,L_Var,_xlpm.rv,L_Stage,_xlpm.rstg),_xlpm.rsa,_xlfn.MAXIFS(L_StartReps,L_Var,_xlpm.rv,L_Stage,_xlpm.rstg),_xlpm.rsh,SUMIFS(L_Short,L_Var,_xlpm.rv,L_Stage,_xlpm.rstg),_xlpm.rn,_xlfn.SEQUENCE(MAX(_xlpm.rsy,1)),_xlpm.rem,(tblLog[Active]=1)*(UPPER(TRIM(tblLog[Record type]&amp;""))="KITTING PROGRESS")*(UPPER(TRIM(tblLog[Variant ID]&amp;""))=UPPER(_xlpm.rv))*(TRIM(tblLog[Assembly code]&amp;"")="")*ISNUMBER(tblLog[REP from])*(IFERROR(--tblLog[REP from],0)&gt;0),_xlpm.rhe,SUM(_xlpm.rem)&gt;0,_xlpm.ref,_xlfn._xlws.FILTER(tblLog[REP from],_xlpm.rem,0),_xlpm.ret,_xlfn._xlws.FILTER(IF(ISNUMBER(tblLog[REP to]),tblLog[REP to],tblLog[REP from]),_xlpm.rem,0),_xlpm.rstx,_xlfn._xlws.FILTER(UPPER(TRIM(tblLog[Stage]&amp;"")),_xlpm.rem,""),_xlpm.rA,IF(_xlpm.rhe,MMULT((_xlpm.rn&gt;=TRANSPOSE(_xlpm.ref))*(_xlpm.rn&lt;=TRANSPOSE(_xlpm.ret)),--(_xlpm.rstx=UPPER(_xlpm.rstg)))&gt;0,(_xlpm.rn+_xlfn.SEQUENCE(1,_xlpm.rS))&lt;0),_xlpm.rasg,MMULT(TRANSPOSE(_xlpm.rn^0),--_xlpm.rA),_xlpm.rpool,IF(_xlpm.rcm-_xlpm.rasg&gt;0,_xlpm.rcm-_xlpm.rasg,0),_xlpm.relig,(_xlpm.rA=FALSE)*(_xlpm.rn&gt;_xlpm.rb),_xlpm.rrk,MMULT(--(_xlpm.rn&gt;=TRANSPOSE(_xlpm.rn)),_xlpm.relig),_xlpm.rcell,IF(_xlpm.rn&lt;=_xlpm.rb,"Built",IF(_xlpm.rA,"Kitted",IF(_xlpm.rrk&lt;=_xlpm.rpool,"Kitted*",IF(_xlpm.rrk&lt;=_xlpm.rpool+_xlpm.rsa-_xlpm.rcm,"Part","")))),_xlpm.rnk,(_xlpm.rcell&lt;&gt;"Kitted")*(_xlpm.rcell&lt;&gt;"Kitted*"),_xlpm.rsc,MMULT(_xlpm.rnk*2^(_xlpm.rS-_xlfn.SEQUENCE(1,_xlpm.rS)),_xlfn.SEQUENCE(_xlpm.rS)^0),_xlpm.rfi,IF(_xlpm.rsc=0,0,_xlpm.rS-INT(LOG(IF(_xlpm.rsc=0,1,_xlpm.rsc),2)+0.000000001)),_xlpm.rnx,IF(_xlpm.rn&lt;=_xlpm.rb,"",IF(_xlpm.rfi=0,"All kitted",INDEX(_xlpm.rstg,1,IF(_xlpm.rfi=0,1,_xlpm.rfi)))),_xlpm.rwk,MMULT(TRANSPOSE(_xlpm.rmk),IFERROR(--AspWeeks,0)),_xlpm.rnw,COLUMNS(_xlpm.rwk),_xlpm.rcum,MMULT(_xlpm.rwk,--(_xlfn.SEQUENCE(_xlpm.rnw)&lt;=_xlfn.SEQUENCE(1,_xlpm.rnw))),_xlpm.ridx,IFERROR(_xlfn.XMATCH(_xlpm.rn-_xlpm.rb,_xlpm.rcum,1),0),_xlpm.rkm,IF(_xlpm.ridx=0,"",INDEX(WkKitMon,1,IF(_xlpm.ridx=0,1,_xlpm.ridx))),_xlpm.rwl,IF(_xlpm.rkm="","",ROUND((_xlpm.rkm-ThisMon)/7,0)),_xlpm.rstt,IF(_xlpm.rn&lt;=_xlpm.rb,"Built before plan",IF(_xlpm.rfi=0,"All kitted",IF(_xlpm.rkm="","Not in weekly plan",IF(_xlpm.rwl&lt;0,"Kit behind",IF(_xlpm.rwl=0,"Kit due this week","On track"))))),IF(_xlpm.rS=0,"Assembly setup required for this variant",IF(_xlpm.rsy&lt;=0,"No repeaters for this variant in the current ASP",_xlfn.HSTACK(_xlpm.rn,IF((_xlpm.rn&lt;=_xlpm.rb)+(_xlpm.ridx=0),"",INDEX(WkHdr,1,IF(_xlpm.ridx=0,1,_xlpm.ridx))),_xlpm.rcell,_xlpm.rnx,IF((_xlpm.rn&lt;=_xlpm.rb)+(_xlpm.ridx=0),"",INDEX(WkKitLbl,1,IF(_xlpm.ridx=0,1,_xlpm.ridx))),IF(_xlpm.rn&lt;=_xlpm.rb,"",_xlpm.rwl),_xlpm.rstt))))</f>
        <v/>
      </c>
    </row>
  </sheetData>
  <sheetProtection selectLockedCells="0" selectUnlockedCells="0" sheet="1" objects="0" insertRows="1" insertHyperlinks="1" autoFilter="0" scenarios="0" formatColumns="0" deleteColumns="1" insertColumns="1" pivotTables="1" deleteRows="1" formatCells="0" formatRows="1" sort="0"/>
  <mergeCells count="7">
    <mergeCell ref="B10:D10"/>
    <mergeCell ref="B11:D11"/>
    <mergeCell ref="B14:D14"/>
    <mergeCell ref="C5:E5"/>
    <mergeCell ref="B9:D9"/>
    <mergeCell ref="B13:D13"/>
    <mergeCell ref="B12:D12"/>
  </mergeCells>
  <conditionalFormatting sqref="B18:M400">
    <cfRule type="expression" priority="1" dxfId="3">
      <formula>B18="Kitted"</formula>
    </cfRule>
    <cfRule type="expression" priority="2" dxfId="8">
      <formula>B18="Kitted*"</formula>
    </cfRule>
    <cfRule type="expression" priority="3" dxfId="1">
      <formula>B18="Part"</formula>
    </cfRule>
    <cfRule type="expression" priority="4" dxfId="4">
      <formula>B18="Built"</formula>
    </cfRule>
    <cfRule type="expression" priority="5" dxfId="0">
      <formula>B18="Kit behind"</formula>
    </cfRule>
    <cfRule type="expression" priority="6" dxfId="1">
      <formula>B18="Kit due this week"</formula>
    </cfRule>
    <cfRule type="expression" priority="7" dxfId="2">
      <formula>B18="On track"</formula>
    </cfRule>
    <cfRule type="expression" priority="8" dxfId="3">
      <formula>B18="All kitted"</formula>
    </cfRule>
    <cfRule type="expression" priority="9" dxfId="1">
      <formula>B18="Not in weekly plan"</formula>
    </cfRule>
  </conditionalFormatting>
  <dataValidations count="1">
    <dataValidation sqref="C5" showDropDown="0" showInputMessage="0" showErrorMessage="0" allowBlank="1" type="list">
      <formula1>VariantList</formula1>
    </dataValidation>
  </dataValidations>
  <pageMargins left="0.75" right="0.75" top="1" bottom="1" header="0.5" footer="0.5"/>
</worksheet>
</file>

<file path=xl/worksheets/sheet4.xml><?xml version="1.0" encoding="utf-8"?>
<worksheet xmlns="http://schemas.openxmlformats.org/spreadsheetml/2006/main">
  <sheetPr>
    <tabColor rgb="000E7C7B"/>
    <outlinePr summaryBelow="1" summaryRight="1"/>
    <pageSetUpPr/>
  </sheetPr>
  <dimension ref="B2:AA399"/>
  <sheetViews>
    <sheetView showGridLines="0" workbookViewId="0">
      <pane ySplit="5" topLeftCell="A6" activePane="bottomLeft" state="frozen"/>
      <selection pane="bottomLeft" activeCell="A1" sqref="A1"/>
    </sheetView>
  </sheetViews>
  <sheetFormatPr baseColWidth="8" defaultRowHeight="15"/>
  <cols>
    <col width="2" customWidth="1" min="1" max="1"/>
    <col width="40" customWidth="1" min="2" max="2"/>
    <col width="22" customWidth="1" min="3" max="3"/>
    <col width="40" customWidth="1" min="4" max="4"/>
    <col width="8" customWidth="1" min="5" max="5"/>
    <col width="9" customWidth="1" min="6" max="6"/>
    <col width="10" customWidth="1" min="7" max="7"/>
    <col width="10" customWidth="1" min="8" max="8"/>
    <col width="11" customWidth="1" min="9" max="9"/>
    <col width="10" customWidth="1" min="10" max="10"/>
    <col width="10" customWidth="1" min="11" max="11"/>
    <col width="11" customWidth="1" min="12" max="12"/>
    <col width="9" customWidth="1" min="14" max="14"/>
    <col width="10" customWidth="1" min="15" max="15"/>
    <col width="15" customWidth="1" min="16" max="16"/>
    <col width="16" customWidth="1" min="17" max="17"/>
    <col width="8" customWidth="1" min="18" max="18"/>
    <col width="16" customWidth="1" min="19" max="19"/>
    <col width="7" customWidth="1" min="20" max="20"/>
    <col width="7" customWidth="1" min="21" max="21"/>
    <col width="7" customWidth="1" min="22" max="22"/>
    <col width="12" customWidth="1" min="23" max="23"/>
    <col width="7" customWidth="1" min="24" max="24"/>
    <col width="5" customWidth="1" min="25" max="25"/>
    <col width="8" customWidth="1" min="26" max="26"/>
    <col width="20" customWidth="1" min="27" max="27"/>
  </cols>
  <sheetData>
    <row r="2">
      <c r="B2" s="1" t="inlineStr">
        <is>
          <t>Record Kitting</t>
        </is>
      </c>
    </row>
    <row r="3">
      <c r="B3" s="2" t="inlineStr">
        <is>
          <t>Step 1 describe what was physically kitted.  Step 2 review the quantities.  Step 3 copy the green block into the Kitting Log.</t>
        </is>
      </c>
    </row>
    <row r="4" ht="26" customHeight="1">
      <c r="B4" s="28" t="inlineStr">
        <is>
          <t>No macros: confirming = copy the green block (Step 3) and Paste Special &gt; Values on the first empty row of the Kitting Log table. Excel cannot append the rows for you or stop a second paste; the Kitting Log Check column flags duplicates.</t>
        </is>
      </c>
    </row>
    <row r="5">
      <c r="B5" s="3" t="inlineStr">
        <is>
          <t>Step 1 - Kitting Progress entry</t>
        </is>
      </c>
      <c r="E5" s="3" t="inlineStr">
        <is>
          <t>Checks</t>
        </is>
      </c>
    </row>
    <row r="6">
      <c r="B6" s="29" t="inlineStr">
        <is>
          <t>Entry date (blank = report date)</t>
        </is>
      </c>
      <c r="C6" s="30" t="n"/>
      <c r="E6" s="31" cm="1">
        <f t="array" ref="E6">_xlfn.LET(_xlpm.kv,TRIM($C$7&amp;""),_xlpm.ks,TRIM($C$8&amp;""),_xlpm.ka,TRIM($C$9&amp;""),_xlpm.kr,N($C$10),_xlpm.kf,$C$11,_xlpm.kt,IF(ISNUMBER($C$12),$C$12,$C$11),_xlpm.km,(TRIM(tblReq[Variant ID]&amp;"")=_xlpm.kv)*(TRIM(tblReq[Stage]&amp;"")=_xlpm.ks)*(((_xlpm.ka="")+(TRIM(tblReq[Assembly code]&amp;"")=_xlpm.ka))&gt;0),_xlpm.knv,COUNTIF(tblReq[Variant ID],_xlpm.kv),_xlpm.kn,SUM(_xlpm.km),_xlpm.kcodes,_xlfn._xlws.FILTER(TRIM(tblReq[Assembly code]&amp;""),_xlpm.km,""),_xlpm.kq,_xlfn._xlws.FILTER(IFERROR(--tblReq[Qty per REP],0),_xlpm.km,0),_xlpm.kst,_xlfn._xlws.FILTER(TRIM(tblReq[Stage]&amp;""),_xlpm.km,""),_xlpm.krec,SUMIFS(L_Rec,L_Var,_xlpm.kv,L_Stage,_xlpm.kst,L_Code,_xlpm.kcodes),_xlpm.kal,SUMIFS(L_Alloc,L_Var,_xlpm.kv,L_Stage,_xlpm.kst,L_Code,_xlpm.kcodes),_xlpm.kneed,IF(_xlpm.krec+_xlpm.kr*_xlpm.kq-_xlpm.kal&gt;0,_xlpm.krec+_xlpm.kr*_xlpm.kq-_xlpm.kal,0),_xlpm.kmsg,_xlfn.VSTACK(IF(_xlpm.kv="","Choose a variant.",""),IF(AND(_xlpm.kv&lt;&gt;"",_xlpm.knv=0),"Assembly setup required for this variant (Settings).",""),IF(AND(_xlpm.knv&gt;0,_xlpm.kn=0),"This stage / assembly code is not set up for this variant.",""),IF(_xlpm.kr&lt;0,"REPs kitted cannot be negative.",""),IF(AND(ISNUMBER(_xlpm.kf),_xlpm.kt&lt;_xlpm.kf),"REP to is before REP from.",""),IF(AND(ISNUMBER(_xlpm.kf),_xlpm.kt&gt;=_xlpm.kf,_xlpm.ka="",_xlpm.kr&gt;0,ABS(_xlpm.kt-_xlpm.kf+1-_xlpm.kr)&gt;0.000000001),"Warning: REP range covers "&amp;(_xlpm.kt-_xlpm.kf+1)&amp;" repeaters but REPs kitted is "&amp;_xlpm.kr&amp;".",""),IF(AND(_xlpm.kv&lt;&gt;"",COUNTIFS(P_Var,_xlpm.kv,P_Valid,1)=0),"Warning: variant not in the current ASP - entry allowed, flagged for review.",""),IF(AND(_xlpm.kn&gt;0,_xlpm.kr=0),"No REPs kitted entered - only orders for earlier shortages will be proposed.",""),IF(COUNTIF($K$19:$K$200,"&gt;0")&gt;0,"Warning: not enough unallocated COOIS orders - see Shortage after. The shortfall stays open.","")),_xlfn._xlws.FILTER(_xlpm.kmsg,_xlpm.kmsg&lt;&gt;"","No problems found"))</f>
        <v/>
      </c>
    </row>
    <row r="7">
      <c r="B7" s="29" t="inlineStr">
        <is>
          <t>Variant ID (contract variant)</t>
        </is>
      </c>
      <c r="C7" s="32" t="n"/>
    </row>
    <row r="8">
      <c r="B8" s="29" t="inlineStr">
        <is>
          <t>Stage</t>
        </is>
      </c>
      <c r="C8" s="32" t="n"/>
    </row>
    <row r="9">
      <c r="B9" s="29" t="inlineStr">
        <is>
          <t>Assembly code (optional - blank = whole stage)</t>
        </is>
      </c>
      <c r="C9" s="32" t="n"/>
    </row>
    <row r="10">
      <c r="B10" s="29" t="inlineStr">
        <is>
          <t>REPs kitted (repeaters' worth)</t>
        </is>
      </c>
      <c r="C10" s="33" t="n"/>
    </row>
    <row r="11">
      <c r="B11" s="29" t="inlineStr">
        <is>
          <t>REP from (optional)</t>
        </is>
      </c>
      <c r="C11" s="34" t="n"/>
    </row>
    <row r="12">
      <c r="B12" s="29" t="inlineStr">
        <is>
          <t>REP to (optional)</t>
        </is>
      </c>
      <c r="C12" s="34" t="n"/>
    </row>
    <row r="13">
      <c r="B13" s="29" t="inlineStr">
        <is>
          <t>Note (e.g. management instruction)</t>
        </is>
      </c>
      <c r="C13" s="32" t="n"/>
    </row>
    <row r="16">
      <c r="B16" s="3" t="inlineStr">
        <is>
          <t>Step 2 - review quantities for this entry</t>
        </is>
      </c>
      <c r="N16" s="3" t="inlineStr">
        <is>
          <t>Step 3 - copy the green block (from N19, all rows) and Paste Values at the bottom of the Kitting Log</t>
        </is>
      </c>
    </row>
    <row r="17" ht="24" customHeight="1">
      <c r="B17" s="35" t="inlineStr">
        <is>
          <t>Orders are proposed oldest release date first, then lowest order number, skipping allocated and CLSD orders. A shortfall stays open: when a later COOIS has more orders, enter the same variant and stage with REPs kitted = 0.</t>
        </is>
      </c>
    </row>
    <row r="18">
      <c r="B18" s="36" t="inlineStr">
        <is>
          <t>Assembly code</t>
        </is>
      </c>
      <c r="C18" s="36" t="inlineStr">
        <is>
          <t>Description</t>
        </is>
      </c>
      <c r="D18" s="36" t="inlineStr">
        <is>
          <t>Qty per REP</t>
        </is>
      </c>
      <c r="E18" s="36" t="inlineStr">
        <is>
          <t>Units this entry</t>
        </is>
      </c>
      <c r="F18" s="36" t="inlineStr">
        <is>
          <t>Already recorded</t>
        </is>
      </c>
      <c r="G18" s="36" t="inlineStr">
        <is>
          <t>Already allocated</t>
        </is>
      </c>
      <c r="H18" s="36" t="inlineStr">
        <is>
          <t>Needs COOIS orders</t>
        </is>
      </c>
      <c r="I18" s="36" t="inlineStr">
        <is>
          <t>Orders available</t>
        </is>
      </c>
      <c r="J18" s="36" t="inlineStr">
        <is>
          <t>Orders proposed</t>
        </is>
      </c>
      <c r="K18" s="36" t="inlineStr">
        <is>
          <t>Shortage after</t>
        </is>
      </c>
      <c r="L18" s="36" t="inlineStr">
        <is>
          <t>Settings rows using code</t>
        </is>
      </c>
      <c r="N18" s="37" t="inlineStr">
        <is>
          <t>Entry ID</t>
        </is>
      </c>
      <c r="O18" s="37" t="inlineStr">
        <is>
          <t>Entry date</t>
        </is>
      </c>
      <c r="P18" s="37" t="inlineStr">
        <is>
          <t>Record type</t>
        </is>
      </c>
      <c r="Q18" s="37" t="inlineStr">
        <is>
          <t>Variant ID</t>
        </is>
      </c>
      <c r="R18" s="37" t="inlineStr">
        <is>
          <t>Stage</t>
        </is>
      </c>
      <c r="S18" s="37" t="inlineStr">
        <is>
          <t>Assembly code</t>
        </is>
      </c>
      <c r="T18" s="37" t="inlineStr">
        <is>
          <t>REPs kitted</t>
        </is>
      </c>
      <c r="U18" s="37" t="inlineStr">
        <is>
          <t>REP from</t>
        </is>
      </c>
      <c r="V18" s="37" t="inlineStr">
        <is>
          <t>REP to</t>
        </is>
      </c>
      <c r="W18" s="37" t="inlineStr">
        <is>
          <t>Order</t>
        </is>
      </c>
      <c r="X18" s="37" t="inlineStr">
        <is>
          <t>Order qty</t>
        </is>
      </c>
      <c r="Y18" s="37" t="inlineStr">
        <is>
          <t>Void</t>
        </is>
      </c>
      <c r="Z18" s="37" t="inlineStr">
        <is>
          <t>Void reason</t>
        </is>
      </c>
      <c r="AA18" s="37" t="inlineStr">
        <is>
          <t>Note</t>
        </is>
      </c>
    </row>
    <row r="19">
      <c r="B19" cm="1">
        <f t="array" ref="B19">_xlfn.LET(_xlpm.kv,TRIM($C$7&amp;""),_xlpm.ks,TRIM($C$8&amp;""),_xlpm.ka,TRIM($C$9&amp;""),_xlpm.kr,N($C$10),_xlpm.kf,$C$11,_xlpm.kt,IF(ISNUMBER($C$12),$C$12,$C$11),_xlpm.km,(TRIM(tblReq[Variant ID]&amp;"")=_xlpm.kv)*(TRIM(tblReq[Stage]&amp;"")=_xlpm.ks)*(((_xlpm.ka="")+(TRIM(tblReq[Assembly code]&amp;"")=_xlpm.ka))&gt;0),_xlpm.knv,COUNTIF(tblReq[Variant ID],_xlpm.kv),_xlpm.kn,SUM(_xlpm.km),_xlpm.kcodes,_xlfn._xlws.FILTER(TRIM(tblReq[Assembly code]&amp;""),_xlpm.km,""),_xlpm.kq,_xlfn._xlws.FILTER(IFERROR(--tblReq[Qty per REP],0),_xlpm.km,0),_xlpm.kst,_xlfn._xlws.FILTER(TRIM(tblReq[Stage]&amp;""),_xlpm.km,""),_xlpm.krec,SUMIFS(L_Rec,L_Var,_xlpm.kv,L_Stage,_xlpm.kst,L_Code,_xlpm.kcodes),_xlpm.kal,SUMIFS(L_Alloc,L_Var,_xlpm.kv,L_Stage,_xlpm.kst,L_Code,_xlpm.kcodes),_xlpm.kneed,IF(_xlpm.krec+_xlpm.kr*_xlpm.kq-_xlpm.kal&gt;0,_xlpm.krec+_xlpm.kr*_xlpm.kq-_xlpm.kal,0),_xlpm.kprop,SUMIFS($X$19:$X$5000,$P$19:$P$5000,"COOIS order",$S$19:$S$5000,_xlpm.kcodes),_xlpm.kav,SUMIFS(L_Avail,L_Var,_xlpm.kv,L_Stage,_xlpm.kst,L_Code,_xlpm.kcodes),IF(_xlpm.kn=0,"",_xlfn.HSTACK(_xlpm.kcodes,_xlfn._xlws.FILTER(tblReq[Assembly description]&amp;"",_xlpm.km,""),_xlpm.kq,_xlpm.kr*_xlpm.kq,_xlpm.krec,_xlpm.kal,_xlpm.kneed,_xlpm.kav,_xlpm.kprop,IF(_xlpm.kneed-_xlpm.kprop&gt;0,_xlpm.kneed-_xlpm.kprop,0),COUNTIF(tblReq[Assembly code],_xlpm.kcodes))))</f>
        <v/>
      </c>
      <c r="N19" cm="1">
        <f t="array" ref="N19">_xlfn.LET(_xlpm.kv,TRIM($C$7&amp;""),_xlpm.ks,TRIM($C$8&amp;""),_xlpm.ka,TRIM($C$9&amp;""),_xlpm.kr,N($C$10),_xlpm.kf,$C$11,_xlpm.kt,IF(ISNUMBER($C$12),$C$12,$C$11),_xlpm.km,(TRIM(tblReq[Variant ID]&amp;"")=_xlpm.kv)*(TRIM(tblReq[Stage]&amp;"")=_xlpm.ks)*(((_xlpm.ka="")+(TRIM(tblReq[Assembly code]&amp;"")=_xlpm.ka))&gt;0),_xlpm.knv,COUNTIF(tblReq[Variant ID],_xlpm.kv),_xlpm.kn,SUM(_xlpm.km),_xlpm.kcodes,_xlfn._xlws.FILTER(TRIM(tblReq[Assembly code]&amp;""),_xlpm.km,""),_xlpm.kq,_xlfn._xlws.FILTER(IFERROR(--tblReq[Qty per REP],0),_xlpm.km,0),_xlpm.kst,_xlfn._xlws.FILTER(TRIM(tblReq[Stage]&amp;""),_xlpm.km,""),_xlpm.krec,SUMIFS(L_Rec,L_Var,_xlpm.kv,L_Stage,_xlpm.kst,L_Code,_xlpm.kcodes),_xlpm.kal,SUMIFS(L_Alloc,L_Var,_xlpm.kv,L_Stage,_xlpm.kst,L_Code,_xlpm.kcodes),_xlpm.kneed,IF(_xlpm.krec+_xlpm.kr*_xlpm.kq-_xlpm.kal&gt;0,_xlpm.krec+_xlpm.kr*_xlpm.kq-_xlpm.kal,0),_xlpm.kdt,IF(ISNUMBER($C$6),$C$6,RptDate),_xlpm.knote,$C$13&amp;"",_xlpm.kblock,OR(_xlpm.kv="",_xlpm.knv=0,_xlpm.kn=0,_xlpm.kr&lt;0,AND(ISNUMBER(_xlpm.kf),_xlpm.kt&lt;_xlpm.kf)),_xlpm.rkey,IFERROR(Rv_Key&amp;"",""),_xlpm.rmat,IFERROR(Rv_Mat&amp;"",""),_xlpm.rqty,IFERROR(--Rv_Qty,0),_xlpm.rrel,IFERROR(--Rv_Rel,0),_xlpm.rent,IFERROR(Rv_Entry&amp;"","x"),_xlpm.rcl,IFERROR(Rv_CLSD&amp;"","Yes"),_xlpm.cmk,ISNUMBER(_xlfn.XMATCH(_xlpm.rmat,_xlpm.kcodes))*(_xlpm.rent="")*(_xlpm.rcl&lt;&gt;"Yes")*(_xlpm.rkey&lt;&gt;""),_xlpm.hasc,SUM(_xlpm.cmk)&gt;0,_xlpm.cand,_xlfn.SORTBY(_xlfn._xlws.FILTER(_xlfn.HSTACK(_xlpm.rmat,_xlpm.rrel,_xlpm.rkey,_xlpm.rqty),_xlpm.cmk),_xlfn._xlws.FILTER(UPPER(_xlpm.rmat),_xlpm.cmk),1,_xlfn._xlws.FILTER(_xlpm.rrel,_xlpm.cmk),1,_xlfn._xlws.FILTER(_xlpm.rkey,_xlpm.cmk),1),_xlpm.cmt,INDEX(_xlpm.cand,,1),_xlpm.cqq,INDEX(_xlpm.cand,,4),_xlpm.cn,ROWS(_xlpm.cand),_xlpm.ccum,MMULT((_xlfn.SEQUENCE(_xlpm.cn)&gt;=_xlfn.SEQUENCE(1,_xlpm.cn))*(_xlpm.cmt=TRANSPOSE(_xlpm.cmt)),_xlpm.cqq),_xlpm.cnd,_xlfn.XLOOKUP(_xlpm.cmt,_xlpm.kcodes,_xlpm.kneed,0),_xlpm.pick,IF(_xlpm.hasc,_xlfn._xlws.FILTER(_xlfn.EXPAND(_xlpm.cand,_xlpm.cn+1,,""),_xlfn.VSTACK((_xlpm.ccum-_xlpm.cqq)&lt;_xlpm.cnd,FALSE),""),""),_xlpm.np,IF(ISERROR(INDEX(_xlpm.pick,1,1)),0,IF(INDEX(_xlpm.pick,1,1)="",0,ROWS(_xlpm.pick))),_xlpm.kid,"K"&amp;TEXT(1+MAX(0,IFERROR(--MID(_xlfn._xlws.FILTER(tblLog[Entry ID]&amp;"",LEFT(tblLog[Entry ID]&amp;"",1)="K"),2,9),0)),"00000"),_xlpm.prow,_xlfn.HSTACK(_xlpm.kid,_xlpm.kdt,"Kitting Progress",_xlpm.kv,_xlpm.ks,_xlpm.ka,_xlpm.kr,IF(ISNUMBER(_xlpm.kf),_xlpm.kf,""),IF(ISNUMBER($C$12),$C$12,""),"","","","",_xlpm.knote),_xlpm.kone,_xlfn.SEQUENCE(MAX(_xlpm.np,1))^0,_xlpm.orow,_xlfn.HSTACK(IF(_xlpm.kone,_xlpm.kid),IF(_xlpm.kone,_xlpm.kdt),IF(_xlpm.kone,"COOIS order"),IF(_xlpm.kone,_xlpm.kv),IF(_xlpm.kone,_xlpm.ks),INDEX(_xlpm.pick,,1),IF(_xlpm.kone,""),IF(_xlpm.kone,""),IF(_xlpm.kone,""),INDEX(_xlpm.pick,,3),INDEX(_xlpm.pick,,4),IF(_xlpm.kone,""),IF(_xlpm.kone,""),IF(_xlpm.kone,"")),IF(_xlpm.kblock,"Nothing to paste - see Checks",IF(_xlpm.kr&gt;0,IF(_xlpm.np&gt;0,_xlfn.VSTACK(_xlpm.prow,_xlpm.orow),_xlpm.prow),IF(_xlpm.np&gt;0,_xlpm.orow,"Nothing to paste - no REPs kitted and no orders needed"))))</f>
        <v/>
      </c>
      <c r="O19" s="38" t="n"/>
    </row>
    <row r="20">
      <c r="O20" s="38" t="n"/>
    </row>
    <row r="21">
      <c r="O21" s="38" t="n"/>
    </row>
    <row r="22">
      <c r="O22" s="38" t="n"/>
    </row>
    <row r="23">
      <c r="O23" s="38" t="n"/>
    </row>
    <row r="24">
      <c r="O24" s="38" t="n"/>
    </row>
    <row r="25">
      <c r="O25" s="38" t="n"/>
    </row>
    <row r="26">
      <c r="O26" s="38" t="n"/>
    </row>
    <row r="27">
      <c r="O27" s="38" t="n"/>
    </row>
    <row r="28">
      <c r="O28" s="38" t="n"/>
    </row>
    <row r="29">
      <c r="O29" s="38" t="n"/>
    </row>
    <row r="30">
      <c r="O30" s="38" t="n"/>
    </row>
    <row r="31">
      <c r="O31" s="38" t="n"/>
    </row>
    <row r="32">
      <c r="O32" s="38" t="n"/>
    </row>
    <row r="33">
      <c r="O33" s="38" t="n"/>
    </row>
    <row r="34">
      <c r="O34" s="38" t="n"/>
    </row>
    <row r="35">
      <c r="O35" s="38" t="n"/>
    </row>
    <row r="36">
      <c r="O36" s="38" t="n"/>
    </row>
    <row r="37">
      <c r="O37" s="38" t="n"/>
    </row>
    <row r="38">
      <c r="O38" s="38" t="n"/>
    </row>
    <row r="39">
      <c r="O39" s="38" t="n"/>
    </row>
    <row r="40">
      <c r="O40" s="38" t="n"/>
    </row>
    <row r="41">
      <c r="O41" s="38" t="n"/>
    </row>
    <row r="42">
      <c r="O42" s="38" t="n"/>
    </row>
    <row r="43">
      <c r="O43" s="38" t="n"/>
    </row>
    <row r="44">
      <c r="O44" s="38" t="n"/>
    </row>
    <row r="45">
      <c r="O45" s="38" t="n"/>
    </row>
    <row r="46">
      <c r="O46" s="38" t="n"/>
    </row>
    <row r="47">
      <c r="O47" s="38" t="n"/>
    </row>
    <row r="48">
      <c r="O48" s="38" t="n"/>
    </row>
    <row r="49">
      <c r="O49" s="38" t="n"/>
    </row>
    <row r="50">
      <c r="O50" s="38" t="n"/>
    </row>
    <row r="51">
      <c r="O51" s="38" t="n"/>
    </row>
    <row r="52">
      <c r="O52" s="38" t="n"/>
    </row>
    <row r="53">
      <c r="O53" s="38" t="n"/>
    </row>
    <row r="54">
      <c r="O54" s="38" t="n"/>
    </row>
    <row r="55">
      <c r="O55" s="38" t="n"/>
    </row>
    <row r="56">
      <c r="O56" s="38" t="n"/>
    </row>
    <row r="57">
      <c r="O57" s="38" t="n"/>
    </row>
    <row r="58">
      <c r="O58" s="38" t="n"/>
    </row>
    <row r="59">
      <c r="O59" s="38" t="n"/>
    </row>
    <row r="60">
      <c r="O60" s="38" t="n"/>
    </row>
    <row r="61">
      <c r="O61" s="38" t="n"/>
    </row>
    <row r="62">
      <c r="O62" s="38" t="n"/>
    </row>
    <row r="63">
      <c r="O63" s="38" t="n"/>
    </row>
    <row r="64">
      <c r="O64" s="38" t="n"/>
    </row>
    <row r="65">
      <c r="O65" s="38" t="n"/>
    </row>
    <row r="66">
      <c r="O66" s="38" t="n"/>
    </row>
    <row r="67">
      <c r="O67" s="38" t="n"/>
    </row>
    <row r="68">
      <c r="O68" s="38" t="n"/>
    </row>
    <row r="69">
      <c r="O69" s="38" t="n"/>
    </row>
    <row r="70">
      <c r="O70" s="38" t="n"/>
    </row>
    <row r="71">
      <c r="O71" s="38" t="n"/>
    </row>
    <row r="72">
      <c r="O72" s="38" t="n"/>
    </row>
    <row r="73">
      <c r="O73" s="38" t="n"/>
    </row>
    <row r="74">
      <c r="O74" s="38" t="n"/>
    </row>
    <row r="75">
      <c r="O75" s="38" t="n"/>
    </row>
    <row r="76">
      <c r="O76" s="38" t="n"/>
    </row>
    <row r="77">
      <c r="O77" s="38" t="n"/>
    </row>
    <row r="78">
      <c r="O78" s="38" t="n"/>
    </row>
    <row r="79">
      <c r="O79" s="38" t="n"/>
    </row>
    <row r="80">
      <c r="O80" s="38" t="n"/>
    </row>
    <row r="81">
      <c r="O81" s="38" t="n"/>
    </row>
    <row r="82">
      <c r="O82" s="38" t="n"/>
    </row>
    <row r="83">
      <c r="O83" s="38" t="n"/>
    </row>
    <row r="84">
      <c r="O84" s="38" t="n"/>
    </row>
    <row r="85">
      <c r="O85" s="38" t="n"/>
    </row>
    <row r="86">
      <c r="O86" s="38" t="n"/>
    </row>
    <row r="87">
      <c r="O87" s="38" t="n"/>
    </row>
    <row r="88">
      <c r="O88" s="38" t="n"/>
    </row>
    <row r="89">
      <c r="O89" s="38" t="n"/>
    </row>
    <row r="90">
      <c r="O90" s="38" t="n"/>
    </row>
    <row r="91">
      <c r="O91" s="38" t="n"/>
    </row>
    <row r="92">
      <c r="O92" s="38" t="n"/>
    </row>
    <row r="93">
      <c r="O93" s="38" t="n"/>
    </row>
    <row r="94">
      <c r="O94" s="38" t="n"/>
    </row>
    <row r="95">
      <c r="O95" s="38" t="n"/>
    </row>
    <row r="96">
      <c r="O96" s="38" t="n"/>
    </row>
    <row r="97">
      <c r="O97" s="38" t="n"/>
    </row>
    <row r="98">
      <c r="O98" s="38" t="n"/>
    </row>
    <row r="99">
      <c r="O99" s="38" t="n"/>
    </row>
    <row r="100">
      <c r="O100" s="38" t="n"/>
    </row>
    <row r="101">
      <c r="O101" s="38" t="n"/>
    </row>
    <row r="102">
      <c r="O102" s="38" t="n"/>
    </row>
    <row r="103">
      <c r="O103" s="38" t="n"/>
    </row>
    <row r="104">
      <c r="O104" s="38" t="n"/>
    </row>
    <row r="105">
      <c r="O105" s="38" t="n"/>
    </row>
    <row r="106">
      <c r="O106" s="38" t="n"/>
    </row>
    <row r="107">
      <c r="O107" s="38" t="n"/>
    </row>
    <row r="108">
      <c r="O108" s="38" t="n"/>
    </row>
    <row r="109">
      <c r="O109" s="38" t="n"/>
    </row>
    <row r="110">
      <c r="O110" s="38" t="n"/>
    </row>
    <row r="111">
      <c r="O111" s="38" t="n"/>
    </row>
    <row r="112">
      <c r="O112" s="38" t="n"/>
    </row>
    <row r="113">
      <c r="O113" s="38" t="n"/>
    </row>
    <row r="114">
      <c r="O114" s="38" t="n"/>
    </row>
    <row r="115">
      <c r="O115" s="38" t="n"/>
    </row>
    <row r="116">
      <c r="O116" s="38" t="n"/>
    </row>
    <row r="117">
      <c r="O117" s="38" t="n"/>
    </row>
    <row r="118">
      <c r="O118" s="38" t="n"/>
    </row>
    <row r="119">
      <c r="O119" s="38" t="n"/>
    </row>
    <row r="120">
      <c r="O120" s="38" t="n"/>
    </row>
    <row r="121">
      <c r="O121" s="38" t="n"/>
    </row>
    <row r="122">
      <c r="O122" s="38" t="n"/>
    </row>
    <row r="123">
      <c r="O123" s="38" t="n"/>
    </row>
    <row r="124">
      <c r="O124" s="38" t="n"/>
    </row>
    <row r="125">
      <c r="O125" s="38" t="n"/>
    </row>
    <row r="126">
      <c r="O126" s="38" t="n"/>
    </row>
    <row r="127">
      <c r="O127" s="38" t="n"/>
    </row>
    <row r="128">
      <c r="O128" s="38" t="n"/>
    </row>
    <row r="129">
      <c r="O129" s="38" t="n"/>
    </row>
    <row r="130">
      <c r="O130" s="38" t="n"/>
    </row>
    <row r="131">
      <c r="O131" s="38" t="n"/>
    </row>
    <row r="132">
      <c r="O132" s="38" t="n"/>
    </row>
    <row r="133">
      <c r="O133" s="38" t="n"/>
    </row>
    <row r="134">
      <c r="O134" s="38" t="n"/>
    </row>
    <row r="135">
      <c r="O135" s="38" t="n"/>
    </row>
    <row r="136">
      <c r="O136" s="38" t="n"/>
    </row>
    <row r="137">
      <c r="O137" s="38" t="n"/>
    </row>
    <row r="138">
      <c r="O138" s="38" t="n"/>
    </row>
    <row r="139">
      <c r="O139" s="38" t="n"/>
    </row>
    <row r="140">
      <c r="O140" s="38" t="n"/>
    </row>
    <row r="141">
      <c r="O141" s="38" t="n"/>
    </row>
    <row r="142">
      <c r="O142" s="38" t="n"/>
    </row>
    <row r="143">
      <c r="O143" s="38" t="n"/>
    </row>
    <row r="144">
      <c r="O144" s="38" t="n"/>
    </row>
    <row r="145">
      <c r="O145" s="38" t="n"/>
    </row>
    <row r="146">
      <c r="O146" s="38" t="n"/>
    </row>
    <row r="147">
      <c r="O147" s="38" t="n"/>
    </row>
    <row r="148">
      <c r="O148" s="38" t="n"/>
    </row>
    <row r="149">
      <c r="O149" s="38" t="n"/>
    </row>
    <row r="150">
      <c r="O150" s="38" t="n"/>
    </row>
    <row r="151">
      <c r="O151" s="38" t="n"/>
    </row>
    <row r="152">
      <c r="O152" s="38" t="n"/>
    </row>
    <row r="153">
      <c r="O153" s="38" t="n"/>
    </row>
    <row r="154">
      <c r="O154" s="38" t="n"/>
    </row>
    <row r="155">
      <c r="O155" s="38" t="n"/>
    </row>
    <row r="156">
      <c r="O156" s="38" t="n"/>
    </row>
    <row r="157">
      <c r="O157" s="38" t="n"/>
    </row>
    <row r="158">
      <c r="O158" s="38" t="n"/>
    </row>
    <row r="159">
      <c r="O159" s="38" t="n"/>
    </row>
    <row r="160">
      <c r="O160" s="38" t="n"/>
    </row>
    <row r="161">
      <c r="O161" s="38" t="n"/>
    </row>
    <row r="162">
      <c r="O162" s="38" t="n"/>
    </row>
    <row r="163">
      <c r="O163" s="38" t="n"/>
    </row>
    <row r="164">
      <c r="O164" s="38" t="n"/>
    </row>
    <row r="165">
      <c r="O165" s="38" t="n"/>
    </row>
    <row r="166">
      <c r="O166" s="38" t="n"/>
    </row>
    <row r="167">
      <c r="O167" s="38" t="n"/>
    </row>
    <row r="168">
      <c r="O168" s="38" t="n"/>
    </row>
    <row r="169">
      <c r="O169" s="38" t="n"/>
    </row>
    <row r="170">
      <c r="O170" s="38" t="n"/>
    </row>
    <row r="171">
      <c r="O171" s="38" t="n"/>
    </row>
    <row r="172">
      <c r="O172" s="38" t="n"/>
    </row>
    <row r="173">
      <c r="O173" s="38" t="n"/>
    </row>
    <row r="174">
      <c r="O174" s="38" t="n"/>
    </row>
    <row r="175">
      <c r="O175" s="38" t="n"/>
    </row>
    <row r="176">
      <c r="O176" s="38" t="n"/>
    </row>
    <row r="177">
      <c r="O177" s="38" t="n"/>
    </row>
    <row r="178">
      <c r="O178" s="38" t="n"/>
    </row>
    <row r="179">
      <c r="O179" s="38" t="n"/>
    </row>
    <row r="180">
      <c r="O180" s="38" t="n"/>
    </row>
    <row r="181">
      <c r="O181" s="38" t="n"/>
    </row>
    <row r="182">
      <c r="O182" s="38" t="n"/>
    </row>
    <row r="183">
      <c r="O183" s="38" t="n"/>
    </row>
    <row r="184">
      <c r="O184" s="38" t="n"/>
    </row>
    <row r="185">
      <c r="O185" s="38" t="n"/>
    </row>
    <row r="186">
      <c r="O186" s="38" t="n"/>
    </row>
    <row r="187">
      <c r="O187" s="38" t="n"/>
    </row>
    <row r="188">
      <c r="O188" s="38" t="n"/>
    </row>
    <row r="189">
      <c r="O189" s="38" t="n"/>
    </row>
    <row r="190">
      <c r="O190" s="38" t="n"/>
    </row>
    <row r="191">
      <c r="O191" s="38" t="n"/>
    </row>
    <row r="192">
      <c r="O192" s="38" t="n"/>
    </row>
    <row r="193">
      <c r="O193" s="38" t="n"/>
    </row>
    <row r="194">
      <c r="O194" s="38" t="n"/>
    </row>
    <row r="195">
      <c r="O195" s="38" t="n"/>
    </row>
    <row r="196">
      <c r="O196" s="38" t="n"/>
    </row>
    <row r="197">
      <c r="O197" s="38" t="n"/>
    </row>
    <row r="198">
      <c r="O198" s="38" t="n"/>
    </row>
    <row r="199">
      <c r="O199" s="38" t="n"/>
    </row>
    <row r="200">
      <c r="O200" s="38" t="n"/>
    </row>
    <row r="201">
      <c r="O201" s="38" t="n"/>
    </row>
    <row r="202">
      <c r="O202" s="38" t="n"/>
    </row>
    <row r="203">
      <c r="O203" s="38" t="n"/>
    </row>
    <row r="204">
      <c r="O204" s="38" t="n"/>
    </row>
    <row r="205">
      <c r="O205" s="38" t="n"/>
    </row>
    <row r="206">
      <c r="O206" s="38" t="n"/>
    </row>
    <row r="207">
      <c r="O207" s="38" t="n"/>
    </row>
    <row r="208">
      <c r="O208" s="38" t="n"/>
    </row>
    <row r="209">
      <c r="O209" s="38" t="n"/>
    </row>
    <row r="210">
      <c r="O210" s="38" t="n"/>
    </row>
    <row r="211">
      <c r="O211" s="38" t="n"/>
    </row>
    <row r="212">
      <c r="O212" s="38" t="n"/>
    </row>
    <row r="213">
      <c r="O213" s="38" t="n"/>
    </row>
    <row r="214">
      <c r="O214" s="38" t="n"/>
    </row>
    <row r="215">
      <c r="O215" s="38" t="n"/>
    </row>
    <row r="216">
      <c r="O216" s="38" t="n"/>
    </row>
    <row r="217">
      <c r="O217" s="38" t="n"/>
    </row>
    <row r="218">
      <c r="O218" s="38" t="n"/>
    </row>
    <row r="219">
      <c r="O219" s="38" t="n"/>
    </row>
    <row r="220">
      <c r="O220" s="38" t="n"/>
    </row>
    <row r="221">
      <c r="O221" s="38" t="n"/>
    </row>
    <row r="222">
      <c r="O222" s="38" t="n"/>
    </row>
    <row r="223">
      <c r="O223" s="38" t="n"/>
    </row>
    <row r="224">
      <c r="O224" s="38" t="n"/>
    </row>
    <row r="225">
      <c r="O225" s="38" t="n"/>
    </row>
    <row r="226">
      <c r="O226" s="38" t="n"/>
    </row>
    <row r="227">
      <c r="O227" s="38" t="n"/>
    </row>
    <row r="228">
      <c r="O228" s="38" t="n"/>
    </row>
    <row r="229">
      <c r="O229" s="38" t="n"/>
    </row>
    <row r="230">
      <c r="O230" s="38" t="n"/>
    </row>
    <row r="231">
      <c r="O231" s="38" t="n"/>
    </row>
    <row r="232">
      <c r="O232" s="38" t="n"/>
    </row>
    <row r="233">
      <c r="O233" s="38" t="n"/>
    </row>
    <row r="234">
      <c r="O234" s="38" t="n"/>
    </row>
    <row r="235">
      <c r="O235" s="38" t="n"/>
    </row>
    <row r="236">
      <c r="O236" s="38" t="n"/>
    </row>
    <row r="237">
      <c r="O237" s="38" t="n"/>
    </row>
    <row r="238">
      <c r="O238" s="38" t="n"/>
    </row>
    <row r="239">
      <c r="O239" s="38" t="n"/>
    </row>
    <row r="240">
      <c r="O240" s="38" t="n"/>
    </row>
    <row r="241">
      <c r="O241" s="38" t="n"/>
    </row>
    <row r="242">
      <c r="O242" s="38" t="n"/>
    </row>
    <row r="243">
      <c r="O243" s="38" t="n"/>
    </row>
    <row r="244">
      <c r="O244" s="38" t="n"/>
    </row>
    <row r="245">
      <c r="O245" s="38" t="n"/>
    </row>
    <row r="246">
      <c r="O246" s="38" t="n"/>
    </row>
    <row r="247">
      <c r="O247" s="38" t="n"/>
    </row>
    <row r="248">
      <c r="O248" s="38" t="n"/>
    </row>
    <row r="249">
      <c r="O249" s="38" t="n"/>
    </row>
    <row r="250">
      <c r="O250" s="38" t="n"/>
    </row>
    <row r="251">
      <c r="O251" s="38" t="n"/>
    </row>
    <row r="252">
      <c r="O252" s="38" t="n"/>
    </row>
    <row r="253">
      <c r="O253" s="38" t="n"/>
    </row>
    <row r="254">
      <c r="O254" s="38" t="n"/>
    </row>
    <row r="255">
      <c r="O255" s="38" t="n"/>
    </row>
    <row r="256">
      <c r="O256" s="38" t="n"/>
    </row>
    <row r="257">
      <c r="O257" s="38" t="n"/>
    </row>
    <row r="258">
      <c r="O258" s="38" t="n"/>
    </row>
    <row r="259">
      <c r="O259" s="38" t="n"/>
    </row>
    <row r="260">
      <c r="O260" s="38" t="n"/>
    </row>
    <row r="261">
      <c r="O261" s="38" t="n"/>
    </row>
    <row r="262">
      <c r="O262" s="38" t="n"/>
    </row>
    <row r="263">
      <c r="O263" s="38" t="n"/>
    </row>
    <row r="264">
      <c r="O264" s="38" t="n"/>
    </row>
    <row r="265">
      <c r="O265" s="38" t="n"/>
    </row>
    <row r="266">
      <c r="O266" s="38" t="n"/>
    </row>
    <row r="267">
      <c r="O267" s="38" t="n"/>
    </row>
    <row r="268">
      <c r="O268" s="38" t="n"/>
    </row>
    <row r="269">
      <c r="O269" s="38" t="n"/>
    </row>
    <row r="270">
      <c r="O270" s="38" t="n"/>
    </row>
    <row r="271">
      <c r="O271" s="38" t="n"/>
    </row>
    <row r="272">
      <c r="O272" s="38" t="n"/>
    </row>
    <row r="273">
      <c r="O273" s="38" t="n"/>
    </row>
    <row r="274">
      <c r="O274" s="38" t="n"/>
    </row>
    <row r="275">
      <c r="O275" s="38" t="n"/>
    </row>
    <row r="276">
      <c r="O276" s="38" t="n"/>
    </row>
    <row r="277">
      <c r="O277" s="38" t="n"/>
    </row>
    <row r="278">
      <c r="O278" s="38" t="n"/>
    </row>
    <row r="279">
      <c r="O279" s="38" t="n"/>
    </row>
    <row r="280">
      <c r="O280" s="38" t="n"/>
    </row>
    <row r="281">
      <c r="O281" s="38" t="n"/>
    </row>
    <row r="282">
      <c r="O282" s="38" t="n"/>
    </row>
    <row r="283">
      <c r="O283" s="38" t="n"/>
    </row>
    <row r="284">
      <c r="O284" s="38" t="n"/>
    </row>
    <row r="285">
      <c r="O285" s="38" t="n"/>
    </row>
    <row r="286">
      <c r="O286" s="38" t="n"/>
    </row>
    <row r="287">
      <c r="O287" s="38" t="n"/>
    </row>
    <row r="288">
      <c r="O288" s="38" t="n"/>
    </row>
    <row r="289">
      <c r="O289" s="38" t="n"/>
    </row>
    <row r="290">
      <c r="O290" s="38" t="n"/>
    </row>
    <row r="291">
      <c r="O291" s="38" t="n"/>
    </row>
    <row r="292">
      <c r="O292" s="38" t="n"/>
    </row>
    <row r="293">
      <c r="O293" s="38" t="n"/>
    </row>
    <row r="294">
      <c r="O294" s="38" t="n"/>
    </row>
    <row r="295">
      <c r="O295" s="38" t="n"/>
    </row>
    <row r="296">
      <c r="O296" s="38" t="n"/>
    </row>
    <row r="297">
      <c r="O297" s="38" t="n"/>
    </row>
    <row r="298">
      <c r="O298" s="38" t="n"/>
    </row>
    <row r="299">
      <c r="O299" s="38" t="n"/>
    </row>
    <row r="300">
      <c r="O300" s="38" t="n"/>
    </row>
    <row r="301">
      <c r="O301" s="38" t="n"/>
    </row>
    <row r="302">
      <c r="O302" s="38" t="n"/>
    </row>
    <row r="303">
      <c r="O303" s="38" t="n"/>
    </row>
    <row r="304">
      <c r="O304" s="38" t="n"/>
    </row>
    <row r="305">
      <c r="O305" s="38" t="n"/>
    </row>
    <row r="306">
      <c r="O306" s="38" t="n"/>
    </row>
    <row r="307">
      <c r="O307" s="38" t="n"/>
    </row>
    <row r="308">
      <c r="O308" s="38" t="n"/>
    </row>
    <row r="309">
      <c r="O309" s="38" t="n"/>
    </row>
    <row r="310">
      <c r="O310" s="38" t="n"/>
    </row>
    <row r="311">
      <c r="O311" s="38" t="n"/>
    </row>
    <row r="312">
      <c r="O312" s="38" t="n"/>
    </row>
    <row r="313">
      <c r="O313" s="38" t="n"/>
    </row>
    <row r="314">
      <c r="O314" s="38" t="n"/>
    </row>
    <row r="315">
      <c r="O315" s="38" t="n"/>
    </row>
    <row r="316">
      <c r="O316" s="38" t="n"/>
    </row>
    <row r="317">
      <c r="O317" s="38" t="n"/>
    </row>
    <row r="318">
      <c r="O318" s="38" t="n"/>
    </row>
    <row r="319">
      <c r="O319" s="38" t="n"/>
    </row>
    <row r="320">
      <c r="O320" s="38" t="n"/>
    </row>
    <row r="321">
      <c r="O321" s="38" t="n"/>
    </row>
    <row r="322">
      <c r="O322" s="38" t="n"/>
    </row>
    <row r="323">
      <c r="O323" s="38" t="n"/>
    </row>
    <row r="324">
      <c r="O324" s="38" t="n"/>
    </row>
    <row r="325">
      <c r="O325" s="38" t="n"/>
    </row>
    <row r="326">
      <c r="O326" s="38" t="n"/>
    </row>
    <row r="327">
      <c r="O327" s="38" t="n"/>
    </row>
    <row r="328">
      <c r="O328" s="38" t="n"/>
    </row>
    <row r="329">
      <c r="O329" s="38" t="n"/>
    </row>
    <row r="330">
      <c r="O330" s="38" t="n"/>
    </row>
    <row r="331">
      <c r="O331" s="38" t="n"/>
    </row>
    <row r="332">
      <c r="O332" s="38" t="n"/>
    </row>
    <row r="333">
      <c r="O333" s="38" t="n"/>
    </row>
    <row r="334">
      <c r="O334" s="38" t="n"/>
    </row>
    <row r="335">
      <c r="O335" s="38" t="n"/>
    </row>
    <row r="336">
      <c r="O336" s="38" t="n"/>
    </row>
    <row r="337">
      <c r="O337" s="38" t="n"/>
    </row>
    <row r="338">
      <c r="O338" s="38" t="n"/>
    </row>
    <row r="339">
      <c r="O339" s="38" t="n"/>
    </row>
    <row r="340">
      <c r="O340" s="38" t="n"/>
    </row>
    <row r="341">
      <c r="O341" s="38" t="n"/>
    </row>
    <row r="342">
      <c r="O342" s="38" t="n"/>
    </row>
    <row r="343">
      <c r="O343" s="38" t="n"/>
    </row>
    <row r="344">
      <c r="O344" s="38" t="n"/>
    </row>
    <row r="345">
      <c r="O345" s="38" t="n"/>
    </row>
    <row r="346">
      <c r="O346" s="38" t="n"/>
    </row>
    <row r="347">
      <c r="O347" s="38" t="n"/>
    </row>
    <row r="348">
      <c r="O348" s="38" t="n"/>
    </row>
    <row r="349">
      <c r="O349" s="38" t="n"/>
    </row>
    <row r="350">
      <c r="O350" s="38" t="n"/>
    </row>
    <row r="351">
      <c r="O351" s="38" t="n"/>
    </row>
    <row r="352">
      <c r="O352" s="38" t="n"/>
    </row>
    <row r="353">
      <c r="O353" s="38" t="n"/>
    </row>
    <row r="354">
      <c r="O354" s="38" t="n"/>
    </row>
    <row r="355">
      <c r="O355" s="38" t="n"/>
    </row>
    <row r="356">
      <c r="O356" s="38" t="n"/>
    </row>
    <row r="357">
      <c r="O357" s="38" t="n"/>
    </row>
    <row r="358">
      <c r="O358" s="38" t="n"/>
    </row>
    <row r="359">
      <c r="O359" s="38" t="n"/>
    </row>
    <row r="360">
      <c r="O360" s="38" t="n"/>
    </row>
    <row r="361">
      <c r="O361" s="38" t="n"/>
    </row>
    <row r="362">
      <c r="O362" s="38" t="n"/>
    </row>
    <row r="363">
      <c r="O363" s="38" t="n"/>
    </row>
    <row r="364">
      <c r="O364" s="38" t="n"/>
    </row>
    <row r="365">
      <c r="O365" s="38" t="n"/>
    </row>
    <row r="366">
      <c r="O366" s="38" t="n"/>
    </row>
    <row r="367">
      <c r="O367" s="38" t="n"/>
    </row>
    <row r="368">
      <c r="O368" s="38" t="n"/>
    </row>
    <row r="369">
      <c r="O369" s="38" t="n"/>
    </row>
    <row r="370">
      <c r="O370" s="38" t="n"/>
    </row>
    <row r="371">
      <c r="O371" s="38" t="n"/>
    </row>
    <row r="372">
      <c r="O372" s="38" t="n"/>
    </row>
    <row r="373">
      <c r="O373" s="38" t="n"/>
    </row>
    <row r="374">
      <c r="O374" s="38" t="n"/>
    </row>
    <row r="375">
      <c r="O375" s="38" t="n"/>
    </row>
    <row r="376">
      <c r="O376" s="38" t="n"/>
    </row>
    <row r="377">
      <c r="O377" s="38" t="n"/>
    </row>
    <row r="378">
      <c r="O378" s="38" t="n"/>
    </row>
    <row r="379">
      <c r="O379" s="38" t="n"/>
    </row>
    <row r="380">
      <c r="O380" s="38" t="n"/>
    </row>
    <row r="381">
      <c r="O381" s="38" t="n"/>
    </row>
    <row r="382">
      <c r="O382" s="38" t="n"/>
    </row>
    <row r="383">
      <c r="O383" s="38" t="n"/>
    </row>
    <row r="384">
      <c r="O384" s="38" t="n"/>
    </row>
    <row r="385">
      <c r="O385" s="38" t="n"/>
    </row>
    <row r="386">
      <c r="O386" s="38" t="n"/>
    </row>
    <row r="387">
      <c r="O387" s="38" t="n"/>
    </row>
    <row r="388">
      <c r="O388" s="38" t="n"/>
    </row>
    <row r="389">
      <c r="O389" s="38" t="n"/>
    </row>
    <row r="390">
      <c r="O390" s="38" t="n"/>
    </row>
    <row r="391">
      <c r="O391" s="38" t="n"/>
    </row>
    <row r="392">
      <c r="O392" s="38" t="n"/>
    </row>
    <row r="393">
      <c r="O393" s="38" t="n"/>
    </row>
    <row r="394">
      <c r="O394" s="38" t="n"/>
    </row>
    <row r="395">
      <c r="O395" s="38" t="n"/>
    </row>
    <row r="396">
      <c r="O396" s="38" t="n"/>
    </row>
    <row r="397">
      <c r="O397" s="38" t="n"/>
    </row>
    <row r="398">
      <c r="O398" s="38" t="n"/>
    </row>
    <row r="399">
      <c r="O399" s="38" t="n"/>
    </row>
  </sheetData>
  <sheetProtection selectLockedCells="0" selectUnlockedCells="0" sheet="1" objects="0" insertRows="1" insertHyperlinks="1" autoFilter="0" scenarios="0" formatColumns="0" deleteColumns="1" insertColumns="1" pivotTables="1" deleteRows="1" formatCells="0" formatRows="1" sort="0"/>
  <mergeCells count="2">
    <mergeCell ref="B4:L4"/>
    <mergeCell ref="B17:L17"/>
  </mergeCells>
  <conditionalFormatting sqref="N19:AA2000">
    <cfRule type="expression" priority="1" dxfId="9">
      <formula>N19&lt;&gt;""</formula>
    </cfRule>
  </conditionalFormatting>
  <conditionalFormatting sqref="E6:E14">
    <cfRule type="expression" priority="2" dxfId="10">
      <formula>OR(LEFT(E6,7)="Warning",LEFT(E6,2)="No")</formula>
    </cfRule>
    <cfRule type="expression" priority="3" dxfId="7">
      <formula>AND(E6&lt;&gt;"",E6&lt;&gt;"No problems found",LEFT(E6,7)&lt;&gt;"Warning",LEFT(E6,2)&lt;&gt;"No")</formula>
    </cfRule>
  </conditionalFormatting>
  <conditionalFormatting sqref="K19:K200">
    <cfRule type="expression" priority="4" dxfId="0">
      <formula>N(K19)&gt;0</formula>
    </cfRule>
  </conditionalFormatting>
  <dataValidations count="3">
    <dataValidation sqref="C7" showDropDown="0" showInputMessage="0" showErrorMessage="0" allowBlank="1" type="list">
      <formula1>VariantList</formula1>
    </dataValidation>
    <dataValidation sqref="C8" showDropDown="0" showInputMessage="0" showErrorMessage="0" allowBlank="1" type="list">
      <formula1>StageList</formula1>
    </dataValidation>
    <dataValidation sqref="C9" showDropDown="0" showInputMessage="0" showErrorMessage="0" allowBlank="1" type="list">
      <formula1>CodeList</formula1>
    </dataValidation>
  </dataValidations>
  <pageMargins left="0.75" right="0.75" top="1" bottom="1" header="0.5" footer="0.5"/>
</worksheet>
</file>

<file path=xl/worksheets/sheet5.xml><?xml version="1.0" encoding="utf-8"?>
<worksheet xmlns="http://schemas.openxmlformats.org/spreadsheetml/2006/main">
  <sheetPr>
    <tabColor rgb="000E7C7B"/>
    <outlinePr summaryBelow="1" summaryRight="1"/>
    <pageSetUpPr/>
  </sheetPr>
  <dimension ref="A2:Q206"/>
  <sheetViews>
    <sheetView showGridLines="0" workbookViewId="0">
      <pane ySplit="5" topLeftCell="A6" activePane="bottomLeft" state="frozen"/>
      <selection pane="bottomLeft" activeCell="A1" sqref="A1"/>
    </sheetView>
  </sheetViews>
  <sheetFormatPr baseColWidth="8" defaultRowHeight="15"/>
  <cols>
    <col width="10" customWidth="1" min="1" max="1"/>
    <col width="11" customWidth="1" min="2" max="2"/>
    <col width="15" customWidth="1" min="3" max="3"/>
    <col width="16" customWidth="1" min="4" max="4"/>
    <col width="9" customWidth="1" min="5" max="5"/>
    <col width="16" customWidth="1" min="6" max="6"/>
    <col width="9" customWidth="1" min="7" max="7"/>
    <col width="8" customWidth="1" min="8" max="8"/>
    <col width="8" customWidth="1" min="9" max="9"/>
    <col width="12" customWidth="1" min="10" max="10"/>
    <col width="8" customWidth="1" min="11" max="11"/>
    <col width="6" customWidth="1" min="12" max="12"/>
    <col width="22" customWidth="1" min="13" max="13"/>
    <col width="26" customWidth="1" min="14" max="14"/>
    <col width="12" customWidth="1" min="15" max="15"/>
    <col width="7" customWidth="1" min="16" max="16"/>
    <col width="30" customWidth="1" min="17" max="17"/>
  </cols>
  <sheetData>
    <row r="2">
      <c r="B2" s="1" t="inlineStr">
        <is>
          <t>Kitting Log</t>
        </is>
      </c>
    </row>
    <row r="3">
      <c r="B3" s="2" t="inlineStr">
        <is>
          <t>Every confirmed Kitting Progress entry and the COOIS orders allocated to it. Paste new rows from Record Kitting at the bottom. Never delete a row: to cancel an entry type Y in Void on any of its rows and give a reason.</t>
        </is>
      </c>
    </row>
    <row r="4">
      <c r="A4" s="39" t="inlineStr">
        <is>
          <t>Columns A-N are typed or pasted. Grey columns (Order key, Active, Check) calculate automatically. Record type is "Kitting Progress" or "COOIS order".</t>
        </is>
      </c>
    </row>
    <row r="5">
      <c r="A5" s="22" t="inlineStr">
        <is>
          <t>Entry ID</t>
        </is>
      </c>
      <c r="B5" s="22" t="inlineStr">
        <is>
          <t>Entry date</t>
        </is>
      </c>
      <c r="C5" s="22" t="inlineStr">
        <is>
          <t>Record type</t>
        </is>
      </c>
      <c r="D5" s="22" t="inlineStr">
        <is>
          <t>Variant ID</t>
        </is>
      </c>
      <c r="E5" s="22" t="inlineStr">
        <is>
          <t>Stage</t>
        </is>
      </c>
      <c r="F5" s="22" t="inlineStr">
        <is>
          <t>Assembly code</t>
        </is>
      </c>
      <c r="G5" s="22" t="inlineStr">
        <is>
          <t>REPs kitted</t>
        </is>
      </c>
      <c r="H5" s="22" t="inlineStr">
        <is>
          <t>REP from</t>
        </is>
      </c>
      <c r="I5" s="22" t="inlineStr">
        <is>
          <t>REP to</t>
        </is>
      </c>
      <c r="J5" s="22" t="inlineStr">
        <is>
          <t>Order</t>
        </is>
      </c>
      <c r="K5" s="22" t="inlineStr">
        <is>
          <t>Order qty</t>
        </is>
      </c>
      <c r="L5" s="22" t="inlineStr">
        <is>
          <t>Void</t>
        </is>
      </c>
      <c r="M5" s="22" t="inlineStr">
        <is>
          <t>Void reason</t>
        </is>
      </c>
      <c r="N5" s="22" t="inlineStr">
        <is>
          <t>Note</t>
        </is>
      </c>
      <c r="O5" s="22" t="inlineStr">
        <is>
          <t>Order key</t>
        </is>
      </c>
      <c r="P5" s="22" t="inlineStr">
        <is>
          <t>Active</t>
        </is>
      </c>
      <c r="Q5" s="22" t="inlineStr">
        <is>
          <t>Check</t>
        </is>
      </c>
    </row>
    <row r="6">
      <c r="A6" s="40" t="n"/>
      <c r="B6" s="41" t="n"/>
      <c r="C6" s="40" t="n"/>
      <c r="D6" s="40" t="n"/>
      <c r="E6" s="40" t="n"/>
      <c r="F6" s="40" t="n"/>
      <c r="G6" s="40" t="n"/>
      <c r="H6" s="40" t="n"/>
      <c r="I6" s="40" t="n"/>
      <c r="J6" s="40" t="n"/>
      <c r="K6" s="40" t="n"/>
      <c r="L6" s="40" t="n"/>
      <c r="M6" s="40" t="n"/>
      <c r="N6" s="40" t="n"/>
      <c r="O6" s="42">
        <f>TRIM(tblLog[[#This Row],[Order]]&amp;"")</f>
        <v/>
      </c>
      <c r="P6" s="42">
        <f>IF(tblLog[[#This Row],[Entry ID]]="",IF(UPPER(TRIM(tblLog[[#This Row],[Void]]&amp;""))="Y",0,1),IF(COUNTIFS(tblLog[Entry ID],tblLog[[#This Row],[Entry ID]],tblLog[Void],"Y")&gt;0,0,1))</f>
        <v/>
      </c>
      <c r="Q6" s="42">
        <f>_xlfn.LET(_xlpm.cid,$A6&amp;"",_xlpm.cty,UPPER(TRIM($C6&amp;"")),_xlpm.cv,TRIM($D6&amp;""),_xlpm.cs,TRIM($E6&amp;""),_xlpm.ca,TRIM($F6&amp;""),_xlpm.ck,$O6,_xlpm.cnv,COUNTIF(tblReq[Variant ID],_xlpm.cv),_xlpm.cns,COUNTIFS(tblReq[Variant ID],_xlpm.cv,tblReq[Stage],_xlpm.cs),_xlpm.cna,COUNTIFS(tblReq[Variant ID],_xlpm.cv,tblReq[Stage],_xlpm.cs,tblReq[Assembly code],_xlpm.ca),_xlpm.cnva,COUNTIFS(tblReq[Variant ID],_xlpm.cv,tblReq[Assembly code],_xlpm.ca),_xlpm.cdup,COUNTIFS(tblLog[Order key],_xlpm.ck,tblLog[Record type],"COOIS order",tblLog[Active],1),_xlpm.cri,_xlfn.XMATCH(_xlpm.ck,Rv_Key),_xlpm.crm,IF(ISNUMBER(_xlpm.cri),INDEX(Rv_Mat,_xlpm.cri)&amp;"",""),_xlpm.crq,IF(ISNUMBER(_xlpm.cri),N(INDEX(Rv_Qty,_xlpm.cri)),0),_xlpm.crc,IF(ISNUMBER(_xlpm.cri),INDEX(Rv_CLSD,_xlpm.cri)&amp;"",""),_xlpm.creps,N($G6),_xlpm.cf,$H6,_xlpm.ct,IF(ISNUMBER($I6),$I6,$H6),_xlpm.casp,COUNTIFS(P_Var,_xlpm.cv,P_Valid,1)&gt;0,IF(_xlpm.cid="","",IF($P6=0,"Void",IF(_xlpm.cty="COOIS ORDER",IF(_xlpm.ck="","Order number missing",IF(_xlpm.cdup&gt;1,"Duplicate allocation - fix",IF(ISNA(_xlpm.cri),"Not in current COOIS - review",IF(UPPER(_xlpm.crm)&lt;&gt;UPPER(_xlpm.ca),"Material changed - review",IF(_xlpm.crc="Yes","CLSD - review",IF(ABS(_xlpm.crq-N($K6))&gt;0.000000001,"Qty changed - review",IF(_xlpm.cnva=0,"Assembly not set up for variant","OK"))))))),IF(_xlpm.cty="KITTING PROGRESS",IF(_xlpm.cnv=0,"Assembly setup required",IF(_xlpm.cns=0,"Stage not set up for variant",IF(AND(_xlpm.ca&lt;&gt;"",_xlpm.cna=0),"Assembly not in this stage",IF(NOT(_xlpm.creps&gt;0),"REPs kitted missing",IF(ISNUMBER(_xlpm.cf),IF(_xlpm.ct&lt;_xlpm.cf,"REP range invalid",IF(AND(_xlpm.ca="",ABS(_xlpm.ct-_xlpm.cf+1-_xlpm.creps)&gt;0.000000001),"REP range differs from REPs kitted",IF(_xlpm.casp,"OK","Variant not in current ASP - review"))),IF(_xlpm.casp,"OK","Variant not in current ASP - review")))))),"Record type not recognised")))))</f>
        <v/>
      </c>
    </row>
    <row r="7">
      <c r="B7" s="38" t="n"/>
    </row>
    <row r="8">
      <c r="B8" s="38" t="n"/>
    </row>
    <row r="9">
      <c r="B9" s="38" t="n"/>
    </row>
    <row r="10">
      <c r="B10" s="38" t="n"/>
    </row>
    <row r="11">
      <c r="B11" s="38" t="n"/>
    </row>
    <row r="12">
      <c r="B12" s="38" t="n"/>
    </row>
    <row r="13">
      <c r="B13" s="38" t="n"/>
    </row>
    <row r="14">
      <c r="B14" s="38" t="n"/>
    </row>
    <row r="15">
      <c r="B15" s="38" t="n"/>
    </row>
    <row r="16">
      <c r="B16" s="38" t="n"/>
    </row>
    <row r="17">
      <c r="B17" s="38" t="n"/>
    </row>
    <row r="18">
      <c r="B18" s="38" t="n"/>
    </row>
    <row r="19">
      <c r="B19" s="38" t="n"/>
    </row>
    <row r="20">
      <c r="B20" s="38" t="n"/>
    </row>
    <row r="21">
      <c r="B21" s="38" t="n"/>
    </row>
    <row r="22">
      <c r="B22" s="38" t="n"/>
    </row>
    <row r="23">
      <c r="B23" s="38" t="n"/>
    </row>
    <row r="24">
      <c r="B24" s="38" t="n"/>
    </row>
    <row r="25">
      <c r="B25" s="38" t="n"/>
    </row>
    <row r="26">
      <c r="B26" s="38" t="n"/>
    </row>
    <row r="27">
      <c r="B27" s="38" t="n"/>
    </row>
    <row r="28">
      <c r="B28" s="38" t="n"/>
    </row>
    <row r="29">
      <c r="B29" s="38" t="n"/>
    </row>
    <row r="30">
      <c r="B30" s="38" t="n"/>
    </row>
    <row r="31">
      <c r="B31" s="38" t="n"/>
    </row>
    <row r="32">
      <c r="B32" s="38" t="n"/>
    </row>
    <row r="33">
      <c r="B33" s="38" t="n"/>
    </row>
    <row r="34">
      <c r="B34" s="38" t="n"/>
    </row>
    <row r="35">
      <c r="B35" s="38" t="n"/>
    </row>
    <row r="36">
      <c r="B36" s="38" t="n"/>
    </row>
    <row r="37">
      <c r="B37" s="38" t="n"/>
    </row>
    <row r="38">
      <c r="B38" s="38" t="n"/>
    </row>
    <row r="39">
      <c r="B39" s="38" t="n"/>
    </row>
    <row r="40">
      <c r="B40" s="38" t="n"/>
    </row>
    <row r="41">
      <c r="B41" s="38" t="n"/>
    </row>
    <row r="42">
      <c r="B42" s="38" t="n"/>
    </row>
    <row r="43">
      <c r="B43" s="38" t="n"/>
    </row>
    <row r="44">
      <c r="B44" s="38" t="n"/>
    </row>
    <row r="45">
      <c r="B45" s="38" t="n"/>
    </row>
    <row r="46">
      <c r="B46" s="38" t="n"/>
    </row>
    <row r="47">
      <c r="B47" s="38" t="n"/>
    </row>
    <row r="48">
      <c r="B48" s="38" t="n"/>
    </row>
    <row r="49">
      <c r="B49" s="38" t="n"/>
    </row>
    <row r="50">
      <c r="B50" s="38" t="n"/>
    </row>
    <row r="51">
      <c r="B51" s="38" t="n"/>
    </row>
    <row r="52">
      <c r="B52" s="38" t="n"/>
    </row>
    <row r="53">
      <c r="B53" s="38" t="n"/>
    </row>
    <row r="54">
      <c r="B54" s="38" t="n"/>
    </row>
    <row r="55">
      <c r="B55" s="38" t="n"/>
    </row>
    <row r="56">
      <c r="B56" s="38" t="n"/>
    </row>
    <row r="57">
      <c r="B57" s="38" t="n"/>
    </row>
    <row r="58">
      <c r="B58" s="38" t="n"/>
    </row>
    <row r="59">
      <c r="B59" s="38" t="n"/>
    </row>
    <row r="60">
      <c r="B60" s="38" t="n"/>
    </row>
    <row r="61">
      <c r="B61" s="38" t="n"/>
    </row>
    <row r="62">
      <c r="B62" s="38" t="n"/>
    </row>
    <row r="63">
      <c r="B63" s="38" t="n"/>
    </row>
    <row r="64">
      <c r="B64" s="38" t="n"/>
    </row>
    <row r="65">
      <c r="B65" s="38" t="n"/>
    </row>
    <row r="66">
      <c r="B66" s="38" t="n"/>
    </row>
    <row r="67">
      <c r="B67" s="38" t="n"/>
    </row>
    <row r="68">
      <c r="B68" s="38" t="n"/>
    </row>
    <row r="69">
      <c r="B69" s="38" t="n"/>
    </row>
    <row r="70">
      <c r="B70" s="38" t="n"/>
    </row>
    <row r="71">
      <c r="B71" s="38" t="n"/>
    </row>
    <row r="72">
      <c r="B72" s="38" t="n"/>
    </row>
    <row r="73">
      <c r="B73" s="38" t="n"/>
    </row>
    <row r="74">
      <c r="B74" s="38" t="n"/>
    </row>
    <row r="75">
      <c r="B75" s="38" t="n"/>
    </row>
    <row r="76">
      <c r="B76" s="38" t="n"/>
    </row>
    <row r="77">
      <c r="B77" s="38" t="n"/>
    </row>
    <row r="78">
      <c r="B78" s="38" t="n"/>
    </row>
    <row r="79">
      <c r="B79" s="38" t="n"/>
    </row>
    <row r="80">
      <c r="B80" s="38" t="n"/>
    </row>
    <row r="81">
      <c r="B81" s="38" t="n"/>
    </row>
    <row r="82">
      <c r="B82" s="38" t="n"/>
    </row>
    <row r="83">
      <c r="B83" s="38" t="n"/>
    </row>
    <row r="84">
      <c r="B84" s="38" t="n"/>
    </row>
    <row r="85">
      <c r="B85" s="38" t="n"/>
    </row>
    <row r="86">
      <c r="B86" s="38" t="n"/>
    </row>
    <row r="87">
      <c r="B87" s="38" t="n"/>
    </row>
    <row r="88">
      <c r="B88" s="38" t="n"/>
    </row>
    <row r="89">
      <c r="B89" s="38" t="n"/>
    </row>
    <row r="90">
      <c r="B90" s="38" t="n"/>
    </row>
    <row r="91">
      <c r="B91" s="38" t="n"/>
    </row>
    <row r="92">
      <c r="B92" s="38" t="n"/>
    </row>
    <row r="93">
      <c r="B93" s="38" t="n"/>
    </row>
    <row r="94">
      <c r="B94" s="38" t="n"/>
    </row>
    <row r="95">
      <c r="B95" s="38" t="n"/>
    </row>
    <row r="96">
      <c r="B96" s="38" t="n"/>
    </row>
    <row r="97">
      <c r="B97" s="38" t="n"/>
    </row>
    <row r="98">
      <c r="B98" s="38" t="n"/>
    </row>
    <row r="99">
      <c r="B99" s="38" t="n"/>
    </row>
    <row r="100">
      <c r="B100" s="38" t="n"/>
    </row>
    <row r="101">
      <c r="B101" s="38" t="n"/>
    </row>
    <row r="102">
      <c r="B102" s="38" t="n"/>
    </row>
    <row r="103">
      <c r="B103" s="38" t="n"/>
    </row>
    <row r="104">
      <c r="B104" s="38" t="n"/>
    </row>
    <row r="105">
      <c r="B105" s="38" t="n"/>
    </row>
    <row r="106">
      <c r="B106" s="38" t="n"/>
    </row>
    <row r="107">
      <c r="B107" s="38" t="n"/>
    </row>
    <row r="108">
      <c r="B108" s="38" t="n"/>
    </row>
    <row r="109">
      <c r="B109" s="38" t="n"/>
    </row>
    <row r="110">
      <c r="B110" s="38" t="n"/>
    </row>
    <row r="111">
      <c r="B111" s="38" t="n"/>
    </row>
    <row r="112">
      <c r="B112" s="38" t="n"/>
    </row>
    <row r="113">
      <c r="B113" s="38" t="n"/>
    </row>
    <row r="114">
      <c r="B114" s="38" t="n"/>
    </row>
    <row r="115">
      <c r="B115" s="38" t="n"/>
    </row>
    <row r="116">
      <c r="B116" s="38" t="n"/>
    </row>
    <row r="117">
      <c r="B117" s="38" t="n"/>
    </row>
    <row r="118">
      <c r="B118" s="38" t="n"/>
    </row>
    <row r="119">
      <c r="B119" s="38" t="n"/>
    </row>
    <row r="120">
      <c r="B120" s="38" t="n"/>
    </row>
    <row r="121">
      <c r="B121" s="38" t="n"/>
    </row>
    <row r="122">
      <c r="B122" s="38" t="n"/>
    </row>
    <row r="123">
      <c r="B123" s="38" t="n"/>
    </row>
    <row r="124">
      <c r="B124" s="38" t="n"/>
    </row>
    <row r="125">
      <c r="B125" s="38" t="n"/>
    </row>
    <row r="126">
      <c r="B126" s="38" t="n"/>
    </row>
    <row r="127">
      <c r="B127" s="38" t="n"/>
    </row>
    <row r="128">
      <c r="B128" s="38" t="n"/>
    </row>
    <row r="129">
      <c r="B129" s="38" t="n"/>
    </row>
    <row r="130">
      <c r="B130" s="38" t="n"/>
    </row>
    <row r="131">
      <c r="B131" s="38" t="n"/>
    </row>
    <row r="132">
      <c r="B132" s="38" t="n"/>
    </row>
    <row r="133">
      <c r="B133" s="38" t="n"/>
    </row>
    <row r="134">
      <c r="B134" s="38" t="n"/>
    </row>
    <row r="135">
      <c r="B135" s="38" t="n"/>
    </row>
    <row r="136">
      <c r="B136" s="38" t="n"/>
    </row>
    <row r="137">
      <c r="B137" s="38" t="n"/>
    </row>
    <row r="138">
      <c r="B138" s="38" t="n"/>
    </row>
    <row r="139">
      <c r="B139" s="38" t="n"/>
    </row>
    <row r="140">
      <c r="B140" s="38" t="n"/>
    </row>
    <row r="141">
      <c r="B141" s="38" t="n"/>
    </row>
    <row r="142">
      <c r="B142" s="38" t="n"/>
    </row>
    <row r="143">
      <c r="B143" s="38" t="n"/>
    </row>
    <row r="144">
      <c r="B144" s="38" t="n"/>
    </row>
    <row r="145">
      <c r="B145" s="38" t="n"/>
    </row>
    <row r="146">
      <c r="B146" s="38" t="n"/>
    </row>
    <row r="147">
      <c r="B147" s="38" t="n"/>
    </row>
    <row r="148">
      <c r="B148" s="38" t="n"/>
    </row>
    <row r="149">
      <c r="B149" s="38" t="n"/>
    </row>
    <row r="150">
      <c r="B150" s="38" t="n"/>
    </row>
    <row r="151">
      <c r="B151" s="38" t="n"/>
    </row>
    <row r="152">
      <c r="B152" s="38" t="n"/>
    </row>
    <row r="153">
      <c r="B153" s="38" t="n"/>
    </row>
    <row r="154">
      <c r="B154" s="38" t="n"/>
    </row>
    <row r="155">
      <c r="B155" s="38" t="n"/>
    </row>
    <row r="156">
      <c r="B156" s="38" t="n"/>
    </row>
    <row r="157">
      <c r="B157" s="38" t="n"/>
    </row>
    <row r="158">
      <c r="B158" s="38" t="n"/>
    </row>
    <row r="159">
      <c r="B159" s="38" t="n"/>
    </row>
    <row r="160">
      <c r="B160" s="38" t="n"/>
    </row>
    <row r="161">
      <c r="B161" s="38" t="n"/>
    </row>
    <row r="162">
      <c r="B162" s="38" t="n"/>
    </row>
    <row r="163">
      <c r="B163" s="38" t="n"/>
    </row>
    <row r="164">
      <c r="B164" s="38" t="n"/>
    </row>
    <row r="165">
      <c r="B165" s="38" t="n"/>
    </row>
    <row r="166">
      <c r="B166" s="38" t="n"/>
    </row>
    <row r="167">
      <c r="B167" s="38" t="n"/>
    </row>
    <row r="168">
      <c r="B168" s="38" t="n"/>
    </row>
    <row r="169">
      <c r="B169" s="38" t="n"/>
    </row>
    <row r="170">
      <c r="B170" s="38" t="n"/>
    </row>
    <row r="171">
      <c r="B171" s="38" t="n"/>
    </row>
    <row r="172">
      <c r="B172" s="38" t="n"/>
    </row>
    <row r="173">
      <c r="B173" s="38" t="n"/>
    </row>
    <row r="174">
      <c r="B174" s="38" t="n"/>
    </row>
    <row r="175">
      <c r="B175" s="38" t="n"/>
    </row>
    <row r="176">
      <c r="B176" s="38" t="n"/>
    </row>
    <row r="177">
      <c r="B177" s="38" t="n"/>
    </row>
    <row r="178">
      <c r="B178" s="38" t="n"/>
    </row>
    <row r="179">
      <c r="B179" s="38" t="n"/>
    </row>
    <row r="180">
      <c r="B180" s="38" t="n"/>
    </row>
    <row r="181">
      <c r="B181" s="38" t="n"/>
    </row>
    <row r="182">
      <c r="B182" s="38" t="n"/>
    </row>
    <row r="183">
      <c r="B183" s="38" t="n"/>
    </row>
    <row r="184">
      <c r="B184" s="38" t="n"/>
    </row>
    <row r="185">
      <c r="B185" s="38" t="n"/>
    </row>
    <row r="186">
      <c r="B186" s="38" t="n"/>
    </row>
    <row r="187">
      <c r="B187" s="38" t="n"/>
    </row>
    <row r="188">
      <c r="B188" s="38" t="n"/>
    </row>
    <row r="189">
      <c r="B189" s="38" t="n"/>
    </row>
    <row r="190">
      <c r="B190" s="38" t="n"/>
    </row>
    <row r="191">
      <c r="B191" s="38" t="n"/>
    </row>
    <row r="192">
      <c r="B192" s="38" t="n"/>
    </row>
    <row r="193">
      <c r="B193" s="38" t="n"/>
    </row>
    <row r="194">
      <c r="B194" s="38" t="n"/>
    </row>
    <row r="195">
      <c r="B195" s="38" t="n"/>
    </row>
    <row r="196">
      <c r="B196" s="38" t="n"/>
    </row>
    <row r="197">
      <c r="B197" s="38" t="n"/>
    </row>
    <row r="198">
      <c r="B198" s="38" t="n"/>
    </row>
    <row r="199">
      <c r="B199" s="38" t="n"/>
    </row>
    <row r="200">
      <c r="B200" s="38" t="n"/>
    </row>
    <row r="201">
      <c r="B201" s="38" t="n"/>
    </row>
    <row r="202">
      <c r="B202" s="38" t="n"/>
    </row>
    <row r="203">
      <c r="B203" s="38" t="n"/>
    </row>
    <row r="204">
      <c r="B204" s="38" t="n"/>
    </row>
    <row r="205">
      <c r="B205" s="38" t="n"/>
    </row>
    <row r="206">
      <c r="B206" s="38" t="n"/>
    </row>
  </sheetData>
  <conditionalFormatting sqref="Q6:Q20000">
    <cfRule type="expression" priority="1" dxfId="0">
      <formula>AND(Q6&lt;&gt;"",Q6&lt;&gt;"OK",Q6&lt;&gt;"Void")</formula>
    </cfRule>
  </conditionalFormatting>
  <conditionalFormatting sqref="A6:N20000">
    <cfRule type="expression" priority="2" dxfId="11">
      <formula>$P6=0</formula>
    </cfRule>
  </conditionalFormatting>
  <dataValidations count="2">
    <dataValidation sqref="C6:C20000" showDropDown="0" showInputMessage="0" showErrorMessage="0" allowBlank="1" type="list">
      <formula1>"Kitting Progress,COOIS order"</formula1>
    </dataValidation>
    <dataValidation sqref="L6:L20000" showDropDown="0" showInputMessage="0" showErrorMessage="0" allowBlank="1" type="list">
      <formula1>"Y"</formula1>
    </dataValidation>
  </dataValidation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0E7C7B"/>
    <outlinePr summaryBelow="1" summaryRight="1"/>
    <pageSetUpPr/>
  </sheetPr>
  <dimension ref="B2:P57"/>
  <sheetViews>
    <sheetView showGridLines="0" workbookViewId="0">
      <selection activeCell="A1" sqref="A1"/>
    </sheetView>
  </sheetViews>
  <sheetFormatPr baseColWidth="8" defaultRowHeight="15"/>
  <cols>
    <col width="2" customWidth="1" min="1" max="1"/>
    <col width="13" customWidth="1" min="2" max="2"/>
    <col width="17" customWidth="1" min="3" max="3"/>
    <col width="16" customWidth="1" min="4" max="4"/>
    <col width="9" customWidth="1" min="5" max="5"/>
    <col width="9" customWidth="1" min="6" max="6"/>
    <col width="16" customWidth="1" min="7" max="7"/>
    <col width="40" customWidth="1" min="8" max="8"/>
    <col width="9" customWidth="1" min="9" max="9"/>
    <col width="46" customWidth="1" min="10" max="10"/>
    <col width="18" customWidth="1" min="11" max="11"/>
    <col width="11" customWidth="1" min="14" max="14"/>
    <col width="8" customWidth="1" min="15" max="15"/>
    <col width="30" customWidth="1" min="16" max="16"/>
  </cols>
  <sheetData>
    <row r="2">
      <c r="B2" s="1" t="inlineStr">
        <is>
          <t>Settings and assembly requirements</t>
        </is>
      </c>
    </row>
    <row r="3">
      <c r="B3" s="2" t="inlineStr">
        <is>
          <t>Yellow cells and the two tables can be edited. Add rows at the bottom of a table; it grows automatically.</t>
        </is>
      </c>
    </row>
    <row r="4">
      <c r="N4" s="3" t="inlineStr">
        <is>
          <t>Kitting stages (report column order)</t>
        </is>
      </c>
    </row>
    <row r="5">
      <c r="B5" s="3" t="inlineStr">
        <is>
          <t>General</t>
        </is>
      </c>
      <c r="N5" s="22" t="inlineStr">
        <is>
          <t>Stage</t>
        </is>
      </c>
      <c r="O5" s="22" t="inlineStr">
        <is>
          <t>Order</t>
        </is>
      </c>
      <c r="P5" s="22" t="inlineStr">
        <is>
          <t>Description</t>
        </is>
      </c>
    </row>
    <row r="6">
      <c r="B6" s="29" t="inlineStr">
        <is>
          <t>Report date (leave blank = today)</t>
        </is>
      </c>
      <c r="C6" s="43" t="n"/>
      <c r="N6" s="40" t="inlineStr">
        <is>
          <t>LASA</t>
        </is>
      </c>
      <c r="O6" s="40" t="n">
        <v>1</v>
      </c>
      <c r="P6" s="40" t="inlineStr">
        <is>
          <t>Laser assembly</t>
        </is>
      </c>
    </row>
    <row r="7">
      <c r="B7" s="29" t="inlineStr">
        <is>
          <t>Kit lead (weeks before ASP week)</t>
        </is>
      </c>
      <c r="C7" s="34" t="n">
        <v>3</v>
      </c>
      <c r="N7" s="40" t="inlineStr">
        <is>
          <t>PSB</t>
        </is>
      </c>
      <c r="O7" s="40" t="n">
        <v>2</v>
      </c>
      <c r="P7" s="40" t="inlineStr">
        <is>
          <t>Pump sharing box</t>
        </is>
      </c>
    </row>
    <row r="8">
      <c r="B8" s="29" t="inlineStr">
        <is>
          <t>ASP file loaded</t>
        </is>
      </c>
      <c r="C8" s="32" t="inlineStr">
        <is>
          <t>ASP GH SME AUG 2026.xlsx</t>
        </is>
      </c>
      <c r="N8" s="40" t="inlineStr">
        <is>
          <t>POB</t>
        </is>
      </c>
      <c r="O8" s="40" t="n">
        <v>3</v>
      </c>
      <c r="P8" s="40" t="inlineStr">
        <is>
          <t>Passive optical box</t>
        </is>
      </c>
    </row>
    <row r="9">
      <c r="B9" s="29" t="inlineStr">
        <is>
          <t>ASP loaded on</t>
        </is>
      </c>
      <c r="C9" s="43" t="n"/>
      <c r="N9" s="40" t="inlineStr">
        <is>
          <t>OPF</t>
        </is>
      </c>
      <c r="O9" s="40" t="n">
        <v>4</v>
      </c>
      <c r="P9" s="40" t="inlineStr">
        <is>
          <t>OPF assembly</t>
        </is>
      </c>
    </row>
    <row r="10">
      <c r="B10" s="29" t="inlineStr">
        <is>
          <t>COOIS file loaded</t>
        </is>
      </c>
      <c r="C10" s="32" t="inlineStr">
        <is>
          <t>export.xlsx</t>
        </is>
      </c>
      <c r="N10" s="40" t="inlineStr">
        <is>
          <t>Boat</t>
        </is>
      </c>
      <c r="O10" s="40" t="n">
        <v>5</v>
      </c>
      <c r="P10" s="40" t="inlineStr">
        <is>
          <t>Boat assembly</t>
        </is>
      </c>
    </row>
    <row r="11">
      <c r="B11" s="29" t="inlineStr">
        <is>
          <t>COOIS loaded on</t>
        </is>
      </c>
      <c r="C11" s="43" t="n"/>
      <c r="N11" s="40" t="inlineStr">
        <is>
          <t>Erbium</t>
        </is>
      </c>
      <c r="O11" s="40" t="n">
        <v>6</v>
      </c>
      <c r="P11" s="40" t="inlineStr">
        <is>
          <t>Erbium assemblies and spools</t>
        </is>
      </c>
    </row>
    <row r="14">
      <c r="B14" s="3" t="inlineStr">
        <is>
          <t>Assembly requirements (one row per assembly line, quantity per ONE repeater)</t>
        </is>
      </c>
      <c r="N14" s="44" t="inlineStr">
        <is>
          <t>To add a stage later (e.g. Internal Unit, Housing): add a row here with its order number, then add its assembly lines to the requirements table.</t>
        </is>
      </c>
    </row>
    <row r="15" ht="28" customHeight="1">
      <c r="B15" s="39" t="inlineStr">
        <is>
          <t>Contract (Project), exact variant (ASP Friendly_name), stage, assembly code and quantity per repeater. A variant with no rows here shows "Assembly setup required". Quantities reconstructed from pasted tables are marked for verification.</t>
        </is>
      </c>
    </row>
    <row r="16"/>
    <row r="17">
      <c r="B17" s="22" t="inlineStr">
        <is>
          <t>Project</t>
        </is>
      </c>
      <c r="C17" s="22" t="inlineStr">
        <is>
          <t>Variant ID</t>
        </is>
      </c>
      <c r="D17" s="22" t="inlineStr">
        <is>
          <t>Top code</t>
        </is>
      </c>
      <c r="E17" s="22" t="inlineStr">
        <is>
          <t>Fibre pairs</t>
        </is>
      </c>
      <c r="F17" s="22" t="inlineStr">
        <is>
          <t>Stage</t>
        </is>
      </c>
      <c r="G17" s="22" t="inlineStr">
        <is>
          <t>Assembly code</t>
        </is>
      </c>
      <c r="H17" s="22" t="inlineStr">
        <is>
          <t>Assembly description</t>
        </is>
      </c>
      <c r="I17" s="22" t="inlineStr">
        <is>
          <t>Qty per REP</t>
        </is>
      </c>
      <c r="J17" s="22" t="inlineStr">
        <is>
          <t>Source</t>
        </is>
      </c>
      <c r="K17" s="22" t="inlineStr">
        <is>
          <t>Verified by / date</t>
        </is>
      </c>
    </row>
    <row r="18">
      <c r="B18" s="40" t="inlineStr">
        <is>
          <t>E2A</t>
        </is>
      </c>
      <c r="C18" s="40" t="inlineStr">
        <is>
          <t>E2A-R4P-T1-C</t>
        </is>
      </c>
      <c r="D18" s="40" t="inlineStr">
        <is>
          <t>92ERP04548A++</t>
        </is>
      </c>
      <c r="E18" s="40" t="n">
        <v>4</v>
      </c>
      <c r="F18" s="40" t="inlineStr">
        <is>
          <t>LASA</t>
        </is>
      </c>
      <c r="G18" s="40" t="inlineStr">
        <is>
          <t>92YLS00548BAA</t>
        </is>
      </c>
      <c r="H18" s="40" t="inlineStr">
        <is>
          <t>R5B LASER ASSEMBLY 4P BOAT 1 - E2A</t>
        </is>
      </c>
      <c r="I18" s="40" t="n">
        <v>1</v>
      </c>
      <c r="J18" s="40" t="inlineStr">
        <is>
          <t>Per-REP table supplied 29 Oct 2026 - Verify against original kitting sheet</t>
        </is>
      </c>
      <c r="K18" s="40" t="inlineStr"/>
    </row>
    <row r="19">
      <c r="B19" s="40" t="inlineStr">
        <is>
          <t>E2A</t>
        </is>
      </c>
      <c r="C19" s="40" t="inlineStr">
        <is>
          <t>E2A-R4P-T1-C</t>
        </is>
      </c>
      <c r="D19" s="40" t="inlineStr">
        <is>
          <t>92ERP04548A++</t>
        </is>
      </c>
      <c r="E19" s="40" t="n">
        <v>4</v>
      </c>
      <c r="F19" s="40" t="inlineStr">
        <is>
          <t>PSB</t>
        </is>
      </c>
      <c r="G19" s="40" t="inlineStr">
        <is>
          <t>91YAF03404AAA</t>
        </is>
      </c>
      <c r="H19" s="40" t="inlineStr">
        <is>
          <t>R5B PSB SUB ASSEMBLY 4P-4FP</t>
        </is>
      </c>
      <c r="I19" s="40" t="n">
        <v>1</v>
      </c>
      <c r="J19" s="40" t="inlineStr">
        <is>
          <t>Per-REP table supplied 29 Oct 2026 - Verify against original kitting sheet</t>
        </is>
      </c>
      <c r="K19" s="40" t="inlineStr"/>
    </row>
    <row r="20">
      <c r="B20" s="40" t="inlineStr">
        <is>
          <t>E2A</t>
        </is>
      </c>
      <c r="C20" s="40" t="inlineStr">
        <is>
          <t>E2A-R4P-T1-C</t>
        </is>
      </c>
      <c r="D20" s="40" t="inlineStr">
        <is>
          <t>92ERP04548A++</t>
        </is>
      </c>
      <c r="E20" s="40" t="n">
        <v>4</v>
      </c>
      <c r="F20" s="40" t="inlineStr">
        <is>
          <t>POB</t>
        </is>
      </c>
      <c r="G20" s="40" t="inlineStr">
        <is>
          <t>92YWS04548AAA</t>
        </is>
      </c>
      <c r="H20" s="40" t="inlineStr">
        <is>
          <t>R5B 4FP POB LUMENTUM SUB ASSEMBLY - E2A</t>
        </is>
      </c>
      <c r="I20" s="40" t="n">
        <v>1</v>
      </c>
      <c r="J20" s="40" t="inlineStr">
        <is>
          <t>Per-REP table supplied 29 Oct 2026 - Verify against original kitting sheet</t>
        </is>
      </c>
      <c r="K20" s="40" t="inlineStr"/>
    </row>
    <row r="21">
      <c r="B21" s="40" t="inlineStr">
        <is>
          <t>E2A</t>
        </is>
      </c>
      <c r="C21" s="40" t="inlineStr">
        <is>
          <t>E2A-R4P-T1-C</t>
        </is>
      </c>
      <c r="D21" s="40" t="inlineStr">
        <is>
          <t>92ERP04548A++</t>
        </is>
      </c>
      <c r="E21" s="40" t="n">
        <v>4</v>
      </c>
      <c r="F21" s="40" t="inlineStr">
        <is>
          <t>OPF</t>
        </is>
      </c>
      <c r="G21" s="40" t="inlineStr">
        <is>
          <t>92YFD04548BAA</t>
        </is>
      </c>
      <c r="H21" s="40" t="inlineStr">
        <is>
          <t>R5B OPF ASSEMBLY (4P-4FP) BOAT 1 - E2A</t>
        </is>
      </c>
      <c r="I21" s="40" t="n">
        <v>1</v>
      </c>
      <c r="J21" s="40" t="inlineStr">
        <is>
          <t>Per-REP table supplied 29 Oct 2026 - Verify against original kitting sheet</t>
        </is>
      </c>
      <c r="K21" s="40" t="inlineStr"/>
    </row>
    <row r="22">
      <c r="B22" s="40" t="inlineStr">
        <is>
          <t>E2A</t>
        </is>
      </c>
      <c r="C22" s="40" t="inlineStr">
        <is>
          <t>E2A-R4P-T1-C</t>
        </is>
      </c>
      <c r="D22" s="40" t="inlineStr">
        <is>
          <t>92ERP04548A++</t>
        </is>
      </c>
      <c r="E22" s="40" t="n">
        <v>4</v>
      </c>
      <c r="F22" s="40" t="inlineStr">
        <is>
          <t>Boat</t>
        </is>
      </c>
      <c r="G22" s="40" t="inlineStr">
        <is>
          <t>92UAP04548BAA</t>
        </is>
      </c>
      <c r="H22" s="40" t="inlineStr">
        <is>
          <t>R5B BOAT 1 ASSY (4P-4FP)</t>
        </is>
      </c>
      <c r="I22" s="40" t="n">
        <v>1</v>
      </c>
      <c r="J22" s="40" t="inlineStr">
        <is>
          <t>Per-REP table supplied 29 Oct 2026 - Verify against original kitting sheet</t>
        </is>
      </c>
      <c r="K22" s="40" t="inlineStr"/>
    </row>
    <row r="23">
      <c r="B23" s="40" t="inlineStr">
        <is>
          <t>E2A</t>
        </is>
      </c>
      <c r="C23" s="40" t="inlineStr">
        <is>
          <t>E2A-R4P-T1-C</t>
        </is>
      </c>
      <c r="D23" s="40" t="inlineStr">
        <is>
          <t>92ERP04548A++</t>
        </is>
      </c>
      <c r="E23" s="40" t="n">
        <v>4</v>
      </c>
      <c r="F23" s="40" t="inlineStr">
        <is>
          <t>Erbium</t>
        </is>
      </c>
      <c r="G23" s="40" t="inlineStr">
        <is>
          <t>92YRA01548AAA</t>
        </is>
      </c>
      <c r="H23" s="40" t="inlineStr">
        <is>
          <t>R5B ERBIUM ASSEMBLY POSITION 1</t>
        </is>
      </c>
      <c r="I23" s="40" t="n">
        <v>1</v>
      </c>
      <c r="J23" s="40" t="inlineStr">
        <is>
          <t>Per-REP table supplied 29 Oct 2026 - Verify against original kitting sheet</t>
        </is>
      </c>
      <c r="K23" s="40" t="inlineStr"/>
    </row>
    <row r="24">
      <c r="B24" s="40" t="inlineStr">
        <is>
          <t>E2A</t>
        </is>
      </c>
      <c r="C24" s="40" t="inlineStr">
        <is>
          <t>E2A-R4P-T1-C</t>
        </is>
      </c>
      <c r="D24" s="40" t="inlineStr">
        <is>
          <t>92ERP04548A++</t>
        </is>
      </c>
      <c r="E24" s="40" t="n">
        <v>4</v>
      </c>
      <c r="F24" s="40" t="inlineStr">
        <is>
          <t>Erbium</t>
        </is>
      </c>
      <c r="G24" s="40" t="inlineStr">
        <is>
          <t>92YRA02548AAA</t>
        </is>
      </c>
      <c r="H24" s="40" t="inlineStr">
        <is>
          <t>R5B ERBIUM ASSEMBLY POSITION 2</t>
        </is>
      </c>
      <c r="I24" s="40" t="n">
        <v>1</v>
      </c>
      <c r="J24" s="40" t="inlineStr">
        <is>
          <t>Per-REP table supplied 29 Oct 2026 - Verify against original kitting sheet</t>
        </is>
      </c>
      <c r="K24" s="40" t="inlineStr"/>
    </row>
    <row r="25">
      <c r="B25" s="40" t="inlineStr">
        <is>
          <t>E2A</t>
        </is>
      </c>
      <c r="C25" s="40" t="inlineStr">
        <is>
          <t>E2A-R4P-T1-C</t>
        </is>
      </c>
      <c r="D25" s="40" t="inlineStr">
        <is>
          <t>92ERP04548A++</t>
        </is>
      </c>
      <c r="E25" s="40" t="n">
        <v>4</v>
      </c>
      <c r="F25" s="40" t="inlineStr">
        <is>
          <t>Erbium</t>
        </is>
      </c>
      <c r="G25" s="40" t="inlineStr">
        <is>
          <t>92YRA03548AAA</t>
        </is>
      </c>
      <c r="H25" s="40" t="inlineStr">
        <is>
          <t>R5B ERBIUM ASSEMBLY POSITION 3</t>
        </is>
      </c>
      <c r="I25" s="40" t="n">
        <v>1</v>
      </c>
      <c r="J25" s="40" t="inlineStr">
        <is>
          <t>Per-REP table supplied 29 Oct 2026 - Verify against original kitting sheet</t>
        </is>
      </c>
      <c r="K25" s="40" t="inlineStr"/>
    </row>
    <row r="26">
      <c r="B26" s="40" t="inlineStr">
        <is>
          <t>E2A</t>
        </is>
      </c>
      <c r="C26" s="40" t="inlineStr">
        <is>
          <t>E2A-R4P-T1-C</t>
        </is>
      </c>
      <c r="D26" s="40" t="inlineStr">
        <is>
          <t>92ERP04548A++</t>
        </is>
      </c>
      <c r="E26" s="40" t="n">
        <v>4</v>
      </c>
      <c r="F26" s="40" t="inlineStr">
        <is>
          <t>Erbium</t>
        </is>
      </c>
      <c r="G26" s="40" t="inlineStr">
        <is>
          <t>92YRA04548AAA</t>
        </is>
      </c>
      <c r="H26" s="40" t="inlineStr">
        <is>
          <t>R5B ERBIUM ASSEMBLY POSITION 4</t>
        </is>
      </c>
      <c r="I26" s="40" t="n">
        <v>1</v>
      </c>
      <c r="J26" s="40" t="inlineStr">
        <is>
          <t>Per-REP table supplied 29 Oct 2026 - Verify against original kitting sheet</t>
        </is>
      </c>
      <c r="K26" s="40" t="inlineStr"/>
    </row>
    <row r="27">
      <c r="B27" s="40" t="inlineStr">
        <is>
          <t>E2A</t>
        </is>
      </c>
      <c r="C27" s="40" t="inlineStr">
        <is>
          <t>E2A-R4P-T1-C</t>
        </is>
      </c>
      <c r="D27" s="40" t="inlineStr">
        <is>
          <t>92ERP04548A++</t>
        </is>
      </c>
      <c r="E27" s="40" t="n">
        <v>4</v>
      </c>
      <c r="F27" s="40" t="inlineStr">
        <is>
          <t>Erbium</t>
        </is>
      </c>
      <c r="G27" s="40" t="inlineStr">
        <is>
          <t>92RRA00548AAA</t>
        </is>
      </c>
      <c r="H27" s="40" t="inlineStr">
        <is>
          <t>R5B ERBIUM SPOOL ASSEMBLY - E2A</t>
        </is>
      </c>
      <c r="I27" s="40" t="n">
        <v>8</v>
      </c>
      <c r="J27" s="40" t="inlineStr">
        <is>
          <t>Per-REP table supplied 29 Oct 2026 - Verify against original kitting sheet</t>
        </is>
      </c>
      <c r="K27" s="40" t="inlineStr"/>
    </row>
    <row r="28">
      <c r="B28" s="40" t="inlineStr">
        <is>
          <t>E2A</t>
        </is>
      </c>
      <c r="C28" s="40" t="inlineStr">
        <is>
          <t>E2A-R12P-T5-C</t>
        </is>
      </c>
      <c r="D28" s="40" t="inlineStr">
        <is>
          <t>92ERP12548A++</t>
        </is>
      </c>
      <c r="E28" s="40" t="n">
        <v>12</v>
      </c>
      <c r="F28" s="40" t="inlineStr">
        <is>
          <t>LASA</t>
        </is>
      </c>
      <c r="G28" s="40" t="inlineStr">
        <is>
          <t>92YLS00548BAA</t>
        </is>
      </c>
      <c r="H28" s="40" t="inlineStr">
        <is>
          <t>R5B LASER ASSEMBLY 4P BOAT 1 - E2A</t>
        </is>
      </c>
      <c r="I28" s="40" t="n">
        <v>1</v>
      </c>
      <c r="J28" s="40" t="inlineStr">
        <is>
          <t>Reconstructed from pasted kitting table - Verify against original kitting sheet</t>
        </is>
      </c>
      <c r="K28" s="40" t="inlineStr"/>
    </row>
    <row r="29">
      <c r="B29" s="40" t="inlineStr">
        <is>
          <t>E2A</t>
        </is>
      </c>
      <c r="C29" s="40" t="inlineStr">
        <is>
          <t>E2A-R12P-T5-C</t>
        </is>
      </c>
      <c r="D29" s="40" t="inlineStr">
        <is>
          <t>92ERP12548A++</t>
        </is>
      </c>
      <c r="E29" s="40" t="n">
        <v>12</v>
      </c>
      <c r="F29" s="40" t="inlineStr">
        <is>
          <t>LASA</t>
        </is>
      </c>
      <c r="G29" s="40" t="inlineStr">
        <is>
          <t>92YLS00548BBA</t>
        </is>
      </c>
      <c r="H29" s="40" t="inlineStr">
        <is>
          <t>R5B LASER ASSEMBLY 4P BOAT 2/3 - E2A</t>
        </is>
      </c>
      <c r="I29" s="40" t="n">
        <v>2</v>
      </c>
      <c r="J29" s="40" t="inlineStr">
        <is>
          <t>Reconstructed from pasted kitting table - Verify against original kitting sheet</t>
        </is>
      </c>
      <c r="K29" s="40" t="inlineStr"/>
    </row>
    <row r="30">
      <c r="B30" s="40" t="inlineStr">
        <is>
          <t>E2A</t>
        </is>
      </c>
      <c r="C30" s="40" t="inlineStr">
        <is>
          <t>E2A-R12P-T5-C</t>
        </is>
      </c>
      <c r="D30" s="40" t="inlineStr">
        <is>
          <t>92ERP12548A++</t>
        </is>
      </c>
      <c r="E30" s="40" t="n">
        <v>12</v>
      </c>
      <c r="F30" s="40" t="inlineStr">
        <is>
          <t>PSB</t>
        </is>
      </c>
      <c r="G30" s="40" t="inlineStr">
        <is>
          <t>91YAF03404AAA</t>
        </is>
      </c>
      <c r="H30" s="40" t="inlineStr">
        <is>
          <t>R5B PSB SUB ASSEMBLY 4P-4FP</t>
        </is>
      </c>
      <c r="I30" s="40" t="n">
        <v>3</v>
      </c>
      <c r="J30" s="40" t="inlineStr">
        <is>
          <t>Reconstructed from pasted kitting table - Verify against original kitting sheet</t>
        </is>
      </c>
      <c r="K30" s="40" t="inlineStr"/>
    </row>
    <row r="31">
      <c r="B31" s="40" t="inlineStr">
        <is>
          <t>E2A</t>
        </is>
      </c>
      <c r="C31" s="40" t="inlineStr">
        <is>
          <t>E2A-R12P-T5-C</t>
        </is>
      </c>
      <c r="D31" s="40" t="inlineStr">
        <is>
          <t>92ERP12548A++</t>
        </is>
      </c>
      <c r="E31" s="40" t="n">
        <v>12</v>
      </c>
      <c r="F31" s="40" t="inlineStr">
        <is>
          <t>POB</t>
        </is>
      </c>
      <c r="G31" s="40" t="inlineStr">
        <is>
          <t>92YWS04548AAA</t>
        </is>
      </c>
      <c r="H31" s="40" t="inlineStr">
        <is>
          <t>R5B 4FP POB LUMENTUM SUB ASSEMBLY - E2A</t>
        </is>
      </c>
      <c r="I31" s="40" t="n">
        <v>3</v>
      </c>
      <c r="J31" s="40" t="inlineStr">
        <is>
          <t>Reconstructed from pasted kitting table - Verify against original kitting sheet</t>
        </is>
      </c>
      <c r="K31" s="40" t="inlineStr"/>
    </row>
    <row r="32">
      <c r="B32" s="40" t="inlineStr">
        <is>
          <t>E2A</t>
        </is>
      </c>
      <c r="C32" s="40" t="inlineStr">
        <is>
          <t>E2A-R12P-T5-C</t>
        </is>
      </c>
      <c r="D32" s="40" t="inlineStr">
        <is>
          <t>92ERP12548A++</t>
        </is>
      </c>
      <c r="E32" s="40" t="n">
        <v>12</v>
      </c>
      <c r="F32" s="40" t="inlineStr">
        <is>
          <t>OPF</t>
        </is>
      </c>
      <c r="G32" s="40" t="inlineStr">
        <is>
          <t>92YFD04548BAA</t>
        </is>
      </c>
      <c r="H32" s="40" t="inlineStr">
        <is>
          <t>R5B OPF ASSEMBLY (4P-4FP) BOAT 1 - E2A</t>
        </is>
      </c>
      <c r="I32" s="40" t="n">
        <v>1</v>
      </c>
      <c r="J32" s="40" t="inlineStr">
        <is>
          <t>Reconstructed from pasted kitting table - Verify against original kitting sheet</t>
        </is>
      </c>
      <c r="K32" s="40" t="inlineStr"/>
    </row>
    <row r="33">
      <c r="B33" s="40" t="inlineStr">
        <is>
          <t>E2A</t>
        </is>
      </c>
      <c r="C33" s="40" t="inlineStr">
        <is>
          <t>E2A-R12P-T5-C</t>
        </is>
      </c>
      <c r="D33" s="40" t="inlineStr">
        <is>
          <t>92ERP12548A++</t>
        </is>
      </c>
      <c r="E33" s="40" t="n">
        <v>12</v>
      </c>
      <c r="F33" s="40" t="inlineStr">
        <is>
          <t>OPF</t>
        </is>
      </c>
      <c r="G33" s="40" t="inlineStr">
        <is>
          <t>92YFD04548BBA</t>
        </is>
      </c>
      <c r="H33" s="40" t="inlineStr">
        <is>
          <t>R5B OPF ASSEMBLY (4P-4FP) BOAT 2/3 - E2A</t>
        </is>
      </c>
      <c r="I33" s="40" t="n">
        <v>2</v>
      </c>
      <c r="J33" s="40" t="inlineStr">
        <is>
          <t>Reconstructed from pasted kitting table - Verify against original kitting sheet</t>
        </is>
      </c>
      <c r="K33" s="40" t="inlineStr"/>
    </row>
    <row r="34">
      <c r="B34" s="40" t="inlineStr">
        <is>
          <t>E2A</t>
        </is>
      </c>
      <c r="C34" s="40" t="inlineStr">
        <is>
          <t>E2A-R12P-T5-C</t>
        </is>
      </c>
      <c r="D34" s="40" t="inlineStr">
        <is>
          <t>92ERP12548A++</t>
        </is>
      </c>
      <c r="E34" s="40" t="n">
        <v>12</v>
      </c>
      <c r="F34" s="40" t="inlineStr">
        <is>
          <t>Boat</t>
        </is>
      </c>
      <c r="G34" s="40" t="inlineStr">
        <is>
          <t>92UAP04548BAA</t>
        </is>
      </c>
      <c r="H34" s="40" t="inlineStr">
        <is>
          <t>R5B BOAT 1 ASSY (4P-4FP)</t>
        </is>
      </c>
      <c r="I34" s="40" t="n">
        <v>1</v>
      </c>
      <c r="J34" s="40" t="inlineStr">
        <is>
          <t>Reconstructed from pasted kitting table - Verify against original kitting sheet</t>
        </is>
      </c>
      <c r="K34" s="40" t="inlineStr"/>
    </row>
    <row r="35">
      <c r="B35" s="40" t="inlineStr">
        <is>
          <t>E2A</t>
        </is>
      </c>
      <c r="C35" s="40" t="inlineStr">
        <is>
          <t>E2A-R12P-T5-C</t>
        </is>
      </c>
      <c r="D35" s="40" t="inlineStr">
        <is>
          <t>92ERP12548A++</t>
        </is>
      </c>
      <c r="E35" s="40" t="n">
        <v>12</v>
      </c>
      <c r="F35" s="40" t="inlineStr">
        <is>
          <t>Boat</t>
        </is>
      </c>
      <c r="G35" s="40" t="inlineStr">
        <is>
          <t>92UAP04548BBA</t>
        </is>
      </c>
      <c r="H35" s="40" t="inlineStr">
        <is>
          <t>R5B BOAT 2 ASSY (4P-4FP)</t>
        </is>
      </c>
      <c r="I35" s="40" t="n">
        <v>1</v>
      </c>
      <c r="J35" s="40" t="inlineStr">
        <is>
          <t>Reconstructed from pasted kitting table - Verify against original kitting sheet</t>
        </is>
      </c>
      <c r="K35" s="40" t="inlineStr"/>
    </row>
    <row r="36">
      <c r="B36" s="40" t="inlineStr">
        <is>
          <t>E2A</t>
        </is>
      </c>
      <c r="C36" s="40" t="inlineStr">
        <is>
          <t>E2A-R12P-T5-C</t>
        </is>
      </c>
      <c r="D36" s="40" t="inlineStr">
        <is>
          <t>92ERP12548A++</t>
        </is>
      </c>
      <c r="E36" s="40" t="n">
        <v>12</v>
      </c>
      <c r="F36" s="40" t="inlineStr">
        <is>
          <t>Boat</t>
        </is>
      </c>
      <c r="G36" s="40" t="inlineStr">
        <is>
          <t>92UAP04548BCA</t>
        </is>
      </c>
      <c r="H36" s="40" t="inlineStr">
        <is>
          <t>R5B BOAT 3 ASSY (4P-4FP)</t>
        </is>
      </c>
      <c r="I36" s="40" t="n">
        <v>1</v>
      </c>
      <c r="J36" s="40" t="inlineStr">
        <is>
          <t>Reconstructed from pasted kitting table - Verify against original kitting sheet</t>
        </is>
      </c>
      <c r="K36" s="40" t="inlineStr"/>
    </row>
    <row r="37">
      <c r="B37" s="40" t="inlineStr">
        <is>
          <t>E2A</t>
        </is>
      </c>
      <c r="C37" s="40" t="inlineStr">
        <is>
          <t>E2A-R12P-T5-C</t>
        </is>
      </c>
      <c r="D37" s="40" t="inlineStr">
        <is>
          <t>92ERP12548A++</t>
        </is>
      </c>
      <c r="E37" s="40" t="n">
        <v>12</v>
      </c>
      <c r="F37" s="40" t="inlineStr">
        <is>
          <t>Erbium</t>
        </is>
      </c>
      <c r="G37" s="40" t="inlineStr">
        <is>
          <t>92YRA01548AAA</t>
        </is>
      </c>
      <c r="H37" s="40" t="inlineStr">
        <is>
          <t>R5B ERBIUM ASSEMBLY POSITION 1</t>
        </is>
      </c>
      <c r="I37" s="40" t="n">
        <v>3</v>
      </c>
      <c r="J37" s="40" t="inlineStr">
        <is>
          <t>Reconstructed from pasted kitting table - Verify against original kitting sheet</t>
        </is>
      </c>
      <c r="K37" s="40" t="inlineStr"/>
    </row>
    <row r="38">
      <c r="B38" s="40" t="inlineStr">
        <is>
          <t>E2A</t>
        </is>
      </c>
      <c r="C38" s="40" t="inlineStr">
        <is>
          <t>E2A-R12P-T5-C</t>
        </is>
      </c>
      <c r="D38" s="40" t="inlineStr">
        <is>
          <t>92ERP12548A++</t>
        </is>
      </c>
      <c r="E38" s="40" t="n">
        <v>12</v>
      </c>
      <c r="F38" s="40" t="inlineStr">
        <is>
          <t>Erbium</t>
        </is>
      </c>
      <c r="G38" s="40" t="inlineStr">
        <is>
          <t>92YRA02548AAA</t>
        </is>
      </c>
      <c r="H38" s="40" t="inlineStr">
        <is>
          <t>R5B ERBIUM ASSEMBLY POSITION 2</t>
        </is>
      </c>
      <c r="I38" s="40" t="n">
        <v>3</v>
      </c>
      <c r="J38" s="40" t="inlineStr">
        <is>
          <t>Reconstructed from pasted kitting table - Verify against original kitting sheet</t>
        </is>
      </c>
      <c r="K38" s="40" t="inlineStr"/>
    </row>
    <row r="39">
      <c r="B39" s="40" t="inlineStr">
        <is>
          <t>E2A</t>
        </is>
      </c>
      <c r="C39" s="40" t="inlineStr">
        <is>
          <t>E2A-R12P-T5-C</t>
        </is>
      </c>
      <c r="D39" s="40" t="inlineStr">
        <is>
          <t>92ERP12548A++</t>
        </is>
      </c>
      <c r="E39" s="40" t="n">
        <v>12</v>
      </c>
      <c r="F39" s="40" t="inlineStr">
        <is>
          <t>Erbium</t>
        </is>
      </c>
      <c r="G39" s="40" t="inlineStr">
        <is>
          <t>92YRA03548AAA</t>
        </is>
      </c>
      <c r="H39" s="40" t="inlineStr">
        <is>
          <t>R5B ERBIUM ASSEMBLY POSITION 3</t>
        </is>
      </c>
      <c r="I39" s="40" t="n">
        <v>3</v>
      </c>
      <c r="J39" s="40" t="inlineStr">
        <is>
          <t>Reconstructed from pasted kitting table - Verify against original kitting sheet</t>
        </is>
      </c>
      <c r="K39" s="40" t="inlineStr"/>
    </row>
    <row r="40">
      <c r="B40" s="40" t="inlineStr">
        <is>
          <t>E2A</t>
        </is>
      </c>
      <c r="C40" s="40" t="inlineStr">
        <is>
          <t>E2A-R12P-T5-C</t>
        </is>
      </c>
      <c r="D40" s="40" t="inlineStr">
        <is>
          <t>92ERP12548A++</t>
        </is>
      </c>
      <c r="E40" s="40" t="n">
        <v>12</v>
      </c>
      <c r="F40" s="40" t="inlineStr">
        <is>
          <t>Erbium</t>
        </is>
      </c>
      <c r="G40" s="40" t="inlineStr">
        <is>
          <t>92YRA04548AAA</t>
        </is>
      </c>
      <c r="H40" s="40" t="inlineStr">
        <is>
          <t>R5B ERBIUM ASSEMBLY POSITION 4</t>
        </is>
      </c>
      <c r="I40" s="40" t="n">
        <v>3</v>
      </c>
      <c r="J40" s="40" t="inlineStr">
        <is>
          <t>Reconstructed from pasted kitting table - Verify against original kitting sheet</t>
        </is>
      </c>
      <c r="K40" s="40" t="inlineStr"/>
    </row>
    <row r="41">
      <c r="B41" s="40" t="inlineStr">
        <is>
          <t>E2A</t>
        </is>
      </c>
      <c r="C41" s="40" t="inlineStr">
        <is>
          <t>E2A-R12P-T5-C</t>
        </is>
      </c>
      <c r="D41" s="40" t="inlineStr">
        <is>
          <t>92ERP12548A++</t>
        </is>
      </c>
      <c r="E41" s="40" t="n">
        <v>12</v>
      </c>
      <c r="F41" s="40" t="inlineStr">
        <is>
          <t>Erbium</t>
        </is>
      </c>
      <c r="G41" s="40" t="inlineStr">
        <is>
          <t>92RRA00548AAA</t>
        </is>
      </c>
      <c r="H41" s="40" t="inlineStr">
        <is>
          <t>R5B ERBIUM SPOOL ASSEMBLY - E2A</t>
        </is>
      </c>
      <c r="I41" s="40" t="n">
        <v>24</v>
      </c>
      <c r="J41" s="40" t="inlineStr">
        <is>
          <t>Reconstructed from pasted kitting table - Verify against original kitting sheet</t>
        </is>
      </c>
      <c r="K41" s="40" t="inlineStr"/>
    </row>
    <row r="42">
      <c r="B42" s="40" t="inlineStr">
        <is>
          <t>Wamkelekile</t>
        </is>
      </c>
      <c r="C42" s="40" t="inlineStr">
        <is>
          <t>WKE-R24P-T1-C</t>
        </is>
      </c>
      <c r="D42" s="40" t="inlineStr">
        <is>
          <t>92ERP24543A++</t>
        </is>
      </c>
      <c r="E42" s="40" t="n">
        <v>24</v>
      </c>
      <c r="F42" s="40" t="inlineStr">
        <is>
          <t>LASA</t>
        </is>
      </c>
      <c r="G42" s="40" t="inlineStr">
        <is>
          <t>92YLS00543AAA</t>
        </is>
      </c>
      <c r="H42" s="40" t="inlineStr">
        <is>
          <t>R5B LASER ASSEMBLY 4P-4P BOAT 1 - WKE</t>
        </is>
      </c>
      <c r="I42" s="40" t="n">
        <v>1</v>
      </c>
      <c r="J42" s="40" t="inlineStr">
        <is>
          <t>Reconstructed from pasted kitting table - Verify against original kitting sheet</t>
        </is>
      </c>
      <c r="K42" s="40" t="inlineStr"/>
    </row>
    <row r="43">
      <c r="B43" s="40" t="inlineStr">
        <is>
          <t>Wamkelekile</t>
        </is>
      </c>
      <c r="C43" s="40" t="inlineStr">
        <is>
          <t>WKE-R24P-T1-C</t>
        </is>
      </c>
      <c r="D43" s="40" t="inlineStr">
        <is>
          <t>92ERP24543A++</t>
        </is>
      </c>
      <c r="E43" s="40" t="n">
        <v>24</v>
      </c>
      <c r="F43" s="40" t="inlineStr">
        <is>
          <t>LASA</t>
        </is>
      </c>
      <c r="G43" s="40" t="inlineStr">
        <is>
          <t>92YLS00543ABA</t>
        </is>
      </c>
      <c r="H43" s="40" t="inlineStr">
        <is>
          <t>R5B LASER ASSEMBLY 4P-4P BOAT 2 - WKE</t>
        </is>
      </c>
      <c r="I43" s="40" t="n">
        <v>1</v>
      </c>
      <c r="J43" s="40" t="inlineStr">
        <is>
          <t>Reconstructed from pasted kitting table - Verify against original kitting sheet</t>
        </is>
      </c>
      <c r="K43" s="40" t="inlineStr"/>
    </row>
    <row r="44">
      <c r="B44" s="40" t="inlineStr">
        <is>
          <t>Wamkelekile</t>
        </is>
      </c>
      <c r="C44" s="40" t="inlineStr">
        <is>
          <t>WKE-R24P-T1-C</t>
        </is>
      </c>
      <c r="D44" s="40" t="inlineStr">
        <is>
          <t>92ERP24543A++</t>
        </is>
      </c>
      <c r="E44" s="40" t="n">
        <v>24</v>
      </c>
      <c r="F44" s="40" t="inlineStr">
        <is>
          <t>LASA</t>
        </is>
      </c>
      <c r="G44" s="40" t="inlineStr">
        <is>
          <t>92YLS00543ACA</t>
        </is>
      </c>
      <c r="H44" s="40" t="inlineStr">
        <is>
          <t>R5B LASER ASSEMBLY 4P-4P BOAT 3 - WKE</t>
        </is>
      </c>
      <c r="I44" s="40" t="n">
        <v>1</v>
      </c>
      <c r="J44" s="40" t="inlineStr">
        <is>
          <t>Reconstructed from pasted kitting table - Verify against original kitting sheet</t>
        </is>
      </c>
      <c r="K44" s="40" t="inlineStr"/>
    </row>
    <row r="45">
      <c r="B45" s="40" t="inlineStr">
        <is>
          <t>Wamkelekile</t>
        </is>
      </c>
      <c r="C45" s="40" t="inlineStr">
        <is>
          <t>WKE-R24P-T1-C</t>
        </is>
      </c>
      <c r="D45" s="40" t="inlineStr">
        <is>
          <t>92ERP24543A++</t>
        </is>
      </c>
      <c r="E45" s="40" t="n">
        <v>24</v>
      </c>
      <c r="F45" s="40" t="inlineStr">
        <is>
          <t>PSB</t>
        </is>
      </c>
      <c r="G45" s="40" t="inlineStr">
        <is>
          <t>91YAF03404AAA</t>
        </is>
      </c>
      <c r="H45" s="40" t="inlineStr">
        <is>
          <t>R5B PSB SUB ASSEMBLY 4P-4FP</t>
        </is>
      </c>
      <c r="I45" s="40" t="n">
        <v>6</v>
      </c>
      <c r="J45" s="40" t="inlineStr">
        <is>
          <t>Reconstructed from pasted kitting table - Verify against original kitting sheet</t>
        </is>
      </c>
      <c r="K45" s="40" t="inlineStr"/>
    </row>
    <row r="46">
      <c r="B46" s="40" t="inlineStr">
        <is>
          <t>Wamkelekile</t>
        </is>
      </c>
      <c r="C46" s="40" t="inlineStr">
        <is>
          <t>WKE-R24P-T1-C</t>
        </is>
      </c>
      <c r="D46" s="40" t="inlineStr">
        <is>
          <t>92ERP24543A++</t>
        </is>
      </c>
      <c r="E46" s="40" t="n">
        <v>24</v>
      </c>
      <c r="F46" s="40" t="inlineStr">
        <is>
          <t>POB</t>
        </is>
      </c>
      <c r="G46" s="40" t="inlineStr">
        <is>
          <t>92YWS04543AAA</t>
        </is>
      </c>
      <c r="H46" s="40" t="inlineStr">
        <is>
          <t>R5B 4FP POB LUMENTUM SUB ASSEMBLY - WKE</t>
        </is>
      </c>
      <c r="I46" s="40" t="n">
        <v>6</v>
      </c>
      <c r="J46" s="40" t="inlineStr">
        <is>
          <t>Reconstructed from pasted kitting table - Verify against original kitting sheet</t>
        </is>
      </c>
      <c r="K46" s="40" t="inlineStr"/>
    </row>
    <row r="47">
      <c r="B47" s="40" t="inlineStr">
        <is>
          <t>Wamkelekile</t>
        </is>
      </c>
      <c r="C47" s="40" t="inlineStr">
        <is>
          <t>WKE-R24P-T1-C</t>
        </is>
      </c>
      <c r="D47" s="40" t="inlineStr">
        <is>
          <t>92ERP24543A++</t>
        </is>
      </c>
      <c r="E47" s="40" t="n">
        <v>24</v>
      </c>
      <c r="F47" s="40" t="inlineStr">
        <is>
          <t>OPF</t>
        </is>
      </c>
      <c r="G47" s="40" t="inlineStr">
        <is>
          <t>92YFD44543AAA</t>
        </is>
      </c>
      <c r="H47" s="40" t="inlineStr">
        <is>
          <t>R5B OPF ASSEMBLY 2X(4P-4FP) BOAT 1 - WKE</t>
        </is>
      </c>
      <c r="I47" s="40" t="n">
        <v>1</v>
      </c>
      <c r="J47" s="40" t="inlineStr">
        <is>
          <t>Reconstructed from pasted kitting table - Verify against original kitting sheet</t>
        </is>
      </c>
      <c r="K47" s="40" t="inlineStr"/>
    </row>
    <row r="48">
      <c r="B48" s="40" t="inlineStr">
        <is>
          <t>Wamkelekile</t>
        </is>
      </c>
      <c r="C48" s="40" t="inlineStr">
        <is>
          <t>WKE-R24P-T1-C</t>
        </is>
      </c>
      <c r="D48" s="40" t="inlineStr">
        <is>
          <t>92ERP24543A++</t>
        </is>
      </c>
      <c r="E48" s="40" t="n">
        <v>24</v>
      </c>
      <c r="F48" s="40" t="inlineStr">
        <is>
          <t>OPF</t>
        </is>
      </c>
      <c r="G48" s="40" t="inlineStr">
        <is>
          <t>92YFD44543ABA</t>
        </is>
      </c>
      <c r="H48" s="40" t="inlineStr">
        <is>
          <t>R5B OPF ASSEMBLY 2X(4P-4FP) BOAT 2 - WKE</t>
        </is>
      </c>
      <c r="I48" s="40" t="n">
        <v>1</v>
      </c>
      <c r="J48" s="40" t="inlineStr">
        <is>
          <t>Reconstructed from pasted kitting table - Verify against original kitting sheet</t>
        </is>
      </c>
      <c r="K48" s="40" t="inlineStr"/>
    </row>
    <row r="49">
      <c r="B49" s="40" t="inlineStr">
        <is>
          <t>Wamkelekile</t>
        </is>
      </c>
      <c r="C49" s="40" t="inlineStr">
        <is>
          <t>WKE-R24P-T1-C</t>
        </is>
      </c>
      <c r="D49" s="40" t="inlineStr">
        <is>
          <t>92ERP24543A++</t>
        </is>
      </c>
      <c r="E49" s="40" t="n">
        <v>24</v>
      </c>
      <c r="F49" s="40" t="inlineStr">
        <is>
          <t>OPF</t>
        </is>
      </c>
      <c r="G49" s="40" t="inlineStr">
        <is>
          <t>92YFD44543ACA</t>
        </is>
      </c>
      <c r="H49" s="40" t="inlineStr">
        <is>
          <t>R5B OPF ASSEMBLY 2X(4P-4FP) BOAT 3 - WKE</t>
        </is>
      </c>
      <c r="I49" s="40" t="n">
        <v>1</v>
      </c>
      <c r="J49" s="40" t="inlineStr">
        <is>
          <t>Reconstructed from pasted kitting table - Verify against original kitting sheet</t>
        </is>
      </c>
      <c r="K49" s="40" t="inlineStr"/>
    </row>
    <row r="50">
      <c r="B50" s="40" t="inlineStr">
        <is>
          <t>Wamkelekile</t>
        </is>
      </c>
      <c r="C50" s="40" t="inlineStr">
        <is>
          <t>WKE-R24P-T1-C</t>
        </is>
      </c>
      <c r="D50" s="40" t="inlineStr">
        <is>
          <t>92ERP24543A++</t>
        </is>
      </c>
      <c r="E50" s="40" t="n">
        <v>24</v>
      </c>
      <c r="F50" s="40" t="inlineStr">
        <is>
          <t>Boat</t>
        </is>
      </c>
      <c r="G50" s="40" t="inlineStr">
        <is>
          <t>92UAP44543AAA</t>
        </is>
      </c>
      <c r="H50" s="40" t="inlineStr">
        <is>
          <t>R5B BOAT 1 ASSY 2X(4P-4FP) L - WKE</t>
        </is>
      </c>
      <c r="I50" s="40" t="n">
        <v>1</v>
      </c>
      <c r="J50" s="40" t="inlineStr">
        <is>
          <t>Reconstructed from pasted kitting table - Verify against original kitting sheet</t>
        </is>
      </c>
      <c r="K50" s="40" t="inlineStr"/>
    </row>
    <row r="51">
      <c r="B51" s="40" t="inlineStr">
        <is>
          <t>Wamkelekile</t>
        </is>
      </c>
      <c r="C51" s="40" t="inlineStr">
        <is>
          <t>WKE-R24P-T1-C</t>
        </is>
      </c>
      <c r="D51" s="40" t="inlineStr">
        <is>
          <t>92ERP24543A++</t>
        </is>
      </c>
      <c r="E51" s="40" t="n">
        <v>24</v>
      </c>
      <c r="F51" s="40" t="inlineStr">
        <is>
          <t>Boat</t>
        </is>
      </c>
      <c r="G51" s="40" t="inlineStr">
        <is>
          <t>92UAP44543ABA</t>
        </is>
      </c>
      <c r="H51" s="40" t="inlineStr">
        <is>
          <t>R5B BOAT 2 ASSY 2X(4P-4FP) L - WKE</t>
        </is>
      </c>
      <c r="I51" s="40" t="n">
        <v>1</v>
      </c>
      <c r="J51" s="40" t="inlineStr">
        <is>
          <t>Reconstructed from pasted kitting table - Verify against original kitting sheet</t>
        </is>
      </c>
      <c r="K51" s="40" t="inlineStr"/>
    </row>
    <row r="52">
      <c r="B52" s="40" t="inlineStr">
        <is>
          <t>Wamkelekile</t>
        </is>
      </c>
      <c r="C52" s="40" t="inlineStr">
        <is>
          <t>WKE-R24P-T1-C</t>
        </is>
      </c>
      <c r="D52" s="40" t="inlineStr">
        <is>
          <t>92ERP24543A++</t>
        </is>
      </c>
      <c r="E52" s="40" t="n">
        <v>24</v>
      </c>
      <c r="F52" s="40" t="inlineStr">
        <is>
          <t>Boat</t>
        </is>
      </c>
      <c r="G52" s="40" t="inlineStr">
        <is>
          <t>92UAP44543ACA</t>
        </is>
      </c>
      <c r="H52" s="40" t="inlineStr">
        <is>
          <t>R5B BOAT 3 ASSY 2X(4P-4FP) L - WKE</t>
        </is>
      </c>
      <c r="I52" s="40" t="n">
        <v>1</v>
      </c>
      <c r="J52" s="40" t="inlineStr">
        <is>
          <t>Reconstructed from pasted kitting table - Verify against original kitting sheet</t>
        </is>
      </c>
      <c r="K52" s="40" t="inlineStr"/>
    </row>
    <row r="53">
      <c r="B53" s="40" t="inlineStr">
        <is>
          <t>Wamkelekile</t>
        </is>
      </c>
      <c r="C53" s="40" t="inlineStr">
        <is>
          <t>WKE-R24P-T1-C</t>
        </is>
      </c>
      <c r="D53" s="40" t="inlineStr">
        <is>
          <t>92ERP24543A++</t>
        </is>
      </c>
      <c r="E53" s="40" t="n">
        <v>24</v>
      </c>
      <c r="F53" s="40" t="inlineStr">
        <is>
          <t>Erbium</t>
        </is>
      </c>
      <c r="G53" s="40" t="inlineStr">
        <is>
          <t>92YRA01543AAA</t>
        </is>
      </c>
      <c r="H53" s="40" t="inlineStr">
        <is>
          <t>R5B ERBIUM ASSEMBLY 1 - WKE</t>
        </is>
      </c>
      <c r="I53" s="40" t="n">
        <v>6</v>
      </c>
      <c r="J53" s="40" t="inlineStr">
        <is>
          <t>Reconstructed from pasted kitting table - Verify against original kitting sheet</t>
        </is>
      </c>
      <c r="K53" s="40" t="inlineStr"/>
    </row>
    <row r="54">
      <c r="B54" s="40" t="inlineStr">
        <is>
          <t>Wamkelekile</t>
        </is>
      </c>
      <c r="C54" s="40" t="inlineStr">
        <is>
          <t>WKE-R24P-T1-C</t>
        </is>
      </c>
      <c r="D54" s="40" t="inlineStr">
        <is>
          <t>92ERP24543A++</t>
        </is>
      </c>
      <c r="E54" s="40" t="n">
        <v>24</v>
      </c>
      <c r="F54" s="40" t="inlineStr">
        <is>
          <t>Erbium</t>
        </is>
      </c>
      <c r="G54" s="40" t="inlineStr">
        <is>
          <t>92YRA02543AAA</t>
        </is>
      </c>
      <c r="H54" s="40" t="inlineStr">
        <is>
          <t>R5B ERBIUM ASSEMBLY 2 - WKE</t>
        </is>
      </c>
      <c r="I54" s="40" t="n">
        <v>6</v>
      </c>
      <c r="J54" s="40" t="inlineStr">
        <is>
          <t>Reconstructed from pasted kitting table - Verify against original kitting sheet</t>
        </is>
      </c>
      <c r="K54" s="40" t="inlineStr"/>
    </row>
    <row r="55">
      <c r="B55" s="40" t="inlineStr">
        <is>
          <t>Wamkelekile</t>
        </is>
      </c>
      <c r="C55" s="40" t="inlineStr">
        <is>
          <t>WKE-R24P-T1-C</t>
        </is>
      </c>
      <c r="D55" s="40" t="inlineStr">
        <is>
          <t>92ERP24543A++</t>
        </is>
      </c>
      <c r="E55" s="40" t="n">
        <v>24</v>
      </c>
      <c r="F55" s="40" t="inlineStr">
        <is>
          <t>Erbium</t>
        </is>
      </c>
      <c r="G55" s="40" t="inlineStr">
        <is>
          <t>92YRA03543AAA</t>
        </is>
      </c>
      <c r="H55" s="40" t="inlineStr">
        <is>
          <t>R5B ERBIUM ASSEMBLY 3 - WKE</t>
        </is>
      </c>
      <c r="I55" s="40" t="n">
        <v>6</v>
      </c>
      <c r="J55" s="40" t="inlineStr">
        <is>
          <t>Reconstructed from pasted kitting table - Verify against original kitting sheet</t>
        </is>
      </c>
      <c r="K55" s="40" t="inlineStr"/>
    </row>
    <row r="56">
      <c r="B56" s="40" t="inlineStr">
        <is>
          <t>Wamkelekile</t>
        </is>
      </c>
      <c r="C56" s="40" t="inlineStr">
        <is>
          <t>WKE-R24P-T1-C</t>
        </is>
      </c>
      <c r="D56" s="40" t="inlineStr">
        <is>
          <t>92ERP24543A++</t>
        </is>
      </c>
      <c r="E56" s="40" t="n">
        <v>24</v>
      </c>
      <c r="F56" s="40" t="inlineStr">
        <is>
          <t>Erbium</t>
        </is>
      </c>
      <c r="G56" s="40" t="inlineStr">
        <is>
          <t>92YRA04543AAA</t>
        </is>
      </c>
      <c r="H56" s="40" t="inlineStr">
        <is>
          <t>R5B ERBIUM ASSEMBLY 4 - WKE</t>
        </is>
      </c>
      <c r="I56" s="40" t="n">
        <v>6</v>
      </c>
      <c r="J56" s="40" t="inlineStr">
        <is>
          <t>Reconstructed from pasted kitting table - Verify against original kitting sheet</t>
        </is>
      </c>
      <c r="K56" s="40" t="inlineStr"/>
    </row>
    <row r="57">
      <c r="B57" s="40" t="inlineStr">
        <is>
          <t>Wamkelekile</t>
        </is>
      </c>
      <c r="C57" s="40" t="inlineStr">
        <is>
          <t>WKE-R24P-T1-C</t>
        </is>
      </c>
      <c r="D57" s="40" t="inlineStr">
        <is>
          <t>92ERP24543A++</t>
        </is>
      </c>
      <c r="E57" s="40" t="n">
        <v>24</v>
      </c>
      <c r="F57" s="40" t="inlineStr">
        <is>
          <t>Erbium</t>
        </is>
      </c>
      <c r="G57" s="40" t="inlineStr">
        <is>
          <t>92RRA00543AAA</t>
        </is>
      </c>
      <c r="H57" s="40" t="inlineStr">
        <is>
          <t>R5B ERBIUM SPOOL ASSEMBLY - WKE</t>
        </is>
      </c>
      <c r="I57" s="40" t="n">
        <v>48</v>
      </c>
      <c r="J57" s="40" t="inlineStr">
        <is>
          <t>Reconstructed from pasted kitting table - Verify against original kitting sheet</t>
        </is>
      </c>
      <c r="K57" s="40" t="inlineStr"/>
    </row>
  </sheetData>
  <mergeCells count="2">
    <mergeCell ref="B15:K15"/>
    <mergeCell ref="N14:P16"/>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7.xml><?xml version="1.0" encoding="utf-8"?>
<worksheet xmlns="http://schemas.openxmlformats.org/spreadsheetml/2006/main">
  <sheetPr>
    <tabColor rgb="002F5AAE"/>
    <outlinePr summaryBelow="1" summaryRight="1"/>
    <pageSetUpPr/>
  </sheetPr>
  <dimension ref="A2:P5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36" customWidth="1" min="3" max="3"/>
    <col width="8" customWidth="1" min="4" max="4"/>
    <col width="12" customWidth="1" min="5" max="5"/>
    <col width="9" customWidth="1" min="6" max="6"/>
    <col width="30" customWidth="1" min="7" max="7"/>
    <col width="6" customWidth="1" min="8" max="8"/>
    <col width="6" customWidth="1" min="9" max="9"/>
    <col width="6" customWidth="1" min="10" max="10"/>
    <col width="6" customWidth="1" min="11" max="11"/>
    <col width="6" customWidth="1" min="12" max="12"/>
    <col width="10" customWidth="1" min="13" max="13"/>
    <col width="10" customWidth="1" min="14" max="14"/>
    <col width="16" customWidth="1" min="15" max="15"/>
    <col width="32" customWidth="1" min="16" max="16"/>
  </cols>
  <sheetData>
    <row r="2">
      <c r="B2" s="1" t="inlineStr">
        <is>
          <t>COOIS Review</t>
        </is>
      </c>
      <c r="H2" s="45">
        <f>COUNTIFS(Rv_Review,"Not allocated")+COUNTIFS(Rv_Review,"Shared code - no contract allocation")</f>
        <v/>
      </c>
      <c r="I2" s="29" t="inlineStr">
        <is>
          <t>orders for configured codes not yet allocated</t>
        </is>
      </c>
    </row>
    <row r="3">
      <c r="B3" s="2" t="inlineStr">
        <is>
          <t>Read-only view of the pasted COOIS export: SAP status tokens beside the tracker's allocation. CNF alone is never treated as kitted.</t>
        </is>
      </c>
      <c r="H3" s="46">
        <f>COUNTIFS(Rv_Review,"CLSD - review")+COUNTIFS(Rv_Review,"Material changed - review")</f>
        <v/>
      </c>
      <c r="I3" s="29" t="inlineStr">
        <is>
          <t>orders needing review (CLSD / material changed)</t>
        </is>
      </c>
    </row>
    <row r="4">
      <c r="B4" s="39" t="inlineStr">
        <is>
          <t>CNF can be recorded before physical picking, so the tracker never reads CNF as kitted. CLSD is shown for review; its cause is not confirmed by the status alone.</t>
        </is>
      </c>
    </row>
    <row r="5">
      <c r="A5" s="47" t="inlineStr">
        <is>
          <t>Order</t>
        </is>
      </c>
      <c r="B5" s="47" t="inlineStr">
        <is>
          <t>Material Number</t>
        </is>
      </c>
      <c r="C5" s="47" t="inlineStr">
        <is>
          <t>Material description</t>
        </is>
      </c>
      <c r="D5" s="47" t="inlineStr">
        <is>
          <t>Order qty</t>
        </is>
      </c>
      <c r="E5" s="47" t="inlineStr">
        <is>
          <t>Release date (actual)</t>
        </is>
      </c>
      <c r="F5" s="47" t="inlineStr">
        <is>
          <t>Delivered qty</t>
        </is>
      </c>
      <c r="G5" s="47" t="inlineStr">
        <is>
          <t>System Status</t>
        </is>
      </c>
      <c r="H5" s="47" t="inlineStr">
        <is>
          <t>PCNF</t>
        </is>
      </c>
      <c r="I5" s="47" t="inlineStr">
        <is>
          <t>CNF</t>
        </is>
      </c>
      <c r="J5" s="47" t="inlineStr">
        <is>
          <t>DLV</t>
        </is>
      </c>
      <c r="K5" s="47" t="inlineStr">
        <is>
          <t>CLSD</t>
        </is>
      </c>
      <c r="L5" s="47" t="inlineStr">
        <is>
          <t>TECO</t>
        </is>
      </c>
      <c r="M5" s="47" t="inlineStr">
        <is>
          <t>Settings rows using code</t>
        </is>
      </c>
      <c r="N5" s="47" t="inlineStr">
        <is>
          <t>Allocated entry</t>
        </is>
      </c>
      <c r="O5" s="47" t="inlineStr">
        <is>
          <t>Allocated variant</t>
        </is>
      </c>
      <c r="P5" s="47" t="inlineStr">
        <is>
          <t>Review</t>
        </is>
      </c>
    </row>
    <row r="6">
      <c r="A6" cm="1">
        <f t="array" ref="A6">_xlfn.LET(_xlpm.craw,COOIS!$A$2:$O$20001,_xlpm.ckz,TRIM(INDEX(_xlpm.craw,,1)&amp;""),_xlpm.ckeep,_xlpm.ckz&lt;&gt;"",_xlpm.cr,_xlfn._xlws.FILTER(_xlpm.craw,_xlpm.ckeep),_xlpm.ckk,_xlfn._xlws.FILTER(_xlpm.ckz,_xlpm.ckeep),_xlpm.cmat,TRIM(INDEX(_xlpm.cr,,3)&amp;""),_xlpm.cst," "&amp;UPPER(TRIM(INDEX(_xlpm.cr,,15)&amp;""))&amp;" ",_xlpm.cnv,COUNTIF(tblReq[Assembly code],_xlpm.cmat),_xlpm.clk,TRIM(tblLog[Order]&amp;""),_xlpm.clm,(tblLog[Record type]="COOIS order")*(tblLog[Active]=1)*(_xlpm.clk&lt;&gt;""),_xlpm.cae,IFERROR(_xlfn.XLOOKUP(_xlpm.ckk,_xlfn._xlws.FILTER(_xlpm.clk,_xlpm.clm),_xlfn._xlws.FILTER(tblLog[Entry ID]&amp;"",_xlpm.clm),""),""),_xlpm.cav,IFERROR(_xlfn.XLOOKUP(_xlpm.ckk,_xlfn._xlws.FILTER(_xlpm.clk,_xlpm.clm),_xlfn._xlws.FILTER(tblLog[Variant ID]&amp;"",_xlpm.clm),""),""),_xlpm.caa,IFERROR(_xlfn.XLOOKUP(_xlpm.ckk,_xlfn._xlws.FILTER(_xlpm.clk,_xlpm.clm),_xlfn._xlws.FILTER(TRIM(tblLog[Assembly code]&amp;""),_xlpm.clm),""),""),_xlpm.ccl,IF(ISNUMBER(SEARCH(" CLSD ",_xlpm.cst)),"Yes",""),_xlpm.crev,IF(_xlpm.ccl="Yes","CLSD - review",IF(_xlpm.cnv=0,"Code not in Settings",IF(_xlpm.cae="",IF(_xlpm.cnv&gt;1,"Shared code - no contract allocation","Not allocated"),IF(UPPER(_xlpm.caa)&lt;&gt;UPPER(_xlpm.cmat),"Material changed - review","Allocated")))),_xlfn.HSTACK(_xlpm.ckk,_xlpm.cmat,INDEX(_xlpm.cr,,4)&amp;"",IFERROR(--INDEX(_xlpm.cr,,7),0),IF(INDEX(_xlpm.cr,,9)="","",INDEX(_xlpm.cr,,9)),IFERROR(--INDEX(_xlpm.cr,,10),0),TRIM(INDEX(_xlpm.cr,,15)&amp;""),IF(ISNUMBER(SEARCH(" PCNF ",_xlpm.cst)),"Yes",""),IF(ISNUMBER(SEARCH(" CNF ",_xlpm.cst)),"Yes",""),IF(ISNUMBER(SEARCH(" DLV ",_xlpm.cst)),"Yes",""),IF(ISNUMBER(SEARCH(" CLSD ",_xlpm.cst)),"Yes",""),IF(ISNUMBER(SEARCH(" TECO ",_xlpm.cst)),"Yes",""),_xlpm.cnv,_xlpm.cae,_xlpm.cav,_xlpm.crev))</f>
        <v/>
      </c>
      <c r="E6" s="38" t="n"/>
    </row>
    <row r="7">
      <c r="E7" s="38" t="n"/>
    </row>
    <row r="8">
      <c r="E8" s="38" t="n"/>
    </row>
    <row r="9">
      <c r="E9" s="38" t="n"/>
    </row>
    <row r="10">
      <c r="E10" s="38" t="n"/>
    </row>
    <row r="11">
      <c r="E11" s="38" t="n"/>
    </row>
    <row r="12">
      <c r="E12" s="38" t="n"/>
    </row>
    <row r="13">
      <c r="E13" s="38" t="n"/>
    </row>
    <row r="14">
      <c r="E14" s="38" t="n"/>
    </row>
    <row r="15">
      <c r="E15" s="38" t="n"/>
    </row>
    <row r="16">
      <c r="E16" s="38" t="n"/>
    </row>
    <row r="17">
      <c r="E17" s="38" t="n"/>
    </row>
    <row r="18">
      <c r="E18" s="38" t="n"/>
    </row>
    <row r="19">
      <c r="E19" s="38" t="n"/>
    </row>
    <row r="20">
      <c r="E20" s="38" t="n"/>
    </row>
    <row r="21">
      <c r="E21" s="38" t="n"/>
    </row>
    <row r="22">
      <c r="E22" s="38" t="n"/>
    </row>
    <row r="23">
      <c r="E23" s="38" t="n"/>
    </row>
    <row r="24">
      <c r="E24" s="38" t="n"/>
    </row>
    <row r="25">
      <c r="E25" s="38" t="n"/>
    </row>
    <row r="26">
      <c r="E26" s="38" t="n"/>
    </row>
    <row r="27">
      <c r="E27" s="38" t="n"/>
    </row>
    <row r="28">
      <c r="E28" s="38" t="n"/>
    </row>
    <row r="29">
      <c r="E29" s="38" t="n"/>
    </row>
    <row r="30">
      <c r="E30" s="38" t="n"/>
    </row>
    <row r="31">
      <c r="E31" s="38" t="n"/>
    </row>
    <row r="32">
      <c r="E32" s="38" t="n"/>
    </row>
    <row r="33">
      <c r="E33" s="38" t="n"/>
    </row>
    <row r="34">
      <c r="E34" s="38" t="n"/>
    </row>
    <row r="35">
      <c r="E35" s="38" t="n"/>
    </row>
    <row r="36">
      <c r="E36" s="38" t="n"/>
    </row>
    <row r="37">
      <c r="E37" s="38" t="n"/>
    </row>
    <row r="38">
      <c r="E38" s="38" t="n"/>
    </row>
    <row r="39">
      <c r="E39" s="38" t="n"/>
    </row>
    <row r="40">
      <c r="E40" s="38" t="n"/>
    </row>
    <row r="41">
      <c r="E41" s="38" t="n"/>
    </row>
    <row r="42">
      <c r="E42" s="38" t="n"/>
    </row>
    <row r="43">
      <c r="E43" s="38" t="n"/>
    </row>
    <row r="44">
      <c r="E44" s="38" t="n"/>
    </row>
    <row r="45">
      <c r="E45" s="38" t="n"/>
    </row>
    <row r="46">
      <c r="E46" s="38" t="n"/>
    </row>
    <row r="47">
      <c r="E47" s="38" t="n"/>
    </row>
    <row r="48">
      <c r="E48" s="38" t="n"/>
    </row>
    <row r="49">
      <c r="E49" s="38" t="n"/>
    </row>
    <row r="50">
      <c r="E50" s="38" t="n"/>
    </row>
    <row r="51">
      <c r="E51" s="38" t="n"/>
    </row>
    <row r="52">
      <c r="E52" s="38" t="n"/>
    </row>
    <row r="53">
      <c r="E53" s="38" t="n"/>
    </row>
    <row r="54">
      <c r="E54" s="38" t="n"/>
    </row>
    <row r="55">
      <c r="E55" s="38" t="n"/>
    </row>
    <row r="56">
      <c r="E56" s="38" t="n"/>
    </row>
  </sheetData>
  <sheetProtection selectLockedCells="0" selectUnlockedCells="0" sheet="1" objects="0" insertRows="1" insertHyperlinks="1" autoFilter="0" scenarios="0" formatColumns="0" deleteColumns="1" insertColumns="1" pivotTables="1" deleteRows="1" formatCells="0" formatRows="1" sort="0"/>
  <conditionalFormatting sqref="P6:P20005">
    <cfRule type="expression" priority="1" dxfId="0">
      <formula>P6="CLSD - review"</formula>
    </cfRule>
    <cfRule type="expression" priority="2" dxfId="0">
      <formula>P6="Material changed - review"</formula>
    </cfRule>
    <cfRule type="expression" priority="3" dxfId="1">
      <formula>P6="Shared code - no contract allocation"</formula>
    </cfRule>
    <cfRule type="expression" priority="4" dxfId="8">
      <formula>P6="Allocated"</formula>
    </cfRule>
  </conditionalFormatting>
  <pageMargins left="0.75" right="0.75" top="1" bottom="1" header="0.5" footer="0.5"/>
</worksheet>
</file>

<file path=xl/worksheets/sheet8.xml><?xml version="1.0" encoding="utf-8"?>
<worksheet xmlns="http://schemas.openxmlformats.org/spreadsheetml/2006/main">
  <sheetPr>
    <tabColor rgb="008A94A6"/>
    <outlinePr summaryBelow="1" summaryRight="1"/>
    <pageSetUpPr/>
  </sheetPr>
  <dimension ref="A1:QO1"/>
  <sheetViews>
    <sheetView workbookViewId="0">
      <pane ySplit="1" topLeftCell="A2" activePane="bottomLeft" state="frozen"/>
      <selection pane="bottomLeft" activeCell="A1" sqref="A1"/>
    </sheetView>
  </sheetViews>
  <sheetFormatPr baseColWidth="8" defaultRowHeight="15"/>
  <cols>
    <col width="18" customWidth="1" min="4" max="4"/>
    <col width="18" customWidth="1" min="8" max="8"/>
  </cols>
  <sheetData>
    <row r="1">
      <c r="A1" s="48" t="inlineStr">
        <is>
          <t>Export time</t>
        </is>
      </c>
      <c r="B1" s="48" t="inlineStr">
        <is>
          <t>PLAN_VERSION_SWAN</t>
        </is>
      </c>
      <c r="C1" s="48" t="inlineStr">
        <is>
          <t>Project Id</t>
        </is>
      </c>
      <c r="D1" s="48" t="inlineStr">
        <is>
          <t>Project Name</t>
        </is>
      </c>
      <c r="E1" s="48" t="inlineStr">
        <is>
          <t>Product</t>
        </is>
      </c>
      <c r="F1" s="48" t="inlineStr">
        <is>
          <t>Planning code</t>
        </is>
      </c>
      <c r="G1" s="48" t="inlineStr">
        <is>
          <t>Prod Id</t>
        </is>
      </c>
      <c r="H1" s="48" t="inlineStr">
        <is>
          <t>Friendly_name</t>
        </is>
      </c>
      <c r="I1" s="48" t="inlineStr">
        <is>
          <t>Seabed Temp</t>
        </is>
      </c>
      <c r="J1" s="48" t="inlineStr">
        <is>
          <t>Body Type</t>
        </is>
      </c>
      <c r="K1" s="48" t="inlineStr">
        <is>
          <t>Nber FP</t>
        </is>
      </c>
      <c r="L1" s="48" t="inlineStr">
        <is>
          <t>System Qty</t>
        </is>
      </c>
      <c r="M1" s="48" t="inlineStr">
        <is>
          <t>Planned Qty</t>
        </is>
      </c>
      <c r="N1" s="48" t="inlineStr">
        <is>
          <t>Prod. progress</t>
        </is>
      </c>
      <c r="O1" s="48" t="inlineStr">
        <is>
          <t>ISO Week of DR2M_CALCULATED</t>
        </is>
      </c>
      <c r="P1" s="48" t="inlineStr">
        <is>
          <t>ISO Week of DR2M_DEMAND_DATE</t>
        </is>
      </c>
      <c r="Q1" s="48" t="inlineStr">
        <is>
          <t>26 W30</t>
        </is>
      </c>
      <c r="R1" s="48" t="inlineStr">
        <is>
          <t>26 W31</t>
        </is>
      </c>
      <c r="S1" s="48" t="inlineStr">
        <is>
          <t>26 W32</t>
        </is>
      </c>
      <c r="T1" s="48" t="inlineStr">
        <is>
          <t>26 W33</t>
        </is>
      </c>
      <c r="U1" s="48" t="inlineStr">
        <is>
          <t>26 W34</t>
        </is>
      </c>
      <c r="V1" s="48" t="inlineStr">
        <is>
          <t>26 W35</t>
        </is>
      </c>
      <c r="W1" s="48" t="inlineStr">
        <is>
          <t>26 W36</t>
        </is>
      </c>
      <c r="X1" s="48" t="inlineStr">
        <is>
          <t>26 W37</t>
        </is>
      </c>
      <c r="Y1" s="48" t="inlineStr">
        <is>
          <t>26 W38</t>
        </is>
      </c>
      <c r="Z1" s="48" t="inlineStr">
        <is>
          <t>26 W39</t>
        </is>
      </c>
      <c r="AA1" s="48" t="inlineStr">
        <is>
          <t>26 W40</t>
        </is>
      </c>
      <c r="AB1" s="48" t="inlineStr">
        <is>
          <t>26 W41</t>
        </is>
      </c>
      <c r="AC1" s="48" t="inlineStr">
        <is>
          <t>26 W42</t>
        </is>
      </c>
      <c r="AD1" s="48" t="inlineStr">
        <is>
          <t>26 W43</t>
        </is>
      </c>
      <c r="AE1" s="48" t="inlineStr">
        <is>
          <t>26 W44</t>
        </is>
      </c>
      <c r="AF1" s="48" t="inlineStr">
        <is>
          <t>26 W45</t>
        </is>
      </c>
      <c r="AG1" s="48" t="inlineStr">
        <is>
          <t>26 W46</t>
        </is>
      </c>
      <c r="AH1" s="48" t="inlineStr">
        <is>
          <t>26 W47</t>
        </is>
      </c>
      <c r="AI1" s="48" t="inlineStr">
        <is>
          <t>26 W48</t>
        </is>
      </c>
      <c r="AJ1" s="48" t="inlineStr">
        <is>
          <t>26 W49</t>
        </is>
      </c>
      <c r="AK1" s="48" t="inlineStr">
        <is>
          <t>26 W50</t>
        </is>
      </c>
      <c r="AL1" s="48" t="inlineStr">
        <is>
          <t>26 W51</t>
        </is>
      </c>
      <c r="AM1" s="48" t="inlineStr">
        <is>
          <t>26 W52</t>
        </is>
      </c>
      <c r="AN1" s="48" t="inlineStr">
        <is>
          <t>26 W53</t>
        </is>
      </c>
      <c r="AO1" s="48" t="inlineStr">
        <is>
          <t>27 W1</t>
        </is>
      </c>
      <c r="AP1" s="48" t="inlineStr">
        <is>
          <t>27 W2</t>
        </is>
      </c>
      <c r="AQ1" s="48" t="inlineStr">
        <is>
          <t>27 W3</t>
        </is>
      </c>
      <c r="AR1" s="48" t="inlineStr">
        <is>
          <t>27 W4</t>
        </is>
      </c>
      <c r="AS1" s="48" t="inlineStr">
        <is>
          <t>27 W5</t>
        </is>
      </c>
      <c r="AT1" s="48" t="inlineStr">
        <is>
          <t>27 W6</t>
        </is>
      </c>
      <c r="AU1" s="48" t="inlineStr">
        <is>
          <t>27 W7</t>
        </is>
      </c>
      <c r="AV1" s="48" t="inlineStr">
        <is>
          <t>27 W8</t>
        </is>
      </c>
      <c r="AW1" s="48" t="inlineStr">
        <is>
          <t>27 W9</t>
        </is>
      </c>
      <c r="AX1" s="48" t="inlineStr">
        <is>
          <t>27 W10</t>
        </is>
      </c>
      <c r="AY1" s="48" t="inlineStr">
        <is>
          <t>27 W11</t>
        </is>
      </c>
      <c r="AZ1" s="48" t="inlineStr">
        <is>
          <t>27 W12</t>
        </is>
      </c>
      <c r="BA1" s="48" t="inlineStr">
        <is>
          <t>27 W13</t>
        </is>
      </c>
      <c r="BB1" s="48" t="inlineStr">
        <is>
          <t>27 W14</t>
        </is>
      </c>
      <c r="BC1" s="48" t="inlineStr">
        <is>
          <t>27 W15</t>
        </is>
      </c>
      <c r="BD1" s="48" t="inlineStr">
        <is>
          <t>27 W16</t>
        </is>
      </c>
      <c r="BE1" s="48" t="inlineStr">
        <is>
          <t>27 W17</t>
        </is>
      </c>
      <c r="BF1" s="48" t="inlineStr">
        <is>
          <t>27 W18</t>
        </is>
      </c>
      <c r="BG1" s="48" t="inlineStr">
        <is>
          <t>27 W19</t>
        </is>
      </c>
      <c r="BH1" s="48" t="inlineStr">
        <is>
          <t>27 W20</t>
        </is>
      </c>
      <c r="BI1" s="48" t="inlineStr">
        <is>
          <t>27 W21</t>
        </is>
      </c>
      <c r="BJ1" s="48" t="inlineStr">
        <is>
          <t>27 W22</t>
        </is>
      </c>
      <c r="BK1" s="48" t="inlineStr">
        <is>
          <t>27 W23</t>
        </is>
      </c>
      <c r="BL1" s="48" t="inlineStr">
        <is>
          <t>27 W24</t>
        </is>
      </c>
      <c r="BM1" s="48" t="inlineStr">
        <is>
          <t>27 W25</t>
        </is>
      </c>
      <c r="BN1" s="48" t="inlineStr">
        <is>
          <t>27 W26</t>
        </is>
      </c>
      <c r="BO1" s="48" t="inlineStr">
        <is>
          <t>27 W27</t>
        </is>
      </c>
      <c r="BP1" s="48" t="inlineStr">
        <is>
          <t>27 W28</t>
        </is>
      </c>
      <c r="BQ1" s="48" t="inlineStr">
        <is>
          <t>27 W29</t>
        </is>
      </c>
      <c r="BR1" s="48" t="inlineStr">
        <is>
          <t>27 W30</t>
        </is>
      </c>
      <c r="BS1" s="48" t="inlineStr">
        <is>
          <t>27 W31</t>
        </is>
      </c>
      <c r="BT1" s="48" t="inlineStr">
        <is>
          <t>27 W32</t>
        </is>
      </c>
      <c r="BU1" s="48" t="inlineStr">
        <is>
          <t>27 W33</t>
        </is>
      </c>
      <c r="BV1" s="48" t="inlineStr">
        <is>
          <t>27 W34</t>
        </is>
      </c>
      <c r="BW1" s="48" t="inlineStr">
        <is>
          <t>27 W35</t>
        </is>
      </c>
      <c r="BX1" s="48" t="inlineStr">
        <is>
          <t>27 W36</t>
        </is>
      </c>
      <c r="BY1" s="48" t="inlineStr">
        <is>
          <t>27 W37</t>
        </is>
      </c>
      <c r="BZ1" s="48" t="inlineStr">
        <is>
          <t>27 W38</t>
        </is>
      </c>
      <c r="CA1" s="48" t="inlineStr">
        <is>
          <t>27 W39</t>
        </is>
      </c>
      <c r="CB1" s="48" t="inlineStr">
        <is>
          <t>27 W40</t>
        </is>
      </c>
      <c r="CC1" s="48" t="inlineStr">
        <is>
          <t>27 W41</t>
        </is>
      </c>
      <c r="CD1" s="48" t="inlineStr">
        <is>
          <t>27 W42</t>
        </is>
      </c>
      <c r="CE1" s="48" t="inlineStr">
        <is>
          <t>27 W43</t>
        </is>
      </c>
      <c r="CF1" s="48" t="inlineStr">
        <is>
          <t>27 W44</t>
        </is>
      </c>
      <c r="CG1" s="48" t="inlineStr">
        <is>
          <t>27 W45</t>
        </is>
      </c>
      <c r="CH1" s="48" t="inlineStr">
        <is>
          <t>27 W46</t>
        </is>
      </c>
      <c r="CI1" s="48" t="inlineStr">
        <is>
          <t>27 W47</t>
        </is>
      </c>
      <c r="CJ1" s="48" t="inlineStr">
        <is>
          <t>27 W48</t>
        </is>
      </c>
      <c r="CK1" s="48" t="inlineStr">
        <is>
          <t>27 W49</t>
        </is>
      </c>
      <c r="CL1" s="48" t="inlineStr">
        <is>
          <t>27 W50</t>
        </is>
      </c>
      <c r="CM1" s="48" t="inlineStr">
        <is>
          <t>27 W51</t>
        </is>
      </c>
      <c r="CN1" s="48" t="inlineStr">
        <is>
          <t>27 W52</t>
        </is>
      </c>
      <c r="CO1" s="48" t="inlineStr">
        <is>
          <t>28 W1</t>
        </is>
      </c>
      <c r="CP1" s="48" t="inlineStr">
        <is>
          <t>28 W2</t>
        </is>
      </c>
      <c r="CQ1" s="48" t="inlineStr">
        <is>
          <t>28 W3</t>
        </is>
      </c>
      <c r="CR1" s="48" t="inlineStr">
        <is>
          <t>28 W4</t>
        </is>
      </c>
      <c r="CS1" s="48" t="inlineStr">
        <is>
          <t>28 W5</t>
        </is>
      </c>
      <c r="CT1" s="48" t="inlineStr">
        <is>
          <t>28 W6</t>
        </is>
      </c>
      <c r="CU1" s="48" t="inlineStr">
        <is>
          <t>28 W7</t>
        </is>
      </c>
      <c r="CV1" s="48" t="inlineStr">
        <is>
          <t>28 W8</t>
        </is>
      </c>
      <c r="CW1" s="48" t="inlineStr">
        <is>
          <t>28 W9</t>
        </is>
      </c>
      <c r="CX1" s="48" t="inlineStr">
        <is>
          <t>28 W10</t>
        </is>
      </c>
      <c r="CY1" s="48" t="inlineStr">
        <is>
          <t>28 W11</t>
        </is>
      </c>
      <c r="CZ1" s="48" t="inlineStr">
        <is>
          <t>28 W12</t>
        </is>
      </c>
      <c r="DA1" s="48" t="inlineStr">
        <is>
          <t>28 W13</t>
        </is>
      </c>
      <c r="DB1" s="48" t="inlineStr">
        <is>
          <t>28 W14</t>
        </is>
      </c>
      <c r="DC1" s="48" t="inlineStr">
        <is>
          <t>28 W15</t>
        </is>
      </c>
      <c r="DD1" s="48" t="inlineStr">
        <is>
          <t>28 W16</t>
        </is>
      </c>
      <c r="DE1" s="48" t="inlineStr">
        <is>
          <t>28 W17</t>
        </is>
      </c>
      <c r="DF1" s="48" t="inlineStr">
        <is>
          <t>28 W18</t>
        </is>
      </c>
      <c r="DG1" s="48" t="inlineStr">
        <is>
          <t>28 W19</t>
        </is>
      </c>
      <c r="DH1" s="48" t="inlineStr">
        <is>
          <t>28 W20</t>
        </is>
      </c>
      <c r="DI1" s="48" t="inlineStr">
        <is>
          <t>28 W21</t>
        </is>
      </c>
      <c r="DJ1" s="48" t="inlineStr">
        <is>
          <t>28 W22</t>
        </is>
      </c>
      <c r="DK1" s="48" t="inlineStr">
        <is>
          <t>28 W23</t>
        </is>
      </c>
      <c r="DL1" s="48" t="inlineStr">
        <is>
          <t>28 W24</t>
        </is>
      </c>
      <c r="DM1" s="48" t="inlineStr">
        <is>
          <t>28 W25</t>
        </is>
      </c>
      <c r="DN1" s="48" t="inlineStr">
        <is>
          <t>28 W26</t>
        </is>
      </c>
      <c r="DO1" s="48" t="inlineStr">
        <is>
          <t>28 W27</t>
        </is>
      </c>
      <c r="DP1" s="48" t="inlineStr">
        <is>
          <t>28 W28</t>
        </is>
      </c>
      <c r="DQ1" s="48" t="inlineStr">
        <is>
          <t>28 W29</t>
        </is>
      </c>
      <c r="DR1" s="48" t="inlineStr">
        <is>
          <t>28 W30</t>
        </is>
      </c>
      <c r="DS1" s="48" t="inlineStr">
        <is>
          <t>28 W31</t>
        </is>
      </c>
      <c r="DT1" s="48" t="inlineStr">
        <is>
          <t>28 W32</t>
        </is>
      </c>
      <c r="DU1" s="48" t="inlineStr">
        <is>
          <t>28 W33</t>
        </is>
      </c>
      <c r="DV1" s="48" t="inlineStr">
        <is>
          <t>28 W34</t>
        </is>
      </c>
      <c r="DW1" s="48" t="inlineStr">
        <is>
          <t>28 W35</t>
        </is>
      </c>
      <c r="DX1" s="48" t="inlineStr">
        <is>
          <t>28 W36</t>
        </is>
      </c>
      <c r="DY1" s="48" t="inlineStr">
        <is>
          <t>28 W37</t>
        </is>
      </c>
      <c r="DZ1" s="48" t="inlineStr">
        <is>
          <t>28 W38</t>
        </is>
      </c>
      <c r="EA1" s="48" t="inlineStr">
        <is>
          <t>28 W39</t>
        </is>
      </c>
      <c r="EB1" s="48" t="inlineStr">
        <is>
          <t>28 W40</t>
        </is>
      </c>
      <c r="EC1" s="48" t="inlineStr">
        <is>
          <t>28 W41</t>
        </is>
      </c>
      <c r="ED1" s="48" t="inlineStr">
        <is>
          <t>28 W42</t>
        </is>
      </c>
      <c r="EE1" s="48" t="inlineStr">
        <is>
          <t>28 W43</t>
        </is>
      </c>
      <c r="EF1" s="48" t="inlineStr">
        <is>
          <t>28 W44</t>
        </is>
      </c>
      <c r="EG1" s="48" t="inlineStr">
        <is>
          <t>28 W45</t>
        </is>
      </c>
      <c r="EH1" s="48" t="inlineStr">
        <is>
          <t>28 W46</t>
        </is>
      </c>
      <c r="EI1" s="48" t="inlineStr">
        <is>
          <t>28 W47</t>
        </is>
      </c>
      <c r="EJ1" s="48" t="inlineStr">
        <is>
          <t>28 W48</t>
        </is>
      </c>
      <c r="EK1" s="48" t="inlineStr">
        <is>
          <t>28 W49</t>
        </is>
      </c>
      <c r="EL1" s="48" t="inlineStr">
        <is>
          <t>28 W50</t>
        </is>
      </c>
      <c r="EM1" s="48" t="inlineStr">
        <is>
          <t>28 W51</t>
        </is>
      </c>
      <c r="EN1" s="48" t="inlineStr">
        <is>
          <t>28 W52</t>
        </is>
      </c>
      <c r="EO1" s="48" t="inlineStr">
        <is>
          <t>29 W1</t>
        </is>
      </c>
      <c r="EP1" s="48" t="inlineStr">
        <is>
          <t>29 W2</t>
        </is>
      </c>
      <c r="EQ1" s="48" t="inlineStr">
        <is>
          <t>29 W3</t>
        </is>
      </c>
      <c r="ER1" s="48" t="inlineStr">
        <is>
          <t>29 W4</t>
        </is>
      </c>
      <c r="ES1" s="48" t="inlineStr">
        <is>
          <t>29 W5</t>
        </is>
      </c>
      <c r="ET1" s="48" t="inlineStr">
        <is>
          <t>29 W6</t>
        </is>
      </c>
      <c r="EU1" s="48" t="inlineStr">
        <is>
          <t>29 W7</t>
        </is>
      </c>
      <c r="EV1" s="48" t="inlineStr">
        <is>
          <t>29 W8</t>
        </is>
      </c>
      <c r="EW1" s="48" t="inlineStr">
        <is>
          <t>29 W9</t>
        </is>
      </c>
      <c r="EX1" s="48" t="inlineStr">
        <is>
          <t>29 W10</t>
        </is>
      </c>
      <c r="EY1" s="48" t="inlineStr">
        <is>
          <t>29 W11</t>
        </is>
      </c>
      <c r="EZ1" s="48" t="inlineStr">
        <is>
          <t>29 W12</t>
        </is>
      </c>
      <c r="FA1" s="48" t="inlineStr">
        <is>
          <t>29 W13</t>
        </is>
      </c>
      <c r="FB1" s="48" t="inlineStr">
        <is>
          <t>29 W14</t>
        </is>
      </c>
      <c r="FC1" s="48" t="inlineStr">
        <is>
          <t>29 W15</t>
        </is>
      </c>
      <c r="FD1" s="48" t="inlineStr">
        <is>
          <t>29 W16</t>
        </is>
      </c>
      <c r="FE1" s="48" t="inlineStr">
        <is>
          <t>29 W17</t>
        </is>
      </c>
      <c r="FF1" s="48" t="inlineStr">
        <is>
          <t>29 W18</t>
        </is>
      </c>
      <c r="FG1" s="48" t="inlineStr">
        <is>
          <t>29 W19</t>
        </is>
      </c>
      <c r="FH1" s="48" t="inlineStr">
        <is>
          <t>29 W20</t>
        </is>
      </c>
      <c r="FI1" s="48" t="inlineStr">
        <is>
          <t>29 W21</t>
        </is>
      </c>
      <c r="FJ1" s="48" t="inlineStr">
        <is>
          <t>29 W22</t>
        </is>
      </c>
      <c r="FK1" s="48" t="inlineStr">
        <is>
          <t>29 W23</t>
        </is>
      </c>
      <c r="FL1" s="48" t="inlineStr">
        <is>
          <t>29 W24</t>
        </is>
      </c>
      <c r="FM1" s="48" t="inlineStr">
        <is>
          <t>29 W25</t>
        </is>
      </c>
      <c r="FN1" s="48" t="inlineStr">
        <is>
          <t>29 W26</t>
        </is>
      </c>
      <c r="FO1" s="48" t="inlineStr">
        <is>
          <t>29 W27</t>
        </is>
      </c>
      <c r="FP1" s="48" t="inlineStr">
        <is>
          <t>29 W28</t>
        </is>
      </c>
      <c r="FQ1" s="48" t="inlineStr">
        <is>
          <t>29 W29</t>
        </is>
      </c>
      <c r="FR1" s="48" t="inlineStr">
        <is>
          <t>29 W30</t>
        </is>
      </c>
      <c r="FS1" s="48" t="inlineStr">
        <is>
          <t>29 W31</t>
        </is>
      </c>
      <c r="FT1" s="48" t="inlineStr">
        <is>
          <t>29 W32</t>
        </is>
      </c>
      <c r="FU1" s="48" t="inlineStr">
        <is>
          <t>29 W33</t>
        </is>
      </c>
      <c r="FV1" s="48" t="inlineStr">
        <is>
          <t>29 W34</t>
        </is>
      </c>
      <c r="FW1" s="48" t="inlineStr">
        <is>
          <t>29 W35</t>
        </is>
      </c>
      <c r="FX1" s="48" t="inlineStr">
        <is>
          <t>29 W36</t>
        </is>
      </c>
      <c r="FY1" s="48" t="inlineStr">
        <is>
          <t>29 W37</t>
        </is>
      </c>
      <c r="FZ1" s="48" t="inlineStr">
        <is>
          <t>29 W38</t>
        </is>
      </c>
      <c r="GA1" s="48" t="inlineStr">
        <is>
          <t>29 W39</t>
        </is>
      </c>
      <c r="GB1" s="48" t="inlineStr">
        <is>
          <t>29 W40</t>
        </is>
      </c>
      <c r="GC1" s="48" t="inlineStr">
        <is>
          <t>29 W41</t>
        </is>
      </c>
      <c r="GD1" s="48" t="inlineStr">
        <is>
          <t>29 W42</t>
        </is>
      </c>
      <c r="GE1" s="48" t="inlineStr">
        <is>
          <t>29 W43</t>
        </is>
      </c>
      <c r="GF1" s="48" t="inlineStr">
        <is>
          <t>29 W44</t>
        </is>
      </c>
      <c r="GG1" s="48" t="inlineStr">
        <is>
          <t>29 W45</t>
        </is>
      </c>
      <c r="GH1" s="48" t="inlineStr">
        <is>
          <t>29 W46</t>
        </is>
      </c>
      <c r="GI1" s="48" t="inlineStr">
        <is>
          <t>29 W47</t>
        </is>
      </c>
      <c r="GJ1" s="48" t="inlineStr">
        <is>
          <t>29 W48</t>
        </is>
      </c>
      <c r="GK1" s="48" t="inlineStr">
        <is>
          <t>29 W49</t>
        </is>
      </c>
      <c r="GL1" s="48" t="inlineStr">
        <is>
          <t>29 W50</t>
        </is>
      </c>
      <c r="GM1" s="48" t="inlineStr">
        <is>
          <t>29 W51</t>
        </is>
      </c>
      <c r="GN1" s="48" t="inlineStr">
        <is>
          <t>29 W52</t>
        </is>
      </c>
      <c r="GO1" s="48" t="inlineStr">
        <is>
          <t>30 W1</t>
        </is>
      </c>
      <c r="GP1" s="48" t="inlineStr">
        <is>
          <t>30 W2</t>
        </is>
      </c>
      <c r="GQ1" s="48" t="inlineStr">
        <is>
          <t>30 W3</t>
        </is>
      </c>
      <c r="GR1" s="48" t="inlineStr">
        <is>
          <t>30 W4</t>
        </is>
      </c>
      <c r="GS1" s="48" t="inlineStr">
        <is>
          <t>30 W5</t>
        </is>
      </c>
      <c r="GT1" s="48" t="inlineStr">
        <is>
          <t>30 W6</t>
        </is>
      </c>
      <c r="GU1" s="48" t="inlineStr">
        <is>
          <t>30 W7</t>
        </is>
      </c>
      <c r="GV1" s="48" t="inlineStr">
        <is>
          <t>30 W8</t>
        </is>
      </c>
      <c r="GW1" s="48" t="inlineStr">
        <is>
          <t>30 W9</t>
        </is>
      </c>
      <c r="GX1" s="48" t="inlineStr">
        <is>
          <t>30 W10</t>
        </is>
      </c>
      <c r="GY1" s="48" t="inlineStr">
        <is>
          <t>30 W11</t>
        </is>
      </c>
      <c r="GZ1" s="48" t="inlineStr">
        <is>
          <t>30 W12</t>
        </is>
      </c>
      <c r="HA1" s="48" t="inlineStr">
        <is>
          <t>30 W13</t>
        </is>
      </c>
      <c r="HB1" s="48" t="inlineStr">
        <is>
          <t>30 W14</t>
        </is>
      </c>
      <c r="HC1" s="48" t="inlineStr">
        <is>
          <t>30 W15</t>
        </is>
      </c>
      <c r="HD1" s="48" t="inlineStr">
        <is>
          <t>30 W16</t>
        </is>
      </c>
      <c r="HE1" s="48" t="inlineStr">
        <is>
          <t>30 W17</t>
        </is>
      </c>
      <c r="HF1" s="48" t="inlineStr">
        <is>
          <t>30 W18</t>
        </is>
      </c>
      <c r="HG1" s="48" t="inlineStr">
        <is>
          <t>30 W19</t>
        </is>
      </c>
      <c r="HH1" s="48" t="inlineStr">
        <is>
          <t>30 W20</t>
        </is>
      </c>
      <c r="HI1" s="48" t="inlineStr">
        <is>
          <t>30 W21</t>
        </is>
      </c>
      <c r="HJ1" s="48" t="inlineStr">
        <is>
          <t>30 W22</t>
        </is>
      </c>
      <c r="HK1" s="48" t="inlineStr">
        <is>
          <t>30 W23</t>
        </is>
      </c>
      <c r="HL1" s="48" t="inlineStr">
        <is>
          <t>30 W24</t>
        </is>
      </c>
      <c r="HM1" s="48" t="inlineStr">
        <is>
          <t>30 W25</t>
        </is>
      </c>
      <c r="HN1" s="48" t="inlineStr">
        <is>
          <t>30 W26</t>
        </is>
      </c>
      <c r="HO1" s="48" t="inlineStr">
        <is>
          <t>30 W27</t>
        </is>
      </c>
      <c r="HP1" s="48" t="inlineStr">
        <is>
          <t>30 W28</t>
        </is>
      </c>
      <c r="HQ1" s="48" t="inlineStr">
        <is>
          <t>30 W29</t>
        </is>
      </c>
      <c r="HR1" s="48" t="inlineStr">
        <is>
          <t>30 W30</t>
        </is>
      </c>
      <c r="HS1" s="48" t="inlineStr">
        <is>
          <t>30 W31</t>
        </is>
      </c>
      <c r="HT1" s="48" t="inlineStr">
        <is>
          <t>30 W32</t>
        </is>
      </c>
      <c r="HU1" s="48" t="inlineStr">
        <is>
          <t>30 W33</t>
        </is>
      </c>
      <c r="HV1" s="48" t="inlineStr">
        <is>
          <t>30 W34</t>
        </is>
      </c>
      <c r="HW1" s="48" t="inlineStr">
        <is>
          <t>30 W35</t>
        </is>
      </c>
      <c r="HX1" s="48" t="inlineStr">
        <is>
          <t>30 W36</t>
        </is>
      </c>
      <c r="HY1" s="48" t="inlineStr">
        <is>
          <t>30 W37</t>
        </is>
      </c>
      <c r="HZ1" s="48" t="inlineStr">
        <is>
          <t>30 W38</t>
        </is>
      </c>
      <c r="IA1" s="48" t="inlineStr">
        <is>
          <t>30 W39</t>
        </is>
      </c>
      <c r="IB1" s="48" t="inlineStr">
        <is>
          <t>30 W40</t>
        </is>
      </c>
      <c r="IC1" s="48" t="inlineStr">
        <is>
          <t>30 W41</t>
        </is>
      </c>
      <c r="ID1" s="48" t="inlineStr">
        <is>
          <t>30 W42</t>
        </is>
      </c>
      <c r="IE1" s="48" t="inlineStr">
        <is>
          <t>30 W43</t>
        </is>
      </c>
      <c r="IF1" s="48" t="inlineStr">
        <is>
          <t>30 W44</t>
        </is>
      </c>
      <c r="IG1" s="48" t="inlineStr">
        <is>
          <t>30 W45</t>
        </is>
      </c>
      <c r="IH1" s="48" t="inlineStr">
        <is>
          <t>30 W46</t>
        </is>
      </c>
      <c r="II1" s="48" t="inlineStr">
        <is>
          <t>30 W47</t>
        </is>
      </c>
      <c r="IJ1" s="48" t="inlineStr">
        <is>
          <t>30 W48</t>
        </is>
      </c>
      <c r="IK1" s="48" t="inlineStr">
        <is>
          <t>30 W49</t>
        </is>
      </c>
      <c r="IL1" s="48" t="inlineStr">
        <is>
          <t>30 W50</t>
        </is>
      </c>
      <c r="IM1" s="48" t="inlineStr">
        <is>
          <t>30 W51</t>
        </is>
      </c>
      <c r="IN1" s="48" t="inlineStr">
        <is>
          <t>30 W52</t>
        </is>
      </c>
      <c r="IO1" s="48" t="inlineStr">
        <is>
          <t>31 W1</t>
        </is>
      </c>
      <c r="IP1" s="48" t="inlineStr">
        <is>
          <t>31 W2</t>
        </is>
      </c>
      <c r="IQ1" s="48" t="inlineStr">
        <is>
          <t>31 W3</t>
        </is>
      </c>
      <c r="IR1" s="48" t="inlineStr">
        <is>
          <t>31 W4</t>
        </is>
      </c>
      <c r="IS1" s="48" t="inlineStr">
        <is>
          <t>31 W5</t>
        </is>
      </c>
      <c r="IT1" s="48" t="inlineStr">
        <is>
          <t>31 W6</t>
        </is>
      </c>
      <c r="IU1" s="48" t="inlineStr">
        <is>
          <t>31 W7</t>
        </is>
      </c>
      <c r="IV1" s="48" t="inlineStr">
        <is>
          <t>31 W8</t>
        </is>
      </c>
      <c r="IW1" s="48" t="inlineStr">
        <is>
          <t>31 W9</t>
        </is>
      </c>
      <c r="IX1" s="48" t="inlineStr">
        <is>
          <t>31 W10</t>
        </is>
      </c>
      <c r="IY1" s="48" t="inlineStr">
        <is>
          <t>31 W11</t>
        </is>
      </c>
      <c r="IZ1" s="48" t="inlineStr">
        <is>
          <t>31 W12</t>
        </is>
      </c>
      <c r="JA1" s="48" t="inlineStr">
        <is>
          <t>31 W13</t>
        </is>
      </c>
      <c r="JB1" s="48" t="inlineStr">
        <is>
          <t>31 W14</t>
        </is>
      </c>
      <c r="JC1" s="48" t="inlineStr">
        <is>
          <t>31 W15</t>
        </is>
      </c>
      <c r="JD1" s="48" t="inlineStr">
        <is>
          <t>31 W16</t>
        </is>
      </c>
      <c r="JE1" s="48" t="inlineStr">
        <is>
          <t>31 W17</t>
        </is>
      </c>
      <c r="JF1" s="48" t="inlineStr">
        <is>
          <t>31 W18</t>
        </is>
      </c>
      <c r="JG1" s="48" t="inlineStr">
        <is>
          <t>31 W19</t>
        </is>
      </c>
      <c r="JH1" s="48" t="inlineStr">
        <is>
          <t>31 W20</t>
        </is>
      </c>
      <c r="JI1" s="48" t="inlineStr">
        <is>
          <t>31 W21</t>
        </is>
      </c>
      <c r="JJ1" s="48" t="inlineStr">
        <is>
          <t>31 W22</t>
        </is>
      </c>
      <c r="JK1" s="48" t="inlineStr">
        <is>
          <t>31 W23</t>
        </is>
      </c>
      <c r="JL1" s="48" t="inlineStr">
        <is>
          <t>31 W24</t>
        </is>
      </c>
      <c r="JM1" s="48" t="inlineStr">
        <is>
          <t>31 W25</t>
        </is>
      </c>
      <c r="JN1" s="48" t="inlineStr">
        <is>
          <t>31 W26</t>
        </is>
      </c>
      <c r="JO1" s="48" t="inlineStr">
        <is>
          <t>31 W27</t>
        </is>
      </c>
      <c r="JP1" s="48" t="inlineStr">
        <is>
          <t>31 W28</t>
        </is>
      </c>
      <c r="JQ1" s="48" t="inlineStr">
        <is>
          <t>31 W29</t>
        </is>
      </c>
      <c r="JR1" s="48" t="inlineStr">
        <is>
          <t>31 W30</t>
        </is>
      </c>
      <c r="JS1" s="48" t="inlineStr">
        <is>
          <t>31 W31</t>
        </is>
      </c>
      <c r="JT1" s="48" t="inlineStr">
        <is>
          <t>31 W32</t>
        </is>
      </c>
      <c r="JU1" s="48" t="inlineStr">
        <is>
          <t>31 W33</t>
        </is>
      </c>
      <c r="JV1" s="48" t="inlineStr">
        <is>
          <t>31 W34</t>
        </is>
      </c>
      <c r="JW1" s="48" t="inlineStr">
        <is>
          <t>31 W35</t>
        </is>
      </c>
      <c r="JX1" s="48" t="inlineStr">
        <is>
          <t>31 W36</t>
        </is>
      </c>
      <c r="JY1" s="48" t="inlineStr">
        <is>
          <t>31 W37</t>
        </is>
      </c>
      <c r="JZ1" s="48" t="inlineStr">
        <is>
          <t>31 W38</t>
        </is>
      </c>
      <c r="KA1" s="48" t="inlineStr">
        <is>
          <t>31 W39</t>
        </is>
      </c>
      <c r="KB1" s="48" t="inlineStr">
        <is>
          <t>31 W40</t>
        </is>
      </c>
      <c r="KC1" s="48" t="inlineStr">
        <is>
          <t>31 W41</t>
        </is>
      </c>
      <c r="KD1" s="48" t="inlineStr">
        <is>
          <t>31 W42</t>
        </is>
      </c>
      <c r="KE1" s="48" t="inlineStr">
        <is>
          <t>31 W43</t>
        </is>
      </c>
      <c r="KF1" s="48" t="inlineStr">
        <is>
          <t>31 W44</t>
        </is>
      </c>
      <c r="KG1" s="48" t="inlineStr">
        <is>
          <t>31 W45</t>
        </is>
      </c>
      <c r="KH1" s="48" t="inlineStr">
        <is>
          <t>31 W46</t>
        </is>
      </c>
      <c r="KI1" s="48" t="inlineStr">
        <is>
          <t>31 W47</t>
        </is>
      </c>
      <c r="KJ1" s="48" t="inlineStr">
        <is>
          <t>31 W48</t>
        </is>
      </c>
      <c r="KK1" s="48" t="inlineStr">
        <is>
          <t>31 W49</t>
        </is>
      </c>
      <c r="KL1" s="48" t="inlineStr">
        <is>
          <t>31 W50</t>
        </is>
      </c>
      <c r="KM1" s="48" t="inlineStr">
        <is>
          <t>31 W51</t>
        </is>
      </c>
      <c r="KN1" s="48" t="inlineStr">
        <is>
          <t>31 W52</t>
        </is>
      </c>
      <c r="KO1" s="48" t="inlineStr">
        <is>
          <t>32 W1</t>
        </is>
      </c>
      <c r="KP1" s="48" t="inlineStr">
        <is>
          <t>32 W2</t>
        </is>
      </c>
      <c r="KQ1" s="48" t="inlineStr">
        <is>
          <t>32 W3</t>
        </is>
      </c>
      <c r="KR1" s="48" t="inlineStr">
        <is>
          <t>32 W4</t>
        </is>
      </c>
      <c r="KS1" s="48" t="inlineStr">
        <is>
          <t>32 W5</t>
        </is>
      </c>
      <c r="KT1" s="48" t="inlineStr">
        <is>
          <t>32 W6</t>
        </is>
      </c>
      <c r="KU1" s="48" t="inlineStr">
        <is>
          <t>32 W7</t>
        </is>
      </c>
      <c r="KV1" s="48" t="inlineStr">
        <is>
          <t>32 W8</t>
        </is>
      </c>
      <c r="KW1" s="48" t="inlineStr">
        <is>
          <t>32 W9</t>
        </is>
      </c>
      <c r="KX1" s="48" t="inlineStr">
        <is>
          <t>32 W10</t>
        </is>
      </c>
      <c r="KY1" s="48" t="inlineStr">
        <is>
          <t>32 W11</t>
        </is>
      </c>
      <c r="KZ1" s="48" t="inlineStr">
        <is>
          <t>32 W12</t>
        </is>
      </c>
      <c r="LA1" s="48" t="inlineStr">
        <is>
          <t>32 W13</t>
        </is>
      </c>
      <c r="LB1" s="48" t="inlineStr">
        <is>
          <t>32 W14</t>
        </is>
      </c>
      <c r="LC1" s="48" t="inlineStr">
        <is>
          <t>32 W15</t>
        </is>
      </c>
      <c r="LD1" s="48" t="inlineStr">
        <is>
          <t>32 W16</t>
        </is>
      </c>
      <c r="LE1" s="48" t="inlineStr">
        <is>
          <t>32 W17</t>
        </is>
      </c>
      <c r="LF1" s="48" t="inlineStr">
        <is>
          <t>32 W18</t>
        </is>
      </c>
      <c r="LG1" s="48" t="inlineStr">
        <is>
          <t>32 W19</t>
        </is>
      </c>
      <c r="LH1" s="48" t="inlineStr">
        <is>
          <t>32 W20</t>
        </is>
      </c>
      <c r="LI1" s="48" t="inlineStr">
        <is>
          <t>32 W21</t>
        </is>
      </c>
      <c r="LJ1" s="48" t="inlineStr">
        <is>
          <t>32 W22</t>
        </is>
      </c>
      <c r="LK1" s="48" t="inlineStr">
        <is>
          <t>32 W23</t>
        </is>
      </c>
      <c r="LL1" s="48" t="inlineStr">
        <is>
          <t>32 W24</t>
        </is>
      </c>
      <c r="LM1" s="48" t="inlineStr">
        <is>
          <t>32 W25</t>
        </is>
      </c>
      <c r="LN1" s="48" t="inlineStr">
        <is>
          <t>32 W26</t>
        </is>
      </c>
      <c r="LO1" s="48" t="inlineStr">
        <is>
          <t>32 W27</t>
        </is>
      </c>
      <c r="LP1" s="48" t="inlineStr">
        <is>
          <t>32 W28</t>
        </is>
      </c>
      <c r="LQ1" s="48" t="inlineStr">
        <is>
          <t>32 W29</t>
        </is>
      </c>
      <c r="LR1" s="48" t="inlineStr">
        <is>
          <t>32 W30</t>
        </is>
      </c>
      <c r="LS1" s="48" t="inlineStr">
        <is>
          <t>32 W31</t>
        </is>
      </c>
      <c r="LT1" s="48" t="inlineStr">
        <is>
          <t>32 W32</t>
        </is>
      </c>
      <c r="LU1" s="48" t="inlineStr">
        <is>
          <t>32 W33</t>
        </is>
      </c>
      <c r="LV1" s="48" t="inlineStr">
        <is>
          <t>32 W34</t>
        </is>
      </c>
      <c r="LW1" s="48" t="inlineStr">
        <is>
          <t>32 W35</t>
        </is>
      </c>
      <c r="LX1" s="48" t="inlineStr">
        <is>
          <t>32 W36</t>
        </is>
      </c>
      <c r="LY1" s="48" t="inlineStr">
        <is>
          <t>32 W37</t>
        </is>
      </c>
      <c r="LZ1" s="48" t="inlineStr">
        <is>
          <t>32 W38</t>
        </is>
      </c>
      <c r="MA1" s="48" t="inlineStr">
        <is>
          <t>32 W39</t>
        </is>
      </c>
      <c r="MB1" s="48" t="inlineStr">
        <is>
          <t>32 W40</t>
        </is>
      </c>
      <c r="MC1" s="48" t="inlineStr">
        <is>
          <t>32 W41</t>
        </is>
      </c>
      <c r="MD1" s="48" t="inlineStr">
        <is>
          <t>32 W42</t>
        </is>
      </c>
      <c r="ME1" s="48" t="inlineStr">
        <is>
          <t>32 W43</t>
        </is>
      </c>
      <c r="MF1" s="48" t="inlineStr">
        <is>
          <t>32 W44</t>
        </is>
      </c>
      <c r="MG1" s="48" t="inlineStr">
        <is>
          <t>32 W45</t>
        </is>
      </c>
      <c r="MH1" s="48" t="inlineStr">
        <is>
          <t>32 W46</t>
        </is>
      </c>
      <c r="MI1" s="48" t="inlineStr">
        <is>
          <t>32 W47</t>
        </is>
      </c>
      <c r="MJ1" s="48" t="inlineStr">
        <is>
          <t>32 W48</t>
        </is>
      </c>
      <c r="MK1" s="48" t="inlineStr">
        <is>
          <t>32 W49</t>
        </is>
      </c>
      <c r="ML1" s="48" t="inlineStr">
        <is>
          <t>32 W50</t>
        </is>
      </c>
      <c r="MM1" s="48" t="inlineStr">
        <is>
          <t>32 W51</t>
        </is>
      </c>
      <c r="MN1" s="48" t="inlineStr">
        <is>
          <t>32 W52</t>
        </is>
      </c>
      <c r="MO1" s="48" t="inlineStr">
        <is>
          <t>32 W53</t>
        </is>
      </c>
      <c r="MP1" s="48" t="inlineStr">
        <is>
          <t>33 W1</t>
        </is>
      </c>
      <c r="MQ1" s="48" t="inlineStr">
        <is>
          <t>33 W2</t>
        </is>
      </c>
      <c r="MR1" s="48" t="inlineStr">
        <is>
          <t>33 W3</t>
        </is>
      </c>
      <c r="MS1" s="48" t="inlineStr">
        <is>
          <t>33 W4</t>
        </is>
      </c>
      <c r="MT1" s="48" t="inlineStr">
        <is>
          <t>33 W5</t>
        </is>
      </c>
      <c r="MU1" s="48" t="inlineStr">
        <is>
          <t>33 W6</t>
        </is>
      </c>
      <c r="MV1" s="48" t="inlineStr">
        <is>
          <t>33 W7</t>
        </is>
      </c>
      <c r="MW1" s="48" t="inlineStr">
        <is>
          <t>33 W8</t>
        </is>
      </c>
      <c r="MX1" s="48" t="inlineStr">
        <is>
          <t>33 W9</t>
        </is>
      </c>
      <c r="MY1" s="48" t="inlineStr">
        <is>
          <t>33 W10</t>
        </is>
      </c>
      <c r="MZ1" s="48" t="inlineStr">
        <is>
          <t>33 W11</t>
        </is>
      </c>
      <c r="NA1" s="48" t="inlineStr">
        <is>
          <t>33 W12</t>
        </is>
      </c>
      <c r="NB1" s="48" t="inlineStr">
        <is>
          <t>33 W13</t>
        </is>
      </c>
      <c r="NC1" s="48" t="inlineStr">
        <is>
          <t>33 W14</t>
        </is>
      </c>
      <c r="ND1" s="48" t="inlineStr">
        <is>
          <t>33 W15</t>
        </is>
      </c>
      <c r="NE1" s="48" t="inlineStr">
        <is>
          <t>33 W16</t>
        </is>
      </c>
      <c r="NF1" s="48" t="inlineStr">
        <is>
          <t>33 W17</t>
        </is>
      </c>
      <c r="NG1" s="48" t="inlineStr">
        <is>
          <t>33 W18</t>
        </is>
      </c>
      <c r="NH1" s="48" t="inlineStr">
        <is>
          <t>33 W19</t>
        </is>
      </c>
      <c r="NI1" s="48" t="inlineStr">
        <is>
          <t>33 W20</t>
        </is>
      </c>
      <c r="NJ1" s="48" t="inlineStr">
        <is>
          <t>33 W21</t>
        </is>
      </c>
      <c r="NK1" s="48" t="inlineStr">
        <is>
          <t>33 W22</t>
        </is>
      </c>
      <c r="NL1" s="48" t="inlineStr">
        <is>
          <t>33 W23</t>
        </is>
      </c>
      <c r="NM1" s="48" t="inlineStr">
        <is>
          <t>33 W24</t>
        </is>
      </c>
      <c r="NN1" s="48" t="inlineStr">
        <is>
          <t>33 W25</t>
        </is>
      </c>
      <c r="NO1" s="48" t="inlineStr">
        <is>
          <t>33 W26</t>
        </is>
      </c>
      <c r="NP1" s="48" t="inlineStr">
        <is>
          <t>33 W27</t>
        </is>
      </c>
      <c r="NQ1" s="48" t="inlineStr">
        <is>
          <t>33 W28</t>
        </is>
      </c>
      <c r="NR1" s="48" t="inlineStr">
        <is>
          <t>33 W29</t>
        </is>
      </c>
      <c r="NS1" s="48" t="inlineStr">
        <is>
          <t>33 W30</t>
        </is>
      </c>
      <c r="NT1" s="48" t="inlineStr">
        <is>
          <t>33 W31</t>
        </is>
      </c>
      <c r="NU1" s="48" t="inlineStr">
        <is>
          <t>33 W32</t>
        </is>
      </c>
      <c r="NV1" s="48" t="inlineStr">
        <is>
          <t>33 W33</t>
        </is>
      </c>
      <c r="NW1" s="48" t="inlineStr">
        <is>
          <t>33 W34</t>
        </is>
      </c>
      <c r="NX1" s="48" t="inlineStr">
        <is>
          <t>33 W35</t>
        </is>
      </c>
      <c r="NY1" s="48" t="inlineStr">
        <is>
          <t>33 W36</t>
        </is>
      </c>
      <c r="NZ1" s="48" t="inlineStr">
        <is>
          <t>33 W37</t>
        </is>
      </c>
      <c r="OA1" s="48" t="inlineStr">
        <is>
          <t>33 W38</t>
        </is>
      </c>
      <c r="OB1" s="48" t="inlineStr">
        <is>
          <t>33 W39</t>
        </is>
      </c>
      <c r="OC1" s="48" t="inlineStr">
        <is>
          <t>33 W40</t>
        </is>
      </c>
      <c r="OD1" s="48" t="inlineStr">
        <is>
          <t>33 W41</t>
        </is>
      </c>
      <c r="OE1" s="48" t="inlineStr">
        <is>
          <t>33 W42</t>
        </is>
      </c>
      <c r="OF1" s="48" t="inlineStr">
        <is>
          <t>33 W43</t>
        </is>
      </c>
      <c r="OG1" s="48" t="inlineStr">
        <is>
          <t>33 W44</t>
        </is>
      </c>
      <c r="OH1" s="48" t="inlineStr">
        <is>
          <t>33 W45</t>
        </is>
      </c>
      <c r="OI1" s="48" t="inlineStr">
        <is>
          <t>33 W46</t>
        </is>
      </c>
      <c r="OJ1" s="48" t="inlineStr">
        <is>
          <t>33 W47</t>
        </is>
      </c>
      <c r="OK1" s="48" t="inlineStr">
        <is>
          <t>33 W48</t>
        </is>
      </c>
      <c r="OL1" s="48" t="inlineStr">
        <is>
          <t>33 W49</t>
        </is>
      </c>
      <c r="OM1" s="48" t="inlineStr">
        <is>
          <t>33 W50</t>
        </is>
      </c>
      <c r="ON1" s="48" t="inlineStr">
        <is>
          <t>33 W51</t>
        </is>
      </c>
      <c r="OO1" s="48" t="inlineStr">
        <is>
          <t>33 W52</t>
        </is>
      </c>
      <c r="OP1" s="48" t="inlineStr">
        <is>
          <t>34 W1</t>
        </is>
      </c>
      <c r="OQ1" s="48" t="inlineStr">
        <is>
          <t>34 W2</t>
        </is>
      </c>
      <c r="OR1" s="48" t="inlineStr">
        <is>
          <t>34 W3</t>
        </is>
      </c>
      <c r="OS1" s="48" t="inlineStr">
        <is>
          <t>34 W4</t>
        </is>
      </c>
      <c r="OT1" s="48" t="inlineStr">
        <is>
          <t>34 W5</t>
        </is>
      </c>
      <c r="OU1" s="48" t="inlineStr">
        <is>
          <t>34 W6</t>
        </is>
      </c>
      <c r="OV1" s="48" t="inlineStr">
        <is>
          <t>34 W7</t>
        </is>
      </c>
      <c r="OW1" s="48" t="inlineStr">
        <is>
          <t>34 W8</t>
        </is>
      </c>
      <c r="OX1" s="48" t="inlineStr">
        <is>
          <t>34 W9</t>
        </is>
      </c>
      <c r="OY1" s="48" t="inlineStr">
        <is>
          <t>34 W10</t>
        </is>
      </c>
      <c r="OZ1" s="48" t="inlineStr">
        <is>
          <t>34 W11</t>
        </is>
      </c>
      <c r="PA1" s="48" t="inlineStr">
        <is>
          <t>34 W12</t>
        </is>
      </c>
      <c r="PB1" s="48" t="inlineStr">
        <is>
          <t>34 W13</t>
        </is>
      </c>
      <c r="PC1" s="48" t="inlineStr">
        <is>
          <t>34 W14</t>
        </is>
      </c>
      <c r="PD1" s="48" t="inlineStr">
        <is>
          <t>34 W15</t>
        </is>
      </c>
      <c r="PE1" s="48" t="inlineStr">
        <is>
          <t>34 W16</t>
        </is>
      </c>
      <c r="PF1" s="48" t="inlineStr">
        <is>
          <t>34 W17</t>
        </is>
      </c>
      <c r="PG1" s="48" t="inlineStr">
        <is>
          <t>34 W18</t>
        </is>
      </c>
      <c r="PH1" s="48" t="inlineStr">
        <is>
          <t>34 W19</t>
        </is>
      </c>
      <c r="PI1" s="48" t="inlineStr">
        <is>
          <t>34 W20</t>
        </is>
      </c>
      <c r="PJ1" s="48" t="inlineStr">
        <is>
          <t>34 W21</t>
        </is>
      </c>
      <c r="PK1" s="48" t="inlineStr">
        <is>
          <t>34 W22</t>
        </is>
      </c>
      <c r="PL1" s="48" t="inlineStr">
        <is>
          <t>34 W23</t>
        </is>
      </c>
      <c r="PM1" s="48" t="inlineStr">
        <is>
          <t>34 W24</t>
        </is>
      </c>
      <c r="PN1" s="48" t="inlineStr">
        <is>
          <t>34 W25</t>
        </is>
      </c>
      <c r="PO1" s="48" t="inlineStr">
        <is>
          <t>34 W26</t>
        </is>
      </c>
      <c r="PP1" s="48" t="inlineStr">
        <is>
          <t>34 W27</t>
        </is>
      </c>
      <c r="PQ1" s="48" t="inlineStr">
        <is>
          <t>34 W28</t>
        </is>
      </c>
      <c r="PR1" s="48" t="inlineStr">
        <is>
          <t>34 W29</t>
        </is>
      </c>
      <c r="PS1" s="48" t="inlineStr">
        <is>
          <t>34 W30</t>
        </is>
      </c>
      <c r="PT1" s="48" t="inlineStr">
        <is>
          <t>34 W31</t>
        </is>
      </c>
      <c r="PU1" s="48" t="inlineStr">
        <is>
          <t>34 W32</t>
        </is>
      </c>
      <c r="PV1" s="48" t="inlineStr">
        <is>
          <t>34 W33</t>
        </is>
      </c>
      <c r="PW1" s="48" t="inlineStr">
        <is>
          <t>34 W34</t>
        </is>
      </c>
      <c r="PX1" s="48" t="inlineStr">
        <is>
          <t>34 W35</t>
        </is>
      </c>
      <c r="PY1" s="48" t="inlineStr">
        <is>
          <t>34 W36</t>
        </is>
      </c>
      <c r="PZ1" s="48" t="inlineStr">
        <is>
          <t>34 W37</t>
        </is>
      </c>
      <c r="QA1" s="48" t="inlineStr">
        <is>
          <t>34 W38</t>
        </is>
      </c>
      <c r="QB1" s="48" t="inlineStr">
        <is>
          <t>34 W39</t>
        </is>
      </c>
      <c r="QC1" s="48" t="inlineStr">
        <is>
          <t>34 W40</t>
        </is>
      </c>
      <c r="QD1" s="48" t="inlineStr">
        <is>
          <t>34 W41</t>
        </is>
      </c>
      <c r="QE1" s="48" t="inlineStr">
        <is>
          <t>34 W42</t>
        </is>
      </c>
      <c r="QF1" s="48" t="inlineStr">
        <is>
          <t>34 W43</t>
        </is>
      </c>
      <c r="QG1" s="48" t="inlineStr">
        <is>
          <t>34 W44</t>
        </is>
      </c>
      <c r="QH1" s="48" t="inlineStr">
        <is>
          <t>34 W45</t>
        </is>
      </c>
      <c r="QI1" s="48" t="inlineStr">
        <is>
          <t>34 W46</t>
        </is>
      </c>
      <c r="QJ1" s="48" t="inlineStr">
        <is>
          <t>34 W47</t>
        </is>
      </c>
      <c r="QK1" s="48" t="inlineStr">
        <is>
          <t>34 W48</t>
        </is>
      </c>
      <c r="QL1" s="48" t="inlineStr">
        <is>
          <t>34 W49</t>
        </is>
      </c>
      <c r="QM1" s="48" t="inlineStr">
        <is>
          <t>34 W50</t>
        </is>
      </c>
      <c r="QN1" s="48" t="inlineStr">
        <is>
          <t>34 W51</t>
        </is>
      </c>
      <c r="QO1" s="48" t="inlineStr">
        <is>
          <t>34 W52</t>
        </is>
      </c>
    </row>
  </sheetData>
  <pageMargins left="0.75" right="0.75" top="1" bottom="1" header="0.5" footer="0.5"/>
</worksheet>
</file>

<file path=xl/worksheets/sheet9.xml><?xml version="1.0" encoding="utf-8"?>
<worksheet xmlns="http://schemas.openxmlformats.org/spreadsheetml/2006/main">
  <sheetPr>
    <tabColor rgb="008A94A6"/>
    <outlinePr summaryBelow="1" summaryRight="1"/>
    <pageSetUpPr/>
  </sheetPr>
  <dimension ref="A1:FX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15" customWidth="1" min="3" max="3"/>
    <col width="3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34" customWidth="1" min="15" max="15"/>
  </cols>
  <sheetData>
    <row r="1">
      <c r="A1" s="48" t="inlineStr">
        <is>
          <t>Order</t>
        </is>
      </c>
      <c r="B1" s="48" t="inlineStr">
        <is>
          <t>Order Type</t>
        </is>
      </c>
      <c r="C1" s="48" t="inlineStr">
        <is>
          <t>Material Number</t>
        </is>
      </c>
      <c r="D1" s="48" t="inlineStr">
        <is>
          <t>Material description</t>
        </is>
      </c>
      <c r="E1" s="48" t="inlineStr">
        <is>
          <t>Plant</t>
        </is>
      </c>
      <c r="F1" s="48" t="inlineStr">
        <is>
          <t>Batch</t>
        </is>
      </c>
      <c r="G1" s="48" t="inlineStr">
        <is>
          <t>Order quantity (GMEIN)</t>
        </is>
      </c>
      <c r="H1" s="48" t="inlineStr">
        <is>
          <t>Unit of measure (=GMEIN)</t>
        </is>
      </c>
      <c r="I1" s="48" t="inlineStr">
        <is>
          <t>Release date (actual)</t>
        </is>
      </c>
      <c r="J1" s="48" t="inlineStr">
        <is>
          <t>Delivered quantity (GMEIN)</t>
        </is>
      </c>
      <c r="K1" s="48" t="inlineStr">
        <is>
          <t>Created on</t>
        </is>
      </c>
      <c r="L1" s="48" t="inlineStr">
        <is>
          <t>Entered by</t>
        </is>
      </c>
      <c r="M1" s="48" t="inlineStr">
        <is>
          <t>Change date</t>
        </is>
      </c>
      <c r="N1" s="48" t="inlineStr">
        <is>
          <t>Last changed by</t>
        </is>
      </c>
      <c r="O1" s="48" t="inlineStr">
        <is>
          <t>System Status</t>
        </is>
      </c>
      <c r="P1" s="48" t="inlineStr">
        <is>
          <t>Planned opening date</t>
        </is>
      </c>
      <c r="Q1" s="48" t="inlineStr">
        <is>
          <t>Basic start date</t>
        </is>
      </c>
      <c r="R1" s="48" t="inlineStr">
        <is>
          <t>Basic finish date</t>
        </is>
      </c>
      <c r="S1" s="48" t="inlineStr">
        <is>
          <t>Firming indicator</t>
        </is>
      </c>
      <c r="T1" s="48" t="inlineStr">
        <is>
          <t>Results Analysis Key</t>
        </is>
      </c>
      <c r="U1" s="48" t="inlineStr">
        <is>
          <t>Processing group</t>
        </is>
      </c>
      <c r="V1" s="48" t="inlineStr">
        <is>
          <t>Requesting co. code</t>
        </is>
      </c>
      <c r="W1" s="48" t="inlineStr">
        <is>
          <t>Address Number</t>
        </is>
      </c>
      <c r="X1" s="48" t="inlineStr">
        <is>
          <t>Change Number</t>
        </is>
      </c>
      <c r="Y1" s="48" t="inlineStr">
        <is>
          <t>Changed at</t>
        </is>
      </c>
      <c r="Z1" s="48" t="inlineStr">
        <is>
          <t>Request. cost center</t>
        </is>
      </c>
      <c r="AA1" s="48" t="inlineStr">
        <is>
          <t>Priority</t>
        </is>
      </c>
      <c r="AB1" s="48" t="inlineStr">
        <is>
          <t>User Status</t>
        </is>
      </c>
      <c r="AC1" s="48" t="inlineStr">
        <is>
          <t>Request ID</t>
        </is>
      </c>
      <c r="AD1" s="48" t="inlineStr">
        <is>
          <t>Reservation/Purc.req</t>
        </is>
      </c>
      <c r="AE1" s="48" t="inlineStr">
        <is>
          <t>Expl. date rtg/BOM</t>
        </is>
      </c>
      <c r="AF1" s="48" t="inlineStr">
        <is>
          <t>Order category</t>
        </is>
      </c>
      <c r="AG1" s="48" t="inlineStr">
        <is>
          <t>Variance Key</t>
        </is>
      </c>
      <c r="AH1" s="48" t="inlineStr">
        <is>
          <t>Accounting Indicator</t>
        </is>
      </c>
      <c r="AI1" s="48" t="inlineStr">
        <is>
          <t>Exact break times</t>
        </is>
      </c>
      <c r="AJ1" s="48" t="inlineStr">
        <is>
          <t>Av.chk: committ.diff.</t>
        </is>
      </c>
      <c r="AK1" s="48" t="inlineStr">
        <is>
          <t>Av.chk: committ.fact. (PROZENT)</t>
        </is>
      </c>
      <c r="AL1" s="48" t="inlineStr">
        <is>
          <t>Company Code</t>
        </is>
      </c>
      <c r="AM1" s="48" t="inlineStr">
        <is>
          <t>Cost collector key</t>
        </is>
      </c>
      <c r="AN1" s="48" t="inlineStr">
        <is>
          <t>CO processing</t>
        </is>
      </c>
      <c r="AO1" s="48" t="inlineStr">
        <is>
          <t>Identical object</t>
        </is>
      </c>
      <c r="AP1" s="48" t="inlineStr">
        <is>
          <t>Update costs</t>
        </is>
      </c>
      <c r="AQ1" s="48" t="inlineStr">
        <is>
          <t>Apportionment Struct</t>
        </is>
      </c>
      <c r="AR1" s="48" t="inlineStr">
        <is>
          <t>Sequence number</t>
        </is>
      </c>
      <c r="AS1" s="48" t="inlineStr">
        <is>
          <t>MRP controller</t>
        </is>
      </c>
      <c r="AT1" s="48" t="inlineStr">
        <is>
          <t>Time created</t>
        </is>
      </c>
      <c r="AU1" s="48" t="inlineStr">
        <is>
          <t>Equity type</t>
        </is>
      </c>
      <c r="AV1" s="48" t="inlineStr">
        <is>
          <t>Production scheduler</t>
        </is>
      </c>
      <c r="AW1" s="48" t="inlineStr">
        <is>
          <t>SchedMargin key</t>
        </is>
      </c>
      <c r="AX1" s="48" t="inlineStr">
        <is>
          <t>Release period</t>
        </is>
      </c>
      <c r="AY1" s="48" t="inlineStr">
        <is>
          <t>Release date plan.</t>
        </is>
      </c>
      <c r="AZ1" s="48" t="inlineStr">
        <is>
          <t>Release date (scheduled)</t>
        </is>
      </c>
      <c r="BA1" s="48" t="inlineStr">
        <is>
          <t>Prog. release</t>
        </is>
      </c>
      <c r="BB1" s="48" t="inlineStr">
        <is>
          <t>Functional Area</t>
        </is>
      </c>
      <c r="BC1" s="48" t="inlineStr">
        <is>
          <t>Total scrap (GMEIN)</t>
        </is>
      </c>
      <c r="BD1" s="48" t="inlineStr">
        <is>
          <t>Confirmed finish date</t>
        </is>
      </c>
      <c r="BE1" s="48" t="inlineStr">
        <is>
          <t>Actual finish</t>
        </is>
      </c>
      <c r="BF1" s="48" t="inlineStr">
        <is>
          <t>Expected variance (GMEIN)</t>
        </is>
      </c>
      <c r="BG1" s="48" t="inlineStr">
        <is>
          <t>Forecast finish date</t>
        </is>
      </c>
      <c r="BH1" s="48" t="inlineStr">
        <is>
          <t>Prog.finish sched.</t>
        </is>
      </c>
      <c r="BI1" s="48" t="inlineStr">
        <is>
          <t>Actual finish date</t>
        </is>
      </c>
      <c r="BJ1" s="48" t="inlineStr">
        <is>
          <t>Scheduled finish date</t>
        </is>
      </c>
      <c r="BK1" s="48" t="inlineStr">
        <is>
          <t>Basic finish time</t>
        </is>
      </c>
      <c r="BL1" s="48" t="inlineStr">
        <is>
          <t>Scheduled fin. time</t>
        </is>
      </c>
      <c r="BM1" s="48" t="inlineStr">
        <is>
          <t>Business Area</t>
        </is>
      </c>
      <c r="BN1" s="48" t="inlineStr">
        <is>
          <t>Committed date</t>
        </is>
      </c>
      <c r="BO1" s="48" t="inlineStr">
        <is>
          <t>Forecast start date</t>
        </is>
      </c>
      <c r="BP1" s="48" t="inlineStr">
        <is>
          <t>Prog.start date</t>
        </is>
      </c>
      <c r="BQ1" s="48" t="inlineStr">
        <is>
          <t>Actual start time</t>
        </is>
      </c>
      <c r="BR1" s="48" t="inlineStr">
        <is>
          <t>Start date (sched)</t>
        </is>
      </c>
      <c r="BS1" s="48" t="inlineStr">
        <is>
          <t>ActualStartTime</t>
        </is>
      </c>
      <c r="BT1" s="48" t="inlineStr">
        <is>
          <t>Basic start time</t>
        </is>
      </c>
      <c r="BU1" s="48" t="inlineStr">
        <is>
          <t>Scheduled start time</t>
        </is>
      </c>
      <c r="BV1" s="48" t="inlineStr">
        <is>
          <t>Confirmed scrap (GMEIN)</t>
        </is>
      </c>
      <c r="BW1" s="48" t="inlineStr">
        <is>
          <t>Message Type</t>
        </is>
      </c>
      <c r="BX1" s="48" t="inlineStr">
        <is>
          <t>Confirmed quantity (GMEIN)</t>
        </is>
      </c>
      <c r="BY1" s="48" t="inlineStr">
        <is>
          <t>Investment profile</t>
        </is>
      </c>
      <c r="BZ1" s="48" t="inlineStr">
        <is>
          <t>Investment reason</t>
        </is>
      </c>
      <c r="CA1" s="48" t="inlineStr">
        <is>
          <t>JIB/JIBE Class</t>
        </is>
      </c>
      <c r="CB1" s="48" t="inlineStr">
        <is>
          <t>JIB/JIBE Subclass A</t>
        </is>
      </c>
      <c r="CC1" s="48" t="inlineStr">
        <is>
          <t>Costing Sheet</t>
        </is>
      </c>
      <c r="CD1" s="48" t="inlineStr">
        <is>
          <t>Version</t>
        </is>
      </c>
      <c r="CE1" s="48" t="inlineStr">
        <is>
          <t>Sales Order</t>
        </is>
      </c>
      <c r="CF1" s="48" t="inlineStr">
        <is>
          <t>Sales Order Item</t>
        </is>
      </c>
      <c r="CG1" s="48" t="inlineStr">
        <is>
          <t>Cstg variant actual</t>
        </is>
      </c>
      <c r="CH1" s="48" t="inlineStr">
        <is>
          <t>Cstg variant planned</t>
        </is>
      </c>
      <c r="CI1" s="48" t="inlineStr">
        <is>
          <t>Controlling Area</t>
        </is>
      </c>
      <c r="CJ1" s="48" t="inlineStr">
        <is>
          <t>Responsible CCtr</t>
        </is>
      </c>
      <c r="CK1" s="48" t="inlineStr">
        <is>
          <t>Settlement cost elem</t>
        </is>
      </c>
      <c r="CL1" s="48" t="inlineStr">
        <is>
          <t>Cost collector</t>
        </is>
      </c>
      <c r="CM1" s="48" t="inlineStr">
        <is>
          <t>Description</t>
        </is>
      </c>
      <c r="CN1" s="48" t="inlineStr">
        <is>
          <t>Type avail.chck</t>
        </is>
      </c>
      <c r="CO1" s="48" t="inlineStr">
        <is>
          <t>Proj. summ. MastData</t>
        </is>
      </c>
      <c r="CP1" s="48" t="inlineStr">
        <is>
          <t>Leading order</t>
        </is>
      </c>
      <c r="CQ1" s="48" t="inlineStr">
        <is>
          <t>Deletion flag</t>
        </is>
      </c>
      <c r="CR1" s="48" t="inlineStr">
        <is>
          <t>Long txt exists</t>
        </is>
      </c>
      <c r="CS1" s="48" t="inlineStr">
        <is>
          <t>Superior order</t>
        </is>
      </c>
      <c r="CT1" s="48" t="inlineStr">
        <is>
          <t>Production line</t>
        </is>
      </c>
      <c r="CU1" s="48" t="inlineStr">
        <is>
          <t>Planning ID 2</t>
        </is>
      </c>
      <c r="CV1" s="48" t="inlineStr">
        <is>
          <t>ExpectYieldVariance (GMEIN)</t>
        </is>
      </c>
      <c r="CW1" s="48" t="inlineStr">
        <is>
          <t>Av.chk.messages</t>
        </is>
      </c>
      <c r="CX1" s="48" t="inlineStr">
        <is>
          <t>No planned costs</t>
        </is>
      </c>
      <c r="CY1" s="48" t="inlineStr">
        <is>
          <t>Change indicator</t>
        </is>
      </c>
      <c r="CZ1" s="48" t="inlineStr">
        <is>
          <t>Joint Venture Object Type</t>
        </is>
      </c>
      <c r="DA1" s="48" t="inlineStr">
        <is>
          <t>Routing change number</t>
        </is>
      </c>
      <c r="DB1" s="48" t="inlineStr">
        <is>
          <t>Routing valid from</t>
        </is>
      </c>
      <c r="DC1" s="48" t="inlineStr">
        <is>
          <t>Cost collector</t>
        </is>
      </c>
      <c r="DD1" s="48" t="inlineStr">
        <is>
          <t>Explosion date</t>
        </is>
      </c>
      <c r="DE1" s="48" t="inlineStr">
        <is>
          <t>Planner group</t>
        </is>
      </c>
      <c r="DF1" s="48" t="inlineStr">
        <is>
          <t>Routing group cnt.</t>
        </is>
      </c>
      <c r="DG1" s="48" t="inlineStr">
        <is>
          <t>Routing appl.</t>
        </is>
      </c>
      <c r="DH1" s="48" t="inlineStr">
        <is>
          <t>Routing material</t>
        </is>
      </c>
      <c r="DI1" s="48" t="inlineStr">
        <is>
          <t>Task list unit (=PLNME)</t>
        </is>
      </c>
      <c r="DJ1" s="48" t="inlineStr">
        <is>
          <t>Routing group</t>
        </is>
      </c>
      <c r="DK1" s="48" t="inlineStr">
        <is>
          <t>Task List Type</t>
        </is>
      </c>
      <c r="DL1" s="48" t="inlineStr">
        <is>
          <t>Routing lot size to (PLNME)</t>
        </is>
      </c>
      <c r="DM1" s="48" t="inlineStr">
        <is>
          <t>Routing lot size frm (PLNME)</t>
        </is>
      </c>
      <c r="DN1" s="48" t="inlineStr">
        <is>
          <t>Planning plant</t>
        </is>
      </c>
      <c r="DO1" s="48" t="inlineStr">
        <is>
          <t>Outline finish date</t>
        </is>
      </c>
      <c r="DP1" s="48" t="inlineStr">
        <is>
          <t>Finish</t>
        </is>
      </c>
      <c r="DQ1" s="48" t="inlineStr">
        <is>
          <t>Outline start date</t>
        </is>
      </c>
      <c r="DR1" s="48" t="inlineStr">
        <is>
          <t>Start</t>
        </is>
      </c>
      <c r="DS1" s="48" t="inlineStr">
        <is>
          <t>Item (SD)</t>
        </is>
      </c>
      <c r="DT1" s="48" t="inlineStr">
        <is>
          <t>Item (SD)</t>
        </is>
      </c>
      <c r="DU1" s="48" t="inlineStr">
        <is>
          <t>Profit Center</t>
        </is>
      </c>
      <c r="DV1" s="48" t="inlineStr">
        <is>
          <t>Max. problem class</t>
        </is>
      </c>
      <c r="DW1" s="48" t="inlineStr">
        <is>
          <t>Production Process No</t>
        </is>
      </c>
      <c r="DX1" s="48" t="inlineStr">
        <is>
          <t>Collective order</t>
        </is>
      </c>
      <c r="DY1" s="48" t="inlineStr">
        <is>
          <t>WBS Element</t>
        </is>
      </c>
      <c r="DZ1" s="48" t="inlineStr">
        <is>
          <t>Process category</t>
        </is>
      </c>
      <c r="EA1" s="48" t="inlineStr">
        <is>
          <t>Percent (=PROZENT)</t>
        </is>
      </c>
      <c r="EB1" s="48" t="inlineStr">
        <is>
          <t>Inspection Lot</t>
        </is>
      </c>
      <c r="EC1" s="48" t="inlineStr">
        <is>
          <t>Identification</t>
        </is>
      </c>
      <c r="ED1" s="48" t="inlineStr">
        <is>
          <t>Recovery Indicator</t>
        </is>
      </c>
      <c r="EE1" s="48" t="inlineStr">
        <is>
          <t>Reduction indicator</t>
        </is>
      </c>
      <c r="EF1" s="48" t="inlineStr">
        <is>
          <t>Reference order</t>
        </is>
      </c>
      <c r="EG1" s="48" t="inlineStr">
        <is>
          <t>Av.chk.result</t>
        </is>
      </c>
      <c r="EH1" s="48" t="inlineStr">
        <is>
          <t>Revision Level</t>
        </is>
      </c>
      <c r="EI1" s="48" t="inlineStr">
        <is>
          <t>Sales Document</t>
        </is>
      </c>
      <c r="EJ1" s="48" t="inlineStr">
        <is>
          <t>Rework qty (GMEIN)</t>
        </is>
      </c>
      <c r="EK1" s="48" t="inlineStr">
        <is>
          <t>Reservation</t>
        </is>
      </c>
      <c r="EL1" s="48" t="inlineStr">
        <is>
          <t>Refurbishment order</t>
        </is>
      </c>
      <c r="EM1" s="48" t="inlineStr">
        <is>
          <t>Confirmation number</t>
        </is>
      </c>
      <c r="EN1" s="48" t="inlineStr">
        <is>
          <t>BOM change number</t>
        </is>
      </c>
      <c r="EO1" s="48" t="inlineStr">
        <is>
          <t>Run schedule header</t>
        </is>
      </c>
      <c r="EP1" s="48" t="inlineStr">
        <is>
          <t>Base Unit of Measure (=SBMEH)</t>
        </is>
      </c>
      <c r="EQ1" s="48" t="inlineStr">
        <is>
          <t>BOM base quantity (SBMEH)</t>
        </is>
      </c>
      <c r="ER1" s="48" t="inlineStr">
        <is>
          <t>Controlling area</t>
        </is>
      </c>
      <c r="ES1" s="48" t="inlineStr">
        <is>
          <t>BOM valid from</t>
        </is>
      </c>
      <c r="ET1" s="48" t="inlineStr">
        <is>
          <t>Prod.Sched.Profile</t>
        </is>
      </c>
      <c r="EU1" s="48" t="inlineStr">
        <is>
          <t>Float after prod.</t>
        </is>
      </c>
      <c r="EV1" s="48" t="inlineStr">
        <is>
          <t>SchedFloatAfterProd.</t>
        </is>
      </c>
      <c r="EW1" s="48" t="inlineStr">
        <is>
          <t>Scale</t>
        </is>
      </c>
      <c r="EX1" s="48" t="inlineStr">
        <is>
          <t>BOM lot size to (SBMEH)</t>
        </is>
      </c>
      <c r="EY1" s="48" t="inlineStr">
        <is>
          <t>BOM lot size from (SBMEH)</t>
        </is>
      </c>
      <c r="EZ1" s="48" t="inlineStr">
        <is>
          <t>Special Stock</t>
        </is>
      </c>
      <c r="FA1" s="48" t="inlineStr">
        <is>
          <t>Location plant</t>
        </is>
      </c>
      <c r="FB1" s="48" t="inlineStr">
        <is>
          <t>Split status</t>
        </is>
      </c>
      <c r="FC1" s="48" t="inlineStr">
        <is>
          <t>Status Profile</t>
        </is>
      </c>
      <c r="FD1" s="48" t="inlineStr">
        <is>
          <t>BOM alternative</t>
        </is>
      </c>
      <c r="FE1" s="48" t="inlineStr">
        <is>
          <t>BOM usage</t>
        </is>
      </c>
      <c r="FF1" s="48" t="inlineStr">
        <is>
          <t>BOM material</t>
        </is>
      </c>
      <c r="FG1" s="48" t="inlineStr">
        <is>
          <t>BOM number</t>
        </is>
      </c>
      <c r="FH1" s="48" t="inlineStr">
        <is>
          <t>BOM status</t>
        </is>
      </c>
      <c r="FI1" s="48" t="inlineStr">
        <is>
          <t>BOM category</t>
        </is>
      </c>
      <c r="FJ1" s="48" t="inlineStr">
        <is>
          <t>Object ID</t>
        </is>
      </c>
      <c r="FK1" s="48" t="inlineStr">
        <is>
          <t>Scheduling note</t>
        </is>
      </c>
      <c r="FL1" s="48" t="inlineStr">
        <is>
          <t>Scheduling type</t>
        </is>
      </c>
      <c r="FM1" s="48" t="inlineStr">
        <is>
          <t>Scheduled on</t>
        </is>
      </c>
      <c r="FN1" s="48" t="inlineStr">
        <is>
          <t>Long Text Language</t>
        </is>
      </c>
      <c r="FO1" s="48" t="inlineStr">
        <is>
          <t>Envir. investment</t>
        </is>
      </c>
      <c r="FP1" s="48" t="inlineStr">
        <is>
          <t>Estimated costs (WAERS)</t>
        </is>
      </c>
      <c r="FQ1" s="48" t="inlineStr">
        <is>
          <t>Production Version</t>
        </is>
      </c>
      <c r="FR1" s="48" t="inlineStr">
        <is>
          <t>Committed qty (GMEIN)</t>
        </is>
      </c>
      <c r="FS1" s="48" t="inlineStr">
        <is>
          <t>Joint Venture</t>
        </is>
      </c>
      <c r="FT1" s="48" t="inlineStr">
        <is>
          <t>Float before prod.</t>
        </is>
      </c>
      <c r="FU1" s="48" t="inlineStr">
        <is>
          <t>SchedFloatBeforeProd.</t>
        </is>
      </c>
      <c r="FV1" s="48" t="inlineStr">
        <is>
          <t>Version</t>
        </is>
      </c>
      <c r="FW1" s="48" t="inlineStr">
        <is>
          <t>Currency</t>
        </is>
      </c>
      <c r="FX1" s="48" t="inlineStr">
        <is>
          <t>Overhead key</t>
        </is>
      </c>
    </row>
  </sheetData>
  <pageMargins left="0.75" right="0.75" top="1" bottom="1" header="0.5" footer="0.5"/>
</worksheet>
</file>

<file path=xl/worksheets/sheet10.xml><?xml version="1.0" encoding="utf-8"?>
<worksheet xmlns="http://schemas.openxmlformats.org/spreadsheetml/2006/main">
  <sheetPr>
    <tabColor rgb="00B8BFCC"/>
    <outlinePr summaryBelow="1" summaryRight="1"/>
    <pageSetUpPr/>
  </sheetPr>
  <dimension ref="A1:BF8"/>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s>
  <sheetData>
    <row r="1">
      <c r="A1" s="49" t="inlineStr">
        <is>
          <t>Calculations - nothing to type on this sheet. Every result here can be traced to the ASP, COOIS, Settings or Kitting Log.</t>
        </is>
      </c>
      <c r="P1" s="29" t="inlineStr">
        <is>
          <t>ASP header</t>
        </is>
      </c>
      <c r="Q1" cm="1">
        <f t="array" ref="Q1">IF(ASP!$Q$1:$ALL$1="","",ASP!$Q$1:$ALL$1&amp;"")</f>
        <v/>
      </c>
    </row>
    <row r="2">
      <c r="P2" s="29" t="inlineStr">
        <is>
          <t>ASP week Monday</t>
        </is>
      </c>
      <c r="Q2" cm="1">
        <f t="array" ref="Q2">_xlfn.LET(_xlpm.wh,TRIM(ASP!$Q$1:$ALL$1&amp;""),_xlpm.wy,2000+VALUE(LEFT(_xlpm.wh,FIND(" ",_xlpm.wh)-1)),_xlpm.ww,VALUE(MID(_xlpm.wh,FIND("W",UPPER(_xlpm.wh))+1,3)),_xlpm.wj,DATE(_xlpm.wy,1,4),IFERROR(_xlpm.wj-WEEKDAY(_xlpm.wj,2)+1+7*(_xlpm.ww-1),""))</f>
        <v/>
      </c>
    </row>
    <row r="3">
      <c r="P3" s="29" t="inlineStr">
        <is>
          <t>Kit week Monday</t>
        </is>
      </c>
      <c r="Q3" cm="1">
        <f t="array" ref="Q3">_xlfn.LET(_xlpm.wm,IFERROR(Q2:ALL2+0,-1),IF(_xlpm.wm&lt;0,"",_xlpm.wm-7*KitLead))</f>
        <v/>
      </c>
    </row>
    <row r="4">
      <c r="P4" s="29" t="inlineStr">
        <is>
          <t>Kit week</t>
        </is>
      </c>
      <c r="Q4" cm="1">
        <f t="array" ref="Q4">_xlfn.LET(_xlpm.wd,IFERROR(Q3:ALL3+0,-1),IF(_xlpm.wd&lt;0,"",RIGHT(YEAR(_xlpm.wd+3),2)&amp;" W"&amp;_xlfn.ISOWEEKNUM(_xlpm.wd)))</f>
        <v/>
      </c>
    </row>
    <row r="6">
      <c r="BA6" s="24" t="inlineStr">
        <is>
          <t>Lists for dropdowns</t>
        </is>
      </c>
    </row>
    <row r="7">
      <c r="A7" s="50" t="inlineStr">
        <is>
          <t>ASP row</t>
        </is>
      </c>
      <c r="B7" s="50" t="inlineStr">
        <is>
          <t>Project Id</t>
        </is>
      </c>
      <c r="C7" s="50" t="inlineStr">
        <is>
          <t>Project Name</t>
        </is>
      </c>
      <c r="D7" s="50" t="inlineStr">
        <is>
          <t>Product</t>
        </is>
      </c>
      <c r="E7" s="50" t="inlineStr">
        <is>
          <t>Planning code</t>
        </is>
      </c>
      <c r="F7" s="50" t="inlineStr">
        <is>
          <t>Prod Id</t>
        </is>
      </c>
      <c r="G7" s="50" t="inlineStr">
        <is>
          <t>Variant ID</t>
        </is>
      </c>
      <c r="H7" s="50" t="inlineStr">
        <is>
          <t>Seabed Temp</t>
        </is>
      </c>
      <c r="I7" s="50" t="inlineStr">
        <is>
          <t>Body Type</t>
        </is>
      </c>
      <c r="J7" s="50" t="inlineStr">
        <is>
          <t>Nber FP</t>
        </is>
      </c>
      <c r="K7" s="50" t="inlineStr">
        <is>
          <t>System Qty</t>
        </is>
      </c>
      <c r="L7" s="50" t="inlineStr">
        <is>
          <t>Planned Qty</t>
        </is>
      </c>
      <c r="M7" s="50" t="inlineStr">
        <is>
          <t>Prod. progress</t>
        </is>
      </c>
      <c r="N7" s="50" t="inlineStr">
        <is>
          <t>DR2M calc</t>
        </is>
      </c>
      <c r="O7" s="50" t="inlineStr">
        <is>
          <t>DR2M demand</t>
        </is>
      </c>
      <c r="P7" s="50" t="inlineStr">
        <is>
          <t>Weekly plan total</t>
        </is>
      </c>
      <c r="Q7" s="50" t="inlineStr">
        <is>
          <t>Due to kit by end of week</t>
        </is>
      </c>
      <c r="R7" s="50" t="inlineStr">
        <is>
          <t>Due to kit before this week</t>
        </is>
      </c>
      <c r="S7" s="50" t="inlineStr">
        <is>
          <t>Due to kit next 4 weeks</t>
        </is>
      </c>
      <c r="T7" s="50" t="inlineStr">
        <is>
          <t>Row in use</t>
        </is>
      </c>
      <c r="U7" s="50" t="inlineStr">
        <is>
          <t>Valid variant</t>
        </is>
      </c>
      <c r="V7" s="50" t="inlineStr">
        <is>
          <t>Requirement lines</t>
        </is>
      </c>
      <c r="W7" s="50" t="inlineStr">
        <is>
          <t>Built before plan</t>
        </is>
      </c>
      <c r="X7" s="50" t="inlineStr">
        <is>
          <t>Complete kits</t>
        </is>
      </c>
      <c r="Y7" s="50" t="inlineStr">
        <is>
          <t>Partly kitted</t>
        </is>
      </c>
      <c r="Z7" s="50" t="inlineStr">
        <is>
          <t>Remaining to kit</t>
        </is>
      </c>
      <c r="AA7" s="50" t="inlineStr">
        <is>
          <t>Progress</t>
        </is>
      </c>
      <c r="AB7" s="50" t="inlineStr">
        <is>
          <t>Due this week</t>
        </is>
      </c>
      <c r="AC7" s="50" t="inlineStr">
        <is>
          <t>Behind</t>
        </is>
      </c>
      <c r="AD7" s="50" t="inlineStr">
        <is>
          <t>Units without COOIS order</t>
        </is>
      </c>
      <c r="AE7" s="50" t="inlineStr">
        <is>
          <t>Top code differs</t>
        </is>
      </c>
      <c r="AF7" s="50" t="inlineStr">
        <is>
          <t>Status</t>
        </is>
      </c>
      <c r="AH7" s="50" t="inlineStr">
        <is>
          <t>Variant ID</t>
        </is>
      </c>
      <c r="AI7" s="50" t="inlineStr">
        <is>
          <t>Stage</t>
        </is>
      </c>
      <c r="AJ7" s="50" t="inlineStr">
        <is>
          <t>Stage order</t>
        </is>
      </c>
      <c r="AK7" s="50" t="inlineStr">
        <is>
          <t>Assembly code</t>
        </is>
      </c>
      <c r="AL7" s="50" t="inlineStr">
        <is>
          <t>Assembly description</t>
        </is>
      </c>
      <c r="AM7" s="50" t="inlineStr">
        <is>
          <t>Qty per REP</t>
        </is>
      </c>
      <c r="AN7" s="50" t="inlineStr">
        <is>
          <t>Recorded units</t>
        </is>
      </c>
      <c r="AO7" s="50" t="inlineStr">
        <is>
          <t>Allocated units</t>
        </is>
      </c>
      <c r="AP7" s="50" t="inlineStr">
        <is>
          <t>Covered units</t>
        </is>
      </c>
      <c r="AQ7" s="50" t="inlineStr">
        <is>
          <t>Units without COOIS order</t>
        </is>
      </c>
      <c r="AR7" s="50" t="inlineStr">
        <is>
          <t>Allocated beyond recorded</t>
        </is>
      </c>
      <c r="AS7" s="50" t="inlineStr">
        <is>
          <t>Complete REPs (line)</t>
        </is>
      </c>
      <c r="AT7" s="50" t="inlineStr">
        <is>
          <t>Started REPs (line)</t>
        </is>
      </c>
      <c r="AU7" s="50" t="inlineStr">
        <is>
          <t>Planned REPs</t>
        </is>
      </c>
      <c r="AV7" s="50" t="inlineStr">
        <is>
          <t>Units still to kit</t>
        </is>
      </c>
      <c r="AW7" s="50" t="inlineStr">
        <is>
          <t>Unallocated COOIS qty</t>
        </is>
      </c>
      <c r="AX7" s="50" t="inlineStr">
        <is>
          <t>Settings rows using code</t>
        </is>
      </c>
      <c r="BA7" s="50" t="inlineStr">
        <is>
          <t>Products</t>
        </is>
      </c>
      <c r="BB7" s="50" t="inlineStr">
        <is>
          <t>Projects</t>
        </is>
      </c>
      <c r="BC7" s="50" t="inlineStr">
        <is>
          <t>Variants (all)</t>
        </is>
      </c>
      <c r="BD7" s="50" t="inlineStr">
        <is>
          <t>Configured variants</t>
        </is>
      </c>
      <c r="BE7" s="50" t="inlineStr">
        <is>
          <t>Stages for entry</t>
        </is>
      </c>
      <c r="BF7" s="50" t="inlineStr">
        <is>
          <t>Codes for entry</t>
        </is>
      </c>
    </row>
    <row r="8">
      <c r="A8" cm="1">
        <f t="array" ref="A8">_xlfn.LET(_xlpm.pinfo,ASP!$C$2:$P$1000,_xlpm.pblk,IFERROR(--AspWeeks,0),_xlpm.pkm,WkKitMon,_xlpm.pone,_xlfn.SEQUENCE(COLUMNS(_xlpm.pblk),1,1,0),_xlfn.HSTACK(_xlfn.SEQUENCE(ROWS(_xlpm.pinfo),1,2),IF(_xlpm.pinfo="","",_xlpm.pinfo),MMULT(_xlpm.pblk,_xlpm.pone),MMULT(_xlpm.pblk,TRANSPOSE(--(_xlpm.pkm&lt;=ThisMon))),MMULT(_xlpm.pblk,TRANSPOSE(--(_xlpm.pkm&lt;ThisMon))),MMULT(_xlpm.pblk,TRANSPOSE((_xlpm.pkm&gt;ThisMon)*(_xlpm.pkm&lt;=ThisMon+28)))))</f>
        <v/>
      </c>
      <c r="T8" cm="1">
        <f t="array" ref="T8">_xlfn.LET(_xlpm.qfr,TRIM($G$8:$G$1006&amp;""),_xlpm.qpr,$D$8:$D$1006&amp;"",_xlpm.qok,($B$8:$B$1006&amp;$C$8:$C$1006&amp;_xlpm.qpr&amp;_xlpm.qfr&amp;$F$8:$F$1006)&lt;&gt;"",_xlpm.qva,(_xlpm.qfr&lt;&gt;"")*(UPPER(_xlpm.qfr)&lt;&gt;"NA")*(UPPER(_xlpm.qfr)&lt;&gt;"N/A"),_xlpm.qnl,IF(_xlpm.qva,COUNTIF(tblReq[Variant ID],_xlpm.qfr),0),_xlpm.qsy,IFERROR(--$K$8:$K$1006,0),_xlpm.qpl,IFERROR(--$L$8:$L$1006,0),_xlpm.qcm,_xlfn.MINIFS(L_CovReps,L_Var,_xlpm.qfr),_xlpm.qcz,IF(_xlpm.qnl&gt;0,_xlpm.qcm,0),_xlpm.qpa,_xlfn.MAXIFS(L_StartReps,L_Var,_xlpm.qfr)-_xlpm.qcz,_xlpm.qde,$Q$8:$Q$1006,_xlpm.qdb,$R$8:$R$1006,_xlpm.qmx,IF(_xlpm.qcz&gt;_xlpm.qdb,_xlpm.qcz,_xlpm.qdb),_xlpm.qdu,IF(_xlpm.qde-_xlpm.qmx&gt;0,_xlpm.qde-_xlpm.qmx,0),_xlpm.qbe,IF(_xlpm.qdb-_xlpm.qcz&gt;0,_xlpm.qdb-_xlpm.qcz,0),_xlpm.qtp,IFERROR(_xlfn.XLOOKUP(_xlpm.qfr,tblReq[Variant ID],TRIM(tblReq[Top code]&amp;"")),""),_xlpm.qtd,(_xlpm.qnl&gt;0)*(UPPER(_xlpm.qtp)&lt;&gt;UPPER(TRIM($F$8:$F$1006&amp;""))),_xlpm.qst,IF(_xlpm.qok=0,"",IF(_xlpm.qva=0,"No variant ID in ASP",IF(_xlpm.qnl=0,"Assembly setup required",IF(_xlpm.qtd,"Top code differs - review",IF(_xlpm.qpl&lt;=0,"No plan quantity",IF(_xlpm.qcz&gt;=_xlpm.qpl,"All kitted",IF(_xlpm.qbe&gt;0,"Kit behind",IF(_xlpm.qdu&gt;0,"Kit due this week","On track")))))))),_xlfn.HSTACK(--_xlpm.qok,_xlpm.qva,_xlpm.qnl,_xlpm.qsy-_xlpm.qpl,IF(_xlpm.qnl&gt;0,_xlpm.qcm,""),IF(_xlpm.qnl&gt;0,_xlpm.qpa,""),IF(_xlpm.qnl&gt;0,IF(_xlpm.qpl-_xlpm.qcz&gt;0,_xlpm.qpl-_xlpm.qcz,0),""),IF((_xlpm.qnl&gt;0)*(_xlpm.qpl&gt;0),_xlpm.qcz/IF(_xlpm.qpl=0,1,_xlpm.qpl),"not available"),IF(_xlpm.qnl&gt;0,_xlpm.qdu,""),IF(_xlpm.qnl&gt;0,_xlpm.qbe,""),IF(_xlpm.qnl&gt;0,SUMIFS(L_Short,L_Var,_xlpm.qfr),""),--_xlpm.qtd,_xlpm.qst))</f>
        <v/>
      </c>
      <c r="AH8" cm="1">
        <f t="array" ref="AH8">_xlfn.LET(_xlpm.lv,TRIM(tblReq[Variant ID]&amp;""),_xlpm.ls,TRIM(tblReq[Stage]&amp;""),_xlpm.lc,TRIM(tblReq[Assembly code]&amp;""),_xlpm.lq,IFERROR(--tblReq[Qty per REP],0),_xlpm.lok,_xlpm.lv&lt;&gt;"",_xlpm.lso,IFERROR(_xlfn.XLOOKUP(_xlpm.ls,tblStages[Stage],tblStages[Order]),""),_xlpm.lrw,SUMIFS(tblLog[REPs kitted],tblLog[Record type],"Kitting Progress",tblLog[Variant ID],_xlpm.lv,tblLog[Stage],_xlpm.ls,tblLog[Assembly code],"",tblLog[Active],1),_xlpm.lrl,SUMIFS(tblLog[REPs kitted],tblLog[Record type],"Kitting Progress",tblLog[Variant ID],_xlpm.lv,tblLog[Stage],_xlpm.ls,tblLog[Assembly code],_xlpm.lc,tblLog[Active],1),_xlpm.lrec,(_xlpm.lrw+_xlpm.lrl)*_xlpm.lq,_xlpm.lal,SUMIFS(tblLog[Order qty],tblLog[Record type],"COOIS order",tblLog[Variant ID],_xlpm.lv,tblLog[Assembly code],_xlpm.lc,tblLog[Active],1),_xlpm.lcov,IF(_xlpm.lrec&lt;_xlpm.lal,_xlpm.lrec,_xlpm.lal),_xlpm.lcr,IF(_xlpm.lq&gt;0,INT(_xlpm.lcov/IF(_xlpm.lq=0,1,_xlpm.lq)+0.000000001),0),_xlpm.lsr,IF(_xlpm.lq&gt;0,-INT(-_xlpm.lcov/IF(_xlpm.lq=0,1,_xlpm.lq)+0.000000001),0),_xlpm.lpl,SUMIFS(P_Planned,P_Var,_xlpm.lv),_xlpm.lav,SUMIFS(Rv_Qty,Rv_Mat,_xlpm.lc,Rv_Entry,"",Rv_CLSD,""),_xlfn._xlws.FILTER(_xlfn.EXPAND(_xlfn.HSTACK(_xlpm.lv,_xlpm.ls,_xlpm.lso,_xlpm.lc,tblReq[Assembly description]&amp;"",_xlpm.lq,_xlpm.lrec,_xlpm.lal,_xlpm.lcov,_xlpm.lrec-_xlpm.lcov,_xlpm.lal-_xlpm.lcov,_xlpm.lcr,_xlpm.lsr,_xlpm.lpl,IF(_xlpm.lpl*_xlpm.lq-_xlpm.lcov&gt;0,_xlpm.lpl*_xlpm.lq-_xlpm.lcov,0),_xlpm.lav,COUNTIF(tblReq[Assembly code],_xlpm.lc)),ROWS(_xlpm.lv)+1,,""),_xlfn.VSTACK(_xlpm.lok,FALSE),""))</f>
        <v/>
      </c>
      <c r="BA8" cm="1">
        <f t="array" ref="BA8">IFERROR(_xlfn._xlws.SORT(_xlfn.UNIQUE(_xlfn._xlws.FILTER(P_Product,(P_Product&lt;&gt;"")*(P_RowOK=1)))),"REPEATERS")</f>
        <v/>
      </c>
      <c r="BB8" cm="1">
        <f t="array" ref="BB8">IFERROR(_xlfn.VSTACK("All",_xlfn._xlws.SORT(_xlfn.UNIQUE(_xlfn._xlws.FILTER(P_ProjName,(UPPER(P_Product)=UPPER(Dashboard!$C$5))*(P_ProjName&lt;&gt;""))))),"All")</f>
        <v/>
      </c>
      <c r="BC8" cm="1">
        <f t="array" ref="BC8">IFERROR(_xlfn.VSTACK("All",_xlfn._xlws.SORT(_xlfn.UNIQUE(_xlfn._xlws.FILTER(P_Var,(UPPER(P_Product)=UPPER(Dashboard!$C$5))*(P_Valid=1)*((Dashboard!$F$5="All")+(Dashboard!$F$5="")+(P_ProjName=Dashboard!$F$5)&gt;0))))),"All")</f>
        <v/>
      </c>
      <c r="BD8" cm="1">
        <f t="array" ref="BD8">IFERROR(_xlfn._xlws.SORT(_xlfn.UNIQUE(_xlfn._xlws.FILTER(TRIM(tblReq[Variant ID]&amp;""),TRIM(tblReq[Variant ID]&amp;"")&lt;&gt;""))),"(none)")</f>
        <v/>
      </c>
      <c r="BE8" cm="1">
        <f t="array" ref="BE8">_xlfn.LET(_xlpm.es,_xlfn.SORTBY(tblStages[Stage],tblStages[Order]),_xlfn._xlws.FILTER(_xlpm.es,COUNTIFS(tblReq[Variant ID],'Record Kitting'!$C$7,tblReq[Stage],_xlpm.es)&gt;0,_xlpm.es))</f>
        <v/>
      </c>
      <c r="BF8" cm="1">
        <f t="array" ref="BF8">_xlfn.VSTACK("",_xlfn._xlws.FILTER(tblReq[Assembly code],(tblReq[Variant ID]='Record Kitting'!$C$7)*(tblReq[Stage]='Record Kitting'!$C$8),""))</f>
        <v/>
      </c>
    </row>
  </sheetData>
  <sheetProtection selectLockedCells="0" selectUnlockedCells="0" sheet="1" objects="0" insertRows="1" insertHyperlinks="1" autoFilter="0" scenarios="0" formatColumns="0" deleteColumns="1" insertColumns="1" pivotTables="1" deleteRows="1" formatCells="0" formatRows="1"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2026-10-29T07:01:54Z</dcterms:created>
  <dcterms:modified xmlns:dcterms="http://purl.org/dc/terms/" xmlns:xsi="http://www.w3.org/2001/XMLSchema-instance" xsi:type="dcterms:W3CDTF">2026-10-29T07:01:54Z</dcterms:modified>
</cp:coreProperties>
</file>